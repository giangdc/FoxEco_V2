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ver" sheetId="1" state="visible" r:id="rId1"/>
    <sheet xmlns:r="http://schemas.openxmlformats.org/officeDocument/2006/relationships" name="Guideline" sheetId="2" state="visible" r:id="rId2"/>
    <sheet xmlns:r="http://schemas.openxmlformats.org/officeDocument/2006/relationships" name="Revision History" sheetId="3" state="visible" r:id="rId3"/>
    <sheet xmlns:r="http://schemas.openxmlformats.org/officeDocument/2006/relationships" name="Summary" sheetId="4" state="visible" r:id="rId4"/>
    <sheet xmlns:r="http://schemas.openxmlformats.org/officeDocument/2006/relationships" name="Dashboard" sheetId="5" state="visible" r:id="rId5"/>
    <sheet xmlns:r="http://schemas.openxmlformats.org/officeDocument/2006/relationships" name="Report Test" sheetId="6" state="visible" r:id="rId6"/>
    <sheet xmlns:r="http://schemas.openxmlformats.org/officeDocument/2006/relationships" name="Bug Data" sheetId="7" state="visible" r:id="rId7"/>
    <sheet xmlns:r="http://schemas.openxmlformats.org/officeDocument/2006/relationships" name="RTM" sheetId="8" state="visible" r:id="rId8"/>
    <sheet xmlns:r="http://schemas.openxmlformats.org/officeDocument/2006/relationships" name="Hoạt động (Đơn của tôi)" sheetId="9" state="visible" r:id="rId9"/>
    <sheet xmlns:r="http://schemas.openxmlformats.org/officeDocument/2006/relationships" name="Ghép nối" sheetId="10" state="visible" r:id="rId10"/>
    <sheet xmlns:r="http://schemas.openxmlformats.org/officeDocument/2006/relationships" name="Huỷ đơn - Huỷ nhận đơn" sheetId="11" state="visible" r:id="rId11"/>
    <sheet xmlns:r="http://schemas.openxmlformats.org/officeDocument/2006/relationships" name="Giao nhận &amp; Theo dõi đơn" sheetId="12" state="visible" r:id="rId12"/>
    <sheet xmlns:r="http://schemas.openxmlformats.org/officeDocument/2006/relationships" name="Bảng tin &amp; Chi tiết tin" sheetId="13" state="visible" r:id="rId13"/>
    <sheet xmlns:r="http://schemas.openxmlformats.org/officeDocument/2006/relationships" name="Quà cảm ơn" sheetId="14" state="visible" r:id="rId14"/>
    <sheet xmlns:r="http://schemas.openxmlformats.org/officeDocument/2006/relationships" name="Trang chủ" sheetId="15" state="visible" r:id="rId15"/>
    <sheet xmlns:r="http://schemas.openxmlformats.org/officeDocument/2006/relationships" name="Thông báo" sheetId="16" state="visible" r:id="rId16"/>
    <sheet xmlns:r="http://schemas.openxmlformats.org/officeDocument/2006/relationships" name="Đăng tin &amp; Quản lý tin" sheetId="17" state="visible" r:id="rId17"/>
    <sheet xmlns:r="http://schemas.openxmlformats.org/officeDocument/2006/relationships" name="Trust &amp; Safety" sheetId="18" state="visible" r:id="rId18"/>
    <sheet xmlns:r="http://schemas.openxmlformats.org/officeDocument/2006/relationships" name="Tài khoản &amp; Hồ sơ" sheetId="19" state="visible" r:id="rId19"/>
  </sheets>
  <definedNames>
    <definedName name="_xlnm._FilterDatabase" localSheetId="8" hidden="1">'Hoạt động (Đơn của tôi)'!$A$6:$AU$6</definedName>
    <definedName name="_xlnm._FilterDatabase" localSheetId="9" hidden="1">'Ghép nối'!$A$6:$AU$6</definedName>
    <definedName name="_xlnm._FilterDatabase" localSheetId="10" hidden="1">'Huỷ đơn - Huỷ nhận đơn'!$A$6:$AU$6</definedName>
    <definedName name="_xlnm._FilterDatabase" localSheetId="11" hidden="1">'Giao nhận &amp; Theo dõi đơn'!$A$6:$AU$6</definedName>
    <definedName name="_xlnm._FilterDatabase" localSheetId="12" hidden="1">'Bảng tin &amp; Chi tiết tin'!$A$6:$AU$6</definedName>
    <definedName name="_xlnm._FilterDatabase" localSheetId="13" hidden="1">'Quà cảm ơn'!$A$6:$AU$6</definedName>
    <definedName name="_xlnm._FilterDatabase" localSheetId="14" hidden="1">'Trang chủ'!$A$6:$AU$6</definedName>
    <definedName name="_xlnm._FilterDatabase" localSheetId="15" hidden="1">'Thông báo'!$A$6:$AU$6</definedName>
    <definedName name="_xlnm._FilterDatabase" localSheetId="16" hidden="1">'Đăng tin &amp; Quản lý tin'!$A$6:$AU$6</definedName>
    <definedName name="_xlnm._FilterDatabase" localSheetId="17" hidden="1">'Trust &amp; Safety'!$A$6:$AU$6</definedName>
    <definedName name="_xlnm._FilterDatabase" localSheetId="18" hidden="1">'Tài khoản &amp; Hồ sơ'!$A$6:$AU$6</definedName>
  </definedNames>
  <calcPr calcId="124519" calcMode="auto" fullCalcOnLoad="1"/>
</workbook>
</file>

<file path=xl/styles.xml><?xml version="1.0" encoding="utf-8"?>
<styleSheet xmlns="http://schemas.openxmlformats.org/spreadsheetml/2006/main">
  <numFmts count="3">
    <numFmt numFmtId="164" formatCode="d\/m\/yy"/>
    <numFmt numFmtId="165" formatCode="0.0"/>
    <numFmt numFmtId="166" formatCode="0.0%"/>
  </numFmts>
  <fonts count="52">
    <font>
      <name val="Calibri"/>
      <color theme="1"/>
      <sz val="11"/>
      <scheme val="minor"/>
    </font>
    <font>
      <name val="Calibri"/>
      <color theme="1"/>
      <sz val="11"/>
    </font>
    <font>
      <name val="Calibri"/>
      <color theme="1"/>
      <sz val="14"/>
    </font>
    <font>
      <name val="Arial"/>
      <b val="1"/>
      <color rgb="FF808080"/>
      <sz val="12"/>
    </font>
    <font>
      <name val="Arial"/>
      <b val="1"/>
      <color rgb="FFFFFFFF"/>
      <sz val="14"/>
    </font>
    <font>
      <name val="Arial"/>
      <b val="1"/>
      <color rgb="FFED7D31"/>
      <sz val="28"/>
    </font>
    <font/>
    <font>
      <name val="Arial"/>
      <color theme="1"/>
      <sz val="11"/>
    </font>
    <font>
      <name val="Arial"/>
      <b val="1"/>
      <color rgb="FF1F4E79"/>
      <sz val="10"/>
    </font>
    <font>
      <name val="Arial"/>
      <b val="1"/>
      <color rgb="FFFFFFFF"/>
      <sz val="11"/>
    </font>
    <font>
      <name val="Arial"/>
      <color rgb="FF000000"/>
      <sz val="10"/>
    </font>
    <font>
      <name val="Arial"/>
      <b val="1"/>
      <color rgb="FF1F1F1F"/>
      <sz val="32"/>
    </font>
    <font>
      <name val="Arial"/>
      <color theme="1"/>
    </font>
    <font>
      <name val="Arial"/>
      <i val="1"/>
      <color rgb="FF2F5496"/>
      <sz val="13"/>
    </font>
    <font>
      <name val="Arial"/>
      <color rgb="FF000000"/>
      <sz val="11"/>
    </font>
    <font>
      <name val="Arial"/>
      <b val="1"/>
      <color rgb="FFFFFFFF"/>
      <sz val="12"/>
    </font>
    <font>
      <name val="Arial"/>
      <b val="1"/>
      <color rgb="FF2F5496"/>
      <sz val="12"/>
    </font>
    <font>
      <name val="Calibri"/>
      <color rgb="FF000000"/>
      <sz val="11"/>
    </font>
    <font>
      <name val="Arial"/>
      <i val="1"/>
      <color rgb="FF404040"/>
      <sz val="11"/>
    </font>
    <font>
      <name val="Arial"/>
      <i val="1"/>
      <color rgb="FF808080"/>
      <sz val="10"/>
    </font>
    <font>
      <name val="Arial"/>
      <b val="1"/>
      <color rgb="FFFFFFFF"/>
      <sz val="10"/>
    </font>
    <font>
      <name val="Arial"/>
      <i val="1"/>
      <color rgb="FFFFFFFF"/>
      <sz val="10"/>
    </font>
    <font>
      <name val="Arial"/>
      <b val="1"/>
      <color rgb="FF1F4E79"/>
      <sz val="17"/>
    </font>
    <font>
      <name val="Arial"/>
      <i val="1"/>
      <color rgb="FF808080"/>
      <sz val="9"/>
    </font>
    <font>
      <name val="Arial"/>
      <b val="1"/>
      <color rgb="FF000000"/>
      <sz val="11"/>
    </font>
    <font>
      <name val="Arial"/>
      <b val="1"/>
      <color rgb="FF000000"/>
      <sz val="10"/>
    </font>
    <font>
      <name val="Arial"/>
      <i val="1"/>
      <color rgb="FF595959"/>
      <sz val="9"/>
    </font>
    <font>
      <name val="Arial"/>
      <b val="1"/>
      <color rgb="FF1F4E79"/>
      <sz val="11"/>
    </font>
    <font>
      <name val="Calibri"/>
      <color rgb="FF0563C1"/>
      <sz val="11"/>
      <u val="single"/>
    </font>
    <font>
      <name val="Calibri"/>
      <b val="1"/>
      <color theme="1"/>
      <sz val="11"/>
    </font>
    <font>
      <name val="Calibri"/>
      <color theme="1"/>
      <sz val="15"/>
    </font>
    <font>
      <name val="Arial"/>
      <b val="1"/>
      <color rgb="FF1F4E79"/>
      <sz val="15"/>
    </font>
    <font>
      <name val="Arial"/>
      <b val="1"/>
      <color rgb="FFFFFFFF"/>
      <sz val="9"/>
    </font>
    <font>
      <name val="Arial"/>
      <b val="1"/>
      <color theme="1"/>
    </font>
    <font>
      <name val="Arial"/>
      <b val="1"/>
      <color theme="1"/>
      <sz val="9"/>
    </font>
    <font>
      <name val="Arial"/>
      <color theme="1"/>
      <sz val="9"/>
    </font>
    <font>
      <name val="Arial"/>
      <b val="1"/>
      <color rgb="FF808080"/>
      <sz val="9"/>
    </font>
    <font>
      <name val="Arial"/>
      <b val="1"/>
      <color rgb="FF808080"/>
      <sz val="10"/>
    </font>
    <font>
      <name val="Arial"/>
      <color rgb="FF808080"/>
      <sz val="9"/>
    </font>
    <font>
      <name val="Arial"/>
      <color theme="1"/>
      <sz val="10"/>
    </font>
    <font>
      <name val="Calibri"/>
      <color theme="1"/>
    </font>
    <font>
      <name val="Arial"/>
      <b val="1"/>
      <color rgb="FF1F1F1F"/>
      <sz val="15"/>
    </font>
    <font>
      <name val="Arial"/>
      <b val="1"/>
      <color rgb="FF1F4E79"/>
      <sz val="14"/>
    </font>
    <font>
      <name val="Arial"/>
      <b val="1"/>
      <color rgb="FF1F4E79"/>
      <sz val="13"/>
    </font>
    <font>
      <name val="Arial"/>
      <i val="1"/>
      <color rgb="FF808080"/>
      <sz val="8"/>
    </font>
    <font>
      <name val="Arial"/>
      <b val="1"/>
      <color rgb="FF1F4E79"/>
      <sz val="9"/>
    </font>
    <font>
      <name val="Arial"/>
      <color rgb="FF404040"/>
      <sz val="9"/>
    </font>
    <font>
      <name val="Arial"/>
      <i val="1"/>
      <color rgb="FF7F7F7F"/>
      <sz val="9"/>
    </font>
    <font>
      <name val="Calibri"/>
      <strike val="1"/>
      <color theme="1"/>
    </font>
    <font>
      <name val="Arial"/>
      <color rgb="FF808080"/>
      <sz val="10"/>
    </font>
    <font>
      <name val="Arial"/>
      <color rgb="FF0000FF"/>
      <sz val="11"/>
    </font>
    <font>
      <name val="Arial"/>
      <color rgb="FF000000"/>
    </font>
  </fonts>
  <fills count="31">
    <fill>
      <patternFill/>
    </fill>
    <fill>
      <patternFill patternType="lightGray"/>
    </fill>
    <fill>
      <patternFill patternType="solid">
        <fgColor rgb="FF1F4E79"/>
        <bgColor rgb="FF1F4E79"/>
      </patternFill>
    </fill>
    <fill>
      <patternFill patternType="solid">
        <fgColor rgb="FFE2EFD9"/>
        <bgColor rgb="FFE2EFD9"/>
      </patternFill>
    </fill>
    <fill>
      <patternFill patternType="solid">
        <fgColor rgb="FF2E75B6"/>
        <bgColor rgb="FF2E75B6"/>
      </patternFill>
    </fill>
    <fill>
      <patternFill patternType="solid">
        <fgColor rgb="FFFFFFFF"/>
        <bgColor rgb="FFFFFFFF"/>
      </patternFill>
    </fill>
    <fill>
      <patternFill patternType="solid">
        <fgColor rgb="FF4472C4"/>
        <bgColor rgb="FF4472C4"/>
      </patternFill>
    </fill>
    <fill>
      <patternFill patternType="solid">
        <fgColor rgb="FFC5E0B3"/>
        <bgColor rgb="FFC5E0B3"/>
      </patternFill>
    </fill>
    <fill>
      <patternFill patternType="solid">
        <fgColor rgb="FF1F6E7B"/>
        <bgColor rgb="FF1F6E7B"/>
      </patternFill>
    </fill>
    <fill>
      <patternFill patternType="solid">
        <fgColor rgb="FFFFF2CC"/>
        <bgColor rgb="FFFFF2CC"/>
      </patternFill>
    </fill>
    <fill>
      <patternFill patternType="solid">
        <fgColor rgb="FF31859C"/>
        <bgColor rgb="FF31859C"/>
      </patternFill>
    </fill>
    <fill>
      <patternFill patternType="solid">
        <fgColor rgb="FFDAEEF3"/>
        <bgColor rgb="FFDAEEF3"/>
      </patternFill>
    </fill>
    <fill>
      <patternFill patternType="solid">
        <fgColor rgb="FFF2F2F2"/>
        <bgColor rgb="FFF2F2F2"/>
      </patternFill>
    </fill>
    <fill>
      <patternFill patternType="solid">
        <fgColor rgb="FFED7D31"/>
        <bgColor rgb="FFED7D31"/>
      </patternFill>
    </fill>
    <fill>
      <patternFill patternType="solid">
        <fgColor rgb="FFC9A66B"/>
        <bgColor rgb="FFC9A66B"/>
      </patternFill>
    </fill>
    <fill>
      <patternFill patternType="solid">
        <fgColor rgb="FF548235"/>
        <bgColor rgb="FF548235"/>
      </patternFill>
    </fill>
    <fill>
      <patternFill patternType="solid">
        <fgColor rgb="FF305496"/>
        <bgColor rgb="FF305496"/>
      </patternFill>
    </fill>
    <fill>
      <patternFill patternType="solid">
        <fgColor rgb="FFDDEBF7"/>
        <bgColor rgb="FFDDEBF7"/>
      </patternFill>
    </fill>
    <fill>
      <patternFill patternType="solid">
        <fgColor rgb="FFC00000"/>
        <bgColor rgb="FFC00000"/>
      </patternFill>
    </fill>
    <fill>
      <patternFill patternType="solid">
        <fgColor rgb="FF70AD47"/>
        <bgColor rgb="FF70AD47"/>
      </patternFill>
    </fill>
    <fill>
      <patternFill patternType="solid">
        <fgColor rgb="FF7030A0"/>
        <bgColor rgb="FF7030A0"/>
      </patternFill>
    </fill>
    <fill>
      <patternFill patternType="solid">
        <fgColor rgb="FFA8D08D"/>
        <bgColor rgb="FFA8D08D"/>
      </patternFill>
    </fill>
    <fill>
      <patternFill patternType="solid">
        <fgColor rgb="FF2F5496"/>
        <bgColor rgb="FF2F5496"/>
      </patternFill>
    </fill>
    <fill>
      <patternFill patternType="solid">
        <fgColor rgb="FF8EAADB"/>
        <bgColor rgb="FF8EAADB"/>
      </patternFill>
    </fill>
    <fill>
      <patternFill patternType="solid">
        <fgColor rgb="FFB8935A"/>
        <bgColor rgb="FFB8935A"/>
      </patternFill>
    </fill>
    <fill>
      <patternFill patternType="solid">
        <fgColor rgb="FFD9E1F2"/>
        <bgColor rgb="FFD9E1F2"/>
      </patternFill>
    </fill>
    <fill>
      <patternFill patternType="solid">
        <fgColor rgb="FFFCE4D6"/>
        <bgColor rgb="FFFCE4D6"/>
      </patternFill>
    </fill>
    <fill>
      <patternFill patternType="solid">
        <fgColor rgb="FFE2EFDA"/>
        <bgColor rgb="FFE2EFDA"/>
      </patternFill>
    </fill>
    <fill>
      <patternFill patternType="solid">
        <fgColor rgb="FFA9D08E"/>
        <bgColor rgb="FFA9D08E"/>
      </patternFill>
    </fill>
    <fill>
      <patternFill patternType="solid">
        <fgColor rgb="FF548235"/>
      </patternFill>
    </fill>
    <fill>
      <patternFill patternType="solid">
        <fgColor rgb="FFE2EFDA"/>
      </patternFill>
    </fill>
  </fills>
  <borders count="25">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top style="thin">
        <color rgb="FFBFBFBF"/>
      </top>
      <bottom style="thin">
        <color rgb="FFBFBFBF"/>
      </bottom>
    </border>
    <border>
      <left style="thin">
        <color rgb="FFBFBFBF"/>
      </left>
      <top style="thin">
        <color rgb="FFBFBFBF"/>
      </top>
    </border>
    <border>
      <top style="thin">
        <color rgb="FFBFBFBF"/>
      </top>
    </border>
    <border>
      <right style="thin">
        <color rgb="FFBFBFBF"/>
      </right>
      <top style="thin">
        <color rgb="FFBFBFBF"/>
      </top>
    </border>
    <border>
      <left style="thin">
        <color rgb="FFBFBFBF"/>
      </left>
      <bottom style="thin">
        <color rgb="FFBFBFBF"/>
      </bottom>
    </border>
    <border>
      <bottom style="thin">
        <color rgb="FFBFBFBF"/>
      </bottom>
    </border>
    <border>
      <right style="thin">
        <color rgb="FFBFBFBF"/>
      </right>
      <bottom style="thin">
        <color rgb="FFBFBFBF"/>
      </bottom>
    </border>
    <border>
      <left style="thin">
        <color rgb="FF000000"/>
      </left>
      <right style="thin">
        <color rgb="FF000000"/>
      </right>
      <top style="thin">
        <color rgb="FF000000"/>
      </top>
      <bottom style="thin">
        <color rgb="FF000000"/>
      </bottom>
    </border>
    <border>
      <left style="thin">
        <color rgb="FFBFBFBF"/>
      </left>
    </border>
    <border>
      <right style="thin">
        <color rgb="FFBFBFBF"/>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top style="thin">
        <color rgb="FF000000"/>
      </top>
    </border>
    <border>
      <right style="thin">
        <color rgb="FF000000"/>
      </right>
      <top style="thin">
        <color rgb="FF000000"/>
      </top>
    </border>
    <border>
      <left style="thin">
        <color rgb="FFFFFFFF"/>
      </left>
      <right style="thin">
        <color rgb="FFFFFFFF"/>
      </right>
      <top style="thin">
        <color rgb="FFFFFFFF"/>
      </top>
      <bottom style="thin">
        <color rgb="FFFFFFFF"/>
      </bottom>
    </border>
    <border>
      <top style="thin">
        <color rgb="FFFFFFFF"/>
      </top>
    </border>
    <border>
      <right style="thin">
        <color rgb="FFFFFFFF"/>
      </right>
      <top style="thin">
        <color rgb="FFFFFFFF"/>
      </top>
    </border>
  </borders>
  <cellStyleXfs count="1">
    <xf numFmtId="0" fontId="0" fillId="0" borderId="0"/>
  </cellStyleXfs>
  <cellXfs count="266">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horizontal="right" vertical="center"/>
    </xf>
    <xf numFmtId="0" fontId="4" fillId="2" borderId="1" applyAlignment="1" pivotButton="0" quotePrefix="0" xfId="0">
      <alignment horizontal="left" vertical="center" wrapText="1"/>
    </xf>
    <xf numFmtId="0" fontId="5" fillId="0" borderId="0" applyAlignment="1" pivotButton="0" quotePrefix="0" xfId="0">
      <alignment horizontal="left" vertical="center"/>
    </xf>
    <xf numFmtId="0" fontId="6" fillId="0" borderId="2" pivotButton="0" quotePrefix="0" xfId="0"/>
    <xf numFmtId="0" fontId="5" fillId="0" borderId="0" applyAlignment="1" pivotButton="0" quotePrefix="0" xfId="0">
      <alignment horizontal="center" vertical="center"/>
    </xf>
    <xf numFmtId="0" fontId="7" fillId="0" borderId="0" applyAlignment="1" pivotButton="0" quotePrefix="0" xfId="0">
      <alignment vertical="center"/>
    </xf>
    <xf numFmtId="0" fontId="8" fillId="3" borderId="3" applyAlignment="1" pivotButton="0" quotePrefix="0" xfId="0">
      <alignment horizontal="left" vertical="center" wrapText="1"/>
    </xf>
    <xf numFmtId="0" fontId="9" fillId="4" borderId="3" applyAlignment="1" pivotButton="0" quotePrefix="0" xfId="0">
      <alignment horizontal="center" vertical="center"/>
    </xf>
    <xf numFmtId="0" fontId="10" fillId="0" borderId="3" applyAlignment="1" pivotButton="0" quotePrefix="0" xfId="0">
      <alignment horizontal="left" vertical="top" wrapText="1"/>
    </xf>
    <xf numFmtId="0" fontId="11" fillId="0" borderId="0" applyAlignment="1" pivotButton="0" quotePrefix="0" xfId="0">
      <alignment horizontal="center" vertical="center"/>
    </xf>
    <xf numFmtId="0" fontId="12" fillId="0" borderId="0" applyAlignment="1" pivotButton="0" quotePrefix="0" xfId="0">
      <alignment vertical="center"/>
    </xf>
    <xf numFmtId="0" fontId="13" fillId="0" borderId="0" applyAlignment="1" pivotButton="0" quotePrefix="0" xfId="0">
      <alignment horizontal="center" vertical="center"/>
    </xf>
    <xf numFmtId="0" fontId="7" fillId="0" borderId="0" pivotButton="0" quotePrefix="0" xfId="0"/>
    <xf numFmtId="164" fontId="14" fillId="5" borderId="1" applyAlignment="1" pivotButton="0" quotePrefix="0" xfId="0">
      <alignment horizontal="center" vertical="center" wrapText="1"/>
    </xf>
    <xf numFmtId="165" fontId="14" fillId="5" borderId="3" applyAlignment="1" pivotButton="0" quotePrefix="0" xfId="0">
      <alignment horizontal="center" vertical="bottom"/>
    </xf>
    <xf numFmtId="0" fontId="15" fillId="6" borderId="1" applyAlignment="1" pivotButton="0" quotePrefix="0" xfId="0">
      <alignment horizontal="center" vertical="center"/>
    </xf>
    <xf numFmtId="0" fontId="14" fillId="5" borderId="3" applyAlignment="1" pivotButton="0" quotePrefix="0" xfId="0">
      <alignment horizontal="center" vertical="bottom"/>
    </xf>
    <xf numFmtId="0" fontId="14" fillId="5" borderId="3" applyAlignment="1" pivotButton="0" quotePrefix="0" xfId="0">
      <alignment vertical="bottom"/>
    </xf>
    <xf numFmtId="0" fontId="16" fillId="5" borderId="1" applyAlignment="1" pivotButton="0" quotePrefix="0" xfId="0">
      <alignment horizontal="center" vertical="center"/>
    </xf>
    <xf numFmtId="0" fontId="14" fillId="5" borderId="3" applyAlignment="1" pivotButton="0" quotePrefix="0" xfId="0">
      <alignment vertical="top"/>
    </xf>
    <xf numFmtId="0" fontId="6" fillId="0" borderId="4" pivotButton="0" quotePrefix="0" xfId="0"/>
    <xf numFmtId="0" fontId="12" fillId="0" borderId="0" pivotButton="0" quotePrefix="0" xfId="0"/>
    <xf numFmtId="0" fontId="8" fillId="7" borderId="3" applyAlignment="1" pivotButton="0" quotePrefix="0" xfId="0">
      <alignment horizontal="left" vertical="center" wrapText="1"/>
    </xf>
    <xf numFmtId="0" fontId="8" fillId="7" borderId="3" applyAlignment="1" pivotButton="0" quotePrefix="0" xfId="0">
      <alignment horizontal="left" vertical="top" wrapText="1"/>
    </xf>
    <xf numFmtId="164" fontId="14" fillId="5" borderId="1" applyAlignment="1" pivotButton="0" quotePrefix="0" xfId="0">
      <alignment horizontal="left" vertical="center" wrapText="1"/>
    </xf>
    <xf numFmtId="0" fontId="17" fillId="5" borderId="3" applyAlignment="1" pivotButton="0" quotePrefix="0" xfId="0">
      <alignment horizontal="center" vertical="bottom"/>
    </xf>
    <xf numFmtId="0" fontId="18" fillId="0" borderId="0" applyAlignment="1" pivotButton="0" quotePrefix="0" xfId="0">
      <alignment horizontal="center" vertical="center"/>
    </xf>
    <xf numFmtId="0" fontId="17" fillId="5" borderId="3" applyAlignment="1" pivotButton="0" quotePrefix="0" xfId="0">
      <alignment vertical="bottom"/>
    </xf>
    <xf numFmtId="0" fontId="17" fillId="5" borderId="3" applyAlignment="1" pivotButton="0" quotePrefix="0" xfId="0">
      <alignment vertical="top"/>
    </xf>
    <xf numFmtId="0" fontId="19" fillId="0" borderId="0" applyAlignment="1" pivotButton="0" quotePrefix="0" xfId="0">
      <alignment horizontal="center" vertical="center"/>
    </xf>
    <xf numFmtId="0" fontId="20" fillId="0" borderId="0" applyAlignment="1" pivotButton="0" quotePrefix="0" xfId="0">
      <alignment horizontal="left" vertical="center" wrapText="1"/>
    </xf>
    <xf numFmtId="0" fontId="10" fillId="0" borderId="0" applyAlignment="1" pivotButton="0" quotePrefix="0" xfId="0">
      <alignment horizontal="left" vertical="top" wrapText="1"/>
    </xf>
    <xf numFmtId="0" fontId="21" fillId="8" borderId="1" applyAlignment="1" pivotButton="0" quotePrefix="0" xfId="0">
      <alignment horizontal="left" vertical="center" wrapText="1"/>
    </xf>
    <xf numFmtId="0" fontId="22" fillId="0" borderId="0" applyAlignment="1" pivotButton="0" quotePrefix="0" xfId="0">
      <alignment vertical="bottom"/>
    </xf>
    <xf numFmtId="0" fontId="23" fillId="0" borderId="0" applyAlignment="1" pivotButton="0" quotePrefix="0" xfId="0">
      <alignment vertical="bottom"/>
    </xf>
    <xf numFmtId="0" fontId="15" fillId="2" borderId="1" applyAlignment="1" pivotButton="0" quotePrefix="0" xfId="0">
      <alignment horizontal="left" vertical="center" wrapText="1"/>
    </xf>
    <xf numFmtId="0" fontId="24" fillId="7" borderId="3" applyAlignment="1" pivotButton="0" quotePrefix="0" xfId="0">
      <alignment horizontal="left" vertical="center" wrapText="1"/>
    </xf>
    <xf numFmtId="0" fontId="14" fillId="9" borderId="1" applyAlignment="1" pivotButton="0" quotePrefix="0" xfId="0">
      <alignment horizontal="left" vertical="center" wrapText="1"/>
    </xf>
    <xf numFmtId="0" fontId="14" fillId="0" borderId="1" applyAlignment="1" pivotButton="0" quotePrefix="0" xfId="0">
      <alignment horizontal="left" vertical="center" wrapText="1"/>
    </xf>
    <xf numFmtId="164" fontId="14" fillId="9" borderId="1" applyAlignment="1" pivotButton="0" quotePrefix="0" xfId="0">
      <alignment horizontal="left" vertical="center" wrapText="1"/>
    </xf>
    <xf numFmtId="0" fontId="25" fillId="3" borderId="3" applyAlignment="1" pivotButton="0" quotePrefix="0" xfId="0">
      <alignment horizontal="left" vertical="center" wrapText="1"/>
    </xf>
    <xf numFmtId="1" fontId="25" fillId="7" borderId="3" applyAlignment="1" pivotButton="0" quotePrefix="0" xfId="0">
      <alignment horizontal="center" vertical="center" wrapText="1"/>
    </xf>
    <xf numFmtId="166" fontId="24" fillId="0" borderId="0" applyAlignment="1" pivotButton="0" quotePrefix="0" xfId="0">
      <alignment horizontal="center" vertical="center"/>
    </xf>
    <xf numFmtId="0" fontId="14" fillId="0" borderId="0" applyAlignment="1" pivotButton="0" quotePrefix="0" xfId="0">
      <alignment horizontal="left" vertical="center" wrapText="1"/>
    </xf>
    <xf numFmtId="1" fontId="14" fillId="0" borderId="0" applyAlignment="1" pivotButton="0" quotePrefix="0" xfId="0">
      <alignment horizontal="center" vertical="center"/>
    </xf>
    <xf numFmtId="0" fontId="20" fillId="2" borderId="1" applyAlignment="1" pivotButton="0" quotePrefix="0" xfId="0">
      <alignment horizontal="left" vertical="center" wrapText="1"/>
    </xf>
    <xf numFmtId="0" fontId="20" fillId="2" borderId="3" applyAlignment="1" pivotButton="0" quotePrefix="0" xfId="0">
      <alignment horizontal="center" vertical="center" wrapText="1"/>
    </xf>
    <xf numFmtId="1" fontId="20" fillId="2" borderId="3" applyAlignment="1" pivotButton="0" quotePrefix="0" xfId="0">
      <alignment horizontal="center" vertical="center" wrapText="1"/>
    </xf>
    <xf numFmtId="166" fontId="20" fillId="2" borderId="3" applyAlignment="1" pivotButton="0" quotePrefix="0" xfId="0">
      <alignment horizontal="center" vertical="center" wrapText="1"/>
    </xf>
    <xf numFmtId="0" fontId="25" fillId="0" borderId="3" applyAlignment="1" pivotButton="0" quotePrefix="0" xfId="0">
      <alignment horizontal="left" vertical="center" wrapText="1"/>
    </xf>
    <xf numFmtId="1" fontId="10" fillId="0" borderId="3" applyAlignment="1" pivotButton="0" quotePrefix="0" xfId="0">
      <alignment horizontal="center" vertical="center" wrapText="1"/>
    </xf>
    <xf numFmtId="166" fontId="10" fillId="0" borderId="3" applyAlignment="1" pivotButton="0" quotePrefix="0" xfId="0">
      <alignment horizontal="center" vertical="center" wrapText="1"/>
    </xf>
    <xf numFmtId="0" fontId="10" fillId="0" borderId="3" applyAlignment="1" pivotButton="0" quotePrefix="0" xfId="0">
      <alignment horizontal="left" vertical="center" wrapText="1"/>
    </xf>
    <xf numFmtId="0" fontId="25" fillId="7" borderId="3" applyAlignment="1" pivotButton="0" quotePrefix="0" xfId="0">
      <alignment horizontal="left" vertical="center" wrapText="1"/>
    </xf>
    <xf numFmtId="166" fontId="25" fillId="7" borderId="3" applyAlignment="1" pivotButton="0" quotePrefix="0" xfId="0">
      <alignment horizontal="center" vertical="center" wrapText="1"/>
    </xf>
    <xf numFmtId="0" fontId="9" fillId="10" borderId="3" applyAlignment="1" pivotButton="0" quotePrefix="0" xfId="0">
      <alignment horizontal="left" vertical="center" wrapText="1"/>
    </xf>
    <xf numFmtId="0" fontId="9" fillId="10" borderId="3" applyAlignment="1" pivotButton="0" quotePrefix="0" xfId="0">
      <alignment horizontal="center" vertical="center"/>
    </xf>
    <xf numFmtId="0" fontId="9" fillId="10" borderId="1" applyAlignment="1" pivotButton="0" quotePrefix="0" xfId="0">
      <alignment horizontal="center" vertical="center"/>
    </xf>
    <xf numFmtId="0" fontId="14" fillId="11" borderId="3" applyAlignment="1" pivotButton="0" quotePrefix="0" xfId="0">
      <alignment horizontal="left" vertical="center" wrapText="1"/>
    </xf>
    <xf numFmtId="0" fontId="14" fillId="11" borderId="3" applyAlignment="1" pivotButton="0" quotePrefix="0" xfId="0">
      <alignment horizontal="center" vertical="center"/>
    </xf>
    <xf numFmtId="166" fontId="14" fillId="11" borderId="1" applyAlignment="1" pivotButton="0" quotePrefix="0" xfId="0">
      <alignment horizontal="center" vertical="center"/>
    </xf>
    <xf numFmtId="0" fontId="23" fillId="0" borderId="0" applyAlignment="1" pivotButton="0" quotePrefix="0" xfId="0">
      <alignment horizontal="left" vertical="center" wrapText="1"/>
    </xf>
    <xf numFmtId="0" fontId="26" fillId="0" borderId="0" applyAlignment="1" pivotButton="0" quotePrefix="0" xfId="0">
      <alignment wrapText="1"/>
    </xf>
    <xf numFmtId="0" fontId="27" fillId="3" borderId="5" applyAlignment="1" pivotButton="0" quotePrefix="0" xfId="0">
      <alignment horizontal="left" vertical="center" wrapText="1"/>
    </xf>
    <xf numFmtId="0" fontId="6" fillId="0" borderId="6" pivotButton="0" quotePrefix="0" xfId="0"/>
    <xf numFmtId="0" fontId="6" fillId="0" borderId="7" pivotButton="0" quotePrefix="0" xfId="0"/>
    <xf numFmtId="0" fontId="6" fillId="0" borderId="8" pivotButton="0" quotePrefix="0" xfId="0"/>
    <xf numFmtId="0" fontId="6" fillId="0" borderId="9" pivotButton="0" quotePrefix="0" xfId="0"/>
    <xf numFmtId="0" fontId="6" fillId="0" borderId="10" pivotButton="0" quotePrefix="0" xfId="0"/>
    <xf numFmtId="0" fontId="1" fillId="0" borderId="0" applyAlignment="1" pivotButton="0" quotePrefix="0" xfId="0">
      <alignment horizontal="center" vertical="bottom" wrapText="1"/>
    </xf>
    <xf numFmtId="0" fontId="28" fillId="0" borderId="0" applyAlignment="1" pivotButton="0" quotePrefix="0" xfId="0">
      <alignment vertical="bottom"/>
    </xf>
    <xf numFmtId="0" fontId="1" fillId="0" borderId="0" applyAlignment="1" pivotButton="0" quotePrefix="0" xfId="0">
      <alignment vertical="bottom" wrapText="1"/>
    </xf>
    <xf numFmtId="0" fontId="29" fillId="0" borderId="0" applyAlignment="1" pivotButton="0" quotePrefix="0" xfId="0">
      <alignment horizontal="center" vertical="bottom" wrapText="1"/>
    </xf>
    <xf numFmtId="0" fontId="7" fillId="0" borderId="0" applyAlignment="1" pivotButton="0" quotePrefix="0" xfId="0">
      <alignment vertical="bottom"/>
    </xf>
    <xf numFmtId="9" fontId="29" fillId="0" borderId="0" applyAlignment="1" pivotButton="0" quotePrefix="0" xfId="0">
      <alignment horizontal="center" vertical="bottom"/>
    </xf>
    <xf numFmtId="9" fontId="7" fillId="0" borderId="0" applyAlignment="1" pivotButton="0" quotePrefix="0" xfId="0">
      <alignment vertical="bottom"/>
    </xf>
    <xf numFmtId="0" fontId="30" fillId="0" borderId="0" pivotButton="0" quotePrefix="0" xfId="0"/>
    <xf numFmtId="0" fontId="31" fillId="0" borderId="0" applyAlignment="1" pivotButton="0" quotePrefix="0" xfId="0">
      <alignment horizontal="left" vertical="center" wrapText="1"/>
    </xf>
    <xf numFmtId="0" fontId="1" fillId="12" borderId="3" applyAlignment="1" pivotButton="0" quotePrefix="0" xfId="0">
      <alignment vertical="bottom"/>
    </xf>
    <xf numFmtId="0" fontId="20" fillId="13" borderId="1" applyAlignment="1" pivotButton="0" quotePrefix="0" xfId="0">
      <alignment horizontal="center" vertical="center" wrapText="1"/>
    </xf>
    <xf numFmtId="0" fontId="20" fillId="6" borderId="1" applyAlignment="1" pivotButton="0" quotePrefix="0" xfId="0">
      <alignment horizontal="center" vertical="center" wrapText="1"/>
    </xf>
    <xf numFmtId="0" fontId="20" fillId="14" borderId="1" applyAlignment="1" pivotButton="0" quotePrefix="0" xfId="0">
      <alignment horizontal="center" vertical="center" wrapText="1"/>
    </xf>
    <xf numFmtId="0" fontId="20" fillId="10" borderId="1" applyAlignment="1" pivotButton="0" quotePrefix="0" xfId="0">
      <alignment horizontal="center" vertical="center" wrapText="1"/>
    </xf>
    <xf numFmtId="0" fontId="20" fillId="2" borderId="1" applyAlignment="1" pivotButton="0" quotePrefix="0" xfId="0">
      <alignment horizontal="center" vertical="center" wrapText="1"/>
    </xf>
    <xf numFmtId="0" fontId="32" fillId="15" borderId="1" applyAlignment="1" pivotButton="0" quotePrefix="0" xfId="0">
      <alignment horizontal="center" vertical="center" wrapText="1"/>
    </xf>
    <xf numFmtId="0" fontId="33" fillId="0" borderId="0" applyAlignment="1" pivotButton="0" quotePrefix="0" xfId="0">
      <alignment horizontal="center"/>
    </xf>
    <xf numFmtId="0" fontId="32" fillId="16" borderId="3" applyAlignment="1" pivotButton="0" quotePrefix="0" xfId="0">
      <alignment horizontal="center" vertical="center" wrapText="1"/>
    </xf>
    <xf numFmtId="0" fontId="32" fillId="6" borderId="3" applyAlignment="1" pivotButton="0" quotePrefix="0" xfId="0">
      <alignment horizontal="center" vertical="center" wrapText="1"/>
    </xf>
    <xf numFmtId="0" fontId="32" fillId="14" borderId="3" applyAlignment="1" pivotButton="0" quotePrefix="0" xfId="0">
      <alignment horizontal="center" vertical="center" wrapText="1"/>
    </xf>
    <xf numFmtId="0" fontId="32" fillId="10" borderId="3" applyAlignment="1" pivotButton="0" quotePrefix="0" xfId="0">
      <alignment horizontal="center" vertical="center" wrapText="1"/>
    </xf>
    <xf numFmtId="0" fontId="32" fillId="2" borderId="3" applyAlignment="1" pivotButton="0" quotePrefix="0" xfId="0">
      <alignment horizontal="center" vertical="center" wrapText="1"/>
    </xf>
    <xf numFmtId="0" fontId="32" fillId="15" borderId="3" applyAlignment="1" pivotButton="0" quotePrefix="0" xfId="0">
      <alignment horizontal="center" vertical="center" wrapText="1"/>
    </xf>
    <xf numFmtId="0" fontId="34" fillId="17" borderId="11" applyAlignment="1" pivotButton="0" quotePrefix="0" xfId="0">
      <alignment horizontal="center" wrapText="1"/>
    </xf>
    <xf numFmtId="0" fontId="35" fillId="0" borderId="3" applyAlignment="1" pivotButton="0" quotePrefix="0" xfId="0">
      <alignment horizontal="center" vertical="center" wrapText="1"/>
    </xf>
    <xf numFmtId="0" fontId="35" fillId="9" borderId="3" applyAlignment="1" pivotButton="0" quotePrefix="0" xfId="0">
      <alignment horizontal="center" vertical="center" wrapText="1"/>
    </xf>
    <xf numFmtId="0" fontId="35" fillId="9" borderId="3" applyAlignment="1" pivotButton="0" quotePrefix="0" xfId="0">
      <alignment horizontal="left" vertical="center" wrapText="1"/>
    </xf>
    <xf numFmtId="166" fontId="35" fillId="0" borderId="3" applyAlignment="1" pivotButton="0" quotePrefix="0" xfId="0">
      <alignment horizontal="center" vertical="center" wrapText="1"/>
    </xf>
    <xf numFmtId="0" fontId="9" fillId="2" borderId="0" applyAlignment="1" pivotButton="0" quotePrefix="0" xfId="0">
      <alignment horizontal="center" vertical="center" wrapText="1"/>
    </xf>
    <xf numFmtId="0" fontId="9" fillId="13" borderId="0" applyAlignment="1" pivotButton="0" quotePrefix="0" xfId="0">
      <alignment horizontal="center" vertical="center" wrapText="1"/>
    </xf>
    <xf numFmtId="0" fontId="36" fillId="0" borderId="0" applyAlignment="1" pivotButton="0" quotePrefix="0" xfId="0">
      <alignment vertical="bottom"/>
    </xf>
    <xf numFmtId="0" fontId="37" fillId="0" borderId="0" applyAlignment="1" pivotButton="0" quotePrefix="0" xfId="0">
      <alignment vertical="bottom"/>
    </xf>
    <xf numFmtId="0" fontId="14" fillId="9" borderId="3" applyAlignment="1" pivotButton="0" quotePrefix="0" xfId="0">
      <alignment horizontal="center" vertical="center"/>
    </xf>
    <xf numFmtId="0" fontId="14" fillId="9" borderId="3" applyAlignment="1" pivotButton="0" quotePrefix="0" xfId="0">
      <alignment horizontal="left" vertical="center" wrapText="1"/>
    </xf>
    <xf numFmtId="0" fontId="38" fillId="0" borderId="0" applyAlignment="1" pivotButton="0" quotePrefix="0" xfId="0">
      <alignment vertical="bottom"/>
    </xf>
    <xf numFmtId="0" fontId="39" fillId="0" borderId="3" applyAlignment="1" pivotButton="0" quotePrefix="0" xfId="0">
      <alignment horizontal="center" vertical="center"/>
    </xf>
    <xf numFmtId="0" fontId="39" fillId="0" borderId="0" applyAlignment="1" pivotButton="0" quotePrefix="0" xfId="0">
      <alignment horizontal="center" vertical="center"/>
    </xf>
    <xf numFmtId="0" fontId="40" fillId="0" borderId="0" pivotButton="0" quotePrefix="0" xfId="0"/>
    <xf numFmtId="0" fontId="41" fillId="0" borderId="0" applyAlignment="1" pivotButton="0" quotePrefix="0" xfId="0">
      <alignment horizontal="left" vertical="center"/>
    </xf>
    <xf numFmtId="0" fontId="19" fillId="0" borderId="0" applyAlignment="1" pivotButton="0" quotePrefix="0" xfId="0">
      <alignment horizontal="left" vertical="center"/>
    </xf>
    <xf numFmtId="0" fontId="25" fillId="11" borderId="3" applyAlignment="1" pivotButton="0" quotePrefix="0" xfId="0">
      <alignment horizontal="center" vertical="center" wrapText="1"/>
    </xf>
    <xf numFmtId="0" fontId="10" fillId="0" borderId="3" applyAlignment="1" pivotButton="0" quotePrefix="0" xfId="0">
      <alignment horizontal="center" vertical="center" wrapText="1"/>
    </xf>
    <xf numFmtId="0" fontId="25" fillId="7" borderId="3" applyAlignment="1" pivotButton="0" quotePrefix="0" xfId="0">
      <alignment horizontal="center" vertical="center" wrapText="1"/>
    </xf>
    <xf numFmtId="0" fontId="14" fillId="7" borderId="1" applyAlignment="1" pivotButton="0" quotePrefix="0" xfId="0">
      <alignment horizontal="center" vertical="center"/>
    </xf>
    <xf numFmtId="0" fontId="10" fillId="7" borderId="3" applyAlignment="1" pivotButton="0" quotePrefix="0" xfId="0">
      <alignment horizontal="center" vertical="center" wrapText="1"/>
    </xf>
    <xf numFmtId="0" fontId="26" fillId="0" borderId="0" applyAlignment="1" pivotButton="0" quotePrefix="0" xfId="0">
      <alignment horizontal="left" vertical="center"/>
    </xf>
    <xf numFmtId="0" fontId="42" fillId="0" borderId="0" applyAlignment="1" pivotButton="0" quotePrefix="0" xfId="0">
      <alignment vertical="bottom"/>
    </xf>
    <xf numFmtId="0" fontId="15" fillId="2" borderId="1" applyAlignment="1" pivotButton="0" quotePrefix="0" xfId="0">
      <alignment horizontal="center" vertical="center" wrapText="1"/>
    </xf>
    <xf numFmtId="0" fontId="24" fillId="3" borderId="3" applyAlignment="1" pivotButton="0" quotePrefix="0" xfId="0">
      <alignment horizontal="left" vertical="center" wrapText="1"/>
    </xf>
    <xf numFmtId="0" fontId="20" fillId="13" borderId="1" applyAlignment="1" pivotButton="0" quotePrefix="0" xfId="0">
      <alignment horizontal="left" vertical="center" wrapText="1"/>
    </xf>
    <xf numFmtId="1" fontId="43" fillId="5" borderId="1" applyAlignment="1" pivotButton="0" quotePrefix="0" xfId="0">
      <alignment horizontal="center" vertical="center"/>
    </xf>
    <xf numFmtId="0" fontId="20" fillId="18" borderId="1" applyAlignment="1" pivotButton="0" quotePrefix="0" xfId="0">
      <alignment horizontal="left" vertical="center" wrapText="1"/>
    </xf>
    <xf numFmtId="0" fontId="20" fillId="19" borderId="1" applyAlignment="1" pivotButton="0" quotePrefix="0" xfId="0">
      <alignment horizontal="left" vertical="center" wrapText="1"/>
    </xf>
    <xf numFmtId="166" fontId="43" fillId="5" borderId="1" applyAlignment="1" pivotButton="0" quotePrefix="0" xfId="0">
      <alignment horizontal="center" vertical="center"/>
    </xf>
    <xf numFmtId="0" fontId="20" fillId="6" borderId="1" applyAlignment="1" pivotButton="0" quotePrefix="0" xfId="0">
      <alignment horizontal="left" vertical="center" wrapText="1"/>
    </xf>
    <xf numFmtId="0" fontId="23" fillId="0" borderId="5" applyAlignment="1" pivotButton="0" quotePrefix="0" xfId="0">
      <alignment horizontal="left" vertical="top" wrapText="1"/>
    </xf>
    <xf numFmtId="0" fontId="20" fillId="10" borderId="1" applyAlignment="1" pivotButton="0" quotePrefix="0" xfId="0">
      <alignment horizontal="left" vertical="center" wrapText="1"/>
    </xf>
    <xf numFmtId="0" fontId="6" fillId="0" borderId="12" pivotButton="0" quotePrefix="0" xfId="0"/>
    <xf numFmtId="0" fontId="6" fillId="0" borderId="13" pivotButton="0" quotePrefix="0" xfId="0"/>
    <xf numFmtId="0" fontId="20" fillId="20" borderId="1" applyAlignment="1" pivotButton="0" quotePrefix="0" xfId="0">
      <alignment horizontal="left" vertical="center" wrapText="1"/>
    </xf>
    <xf numFmtId="0" fontId="20" fillId="15" borderId="1" applyAlignment="1" pivotButton="0" quotePrefix="0" xfId="0">
      <alignment horizontal="left" vertical="center" wrapText="1"/>
    </xf>
    <xf numFmtId="0" fontId="44" fillId="0" borderId="0" applyAlignment="1" pivotButton="0" quotePrefix="0" xfId="0">
      <alignment vertical="bottom" wrapText="1"/>
    </xf>
    <xf numFmtId="0" fontId="4" fillId="2" borderId="1" applyAlignment="1" pivotButton="0" quotePrefix="0" xfId="0">
      <alignment horizontal="center" vertical="center" wrapText="1"/>
    </xf>
    <xf numFmtId="0" fontId="43" fillId="0" borderId="0" applyAlignment="1" pivotButton="0" quotePrefix="0" xfId="0">
      <alignment vertical="bottom"/>
    </xf>
    <xf numFmtId="0" fontId="24" fillId="21" borderId="1" applyAlignment="1" pivotButton="0" quotePrefix="0" xfId="0">
      <alignment horizontal="center" vertical="center" wrapText="1"/>
    </xf>
    <xf numFmtId="0" fontId="24" fillId="7" borderId="3" applyAlignment="1" pivotButton="0" quotePrefix="0" xfId="0">
      <alignment horizontal="center" vertical="center" wrapText="1"/>
    </xf>
    <xf numFmtId="1" fontId="14" fillId="0" borderId="3" applyAlignment="1" pivotButton="0" quotePrefix="0" xfId="0">
      <alignment horizontal="center" vertical="center"/>
    </xf>
    <xf numFmtId="1" fontId="14" fillId="3" borderId="3" applyAlignment="1" pivotButton="0" quotePrefix="0" xfId="0">
      <alignment horizontal="center" vertical="center"/>
    </xf>
    <xf numFmtId="1" fontId="14" fillId="7" borderId="3" applyAlignment="1" pivotButton="0" quotePrefix="0" xfId="0">
      <alignment horizontal="center" vertical="center"/>
    </xf>
    <xf numFmtId="0" fontId="23" fillId="0" borderId="0" applyAlignment="1" pivotButton="0" quotePrefix="0" xfId="0">
      <alignment vertical="top" wrapText="1"/>
    </xf>
    <xf numFmtId="0" fontId="9" fillId="22" borderId="1" applyAlignment="1" pivotButton="0" quotePrefix="0" xfId="0">
      <alignment horizontal="left" vertical="center" wrapText="1"/>
    </xf>
    <xf numFmtId="1" fontId="10" fillId="3" borderId="3" applyAlignment="1" pivotButton="0" quotePrefix="0" xfId="0">
      <alignment horizontal="center" vertical="center" wrapText="1"/>
    </xf>
    <xf numFmtId="0" fontId="14" fillId="5" borderId="1" applyAlignment="1" pivotButton="0" quotePrefix="0" xfId="0">
      <alignment horizontal="left" vertical="center" wrapText="1"/>
    </xf>
    <xf numFmtId="0" fontId="9" fillId="23" borderId="1" applyAlignment="1" pivotButton="0" quotePrefix="0" xfId="0">
      <alignment horizontal="center" vertical="center" wrapText="1"/>
    </xf>
    <xf numFmtId="0" fontId="9" fillId="10" borderId="1" applyAlignment="1" pivotButton="0" quotePrefix="0" xfId="0">
      <alignment horizontal="center" vertical="center" wrapText="1"/>
    </xf>
    <xf numFmtId="0" fontId="9" fillId="14" borderId="14" applyAlignment="1" pivotButton="0" quotePrefix="0" xfId="0">
      <alignment horizontal="center" vertical="center" wrapText="1"/>
    </xf>
    <xf numFmtId="0" fontId="6" fillId="0" borderId="15" pivotButton="0" quotePrefix="0" xfId="0"/>
    <xf numFmtId="0" fontId="6" fillId="0" borderId="16" pivotButton="0" quotePrefix="0" xfId="0"/>
    <xf numFmtId="0" fontId="9" fillId="24" borderId="14" applyAlignment="1" pivotButton="0" quotePrefix="0" xfId="0">
      <alignment horizontal="center" vertical="center" wrapText="1"/>
    </xf>
    <xf numFmtId="0" fontId="9" fillId="19" borderId="14" applyAlignment="1" pivotButton="0" quotePrefix="0" xfId="0">
      <alignment horizontal="center" vertical="center" wrapText="1"/>
    </xf>
    <xf numFmtId="0" fontId="25" fillId="25" borderId="3" applyAlignment="1" pivotButton="0" quotePrefix="0" xfId="0">
      <alignment horizontal="center" vertical="center" wrapText="1"/>
    </xf>
    <xf numFmtId="0" fontId="25" fillId="26" borderId="11" applyAlignment="1" pivotButton="0" quotePrefix="0" xfId="0">
      <alignment horizontal="center" vertical="center" wrapText="1"/>
    </xf>
    <xf numFmtId="0" fontId="25" fillId="27" borderId="11" applyAlignment="1" pivotButton="0" quotePrefix="0" xfId="0">
      <alignment horizontal="center" vertical="center" wrapText="1"/>
    </xf>
    <xf numFmtId="0" fontId="10" fillId="9" borderId="3" applyAlignment="1" pivotButton="0" quotePrefix="0" xfId="0">
      <alignment horizontal="center" vertical="center"/>
    </xf>
    <xf numFmtId="0" fontId="10" fillId="9" borderId="3" applyAlignment="1" pivotButton="0" quotePrefix="0" xfId="0">
      <alignment horizontal="left" vertical="top" wrapText="1"/>
    </xf>
    <xf numFmtId="0" fontId="10" fillId="9" borderId="11" applyAlignment="1" pivotButton="0" quotePrefix="0" xfId="0">
      <alignment horizontal="center" vertical="center"/>
    </xf>
    <xf numFmtId="0" fontId="25" fillId="12" borderId="11" applyAlignment="1" pivotButton="0" quotePrefix="0" xfId="0">
      <alignment horizontal="center" vertical="center"/>
    </xf>
    <xf numFmtId="0" fontId="10" fillId="9" borderId="11" applyAlignment="1" pivotButton="0" quotePrefix="0" xfId="0">
      <alignment horizontal="left" vertical="top" wrapText="1"/>
    </xf>
    <xf numFmtId="0" fontId="10" fillId="0" borderId="3" applyAlignment="1" pivotButton="0" quotePrefix="0" xfId="0">
      <alignment horizontal="center" vertical="center"/>
    </xf>
    <xf numFmtId="0" fontId="10" fillId="0" borderId="0" applyAlignment="1" pivotButton="0" quotePrefix="0" xfId="0">
      <alignment horizontal="center" vertical="center"/>
    </xf>
    <xf numFmtId="0" fontId="34" fillId="7" borderId="3" applyAlignment="1" pivotButton="0" quotePrefix="0" xfId="0">
      <alignment horizontal="center" vertical="center" wrapText="1"/>
    </xf>
    <xf numFmtId="0" fontId="34" fillId="7" borderId="3" applyAlignment="1" pivotButton="0" quotePrefix="0" xfId="0">
      <alignment horizontal="left" vertical="center" wrapText="1"/>
    </xf>
    <xf numFmtId="166" fontId="34" fillId="7" borderId="3" applyAlignment="1" pivotButton="0" quotePrefix="0" xfId="0">
      <alignment horizontal="center" vertical="center" wrapText="1"/>
    </xf>
    <xf numFmtId="0" fontId="25" fillId="7" borderId="3" applyAlignment="1" pivotButton="0" quotePrefix="0" xfId="0">
      <alignment horizontal="center" vertical="center"/>
    </xf>
    <xf numFmtId="0" fontId="33" fillId="0" borderId="0" applyAlignment="1" pivotButton="0" quotePrefix="0" xfId="0">
      <alignment horizontal="center" vertical="center"/>
    </xf>
    <xf numFmtId="0" fontId="33" fillId="0" borderId="0" pivotButton="0" quotePrefix="0" xfId="0"/>
    <xf numFmtId="0" fontId="45" fillId="0" borderId="0" applyAlignment="1" pivotButton="0" quotePrefix="0" xfId="0">
      <alignment horizontal="left" vertical="center" wrapText="1"/>
    </xf>
    <xf numFmtId="0" fontId="46" fillId="0" borderId="0" applyAlignment="1" pivotButton="0" quotePrefix="0" xfId="0">
      <alignment horizontal="left" vertical="center" wrapText="1"/>
    </xf>
    <xf numFmtId="0" fontId="26" fillId="0" borderId="17" applyAlignment="1" pivotButton="0" quotePrefix="0" xfId="0">
      <alignment horizontal="left" vertical="top" wrapText="1"/>
    </xf>
    <xf numFmtId="0" fontId="6" fillId="0" borderId="18" pivotButton="0" quotePrefix="0" xfId="0"/>
    <xf numFmtId="0" fontId="6" fillId="0" borderId="19" pivotButton="0" quotePrefix="0" xfId="0"/>
    <xf numFmtId="0" fontId="14" fillId="0" borderId="3" applyAlignment="1" pivotButton="0" quotePrefix="0" xfId="0">
      <alignment horizontal="center" vertical="center"/>
    </xf>
    <xf numFmtId="0" fontId="14" fillId="0" borderId="3" applyAlignment="1" pivotButton="0" quotePrefix="0" xfId="0">
      <alignment horizontal="left" vertical="center" wrapText="1"/>
    </xf>
    <xf numFmtId="166" fontId="14" fillId="0" borderId="3" applyAlignment="1" pivotButton="0" quotePrefix="0" xfId="0">
      <alignment horizontal="center" vertical="center"/>
    </xf>
    <xf numFmtId="0" fontId="14" fillId="7" borderId="3" applyAlignment="1" pivotButton="0" quotePrefix="0" xfId="0">
      <alignment vertical="bottom"/>
    </xf>
    <xf numFmtId="166" fontId="14" fillId="7" borderId="3" applyAlignment="1" pivotButton="0" quotePrefix="0" xfId="0">
      <alignment horizontal="center" vertical="center"/>
    </xf>
    <xf numFmtId="0" fontId="47" fillId="0" borderId="0" applyAlignment="1" pivotButton="0" quotePrefix="0" xfId="0">
      <alignment horizontal="left" vertical="top" wrapText="1"/>
    </xf>
    <xf numFmtId="0" fontId="47" fillId="0" borderId="0" applyAlignment="1" pivotButton="0" quotePrefix="0" xfId="0">
      <alignment horizontal="left" vertical="center" wrapText="1"/>
    </xf>
    <xf numFmtId="0" fontId="48" fillId="0" borderId="0" pivotButton="0" quotePrefix="0" xfId="0"/>
    <xf numFmtId="0" fontId="1" fillId="0" borderId="0" applyAlignment="1" pivotButton="0" quotePrefix="0" xfId="0">
      <alignment vertical="bottom"/>
    </xf>
    <xf numFmtId="0" fontId="24" fillId="7" borderId="1" applyAlignment="1" pivotButton="0" quotePrefix="0" xfId="0">
      <alignment horizontal="center" vertical="center" wrapText="1"/>
    </xf>
    <xf numFmtId="0" fontId="24" fillId="3" borderId="3" applyAlignment="1" pivotButton="0" quotePrefix="0" xfId="0">
      <alignment horizontal="center" vertical="center"/>
    </xf>
    <xf numFmtId="0" fontId="20" fillId="15" borderId="3" applyAlignment="1" pivotButton="0" quotePrefix="0" xfId="0">
      <alignment horizontal="left" vertical="center" wrapText="1"/>
    </xf>
    <xf numFmtId="0" fontId="20" fillId="15" borderId="3" applyAlignment="1" pivotButton="0" quotePrefix="0" xfId="0">
      <alignment horizontal="center" vertical="center" wrapText="1"/>
    </xf>
    <xf numFmtId="0" fontId="10" fillId="11" borderId="3" applyAlignment="1" pivotButton="0" quotePrefix="0" xfId="0">
      <alignment horizontal="left" vertical="center" wrapText="1"/>
    </xf>
    <xf numFmtId="166" fontId="49" fillId="9" borderId="3" applyAlignment="1" pivotButton="0" quotePrefix="0" xfId="0">
      <alignment horizontal="center" vertical="center" wrapText="1"/>
    </xf>
    <xf numFmtId="166" fontId="10" fillId="9" borderId="3" applyAlignment="1" pivotButton="0" quotePrefix="0" xfId="0">
      <alignment horizontal="center" vertical="center" wrapText="1"/>
    </xf>
    <xf numFmtId="1" fontId="10" fillId="9" borderId="3" applyAlignment="1" pivotButton="0" quotePrefix="0" xfId="0">
      <alignment horizontal="center" vertical="center" wrapText="1"/>
    </xf>
    <xf numFmtId="0" fontId="24" fillId="0" borderId="0" applyAlignment="1" pivotButton="0" quotePrefix="0" xfId="0">
      <alignment horizontal="left" vertical="center" wrapText="1"/>
    </xf>
    <xf numFmtId="1" fontId="50" fillId="0" borderId="0" applyAlignment="1" pivotButton="0" quotePrefix="0" xfId="0">
      <alignment horizontal="center" vertical="center"/>
    </xf>
    <xf numFmtId="0" fontId="23" fillId="0" borderId="0" applyAlignment="1" pivotButton="0" quotePrefix="0" xfId="0">
      <alignment vertical="bottom" wrapText="1"/>
    </xf>
    <xf numFmtId="0" fontId="43" fillId="0" borderId="0" applyAlignment="1" pivotButton="0" quotePrefix="0" xfId="0">
      <alignment horizontal="left" vertical="center" wrapText="1"/>
    </xf>
    <xf numFmtId="0" fontId="33" fillId="28" borderId="14" applyAlignment="1" pivotButton="0" quotePrefix="0" xfId="0">
      <alignment horizontal="center" vertical="center" wrapText="1"/>
    </xf>
    <xf numFmtId="0" fontId="33" fillId="7" borderId="11" applyAlignment="1" pivotButton="0" quotePrefix="0" xfId="0">
      <alignment horizontal="center" vertical="center" wrapText="1"/>
    </xf>
    <xf numFmtId="1" fontId="33" fillId="7" borderId="11" applyAlignment="1" pivotButton="0" quotePrefix="0" xfId="0">
      <alignment horizontal="center" vertical="center" wrapText="1"/>
    </xf>
    <xf numFmtId="166" fontId="33" fillId="7" borderId="11" applyAlignment="1" pivotButton="0" quotePrefix="0" xfId="0">
      <alignment horizontal="center" vertical="center" wrapText="1"/>
    </xf>
    <xf numFmtId="0" fontId="33" fillId="11" borderId="11" applyAlignment="1" pivotButton="0" quotePrefix="0" xfId="0">
      <alignment horizontal="left" vertical="center" wrapText="1"/>
    </xf>
    <xf numFmtId="1" fontId="51" fillId="9" borderId="11" applyAlignment="1" pivotButton="0" quotePrefix="0" xfId="0">
      <alignment horizontal="left" vertical="center" wrapText="1"/>
    </xf>
    <xf numFmtId="1" fontId="51" fillId="0" borderId="11" applyAlignment="1" pivotButton="0" quotePrefix="0" xfId="0">
      <alignment horizontal="center" vertical="center" wrapText="1"/>
    </xf>
    <xf numFmtId="166" fontId="51" fillId="0" borderId="11" applyAlignment="1" pivotButton="0" quotePrefix="0" xfId="0">
      <alignment horizontal="center" vertical="center" wrapText="1"/>
    </xf>
    <xf numFmtId="0" fontId="33" fillId="27" borderId="11" applyAlignment="1" pivotButton="0" quotePrefix="0" xfId="0">
      <alignment horizontal="left" vertical="center" wrapText="1"/>
    </xf>
    <xf numFmtId="1" fontId="51" fillId="27" borderId="11" applyAlignment="1" pivotButton="0" quotePrefix="0" xfId="0">
      <alignment horizontal="center" vertical="center" wrapText="1"/>
    </xf>
    <xf numFmtId="166" fontId="51" fillId="27" borderId="11" applyAlignment="1" pivotButton="0" quotePrefix="0" xfId="0">
      <alignment horizontal="center" vertical="center" wrapText="1"/>
    </xf>
    <xf numFmtId="0" fontId="12" fillId="0" borderId="0" applyAlignment="1" pivotButton="0" quotePrefix="0" xfId="0">
      <alignment horizontal="left" vertical="center" wrapText="1"/>
    </xf>
    <xf numFmtId="1" fontId="12" fillId="0" borderId="0" applyAlignment="1" pivotButton="0" quotePrefix="0" xfId="0">
      <alignment horizontal="center" vertical="center" wrapText="1"/>
    </xf>
    <xf numFmtId="166" fontId="12" fillId="0" borderId="0" applyAlignment="1" pivotButton="0" quotePrefix="0" xfId="0">
      <alignment horizontal="center" vertical="center" wrapText="1"/>
    </xf>
    <xf numFmtId="0" fontId="33" fillId="11" borderId="11" applyAlignment="1" pivotButton="0" quotePrefix="0" xfId="0">
      <alignment horizontal="center" vertical="center" wrapText="1"/>
    </xf>
    <xf numFmtId="0" fontId="51" fillId="0" borderId="11" applyAlignment="1" pivotButton="0" quotePrefix="0" xfId="0">
      <alignment horizontal="center" vertical="center" wrapText="1"/>
    </xf>
    <xf numFmtId="1" fontId="33" fillId="11" borderId="11" applyAlignment="1" pivotButton="0" quotePrefix="0" xfId="0">
      <alignment horizontal="center" vertical="center" wrapText="1"/>
    </xf>
    <xf numFmtId="1" fontId="33" fillId="27" borderId="11" applyAlignment="1" pivotButton="0" quotePrefix="0" xfId="0">
      <alignment horizontal="center" vertical="center" wrapText="1"/>
    </xf>
    <xf numFmtId="0" fontId="33" fillId="27" borderId="11" applyAlignment="1" pivotButton="0" quotePrefix="0" xfId="0">
      <alignment horizontal="center" vertical="center" wrapText="1"/>
    </xf>
    <xf numFmtId="1" fontId="23" fillId="0" borderId="0" applyAlignment="1" pivotButton="0" quotePrefix="0" xfId="0">
      <alignment horizontal="left" vertical="center" wrapText="1"/>
    </xf>
    <xf numFmtId="0" fontId="12" fillId="0" borderId="0" applyAlignment="1" pivotButton="0" quotePrefix="0" xfId="0">
      <alignment horizontal="center" vertical="center" wrapText="1"/>
    </xf>
    <xf numFmtId="0" fontId="12" fillId="0" borderId="0" applyAlignment="1" pivotButton="0" quotePrefix="0" xfId="0">
      <alignment vertical="bottom" wrapText="1"/>
    </xf>
    <xf numFmtId="0" fontId="0" fillId="0" borderId="0" pivotButton="0" quotePrefix="0" xfId="0"/>
    <xf numFmtId="0" fontId="15" fillId="6" borderId="3" applyAlignment="1" pivotButton="0" quotePrefix="0" xfId="0">
      <alignment horizontal="center" vertical="center"/>
    </xf>
    <xf numFmtId="0" fontId="0" fillId="0" borderId="2" pivotButton="0" quotePrefix="0" xfId="0"/>
    <xf numFmtId="0" fontId="16" fillId="5" borderId="3" applyAlignment="1" pivotButton="0" quotePrefix="0" xfId="0">
      <alignment horizontal="center" vertical="center"/>
    </xf>
    <xf numFmtId="0" fontId="0" fillId="0" borderId="4" pivotButton="0" quotePrefix="0" xfId="0"/>
    <xf numFmtId="0" fontId="4" fillId="2" borderId="3" applyAlignment="1" pivotButton="0" quotePrefix="0" xfId="0">
      <alignment horizontal="left" vertical="center" wrapText="1"/>
    </xf>
    <xf numFmtId="0" fontId="21" fillId="8" borderId="3" applyAlignment="1" pivotButton="0" quotePrefix="0" xfId="0">
      <alignment horizontal="left" vertical="center" wrapText="1"/>
    </xf>
    <xf numFmtId="0" fontId="15" fillId="2" borderId="3" applyAlignment="1" pivotButton="0" quotePrefix="0" xfId="0">
      <alignment horizontal="left" vertical="center" wrapText="1"/>
    </xf>
    <xf numFmtId="164" fontId="14" fillId="9" borderId="3" applyAlignment="1" pivotButton="0" quotePrefix="0" xfId="0">
      <alignment horizontal="left" vertical="center" wrapText="1"/>
    </xf>
    <xf numFmtId="0" fontId="20" fillId="2" borderId="3" applyAlignment="1" pivotButton="0" quotePrefix="0" xfId="0">
      <alignment horizontal="left" vertical="center" wrapText="1"/>
    </xf>
    <xf numFmtId="166" fontId="14" fillId="11" borderId="3" applyAlignment="1" pivotButton="0" quotePrefix="0" xfId="0">
      <alignment horizontal="center" vertical="center"/>
    </xf>
    <xf numFmtId="0" fontId="27" fillId="3" borderId="3" applyAlignment="1" pivotButton="0" quotePrefix="0" xfId="0">
      <alignment horizontal="left" vertical="center" wrapText="1"/>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15" fillId="2" borderId="3" applyAlignment="1" pivotButton="0" quotePrefix="0" xfId="0">
      <alignment horizontal="center" vertical="center" wrapText="1"/>
    </xf>
    <xf numFmtId="0" fontId="20" fillId="13" borderId="3" applyAlignment="1" pivotButton="0" quotePrefix="0" xfId="0">
      <alignment horizontal="left" vertical="center" wrapText="1"/>
    </xf>
    <xf numFmtId="1" fontId="43" fillId="5" borderId="3" applyAlignment="1" pivotButton="0" quotePrefix="0" xfId="0">
      <alignment horizontal="center" vertical="center"/>
    </xf>
    <xf numFmtId="0" fontId="20" fillId="18" borderId="3" applyAlignment="1" pivotButton="0" quotePrefix="0" xfId="0">
      <alignment horizontal="left" vertical="center" wrapText="1"/>
    </xf>
    <xf numFmtId="0" fontId="20" fillId="19" borderId="3" applyAlignment="1" pivotButton="0" quotePrefix="0" xfId="0">
      <alignment horizontal="left" vertical="center" wrapText="1"/>
    </xf>
    <xf numFmtId="166" fontId="43" fillId="5" borderId="3" applyAlignment="1" pivotButton="0" quotePrefix="0" xfId="0">
      <alignment horizontal="center" vertical="center"/>
    </xf>
    <xf numFmtId="0" fontId="20" fillId="6" borderId="3" applyAlignment="1" pivotButton="0" quotePrefix="0" xfId="0">
      <alignment horizontal="left" vertical="center" wrapText="1"/>
    </xf>
    <xf numFmtId="0" fontId="23" fillId="0" borderId="3" applyAlignment="1" pivotButton="0" quotePrefix="0" xfId="0">
      <alignment horizontal="left" vertical="top" wrapText="1"/>
    </xf>
    <xf numFmtId="0" fontId="20" fillId="10" borderId="3" applyAlignment="1" pivotButton="0" quotePrefix="0" xfId="0">
      <alignment horizontal="left" vertical="center" wrapText="1"/>
    </xf>
    <xf numFmtId="0" fontId="0" fillId="0" borderId="12" pivotButton="0" quotePrefix="0" xfId="0"/>
    <xf numFmtId="0" fontId="0" fillId="0" borderId="13" pivotButton="0" quotePrefix="0" xfId="0"/>
    <xf numFmtId="0" fontId="20" fillId="20" borderId="3" applyAlignment="1" pivotButton="0" quotePrefix="0" xfId="0">
      <alignment horizontal="left" vertical="center" wrapText="1"/>
    </xf>
    <xf numFmtId="0" fontId="4" fillId="2" borderId="3" applyAlignment="1" pivotButton="0" quotePrefix="0" xfId="0">
      <alignment horizontal="center" vertical="center" wrapText="1"/>
    </xf>
    <xf numFmtId="0" fontId="24" fillId="21" borderId="3" applyAlignment="1" pivotButton="0" quotePrefix="0" xfId="0">
      <alignment horizontal="center" vertical="center" wrapText="1"/>
    </xf>
    <xf numFmtId="0" fontId="26" fillId="0" borderId="22" applyAlignment="1" pivotButton="0" quotePrefix="0" xfId="0">
      <alignment horizontal="left" vertical="top" wrapText="1"/>
    </xf>
    <xf numFmtId="0" fontId="0" fillId="0" borderId="18" pivotButton="0" quotePrefix="0" xfId="0"/>
    <xf numFmtId="0" fontId="0" fillId="0" borderId="19" pivotButton="0" quotePrefix="0" xfId="0"/>
    <xf numFmtId="0" fontId="9" fillId="10" borderId="3" applyAlignment="1" pivotButton="0" quotePrefix="0" xfId="0">
      <alignment horizontal="center" vertical="center" wrapText="1"/>
    </xf>
    <xf numFmtId="0" fontId="33" fillId="28" borderId="11" applyAlignment="1" pivotButton="0" quotePrefix="0" xfId="0">
      <alignment horizontal="center" vertical="center" wrapText="1"/>
    </xf>
    <xf numFmtId="0" fontId="0" fillId="0" borderId="15" pivotButton="0" quotePrefix="0" xfId="0"/>
    <xf numFmtId="0" fontId="0" fillId="0" borderId="16" pivotButton="0" quotePrefix="0" xfId="0"/>
    <xf numFmtId="0" fontId="14" fillId="7" borderId="3" applyAlignment="1" pivotButton="0" quotePrefix="0" xfId="0">
      <alignment horizontal="center" vertical="center"/>
    </xf>
    <xf numFmtId="0" fontId="9" fillId="22" borderId="3" applyAlignment="1" pivotButton="0" quotePrefix="0" xfId="0">
      <alignment horizontal="left" vertical="center" wrapText="1"/>
    </xf>
    <xf numFmtId="0" fontId="14" fillId="5" borderId="3" applyAlignment="1" pivotButton="0" quotePrefix="0" xfId="0">
      <alignment horizontal="left" vertical="center" wrapText="1"/>
    </xf>
    <xf numFmtId="0" fontId="9" fillId="23" borderId="3" applyAlignment="1" pivotButton="0" quotePrefix="0" xfId="0">
      <alignment horizontal="center" vertical="center" wrapText="1"/>
    </xf>
    <xf numFmtId="0" fontId="9" fillId="14" borderId="11" applyAlignment="1" pivotButton="0" quotePrefix="0" xfId="0">
      <alignment horizontal="center" vertical="center" wrapText="1"/>
    </xf>
    <xf numFmtId="0" fontId="9" fillId="24" borderId="11" applyAlignment="1" pivotButton="0" quotePrefix="0" xfId="0">
      <alignment horizontal="center" vertical="center" wrapText="1"/>
    </xf>
    <xf numFmtId="0" fontId="9" fillId="19" borderId="11" applyAlignment="1" pivotButton="0" quotePrefix="0" xfId="0">
      <alignment horizontal="center" vertical="center" wrapText="1"/>
    </xf>
    <xf numFmtId="0" fontId="10" fillId="0" borderId="3" applyAlignment="1" pivotButton="0" quotePrefix="0" xfId="0">
      <alignment vertical="top" wrapText="1"/>
    </xf>
    <xf numFmtId="0" fontId="9" fillId="29" borderId="11" applyAlignment="1" pivotButton="0" quotePrefix="0" xfId="0">
      <alignment horizontal="center" vertical="center" wrapText="1"/>
    </xf>
    <xf numFmtId="0" fontId="25" fillId="30" borderId="11" applyAlignment="1" pivotButton="0" quotePrefix="0" xfId="0">
      <alignment horizontal="center" vertical="center" wrapText="1"/>
    </xf>
    <xf numFmtId="0" fontId="10" fillId="0" borderId="11" applyAlignment="1" pivotButton="0" quotePrefix="0" xfId="0">
      <alignment horizontal="center" vertical="center"/>
    </xf>
    <xf numFmtId="0" fontId="10" fillId="0" borderId="11" applyAlignment="1" pivotButton="0" quotePrefix="0" xfId="0">
      <alignment horizontal="left" vertical="top" wrapText="1"/>
    </xf>
  </cellXfs>
  <cellStyles count="1">
    <cellStyle name="Normal" xfId="0" builtinId="0"/>
  </cellStyles>
  <dxfs count="9">
    <dxf>
      <font>
        <color rgb="FF006100"/>
      </font>
      <fill>
        <patternFill patternType="solid">
          <fgColor rgb="FFC6EFCE"/>
          <bgColor rgb="FFC6EFCE"/>
        </patternFill>
      </fill>
      <border/>
    </dxf>
    <dxf>
      <font>
        <color rgb="FF9C0006"/>
      </font>
      <fill>
        <patternFill patternType="solid">
          <fgColor rgb="FFFFC7CE"/>
          <bgColor rgb="FFFFC7CE"/>
        </patternFill>
      </fill>
      <border/>
    </dxf>
    <dxf>
      <font>
        <color rgb="FF3F3F3F"/>
      </font>
      <fill>
        <patternFill patternType="solid">
          <fgColor rgb="FFD9D9D9"/>
          <bgColor rgb="FFD9D9D9"/>
        </patternFill>
      </fill>
      <border/>
    </dxf>
    <dxf>
      <font>
        <color rgb="FF9C6500"/>
      </font>
      <fill>
        <patternFill patternType="solid">
          <fgColor rgb="FFFFEB9C"/>
          <bgColor rgb="FFFFEB9C"/>
        </patternFill>
      </fill>
      <border/>
    </dxf>
    <dxf>
      <font/>
      <fill>
        <patternFill patternType="solid">
          <fgColor rgb="FFF4CCCC"/>
          <bgColor rgb="FFF4CCCC"/>
        </patternFill>
      </fill>
      <border/>
    </dxf>
    <dxf>
      <font>
        <color rgb="FF006100"/>
      </font>
      <fill>
        <patternFill patternType="solid">
          <fgColor rgb="FFC6EFCE"/>
          <bgColor rgb="FFC6EFCE"/>
        </patternFill>
      </fill>
    </dxf>
    <dxf>
      <font>
        <color rgb="FF9C0006"/>
      </font>
      <fill>
        <patternFill patternType="solid">
          <fgColor rgb="FFFFC7CE"/>
          <bgColor rgb="FFFFC7CE"/>
        </patternFill>
      </fill>
    </dxf>
    <dxf>
      <font>
        <color rgb="FF3F3F3F"/>
      </font>
      <fill>
        <patternFill patternType="solid">
          <fgColor rgb="FFD9D9D9"/>
          <bgColor rgb="FFD9D9D9"/>
        </patternFill>
      </fill>
    </dxf>
    <dxf>
      <font>
        <color rgb="FF9C6500"/>
      </font>
      <fill>
        <patternFill patternType="solid">
          <fgColor rgb="FFFFEB9C"/>
          <bgColor rgb="FFFFEB9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Tiến độ thực thi theo ưu tiên (Tổng vs Đã chạy)</a:t>
            </a:r>
          </a:p>
        </rich>
      </tx>
      <overlay val="0"/>
    </title>
    <plotArea>
      <layout>
        <manualLayout>
          <xMode val="edge"/>
          <yMode val="edge"/>
          <wMode val="factor"/>
          <hMode val="factor"/>
          <x val="0.06792144026186579"/>
          <y val="0.1569877242681775"/>
          <w val="0.7765904454218949"/>
          <h val="0.7426407055044086"/>
        </manualLayout>
      </layout>
      <barChart>
        <barDir val="col"/>
        <grouping val="clustered"/>
        <ser>
          <idx val="0"/>
          <order val="0"/>
          <tx>
            <strRef>
              <f>Summary!$C$18</f>
            </strRef>
          </tx>
          <spPr>
            <a:solidFill xmlns:a="http://schemas.openxmlformats.org/drawingml/2006/main">
              <a:srgbClr val="A9D08E"/>
            </a:solidFill>
            <a:ln xmlns:a="http://schemas.openxmlformats.org/drawingml/2006/main" cmpd="sng">
              <a:noFill/>
              <a:prstDash val="solid"/>
            </a:ln>
          </spPr>
          <cat>
            <strRef>
              <f>Summary!$B$19:$B$21</f>
            </strRef>
          </cat>
          <val>
            <numRef>
              <f>Summary!$C$19:$C$21</f>
              <numCache/>
            </numRef>
          </val>
        </ser>
        <ser>
          <idx val="1"/>
          <order val="1"/>
          <tx>
            <strRef>
              <f>Summary!$E$18</f>
            </strRef>
          </tx>
          <spPr>
            <a:solidFill xmlns:a="http://schemas.openxmlformats.org/drawingml/2006/main">
              <a:srgbClr val="3D85C6"/>
            </a:solidFill>
            <a:ln xmlns:a="http://schemas.openxmlformats.org/drawingml/2006/main" cmpd="sng">
              <a:noFill/>
              <a:prstDash val="solid"/>
            </a:ln>
          </spPr>
          <cat>
            <strRef>
              <f>Summary!$B$19:$B$21</f>
            </strRef>
          </cat>
          <val>
            <numRef>
              <f>Summary!$E$19:$E$21</f>
              <numCache/>
            </numRef>
          </val>
        </ser>
        <gapWidth val="150"/>
        <axId val="564075037"/>
        <axId val="538939935"/>
      </barChart>
      <catAx>
        <axId val="564075037"/>
        <scaling>
          <orientation val="minMax"/>
        </scaling>
        <delete val="0"/>
        <axPos val="b"/>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t>None</a:t>
            </a:r>
          </a:p>
        </txPr>
        <crossAx val="538939935"/>
        <lblOffset val="100"/>
      </catAx>
      <valAx>
        <axId val="538939935"/>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General" sourceLinked="1"/>
        <majorTickMark val="cross"/>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t>None</a:t>
            </a:r>
          </a:p>
        </txPr>
        <crossAx val="564075037"/>
      </valAx>
    </plotArea>
    <legend>
      <legendPos val="r"/>
      <overlay val="0"/>
      <txPr>
        <a:bodyPr xmlns:a="http://schemas.openxmlformats.org/drawingml/2006/main"/>
        <a:lstStyle xmlns:a="http://schemas.openxmlformats.org/drawingml/2006/main"/>
        <a:p xmlns:a="http://schemas.openxmlformats.org/drawingml/2006/main">
          <a:pPr lvl="0">
            <a:defRPr b="0" i="0">
              <a:solidFill>
                <a:srgbClr val="1A1A1A"/>
              </a:solidFill>
              <a:latin typeface="+mn-lt"/>
            </a:defRPr>
          </a:pPr>
          <a:r>
            <a:t>None</a:t>
          </a:r>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Số Test Case theo nhóm (Group)</a:t>
            </a:r>
          </a:p>
        </rich>
      </tx>
      <overlay val="0"/>
    </title>
    <plotArea>
      <layout/>
      <barChart>
        <barDir val="col"/>
        <grouping val="clustered"/>
        <ser>
          <idx val="0"/>
          <order val="0"/>
          <tx>
            <strRef>
              <f>Summary!$J$18</f>
            </strRef>
          </tx>
          <spPr>
            <a:solidFill xmlns:a="http://schemas.openxmlformats.org/drawingml/2006/main">
              <a:srgbClr val="548235"/>
            </a:solidFill>
            <a:ln xmlns:a="http://schemas.openxmlformats.org/drawingml/2006/main" cmpd="sng">
              <a:noFill/>
              <a:prstDash val="solid"/>
            </a:ln>
          </spPr>
          <cat>
            <strRef>
              <f>Summary!$I$19:$I$22</f>
            </strRef>
          </cat>
          <val>
            <numRef>
              <f>Summary!$J$19:$J$22</f>
              <numCache/>
            </numRef>
          </val>
        </ser>
        <gapWidth val="150"/>
        <axId val="1442944130"/>
        <axId val="1064816992"/>
      </barChart>
      <catAx>
        <axId val="1442944130"/>
        <scaling>
          <orientation val="minMax"/>
        </scaling>
        <delete val="0"/>
        <axPos val="b"/>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t>None</a:t>
            </a:r>
          </a:p>
        </txPr>
        <crossAx val="1064816992"/>
        <lblOffset val="100"/>
      </catAx>
      <valAx>
        <axId val="1064816992"/>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t>None</a:t>
            </a:r>
          </a:p>
        </txPr>
        <crossAx val="1442944130"/>
      </valAx>
    </plotArea>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Mức độ áp dụng SDLC (% trên tổng TC)</a:t>
            </a:r>
          </a:p>
        </rich>
      </tx>
      <overlay val="0"/>
    </title>
    <plotArea>
      <layout/>
      <barChart>
        <barDir val="bar"/>
        <grouping val="clustered"/>
        <ser>
          <idx val="0"/>
          <order val="0"/>
          <spPr>
            <a:solidFill xmlns:a="http://schemas.openxmlformats.org/drawingml/2006/main">
              <a:srgbClr val="548235"/>
            </a:solidFill>
            <a:ln xmlns:a="http://schemas.openxmlformats.org/drawingml/2006/main" cmpd="sng">
              <a:noFill/>
              <a:prstDash val="solid"/>
            </a:ln>
          </spPr>
          <cat>
            <strRef>
              <f>Summary!$B$44:$B$49</f>
            </strRef>
          </cat>
          <val>
            <numRef>
              <f>Summary!$D$44:$D$49</f>
              <numCache/>
            </numRef>
          </val>
        </ser>
        <gapWidth val="150"/>
        <axId val="43961153"/>
        <axId val="114607926"/>
      </barChart>
      <catAx>
        <axId val="43961153"/>
        <scaling>
          <orientation val="maxMin"/>
          <max val="1"/>
        </scaling>
        <delete val="0"/>
        <axPos val="l"/>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0%"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t>None</a:t>
            </a:r>
          </a:p>
        </txPr>
        <crossAx val="114607926"/>
        <lblOffset val="100"/>
      </catAx>
      <valAx>
        <axId val="114607926"/>
        <scaling>
          <orientation val="minMax"/>
          <max val="1"/>
        </scaling>
        <delete val="0"/>
        <axPos val="b"/>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t>None</a:t>
            </a:r>
          </a:p>
        </txPr>
        <crossAx val="43961153"/>
        <crosses val="max"/>
      </valAx>
    </plotArea>
    <plotVisOnly val="1"/>
    <dispBlanksAs val="gap"/>
  </chart>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757575"/>
                </a:solidFill>
                <a:latin typeface="Calibri"/>
              </a:defRPr>
            </a:pPr>
            <a:r>
              <a:rPr sz="1800" b="1" i="0">
                <a:solidFill>
                  <a:srgbClr val="757575"/>
                </a:solidFill>
                <a:latin typeface="Calibri"/>
              </a:rPr>
              <a:t>1a. Bug Status theo nền tảng</a:t>
            </a:r>
          </a:p>
        </rich>
      </tx>
      <overlay val="0"/>
    </title>
    <plotArea>
      <layout/>
      <barChart>
        <barDir val="col"/>
        <grouping val="stacked"/>
        <ser>
          <idx val="0"/>
          <order val="0"/>
          <tx>
            <v>To Do</v>
          </tx>
          <spPr>
            <a:solidFill xmlns:a="http://schemas.openxmlformats.org/drawingml/2006/main">
              <a:srgbClr val="5B9BD5"/>
            </a:solidFill>
            <a:ln xmlns:a="http://schemas.openxmlformats.org/drawingml/2006/main" cmpd="sng">
              <a:noFill/>
              <a:prstDash val="solid"/>
            </a:ln>
          </spPr>
          <cat>
            <strRef>
              <f>'Report Test'!$B$18:$B$20</f>
            </strRef>
          </cat>
          <val>
            <numRef>
              <f>'Report Test'!$C$18:$C$20</f>
              <numCache/>
            </numRef>
          </val>
        </ser>
        <ser>
          <idx val="1"/>
          <order val="1"/>
          <tx>
            <v>In Progress</v>
          </tx>
          <spPr>
            <a:solidFill xmlns:a="http://schemas.openxmlformats.org/drawingml/2006/main">
              <a:srgbClr val="ED7D31"/>
            </a:solidFill>
            <a:ln xmlns:a="http://schemas.openxmlformats.org/drawingml/2006/main" cmpd="sng">
              <a:noFill/>
              <a:prstDash val="solid"/>
            </a:ln>
          </spPr>
          <cat>
            <strRef>
              <f>'Report Test'!$B$18:$B$20</f>
            </strRef>
          </cat>
          <val>
            <numRef>
              <f>'Report Test'!$D$18:$D$20</f>
              <numCache/>
            </numRef>
          </val>
        </ser>
        <ser>
          <idx val="2"/>
          <order val="2"/>
          <tx>
            <v>In Review</v>
          </tx>
          <spPr>
            <a:solidFill xmlns:a="http://schemas.openxmlformats.org/drawingml/2006/main">
              <a:srgbClr val="8064A2"/>
            </a:solidFill>
            <a:ln xmlns:a="http://schemas.openxmlformats.org/drawingml/2006/main" cmpd="sng">
              <a:noFill/>
              <a:prstDash val="solid"/>
            </a:ln>
          </spPr>
          <cat>
            <strRef>
              <f>'Report Test'!$B$18:$B$20</f>
            </strRef>
          </cat>
          <val>
            <numRef>
              <f>'Report Test'!$E$18:$E$20</f>
              <numCache/>
            </numRef>
          </val>
        </ser>
        <ser>
          <idx val="3"/>
          <order val="3"/>
          <tx>
            <v>Pending</v>
          </tx>
          <spPr>
            <a:solidFill xmlns:a="http://schemas.openxmlformats.org/drawingml/2006/main">
              <a:srgbClr val="FFC000"/>
            </a:solidFill>
            <a:ln xmlns:a="http://schemas.openxmlformats.org/drawingml/2006/main" cmpd="sng">
              <a:noFill/>
              <a:prstDash val="solid"/>
            </a:ln>
          </spPr>
          <cat>
            <strRef>
              <f>'Report Test'!$B$18:$B$20</f>
            </strRef>
          </cat>
          <val>
            <numRef>
              <f>'Report Test'!$F$18:$F$20</f>
              <numCache/>
            </numRef>
          </val>
        </ser>
        <ser>
          <idx val="4"/>
          <order val="4"/>
          <tx>
            <v>Cancel</v>
          </tx>
          <spPr>
            <a:solidFill xmlns:a="http://schemas.openxmlformats.org/drawingml/2006/main">
              <a:srgbClr val="A6A6A6"/>
            </a:solidFill>
            <a:ln xmlns:a="http://schemas.openxmlformats.org/drawingml/2006/main" cmpd="sng">
              <a:noFill/>
              <a:prstDash val="solid"/>
            </a:ln>
          </spPr>
          <cat>
            <strRef>
              <f>'Report Test'!$B$18:$B$20</f>
            </strRef>
          </cat>
          <val>
            <numRef>
              <f>'Report Test'!$G$18:$G$20</f>
              <numCache/>
            </numRef>
          </val>
        </ser>
        <ser>
          <idx val="5"/>
          <order val="5"/>
          <tx>
            <v>Done</v>
          </tx>
          <spPr>
            <a:solidFill xmlns:a="http://schemas.openxmlformats.org/drawingml/2006/main">
              <a:srgbClr val="70AD47"/>
            </a:solidFill>
            <a:ln xmlns:a="http://schemas.openxmlformats.org/drawingml/2006/main" cmpd="sng">
              <a:noFill/>
              <a:prstDash val="solid"/>
            </a:ln>
          </spPr>
          <cat>
            <strRef>
              <f>'Report Test'!$B$18:$B$20</f>
            </strRef>
          </cat>
          <val>
            <numRef>
              <f>'Report Test'!$H$18:$H$20</f>
              <numCache/>
            </numRef>
          </val>
        </ser>
        <gapWidth val="150"/>
        <overlap val="100"/>
        <axId val="989144558"/>
        <axId val="769427489"/>
      </barChart>
      <catAx>
        <axId val="989144558"/>
        <scaling>
          <orientation val="minMax"/>
        </scaling>
        <delete val="0"/>
        <axPos val="b"/>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Nền tảng</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769427489"/>
        <lblOffset val="100"/>
      </catAx>
      <valAx>
        <axId val="769427489"/>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Số lượng</a:t>
                </a:r>
              </a:p>
            </rich>
          </tx>
          <overlay val="0"/>
        </title>
        <numFmt formatCode="General"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989144558"/>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1A1A1A"/>
              </a:solidFill>
              <a:latin typeface="Calibri"/>
            </a:defRPr>
          </a:pPr>
          <a:r>
            <a:t>None</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757575"/>
                </a:solidFill>
                <a:latin typeface="Calibri"/>
              </a:defRPr>
            </a:pPr>
            <a:r>
              <a:rPr sz="1800" b="1" i="0">
                <a:solidFill>
                  <a:srgbClr val="757575"/>
                </a:solidFill>
                <a:latin typeface="Calibri"/>
              </a:rPr>
              <a:t>2. Coverage theo chức năng</a:t>
            </a:r>
          </a:p>
        </rich>
      </tx>
      <overlay val="0"/>
    </title>
    <plotArea>
      <layout/>
      <barChart>
        <barDir val="col"/>
        <grouping val="clustered"/>
        <ser>
          <idx val="0"/>
          <order val="0"/>
          <tx>
            <v>Total TC</v>
          </tx>
          <spPr>
            <a:solidFill xmlns:a="http://schemas.openxmlformats.org/drawingml/2006/main">
              <a:srgbClr val="A8D08D"/>
            </a:solidFill>
            <a:ln xmlns:a="http://schemas.openxmlformats.org/drawingml/2006/main" cmpd="sng">
              <a:noFill/>
              <a:prstDash val="solid"/>
            </a:ln>
          </spPr>
          <cat>
            <strRef>
              <f>'Report Test'!$C$60:$C$70</f>
            </strRef>
          </cat>
          <val>
            <numRef>
              <f>'Report Test'!$D$60:$D$70</f>
              <numCache/>
            </numRef>
          </val>
        </ser>
        <ser>
          <idx val="1"/>
          <order val="1"/>
          <tx>
            <v>Executed TC</v>
          </tx>
          <spPr>
            <a:solidFill xmlns:a="http://schemas.openxmlformats.org/drawingml/2006/main">
              <a:srgbClr val="ED7D31"/>
            </a:solidFill>
            <a:ln xmlns:a="http://schemas.openxmlformats.org/drawingml/2006/main" cmpd="sng">
              <a:noFill/>
              <a:prstDash val="solid"/>
            </a:ln>
          </spPr>
          <cat>
            <strRef>
              <f>'Report Test'!$C$60:$C$70</f>
            </strRef>
          </cat>
          <val>
            <numRef>
              <f>'Report Test'!$E$60:$E$70</f>
              <numCache/>
            </numRef>
          </val>
        </ser>
        <gapWidth val="150"/>
        <axId val="1343255198"/>
        <axId val="2117384703"/>
      </barChart>
      <catAx>
        <axId val="1343255198"/>
        <scaling>
          <orientation val="minMax"/>
        </scaling>
        <delete val="0"/>
        <axPos val="b"/>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Chức năng</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2117384703"/>
        <lblOffset val="100"/>
      </catAx>
      <valAx>
        <axId val="2117384703"/>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Số lượng</a:t>
                </a:r>
              </a:p>
            </rich>
          </tx>
          <overlay val="0"/>
        </title>
        <numFmt formatCode="General"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1343255198"/>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1A1A1A"/>
              </a:solidFill>
              <a:latin typeface="Calibri"/>
            </a:defRPr>
          </a:pPr>
          <a:r>
            <a:t>None</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757575"/>
                </a:solidFill>
                <a:latin typeface="Calibri"/>
              </a:defRPr>
            </a:pPr>
            <a:r>
              <a:rPr sz="1800" b="1" i="0">
                <a:solidFill>
                  <a:srgbClr val="757575"/>
                </a:solidFill>
                <a:latin typeface="Calibri"/>
              </a:rPr>
              <a:t>3. Bug Severity (% theo mức độ)</a:t>
            </a:r>
          </a:p>
        </rich>
      </tx>
      <overlay val="0"/>
    </title>
    <plotArea>
      <layout/>
      <pieChart>
        <varyColors val="1"/>
        <ser>
          <idx val="0"/>
          <order val="0"/>
          <tx>
            <strRef>
              <f>'Report Test'!$C$101</f>
            </strRef>
          </tx>
          <spPr>
            <a:ln xmlns:a="http://schemas.openxmlformats.org/drawingml/2006/main">
              <a:prstDash val="solid"/>
            </a:ln>
          </spPr>
          <dPt>
            <idx val="0"/>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Pt>
            <idx val="3"/>
            <spPr>
              <a:solidFill xmlns:a="http://schemas.openxmlformats.org/drawingml/2006/main">
                <a:srgbClr val="8064A2"/>
              </a:solidFill>
              <a:ln xmlns:a="http://schemas.openxmlformats.org/drawingml/2006/main">
                <a:prstDash val="solid"/>
              </a:ln>
            </spPr>
          </dPt>
          <dPt>
            <idx val="4"/>
            <spPr>
              <a:solidFill xmlns:a="http://schemas.openxmlformats.org/drawingml/2006/main">
                <a:srgbClr val="4BACC6"/>
              </a:solidFill>
              <a:ln xmlns:a="http://schemas.openxmlformats.org/drawingml/2006/main">
                <a:prstDash val="solid"/>
              </a:ln>
            </spPr>
          </dPt>
          <dLbls>
            <dLbl>
              <idx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showLegendKey val="0"/>
              <showVal val="0"/>
              <showCatName val="0"/>
              <showSerName val="0"/>
              <showPercent val="0"/>
              <showBubbleSize val="0"/>
            </dLbl>
            <dLbl>
              <idx val="1"/>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showLegendKey val="0"/>
              <showVal val="0"/>
              <showCatName val="0"/>
              <showSerName val="0"/>
              <showPercent val="0"/>
              <showBubbleSize val="0"/>
            </dLbl>
            <dLbl>
              <idx val="2"/>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showLegendKey val="0"/>
              <showVal val="0"/>
              <showCatName val="0"/>
              <showSerName val="0"/>
              <showPercent val="0"/>
              <showBubbleSize val="0"/>
            </dLbl>
            <dLbl>
              <idx val="3"/>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showLegendKey val="0"/>
              <showVal val="0"/>
              <showCatName val="0"/>
              <showSerName val="0"/>
              <showPercent val="0"/>
              <showBubbleSize val="0"/>
            </dLbl>
            <showLegendKey val="0"/>
            <showVal val="0"/>
            <showCatName val="0"/>
            <showSerName val="0"/>
            <showPercent val="0"/>
            <showBubbleSize val="0"/>
            <showLeaderLines val="1"/>
          </dLbls>
          <cat>
            <strRef>
              <f>'Report Test'!$B$102:$B$106</f>
            </strRef>
          </cat>
          <val>
            <numRef>
              <f>'Report Test'!$C$102:$C$106</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sz="1000" b="0" i="0">
              <a:solidFill>
                <a:srgbClr val="1A1A1A"/>
              </a:solidFill>
              <a:latin typeface="Calibri"/>
            </a:defRPr>
          </a:pPr>
          <a:r>
            <a:t>None</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757575"/>
                </a:solidFill>
                <a:latin typeface="Calibri"/>
              </a:defRPr>
            </a:pPr>
            <a:r>
              <a:rPr sz="1800" b="1" i="0">
                <a:solidFill>
                  <a:srgbClr val="757575"/>
                </a:solidFill>
                <a:latin typeface="Calibri"/>
              </a:rPr>
              <a:t>2b. Kết quả thực thi TC (%)</a:t>
            </a:r>
          </a:p>
        </rich>
      </tx>
      <overlay val="0"/>
    </title>
    <plotArea>
      <layout/>
      <pieChart>
        <varyColors val="1"/>
        <ser>
          <idx val="0"/>
          <order val="0"/>
          <tx>
            <strRef>
              <f>'Report Test'!$C$84</f>
            </strRef>
          </tx>
          <spPr>
            <a:ln xmlns:a="http://schemas.openxmlformats.org/drawingml/2006/main">
              <a:prstDash val="solid"/>
            </a:ln>
          </spPr>
          <dPt>
            <idx val="0"/>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Pt>
            <idx val="3"/>
            <spPr>
              <a:solidFill xmlns:a="http://schemas.openxmlformats.org/drawingml/2006/main">
                <a:srgbClr val="8064A2"/>
              </a:solidFill>
              <a:ln xmlns:a="http://schemas.openxmlformats.org/drawingml/2006/main">
                <a:prstDash val="solid"/>
              </a:ln>
            </spPr>
          </dPt>
          <dPt>
            <idx val="4"/>
            <spPr>
              <a:solidFill xmlns:a="http://schemas.openxmlformats.org/drawingml/2006/main">
                <a:srgbClr val="4BACC6"/>
              </a:solidFill>
              <a:ln xmlns:a="http://schemas.openxmlformats.org/drawingml/2006/main">
                <a:prstDash val="solid"/>
              </a:ln>
            </spPr>
          </dPt>
          <dLbls>
            <dLbl>
              <idx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showLegendKey val="0"/>
              <showVal val="0"/>
              <showCatName val="0"/>
              <showSerName val="0"/>
              <showPercent val="0"/>
              <showBubbleSize val="0"/>
            </dLbl>
            <dLbl>
              <idx val="1"/>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showLegendKey val="0"/>
              <showVal val="0"/>
              <showCatName val="0"/>
              <showSerName val="0"/>
              <showPercent val="0"/>
              <showBubbleSize val="0"/>
            </dLbl>
            <dLbl>
              <idx val="2"/>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showLegendKey val="0"/>
              <showVal val="0"/>
              <showCatName val="0"/>
              <showSerName val="0"/>
              <showPercent val="0"/>
              <showBubbleSize val="0"/>
            </dLbl>
            <dLbl>
              <idx val="3"/>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showLegendKey val="0"/>
              <showVal val="0"/>
              <showCatName val="0"/>
              <showSerName val="0"/>
              <showPercent val="0"/>
              <showBubbleSize val="0"/>
            </dLbl>
            <dLbl>
              <idx val="4"/>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showLegendKey val="0"/>
              <showVal val="0"/>
              <showCatName val="0"/>
              <showSerName val="0"/>
              <showPercent val="0"/>
              <showBubbleSize val="0"/>
            </dLbl>
            <showLegendKey val="0"/>
            <showVal val="0"/>
            <showCatName val="0"/>
            <showSerName val="0"/>
            <showPercent val="0"/>
            <showBubbleSize val="0"/>
            <showLeaderLines val="1"/>
          </dLbls>
          <cat>
            <strRef>
              <f>'Report Test'!$B$85:$B$89</f>
            </strRef>
          </cat>
          <val>
            <numRef>
              <f>'Report Test'!$C$85:$C$89</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sz="1000" b="0" i="0">
              <a:solidFill>
                <a:srgbClr val="1A1A1A"/>
              </a:solidFill>
              <a:latin typeface="Calibri"/>
            </a:defRPr>
          </a:pPr>
          <a:r>
            <a:t>None</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757575"/>
                </a:solidFill>
                <a:latin typeface="Calibri"/>
              </a:defRPr>
            </a:pPr>
            <a:r>
              <a:rPr sz="1800" b="1" i="0">
                <a:solidFill>
                  <a:srgbClr val="757575"/>
                </a:solidFill>
                <a:latin typeface="Calibri"/>
              </a:rPr>
              <a:t>4. Bug Resolution (%)</a:t>
            </a:r>
          </a:p>
        </rich>
      </tx>
      <overlay val="0"/>
    </title>
    <plotArea>
      <layout/>
      <pieChart>
        <varyColors val="1"/>
        <ser>
          <idx val="0"/>
          <order val="0"/>
          <tx>
            <strRef>
              <f>'Report Test'!$C$120</f>
            </strRef>
          </tx>
          <spPr>
            <a:ln xmlns:a="http://schemas.openxmlformats.org/drawingml/2006/main">
              <a:prstDash val="solid"/>
            </a:ln>
          </spPr>
          <dPt>
            <idx val="0"/>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Lbls>
            <dLbl>
              <idx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showLegendKey val="0"/>
              <showVal val="0"/>
              <showCatName val="0"/>
              <showSerName val="0"/>
              <showPercent val="0"/>
              <showBubbleSize val="0"/>
            </dLbl>
            <dLbl>
              <idx val="1"/>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showLegendKey val="0"/>
              <showVal val="0"/>
              <showCatName val="0"/>
              <showSerName val="0"/>
              <showPercent val="0"/>
              <showBubbleSize val="0"/>
            </dLbl>
            <showLegendKey val="0"/>
            <showVal val="0"/>
            <showCatName val="0"/>
            <showSerName val="0"/>
            <showPercent val="0"/>
            <showBubbleSize val="0"/>
            <showLeaderLines val="1"/>
          </dLbls>
          <cat>
            <strRef>
              <f>'Report Test'!$B$121:$B$123</f>
            </strRef>
          </cat>
          <val>
            <numRef>
              <f>'Report Test'!$C$121:$C$123</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sz="1000" b="0" i="0">
              <a:solidFill>
                <a:srgbClr val="1A1A1A"/>
              </a:solidFill>
              <a:latin typeface="Calibri"/>
            </a:defRPr>
          </a:pPr>
          <a:r>
            <a:t>None</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757575"/>
                </a:solidFill>
                <a:latin typeface="Calibri"/>
              </a:defRPr>
            </a:pPr>
            <a:r>
              <a:rPr sz="1800" b="1" i="0">
                <a:solidFill>
                  <a:srgbClr val="757575"/>
                </a:solidFill>
                <a:latin typeface="Calibri"/>
              </a:rPr>
              <a:t>5. Bug Won't fix theo Lý do</a:t>
            </a:r>
          </a:p>
        </rich>
      </tx>
      <overlay val="0"/>
    </title>
    <plotArea>
      <layout/>
      <barChart>
        <barDir val="col"/>
        <grouping val="clustered"/>
        <ser>
          <idx val="0"/>
          <order val="0"/>
          <tx>
            <v>Số lượng</v>
          </tx>
          <spPr>
            <a:solidFill xmlns:a="http://schemas.openxmlformats.org/drawingml/2006/main">
              <a:srgbClr val="4F81BD"/>
            </a:solidFill>
            <a:ln xmlns:a="http://schemas.openxmlformats.org/drawingml/2006/main" cmpd="sng">
              <a:noFill/>
              <a:prstDash val="solid"/>
            </a:ln>
          </spPr>
          <cat>
            <strRef>
              <f>'Report Test'!$B$138:$B$147</f>
            </strRef>
          </cat>
          <val>
            <numRef>
              <f>'Report Test'!$E$138:$E$147</f>
              <numCache/>
            </numRef>
          </val>
        </ser>
        <gapWidth val="150"/>
        <axId val="137601149"/>
        <axId val="794048251"/>
      </barChart>
      <catAx>
        <axId val="137601149"/>
        <scaling>
          <orientation val="minMax"/>
        </scaling>
        <delete val="0"/>
        <axPos val="b"/>
        <title>
          <tx>
            <rich>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794048251"/>
        <lblOffset val="100"/>
      </catAx>
      <valAx>
        <axId val="794048251"/>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Số lượng</a:t>
                </a:r>
              </a:p>
            </rich>
          </tx>
          <overlay val="0"/>
        </title>
        <numFmt formatCode="General"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137601149"/>
      </valAx>
    </plotArea>
    <plotVisOnly val="1"/>
    <dispBlanksAs val="gap"/>
  </chart>
  <spPr>
    <a:solidFill xmlns:a="http://schemas.openxmlformats.org/drawingml/2006/main">
      <a:srgbClr val="FFFFFF"/>
    </a:solidFill>
    <a:ln xmlns:a="http://schemas.openxmlformats.org/drawingml/2006/main">
      <a:prstDash val="solid"/>
    </a:ln>
  </spPr>
</chartSpace>
</file>

<file path=xl/charts/chart1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757575"/>
                </a:solidFill>
                <a:latin typeface="Calibri"/>
              </a:defRPr>
            </a:pPr>
            <a:r>
              <a:rPr sz="1800" b="1" i="0">
                <a:solidFill>
                  <a:srgbClr val="757575"/>
                </a:solidFill>
                <a:latin typeface="Calibri"/>
              </a:rPr>
              <a:t>6. Defect Type</a:t>
            </a:r>
          </a:p>
        </rich>
      </tx>
      <overlay val="0"/>
    </title>
    <plotArea>
      <layout/>
      <barChart>
        <barDir val="col"/>
        <grouping val="clustered"/>
        <ser>
          <idx val="0"/>
          <order val="0"/>
          <tx>
            <v>SL</v>
          </tx>
          <spPr>
            <a:solidFill xmlns:a="http://schemas.openxmlformats.org/drawingml/2006/main">
              <a:srgbClr val="4F81BD"/>
            </a:solidFill>
            <a:ln xmlns:a="http://schemas.openxmlformats.org/drawingml/2006/main" cmpd="sng">
              <a:noFill/>
              <a:prstDash val="solid"/>
            </a:ln>
          </spPr>
          <cat>
            <strRef>
              <f>'Report Test'!$B$154:$B$159</f>
            </strRef>
          </cat>
          <val>
            <numRef>
              <f>'Report Test'!$C$154:$C$159</f>
              <numCache/>
            </numRef>
          </val>
        </ser>
        <gapWidth val="150"/>
        <axId val="205108183"/>
        <axId val="1089378733"/>
      </barChart>
      <catAx>
        <axId val="205108183"/>
        <scaling>
          <orientation val="minMax"/>
        </scaling>
        <delete val="0"/>
        <axPos val="b"/>
        <title>
          <tx>
            <rich>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1089378733"/>
        <lblOffset val="100"/>
      </catAx>
      <valAx>
        <axId val="1089378733"/>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Số lượng</a:t>
                </a:r>
              </a:p>
            </rich>
          </tx>
          <overlay val="0"/>
        </title>
        <numFmt formatCode="General"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205108183"/>
      </valAx>
    </plotArea>
    <plotVisOnly val="1"/>
    <dispBlanksAs val="gap"/>
  </chart>
  <spPr>
    <a:solidFill xmlns:a="http://schemas.openxmlformats.org/drawingml/2006/main">
      <a:srgbClr val="FFFFFF"/>
    </a:solidFill>
    <a:ln xmlns:a="http://schemas.openxmlformats.org/drawingml/2006/main">
      <a:prstDash val="solid"/>
    </a:ln>
  </spPr>
</chartSpace>
</file>

<file path=xl/charts/chart1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757575"/>
                </a:solidFill>
                <a:latin typeface="Calibri"/>
              </a:defRPr>
            </a:pPr>
            <a:r>
              <a:rPr sz="1800" b="1" i="0">
                <a:solidFill>
                  <a:srgbClr val="757575"/>
                </a:solidFill>
                <a:latin typeface="Calibri"/>
              </a:rPr>
              <a:t>7. Effect</a:t>
            </a:r>
          </a:p>
        </rich>
      </tx>
      <overlay val="0"/>
    </title>
    <plotArea>
      <layout/>
      <barChart>
        <barDir val="col"/>
        <grouping val="clustered"/>
        <ser>
          <idx val="0"/>
          <order val="0"/>
          <tx>
            <v>SL</v>
          </tx>
          <spPr>
            <a:solidFill xmlns:a="http://schemas.openxmlformats.org/drawingml/2006/main">
              <a:srgbClr val="4F81BD"/>
            </a:solidFill>
            <a:ln xmlns:a="http://schemas.openxmlformats.org/drawingml/2006/main" cmpd="sng">
              <a:noFill/>
              <a:prstDash val="solid"/>
            </a:ln>
          </spPr>
          <cat>
            <strRef>
              <f>'Report Test'!$B$170:$B$174</f>
            </strRef>
          </cat>
          <val>
            <numRef>
              <f>'Report Test'!$C$170:$C$174</f>
              <numCache/>
            </numRef>
          </val>
        </ser>
        <gapWidth val="150"/>
        <axId val="34434032"/>
        <axId val="2059686075"/>
      </barChart>
      <catAx>
        <axId val="34434032"/>
        <scaling>
          <orientation val="minMax"/>
        </scaling>
        <delete val="0"/>
        <axPos val="b"/>
        <title>
          <tx>
            <rich>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2059686075"/>
        <lblOffset val="100"/>
      </catAx>
      <valAx>
        <axId val="2059686075"/>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Số lượng</a:t>
                </a:r>
              </a:p>
            </rich>
          </tx>
          <overlay val="0"/>
        </title>
        <numFmt formatCode="General"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34434032"/>
      </valAx>
    </plotArea>
    <plotVisOnly val="1"/>
    <dispBlanksAs val="gap"/>
  </chart>
  <spPr>
    <a:solidFill xmlns:a="http://schemas.openxmlformats.org/drawingml/2006/main">
      <a:srgbClr val="FFFFFF"/>
    </a:solidFill>
    <a:ln xmlns:a="http://schemas.openxmlformats.org/drawingml/2006/main">
      <a:prstDash val="solid"/>
    </a:ln>
  </spPr>
</chartSpace>
</file>

<file path=xl/charts/chart1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757575"/>
                </a:solidFill>
                <a:latin typeface="Calibri"/>
              </a:defRPr>
            </a:pPr>
            <a:r>
              <a:rPr sz="1800" b="1" i="0">
                <a:solidFill>
                  <a:srgbClr val="757575"/>
                </a:solidFill>
                <a:latin typeface="Calibri"/>
              </a:rPr>
              <a:t>8. Bug Rework</a:t>
            </a:r>
          </a:p>
        </rich>
      </tx>
      <overlay val="0"/>
    </title>
    <plotArea>
      <layout/>
      <barChart>
        <barDir val="col"/>
        <grouping val="clustered"/>
        <ser>
          <idx val="0"/>
          <order val="0"/>
          <tx>
            <v>SL</v>
          </tx>
          <spPr>
            <a:solidFill xmlns:a="http://schemas.openxmlformats.org/drawingml/2006/main">
              <a:srgbClr val="4F81BD"/>
            </a:solidFill>
            <a:ln xmlns:a="http://schemas.openxmlformats.org/drawingml/2006/main" cmpd="sng">
              <a:noFill/>
              <a:prstDash val="solid"/>
            </a:ln>
          </spPr>
          <cat>
            <strRef>
              <f>'Report Test'!$B$186:$B$189</f>
            </strRef>
          </cat>
          <val>
            <numRef>
              <f>'Report Test'!$C$186:$C$189</f>
              <numCache/>
            </numRef>
          </val>
        </ser>
        <gapWidth val="150"/>
        <axId val="1898038779"/>
        <axId val="1795503814"/>
      </barChart>
      <catAx>
        <axId val="1898038779"/>
        <scaling>
          <orientation val="minMax"/>
        </scaling>
        <delete val="0"/>
        <axPos val="b"/>
        <title>
          <tx>
            <rich>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1795503814"/>
        <lblOffset val="100"/>
      </catAx>
      <valAx>
        <axId val="1795503814"/>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Số lượng</a:t>
                </a:r>
              </a:p>
            </rich>
          </tx>
          <overlay val="0"/>
        </title>
        <numFmt formatCode="General"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1898038779"/>
      </valAx>
    </plotArea>
    <plotVisOnly val="1"/>
    <dispBlanksAs val="gap"/>
  </chart>
  <spPr>
    <a:solidFill xmlns:a="http://schemas.openxmlformats.org/drawingml/2006/main">
      <a:srgbClr val="FFFFFF"/>
    </a:solidFill>
    <a:ln xmlns:a="http://schemas.openxmlformats.org/drawingml/2006/main">
      <a:prstDash val="solid"/>
    </a:ln>
  </spPr>
</chartSpace>
</file>

<file path=xl/charts/chart1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1b. Tỷ lệ Bug theo chức năng (%)</a:t>
            </a:r>
          </a:p>
        </rich>
      </tx>
      <overlay val="0"/>
    </title>
    <plotArea>
      <layout/>
      <pieChart>
        <varyColors val="1"/>
        <ser>
          <idx val="0"/>
          <order val="0"/>
          <spPr>
            <a:ln xmlns:a="http://schemas.openxmlformats.org/drawingml/2006/main">
              <a:prstDash val="solid"/>
            </a:ln>
          </spPr>
          <dPt>
            <idx val="0"/>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Pt>
            <idx val="3"/>
            <spPr>
              <a:solidFill xmlns:a="http://schemas.openxmlformats.org/drawingml/2006/main">
                <a:srgbClr val="8064A2"/>
              </a:solidFill>
              <a:ln xmlns:a="http://schemas.openxmlformats.org/drawingml/2006/main">
                <a:prstDash val="solid"/>
              </a:ln>
            </spPr>
          </dPt>
          <dPt>
            <idx val="4"/>
            <spPr>
              <a:solidFill xmlns:a="http://schemas.openxmlformats.org/drawingml/2006/main">
                <a:srgbClr val="4BACC6"/>
              </a:solidFill>
              <a:ln xmlns:a="http://schemas.openxmlformats.org/drawingml/2006/main">
                <a:prstDash val="solid"/>
              </a:ln>
            </spPr>
          </dPt>
          <dPt>
            <idx val="5"/>
            <spPr>
              <a:solidFill xmlns:a="http://schemas.openxmlformats.org/drawingml/2006/main">
                <a:srgbClr val="F79646"/>
              </a:solidFill>
              <a:ln xmlns:a="http://schemas.openxmlformats.org/drawingml/2006/main">
                <a:prstDash val="solid"/>
              </a:ln>
            </spPr>
          </dPt>
          <dPt>
            <idx val="6"/>
            <spPr>
              <a:solidFill xmlns:a="http://schemas.openxmlformats.org/drawingml/2006/main">
                <a:srgbClr val="84A7D1"/>
              </a:solidFill>
              <a:ln xmlns:a="http://schemas.openxmlformats.org/drawingml/2006/main">
                <a:prstDash val="solid"/>
              </a:ln>
            </spPr>
          </dPt>
          <dPt>
            <idx val="7"/>
            <spPr>
              <a:solidFill xmlns:a="http://schemas.openxmlformats.org/drawingml/2006/main">
                <a:srgbClr val="D38582"/>
              </a:solidFill>
              <a:ln xmlns:a="http://schemas.openxmlformats.org/drawingml/2006/main">
                <a:prstDash val="solid"/>
              </a:ln>
            </spPr>
          </dPt>
          <dPt>
            <idx val="8"/>
            <spPr>
              <a:solidFill xmlns:a="http://schemas.openxmlformats.org/drawingml/2006/main">
                <a:srgbClr val="B9CF8B"/>
              </a:solidFill>
              <a:ln xmlns:a="http://schemas.openxmlformats.org/drawingml/2006/main">
                <a:prstDash val="solid"/>
              </a:ln>
            </spPr>
          </dPt>
          <dPt>
            <idx val="9"/>
            <spPr>
              <a:solidFill xmlns:a="http://schemas.openxmlformats.org/drawingml/2006/main">
                <a:srgbClr val="A693BE"/>
              </a:solidFill>
              <a:ln xmlns:a="http://schemas.openxmlformats.org/drawingml/2006/main">
                <a:prstDash val="solid"/>
              </a:ln>
            </spPr>
          </dPt>
          <dLbls>
            <showLegendKey val="0"/>
            <showVal val="0"/>
            <showCatName val="0"/>
            <showSerName val="0"/>
            <showPercent val="0"/>
            <showBubbleSize val="0"/>
            <showLeaderLines val="1"/>
          </dLbls>
          <cat>
            <strRef>
              <f>'Report Test'!$C$43:$C$52</f>
            </strRef>
          </cat>
          <val>
            <numRef>
              <f>'Report Test'!$J$43:$J$52</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b="0" i="0">
              <a:solidFill>
                <a:srgbClr val="1A1A1A"/>
              </a:solidFill>
              <a:latin typeface="+mn-lt"/>
            </a:defRPr>
          </a:pPr>
          <a:r>
            <a:t>None</a:t>
          </a:r>
        </a:p>
      </txPr>
    </legend>
    <plotVisOnly val="1"/>
    <dispBlanksAs val="gap"/>
  </chart>
</chartSpace>
</file>

<file path=xl/charts/chart1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Mức độ áp dụng SDLC / Automation (%)</a:t>
            </a:r>
          </a:p>
        </rich>
      </tx>
      <overlay val="0"/>
    </title>
    <plotArea>
      <layout/>
      <barChart>
        <barDir val="bar"/>
        <grouping val="clustered"/>
        <ser>
          <idx val="0"/>
          <order val="0"/>
          <spPr>
            <a:solidFill xmlns:a="http://schemas.openxmlformats.org/drawingml/2006/main">
              <a:srgbClr val="4F81BD"/>
            </a:solidFill>
            <a:ln xmlns:a="http://schemas.openxmlformats.org/drawingml/2006/main" cmpd="sng">
              <a:noFill/>
              <a:prstDash val="solid"/>
            </a:ln>
          </spPr>
          <cat>
            <strRef>
              <f>'Report Test'!$B$203:$B$208</f>
            </strRef>
          </cat>
          <val>
            <numRef>
              <f>'Report Test'!$D$203:$D$208</f>
              <numCache/>
            </numRef>
          </val>
        </ser>
        <gapWidth val="150"/>
        <axId val="477651924"/>
        <axId val="1803782420"/>
      </barChart>
      <catAx>
        <axId val="477651924"/>
        <scaling>
          <orientation val="maxMin"/>
          <max val="1"/>
        </scaling>
        <delete val="0"/>
        <axPos val="l"/>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0%"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t>None</a:t>
            </a:r>
          </a:p>
        </txPr>
        <crossAx val="1803782420"/>
        <lblOffset val="100"/>
      </catAx>
      <valAx>
        <axId val="1803782420"/>
        <scaling>
          <orientation val="minMax"/>
        </scaling>
        <delete val="0"/>
        <axPos val="b"/>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t>None</a:t>
            </a:r>
          </a:p>
        </txPr>
        <crossAx val="477651924"/>
        <crosses val="max"/>
      </valAx>
    </plotArea>
    <plotVisOnly val="1"/>
    <dispBlanksAs val="gap"/>
  </chart>
</chartSpace>
</file>

<file path=xl/charts/chart1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Pass / Fail theo Round</a:t>
            </a:r>
          </a:p>
        </rich>
      </tx>
      <overlay val="0"/>
    </title>
    <plotArea>
      <layout/>
      <barChart>
        <barDir val="col"/>
        <grouping val="clustered"/>
        <ser>
          <idx val="0"/>
          <order val="0"/>
          <tx>
            <strRef>
              <f>'Report Test'!$F$220</f>
            </strRef>
          </tx>
          <spPr>
            <a:solidFill xmlns:a="http://schemas.openxmlformats.org/drawingml/2006/main">
              <a:srgbClr val="4472C4"/>
            </a:solidFill>
            <a:ln xmlns:a="http://schemas.openxmlformats.org/drawingml/2006/main" cmpd="sng">
              <a:noFill/>
              <a:prstDash val="solid"/>
            </a:ln>
          </spPr>
          <cat>
            <strRef>
              <f>'Report Test'!$B$221:$B$223</f>
            </strRef>
          </cat>
          <val>
            <numRef>
              <f>'Report Test'!$F$221:$F$223</f>
              <numCache/>
            </numRef>
          </val>
        </ser>
        <ser>
          <idx val="1"/>
          <order val="1"/>
          <tx>
            <strRef>
              <f>'Report Test'!$G$220</f>
            </strRef>
          </tx>
          <spPr>
            <a:solidFill xmlns:a="http://schemas.openxmlformats.org/drawingml/2006/main">
              <a:srgbClr val="C0504D"/>
            </a:solidFill>
            <a:ln xmlns:a="http://schemas.openxmlformats.org/drawingml/2006/main" cmpd="sng">
              <a:noFill/>
              <a:prstDash val="solid"/>
            </a:ln>
          </spPr>
          <cat>
            <strRef>
              <f>'Report Test'!$B$221:$B$223</f>
            </strRef>
          </cat>
          <val>
            <numRef>
              <f>'Report Test'!$G$221:$G$223</f>
              <numCache/>
            </numRef>
          </val>
        </ser>
        <ser>
          <idx val="2"/>
          <order val="2"/>
          <tx>
            <strRef>
              <f>'Report Test'!$H$220</f>
            </strRef>
          </tx>
          <spPr>
            <a:solidFill xmlns:a="http://schemas.openxmlformats.org/drawingml/2006/main">
              <a:schemeClr val="accent3"/>
            </a:solidFill>
            <a:ln xmlns:a="http://schemas.openxmlformats.org/drawingml/2006/main" cmpd="sng">
              <a:noFill/>
              <a:prstDash val="solid"/>
            </a:ln>
          </spPr>
          <cat>
            <strRef>
              <f>'Report Test'!$B$221:$B$223</f>
            </strRef>
          </cat>
          <val>
            <numRef>
              <f>'Report Test'!$H$221:$H$223</f>
              <numCache/>
            </numRef>
          </val>
        </ser>
        <ser>
          <idx val="3"/>
          <order val="3"/>
          <tx>
            <strRef>
              <f>'Report Test'!$I$220</f>
            </strRef>
          </tx>
          <spPr>
            <a:solidFill xmlns:a="http://schemas.openxmlformats.org/drawingml/2006/main">
              <a:schemeClr val="accent4"/>
            </a:solidFill>
            <a:ln xmlns:a="http://schemas.openxmlformats.org/drawingml/2006/main" cmpd="sng">
              <a:noFill/>
              <a:prstDash val="solid"/>
            </a:ln>
          </spPr>
          <cat>
            <strRef>
              <f>'Report Test'!$B$221:$B$223</f>
            </strRef>
          </cat>
          <val>
            <numRef>
              <f>'Report Test'!$I$221:$I$223</f>
              <numCache/>
            </numRef>
          </val>
        </ser>
        <gapWidth val="150"/>
        <axId val="1299408622"/>
        <axId val="375753412"/>
      </barChart>
      <catAx>
        <axId val="1299408622"/>
        <scaling>
          <orientation val="minMax"/>
        </scaling>
        <delete val="0"/>
        <axPos val="b"/>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Round</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t>None</a:t>
            </a:r>
          </a:p>
        </txPr>
        <crossAx val="375753412"/>
        <lblOffset val="100"/>
      </catAx>
      <valAx>
        <axId val="375753412"/>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Test cases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t>None</a:t>
            </a:r>
          </a:p>
        </txPr>
        <crossAx val="1299408622"/>
      </valAx>
    </plotArea>
    <legend>
      <legendPos val="r"/>
      <overlay val="0"/>
      <txPr>
        <a:bodyPr xmlns:a="http://schemas.openxmlformats.org/drawingml/2006/main"/>
        <a:lstStyle xmlns:a="http://schemas.openxmlformats.org/drawingml/2006/main"/>
        <a:p xmlns:a="http://schemas.openxmlformats.org/drawingml/2006/main">
          <a:pPr lvl="0">
            <a:defRPr b="0" i="0">
              <a:solidFill>
                <a:srgbClr val="1A1A1A"/>
              </a:solidFill>
              <a:latin typeface="+mn-lt"/>
            </a:defRPr>
          </a:pPr>
          <a:r>
            <a:t>None</a:t>
          </a:r>
        </a:p>
      </txPr>
    </legend>
    <plotVisOnly val="1"/>
    <dispBlanksAs val="gap"/>
  </chart>
</chartSpace>
</file>

<file path=xl/charts/chart1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Bug phát hiện vs đã đóng theo Round</a:t>
            </a:r>
          </a:p>
        </rich>
      </tx>
      <overlay val="0"/>
    </title>
    <plotArea>
      <layout/>
      <barChart>
        <barDir val="col"/>
        <grouping val="clustered"/>
        <ser>
          <idx val="0"/>
          <order val="0"/>
          <tx>
            <strRef>
              <f>'Report Test'!$C$229</f>
            </strRef>
          </tx>
          <spPr>
            <a:solidFill xmlns:a="http://schemas.openxmlformats.org/drawingml/2006/main">
              <a:srgbClr val="4472C4"/>
            </a:solidFill>
            <a:ln xmlns:a="http://schemas.openxmlformats.org/drawingml/2006/main" cmpd="sng">
              <a:noFill/>
              <a:prstDash val="solid"/>
            </a:ln>
          </spPr>
          <cat>
            <strRef>
              <f>'Report Test'!$B$230:$B$234</f>
            </strRef>
          </cat>
          <val>
            <numRef>
              <f>'Report Test'!$C$230:$C$234</f>
              <numCache/>
            </numRef>
          </val>
        </ser>
        <ser>
          <idx val="1"/>
          <order val="1"/>
          <tx>
            <strRef>
              <f>'Report Test'!$D$229</f>
            </strRef>
          </tx>
          <spPr>
            <a:solidFill xmlns:a="http://schemas.openxmlformats.org/drawingml/2006/main">
              <a:srgbClr val="C0504D"/>
            </a:solidFill>
            <a:ln xmlns:a="http://schemas.openxmlformats.org/drawingml/2006/main" cmpd="sng">
              <a:noFill/>
              <a:prstDash val="solid"/>
            </a:ln>
          </spPr>
          <cat>
            <strRef>
              <f>'Report Test'!$B$230:$B$234</f>
            </strRef>
          </cat>
          <val>
            <numRef>
              <f>'Report Test'!$D$230:$D$234</f>
              <numCache/>
            </numRef>
          </val>
        </ser>
        <gapWidth val="150"/>
        <axId val="521867010"/>
        <axId val="304321767"/>
      </barChart>
      <catAx>
        <axId val="521867010"/>
        <scaling>
          <orientation val="minMax"/>
        </scaling>
        <delete val="0"/>
        <axPos val="b"/>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Round</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t>None</a:t>
            </a:r>
          </a:p>
        </txPr>
        <crossAx val="304321767"/>
        <lblOffset val="100"/>
      </catAx>
      <valAx>
        <axId val="304321767"/>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Bug</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t>None</a:t>
            </a:r>
          </a:p>
        </txPr>
        <crossAx val="521867010"/>
      </valAx>
    </plotArea>
    <legend>
      <legendPos val="r"/>
      <overlay val="0"/>
      <txPr>
        <a:bodyPr xmlns:a="http://schemas.openxmlformats.org/drawingml/2006/main"/>
        <a:lstStyle xmlns:a="http://schemas.openxmlformats.org/drawingml/2006/main"/>
        <a:p xmlns:a="http://schemas.openxmlformats.org/drawingml/2006/main">
          <a:pPr lvl="0">
            <a:defRPr b="0" i="0">
              <a:solidFill>
                <a:srgbClr val="1A1A1A"/>
              </a:solidFill>
              <a:latin typeface="+mn-lt"/>
            </a:defRPr>
          </a:pPr>
          <a:r>
            <a:t>None</a:t>
          </a:r>
        </a:p>
      </txPr>
    </legend>
    <plotVisOnly val="1"/>
    <dispBlanksAs val="gap"/>
  </chart>
</chartSpace>
</file>

<file path=xl/charts/chart1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Pass rate % theo Round</a:t>
            </a:r>
          </a:p>
        </rich>
      </tx>
      <overlay val="0"/>
    </title>
    <plotArea>
      <layout/>
      <lineChart>
        <grouping val="standard"/>
        <varyColors val="0"/>
        <ser>
          <idx val="0"/>
          <order val="0"/>
          <tx>
            <strRef>
              <f>'Report Test'!$K$220</f>
            </strRef>
          </tx>
          <spPr>
            <a:ln xmlns:a="http://schemas.openxmlformats.org/drawingml/2006/main" w="19050" cmpd="sng">
              <a:solidFill>
                <a:srgbClr val="4472C4"/>
              </a:solidFill>
              <a:prstDash val="solid"/>
            </a:ln>
          </spPr>
          <marker>
            <symbol val="none"/>
            <spPr>
              <a:ln xmlns:a="http://schemas.openxmlformats.org/drawingml/2006/main">
                <a:prstDash val="solid"/>
              </a:ln>
            </spPr>
          </marker>
          <cat>
            <strRef>
              <f>'Report Test'!$B$221:$B$223</f>
            </strRef>
          </cat>
          <val>
            <numRef>
              <f>'Report Test'!$K$221:$K$223</f>
              <numCache/>
            </numRef>
          </val>
          <smooth val="0"/>
        </ser>
        <axId val="690367390"/>
        <axId val="1590914208"/>
      </lineChart>
      <catAx>
        <axId val="690367390"/>
        <scaling>
          <orientation val="minMax"/>
        </scaling>
        <delete val="0"/>
        <axPos val="b"/>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t>None</a:t>
            </a:r>
          </a:p>
        </txPr>
        <crossAx val="1590914208"/>
        <lblOffset val="100"/>
      </catAx>
      <valAx>
        <axId val="159091420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0.0%" sourceLinked="0"/>
        <majorTickMark val="cross"/>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t>None</a:t>
            </a:r>
          </a:p>
        </txPr>
        <crossAx val="690367390"/>
      </valAx>
    </plotArea>
    <legend>
      <legendPos val="r"/>
      <overlay val="0"/>
      <txPr>
        <a:bodyPr xmlns:a="http://schemas.openxmlformats.org/drawingml/2006/main"/>
        <a:lstStyle xmlns:a="http://schemas.openxmlformats.org/drawingml/2006/main"/>
        <a:p xmlns:a="http://schemas.openxmlformats.org/drawingml/2006/main">
          <a:pPr lvl="0">
            <a:defRPr b="0" i="0">
              <a:solidFill>
                <a:srgbClr val="1A1A1A"/>
              </a:solidFill>
              <a:latin typeface="+mn-lt"/>
            </a:defRPr>
          </a:pPr>
          <a:r>
            <a:t>None</a:t>
          </a:r>
        </a:p>
      </txPr>
    </legend>
    <plotVisOnly val="1"/>
    <dispBlanksAs val="gap"/>
  </chart>
</chartSpace>
</file>

<file path=xl/charts/chart1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Độ phủ theo nhóm yêu cầu (Số TC vs Đã chạy)</a:t>
            </a:r>
          </a:p>
        </rich>
      </tx>
      <overlay val="0"/>
    </title>
    <plotArea>
      <layout/>
      <barChart>
        <barDir val="col"/>
        <grouping val="clustered"/>
        <ser>
          <idx val="0"/>
          <order val="0"/>
          <spPr>
            <a:solidFill xmlns:a="http://schemas.openxmlformats.org/drawingml/2006/main">
              <a:srgbClr val="A9D08E"/>
            </a:solidFill>
            <a:ln xmlns:a="http://schemas.openxmlformats.org/drawingml/2006/main" cmpd="sng">
              <a:noFill/>
              <a:prstDash val="solid"/>
            </a:ln>
          </spPr>
          <cat>
            <strRef>
              <f>RTM!$AD$6:$AD$16</f>
            </strRef>
          </cat>
          <val>
            <numRef>
              <f>RTM!$AE$6:$AE$16</f>
              <numCache/>
            </numRef>
          </val>
        </ser>
        <ser>
          <idx val="1"/>
          <order val="1"/>
          <spPr>
            <a:solidFill xmlns:a="http://schemas.openxmlformats.org/drawingml/2006/main">
              <a:srgbClr val="4472C4"/>
            </a:solidFill>
            <a:ln xmlns:a="http://schemas.openxmlformats.org/drawingml/2006/main" cmpd="sng">
              <a:noFill/>
              <a:prstDash val="solid"/>
            </a:ln>
          </spPr>
          <cat>
            <strRef>
              <f>RTM!$AD$6:$AD$16</f>
            </strRef>
          </cat>
          <val>
            <numRef>
              <f>RTM!$AF$6:$AF$16</f>
              <numCache/>
            </numRef>
          </val>
        </ser>
        <gapWidth val="150"/>
        <axId val="1276413049"/>
        <axId val="240046723"/>
      </barChart>
      <catAx>
        <axId val="1276413049"/>
        <scaling>
          <orientation val="minMax"/>
        </scaling>
        <delete val="0"/>
        <axPos val="b"/>
        <title>
          <tx>
            <rich>
              <a:bodyPr xmlns:a="http://schemas.openxmlformats.org/drawingml/2006/main"/>
              <a:p xmlns:a="http://schemas.openxmlformats.org/drawingml/2006/main">
                <a:pPr>
                  <a:defRPr/>
                </a:pPr>
                <a:r>
                  <a:t>Nhóm yêu cầu (Req ID)</a:t>
                </a:r>
              </a:p>
            </rich>
          </tx>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t>None</a:t>
            </a:r>
          </a:p>
        </txPr>
        <crossAx val="240046723"/>
        <lblOffset val="100"/>
      </catAx>
      <valAx>
        <axId val="240046723"/>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p xmlns:a="http://schemas.openxmlformats.org/drawingml/2006/main">
                <a:pPr>
                  <a:defRPr/>
                </a:pPr>
                <a:r>
                  <a:t>Số Test Case</a:t>
                </a:r>
              </a:p>
            </rich>
          </tx>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t>None</a:t>
            </a:r>
          </a:p>
        </txPr>
        <crossAx val="1276413049"/>
      </valAx>
    </plotArea>
    <legend>
      <legendPos val="r"/>
      <overlay val="0"/>
      <txPr>
        <a:bodyPr xmlns:a="http://schemas.openxmlformats.org/drawingml/2006/main"/>
        <a:lstStyle xmlns:a="http://schemas.openxmlformats.org/drawingml/2006/main"/>
        <a:p xmlns:a="http://schemas.openxmlformats.org/drawingml/2006/main">
          <a:pPr lvl="0">
            <a:defRPr b="0" i="0">
              <a:solidFill>
                <a:srgbClr val="1A1A1A"/>
              </a:solidFill>
              <a:latin typeface="+mn-lt"/>
            </a:defRPr>
          </a:pPr>
          <a:r>
            <a:t>None</a:t>
          </a:r>
        </a:p>
      </txPr>
    </legend>
    <plotVisOnly val="0"/>
    <dispBlanksAs val="gap"/>
  </chart>
</chartSpace>
</file>

<file path=xl/comments/comment1.xml><?xml version="1.0" encoding="utf-8"?>
<comments xmlns="http://schemas.openxmlformats.org/spreadsheetml/2006/main">
  <authors>
    <author>None</author>
  </authors>
  <commentList>
    <comment ref="L220" authorId="0" shapeId="0">
      <text>
        <t>======
ID#AAACAZ0I57g
Ghi rõ chức năng/scope test của từng Round giúp Manager nắm tổng quát    (2026-07-08 10:16:14)
• TH1 – Round chia scope KHÔNG trùng (VD: R1: Function A; R2: Function B, C) → độ phủ cộng dồn.
• TH2 – mỗi Round chạy full regression toàn bộ chức năng (số Round = số lần test lại).</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4.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 Type="http://schemas.openxmlformats.org/officeDocument/2006/relationships/chart" Target="/xl/charts/chart6.xml" Id="rId3"/><Relationship Type="http://schemas.openxmlformats.org/officeDocument/2006/relationships/chart" Target="/xl/charts/chart7.xml" Id="rId4"/><Relationship Type="http://schemas.openxmlformats.org/officeDocument/2006/relationships/chart" Target="/xl/charts/chart8.xml" Id="rId5"/><Relationship Type="http://schemas.openxmlformats.org/officeDocument/2006/relationships/chart" Target="/xl/charts/chart9.xml" Id="rId6"/><Relationship Type="http://schemas.openxmlformats.org/officeDocument/2006/relationships/chart" Target="/xl/charts/chart10.xml" Id="rId7"/><Relationship Type="http://schemas.openxmlformats.org/officeDocument/2006/relationships/chart" Target="/xl/charts/chart11.xml" Id="rId8"/><Relationship Type="http://schemas.openxmlformats.org/officeDocument/2006/relationships/chart" Target="/xl/charts/chart12.xml" Id="rId9"/><Relationship Type="http://schemas.openxmlformats.org/officeDocument/2006/relationships/chart" Target="/xl/charts/chart13.xml" Id="rId10"/><Relationship Type="http://schemas.openxmlformats.org/officeDocument/2006/relationships/chart" Target="/xl/charts/chart14.xml" Id="rId11"/><Relationship Type="http://schemas.openxmlformats.org/officeDocument/2006/relationships/chart" Target="/xl/charts/chart15.xml" Id="rId12"/><Relationship Type="http://schemas.openxmlformats.org/officeDocument/2006/relationships/chart" Target="/xl/charts/chart16.xml" Id="rId13"/><Relationship Type="http://schemas.openxmlformats.org/officeDocument/2006/relationships/chart" Target="/xl/charts/chart17.xml" Id="rId14"/></Relationships>
</file>

<file path=xl/drawings/_rels/drawing5.xml.rels><Relationships xmlns="http://schemas.openxmlformats.org/package/2006/relationships"><Relationship Type="http://schemas.openxmlformats.org/officeDocument/2006/relationships/chart" Target="/xl/charts/chart18.xml" Id="rId1"/></Relationships>
</file>

<file path=xl/drawings/drawing1.xml><?xml version="1.0" encoding="utf-8"?>
<wsDr xmlns="http://schemas.openxmlformats.org/drawingml/2006/spreadsheetDrawing">
  <oneCellAnchor>
    <from>
      <col>1</col>
      <colOff>104775</colOff>
      <row>0</row>
      <rowOff>66675</rowOff>
    </from>
    <ext cx="2028825" cy="1057275"/>
    <pic>
      <nvPicPr>
        <cNvPr id="0"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0</colOff>
      <row>0</row>
      <rowOff>0</rowOff>
    </from>
    <ext cx="2028825" cy="1057275"/>
    <pic>
      <nvPicPr>
        <cNvPr id="0"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0</col>
      <colOff>180975</colOff>
      <row>22</row>
      <rowOff>76200</rowOff>
    </from>
    <ext cx="5819775" cy="336232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7</col>
      <colOff>276225</colOff>
      <row>22</row>
      <rowOff>76200</rowOff>
    </from>
    <ext cx="5924550" cy="3362325"/>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oneCellAnchor>
    <from>
      <col>4</col>
      <colOff>714375</colOff>
      <row>40</row>
      <rowOff>190500</rowOff>
    </from>
    <ext cx="6048375" cy="3019425"/>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fLocksWithSheet="0"/>
  </oneCellAnchor>
</wsDr>
</file>

<file path=xl/drawings/drawing4.xml><?xml version="1.0" encoding="utf-8"?>
<wsDr xmlns="http://schemas.openxmlformats.org/drawingml/2006/spreadsheetDrawing">
  <oneCellAnchor>
    <from>
      <col>0</col>
      <colOff>142875</colOff>
      <row>22</row>
      <rowOff>47625</rowOff>
    </from>
    <ext cx="5295900" cy="28860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8</col>
      <colOff>142875</colOff>
      <row>57</row>
      <rowOff>123825</rowOff>
    </from>
    <ext cx="5810250" cy="310515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oneCellAnchor>
    <from>
      <col>4</col>
      <colOff>847725</colOff>
      <row>98</row>
      <rowOff>190500</rowOff>
    </from>
    <ext cx="5295900" cy="29337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fLocksWithSheet="0"/>
  </oneCellAnchor>
  <oneCellAnchor>
    <from>
      <col>3</col>
      <colOff>723900</colOff>
      <row>82</row>
      <rowOff>0</rowOff>
    </from>
    <ext cx="5295900" cy="2886075"/>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fLocksWithSheet="0"/>
  </oneCellAnchor>
  <oneCellAnchor>
    <from>
      <col>4</col>
      <colOff>9525</colOff>
      <row>117</row>
      <rowOff>190500</rowOff>
    </from>
    <ext cx="5295900" cy="2886075"/>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fLocksWithSheet="0"/>
  </oneCellAnchor>
  <oneCellAnchor>
    <from>
      <col>4</col>
      <colOff>847725</colOff>
      <row>134</row>
      <rowOff>190500</rowOff>
    </from>
    <ext cx="5295900" cy="2886075"/>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fLocksWithSheet="0"/>
  </oneCellAnchor>
  <oneCellAnchor>
    <from>
      <col>2</col>
      <colOff>1724025</colOff>
      <row>150</row>
      <rowOff>190500</rowOff>
    </from>
    <ext cx="5295900" cy="2886075"/>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fLocksWithSheet="0"/>
  </oneCellAnchor>
  <oneCellAnchor>
    <from>
      <col>2</col>
      <colOff>1724025</colOff>
      <row>166</row>
      <rowOff>180975</rowOff>
    </from>
    <ext cx="5295900" cy="268605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fLocksWithSheet="0"/>
  </oneCellAnchor>
  <oneCellAnchor>
    <from>
      <col>2</col>
      <colOff>1724025</colOff>
      <row>182</row>
      <rowOff>190500</rowOff>
    </from>
    <ext cx="5295900" cy="268605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fLocksWithSheet="0"/>
  </oneCellAnchor>
  <oneCellAnchor>
    <from>
      <col>11</col>
      <colOff>781050</colOff>
      <row>39</row>
      <rowOff>190500</rowOff>
    </from>
    <ext cx="4048125" cy="32385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fLocksWithSheet="0"/>
  </oneCellAnchor>
  <oneCellAnchor>
    <from>
      <col>3</col>
      <colOff>723900</colOff>
      <row>199</row>
      <rowOff>0</rowOff>
    </from>
    <ext cx="5191125" cy="32385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fLocksWithSheet="0"/>
  </oneCellAnchor>
  <oneCellAnchor>
    <from>
      <col>12</col>
      <colOff>0</colOff>
      <row>217</row>
      <rowOff>219075</rowOff>
    </from>
    <ext cx="5810250" cy="3362325"/>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fLocksWithSheet="0"/>
  </oneCellAnchor>
  <oneCellAnchor>
    <from>
      <col>12</col>
      <colOff>0</colOff>
      <row>229</row>
      <rowOff>47625</rowOff>
    </from>
    <ext cx="5810250" cy="363855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fLocksWithSheet="0"/>
  </oneCellAnchor>
  <oneCellAnchor>
    <from>
      <col>5</col>
      <colOff>514350</colOff>
      <row>229</row>
      <rowOff>47625</rowOff>
    </from>
    <ext cx="5810250" cy="363855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fLocksWithSheet="0"/>
  </oneCellAnchor>
</wsDr>
</file>

<file path=xl/drawings/drawing5.xml><?xml version="1.0" encoding="utf-8"?>
<wsDr xmlns="http://schemas.openxmlformats.org/drawingml/2006/spreadsheetDrawing">
  <oneCellAnchor>
    <from>
      <col>12</col>
      <colOff>161925</colOff>
      <row>5</row>
      <rowOff>0</rowOff>
    </from>
    <ext cx="5486400" cy="31623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fitToPage="1"/>
  </sheetPr>
  <dimension ref="A1:I220"/>
  <sheetViews>
    <sheetView showGridLines="0" workbookViewId="0">
      <selection activeCell="A1" sqref="A1"/>
    </sheetView>
  </sheetViews>
  <sheetFormatPr baseColWidth="8" defaultColWidth="14.43" defaultRowHeight="15" customHeight="1"/>
  <cols>
    <col width="3" customWidth="1" style="216" min="1" max="1"/>
    <col width="14" customWidth="1" style="216" min="2" max="4"/>
    <col width="18" customWidth="1" style="216" min="5" max="6"/>
    <col width="16" customWidth="1" style="216" min="7" max="7"/>
    <col width="14" customWidth="1" style="216" min="8" max="8"/>
  </cols>
  <sheetData>
    <row r="1" ht="30" customHeight="1" s="216">
      <c r="A1" s="1" t="n"/>
      <c r="B1" s="1" t="n"/>
      <c r="C1" s="1" t="n"/>
      <c r="D1" s="1" t="n"/>
      <c r="E1" s="1" t="n"/>
      <c r="F1" s="1" t="n"/>
      <c r="G1" s="1" t="n"/>
      <c r="H1" s="1" t="n"/>
      <c r="I1" s="1" t="n"/>
    </row>
    <row r="2" ht="30" customHeight="1" s="216">
      <c r="A2" s="1" t="n"/>
      <c r="B2" s="1" t="n"/>
      <c r="C2" s="1" t="n"/>
      <c r="D2" s="1" t="n"/>
      <c r="E2" s="1" t="n"/>
      <c r="F2" s="3" t="n"/>
      <c r="I2" s="1" t="n"/>
    </row>
    <row r="3" ht="15.75" customHeight="1" s="216">
      <c r="A3" s="1" t="n"/>
      <c r="B3" s="1" t="n"/>
      <c r="C3" s="1" t="n"/>
      <c r="D3" s="1" t="n"/>
      <c r="E3" s="1" t="n"/>
      <c r="F3" s="1" t="n"/>
      <c r="G3" s="1" t="n"/>
      <c r="H3" s="1" t="n"/>
      <c r="I3" s="1" t="n"/>
    </row>
    <row r="4">
      <c r="A4" s="1" t="n"/>
      <c r="B4" s="1" t="n"/>
      <c r="C4" s="1" t="n"/>
      <c r="D4" s="1" t="n"/>
      <c r="E4" s="1" t="n"/>
      <c r="F4" s="1" t="n"/>
      <c r="G4" s="1" t="n"/>
      <c r="H4" s="1" t="n"/>
      <c r="I4" s="1" t="n"/>
    </row>
    <row r="5">
      <c r="A5" s="1" t="n"/>
      <c r="B5" s="1" t="n"/>
      <c r="C5" s="1" t="n"/>
      <c r="D5" s="1" t="n"/>
      <c r="E5" s="1" t="n"/>
      <c r="F5" s="1" t="n"/>
      <c r="G5" s="1" t="n"/>
      <c r="H5" s="1" t="n"/>
      <c r="I5" s="1" t="n"/>
    </row>
    <row r="6">
      <c r="A6" s="1" t="n"/>
      <c r="B6" s="7" t="inlineStr">
        <is>
          <t>FoxEco</t>
        </is>
      </c>
      <c r="I6" s="1" t="n"/>
    </row>
    <row r="7">
      <c r="A7" s="1" t="n"/>
      <c r="B7" s="1" t="n"/>
      <c r="C7" s="1" t="n"/>
      <c r="D7" s="1" t="n"/>
      <c r="E7" s="1" t="n"/>
      <c r="F7" s="1" t="n"/>
      <c r="G7" s="1" t="n"/>
      <c r="H7" s="1" t="n"/>
      <c r="I7" s="1" t="n"/>
    </row>
    <row r="8">
      <c r="A8" s="1" t="n"/>
      <c r="B8" s="12" t="inlineStr">
        <is>
          <t>TEST CASE &amp; TEST REPORT</t>
        </is>
      </c>
      <c r="I8" s="1" t="n"/>
    </row>
    <row r="9">
      <c r="A9" s="1" t="n"/>
      <c r="B9" s="14" t="inlineStr">
        <is>
          <t>Bộ tài liệu kiểm thử — quy trình SDLC</t>
        </is>
      </c>
      <c r="I9" s="1" t="n"/>
    </row>
    <row r="10">
      <c r="A10" s="1" t="n"/>
      <c r="B10" s="1" t="n"/>
      <c r="C10" s="1" t="n"/>
      <c r="D10" s="1" t="n"/>
      <c r="E10" s="1" t="n"/>
      <c r="F10" s="1" t="n"/>
      <c r="G10" s="1" t="n"/>
      <c r="H10" s="1" t="n"/>
      <c r="I10" s="1" t="n"/>
    </row>
    <row r="11">
      <c r="A11" s="1" t="n"/>
      <c r="B11" s="1" t="n"/>
      <c r="C11" s="1" t="n"/>
      <c r="D11" s="1" t="n"/>
      <c r="E11" s="1" t="n"/>
      <c r="F11" s="1" t="n"/>
      <c r="G11" s="1" t="n"/>
      <c r="H11" s="1" t="n"/>
      <c r="I11" s="1" t="n"/>
    </row>
    <row r="12" ht="21.75" customHeight="1" s="216">
      <c r="A12" s="1" t="n"/>
      <c r="B12" s="1" t="n"/>
      <c r="C12" s="217" t="inlineStr">
        <is>
          <t>Mã hiệu</t>
        </is>
      </c>
      <c r="D12" s="218" t="n"/>
      <c r="E12" s="219" t="inlineStr">
        <is>
          <t>7.1-BM/PM/HDCV/ISC</t>
        </is>
      </c>
      <c r="F12" s="220" t="n"/>
      <c r="G12" s="218" t="n"/>
      <c r="H12" s="1" t="n"/>
    </row>
    <row r="13" ht="21.75" customHeight="1" s="216">
      <c r="A13" s="1" t="n"/>
      <c r="B13" s="1" t="n"/>
      <c r="C13" s="217" t="inlineStr">
        <is>
          <t>Phiên bản</t>
        </is>
      </c>
      <c r="D13" s="218" t="n"/>
      <c r="E13" s="219" t="inlineStr">
        <is>
          <t>v1.1</t>
        </is>
      </c>
      <c r="F13" s="220" t="n"/>
      <c r="G13" s="218" t="n"/>
      <c r="H13" s="1" t="n"/>
    </row>
    <row r="14">
      <c r="A14" s="1" t="n"/>
      <c r="B14" s="1" t="n"/>
      <c r="C14" s="1" t="n"/>
      <c r="D14" s="1" t="n"/>
      <c r="E14" s="1" t="n"/>
      <c r="F14" s="1" t="n"/>
      <c r="G14" s="1" t="n"/>
      <c r="H14" s="1" t="n"/>
      <c r="I14" s="1" t="n"/>
    </row>
    <row r="15">
      <c r="A15" s="1" t="n"/>
      <c r="B15" s="29" t="inlineStr">
        <is>
          <t>File gồm 2 phần: TEST CASE (viết &amp; theo dõi case) và REPORT (tổng hợp kết quả &amp; bug).</t>
        </is>
      </c>
      <c r="I15" s="1" t="n"/>
    </row>
    <row r="16">
      <c r="A16" s="1" t="n"/>
      <c r="B16" s="32" t="inlineStr">
        <is>
          <t xml:space="preserve">Sheet: Guideline · Revision History · Summary · Dashboard · Report Test · Data · RTM·  Test Cases </t>
        </is>
      </c>
      <c r="I16" s="1" t="n"/>
    </row>
    <row r="17">
      <c r="A17" s="1" t="n"/>
      <c r="B17" s="32" t="n"/>
      <c r="I17" s="1" t="n"/>
    </row>
    <row r="18">
      <c r="A18" s="1" t="n"/>
      <c r="B18" s="1" t="n"/>
      <c r="C18" s="1" t="n"/>
      <c r="D18" s="1" t="n"/>
      <c r="E18" s="1" t="n"/>
      <c r="F18" s="1" t="n"/>
      <c r="G18" s="1" t="n"/>
      <c r="H18" s="1" t="n"/>
      <c r="I18" s="1" t="n"/>
    </row>
    <row r="19" ht="15.75" customHeight="1" s="216">
      <c r="A19" s="1" t="n"/>
      <c r="B19" s="1" t="n"/>
      <c r="C19" s="1" t="n"/>
      <c r="D19" s="1" t="n"/>
      <c r="E19" s="1" t="n"/>
      <c r="F19" s="1" t="n"/>
      <c r="G19" s="1" t="n"/>
      <c r="H19" s="1" t="n"/>
      <c r="I19" s="1" t="n"/>
    </row>
    <row r="20" ht="15.75" customHeight="1" s="216">
      <c r="A20" s="1" t="n"/>
      <c r="B20" s="1" t="n"/>
      <c r="C20" s="1" t="n"/>
      <c r="D20" s="1" t="n"/>
      <c r="E20" s="1" t="n"/>
      <c r="F20" s="1" t="n"/>
      <c r="G20" s="1" t="n"/>
      <c r="H20" s="1" t="n"/>
      <c r="I20" s="1" t="n"/>
    </row>
    <row r="21" ht="15.75" customHeight="1" s="216">
      <c r="A21" s="1" t="n"/>
      <c r="B21" s="1" t="n"/>
      <c r="C21" s="1" t="n"/>
      <c r="D21" s="1" t="n"/>
      <c r="E21" s="1" t="n"/>
      <c r="F21" s="1" t="n"/>
      <c r="G21" s="1" t="n"/>
      <c r="H21" s="1" t="n"/>
      <c r="I21" s="1" t="n"/>
    </row>
    <row r="22" ht="15.75" customHeight="1" s="216">
      <c r="A22" s="1" t="n"/>
      <c r="B22" s="1" t="n"/>
      <c r="C22" s="1" t="n"/>
      <c r="D22" s="1" t="n"/>
      <c r="E22" s="1" t="n"/>
      <c r="F22" s="1" t="n"/>
      <c r="G22" s="1" t="n"/>
      <c r="H22" s="1" t="n"/>
      <c r="I22" s="1" t="n"/>
    </row>
    <row r="23" ht="15.75" customHeight="1" s="216">
      <c r="A23" s="1" t="n"/>
      <c r="B23" s="1" t="n"/>
      <c r="C23" s="1" t="n"/>
      <c r="D23" s="1" t="n"/>
      <c r="E23" s="1" t="n"/>
      <c r="F23" s="1" t="n"/>
      <c r="G23" s="1" t="n"/>
      <c r="H23" s="1" t="n"/>
      <c r="I23" s="1" t="n"/>
    </row>
    <row r="24" ht="15.75" customHeight="1" s="216">
      <c r="A24" s="1" t="n"/>
      <c r="B24" s="1" t="n"/>
      <c r="C24" s="1" t="n"/>
      <c r="D24" s="1" t="n"/>
      <c r="E24" s="1" t="n"/>
      <c r="F24" s="1" t="n"/>
      <c r="G24" s="1" t="n"/>
      <c r="H24" s="1" t="n"/>
      <c r="I24" s="1" t="n"/>
    </row>
    <row r="25" ht="15.75" customHeight="1" s="216">
      <c r="A25" s="1" t="n"/>
      <c r="B25" s="1" t="n"/>
      <c r="C25" s="1" t="n"/>
      <c r="D25" s="1" t="n"/>
      <c r="E25" s="1" t="n"/>
      <c r="F25" s="1" t="n"/>
      <c r="G25" s="1" t="n"/>
      <c r="H25" s="1" t="n"/>
      <c r="I25" s="1" t="n"/>
    </row>
    <row r="26" ht="15.75" customHeight="1" s="216">
      <c r="A26" s="1" t="n"/>
      <c r="B26" s="1" t="n"/>
      <c r="C26" s="1" t="n"/>
      <c r="D26" s="1" t="n"/>
      <c r="E26" s="1" t="n"/>
      <c r="F26" s="1" t="n"/>
      <c r="G26" s="1" t="n"/>
      <c r="H26" s="1" t="n"/>
      <c r="I26" s="1" t="n"/>
    </row>
    <row r="27" ht="15.75" customHeight="1" s="216">
      <c r="A27" s="1" t="n"/>
      <c r="B27" s="1" t="n"/>
      <c r="C27" s="1" t="n"/>
      <c r="D27" s="1" t="n"/>
      <c r="E27" s="1" t="n"/>
      <c r="F27" s="1" t="n"/>
      <c r="G27" s="1" t="n"/>
      <c r="H27" s="1" t="n"/>
      <c r="I27" s="1" t="n"/>
    </row>
    <row r="28" ht="15.75" customHeight="1" s="216">
      <c r="A28" s="1" t="n"/>
      <c r="B28" s="1" t="n"/>
      <c r="C28" s="1" t="n"/>
      <c r="D28" s="1" t="n"/>
      <c r="E28" s="1" t="n"/>
      <c r="F28" s="1" t="n"/>
      <c r="G28" s="1" t="n"/>
      <c r="H28" s="1" t="n"/>
      <c r="I28" s="1" t="n"/>
    </row>
    <row r="29" ht="15.75" customHeight="1" s="216">
      <c r="A29" s="1" t="n"/>
      <c r="B29" s="1" t="n"/>
      <c r="C29" s="1" t="n"/>
      <c r="D29" s="1" t="n"/>
      <c r="E29" s="1" t="n"/>
      <c r="F29" s="1" t="n"/>
      <c r="G29" s="1" t="n"/>
      <c r="H29" s="1" t="n"/>
      <c r="I29" s="1" t="n"/>
    </row>
    <row r="30" ht="15.75" customHeight="1" s="216">
      <c r="A30" s="1" t="n"/>
      <c r="B30" s="1" t="n"/>
      <c r="C30" s="1" t="n"/>
      <c r="D30" s="1" t="n"/>
      <c r="E30" s="1" t="n"/>
      <c r="F30" s="1" t="n"/>
      <c r="G30" s="1" t="n"/>
      <c r="H30" s="1" t="n"/>
      <c r="I30" s="1" t="n"/>
    </row>
    <row r="31" ht="15.75" customHeight="1" s="216">
      <c r="A31" s="1" t="n"/>
      <c r="B31" s="1" t="n"/>
      <c r="C31" s="1" t="n"/>
      <c r="D31" s="1" t="n"/>
      <c r="E31" s="1" t="n"/>
      <c r="F31" s="1" t="n"/>
      <c r="G31" s="1" t="n"/>
      <c r="H31" s="1" t="n"/>
      <c r="I31" s="1" t="n"/>
    </row>
    <row r="32" ht="15.75" customHeight="1" s="216">
      <c r="A32" s="1" t="n"/>
      <c r="B32" s="1" t="n"/>
      <c r="C32" s="1" t="n"/>
      <c r="D32" s="1" t="n"/>
      <c r="E32" s="1" t="n"/>
      <c r="F32" s="1" t="n"/>
      <c r="G32" s="1" t="n"/>
      <c r="H32" s="1" t="n"/>
      <c r="I32" s="1" t="n"/>
    </row>
    <row r="33" ht="15.75" customHeight="1" s="216">
      <c r="A33" s="1" t="n"/>
      <c r="B33" s="1" t="n"/>
      <c r="C33" s="1" t="n"/>
      <c r="D33" s="1" t="n"/>
      <c r="E33" s="1" t="n"/>
      <c r="F33" s="1" t="n"/>
      <c r="G33" s="1" t="n"/>
      <c r="H33" s="1" t="n"/>
      <c r="I33" s="1" t="n"/>
    </row>
    <row r="34" ht="15.75" customHeight="1" s="216">
      <c r="A34" s="1" t="n"/>
      <c r="B34" s="1" t="n"/>
      <c r="C34" s="1" t="n"/>
      <c r="D34" s="1" t="n"/>
      <c r="E34" s="1" t="n"/>
      <c r="F34" s="1" t="n"/>
      <c r="G34" s="1" t="n"/>
      <c r="H34" s="1" t="n"/>
      <c r="I34" s="1" t="n"/>
    </row>
    <row r="35" ht="15.75" customHeight="1" s="216">
      <c r="A35" s="1" t="n"/>
      <c r="B35" s="1" t="n"/>
      <c r="C35" s="1" t="n"/>
      <c r="D35" s="1" t="n"/>
      <c r="E35" s="1" t="n"/>
      <c r="F35" s="1" t="n"/>
      <c r="G35" s="1" t="n"/>
      <c r="H35" s="1" t="n"/>
      <c r="I35" s="1" t="n"/>
    </row>
    <row r="36" ht="15.75" customHeight="1" s="216">
      <c r="A36" s="1" t="n"/>
      <c r="B36" s="1" t="n"/>
      <c r="C36" s="1" t="n"/>
      <c r="D36" s="1" t="n"/>
      <c r="E36" s="1" t="n"/>
      <c r="F36" s="1" t="n"/>
      <c r="G36" s="1" t="n"/>
      <c r="H36" s="1" t="n"/>
      <c r="I36" s="1" t="n"/>
    </row>
    <row r="37" ht="15.75" customHeight="1" s="216">
      <c r="A37" s="1" t="n"/>
      <c r="B37" s="1" t="n"/>
      <c r="C37" s="1" t="n"/>
      <c r="D37" s="1" t="n"/>
      <c r="E37" s="1" t="n"/>
      <c r="F37" s="1" t="n"/>
      <c r="G37" s="1" t="n"/>
      <c r="H37" s="1" t="n"/>
      <c r="I37" s="1" t="n"/>
    </row>
    <row r="38" ht="15.75" customHeight="1" s="216">
      <c r="A38" s="1" t="n"/>
      <c r="B38" s="1" t="n"/>
      <c r="C38" s="1" t="n"/>
      <c r="D38" s="1" t="n"/>
      <c r="E38" s="1" t="n"/>
      <c r="F38" s="1" t="n"/>
      <c r="G38" s="1" t="n"/>
      <c r="H38" s="1" t="n"/>
      <c r="I38" s="1" t="n"/>
    </row>
    <row r="39" ht="15.75" customHeight="1" s="216">
      <c r="A39" s="1" t="n"/>
      <c r="B39" s="1" t="n"/>
      <c r="C39" s="1" t="n"/>
      <c r="D39" s="1" t="n"/>
      <c r="E39" s="1" t="n"/>
      <c r="F39" s="1" t="n"/>
      <c r="G39" s="1" t="n"/>
      <c r="H39" s="1" t="n"/>
      <c r="I39" s="1" t="n"/>
    </row>
    <row r="40" ht="15.75" customHeight="1" s="216">
      <c r="A40" s="1" t="n"/>
      <c r="B40" s="1" t="n"/>
      <c r="C40" s="1" t="n"/>
      <c r="D40" s="1" t="n"/>
      <c r="E40" s="1" t="n"/>
      <c r="F40" s="1" t="n"/>
      <c r="G40" s="1" t="n"/>
      <c r="H40" s="1" t="n"/>
      <c r="I40" s="1" t="n"/>
    </row>
    <row r="41" ht="15.75" customHeight="1" s="216">
      <c r="A41" s="1" t="n"/>
      <c r="B41" s="1" t="n"/>
      <c r="C41" s="1" t="n"/>
      <c r="D41" s="1" t="n"/>
      <c r="E41" s="1" t="n"/>
      <c r="F41" s="1" t="n"/>
      <c r="G41" s="1" t="n"/>
      <c r="H41" s="1" t="n"/>
      <c r="I41" s="1" t="n"/>
    </row>
    <row r="42" ht="15.75" customHeight="1" s="216">
      <c r="A42" s="1" t="n"/>
      <c r="B42" s="1" t="n"/>
      <c r="C42" s="1" t="n"/>
      <c r="D42" s="1" t="n"/>
      <c r="E42" s="1" t="n"/>
      <c r="F42" s="1" t="n"/>
      <c r="G42" s="1" t="n"/>
      <c r="H42" s="1" t="n"/>
      <c r="I42" s="1" t="n"/>
    </row>
    <row r="43" ht="15.75" customHeight="1" s="216">
      <c r="A43" s="1" t="n"/>
      <c r="B43" s="1" t="n"/>
      <c r="C43" s="1" t="n"/>
      <c r="D43" s="1" t="n"/>
      <c r="E43" s="1" t="n"/>
      <c r="F43" s="1" t="n"/>
      <c r="G43" s="1" t="n"/>
      <c r="H43" s="1" t="n"/>
      <c r="I43" s="1" t="n"/>
    </row>
    <row r="44" ht="15.75" customHeight="1" s="216">
      <c r="A44" s="1" t="n"/>
      <c r="B44" s="1" t="n"/>
      <c r="C44" s="1" t="n"/>
      <c r="D44" s="1" t="n"/>
      <c r="E44" s="1" t="n"/>
      <c r="F44" s="1" t="n"/>
      <c r="G44" s="1" t="n"/>
      <c r="H44" s="1" t="n"/>
      <c r="I44" s="1" t="n"/>
    </row>
    <row r="45" ht="15.75" customHeight="1" s="216">
      <c r="A45" s="1" t="n"/>
      <c r="B45" s="1" t="n"/>
      <c r="C45" s="1" t="n"/>
      <c r="D45" s="1" t="n"/>
      <c r="E45" s="1" t="n"/>
      <c r="F45" s="1" t="n"/>
      <c r="G45" s="1" t="n"/>
      <c r="H45" s="1" t="n"/>
      <c r="I45" s="1" t="n"/>
    </row>
    <row r="46" ht="15.75" customHeight="1" s="216">
      <c r="A46" s="1" t="n"/>
      <c r="B46" s="1" t="n"/>
      <c r="C46" s="1" t="n"/>
      <c r="D46" s="1" t="n"/>
      <c r="E46" s="1" t="n"/>
      <c r="F46" s="1" t="n"/>
      <c r="G46" s="1" t="n"/>
      <c r="H46" s="1" t="n"/>
      <c r="I46" s="1" t="n"/>
    </row>
    <row r="47" ht="15.75" customHeight="1" s="216">
      <c r="A47" s="1" t="n"/>
      <c r="B47" s="1" t="n"/>
      <c r="C47" s="1" t="n"/>
      <c r="D47" s="1" t="n"/>
      <c r="E47" s="1" t="n"/>
      <c r="F47" s="1" t="n"/>
      <c r="G47" s="1" t="n"/>
      <c r="H47" s="1" t="n"/>
      <c r="I47" s="1" t="n"/>
    </row>
    <row r="48" ht="15.75" customHeight="1" s="216">
      <c r="A48" s="1" t="n"/>
      <c r="B48" s="1" t="n"/>
      <c r="C48" s="1" t="n"/>
      <c r="D48" s="1" t="n"/>
      <c r="E48" s="1" t="n"/>
      <c r="F48" s="1" t="n"/>
      <c r="G48" s="1" t="n"/>
      <c r="H48" s="1" t="n"/>
      <c r="I48" s="1" t="n"/>
    </row>
    <row r="49" ht="15.75" customHeight="1" s="216">
      <c r="A49" s="1" t="n"/>
      <c r="B49" s="1" t="n"/>
      <c r="C49" s="1" t="n"/>
      <c r="D49" s="1" t="n"/>
      <c r="E49" s="1" t="n"/>
      <c r="F49" s="1" t="n"/>
      <c r="G49" s="1" t="n"/>
      <c r="H49" s="1" t="n"/>
      <c r="I49" s="1" t="n"/>
    </row>
    <row r="50" ht="15.75" customHeight="1" s="216">
      <c r="A50" s="1" t="n"/>
      <c r="B50" s="1" t="n"/>
      <c r="C50" s="1" t="n"/>
      <c r="D50" s="1" t="n"/>
      <c r="E50" s="1" t="n"/>
      <c r="F50" s="1" t="n"/>
      <c r="G50" s="1" t="n"/>
      <c r="H50" s="1" t="n"/>
      <c r="I50" s="1" t="n"/>
    </row>
    <row r="51" ht="15.75" customHeight="1" s="216">
      <c r="A51" s="1" t="n"/>
      <c r="B51" s="1" t="n"/>
      <c r="C51" s="1" t="n"/>
      <c r="D51" s="1" t="n"/>
      <c r="E51" s="1" t="n"/>
      <c r="F51" s="1" t="n"/>
      <c r="G51" s="1" t="n"/>
      <c r="H51" s="1" t="n"/>
      <c r="I51" s="1" t="n"/>
    </row>
    <row r="52" ht="15.75" customHeight="1" s="216">
      <c r="A52" s="1" t="n"/>
      <c r="B52" s="1" t="n"/>
      <c r="C52" s="1" t="n"/>
      <c r="D52" s="1" t="n"/>
      <c r="E52" s="1" t="n"/>
      <c r="F52" s="1" t="n"/>
      <c r="G52" s="1" t="n"/>
      <c r="H52" s="1" t="n"/>
      <c r="I52" s="1" t="n"/>
    </row>
    <row r="53" ht="15.75" customHeight="1" s="216">
      <c r="A53" s="1" t="n"/>
      <c r="B53" s="1" t="n"/>
      <c r="C53" s="1" t="n"/>
      <c r="D53" s="1" t="n"/>
      <c r="E53" s="1" t="n"/>
      <c r="F53" s="1" t="n"/>
      <c r="G53" s="1" t="n"/>
      <c r="H53" s="1" t="n"/>
      <c r="I53" s="1" t="n"/>
    </row>
    <row r="54" ht="15.75" customHeight="1" s="216">
      <c r="A54" s="1" t="n"/>
      <c r="B54" s="1" t="n"/>
      <c r="C54" s="1" t="n"/>
      <c r="D54" s="1" t="n"/>
      <c r="E54" s="1" t="n"/>
      <c r="F54" s="1" t="n"/>
      <c r="G54" s="1" t="n"/>
      <c r="H54" s="1" t="n"/>
      <c r="I54" s="1" t="n"/>
    </row>
    <row r="55" ht="15.75" customHeight="1" s="216">
      <c r="A55" s="1" t="n"/>
      <c r="B55" s="1" t="n"/>
      <c r="C55" s="1" t="n"/>
      <c r="D55" s="1" t="n"/>
      <c r="E55" s="1" t="n"/>
      <c r="F55" s="1" t="n"/>
      <c r="G55" s="1" t="n"/>
      <c r="H55" s="1" t="n"/>
      <c r="I55" s="1" t="n"/>
    </row>
    <row r="56" ht="15.75" customHeight="1" s="216">
      <c r="A56" s="1" t="n"/>
      <c r="B56" s="1" t="n"/>
      <c r="C56" s="1" t="n"/>
      <c r="D56" s="1" t="n"/>
      <c r="E56" s="1" t="n"/>
      <c r="F56" s="1" t="n"/>
      <c r="G56" s="1" t="n"/>
      <c r="H56" s="1" t="n"/>
      <c r="I56" s="1" t="n"/>
    </row>
    <row r="57" ht="15.75" customHeight="1" s="216">
      <c r="A57" s="1" t="n"/>
      <c r="B57" s="1" t="n"/>
      <c r="C57" s="1" t="n"/>
      <c r="D57" s="1" t="n"/>
      <c r="E57" s="1" t="n"/>
      <c r="F57" s="1" t="n"/>
      <c r="G57" s="1" t="n"/>
      <c r="H57" s="1" t="n"/>
      <c r="I57" s="1" t="n"/>
    </row>
    <row r="58" ht="15.75" customHeight="1" s="216">
      <c r="A58" s="1" t="n"/>
      <c r="B58" s="1" t="n"/>
      <c r="C58" s="1" t="n"/>
      <c r="D58" s="1" t="n"/>
      <c r="E58" s="1" t="n"/>
      <c r="F58" s="1" t="n"/>
      <c r="G58" s="1" t="n"/>
      <c r="H58" s="1" t="n"/>
      <c r="I58" s="1" t="n"/>
    </row>
    <row r="59" ht="15.75" customHeight="1" s="216">
      <c r="A59" s="1" t="n"/>
      <c r="B59" s="1" t="n"/>
      <c r="C59" s="1" t="n"/>
      <c r="D59" s="1" t="n"/>
      <c r="E59" s="1" t="n"/>
      <c r="F59" s="1" t="n"/>
      <c r="G59" s="1" t="n"/>
      <c r="H59" s="1" t="n"/>
      <c r="I59" s="1" t="n"/>
    </row>
    <row r="60" ht="15.75" customHeight="1" s="216">
      <c r="A60" s="1" t="n"/>
      <c r="B60" s="1" t="n"/>
      <c r="C60" s="1" t="n"/>
      <c r="D60" s="1" t="n"/>
      <c r="E60" s="1" t="n"/>
      <c r="F60" s="1" t="n"/>
      <c r="G60" s="1" t="n"/>
      <c r="H60" s="1" t="n"/>
      <c r="I60" s="1" t="n"/>
    </row>
    <row r="61" ht="15.75" customHeight="1" s="216">
      <c r="A61" s="1" t="n"/>
      <c r="B61" s="1" t="n"/>
      <c r="C61" s="1" t="n"/>
      <c r="D61" s="1" t="n"/>
      <c r="E61" s="1" t="n"/>
      <c r="F61" s="1" t="n"/>
      <c r="G61" s="1" t="n"/>
      <c r="H61" s="1" t="n"/>
      <c r="I61" s="1" t="n"/>
    </row>
    <row r="62" ht="15.75" customHeight="1" s="216">
      <c r="A62" s="1" t="n"/>
      <c r="B62" s="1" t="n"/>
      <c r="C62" s="1" t="n"/>
      <c r="D62" s="1" t="n"/>
      <c r="E62" s="1" t="n"/>
      <c r="F62" s="1" t="n"/>
      <c r="G62" s="1" t="n"/>
      <c r="H62" s="1" t="n"/>
      <c r="I62" s="1" t="n"/>
    </row>
    <row r="63" ht="15.75" customHeight="1" s="216">
      <c r="A63" s="1" t="n"/>
      <c r="B63" s="1" t="n"/>
      <c r="C63" s="1" t="n"/>
      <c r="D63" s="1" t="n"/>
      <c r="E63" s="1" t="n"/>
      <c r="F63" s="1" t="n"/>
      <c r="G63" s="1" t="n"/>
      <c r="H63" s="1" t="n"/>
      <c r="I63" s="1" t="n"/>
    </row>
    <row r="64" ht="15.75" customHeight="1" s="216">
      <c r="A64" s="1" t="n"/>
      <c r="B64" s="1" t="n"/>
      <c r="C64" s="1" t="n"/>
      <c r="D64" s="1" t="n"/>
      <c r="E64" s="1" t="n"/>
      <c r="F64" s="1" t="n"/>
      <c r="G64" s="1" t="n"/>
      <c r="H64" s="1" t="n"/>
      <c r="I64" s="1" t="n"/>
    </row>
    <row r="65" ht="15.75" customHeight="1" s="216">
      <c r="A65" s="1" t="n"/>
      <c r="B65" s="1" t="n"/>
      <c r="C65" s="1" t="n"/>
      <c r="D65" s="1" t="n"/>
      <c r="E65" s="1" t="n"/>
      <c r="F65" s="1" t="n"/>
      <c r="G65" s="1" t="n"/>
      <c r="H65" s="1" t="n"/>
      <c r="I65" s="1" t="n"/>
    </row>
    <row r="66" ht="15.75" customHeight="1" s="216">
      <c r="A66" s="1" t="n"/>
      <c r="B66" s="1" t="n"/>
      <c r="C66" s="1" t="n"/>
      <c r="D66" s="1" t="n"/>
      <c r="E66" s="1" t="n"/>
      <c r="F66" s="1" t="n"/>
      <c r="G66" s="1" t="n"/>
      <c r="H66" s="1" t="n"/>
      <c r="I66" s="1" t="n"/>
    </row>
    <row r="67" ht="15.75" customHeight="1" s="216">
      <c r="A67" s="1" t="n"/>
      <c r="B67" s="1" t="n"/>
      <c r="C67" s="1" t="n"/>
      <c r="D67" s="1" t="n"/>
      <c r="E67" s="1" t="n"/>
      <c r="F67" s="1" t="n"/>
      <c r="G67" s="1" t="n"/>
      <c r="H67" s="1" t="n"/>
      <c r="I67" s="1" t="n"/>
    </row>
    <row r="68" ht="15.75" customHeight="1" s="216">
      <c r="A68" s="1" t="n"/>
      <c r="B68" s="1" t="n"/>
      <c r="C68" s="1" t="n"/>
      <c r="D68" s="1" t="n"/>
      <c r="E68" s="1" t="n"/>
      <c r="F68" s="1" t="n"/>
      <c r="G68" s="1" t="n"/>
      <c r="H68" s="1" t="n"/>
      <c r="I68" s="1" t="n"/>
    </row>
    <row r="69" ht="15.75" customHeight="1" s="216">
      <c r="A69" s="1" t="n"/>
      <c r="B69" s="1" t="n"/>
      <c r="C69" s="1" t="n"/>
      <c r="D69" s="1" t="n"/>
      <c r="E69" s="1" t="n"/>
      <c r="F69" s="1" t="n"/>
      <c r="G69" s="1" t="n"/>
      <c r="H69" s="1" t="n"/>
      <c r="I69" s="1" t="n"/>
    </row>
    <row r="70" ht="15.75" customHeight="1" s="216">
      <c r="A70" s="1" t="n"/>
      <c r="B70" s="1" t="n"/>
      <c r="C70" s="1" t="n"/>
      <c r="D70" s="1" t="n"/>
      <c r="E70" s="1" t="n"/>
      <c r="F70" s="1" t="n"/>
      <c r="G70" s="1" t="n"/>
      <c r="H70" s="1" t="n"/>
      <c r="I70" s="1" t="n"/>
    </row>
    <row r="71" ht="15.75" customHeight="1" s="216">
      <c r="A71" s="1" t="n"/>
      <c r="B71" s="1" t="n"/>
      <c r="C71" s="1" t="n"/>
      <c r="D71" s="1" t="n"/>
      <c r="E71" s="1" t="n"/>
      <c r="F71" s="1" t="n"/>
      <c r="G71" s="1" t="n"/>
      <c r="H71" s="1" t="n"/>
      <c r="I71" s="1" t="n"/>
    </row>
    <row r="72" ht="15.75" customHeight="1" s="216">
      <c r="A72" s="1" t="n"/>
      <c r="B72" s="1" t="n"/>
      <c r="C72" s="1" t="n"/>
      <c r="D72" s="1" t="n"/>
      <c r="E72" s="1" t="n"/>
      <c r="F72" s="1" t="n"/>
      <c r="G72" s="1" t="n"/>
      <c r="H72" s="1" t="n"/>
      <c r="I72" s="1" t="n"/>
    </row>
    <row r="73" ht="15.75" customHeight="1" s="216">
      <c r="A73" s="1" t="n"/>
      <c r="B73" s="1" t="n"/>
      <c r="C73" s="1" t="n"/>
      <c r="D73" s="1" t="n"/>
      <c r="E73" s="1" t="n"/>
      <c r="F73" s="1" t="n"/>
      <c r="G73" s="1" t="n"/>
      <c r="H73" s="1" t="n"/>
      <c r="I73" s="1" t="n"/>
    </row>
    <row r="74" ht="15.75" customHeight="1" s="216">
      <c r="A74" s="1" t="n"/>
      <c r="B74" s="1" t="n"/>
      <c r="C74" s="1" t="n"/>
      <c r="D74" s="1" t="n"/>
      <c r="E74" s="1" t="n"/>
      <c r="F74" s="1" t="n"/>
      <c r="G74" s="1" t="n"/>
      <c r="H74" s="1" t="n"/>
      <c r="I74" s="1" t="n"/>
    </row>
    <row r="75" ht="15.75" customHeight="1" s="216">
      <c r="A75" s="1" t="n"/>
      <c r="B75" s="1" t="n"/>
      <c r="C75" s="1" t="n"/>
      <c r="D75" s="1" t="n"/>
      <c r="E75" s="1" t="n"/>
      <c r="F75" s="1" t="n"/>
      <c r="G75" s="1" t="n"/>
      <c r="H75" s="1" t="n"/>
      <c r="I75" s="1" t="n"/>
    </row>
    <row r="76" ht="15.75" customHeight="1" s="216">
      <c r="A76" s="1" t="n"/>
      <c r="B76" s="1" t="n"/>
      <c r="C76" s="1" t="n"/>
      <c r="D76" s="1" t="n"/>
      <c r="E76" s="1" t="n"/>
      <c r="F76" s="1" t="n"/>
      <c r="G76" s="1" t="n"/>
      <c r="H76" s="1" t="n"/>
      <c r="I76" s="1" t="n"/>
    </row>
    <row r="77" ht="15.75" customHeight="1" s="216">
      <c r="A77" s="1" t="n"/>
      <c r="B77" s="1" t="n"/>
      <c r="C77" s="1" t="n"/>
      <c r="D77" s="1" t="n"/>
      <c r="E77" s="1" t="n"/>
      <c r="F77" s="1" t="n"/>
      <c r="G77" s="1" t="n"/>
      <c r="H77" s="1" t="n"/>
      <c r="I77" s="1" t="n"/>
    </row>
    <row r="78" ht="15.75" customHeight="1" s="216">
      <c r="A78" s="1" t="n"/>
      <c r="B78" s="1" t="n"/>
      <c r="C78" s="1" t="n"/>
      <c r="D78" s="1" t="n"/>
      <c r="E78" s="1" t="n"/>
      <c r="F78" s="1" t="n"/>
      <c r="G78" s="1" t="n"/>
      <c r="H78" s="1" t="n"/>
      <c r="I78" s="1" t="n"/>
    </row>
    <row r="79" ht="15.75" customHeight="1" s="216">
      <c r="A79" s="1" t="n"/>
      <c r="B79" s="1" t="n"/>
      <c r="C79" s="1" t="n"/>
      <c r="D79" s="1" t="n"/>
      <c r="E79" s="1" t="n"/>
      <c r="F79" s="1" t="n"/>
      <c r="G79" s="1" t="n"/>
      <c r="H79" s="1" t="n"/>
      <c r="I79" s="1" t="n"/>
    </row>
    <row r="80" ht="15.75" customHeight="1" s="216">
      <c r="A80" s="1" t="n"/>
      <c r="B80" s="1" t="n"/>
      <c r="C80" s="1" t="n"/>
      <c r="D80" s="1" t="n"/>
      <c r="E80" s="1" t="n"/>
      <c r="F80" s="1" t="n"/>
      <c r="G80" s="1" t="n"/>
      <c r="H80" s="1" t="n"/>
      <c r="I80" s="1" t="n"/>
    </row>
    <row r="81" ht="15.75" customHeight="1" s="216">
      <c r="A81" s="1" t="n"/>
      <c r="B81" s="1" t="n"/>
      <c r="C81" s="1" t="n"/>
      <c r="D81" s="1" t="n"/>
      <c r="E81" s="1" t="n"/>
      <c r="F81" s="1" t="n"/>
      <c r="G81" s="1" t="n"/>
      <c r="H81" s="1" t="n"/>
      <c r="I81" s="1" t="n"/>
    </row>
    <row r="82" ht="15.75" customHeight="1" s="216">
      <c r="A82" s="1" t="n"/>
      <c r="B82" s="1" t="n"/>
      <c r="C82" s="1" t="n"/>
      <c r="D82" s="1" t="n"/>
      <c r="E82" s="1" t="n"/>
      <c r="F82" s="1" t="n"/>
      <c r="G82" s="1" t="n"/>
      <c r="H82" s="1" t="n"/>
      <c r="I82" s="1" t="n"/>
    </row>
    <row r="83" ht="15.75" customHeight="1" s="216">
      <c r="A83" s="1" t="n"/>
      <c r="B83" s="1" t="n"/>
      <c r="C83" s="1" t="n"/>
      <c r="D83" s="1" t="n"/>
      <c r="E83" s="1" t="n"/>
      <c r="F83" s="1" t="n"/>
      <c r="G83" s="1" t="n"/>
      <c r="H83" s="1" t="n"/>
      <c r="I83" s="1" t="n"/>
    </row>
    <row r="84" ht="15.75" customHeight="1" s="216">
      <c r="A84" s="1" t="n"/>
      <c r="B84" s="1" t="n"/>
      <c r="C84" s="1" t="n"/>
      <c r="D84" s="1" t="n"/>
      <c r="E84" s="1" t="n"/>
      <c r="F84" s="1" t="n"/>
      <c r="G84" s="1" t="n"/>
      <c r="H84" s="1" t="n"/>
      <c r="I84" s="1" t="n"/>
    </row>
    <row r="85" ht="15.75" customHeight="1" s="216">
      <c r="A85" s="1" t="n"/>
      <c r="B85" s="1" t="n"/>
      <c r="C85" s="1" t="n"/>
      <c r="D85" s="1" t="n"/>
      <c r="E85" s="1" t="n"/>
      <c r="F85" s="1" t="n"/>
      <c r="G85" s="1" t="n"/>
      <c r="H85" s="1" t="n"/>
      <c r="I85" s="1" t="n"/>
    </row>
    <row r="86" ht="15.75" customHeight="1" s="216">
      <c r="A86" s="1" t="n"/>
      <c r="B86" s="1" t="n"/>
      <c r="C86" s="1" t="n"/>
      <c r="D86" s="1" t="n"/>
      <c r="E86" s="1" t="n"/>
      <c r="F86" s="1" t="n"/>
      <c r="G86" s="1" t="n"/>
      <c r="H86" s="1" t="n"/>
      <c r="I86" s="1" t="n"/>
    </row>
    <row r="87" ht="15.75" customHeight="1" s="216">
      <c r="A87" s="1" t="n"/>
      <c r="B87" s="1" t="n"/>
      <c r="C87" s="1" t="n"/>
      <c r="D87" s="1" t="n"/>
      <c r="E87" s="1" t="n"/>
      <c r="F87" s="1" t="n"/>
      <c r="G87" s="1" t="n"/>
      <c r="H87" s="1" t="n"/>
      <c r="I87" s="1" t="n"/>
    </row>
    <row r="88" ht="15.75" customHeight="1" s="216">
      <c r="A88" s="1" t="n"/>
      <c r="B88" s="1" t="n"/>
      <c r="C88" s="1" t="n"/>
      <c r="D88" s="1" t="n"/>
      <c r="E88" s="1" t="n"/>
      <c r="F88" s="1" t="n"/>
      <c r="G88" s="1" t="n"/>
      <c r="H88" s="1" t="n"/>
      <c r="I88" s="1" t="n"/>
    </row>
    <row r="89" ht="15.75" customHeight="1" s="216">
      <c r="A89" s="1" t="n"/>
      <c r="B89" s="1" t="n"/>
      <c r="C89" s="1" t="n"/>
      <c r="D89" s="1" t="n"/>
      <c r="E89" s="1" t="n"/>
      <c r="F89" s="1" t="n"/>
      <c r="G89" s="1" t="n"/>
      <c r="H89" s="1" t="n"/>
      <c r="I89" s="1" t="n"/>
    </row>
    <row r="90" ht="15.75" customHeight="1" s="216">
      <c r="A90" s="1" t="n"/>
      <c r="B90" s="1" t="n"/>
      <c r="C90" s="1" t="n"/>
      <c r="D90" s="1" t="n"/>
      <c r="E90" s="1" t="n"/>
      <c r="F90" s="1" t="n"/>
      <c r="G90" s="1" t="n"/>
      <c r="H90" s="1" t="n"/>
      <c r="I90" s="1" t="n"/>
    </row>
    <row r="91" ht="15.75" customHeight="1" s="216">
      <c r="A91" s="1" t="n"/>
      <c r="B91" s="1" t="n"/>
      <c r="C91" s="1" t="n"/>
      <c r="D91" s="1" t="n"/>
      <c r="E91" s="1" t="n"/>
      <c r="F91" s="1" t="n"/>
      <c r="G91" s="1" t="n"/>
      <c r="H91" s="1" t="n"/>
      <c r="I91" s="1" t="n"/>
    </row>
    <row r="92" ht="15.75" customHeight="1" s="216">
      <c r="A92" s="1" t="n"/>
      <c r="B92" s="1" t="n"/>
      <c r="C92" s="1" t="n"/>
      <c r="D92" s="1" t="n"/>
      <c r="E92" s="1" t="n"/>
      <c r="F92" s="1" t="n"/>
      <c r="G92" s="1" t="n"/>
      <c r="H92" s="1" t="n"/>
      <c r="I92" s="1" t="n"/>
    </row>
    <row r="93" ht="15.75" customHeight="1" s="216">
      <c r="A93" s="1" t="n"/>
      <c r="B93" s="1" t="n"/>
      <c r="C93" s="1" t="n"/>
      <c r="D93" s="1" t="n"/>
      <c r="E93" s="1" t="n"/>
      <c r="F93" s="1" t="n"/>
      <c r="G93" s="1" t="n"/>
      <c r="H93" s="1" t="n"/>
      <c r="I93" s="1" t="n"/>
    </row>
    <row r="94" ht="15.75" customHeight="1" s="216">
      <c r="A94" s="1" t="n"/>
      <c r="B94" s="1" t="n"/>
      <c r="C94" s="1" t="n"/>
      <c r="D94" s="1" t="n"/>
      <c r="E94" s="1" t="n"/>
      <c r="F94" s="1" t="n"/>
      <c r="G94" s="1" t="n"/>
      <c r="H94" s="1" t="n"/>
      <c r="I94" s="1" t="n"/>
    </row>
    <row r="95" ht="15.75" customHeight="1" s="216">
      <c r="A95" s="1" t="n"/>
      <c r="B95" s="1" t="n"/>
      <c r="C95" s="1" t="n"/>
      <c r="D95" s="1" t="n"/>
      <c r="E95" s="1" t="n"/>
      <c r="F95" s="1" t="n"/>
      <c r="G95" s="1" t="n"/>
      <c r="H95" s="1" t="n"/>
      <c r="I95" s="1" t="n"/>
    </row>
    <row r="96" ht="15.75" customHeight="1" s="216">
      <c r="A96" s="1" t="n"/>
      <c r="B96" s="1" t="n"/>
      <c r="C96" s="1" t="n"/>
      <c r="D96" s="1" t="n"/>
      <c r="E96" s="1" t="n"/>
      <c r="F96" s="1" t="n"/>
      <c r="G96" s="1" t="n"/>
      <c r="H96" s="1" t="n"/>
      <c r="I96" s="1" t="n"/>
    </row>
    <row r="97" ht="15.75" customHeight="1" s="216">
      <c r="A97" s="1" t="n"/>
      <c r="B97" s="1" t="n"/>
      <c r="C97" s="1" t="n"/>
      <c r="D97" s="1" t="n"/>
      <c r="E97" s="1" t="n"/>
      <c r="F97" s="1" t="n"/>
      <c r="G97" s="1" t="n"/>
      <c r="H97" s="1" t="n"/>
      <c r="I97" s="1" t="n"/>
    </row>
    <row r="98" ht="15.75" customHeight="1" s="216">
      <c r="A98" s="1" t="n"/>
      <c r="B98" s="1" t="n"/>
      <c r="C98" s="1" t="n"/>
      <c r="D98" s="1" t="n"/>
      <c r="E98" s="1" t="n"/>
      <c r="F98" s="1" t="n"/>
      <c r="G98" s="1" t="n"/>
      <c r="H98" s="1" t="n"/>
      <c r="I98" s="1" t="n"/>
    </row>
    <row r="99" ht="15.75" customHeight="1" s="216">
      <c r="A99" s="1" t="n"/>
      <c r="B99" s="1" t="n"/>
      <c r="C99" s="1" t="n"/>
      <c r="D99" s="1" t="n"/>
      <c r="E99" s="1" t="n"/>
      <c r="F99" s="1" t="n"/>
      <c r="G99" s="1" t="n"/>
      <c r="H99" s="1" t="n"/>
      <c r="I99" s="1" t="n"/>
    </row>
    <row r="100" ht="15.75" customHeight="1" s="216">
      <c r="A100" s="1" t="n"/>
      <c r="B100" s="1" t="n"/>
      <c r="C100" s="1" t="n"/>
      <c r="D100" s="1" t="n"/>
      <c r="E100" s="1" t="n"/>
      <c r="F100" s="1" t="n"/>
      <c r="G100" s="1" t="n"/>
      <c r="H100" s="1" t="n"/>
      <c r="I100" s="1" t="n"/>
    </row>
    <row r="101" ht="15.75" customHeight="1" s="216">
      <c r="A101" s="1" t="n"/>
      <c r="B101" s="1" t="n"/>
      <c r="C101" s="1" t="n"/>
      <c r="D101" s="1" t="n"/>
      <c r="E101" s="1" t="n"/>
      <c r="F101" s="1" t="n"/>
      <c r="G101" s="1" t="n"/>
      <c r="H101" s="1" t="n"/>
      <c r="I101" s="1" t="n"/>
    </row>
    <row r="102" ht="15.75" customHeight="1" s="216">
      <c r="A102" s="1" t="n"/>
      <c r="B102" s="1" t="n"/>
      <c r="C102" s="1" t="n"/>
      <c r="D102" s="1" t="n"/>
      <c r="E102" s="1" t="n"/>
      <c r="F102" s="1" t="n"/>
      <c r="G102" s="1" t="n"/>
      <c r="H102" s="1" t="n"/>
      <c r="I102" s="1" t="n"/>
    </row>
    <row r="103" ht="15.75" customHeight="1" s="216">
      <c r="A103" s="1" t="n"/>
      <c r="B103" s="1" t="n"/>
      <c r="C103" s="1" t="n"/>
      <c r="D103" s="1" t="n"/>
      <c r="E103" s="1" t="n"/>
      <c r="F103" s="1" t="n"/>
      <c r="G103" s="1" t="n"/>
      <c r="H103" s="1" t="n"/>
      <c r="I103" s="1" t="n"/>
    </row>
    <row r="104" ht="15.75" customHeight="1" s="216">
      <c r="A104" s="1" t="n"/>
      <c r="B104" s="1" t="n"/>
      <c r="C104" s="1" t="n"/>
      <c r="D104" s="1" t="n"/>
      <c r="E104" s="1" t="n"/>
      <c r="F104" s="1" t="n"/>
      <c r="G104" s="1" t="n"/>
      <c r="H104" s="1" t="n"/>
      <c r="I104" s="1" t="n"/>
    </row>
    <row r="105" ht="15.75" customHeight="1" s="216">
      <c r="A105" s="1" t="n"/>
      <c r="B105" s="1" t="n"/>
      <c r="C105" s="1" t="n"/>
      <c r="D105" s="1" t="n"/>
      <c r="E105" s="1" t="n"/>
      <c r="F105" s="1" t="n"/>
      <c r="G105" s="1" t="n"/>
      <c r="H105" s="1" t="n"/>
      <c r="I105" s="1" t="n"/>
    </row>
    <row r="106" ht="15.75" customHeight="1" s="216">
      <c r="A106" s="1" t="n"/>
      <c r="B106" s="1" t="n"/>
      <c r="C106" s="1" t="n"/>
      <c r="D106" s="1" t="n"/>
      <c r="E106" s="1" t="n"/>
      <c r="F106" s="1" t="n"/>
      <c r="G106" s="1" t="n"/>
      <c r="H106" s="1" t="n"/>
      <c r="I106" s="1" t="n"/>
    </row>
    <row r="107" ht="15.75" customHeight="1" s="216">
      <c r="A107" s="1" t="n"/>
      <c r="B107" s="1" t="n"/>
      <c r="C107" s="1" t="n"/>
      <c r="D107" s="1" t="n"/>
      <c r="E107" s="1" t="n"/>
      <c r="F107" s="1" t="n"/>
      <c r="G107" s="1" t="n"/>
      <c r="H107" s="1" t="n"/>
      <c r="I107" s="1" t="n"/>
    </row>
    <row r="108" ht="15.75" customHeight="1" s="216">
      <c r="A108" s="1" t="n"/>
      <c r="B108" s="1" t="n"/>
      <c r="C108" s="1" t="n"/>
      <c r="D108" s="1" t="n"/>
      <c r="E108" s="1" t="n"/>
      <c r="F108" s="1" t="n"/>
      <c r="G108" s="1" t="n"/>
      <c r="H108" s="1" t="n"/>
      <c r="I108" s="1" t="n"/>
    </row>
    <row r="109" ht="15.75" customHeight="1" s="216">
      <c r="A109" s="1" t="n"/>
      <c r="B109" s="1" t="n"/>
      <c r="C109" s="1" t="n"/>
      <c r="D109" s="1" t="n"/>
      <c r="E109" s="1" t="n"/>
      <c r="F109" s="1" t="n"/>
      <c r="G109" s="1" t="n"/>
      <c r="H109" s="1" t="n"/>
      <c r="I109" s="1" t="n"/>
    </row>
    <row r="110" ht="15.75" customHeight="1" s="216">
      <c r="A110" s="1" t="n"/>
      <c r="B110" s="1" t="n"/>
      <c r="C110" s="1" t="n"/>
      <c r="D110" s="1" t="n"/>
      <c r="E110" s="1" t="n"/>
      <c r="F110" s="1" t="n"/>
      <c r="G110" s="1" t="n"/>
      <c r="H110" s="1" t="n"/>
      <c r="I110" s="1" t="n"/>
    </row>
    <row r="111" ht="15.75" customHeight="1" s="216">
      <c r="A111" s="1" t="n"/>
      <c r="B111" s="1" t="n"/>
      <c r="C111" s="1" t="n"/>
      <c r="D111" s="1" t="n"/>
      <c r="E111" s="1" t="n"/>
      <c r="F111" s="1" t="n"/>
      <c r="G111" s="1" t="n"/>
      <c r="H111" s="1" t="n"/>
      <c r="I111" s="1" t="n"/>
    </row>
    <row r="112" ht="15.75" customHeight="1" s="216">
      <c r="A112" s="1" t="n"/>
      <c r="B112" s="1" t="n"/>
      <c r="C112" s="1" t="n"/>
      <c r="D112" s="1" t="n"/>
      <c r="E112" s="1" t="n"/>
      <c r="F112" s="1" t="n"/>
      <c r="G112" s="1" t="n"/>
      <c r="H112" s="1" t="n"/>
      <c r="I112" s="1" t="n"/>
    </row>
    <row r="113" ht="15.75" customHeight="1" s="216">
      <c r="A113" s="1" t="n"/>
      <c r="B113" s="1" t="n"/>
      <c r="C113" s="1" t="n"/>
      <c r="D113" s="1" t="n"/>
      <c r="E113" s="1" t="n"/>
      <c r="F113" s="1" t="n"/>
      <c r="G113" s="1" t="n"/>
      <c r="H113" s="1" t="n"/>
      <c r="I113" s="1" t="n"/>
    </row>
    <row r="114" ht="15.75" customHeight="1" s="216">
      <c r="A114" s="1" t="n"/>
      <c r="B114" s="1" t="n"/>
      <c r="C114" s="1" t="n"/>
      <c r="D114" s="1" t="n"/>
      <c r="E114" s="1" t="n"/>
      <c r="F114" s="1" t="n"/>
      <c r="G114" s="1" t="n"/>
      <c r="H114" s="1" t="n"/>
      <c r="I114" s="1" t="n"/>
    </row>
    <row r="115" ht="15.75" customHeight="1" s="216">
      <c r="A115" s="1" t="n"/>
      <c r="B115" s="1" t="n"/>
      <c r="C115" s="1" t="n"/>
      <c r="D115" s="1" t="n"/>
      <c r="E115" s="1" t="n"/>
      <c r="F115" s="1" t="n"/>
      <c r="G115" s="1" t="n"/>
      <c r="H115" s="1" t="n"/>
      <c r="I115" s="1" t="n"/>
    </row>
    <row r="116" ht="15.75" customHeight="1" s="216">
      <c r="A116" s="1" t="n"/>
      <c r="B116" s="1" t="n"/>
      <c r="C116" s="1" t="n"/>
      <c r="D116" s="1" t="n"/>
      <c r="E116" s="1" t="n"/>
      <c r="F116" s="1" t="n"/>
      <c r="G116" s="1" t="n"/>
      <c r="H116" s="1" t="n"/>
      <c r="I116" s="1" t="n"/>
    </row>
    <row r="117" ht="15.75" customHeight="1" s="216">
      <c r="A117" s="1" t="n"/>
      <c r="B117" s="1" t="n"/>
      <c r="C117" s="1" t="n"/>
      <c r="D117" s="1" t="n"/>
      <c r="E117" s="1" t="n"/>
      <c r="F117" s="1" t="n"/>
      <c r="G117" s="1" t="n"/>
      <c r="H117" s="1" t="n"/>
      <c r="I117" s="1" t="n"/>
    </row>
    <row r="118" ht="15.75" customHeight="1" s="216">
      <c r="A118" s="1" t="n"/>
      <c r="B118" s="1" t="n"/>
      <c r="C118" s="1" t="n"/>
      <c r="D118" s="1" t="n"/>
      <c r="E118" s="1" t="n"/>
      <c r="F118" s="1" t="n"/>
      <c r="G118" s="1" t="n"/>
      <c r="H118" s="1" t="n"/>
      <c r="I118" s="1" t="n"/>
    </row>
    <row r="119" ht="15.75" customHeight="1" s="216">
      <c r="A119" s="1" t="n"/>
      <c r="B119" s="1" t="n"/>
      <c r="C119" s="1" t="n"/>
      <c r="D119" s="1" t="n"/>
      <c r="E119" s="1" t="n"/>
      <c r="F119" s="1" t="n"/>
      <c r="G119" s="1" t="n"/>
      <c r="H119" s="1" t="n"/>
      <c r="I119" s="1" t="n"/>
    </row>
    <row r="120" ht="15.75" customHeight="1" s="216">
      <c r="A120" s="1" t="n"/>
      <c r="B120" s="1" t="n"/>
      <c r="C120" s="1" t="n"/>
      <c r="D120" s="1" t="n"/>
      <c r="E120" s="1" t="n"/>
      <c r="F120" s="1" t="n"/>
      <c r="G120" s="1" t="n"/>
      <c r="H120" s="1" t="n"/>
      <c r="I120" s="1" t="n"/>
    </row>
    <row r="121" ht="15.75" customHeight="1" s="216">
      <c r="A121" s="1" t="n"/>
      <c r="B121" s="1" t="n"/>
      <c r="C121" s="1" t="n"/>
      <c r="D121" s="1" t="n"/>
      <c r="E121" s="1" t="n"/>
      <c r="F121" s="1" t="n"/>
      <c r="G121" s="1" t="n"/>
      <c r="H121" s="1" t="n"/>
      <c r="I121" s="1" t="n"/>
    </row>
    <row r="122" ht="15.75" customHeight="1" s="216">
      <c r="A122" s="1" t="n"/>
      <c r="B122" s="1" t="n"/>
      <c r="C122" s="1" t="n"/>
      <c r="D122" s="1" t="n"/>
      <c r="E122" s="1" t="n"/>
      <c r="F122" s="1" t="n"/>
      <c r="G122" s="1" t="n"/>
      <c r="H122" s="1" t="n"/>
      <c r="I122" s="1" t="n"/>
    </row>
    <row r="123" ht="15.75" customHeight="1" s="216">
      <c r="A123" s="1" t="n"/>
      <c r="B123" s="1" t="n"/>
      <c r="C123" s="1" t="n"/>
      <c r="D123" s="1" t="n"/>
      <c r="E123" s="1" t="n"/>
      <c r="F123" s="1" t="n"/>
      <c r="G123" s="1" t="n"/>
      <c r="H123" s="1" t="n"/>
      <c r="I123" s="1" t="n"/>
    </row>
    <row r="124" ht="15.75" customHeight="1" s="216">
      <c r="A124" s="1" t="n"/>
      <c r="B124" s="1" t="n"/>
      <c r="C124" s="1" t="n"/>
      <c r="D124" s="1" t="n"/>
      <c r="E124" s="1" t="n"/>
      <c r="F124" s="1" t="n"/>
      <c r="G124" s="1" t="n"/>
      <c r="H124" s="1" t="n"/>
      <c r="I124" s="1" t="n"/>
    </row>
    <row r="125" ht="15.75" customHeight="1" s="216">
      <c r="A125" s="1" t="n"/>
      <c r="B125" s="1" t="n"/>
      <c r="C125" s="1" t="n"/>
      <c r="D125" s="1" t="n"/>
      <c r="E125" s="1" t="n"/>
      <c r="F125" s="1" t="n"/>
      <c r="G125" s="1" t="n"/>
      <c r="H125" s="1" t="n"/>
      <c r="I125" s="1" t="n"/>
    </row>
    <row r="126" ht="15.75" customHeight="1" s="216">
      <c r="A126" s="1" t="n"/>
      <c r="B126" s="1" t="n"/>
      <c r="C126" s="1" t="n"/>
      <c r="D126" s="1" t="n"/>
      <c r="E126" s="1" t="n"/>
      <c r="F126" s="1" t="n"/>
      <c r="G126" s="1" t="n"/>
      <c r="H126" s="1" t="n"/>
      <c r="I126" s="1" t="n"/>
    </row>
    <row r="127" ht="15.75" customHeight="1" s="216">
      <c r="A127" s="1" t="n"/>
      <c r="B127" s="1" t="n"/>
      <c r="C127" s="1" t="n"/>
      <c r="D127" s="1" t="n"/>
      <c r="E127" s="1" t="n"/>
      <c r="F127" s="1" t="n"/>
      <c r="G127" s="1" t="n"/>
      <c r="H127" s="1" t="n"/>
      <c r="I127" s="1" t="n"/>
    </row>
    <row r="128" ht="15.75" customHeight="1" s="216">
      <c r="A128" s="1" t="n"/>
      <c r="B128" s="1" t="n"/>
      <c r="C128" s="1" t="n"/>
      <c r="D128" s="1" t="n"/>
      <c r="E128" s="1" t="n"/>
      <c r="F128" s="1" t="n"/>
      <c r="G128" s="1" t="n"/>
      <c r="H128" s="1" t="n"/>
      <c r="I128" s="1" t="n"/>
    </row>
    <row r="129" ht="15.75" customHeight="1" s="216">
      <c r="A129" s="1" t="n"/>
      <c r="B129" s="1" t="n"/>
      <c r="C129" s="1" t="n"/>
      <c r="D129" s="1" t="n"/>
      <c r="E129" s="1" t="n"/>
      <c r="F129" s="1" t="n"/>
      <c r="G129" s="1" t="n"/>
      <c r="H129" s="1" t="n"/>
      <c r="I129" s="1" t="n"/>
    </row>
    <row r="130" ht="15.75" customHeight="1" s="216">
      <c r="A130" s="1" t="n"/>
      <c r="B130" s="1" t="n"/>
      <c r="C130" s="1" t="n"/>
      <c r="D130" s="1" t="n"/>
      <c r="E130" s="1" t="n"/>
      <c r="F130" s="1" t="n"/>
      <c r="G130" s="1" t="n"/>
      <c r="H130" s="1" t="n"/>
      <c r="I130" s="1" t="n"/>
    </row>
    <row r="131" ht="15.75" customHeight="1" s="216">
      <c r="A131" s="1" t="n"/>
      <c r="B131" s="1" t="n"/>
      <c r="C131" s="1" t="n"/>
      <c r="D131" s="1" t="n"/>
      <c r="E131" s="1" t="n"/>
      <c r="F131" s="1" t="n"/>
      <c r="G131" s="1" t="n"/>
      <c r="H131" s="1" t="n"/>
      <c r="I131" s="1" t="n"/>
    </row>
    <row r="132" ht="15.75" customHeight="1" s="216">
      <c r="A132" s="1" t="n"/>
      <c r="B132" s="1" t="n"/>
      <c r="C132" s="1" t="n"/>
      <c r="D132" s="1" t="n"/>
      <c r="E132" s="1" t="n"/>
      <c r="F132" s="1" t="n"/>
      <c r="G132" s="1" t="n"/>
      <c r="H132" s="1" t="n"/>
      <c r="I132" s="1" t="n"/>
    </row>
    <row r="133" ht="15.75" customHeight="1" s="216">
      <c r="A133" s="1" t="n"/>
      <c r="B133" s="1" t="n"/>
      <c r="C133" s="1" t="n"/>
      <c r="D133" s="1" t="n"/>
      <c r="E133" s="1" t="n"/>
      <c r="F133" s="1" t="n"/>
      <c r="G133" s="1" t="n"/>
      <c r="H133" s="1" t="n"/>
      <c r="I133" s="1" t="n"/>
    </row>
    <row r="134" ht="15.75" customHeight="1" s="216">
      <c r="A134" s="1" t="n"/>
      <c r="B134" s="1" t="n"/>
      <c r="C134" s="1" t="n"/>
      <c r="D134" s="1" t="n"/>
      <c r="E134" s="1" t="n"/>
      <c r="F134" s="1" t="n"/>
      <c r="G134" s="1" t="n"/>
      <c r="H134" s="1" t="n"/>
      <c r="I134" s="1" t="n"/>
    </row>
    <row r="135" ht="15.75" customHeight="1" s="216">
      <c r="A135" s="1" t="n"/>
      <c r="B135" s="1" t="n"/>
      <c r="C135" s="1" t="n"/>
      <c r="D135" s="1" t="n"/>
      <c r="E135" s="1" t="n"/>
      <c r="F135" s="1" t="n"/>
      <c r="G135" s="1" t="n"/>
      <c r="H135" s="1" t="n"/>
      <c r="I135" s="1" t="n"/>
    </row>
    <row r="136" ht="15.75" customHeight="1" s="216">
      <c r="A136" s="1" t="n"/>
      <c r="B136" s="1" t="n"/>
      <c r="C136" s="1" t="n"/>
      <c r="D136" s="1" t="n"/>
      <c r="E136" s="1" t="n"/>
      <c r="F136" s="1" t="n"/>
      <c r="G136" s="1" t="n"/>
      <c r="H136" s="1" t="n"/>
      <c r="I136" s="1" t="n"/>
    </row>
    <row r="137" ht="15.75" customHeight="1" s="216">
      <c r="A137" s="1" t="n"/>
      <c r="B137" s="1" t="n"/>
      <c r="C137" s="1" t="n"/>
      <c r="D137" s="1" t="n"/>
      <c r="E137" s="1" t="n"/>
      <c r="F137" s="1" t="n"/>
      <c r="G137" s="1" t="n"/>
      <c r="H137" s="1" t="n"/>
      <c r="I137" s="1" t="n"/>
    </row>
    <row r="138" ht="15.75" customHeight="1" s="216">
      <c r="A138" s="1" t="n"/>
      <c r="B138" s="1" t="n"/>
      <c r="C138" s="1" t="n"/>
      <c r="D138" s="1" t="n"/>
      <c r="E138" s="1" t="n"/>
      <c r="F138" s="1" t="n"/>
      <c r="G138" s="1" t="n"/>
      <c r="H138" s="1" t="n"/>
      <c r="I138" s="1" t="n"/>
    </row>
    <row r="139" ht="15.75" customHeight="1" s="216">
      <c r="A139" s="1" t="n"/>
      <c r="B139" s="1" t="n"/>
      <c r="C139" s="1" t="n"/>
      <c r="D139" s="1" t="n"/>
      <c r="E139" s="1" t="n"/>
      <c r="F139" s="1" t="n"/>
      <c r="G139" s="1" t="n"/>
      <c r="H139" s="1" t="n"/>
      <c r="I139" s="1" t="n"/>
    </row>
    <row r="140" ht="15.75" customHeight="1" s="216">
      <c r="A140" s="1" t="n"/>
      <c r="B140" s="1" t="n"/>
      <c r="C140" s="1" t="n"/>
      <c r="D140" s="1" t="n"/>
      <c r="E140" s="1" t="n"/>
      <c r="F140" s="1" t="n"/>
      <c r="G140" s="1" t="n"/>
      <c r="H140" s="1" t="n"/>
      <c r="I140" s="1" t="n"/>
    </row>
    <row r="141" ht="15.75" customHeight="1" s="216">
      <c r="A141" s="1" t="n"/>
      <c r="B141" s="1" t="n"/>
      <c r="C141" s="1" t="n"/>
      <c r="D141" s="1" t="n"/>
      <c r="E141" s="1" t="n"/>
      <c r="F141" s="1" t="n"/>
      <c r="G141" s="1" t="n"/>
      <c r="H141" s="1" t="n"/>
      <c r="I141" s="1" t="n"/>
    </row>
    <row r="142" ht="15.75" customHeight="1" s="216">
      <c r="A142" s="1" t="n"/>
      <c r="B142" s="1" t="n"/>
      <c r="C142" s="1" t="n"/>
      <c r="D142" s="1" t="n"/>
      <c r="E142" s="1" t="n"/>
      <c r="F142" s="1" t="n"/>
      <c r="G142" s="1" t="n"/>
      <c r="H142" s="1" t="n"/>
      <c r="I142" s="1" t="n"/>
    </row>
    <row r="143" ht="15.75" customHeight="1" s="216">
      <c r="A143" s="1" t="n"/>
      <c r="B143" s="1" t="n"/>
      <c r="C143" s="1" t="n"/>
      <c r="D143" s="1" t="n"/>
      <c r="E143" s="1" t="n"/>
      <c r="F143" s="1" t="n"/>
      <c r="G143" s="1" t="n"/>
      <c r="H143" s="1" t="n"/>
      <c r="I143" s="1" t="n"/>
    </row>
    <row r="144" ht="15.75" customHeight="1" s="216">
      <c r="A144" s="1" t="n"/>
      <c r="B144" s="1" t="n"/>
      <c r="C144" s="1" t="n"/>
      <c r="D144" s="1" t="n"/>
      <c r="E144" s="1" t="n"/>
      <c r="F144" s="1" t="n"/>
      <c r="G144" s="1" t="n"/>
      <c r="H144" s="1" t="n"/>
      <c r="I144" s="1" t="n"/>
    </row>
    <row r="145" ht="15.75" customHeight="1" s="216">
      <c r="A145" s="1" t="n"/>
      <c r="B145" s="1" t="n"/>
      <c r="C145" s="1" t="n"/>
      <c r="D145" s="1" t="n"/>
      <c r="E145" s="1" t="n"/>
      <c r="F145" s="1" t="n"/>
      <c r="G145" s="1" t="n"/>
      <c r="H145" s="1" t="n"/>
      <c r="I145" s="1" t="n"/>
    </row>
    <row r="146" ht="15.75" customHeight="1" s="216">
      <c r="A146" s="1" t="n"/>
      <c r="B146" s="1" t="n"/>
      <c r="C146" s="1" t="n"/>
      <c r="D146" s="1" t="n"/>
      <c r="E146" s="1" t="n"/>
      <c r="F146" s="1" t="n"/>
      <c r="G146" s="1" t="n"/>
      <c r="H146" s="1" t="n"/>
      <c r="I146" s="1" t="n"/>
    </row>
    <row r="147" ht="15.75" customHeight="1" s="216">
      <c r="A147" s="1" t="n"/>
      <c r="B147" s="1" t="n"/>
      <c r="C147" s="1" t="n"/>
      <c r="D147" s="1" t="n"/>
      <c r="E147" s="1" t="n"/>
      <c r="F147" s="1" t="n"/>
      <c r="G147" s="1" t="n"/>
      <c r="H147" s="1" t="n"/>
      <c r="I147" s="1" t="n"/>
    </row>
    <row r="148" ht="15.75" customHeight="1" s="216">
      <c r="A148" s="1" t="n"/>
      <c r="B148" s="1" t="n"/>
      <c r="C148" s="1" t="n"/>
      <c r="D148" s="1" t="n"/>
      <c r="E148" s="1" t="n"/>
      <c r="F148" s="1" t="n"/>
      <c r="G148" s="1" t="n"/>
      <c r="H148" s="1" t="n"/>
      <c r="I148" s="1" t="n"/>
    </row>
    <row r="149" ht="15.75" customHeight="1" s="216">
      <c r="A149" s="1" t="n"/>
      <c r="B149" s="1" t="n"/>
      <c r="C149" s="1" t="n"/>
      <c r="D149" s="1" t="n"/>
      <c r="E149" s="1" t="n"/>
      <c r="F149" s="1" t="n"/>
      <c r="G149" s="1" t="n"/>
      <c r="H149" s="1" t="n"/>
      <c r="I149" s="1" t="n"/>
    </row>
    <row r="150" ht="15.75" customHeight="1" s="216">
      <c r="A150" s="1" t="n"/>
      <c r="B150" s="1" t="n"/>
      <c r="C150" s="1" t="n"/>
      <c r="D150" s="1" t="n"/>
      <c r="E150" s="1" t="n"/>
      <c r="F150" s="1" t="n"/>
      <c r="G150" s="1" t="n"/>
      <c r="H150" s="1" t="n"/>
      <c r="I150" s="1" t="n"/>
    </row>
    <row r="151" ht="15.75" customHeight="1" s="216">
      <c r="A151" s="1" t="n"/>
      <c r="B151" s="1" t="n"/>
      <c r="C151" s="1" t="n"/>
      <c r="D151" s="1" t="n"/>
      <c r="E151" s="1" t="n"/>
      <c r="F151" s="1" t="n"/>
      <c r="G151" s="1" t="n"/>
      <c r="H151" s="1" t="n"/>
      <c r="I151" s="1" t="n"/>
    </row>
    <row r="152" ht="15.75" customHeight="1" s="216">
      <c r="A152" s="1" t="n"/>
      <c r="B152" s="1" t="n"/>
      <c r="C152" s="1" t="n"/>
      <c r="D152" s="1" t="n"/>
      <c r="E152" s="1" t="n"/>
      <c r="F152" s="1" t="n"/>
      <c r="G152" s="1" t="n"/>
      <c r="H152" s="1" t="n"/>
      <c r="I152" s="1" t="n"/>
    </row>
    <row r="153" ht="15.75" customHeight="1" s="216">
      <c r="A153" s="1" t="n"/>
      <c r="B153" s="1" t="n"/>
      <c r="C153" s="1" t="n"/>
      <c r="D153" s="1" t="n"/>
      <c r="E153" s="1" t="n"/>
      <c r="F153" s="1" t="n"/>
      <c r="G153" s="1" t="n"/>
      <c r="H153" s="1" t="n"/>
      <c r="I153" s="1" t="n"/>
    </row>
    <row r="154" ht="15.75" customHeight="1" s="216">
      <c r="A154" s="1" t="n"/>
      <c r="B154" s="1" t="n"/>
      <c r="C154" s="1" t="n"/>
      <c r="D154" s="1" t="n"/>
      <c r="E154" s="1" t="n"/>
      <c r="F154" s="1" t="n"/>
      <c r="G154" s="1" t="n"/>
      <c r="H154" s="1" t="n"/>
      <c r="I154" s="1" t="n"/>
    </row>
    <row r="155" ht="15.75" customHeight="1" s="216">
      <c r="A155" s="1" t="n"/>
      <c r="B155" s="1" t="n"/>
      <c r="C155" s="1" t="n"/>
      <c r="D155" s="1" t="n"/>
      <c r="E155" s="1" t="n"/>
      <c r="F155" s="1" t="n"/>
      <c r="G155" s="1" t="n"/>
      <c r="H155" s="1" t="n"/>
      <c r="I155" s="1" t="n"/>
    </row>
    <row r="156" ht="15.75" customHeight="1" s="216">
      <c r="A156" s="1" t="n"/>
      <c r="B156" s="1" t="n"/>
      <c r="C156" s="1" t="n"/>
      <c r="D156" s="1" t="n"/>
      <c r="E156" s="1" t="n"/>
      <c r="F156" s="1" t="n"/>
      <c r="G156" s="1" t="n"/>
      <c r="H156" s="1" t="n"/>
      <c r="I156" s="1" t="n"/>
    </row>
    <row r="157" ht="15.75" customHeight="1" s="216">
      <c r="A157" s="1" t="n"/>
      <c r="B157" s="1" t="n"/>
      <c r="C157" s="1" t="n"/>
      <c r="D157" s="1" t="n"/>
      <c r="E157" s="1" t="n"/>
      <c r="F157" s="1" t="n"/>
      <c r="G157" s="1" t="n"/>
      <c r="H157" s="1" t="n"/>
      <c r="I157" s="1" t="n"/>
    </row>
    <row r="158" ht="15.75" customHeight="1" s="216">
      <c r="A158" s="1" t="n"/>
      <c r="B158" s="1" t="n"/>
      <c r="C158" s="1" t="n"/>
      <c r="D158" s="1" t="n"/>
      <c r="E158" s="1" t="n"/>
      <c r="F158" s="1" t="n"/>
      <c r="G158" s="1" t="n"/>
      <c r="H158" s="1" t="n"/>
      <c r="I158" s="1" t="n"/>
    </row>
    <row r="159" ht="15.75" customHeight="1" s="216">
      <c r="A159" s="1" t="n"/>
      <c r="B159" s="1" t="n"/>
      <c r="C159" s="1" t="n"/>
      <c r="D159" s="1" t="n"/>
      <c r="E159" s="1" t="n"/>
      <c r="F159" s="1" t="n"/>
      <c r="G159" s="1" t="n"/>
      <c r="H159" s="1" t="n"/>
      <c r="I159" s="1" t="n"/>
    </row>
    <row r="160" ht="15.75" customHeight="1" s="216">
      <c r="A160" s="1" t="n"/>
      <c r="B160" s="1" t="n"/>
      <c r="C160" s="1" t="n"/>
      <c r="D160" s="1" t="n"/>
      <c r="E160" s="1" t="n"/>
      <c r="F160" s="1" t="n"/>
      <c r="G160" s="1" t="n"/>
      <c r="H160" s="1" t="n"/>
      <c r="I160" s="1" t="n"/>
    </row>
    <row r="161" ht="15.75" customHeight="1" s="216">
      <c r="A161" s="1" t="n"/>
      <c r="B161" s="1" t="n"/>
      <c r="C161" s="1" t="n"/>
      <c r="D161" s="1" t="n"/>
      <c r="E161" s="1" t="n"/>
      <c r="F161" s="1" t="n"/>
      <c r="G161" s="1" t="n"/>
      <c r="H161" s="1" t="n"/>
      <c r="I161" s="1" t="n"/>
    </row>
    <row r="162" ht="15.75" customHeight="1" s="216">
      <c r="A162" s="1" t="n"/>
      <c r="B162" s="1" t="n"/>
      <c r="C162" s="1" t="n"/>
      <c r="D162" s="1" t="n"/>
      <c r="E162" s="1" t="n"/>
      <c r="F162" s="1" t="n"/>
      <c r="G162" s="1" t="n"/>
      <c r="H162" s="1" t="n"/>
      <c r="I162" s="1" t="n"/>
    </row>
    <row r="163" ht="15.75" customHeight="1" s="216">
      <c r="A163" s="1" t="n"/>
      <c r="B163" s="1" t="n"/>
      <c r="C163" s="1" t="n"/>
      <c r="D163" s="1" t="n"/>
      <c r="E163" s="1" t="n"/>
      <c r="F163" s="1" t="n"/>
      <c r="G163" s="1" t="n"/>
      <c r="H163" s="1" t="n"/>
      <c r="I163" s="1" t="n"/>
    </row>
    <row r="164" ht="15.75" customHeight="1" s="216">
      <c r="A164" s="1" t="n"/>
      <c r="B164" s="1" t="n"/>
      <c r="C164" s="1" t="n"/>
      <c r="D164" s="1" t="n"/>
      <c r="E164" s="1" t="n"/>
      <c r="F164" s="1" t="n"/>
      <c r="G164" s="1" t="n"/>
      <c r="H164" s="1" t="n"/>
      <c r="I164" s="1" t="n"/>
    </row>
    <row r="165" ht="15.75" customHeight="1" s="216">
      <c r="A165" s="1" t="n"/>
      <c r="B165" s="1" t="n"/>
      <c r="C165" s="1" t="n"/>
      <c r="D165" s="1" t="n"/>
      <c r="E165" s="1" t="n"/>
      <c r="F165" s="1" t="n"/>
      <c r="G165" s="1" t="n"/>
      <c r="H165" s="1" t="n"/>
      <c r="I165" s="1" t="n"/>
    </row>
    <row r="166" ht="15.75" customHeight="1" s="216">
      <c r="A166" s="1" t="n"/>
      <c r="B166" s="1" t="n"/>
      <c r="C166" s="1" t="n"/>
      <c r="D166" s="1" t="n"/>
      <c r="E166" s="1" t="n"/>
      <c r="F166" s="1" t="n"/>
      <c r="G166" s="1" t="n"/>
      <c r="H166" s="1" t="n"/>
      <c r="I166" s="1" t="n"/>
    </row>
    <row r="167" ht="15.75" customHeight="1" s="216">
      <c r="A167" s="1" t="n"/>
      <c r="B167" s="1" t="n"/>
      <c r="C167" s="1" t="n"/>
      <c r="D167" s="1" t="n"/>
      <c r="E167" s="1" t="n"/>
      <c r="F167" s="1" t="n"/>
      <c r="G167" s="1" t="n"/>
      <c r="H167" s="1" t="n"/>
      <c r="I167" s="1" t="n"/>
    </row>
    <row r="168" ht="15.75" customHeight="1" s="216">
      <c r="A168" s="1" t="n"/>
      <c r="B168" s="1" t="n"/>
      <c r="C168" s="1" t="n"/>
      <c r="D168" s="1" t="n"/>
      <c r="E168" s="1" t="n"/>
      <c r="F168" s="1" t="n"/>
      <c r="G168" s="1" t="n"/>
      <c r="H168" s="1" t="n"/>
      <c r="I168" s="1" t="n"/>
    </row>
    <row r="169" ht="15.75" customHeight="1" s="216">
      <c r="A169" s="1" t="n"/>
      <c r="B169" s="1" t="n"/>
      <c r="C169" s="1" t="n"/>
      <c r="D169" s="1" t="n"/>
      <c r="E169" s="1" t="n"/>
      <c r="F169" s="1" t="n"/>
      <c r="G169" s="1" t="n"/>
      <c r="H169" s="1" t="n"/>
      <c r="I169" s="1" t="n"/>
    </row>
    <row r="170" ht="15.75" customHeight="1" s="216">
      <c r="A170" s="1" t="n"/>
      <c r="B170" s="1" t="n"/>
      <c r="C170" s="1" t="n"/>
      <c r="D170" s="1" t="n"/>
      <c r="E170" s="1" t="n"/>
      <c r="F170" s="1" t="n"/>
      <c r="G170" s="1" t="n"/>
      <c r="H170" s="1" t="n"/>
      <c r="I170" s="1" t="n"/>
    </row>
    <row r="171" ht="15.75" customHeight="1" s="216">
      <c r="A171" s="1" t="n"/>
      <c r="B171" s="1" t="n"/>
      <c r="C171" s="1" t="n"/>
      <c r="D171" s="1" t="n"/>
      <c r="E171" s="1" t="n"/>
      <c r="F171" s="1" t="n"/>
      <c r="G171" s="1" t="n"/>
      <c r="H171" s="1" t="n"/>
      <c r="I171" s="1" t="n"/>
    </row>
    <row r="172" ht="15.75" customHeight="1" s="216">
      <c r="A172" s="1" t="n"/>
      <c r="B172" s="1" t="n"/>
      <c r="C172" s="1" t="n"/>
      <c r="D172" s="1" t="n"/>
      <c r="E172" s="1" t="n"/>
      <c r="F172" s="1" t="n"/>
      <c r="G172" s="1" t="n"/>
      <c r="H172" s="1" t="n"/>
      <c r="I172" s="1" t="n"/>
    </row>
    <row r="173" ht="15.75" customHeight="1" s="216">
      <c r="A173" s="1" t="n"/>
      <c r="B173" s="1" t="n"/>
      <c r="C173" s="1" t="n"/>
      <c r="D173" s="1" t="n"/>
      <c r="E173" s="1" t="n"/>
      <c r="F173" s="1" t="n"/>
      <c r="G173" s="1" t="n"/>
      <c r="H173" s="1" t="n"/>
      <c r="I173" s="1" t="n"/>
    </row>
    <row r="174" ht="15.75" customHeight="1" s="216">
      <c r="A174" s="1" t="n"/>
      <c r="B174" s="1" t="n"/>
      <c r="C174" s="1" t="n"/>
      <c r="D174" s="1" t="n"/>
      <c r="E174" s="1" t="n"/>
      <c r="F174" s="1" t="n"/>
      <c r="G174" s="1" t="n"/>
      <c r="H174" s="1" t="n"/>
      <c r="I174" s="1" t="n"/>
    </row>
    <row r="175" ht="15.75" customHeight="1" s="216">
      <c r="A175" s="1" t="n"/>
      <c r="B175" s="1" t="n"/>
      <c r="C175" s="1" t="n"/>
      <c r="D175" s="1" t="n"/>
      <c r="E175" s="1" t="n"/>
      <c r="F175" s="1" t="n"/>
      <c r="G175" s="1" t="n"/>
      <c r="H175" s="1" t="n"/>
      <c r="I175" s="1" t="n"/>
    </row>
    <row r="176" ht="15.75" customHeight="1" s="216">
      <c r="A176" s="1" t="n"/>
      <c r="B176" s="1" t="n"/>
      <c r="C176" s="1" t="n"/>
      <c r="D176" s="1" t="n"/>
      <c r="E176" s="1" t="n"/>
      <c r="F176" s="1" t="n"/>
      <c r="G176" s="1" t="n"/>
      <c r="H176" s="1" t="n"/>
      <c r="I176" s="1" t="n"/>
    </row>
    <row r="177" ht="15.75" customHeight="1" s="216">
      <c r="A177" s="1" t="n"/>
      <c r="B177" s="1" t="n"/>
      <c r="C177" s="1" t="n"/>
      <c r="D177" s="1" t="n"/>
      <c r="E177" s="1" t="n"/>
      <c r="F177" s="1" t="n"/>
      <c r="G177" s="1" t="n"/>
      <c r="H177" s="1" t="n"/>
      <c r="I177" s="1" t="n"/>
    </row>
    <row r="178" ht="15.75" customHeight="1" s="216">
      <c r="A178" s="1" t="n"/>
      <c r="B178" s="1" t="n"/>
      <c r="C178" s="1" t="n"/>
      <c r="D178" s="1" t="n"/>
      <c r="E178" s="1" t="n"/>
      <c r="F178" s="1" t="n"/>
      <c r="G178" s="1" t="n"/>
      <c r="H178" s="1" t="n"/>
      <c r="I178" s="1" t="n"/>
    </row>
    <row r="179" ht="15.75" customHeight="1" s="216">
      <c r="A179" s="1" t="n"/>
      <c r="B179" s="1" t="n"/>
      <c r="C179" s="1" t="n"/>
      <c r="D179" s="1" t="n"/>
      <c r="E179" s="1" t="n"/>
      <c r="F179" s="1" t="n"/>
      <c r="G179" s="1" t="n"/>
      <c r="H179" s="1" t="n"/>
      <c r="I179" s="1" t="n"/>
    </row>
    <row r="180" ht="15.75" customHeight="1" s="216">
      <c r="A180" s="1" t="n"/>
      <c r="B180" s="1" t="n"/>
      <c r="C180" s="1" t="n"/>
      <c r="D180" s="1" t="n"/>
      <c r="E180" s="1" t="n"/>
      <c r="F180" s="1" t="n"/>
      <c r="G180" s="1" t="n"/>
      <c r="H180" s="1" t="n"/>
      <c r="I180" s="1" t="n"/>
    </row>
    <row r="181" ht="15.75" customHeight="1" s="216">
      <c r="A181" s="1" t="n"/>
      <c r="B181" s="1" t="n"/>
      <c r="C181" s="1" t="n"/>
      <c r="D181" s="1" t="n"/>
      <c r="E181" s="1" t="n"/>
      <c r="F181" s="1" t="n"/>
      <c r="G181" s="1" t="n"/>
      <c r="H181" s="1" t="n"/>
      <c r="I181" s="1" t="n"/>
    </row>
    <row r="182" ht="15.75" customHeight="1" s="216">
      <c r="A182" s="1" t="n"/>
      <c r="B182" s="1" t="n"/>
      <c r="C182" s="1" t="n"/>
      <c r="D182" s="1" t="n"/>
      <c r="E182" s="1" t="n"/>
      <c r="F182" s="1" t="n"/>
      <c r="G182" s="1" t="n"/>
      <c r="H182" s="1" t="n"/>
      <c r="I182" s="1" t="n"/>
    </row>
    <row r="183" ht="15.75" customHeight="1" s="216">
      <c r="A183" s="1" t="n"/>
      <c r="B183" s="1" t="n"/>
      <c r="C183" s="1" t="n"/>
      <c r="D183" s="1" t="n"/>
      <c r="E183" s="1" t="n"/>
      <c r="F183" s="1" t="n"/>
      <c r="G183" s="1" t="n"/>
      <c r="H183" s="1" t="n"/>
      <c r="I183" s="1" t="n"/>
    </row>
    <row r="184" ht="15.75" customHeight="1" s="216">
      <c r="A184" s="1" t="n"/>
      <c r="B184" s="1" t="n"/>
      <c r="C184" s="1" t="n"/>
      <c r="D184" s="1" t="n"/>
      <c r="E184" s="1" t="n"/>
      <c r="F184" s="1" t="n"/>
      <c r="G184" s="1" t="n"/>
      <c r="H184" s="1" t="n"/>
      <c r="I184" s="1" t="n"/>
    </row>
    <row r="185" ht="15.75" customHeight="1" s="216">
      <c r="A185" s="1" t="n"/>
      <c r="B185" s="1" t="n"/>
      <c r="C185" s="1" t="n"/>
      <c r="D185" s="1" t="n"/>
      <c r="E185" s="1" t="n"/>
      <c r="F185" s="1" t="n"/>
      <c r="G185" s="1" t="n"/>
      <c r="H185" s="1" t="n"/>
      <c r="I185" s="1" t="n"/>
    </row>
    <row r="186" ht="15.75" customHeight="1" s="216">
      <c r="A186" s="1" t="n"/>
      <c r="B186" s="1" t="n"/>
      <c r="C186" s="1" t="n"/>
      <c r="D186" s="1" t="n"/>
      <c r="E186" s="1" t="n"/>
      <c r="F186" s="1" t="n"/>
      <c r="G186" s="1" t="n"/>
      <c r="H186" s="1" t="n"/>
      <c r="I186" s="1" t="n"/>
    </row>
    <row r="187" ht="15.75" customHeight="1" s="216">
      <c r="A187" s="1" t="n"/>
      <c r="B187" s="1" t="n"/>
      <c r="C187" s="1" t="n"/>
      <c r="D187" s="1" t="n"/>
      <c r="E187" s="1" t="n"/>
      <c r="F187" s="1" t="n"/>
      <c r="G187" s="1" t="n"/>
      <c r="H187" s="1" t="n"/>
      <c r="I187" s="1" t="n"/>
    </row>
    <row r="188" ht="15.75" customHeight="1" s="216">
      <c r="A188" s="1" t="n"/>
      <c r="B188" s="1" t="n"/>
      <c r="C188" s="1" t="n"/>
      <c r="D188" s="1" t="n"/>
      <c r="E188" s="1" t="n"/>
      <c r="F188" s="1" t="n"/>
      <c r="G188" s="1" t="n"/>
      <c r="H188" s="1" t="n"/>
      <c r="I188" s="1" t="n"/>
    </row>
    <row r="189" ht="15.75" customHeight="1" s="216">
      <c r="A189" s="1" t="n"/>
      <c r="B189" s="1" t="n"/>
      <c r="C189" s="1" t="n"/>
      <c r="D189" s="1" t="n"/>
      <c r="E189" s="1" t="n"/>
      <c r="F189" s="1" t="n"/>
      <c r="G189" s="1" t="n"/>
      <c r="H189" s="1" t="n"/>
      <c r="I189" s="1" t="n"/>
    </row>
    <row r="190" ht="15.75" customHeight="1" s="216">
      <c r="A190" s="1" t="n"/>
      <c r="B190" s="1" t="n"/>
      <c r="C190" s="1" t="n"/>
      <c r="D190" s="1" t="n"/>
      <c r="E190" s="1" t="n"/>
      <c r="F190" s="1" t="n"/>
      <c r="G190" s="1" t="n"/>
      <c r="H190" s="1" t="n"/>
      <c r="I190" s="1" t="n"/>
    </row>
    <row r="191" ht="15.75" customHeight="1" s="216">
      <c r="A191" s="1" t="n"/>
      <c r="B191" s="1" t="n"/>
      <c r="C191" s="1" t="n"/>
      <c r="D191" s="1" t="n"/>
      <c r="E191" s="1" t="n"/>
      <c r="F191" s="1" t="n"/>
      <c r="G191" s="1" t="n"/>
      <c r="H191" s="1" t="n"/>
      <c r="I191" s="1" t="n"/>
    </row>
    <row r="192" ht="15.75" customHeight="1" s="216">
      <c r="A192" s="1" t="n"/>
      <c r="B192" s="1" t="n"/>
      <c r="C192" s="1" t="n"/>
      <c r="D192" s="1" t="n"/>
      <c r="E192" s="1" t="n"/>
      <c r="F192" s="1" t="n"/>
      <c r="G192" s="1" t="n"/>
      <c r="H192" s="1" t="n"/>
      <c r="I192" s="1" t="n"/>
    </row>
    <row r="193" ht="15.75" customHeight="1" s="216">
      <c r="A193" s="1" t="n"/>
      <c r="B193" s="1" t="n"/>
      <c r="C193" s="1" t="n"/>
      <c r="D193" s="1" t="n"/>
      <c r="E193" s="1" t="n"/>
      <c r="F193" s="1" t="n"/>
      <c r="G193" s="1" t="n"/>
      <c r="H193" s="1" t="n"/>
      <c r="I193" s="1" t="n"/>
    </row>
    <row r="194" ht="15.75" customHeight="1" s="216">
      <c r="A194" s="1" t="n"/>
      <c r="B194" s="1" t="n"/>
      <c r="C194" s="1" t="n"/>
      <c r="D194" s="1" t="n"/>
      <c r="E194" s="1" t="n"/>
      <c r="F194" s="1" t="n"/>
      <c r="G194" s="1" t="n"/>
      <c r="H194" s="1" t="n"/>
      <c r="I194" s="1" t="n"/>
    </row>
    <row r="195" ht="15.75" customHeight="1" s="216">
      <c r="A195" s="1" t="n"/>
      <c r="B195" s="1" t="n"/>
      <c r="C195" s="1" t="n"/>
      <c r="D195" s="1" t="n"/>
      <c r="E195" s="1" t="n"/>
      <c r="F195" s="1" t="n"/>
      <c r="G195" s="1" t="n"/>
      <c r="H195" s="1" t="n"/>
      <c r="I195" s="1" t="n"/>
    </row>
    <row r="196" ht="15.75" customHeight="1" s="216">
      <c r="A196" s="1" t="n"/>
      <c r="B196" s="1" t="n"/>
      <c r="C196" s="1" t="n"/>
      <c r="D196" s="1" t="n"/>
      <c r="E196" s="1" t="n"/>
      <c r="F196" s="1" t="n"/>
      <c r="G196" s="1" t="n"/>
      <c r="H196" s="1" t="n"/>
      <c r="I196" s="1" t="n"/>
    </row>
    <row r="197" ht="15.75" customHeight="1" s="216">
      <c r="A197" s="1" t="n"/>
      <c r="B197" s="1" t="n"/>
      <c r="C197" s="1" t="n"/>
      <c r="D197" s="1" t="n"/>
      <c r="E197" s="1" t="n"/>
      <c r="F197" s="1" t="n"/>
      <c r="G197" s="1" t="n"/>
      <c r="H197" s="1" t="n"/>
      <c r="I197" s="1" t="n"/>
    </row>
    <row r="198" ht="15.75" customHeight="1" s="216">
      <c r="A198" s="1" t="n"/>
      <c r="B198" s="1" t="n"/>
      <c r="C198" s="1" t="n"/>
      <c r="D198" s="1" t="n"/>
      <c r="E198" s="1" t="n"/>
      <c r="F198" s="1" t="n"/>
      <c r="G198" s="1" t="n"/>
      <c r="H198" s="1" t="n"/>
      <c r="I198" s="1" t="n"/>
    </row>
    <row r="199" ht="15.75" customHeight="1" s="216">
      <c r="A199" s="1" t="n"/>
      <c r="B199" s="1" t="n"/>
      <c r="C199" s="1" t="n"/>
      <c r="D199" s="1" t="n"/>
      <c r="E199" s="1" t="n"/>
      <c r="F199" s="1" t="n"/>
      <c r="G199" s="1" t="n"/>
      <c r="H199" s="1" t="n"/>
      <c r="I199" s="1" t="n"/>
    </row>
    <row r="200" ht="15.75" customHeight="1" s="216">
      <c r="A200" s="1" t="n"/>
      <c r="B200" s="1" t="n"/>
      <c r="C200" s="1" t="n"/>
      <c r="D200" s="1" t="n"/>
      <c r="E200" s="1" t="n"/>
      <c r="F200" s="1" t="n"/>
      <c r="G200" s="1" t="n"/>
      <c r="H200" s="1" t="n"/>
      <c r="I200" s="1" t="n"/>
    </row>
    <row r="201" ht="15.75" customHeight="1" s="216">
      <c r="A201" s="1" t="n"/>
      <c r="B201" s="1" t="n"/>
      <c r="C201" s="1" t="n"/>
      <c r="D201" s="1" t="n"/>
      <c r="E201" s="1" t="n"/>
      <c r="F201" s="1" t="n"/>
      <c r="G201" s="1" t="n"/>
      <c r="H201" s="1" t="n"/>
      <c r="I201" s="1" t="n"/>
    </row>
    <row r="202" ht="15.75" customHeight="1" s="216">
      <c r="A202" s="1" t="n"/>
      <c r="B202" s="1" t="n"/>
      <c r="C202" s="1" t="n"/>
      <c r="D202" s="1" t="n"/>
      <c r="E202" s="1" t="n"/>
      <c r="F202" s="1" t="n"/>
      <c r="G202" s="1" t="n"/>
      <c r="H202" s="1" t="n"/>
      <c r="I202" s="1" t="n"/>
    </row>
    <row r="203" ht="15.75" customHeight="1" s="216">
      <c r="A203" s="1" t="n"/>
      <c r="B203" s="1" t="n"/>
      <c r="C203" s="1" t="n"/>
      <c r="D203" s="1" t="n"/>
      <c r="E203" s="1" t="n"/>
      <c r="F203" s="1" t="n"/>
      <c r="G203" s="1" t="n"/>
      <c r="H203" s="1" t="n"/>
      <c r="I203" s="1" t="n"/>
    </row>
    <row r="204" ht="15.75" customHeight="1" s="216">
      <c r="A204" s="1" t="n"/>
      <c r="B204" s="1" t="n"/>
      <c r="C204" s="1" t="n"/>
      <c r="D204" s="1" t="n"/>
      <c r="E204" s="1" t="n"/>
      <c r="F204" s="1" t="n"/>
      <c r="G204" s="1" t="n"/>
      <c r="H204" s="1" t="n"/>
      <c r="I204" s="1" t="n"/>
    </row>
    <row r="205" ht="15.75" customHeight="1" s="216">
      <c r="A205" s="1" t="n"/>
      <c r="B205" s="1" t="n"/>
      <c r="C205" s="1" t="n"/>
      <c r="D205" s="1" t="n"/>
      <c r="E205" s="1" t="n"/>
      <c r="F205" s="1" t="n"/>
      <c r="G205" s="1" t="n"/>
      <c r="H205" s="1" t="n"/>
      <c r="I205" s="1" t="n"/>
    </row>
    <row r="206" ht="15.75" customHeight="1" s="216">
      <c r="A206" s="1" t="n"/>
      <c r="B206" s="1" t="n"/>
      <c r="C206" s="1" t="n"/>
      <c r="D206" s="1" t="n"/>
      <c r="E206" s="1" t="n"/>
      <c r="F206" s="1" t="n"/>
      <c r="G206" s="1" t="n"/>
      <c r="H206" s="1" t="n"/>
      <c r="I206" s="1" t="n"/>
    </row>
    <row r="207" ht="15.75" customHeight="1" s="216">
      <c r="A207" s="1" t="n"/>
      <c r="B207" s="1" t="n"/>
      <c r="C207" s="1" t="n"/>
      <c r="D207" s="1" t="n"/>
      <c r="E207" s="1" t="n"/>
      <c r="F207" s="1" t="n"/>
      <c r="G207" s="1" t="n"/>
      <c r="H207" s="1" t="n"/>
      <c r="I207" s="1" t="n"/>
    </row>
    <row r="208" ht="15.75" customHeight="1" s="216">
      <c r="A208" s="1" t="n"/>
      <c r="B208" s="1" t="n"/>
      <c r="C208" s="1" t="n"/>
      <c r="D208" s="1" t="n"/>
      <c r="E208" s="1" t="n"/>
      <c r="F208" s="1" t="n"/>
      <c r="G208" s="1" t="n"/>
      <c r="H208" s="1" t="n"/>
      <c r="I208" s="1" t="n"/>
    </row>
    <row r="209" ht="15.75" customHeight="1" s="216">
      <c r="A209" s="1" t="n"/>
      <c r="B209" s="1" t="n"/>
      <c r="C209" s="1" t="n"/>
      <c r="D209" s="1" t="n"/>
      <c r="E209" s="1" t="n"/>
      <c r="F209" s="1" t="n"/>
      <c r="G209" s="1" t="n"/>
      <c r="H209" s="1" t="n"/>
      <c r="I209" s="1" t="n"/>
    </row>
    <row r="210" ht="15.75" customHeight="1" s="216">
      <c r="A210" s="1" t="n"/>
      <c r="B210" s="1" t="n"/>
      <c r="C210" s="1" t="n"/>
      <c r="D210" s="1" t="n"/>
      <c r="E210" s="1" t="n"/>
      <c r="F210" s="1" t="n"/>
      <c r="G210" s="1" t="n"/>
      <c r="H210" s="1" t="n"/>
      <c r="I210" s="1" t="n"/>
    </row>
    <row r="211" ht="15.75" customHeight="1" s="216">
      <c r="A211" s="1" t="n"/>
      <c r="B211" s="1" t="n"/>
      <c r="C211" s="1" t="n"/>
      <c r="D211" s="1" t="n"/>
      <c r="E211" s="1" t="n"/>
      <c r="F211" s="1" t="n"/>
      <c r="G211" s="1" t="n"/>
      <c r="H211" s="1" t="n"/>
      <c r="I211" s="1" t="n"/>
    </row>
    <row r="212" ht="15.75" customHeight="1" s="216">
      <c r="A212" s="1" t="n"/>
      <c r="B212" s="1" t="n"/>
      <c r="C212" s="1" t="n"/>
      <c r="D212" s="1" t="n"/>
      <c r="E212" s="1" t="n"/>
      <c r="F212" s="1" t="n"/>
      <c r="G212" s="1" t="n"/>
      <c r="H212" s="1" t="n"/>
      <c r="I212" s="1" t="n"/>
    </row>
    <row r="213" ht="15.75" customHeight="1" s="216">
      <c r="A213" s="1" t="n"/>
      <c r="B213" s="1" t="n"/>
      <c r="C213" s="1" t="n"/>
      <c r="D213" s="1" t="n"/>
      <c r="E213" s="1" t="n"/>
      <c r="F213" s="1" t="n"/>
      <c r="G213" s="1" t="n"/>
      <c r="H213" s="1" t="n"/>
      <c r="I213" s="1" t="n"/>
    </row>
    <row r="214" ht="15.75" customHeight="1" s="216">
      <c r="A214" s="1" t="n"/>
      <c r="B214" s="1" t="n"/>
      <c r="C214" s="1" t="n"/>
      <c r="D214" s="1" t="n"/>
      <c r="E214" s="1" t="n"/>
      <c r="F214" s="1" t="n"/>
      <c r="G214" s="1" t="n"/>
      <c r="H214" s="1" t="n"/>
      <c r="I214" s="1" t="n"/>
    </row>
    <row r="215" ht="15.75" customHeight="1" s="216">
      <c r="A215" s="1" t="n"/>
      <c r="B215" s="1" t="n"/>
      <c r="C215" s="1" t="n"/>
      <c r="D215" s="1" t="n"/>
      <c r="E215" s="1" t="n"/>
      <c r="F215" s="1" t="n"/>
      <c r="G215" s="1" t="n"/>
      <c r="H215" s="1" t="n"/>
      <c r="I215" s="1" t="n"/>
    </row>
    <row r="216" ht="15.75" customHeight="1" s="216">
      <c r="A216" s="1" t="n"/>
      <c r="B216" s="1" t="n"/>
      <c r="C216" s="1" t="n"/>
      <c r="D216" s="1" t="n"/>
      <c r="E216" s="1" t="n"/>
      <c r="F216" s="1" t="n"/>
      <c r="G216" s="1" t="n"/>
      <c r="H216" s="1" t="n"/>
      <c r="I216" s="1" t="n"/>
    </row>
    <row r="217" ht="15.75" customHeight="1" s="216">
      <c r="A217" s="1" t="n"/>
      <c r="B217" s="1" t="n"/>
      <c r="C217" s="1" t="n"/>
      <c r="D217" s="1" t="n"/>
      <c r="E217" s="1" t="n"/>
      <c r="F217" s="1" t="n"/>
      <c r="G217" s="1" t="n"/>
      <c r="H217" s="1" t="n"/>
      <c r="I217" s="1" t="n"/>
    </row>
    <row r="218" ht="15.75" customHeight="1" s="216">
      <c r="A218" s="1" t="n"/>
      <c r="B218" s="1" t="n"/>
      <c r="C218" s="1" t="n"/>
      <c r="D218" s="1" t="n"/>
      <c r="E218" s="1" t="n"/>
      <c r="F218" s="1" t="n"/>
      <c r="G218" s="1" t="n"/>
      <c r="H218" s="1" t="n"/>
      <c r="I218" s="1" t="n"/>
    </row>
    <row r="219" ht="15.75" customHeight="1" s="216">
      <c r="A219" s="1" t="n"/>
      <c r="B219" s="1" t="n"/>
      <c r="C219" s="1" t="n"/>
      <c r="D219" s="1" t="n"/>
      <c r="E219" s="1" t="n"/>
      <c r="F219" s="1" t="n"/>
      <c r="G219" s="1" t="n"/>
      <c r="H219" s="1" t="n"/>
    </row>
    <row r="220" ht="15.75" customHeight="1" s="216">
      <c r="A220" s="1" t="n"/>
      <c r="B220" s="1" t="n"/>
      <c r="C220" s="1" t="n"/>
      <c r="D220" s="1" t="n"/>
      <c r="E220" s="1" t="n"/>
      <c r="F220" s="1" t="n"/>
      <c r="G220" s="1" t="n"/>
      <c r="H220" s="1" t="n"/>
    </row>
    <row r="221" ht="15.75" customHeight="1" s="216"/>
    <row r="222" ht="15.75" customHeight="1" s="216"/>
    <row r="223" ht="15.75" customHeight="1" s="216"/>
    <row r="224" ht="15.75" customHeight="1" s="216"/>
    <row r="225" ht="15.75" customHeight="1" s="216"/>
    <row r="226" ht="15.75" customHeight="1" s="216"/>
    <row r="227" ht="15.75" customHeight="1" s="216"/>
    <row r="228" ht="15.75" customHeight="1" s="216"/>
    <row r="229" ht="15.75" customHeight="1" s="216"/>
    <row r="230" ht="15.75" customHeight="1" s="216"/>
    <row r="231" ht="15.75" customHeight="1" s="216"/>
    <row r="232" ht="15.75" customHeight="1" s="216"/>
    <row r="233" ht="15.75" customHeight="1" s="216"/>
    <row r="234" ht="15.75" customHeight="1" s="216"/>
    <row r="235" ht="15.75" customHeight="1" s="216"/>
    <row r="236" ht="15.75" customHeight="1" s="216"/>
    <row r="237" ht="15.75" customHeight="1" s="216"/>
    <row r="238" ht="15.75" customHeight="1" s="216"/>
    <row r="239" ht="15.75" customHeight="1" s="216"/>
    <row r="240" ht="15.75" customHeight="1" s="216"/>
    <row r="241" ht="15.75" customHeight="1" s="216"/>
    <row r="242" ht="15.75" customHeight="1" s="216"/>
    <row r="243" ht="15.75" customHeight="1" s="216"/>
    <row r="244" ht="15.75" customHeight="1" s="216"/>
    <row r="245" ht="15.75" customHeight="1" s="216"/>
    <row r="246" ht="15.75" customHeight="1" s="216"/>
    <row r="247" ht="15.75" customHeight="1" s="216"/>
    <row r="248" ht="15.75" customHeight="1" s="216"/>
    <row r="249" ht="15.75" customHeight="1" s="216"/>
    <row r="250" ht="15.75" customHeight="1" s="216"/>
    <row r="251" ht="15.75" customHeight="1" s="216"/>
    <row r="252" ht="15.75" customHeight="1" s="216"/>
    <row r="253" ht="15.75" customHeight="1" s="216"/>
    <row r="254" ht="15.75" customHeight="1" s="216"/>
    <row r="255" ht="15.75" customHeight="1" s="216"/>
    <row r="256" ht="15.75" customHeight="1" s="216"/>
    <row r="257" ht="15.75" customHeight="1" s="216"/>
    <row r="258" ht="15.75" customHeight="1" s="216"/>
    <row r="259" ht="15.75" customHeight="1" s="216"/>
    <row r="260" ht="15.75" customHeight="1" s="216"/>
    <row r="261" ht="15.75" customHeight="1" s="216"/>
    <row r="262" ht="15.75" customHeight="1" s="216"/>
    <row r="263" ht="15.75" customHeight="1" s="216"/>
    <row r="264" ht="15.75" customHeight="1" s="216"/>
    <row r="265" ht="15.75" customHeight="1" s="216"/>
    <row r="266" ht="15.75" customHeight="1" s="216"/>
    <row r="267" ht="15.75" customHeight="1" s="216"/>
    <row r="268" ht="15.75" customHeight="1" s="216"/>
    <row r="269" ht="15.75" customHeight="1" s="216"/>
    <row r="270" ht="15.75" customHeight="1" s="216"/>
    <row r="271" ht="15.75" customHeight="1" s="216"/>
    <row r="272" ht="15.75" customHeight="1" s="216"/>
    <row r="273" ht="15.75" customHeight="1" s="216"/>
    <row r="274" ht="15.75" customHeight="1" s="216"/>
    <row r="275" ht="15.75" customHeight="1" s="216"/>
    <row r="276" ht="15.75" customHeight="1" s="216"/>
    <row r="277" ht="15.75" customHeight="1" s="216"/>
    <row r="278" ht="15.75" customHeight="1" s="216"/>
    <row r="279" ht="15.75" customHeight="1" s="216"/>
    <row r="280" ht="15.75" customHeight="1" s="216"/>
    <row r="281" ht="15.75" customHeight="1" s="216"/>
    <row r="282" ht="15.75" customHeight="1" s="216"/>
    <row r="283" ht="15.75" customHeight="1" s="216"/>
    <row r="284" ht="15.75" customHeight="1" s="216"/>
    <row r="285" ht="15.75" customHeight="1" s="216"/>
    <row r="286" ht="15.75" customHeight="1" s="216"/>
    <row r="287" ht="15.75" customHeight="1" s="216"/>
    <row r="288" ht="15.75" customHeight="1" s="216"/>
    <row r="289" ht="15.75" customHeight="1" s="216"/>
    <row r="290" ht="15.75" customHeight="1" s="216"/>
    <row r="291" ht="15.75" customHeight="1" s="216"/>
    <row r="292" ht="15.75" customHeight="1" s="216"/>
    <row r="293" ht="15.75" customHeight="1" s="216"/>
    <row r="294" ht="15.75" customHeight="1" s="216"/>
    <row r="295" ht="15.75" customHeight="1" s="216"/>
    <row r="296" ht="15.75" customHeight="1" s="216"/>
    <row r="297" ht="15.75" customHeight="1" s="216"/>
    <row r="298" ht="15.75" customHeight="1" s="216"/>
    <row r="299" ht="15.75" customHeight="1" s="216"/>
    <row r="300" ht="15.75" customHeight="1" s="216"/>
    <row r="301" ht="15.75" customHeight="1" s="216"/>
    <row r="302" ht="15.75" customHeight="1" s="216"/>
    <row r="303" ht="15.75" customHeight="1" s="216"/>
    <row r="304" ht="15.75" customHeight="1" s="216"/>
    <row r="305" ht="15.75" customHeight="1" s="216"/>
    <row r="306" ht="15.75" customHeight="1" s="216"/>
    <row r="307" ht="15.75" customHeight="1" s="216"/>
    <row r="308" ht="15.75" customHeight="1" s="216"/>
    <row r="309" ht="15.75" customHeight="1" s="216"/>
    <row r="310" ht="15.75" customHeight="1" s="216"/>
    <row r="311" ht="15.75" customHeight="1" s="216"/>
    <row r="312" ht="15.75" customHeight="1" s="216"/>
    <row r="313" ht="15.75" customHeight="1" s="216"/>
    <row r="314" ht="15.75" customHeight="1" s="216"/>
    <row r="315" ht="15.75" customHeight="1" s="216"/>
    <row r="316" ht="15.75" customHeight="1" s="216"/>
    <row r="317" ht="15.75" customHeight="1" s="216"/>
    <row r="318" ht="15.75" customHeight="1" s="216"/>
    <row r="319" ht="15.75" customHeight="1" s="216"/>
    <row r="320" ht="15.75" customHeight="1" s="216"/>
    <row r="321" ht="15.75" customHeight="1" s="216"/>
    <row r="322" ht="15.75" customHeight="1" s="216"/>
    <row r="323" ht="15.75" customHeight="1" s="216"/>
    <row r="324" ht="15.75" customHeight="1" s="216"/>
    <row r="325" ht="15.75" customHeight="1" s="216"/>
    <row r="326" ht="15.75" customHeight="1" s="216"/>
    <row r="327" ht="15.75" customHeight="1" s="216"/>
    <row r="328" ht="15.75" customHeight="1" s="216"/>
    <row r="329" ht="15.75" customHeight="1" s="216"/>
    <row r="330" ht="15.75" customHeight="1" s="216"/>
    <row r="331" ht="15.75" customHeight="1" s="216"/>
    <row r="332" ht="15.75" customHeight="1" s="216"/>
    <row r="333" ht="15.75" customHeight="1" s="216"/>
    <row r="334" ht="15.75" customHeight="1" s="216"/>
    <row r="335" ht="15.75" customHeight="1" s="216"/>
    <row r="336" ht="15.75" customHeight="1" s="216"/>
    <row r="337" ht="15.75" customHeight="1" s="216"/>
    <row r="338" ht="15.75" customHeight="1" s="216"/>
    <row r="339" ht="15.75" customHeight="1" s="216"/>
    <row r="340" ht="15.75" customHeight="1" s="216"/>
    <row r="341" ht="15.75" customHeight="1" s="216"/>
    <row r="342" ht="15.75" customHeight="1" s="216"/>
    <row r="343" ht="15.75" customHeight="1" s="216"/>
    <row r="344" ht="15.75" customHeight="1" s="216"/>
    <row r="345" ht="15.75" customHeight="1" s="216"/>
    <row r="346" ht="15.75" customHeight="1" s="216"/>
    <row r="347" ht="15.75" customHeight="1" s="216"/>
    <row r="348" ht="15.75" customHeight="1" s="216"/>
    <row r="349" ht="15.75" customHeight="1" s="216"/>
    <row r="350" ht="15.75" customHeight="1" s="216"/>
    <row r="351" ht="15.75" customHeight="1" s="216"/>
    <row r="352" ht="15.75" customHeight="1" s="216"/>
    <row r="353" ht="15.75" customHeight="1" s="216"/>
    <row r="354" ht="15.75" customHeight="1" s="216"/>
    <row r="355" ht="15.75" customHeight="1" s="216"/>
    <row r="356" ht="15.75" customHeight="1" s="216"/>
    <row r="357" ht="15.75" customHeight="1" s="216"/>
    <row r="358" ht="15.75" customHeight="1" s="216"/>
    <row r="359" ht="15.75" customHeight="1" s="216"/>
    <row r="360" ht="15.75" customHeight="1" s="216"/>
    <row r="361" ht="15.75" customHeight="1" s="216"/>
    <row r="362" ht="15.75" customHeight="1" s="216"/>
    <row r="363" ht="15.75" customHeight="1" s="216"/>
    <row r="364" ht="15.75" customHeight="1" s="216"/>
    <row r="365" ht="15.75" customHeight="1" s="216"/>
    <row r="366" ht="15.75" customHeight="1" s="216"/>
    <row r="367" ht="15.75" customHeight="1" s="216"/>
    <row r="368" ht="15.75" customHeight="1" s="216"/>
    <row r="369" ht="15.75" customHeight="1" s="216"/>
    <row r="370" ht="15.75" customHeight="1" s="216"/>
    <row r="371" ht="15.75" customHeight="1" s="216"/>
    <row r="372" ht="15.75" customHeight="1" s="216"/>
    <row r="373" ht="15.75" customHeight="1" s="216"/>
    <row r="374" ht="15.75" customHeight="1" s="216"/>
    <row r="375" ht="15.75" customHeight="1" s="216"/>
    <row r="376" ht="15.75" customHeight="1" s="216"/>
    <row r="377" ht="15.75" customHeight="1" s="216"/>
    <row r="378" ht="15.75" customHeight="1" s="216"/>
    <row r="379" ht="15.75" customHeight="1" s="216"/>
    <row r="380" ht="15.75" customHeight="1" s="216"/>
    <row r="381" ht="15.75" customHeight="1" s="216"/>
    <row r="382" ht="15.75" customHeight="1" s="216"/>
    <row r="383" ht="15.75" customHeight="1" s="216"/>
    <row r="384" ht="15.75" customHeight="1" s="216"/>
    <row r="385" ht="15.75" customHeight="1" s="216"/>
    <row r="386" ht="15.75" customHeight="1" s="216"/>
    <row r="387" ht="15.75" customHeight="1" s="216"/>
    <row r="388" ht="15.75" customHeight="1" s="216"/>
    <row r="389" ht="15.75" customHeight="1" s="216"/>
    <row r="390" ht="15.75" customHeight="1" s="216"/>
    <row r="391" ht="15.75" customHeight="1" s="216"/>
    <row r="392" ht="15.75" customHeight="1" s="216"/>
    <row r="393" ht="15.75" customHeight="1" s="216"/>
    <row r="394" ht="15.75" customHeight="1" s="216"/>
    <row r="395" ht="15.75" customHeight="1" s="216"/>
    <row r="396" ht="15.75" customHeight="1" s="216"/>
    <row r="397" ht="15.75" customHeight="1" s="216"/>
    <row r="398" ht="15.75" customHeight="1" s="216"/>
    <row r="399" ht="15.75" customHeight="1" s="216"/>
    <row r="400" ht="15.75" customHeight="1" s="216"/>
    <row r="401" ht="15.75" customHeight="1" s="216"/>
    <row r="402" ht="15.75" customHeight="1" s="216"/>
    <row r="403" ht="15.75" customHeight="1" s="216"/>
    <row r="404" ht="15.75" customHeight="1" s="216"/>
    <row r="405" ht="15.75" customHeight="1" s="216"/>
    <row r="406" ht="15.75" customHeight="1" s="216"/>
    <row r="407" ht="15.75" customHeight="1" s="216"/>
    <row r="408" ht="15.75" customHeight="1" s="216"/>
    <row r="409" ht="15.75" customHeight="1" s="216"/>
    <row r="410" ht="15.75" customHeight="1" s="216"/>
    <row r="411" ht="15.75" customHeight="1" s="216"/>
    <row r="412" ht="15.75" customHeight="1" s="216"/>
    <row r="413" ht="15.75" customHeight="1" s="216"/>
    <row r="414" ht="15.75" customHeight="1" s="216"/>
    <row r="415" ht="15.75" customHeight="1" s="216"/>
    <row r="416" ht="15.75" customHeight="1" s="216"/>
    <row r="417" ht="15.75" customHeight="1" s="216"/>
    <row r="418" ht="15.75" customHeight="1" s="216"/>
    <row r="419" ht="15.75" customHeight="1" s="216"/>
    <row r="420" ht="15.75" customHeight="1" s="216"/>
    <row r="421" ht="15.75" customHeight="1" s="216"/>
    <row r="422" ht="15.75" customHeight="1" s="216"/>
    <row r="423" ht="15.75" customHeight="1" s="216"/>
    <row r="424" ht="15.75" customHeight="1" s="216"/>
    <row r="425" ht="15.75" customHeight="1" s="216"/>
    <row r="426" ht="15.75" customHeight="1" s="216"/>
    <row r="427" ht="15.75" customHeight="1" s="216"/>
    <row r="428" ht="15.75" customHeight="1" s="216"/>
    <row r="429" ht="15.75" customHeight="1" s="216"/>
    <row r="430" ht="15.75" customHeight="1" s="216"/>
    <row r="431" ht="15.75" customHeight="1" s="216"/>
    <row r="432" ht="15.75" customHeight="1" s="216"/>
    <row r="433" ht="15.75" customHeight="1" s="216"/>
    <row r="434" ht="15.75" customHeight="1" s="216"/>
    <row r="435" ht="15.75" customHeight="1" s="216"/>
    <row r="436" ht="15.75" customHeight="1" s="216"/>
    <row r="437" ht="15.75" customHeight="1" s="216"/>
    <row r="438" ht="15.75" customHeight="1" s="216"/>
    <row r="439" ht="15.75" customHeight="1" s="216"/>
    <row r="440" ht="15.75" customHeight="1" s="216"/>
    <row r="441" ht="15.75" customHeight="1" s="216"/>
    <row r="442" ht="15.75" customHeight="1" s="216"/>
    <row r="443" ht="15.75" customHeight="1" s="216"/>
    <row r="444" ht="15.75" customHeight="1" s="216"/>
    <row r="445" ht="15.75" customHeight="1" s="216"/>
    <row r="446" ht="15.75" customHeight="1" s="216"/>
    <row r="447" ht="15.75" customHeight="1" s="216"/>
    <row r="448" ht="15.75" customHeight="1" s="216"/>
    <row r="449" ht="15.75" customHeight="1" s="216"/>
    <row r="450" ht="15.75" customHeight="1" s="216"/>
    <row r="451" ht="15.75" customHeight="1" s="216"/>
    <row r="452" ht="15.75" customHeight="1" s="216"/>
    <row r="453" ht="15.75" customHeight="1" s="216"/>
    <row r="454" ht="15.75" customHeight="1" s="216"/>
    <row r="455" ht="15.75" customHeight="1" s="216"/>
    <row r="456" ht="15.75" customHeight="1" s="216"/>
    <row r="457" ht="15.75" customHeight="1" s="216"/>
    <row r="458" ht="15.75" customHeight="1" s="216"/>
    <row r="459" ht="15.75" customHeight="1" s="216"/>
    <row r="460" ht="15.75" customHeight="1" s="216"/>
    <row r="461" ht="15.75" customHeight="1" s="216"/>
    <row r="462" ht="15.75" customHeight="1" s="216"/>
    <row r="463" ht="15.75" customHeight="1" s="216"/>
    <row r="464" ht="15.75" customHeight="1" s="216"/>
    <row r="465" ht="15.75" customHeight="1" s="216"/>
    <row r="466" ht="15.75" customHeight="1" s="216"/>
    <row r="467" ht="15.75" customHeight="1" s="216"/>
    <row r="468" ht="15.75" customHeight="1" s="216"/>
    <row r="469" ht="15.75" customHeight="1" s="216"/>
    <row r="470" ht="15.75" customHeight="1" s="216"/>
    <row r="471" ht="15.75" customHeight="1" s="216"/>
    <row r="472" ht="15.75" customHeight="1" s="216"/>
    <row r="473" ht="15.75" customHeight="1" s="216"/>
    <row r="474" ht="15.75" customHeight="1" s="216"/>
    <row r="475" ht="15.75" customHeight="1" s="216"/>
    <row r="476" ht="15.75" customHeight="1" s="216"/>
    <row r="477" ht="15.75" customHeight="1" s="216"/>
    <row r="478" ht="15.75" customHeight="1" s="216"/>
    <row r="479" ht="15.75" customHeight="1" s="216"/>
    <row r="480" ht="15.75" customHeight="1" s="216"/>
    <row r="481" ht="15.75" customHeight="1" s="216"/>
    <row r="482" ht="15.75" customHeight="1" s="216"/>
    <row r="483" ht="15.75" customHeight="1" s="216"/>
    <row r="484" ht="15.75" customHeight="1" s="216"/>
    <row r="485" ht="15.75" customHeight="1" s="216"/>
    <row r="486" ht="15.75" customHeight="1" s="216"/>
    <row r="487" ht="15.75" customHeight="1" s="216"/>
    <row r="488" ht="15.75" customHeight="1" s="216"/>
    <row r="489" ht="15.75" customHeight="1" s="216"/>
    <row r="490" ht="15.75" customHeight="1" s="216"/>
    <row r="491" ht="15.75" customHeight="1" s="216"/>
    <row r="492" ht="15.75" customHeight="1" s="216"/>
    <row r="493" ht="15.75" customHeight="1" s="216"/>
    <row r="494" ht="15.75" customHeight="1" s="216"/>
    <row r="495" ht="15.75" customHeight="1" s="216"/>
    <row r="496" ht="15.75" customHeight="1" s="216"/>
    <row r="497" ht="15.75" customHeight="1" s="216"/>
    <row r="498" ht="15.75" customHeight="1" s="216"/>
    <row r="499" ht="15.75" customHeight="1" s="216"/>
    <row r="500" ht="15.75" customHeight="1" s="216"/>
    <row r="501" ht="15.75" customHeight="1" s="216"/>
    <row r="502" ht="15.75" customHeight="1" s="216"/>
    <row r="503" ht="15.75" customHeight="1" s="216"/>
    <row r="504" ht="15.75" customHeight="1" s="216"/>
    <row r="505" ht="15.75" customHeight="1" s="216"/>
    <row r="506" ht="15.75" customHeight="1" s="216"/>
    <row r="507" ht="15.75" customHeight="1" s="216"/>
    <row r="508" ht="15.75" customHeight="1" s="216"/>
    <row r="509" ht="15.75" customHeight="1" s="216"/>
    <row r="510" ht="15.75" customHeight="1" s="216"/>
    <row r="511" ht="15.75" customHeight="1" s="216"/>
    <row r="512" ht="15.75" customHeight="1" s="216"/>
    <row r="513" ht="15.75" customHeight="1" s="216"/>
    <row r="514" ht="15.75" customHeight="1" s="216"/>
    <row r="515" ht="15.75" customHeight="1" s="216"/>
    <row r="516" ht="15.75" customHeight="1" s="216"/>
    <row r="517" ht="15.75" customHeight="1" s="216"/>
    <row r="518" ht="15.75" customHeight="1" s="216"/>
    <row r="519" ht="15.75" customHeight="1" s="216"/>
    <row r="520" ht="15.75" customHeight="1" s="216"/>
    <row r="521" ht="15.75" customHeight="1" s="216"/>
    <row r="522" ht="15.75" customHeight="1" s="216"/>
    <row r="523" ht="15.75" customHeight="1" s="216"/>
    <row r="524" ht="15.75" customHeight="1" s="216"/>
    <row r="525" ht="15.75" customHeight="1" s="216"/>
    <row r="526" ht="15.75" customHeight="1" s="216"/>
    <row r="527" ht="15.75" customHeight="1" s="216"/>
    <row r="528" ht="15.75" customHeight="1" s="216"/>
    <row r="529" ht="15.75" customHeight="1" s="216"/>
    <row r="530" ht="15.75" customHeight="1" s="216"/>
    <row r="531" ht="15.75" customHeight="1" s="216"/>
    <row r="532" ht="15.75" customHeight="1" s="216"/>
    <row r="533" ht="15.75" customHeight="1" s="216"/>
    <row r="534" ht="15.75" customHeight="1" s="216"/>
    <row r="535" ht="15.75" customHeight="1" s="216"/>
    <row r="536" ht="15.75" customHeight="1" s="216"/>
    <row r="537" ht="15.75" customHeight="1" s="216"/>
    <row r="538" ht="15.75" customHeight="1" s="216"/>
    <row r="539" ht="15.75" customHeight="1" s="216"/>
    <row r="540" ht="15.75" customHeight="1" s="216"/>
    <row r="541" ht="15.75" customHeight="1" s="216"/>
    <row r="542" ht="15.75" customHeight="1" s="216"/>
    <row r="543" ht="15.75" customHeight="1" s="216"/>
    <row r="544" ht="15.75" customHeight="1" s="216"/>
    <row r="545" ht="15.75" customHeight="1" s="216"/>
    <row r="546" ht="15.75" customHeight="1" s="216"/>
    <row r="547" ht="15.75" customHeight="1" s="216"/>
    <row r="548" ht="15.75" customHeight="1" s="216"/>
    <row r="549" ht="15.75" customHeight="1" s="216"/>
    <row r="550" ht="15.75" customHeight="1" s="216"/>
    <row r="551" ht="15.75" customHeight="1" s="216"/>
    <row r="552" ht="15.75" customHeight="1" s="216"/>
    <row r="553" ht="15.75" customHeight="1" s="216"/>
    <row r="554" ht="15.75" customHeight="1" s="216"/>
    <row r="555" ht="15.75" customHeight="1" s="216"/>
    <row r="556" ht="15.75" customHeight="1" s="216"/>
    <row r="557" ht="15.75" customHeight="1" s="216"/>
    <row r="558" ht="15.75" customHeight="1" s="216"/>
    <row r="559" ht="15.75" customHeight="1" s="216"/>
    <row r="560" ht="15.75" customHeight="1" s="216"/>
    <row r="561" ht="15.75" customHeight="1" s="216"/>
    <row r="562" ht="15.75" customHeight="1" s="216"/>
    <row r="563" ht="15.75" customHeight="1" s="216"/>
    <row r="564" ht="15.75" customHeight="1" s="216"/>
    <row r="565" ht="15.75" customHeight="1" s="216"/>
    <row r="566" ht="15.75" customHeight="1" s="216"/>
    <row r="567" ht="15.75" customHeight="1" s="216"/>
    <row r="568" ht="15.75" customHeight="1" s="216"/>
    <row r="569" ht="15.75" customHeight="1" s="216"/>
    <row r="570" ht="15.75" customHeight="1" s="216"/>
    <row r="571" ht="15.75" customHeight="1" s="216"/>
    <row r="572" ht="15.75" customHeight="1" s="216"/>
    <row r="573" ht="15.75" customHeight="1" s="216"/>
    <row r="574" ht="15.75" customHeight="1" s="216"/>
    <row r="575" ht="15.75" customHeight="1" s="216"/>
    <row r="576" ht="15.75" customHeight="1" s="216"/>
    <row r="577" ht="15.75" customHeight="1" s="216"/>
    <row r="578" ht="15.75" customHeight="1" s="216"/>
    <row r="579" ht="15.75" customHeight="1" s="216"/>
    <row r="580" ht="15.75" customHeight="1" s="216"/>
    <row r="581" ht="15.75" customHeight="1" s="216"/>
    <row r="582" ht="15.75" customHeight="1" s="216"/>
    <row r="583" ht="15.75" customHeight="1" s="216"/>
    <row r="584" ht="15.75" customHeight="1" s="216"/>
    <row r="585" ht="15.75" customHeight="1" s="216"/>
    <row r="586" ht="15.75" customHeight="1" s="216"/>
    <row r="587" ht="15.75" customHeight="1" s="216"/>
    <row r="588" ht="15.75" customHeight="1" s="216"/>
    <row r="589" ht="15.75" customHeight="1" s="216"/>
    <row r="590" ht="15.75" customHeight="1" s="216"/>
    <row r="591" ht="15.75" customHeight="1" s="216"/>
    <row r="592" ht="15.75" customHeight="1" s="216"/>
    <row r="593" ht="15.75" customHeight="1" s="216"/>
    <row r="594" ht="15.75" customHeight="1" s="216"/>
    <row r="595" ht="15.75" customHeight="1" s="216"/>
    <row r="596" ht="15.75" customHeight="1" s="216"/>
    <row r="597" ht="15.75" customHeight="1" s="216"/>
    <row r="598" ht="15.75" customHeight="1" s="216"/>
    <row r="599" ht="15.75" customHeight="1" s="216"/>
    <row r="600" ht="15.75" customHeight="1" s="216"/>
    <row r="601" ht="15.75" customHeight="1" s="216"/>
    <row r="602" ht="15.75" customHeight="1" s="216"/>
    <row r="603" ht="15.75" customHeight="1" s="216"/>
    <row r="604" ht="15.75" customHeight="1" s="216"/>
    <row r="605" ht="15.75" customHeight="1" s="216"/>
    <row r="606" ht="15.75" customHeight="1" s="216"/>
    <row r="607" ht="15.75" customHeight="1" s="216"/>
    <row r="608" ht="15.75" customHeight="1" s="216"/>
    <row r="609" ht="15.75" customHeight="1" s="216"/>
    <row r="610" ht="15.75" customHeight="1" s="216"/>
    <row r="611" ht="15.75" customHeight="1" s="216"/>
    <row r="612" ht="15.75" customHeight="1" s="216"/>
    <row r="613" ht="15.75" customHeight="1" s="216"/>
    <row r="614" ht="15.75" customHeight="1" s="216"/>
    <row r="615" ht="15.75" customHeight="1" s="216"/>
    <row r="616" ht="15.75" customHeight="1" s="216"/>
    <row r="617" ht="15.75" customHeight="1" s="216"/>
    <row r="618" ht="15.75" customHeight="1" s="216"/>
    <row r="619" ht="15.75" customHeight="1" s="216"/>
    <row r="620" ht="15.75" customHeight="1" s="216"/>
    <row r="621" ht="15.75" customHeight="1" s="216"/>
    <row r="622" ht="15.75" customHeight="1" s="216"/>
    <row r="623" ht="15.75" customHeight="1" s="216"/>
    <row r="624" ht="15.75" customHeight="1" s="216"/>
    <row r="625" ht="15.75" customHeight="1" s="216"/>
    <row r="626" ht="15.75" customHeight="1" s="216"/>
    <row r="627" ht="15.75" customHeight="1" s="216"/>
    <row r="628" ht="15.75" customHeight="1" s="216"/>
    <row r="629" ht="15.75" customHeight="1" s="216"/>
    <row r="630" ht="15.75" customHeight="1" s="216"/>
    <row r="631" ht="15.75" customHeight="1" s="216"/>
    <row r="632" ht="15.75" customHeight="1" s="216"/>
    <row r="633" ht="15.75" customHeight="1" s="216"/>
    <row r="634" ht="15.75" customHeight="1" s="216"/>
    <row r="635" ht="15.75" customHeight="1" s="216"/>
    <row r="636" ht="15.75" customHeight="1" s="216"/>
    <row r="637" ht="15.75" customHeight="1" s="216"/>
    <row r="638" ht="15.75" customHeight="1" s="216"/>
    <row r="639" ht="15.75" customHeight="1" s="216"/>
    <row r="640" ht="15.75" customHeight="1" s="216"/>
    <row r="641" ht="15.75" customHeight="1" s="216"/>
    <row r="642" ht="15.75" customHeight="1" s="216"/>
    <row r="643" ht="15.75" customHeight="1" s="216"/>
    <row r="644" ht="15.75" customHeight="1" s="216"/>
    <row r="645" ht="15.75" customHeight="1" s="216"/>
    <row r="646" ht="15.75" customHeight="1" s="216"/>
    <row r="647" ht="15.75" customHeight="1" s="216"/>
    <row r="648" ht="15.75" customHeight="1" s="216"/>
    <row r="649" ht="15.75" customHeight="1" s="216"/>
    <row r="650" ht="15.75" customHeight="1" s="216"/>
    <row r="651" ht="15.75" customHeight="1" s="216"/>
    <row r="652" ht="15.75" customHeight="1" s="216"/>
    <row r="653" ht="15.75" customHeight="1" s="216"/>
    <row r="654" ht="15.75" customHeight="1" s="216"/>
    <row r="655" ht="15.75" customHeight="1" s="216"/>
    <row r="656" ht="15.75" customHeight="1" s="216"/>
    <row r="657" ht="15.75" customHeight="1" s="216"/>
    <row r="658" ht="15.75" customHeight="1" s="216"/>
    <row r="659" ht="15.75" customHeight="1" s="216"/>
    <row r="660" ht="15.75" customHeight="1" s="216"/>
    <row r="661" ht="15.75" customHeight="1" s="216"/>
    <row r="662" ht="15.75" customHeight="1" s="216"/>
    <row r="663" ht="15.75" customHeight="1" s="216"/>
    <row r="664" ht="15.75" customHeight="1" s="216"/>
    <row r="665" ht="15.75" customHeight="1" s="216"/>
    <row r="666" ht="15.75" customHeight="1" s="216"/>
    <row r="667" ht="15.75" customHeight="1" s="216"/>
    <row r="668" ht="15.75" customHeight="1" s="216"/>
    <row r="669" ht="15.75" customHeight="1" s="216"/>
    <row r="670" ht="15.75" customHeight="1" s="216"/>
    <row r="671" ht="15.75" customHeight="1" s="216"/>
    <row r="672" ht="15.75" customHeight="1" s="216"/>
    <row r="673" ht="15.75" customHeight="1" s="216"/>
    <row r="674" ht="15.75" customHeight="1" s="216"/>
    <row r="675" ht="15.75" customHeight="1" s="216"/>
    <row r="676" ht="15.75" customHeight="1" s="216"/>
    <row r="677" ht="15.75" customHeight="1" s="216"/>
    <row r="678" ht="15.75" customHeight="1" s="216"/>
    <row r="679" ht="15.75" customHeight="1" s="216"/>
    <row r="680" ht="15.75" customHeight="1" s="216"/>
    <row r="681" ht="15.75" customHeight="1" s="216"/>
    <row r="682" ht="15.75" customHeight="1" s="216"/>
    <row r="683" ht="15.75" customHeight="1" s="216"/>
    <row r="684" ht="15.75" customHeight="1" s="216"/>
    <row r="685" ht="15.75" customHeight="1" s="216"/>
    <row r="686" ht="15.75" customHeight="1" s="216"/>
    <row r="687" ht="15.75" customHeight="1" s="216"/>
    <row r="688" ht="15.75" customHeight="1" s="216"/>
    <row r="689" ht="15.75" customHeight="1" s="216"/>
    <row r="690" ht="15.75" customHeight="1" s="216"/>
    <row r="691" ht="15.75" customHeight="1" s="216"/>
    <row r="692" ht="15.75" customHeight="1" s="216"/>
    <row r="693" ht="15.75" customHeight="1" s="216"/>
    <row r="694" ht="15.75" customHeight="1" s="216"/>
    <row r="695" ht="15.75" customHeight="1" s="216"/>
    <row r="696" ht="15.75" customHeight="1" s="216"/>
    <row r="697" ht="15.75" customHeight="1" s="216"/>
    <row r="698" ht="15.75" customHeight="1" s="216"/>
    <row r="699" ht="15.75" customHeight="1" s="216"/>
    <row r="700" ht="15.75" customHeight="1" s="216"/>
    <row r="701" ht="15.75" customHeight="1" s="216"/>
    <row r="702" ht="15.75" customHeight="1" s="216"/>
    <row r="703" ht="15.75" customHeight="1" s="216"/>
    <row r="704" ht="15.75" customHeight="1" s="216"/>
    <row r="705" ht="15.75" customHeight="1" s="216"/>
    <row r="706" ht="15.75" customHeight="1" s="216"/>
    <row r="707" ht="15.75" customHeight="1" s="216"/>
    <row r="708" ht="15.75" customHeight="1" s="216"/>
    <row r="709" ht="15.75" customHeight="1" s="216"/>
    <row r="710" ht="15.75" customHeight="1" s="216"/>
    <row r="711" ht="15.75" customHeight="1" s="216"/>
    <row r="712" ht="15.75" customHeight="1" s="216"/>
    <row r="713" ht="15.75" customHeight="1" s="216"/>
    <row r="714" ht="15.75" customHeight="1" s="216"/>
    <row r="715" ht="15.75" customHeight="1" s="216"/>
    <row r="716" ht="15.75" customHeight="1" s="216"/>
    <row r="717" ht="15.75" customHeight="1" s="216"/>
    <row r="718" ht="15.75" customHeight="1" s="216"/>
    <row r="719" ht="15.75" customHeight="1" s="216"/>
    <row r="720" ht="15.75" customHeight="1" s="216"/>
    <row r="721" ht="15.75" customHeight="1" s="216"/>
    <row r="722" ht="15.75" customHeight="1" s="216"/>
    <row r="723" ht="15.75" customHeight="1" s="216"/>
    <row r="724" ht="15.75" customHeight="1" s="216"/>
    <row r="725" ht="15.75" customHeight="1" s="216"/>
    <row r="726" ht="15.75" customHeight="1" s="216"/>
    <row r="727" ht="15.75" customHeight="1" s="216"/>
    <row r="728" ht="15.75" customHeight="1" s="216"/>
    <row r="729" ht="15.75" customHeight="1" s="216"/>
    <row r="730" ht="15.75" customHeight="1" s="216"/>
    <row r="731" ht="15.75" customHeight="1" s="216"/>
    <row r="732" ht="15.75" customHeight="1" s="216"/>
    <row r="733" ht="15.75" customHeight="1" s="216"/>
    <row r="734" ht="15.75" customHeight="1" s="216"/>
    <row r="735" ht="15.75" customHeight="1" s="216"/>
    <row r="736" ht="15.75" customHeight="1" s="216"/>
    <row r="737" ht="15.75" customHeight="1" s="216"/>
    <row r="738" ht="15.75" customHeight="1" s="216"/>
    <row r="739" ht="15.75" customHeight="1" s="216"/>
    <row r="740" ht="15.75" customHeight="1" s="216"/>
    <row r="741" ht="15.75" customHeight="1" s="216"/>
    <row r="742" ht="15.75" customHeight="1" s="216"/>
    <row r="743" ht="15.75" customHeight="1" s="216"/>
    <row r="744" ht="15.75" customHeight="1" s="216"/>
    <row r="745" ht="15.75" customHeight="1" s="216"/>
    <row r="746" ht="15.75" customHeight="1" s="216"/>
    <row r="747" ht="15.75" customHeight="1" s="216"/>
    <row r="748" ht="15.75" customHeight="1" s="216"/>
    <row r="749" ht="15.75" customHeight="1" s="216"/>
    <row r="750" ht="15.75" customHeight="1" s="216"/>
    <row r="751" ht="15.75" customHeight="1" s="216"/>
    <row r="752" ht="15.75" customHeight="1" s="216"/>
    <row r="753" ht="15.75" customHeight="1" s="216"/>
    <row r="754" ht="15.75" customHeight="1" s="216"/>
    <row r="755" ht="15.75" customHeight="1" s="216"/>
    <row r="756" ht="15.75" customHeight="1" s="216"/>
    <row r="757" ht="15.75" customHeight="1" s="216"/>
    <row r="758" ht="15.75" customHeight="1" s="216"/>
    <row r="759" ht="15.75" customHeight="1" s="216"/>
    <row r="760" ht="15.75" customHeight="1" s="216"/>
    <row r="761" ht="15.75" customHeight="1" s="216"/>
    <row r="762" ht="15.75" customHeight="1" s="216"/>
    <row r="763" ht="15.75" customHeight="1" s="216"/>
    <row r="764" ht="15.75" customHeight="1" s="216"/>
    <row r="765" ht="15.75" customHeight="1" s="216"/>
    <row r="766" ht="15.75" customHeight="1" s="216"/>
    <row r="767" ht="15.75" customHeight="1" s="216"/>
    <row r="768" ht="15.75" customHeight="1" s="216"/>
    <row r="769" ht="15.75" customHeight="1" s="216"/>
    <row r="770" ht="15.75" customHeight="1" s="216"/>
    <row r="771" ht="15.75" customHeight="1" s="216"/>
    <row r="772" ht="15.75" customHeight="1" s="216"/>
    <row r="773" ht="15.75" customHeight="1" s="216"/>
    <row r="774" ht="15.75" customHeight="1" s="216"/>
    <row r="775" ht="15.75" customHeight="1" s="216"/>
    <row r="776" ht="15.75" customHeight="1" s="216"/>
    <row r="777" ht="15.75" customHeight="1" s="216"/>
    <row r="778" ht="15.75" customHeight="1" s="216"/>
    <row r="779" ht="15.75" customHeight="1" s="216"/>
    <row r="780" ht="15.75" customHeight="1" s="216"/>
    <row r="781" ht="15.75" customHeight="1" s="216"/>
    <row r="782" ht="15.75" customHeight="1" s="216"/>
    <row r="783" ht="15.75" customHeight="1" s="216"/>
    <row r="784" ht="15.75" customHeight="1" s="216"/>
    <row r="785" ht="15.75" customHeight="1" s="216"/>
    <row r="786" ht="15.75" customHeight="1" s="216"/>
    <row r="787" ht="15.75" customHeight="1" s="216"/>
    <row r="788" ht="15.75" customHeight="1" s="216"/>
    <row r="789" ht="15.75" customHeight="1" s="216"/>
    <row r="790" ht="15.75" customHeight="1" s="216"/>
    <row r="791" ht="15.75" customHeight="1" s="216"/>
    <row r="792" ht="15.75" customHeight="1" s="216"/>
    <row r="793" ht="15.75" customHeight="1" s="216"/>
    <row r="794" ht="15.75" customHeight="1" s="216"/>
    <row r="795" ht="15.75" customHeight="1" s="216"/>
    <row r="796" ht="15.75" customHeight="1" s="216"/>
    <row r="797" ht="15.75" customHeight="1" s="216"/>
    <row r="798" ht="15.75" customHeight="1" s="216"/>
    <row r="799" ht="15.75" customHeight="1" s="216"/>
    <row r="800" ht="15.75" customHeight="1" s="216"/>
    <row r="801" ht="15.75" customHeight="1" s="216"/>
    <row r="802" ht="15.75" customHeight="1" s="216"/>
    <row r="803" ht="15.75" customHeight="1" s="216"/>
    <row r="804" ht="15.75" customHeight="1" s="216"/>
    <row r="805" ht="15.75" customHeight="1" s="216"/>
    <row r="806" ht="15.75" customHeight="1" s="216"/>
    <row r="807" ht="15.75" customHeight="1" s="216"/>
    <row r="808" ht="15.75" customHeight="1" s="216"/>
    <row r="809" ht="15.75" customHeight="1" s="216"/>
    <row r="810" ht="15.75" customHeight="1" s="216"/>
    <row r="811" ht="15.75" customHeight="1" s="216"/>
    <row r="812" ht="15.75" customHeight="1" s="216"/>
    <row r="813" ht="15.75" customHeight="1" s="216"/>
    <row r="814" ht="15.75" customHeight="1" s="216"/>
    <row r="815" ht="15.75" customHeight="1" s="216"/>
    <row r="816" ht="15.75" customHeight="1" s="216"/>
    <row r="817" ht="15.75" customHeight="1" s="216"/>
    <row r="818" ht="15.75" customHeight="1" s="216"/>
    <row r="819" ht="15.75" customHeight="1" s="216"/>
    <row r="820" ht="15.75" customHeight="1" s="216"/>
    <row r="821" ht="15.75" customHeight="1" s="216"/>
    <row r="822" ht="15.75" customHeight="1" s="216"/>
    <row r="823" ht="15.75" customHeight="1" s="216"/>
    <row r="824" ht="15.75" customHeight="1" s="216"/>
    <row r="825" ht="15.75" customHeight="1" s="216"/>
    <row r="826" ht="15.75" customHeight="1" s="216"/>
    <row r="827" ht="15.75" customHeight="1" s="216"/>
    <row r="828" ht="15.75" customHeight="1" s="216"/>
    <row r="829" ht="15.75" customHeight="1" s="216"/>
    <row r="830" ht="15.75" customHeight="1" s="216"/>
    <row r="831" ht="15.75" customHeight="1" s="216"/>
    <row r="832" ht="15.75" customHeight="1" s="216"/>
    <row r="833" ht="15.75" customHeight="1" s="216"/>
    <row r="834" ht="15.75" customHeight="1" s="216"/>
    <row r="835" ht="15.75" customHeight="1" s="216"/>
    <row r="836" ht="15.75" customHeight="1" s="216"/>
    <row r="837" ht="15.75" customHeight="1" s="216"/>
    <row r="838" ht="15.75" customHeight="1" s="216"/>
    <row r="839" ht="15.75" customHeight="1" s="216"/>
    <row r="840" ht="15.75" customHeight="1" s="216"/>
    <row r="841" ht="15.75" customHeight="1" s="216"/>
    <row r="842" ht="15.75" customHeight="1" s="216"/>
    <row r="843" ht="15.75" customHeight="1" s="216"/>
    <row r="844" ht="15.75" customHeight="1" s="216"/>
    <row r="845" ht="15.75" customHeight="1" s="216"/>
    <row r="846" ht="15.75" customHeight="1" s="216"/>
    <row r="847" ht="15.75" customHeight="1" s="216"/>
    <row r="848" ht="15.75" customHeight="1" s="216"/>
    <row r="849" ht="15.75" customHeight="1" s="216"/>
    <row r="850" ht="15.75" customHeight="1" s="216"/>
    <row r="851" ht="15.75" customHeight="1" s="216"/>
    <row r="852" ht="15.75" customHeight="1" s="216"/>
    <row r="853" ht="15.75" customHeight="1" s="216"/>
    <row r="854" ht="15.75" customHeight="1" s="216"/>
    <row r="855" ht="15.75" customHeight="1" s="216"/>
    <row r="856" ht="15.75" customHeight="1" s="216"/>
    <row r="857" ht="15.75" customHeight="1" s="216"/>
    <row r="858" ht="15.75" customHeight="1" s="216"/>
    <row r="859" ht="15.75" customHeight="1" s="216"/>
    <row r="860" ht="15.75" customHeight="1" s="216"/>
    <row r="861" ht="15.75" customHeight="1" s="216"/>
    <row r="862" ht="15.75" customHeight="1" s="216"/>
    <row r="863" ht="15.75" customHeight="1" s="216"/>
    <row r="864" ht="15.75" customHeight="1" s="216"/>
    <row r="865" ht="15.75" customHeight="1" s="216"/>
    <row r="866" ht="15.75" customHeight="1" s="216"/>
    <row r="867" ht="15.75" customHeight="1" s="216"/>
    <row r="868" ht="15.75" customHeight="1" s="216"/>
    <row r="869" ht="15.75" customHeight="1" s="216"/>
    <row r="870" ht="15.75" customHeight="1" s="216"/>
    <row r="871" ht="15.75" customHeight="1" s="216"/>
    <row r="872" ht="15.75" customHeight="1" s="216"/>
    <row r="873" ht="15.75" customHeight="1" s="216"/>
    <row r="874" ht="15.75" customHeight="1" s="216"/>
    <row r="875" ht="15.75" customHeight="1" s="216"/>
    <row r="876" ht="15.75" customHeight="1" s="216"/>
    <row r="877" ht="15.75" customHeight="1" s="216"/>
    <row r="878" ht="15.75" customHeight="1" s="216"/>
    <row r="879" ht="15.75" customHeight="1" s="216"/>
    <row r="880" ht="15.75" customHeight="1" s="216"/>
    <row r="881" ht="15.75" customHeight="1" s="216"/>
    <row r="882" ht="15.75" customHeight="1" s="216"/>
    <row r="883" ht="15.75" customHeight="1" s="216"/>
    <row r="884" ht="15.75" customHeight="1" s="216"/>
    <row r="885" ht="15.75" customHeight="1" s="216"/>
    <row r="886" ht="15.75" customHeight="1" s="216"/>
    <row r="887" ht="15.75" customHeight="1" s="216"/>
    <row r="888" ht="15.75" customHeight="1" s="216"/>
    <row r="889" ht="15.75" customHeight="1" s="216"/>
    <row r="890" ht="15.75" customHeight="1" s="216"/>
    <row r="891" ht="15.75" customHeight="1" s="216"/>
    <row r="892" ht="15.75" customHeight="1" s="216"/>
    <row r="893" ht="15.75" customHeight="1" s="216"/>
    <row r="894" ht="15.75" customHeight="1" s="216"/>
    <row r="895" ht="15.75" customHeight="1" s="216"/>
    <row r="896" ht="15.75" customHeight="1" s="216"/>
    <row r="897" ht="15.75" customHeight="1" s="216"/>
    <row r="898" ht="15.75" customHeight="1" s="216"/>
    <row r="899" ht="15.75" customHeight="1" s="216"/>
    <row r="900" ht="15.75" customHeight="1" s="216"/>
    <row r="901" ht="15.75" customHeight="1" s="216"/>
    <row r="902" ht="15.75" customHeight="1" s="216"/>
    <row r="903" ht="15.75" customHeight="1" s="216"/>
    <row r="904" ht="15.75" customHeight="1" s="216"/>
    <row r="905" ht="15.75" customHeight="1" s="216"/>
    <row r="906" ht="15.75" customHeight="1" s="216"/>
    <row r="907" ht="15.75" customHeight="1" s="216"/>
    <row r="908" ht="15.75" customHeight="1" s="216"/>
    <row r="909" ht="15.75" customHeight="1" s="216"/>
    <row r="910" ht="15.75" customHeight="1" s="216"/>
    <row r="911" ht="15.75" customHeight="1" s="216"/>
    <row r="912" ht="15.75" customHeight="1" s="216"/>
    <row r="913" ht="15.75" customHeight="1" s="216"/>
    <row r="914" ht="15.75" customHeight="1" s="216"/>
    <row r="915" ht="15.75" customHeight="1" s="216"/>
    <row r="916" ht="15.75" customHeight="1" s="216"/>
    <row r="917" ht="15.75" customHeight="1" s="216"/>
    <row r="918" ht="15.75" customHeight="1" s="216"/>
    <row r="919" ht="15.75" customHeight="1" s="216"/>
    <row r="920" ht="15.75" customHeight="1" s="216"/>
    <row r="921" ht="15.75" customHeight="1" s="216"/>
    <row r="922" ht="15.75" customHeight="1" s="216"/>
    <row r="923" ht="15.75" customHeight="1" s="216"/>
    <row r="924" ht="15.75" customHeight="1" s="216"/>
    <row r="925" ht="15.75" customHeight="1" s="216"/>
    <row r="926" ht="15.75" customHeight="1" s="216"/>
    <row r="927" ht="15.75" customHeight="1" s="216"/>
    <row r="928" ht="15.75" customHeight="1" s="216"/>
    <row r="929" ht="15.75" customHeight="1" s="216"/>
    <row r="930" ht="15.75" customHeight="1" s="216"/>
    <row r="931" ht="15.75" customHeight="1" s="216"/>
    <row r="932" ht="15.75" customHeight="1" s="216"/>
    <row r="933" ht="15.75" customHeight="1" s="216"/>
    <row r="934" ht="15.75" customHeight="1" s="216"/>
    <row r="935" ht="15.75" customHeight="1" s="216"/>
    <row r="936" ht="15.75" customHeight="1" s="216"/>
    <row r="937" ht="15.75" customHeight="1" s="216"/>
    <row r="938" ht="15.75" customHeight="1" s="216"/>
    <row r="939" ht="15.75" customHeight="1" s="216"/>
    <row r="940" ht="15.75" customHeight="1" s="216"/>
    <row r="941" ht="15.75" customHeight="1" s="216"/>
    <row r="942" ht="15.75" customHeight="1" s="216"/>
    <row r="943" ht="15.75" customHeight="1" s="216"/>
    <row r="944" ht="15.75" customHeight="1" s="216"/>
    <row r="945" ht="15.75" customHeight="1" s="216"/>
    <row r="946" ht="15.75" customHeight="1" s="216"/>
    <row r="947" ht="15.75" customHeight="1" s="216"/>
    <row r="948" ht="15.75" customHeight="1" s="216"/>
    <row r="949" ht="15.75" customHeight="1" s="216"/>
    <row r="950" ht="15.75" customHeight="1" s="216"/>
    <row r="951" ht="15.75" customHeight="1" s="216"/>
    <row r="952" ht="15.75" customHeight="1" s="216"/>
    <row r="953" ht="15.75" customHeight="1" s="216"/>
    <row r="954" ht="15.75" customHeight="1" s="216"/>
    <row r="955" ht="15.75" customHeight="1" s="216"/>
    <row r="956" ht="15.75" customHeight="1" s="216"/>
    <row r="957" ht="15.75" customHeight="1" s="216"/>
    <row r="958" ht="15.75" customHeight="1" s="216"/>
    <row r="959" ht="15.75" customHeight="1" s="216"/>
    <row r="960" ht="15.75" customHeight="1" s="216"/>
    <row r="961" ht="15.75" customHeight="1" s="216"/>
    <row r="962" ht="15.75" customHeight="1" s="216"/>
    <row r="963" ht="15.75" customHeight="1" s="216"/>
    <row r="964" ht="15.75" customHeight="1" s="216"/>
    <row r="965" ht="15.75" customHeight="1" s="216"/>
    <row r="966" ht="15.75" customHeight="1" s="216"/>
    <row r="967" ht="15.75" customHeight="1" s="216"/>
    <row r="968" ht="15.75" customHeight="1" s="216"/>
    <row r="969" ht="15.75" customHeight="1" s="216"/>
    <row r="970" ht="15.75" customHeight="1" s="216"/>
    <row r="971" ht="15.75" customHeight="1" s="216"/>
    <row r="972" ht="15.75" customHeight="1" s="216"/>
    <row r="973" ht="15.75" customHeight="1" s="216"/>
    <row r="974" ht="15.75" customHeight="1" s="216"/>
    <row r="975" ht="15.75" customHeight="1" s="216"/>
    <row r="976" ht="15.75" customHeight="1" s="216"/>
    <row r="977" ht="15.75" customHeight="1" s="216"/>
    <row r="978" ht="15.75" customHeight="1" s="216"/>
    <row r="979" ht="15.75" customHeight="1" s="216"/>
    <row r="980" ht="15.75" customHeight="1" s="216"/>
    <row r="981" ht="15.75" customHeight="1" s="216"/>
    <row r="982" ht="15.75" customHeight="1" s="216"/>
    <row r="983" ht="15.75" customHeight="1" s="216"/>
    <row r="984" ht="15.75" customHeight="1" s="216"/>
    <row r="985" ht="15.75" customHeight="1" s="216"/>
    <row r="986" ht="15.75" customHeight="1" s="216"/>
    <row r="987" ht="15.75" customHeight="1" s="216"/>
    <row r="988" ht="15.75" customHeight="1" s="216"/>
    <row r="989" ht="15.75" customHeight="1" s="216"/>
    <row r="990" ht="15.75" customHeight="1" s="216"/>
    <row r="991" ht="15.75" customHeight="1" s="216"/>
    <row r="992" ht="15.75" customHeight="1" s="216"/>
    <row r="993" ht="15.75" customHeight="1" s="216"/>
    <row r="994" ht="15.75" customHeight="1" s="216"/>
    <row r="995" ht="15.75" customHeight="1" s="216"/>
    <row r="996" ht="15.75" customHeight="1" s="216"/>
    <row r="997" ht="15.75" customHeight="1" s="216"/>
    <row r="998" ht="15.75" customHeight="1" s="216"/>
    <row r="999" ht="15.75" customHeight="1" s="216"/>
    <row r="1000" ht="15.75" customHeight="1" s="216"/>
  </sheetData>
  <mergeCells count="11">
    <mergeCell ref="B8:H8"/>
    <mergeCell ref="C12:D12"/>
    <mergeCell ref="B17:H17"/>
    <mergeCell ref="E13:G13"/>
    <mergeCell ref="B9:H9"/>
    <mergeCell ref="B6:H6"/>
    <mergeCell ref="B16:H16"/>
    <mergeCell ref="F2:H2"/>
    <mergeCell ref="B15:H15"/>
    <mergeCell ref="E12:G12"/>
    <mergeCell ref="C13:D13"/>
  </mergeCells>
  <pageMargins left="0.75" right="0.75" top="1" bottom="1" header="0" footer="0"/>
  <pageSetup orientation="landscape" fitToHeight="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Z252"/>
  <sheetViews>
    <sheetView showGridLines="0" workbookViewId="0">
      <selection activeCell="A1" sqref="A1"/>
    </sheetView>
  </sheetViews>
  <sheetFormatPr baseColWidth="8" defaultColWidth="14.43" defaultRowHeight="15" customHeight="1"/>
  <cols>
    <col width="3" customWidth="1" style="216" min="1" max="1"/>
    <col width="26" customWidth="1" style="216" min="2" max="2"/>
    <col width="70" customWidth="1" style="216" min="3" max="3"/>
    <col width="8.710000000000001" customWidth="1" style="216" min="4" max="6"/>
  </cols>
  <sheetData>
    <row r="1">
      <c r="A1" s="1" t="n"/>
      <c r="B1" s="1" t="n"/>
      <c r="C1" s="1" t="n"/>
      <c r="D1" s="1" t="n"/>
      <c r="E1" s="1" t="n"/>
      <c r="F1" s="1" t="n"/>
    </row>
    <row r="2" ht="33" customHeight="1" s="216">
      <c r="A2" s="2" t="n"/>
      <c r="B2" s="221" t="inlineStr">
        <is>
          <t>QUY ĐỊNH CHUNG</t>
        </is>
      </c>
      <c r="C2" s="218"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39.75" customHeight="1" s="216">
      <c r="A3" s="1" t="n"/>
      <c r="B3" s="9" t="inlineStr">
        <is>
          <t>1. Đặt tên file</t>
        </is>
      </c>
      <c r="C3" s="11" t="inlineStr">
        <is>
          <t>ISC_[Tên dự án]_[Version]_TC_[Version TC]_R[Số round test].xlsx 
VD: ISC_FCP-Web_v1.0_TC_v1.0_R1.xls</t>
        </is>
      </c>
      <c r="D3" s="1" t="n"/>
      <c r="E3" s="1" t="n"/>
      <c r="F3" s="1" t="n"/>
    </row>
    <row r="4">
      <c r="A4" s="1" t="n"/>
      <c r="B4" s="9" t="inlineStr">
        <is>
          <t>2. Tách sheet</t>
        </is>
      </c>
      <c r="C4" s="11" t="inlineStr">
        <is>
          <t>Mỗi Function/Screen tách thành 1 sheet Test Cases riêng (copy sheet mẫu).</t>
        </is>
      </c>
      <c r="D4" s="1" t="n"/>
      <c r="E4" s="1" t="n"/>
      <c r="F4" s="1" t="n"/>
    </row>
    <row r="5">
      <c r="A5" s="1" t="n"/>
      <c r="B5" s="9" t="inlineStr">
        <is>
          <t>3. Test Title</t>
        </is>
      </c>
      <c r="C5" s="11" t="inlineStr">
        <is>
          <t>Mỗi case kiểm tra 1 nội dung; bắt đầu bằng 'Check ...'</t>
        </is>
      </c>
      <c r="D5" s="1" t="n"/>
      <c r="E5" s="1" t="n"/>
      <c r="F5" s="1" t="n"/>
    </row>
    <row r="6">
      <c r="A6" s="1" t="n"/>
      <c r="B6" s="9" t="inlineStr">
        <is>
          <t>4. Người thực hiện</t>
        </is>
      </c>
      <c r="C6" s="11" t="inlineStr">
        <is>
          <t>Dùng email, mỗi case 1 người</t>
        </is>
      </c>
      <c r="D6" s="1" t="n"/>
      <c r="E6" s="1" t="n"/>
      <c r="F6" s="1" t="n"/>
    </row>
    <row r="7">
      <c r="A7" s="1" t="n"/>
      <c r="B7" s="9" t="inlineStr">
        <is>
          <t>5. Phiên bản</t>
        </is>
      </c>
      <c r="C7" s="11" t="inlineStr">
        <is>
          <t xml:space="preserve">Khi update nội dung file test cases phải tăng [Version TC] và quản lý lịch sử thay đổi trong sheet Revision History </t>
        </is>
      </c>
      <c r="D7" s="1" t="n"/>
      <c r="E7" s="1" t="n"/>
      <c r="F7" s="1" t="n"/>
    </row>
    <row r="8">
      <c r="A8" s="1" t="n"/>
      <c r="B8" s="1" t="n"/>
      <c r="C8" s="1" t="n"/>
      <c r="D8" s="1" t="n"/>
      <c r="E8" s="1" t="n"/>
      <c r="F8" s="1" t="n"/>
    </row>
    <row r="9">
      <c r="A9" s="1" t="n"/>
      <c r="B9" s="1" t="n"/>
      <c r="C9" s="1" t="n"/>
      <c r="D9" s="1" t="n"/>
      <c r="E9" s="1" t="n"/>
      <c r="F9" s="1" t="n"/>
    </row>
    <row r="10" ht="33" customHeight="1" s="216">
      <c r="A10" s="2" t="n"/>
      <c r="B10" s="221" t="inlineStr">
        <is>
          <t>PHÂN LOẠI TRẠNG THÁI (Status — trạng thái TỔNG của TC)</t>
        </is>
      </c>
      <c r="C10" s="218"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1" t="n"/>
      <c r="B11" s="25" t="inlineStr">
        <is>
          <t>Trạng thái</t>
        </is>
      </c>
      <c r="C11" s="26" t="inlineStr">
        <is>
          <t>Ý nghĩa</t>
        </is>
      </c>
      <c r="D11" s="1" t="n"/>
      <c r="E11" s="1" t="n"/>
      <c r="F11" s="1" t="n"/>
    </row>
    <row r="12">
      <c r="A12" s="1" t="n"/>
      <c r="B12" s="9" t="inlineStr">
        <is>
          <t>Pass</t>
        </is>
      </c>
      <c r="C12" s="11" t="inlineStr">
        <is>
          <t>Đạt — chỉ Pass khi TẤT CẢ bước/kiểm tra trong case đều đạt</t>
        </is>
      </c>
      <c r="D12" s="1" t="n"/>
      <c r="E12" s="1" t="n"/>
      <c r="F12" s="1" t="n"/>
    </row>
    <row r="13">
      <c r="A13" s="1" t="n"/>
      <c r="B13" s="9" t="inlineStr">
        <is>
          <t>Fail</t>
        </is>
      </c>
      <c r="C13" s="11" t="inlineStr">
        <is>
          <t>Chỉ cần 1 bước/kiểm tra không đạt → Fail (ghi ID Bugs)</t>
        </is>
      </c>
      <c r="D13" s="1" t="n"/>
      <c r="E13" s="1" t="n"/>
      <c r="F13" s="1" t="n"/>
    </row>
    <row r="14">
      <c r="A14" s="1" t="n"/>
      <c r="B14" s="9" t="inlineStr">
        <is>
          <t>Block</t>
        </is>
      </c>
      <c r="C14" s="11" t="inlineStr">
        <is>
          <t>Không thực hiện được / Pending — ghi rõ lý do ở Remark</t>
        </is>
      </c>
      <c r="D14" s="1" t="n"/>
      <c r="E14" s="1" t="n"/>
      <c r="F14" s="1" t="n"/>
    </row>
    <row r="15">
      <c r="A15" s="1" t="n"/>
      <c r="B15" s="9" t="inlineStr">
        <is>
          <t>N/A</t>
        </is>
      </c>
      <c r="C15" s="11" t="inlineStr">
        <is>
          <t>Case không áp dụng (VD: Won't fix)</t>
        </is>
      </c>
      <c r="D15" s="1" t="n"/>
      <c r="E15" s="1" t="n"/>
      <c r="F15" s="1" t="n"/>
    </row>
    <row r="16">
      <c r="A16" s="1" t="n"/>
      <c r="B16" s="33" t="n"/>
      <c r="C16" s="34" t="n"/>
      <c r="D16" s="1" t="n"/>
      <c r="E16" s="1" t="n"/>
      <c r="F16" s="1" t="n"/>
    </row>
    <row r="17">
      <c r="A17" s="1" t="n"/>
      <c r="B17" s="33" t="n"/>
      <c r="C17" s="34" t="n"/>
      <c r="D17" s="1" t="n"/>
      <c r="E17" s="1" t="n"/>
      <c r="F17" s="1" t="n"/>
    </row>
    <row r="18" ht="33" customHeight="1" s="216">
      <c r="A18" s="2" t="n"/>
      <c r="B18" s="221" t="inlineStr">
        <is>
          <t xml:space="preserve">PHÂN LOẠI ĐỘ ƯU TIÊN </t>
        </is>
      </c>
      <c r="C18" s="218"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1" t="n"/>
      <c r="B19" s="25" t="inlineStr">
        <is>
          <t>Priority</t>
        </is>
      </c>
      <c r="C19" s="26" t="inlineStr">
        <is>
          <t>Ý nghĩa</t>
        </is>
      </c>
      <c r="D19" s="1" t="n"/>
      <c r="E19" s="1" t="n"/>
      <c r="F19" s="1" t="n"/>
    </row>
    <row r="20">
      <c r="A20" s="1" t="n"/>
      <c r="B20" s="9" t="inlineStr">
        <is>
          <t>High (P1)</t>
        </is>
      </c>
      <c r="C20" s="11" t="inlineStr">
        <is>
          <t>Bắt buộc chạy; ảnh hưởng luồng/nghiệp vụ chính</t>
        </is>
      </c>
      <c r="D20" s="1" t="n"/>
      <c r="E20" s="1" t="n"/>
      <c r="F20" s="1" t="n"/>
    </row>
    <row r="21" ht="15.75" customHeight="1" s="216">
      <c r="A21" s="1" t="n"/>
      <c r="B21" s="9" t="inlineStr">
        <is>
          <t>Medium (P2)</t>
        </is>
      </c>
      <c r="C21" s="11" t="inlineStr">
        <is>
          <t>Chạy ít nhất 1 lần; ảnh hưởng người dùng mức trung bình</t>
        </is>
      </c>
      <c r="D21" s="1" t="n"/>
      <c r="E21" s="1" t="n"/>
      <c r="F21" s="1" t="n"/>
    </row>
    <row r="22" ht="15.75" customHeight="1" s="216">
      <c r="A22" s="1" t="n"/>
      <c r="B22" s="9" t="inlineStr">
        <is>
          <t>Low (P3)</t>
        </is>
      </c>
      <c r="C22" s="11" t="inlineStr">
        <is>
          <t>Có thể bỏ khi rút ngắn thời gian; ít ảnh hưởng</t>
        </is>
      </c>
      <c r="D22" s="1" t="n"/>
      <c r="E22" s="1" t="n"/>
      <c r="F22" s="1" t="n"/>
    </row>
    <row r="23" ht="15.75" customHeight="1" s="216">
      <c r="A23" s="1" t="n"/>
      <c r="B23" s="1" t="n"/>
      <c r="C23" s="1" t="n"/>
      <c r="D23" s="1" t="n"/>
      <c r="E23" s="1" t="n"/>
      <c r="F23" s="1" t="n"/>
    </row>
    <row r="24" ht="15.75" customHeight="1" s="216">
      <c r="A24" s="1" t="n"/>
      <c r="B24" s="1" t="n"/>
      <c r="C24" s="1" t="n"/>
      <c r="D24" s="1" t="n"/>
      <c r="E24" s="1" t="n"/>
      <c r="F24" s="1" t="n"/>
    </row>
    <row r="25" ht="33" customHeight="1" s="216">
      <c r="A25" s="2" t="n"/>
      <c r="B25" s="221" t="inlineStr">
        <is>
          <t>PHÂN LOẠI NHÓM (Group)</t>
        </is>
      </c>
      <c r="C25" s="218"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216">
      <c r="A26" s="1" t="n"/>
      <c r="B26" s="25" t="inlineStr">
        <is>
          <t>Group</t>
        </is>
      </c>
      <c r="C26" s="26" t="inlineStr">
        <is>
          <t>Ý nghĩa</t>
        </is>
      </c>
      <c r="D26" s="1" t="n"/>
      <c r="E26" s="1" t="n"/>
      <c r="F26" s="1" t="n"/>
    </row>
    <row r="27" ht="15.75" customHeight="1" s="216">
      <c r="A27" s="1" t="n"/>
      <c r="B27" s="9" t="inlineStr">
        <is>
          <t>Functional</t>
        </is>
      </c>
      <c r="C27" s="11" t="inlineStr">
        <is>
          <t>Kiểm tra chức năng theo luồng nghiệp vụ</t>
        </is>
      </c>
      <c r="D27" s="1" t="n"/>
      <c r="E27" s="1" t="n"/>
      <c r="F27" s="1" t="n"/>
    </row>
    <row r="28" ht="15.75" customHeight="1" s="216">
      <c r="A28" s="1" t="n"/>
      <c r="B28" s="9" t="inlineStr">
        <is>
          <t>UI</t>
        </is>
      </c>
      <c r="C28" s="11" t="inlineStr">
        <is>
          <t>Kiểm tra giao diện: bố cục, hiển thị, responsive, thông báo, trạng thái control</t>
        </is>
      </c>
      <c r="D28" s="1" t="n"/>
      <c r="E28" s="1" t="n"/>
      <c r="F28" s="1" t="n"/>
    </row>
    <row r="29" ht="15.75" customHeight="1" s="216">
      <c r="A29" s="1" t="n"/>
      <c r="B29" s="9" t="inlineStr">
        <is>
          <t>Integration</t>
        </is>
      </c>
      <c r="C29" s="11" t="inlineStr">
        <is>
          <t>Kiểm tra tích hợp giữa các module / API / hệ thống</t>
        </is>
      </c>
      <c r="D29" s="1" t="n"/>
      <c r="E29" s="1" t="n"/>
      <c r="F29" s="1" t="n"/>
    </row>
    <row r="30" ht="15.75" customHeight="1" s="216">
      <c r="A30" s="1" t="n"/>
      <c r="B30" s="9" t="inlineStr">
        <is>
          <t>Database</t>
        </is>
      </c>
      <c r="C30" s="11" t="inlineStr">
        <is>
          <t>Kiểm tra tầng dữ liệu: lưu/đọc đúng, ràng buộc &amp; toàn vẹn dữ liệu (CSDL)</t>
        </is>
      </c>
      <c r="D30" s="1" t="n"/>
      <c r="E30" s="1" t="n"/>
      <c r="F30" s="1" t="n"/>
    </row>
    <row r="31" ht="15.75" customHeight="1" s="216">
      <c r="A31" s="1" t="n"/>
      <c r="B31" s="33" t="n"/>
      <c r="C31" s="34" t="n"/>
      <c r="D31" s="1" t="n"/>
      <c r="E31" s="1" t="n"/>
      <c r="F31" s="1" t="n"/>
    </row>
    <row r="32" ht="15.75" customHeight="1" s="216">
      <c r="A32" s="1" t="n"/>
      <c r="B32" s="1" t="n"/>
      <c r="C32" s="1" t="n"/>
      <c r="D32" s="1" t="n"/>
      <c r="E32" s="1" t="n"/>
      <c r="F32" s="1" t="n"/>
    </row>
    <row r="33" ht="33" customHeight="1" s="216">
      <c r="A33" s="2" t="n"/>
      <c r="B33" s="221" t="inlineStr">
        <is>
          <t>Ý NGHĨA CỘT EXECUTION</t>
        </is>
      </c>
      <c r="C33" s="218"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216">
      <c r="A34" s="1" t="n"/>
      <c r="B34" s="9" t="inlineStr">
        <is>
          <t>Status</t>
        </is>
      </c>
      <c r="C34" s="11" t="inlineStr">
        <is>
          <t>Trạng thái TỔNG của TC = kết quả round MỚI NHẤT (tự động, không nhập tay).</t>
        </is>
      </c>
      <c r="D34" s="1" t="n"/>
      <c r="E34" s="1" t="n"/>
      <c r="F34" s="1" t="n"/>
    </row>
    <row r="35" ht="15.75" customHeight="1" s="216">
      <c r="A35" s="1" t="n"/>
      <c r="B35" s="9" t="inlineStr">
        <is>
          <t>Executed By (mỗi round)</t>
        </is>
      </c>
      <c r="C35" s="11" t="inlineStr">
        <is>
          <t>Email người thực thi test ở TỪNG round.</t>
        </is>
      </c>
      <c r="D35" s="1" t="n"/>
      <c r="E35" s="1" t="n"/>
      <c r="F35" s="1" t="n"/>
    </row>
    <row r="36" ht="15.75" customHeight="1" s="216">
      <c r="A36" s="1" t="n"/>
      <c r="B36" s="9" t="inlineStr">
        <is>
          <t>ID Bugs (mỗi round)</t>
        </is>
      </c>
      <c r="C36" s="11" t="inlineStr">
        <is>
          <t>Mã bug (Jira) phát sinh ở round đó khi Fail.</t>
        </is>
      </c>
      <c r="D36" s="1" t="n"/>
      <c r="E36" s="1" t="n"/>
      <c r="F36" s="1" t="n"/>
    </row>
    <row r="37" ht="15.75" customHeight="1" s="216">
      <c r="A37" s="1" t="n"/>
      <c r="B37" s="9" t="inlineStr">
        <is>
          <t>Note (mỗi round)</t>
        </is>
      </c>
      <c r="C37" s="11" t="inlineStr">
        <is>
          <t>Ghi chú tự do cho round đó: lý do Block/Fail, môi trường/dữ liệu đã dùng, link evidence… (không ảnh hưởng Status).</t>
        </is>
      </c>
      <c r="D37" s="1" t="n"/>
      <c r="E37" s="1" t="n"/>
      <c r="F37" s="1" t="n"/>
    </row>
    <row r="38" ht="15.75" customHeight="1" s="216">
      <c r="A38" s="1" t="n"/>
      <c r="B38" s="1" t="n"/>
      <c r="C38" s="1" t="n"/>
      <c r="D38" s="1" t="n"/>
      <c r="E38" s="1" t="n"/>
      <c r="F38" s="1" t="n"/>
    </row>
    <row r="39" ht="33" customHeight="1" s="216">
      <c r="A39" s="2" t="n"/>
      <c r="B39" s="221" t="inlineStr">
        <is>
          <t>SDLC</t>
        </is>
      </c>
      <c r="C39" s="218"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216">
      <c r="A40" s="1" t="n"/>
      <c r="B40" s="222" t="inlineStr">
        <is>
          <t>Các cột dưới đây tích hợp AI vào quy trình kiểm thử</t>
        </is>
      </c>
      <c r="C40" s="218" t="n"/>
      <c r="D40" s="1" t="n"/>
      <c r="E40" s="1" t="n"/>
      <c r="F40" s="1" t="n"/>
    </row>
    <row r="41" ht="15.75" customHeight="1" s="216">
      <c r="A41" s="1" t="n"/>
      <c r="B41" s="9" t="inlineStr">
        <is>
          <t>Origin (Nguồn tạo)</t>
        </is>
      </c>
      <c r="C41" s="11" t="inlineStr">
        <is>
          <t>AI = TC do AI sinh · QC = QC viết tay</t>
        </is>
      </c>
      <c r="D41" s="1" t="n"/>
      <c r="E41" s="1" t="n"/>
      <c r="F41" s="1" t="n"/>
    </row>
    <row r="42" ht="15.75" customHeight="1" s="216">
      <c r="A42" s="1" t="n"/>
      <c r="B42" s="9" t="inlineStr">
        <is>
          <t>Review</t>
        </is>
      </c>
      <c r="C42" s="11" t="inlineStr">
        <is>
          <t>Reviewed = QC đã review · Pending = chờ review · N/A</t>
        </is>
      </c>
      <c r="D42" s="1" t="n"/>
      <c r="E42" s="1" t="n"/>
      <c r="F42" s="1" t="n"/>
    </row>
    <row r="43" ht="15.75" customHeight="1" s="216">
      <c r="A43" s="1" t="n"/>
      <c r="B43" s="9" t="inlineStr">
        <is>
          <t>Automated</t>
        </is>
      </c>
      <c r="C43" s="11" t="inlineStr">
        <is>
          <t>Yes/No — TC đã được viết script automation hay chưa</t>
        </is>
      </c>
      <c r="D43" s="1" t="n"/>
      <c r="E43" s="1" t="n"/>
      <c r="F43" s="1" t="n"/>
    </row>
    <row r="44" ht="15.75" customHeight="1" s="216">
      <c r="A44" s="1" t="n"/>
      <c r="B44" s="9" t="inlineStr">
        <is>
          <t>Script</t>
        </is>
      </c>
      <c r="C44" s="11" t="inlineStr">
        <is>
          <t>Đường dẫn file script automation (nếu có)</t>
        </is>
      </c>
      <c r="D44" s="1" t="n"/>
      <c r="E44" s="1" t="n"/>
      <c r="F44" s="1" t="n"/>
    </row>
    <row r="45" ht="15.75" customHeight="1" s="216">
      <c r="A45" s="1" t="n"/>
      <c r="B45" s="9" t="inlineStr">
        <is>
          <t>Vibe-test</t>
        </is>
      </c>
      <c r="C45" s="11" t="inlineStr">
        <is>
          <t>Yes/No/N-A theo TỪNG round — TC có kiểm thử kiểu 'vibe-test' (thăm dò có AI agent hỗ trợ) ở round đó. Cột 'Vibe-test (tổng)' tự gộp = Yes nếu có ≥1 round Yes.</t>
        </is>
      </c>
      <c r="D45" s="1" t="n"/>
      <c r="E45" s="1" t="n"/>
      <c r="F45" s="1" t="n"/>
    </row>
    <row r="46" ht="15.75" customHeight="1" s="216">
      <c r="A46" s="1" t="n"/>
      <c r="B46" s="9" t="inlineStr">
        <is>
          <t>KQ Script</t>
        </is>
      </c>
      <c r="C46" s="11" t="inlineStr">
        <is>
          <t>Kết quả CHẠY script tự động theo TỪNG round: Pass/Fail/Block/N/A/Chưa chạy. Cột 'KQ Script (tổng)' tự lấy kết quả round mới nhất.</t>
        </is>
      </c>
      <c r="D46" s="1" t="n"/>
      <c r="E46" s="1" t="n"/>
      <c r="F46" s="1" t="n"/>
    </row>
    <row r="47" ht="15.75" customHeight="1" s="216">
      <c r="A47" s="1" t="n"/>
      <c r="B47" s="9" t="inlineStr">
        <is>
          <t>Traceability</t>
        </is>
      </c>
      <c r="C47" s="11" t="inlineStr">
        <is>
          <t>Scenario ID + Req ID + DOC Source: truy vết TC ↔ kịch bản ↔ yêu cầu ↔ tài liệu nguồn</t>
        </is>
      </c>
      <c r="D47" s="1" t="n"/>
      <c r="E47" s="1" t="n"/>
      <c r="F47" s="1" t="n"/>
    </row>
    <row r="48" ht="15.75" customHeight="1" s="216">
      <c r="A48" s="1" t="n"/>
      <c r="B48" s="1" t="n"/>
      <c r="C48" s="1" t="n"/>
      <c r="D48" s="1" t="n"/>
      <c r="E48" s="1" t="n"/>
      <c r="F48" s="1" t="n"/>
    </row>
    <row r="49" ht="15.75" customHeight="1" s="216">
      <c r="A49" s="1" t="n"/>
      <c r="B49" s="221" t="inlineStr">
        <is>
          <t>TEST THEO ROUND (nhiều round trong 1 version)</t>
        </is>
      </c>
      <c r="C49" s="218" t="n"/>
      <c r="D49" s="1" t="n"/>
      <c r="E49" s="1" t="n"/>
      <c r="F49" s="1" t="n"/>
    </row>
    <row r="50" ht="15.75" customHeight="1" s="216">
      <c r="A50" s="1" t="n"/>
      <c r="B50" s="9" t="inlineStr">
        <is>
          <t>R1 … R5</t>
        </is>
      </c>
      <c r="C50" s="11" t="inlineStr">
        <is>
          <t>Mỗi round là 1 khối 6 cột: Vibe-test · KQ Script · Kết quả · Executed By · ID Bugs · Note. Chạy round nào thì nhập vào khối round đó. Template hỗ trợ 5 round. Ô Kết quả/KQ Script tự tô màu: Pass=xanh · Fail=đỏ · Block=xám · N/A=vàng.</t>
        </is>
      </c>
      <c r="D50" s="1" t="n"/>
      <c r="E50" s="1" t="n"/>
      <c r="F50" s="1" t="n"/>
    </row>
    <row r="51" ht="15.75" customHeight="1" s="216">
      <c r="A51" s="1" t="n"/>
      <c r="B51" s="9" t="inlineStr">
        <is>
          <t>Status</t>
        </is>
      </c>
      <c r="C51" s="11" t="inlineStr">
        <is>
          <t>TỰ ĐỘNG = kết quả (Kết quả) của round MỚI NHẤT trong R1…R5. Không nhập tay.</t>
        </is>
      </c>
      <c r="D51" s="1" t="n"/>
      <c r="E51" s="1" t="n"/>
      <c r="F51" s="1" t="n"/>
    </row>
    <row r="52" ht="15.75" customHeight="1" s="216">
      <c r="A52" s="1" t="n"/>
      <c r="B52" s="9" t="inlineStr">
        <is>
          <t>Round (Bug Data)</t>
        </is>
      </c>
      <c r="C52" s="11" t="inlineStr">
        <is>
          <t>Round phát hiện bug. Report mục IV thống kê Bug theo round &amp; tiến độ Pass/Fail theo round.</t>
        </is>
      </c>
      <c r="D52" s="1" t="n"/>
      <c r="E52" s="1" t="n"/>
      <c r="F52" s="1" t="n"/>
    </row>
    <row r="53" ht="15.75" customHeight="1" s="216">
      <c r="A53" s="1" t="n"/>
      <c r="B53" s="1" t="n"/>
      <c r="C53" s="1" t="n"/>
      <c r="D53" s="1" t="n"/>
      <c r="E53" s="1" t="n"/>
      <c r="F53" s="1" t="n"/>
    </row>
    <row r="54" ht="15.75" customHeight="1" s="216">
      <c r="A54" s="1" t="n"/>
      <c r="B54" s="1" t="n"/>
      <c r="C54" s="1" t="n"/>
      <c r="D54" s="1" t="n"/>
      <c r="E54" s="1" t="n"/>
      <c r="F54" s="1" t="n"/>
    </row>
    <row r="55" ht="15.75" customHeight="1" s="216">
      <c r="A55" s="1" t="n"/>
      <c r="B55" s="1" t="n"/>
      <c r="C55" s="1" t="n"/>
      <c r="D55" s="1" t="n"/>
      <c r="E55" s="1" t="n"/>
      <c r="F55" s="1" t="n"/>
    </row>
    <row r="56" ht="15.75" customHeight="1" s="216">
      <c r="A56" s="1" t="n"/>
      <c r="B56" s="1" t="n"/>
      <c r="C56" s="1" t="n"/>
      <c r="D56" s="1" t="n"/>
      <c r="E56" s="1" t="n"/>
      <c r="F56" s="1" t="n"/>
    </row>
    <row r="57" ht="15.75" customHeight="1" s="216">
      <c r="A57" s="1" t="n"/>
      <c r="B57" s="1" t="n"/>
      <c r="C57" s="1" t="n"/>
      <c r="D57" s="1" t="n"/>
      <c r="E57" s="1" t="n"/>
      <c r="F57" s="1" t="n"/>
    </row>
    <row r="58" ht="15.75" customHeight="1" s="216">
      <c r="A58" s="1" t="n"/>
      <c r="B58" s="1" t="n"/>
      <c r="C58" s="1" t="n"/>
      <c r="D58" s="1" t="n"/>
      <c r="E58" s="1" t="n"/>
      <c r="F58" s="1" t="n"/>
    </row>
    <row r="59" ht="15.75" customHeight="1" s="216">
      <c r="A59" s="1" t="n"/>
      <c r="B59" s="1" t="n"/>
      <c r="C59" s="1" t="n"/>
      <c r="D59" s="1" t="n"/>
      <c r="E59" s="1" t="n"/>
      <c r="F59" s="1" t="n"/>
    </row>
    <row r="60" ht="15.75" customHeight="1" s="216">
      <c r="A60" s="1" t="n"/>
      <c r="B60" s="1" t="n"/>
      <c r="C60" s="1" t="n"/>
      <c r="D60" s="1" t="n"/>
      <c r="E60" s="1" t="n"/>
      <c r="F60" s="1" t="n"/>
    </row>
    <row r="61" ht="15.75" customHeight="1" s="216">
      <c r="A61" s="1" t="n"/>
      <c r="B61" s="1" t="n"/>
      <c r="C61" s="1" t="n"/>
      <c r="D61" s="1" t="n"/>
      <c r="E61" s="1" t="n"/>
      <c r="F61" s="1" t="n"/>
    </row>
    <row r="62" ht="15.75" customHeight="1" s="216">
      <c r="A62" s="1" t="n"/>
      <c r="B62" s="1" t="n"/>
      <c r="C62" s="1" t="n"/>
      <c r="D62" s="1" t="n"/>
      <c r="E62" s="1" t="n"/>
      <c r="F62" s="1" t="n"/>
    </row>
    <row r="63" ht="15.75" customHeight="1" s="216">
      <c r="A63" s="1" t="n"/>
      <c r="B63" s="1" t="n"/>
      <c r="C63" s="1" t="n"/>
      <c r="D63" s="1" t="n"/>
      <c r="E63" s="1" t="n"/>
      <c r="F63" s="1" t="n"/>
    </row>
    <row r="64" ht="15.75" customHeight="1" s="216">
      <c r="A64" s="1" t="n"/>
      <c r="B64" s="1" t="n"/>
      <c r="C64" s="1" t="n"/>
      <c r="D64" s="1" t="n"/>
      <c r="E64" s="1" t="n"/>
      <c r="F64" s="1" t="n"/>
    </row>
    <row r="65" ht="15.75" customHeight="1" s="216">
      <c r="A65" s="1" t="n"/>
      <c r="B65" s="1" t="n"/>
      <c r="C65" s="1" t="n"/>
      <c r="D65" s="1" t="n"/>
      <c r="E65" s="1" t="n"/>
      <c r="F65" s="1" t="n"/>
    </row>
    <row r="66" ht="15.75" customHeight="1" s="216">
      <c r="A66" s="1" t="n"/>
      <c r="B66" s="1" t="n"/>
      <c r="C66" s="1" t="n"/>
      <c r="D66" s="1" t="n"/>
      <c r="E66" s="1" t="n"/>
      <c r="F66" s="1" t="n"/>
    </row>
    <row r="67" ht="15.75" customHeight="1" s="216">
      <c r="A67" s="1" t="n"/>
      <c r="B67" s="1" t="n"/>
      <c r="C67" s="1" t="n"/>
      <c r="D67" s="1" t="n"/>
      <c r="E67" s="1" t="n"/>
      <c r="F67" s="1" t="n"/>
    </row>
    <row r="68" ht="15.75" customHeight="1" s="216">
      <c r="A68" s="1" t="n"/>
      <c r="B68" s="1" t="n"/>
      <c r="C68" s="1" t="n"/>
      <c r="D68" s="1" t="n"/>
      <c r="E68" s="1" t="n"/>
      <c r="F68" s="1" t="n"/>
    </row>
    <row r="69" ht="15.75" customHeight="1" s="216">
      <c r="A69" s="1" t="n"/>
      <c r="B69" s="1" t="n"/>
      <c r="C69" s="1" t="n"/>
      <c r="D69" s="1" t="n"/>
      <c r="E69" s="1" t="n"/>
      <c r="F69" s="1" t="n"/>
    </row>
    <row r="70" ht="15.75" customHeight="1" s="216">
      <c r="A70" s="1" t="n"/>
      <c r="B70" s="1" t="n"/>
      <c r="C70" s="1" t="n"/>
      <c r="D70" s="1" t="n"/>
      <c r="E70" s="1" t="n"/>
      <c r="F70" s="1" t="n"/>
    </row>
    <row r="71" ht="15.75" customHeight="1" s="216">
      <c r="A71" s="1" t="n"/>
      <c r="B71" s="1" t="n"/>
      <c r="C71" s="1" t="n"/>
      <c r="D71" s="1" t="n"/>
      <c r="E71" s="1" t="n"/>
      <c r="F71" s="1" t="n"/>
    </row>
    <row r="72" ht="15.75" customHeight="1" s="216">
      <c r="A72" s="1" t="n"/>
      <c r="B72" s="1" t="n"/>
      <c r="C72" s="1" t="n"/>
      <c r="D72" s="1" t="n"/>
      <c r="E72" s="1" t="n"/>
      <c r="F72" s="1" t="n"/>
    </row>
    <row r="73" ht="15.75" customHeight="1" s="216">
      <c r="A73" s="1" t="n"/>
      <c r="B73" s="1" t="n"/>
      <c r="C73" s="1" t="n"/>
      <c r="D73" s="1" t="n"/>
      <c r="E73" s="1" t="n"/>
      <c r="F73" s="1" t="n"/>
    </row>
    <row r="74" ht="15.75" customHeight="1" s="216">
      <c r="A74" s="1" t="n"/>
      <c r="B74" s="1" t="n"/>
      <c r="C74" s="1" t="n"/>
      <c r="D74" s="1" t="n"/>
      <c r="E74" s="1" t="n"/>
      <c r="F74" s="1" t="n"/>
    </row>
    <row r="75" ht="15.75" customHeight="1" s="216">
      <c r="A75" s="1" t="n"/>
      <c r="B75" s="1" t="n"/>
      <c r="C75" s="1" t="n"/>
      <c r="D75" s="1" t="n"/>
      <c r="E75" s="1" t="n"/>
      <c r="F75" s="1" t="n"/>
    </row>
    <row r="76" ht="15.75" customHeight="1" s="216">
      <c r="A76" s="1" t="n"/>
      <c r="B76" s="1" t="n"/>
      <c r="C76" s="1" t="n"/>
      <c r="D76" s="1" t="n"/>
      <c r="E76" s="1" t="n"/>
      <c r="F76" s="1" t="n"/>
    </row>
    <row r="77" ht="15.75" customHeight="1" s="216">
      <c r="A77" s="1" t="n"/>
      <c r="B77" s="1" t="n"/>
      <c r="C77" s="1" t="n"/>
      <c r="D77" s="1" t="n"/>
      <c r="E77" s="1" t="n"/>
      <c r="F77" s="1" t="n"/>
    </row>
    <row r="78" ht="15.75" customHeight="1" s="216">
      <c r="A78" s="1" t="n"/>
      <c r="B78" s="1" t="n"/>
      <c r="C78" s="1" t="n"/>
      <c r="D78" s="1" t="n"/>
      <c r="E78" s="1" t="n"/>
      <c r="F78" s="1" t="n"/>
    </row>
    <row r="79" ht="15.75" customHeight="1" s="216">
      <c r="A79" s="1" t="n"/>
      <c r="B79" s="1" t="n"/>
      <c r="C79" s="1" t="n"/>
      <c r="D79" s="1" t="n"/>
      <c r="E79" s="1" t="n"/>
      <c r="F79" s="1" t="n"/>
    </row>
    <row r="80" ht="15.75" customHeight="1" s="216">
      <c r="A80" s="1" t="n"/>
      <c r="B80" s="1" t="n"/>
      <c r="C80" s="1" t="n"/>
      <c r="D80" s="1" t="n"/>
      <c r="E80" s="1" t="n"/>
      <c r="F80" s="1" t="n"/>
    </row>
    <row r="81" ht="15.75" customHeight="1" s="216">
      <c r="A81" s="1" t="n"/>
      <c r="B81" s="1" t="n"/>
      <c r="C81" s="1" t="n"/>
      <c r="D81" s="1" t="n"/>
      <c r="E81" s="1" t="n"/>
      <c r="F81" s="1" t="n"/>
    </row>
    <row r="82" ht="15.75" customHeight="1" s="216">
      <c r="A82" s="1" t="n"/>
      <c r="B82" s="1" t="n"/>
      <c r="C82" s="1" t="n"/>
      <c r="D82" s="1" t="n"/>
      <c r="E82" s="1" t="n"/>
      <c r="F82" s="1" t="n"/>
    </row>
    <row r="83" ht="15.75" customHeight="1" s="216">
      <c r="A83" s="1" t="n"/>
      <c r="B83" s="1" t="n"/>
      <c r="C83" s="1" t="n"/>
      <c r="D83" s="1" t="n"/>
      <c r="E83" s="1" t="n"/>
      <c r="F83" s="1" t="n"/>
    </row>
    <row r="84" ht="15.75" customHeight="1" s="216">
      <c r="A84" s="1" t="n"/>
      <c r="B84" s="1" t="n"/>
      <c r="C84" s="1" t="n"/>
      <c r="D84" s="1" t="n"/>
      <c r="E84" s="1" t="n"/>
      <c r="F84" s="1" t="n"/>
    </row>
    <row r="85" ht="15.75" customHeight="1" s="216">
      <c r="A85" s="1" t="n"/>
      <c r="B85" s="1" t="n"/>
      <c r="C85" s="1" t="n"/>
      <c r="D85" s="1" t="n"/>
      <c r="E85" s="1" t="n"/>
      <c r="F85" s="1" t="n"/>
    </row>
    <row r="86" ht="15.75" customHeight="1" s="216">
      <c r="A86" s="1" t="n"/>
      <c r="B86" s="1" t="n"/>
      <c r="C86" s="1" t="n"/>
      <c r="D86" s="1" t="n"/>
      <c r="E86" s="1" t="n"/>
      <c r="F86" s="1" t="n"/>
    </row>
    <row r="87" ht="15.75" customHeight="1" s="216">
      <c r="A87" s="1" t="n"/>
      <c r="B87" s="1" t="n"/>
      <c r="C87" s="1" t="n"/>
      <c r="D87" s="1" t="n"/>
      <c r="E87" s="1" t="n"/>
      <c r="F87" s="1" t="n"/>
    </row>
    <row r="88" ht="15.75" customHeight="1" s="216">
      <c r="A88" s="1" t="n"/>
      <c r="B88" s="1" t="n"/>
      <c r="C88" s="1" t="n"/>
      <c r="D88" s="1" t="n"/>
      <c r="E88" s="1" t="n"/>
      <c r="F88" s="1" t="n"/>
    </row>
    <row r="89" ht="15.75" customHeight="1" s="216">
      <c r="A89" s="1" t="n"/>
      <c r="B89" s="1" t="n"/>
      <c r="C89" s="1" t="n"/>
      <c r="D89" s="1" t="n"/>
      <c r="E89" s="1" t="n"/>
      <c r="F89" s="1" t="n"/>
    </row>
    <row r="90" ht="15.75" customHeight="1" s="216">
      <c r="A90" s="1" t="n"/>
      <c r="B90" s="1" t="n"/>
      <c r="C90" s="1" t="n"/>
      <c r="D90" s="1" t="n"/>
      <c r="E90" s="1" t="n"/>
      <c r="F90" s="1" t="n"/>
    </row>
    <row r="91" ht="15.75" customHeight="1" s="216">
      <c r="A91" s="1" t="n"/>
      <c r="B91" s="1" t="n"/>
      <c r="C91" s="1" t="n"/>
      <c r="D91" s="1" t="n"/>
      <c r="E91" s="1" t="n"/>
      <c r="F91" s="1" t="n"/>
    </row>
    <row r="92" ht="15.75" customHeight="1" s="216">
      <c r="A92" s="1" t="n"/>
      <c r="B92" s="1" t="n"/>
      <c r="C92" s="1" t="n"/>
      <c r="D92" s="1" t="n"/>
      <c r="E92" s="1" t="n"/>
      <c r="F92" s="1" t="n"/>
    </row>
    <row r="93" ht="15.75" customHeight="1" s="216">
      <c r="A93" s="1" t="n"/>
      <c r="B93" s="1" t="n"/>
      <c r="C93" s="1" t="n"/>
      <c r="D93" s="1" t="n"/>
      <c r="E93" s="1" t="n"/>
      <c r="F93" s="1" t="n"/>
    </row>
    <row r="94" ht="15.75" customHeight="1" s="216">
      <c r="A94" s="1" t="n"/>
      <c r="B94" s="1" t="n"/>
      <c r="C94" s="1" t="n"/>
      <c r="D94" s="1" t="n"/>
      <c r="E94" s="1" t="n"/>
      <c r="F94" s="1" t="n"/>
    </row>
    <row r="95" ht="15.75" customHeight="1" s="216">
      <c r="A95" s="1" t="n"/>
      <c r="B95" s="1" t="n"/>
      <c r="C95" s="1" t="n"/>
      <c r="D95" s="1" t="n"/>
      <c r="E95" s="1" t="n"/>
      <c r="F95" s="1" t="n"/>
    </row>
    <row r="96" ht="15.75" customHeight="1" s="216">
      <c r="A96" s="1" t="n"/>
      <c r="B96" s="1" t="n"/>
      <c r="C96" s="1" t="n"/>
      <c r="D96" s="1" t="n"/>
      <c r="E96" s="1" t="n"/>
      <c r="F96" s="1" t="n"/>
    </row>
    <row r="97" ht="15.75" customHeight="1" s="216">
      <c r="A97" s="1" t="n"/>
      <c r="B97" s="1" t="n"/>
      <c r="C97" s="1" t="n"/>
      <c r="D97" s="1" t="n"/>
      <c r="E97" s="1" t="n"/>
      <c r="F97" s="1" t="n"/>
    </row>
    <row r="98" ht="15.75" customHeight="1" s="216">
      <c r="A98" s="1" t="n"/>
      <c r="B98" s="1" t="n"/>
      <c r="C98" s="1" t="n"/>
      <c r="D98" s="1" t="n"/>
      <c r="E98" s="1" t="n"/>
      <c r="F98" s="1" t="n"/>
    </row>
    <row r="99" ht="15.75" customHeight="1" s="216">
      <c r="A99" s="1" t="n"/>
      <c r="B99" s="1" t="n"/>
      <c r="C99" s="1" t="n"/>
      <c r="D99" s="1" t="n"/>
      <c r="E99" s="1" t="n"/>
      <c r="F99" s="1" t="n"/>
    </row>
    <row r="100" ht="15.75" customHeight="1" s="216">
      <c r="A100" s="1" t="n"/>
      <c r="B100" s="1" t="n"/>
      <c r="C100" s="1" t="n"/>
      <c r="D100" s="1" t="n"/>
      <c r="E100" s="1" t="n"/>
      <c r="F100" s="1" t="n"/>
    </row>
    <row r="101" ht="15.75" customHeight="1" s="216">
      <c r="A101" s="1" t="n"/>
      <c r="B101" s="1" t="n"/>
      <c r="C101" s="1" t="n"/>
      <c r="D101" s="1" t="n"/>
      <c r="E101" s="1" t="n"/>
      <c r="F101" s="1" t="n"/>
    </row>
    <row r="102" ht="15.75" customHeight="1" s="216">
      <c r="A102" s="1" t="n"/>
      <c r="B102" s="1" t="n"/>
      <c r="C102" s="1" t="n"/>
      <c r="D102" s="1" t="n"/>
      <c r="E102" s="1" t="n"/>
      <c r="F102" s="1" t="n"/>
    </row>
    <row r="103" ht="15.75" customHeight="1" s="216">
      <c r="A103" s="1" t="n"/>
      <c r="B103" s="1" t="n"/>
      <c r="C103" s="1" t="n"/>
      <c r="D103" s="1" t="n"/>
      <c r="E103" s="1" t="n"/>
      <c r="F103" s="1" t="n"/>
    </row>
    <row r="104" ht="15.75" customHeight="1" s="216">
      <c r="A104" s="1" t="n"/>
      <c r="B104" s="1" t="n"/>
      <c r="C104" s="1" t="n"/>
      <c r="D104" s="1" t="n"/>
      <c r="E104" s="1" t="n"/>
      <c r="F104" s="1" t="n"/>
    </row>
    <row r="105" ht="15.75" customHeight="1" s="216">
      <c r="A105" s="1" t="n"/>
      <c r="B105" s="1" t="n"/>
      <c r="C105" s="1" t="n"/>
      <c r="D105" s="1" t="n"/>
      <c r="E105" s="1" t="n"/>
      <c r="F105" s="1" t="n"/>
    </row>
    <row r="106" ht="15.75" customHeight="1" s="216">
      <c r="A106" s="1" t="n"/>
      <c r="B106" s="1" t="n"/>
      <c r="C106" s="1" t="n"/>
      <c r="D106" s="1" t="n"/>
      <c r="E106" s="1" t="n"/>
      <c r="F106" s="1" t="n"/>
    </row>
    <row r="107" ht="15.75" customHeight="1" s="216">
      <c r="A107" s="1" t="n"/>
      <c r="B107" s="1" t="n"/>
      <c r="C107" s="1" t="n"/>
      <c r="D107" s="1" t="n"/>
      <c r="E107" s="1" t="n"/>
      <c r="F107" s="1" t="n"/>
    </row>
    <row r="108" ht="15.75" customHeight="1" s="216">
      <c r="A108" s="1" t="n"/>
      <c r="B108" s="1" t="n"/>
      <c r="C108" s="1" t="n"/>
      <c r="D108" s="1" t="n"/>
      <c r="E108" s="1" t="n"/>
      <c r="F108" s="1" t="n"/>
    </row>
    <row r="109" ht="15.75" customHeight="1" s="216">
      <c r="A109" s="1" t="n"/>
      <c r="B109" s="1" t="n"/>
      <c r="C109" s="1" t="n"/>
      <c r="D109" s="1" t="n"/>
      <c r="E109" s="1" t="n"/>
      <c r="F109" s="1" t="n"/>
    </row>
    <row r="110" ht="15.75" customHeight="1" s="216">
      <c r="A110" s="1" t="n"/>
      <c r="B110" s="1" t="n"/>
      <c r="C110" s="1" t="n"/>
      <c r="D110" s="1" t="n"/>
      <c r="E110" s="1" t="n"/>
      <c r="F110" s="1" t="n"/>
    </row>
    <row r="111" ht="15.75" customHeight="1" s="216">
      <c r="A111" s="1" t="n"/>
      <c r="B111" s="1" t="n"/>
      <c r="C111" s="1" t="n"/>
      <c r="D111" s="1" t="n"/>
      <c r="E111" s="1" t="n"/>
      <c r="F111" s="1" t="n"/>
    </row>
    <row r="112" ht="15.75" customHeight="1" s="216">
      <c r="A112" s="1" t="n"/>
      <c r="B112" s="1" t="n"/>
      <c r="C112" s="1" t="n"/>
      <c r="D112" s="1" t="n"/>
      <c r="E112" s="1" t="n"/>
      <c r="F112" s="1" t="n"/>
    </row>
    <row r="113" ht="15.75" customHeight="1" s="216">
      <c r="A113" s="1" t="n"/>
      <c r="B113" s="1" t="n"/>
      <c r="C113" s="1" t="n"/>
      <c r="D113" s="1" t="n"/>
      <c r="E113" s="1" t="n"/>
      <c r="F113" s="1" t="n"/>
    </row>
    <row r="114" ht="15.75" customHeight="1" s="216">
      <c r="A114" s="1" t="n"/>
      <c r="B114" s="1" t="n"/>
      <c r="C114" s="1" t="n"/>
      <c r="D114" s="1" t="n"/>
      <c r="E114" s="1" t="n"/>
      <c r="F114" s="1" t="n"/>
    </row>
    <row r="115" ht="15.75" customHeight="1" s="216">
      <c r="A115" s="1" t="n"/>
      <c r="B115" s="1" t="n"/>
      <c r="C115" s="1" t="n"/>
      <c r="D115" s="1" t="n"/>
      <c r="E115" s="1" t="n"/>
      <c r="F115" s="1" t="n"/>
    </row>
    <row r="116" ht="15.75" customHeight="1" s="216">
      <c r="A116" s="1" t="n"/>
      <c r="B116" s="1" t="n"/>
      <c r="C116" s="1" t="n"/>
      <c r="D116" s="1" t="n"/>
      <c r="E116" s="1" t="n"/>
      <c r="F116" s="1" t="n"/>
    </row>
    <row r="117" ht="15.75" customHeight="1" s="216">
      <c r="A117" s="1" t="n"/>
      <c r="B117" s="1" t="n"/>
      <c r="C117" s="1" t="n"/>
      <c r="D117" s="1" t="n"/>
      <c r="E117" s="1" t="n"/>
      <c r="F117" s="1" t="n"/>
    </row>
    <row r="118" ht="15.75" customHeight="1" s="216">
      <c r="A118" s="1" t="n"/>
      <c r="B118" s="1" t="n"/>
      <c r="C118" s="1" t="n"/>
      <c r="D118" s="1" t="n"/>
      <c r="E118" s="1" t="n"/>
      <c r="F118" s="1" t="n"/>
    </row>
    <row r="119" ht="15.75" customHeight="1" s="216">
      <c r="A119" s="1" t="n"/>
      <c r="B119" s="1" t="n"/>
      <c r="C119" s="1" t="n"/>
      <c r="D119" s="1" t="n"/>
      <c r="E119" s="1" t="n"/>
      <c r="F119" s="1" t="n"/>
    </row>
    <row r="120" ht="15.75" customHeight="1" s="216">
      <c r="A120" s="1" t="n"/>
      <c r="B120" s="1" t="n"/>
      <c r="C120" s="1" t="n"/>
      <c r="D120" s="1" t="n"/>
      <c r="E120" s="1" t="n"/>
      <c r="F120" s="1" t="n"/>
    </row>
    <row r="121" ht="15.75" customHeight="1" s="216">
      <c r="A121" s="1" t="n"/>
      <c r="B121" s="1" t="n"/>
      <c r="C121" s="1" t="n"/>
      <c r="D121" s="1" t="n"/>
      <c r="E121" s="1" t="n"/>
      <c r="F121" s="1" t="n"/>
    </row>
    <row r="122" ht="15.75" customHeight="1" s="216">
      <c r="A122" s="1" t="n"/>
      <c r="B122" s="1" t="n"/>
      <c r="C122" s="1" t="n"/>
      <c r="D122" s="1" t="n"/>
      <c r="E122" s="1" t="n"/>
      <c r="F122" s="1" t="n"/>
    </row>
    <row r="123" ht="15.75" customHeight="1" s="216">
      <c r="A123" s="1" t="n"/>
      <c r="B123" s="1" t="n"/>
      <c r="C123" s="1" t="n"/>
      <c r="D123" s="1" t="n"/>
      <c r="E123" s="1" t="n"/>
      <c r="F123" s="1" t="n"/>
    </row>
    <row r="124" ht="15.75" customHeight="1" s="216">
      <c r="A124" s="1" t="n"/>
      <c r="B124" s="1" t="n"/>
      <c r="C124" s="1" t="n"/>
      <c r="D124" s="1" t="n"/>
      <c r="E124" s="1" t="n"/>
      <c r="F124" s="1" t="n"/>
    </row>
    <row r="125" ht="15.75" customHeight="1" s="216">
      <c r="A125" s="1" t="n"/>
      <c r="B125" s="1" t="n"/>
      <c r="C125" s="1" t="n"/>
      <c r="D125" s="1" t="n"/>
      <c r="E125" s="1" t="n"/>
      <c r="F125" s="1" t="n"/>
    </row>
    <row r="126" ht="15.75" customHeight="1" s="216">
      <c r="A126" s="1" t="n"/>
      <c r="B126" s="1" t="n"/>
      <c r="C126" s="1" t="n"/>
      <c r="D126" s="1" t="n"/>
      <c r="E126" s="1" t="n"/>
      <c r="F126" s="1" t="n"/>
    </row>
    <row r="127" ht="15.75" customHeight="1" s="216">
      <c r="A127" s="1" t="n"/>
      <c r="B127" s="1" t="n"/>
      <c r="C127" s="1" t="n"/>
      <c r="D127" s="1" t="n"/>
      <c r="E127" s="1" t="n"/>
      <c r="F127" s="1" t="n"/>
    </row>
    <row r="128" ht="15.75" customHeight="1" s="216">
      <c r="A128" s="1" t="n"/>
      <c r="B128" s="1" t="n"/>
      <c r="C128" s="1" t="n"/>
      <c r="D128" s="1" t="n"/>
      <c r="E128" s="1" t="n"/>
      <c r="F128" s="1" t="n"/>
    </row>
    <row r="129" ht="15.75" customHeight="1" s="216">
      <c r="A129" s="1" t="n"/>
      <c r="B129" s="1" t="n"/>
      <c r="C129" s="1" t="n"/>
      <c r="D129" s="1" t="n"/>
      <c r="E129" s="1" t="n"/>
      <c r="F129" s="1" t="n"/>
    </row>
    <row r="130" ht="15.75" customHeight="1" s="216">
      <c r="A130" s="1" t="n"/>
      <c r="B130" s="1" t="n"/>
      <c r="C130" s="1" t="n"/>
      <c r="D130" s="1" t="n"/>
      <c r="E130" s="1" t="n"/>
      <c r="F130" s="1" t="n"/>
    </row>
    <row r="131" ht="15.75" customHeight="1" s="216">
      <c r="A131" s="1" t="n"/>
      <c r="B131" s="1" t="n"/>
      <c r="C131" s="1" t="n"/>
      <c r="D131" s="1" t="n"/>
      <c r="E131" s="1" t="n"/>
      <c r="F131" s="1" t="n"/>
    </row>
    <row r="132" ht="15.75" customHeight="1" s="216">
      <c r="A132" s="1" t="n"/>
      <c r="B132" s="1" t="n"/>
      <c r="C132" s="1" t="n"/>
      <c r="D132" s="1" t="n"/>
      <c r="E132" s="1" t="n"/>
      <c r="F132" s="1" t="n"/>
    </row>
    <row r="133" ht="15.75" customHeight="1" s="216">
      <c r="A133" s="1" t="n"/>
      <c r="B133" s="1" t="n"/>
      <c r="C133" s="1" t="n"/>
      <c r="D133" s="1" t="n"/>
      <c r="E133" s="1" t="n"/>
      <c r="F133" s="1" t="n"/>
    </row>
    <row r="134" ht="15.75" customHeight="1" s="216">
      <c r="A134" s="1" t="n"/>
      <c r="B134" s="1" t="n"/>
      <c r="C134" s="1" t="n"/>
      <c r="D134" s="1" t="n"/>
      <c r="E134" s="1" t="n"/>
      <c r="F134" s="1" t="n"/>
    </row>
    <row r="135" ht="15.75" customHeight="1" s="216">
      <c r="A135" s="1" t="n"/>
      <c r="B135" s="1" t="n"/>
      <c r="C135" s="1" t="n"/>
      <c r="D135" s="1" t="n"/>
      <c r="E135" s="1" t="n"/>
      <c r="F135" s="1" t="n"/>
    </row>
    <row r="136" ht="15.75" customHeight="1" s="216">
      <c r="A136" s="1" t="n"/>
      <c r="B136" s="1" t="n"/>
      <c r="C136" s="1" t="n"/>
      <c r="D136" s="1" t="n"/>
      <c r="E136" s="1" t="n"/>
      <c r="F136" s="1" t="n"/>
    </row>
    <row r="137" ht="15.75" customHeight="1" s="216">
      <c r="A137" s="1" t="n"/>
      <c r="B137" s="1" t="n"/>
      <c r="C137" s="1" t="n"/>
      <c r="D137" s="1" t="n"/>
      <c r="E137" s="1" t="n"/>
      <c r="F137" s="1" t="n"/>
    </row>
    <row r="138" ht="15.75" customHeight="1" s="216">
      <c r="A138" s="1" t="n"/>
      <c r="B138" s="1" t="n"/>
      <c r="C138" s="1" t="n"/>
      <c r="D138" s="1" t="n"/>
      <c r="E138" s="1" t="n"/>
      <c r="F138" s="1" t="n"/>
    </row>
    <row r="139" ht="15.75" customHeight="1" s="216">
      <c r="A139" s="1" t="n"/>
      <c r="B139" s="1" t="n"/>
      <c r="C139" s="1" t="n"/>
      <c r="D139" s="1" t="n"/>
      <c r="E139" s="1" t="n"/>
      <c r="F139" s="1" t="n"/>
    </row>
    <row r="140" ht="15.75" customHeight="1" s="216">
      <c r="A140" s="1" t="n"/>
      <c r="B140" s="1" t="n"/>
      <c r="C140" s="1" t="n"/>
      <c r="D140" s="1" t="n"/>
      <c r="E140" s="1" t="n"/>
      <c r="F140" s="1" t="n"/>
    </row>
    <row r="141" ht="15.75" customHeight="1" s="216">
      <c r="A141" s="1" t="n"/>
      <c r="B141" s="1" t="n"/>
      <c r="C141" s="1" t="n"/>
      <c r="D141" s="1" t="n"/>
      <c r="E141" s="1" t="n"/>
      <c r="F141" s="1" t="n"/>
    </row>
    <row r="142" ht="15.75" customHeight="1" s="216">
      <c r="A142" s="1" t="n"/>
      <c r="B142" s="1" t="n"/>
      <c r="C142" s="1" t="n"/>
      <c r="D142" s="1" t="n"/>
      <c r="E142" s="1" t="n"/>
      <c r="F142" s="1" t="n"/>
    </row>
    <row r="143" ht="15.75" customHeight="1" s="216">
      <c r="A143" s="1" t="n"/>
      <c r="B143" s="1" t="n"/>
      <c r="C143" s="1" t="n"/>
      <c r="D143" s="1" t="n"/>
      <c r="E143" s="1" t="n"/>
      <c r="F143" s="1" t="n"/>
    </row>
    <row r="144" ht="15.75" customHeight="1" s="216">
      <c r="A144" s="1" t="n"/>
      <c r="B144" s="1" t="n"/>
      <c r="C144" s="1" t="n"/>
      <c r="D144" s="1" t="n"/>
      <c r="E144" s="1" t="n"/>
      <c r="F144" s="1" t="n"/>
    </row>
    <row r="145" ht="15.75" customHeight="1" s="216">
      <c r="A145" s="1" t="n"/>
      <c r="B145" s="1" t="n"/>
      <c r="C145" s="1" t="n"/>
      <c r="D145" s="1" t="n"/>
      <c r="E145" s="1" t="n"/>
      <c r="F145" s="1" t="n"/>
    </row>
    <row r="146" ht="15.75" customHeight="1" s="216">
      <c r="A146" s="1" t="n"/>
      <c r="B146" s="1" t="n"/>
      <c r="C146" s="1" t="n"/>
      <c r="D146" s="1" t="n"/>
      <c r="E146" s="1" t="n"/>
      <c r="F146" s="1" t="n"/>
    </row>
    <row r="147" ht="15.75" customHeight="1" s="216">
      <c r="A147" s="1" t="n"/>
      <c r="B147" s="1" t="n"/>
      <c r="C147" s="1" t="n"/>
      <c r="D147" s="1" t="n"/>
      <c r="E147" s="1" t="n"/>
      <c r="F147" s="1" t="n"/>
    </row>
    <row r="148" ht="15.75" customHeight="1" s="216">
      <c r="A148" s="1" t="n"/>
      <c r="B148" s="1" t="n"/>
      <c r="C148" s="1" t="n"/>
      <c r="D148" s="1" t="n"/>
      <c r="E148" s="1" t="n"/>
      <c r="F148" s="1" t="n"/>
    </row>
    <row r="149" ht="15.75" customHeight="1" s="216">
      <c r="A149" s="1" t="n"/>
      <c r="B149" s="1" t="n"/>
      <c r="C149" s="1" t="n"/>
      <c r="D149" s="1" t="n"/>
      <c r="E149" s="1" t="n"/>
      <c r="F149" s="1" t="n"/>
    </row>
    <row r="150" ht="15.75" customHeight="1" s="216">
      <c r="A150" s="1" t="n"/>
      <c r="B150" s="1" t="n"/>
      <c r="C150" s="1" t="n"/>
      <c r="D150" s="1" t="n"/>
      <c r="E150" s="1" t="n"/>
      <c r="F150" s="1" t="n"/>
    </row>
    <row r="151" ht="15.75" customHeight="1" s="216">
      <c r="A151" s="1" t="n"/>
      <c r="B151" s="1" t="n"/>
      <c r="C151" s="1" t="n"/>
      <c r="D151" s="1" t="n"/>
      <c r="E151" s="1" t="n"/>
      <c r="F151" s="1" t="n"/>
    </row>
    <row r="152" ht="15.75" customHeight="1" s="216">
      <c r="A152" s="1" t="n"/>
      <c r="B152" s="1" t="n"/>
      <c r="C152" s="1" t="n"/>
      <c r="D152" s="1" t="n"/>
      <c r="E152" s="1" t="n"/>
      <c r="F152" s="1" t="n"/>
    </row>
    <row r="153" ht="15.75" customHeight="1" s="216">
      <c r="A153" s="1" t="n"/>
      <c r="B153" s="1" t="n"/>
      <c r="C153" s="1" t="n"/>
      <c r="D153" s="1" t="n"/>
      <c r="E153" s="1" t="n"/>
      <c r="F153" s="1" t="n"/>
    </row>
    <row r="154" ht="15.75" customHeight="1" s="216">
      <c r="A154" s="1" t="n"/>
      <c r="B154" s="1" t="n"/>
      <c r="C154" s="1" t="n"/>
      <c r="D154" s="1" t="n"/>
      <c r="E154" s="1" t="n"/>
      <c r="F154" s="1" t="n"/>
    </row>
    <row r="155" ht="15.75" customHeight="1" s="216">
      <c r="A155" s="1" t="n"/>
      <c r="B155" s="1" t="n"/>
      <c r="C155" s="1" t="n"/>
      <c r="D155" s="1" t="n"/>
      <c r="E155" s="1" t="n"/>
      <c r="F155" s="1" t="n"/>
    </row>
    <row r="156" ht="15.75" customHeight="1" s="216">
      <c r="A156" s="1" t="n"/>
      <c r="B156" s="1" t="n"/>
      <c r="C156" s="1" t="n"/>
      <c r="D156" s="1" t="n"/>
      <c r="E156" s="1" t="n"/>
      <c r="F156" s="1" t="n"/>
    </row>
    <row r="157" ht="15.75" customHeight="1" s="216">
      <c r="A157" s="1" t="n"/>
      <c r="B157" s="1" t="n"/>
      <c r="C157" s="1" t="n"/>
      <c r="D157" s="1" t="n"/>
      <c r="E157" s="1" t="n"/>
      <c r="F157" s="1" t="n"/>
    </row>
    <row r="158" ht="15.75" customHeight="1" s="216">
      <c r="A158" s="1" t="n"/>
      <c r="B158" s="1" t="n"/>
      <c r="C158" s="1" t="n"/>
      <c r="D158" s="1" t="n"/>
      <c r="E158" s="1" t="n"/>
      <c r="F158" s="1" t="n"/>
    </row>
    <row r="159" ht="15.75" customHeight="1" s="216">
      <c r="A159" s="1" t="n"/>
      <c r="B159" s="1" t="n"/>
      <c r="C159" s="1" t="n"/>
      <c r="D159" s="1" t="n"/>
      <c r="E159" s="1" t="n"/>
      <c r="F159" s="1" t="n"/>
    </row>
    <row r="160" ht="15.75" customHeight="1" s="216">
      <c r="A160" s="1" t="n"/>
      <c r="B160" s="1" t="n"/>
      <c r="C160" s="1" t="n"/>
      <c r="D160" s="1" t="n"/>
      <c r="E160" s="1" t="n"/>
      <c r="F160" s="1" t="n"/>
    </row>
    <row r="161" ht="15.75" customHeight="1" s="216">
      <c r="A161" s="1" t="n"/>
      <c r="B161" s="1" t="n"/>
      <c r="C161" s="1" t="n"/>
      <c r="D161" s="1" t="n"/>
      <c r="E161" s="1" t="n"/>
      <c r="F161" s="1" t="n"/>
    </row>
    <row r="162" ht="15.75" customHeight="1" s="216">
      <c r="A162" s="1" t="n"/>
      <c r="B162" s="1" t="n"/>
      <c r="C162" s="1" t="n"/>
      <c r="D162" s="1" t="n"/>
      <c r="E162" s="1" t="n"/>
      <c r="F162" s="1" t="n"/>
    </row>
    <row r="163" ht="15.75" customHeight="1" s="216">
      <c r="A163" s="1" t="n"/>
      <c r="B163" s="1" t="n"/>
      <c r="C163" s="1" t="n"/>
      <c r="D163" s="1" t="n"/>
      <c r="E163" s="1" t="n"/>
      <c r="F163" s="1" t="n"/>
    </row>
    <row r="164" ht="15.75" customHeight="1" s="216">
      <c r="A164" s="1" t="n"/>
      <c r="B164" s="1" t="n"/>
      <c r="C164" s="1" t="n"/>
      <c r="D164" s="1" t="n"/>
      <c r="E164" s="1" t="n"/>
      <c r="F164" s="1" t="n"/>
    </row>
    <row r="165" ht="15.75" customHeight="1" s="216">
      <c r="A165" s="1" t="n"/>
      <c r="B165" s="1" t="n"/>
      <c r="C165" s="1" t="n"/>
      <c r="D165" s="1" t="n"/>
      <c r="E165" s="1" t="n"/>
      <c r="F165" s="1" t="n"/>
    </row>
    <row r="166" ht="15.75" customHeight="1" s="216">
      <c r="A166" s="1" t="n"/>
      <c r="B166" s="1" t="n"/>
      <c r="C166" s="1" t="n"/>
      <c r="D166" s="1" t="n"/>
      <c r="E166" s="1" t="n"/>
      <c r="F166" s="1" t="n"/>
    </row>
    <row r="167" ht="15.75" customHeight="1" s="216">
      <c r="A167" s="1" t="n"/>
      <c r="B167" s="1" t="n"/>
      <c r="C167" s="1" t="n"/>
      <c r="D167" s="1" t="n"/>
      <c r="E167" s="1" t="n"/>
      <c r="F167" s="1" t="n"/>
    </row>
    <row r="168" ht="15.75" customHeight="1" s="216">
      <c r="A168" s="1" t="n"/>
      <c r="B168" s="1" t="n"/>
      <c r="C168" s="1" t="n"/>
      <c r="D168" s="1" t="n"/>
      <c r="E168" s="1" t="n"/>
      <c r="F168" s="1" t="n"/>
    </row>
    <row r="169" ht="15.75" customHeight="1" s="216">
      <c r="A169" s="1" t="n"/>
      <c r="B169" s="1" t="n"/>
      <c r="C169" s="1" t="n"/>
      <c r="D169" s="1" t="n"/>
      <c r="E169" s="1" t="n"/>
      <c r="F169" s="1" t="n"/>
    </row>
    <row r="170" ht="15.75" customHeight="1" s="216">
      <c r="A170" s="1" t="n"/>
      <c r="B170" s="1" t="n"/>
      <c r="C170" s="1" t="n"/>
      <c r="D170" s="1" t="n"/>
      <c r="E170" s="1" t="n"/>
      <c r="F170" s="1" t="n"/>
    </row>
    <row r="171" ht="15.75" customHeight="1" s="216">
      <c r="A171" s="1" t="n"/>
      <c r="B171" s="1" t="n"/>
      <c r="C171" s="1" t="n"/>
      <c r="D171" s="1" t="n"/>
      <c r="E171" s="1" t="n"/>
      <c r="F171" s="1" t="n"/>
    </row>
    <row r="172" ht="15.75" customHeight="1" s="216">
      <c r="A172" s="1" t="n"/>
      <c r="B172" s="1" t="n"/>
      <c r="C172" s="1" t="n"/>
      <c r="D172" s="1" t="n"/>
      <c r="E172" s="1" t="n"/>
      <c r="F172" s="1" t="n"/>
    </row>
    <row r="173" ht="15.75" customHeight="1" s="216">
      <c r="A173" s="1" t="n"/>
      <c r="B173" s="1" t="n"/>
      <c r="C173" s="1" t="n"/>
      <c r="D173" s="1" t="n"/>
      <c r="E173" s="1" t="n"/>
      <c r="F173" s="1" t="n"/>
    </row>
    <row r="174" ht="15.75" customHeight="1" s="216">
      <c r="A174" s="1" t="n"/>
      <c r="B174" s="1" t="n"/>
      <c r="C174" s="1" t="n"/>
      <c r="D174" s="1" t="n"/>
      <c r="E174" s="1" t="n"/>
      <c r="F174" s="1" t="n"/>
    </row>
    <row r="175" ht="15.75" customHeight="1" s="216">
      <c r="A175" s="1" t="n"/>
      <c r="B175" s="1" t="n"/>
      <c r="C175" s="1" t="n"/>
      <c r="D175" s="1" t="n"/>
      <c r="E175" s="1" t="n"/>
      <c r="F175" s="1" t="n"/>
    </row>
    <row r="176" ht="15.75" customHeight="1" s="216">
      <c r="A176" s="1" t="n"/>
      <c r="B176" s="1" t="n"/>
      <c r="C176" s="1" t="n"/>
      <c r="D176" s="1" t="n"/>
      <c r="E176" s="1" t="n"/>
      <c r="F176" s="1" t="n"/>
    </row>
    <row r="177" ht="15.75" customHeight="1" s="216">
      <c r="A177" s="1" t="n"/>
      <c r="B177" s="1" t="n"/>
      <c r="C177" s="1" t="n"/>
      <c r="D177" s="1" t="n"/>
      <c r="E177" s="1" t="n"/>
      <c r="F177" s="1" t="n"/>
    </row>
    <row r="178" ht="15.75" customHeight="1" s="216">
      <c r="A178" s="1" t="n"/>
      <c r="B178" s="1" t="n"/>
      <c r="C178" s="1" t="n"/>
      <c r="D178" s="1" t="n"/>
      <c r="E178" s="1" t="n"/>
      <c r="F178" s="1" t="n"/>
    </row>
    <row r="179" ht="15.75" customHeight="1" s="216">
      <c r="A179" s="1" t="n"/>
      <c r="B179" s="1" t="n"/>
      <c r="C179" s="1" t="n"/>
      <c r="D179" s="1" t="n"/>
      <c r="E179" s="1" t="n"/>
      <c r="F179" s="1" t="n"/>
    </row>
    <row r="180" ht="15.75" customHeight="1" s="216">
      <c r="A180" s="1" t="n"/>
      <c r="B180" s="1" t="n"/>
      <c r="C180" s="1" t="n"/>
      <c r="D180" s="1" t="n"/>
      <c r="E180" s="1" t="n"/>
      <c r="F180" s="1" t="n"/>
    </row>
    <row r="181" ht="15.75" customHeight="1" s="216">
      <c r="A181" s="1" t="n"/>
      <c r="B181" s="1" t="n"/>
      <c r="C181" s="1" t="n"/>
      <c r="D181" s="1" t="n"/>
      <c r="E181" s="1" t="n"/>
      <c r="F181" s="1" t="n"/>
    </row>
    <row r="182" ht="15.75" customHeight="1" s="216">
      <c r="A182" s="1" t="n"/>
      <c r="B182" s="1" t="n"/>
      <c r="C182" s="1" t="n"/>
      <c r="D182" s="1" t="n"/>
      <c r="E182" s="1" t="n"/>
      <c r="F182" s="1" t="n"/>
    </row>
    <row r="183" ht="15.75" customHeight="1" s="216">
      <c r="A183" s="1" t="n"/>
      <c r="B183" s="1" t="n"/>
      <c r="C183" s="1" t="n"/>
      <c r="D183" s="1" t="n"/>
      <c r="E183" s="1" t="n"/>
      <c r="F183" s="1" t="n"/>
    </row>
    <row r="184" ht="15.75" customHeight="1" s="216">
      <c r="A184" s="1" t="n"/>
      <c r="B184" s="1" t="n"/>
      <c r="C184" s="1" t="n"/>
      <c r="D184" s="1" t="n"/>
      <c r="E184" s="1" t="n"/>
      <c r="F184" s="1" t="n"/>
    </row>
    <row r="185" ht="15.75" customHeight="1" s="216">
      <c r="A185" s="1" t="n"/>
      <c r="B185" s="1" t="n"/>
      <c r="C185" s="1" t="n"/>
      <c r="D185" s="1" t="n"/>
      <c r="E185" s="1" t="n"/>
      <c r="F185" s="1" t="n"/>
    </row>
    <row r="186" ht="15.75" customHeight="1" s="216">
      <c r="A186" s="1" t="n"/>
      <c r="B186" s="1" t="n"/>
      <c r="C186" s="1" t="n"/>
      <c r="D186" s="1" t="n"/>
      <c r="E186" s="1" t="n"/>
      <c r="F186" s="1" t="n"/>
    </row>
    <row r="187" ht="15.75" customHeight="1" s="216">
      <c r="A187" s="1" t="n"/>
      <c r="B187" s="1" t="n"/>
      <c r="C187" s="1" t="n"/>
      <c r="D187" s="1" t="n"/>
      <c r="E187" s="1" t="n"/>
      <c r="F187" s="1" t="n"/>
    </row>
    <row r="188" ht="15.75" customHeight="1" s="216">
      <c r="A188" s="1" t="n"/>
      <c r="B188" s="1" t="n"/>
      <c r="C188" s="1" t="n"/>
      <c r="D188" s="1" t="n"/>
      <c r="E188" s="1" t="n"/>
      <c r="F188" s="1" t="n"/>
    </row>
    <row r="189" ht="15.75" customHeight="1" s="216">
      <c r="A189" s="1" t="n"/>
      <c r="B189" s="1" t="n"/>
      <c r="C189" s="1" t="n"/>
      <c r="D189" s="1" t="n"/>
      <c r="E189" s="1" t="n"/>
      <c r="F189" s="1" t="n"/>
    </row>
    <row r="190" ht="15.75" customHeight="1" s="216">
      <c r="A190" s="1" t="n"/>
      <c r="B190" s="1" t="n"/>
      <c r="C190" s="1" t="n"/>
      <c r="D190" s="1" t="n"/>
      <c r="E190" s="1" t="n"/>
      <c r="F190" s="1" t="n"/>
    </row>
    <row r="191" ht="15.75" customHeight="1" s="216">
      <c r="A191" s="1" t="n"/>
      <c r="B191" s="1" t="n"/>
      <c r="C191" s="1" t="n"/>
      <c r="D191" s="1" t="n"/>
      <c r="E191" s="1" t="n"/>
      <c r="F191" s="1" t="n"/>
    </row>
    <row r="192" ht="15.75" customHeight="1" s="216">
      <c r="A192" s="1" t="n"/>
      <c r="B192" s="1" t="n"/>
      <c r="C192" s="1" t="n"/>
      <c r="D192" s="1" t="n"/>
      <c r="E192" s="1" t="n"/>
      <c r="F192" s="1" t="n"/>
    </row>
    <row r="193" ht="15.75" customHeight="1" s="216">
      <c r="A193" s="1" t="n"/>
      <c r="B193" s="1" t="n"/>
      <c r="C193" s="1" t="n"/>
      <c r="D193" s="1" t="n"/>
      <c r="E193" s="1" t="n"/>
      <c r="F193" s="1" t="n"/>
    </row>
    <row r="194" ht="15.75" customHeight="1" s="216">
      <c r="A194" s="1" t="n"/>
      <c r="B194" s="1" t="n"/>
      <c r="C194" s="1" t="n"/>
      <c r="D194" s="1" t="n"/>
      <c r="E194" s="1" t="n"/>
      <c r="F194" s="1" t="n"/>
    </row>
    <row r="195" ht="15.75" customHeight="1" s="216">
      <c r="A195" s="1" t="n"/>
      <c r="B195" s="1" t="n"/>
      <c r="C195" s="1" t="n"/>
      <c r="D195" s="1" t="n"/>
      <c r="E195" s="1" t="n"/>
      <c r="F195" s="1" t="n"/>
    </row>
    <row r="196" ht="15.75" customHeight="1" s="216">
      <c r="A196" s="1" t="n"/>
      <c r="B196" s="1" t="n"/>
      <c r="C196" s="1" t="n"/>
      <c r="D196" s="1" t="n"/>
      <c r="E196" s="1" t="n"/>
      <c r="F196" s="1" t="n"/>
    </row>
    <row r="197" ht="15.75" customHeight="1" s="216">
      <c r="A197" s="1" t="n"/>
      <c r="B197" s="1" t="n"/>
      <c r="C197" s="1" t="n"/>
      <c r="D197" s="1" t="n"/>
      <c r="E197" s="1" t="n"/>
      <c r="F197" s="1" t="n"/>
    </row>
    <row r="198" ht="15.75" customHeight="1" s="216">
      <c r="A198" s="1" t="n"/>
      <c r="B198" s="1" t="n"/>
      <c r="C198" s="1" t="n"/>
      <c r="D198" s="1" t="n"/>
      <c r="E198" s="1" t="n"/>
      <c r="F198" s="1" t="n"/>
    </row>
    <row r="199" ht="15.75" customHeight="1" s="216">
      <c r="A199" s="1" t="n"/>
      <c r="B199" s="1" t="n"/>
      <c r="C199" s="1" t="n"/>
      <c r="D199" s="1" t="n"/>
      <c r="E199" s="1" t="n"/>
      <c r="F199" s="1" t="n"/>
    </row>
    <row r="200" ht="15.75" customHeight="1" s="216">
      <c r="A200" s="1" t="n"/>
      <c r="B200" s="1" t="n"/>
      <c r="C200" s="1" t="n"/>
      <c r="D200" s="1" t="n"/>
      <c r="E200" s="1" t="n"/>
      <c r="F200" s="1" t="n"/>
    </row>
    <row r="201" ht="15.75" customHeight="1" s="216">
      <c r="A201" s="1" t="n"/>
      <c r="B201" s="1" t="n"/>
      <c r="C201" s="1" t="n"/>
      <c r="D201" s="1" t="n"/>
      <c r="E201" s="1" t="n"/>
      <c r="F201" s="1" t="n"/>
    </row>
    <row r="202" ht="15.75" customHeight="1" s="216">
      <c r="A202" s="1" t="n"/>
      <c r="B202" s="1" t="n"/>
      <c r="C202" s="1" t="n"/>
      <c r="D202" s="1" t="n"/>
      <c r="E202" s="1" t="n"/>
      <c r="F202" s="1" t="n"/>
    </row>
    <row r="203" ht="15.75" customHeight="1" s="216">
      <c r="A203" s="1" t="n"/>
      <c r="B203" s="1" t="n"/>
      <c r="C203" s="1" t="n"/>
      <c r="D203" s="1" t="n"/>
      <c r="E203" s="1" t="n"/>
      <c r="F203" s="1" t="n"/>
    </row>
    <row r="204" ht="15.75" customHeight="1" s="216">
      <c r="A204" s="1" t="n"/>
      <c r="B204" s="1" t="n"/>
      <c r="C204" s="1" t="n"/>
      <c r="D204" s="1" t="n"/>
      <c r="E204" s="1" t="n"/>
      <c r="F204" s="1" t="n"/>
    </row>
    <row r="205" ht="15.75" customHeight="1" s="216">
      <c r="A205" s="1" t="n"/>
      <c r="B205" s="1" t="n"/>
      <c r="C205" s="1" t="n"/>
      <c r="D205" s="1" t="n"/>
      <c r="E205" s="1" t="n"/>
      <c r="F205" s="1" t="n"/>
    </row>
    <row r="206" ht="15.75" customHeight="1" s="216">
      <c r="A206" s="1" t="n"/>
      <c r="B206" s="1" t="n"/>
      <c r="C206" s="1" t="n"/>
      <c r="D206" s="1" t="n"/>
      <c r="E206" s="1" t="n"/>
      <c r="F206" s="1" t="n"/>
    </row>
    <row r="207" ht="15.75" customHeight="1" s="216">
      <c r="A207" s="1" t="n"/>
      <c r="B207" s="1" t="n"/>
      <c r="C207" s="1" t="n"/>
      <c r="D207" s="1" t="n"/>
      <c r="E207" s="1" t="n"/>
      <c r="F207" s="1" t="n"/>
    </row>
    <row r="208" ht="15.75" customHeight="1" s="216">
      <c r="A208" s="1" t="n"/>
      <c r="B208" s="1" t="n"/>
      <c r="C208" s="1" t="n"/>
      <c r="D208" s="1" t="n"/>
      <c r="E208" s="1" t="n"/>
      <c r="F208" s="1" t="n"/>
    </row>
    <row r="209" ht="15.75" customHeight="1" s="216">
      <c r="A209" s="1" t="n"/>
      <c r="B209" s="1" t="n"/>
      <c r="C209" s="1" t="n"/>
      <c r="D209" s="1" t="n"/>
      <c r="E209" s="1" t="n"/>
      <c r="F209" s="1" t="n"/>
    </row>
    <row r="210" ht="15.75" customHeight="1" s="216">
      <c r="A210" s="1" t="n"/>
      <c r="B210" s="1" t="n"/>
      <c r="C210" s="1" t="n"/>
      <c r="D210" s="1" t="n"/>
      <c r="E210" s="1" t="n"/>
      <c r="F210" s="1" t="n"/>
    </row>
    <row r="211" ht="15.75" customHeight="1" s="216">
      <c r="A211" s="1" t="n"/>
      <c r="B211" s="1" t="n"/>
      <c r="C211" s="1" t="n"/>
      <c r="D211" s="1" t="n"/>
      <c r="E211" s="1" t="n"/>
      <c r="F211" s="1" t="n"/>
    </row>
    <row r="212" ht="15.75" customHeight="1" s="216">
      <c r="A212" s="1" t="n"/>
      <c r="B212" s="1" t="n"/>
      <c r="C212" s="1" t="n"/>
      <c r="D212" s="1" t="n"/>
      <c r="E212" s="1" t="n"/>
      <c r="F212" s="1" t="n"/>
    </row>
    <row r="213" ht="15.75" customHeight="1" s="216">
      <c r="A213" s="1" t="n"/>
      <c r="B213" s="1" t="n"/>
      <c r="C213" s="1" t="n"/>
      <c r="D213" s="1" t="n"/>
      <c r="E213" s="1" t="n"/>
      <c r="F213" s="1" t="n"/>
    </row>
    <row r="214" ht="15.75" customHeight="1" s="216">
      <c r="A214" s="1" t="n"/>
      <c r="B214" s="1" t="n"/>
      <c r="C214" s="1" t="n"/>
      <c r="D214" s="1" t="n"/>
      <c r="E214" s="1" t="n"/>
      <c r="F214" s="1" t="n"/>
    </row>
    <row r="215" ht="15.75" customHeight="1" s="216">
      <c r="A215" s="1" t="n"/>
      <c r="B215" s="1" t="n"/>
      <c r="C215" s="1" t="n"/>
      <c r="D215" s="1" t="n"/>
      <c r="E215" s="1" t="n"/>
      <c r="F215" s="1" t="n"/>
    </row>
    <row r="216" ht="15.75" customHeight="1" s="216">
      <c r="A216" s="1" t="n"/>
      <c r="B216" s="1" t="n"/>
      <c r="C216" s="1" t="n"/>
      <c r="D216" s="1" t="n"/>
      <c r="E216" s="1" t="n"/>
      <c r="F216" s="1" t="n"/>
    </row>
    <row r="217" ht="15.75" customHeight="1" s="216">
      <c r="A217" s="1" t="n"/>
      <c r="B217" s="1" t="n"/>
      <c r="C217" s="1" t="n"/>
      <c r="D217" s="1" t="n"/>
      <c r="E217" s="1" t="n"/>
      <c r="F217" s="1" t="n"/>
    </row>
    <row r="218" ht="15.75" customHeight="1" s="216">
      <c r="A218" s="1" t="n"/>
      <c r="B218" s="1" t="n"/>
      <c r="C218" s="1" t="n"/>
      <c r="D218" s="1" t="n"/>
      <c r="E218" s="1" t="n"/>
      <c r="F218" s="1" t="n"/>
    </row>
    <row r="219" ht="15.75" customHeight="1" s="216">
      <c r="A219" s="1" t="n"/>
      <c r="B219" s="1" t="n"/>
      <c r="C219" s="1" t="n"/>
      <c r="D219" s="1" t="n"/>
      <c r="E219" s="1" t="n"/>
      <c r="F219" s="1" t="n"/>
    </row>
    <row r="220" ht="15.75" customHeight="1" s="216">
      <c r="A220" s="1" t="n"/>
      <c r="B220" s="1" t="n"/>
      <c r="C220" s="1" t="n"/>
      <c r="D220" s="1" t="n"/>
      <c r="E220" s="1" t="n"/>
      <c r="F220" s="1" t="n"/>
    </row>
    <row r="221" ht="15.75" customHeight="1" s="216">
      <c r="A221" s="1" t="n"/>
      <c r="B221" s="1" t="n"/>
      <c r="C221" s="1" t="n"/>
      <c r="D221" s="1" t="n"/>
      <c r="E221" s="1" t="n"/>
      <c r="F221" s="1" t="n"/>
    </row>
    <row r="222" ht="15.75" customHeight="1" s="216">
      <c r="A222" s="1" t="n"/>
      <c r="B222" s="1" t="n"/>
      <c r="C222" s="1" t="n"/>
      <c r="D222" s="1" t="n"/>
      <c r="E222" s="1" t="n"/>
      <c r="F222" s="1" t="n"/>
    </row>
    <row r="223" ht="15.75" customHeight="1" s="216">
      <c r="A223" s="1" t="n"/>
      <c r="B223" s="1" t="n"/>
      <c r="C223" s="1" t="n"/>
      <c r="D223" s="1" t="n"/>
      <c r="E223" s="1" t="n"/>
      <c r="F223" s="1" t="n"/>
    </row>
    <row r="224" ht="15.75" customHeight="1" s="216">
      <c r="A224" s="1" t="n"/>
      <c r="B224" s="1" t="n"/>
      <c r="C224" s="1" t="n"/>
      <c r="D224" s="1" t="n"/>
      <c r="E224" s="1" t="n"/>
      <c r="F224" s="1" t="n"/>
    </row>
    <row r="225" ht="15.75" customHeight="1" s="216">
      <c r="A225" s="1" t="n"/>
      <c r="B225" s="1" t="n"/>
      <c r="C225" s="1" t="n"/>
      <c r="D225" s="1" t="n"/>
      <c r="E225" s="1" t="n"/>
      <c r="F225" s="1" t="n"/>
    </row>
    <row r="226" ht="15.75" customHeight="1" s="216">
      <c r="A226" s="1" t="n"/>
      <c r="B226" s="1" t="n"/>
      <c r="C226" s="1" t="n"/>
      <c r="D226" s="1" t="n"/>
      <c r="E226" s="1" t="n"/>
      <c r="F226" s="1" t="n"/>
    </row>
    <row r="227" ht="15.75" customHeight="1" s="216">
      <c r="A227" s="1" t="n"/>
      <c r="B227" s="1" t="n"/>
      <c r="C227" s="1" t="n"/>
      <c r="D227" s="1" t="n"/>
      <c r="E227" s="1" t="n"/>
      <c r="F227" s="1" t="n"/>
    </row>
    <row r="228" ht="15.75" customHeight="1" s="216">
      <c r="A228" s="1" t="n"/>
      <c r="B228" s="1" t="n"/>
      <c r="C228" s="1" t="n"/>
      <c r="D228" s="1" t="n"/>
      <c r="E228" s="1" t="n"/>
      <c r="F228" s="1" t="n"/>
    </row>
    <row r="229" ht="15.75" customHeight="1" s="216">
      <c r="A229" s="1" t="n"/>
      <c r="B229" s="1" t="n"/>
      <c r="C229" s="1" t="n"/>
      <c r="D229" s="1" t="n"/>
      <c r="E229" s="1" t="n"/>
      <c r="F229" s="1" t="n"/>
    </row>
    <row r="230" ht="15.75" customHeight="1" s="216">
      <c r="A230" s="1" t="n"/>
      <c r="B230" s="1" t="n"/>
      <c r="C230" s="1" t="n"/>
      <c r="D230" s="1" t="n"/>
      <c r="E230" s="1" t="n"/>
      <c r="F230" s="1" t="n"/>
    </row>
    <row r="231" ht="15.75" customHeight="1" s="216">
      <c r="A231" s="1" t="n"/>
      <c r="B231" s="1" t="n"/>
      <c r="C231" s="1" t="n"/>
      <c r="D231" s="1" t="n"/>
      <c r="E231" s="1" t="n"/>
      <c r="F231" s="1" t="n"/>
    </row>
    <row r="232" ht="15.75" customHeight="1" s="216">
      <c r="A232" s="1" t="n"/>
      <c r="B232" s="1" t="n"/>
      <c r="C232" s="1" t="n"/>
      <c r="D232" s="1" t="n"/>
      <c r="E232" s="1" t="n"/>
      <c r="F232" s="1" t="n"/>
    </row>
    <row r="233" ht="15.75" customHeight="1" s="216">
      <c r="A233" s="1" t="n"/>
      <c r="B233" s="1" t="n"/>
      <c r="C233" s="1" t="n"/>
      <c r="D233" s="1" t="n"/>
      <c r="E233" s="1" t="n"/>
      <c r="F233" s="1" t="n"/>
    </row>
    <row r="234" ht="15.75" customHeight="1" s="216">
      <c r="A234" s="1" t="n"/>
      <c r="B234" s="1" t="n"/>
      <c r="C234" s="1" t="n"/>
      <c r="D234" s="1" t="n"/>
      <c r="E234" s="1" t="n"/>
      <c r="F234" s="1" t="n"/>
    </row>
    <row r="235" ht="15.75" customHeight="1" s="216">
      <c r="A235" s="1" t="n"/>
      <c r="B235" s="1" t="n"/>
      <c r="C235" s="1" t="n"/>
      <c r="D235" s="1" t="n"/>
      <c r="E235" s="1" t="n"/>
      <c r="F235" s="1" t="n"/>
    </row>
    <row r="236" ht="15.75" customHeight="1" s="216">
      <c r="A236" s="1" t="n"/>
      <c r="B236" s="1" t="n"/>
      <c r="C236" s="1" t="n"/>
      <c r="D236" s="1" t="n"/>
      <c r="E236" s="1" t="n"/>
      <c r="F236" s="1" t="n"/>
    </row>
    <row r="237" ht="15.75" customHeight="1" s="216">
      <c r="A237" s="1" t="n"/>
      <c r="B237" s="1" t="n"/>
      <c r="C237" s="1" t="n"/>
      <c r="D237" s="1" t="n"/>
      <c r="E237" s="1" t="n"/>
      <c r="F237" s="1" t="n"/>
    </row>
    <row r="238" ht="15.75" customHeight="1" s="216">
      <c r="A238" s="1" t="n"/>
      <c r="B238" s="1" t="n"/>
      <c r="C238" s="1" t="n"/>
      <c r="D238" s="1" t="n"/>
      <c r="E238" s="1" t="n"/>
      <c r="F238" s="1" t="n"/>
    </row>
    <row r="239" ht="15.75" customHeight="1" s="216">
      <c r="A239" s="1" t="n"/>
      <c r="B239" s="1" t="n"/>
      <c r="C239" s="1" t="n"/>
      <c r="D239" s="1" t="n"/>
      <c r="E239" s="1" t="n"/>
      <c r="F239" s="1" t="n"/>
    </row>
    <row r="240" ht="15.75" customHeight="1" s="216">
      <c r="A240" s="1" t="n"/>
      <c r="B240" s="1" t="n"/>
      <c r="C240" s="1" t="n"/>
      <c r="D240" s="1" t="n"/>
      <c r="E240" s="1" t="n"/>
      <c r="F240" s="1" t="n"/>
    </row>
    <row r="241" ht="15.75" customHeight="1" s="216">
      <c r="A241" s="1" t="n"/>
      <c r="B241" s="1" t="n"/>
      <c r="C241" s="1" t="n"/>
      <c r="D241" s="1" t="n"/>
      <c r="E241" s="1" t="n"/>
      <c r="F241" s="1" t="n"/>
    </row>
    <row r="242" ht="15.75" customHeight="1" s="216">
      <c r="A242" s="1" t="n"/>
      <c r="B242" s="1" t="n"/>
      <c r="C242" s="1" t="n"/>
      <c r="D242" s="1" t="n"/>
      <c r="E242" s="1" t="n"/>
      <c r="F242" s="1" t="n"/>
    </row>
    <row r="243" ht="15.75" customHeight="1" s="216">
      <c r="A243" s="1" t="n"/>
      <c r="B243" s="1" t="n"/>
      <c r="C243" s="1" t="n"/>
      <c r="D243" s="1" t="n"/>
      <c r="E243" s="1" t="n"/>
      <c r="F243" s="1" t="n"/>
    </row>
    <row r="244" ht="15.75" customHeight="1" s="216">
      <c r="A244" s="1" t="n"/>
      <c r="B244" s="1" t="n"/>
      <c r="C244" s="1" t="n"/>
      <c r="D244" s="1" t="n"/>
      <c r="E244" s="1" t="n"/>
      <c r="F244" s="1" t="n"/>
    </row>
    <row r="245" ht="15.75" customHeight="1" s="216">
      <c r="A245" s="1" t="n"/>
      <c r="B245" s="1" t="n"/>
      <c r="C245" s="1" t="n"/>
      <c r="D245" s="1" t="n"/>
      <c r="E245" s="1" t="n"/>
      <c r="F245" s="1" t="n"/>
    </row>
    <row r="246" ht="15.75" customHeight="1" s="216">
      <c r="A246" s="1" t="n"/>
      <c r="B246" s="1" t="n"/>
      <c r="C246" s="1" t="n"/>
      <c r="D246" s="1" t="n"/>
      <c r="E246" s="1" t="n"/>
      <c r="F246" s="1" t="n"/>
    </row>
    <row r="247" ht="15.75" customHeight="1" s="216">
      <c r="A247" s="1" t="n"/>
      <c r="B247" s="1" t="n"/>
      <c r="C247" s="1" t="n"/>
      <c r="D247" s="1" t="n"/>
      <c r="E247" s="1" t="n"/>
      <c r="F247" s="1" t="n"/>
    </row>
    <row r="248" ht="15.75" customHeight="1" s="216">
      <c r="A248" s="1" t="n"/>
      <c r="B248" s="1" t="n"/>
      <c r="C248" s="1" t="n"/>
      <c r="D248" s="1" t="n"/>
      <c r="E248" s="1" t="n"/>
      <c r="F248" s="1" t="n"/>
    </row>
    <row r="249" ht="15.75" customHeight="1" s="216">
      <c r="A249" s="1" t="n"/>
      <c r="B249" s="1" t="n"/>
      <c r="C249" s="1" t="n"/>
      <c r="D249" s="1" t="n"/>
      <c r="E249" s="1" t="n"/>
      <c r="F249" s="1" t="n"/>
    </row>
    <row r="250" ht="15.75" customHeight="1" s="216">
      <c r="A250" s="1" t="n"/>
      <c r="B250" s="1" t="n"/>
      <c r="C250" s="1" t="n"/>
      <c r="D250" s="1" t="n"/>
      <c r="E250" s="1" t="n"/>
      <c r="F250" s="1" t="n"/>
    </row>
    <row r="251" ht="15.75" customHeight="1" s="216">
      <c r="A251" s="1" t="n"/>
      <c r="B251" s="1" t="n"/>
      <c r="C251" s="1" t="n"/>
      <c r="D251" s="1" t="n"/>
      <c r="E251" s="1" t="n"/>
      <c r="F251" s="1" t="n"/>
    </row>
    <row r="252" ht="15.75" customHeight="1" s="216">
      <c r="A252" s="1" t="n"/>
      <c r="B252" s="1" t="n"/>
      <c r="C252" s="1" t="n"/>
      <c r="D252" s="1" t="n"/>
      <c r="E252" s="1" t="n"/>
      <c r="F252" s="1" t="n"/>
    </row>
    <row r="253" ht="15.75" customHeight="1" s="216"/>
    <row r="254" ht="15.75" customHeight="1" s="216"/>
    <row r="255" ht="15.75" customHeight="1" s="216"/>
    <row r="256" ht="15.75" customHeight="1" s="216"/>
    <row r="257" ht="15.75" customHeight="1" s="216"/>
    <row r="258" ht="15.75" customHeight="1" s="216"/>
    <row r="259" ht="15.75" customHeight="1" s="216"/>
    <row r="260" ht="15.75" customHeight="1" s="216"/>
    <row r="261" ht="15.75" customHeight="1" s="216"/>
    <row r="262" ht="15.75" customHeight="1" s="216"/>
    <row r="263" ht="15.75" customHeight="1" s="216"/>
    <row r="264" ht="15.75" customHeight="1" s="216"/>
    <row r="265" ht="15.75" customHeight="1" s="216"/>
    <row r="266" ht="15.75" customHeight="1" s="216"/>
    <row r="267" ht="15.75" customHeight="1" s="216"/>
    <row r="268" ht="15.75" customHeight="1" s="216"/>
    <row r="269" ht="15.75" customHeight="1" s="216"/>
    <row r="270" ht="15.75" customHeight="1" s="216"/>
    <row r="271" ht="15.75" customHeight="1" s="216"/>
    <row r="272" ht="15.75" customHeight="1" s="216"/>
    <row r="273" ht="15.75" customHeight="1" s="216"/>
    <row r="274" ht="15.75" customHeight="1" s="216"/>
    <row r="275" ht="15.75" customHeight="1" s="216"/>
    <row r="276" ht="15.75" customHeight="1" s="216"/>
    <row r="277" ht="15.75" customHeight="1" s="216"/>
    <row r="278" ht="15.75" customHeight="1" s="216"/>
    <row r="279" ht="15.75" customHeight="1" s="216"/>
    <row r="280" ht="15.75" customHeight="1" s="216"/>
    <row r="281" ht="15.75" customHeight="1" s="216"/>
    <row r="282" ht="15.75" customHeight="1" s="216"/>
    <row r="283" ht="15.75" customHeight="1" s="216"/>
    <row r="284" ht="15.75" customHeight="1" s="216"/>
    <row r="285" ht="15.75" customHeight="1" s="216"/>
    <row r="286" ht="15.75" customHeight="1" s="216"/>
    <row r="287" ht="15.75" customHeight="1" s="216"/>
    <row r="288" ht="15.75" customHeight="1" s="216"/>
    <row r="289" ht="15.75" customHeight="1" s="216"/>
    <row r="290" ht="15.75" customHeight="1" s="216"/>
    <row r="291" ht="15.75" customHeight="1" s="216"/>
    <row r="292" ht="15.75" customHeight="1" s="216"/>
    <row r="293" ht="15.75" customHeight="1" s="216"/>
    <row r="294" ht="15.75" customHeight="1" s="216"/>
    <row r="295" ht="15.75" customHeight="1" s="216"/>
    <row r="296" ht="15.75" customHeight="1" s="216"/>
    <row r="297" ht="15.75" customHeight="1" s="216"/>
    <row r="298" ht="15.75" customHeight="1" s="216"/>
    <row r="299" ht="15.75" customHeight="1" s="216"/>
    <row r="300" ht="15.75" customHeight="1" s="216"/>
    <row r="301" ht="15.75" customHeight="1" s="216"/>
    <row r="302" ht="15.75" customHeight="1" s="216"/>
    <row r="303" ht="15.75" customHeight="1" s="216"/>
    <row r="304" ht="15.75" customHeight="1" s="216"/>
    <row r="305" ht="15.75" customHeight="1" s="216"/>
    <row r="306" ht="15.75" customHeight="1" s="216"/>
    <row r="307" ht="15.75" customHeight="1" s="216"/>
    <row r="308" ht="15.75" customHeight="1" s="216"/>
    <row r="309" ht="15.75" customHeight="1" s="216"/>
    <row r="310" ht="15.75" customHeight="1" s="216"/>
    <row r="311" ht="15.75" customHeight="1" s="216"/>
    <row r="312" ht="15.75" customHeight="1" s="216"/>
    <row r="313" ht="15.75" customHeight="1" s="216"/>
    <row r="314" ht="15.75" customHeight="1" s="216"/>
    <row r="315" ht="15.75" customHeight="1" s="216"/>
    <row r="316" ht="15.75" customHeight="1" s="216"/>
    <row r="317" ht="15.75" customHeight="1" s="216"/>
    <row r="318" ht="15.75" customHeight="1" s="216"/>
    <row r="319" ht="15.75" customHeight="1" s="216"/>
    <row r="320" ht="15.75" customHeight="1" s="216"/>
    <row r="321" ht="15.75" customHeight="1" s="216"/>
    <row r="322" ht="15.75" customHeight="1" s="216"/>
    <row r="323" ht="15.75" customHeight="1" s="216"/>
    <row r="324" ht="15.75" customHeight="1" s="216"/>
    <row r="325" ht="15.75" customHeight="1" s="216"/>
    <row r="326" ht="15.75" customHeight="1" s="216"/>
    <row r="327" ht="15.75" customHeight="1" s="216"/>
    <row r="328" ht="15.75" customHeight="1" s="216"/>
    <row r="329" ht="15.75" customHeight="1" s="216"/>
    <row r="330" ht="15.75" customHeight="1" s="216"/>
    <row r="331" ht="15.75" customHeight="1" s="216"/>
    <row r="332" ht="15.75" customHeight="1" s="216"/>
    <row r="333" ht="15.75" customHeight="1" s="216"/>
    <row r="334" ht="15.75" customHeight="1" s="216"/>
    <row r="335" ht="15.75" customHeight="1" s="216"/>
    <row r="336" ht="15.75" customHeight="1" s="216"/>
    <row r="337" ht="15.75" customHeight="1" s="216"/>
    <row r="338" ht="15.75" customHeight="1" s="216"/>
    <row r="339" ht="15.75" customHeight="1" s="216"/>
    <row r="340" ht="15.75" customHeight="1" s="216"/>
    <row r="341" ht="15.75" customHeight="1" s="216"/>
    <row r="342" ht="15.75" customHeight="1" s="216"/>
    <row r="343" ht="15.75" customHeight="1" s="216"/>
    <row r="344" ht="15.75" customHeight="1" s="216"/>
    <row r="345" ht="15.75" customHeight="1" s="216"/>
    <row r="346" ht="15.75" customHeight="1" s="216"/>
    <row r="347" ht="15.75" customHeight="1" s="216"/>
    <row r="348" ht="15.75" customHeight="1" s="216"/>
    <row r="349" ht="15.75" customHeight="1" s="216"/>
    <row r="350" ht="15.75" customHeight="1" s="216"/>
    <row r="351" ht="15.75" customHeight="1" s="216"/>
    <row r="352" ht="15.75" customHeight="1" s="216"/>
    <row r="353" ht="15.75" customHeight="1" s="216"/>
    <row r="354" ht="15.75" customHeight="1" s="216"/>
    <row r="355" ht="15.75" customHeight="1" s="216"/>
    <row r="356" ht="15.75" customHeight="1" s="216"/>
    <row r="357" ht="15.75" customHeight="1" s="216"/>
    <row r="358" ht="15.75" customHeight="1" s="216"/>
    <row r="359" ht="15.75" customHeight="1" s="216"/>
    <row r="360" ht="15.75" customHeight="1" s="216"/>
    <row r="361" ht="15.75" customHeight="1" s="216"/>
    <row r="362" ht="15.75" customHeight="1" s="216"/>
    <row r="363" ht="15.75" customHeight="1" s="216"/>
    <row r="364" ht="15.75" customHeight="1" s="216"/>
    <row r="365" ht="15.75" customHeight="1" s="216"/>
    <row r="366" ht="15.75" customHeight="1" s="216"/>
    <row r="367" ht="15.75" customHeight="1" s="216"/>
    <row r="368" ht="15.75" customHeight="1" s="216"/>
    <row r="369" ht="15.75" customHeight="1" s="216"/>
    <row r="370" ht="15.75" customHeight="1" s="216"/>
    <row r="371" ht="15.75" customHeight="1" s="216"/>
    <row r="372" ht="15.75" customHeight="1" s="216"/>
    <row r="373" ht="15.75" customHeight="1" s="216"/>
    <row r="374" ht="15.75" customHeight="1" s="216"/>
    <row r="375" ht="15.75" customHeight="1" s="216"/>
    <row r="376" ht="15.75" customHeight="1" s="216"/>
    <row r="377" ht="15.75" customHeight="1" s="216"/>
    <row r="378" ht="15.75" customHeight="1" s="216"/>
    <row r="379" ht="15.75" customHeight="1" s="216"/>
    <row r="380" ht="15.75" customHeight="1" s="216"/>
    <row r="381" ht="15.75" customHeight="1" s="216"/>
    <row r="382" ht="15.75" customHeight="1" s="216"/>
    <row r="383" ht="15.75" customHeight="1" s="216"/>
    <row r="384" ht="15.75" customHeight="1" s="216"/>
    <row r="385" ht="15.75" customHeight="1" s="216"/>
    <row r="386" ht="15.75" customHeight="1" s="216"/>
    <row r="387" ht="15.75" customHeight="1" s="216"/>
    <row r="388" ht="15.75" customHeight="1" s="216"/>
    <row r="389" ht="15.75" customHeight="1" s="216"/>
    <row r="390" ht="15.75" customHeight="1" s="216"/>
    <row r="391" ht="15.75" customHeight="1" s="216"/>
    <row r="392" ht="15.75" customHeight="1" s="216"/>
    <row r="393" ht="15.75" customHeight="1" s="216"/>
    <row r="394" ht="15.75" customHeight="1" s="216"/>
    <row r="395" ht="15.75" customHeight="1" s="216"/>
    <row r="396" ht="15.75" customHeight="1" s="216"/>
    <row r="397" ht="15.75" customHeight="1" s="216"/>
    <row r="398" ht="15.75" customHeight="1" s="216"/>
    <row r="399" ht="15.75" customHeight="1" s="216"/>
    <row r="400" ht="15.75" customHeight="1" s="216"/>
    <row r="401" ht="15.75" customHeight="1" s="216"/>
    <row r="402" ht="15.75" customHeight="1" s="216"/>
    <row r="403" ht="15.75" customHeight="1" s="216"/>
    <row r="404" ht="15.75" customHeight="1" s="216"/>
    <row r="405" ht="15.75" customHeight="1" s="216"/>
    <row r="406" ht="15.75" customHeight="1" s="216"/>
    <row r="407" ht="15.75" customHeight="1" s="216"/>
    <row r="408" ht="15.75" customHeight="1" s="216"/>
    <row r="409" ht="15.75" customHeight="1" s="216"/>
    <row r="410" ht="15.75" customHeight="1" s="216"/>
    <row r="411" ht="15.75" customHeight="1" s="216"/>
    <row r="412" ht="15.75" customHeight="1" s="216"/>
    <row r="413" ht="15.75" customHeight="1" s="216"/>
    <row r="414" ht="15.75" customHeight="1" s="216"/>
    <row r="415" ht="15.75" customHeight="1" s="216"/>
    <row r="416" ht="15.75" customHeight="1" s="216"/>
    <row r="417" ht="15.75" customHeight="1" s="216"/>
    <row r="418" ht="15.75" customHeight="1" s="216"/>
    <row r="419" ht="15.75" customHeight="1" s="216"/>
    <row r="420" ht="15.75" customHeight="1" s="216"/>
    <row r="421" ht="15.75" customHeight="1" s="216"/>
    <row r="422" ht="15.75" customHeight="1" s="216"/>
    <row r="423" ht="15.75" customHeight="1" s="216"/>
    <row r="424" ht="15.75" customHeight="1" s="216"/>
    <row r="425" ht="15.75" customHeight="1" s="216"/>
    <row r="426" ht="15.75" customHeight="1" s="216"/>
    <row r="427" ht="15.75" customHeight="1" s="216"/>
    <row r="428" ht="15.75" customHeight="1" s="216"/>
    <row r="429" ht="15.75" customHeight="1" s="216"/>
    <row r="430" ht="15.75" customHeight="1" s="216"/>
    <row r="431" ht="15.75" customHeight="1" s="216"/>
    <row r="432" ht="15.75" customHeight="1" s="216"/>
    <row r="433" ht="15.75" customHeight="1" s="216"/>
    <row r="434" ht="15.75" customHeight="1" s="216"/>
    <row r="435" ht="15.75" customHeight="1" s="216"/>
    <row r="436" ht="15.75" customHeight="1" s="216"/>
    <row r="437" ht="15.75" customHeight="1" s="216"/>
    <row r="438" ht="15.75" customHeight="1" s="216"/>
    <row r="439" ht="15.75" customHeight="1" s="216"/>
    <row r="440" ht="15.75" customHeight="1" s="216"/>
    <row r="441" ht="15.75" customHeight="1" s="216"/>
    <row r="442" ht="15.75" customHeight="1" s="216"/>
    <row r="443" ht="15.75" customHeight="1" s="216"/>
    <row r="444" ht="15.75" customHeight="1" s="216"/>
    <row r="445" ht="15.75" customHeight="1" s="216"/>
    <row r="446" ht="15.75" customHeight="1" s="216"/>
    <row r="447" ht="15.75" customHeight="1" s="216"/>
    <row r="448" ht="15.75" customHeight="1" s="216"/>
    <row r="449" ht="15.75" customHeight="1" s="216"/>
    <row r="450" ht="15.75" customHeight="1" s="216"/>
    <row r="451" ht="15.75" customHeight="1" s="216"/>
    <row r="452" ht="15.75" customHeight="1" s="216"/>
    <row r="453" ht="15.75" customHeight="1" s="216"/>
    <row r="454" ht="15.75" customHeight="1" s="216"/>
    <row r="455" ht="15.75" customHeight="1" s="216"/>
    <row r="456" ht="15.75" customHeight="1" s="216"/>
    <row r="457" ht="15.75" customHeight="1" s="216"/>
    <row r="458" ht="15.75" customHeight="1" s="216"/>
    <row r="459" ht="15.75" customHeight="1" s="216"/>
    <row r="460" ht="15.75" customHeight="1" s="216"/>
    <row r="461" ht="15.75" customHeight="1" s="216"/>
    <row r="462" ht="15.75" customHeight="1" s="216"/>
    <row r="463" ht="15.75" customHeight="1" s="216"/>
    <row r="464" ht="15.75" customHeight="1" s="216"/>
    <row r="465" ht="15.75" customHeight="1" s="216"/>
    <row r="466" ht="15.75" customHeight="1" s="216"/>
    <row r="467" ht="15.75" customHeight="1" s="216"/>
    <row r="468" ht="15.75" customHeight="1" s="216"/>
    <row r="469" ht="15.75" customHeight="1" s="216"/>
    <row r="470" ht="15.75" customHeight="1" s="216"/>
    <row r="471" ht="15.75" customHeight="1" s="216"/>
    <row r="472" ht="15.75" customHeight="1" s="216"/>
    <row r="473" ht="15.75" customHeight="1" s="216"/>
    <row r="474" ht="15.75" customHeight="1" s="216"/>
    <row r="475" ht="15.75" customHeight="1" s="216"/>
    <row r="476" ht="15.75" customHeight="1" s="216"/>
    <row r="477" ht="15.75" customHeight="1" s="216"/>
    <row r="478" ht="15.75" customHeight="1" s="216"/>
    <row r="479" ht="15.75" customHeight="1" s="216"/>
    <row r="480" ht="15.75" customHeight="1" s="216"/>
    <row r="481" ht="15.75" customHeight="1" s="216"/>
    <row r="482" ht="15.75" customHeight="1" s="216"/>
    <row r="483" ht="15.75" customHeight="1" s="216"/>
    <row r="484" ht="15.75" customHeight="1" s="216"/>
    <row r="485" ht="15.75" customHeight="1" s="216"/>
    <row r="486" ht="15.75" customHeight="1" s="216"/>
    <row r="487" ht="15.75" customHeight="1" s="216"/>
    <row r="488" ht="15.75" customHeight="1" s="216"/>
    <row r="489" ht="15.75" customHeight="1" s="216"/>
    <row r="490" ht="15.75" customHeight="1" s="216"/>
    <row r="491" ht="15.75" customHeight="1" s="216"/>
    <row r="492" ht="15.75" customHeight="1" s="216"/>
    <row r="493" ht="15.75" customHeight="1" s="216"/>
    <row r="494" ht="15.75" customHeight="1" s="216"/>
    <row r="495" ht="15.75" customHeight="1" s="216"/>
    <row r="496" ht="15.75" customHeight="1" s="216"/>
    <row r="497" ht="15.75" customHeight="1" s="216"/>
    <row r="498" ht="15.75" customHeight="1" s="216"/>
    <row r="499" ht="15.75" customHeight="1" s="216"/>
    <row r="500" ht="15.75" customHeight="1" s="216"/>
    <row r="501" ht="15.75" customHeight="1" s="216"/>
    <row r="502" ht="15.75" customHeight="1" s="216"/>
    <row r="503" ht="15.75" customHeight="1" s="216"/>
    <row r="504" ht="15.75" customHeight="1" s="216"/>
    <row r="505" ht="15.75" customHeight="1" s="216"/>
    <row r="506" ht="15.75" customHeight="1" s="216"/>
    <row r="507" ht="15.75" customHeight="1" s="216"/>
    <row r="508" ht="15.75" customHeight="1" s="216"/>
    <row r="509" ht="15.75" customHeight="1" s="216"/>
    <row r="510" ht="15.75" customHeight="1" s="216"/>
    <row r="511" ht="15.75" customHeight="1" s="216"/>
    <row r="512" ht="15.75" customHeight="1" s="216"/>
    <row r="513" ht="15.75" customHeight="1" s="216"/>
    <row r="514" ht="15.75" customHeight="1" s="216"/>
    <row r="515" ht="15.75" customHeight="1" s="216"/>
    <row r="516" ht="15.75" customHeight="1" s="216"/>
    <row r="517" ht="15.75" customHeight="1" s="216"/>
    <row r="518" ht="15.75" customHeight="1" s="216"/>
    <row r="519" ht="15.75" customHeight="1" s="216"/>
    <row r="520" ht="15.75" customHeight="1" s="216"/>
    <row r="521" ht="15.75" customHeight="1" s="216"/>
    <row r="522" ht="15.75" customHeight="1" s="216"/>
    <row r="523" ht="15.75" customHeight="1" s="216"/>
    <row r="524" ht="15.75" customHeight="1" s="216"/>
    <row r="525" ht="15.75" customHeight="1" s="216"/>
    <row r="526" ht="15.75" customHeight="1" s="216"/>
    <row r="527" ht="15.75" customHeight="1" s="216"/>
    <row r="528" ht="15.75" customHeight="1" s="216"/>
    <row r="529" ht="15.75" customHeight="1" s="216"/>
    <row r="530" ht="15.75" customHeight="1" s="216"/>
    <row r="531" ht="15.75" customHeight="1" s="216"/>
    <row r="532" ht="15.75" customHeight="1" s="216"/>
    <row r="533" ht="15.75" customHeight="1" s="216"/>
    <row r="534" ht="15.75" customHeight="1" s="216"/>
    <row r="535" ht="15.75" customHeight="1" s="216"/>
    <row r="536" ht="15.75" customHeight="1" s="216"/>
    <row r="537" ht="15.75" customHeight="1" s="216"/>
    <row r="538" ht="15.75" customHeight="1" s="216"/>
    <row r="539" ht="15.75" customHeight="1" s="216"/>
    <row r="540" ht="15.75" customHeight="1" s="216"/>
    <row r="541" ht="15.75" customHeight="1" s="216"/>
    <row r="542" ht="15.75" customHeight="1" s="216"/>
    <row r="543" ht="15.75" customHeight="1" s="216"/>
    <row r="544" ht="15.75" customHeight="1" s="216"/>
    <row r="545" ht="15.75" customHeight="1" s="216"/>
    <row r="546" ht="15.75" customHeight="1" s="216"/>
    <row r="547" ht="15.75" customHeight="1" s="216"/>
    <row r="548" ht="15.75" customHeight="1" s="216"/>
    <row r="549" ht="15.75" customHeight="1" s="216"/>
    <row r="550" ht="15.75" customHeight="1" s="216"/>
    <row r="551" ht="15.75" customHeight="1" s="216"/>
    <row r="552" ht="15.75" customHeight="1" s="216"/>
    <row r="553" ht="15.75" customHeight="1" s="216"/>
    <row r="554" ht="15.75" customHeight="1" s="216"/>
    <row r="555" ht="15.75" customHeight="1" s="216"/>
    <row r="556" ht="15.75" customHeight="1" s="216"/>
    <row r="557" ht="15.75" customHeight="1" s="216"/>
    <row r="558" ht="15.75" customHeight="1" s="216"/>
    <row r="559" ht="15.75" customHeight="1" s="216"/>
    <row r="560" ht="15.75" customHeight="1" s="216"/>
    <row r="561" ht="15.75" customHeight="1" s="216"/>
    <row r="562" ht="15.75" customHeight="1" s="216"/>
    <row r="563" ht="15.75" customHeight="1" s="216"/>
    <row r="564" ht="15.75" customHeight="1" s="216"/>
    <row r="565" ht="15.75" customHeight="1" s="216"/>
    <row r="566" ht="15.75" customHeight="1" s="216"/>
    <row r="567" ht="15.75" customHeight="1" s="216"/>
    <row r="568" ht="15.75" customHeight="1" s="216"/>
    <row r="569" ht="15.75" customHeight="1" s="216"/>
    <row r="570" ht="15.75" customHeight="1" s="216"/>
    <row r="571" ht="15.75" customHeight="1" s="216"/>
    <row r="572" ht="15.75" customHeight="1" s="216"/>
    <row r="573" ht="15.75" customHeight="1" s="216"/>
    <row r="574" ht="15.75" customHeight="1" s="216"/>
    <row r="575" ht="15.75" customHeight="1" s="216"/>
    <row r="576" ht="15.75" customHeight="1" s="216"/>
    <row r="577" ht="15.75" customHeight="1" s="216"/>
    <row r="578" ht="15.75" customHeight="1" s="216"/>
    <row r="579" ht="15.75" customHeight="1" s="216"/>
    <row r="580" ht="15.75" customHeight="1" s="216"/>
    <row r="581" ht="15.75" customHeight="1" s="216"/>
    <row r="582" ht="15.75" customHeight="1" s="216"/>
    <row r="583" ht="15.75" customHeight="1" s="216"/>
    <row r="584" ht="15.75" customHeight="1" s="216"/>
    <row r="585" ht="15.75" customHeight="1" s="216"/>
    <row r="586" ht="15.75" customHeight="1" s="216"/>
    <row r="587" ht="15.75" customHeight="1" s="216"/>
    <row r="588" ht="15.75" customHeight="1" s="216"/>
    <row r="589" ht="15.75" customHeight="1" s="216"/>
    <row r="590" ht="15.75" customHeight="1" s="216"/>
    <row r="591" ht="15.75" customHeight="1" s="216"/>
    <row r="592" ht="15.75" customHeight="1" s="216"/>
    <row r="593" ht="15.75" customHeight="1" s="216"/>
    <row r="594" ht="15.75" customHeight="1" s="216"/>
    <row r="595" ht="15.75" customHeight="1" s="216"/>
    <row r="596" ht="15.75" customHeight="1" s="216"/>
    <row r="597" ht="15.75" customHeight="1" s="216"/>
    <row r="598" ht="15.75" customHeight="1" s="216"/>
    <row r="599" ht="15.75" customHeight="1" s="216"/>
    <row r="600" ht="15.75" customHeight="1" s="216"/>
    <row r="601" ht="15.75" customHeight="1" s="216"/>
    <row r="602" ht="15.75" customHeight="1" s="216"/>
    <row r="603" ht="15.75" customHeight="1" s="216"/>
    <row r="604" ht="15.75" customHeight="1" s="216"/>
    <row r="605" ht="15.75" customHeight="1" s="216"/>
    <row r="606" ht="15.75" customHeight="1" s="216"/>
    <row r="607" ht="15.75" customHeight="1" s="216"/>
    <row r="608" ht="15.75" customHeight="1" s="216"/>
    <row r="609" ht="15.75" customHeight="1" s="216"/>
    <row r="610" ht="15.75" customHeight="1" s="216"/>
    <row r="611" ht="15.75" customHeight="1" s="216"/>
    <row r="612" ht="15.75" customHeight="1" s="216"/>
    <row r="613" ht="15.75" customHeight="1" s="216"/>
    <row r="614" ht="15.75" customHeight="1" s="216"/>
    <row r="615" ht="15.75" customHeight="1" s="216"/>
    <row r="616" ht="15.75" customHeight="1" s="216"/>
    <row r="617" ht="15.75" customHeight="1" s="216"/>
    <row r="618" ht="15.75" customHeight="1" s="216"/>
    <row r="619" ht="15.75" customHeight="1" s="216"/>
    <row r="620" ht="15.75" customHeight="1" s="216"/>
    <row r="621" ht="15.75" customHeight="1" s="216"/>
    <row r="622" ht="15.75" customHeight="1" s="216"/>
    <row r="623" ht="15.75" customHeight="1" s="216"/>
    <row r="624" ht="15.75" customHeight="1" s="216"/>
    <row r="625" ht="15.75" customHeight="1" s="216"/>
    <row r="626" ht="15.75" customHeight="1" s="216"/>
    <row r="627" ht="15.75" customHeight="1" s="216"/>
    <row r="628" ht="15.75" customHeight="1" s="216"/>
    <row r="629" ht="15.75" customHeight="1" s="216"/>
    <row r="630" ht="15.75" customHeight="1" s="216"/>
    <row r="631" ht="15.75" customHeight="1" s="216"/>
    <row r="632" ht="15.75" customHeight="1" s="216"/>
    <row r="633" ht="15.75" customHeight="1" s="216"/>
    <row r="634" ht="15.75" customHeight="1" s="216"/>
    <row r="635" ht="15.75" customHeight="1" s="216"/>
    <row r="636" ht="15.75" customHeight="1" s="216"/>
    <row r="637" ht="15.75" customHeight="1" s="216"/>
    <row r="638" ht="15.75" customHeight="1" s="216"/>
    <row r="639" ht="15.75" customHeight="1" s="216"/>
    <row r="640" ht="15.75" customHeight="1" s="216"/>
    <row r="641" ht="15.75" customHeight="1" s="216"/>
    <row r="642" ht="15.75" customHeight="1" s="216"/>
    <row r="643" ht="15.75" customHeight="1" s="216"/>
    <row r="644" ht="15.75" customHeight="1" s="216"/>
    <row r="645" ht="15.75" customHeight="1" s="216"/>
    <row r="646" ht="15.75" customHeight="1" s="216"/>
    <row r="647" ht="15.75" customHeight="1" s="216"/>
    <row r="648" ht="15.75" customHeight="1" s="216"/>
    <row r="649" ht="15.75" customHeight="1" s="216"/>
    <row r="650" ht="15.75" customHeight="1" s="216"/>
    <row r="651" ht="15.75" customHeight="1" s="216"/>
    <row r="652" ht="15.75" customHeight="1" s="216"/>
    <row r="653" ht="15.75" customHeight="1" s="216"/>
    <row r="654" ht="15.75" customHeight="1" s="216"/>
    <row r="655" ht="15.75" customHeight="1" s="216"/>
    <row r="656" ht="15.75" customHeight="1" s="216"/>
    <row r="657" ht="15.75" customHeight="1" s="216"/>
    <row r="658" ht="15.75" customHeight="1" s="216"/>
    <row r="659" ht="15.75" customHeight="1" s="216"/>
    <row r="660" ht="15.75" customHeight="1" s="216"/>
    <row r="661" ht="15.75" customHeight="1" s="216"/>
    <row r="662" ht="15.75" customHeight="1" s="216"/>
    <row r="663" ht="15.75" customHeight="1" s="216"/>
    <row r="664" ht="15.75" customHeight="1" s="216"/>
    <row r="665" ht="15.75" customHeight="1" s="216"/>
    <row r="666" ht="15.75" customHeight="1" s="216"/>
    <row r="667" ht="15.75" customHeight="1" s="216"/>
    <row r="668" ht="15.75" customHeight="1" s="216"/>
    <row r="669" ht="15.75" customHeight="1" s="216"/>
    <row r="670" ht="15.75" customHeight="1" s="216"/>
    <row r="671" ht="15.75" customHeight="1" s="216"/>
    <row r="672" ht="15.75" customHeight="1" s="216"/>
    <row r="673" ht="15.75" customHeight="1" s="216"/>
    <row r="674" ht="15.75" customHeight="1" s="216"/>
    <row r="675" ht="15.75" customHeight="1" s="216"/>
    <row r="676" ht="15.75" customHeight="1" s="216"/>
    <row r="677" ht="15.75" customHeight="1" s="216"/>
    <row r="678" ht="15.75" customHeight="1" s="216"/>
    <row r="679" ht="15.75" customHeight="1" s="216"/>
    <row r="680" ht="15.75" customHeight="1" s="216"/>
    <row r="681" ht="15.75" customHeight="1" s="216"/>
    <row r="682" ht="15.75" customHeight="1" s="216"/>
    <row r="683" ht="15.75" customHeight="1" s="216"/>
    <row r="684" ht="15.75" customHeight="1" s="216"/>
    <row r="685" ht="15.75" customHeight="1" s="216"/>
    <row r="686" ht="15.75" customHeight="1" s="216"/>
    <row r="687" ht="15.75" customHeight="1" s="216"/>
    <row r="688" ht="15.75" customHeight="1" s="216"/>
    <row r="689" ht="15.75" customHeight="1" s="216"/>
    <row r="690" ht="15.75" customHeight="1" s="216"/>
    <row r="691" ht="15.75" customHeight="1" s="216"/>
    <row r="692" ht="15.75" customHeight="1" s="216"/>
    <row r="693" ht="15.75" customHeight="1" s="216"/>
    <row r="694" ht="15.75" customHeight="1" s="216"/>
    <row r="695" ht="15.75" customHeight="1" s="216"/>
    <row r="696" ht="15.75" customHeight="1" s="216"/>
    <row r="697" ht="15.75" customHeight="1" s="216"/>
    <row r="698" ht="15.75" customHeight="1" s="216"/>
    <row r="699" ht="15.75" customHeight="1" s="216"/>
    <row r="700" ht="15.75" customHeight="1" s="216"/>
    <row r="701" ht="15.75" customHeight="1" s="216"/>
    <row r="702" ht="15.75" customHeight="1" s="216"/>
    <row r="703" ht="15.75" customHeight="1" s="216"/>
    <row r="704" ht="15.75" customHeight="1" s="216"/>
    <row r="705" ht="15.75" customHeight="1" s="216"/>
    <row r="706" ht="15.75" customHeight="1" s="216"/>
    <row r="707" ht="15.75" customHeight="1" s="216"/>
    <row r="708" ht="15.75" customHeight="1" s="216"/>
    <row r="709" ht="15.75" customHeight="1" s="216"/>
    <row r="710" ht="15.75" customHeight="1" s="216"/>
    <row r="711" ht="15.75" customHeight="1" s="216"/>
    <row r="712" ht="15.75" customHeight="1" s="216"/>
    <row r="713" ht="15.75" customHeight="1" s="216"/>
    <row r="714" ht="15.75" customHeight="1" s="216"/>
    <row r="715" ht="15.75" customHeight="1" s="216"/>
    <row r="716" ht="15.75" customHeight="1" s="216"/>
    <row r="717" ht="15.75" customHeight="1" s="216"/>
    <row r="718" ht="15.75" customHeight="1" s="216"/>
    <row r="719" ht="15.75" customHeight="1" s="216"/>
    <row r="720" ht="15.75" customHeight="1" s="216"/>
    <row r="721" ht="15.75" customHeight="1" s="216"/>
    <row r="722" ht="15.75" customHeight="1" s="216"/>
    <row r="723" ht="15.75" customHeight="1" s="216"/>
    <row r="724" ht="15.75" customHeight="1" s="216"/>
    <row r="725" ht="15.75" customHeight="1" s="216"/>
    <row r="726" ht="15.75" customHeight="1" s="216"/>
    <row r="727" ht="15.75" customHeight="1" s="216"/>
    <row r="728" ht="15.75" customHeight="1" s="216"/>
    <row r="729" ht="15.75" customHeight="1" s="216"/>
    <row r="730" ht="15.75" customHeight="1" s="216"/>
    <row r="731" ht="15.75" customHeight="1" s="216"/>
    <row r="732" ht="15.75" customHeight="1" s="216"/>
    <row r="733" ht="15.75" customHeight="1" s="216"/>
    <row r="734" ht="15.75" customHeight="1" s="216"/>
    <row r="735" ht="15.75" customHeight="1" s="216"/>
    <row r="736" ht="15.75" customHeight="1" s="216"/>
    <row r="737" ht="15.75" customHeight="1" s="216"/>
    <row r="738" ht="15.75" customHeight="1" s="216"/>
    <row r="739" ht="15.75" customHeight="1" s="216"/>
    <row r="740" ht="15.75" customHeight="1" s="216"/>
    <row r="741" ht="15.75" customHeight="1" s="216"/>
    <row r="742" ht="15.75" customHeight="1" s="216"/>
    <row r="743" ht="15.75" customHeight="1" s="216"/>
    <row r="744" ht="15.75" customHeight="1" s="216"/>
    <row r="745" ht="15.75" customHeight="1" s="216"/>
    <row r="746" ht="15.75" customHeight="1" s="216"/>
    <row r="747" ht="15.75" customHeight="1" s="216"/>
    <row r="748" ht="15.75" customHeight="1" s="216"/>
    <row r="749" ht="15.75" customHeight="1" s="216"/>
    <row r="750" ht="15.75" customHeight="1" s="216"/>
    <row r="751" ht="15.75" customHeight="1" s="216"/>
    <row r="752" ht="15.75" customHeight="1" s="216"/>
    <row r="753" ht="15.75" customHeight="1" s="216"/>
    <row r="754" ht="15.75" customHeight="1" s="216"/>
    <row r="755" ht="15.75" customHeight="1" s="216"/>
    <row r="756" ht="15.75" customHeight="1" s="216"/>
    <row r="757" ht="15.75" customHeight="1" s="216"/>
    <row r="758" ht="15.75" customHeight="1" s="216"/>
    <row r="759" ht="15.75" customHeight="1" s="216"/>
    <row r="760" ht="15.75" customHeight="1" s="216"/>
    <row r="761" ht="15.75" customHeight="1" s="216"/>
    <row r="762" ht="15.75" customHeight="1" s="216"/>
    <row r="763" ht="15.75" customHeight="1" s="216"/>
    <row r="764" ht="15.75" customHeight="1" s="216"/>
    <row r="765" ht="15.75" customHeight="1" s="216"/>
    <row r="766" ht="15.75" customHeight="1" s="216"/>
    <row r="767" ht="15.75" customHeight="1" s="216"/>
    <row r="768" ht="15.75" customHeight="1" s="216"/>
    <row r="769" ht="15.75" customHeight="1" s="216"/>
    <row r="770" ht="15.75" customHeight="1" s="216"/>
    <row r="771" ht="15.75" customHeight="1" s="216"/>
    <row r="772" ht="15.75" customHeight="1" s="216"/>
    <row r="773" ht="15.75" customHeight="1" s="216"/>
    <row r="774" ht="15.75" customHeight="1" s="216"/>
    <row r="775" ht="15.75" customHeight="1" s="216"/>
    <row r="776" ht="15.75" customHeight="1" s="216"/>
    <row r="777" ht="15.75" customHeight="1" s="216"/>
    <row r="778" ht="15.75" customHeight="1" s="216"/>
    <row r="779" ht="15.75" customHeight="1" s="216"/>
    <row r="780" ht="15.75" customHeight="1" s="216"/>
    <row r="781" ht="15.75" customHeight="1" s="216"/>
    <row r="782" ht="15.75" customHeight="1" s="216"/>
    <row r="783" ht="15.75" customHeight="1" s="216"/>
    <row r="784" ht="15.75" customHeight="1" s="216"/>
    <row r="785" ht="15.75" customHeight="1" s="216"/>
    <row r="786" ht="15.75" customHeight="1" s="216"/>
    <row r="787" ht="15.75" customHeight="1" s="216"/>
    <row r="788" ht="15.75" customHeight="1" s="216"/>
    <row r="789" ht="15.75" customHeight="1" s="216"/>
    <row r="790" ht="15.75" customHeight="1" s="216"/>
    <row r="791" ht="15.75" customHeight="1" s="216"/>
    <row r="792" ht="15.75" customHeight="1" s="216"/>
    <row r="793" ht="15.75" customHeight="1" s="216"/>
    <row r="794" ht="15.75" customHeight="1" s="216"/>
    <row r="795" ht="15.75" customHeight="1" s="216"/>
    <row r="796" ht="15.75" customHeight="1" s="216"/>
    <row r="797" ht="15.75" customHeight="1" s="216"/>
    <row r="798" ht="15.75" customHeight="1" s="216"/>
    <row r="799" ht="15.75" customHeight="1" s="216"/>
    <row r="800" ht="15.75" customHeight="1" s="216"/>
    <row r="801" ht="15.75" customHeight="1" s="216"/>
    <row r="802" ht="15.75" customHeight="1" s="216"/>
    <row r="803" ht="15.75" customHeight="1" s="216"/>
    <row r="804" ht="15.75" customHeight="1" s="216"/>
    <row r="805" ht="15.75" customHeight="1" s="216"/>
    <row r="806" ht="15.75" customHeight="1" s="216"/>
    <row r="807" ht="15.75" customHeight="1" s="216"/>
    <row r="808" ht="15.75" customHeight="1" s="216"/>
    <row r="809" ht="15.75" customHeight="1" s="216"/>
    <row r="810" ht="15.75" customHeight="1" s="216"/>
    <row r="811" ht="15.75" customHeight="1" s="216"/>
    <row r="812" ht="15.75" customHeight="1" s="216"/>
    <row r="813" ht="15.75" customHeight="1" s="216"/>
    <row r="814" ht="15.75" customHeight="1" s="216"/>
    <row r="815" ht="15.75" customHeight="1" s="216"/>
    <row r="816" ht="15.75" customHeight="1" s="216"/>
    <row r="817" ht="15.75" customHeight="1" s="216"/>
    <row r="818" ht="15.75" customHeight="1" s="216"/>
    <row r="819" ht="15.75" customHeight="1" s="216"/>
    <row r="820" ht="15.75" customHeight="1" s="216"/>
    <row r="821" ht="15.75" customHeight="1" s="216"/>
    <row r="822" ht="15.75" customHeight="1" s="216"/>
    <row r="823" ht="15.75" customHeight="1" s="216"/>
    <row r="824" ht="15.75" customHeight="1" s="216"/>
    <row r="825" ht="15.75" customHeight="1" s="216"/>
    <row r="826" ht="15.75" customHeight="1" s="216"/>
    <row r="827" ht="15.75" customHeight="1" s="216"/>
    <row r="828" ht="15.75" customHeight="1" s="216"/>
    <row r="829" ht="15.75" customHeight="1" s="216"/>
    <row r="830" ht="15.75" customHeight="1" s="216"/>
    <row r="831" ht="15.75" customHeight="1" s="216"/>
    <row r="832" ht="15.75" customHeight="1" s="216"/>
    <row r="833" ht="15.75" customHeight="1" s="216"/>
    <row r="834" ht="15.75" customHeight="1" s="216"/>
    <row r="835" ht="15.75" customHeight="1" s="216"/>
    <row r="836" ht="15.75" customHeight="1" s="216"/>
    <row r="837" ht="15.75" customHeight="1" s="216"/>
    <row r="838" ht="15.75" customHeight="1" s="216"/>
    <row r="839" ht="15.75" customHeight="1" s="216"/>
    <row r="840" ht="15.75" customHeight="1" s="216"/>
    <row r="841" ht="15.75" customHeight="1" s="216"/>
    <row r="842" ht="15.75" customHeight="1" s="216"/>
    <row r="843" ht="15.75" customHeight="1" s="216"/>
    <row r="844" ht="15.75" customHeight="1" s="216"/>
    <row r="845" ht="15.75" customHeight="1" s="216"/>
    <row r="846" ht="15.75" customHeight="1" s="216"/>
    <row r="847" ht="15.75" customHeight="1" s="216"/>
    <row r="848" ht="15.75" customHeight="1" s="216"/>
    <row r="849" ht="15.75" customHeight="1" s="216"/>
    <row r="850" ht="15.75" customHeight="1" s="216"/>
    <row r="851" ht="15.75" customHeight="1" s="216"/>
    <row r="852" ht="15.75" customHeight="1" s="216"/>
    <row r="853" ht="15.75" customHeight="1" s="216"/>
    <row r="854" ht="15.75" customHeight="1" s="216"/>
    <row r="855" ht="15.75" customHeight="1" s="216"/>
    <row r="856" ht="15.75" customHeight="1" s="216"/>
    <row r="857" ht="15.75" customHeight="1" s="216"/>
    <row r="858" ht="15.75" customHeight="1" s="216"/>
    <row r="859" ht="15.75" customHeight="1" s="216"/>
    <row r="860" ht="15.75" customHeight="1" s="216"/>
    <row r="861" ht="15.75" customHeight="1" s="216"/>
    <row r="862" ht="15.75" customHeight="1" s="216"/>
    <row r="863" ht="15.75" customHeight="1" s="216"/>
    <row r="864" ht="15.75" customHeight="1" s="216"/>
    <row r="865" ht="15.75" customHeight="1" s="216"/>
    <row r="866" ht="15.75" customHeight="1" s="216"/>
    <row r="867" ht="15.75" customHeight="1" s="216"/>
    <row r="868" ht="15.75" customHeight="1" s="216"/>
    <row r="869" ht="15.75" customHeight="1" s="216"/>
    <row r="870" ht="15.75" customHeight="1" s="216"/>
    <row r="871" ht="15.75" customHeight="1" s="216"/>
    <row r="872" ht="15.75" customHeight="1" s="216"/>
    <row r="873" ht="15.75" customHeight="1" s="216"/>
    <row r="874" ht="15.75" customHeight="1" s="216"/>
    <row r="875" ht="15.75" customHeight="1" s="216"/>
    <row r="876" ht="15.75" customHeight="1" s="216"/>
    <row r="877" ht="15.75" customHeight="1" s="216"/>
    <row r="878" ht="15.75" customHeight="1" s="216"/>
    <row r="879" ht="15.75" customHeight="1" s="216"/>
    <row r="880" ht="15.75" customHeight="1" s="216"/>
    <row r="881" ht="15.75" customHeight="1" s="216"/>
    <row r="882" ht="15.75" customHeight="1" s="216"/>
    <row r="883" ht="15.75" customHeight="1" s="216"/>
    <row r="884" ht="15.75" customHeight="1" s="216"/>
    <row r="885" ht="15.75" customHeight="1" s="216"/>
    <row r="886" ht="15.75" customHeight="1" s="216"/>
    <row r="887" ht="15.75" customHeight="1" s="216"/>
    <row r="888" ht="15.75" customHeight="1" s="216"/>
    <row r="889" ht="15.75" customHeight="1" s="216"/>
    <row r="890" ht="15.75" customHeight="1" s="216"/>
    <row r="891" ht="15.75" customHeight="1" s="216"/>
    <row r="892" ht="15.75" customHeight="1" s="216"/>
    <row r="893" ht="15.75" customHeight="1" s="216"/>
    <row r="894" ht="15.75" customHeight="1" s="216"/>
    <row r="895" ht="15.75" customHeight="1" s="216"/>
    <row r="896" ht="15.75" customHeight="1" s="216"/>
    <row r="897" ht="15.75" customHeight="1" s="216"/>
    <row r="898" ht="15.75" customHeight="1" s="216"/>
    <row r="899" ht="15.75" customHeight="1" s="216"/>
    <row r="900" ht="15.75" customHeight="1" s="216"/>
    <row r="901" ht="15.75" customHeight="1" s="216"/>
    <row r="902" ht="15.75" customHeight="1" s="216"/>
    <row r="903" ht="15.75" customHeight="1" s="216"/>
    <row r="904" ht="15.75" customHeight="1" s="216"/>
    <row r="905" ht="15.75" customHeight="1" s="216"/>
    <row r="906" ht="15.75" customHeight="1" s="216"/>
    <row r="907" ht="15.75" customHeight="1" s="216"/>
    <row r="908" ht="15.75" customHeight="1" s="216"/>
    <row r="909" ht="15.75" customHeight="1" s="216"/>
    <row r="910" ht="15.75" customHeight="1" s="216"/>
    <row r="911" ht="15.75" customHeight="1" s="216"/>
    <row r="912" ht="15.75" customHeight="1" s="216"/>
    <row r="913" ht="15.75" customHeight="1" s="216"/>
    <row r="914" ht="15.75" customHeight="1" s="216"/>
    <row r="915" ht="15.75" customHeight="1" s="216"/>
    <row r="916" ht="15.75" customHeight="1" s="216"/>
    <row r="917" ht="15.75" customHeight="1" s="216"/>
    <row r="918" ht="15.75" customHeight="1" s="216"/>
    <row r="919" ht="15.75" customHeight="1" s="216"/>
    <row r="920" ht="15.75" customHeight="1" s="216"/>
    <row r="921" ht="15.75" customHeight="1" s="216"/>
    <row r="922" ht="15.75" customHeight="1" s="216"/>
    <row r="923" ht="15.75" customHeight="1" s="216"/>
    <row r="924" ht="15.75" customHeight="1" s="216"/>
    <row r="925" ht="15.75" customHeight="1" s="216"/>
    <row r="926" ht="15.75" customHeight="1" s="216"/>
    <row r="927" ht="15.75" customHeight="1" s="216"/>
    <row r="928" ht="15.75" customHeight="1" s="216"/>
    <row r="929" ht="15.75" customHeight="1" s="216"/>
    <row r="930" ht="15.75" customHeight="1" s="216"/>
    <row r="931" ht="15.75" customHeight="1" s="216"/>
    <row r="932" ht="15.75" customHeight="1" s="216"/>
    <row r="933" ht="15.75" customHeight="1" s="216"/>
    <row r="934" ht="15.75" customHeight="1" s="216"/>
    <row r="935" ht="15.75" customHeight="1" s="216"/>
    <row r="936" ht="15.75" customHeight="1" s="216"/>
    <row r="937" ht="15.75" customHeight="1" s="216"/>
    <row r="938" ht="15.75" customHeight="1" s="216"/>
    <row r="939" ht="15.75" customHeight="1" s="216"/>
    <row r="940" ht="15.75" customHeight="1" s="216"/>
    <row r="941" ht="15.75" customHeight="1" s="216"/>
    <row r="942" ht="15.75" customHeight="1" s="216"/>
    <row r="943" ht="15.75" customHeight="1" s="216"/>
    <row r="944" ht="15.75" customHeight="1" s="216"/>
    <row r="945" ht="15.75" customHeight="1" s="216"/>
    <row r="946" ht="15.75" customHeight="1" s="216"/>
    <row r="947" ht="15.75" customHeight="1" s="216"/>
    <row r="948" ht="15.75" customHeight="1" s="216"/>
    <row r="949" ht="15.75" customHeight="1" s="216"/>
    <row r="950" ht="15.75" customHeight="1" s="216"/>
    <row r="951" ht="15.75" customHeight="1" s="216"/>
    <row r="952" ht="15.75" customHeight="1" s="216"/>
    <row r="953" ht="15.75" customHeight="1" s="216"/>
    <row r="954" ht="15.75" customHeight="1" s="216"/>
    <row r="955" ht="15.75" customHeight="1" s="216"/>
    <row r="956" ht="15.75" customHeight="1" s="216"/>
    <row r="957" ht="15.75" customHeight="1" s="216"/>
    <row r="958" ht="15.75" customHeight="1" s="216"/>
    <row r="959" ht="15.75" customHeight="1" s="216"/>
    <row r="960" ht="15.75" customHeight="1" s="216"/>
    <row r="961" ht="15.75" customHeight="1" s="216"/>
    <row r="962" ht="15.75" customHeight="1" s="216"/>
    <row r="963" ht="15.75" customHeight="1" s="216"/>
    <row r="964" ht="15.75" customHeight="1" s="216"/>
    <row r="965" ht="15.75" customHeight="1" s="216"/>
    <row r="966" ht="15.75" customHeight="1" s="216"/>
    <row r="967" ht="15.75" customHeight="1" s="216"/>
    <row r="968" ht="15.75" customHeight="1" s="216"/>
    <row r="969" ht="15.75" customHeight="1" s="216"/>
    <row r="970" ht="15.75" customHeight="1" s="216"/>
    <row r="971" ht="15.75" customHeight="1" s="216"/>
    <row r="972" ht="15.75" customHeight="1" s="216"/>
    <row r="973" ht="15.75" customHeight="1" s="216"/>
    <row r="974" ht="15.75" customHeight="1" s="216"/>
    <row r="975" ht="15.75" customHeight="1" s="216"/>
    <row r="976" ht="15.75" customHeight="1" s="216"/>
    <row r="977" ht="15.75" customHeight="1" s="216"/>
    <row r="978" ht="15.75" customHeight="1" s="216"/>
    <row r="979" ht="15.75" customHeight="1" s="216"/>
    <row r="980" ht="15.75" customHeight="1" s="216"/>
    <row r="981" ht="15.75" customHeight="1" s="216"/>
    <row r="982" ht="15.75" customHeight="1" s="216"/>
    <row r="983" ht="15.75" customHeight="1" s="216"/>
    <row r="984" ht="15.75" customHeight="1" s="216"/>
    <row r="985" ht="15.75" customHeight="1" s="216"/>
    <row r="986" ht="15.75" customHeight="1" s="216"/>
    <row r="987" ht="15.75" customHeight="1" s="216"/>
    <row r="988" ht="15.75" customHeight="1" s="216"/>
    <row r="989" ht="15.75" customHeight="1" s="216"/>
    <row r="990" ht="15.75" customHeight="1" s="216"/>
    <row r="991" ht="15.75" customHeight="1" s="216"/>
    <row r="992" ht="15.75" customHeight="1" s="216"/>
    <row r="993" ht="15.75" customHeight="1" s="216"/>
    <row r="994" ht="15.75" customHeight="1" s="216"/>
    <row r="995" ht="15.75" customHeight="1" s="216"/>
    <row r="996" ht="15.75" customHeight="1" s="216"/>
    <row r="997" ht="15.75" customHeight="1" s="216"/>
    <row r="998" ht="15.75" customHeight="1" s="216"/>
    <row r="999" ht="15.75" customHeight="1" s="216"/>
    <row r="1000" ht="15.75" customHeight="1" s="216"/>
  </sheetData>
  <mergeCells count="8">
    <mergeCell ref="B39:C39"/>
    <mergeCell ref="B2:C2"/>
    <mergeCell ref="B33:C33"/>
    <mergeCell ref="B25:C25"/>
    <mergeCell ref="B10:C10"/>
    <mergeCell ref="B40:C40"/>
    <mergeCell ref="B18:C18"/>
    <mergeCell ref="B49:C49"/>
  </mergeCells>
  <conditionalFormatting sqref="B12:B15">
    <cfRule type="cellIs" priority="1" operator="equal" dxfId="0">
      <formula>"Pass"</formula>
    </cfRule>
    <cfRule type="cellIs" priority="2" operator="equal" dxfId="1">
      <formula>"Fail"</formula>
    </cfRule>
    <cfRule type="cellIs" priority="3" operator="equal" dxfId="2">
      <formula>"Block"</formula>
    </cfRule>
    <cfRule type="cellIs" priority="4" operator="equal" dxfId="3">
      <formula>"N/A"</formula>
    </cfRule>
  </conditionalFormatting>
  <pageMargins left="0.75" right="0.75" top="1" bottom="1" header="0" footer="0"/>
  <pageSetup orientation="landscape" fitToHeight="0"/>
</worksheet>
</file>

<file path=xl/worksheets/sheet3.xml><?xml version="1.0" encoding="utf-8"?>
<worksheet xmlns="http://schemas.openxmlformats.org/spreadsheetml/2006/main">
  <sheetPr>
    <outlinePr summaryBelow="1" summaryRight="1"/>
    <pageSetUpPr fitToPage="1"/>
  </sheetPr>
  <dimension ref="A1:Z220"/>
  <sheetViews>
    <sheetView showGridLines="0" workbookViewId="0">
      <selection activeCell="A1" sqref="A1"/>
    </sheetView>
  </sheetViews>
  <sheetFormatPr baseColWidth="8" defaultColWidth="14.43" defaultRowHeight="15" customHeight="1"/>
  <cols>
    <col width="3" customWidth="1" style="216" min="1" max="1"/>
    <col width="14" customWidth="1" style="216" min="2" max="4"/>
    <col width="18" customWidth="1" style="216" min="5" max="6"/>
    <col width="48" customWidth="1" style="216" min="7" max="7"/>
    <col width="14" customWidth="1" style="216" min="8" max="8"/>
  </cols>
  <sheetData>
    <row r="1" ht="30" customHeight="1" s="216">
      <c r="A1" s="1" t="n"/>
      <c r="B1" s="1" t="n"/>
      <c r="C1" s="1" t="n"/>
      <c r="D1" s="1" t="n"/>
      <c r="E1" s="1" t="n"/>
      <c r="F1" s="1" t="n"/>
      <c r="G1" s="1" t="n"/>
      <c r="H1" s="1" t="n"/>
      <c r="I1" s="1" t="n"/>
    </row>
    <row r="2" ht="30" customHeight="1" s="216">
      <c r="A2" s="1" t="n"/>
      <c r="B2" s="1" t="n"/>
      <c r="C2" s="1" t="n"/>
      <c r="D2" s="1" t="n"/>
      <c r="E2" s="1" t="n"/>
      <c r="F2" s="3" t="n"/>
      <c r="I2" s="1" t="n"/>
    </row>
    <row r="3">
      <c r="A3" s="1" t="n"/>
      <c r="B3" s="1" t="n"/>
      <c r="C3" s="1" t="n"/>
      <c r="D3" s="5" t="inlineStr">
        <is>
          <t>REVISION HISTORY</t>
        </is>
      </c>
      <c r="E3" s="1" t="n"/>
      <c r="F3" s="1" t="n"/>
      <c r="G3" s="1" t="n"/>
      <c r="H3" s="1" t="n"/>
      <c r="I3" s="1" t="n"/>
    </row>
    <row r="4">
      <c r="A4" s="1" t="n"/>
      <c r="B4" s="1" t="n"/>
      <c r="C4" s="1" t="n"/>
      <c r="D4" s="1" t="n"/>
      <c r="E4" s="1" t="n"/>
      <c r="F4" s="1" t="n"/>
      <c r="G4" s="1" t="n"/>
      <c r="H4" s="1" t="n"/>
      <c r="I4" s="1" t="n"/>
    </row>
    <row r="5">
      <c r="A5" s="1" t="n"/>
      <c r="B5" s="1" t="n"/>
      <c r="C5" s="1" t="n"/>
      <c r="D5" s="1" t="n"/>
      <c r="E5" s="1" t="n"/>
      <c r="F5" s="1" t="n"/>
      <c r="G5" s="1" t="n"/>
      <c r="H5" s="1" t="n"/>
      <c r="I5" s="1" t="n"/>
    </row>
    <row r="6" ht="18.75" customHeight="1" s="216">
      <c r="A6" s="8" t="n"/>
      <c r="B6" s="10" t="inlineStr">
        <is>
          <t>Date</t>
        </is>
      </c>
      <c r="C6" s="10" t="inlineStr">
        <is>
          <t>Version</t>
        </is>
      </c>
      <c r="D6" s="10" t="inlineStr">
        <is>
          <t>Author</t>
        </is>
      </c>
      <c r="E6" s="10" t="inlineStr">
        <is>
          <t>Reviewer</t>
        </is>
      </c>
      <c r="F6" s="10" t="inlineStr">
        <is>
          <t>Approver</t>
        </is>
      </c>
      <c r="G6" s="10" t="inlineStr">
        <is>
          <t>Change Description</t>
        </is>
      </c>
      <c r="H6" s="8" t="n"/>
      <c r="I6" s="8" t="n"/>
      <c r="J6" s="13" t="n"/>
      <c r="K6" s="13" t="n"/>
      <c r="L6" s="13" t="n"/>
      <c r="M6" s="13" t="n"/>
      <c r="N6" s="13" t="n"/>
      <c r="O6" s="13" t="n"/>
      <c r="P6" s="13" t="n"/>
      <c r="Q6" s="13" t="n"/>
      <c r="R6" s="13" t="n"/>
      <c r="S6" s="13" t="n"/>
      <c r="T6" s="13" t="n"/>
      <c r="U6" s="13" t="n"/>
      <c r="V6" s="13" t="n"/>
      <c r="W6" s="13" t="n"/>
      <c r="X6" s="13" t="n"/>
      <c r="Y6" s="13" t="n"/>
      <c r="Z6" s="13" t="n"/>
    </row>
    <row r="7">
      <c r="A7" s="15" t="n"/>
      <c r="B7" s="16" t="n">
        <v>46203</v>
      </c>
      <c r="C7" s="17" t="n">
        <v>1</v>
      </c>
      <c r="D7" s="19" t="inlineStr">
        <is>
          <t>QC</t>
        </is>
      </c>
      <c r="E7" s="19" t="inlineStr">
        <is>
          <t>QC Lead</t>
        </is>
      </c>
      <c r="F7" s="20" t="inlineStr">
        <is>
          <t>PM</t>
        </is>
      </c>
      <c r="G7" s="22" t="inlineStr">
        <is>
          <t>Tạo mới</t>
        </is>
      </c>
      <c r="H7" s="12" t="n"/>
      <c r="I7" s="15" t="n"/>
      <c r="J7" s="24" t="n"/>
      <c r="K7" s="24" t="n"/>
      <c r="L7" s="24" t="n"/>
      <c r="M7" s="24" t="n"/>
      <c r="N7" s="24" t="n"/>
      <c r="O7" s="24" t="n"/>
      <c r="P7" s="24" t="n"/>
      <c r="Q7" s="24" t="n"/>
      <c r="R7" s="24" t="n"/>
      <c r="S7" s="24" t="n"/>
      <c r="T7" s="24" t="n"/>
      <c r="U7" s="24" t="n"/>
      <c r="V7" s="24" t="n"/>
      <c r="W7" s="24" t="n"/>
      <c r="X7" s="24" t="n"/>
      <c r="Y7" s="24" t="n"/>
      <c r="Z7" s="24" t="n"/>
    </row>
    <row r="8">
      <c r="A8" s="15" t="n"/>
      <c r="B8" s="16" t="n"/>
      <c r="C8" s="17" t="n"/>
      <c r="D8" s="19" t="n"/>
      <c r="E8" s="19" t="n"/>
      <c r="F8" s="20" t="n"/>
      <c r="G8" s="22" t="n"/>
      <c r="H8" s="12" t="n"/>
      <c r="I8" s="15" t="n"/>
      <c r="J8" s="24" t="n"/>
      <c r="K8" s="24" t="n"/>
      <c r="L8" s="24" t="n"/>
      <c r="M8" s="24" t="n"/>
      <c r="N8" s="24" t="n"/>
      <c r="O8" s="24" t="n"/>
      <c r="P8" s="24" t="n"/>
      <c r="Q8" s="24" t="n"/>
      <c r="R8" s="24" t="n"/>
      <c r="S8" s="24" t="n"/>
      <c r="T8" s="24" t="n"/>
      <c r="U8" s="24" t="n"/>
      <c r="V8" s="24" t="n"/>
      <c r="W8" s="24" t="n"/>
      <c r="X8" s="24" t="n"/>
      <c r="Y8" s="24" t="n"/>
      <c r="Z8" s="24" t="n"/>
    </row>
    <row r="9">
      <c r="A9" s="1" t="n"/>
      <c r="B9" s="27" t="n"/>
      <c r="C9" s="28" t="n"/>
      <c r="D9" s="28" t="n"/>
      <c r="E9" s="28" t="n"/>
      <c r="F9" s="30" t="n"/>
      <c r="G9" s="31" t="n"/>
      <c r="H9" s="12" t="n"/>
      <c r="I9" s="1" t="n"/>
    </row>
    <row r="10">
      <c r="A10" s="1" t="n"/>
      <c r="B10" s="27" t="n"/>
      <c r="C10" s="28" t="n"/>
      <c r="D10" s="28" t="n"/>
      <c r="E10" s="28" t="n"/>
      <c r="F10" s="30" t="n"/>
      <c r="G10" s="31" t="n"/>
      <c r="H10" s="12" t="n"/>
      <c r="I10" s="1" t="n"/>
    </row>
    <row r="11">
      <c r="A11" s="1" t="n"/>
      <c r="B11" s="27" t="n"/>
      <c r="C11" s="28" t="n"/>
      <c r="D11" s="28" t="n"/>
      <c r="E11" s="28" t="n"/>
      <c r="F11" s="30" t="n"/>
      <c r="G11" s="31" t="n"/>
      <c r="H11" s="12" t="n"/>
      <c r="I11" s="1" t="n"/>
    </row>
    <row r="12">
      <c r="A12" s="1" t="n"/>
      <c r="B12" s="27" t="n"/>
      <c r="C12" s="28" t="n"/>
      <c r="D12" s="28" t="n"/>
      <c r="E12" s="28" t="n"/>
      <c r="F12" s="30" t="n"/>
      <c r="G12" s="31" t="n"/>
      <c r="H12" s="12" t="n"/>
      <c r="I12" s="1" t="n"/>
    </row>
    <row r="13">
      <c r="A13" s="1" t="n"/>
      <c r="B13" s="27" t="n"/>
      <c r="C13" s="28" t="n"/>
      <c r="D13" s="28" t="n"/>
      <c r="E13" s="28" t="n"/>
      <c r="F13" s="30" t="n"/>
      <c r="G13" s="31" t="n"/>
      <c r="H13" s="12" t="n"/>
      <c r="I13" s="1" t="n"/>
    </row>
    <row r="14">
      <c r="A14" s="1" t="n"/>
      <c r="B14" s="27" t="n"/>
      <c r="C14" s="28" t="n"/>
      <c r="D14" s="28" t="n"/>
      <c r="E14" s="28" t="n"/>
      <c r="F14" s="30" t="n"/>
      <c r="G14" s="31" t="n"/>
      <c r="H14" s="12" t="n"/>
      <c r="I14" s="1" t="n"/>
    </row>
    <row r="15">
      <c r="A15" s="1" t="n"/>
      <c r="B15" s="1" t="n"/>
      <c r="C15" s="1" t="n"/>
      <c r="D15" s="1" t="n"/>
      <c r="E15" s="1" t="n"/>
      <c r="F15" s="1" t="n"/>
      <c r="G15" s="1" t="n"/>
      <c r="H15" s="1" t="n"/>
      <c r="I15" s="1" t="n"/>
    </row>
    <row r="16">
      <c r="A16" s="1" t="n"/>
      <c r="B16" s="29" t="n"/>
      <c r="I16" s="1" t="n"/>
    </row>
    <row r="17">
      <c r="A17" s="1" t="n"/>
      <c r="B17" s="32" t="n"/>
      <c r="I17" s="1" t="n"/>
    </row>
    <row r="18">
      <c r="A18" s="1" t="n"/>
      <c r="B18" s="32" t="n"/>
      <c r="I18" s="1" t="n"/>
    </row>
    <row r="19">
      <c r="A19" s="1" t="n"/>
      <c r="B19" s="1" t="n"/>
      <c r="C19" s="1" t="n"/>
      <c r="D19" s="1" t="n"/>
      <c r="E19" s="1" t="n"/>
      <c r="F19" s="1" t="n"/>
      <c r="G19" s="1" t="n"/>
      <c r="H19" s="1" t="n"/>
      <c r="I19" s="1" t="n"/>
    </row>
    <row r="20" ht="15.75" customHeight="1" s="216">
      <c r="A20" s="1" t="n"/>
      <c r="B20" s="1" t="n"/>
      <c r="C20" s="1" t="n"/>
      <c r="D20" s="1" t="n"/>
      <c r="E20" s="1" t="n"/>
      <c r="F20" s="1" t="n"/>
      <c r="G20" s="1" t="n"/>
      <c r="H20" s="1" t="n"/>
      <c r="I20" s="1" t="n"/>
    </row>
    <row r="21" ht="15.75" customHeight="1" s="216">
      <c r="A21" s="1" t="n"/>
      <c r="B21" s="1" t="n"/>
      <c r="C21" s="1" t="n"/>
      <c r="D21" s="1" t="n"/>
      <c r="E21" s="1" t="n"/>
      <c r="F21" s="1" t="n"/>
      <c r="G21" s="1" t="n"/>
      <c r="H21" s="1" t="n"/>
      <c r="I21" s="1" t="n"/>
    </row>
    <row r="22" ht="15.75" customHeight="1" s="216">
      <c r="A22" s="1" t="n"/>
      <c r="B22" s="1" t="n"/>
      <c r="C22" s="1" t="n"/>
      <c r="D22" s="1" t="n"/>
      <c r="E22" s="1" t="n"/>
      <c r="F22" s="1" t="n"/>
      <c r="G22" s="1" t="n"/>
      <c r="H22" s="1" t="n"/>
      <c r="I22" s="1" t="n"/>
    </row>
    <row r="23" ht="15.75" customHeight="1" s="216">
      <c r="A23" s="1" t="n"/>
      <c r="B23" s="1" t="n"/>
      <c r="C23" s="1" t="n"/>
      <c r="D23" s="1" t="n"/>
      <c r="E23" s="1" t="n"/>
      <c r="F23" s="1" t="n"/>
      <c r="G23" s="1" t="n"/>
      <c r="H23" s="1" t="n"/>
      <c r="I23" s="1" t="n"/>
    </row>
    <row r="24" ht="15.75" customHeight="1" s="216">
      <c r="A24" s="1" t="n"/>
      <c r="B24" s="1" t="n"/>
      <c r="C24" s="1" t="n"/>
      <c r="D24" s="1" t="n"/>
      <c r="E24" s="1" t="n"/>
      <c r="F24" s="1" t="n"/>
      <c r="G24" s="1" t="n"/>
      <c r="H24" s="1" t="n"/>
      <c r="I24" s="1" t="n"/>
    </row>
    <row r="25" ht="15.75" customHeight="1" s="216">
      <c r="A25" s="1" t="n"/>
      <c r="B25" s="1" t="n"/>
      <c r="C25" s="1" t="n"/>
      <c r="D25" s="1" t="n"/>
      <c r="E25" s="1" t="n"/>
      <c r="F25" s="1" t="n"/>
      <c r="G25" s="1" t="n"/>
      <c r="H25" s="1" t="n"/>
      <c r="I25" s="1" t="n"/>
    </row>
    <row r="26" ht="15.75" customHeight="1" s="216">
      <c r="A26" s="1" t="n"/>
      <c r="B26" s="1" t="n"/>
      <c r="C26" s="1" t="n"/>
      <c r="D26" s="1" t="n"/>
      <c r="E26" s="1" t="n"/>
      <c r="F26" s="1" t="n"/>
      <c r="G26" s="1" t="n"/>
      <c r="H26" s="1" t="n"/>
      <c r="I26" s="1" t="n"/>
    </row>
    <row r="27" ht="15.75" customHeight="1" s="216">
      <c r="A27" s="1" t="n"/>
      <c r="B27" s="1" t="n"/>
      <c r="C27" s="1" t="n"/>
      <c r="D27" s="1" t="n"/>
      <c r="E27" s="1" t="n"/>
      <c r="F27" s="1" t="n"/>
      <c r="G27" s="1" t="n"/>
      <c r="H27" s="1" t="n"/>
      <c r="I27" s="1" t="n"/>
    </row>
    <row r="28" ht="15.75" customHeight="1" s="216">
      <c r="A28" s="1" t="n"/>
      <c r="B28" s="1" t="n"/>
      <c r="C28" s="1" t="n"/>
      <c r="D28" s="1" t="n"/>
      <c r="E28" s="1" t="n"/>
      <c r="F28" s="1" t="n"/>
      <c r="G28" s="1" t="n"/>
      <c r="H28" s="1" t="n"/>
      <c r="I28" s="1" t="n"/>
    </row>
    <row r="29" ht="15.75" customHeight="1" s="216">
      <c r="A29" s="1" t="n"/>
      <c r="B29" s="1" t="n"/>
      <c r="C29" s="1" t="n"/>
      <c r="D29" s="1" t="n"/>
      <c r="E29" s="1" t="n"/>
      <c r="F29" s="1" t="n"/>
      <c r="G29" s="1" t="n"/>
      <c r="H29" s="1" t="n"/>
      <c r="I29" s="1" t="n"/>
    </row>
    <row r="30" ht="15.75" customHeight="1" s="216">
      <c r="A30" s="1" t="n"/>
      <c r="B30" s="1" t="n"/>
      <c r="C30" s="1" t="n"/>
      <c r="D30" s="1" t="n"/>
      <c r="E30" s="1" t="n"/>
      <c r="F30" s="1" t="n"/>
      <c r="G30" s="1" t="n"/>
      <c r="H30" s="1" t="n"/>
      <c r="I30" s="1" t="n"/>
    </row>
    <row r="31" ht="15.75" customHeight="1" s="216">
      <c r="A31" s="1" t="n"/>
      <c r="B31" s="1" t="n"/>
      <c r="C31" s="1" t="n"/>
      <c r="D31" s="1" t="n"/>
      <c r="E31" s="1" t="n"/>
      <c r="F31" s="1" t="n"/>
      <c r="G31" s="1" t="n"/>
      <c r="H31" s="1" t="n"/>
      <c r="I31" s="1" t="n"/>
    </row>
    <row r="32" ht="15.75" customHeight="1" s="216">
      <c r="A32" s="1" t="n"/>
      <c r="B32" s="1" t="n"/>
      <c r="C32" s="1" t="n"/>
      <c r="D32" s="1" t="n"/>
      <c r="E32" s="1" t="n"/>
      <c r="F32" s="1" t="n"/>
      <c r="G32" s="1" t="n"/>
      <c r="H32" s="1" t="n"/>
      <c r="I32" s="1" t="n"/>
    </row>
    <row r="33" ht="15.75" customHeight="1" s="216">
      <c r="A33" s="1" t="n"/>
      <c r="B33" s="1" t="n"/>
      <c r="C33" s="1" t="n"/>
      <c r="D33" s="1" t="n"/>
      <c r="E33" s="1" t="n"/>
      <c r="F33" s="1" t="n"/>
      <c r="G33" s="1" t="n"/>
      <c r="H33" s="1" t="n"/>
      <c r="I33" s="1" t="n"/>
    </row>
    <row r="34" ht="15.75" customHeight="1" s="216">
      <c r="A34" s="1" t="n"/>
      <c r="B34" s="1" t="n"/>
      <c r="C34" s="1" t="n"/>
      <c r="D34" s="1" t="n"/>
      <c r="E34" s="1" t="n"/>
      <c r="F34" s="1" t="n"/>
      <c r="G34" s="1" t="n"/>
      <c r="H34" s="1" t="n"/>
      <c r="I34" s="1" t="n"/>
    </row>
    <row r="35" ht="15.75" customHeight="1" s="216">
      <c r="A35" s="1" t="n"/>
      <c r="B35" s="1" t="n"/>
      <c r="C35" s="1" t="n"/>
      <c r="D35" s="1" t="n"/>
      <c r="E35" s="1" t="n"/>
      <c r="F35" s="1" t="n"/>
      <c r="G35" s="1" t="n"/>
      <c r="H35" s="1" t="n"/>
      <c r="I35" s="1" t="n"/>
    </row>
    <row r="36" ht="15.75" customHeight="1" s="216">
      <c r="A36" s="1" t="n"/>
      <c r="B36" s="1" t="n"/>
      <c r="C36" s="1" t="n"/>
      <c r="D36" s="1" t="n"/>
      <c r="E36" s="1" t="n"/>
      <c r="F36" s="1" t="n"/>
      <c r="G36" s="1" t="n"/>
      <c r="H36" s="1" t="n"/>
      <c r="I36" s="1" t="n"/>
    </row>
    <row r="37" ht="15.75" customHeight="1" s="216">
      <c r="A37" s="1" t="n"/>
      <c r="B37" s="1" t="n"/>
      <c r="C37" s="1" t="n"/>
      <c r="D37" s="1" t="n"/>
      <c r="E37" s="1" t="n"/>
      <c r="F37" s="1" t="n"/>
      <c r="G37" s="1" t="n"/>
      <c r="H37" s="1" t="n"/>
      <c r="I37" s="1" t="n"/>
    </row>
    <row r="38" ht="15.75" customHeight="1" s="216">
      <c r="A38" s="1" t="n"/>
      <c r="B38" s="1" t="n"/>
      <c r="C38" s="1" t="n"/>
      <c r="D38" s="1" t="n"/>
      <c r="E38" s="1" t="n"/>
      <c r="F38" s="1" t="n"/>
      <c r="G38" s="1" t="n"/>
      <c r="H38" s="1" t="n"/>
      <c r="I38" s="1" t="n"/>
    </row>
    <row r="39" ht="15.75" customHeight="1" s="216">
      <c r="A39" s="1" t="n"/>
      <c r="B39" s="1" t="n"/>
      <c r="C39" s="1" t="n"/>
      <c r="D39" s="1" t="n"/>
      <c r="E39" s="1" t="n"/>
      <c r="F39" s="1" t="n"/>
      <c r="G39" s="1" t="n"/>
      <c r="H39" s="1" t="n"/>
      <c r="I39" s="1" t="n"/>
    </row>
    <row r="40" ht="15.75" customHeight="1" s="216">
      <c r="A40" s="1" t="n"/>
      <c r="B40" s="1" t="n"/>
      <c r="C40" s="1" t="n"/>
      <c r="D40" s="1" t="n"/>
      <c r="E40" s="1" t="n"/>
      <c r="F40" s="1" t="n"/>
      <c r="G40" s="1" t="n"/>
      <c r="H40" s="1" t="n"/>
      <c r="I40" s="1" t="n"/>
    </row>
    <row r="41" ht="15.75" customHeight="1" s="216">
      <c r="A41" s="1" t="n"/>
      <c r="B41" s="1" t="n"/>
      <c r="C41" s="1" t="n"/>
      <c r="D41" s="1" t="n"/>
      <c r="E41" s="1" t="n"/>
      <c r="F41" s="1" t="n"/>
      <c r="G41" s="1" t="n"/>
      <c r="H41" s="1" t="n"/>
      <c r="I41" s="1" t="n"/>
    </row>
    <row r="42" ht="15.75" customHeight="1" s="216">
      <c r="A42" s="1" t="n"/>
      <c r="B42" s="1" t="n"/>
      <c r="C42" s="1" t="n"/>
      <c r="D42" s="1" t="n"/>
      <c r="E42" s="1" t="n"/>
      <c r="F42" s="1" t="n"/>
      <c r="G42" s="1" t="n"/>
      <c r="H42" s="1" t="n"/>
      <c r="I42" s="1" t="n"/>
    </row>
    <row r="43" ht="15.75" customHeight="1" s="216">
      <c r="A43" s="1" t="n"/>
      <c r="B43" s="1" t="n"/>
      <c r="C43" s="1" t="n"/>
      <c r="D43" s="1" t="n"/>
      <c r="E43" s="1" t="n"/>
      <c r="F43" s="1" t="n"/>
      <c r="G43" s="1" t="n"/>
      <c r="H43" s="1" t="n"/>
      <c r="I43" s="1" t="n"/>
    </row>
    <row r="44" ht="15.75" customHeight="1" s="216">
      <c r="A44" s="1" t="n"/>
      <c r="B44" s="1" t="n"/>
      <c r="C44" s="1" t="n"/>
      <c r="D44" s="1" t="n"/>
      <c r="E44" s="1" t="n"/>
      <c r="F44" s="1" t="n"/>
      <c r="G44" s="1" t="n"/>
      <c r="H44" s="1" t="n"/>
      <c r="I44" s="1" t="n"/>
    </row>
    <row r="45" ht="15.75" customHeight="1" s="216">
      <c r="A45" s="1" t="n"/>
      <c r="B45" s="1" t="n"/>
      <c r="C45" s="1" t="n"/>
      <c r="D45" s="1" t="n"/>
      <c r="E45" s="1" t="n"/>
      <c r="F45" s="1" t="n"/>
      <c r="G45" s="1" t="n"/>
      <c r="H45" s="1" t="n"/>
      <c r="I45" s="1" t="n"/>
    </row>
    <row r="46" ht="15.75" customHeight="1" s="216">
      <c r="A46" s="1" t="n"/>
      <c r="B46" s="1" t="n"/>
      <c r="C46" s="1" t="n"/>
      <c r="D46" s="1" t="n"/>
      <c r="E46" s="1" t="n"/>
      <c r="F46" s="1" t="n"/>
      <c r="G46" s="1" t="n"/>
      <c r="H46" s="1" t="n"/>
      <c r="I46" s="1" t="n"/>
    </row>
    <row r="47" ht="15.75" customHeight="1" s="216">
      <c r="A47" s="1" t="n"/>
      <c r="B47" s="1" t="n"/>
      <c r="C47" s="1" t="n"/>
      <c r="D47" s="1" t="n"/>
      <c r="E47" s="1" t="n"/>
      <c r="F47" s="1" t="n"/>
      <c r="G47" s="1" t="n"/>
      <c r="H47" s="1" t="n"/>
      <c r="I47" s="1" t="n"/>
    </row>
    <row r="48" ht="15.75" customHeight="1" s="216">
      <c r="A48" s="1" t="n"/>
      <c r="B48" s="1" t="n"/>
      <c r="C48" s="1" t="n"/>
      <c r="D48" s="1" t="n"/>
      <c r="E48" s="1" t="n"/>
      <c r="F48" s="1" t="n"/>
      <c r="G48" s="1" t="n"/>
      <c r="H48" s="1" t="n"/>
      <c r="I48" s="1" t="n"/>
    </row>
    <row r="49" ht="15.75" customHeight="1" s="216">
      <c r="A49" s="1" t="n"/>
      <c r="B49" s="1" t="n"/>
      <c r="C49" s="1" t="n"/>
      <c r="D49" s="1" t="n"/>
      <c r="E49" s="1" t="n"/>
      <c r="F49" s="1" t="n"/>
      <c r="G49" s="1" t="n"/>
      <c r="H49" s="1" t="n"/>
      <c r="I49" s="1" t="n"/>
    </row>
    <row r="50" ht="15.75" customHeight="1" s="216">
      <c r="A50" s="1" t="n"/>
      <c r="B50" s="1" t="n"/>
      <c r="C50" s="1" t="n"/>
      <c r="D50" s="1" t="n"/>
      <c r="E50" s="1" t="n"/>
      <c r="F50" s="1" t="n"/>
      <c r="G50" s="1" t="n"/>
      <c r="H50" s="1" t="n"/>
      <c r="I50" s="1" t="n"/>
    </row>
    <row r="51" ht="15.75" customHeight="1" s="216">
      <c r="A51" s="1" t="n"/>
      <c r="B51" s="1" t="n"/>
      <c r="C51" s="1" t="n"/>
      <c r="D51" s="1" t="n"/>
      <c r="E51" s="1" t="n"/>
      <c r="F51" s="1" t="n"/>
      <c r="G51" s="1" t="n"/>
      <c r="H51" s="1" t="n"/>
      <c r="I51" s="1" t="n"/>
    </row>
    <row r="52" ht="15.75" customHeight="1" s="216">
      <c r="A52" s="1" t="n"/>
      <c r="B52" s="1" t="n"/>
      <c r="C52" s="1" t="n"/>
      <c r="D52" s="1" t="n"/>
      <c r="E52" s="1" t="n"/>
      <c r="F52" s="1" t="n"/>
      <c r="G52" s="1" t="n"/>
      <c r="H52" s="1" t="n"/>
      <c r="I52" s="1" t="n"/>
    </row>
    <row r="53" ht="15.75" customHeight="1" s="216">
      <c r="A53" s="1" t="n"/>
      <c r="B53" s="1" t="n"/>
      <c r="C53" s="1" t="n"/>
      <c r="D53" s="1" t="n"/>
      <c r="E53" s="1" t="n"/>
      <c r="F53" s="1" t="n"/>
      <c r="G53" s="1" t="n"/>
      <c r="H53" s="1" t="n"/>
      <c r="I53" s="1" t="n"/>
    </row>
    <row r="54" ht="15.75" customHeight="1" s="216">
      <c r="A54" s="1" t="n"/>
      <c r="B54" s="1" t="n"/>
      <c r="C54" s="1" t="n"/>
      <c r="D54" s="1" t="n"/>
      <c r="E54" s="1" t="n"/>
      <c r="F54" s="1" t="n"/>
      <c r="G54" s="1" t="n"/>
      <c r="H54" s="1" t="n"/>
      <c r="I54" s="1" t="n"/>
    </row>
    <row r="55" ht="15.75" customHeight="1" s="216">
      <c r="A55" s="1" t="n"/>
      <c r="B55" s="1" t="n"/>
      <c r="C55" s="1" t="n"/>
      <c r="D55" s="1" t="n"/>
      <c r="E55" s="1" t="n"/>
      <c r="F55" s="1" t="n"/>
      <c r="G55" s="1" t="n"/>
      <c r="H55" s="1" t="n"/>
      <c r="I55" s="1" t="n"/>
    </row>
    <row r="56" ht="15.75" customHeight="1" s="216">
      <c r="A56" s="1" t="n"/>
      <c r="B56" s="1" t="n"/>
      <c r="C56" s="1" t="n"/>
      <c r="D56" s="1" t="n"/>
      <c r="E56" s="1" t="n"/>
      <c r="F56" s="1" t="n"/>
      <c r="G56" s="1" t="n"/>
      <c r="H56" s="1" t="n"/>
      <c r="I56" s="1" t="n"/>
    </row>
    <row r="57" ht="15.75" customHeight="1" s="216">
      <c r="A57" s="1" t="n"/>
      <c r="B57" s="1" t="n"/>
      <c r="C57" s="1" t="n"/>
      <c r="D57" s="1" t="n"/>
      <c r="E57" s="1" t="n"/>
      <c r="F57" s="1" t="n"/>
      <c r="G57" s="1" t="n"/>
      <c r="H57" s="1" t="n"/>
      <c r="I57" s="1" t="n"/>
    </row>
    <row r="58" ht="15.75" customHeight="1" s="216">
      <c r="A58" s="1" t="n"/>
      <c r="B58" s="1" t="n"/>
      <c r="C58" s="1" t="n"/>
      <c r="D58" s="1" t="n"/>
      <c r="E58" s="1" t="n"/>
      <c r="F58" s="1" t="n"/>
      <c r="G58" s="1" t="n"/>
      <c r="H58" s="1" t="n"/>
      <c r="I58" s="1" t="n"/>
    </row>
    <row r="59" ht="15.75" customHeight="1" s="216">
      <c r="A59" s="1" t="n"/>
      <c r="B59" s="1" t="n"/>
      <c r="C59" s="1" t="n"/>
      <c r="D59" s="1" t="n"/>
      <c r="E59" s="1" t="n"/>
      <c r="F59" s="1" t="n"/>
      <c r="G59" s="1" t="n"/>
      <c r="H59" s="1" t="n"/>
      <c r="I59" s="1" t="n"/>
    </row>
    <row r="60" ht="15.75" customHeight="1" s="216">
      <c r="A60" s="1" t="n"/>
      <c r="B60" s="1" t="n"/>
      <c r="C60" s="1" t="n"/>
      <c r="D60" s="1" t="n"/>
      <c r="E60" s="1" t="n"/>
      <c r="F60" s="1" t="n"/>
      <c r="G60" s="1" t="n"/>
      <c r="H60" s="1" t="n"/>
      <c r="I60" s="1" t="n"/>
    </row>
    <row r="61" ht="15.75" customHeight="1" s="216">
      <c r="A61" s="1" t="n"/>
      <c r="B61" s="1" t="n"/>
      <c r="C61" s="1" t="n"/>
      <c r="D61" s="1" t="n"/>
      <c r="E61" s="1" t="n"/>
      <c r="F61" s="1" t="n"/>
      <c r="G61" s="1" t="n"/>
      <c r="H61" s="1" t="n"/>
      <c r="I61" s="1" t="n"/>
    </row>
    <row r="62" ht="15.75" customHeight="1" s="216">
      <c r="A62" s="1" t="n"/>
      <c r="B62" s="1" t="n"/>
      <c r="C62" s="1" t="n"/>
      <c r="D62" s="1" t="n"/>
      <c r="E62" s="1" t="n"/>
      <c r="F62" s="1" t="n"/>
      <c r="G62" s="1" t="n"/>
      <c r="H62" s="1" t="n"/>
      <c r="I62" s="1" t="n"/>
    </row>
    <row r="63" ht="15.75" customHeight="1" s="216">
      <c r="A63" s="1" t="n"/>
      <c r="B63" s="1" t="n"/>
      <c r="C63" s="1" t="n"/>
      <c r="D63" s="1" t="n"/>
      <c r="E63" s="1" t="n"/>
      <c r="F63" s="1" t="n"/>
      <c r="G63" s="1" t="n"/>
      <c r="H63" s="1" t="n"/>
      <c r="I63" s="1" t="n"/>
    </row>
    <row r="64" ht="15.75" customHeight="1" s="216">
      <c r="A64" s="1" t="n"/>
      <c r="B64" s="1" t="n"/>
      <c r="C64" s="1" t="n"/>
      <c r="D64" s="1" t="n"/>
      <c r="E64" s="1" t="n"/>
      <c r="F64" s="1" t="n"/>
      <c r="G64" s="1" t="n"/>
      <c r="H64" s="1" t="n"/>
      <c r="I64" s="1" t="n"/>
    </row>
    <row r="65" ht="15.75" customHeight="1" s="216">
      <c r="A65" s="1" t="n"/>
      <c r="B65" s="1" t="n"/>
      <c r="C65" s="1" t="n"/>
      <c r="D65" s="1" t="n"/>
      <c r="E65" s="1" t="n"/>
      <c r="F65" s="1" t="n"/>
      <c r="G65" s="1" t="n"/>
      <c r="H65" s="1" t="n"/>
      <c r="I65" s="1" t="n"/>
    </row>
    <row r="66" ht="15.75" customHeight="1" s="216">
      <c r="A66" s="1" t="n"/>
      <c r="B66" s="1" t="n"/>
      <c r="C66" s="1" t="n"/>
      <c r="D66" s="1" t="n"/>
      <c r="E66" s="1" t="n"/>
      <c r="F66" s="1" t="n"/>
      <c r="G66" s="1" t="n"/>
      <c r="H66" s="1" t="n"/>
      <c r="I66" s="1" t="n"/>
    </row>
    <row r="67" ht="15.75" customHeight="1" s="216">
      <c r="A67" s="1" t="n"/>
      <c r="B67" s="1" t="n"/>
      <c r="C67" s="1" t="n"/>
      <c r="D67" s="1" t="n"/>
      <c r="E67" s="1" t="n"/>
      <c r="F67" s="1" t="n"/>
      <c r="G67" s="1" t="n"/>
      <c r="H67" s="1" t="n"/>
      <c r="I67" s="1" t="n"/>
    </row>
    <row r="68" ht="15.75" customHeight="1" s="216">
      <c r="A68" s="1" t="n"/>
      <c r="B68" s="1" t="n"/>
      <c r="C68" s="1" t="n"/>
      <c r="D68" s="1" t="n"/>
      <c r="E68" s="1" t="n"/>
      <c r="F68" s="1" t="n"/>
      <c r="G68" s="1" t="n"/>
      <c r="H68" s="1" t="n"/>
      <c r="I68" s="1" t="n"/>
    </row>
    <row r="69" ht="15.75" customHeight="1" s="216">
      <c r="A69" s="1" t="n"/>
      <c r="B69" s="1" t="n"/>
      <c r="C69" s="1" t="n"/>
      <c r="D69" s="1" t="n"/>
      <c r="E69" s="1" t="n"/>
      <c r="F69" s="1" t="n"/>
      <c r="G69" s="1" t="n"/>
      <c r="H69" s="1" t="n"/>
      <c r="I69" s="1" t="n"/>
    </row>
    <row r="70" ht="15.75" customHeight="1" s="216">
      <c r="A70" s="1" t="n"/>
      <c r="B70" s="1" t="n"/>
      <c r="C70" s="1" t="n"/>
      <c r="D70" s="1" t="n"/>
      <c r="E70" s="1" t="n"/>
      <c r="F70" s="1" t="n"/>
      <c r="G70" s="1" t="n"/>
      <c r="H70" s="1" t="n"/>
      <c r="I70" s="1" t="n"/>
    </row>
    <row r="71" ht="15.75" customHeight="1" s="216">
      <c r="A71" s="1" t="n"/>
      <c r="B71" s="1" t="n"/>
      <c r="C71" s="1" t="n"/>
      <c r="D71" s="1" t="n"/>
      <c r="E71" s="1" t="n"/>
      <c r="F71" s="1" t="n"/>
      <c r="G71" s="1" t="n"/>
      <c r="H71" s="1" t="n"/>
      <c r="I71" s="1" t="n"/>
    </row>
    <row r="72" ht="15.75" customHeight="1" s="216">
      <c r="A72" s="1" t="n"/>
      <c r="B72" s="1" t="n"/>
      <c r="C72" s="1" t="n"/>
      <c r="D72" s="1" t="n"/>
      <c r="E72" s="1" t="n"/>
      <c r="F72" s="1" t="n"/>
      <c r="G72" s="1" t="n"/>
      <c r="H72" s="1" t="n"/>
      <c r="I72" s="1" t="n"/>
    </row>
    <row r="73" ht="15.75" customHeight="1" s="216">
      <c r="A73" s="1" t="n"/>
      <c r="B73" s="1" t="n"/>
      <c r="C73" s="1" t="n"/>
      <c r="D73" s="1" t="n"/>
      <c r="E73" s="1" t="n"/>
      <c r="F73" s="1" t="n"/>
      <c r="G73" s="1" t="n"/>
      <c r="H73" s="1" t="n"/>
      <c r="I73" s="1" t="n"/>
    </row>
    <row r="74" ht="15.75" customHeight="1" s="216">
      <c r="A74" s="1" t="n"/>
      <c r="B74" s="1" t="n"/>
      <c r="C74" s="1" t="n"/>
      <c r="D74" s="1" t="n"/>
      <c r="E74" s="1" t="n"/>
      <c r="F74" s="1" t="n"/>
      <c r="G74" s="1" t="n"/>
      <c r="H74" s="1" t="n"/>
      <c r="I74" s="1" t="n"/>
    </row>
    <row r="75" ht="15.75" customHeight="1" s="216">
      <c r="A75" s="1" t="n"/>
      <c r="B75" s="1" t="n"/>
      <c r="C75" s="1" t="n"/>
      <c r="D75" s="1" t="n"/>
      <c r="E75" s="1" t="n"/>
      <c r="F75" s="1" t="n"/>
      <c r="G75" s="1" t="n"/>
      <c r="H75" s="1" t="n"/>
      <c r="I75" s="1" t="n"/>
    </row>
    <row r="76" ht="15.75" customHeight="1" s="216">
      <c r="A76" s="1" t="n"/>
      <c r="B76" s="1" t="n"/>
      <c r="C76" s="1" t="n"/>
      <c r="D76" s="1" t="n"/>
      <c r="E76" s="1" t="n"/>
      <c r="F76" s="1" t="n"/>
      <c r="G76" s="1" t="n"/>
      <c r="H76" s="1" t="n"/>
      <c r="I76" s="1" t="n"/>
    </row>
    <row r="77" ht="15.75" customHeight="1" s="216">
      <c r="A77" s="1" t="n"/>
      <c r="B77" s="1" t="n"/>
      <c r="C77" s="1" t="n"/>
      <c r="D77" s="1" t="n"/>
      <c r="E77" s="1" t="n"/>
      <c r="F77" s="1" t="n"/>
      <c r="G77" s="1" t="n"/>
      <c r="H77" s="1" t="n"/>
      <c r="I77" s="1" t="n"/>
    </row>
    <row r="78" ht="15.75" customHeight="1" s="216">
      <c r="A78" s="1" t="n"/>
      <c r="B78" s="1" t="n"/>
      <c r="C78" s="1" t="n"/>
      <c r="D78" s="1" t="n"/>
      <c r="E78" s="1" t="n"/>
      <c r="F78" s="1" t="n"/>
      <c r="G78" s="1" t="n"/>
      <c r="H78" s="1" t="n"/>
      <c r="I78" s="1" t="n"/>
    </row>
    <row r="79" ht="15.75" customHeight="1" s="216">
      <c r="A79" s="1" t="n"/>
      <c r="B79" s="1" t="n"/>
      <c r="C79" s="1" t="n"/>
      <c r="D79" s="1" t="n"/>
      <c r="E79" s="1" t="n"/>
      <c r="F79" s="1" t="n"/>
      <c r="G79" s="1" t="n"/>
      <c r="H79" s="1" t="n"/>
      <c r="I79" s="1" t="n"/>
    </row>
    <row r="80" ht="15.75" customHeight="1" s="216">
      <c r="A80" s="1" t="n"/>
      <c r="B80" s="1" t="n"/>
      <c r="C80" s="1" t="n"/>
      <c r="D80" s="1" t="n"/>
      <c r="E80" s="1" t="n"/>
      <c r="F80" s="1" t="n"/>
      <c r="G80" s="1" t="n"/>
      <c r="H80" s="1" t="n"/>
      <c r="I80" s="1" t="n"/>
    </row>
    <row r="81" ht="15.75" customHeight="1" s="216">
      <c r="A81" s="1" t="n"/>
      <c r="B81" s="1" t="n"/>
      <c r="C81" s="1" t="n"/>
      <c r="D81" s="1" t="n"/>
      <c r="E81" s="1" t="n"/>
      <c r="F81" s="1" t="n"/>
      <c r="G81" s="1" t="n"/>
      <c r="H81" s="1" t="n"/>
      <c r="I81" s="1" t="n"/>
    </row>
    <row r="82" ht="15.75" customHeight="1" s="216">
      <c r="A82" s="1" t="n"/>
      <c r="B82" s="1" t="n"/>
      <c r="C82" s="1" t="n"/>
      <c r="D82" s="1" t="n"/>
      <c r="E82" s="1" t="n"/>
      <c r="F82" s="1" t="n"/>
      <c r="G82" s="1" t="n"/>
      <c r="H82" s="1" t="n"/>
      <c r="I82" s="1" t="n"/>
    </row>
    <row r="83" ht="15.75" customHeight="1" s="216">
      <c r="A83" s="1" t="n"/>
      <c r="B83" s="1" t="n"/>
      <c r="C83" s="1" t="n"/>
      <c r="D83" s="1" t="n"/>
      <c r="E83" s="1" t="n"/>
      <c r="F83" s="1" t="n"/>
      <c r="G83" s="1" t="n"/>
      <c r="H83" s="1" t="n"/>
      <c r="I83" s="1" t="n"/>
    </row>
    <row r="84" ht="15.75" customHeight="1" s="216">
      <c r="A84" s="1" t="n"/>
      <c r="B84" s="1" t="n"/>
      <c r="C84" s="1" t="n"/>
      <c r="D84" s="1" t="n"/>
      <c r="E84" s="1" t="n"/>
      <c r="F84" s="1" t="n"/>
      <c r="G84" s="1" t="n"/>
      <c r="H84" s="1" t="n"/>
      <c r="I84" s="1" t="n"/>
    </row>
    <row r="85" ht="15.75" customHeight="1" s="216">
      <c r="A85" s="1" t="n"/>
      <c r="B85" s="1" t="n"/>
      <c r="C85" s="1" t="n"/>
      <c r="D85" s="1" t="n"/>
      <c r="E85" s="1" t="n"/>
      <c r="F85" s="1" t="n"/>
      <c r="G85" s="1" t="n"/>
      <c r="H85" s="1" t="n"/>
      <c r="I85" s="1" t="n"/>
    </row>
    <row r="86" ht="15.75" customHeight="1" s="216">
      <c r="A86" s="1" t="n"/>
      <c r="B86" s="1" t="n"/>
      <c r="C86" s="1" t="n"/>
      <c r="D86" s="1" t="n"/>
      <c r="E86" s="1" t="n"/>
      <c r="F86" s="1" t="n"/>
      <c r="G86" s="1" t="n"/>
      <c r="H86" s="1" t="n"/>
      <c r="I86" s="1" t="n"/>
    </row>
    <row r="87" ht="15.75" customHeight="1" s="216">
      <c r="A87" s="1" t="n"/>
      <c r="B87" s="1" t="n"/>
      <c r="C87" s="1" t="n"/>
      <c r="D87" s="1" t="n"/>
      <c r="E87" s="1" t="n"/>
      <c r="F87" s="1" t="n"/>
      <c r="G87" s="1" t="n"/>
      <c r="H87" s="1" t="n"/>
      <c r="I87" s="1" t="n"/>
    </row>
    <row r="88" ht="15.75" customHeight="1" s="216">
      <c r="A88" s="1" t="n"/>
      <c r="B88" s="1" t="n"/>
      <c r="C88" s="1" t="n"/>
      <c r="D88" s="1" t="n"/>
      <c r="E88" s="1" t="n"/>
      <c r="F88" s="1" t="n"/>
      <c r="G88" s="1" t="n"/>
      <c r="H88" s="1" t="n"/>
      <c r="I88" s="1" t="n"/>
    </row>
    <row r="89" ht="15.75" customHeight="1" s="216">
      <c r="A89" s="1" t="n"/>
      <c r="B89" s="1" t="n"/>
      <c r="C89" s="1" t="n"/>
      <c r="D89" s="1" t="n"/>
      <c r="E89" s="1" t="n"/>
      <c r="F89" s="1" t="n"/>
      <c r="G89" s="1" t="n"/>
      <c r="H89" s="1" t="n"/>
      <c r="I89" s="1" t="n"/>
    </row>
    <row r="90" ht="15.75" customHeight="1" s="216">
      <c r="A90" s="1" t="n"/>
      <c r="B90" s="1" t="n"/>
      <c r="C90" s="1" t="n"/>
      <c r="D90" s="1" t="n"/>
      <c r="E90" s="1" t="n"/>
      <c r="F90" s="1" t="n"/>
      <c r="G90" s="1" t="n"/>
      <c r="H90" s="1" t="n"/>
      <c r="I90" s="1" t="n"/>
    </row>
    <row r="91" ht="15.75" customHeight="1" s="216">
      <c r="A91" s="1" t="n"/>
      <c r="B91" s="1" t="n"/>
      <c r="C91" s="1" t="n"/>
      <c r="D91" s="1" t="n"/>
      <c r="E91" s="1" t="n"/>
      <c r="F91" s="1" t="n"/>
      <c r="G91" s="1" t="n"/>
      <c r="H91" s="1" t="n"/>
      <c r="I91" s="1" t="n"/>
    </row>
    <row r="92" ht="15.75" customHeight="1" s="216">
      <c r="A92" s="1" t="n"/>
      <c r="B92" s="1" t="n"/>
      <c r="C92" s="1" t="n"/>
      <c r="D92" s="1" t="n"/>
      <c r="E92" s="1" t="n"/>
      <c r="F92" s="1" t="n"/>
      <c r="G92" s="1" t="n"/>
      <c r="H92" s="1" t="n"/>
      <c r="I92" s="1" t="n"/>
    </row>
    <row r="93" ht="15.75" customHeight="1" s="216">
      <c r="A93" s="1" t="n"/>
      <c r="B93" s="1" t="n"/>
      <c r="C93" s="1" t="n"/>
      <c r="D93" s="1" t="n"/>
      <c r="E93" s="1" t="n"/>
      <c r="F93" s="1" t="n"/>
      <c r="G93" s="1" t="n"/>
      <c r="H93" s="1" t="n"/>
      <c r="I93" s="1" t="n"/>
    </row>
    <row r="94" ht="15.75" customHeight="1" s="216">
      <c r="A94" s="1" t="n"/>
      <c r="B94" s="1" t="n"/>
      <c r="C94" s="1" t="n"/>
      <c r="D94" s="1" t="n"/>
      <c r="E94" s="1" t="n"/>
      <c r="F94" s="1" t="n"/>
      <c r="G94" s="1" t="n"/>
      <c r="H94" s="1" t="n"/>
      <c r="I94" s="1" t="n"/>
    </row>
    <row r="95" ht="15.75" customHeight="1" s="216">
      <c r="A95" s="1" t="n"/>
      <c r="B95" s="1" t="n"/>
      <c r="C95" s="1" t="n"/>
      <c r="D95" s="1" t="n"/>
      <c r="E95" s="1" t="n"/>
      <c r="F95" s="1" t="n"/>
      <c r="G95" s="1" t="n"/>
      <c r="H95" s="1" t="n"/>
      <c r="I95" s="1" t="n"/>
    </row>
    <row r="96" ht="15.75" customHeight="1" s="216">
      <c r="A96" s="1" t="n"/>
      <c r="B96" s="1" t="n"/>
      <c r="C96" s="1" t="n"/>
      <c r="D96" s="1" t="n"/>
      <c r="E96" s="1" t="n"/>
      <c r="F96" s="1" t="n"/>
      <c r="G96" s="1" t="n"/>
      <c r="H96" s="1" t="n"/>
      <c r="I96" s="1" t="n"/>
    </row>
    <row r="97" ht="15.75" customHeight="1" s="216">
      <c r="A97" s="1" t="n"/>
      <c r="B97" s="1" t="n"/>
      <c r="C97" s="1" t="n"/>
      <c r="D97" s="1" t="n"/>
      <c r="E97" s="1" t="n"/>
      <c r="F97" s="1" t="n"/>
      <c r="G97" s="1" t="n"/>
      <c r="H97" s="1" t="n"/>
      <c r="I97" s="1" t="n"/>
    </row>
    <row r="98" ht="15.75" customHeight="1" s="216">
      <c r="A98" s="1" t="n"/>
      <c r="B98" s="1" t="n"/>
      <c r="C98" s="1" t="n"/>
      <c r="D98" s="1" t="n"/>
      <c r="E98" s="1" t="n"/>
      <c r="F98" s="1" t="n"/>
      <c r="G98" s="1" t="n"/>
      <c r="H98" s="1" t="n"/>
      <c r="I98" s="1" t="n"/>
    </row>
    <row r="99" ht="15.75" customHeight="1" s="216">
      <c r="A99" s="1" t="n"/>
      <c r="B99" s="1" t="n"/>
      <c r="C99" s="1" t="n"/>
      <c r="D99" s="1" t="n"/>
      <c r="E99" s="1" t="n"/>
      <c r="F99" s="1" t="n"/>
      <c r="G99" s="1" t="n"/>
      <c r="H99" s="1" t="n"/>
      <c r="I99" s="1" t="n"/>
    </row>
    <row r="100" ht="15.75" customHeight="1" s="216">
      <c r="A100" s="1" t="n"/>
      <c r="B100" s="1" t="n"/>
      <c r="C100" s="1" t="n"/>
      <c r="D100" s="1" t="n"/>
      <c r="E100" s="1" t="n"/>
      <c r="F100" s="1" t="n"/>
      <c r="G100" s="1" t="n"/>
      <c r="H100" s="1" t="n"/>
      <c r="I100" s="1" t="n"/>
    </row>
    <row r="101" ht="15.75" customHeight="1" s="216">
      <c r="A101" s="1" t="n"/>
      <c r="B101" s="1" t="n"/>
      <c r="C101" s="1" t="n"/>
      <c r="D101" s="1" t="n"/>
      <c r="E101" s="1" t="n"/>
      <c r="F101" s="1" t="n"/>
      <c r="G101" s="1" t="n"/>
      <c r="H101" s="1" t="n"/>
      <c r="I101" s="1" t="n"/>
    </row>
    <row r="102" ht="15.75" customHeight="1" s="216">
      <c r="A102" s="1" t="n"/>
      <c r="B102" s="1" t="n"/>
      <c r="C102" s="1" t="n"/>
      <c r="D102" s="1" t="n"/>
      <c r="E102" s="1" t="n"/>
      <c r="F102" s="1" t="n"/>
      <c r="G102" s="1" t="n"/>
      <c r="H102" s="1" t="n"/>
      <c r="I102" s="1" t="n"/>
    </row>
    <row r="103" ht="15.75" customHeight="1" s="216">
      <c r="A103" s="1" t="n"/>
      <c r="B103" s="1" t="n"/>
      <c r="C103" s="1" t="n"/>
      <c r="D103" s="1" t="n"/>
      <c r="E103" s="1" t="n"/>
      <c r="F103" s="1" t="n"/>
      <c r="G103" s="1" t="n"/>
      <c r="H103" s="1" t="n"/>
      <c r="I103" s="1" t="n"/>
    </row>
    <row r="104" ht="15.75" customHeight="1" s="216">
      <c r="A104" s="1" t="n"/>
      <c r="B104" s="1" t="n"/>
      <c r="C104" s="1" t="n"/>
      <c r="D104" s="1" t="n"/>
      <c r="E104" s="1" t="n"/>
      <c r="F104" s="1" t="n"/>
      <c r="G104" s="1" t="n"/>
      <c r="H104" s="1" t="n"/>
      <c r="I104" s="1" t="n"/>
    </row>
    <row r="105" ht="15.75" customHeight="1" s="216">
      <c r="A105" s="1" t="n"/>
      <c r="B105" s="1" t="n"/>
      <c r="C105" s="1" t="n"/>
      <c r="D105" s="1" t="n"/>
      <c r="E105" s="1" t="n"/>
      <c r="F105" s="1" t="n"/>
      <c r="G105" s="1" t="n"/>
      <c r="H105" s="1" t="n"/>
      <c r="I105" s="1" t="n"/>
    </row>
    <row r="106" ht="15.75" customHeight="1" s="216">
      <c r="A106" s="1" t="n"/>
      <c r="B106" s="1" t="n"/>
      <c r="C106" s="1" t="n"/>
      <c r="D106" s="1" t="n"/>
      <c r="E106" s="1" t="n"/>
      <c r="F106" s="1" t="n"/>
      <c r="G106" s="1" t="n"/>
      <c r="H106" s="1" t="n"/>
      <c r="I106" s="1" t="n"/>
    </row>
    <row r="107" ht="15.75" customHeight="1" s="216">
      <c r="A107" s="1" t="n"/>
      <c r="B107" s="1" t="n"/>
      <c r="C107" s="1" t="n"/>
      <c r="D107" s="1" t="n"/>
      <c r="E107" s="1" t="n"/>
      <c r="F107" s="1" t="n"/>
      <c r="G107" s="1" t="n"/>
      <c r="H107" s="1" t="n"/>
      <c r="I107" s="1" t="n"/>
    </row>
    <row r="108" ht="15.75" customHeight="1" s="216">
      <c r="A108" s="1" t="n"/>
      <c r="B108" s="1" t="n"/>
      <c r="C108" s="1" t="n"/>
      <c r="D108" s="1" t="n"/>
      <c r="E108" s="1" t="n"/>
      <c r="F108" s="1" t="n"/>
      <c r="G108" s="1" t="n"/>
      <c r="H108" s="1" t="n"/>
      <c r="I108" s="1" t="n"/>
    </row>
    <row r="109" ht="15.75" customHeight="1" s="216">
      <c r="A109" s="1" t="n"/>
      <c r="B109" s="1" t="n"/>
      <c r="C109" s="1" t="n"/>
      <c r="D109" s="1" t="n"/>
      <c r="E109" s="1" t="n"/>
      <c r="F109" s="1" t="n"/>
      <c r="G109" s="1" t="n"/>
      <c r="H109" s="1" t="n"/>
      <c r="I109" s="1" t="n"/>
    </row>
    <row r="110" ht="15.75" customHeight="1" s="216">
      <c r="A110" s="1" t="n"/>
      <c r="B110" s="1" t="n"/>
      <c r="C110" s="1" t="n"/>
      <c r="D110" s="1" t="n"/>
      <c r="E110" s="1" t="n"/>
      <c r="F110" s="1" t="n"/>
      <c r="G110" s="1" t="n"/>
      <c r="H110" s="1" t="n"/>
      <c r="I110" s="1" t="n"/>
    </row>
    <row r="111" ht="15.75" customHeight="1" s="216">
      <c r="A111" s="1" t="n"/>
      <c r="B111" s="1" t="n"/>
      <c r="C111" s="1" t="n"/>
      <c r="D111" s="1" t="n"/>
      <c r="E111" s="1" t="n"/>
      <c r="F111" s="1" t="n"/>
      <c r="G111" s="1" t="n"/>
      <c r="H111" s="1" t="n"/>
      <c r="I111" s="1" t="n"/>
    </row>
    <row r="112" ht="15.75" customHeight="1" s="216">
      <c r="A112" s="1" t="n"/>
      <c r="B112" s="1" t="n"/>
      <c r="C112" s="1" t="n"/>
      <c r="D112" s="1" t="n"/>
      <c r="E112" s="1" t="n"/>
      <c r="F112" s="1" t="n"/>
      <c r="G112" s="1" t="n"/>
      <c r="H112" s="1" t="n"/>
      <c r="I112" s="1" t="n"/>
    </row>
    <row r="113" ht="15.75" customHeight="1" s="216">
      <c r="A113" s="1" t="n"/>
      <c r="B113" s="1" t="n"/>
      <c r="C113" s="1" t="n"/>
      <c r="D113" s="1" t="n"/>
      <c r="E113" s="1" t="n"/>
      <c r="F113" s="1" t="n"/>
      <c r="G113" s="1" t="n"/>
      <c r="H113" s="1" t="n"/>
      <c r="I113" s="1" t="n"/>
    </row>
    <row r="114" ht="15.75" customHeight="1" s="216">
      <c r="A114" s="1" t="n"/>
      <c r="B114" s="1" t="n"/>
      <c r="C114" s="1" t="n"/>
      <c r="D114" s="1" t="n"/>
      <c r="E114" s="1" t="n"/>
      <c r="F114" s="1" t="n"/>
      <c r="G114" s="1" t="n"/>
      <c r="H114" s="1" t="n"/>
      <c r="I114" s="1" t="n"/>
    </row>
    <row r="115" ht="15.75" customHeight="1" s="216">
      <c r="A115" s="1" t="n"/>
      <c r="B115" s="1" t="n"/>
      <c r="C115" s="1" t="n"/>
      <c r="D115" s="1" t="n"/>
      <c r="E115" s="1" t="n"/>
      <c r="F115" s="1" t="n"/>
      <c r="G115" s="1" t="n"/>
      <c r="H115" s="1" t="n"/>
      <c r="I115" s="1" t="n"/>
    </row>
    <row r="116" ht="15.75" customHeight="1" s="216">
      <c r="A116" s="1" t="n"/>
      <c r="B116" s="1" t="n"/>
      <c r="C116" s="1" t="n"/>
      <c r="D116" s="1" t="n"/>
      <c r="E116" s="1" t="n"/>
      <c r="F116" s="1" t="n"/>
      <c r="G116" s="1" t="n"/>
      <c r="H116" s="1" t="n"/>
      <c r="I116" s="1" t="n"/>
    </row>
    <row r="117" ht="15.75" customHeight="1" s="216">
      <c r="A117" s="1" t="n"/>
      <c r="B117" s="1" t="n"/>
      <c r="C117" s="1" t="n"/>
      <c r="D117" s="1" t="n"/>
      <c r="E117" s="1" t="n"/>
      <c r="F117" s="1" t="n"/>
      <c r="G117" s="1" t="n"/>
      <c r="H117" s="1" t="n"/>
      <c r="I117" s="1" t="n"/>
    </row>
    <row r="118" ht="15.75" customHeight="1" s="216">
      <c r="A118" s="1" t="n"/>
      <c r="B118" s="1" t="n"/>
      <c r="C118" s="1" t="n"/>
      <c r="D118" s="1" t="n"/>
      <c r="E118" s="1" t="n"/>
      <c r="F118" s="1" t="n"/>
      <c r="G118" s="1" t="n"/>
      <c r="H118" s="1" t="n"/>
      <c r="I118" s="1" t="n"/>
    </row>
    <row r="119" ht="15.75" customHeight="1" s="216">
      <c r="A119" s="1" t="n"/>
      <c r="B119" s="1" t="n"/>
      <c r="C119" s="1" t="n"/>
      <c r="D119" s="1" t="n"/>
      <c r="E119" s="1" t="n"/>
      <c r="F119" s="1" t="n"/>
      <c r="G119" s="1" t="n"/>
      <c r="H119" s="1" t="n"/>
      <c r="I119" s="1" t="n"/>
    </row>
    <row r="120" ht="15.75" customHeight="1" s="216">
      <c r="A120" s="1" t="n"/>
      <c r="B120" s="1" t="n"/>
      <c r="C120" s="1" t="n"/>
      <c r="D120" s="1" t="n"/>
      <c r="E120" s="1" t="n"/>
      <c r="F120" s="1" t="n"/>
      <c r="G120" s="1" t="n"/>
      <c r="H120" s="1" t="n"/>
      <c r="I120" s="1" t="n"/>
    </row>
    <row r="121" ht="15.75" customHeight="1" s="216">
      <c r="A121" s="1" t="n"/>
      <c r="B121" s="1" t="n"/>
      <c r="C121" s="1" t="n"/>
      <c r="D121" s="1" t="n"/>
      <c r="E121" s="1" t="n"/>
      <c r="F121" s="1" t="n"/>
      <c r="G121" s="1" t="n"/>
      <c r="H121" s="1" t="n"/>
      <c r="I121" s="1" t="n"/>
    </row>
    <row r="122" ht="15.75" customHeight="1" s="216">
      <c r="A122" s="1" t="n"/>
      <c r="B122" s="1" t="n"/>
      <c r="C122" s="1" t="n"/>
      <c r="D122" s="1" t="n"/>
      <c r="E122" s="1" t="n"/>
      <c r="F122" s="1" t="n"/>
      <c r="G122" s="1" t="n"/>
      <c r="H122" s="1" t="n"/>
      <c r="I122" s="1" t="n"/>
    </row>
    <row r="123" ht="15.75" customHeight="1" s="216">
      <c r="A123" s="1" t="n"/>
      <c r="B123" s="1" t="n"/>
      <c r="C123" s="1" t="n"/>
      <c r="D123" s="1" t="n"/>
      <c r="E123" s="1" t="n"/>
      <c r="F123" s="1" t="n"/>
      <c r="G123" s="1" t="n"/>
      <c r="H123" s="1" t="n"/>
      <c r="I123" s="1" t="n"/>
    </row>
    <row r="124" ht="15.75" customHeight="1" s="216">
      <c r="A124" s="1" t="n"/>
      <c r="B124" s="1" t="n"/>
      <c r="C124" s="1" t="n"/>
      <c r="D124" s="1" t="n"/>
      <c r="E124" s="1" t="n"/>
      <c r="F124" s="1" t="n"/>
      <c r="G124" s="1" t="n"/>
      <c r="H124" s="1" t="n"/>
      <c r="I124" s="1" t="n"/>
    </row>
    <row r="125" ht="15.75" customHeight="1" s="216">
      <c r="A125" s="1" t="n"/>
      <c r="B125" s="1" t="n"/>
      <c r="C125" s="1" t="n"/>
      <c r="D125" s="1" t="n"/>
      <c r="E125" s="1" t="n"/>
      <c r="F125" s="1" t="n"/>
      <c r="G125" s="1" t="n"/>
      <c r="H125" s="1" t="n"/>
      <c r="I125" s="1" t="n"/>
    </row>
    <row r="126" ht="15.75" customHeight="1" s="216">
      <c r="A126" s="1" t="n"/>
      <c r="B126" s="1" t="n"/>
      <c r="C126" s="1" t="n"/>
      <c r="D126" s="1" t="n"/>
      <c r="E126" s="1" t="n"/>
      <c r="F126" s="1" t="n"/>
      <c r="G126" s="1" t="n"/>
      <c r="H126" s="1" t="n"/>
      <c r="I126" s="1" t="n"/>
    </row>
    <row r="127" ht="15.75" customHeight="1" s="216">
      <c r="A127" s="1" t="n"/>
      <c r="B127" s="1" t="n"/>
      <c r="C127" s="1" t="n"/>
      <c r="D127" s="1" t="n"/>
      <c r="E127" s="1" t="n"/>
      <c r="F127" s="1" t="n"/>
      <c r="G127" s="1" t="n"/>
      <c r="H127" s="1" t="n"/>
      <c r="I127" s="1" t="n"/>
    </row>
    <row r="128" ht="15.75" customHeight="1" s="216">
      <c r="A128" s="1" t="n"/>
      <c r="B128" s="1" t="n"/>
      <c r="C128" s="1" t="n"/>
      <c r="D128" s="1" t="n"/>
      <c r="E128" s="1" t="n"/>
      <c r="F128" s="1" t="n"/>
      <c r="G128" s="1" t="n"/>
      <c r="H128" s="1" t="n"/>
      <c r="I128" s="1" t="n"/>
    </row>
    <row r="129" ht="15.75" customHeight="1" s="216">
      <c r="A129" s="1" t="n"/>
      <c r="B129" s="1" t="n"/>
      <c r="C129" s="1" t="n"/>
      <c r="D129" s="1" t="n"/>
      <c r="E129" s="1" t="n"/>
      <c r="F129" s="1" t="n"/>
      <c r="G129" s="1" t="n"/>
      <c r="H129" s="1" t="n"/>
      <c r="I129" s="1" t="n"/>
    </row>
    <row r="130" ht="15.75" customHeight="1" s="216">
      <c r="A130" s="1" t="n"/>
      <c r="B130" s="1" t="n"/>
      <c r="C130" s="1" t="n"/>
      <c r="D130" s="1" t="n"/>
      <c r="E130" s="1" t="n"/>
      <c r="F130" s="1" t="n"/>
      <c r="G130" s="1" t="n"/>
      <c r="H130" s="1" t="n"/>
      <c r="I130" s="1" t="n"/>
    </row>
    <row r="131" ht="15.75" customHeight="1" s="216">
      <c r="A131" s="1" t="n"/>
      <c r="B131" s="1" t="n"/>
      <c r="C131" s="1" t="n"/>
      <c r="D131" s="1" t="n"/>
      <c r="E131" s="1" t="n"/>
      <c r="F131" s="1" t="n"/>
      <c r="G131" s="1" t="n"/>
      <c r="H131" s="1" t="n"/>
      <c r="I131" s="1" t="n"/>
    </row>
    <row r="132" ht="15.75" customHeight="1" s="216">
      <c r="A132" s="1" t="n"/>
      <c r="B132" s="1" t="n"/>
      <c r="C132" s="1" t="n"/>
      <c r="D132" s="1" t="n"/>
      <c r="E132" s="1" t="n"/>
      <c r="F132" s="1" t="n"/>
      <c r="G132" s="1" t="n"/>
      <c r="H132" s="1" t="n"/>
      <c r="I132" s="1" t="n"/>
    </row>
    <row r="133" ht="15.75" customHeight="1" s="216">
      <c r="A133" s="1" t="n"/>
      <c r="B133" s="1" t="n"/>
      <c r="C133" s="1" t="n"/>
      <c r="D133" s="1" t="n"/>
      <c r="E133" s="1" t="n"/>
      <c r="F133" s="1" t="n"/>
      <c r="G133" s="1" t="n"/>
      <c r="H133" s="1" t="n"/>
      <c r="I133" s="1" t="n"/>
    </row>
    <row r="134" ht="15.75" customHeight="1" s="216">
      <c r="A134" s="1" t="n"/>
      <c r="B134" s="1" t="n"/>
      <c r="C134" s="1" t="n"/>
      <c r="D134" s="1" t="n"/>
      <c r="E134" s="1" t="n"/>
      <c r="F134" s="1" t="n"/>
      <c r="G134" s="1" t="n"/>
      <c r="H134" s="1" t="n"/>
      <c r="I134" s="1" t="n"/>
    </row>
    <row r="135" ht="15.75" customHeight="1" s="216">
      <c r="A135" s="1" t="n"/>
      <c r="B135" s="1" t="n"/>
      <c r="C135" s="1" t="n"/>
      <c r="D135" s="1" t="n"/>
      <c r="E135" s="1" t="n"/>
      <c r="F135" s="1" t="n"/>
      <c r="G135" s="1" t="n"/>
      <c r="H135" s="1" t="n"/>
      <c r="I135" s="1" t="n"/>
    </row>
    <row r="136" ht="15.75" customHeight="1" s="216">
      <c r="A136" s="1" t="n"/>
      <c r="B136" s="1" t="n"/>
      <c r="C136" s="1" t="n"/>
      <c r="D136" s="1" t="n"/>
      <c r="E136" s="1" t="n"/>
      <c r="F136" s="1" t="n"/>
      <c r="G136" s="1" t="n"/>
      <c r="H136" s="1" t="n"/>
      <c r="I136" s="1" t="n"/>
    </row>
    <row r="137" ht="15.75" customHeight="1" s="216">
      <c r="A137" s="1" t="n"/>
      <c r="B137" s="1" t="n"/>
      <c r="C137" s="1" t="n"/>
      <c r="D137" s="1" t="n"/>
      <c r="E137" s="1" t="n"/>
      <c r="F137" s="1" t="n"/>
      <c r="G137" s="1" t="n"/>
      <c r="H137" s="1" t="n"/>
      <c r="I137" s="1" t="n"/>
    </row>
    <row r="138" ht="15.75" customHeight="1" s="216">
      <c r="A138" s="1" t="n"/>
      <c r="B138" s="1" t="n"/>
      <c r="C138" s="1" t="n"/>
      <c r="D138" s="1" t="n"/>
      <c r="E138" s="1" t="n"/>
      <c r="F138" s="1" t="n"/>
      <c r="G138" s="1" t="n"/>
      <c r="H138" s="1" t="n"/>
      <c r="I138" s="1" t="n"/>
    </row>
    <row r="139" ht="15.75" customHeight="1" s="216">
      <c r="A139" s="1" t="n"/>
      <c r="B139" s="1" t="n"/>
      <c r="C139" s="1" t="n"/>
      <c r="D139" s="1" t="n"/>
      <c r="E139" s="1" t="n"/>
      <c r="F139" s="1" t="n"/>
      <c r="G139" s="1" t="n"/>
      <c r="H139" s="1" t="n"/>
      <c r="I139" s="1" t="n"/>
    </row>
    <row r="140" ht="15.75" customHeight="1" s="216">
      <c r="A140" s="1" t="n"/>
      <c r="B140" s="1" t="n"/>
      <c r="C140" s="1" t="n"/>
      <c r="D140" s="1" t="n"/>
      <c r="E140" s="1" t="n"/>
      <c r="F140" s="1" t="n"/>
      <c r="G140" s="1" t="n"/>
      <c r="H140" s="1" t="n"/>
      <c r="I140" s="1" t="n"/>
    </row>
    <row r="141" ht="15.75" customHeight="1" s="216">
      <c r="A141" s="1" t="n"/>
      <c r="B141" s="1" t="n"/>
      <c r="C141" s="1" t="n"/>
      <c r="D141" s="1" t="n"/>
      <c r="E141" s="1" t="n"/>
      <c r="F141" s="1" t="n"/>
      <c r="G141" s="1" t="n"/>
      <c r="H141" s="1" t="n"/>
      <c r="I141" s="1" t="n"/>
    </row>
    <row r="142" ht="15.75" customHeight="1" s="216">
      <c r="A142" s="1" t="n"/>
      <c r="B142" s="1" t="n"/>
      <c r="C142" s="1" t="n"/>
      <c r="D142" s="1" t="n"/>
      <c r="E142" s="1" t="n"/>
      <c r="F142" s="1" t="n"/>
      <c r="G142" s="1" t="n"/>
      <c r="H142" s="1" t="n"/>
      <c r="I142" s="1" t="n"/>
    </row>
    <row r="143" ht="15.75" customHeight="1" s="216">
      <c r="A143" s="1" t="n"/>
      <c r="B143" s="1" t="n"/>
      <c r="C143" s="1" t="n"/>
      <c r="D143" s="1" t="n"/>
      <c r="E143" s="1" t="n"/>
      <c r="F143" s="1" t="n"/>
      <c r="G143" s="1" t="n"/>
      <c r="H143" s="1" t="n"/>
      <c r="I143" s="1" t="n"/>
    </row>
    <row r="144" ht="15.75" customHeight="1" s="216">
      <c r="A144" s="1" t="n"/>
      <c r="B144" s="1" t="n"/>
      <c r="C144" s="1" t="n"/>
      <c r="D144" s="1" t="n"/>
      <c r="E144" s="1" t="n"/>
      <c r="F144" s="1" t="n"/>
      <c r="G144" s="1" t="n"/>
      <c r="H144" s="1" t="n"/>
      <c r="I144" s="1" t="n"/>
    </row>
    <row r="145" ht="15.75" customHeight="1" s="216">
      <c r="A145" s="1" t="n"/>
      <c r="B145" s="1" t="n"/>
      <c r="C145" s="1" t="n"/>
      <c r="D145" s="1" t="n"/>
      <c r="E145" s="1" t="n"/>
      <c r="F145" s="1" t="n"/>
      <c r="G145" s="1" t="n"/>
      <c r="H145" s="1" t="n"/>
      <c r="I145" s="1" t="n"/>
    </row>
    <row r="146" ht="15.75" customHeight="1" s="216">
      <c r="A146" s="1" t="n"/>
      <c r="B146" s="1" t="n"/>
      <c r="C146" s="1" t="n"/>
      <c r="D146" s="1" t="n"/>
      <c r="E146" s="1" t="n"/>
      <c r="F146" s="1" t="n"/>
      <c r="G146" s="1" t="n"/>
      <c r="H146" s="1" t="n"/>
      <c r="I146" s="1" t="n"/>
    </row>
    <row r="147" ht="15.75" customHeight="1" s="216">
      <c r="A147" s="1" t="n"/>
      <c r="B147" s="1" t="n"/>
      <c r="C147" s="1" t="n"/>
      <c r="D147" s="1" t="n"/>
      <c r="E147" s="1" t="n"/>
      <c r="F147" s="1" t="n"/>
      <c r="G147" s="1" t="n"/>
      <c r="H147" s="1" t="n"/>
      <c r="I147" s="1" t="n"/>
    </row>
    <row r="148" ht="15.75" customHeight="1" s="216">
      <c r="A148" s="1" t="n"/>
      <c r="B148" s="1" t="n"/>
      <c r="C148" s="1" t="n"/>
      <c r="D148" s="1" t="n"/>
      <c r="E148" s="1" t="n"/>
      <c r="F148" s="1" t="n"/>
      <c r="G148" s="1" t="n"/>
      <c r="H148" s="1" t="n"/>
      <c r="I148" s="1" t="n"/>
    </row>
    <row r="149" ht="15.75" customHeight="1" s="216">
      <c r="A149" s="1" t="n"/>
      <c r="B149" s="1" t="n"/>
      <c r="C149" s="1" t="n"/>
      <c r="D149" s="1" t="n"/>
      <c r="E149" s="1" t="n"/>
      <c r="F149" s="1" t="n"/>
      <c r="G149" s="1" t="n"/>
      <c r="H149" s="1" t="n"/>
      <c r="I149" s="1" t="n"/>
    </row>
    <row r="150" ht="15.75" customHeight="1" s="216">
      <c r="A150" s="1" t="n"/>
      <c r="B150" s="1" t="n"/>
      <c r="C150" s="1" t="n"/>
      <c r="D150" s="1" t="n"/>
      <c r="E150" s="1" t="n"/>
      <c r="F150" s="1" t="n"/>
      <c r="G150" s="1" t="n"/>
      <c r="H150" s="1" t="n"/>
      <c r="I150" s="1" t="n"/>
    </row>
    <row r="151" ht="15.75" customHeight="1" s="216">
      <c r="A151" s="1" t="n"/>
      <c r="B151" s="1" t="n"/>
      <c r="C151" s="1" t="n"/>
      <c r="D151" s="1" t="n"/>
      <c r="E151" s="1" t="n"/>
      <c r="F151" s="1" t="n"/>
      <c r="G151" s="1" t="n"/>
      <c r="H151" s="1" t="n"/>
      <c r="I151" s="1" t="n"/>
    </row>
    <row r="152" ht="15.75" customHeight="1" s="216">
      <c r="A152" s="1" t="n"/>
      <c r="B152" s="1" t="n"/>
      <c r="C152" s="1" t="n"/>
      <c r="D152" s="1" t="n"/>
      <c r="E152" s="1" t="n"/>
      <c r="F152" s="1" t="n"/>
      <c r="G152" s="1" t="n"/>
      <c r="H152" s="1" t="n"/>
      <c r="I152" s="1" t="n"/>
    </row>
    <row r="153" ht="15.75" customHeight="1" s="216">
      <c r="A153" s="1" t="n"/>
      <c r="B153" s="1" t="n"/>
      <c r="C153" s="1" t="n"/>
      <c r="D153" s="1" t="n"/>
      <c r="E153" s="1" t="n"/>
      <c r="F153" s="1" t="n"/>
      <c r="G153" s="1" t="n"/>
      <c r="H153" s="1" t="n"/>
      <c r="I153" s="1" t="n"/>
    </row>
    <row r="154" ht="15.75" customHeight="1" s="216">
      <c r="A154" s="1" t="n"/>
      <c r="B154" s="1" t="n"/>
      <c r="C154" s="1" t="n"/>
      <c r="D154" s="1" t="n"/>
      <c r="E154" s="1" t="n"/>
      <c r="F154" s="1" t="n"/>
      <c r="G154" s="1" t="n"/>
      <c r="H154" s="1" t="n"/>
      <c r="I154" s="1" t="n"/>
    </row>
    <row r="155" ht="15.75" customHeight="1" s="216">
      <c r="A155" s="1" t="n"/>
      <c r="B155" s="1" t="n"/>
      <c r="C155" s="1" t="n"/>
      <c r="D155" s="1" t="n"/>
      <c r="E155" s="1" t="n"/>
      <c r="F155" s="1" t="n"/>
      <c r="G155" s="1" t="n"/>
      <c r="H155" s="1" t="n"/>
      <c r="I155" s="1" t="n"/>
    </row>
    <row r="156" ht="15.75" customHeight="1" s="216">
      <c r="A156" s="1" t="n"/>
      <c r="B156" s="1" t="n"/>
      <c r="C156" s="1" t="n"/>
      <c r="D156" s="1" t="n"/>
      <c r="E156" s="1" t="n"/>
      <c r="F156" s="1" t="n"/>
      <c r="G156" s="1" t="n"/>
      <c r="H156" s="1" t="n"/>
      <c r="I156" s="1" t="n"/>
    </row>
    <row r="157" ht="15.75" customHeight="1" s="216">
      <c r="A157" s="1" t="n"/>
      <c r="B157" s="1" t="n"/>
      <c r="C157" s="1" t="n"/>
      <c r="D157" s="1" t="n"/>
      <c r="E157" s="1" t="n"/>
      <c r="F157" s="1" t="n"/>
      <c r="G157" s="1" t="n"/>
      <c r="H157" s="1" t="n"/>
      <c r="I157" s="1" t="n"/>
    </row>
    <row r="158" ht="15.75" customHeight="1" s="216">
      <c r="A158" s="1" t="n"/>
      <c r="B158" s="1" t="n"/>
      <c r="C158" s="1" t="n"/>
      <c r="D158" s="1" t="n"/>
      <c r="E158" s="1" t="n"/>
      <c r="F158" s="1" t="n"/>
      <c r="G158" s="1" t="n"/>
      <c r="H158" s="1" t="n"/>
      <c r="I158" s="1" t="n"/>
    </row>
    <row r="159" ht="15.75" customHeight="1" s="216">
      <c r="A159" s="1" t="n"/>
      <c r="B159" s="1" t="n"/>
      <c r="C159" s="1" t="n"/>
      <c r="D159" s="1" t="n"/>
      <c r="E159" s="1" t="n"/>
      <c r="F159" s="1" t="n"/>
      <c r="G159" s="1" t="n"/>
      <c r="H159" s="1" t="n"/>
      <c r="I159" s="1" t="n"/>
    </row>
    <row r="160" ht="15.75" customHeight="1" s="216">
      <c r="A160" s="1" t="n"/>
      <c r="B160" s="1" t="n"/>
      <c r="C160" s="1" t="n"/>
      <c r="D160" s="1" t="n"/>
      <c r="E160" s="1" t="n"/>
      <c r="F160" s="1" t="n"/>
      <c r="G160" s="1" t="n"/>
      <c r="H160" s="1" t="n"/>
      <c r="I160" s="1" t="n"/>
    </row>
    <row r="161" ht="15.75" customHeight="1" s="216">
      <c r="A161" s="1" t="n"/>
      <c r="B161" s="1" t="n"/>
      <c r="C161" s="1" t="n"/>
      <c r="D161" s="1" t="n"/>
      <c r="E161" s="1" t="n"/>
      <c r="F161" s="1" t="n"/>
      <c r="G161" s="1" t="n"/>
      <c r="H161" s="1" t="n"/>
      <c r="I161" s="1" t="n"/>
    </row>
    <row r="162" ht="15.75" customHeight="1" s="216">
      <c r="A162" s="1" t="n"/>
      <c r="B162" s="1" t="n"/>
      <c r="C162" s="1" t="n"/>
      <c r="D162" s="1" t="n"/>
      <c r="E162" s="1" t="n"/>
      <c r="F162" s="1" t="n"/>
      <c r="G162" s="1" t="n"/>
      <c r="H162" s="1" t="n"/>
      <c r="I162" s="1" t="n"/>
    </row>
    <row r="163" ht="15.75" customHeight="1" s="216">
      <c r="A163" s="1" t="n"/>
      <c r="B163" s="1" t="n"/>
      <c r="C163" s="1" t="n"/>
      <c r="D163" s="1" t="n"/>
      <c r="E163" s="1" t="n"/>
      <c r="F163" s="1" t="n"/>
      <c r="G163" s="1" t="n"/>
      <c r="H163" s="1" t="n"/>
      <c r="I163" s="1" t="n"/>
    </row>
    <row r="164" ht="15.75" customHeight="1" s="216">
      <c r="A164" s="1" t="n"/>
      <c r="B164" s="1" t="n"/>
      <c r="C164" s="1" t="n"/>
      <c r="D164" s="1" t="n"/>
      <c r="E164" s="1" t="n"/>
      <c r="F164" s="1" t="n"/>
      <c r="G164" s="1" t="n"/>
      <c r="H164" s="1" t="n"/>
      <c r="I164" s="1" t="n"/>
    </row>
    <row r="165" ht="15.75" customHeight="1" s="216">
      <c r="A165" s="1" t="n"/>
      <c r="B165" s="1" t="n"/>
      <c r="C165" s="1" t="n"/>
      <c r="D165" s="1" t="n"/>
      <c r="E165" s="1" t="n"/>
      <c r="F165" s="1" t="n"/>
      <c r="G165" s="1" t="n"/>
      <c r="H165" s="1" t="n"/>
      <c r="I165" s="1" t="n"/>
    </row>
    <row r="166" ht="15.75" customHeight="1" s="216">
      <c r="A166" s="1" t="n"/>
      <c r="B166" s="1" t="n"/>
      <c r="C166" s="1" t="n"/>
      <c r="D166" s="1" t="n"/>
      <c r="E166" s="1" t="n"/>
      <c r="F166" s="1" t="n"/>
      <c r="G166" s="1" t="n"/>
      <c r="H166" s="1" t="n"/>
      <c r="I166" s="1" t="n"/>
    </row>
    <row r="167" ht="15.75" customHeight="1" s="216">
      <c r="A167" s="1" t="n"/>
      <c r="B167" s="1" t="n"/>
      <c r="C167" s="1" t="n"/>
      <c r="D167" s="1" t="n"/>
      <c r="E167" s="1" t="n"/>
      <c r="F167" s="1" t="n"/>
      <c r="G167" s="1" t="n"/>
      <c r="H167" s="1" t="n"/>
      <c r="I167" s="1" t="n"/>
    </row>
    <row r="168" ht="15.75" customHeight="1" s="216">
      <c r="A168" s="1" t="n"/>
      <c r="B168" s="1" t="n"/>
      <c r="C168" s="1" t="n"/>
      <c r="D168" s="1" t="n"/>
      <c r="E168" s="1" t="n"/>
      <c r="F168" s="1" t="n"/>
      <c r="G168" s="1" t="n"/>
      <c r="H168" s="1" t="n"/>
      <c r="I168" s="1" t="n"/>
    </row>
    <row r="169" ht="15.75" customHeight="1" s="216">
      <c r="A169" s="1" t="n"/>
      <c r="B169" s="1" t="n"/>
      <c r="C169" s="1" t="n"/>
      <c r="D169" s="1" t="n"/>
      <c r="E169" s="1" t="n"/>
      <c r="F169" s="1" t="n"/>
      <c r="G169" s="1" t="n"/>
      <c r="H169" s="1" t="n"/>
      <c r="I169" s="1" t="n"/>
    </row>
    <row r="170" ht="15.75" customHeight="1" s="216">
      <c r="A170" s="1" t="n"/>
      <c r="B170" s="1" t="n"/>
      <c r="C170" s="1" t="n"/>
      <c r="D170" s="1" t="n"/>
      <c r="E170" s="1" t="n"/>
      <c r="F170" s="1" t="n"/>
      <c r="G170" s="1" t="n"/>
      <c r="H170" s="1" t="n"/>
      <c r="I170" s="1" t="n"/>
    </row>
    <row r="171" ht="15.75" customHeight="1" s="216">
      <c r="A171" s="1" t="n"/>
      <c r="B171" s="1" t="n"/>
      <c r="C171" s="1" t="n"/>
      <c r="D171" s="1" t="n"/>
      <c r="E171" s="1" t="n"/>
      <c r="F171" s="1" t="n"/>
      <c r="G171" s="1" t="n"/>
      <c r="H171" s="1" t="n"/>
      <c r="I171" s="1" t="n"/>
    </row>
    <row r="172" ht="15.75" customHeight="1" s="216">
      <c r="A172" s="1" t="n"/>
      <c r="B172" s="1" t="n"/>
      <c r="C172" s="1" t="n"/>
      <c r="D172" s="1" t="n"/>
      <c r="E172" s="1" t="n"/>
      <c r="F172" s="1" t="n"/>
      <c r="G172" s="1" t="n"/>
      <c r="H172" s="1" t="n"/>
      <c r="I172" s="1" t="n"/>
    </row>
    <row r="173" ht="15.75" customHeight="1" s="216">
      <c r="A173" s="1" t="n"/>
      <c r="B173" s="1" t="n"/>
      <c r="C173" s="1" t="n"/>
      <c r="D173" s="1" t="n"/>
      <c r="E173" s="1" t="n"/>
      <c r="F173" s="1" t="n"/>
      <c r="G173" s="1" t="n"/>
      <c r="H173" s="1" t="n"/>
      <c r="I173" s="1" t="n"/>
    </row>
    <row r="174" ht="15.75" customHeight="1" s="216">
      <c r="A174" s="1" t="n"/>
      <c r="B174" s="1" t="n"/>
      <c r="C174" s="1" t="n"/>
      <c r="D174" s="1" t="n"/>
      <c r="E174" s="1" t="n"/>
      <c r="F174" s="1" t="n"/>
      <c r="G174" s="1" t="n"/>
      <c r="H174" s="1" t="n"/>
      <c r="I174" s="1" t="n"/>
    </row>
    <row r="175" ht="15.75" customHeight="1" s="216">
      <c r="A175" s="1" t="n"/>
      <c r="B175" s="1" t="n"/>
      <c r="C175" s="1" t="n"/>
      <c r="D175" s="1" t="n"/>
      <c r="E175" s="1" t="n"/>
      <c r="F175" s="1" t="n"/>
      <c r="G175" s="1" t="n"/>
      <c r="H175" s="1" t="n"/>
      <c r="I175" s="1" t="n"/>
    </row>
    <row r="176" ht="15.75" customHeight="1" s="216">
      <c r="A176" s="1" t="n"/>
      <c r="B176" s="1" t="n"/>
      <c r="C176" s="1" t="n"/>
      <c r="D176" s="1" t="n"/>
      <c r="E176" s="1" t="n"/>
      <c r="F176" s="1" t="n"/>
      <c r="G176" s="1" t="n"/>
      <c r="H176" s="1" t="n"/>
      <c r="I176" s="1" t="n"/>
    </row>
    <row r="177" ht="15.75" customHeight="1" s="216">
      <c r="A177" s="1" t="n"/>
      <c r="B177" s="1" t="n"/>
      <c r="C177" s="1" t="n"/>
      <c r="D177" s="1" t="n"/>
      <c r="E177" s="1" t="n"/>
      <c r="F177" s="1" t="n"/>
      <c r="G177" s="1" t="n"/>
      <c r="H177" s="1" t="n"/>
      <c r="I177" s="1" t="n"/>
    </row>
    <row r="178" ht="15.75" customHeight="1" s="216">
      <c r="A178" s="1" t="n"/>
      <c r="B178" s="1" t="n"/>
      <c r="C178" s="1" t="n"/>
      <c r="D178" s="1" t="n"/>
      <c r="E178" s="1" t="n"/>
      <c r="F178" s="1" t="n"/>
      <c r="G178" s="1" t="n"/>
      <c r="H178" s="1" t="n"/>
      <c r="I178" s="1" t="n"/>
    </row>
    <row r="179" ht="15.75" customHeight="1" s="216">
      <c r="A179" s="1" t="n"/>
      <c r="B179" s="1" t="n"/>
      <c r="C179" s="1" t="n"/>
      <c r="D179" s="1" t="n"/>
      <c r="E179" s="1" t="n"/>
      <c r="F179" s="1" t="n"/>
      <c r="G179" s="1" t="n"/>
      <c r="H179" s="1" t="n"/>
      <c r="I179" s="1" t="n"/>
    </row>
    <row r="180" ht="15.75" customHeight="1" s="216">
      <c r="A180" s="1" t="n"/>
      <c r="B180" s="1" t="n"/>
      <c r="C180" s="1" t="n"/>
      <c r="D180" s="1" t="n"/>
      <c r="E180" s="1" t="n"/>
      <c r="F180" s="1" t="n"/>
      <c r="G180" s="1" t="n"/>
      <c r="H180" s="1" t="n"/>
      <c r="I180" s="1" t="n"/>
    </row>
    <row r="181" ht="15.75" customHeight="1" s="216">
      <c r="A181" s="1" t="n"/>
      <c r="B181" s="1" t="n"/>
      <c r="C181" s="1" t="n"/>
      <c r="D181" s="1" t="n"/>
      <c r="E181" s="1" t="n"/>
      <c r="F181" s="1" t="n"/>
      <c r="G181" s="1" t="n"/>
      <c r="H181" s="1" t="n"/>
      <c r="I181" s="1" t="n"/>
    </row>
    <row r="182" ht="15.75" customHeight="1" s="216">
      <c r="A182" s="1" t="n"/>
      <c r="B182" s="1" t="n"/>
      <c r="C182" s="1" t="n"/>
      <c r="D182" s="1" t="n"/>
      <c r="E182" s="1" t="n"/>
      <c r="F182" s="1" t="n"/>
      <c r="G182" s="1" t="n"/>
      <c r="H182" s="1" t="n"/>
      <c r="I182" s="1" t="n"/>
    </row>
    <row r="183" ht="15.75" customHeight="1" s="216">
      <c r="A183" s="1" t="n"/>
      <c r="B183" s="1" t="n"/>
      <c r="C183" s="1" t="n"/>
      <c r="D183" s="1" t="n"/>
      <c r="E183" s="1" t="n"/>
      <c r="F183" s="1" t="n"/>
      <c r="G183" s="1" t="n"/>
      <c r="H183" s="1" t="n"/>
      <c r="I183" s="1" t="n"/>
    </row>
    <row r="184" ht="15.75" customHeight="1" s="216">
      <c r="A184" s="1" t="n"/>
      <c r="B184" s="1" t="n"/>
      <c r="C184" s="1" t="n"/>
      <c r="D184" s="1" t="n"/>
      <c r="E184" s="1" t="n"/>
      <c r="F184" s="1" t="n"/>
      <c r="G184" s="1" t="n"/>
      <c r="H184" s="1" t="n"/>
      <c r="I184" s="1" t="n"/>
    </row>
    <row r="185" ht="15.75" customHeight="1" s="216">
      <c r="A185" s="1" t="n"/>
      <c r="B185" s="1" t="n"/>
      <c r="C185" s="1" t="n"/>
      <c r="D185" s="1" t="n"/>
      <c r="E185" s="1" t="n"/>
      <c r="F185" s="1" t="n"/>
      <c r="G185" s="1" t="n"/>
      <c r="H185" s="1" t="n"/>
      <c r="I185" s="1" t="n"/>
    </row>
    <row r="186" ht="15.75" customHeight="1" s="216">
      <c r="A186" s="1" t="n"/>
      <c r="B186" s="1" t="n"/>
      <c r="C186" s="1" t="n"/>
      <c r="D186" s="1" t="n"/>
      <c r="E186" s="1" t="n"/>
      <c r="F186" s="1" t="n"/>
      <c r="G186" s="1" t="n"/>
      <c r="H186" s="1" t="n"/>
      <c r="I186" s="1" t="n"/>
    </row>
    <row r="187" ht="15.75" customHeight="1" s="216">
      <c r="A187" s="1" t="n"/>
      <c r="B187" s="1" t="n"/>
      <c r="C187" s="1" t="n"/>
      <c r="D187" s="1" t="n"/>
      <c r="E187" s="1" t="n"/>
      <c r="F187" s="1" t="n"/>
      <c r="G187" s="1" t="n"/>
      <c r="H187" s="1" t="n"/>
      <c r="I187" s="1" t="n"/>
    </row>
    <row r="188" ht="15.75" customHeight="1" s="216">
      <c r="A188" s="1" t="n"/>
      <c r="B188" s="1" t="n"/>
      <c r="C188" s="1" t="n"/>
      <c r="D188" s="1" t="n"/>
      <c r="E188" s="1" t="n"/>
      <c r="F188" s="1" t="n"/>
      <c r="G188" s="1" t="n"/>
      <c r="H188" s="1" t="n"/>
      <c r="I188" s="1" t="n"/>
    </row>
    <row r="189" ht="15.75" customHeight="1" s="216">
      <c r="A189" s="1" t="n"/>
      <c r="B189" s="1" t="n"/>
      <c r="C189" s="1" t="n"/>
      <c r="D189" s="1" t="n"/>
      <c r="E189" s="1" t="n"/>
      <c r="F189" s="1" t="n"/>
      <c r="G189" s="1" t="n"/>
      <c r="H189" s="1" t="n"/>
      <c r="I189" s="1" t="n"/>
    </row>
    <row r="190" ht="15.75" customHeight="1" s="216">
      <c r="A190" s="1" t="n"/>
      <c r="B190" s="1" t="n"/>
      <c r="C190" s="1" t="n"/>
      <c r="D190" s="1" t="n"/>
      <c r="E190" s="1" t="n"/>
      <c r="F190" s="1" t="n"/>
      <c r="G190" s="1" t="n"/>
      <c r="H190" s="1" t="n"/>
      <c r="I190" s="1" t="n"/>
    </row>
    <row r="191" ht="15.75" customHeight="1" s="216">
      <c r="A191" s="1" t="n"/>
      <c r="B191" s="1" t="n"/>
      <c r="C191" s="1" t="n"/>
      <c r="D191" s="1" t="n"/>
      <c r="E191" s="1" t="n"/>
      <c r="F191" s="1" t="n"/>
      <c r="G191" s="1" t="n"/>
      <c r="H191" s="1" t="n"/>
      <c r="I191" s="1" t="n"/>
    </row>
    <row r="192" ht="15.75" customHeight="1" s="216">
      <c r="A192" s="1" t="n"/>
      <c r="B192" s="1" t="n"/>
      <c r="C192" s="1" t="n"/>
      <c r="D192" s="1" t="n"/>
      <c r="E192" s="1" t="n"/>
      <c r="F192" s="1" t="n"/>
      <c r="G192" s="1" t="n"/>
      <c r="H192" s="1" t="n"/>
      <c r="I192" s="1" t="n"/>
    </row>
    <row r="193" ht="15.75" customHeight="1" s="216">
      <c r="A193" s="1" t="n"/>
      <c r="B193" s="1" t="n"/>
      <c r="C193" s="1" t="n"/>
      <c r="D193" s="1" t="n"/>
      <c r="E193" s="1" t="n"/>
      <c r="F193" s="1" t="n"/>
      <c r="G193" s="1" t="n"/>
      <c r="H193" s="1" t="n"/>
      <c r="I193" s="1" t="n"/>
    </row>
    <row r="194" ht="15.75" customHeight="1" s="216">
      <c r="A194" s="1" t="n"/>
      <c r="B194" s="1" t="n"/>
      <c r="C194" s="1" t="n"/>
      <c r="D194" s="1" t="n"/>
      <c r="E194" s="1" t="n"/>
      <c r="F194" s="1" t="n"/>
      <c r="G194" s="1" t="n"/>
      <c r="H194" s="1" t="n"/>
      <c r="I194" s="1" t="n"/>
    </row>
    <row r="195" ht="15.75" customHeight="1" s="216">
      <c r="A195" s="1" t="n"/>
      <c r="B195" s="1" t="n"/>
      <c r="C195" s="1" t="n"/>
      <c r="D195" s="1" t="n"/>
      <c r="E195" s="1" t="n"/>
      <c r="F195" s="1" t="n"/>
      <c r="G195" s="1" t="n"/>
      <c r="H195" s="1" t="n"/>
      <c r="I195" s="1" t="n"/>
    </row>
    <row r="196" ht="15.75" customHeight="1" s="216">
      <c r="A196" s="1" t="n"/>
      <c r="B196" s="1" t="n"/>
      <c r="C196" s="1" t="n"/>
      <c r="D196" s="1" t="n"/>
      <c r="E196" s="1" t="n"/>
      <c r="F196" s="1" t="n"/>
      <c r="G196" s="1" t="n"/>
      <c r="H196" s="1" t="n"/>
      <c r="I196" s="1" t="n"/>
    </row>
    <row r="197" ht="15.75" customHeight="1" s="216">
      <c r="A197" s="1" t="n"/>
      <c r="B197" s="1" t="n"/>
      <c r="C197" s="1" t="n"/>
      <c r="D197" s="1" t="n"/>
      <c r="E197" s="1" t="n"/>
      <c r="F197" s="1" t="n"/>
      <c r="G197" s="1" t="n"/>
      <c r="H197" s="1" t="n"/>
      <c r="I197" s="1" t="n"/>
    </row>
    <row r="198" ht="15.75" customHeight="1" s="216">
      <c r="A198" s="1" t="n"/>
      <c r="B198" s="1" t="n"/>
      <c r="C198" s="1" t="n"/>
      <c r="D198" s="1" t="n"/>
      <c r="E198" s="1" t="n"/>
      <c r="F198" s="1" t="n"/>
      <c r="G198" s="1" t="n"/>
      <c r="H198" s="1" t="n"/>
      <c r="I198" s="1" t="n"/>
    </row>
    <row r="199" ht="15.75" customHeight="1" s="216">
      <c r="A199" s="1" t="n"/>
      <c r="B199" s="1" t="n"/>
      <c r="C199" s="1" t="n"/>
      <c r="D199" s="1" t="n"/>
      <c r="E199" s="1" t="n"/>
      <c r="F199" s="1" t="n"/>
      <c r="G199" s="1" t="n"/>
      <c r="H199" s="1" t="n"/>
      <c r="I199" s="1" t="n"/>
    </row>
    <row r="200" ht="15.75" customHeight="1" s="216">
      <c r="A200" s="1" t="n"/>
      <c r="B200" s="1" t="n"/>
      <c r="C200" s="1" t="n"/>
      <c r="D200" s="1" t="n"/>
      <c r="E200" s="1" t="n"/>
      <c r="F200" s="1" t="n"/>
      <c r="G200" s="1" t="n"/>
      <c r="H200" s="1" t="n"/>
      <c r="I200" s="1" t="n"/>
    </row>
    <row r="201" ht="15.75" customHeight="1" s="216">
      <c r="A201" s="1" t="n"/>
      <c r="B201" s="1" t="n"/>
      <c r="C201" s="1" t="n"/>
      <c r="D201" s="1" t="n"/>
      <c r="E201" s="1" t="n"/>
      <c r="F201" s="1" t="n"/>
      <c r="G201" s="1" t="n"/>
      <c r="H201" s="1" t="n"/>
      <c r="I201" s="1" t="n"/>
    </row>
    <row r="202" ht="15.75" customHeight="1" s="216">
      <c r="A202" s="1" t="n"/>
      <c r="B202" s="1" t="n"/>
      <c r="C202" s="1" t="n"/>
      <c r="D202" s="1" t="n"/>
      <c r="E202" s="1" t="n"/>
      <c r="F202" s="1" t="n"/>
      <c r="G202" s="1" t="n"/>
      <c r="H202" s="1" t="n"/>
      <c r="I202" s="1" t="n"/>
    </row>
    <row r="203" ht="15.75" customHeight="1" s="216">
      <c r="A203" s="1" t="n"/>
      <c r="B203" s="1" t="n"/>
      <c r="C203" s="1" t="n"/>
      <c r="D203" s="1" t="n"/>
      <c r="E203" s="1" t="n"/>
      <c r="F203" s="1" t="n"/>
      <c r="G203" s="1" t="n"/>
      <c r="H203" s="1" t="n"/>
      <c r="I203" s="1" t="n"/>
    </row>
    <row r="204" ht="15.75" customHeight="1" s="216">
      <c r="A204" s="1" t="n"/>
      <c r="B204" s="1" t="n"/>
      <c r="C204" s="1" t="n"/>
      <c r="D204" s="1" t="n"/>
      <c r="E204" s="1" t="n"/>
      <c r="F204" s="1" t="n"/>
      <c r="G204" s="1" t="n"/>
      <c r="H204" s="1" t="n"/>
      <c r="I204" s="1" t="n"/>
    </row>
    <row r="205" ht="15.75" customHeight="1" s="216">
      <c r="A205" s="1" t="n"/>
      <c r="B205" s="1" t="n"/>
      <c r="C205" s="1" t="n"/>
      <c r="D205" s="1" t="n"/>
      <c r="E205" s="1" t="n"/>
      <c r="F205" s="1" t="n"/>
      <c r="G205" s="1" t="n"/>
      <c r="H205" s="1" t="n"/>
      <c r="I205" s="1" t="n"/>
    </row>
    <row r="206" ht="15.75" customHeight="1" s="216">
      <c r="A206" s="1" t="n"/>
      <c r="B206" s="1" t="n"/>
      <c r="C206" s="1" t="n"/>
      <c r="D206" s="1" t="n"/>
      <c r="E206" s="1" t="n"/>
      <c r="F206" s="1" t="n"/>
      <c r="G206" s="1" t="n"/>
      <c r="H206" s="1" t="n"/>
      <c r="I206" s="1" t="n"/>
    </row>
    <row r="207" ht="15.75" customHeight="1" s="216">
      <c r="A207" s="1" t="n"/>
      <c r="B207" s="1" t="n"/>
      <c r="C207" s="1" t="n"/>
      <c r="D207" s="1" t="n"/>
      <c r="E207" s="1" t="n"/>
      <c r="F207" s="1" t="n"/>
      <c r="G207" s="1" t="n"/>
      <c r="H207" s="1" t="n"/>
      <c r="I207" s="1" t="n"/>
    </row>
    <row r="208" ht="15.75" customHeight="1" s="216">
      <c r="A208" s="1" t="n"/>
      <c r="B208" s="1" t="n"/>
      <c r="C208" s="1" t="n"/>
      <c r="D208" s="1" t="n"/>
      <c r="E208" s="1" t="n"/>
      <c r="F208" s="1" t="n"/>
      <c r="G208" s="1" t="n"/>
      <c r="H208" s="1" t="n"/>
      <c r="I208" s="1" t="n"/>
    </row>
    <row r="209" ht="15.75" customHeight="1" s="216">
      <c r="A209" s="1" t="n"/>
      <c r="B209" s="1" t="n"/>
      <c r="C209" s="1" t="n"/>
      <c r="D209" s="1" t="n"/>
      <c r="E209" s="1" t="n"/>
      <c r="F209" s="1" t="n"/>
      <c r="G209" s="1" t="n"/>
      <c r="H209" s="1" t="n"/>
      <c r="I209" s="1" t="n"/>
    </row>
    <row r="210" ht="15.75" customHeight="1" s="216">
      <c r="A210" s="1" t="n"/>
      <c r="B210" s="1" t="n"/>
      <c r="C210" s="1" t="n"/>
      <c r="D210" s="1" t="n"/>
      <c r="E210" s="1" t="n"/>
      <c r="F210" s="1" t="n"/>
      <c r="G210" s="1" t="n"/>
      <c r="H210" s="1" t="n"/>
      <c r="I210" s="1" t="n"/>
    </row>
    <row r="211" ht="15.75" customHeight="1" s="216">
      <c r="A211" s="1" t="n"/>
      <c r="B211" s="1" t="n"/>
      <c r="C211" s="1" t="n"/>
      <c r="D211" s="1" t="n"/>
      <c r="E211" s="1" t="n"/>
      <c r="F211" s="1" t="n"/>
      <c r="G211" s="1" t="n"/>
      <c r="H211" s="1" t="n"/>
      <c r="I211" s="1" t="n"/>
    </row>
    <row r="212" ht="15.75" customHeight="1" s="216">
      <c r="A212" s="1" t="n"/>
      <c r="B212" s="1" t="n"/>
      <c r="C212" s="1" t="n"/>
      <c r="D212" s="1" t="n"/>
      <c r="E212" s="1" t="n"/>
      <c r="F212" s="1" t="n"/>
      <c r="G212" s="1" t="n"/>
      <c r="H212" s="1" t="n"/>
      <c r="I212" s="1" t="n"/>
    </row>
    <row r="213" ht="15.75" customHeight="1" s="216">
      <c r="A213" s="1" t="n"/>
      <c r="B213" s="1" t="n"/>
      <c r="C213" s="1" t="n"/>
      <c r="D213" s="1" t="n"/>
      <c r="E213" s="1" t="n"/>
      <c r="F213" s="1" t="n"/>
      <c r="G213" s="1" t="n"/>
      <c r="H213" s="1" t="n"/>
      <c r="I213" s="1" t="n"/>
    </row>
    <row r="214" ht="15.75" customHeight="1" s="216">
      <c r="A214" s="1" t="n"/>
      <c r="B214" s="1" t="n"/>
      <c r="C214" s="1" t="n"/>
      <c r="D214" s="1" t="n"/>
      <c r="E214" s="1" t="n"/>
      <c r="F214" s="1" t="n"/>
      <c r="G214" s="1" t="n"/>
      <c r="H214" s="1" t="n"/>
      <c r="I214" s="1" t="n"/>
    </row>
    <row r="215" ht="15.75" customHeight="1" s="216">
      <c r="A215" s="1" t="n"/>
      <c r="B215" s="1" t="n"/>
      <c r="C215" s="1" t="n"/>
      <c r="D215" s="1" t="n"/>
      <c r="E215" s="1" t="n"/>
      <c r="F215" s="1" t="n"/>
      <c r="G215" s="1" t="n"/>
      <c r="H215" s="1" t="n"/>
      <c r="I215" s="1" t="n"/>
    </row>
    <row r="216" ht="15.75" customHeight="1" s="216">
      <c r="A216" s="1" t="n"/>
      <c r="B216" s="1" t="n"/>
      <c r="C216" s="1" t="n"/>
      <c r="D216" s="1" t="n"/>
      <c r="E216" s="1" t="n"/>
      <c r="F216" s="1" t="n"/>
      <c r="G216" s="1" t="n"/>
      <c r="H216" s="1" t="n"/>
      <c r="I216" s="1" t="n"/>
    </row>
    <row r="217" ht="15.75" customHeight="1" s="216">
      <c r="A217" s="1" t="n"/>
      <c r="B217" s="1" t="n"/>
      <c r="C217" s="1" t="n"/>
      <c r="D217" s="1" t="n"/>
      <c r="E217" s="1" t="n"/>
      <c r="F217" s="1" t="n"/>
      <c r="G217" s="1" t="n"/>
      <c r="H217" s="1" t="n"/>
      <c r="I217" s="1" t="n"/>
    </row>
    <row r="218" ht="15.75" customHeight="1" s="216">
      <c r="A218" s="1" t="n"/>
      <c r="B218" s="1" t="n"/>
      <c r="C218" s="1" t="n"/>
      <c r="D218" s="1" t="n"/>
      <c r="E218" s="1" t="n"/>
      <c r="F218" s="1" t="n"/>
      <c r="G218" s="1" t="n"/>
      <c r="H218" s="1" t="n"/>
      <c r="I218" s="1" t="n"/>
    </row>
    <row r="219" ht="15.75" customHeight="1" s="216">
      <c r="A219" s="1" t="n"/>
      <c r="B219" s="1" t="n"/>
      <c r="C219" s="1" t="n"/>
      <c r="D219" s="1" t="n"/>
      <c r="E219" s="1" t="n"/>
      <c r="F219" s="1" t="n"/>
      <c r="G219" s="1" t="n"/>
      <c r="H219" s="1" t="n"/>
      <c r="I219" s="1" t="n"/>
    </row>
    <row r="220" ht="15.75" customHeight="1" s="216">
      <c r="A220" s="1" t="n"/>
      <c r="B220" s="1" t="n"/>
      <c r="C220" s="1" t="n"/>
      <c r="D220" s="1" t="n"/>
      <c r="E220" s="1" t="n"/>
      <c r="F220" s="1" t="n"/>
      <c r="G220" s="1" t="n"/>
      <c r="H220" s="1" t="n"/>
    </row>
    <row r="221" ht="15.75" customHeight="1" s="216"/>
    <row r="222" ht="15.75" customHeight="1" s="216"/>
    <row r="223" ht="15.75" customHeight="1" s="216"/>
    <row r="224" ht="15.75" customHeight="1" s="216"/>
    <row r="225" ht="15.75" customHeight="1" s="216"/>
    <row r="226" ht="15.75" customHeight="1" s="216"/>
    <row r="227" ht="15.75" customHeight="1" s="216"/>
    <row r="228" ht="15.75" customHeight="1" s="216"/>
    <row r="229" ht="15.75" customHeight="1" s="216"/>
    <row r="230" ht="15.75" customHeight="1" s="216"/>
    <row r="231" ht="15.75" customHeight="1" s="216"/>
    <row r="232" ht="15.75" customHeight="1" s="216"/>
    <row r="233" ht="15.75" customHeight="1" s="216"/>
    <row r="234" ht="15.75" customHeight="1" s="216"/>
    <row r="235" ht="15.75" customHeight="1" s="216"/>
    <row r="236" ht="15.75" customHeight="1" s="216"/>
    <row r="237" ht="15.75" customHeight="1" s="216"/>
    <row r="238" ht="15.75" customHeight="1" s="216"/>
    <row r="239" ht="15.75" customHeight="1" s="216"/>
    <row r="240" ht="15.75" customHeight="1" s="216"/>
    <row r="241" ht="15.75" customHeight="1" s="216"/>
    <row r="242" ht="15.75" customHeight="1" s="216"/>
    <row r="243" ht="15.75" customHeight="1" s="216"/>
    <row r="244" ht="15.75" customHeight="1" s="216"/>
    <row r="245" ht="15.75" customHeight="1" s="216"/>
    <row r="246" ht="15.75" customHeight="1" s="216"/>
    <row r="247" ht="15.75" customHeight="1" s="216"/>
    <row r="248" ht="15.75" customHeight="1" s="216"/>
    <row r="249" ht="15.75" customHeight="1" s="216"/>
    <row r="250" ht="15.75" customHeight="1" s="216"/>
    <row r="251" ht="15.75" customHeight="1" s="216"/>
    <row r="252" ht="15.75" customHeight="1" s="216"/>
    <row r="253" ht="15.75" customHeight="1" s="216"/>
    <row r="254" ht="15.75" customHeight="1" s="216"/>
    <row r="255" ht="15.75" customHeight="1" s="216"/>
    <row r="256" ht="15.75" customHeight="1" s="216"/>
    <row r="257" ht="15.75" customHeight="1" s="216"/>
    <row r="258" ht="15.75" customHeight="1" s="216"/>
    <row r="259" ht="15.75" customHeight="1" s="216"/>
    <row r="260" ht="15.75" customHeight="1" s="216"/>
    <row r="261" ht="15.75" customHeight="1" s="216"/>
    <row r="262" ht="15.75" customHeight="1" s="216"/>
    <row r="263" ht="15.75" customHeight="1" s="216"/>
    <row r="264" ht="15.75" customHeight="1" s="216"/>
    <row r="265" ht="15.75" customHeight="1" s="216"/>
    <row r="266" ht="15.75" customHeight="1" s="216"/>
    <row r="267" ht="15.75" customHeight="1" s="216"/>
    <row r="268" ht="15.75" customHeight="1" s="216"/>
    <row r="269" ht="15.75" customHeight="1" s="216"/>
    <row r="270" ht="15.75" customHeight="1" s="216"/>
    <row r="271" ht="15.75" customHeight="1" s="216"/>
    <row r="272" ht="15.75" customHeight="1" s="216"/>
    <row r="273" ht="15.75" customHeight="1" s="216"/>
    <row r="274" ht="15.75" customHeight="1" s="216"/>
    <row r="275" ht="15.75" customHeight="1" s="216"/>
    <row r="276" ht="15.75" customHeight="1" s="216"/>
    <row r="277" ht="15.75" customHeight="1" s="216"/>
    <row r="278" ht="15.75" customHeight="1" s="216"/>
    <row r="279" ht="15.75" customHeight="1" s="216"/>
    <row r="280" ht="15.75" customHeight="1" s="216"/>
    <row r="281" ht="15.75" customHeight="1" s="216"/>
    <row r="282" ht="15.75" customHeight="1" s="216"/>
    <row r="283" ht="15.75" customHeight="1" s="216"/>
    <row r="284" ht="15.75" customHeight="1" s="216"/>
    <row r="285" ht="15.75" customHeight="1" s="216"/>
    <row r="286" ht="15.75" customHeight="1" s="216"/>
    <row r="287" ht="15.75" customHeight="1" s="216"/>
    <row r="288" ht="15.75" customHeight="1" s="216"/>
    <row r="289" ht="15.75" customHeight="1" s="216"/>
    <row r="290" ht="15.75" customHeight="1" s="216"/>
    <row r="291" ht="15.75" customHeight="1" s="216"/>
    <row r="292" ht="15.75" customHeight="1" s="216"/>
    <row r="293" ht="15.75" customHeight="1" s="216"/>
    <row r="294" ht="15.75" customHeight="1" s="216"/>
    <row r="295" ht="15.75" customHeight="1" s="216"/>
    <row r="296" ht="15.75" customHeight="1" s="216"/>
    <row r="297" ht="15.75" customHeight="1" s="216"/>
    <row r="298" ht="15.75" customHeight="1" s="216"/>
    <row r="299" ht="15.75" customHeight="1" s="216"/>
    <row r="300" ht="15.75" customHeight="1" s="216"/>
    <row r="301" ht="15.75" customHeight="1" s="216"/>
    <row r="302" ht="15.75" customHeight="1" s="216"/>
    <row r="303" ht="15.75" customHeight="1" s="216"/>
    <row r="304" ht="15.75" customHeight="1" s="216"/>
    <row r="305" ht="15.75" customHeight="1" s="216"/>
    <row r="306" ht="15.75" customHeight="1" s="216"/>
    <row r="307" ht="15.75" customHeight="1" s="216"/>
    <row r="308" ht="15.75" customHeight="1" s="216"/>
    <row r="309" ht="15.75" customHeight="1" s="216"/>
    <row r="310" ht="15.75" customHeight="1" s="216"/>
    <row r="311" ht="15.75" customHeight="1" s="216"/>
    <row r="312" ht="15.75" customHeight="1" s="216"/>
    <row r="313" ht="15.75" customHeight="1" s="216"/>
    <row r="314" ht="15.75" customHeight="1" s="216"/>
    <row r="315" ht="15.75" customHeight="1" s="216"/>
    <row r="316" ht="15.75" customHeight="1" s="216"/>
    <row r="317" ht="15.75" customHeight="1" s="216"/>
    <row r="318" ht="15.75" customHeight="1" s="216"/>
    <row r="319" ht="15.75" customHeight="1" s="216"/>
    <row r="320" ht="15.75" customHeight="1" s="216"/>
    <row r="321" ht="15.75" customHeight="1" s="216"/>
    <row r="322" ht="15.75" customHeight="1" s="216"/>
    <row r="323" ht="15.75" customHeight="1" s="216"/>
    <row r="324" ht="15.75" customHeight="1" s="216"/>
    <row r="325" ht="15.75" customHeight="1" s="216"/>
    <row r="326" ht="15.75" customHeight="1" s="216"/>
    <row r="327" ht="15.75" customHeight="1" s="216"/>
    <row r="328" ht="15.75" customHeight="1" s="216"/>
    <row r="329" ht="15.75" customHeight="1" s="216"/>
    <row r="330" ht="15.75" customHeight="1" s="216"/>
    <row r="331" ht="15.75" customHeight="1" s="216"/>
    <row r="332" ht="15.75" customHeight="1" s="216"/>
    <row r="333" ht="15.75" customHeight="1" s="216"/>
    <row r="334" ht="15.75" customHeight="1" s="216"/>
    <row r="335" ht="15.75" customHeight="1" s="216"/>
    <row r="336" ht="15.75" customHeight="1" s="216"/>
    <row r="337" ht="15.75" customHeight="1" s="216"/>
    <row r="338" ht="15.75" customHeight="1" s="216"/>
    <row r="339" ht="15.75" customHeight="1" s="216"/>
    <row r="340" ht="15.75" customHeight="1" s="216"/>
    <row r="341" ht="15.75" customHeight="1" s="216"/>
    <row r="342" ht="15.75" customHeight="1" s="216"/>
    <row r="343" ht="15.75" customHeight="1" s="216"/>
    <row r="344" ht="15.75" customHeight="1" s="216"/>
    <row r="345" ht="15.75" customHeight="1" s="216"/>
    <row r="346" ht="15.75" customHeight="1" s="216"/>
    <row r="347" ht="15.75" customHeight="1" s="216"/>
    <row r="348" ht="15.75" customHeight="1" s="216"/>
    <row r="349" ht="15.75" customHeight="1" s="216"/>
    <row r="350" ht="15.75" customHeight="1" s="216"/>
    <row r="351" ht="15.75" customHeight="1" s="216"/>
    <row r="352" ht="15.75" customHeight="1" s="216"/>
    <row r="353" ht="15.75" customHeight="1" s="216"/>
    <row r="354" ht="15.75" customHeight="1" s="216"/>
    <row r="355" ht="15.75" customHeight="1" s="216"/>
    <row r="356" ht="15.75" customHeight="1" s="216"/>
    <row r="357" ht="15.75" customHeight="1" s="216"/>
    <row r="358" ht="15.75" customHeight="1" s="216"/>
    <row r="359" ht="15.75" customHeight="1" s="216"/>
    <row r="360" ht="15.75" customHeight="1" s="216"/>
    <row r="361" ht="15.75" customHeight="1" s="216"/>
    <row r="362" ht="15.75" customHeight="1" s="216"/>
    <row r="363" ht="15.75" customHeight="1" s="216"/>
    <row r="364" ht="15.75" customHeight="1" s="216"/>
    <row r="365" ht="15.75" customHeight="1" s="216"/>
    <row r="366" ht="15.75" customHeight="1" s="216"/>
    <row r="367" ht="15.75" customHeight="1" s="216"/>
    <row r="368" ht="15.75" customHeight="1" s="216"/>
    <row r="369" ht="15.75" customHeight="1" s="216"/>
    <row r="370" ht="15.75" customHeight="1" s="216"/>
    <row r="371" ht="15.75" customHeight="1" s="216"/>
    <row r="372" ht="15.75" customHeight="1" s="216"/>
    <row r="373" ht="15.75" customHeight="1" s="216"/>
    <row r="374" ht="15.75" customHeight="1" s="216"/>
    <row r="375" ht="15.75" customHeight="1" s="216"/>
    <row r="376" ht="15.75" customHeight="1" s="216"/>
    <row r="377" ht="15.75" customHeight="1" s="216"/>
    <row r="378" ht="15.75" customHeight="1" s="216"/>
    <row r="379" ht="15.75" customHeight="1" s="216"/>
    <row r="380" ht="15.75" customHeight="1" s="216"/>
    <row r="381" ht="15.75" customHeight="1" s="216"/>
    <row r="382" ht="15.75" customHeight="1" s="216"/>
    <row r="383" ht="15.75" customHeight="1" s="216"/>
    <row r="384" ht="15.75" customHeight="1" s="216"/>
    <row r="385" ht="15.75" customHeight="1" s="216"/>
    <row r="386" ht="15.75" customHeight="1" s="216"/>
    <row r="387" ht="15.75" customHeight="1" s="216"/>
    <row r="388" ht="15.75" customHeight="1" s="216"/>
    <row r="389" ht="15.75" customHeight="1" s="216"/>
    <row r="390" ht="15.75" customHeight="1" s="216"/>
    <row r="391" ht="15.75" customHeight="1" s="216"/>
    <row r="392" ht="15.75" customHeight="1" s="216"/>
    <row r="393" ht="15.75" customHeight="1" s="216"/>
    <row r="394" ht="15.75" customHeight="1" s="216"/>
    <row r="395" ht="15.75" customHeight="1" s="216"/>
    <row r="396" ht="15.75" customHeight="1" s="216"/>
    <row r="397" ht="15.75" customHeight="1" s="216"/>
    <row r="398" ht="15.75" customHeight="1" s="216"/>
    <row r="399" ht="15.75" customHeight="1" s="216"/>
    <row r="400" ht="15.75" customHeight="1" s="216"/>
    <row r="401" ht="15.75" customHeight="1" s="216"/>
    <row r="402" ht="15.75" customHeight="1" s="216"/>
    <row r="403" ht="15.75" customHeight="1" s="216"/>
    <row r="404" ht="15.75" customHeight="1" s="216"/>
    <row r="405" ht="15.75" customHeight="1" s="216"/>
    <row r="406" ht="15.75" customHeight="1" s="216"/>
    <row r="407" ht="15.75" customHeight="1" s="216"/>
    <row r="408" ht="15.75" customHeight="1" s="216"/>
    <row r="409" ht="15.75" customHeight="1" s="216"/>
    <row r="410" ht="15.75" customHeight="1" s="216"/>
    <row r="411" ht="15.75" customHeight="1" s="216"/>
    <row r="412" ht="15.75" customHeight="1" s="216"/>
    <row r="413" ht="15.75" customHeight="1" s="216"/>
    <row r="414" ht="15.75" customHeight="1" s="216"/>
    <row r="415" ht="15.75" customHeight="1" s="216"/>
    <row r="416" ht="15.75" customHeight="1" s="216"/>
    <row r="417" ht="15.75" customHeight="1" s="216"/>
    <row r="418" ht="15.75" customHeight="1" s="216"/>
    <row r="419" ht="15.75" customHeight="1" s="216"/>
    <row r="420" ht="15.75" customHeight="1" s="216"/>
    <row r="421" ht="15.75" customHeight="1" s="216"/>
    <row r="422" ht="15.75" customHeight="1" s="216"/>
    <row r="423" ht="15.75" customHeight="1" s="216"/>
    <row r="424" ht="15.75" customHeight="1" s="216"/>
    <row r="425" ht="15.75" customHeight="1" s="216"/>
    <row r="426" ht="15.75" customHeight="1" s="216"/>
    <row r="427" ht="15.75" customHeight="1" s="216"/>
    <row r="428" ht="15.75" customHeight="1" s="216"/>
    <row r="429" ht="15.75" customHeight="1" s="216"/>
    <row r="430" ht="15.75" customHeight="1" s="216"/>
    <row r="431" ht="15.75" customHeight="1" s="216"/>
    <row r="432" ht="15.75" customHeight="1" s="216"/>
    <row r="433" ht="15.75" customHeight="1" s="216"/>
    <row r="434" ht="15.75" customHeight="1" s="216"/>
    <row r="435" ht="15.75" customHeight="1" s="216"/>
    <row r="436" ht="15.75" customHeight="1" s="216"/>
    <row r="437" ht="15.75" customHeight="1" s="216"/>
    <row r="438" ht="15.75" customHeight="1" s="216"/>
    <row r="439" ht="15.75" customHeight="1" s="216"/>
    <row r="440" ht="15.75" customHeight="1" s="216"/>
    <row r="441" ht="15.75" customHeight="1" s="216"/>
    <row r="442" ht="15.75" customHeight="1" s="216"/>
    <row r="443" ht="15.75" customHeight="1" s="216"/>
    <row r="444" ht="15.75" customHeight="1" s="216"/>
    <row r="445" ht="15.75" customHeight="1" s="216"/>
    <row r="446" ht="15.75" customHeight="1" s="216"/>
    <row r="447" ht="15.75" customHeight="1" s="216"/>
    <row r="448" ht="15.75" customHeight="1" s="216"/>
    <row r="449" ht="15.75" customHeight="1" s="216"/>
    <row r="450" ht="15.75" customHeight="1" s="216"/>
    <row r="451" ht="15.75" customHeight="1" s="216"/>
    <row r="452" ht="15.75" customHeight="1" s="216"/>
    <row r="453" ht="15.75" customHeight="1" s="216"/>
    <row r="454" ht="15.75" customHeight="1" s="216"/>
    <row r="455" ht="15.75" customHeight="1" s="216"/>
    <row r="456" ht="15.75" customHeight="1" s="216"/>
    <row r="457" ht="15.75" customHeight="1" s="216"/>
    <row r="458" ht="15.75" customHeight="1" s="216"/>
    <row r="459" ht="15.75" customHeight="1" s="216"/>
    <row r="460" ht="15.75" customHeight="1" s="216"/>
    <row r="461" ht="15.75" customHeight="1" s="216"/>
    <row r="462" ht="15.75" customHeight="1" s="216"/>
    <row r="463" ht="15.75" customHeight="1" s="216"/>
    <row r="464" ht="15.75" customHeight="1" s="216"/>
    <row r="465" ht="15.75" customHeight="1" s="216"/>
    <row r="466" ht="15.75" customHeight="1" s="216"/>
    <row r="467" ht="15.75" customHeight="1" s="216"/>
    <row r="468" ht="15.75" customHeight="1" s="216"/>
    <row r="469" ht="15.75" customHeight="1" s="216"/>
    <row r="470" ht="15.75" customHeight="1" s="216"/>
    <row r="471" ht="15.75" customHeight="1" s="216"/>
    <row r="472" ht="15.75" customHeight="1" s="216"/>
    <row r="473" ht="15.75" customHeight="1" s="216"/>
    <row r="474" ht="15.75" customHeight="1" s="216"/>
    <row r="475" ht="15.75" customHeight="1" s="216"/>
    <row r="476" ht="15.75" customHeight="1" s="216"/>
    <row r="477" ht="15.75" customHeight="1" s="216"/>
    <row r="478" ht="15.75" customHeight="1" s="216"/>
    <row r="479" ht="15.75" customHeight="1" s="216"/>
    <row r="480" ht="15.75" customHeight="1" s="216"/>
    <row r="481" ht="15.75" customHeight="1" s="216"/>
    <row r="482" ht="15.75" customHeight="1" s="216"/>
    <row r="483" ht="15.75" customHeight="1" s="216"/>
    <row r="484" ht="15.75" customHeight="1" s="216"/>
    <row r="485" ht="15.75" customHeight="1" s="216"/>
    <row r="486" ht="15.75" customHeight="1" s="216"/>
    <row r="487" ht="15.75" customHeight="1" s="216"/>
    <row r="488" ht="15.75" customHeight="1" s="216"/>
    <row r="489" ht="15.75" customHeight="1" s="216"/>
    <row r="490" ht="15.75" customHeight="1" s="216"/>
    <row r="491" ht="15.75" customHeight="1" s="216"/>
    <row r="492" ht="15.75" customHeight="1" s="216"/>
    <row r="493" ht="15.75" customHeight="1" s="216"/>
    <row r="494" ht="15.75" customHeight="1" s="216"/>
    <row r="495" ht="15.75" customHeight="1" s="216"/>
    <row r="496" ht="15.75" customHeight="1" s="216"/>
    <row r="497" ht="15.75" customHeight="1" s="216"/>
    <row r="498" ht="15.75" customHeight="1" s="216"/>
    <row r="499" ht="15.75" customHeight="1" s="216"/>
    <row r="500" ht="15.75" customHeight="1" s="216"/>
    <row r="501" ht="15.75" customHeight="1" s="216"/>
    <row r="502" ht="15.75" customHeight="1" s="216"/>
    <row r="503" ht="15.75" customHeight="1" s="216"/>
    <row r="504" ht="15.75" customHeight="1" s="216"/>
    <row r="505" ht="15.75" customHeight="1" s="216"/>
    <row r="506" ht="15.75" customHeight="1" s="216"/>
    <row r="507" ht="15.75" customHeight="1" s="216"/>
    <row r="508" ht="15.75" customHeight="1" s="216"/>
    <row r="509" ht="15.75" customHeight="1" s="216"/>
    <row r="510" ht="15.75" customHeight="1" s="216"/>
    <row r="511" ht="15.75" customHeight="1" s="216"/>
    <row r="512" ht="15.75" customHeight="1" s="216"/>
    <row r="513" ht="15.75" customHeight="1" s="216"/>
    <row r="514" ht="15.75" customHeight="1" s="216"/>
    <row r="515" ht="15.75" customHeight="1" s="216"/>
    <row r="516" ht="15.75" customHeight="1" s="216"/>
    <row r="517" ht="15.75" customHeight="1" s="216"/>
    <row r="518" ht="15.75" customHeight="1" s="216"/>
    <row r="519" ht="15.75" customHeight="1" s="216"/>
    <row r="520" ht="15.75" customHeight="1" s="216"/>
    <row r="521" ht="15.75" customHeight="1" s="216"/>
    <row r="522" ht="15.75" customHeight="1" s="216"/>
    <row r="523" ht="15.75" customHeight="1" s="216"/>
    <row r="524" ht="15.75" customHeight="1" s="216"/>
    <row r="525" ht="15.75" customHeight="1" s="216"/>
    <row r="526" ht="15.75" customHeight="1" s="216"/>
    <row r="527" ht="15.75" customHeight="1" s="216"/>
    <row r="528" ht="15.75" customHeight="1" s="216"/>
    <row r="529" ht="15.75" customHeight="1" s="216"/>
    <row r="530" ht="15.75" customHeight="1" s="216"/>
    <row r="531" ht="15.75" customHeight="1" s="216"/>
    <row r="532" ht="15.75" customHeight="1" s="216"/>
    <row r="533" ht="15.75" customHeight="1" s="216"/>
    <row r="534" ht="15.75" customHeight="1" s="216"/>
    <row r="535" ht="15.75" customHeight="1" s="216"/>
    <row r="536" ht="15.75" customHeight="1" s="216"/>
    <row r="537" ht="15.75" customHeight="1" s="216"/>
    <row r="538" ht="15.75" customHeight="1" s="216"/>
    <row r="539" ht="15.75" customHeight="1" s="216"/>
    <row r="540" ht="15.75" customHeight="1" s="216"/>
    <row r="541" ht="15.75" customHeight="1" s="216"/>
    <row r="542" ht="15.75" customHeight="1" s="216"/>
    <row r="543" ht="15.75" customHeight="1" s="216"/>
    <row r="544" ht="15.75" customHeight="1" s="216"/>
    <row r="545" ht="15.75" customHeight="1" s="216"/>
    <row r="546" ht="15.75" customHeight="1" s="216"/>
    <row r="547" ht="15.75" customHeight="1" s="216"/>
    <row r="548" ht="15.75" customHeight="1" s="216"/>
    <row r="549" ht="15.75" customHeight="1" s="216"/>
    <row r="550" ht="15.75" customHeight="1" s="216"/>
    <row r="551" ht="15.75" customHeight="1" s="216"/>
    <row r="552" ht="15.75" customHeight="1" s="216"/>
    <row r="553" ht="15.75" customHeight="1" s="216"/>
    <row r="554" ht="15.75" customHeight="1" s="216"/>
    <row r="555" ht="15.75" customHeight="1" s="216"/>
    <row r="556" ht="15.75" customHeight="1" s="216"/>
    <row r="557" ht="15.75" customHeight="1" s="216"/>
    <row r="558" ht="15.75" customHeight="1" s="216"/>
    <row r="559" ht="15.75" customHeight="1" s="216"/>
    <row r="560" ht="15.75" customHeight="1" s="216"/>
    <row r="561" ht="15.75" customHeight="1" s="216"/>
    <row r="562" ht="15.75" customHeight="1" s="216"/>
    <row r="563" ht="15.75" customHeight="1" s="216"/>
    <row r="564" ht="15.75" customHeight="1" s="216"/>
    <row r="565" ht="15.75" customHeight="1" s="216"/>
    <row r="566" ht="15.75" customHeight="1" s="216"/>
    <row r="567" ht="15.75" customHeight="1" s="216"/>
    <row r="568" ht="15.75" customHeight="1" s="216"/>
    <row r="569" ht="15.75" customHeight="1" s="216"/>
    <row r="570" ht="15.75" customHeight="1" s="216"/>
    <row r="571" ht="15.75" customHeight="1" s="216"/>
    <row r="572" ht="15.75" customHeight="1" s="216"/>
    <row r="573" ht="15.75" customHeight="1" s="216"/>
    <row r="574" ht="15.75" customHeight="1" s="216"/>
    <row r="575" ht="15.75" customHeight="1" s="216"/>
    <row r="576" ht="15.75" customHeight="1" s="216"/>
    <row r="577" ht="15.75" customHeight="1" s="216"/>
    <row r="578" ht="15.75" customHeight="1" s="216"/>
    <row r="579" ht="15.75" customHeight="1" s="216"/>
    <row r="580" ht="15.75" customHeight="1" s="216"/>
    <row r="581" ht="15.75" customHeight="1" s="216"/>
    <row r="582" ht="15.75" customHeight="1" s="216"/>
    <row r="583" ht="15.75" customHeight="1" s="216"/>
    <row r="584" ht="15.75" customHeight="1" s="216"/>
    <row r="585" ht="15.75" customHeight="1" s="216"/>
    <row r="586" ht="15.75" customHeight="1" s="216"/>
    <row r="587" ht="15.75" customHeight="1" s="216"/>
    <row r="588" ht="15.75" customHeight="1" s="216"/>
    <row r="589" ht="15.75" customHeight="1" s="216"/>
    <row r="590" ht="15.75" customHeight="1" s="216"/>
    <row r="591" ht="15.75" customHeight="1" s="216"/>
    <row r="592" ht="15.75" customHeight="1" s="216"/>
    <row r="593" ht="15.75" customHeight="1" s="216"/>
    <row r="594" ht="15.75" customHeight="1" s="216"/>
    <row r="595" ht="15.75" customHeight="1" s="216"/>
    <row r="596" ht="15.75" customHeight="1" s="216"/>
    <row r="597" ht="15.75" customHeight="1" s="216"/>
    <row r="598" ht="15.75" customHeight="1" s="216"/>
    <row r="599" ht="15.75" customHeight="1" s="216"/>
    <row r="600" ht="15.75" customHeight="1" s="216"/>
    <row r="601" ht="15.75" customHeight="1" s="216"/>
    <row r="602" ht="15.75" customHeight="1" s="216"/>
    <row r="603" ht="15.75" customHeight="1" s="216"/>
    <row r="604" ht="15.75" customHeight="1" s="216"/>
    <row r="605" ht="15.75" customHeight="1" s="216"/>
    <row r="606" ht="15.75" customHeight="1" s="216"/>
    <row r="607" ht="15.75" customHeight="1" s="216"/>
    <row r="608" ht="15.75" customHeight="1" s="216"/>
    <row r="609" ht="15.75" customHeight="1" s="216"/>
    <row r="610" ht="15.75" customHeight="1" s="216"/>
    <row r="611" ht="15.75" customHeight="1" s="216"/>
    <row r="612" ht="15.75" customHeight="1" s="216"/>
    <row r="613" ht="15.75" customHeight="1" s="216"/>
    <row r="614" ht="15.75" customHeight="1" s="216"/>
    <row r="615" ht="15.75" customHeight="1" s="216"/>
    <row r="616" ht="15.75" customHeight="1" s="216"/>
    <row r="617" ht="15.75" customHeight="1" s="216"/>
    <row r="618" ht="15.75" customHeight="1" s="216"/>
    <row r="619" ht="15.75" customHeight="1" s="216"/>
    <row r="620" ht="15.75" customHeight="1" s="216"/>
    <row r="621" ht="15.75" customHeight="1" s="216"/>
    <row r="622" ht="15.75" customHeight="1" s="216"/>
    <row r="623" ht="15.75" customHeight="1" s="216"/>
    <row r="624" ht="15.75" customHeight="1" s="216"/>
    <row r="625" ht="15.75" customHeight="1" s="216"/>
    <row r="626" ht="15.75" customHeight="1" s="216"/>
    <row r="627" ht="15.75" customHeight="1" s="216"/>
    <row r="628" ht="15.75" customHeight="1" s="216"/>
    <row r="629" ht="15.75" customHeight="1" s="216"/>
    <row r="630" ht="15.75" customHeight="1" s="216"/>
    <row r="631" ht="15.75" customHeight="1" s="216"/>
    <row r="632" ht="15.75" customHeight="1" s="216"/>
    <row r="633" ht="15.75" customHeight="1" s="216"/>
    <row r="634" ht="15.75" customHeight="1" s="216"/>
    <row r="635" ht="15.75" customHeight="1" s="216"/>
    <row r="636" ht="15.75" customHeight="1" s="216"/>
    <row r="637" ht="15.75" customHeight="1" s="216"/>
    <row r="638" ht="15.75" customHeight="1" s="216"/>
    <row r="639" ht="15.75" customHeight="1" s="216"/>
    <row r="640" ht="15.75" customHeight="1" s="216"/>
    <row r="641" ht="15.75" customHeight="1" s="216"/>
    <row r="642" ht="15.75" customHeight="1" s="216"/>
    <row r="643" ht="15.75" customHeight="1" s="216"/>
    <row r="644" ht="15.75" customHeight="1" s="216"/>
    <row r="645" ht="15.75" customHeight="1" s="216"/>
    <row r="646" ht="15.75" customHeight="1" s="216"/>
    <row r="647" ht="15.75" customHeight="1" s="216"/>
    <row r="648" ht="15.75" customHeight="1" s="216"/>
    <row r="649" ht="15.75" customHeight="1" s="216"/>
    <row r="650" ht="15.75" customHeight="1" s="216"/>
    <row r="651" ht="15.75" customHeight="1" s="216"/>
    <row r="652" ht="15.75" customHeight="1" s="216"/>
    <row r="653" ht="15.75" customHeight="1" s="216"/>
    <row r="654" ht="15.75" customHeight="1" s="216"/>
    <row r="655" ht="15.75" customHeight="1" s="216"/>
    <row r="656" ht="15.75" customHeight="1" s="216"/>
    <row r="657" ht="15.75" customHeight="1" s="216"/>
    <row r="658" ht="15.75" customHeight="1" s="216"/>
    <row r="659" ht="15.75" customHeight="1" s="216"/>
    <row r="660" ht="15.75" customHeight="1" s="216"/>
    <row r="661" ht="15.75" customHeight="1" s="216"/>
    <row r="662" ht="15.75" customHeight="1" s="216"/>
    <row r="663" ht="15.75" customHeight="1" s="216"/>
    <row r="664" ht="15.75" customHeight="1" s="216"/>
    <row r="665" ht="15.75" customHeight="1" s="216"/>
    <row r="666" ht="15.75" customHeight="1" s="216"/>
    <row r="667" ht="15.75" customHeight="1" s="216"/>
    <row r="668" ht="15.75" customHeight="1" s="216"/>
    <row r="669" ht="15.75" customHeight="1" s="216"/>
    <row r="670" ht="15.75" customHeight="1" s="216"/>
    <row r="671" ht="15.75" customHeight="1" s="216"/>
    <row r="672" ht="15.75" customHeight="1" s="216"/>
    <row r="673" ht="15.75" customHeight="1" s="216"/>
    <row r="674" ht="15.75" customHeight="1" s="216"/>
    <row r="675" ht="15.75" customHeight="1" s="216"/>
    <row r="676" ht="15.75" customHeight="1" s="216"/>
    <row r="677" ht="15.75" customHeight="1" s="216"/>
    <row r="678" ht="15.75" customHeight="1" s="216"/>
    <row r="679" ht="15.75" customHeight="1" s="216"/>
    <row r="680" ht="15.75" customHeight="1" s="216"/>
    <row r="681" ht="15.75" customHeight="1" s="216"/>
    <row r="682" ht="15.75" customHeight="1" s="216"/>
    <row r="683" ht="15.75" customHeight="1" s="216"/>
    <row r="684" ht="15.75" customHeight="1" s="216"/>
    <row r="685" ht="15.75" customHeight="1" s="216"/>
    <row r="686" ht="15.75" customHeight="1" s="216"/>
    <row r="687" ht="15.75" customHeight="1" s="216"/>
    <row r="688" ht="15.75" customHeight="1" s="216"/>
    <row r="689" ht="15.75" customHeight="1" s="216"/>
    <row r="690" ht="15.75" customHeight="1" s="216"/>
    <row r="691" ht="15.75" customHeight="1" s="216"/>
    <row r="692" ht="15.75" customHeight="1" s="216"/>
    <row r="693" ht="15.75" customHeight="1" s="216"/>
    <row r="694" ht="15.75" customHeight="1" s="216"/>
    <row r="695" ht="15.75" customHeight="1" s="216"/>
    <row r="696" ht="15.75" customHeight="1" s="216"/>
    <row r="697" ht="15.75" customHeight="1" s="216"/>
    <row r="698" ht="15.75" customHeight="1" s="216"/>
    <row r="699" ht="15.75" customHeight="1" s="216"/>
    <row r="700" ht="15.75" customHeight="1" s="216"/>
    <row r="701" ht="15.75" customHeight="1" s="216"/>
    <row r="702" ht="15.75" customHeight="1" s="216"/>
    <row r="703" ht="15.75" customHeight="1" s="216"/>
    <row r="704" ht="15.75" customHeight="1" s="216"/>
    <row r="705" ht="15.75" customHeight="1" s="216"/>
    <row r="706" ht="15.75" customHeight="1" s="216"/>
    <row r="707" ht="15.75" customHeight="1" s="216"/>
    <row r="708" ht="15.75" customHeight="1" s="216"/>
    <row r="709" ht="15.75" customHeight="1" s="216"/>
    <row r="710" ht="15.75" customHeight="1" s="216"/>
    <row r="711" ht="15.75" customHeight="1" s="216"/>
    <row r="712" ht="15.75" customHeight="1" s="216"/>
    <row r="713" ht="15.75" customHeight="1" s="216"/>
    <row r="714" ht="15.75" customHeight="1" s="216"/>
    <row r="715" ht="15.75" customHeight="1" s="216"/>
    <row r="716" ht="15.75" customHeight="1" s="216"/>
    <row r="717" ht="15.75" customHeight="1" s="216"/>
    <row r="718" ht="15.75" customHeight="1" s="216"/>
    <row r="719" ht="15.75" customHeight="1" s="216"/>
    <row r="720" ht="15.75" customHeight="1" s="216"/>
    <row r="721" ht="15.75" customHeight="1" s="216"/>
    <row r="722" ht="15.75" customHeight="1" s="216"/>
    <row r="723" ht="15.75" customHeight="1" s="216"/>
    <row r="724" ht="15.75" customHeight="1" s="216"/>
    <row r="725" ht="15.75" customHeight="1" s="216"/>
    <row r="726" ht="15.75" customHeight="1" s="216"/>
    <row r="727" ht="15.75" customHeight="1" s="216"/>
    <row r="728" ht="15.75" customHeight="1" s="216"/>
    <row r="729" ht="15.75" customHeight="1" s="216"/>
    <row r="730" ht="15.75" customHeight="1" s="216"/>
    <row r="731" ht="15.75" customHeight="1" s="216"/>
    <row r="732" ht="15.75" customHeight="1" s="216"/>
    <row r="733" ht="15.75" customHeight="1" s="216"/>
    <row r="734" ht="15.75" customHeight="1" s="216"/>
    <row r="735" ht="15.75" customHeight="1" s="216"/>
    <row r="736" ht="15.75" customHeight="1" s="216"/>
    <row r="737" ht="15.75" customHeight="1" s="216"/>
    <row r="738" ht="15.75" customHeight="1" s="216"/>
    <row r="739" ht="15.75" customHeight="1" s="216"/>
    <row r="740" ht="15.75" customHeight="1" s="216"/>
    <row r="741" ht="15.75" customHeight="1" s="216"/>
    <row r="742" ht="15.75" customHeight="1" s="216"/>
    <row r="743" ht="15.75" customHeight="1" s="216"/>
    <row r="744" ht="15.75" customHeight="1" s="216"/>
    <row r="745" ht="15.75" customHeight="1" s="216"/>
    <row r="746" ht="15.75" customHeight="1" s="216"/>
    <row r="747" ht="15.75" customHeight="1" s="216"/>
    <row r="748" ht="15.75" customHeight="1" s="216"/>
    <row r="749" ht="15.75" customHeight="1" s="216"/>
    <row r="750" ht="15.75" customHeight="1" s="216"/>
    <row r="751" ht="15.75" customHeight="1" s="216"/>
    <row r="752" ht="15.75" customHeight="1" s="216"/>
    <row r="753" ht="15.75" customHeight="1" s="216"/>
    <row r="754" ht="15.75" customHeight="1" s="216"/>
    <row r="755" ht="15.75" customHeight="1" s="216"/>
    <row r="756" ht="15.75" customHeight="1" s="216"/>
    <row r="757" ht="15.75" customHeight="1" s="216"/>
    <row r="758" ht="15.75" customHeight="1" s="216"/>
    <row r="759" ht="15.75" customHeight="1" s="216"/>
    <row r="760" ht="15.75" customHeight="1" s="216"/>
    <row r="761" ht="15.75" customHeight="1" s="216"/>
    <row r="762" ht="15.75" customHeight="1" s="216"/>
    <row r="763" ht="15.75" customHeight="1" s="216"/>
    <row r="764" ht="15.75" customHeight="1" s="216"/>
    <row r="765" ht="15.75" customHeight="1" s="216"/>
    <row r="766" ht="15.75" customHeight="1" s="216"/>
    <row r="767" ht="15.75" customHeight="1" s="216"/>
    <row r="768" ht="15.75" customHeight="1" s="216"/>
    <row r="769" ht="15.75" customHeight="1" s="216"/>
    <row r="770" ht="15.75" customHeight="1" s="216"/>
    <row r="771" ht="15.75" customHeight="1" s="216"/>
    <row r="772" ht="15.75" customHeight="1" s="216"/>
    <row r="773" ht="15.75" customHeight="1" s="216"/>
    <row r="774" ht="15.75" customHeight="1" s="216"/>
    <row r="775" ht="15.75" customHeight="1" s="216"/>
    <row r="776" ht="15.75" customHeight="1" s="216"/>
    <row r="777" ht="15.75" customHeight="1" s="216"/>
    <row r="778" ht="15.75" customHeight="1" s="216"/>
    <row r="779" ht="15.75" customHeight="1" s="216"/>
    <row r="780" ht="15.75" customHeight="1" s="216"/>
    <row r="781" ht="15.75" customHeight="1" s="216"/>
    <row r="782" ht="15.75" customHeight="1" s="216"/>
    <row r="783" ht="15.75" customHeight="1" s="216"/>
    <row r="784" ht="15.75" customHeight="1" s="216"/>
    <row r="785" ht="15.75" customHeight="1" s="216"/>
    <row r="786" ht="15.75" customHeight="1" s="216"/>
    <row r="787" ht="15.75" customHeight="1" s="216"/>
    <row r="788" ht="15.75" customHeight="1" s="216"/>
    <row r="789" ht="15.75" customHeight="1" s="216"/>
    <row r="790" ht="15.75" customHeight="1" s="216"/>
    <row r="791" ht="15.75" customHeight="1" s="216"/>
    <row r="792" ht="15.75" customHeight="1" s="216"/>
    <row r="793" ht="15.75" customHeight="1" s="216"/>
    <row r="794" ht="15.75" customHeight="1" s="216"/>
    <row r="795" ht="15.75" customHeight="1" s="216"/>
    <row r="796" ht="15.75" customHeight="1" s="216"/>
    <row r="797" ht="15.75" customHeight="1" s="216"/>
    <row r="798" ht="15.75" customHeight="1" s="216"/>
    <row r="799" ht="15.75" customHeight="1" s="216"/>
    <row r="800" ht="15.75" customHeight="1" s="216"/>
    <row r="801" ht="15.75" customHeight="1" s="216"/>
    <row r="802" ht="15.75" customHeight="1" s="216"/>
    <row r="803" ht="15.75" customHeight="1" s="216"/>
    <row r="804" ht="15.75" customHeight="1" s="216"/>
    <row r="805" ht="15.75" customHeight="1" s="216"/>
    <row r="806" ht="15.75" customHeight="1" s="216"/>
    <row r="807" ht="15.75" customHeight="1" s="216"/>
    <row r="808" ht="15.75" customHeight="1" s="216"/>
    <row r="809" ht="15.75" customHeight="1" s="216"/>
    <row r="810" ht="15.75" customHeight="1" s="216"/>
    <row r="811" ht="15.75" customHeight="1" s="216"/>
    <row r="812" ht="15.75" customHeight="1" s="216"/>
    <row r="813" ht="15.75" customHeight="1" s="216"/>
    <row r="814" ht="15.75" customHeight="1" s="216"/>
    <row r="815" ht="15.75" customHeight="1" s="216"/>
    <row r="816" ht="15.75" customHeight="1" s="216"/>
    <row r="817" ht="15.75" customHeight="1" s="216"/>
    <row r="818" ht="15.75" customHeight="1" s="216"/>
    <row r="819" ht="15.75" customHeight="1" s="216"/>
    <row r="820" ht="15.75" customHeight="1" s="216"/>
    <row r="821" ht="15.75" customHeight="1" s="216"/>
    <row r="822" ht="15.75" customHeight="1" s="216"/>
    <row r="823" ht="15.75" customHeight="1" s="216"/>
    <row r="824" ht="15.75" customHeight="1" s="216"/>
    <row r="825" ht="15.75" customHeight="1" s="216"/>
    <row r="826" ht="15.75" customHeight="1" s="216"/>
    <row r="827" ht="15.75" customHeight="1" s="216"/>
    <row r="828" ht="15.75" customHeight="1" s="216"/>
    <row r="829" ht="15.75" customHeight="1" s="216"/>
    <row r="830" ht="15.75" customHeight="1" s="216"/>
    <row r="831" ht="15.75" customHeight="1" s="216"/>
    <row r="832" ht="15.75" customHeight="1" s="216"/>
    <row r="833" ht="15.75" customHeight="1" s="216"/>
    <row r="834" ht="15.75" customHeight="1" s="216"/>
    <row r="835" ht="15.75" customHeight="1" s="216"/>
    <row r="836" ht="15.75" customHeight="1" s="216"/>
    <row r="837" ht="15.75" customHeight="1" s="216"/>
    <row r="838" ht="15.75" customHeight="1" s="216"/>
    <row r="839" ht="15.75" customHeight="1" s="216"/>
    <row r="840" ht="15.75" customHeight="1" s="216"/>
    <row r="841" ht="15.75" customHeight="1" s="216"/>
    <row r="842" ht="15.75" customHeight="1" s="216"/>
    <row r="843" ht="15.75" customHeight="1" s="216"/>
    <row r="844" ht="15.75" customHeight="1" s="216"/>
    <row r="845" ht="15.75" customHeight="1" s="216"/>
    <row r="846" ht="15.75" customHeight="1" s="216"/>
    <row r="847" ht="15.75" customHeight="1" s="216"/>
    <row r="848" ht="15.75" customHeight="1" s="216"/>
    <row r="849" ht="15.75" customHeight="1" s="216"/>
    <row r="850" ht="15.75" customHeight="1" s="216"/>
    <row r="851" ht="15.75" customHeight="1" s="216"/>
    <row r="852" ht="15.75" customHeight="1" s="216"/>
    <row r="853" ht="15.75" customHeight="1" s="216"/>
    <row r="854" ht="15.75" customHeight="1" s="216"/>
    <row r="855" ht="15.75" customHeight="1" s="216"/>
    <row r="856" ht="15.75" customHeight="1" s="216"/>
    <row r="857" ht="15.75" customHeight="1" s="216"/>
    <row r="858" ht="15.75" customHeight="1" s="216"/>
    <row r="859" ht="15.75" customHeight="1" s="216"/>
    <row r="860" ht="15.75" customHeight="1" s="216"/>
    <row r="861" ht="15.75" customHeight="1" s="216"/>
    <row r="862" ht="15.75" customHeight="1" s="216"/>
    <row r="863" ht="15.75" customHeight="1" s="216"/>
    <row r="864" ht="15.75" customHeight="1" s="216"/>
    <row r="865" ht="15.75" customHeight="1" s="216"/>
    <row r="866" ht="15.75" customHeight="1" s="216"/>
    <row r="867" ht="15.75" customHeight="1" s="216"/>
    <row r="868" ht="15.75" customHeight="1" s="216"/>
    <row r="869" ht="15.75" customHeight="1" s="216"/>
    <row r="870" ht="15.75" customHeight="1" s="216"/>
    <row r="871" ht="15.75" customHeight="1" s="216"/>
    <row r="872" ht="15.75" customHeight="1" s="216"/>
    <row r="873" ht="15.75" customHeight="1" s="216"/>
    <row r="874" ht="15.75" customHeight="1" s="216"/>
    <row r="875" ht="15.75" customHeight="1" s="216"/>
    <row r="876" ht="15.75" customHeight="1" s="216"/>
    <row r="877" ht="15.75" customHeight="1" s="216"/>
    <row r="878" ht="15.75" customHeight="1" s="216"/>
    <row r="879" ht="15.75" customHeight="1" s="216"/>
    <row r="880" ht="15.75" customHeight="1" s="216"/>
    <row r="881" ht="15.75" customHeight="1" s="216"/>
    <row r="882" ht="15.75" customHeight="1" s="216"/>
    <row r="883" ht="15.75" customHeight="1" s="216"/>
    <row r="884" ht="15.75" customHeight="1" s="216"/>
    <row r="885" ht="15.75" customHeight="1" s="216"/>
    <row r="886" ht="15.75" customHeight="1" s="216"/>
    <row r="887" ht="15.75" customHeight="1" s="216"/>
    <row r="888" ht="15.75" customHeight="1" s="216"/>
    <row r="889" ht="15.75" customHeight="1" s="216"/>
    <row r="890" ht="15.75" customHeight="1" s="216"/>
    <row r="891" ht="15.75" customHeight="1" s="216"/>
    <row r="892" ht="15.75" customHeight="1" s="216"/>
    <row r="893" ht="15.75" customHeight="1" s="216"/>
    <row r="894" ht="15.75" customHeight="1" s="216"/>
    <row r="895" ht="15.75" customHeight="1" s="216"/>
    <row r="896" ht="15.75" customHeight="1" s="216"/>
    <row r="897" ht="15.75" customHeight="1" s="216"/>
    <row r="898" ht="15.75" customHeight="1" s="216"/>
    <row r="899" ht="15.75" customHeight="1" s="216"/>
    <row r="900" ht="15.75" customHeight="1" s="216"/>
    <row r="901" ht="15.75" customHeight="1" s="216"/>
    <row r="902" ht="15.75" customHeight="1" s="216"/>
    <row r="903" ht="15.75" customHeight="1" s="216"/>
    <row r="904" ht="15.75" customHeight="1" s="216"/>
    <row r="905" ht="15.75" customHeight="1" s="216"/>
    <row r="906" ht="15.75" customHeight="1" s="216"/>
    <row r="907" ht="15.75" customHeight="1" s="216"/>
    <row r="908" ht="15.75" customHeight="1" s="216"/>
    <row r="909" ht="15.75" customHeight="1" s="216"/>
    <row r="910" ht="15.75" customHeight="1" s="216"/>
    <row r="911" ht="15.75" customHeight="1" s="216"/>
    <row r="912" ht="15.75" customHeight="1" s="216"/>
    <row r="913" ht="15.75" customHeight="1" s="216"/>
    <row r="914" ht="15.75" customHeight="1" s="216"/>
    <row r="915" ht="15.75" customHeight="1" s="216"/>
    <row r="916" ht="15.75" customHeight="1" s="216"/>
    <row r="917" ht="15.75" customHeight="1" s="216"/>
    <row r="918" ht="15.75" customHeight="1" s="216"/>
    <row r="919" ht="15.75" customHeight="1" s="216"/>
    <row r="920" ht="15.75" customHeight="1" s="216"/>
    <row r="921" ht="15.75" customHeight="1" s="216"/>
    <row r="922" ht="15.75" customHeight="1" s="216"/>
    <row r="923" ht="15.75" customHeight="1" s="216"/>
    <row r="924" ht="15.75" customHeight="1" s="216"/>
    <row r="925" ht="15.75" customHeight="1" s="216"/>
    <row r="926" ht="15.75" customHeight="1" s="216"/>
    <row r="927" ht="15.75" customHeight="1" s="216"/>
    <row r="928" ht="15.75" customHeight="1" s="216"/>
    <row r="929" ht="15.75" customHeight="1" s="216"/>
    <row r="930" ht="15.75" customHeight="1" s="216"/>
    <row r="931" ht="15.75" customHeight="1" s="216"/>
    <row r="932" ht="15.75" customHeight="1" s="216"/>
    <row r="933" ht="15.75" customHeight="1" s="216"/>
    <row r="934" ht="15.75" customHeight="1" s="216"/>
    <row r="935" ht="15.75" customHeight="1" s="216"/>
    <row r="936" ht="15.75" customHeight="1" s="216"/>
    <row r="937" ht="15.75" customHeight="1" s="216"/>
    <row r="938" ht="15.75" customHeight="1" s="216"/>
    <row r="939" ht="15.75" customHeight="1" s="216"/>
    <row r="940" ht="15.75" customHeight="1" s="216"/>
    <row r="941" ht="15.75" customHeight="1" s="216"/>
    <row r="942" ht="15.75" customHeight="1" s="216"/>
    <row r="943" ht="15.75" customHeight="1" s="216"/>
    <row r="944" ht="15.75" customHeight="1" s="216"/>
    <row r="945" ht="15.75" customHeight="1" s="216"/>
    <row r="946" ht="15.75" customHeight="1" s="216"/>
    <row r="947" ht="15.75" customHeight="1" s="216"/>
    <row r="948" ht="15.75" customHeight="1" s="216"/>
    <row r="949" ht="15.75" customHeight="1" s="216"/>
    <row r="950" ht="15.75" customHeight="1" s="216"/>
    <row r="951" ht="15.75" customHeight="1" s="216"/>
    <row r="952" ht="15.75" customHeight="1" s="216"/>
    <row r="953" ht="15.75" customHeight="1" s="216"/>
    <row r="954" ht="15.75" customHeight="1" s="216"/>
    <row r="955" ht="15.75" customHeight="1" s="216"/>
    <row r="956" ht="15.75" customHeight="1" s="216"/>
    <row r="957" ht="15.75" customHeight="1" s="216"/>
    <row r="958" ht="15.75" customHeight="1" s="216"/>
    <row r="959" ht="15.75" customHeight="1" s="216"/>
    <row r="960" ht="15.75" customHeight="1" s="216"/>
    <row r="961" ht="15.75" customHeight="1" s="216"/>
    <row r="962" ht="15.75" customHeight="1" s="216"/>
    <row r="963" ht="15.75" customHeight="1" s="216"/>
    <row r="964" ht="15.75" customHeight="1" s="216"/>
    <row r="965" ht="15.75" customHeight="1" s="216"/>
    <row r="966" ht="15.75" customHeight="1" s="216"/>
    <row r="967" ht="15.75" customHeight="1" s="216"/>
    <row r="968" ht="15.75" customHeight="1" s="216"/>
    <row r="969" ht="15.75" customHeight="1" s="216"/>
    <row r="970" ht="15.75" customHeight="1" s="216"/>
    <row r="971" ht="15.75" customHeight="1" s="216"/>
    <row r="972" ht="15.75" customHeight="1" s="216"/>
    <row r="973" ht="15.75" customHeight="1" s="216"/>
    <row r="974" ht="15.75" customHeight="1" s="216"/>
    <row r="975" ht="15.75" customHeight="1" s="216"/>
    <row r="976" ht="15.75" customHeight="1" s="216"/>
    <row r="977" ht="15.75" customHeight="1" s="216"/>
    <row r="978" ht="15.75" customHeight="1" s="216"/>
    <row r="979" ht="15.75" customHeight="1" s="216"/>
    <row r="980" ht="15.75" customHeight="1" s="216"/>
    <row r="981" ht="15.75" customHeight="1" s="216"/>
    <row r="982" ht="15.75" customHeight="1" s="216"/>
    <row r="983" ht="15.75" customHeight="1" s="216"/>
    <row r="984" ht="15.75" customHeight="1" s="216"/>
    <row r="985" ht="15.75" customHeight="1" s="216"/>
    <row r="986" ht="15.75" customHeight="1" s="216"/>
    <row r="987" ht="15.75" customHeight="1" s="216"/>
    <row r="988" ht="15.75" customHeight="1" s="216"/>
    <row r="989" ht="15.75" customHeight="1" s="216"/>
    <row r="990" ht="15.75" customHeight="1" s="216"/>
    <row r="991" ht="15.75" customHeight="1" s="216"/>
    <row r="992" ht="15.75" customHeight="1" s="216"/>
    <row r="993" ht="15.75" customHeight="1" s="216"/>
    <row r="994" ht="15.75" customHeight="1" s="216"/>
    <row r="995" ht="15.75" customHeight="1" s="216"/>
    <row r="996" ht="15.75" customHeight="1" s="216"/>
    <row r="997" ht="15.75" customHeight="1" s="216"/>
    <row r="998" ht="15.75" customHeight="1" s="216"/>
    <row r="999" ht="15.75" customHeight="1" s="216"/>
    <row r="1000" ht="15.75" customHeight="1" s="216"/>
  </sheetData>
  <mergeCells count="4">
    <mergeCell ref="B16:H16"/>
    <mergeCell ref="F2:H2"/>
    <mergeCell ref="B17:H17"/>
    <mergeCell ref="B18:H18"/>
  </mergeCells>
  <pageMargins left="0.75" right="0.75" top="1" bottom="1" header="0" footer="0"/>
  <pageSetup orientation="landscape"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J264"/>
  <sheetViews>
    <sheetView showGridLines="0" workbookViewId="0">
      <selection activeCell="A1" sqref="A1"/>
    </sheetView>
  </sheetViews>
  <sheetFormatPr baseColWidth="8" defaultColWidth="14.43" defaultRowHeight="15" customHeight="1"/>
  <cols>
    <col width="3" customWidth="1" style="216" min="1" max="1"/>
    <col width="26" customWidth="1" style="216" min="2" max="2"/>
    <col width="11" customWidth="1" style="216" min="3" max="6"/>
    <col width="16.14" customWidth="1" style="216" min="7" max="7"/>
  </cols>
  <sheetData>
    <row r="1">
      <c r="A1" s="1" t="n"/>
      <c r="B1" s="1" t="n"/>
      <c r="C1" s="1" t="n"/>
      <c r="D1" s="1" t="n"/>
      <c r="E1" s="1" t="n"/>
      <c r="F1" s="1" t="n"/>
      <c r="G1" s="1" t="n"/>
    </row>
    <row r="2">
      <c r="A2" s="1" t="n"/>
      <c r="B2" s="36" t="inlineStr">
        <is>
          <t>SUMMARY — Thiết lập chung &amp; Chỉ số Test Case</t>
        </is>
      </c>
      <c r="C2" s="1" t="n"/>
      <c r="D2" s="1" t="n"/>
      <c r="E2" s="1" t="n"/>
      <c r="F2" s="1" t="n"/>
      <c r="G2" s="1" t="n"/>
    </row>
    <row r="3">
      <c r="A3" s="1" t="n"/>
      <c r="B3" s="37" t="inlineStr">
        <is>
          <t>Sheet SETUP CHUNG. Chỉ số TỔNG QUAN bên dưới được GOM TỰ ĐỘNG từ TẤT CẢ sheet Test Case, quản lý ở sheet "Dashboard".</t>
        </is>
      </c>
      <c r="C3" s="1" t="n"/>
      <c r="D3" s="1" t="n"/>
      <c r="E3" s="1" t="n"/>
      <c r="F3" s="1" t="n"/>
      <c r="G3" s="1" t="n"/>
    </row>
    <row r="4">
      <c r="A4" s="1" t="n"/>
      <c r="B4" s="1" t="n"/>
      <c r="C4" s="1" t="n"/>
      <c r="D4" s="1" t="n"/>
      <c r="E4" s="1" t="n"/>
      <c r="F4" s="1" t="n"/>
      <c r="G4" s="1" t="n"/>
    </row>
    <row r="5" ht="40.5" customHeight="1" s="216">
      <c r="A5" s="1" t="n"/>
      <c r="B5" s="223" t="inlineStr">
        <is>
          <t>THIẾT LẬP CHUNG</t>
        </is>
      </c>
      <c r="C5" s="220" t="n"/>
      <c r="D5" s="220" t="n"/>
      <c r="E5" s="218" t="n"/>
      <c r="F5" s="1" t="n"/>
      <c r="G5" s="1" t="n"/>
    </row>
    <row r="6" ht="15" customHeight="1" s="216">
      <c r="A6" s="1" t="n"/>
      <c r="B6" s="39" t="inlineStr">
        <is>
          <t>Tên dự án</t>
        </is>
      </c>
      <c r="C6" s="105" t="inlineStr">
        <is>
          <t>FoxEco</t>
        </is>
      </c>
      <c r="D6" s="220" t="n"/>
      <c r="E6" s="218" t="n"/>
      <c r="F6" s="1" t="n"/>
      <c r="G6" s="1" t="n"/>
    </row>
    <row r="7" ht="15" customHeight="1" s="216">
      <c r="A7" s="1" t="n"/>
      <c r="B7" s="39" t="inlineStr">
        <is>
          <t>Mã tài liệu</t>
        </is>
      </c>
      <c r="C7" s="174" t="inlineStr">
        <is>
          <t>7.1-BM/PM/HDCV/ISC</t>
        </is>
      </c>
      <c r="D7" s="220" t="n"/>
      <c r="E7" s="218" t="n"/>
      <c r="F7" s="1" t="n"/>
      <c r="G7" s="1" t="n"/>
    </row>
    <row r="8" ht="15" customHeight="1" s="216">
      <c r="A8" s="1" t="n"/>
      <c r="B8" s="39" t="inlineStr">
        <is>
          <t>Version</t>
        </is>
      </c>
      <c r="C8" s="105" t="inlineStr">
        <is>
          <t>v1.1</t>
        </is>
      </c>
      <c r="D8" s="220" t="n"/>
      <c r="E8" s="218" t="n"/>
      <c r="F8" s="1" t="n"/>
      <c r="G8" s="1" t="n"/>
    </row>
    <row r="9" ht="15" customHeight="1" s="216">
      <c r="A9" s="1" t="n"/>
      <c r="B9" s="39" t="inlineStr">
        <is>
          <t>Sprint</t>
        </is>
      </c>
      <c r="C9" s="105" t="inlineStr">
        <is>
          <t>R1</t>
        </is>
      </c>
      <c r="D9" s="220" t="n"/>
      <c r="E9" s="218" t="n"/>
      <c r="F9" s="1" t="n"/>
      <c r="G9" s="1" t="n"/>
    </row>
    <row r="10">
      <c r="A10" s="1" t="n"/>
      <c r="B10" s="39" t="inlineStr">
        <is>
          <t>Ngày bắt đầu test</t>
        </is>
      </c>
      <c r="C10" s="224" t="n">
        <v>46283</v>
      </c>
      <c r="D10" s="220" t="n"/>
      <c r="E10" s="218" t="n"/>
      <c r="F10" s="1" t="n"/>
      <c r="G10" s="1" t="n"/>
    </row>
    <row r="11">
      <c r="A11" s="1" t="n"/>
      <c r="B11" s="39" t="inlineStr">
        <is>
          <t>Ngày kết thúc test</t>
        </is>
      </c>
      <c r="C11" s="224" t="n">
        <v>46287</v>
      </c>
      <c r="D11" s="220" t="n"/>
      <c r="E11" s="218" t="n"/>
      <c r="F11" s="1" t="n"/>
      <c r="G11" s="1" t="n"/>
    </row>
    <row r="12">
      <c r="A12" s="1" t="n"/>
      <c r="B12" s="39" t="inlineStr">
        <is>
          <t>Số sheet chức năng</t>
        </is>
      </c>
      <c r="C12" s="105">
        <f>COUNTIF(Dashboard!$D$4:$D$33,"?*")</f>
        <v/>
      </c>
      <c r="D12" s="220" t="n"/>
      <c r="E12" s="218" t="n"/>
      <c r="F12" s="1" t="n"/>
      <c r="G12" s="1" t="n"/>
    </row>
    <row r="13" ht="15" customHeight="1" s="216">
      <c r="A13" s="1" t="n"/>
      <c r="B13" s="39" t="inlineStr">
        <is>
          <t>PIC</t>
        </is>
      </c>
      <c r="C13" s="224" t="inlineStr">
        <is>
          <t>GiangDC2</t>
        </is>
      </c>
      <c r="D13" s="220" t="n"/>
      <c r="E13" s="218" t="n"/>
      <c r="F13" s="1" t="n"/>
      <c r="G13" s="1" t="n"/>
    </row>
    <row r="14">
      <c r="A14" s="1" t="n"/>
      <c r="B14" s="37" t="inlineStr">
        <is>
          <t>Ô vàng = nhập tay. Version / ngày test được Test Cases &amp; Report tham chiếu tự động.</t>
        </is>
      </c>
      <c r="F14" s="1" t="n"/>
      <c r="G14" s="1" t="n"/>
    </row>
    <row r="15" ht="25.5" customHeight="1" s="216">
      <c r="A15" s="1" t="n"/>
      <c r="B15" s="1" t="n"/>
      <c r="C15" s="1" t="n"/>
      <c r="D15" s="1" t="n"/>
      <c r="E15" s="1" t="n"/>
      <c r="F15" s="1" t="n"/>
      <c r="G15" s="1" t="n"/>
    </row>
    <row r="16" ht="25.5" customHeight="1" s="216">
      <c r="A16" s="1" t="n"/>
      <c r="B16" s="223" t="inlineStr">
        <is>
          <t>TỔNG QUAN TEST CASE — ƯU TIÊN &amp; TIẾN ĐỘ THỰC THI</t>
        </is>
      </c>
      <c r="C16" s="220" t="n"/>
      <c r="D16" s="220" t="n"/>
      <c r="E16" s="220" t="n"/>
      <c r="F16" s="218" t="n"/>
      <c r="G16" s="1" t="n"/>
    </row>
    <row r="17">
      <c r="A17" s="1" t="n"/>
      <c r="B17" s="43" t="inlineStr">
        <is>
          <t>Tổng số Test Case</t>
        </is>
      </c>
      <c r="C17" s="44">
        <f>Dashboard!$F$34</f>
        <v/>
      </c>
      <c r="D17" s="45" t="n"/>
      <c r="E17" s="1" t="n"/>
      <c r="F17" s="46" t="n"/>
      <c r="G17" s="47" t="n"/>
      <c r="I17" s="225" t="inlineStr">
        <is>
          <t>THEO NHÓM LOẠI TC (Group)</t>
        </is>
      </c>
      <c r="J17" s="218" t="n"/>
    </row>
    <row r="18">
      <c r="A18" s="1" t="n"/>
      <c r="B18" s="49" t="inlineStr">
        <is>
          <t>Mức ưu tiên</t>
        </is>
      </c>
      <c r="C18" s="50" t="inlineStr">
        <is>
          <t>Tổng TC</t>
        </is>
      </c>
      <c r="D18" s="51" t="inlineStr">
        <is>
          <t>% / Tổng</t>
        </is>
      </c>
      <c r="E18" s="49" t="inlineStr">
        <is>
          <t>Đã chạy</t>
        </is>
      </c>
      <c r="F18" s="49" t="inlineStr">
        <is>
          <t>% đã chạy</t>
        </is>
      </c>
      <c r="G18" s="47" t="n"/>
      <c r="I18" s="49" t="inlineStr">
        <is>
          <t>Nhóm</t>
        </is>
      </c>
      <c r="J18" s="49" t="inlineStr">
        <is>
          <t>Số TC</t>
        </is>
      </c>
    </row>
    <row r="19">
      <c r="A19" s="1" t="n"/>
      <c r="B19" s="52" t="inlineStr">
        <is>
          <t>High (P1)</t>
        </is>
      </c>
      <c r="C19" s="53">
        <f>Dashboard!$O$34</f>
        <v/>
      </c>
      <c r="D19" s="54">
        <f>IFERROR(C19/$C$17,0)</f>
        <v/>
      </c>
      <c r="E19" s="53">
        <f>Dashboard!$AB$34</f>
        <v/>
      </c>
      <c r="F19" s="54">
        <f>IFERROR(E19/C19,0)</f>
        <v/>
      </c>
      <c r="G19" s="47" t="n"/>
      <c r="I19" s="55" t="inlineStr">
        <is>
          <t>Functional</t>
        </is>
      </c>
      <c r="J19" s="53">
        <f>Dashboard!$R$34</f>
        <v/>
      </c>
    </row>
    <row r="20" ht="15.75" customHeight="1" s="216">
      <c r="A20" s="1" t="n"/>
      <c r="B20" s="52" t="inlineStr">
        <is>
          <t>Medium (P2)</t>
        </is>
      </c>
      <c r="C20" s="53">
        <f>Dashboard!$P$34</f>
        <v/>
      </c>
      <c r="D20" s="54">
        <f>IFERROR(C20/$C$17,0)</f>
        <v/>
      </c>
      <c r="E20" s="53">
        <f>Dashboard!$AC$34</f>
        <v/>
      </c>
      <c r="F20" s="54">
        <f>IFERROR(E20/C20,0)</f>
        <v/>
      </c>
      <c r="G20" s="47" t="n"/>
      <c r="I20" s="55" t="inlineStr">
        <is>
          <t>UI</t>
        </is>
      </c>
      <c r="J20" s="53">
        <f>Dashboard!$S$34</f>
        <v/>
      </c>
    </row>
    <row r="21" ht="15.75" customHeight="1" s="216">
      <c r="A21" s="1" t="n"/>
      <c r="B21" s="52" t="inlineStr">
        <is>
          <t>Low (P3)</t>
        </is>
      </c>
      <c r="C21" s="53">
        <f>Dashboard!$Q$34</f>
        <v/>
      </c>
      <c r="D21" s="54">
        <f>IFERROR(C21/$C$17,0)</f>
        <v/>
      </c>
      <c r="E21" s="53">
        <f>Dashboard!$AD$34</f>
        <v/>
      </c>
      <c r="F21" s="54">
        <f>IFERROR(E21/C21,0)</f>
        <v/>
      </c>
      <c r="G21" s="1" t="n"/>
      <c r="I21" s="55" t="inlineStr">
        <is>
          <t>Integration</t>
        </is>
      </c>
      <c r="J21" s="53">
        <f>Dashboard!$T$34</f>
        <v/>
      </c>
    </row>
    <row r="22" ht="15.75" customHeight="1" s="216">
      <c r="A22" s="1" t="n"/>
      <c r="B22" s="56" t="inlineStr">
        <is>
          <t>Tổng</t>
        </is>
      </c>
      <c r="C22" s="44">
        <f>SUM(C19:C21)</f>
        <v/>
      </c>
      <c r="D22" s="57">
        <f>IFERROR(C22/$C$17,0)</f>
        <v/>
      </c>
      <c r="E22" s="44">
        <f>SUM(E19:E21)</f>
        <v/>
      </c>
      <c r="F22" s="57">
        <f>IFERROR(E22/C22,0)</f>
        <v/>
      </c>
      <c r="G22" s="1" t="n"/>
      <c r="I22" s="55" t="inlineStr">
        <is>
          <t>Database</t>
        </is>
      </c>
      <c r="J22" s="53">
        <f>Dashboard!$U$34</f>
        <v/>
      </c>
    </row>
    <row r="23" ht="15.75" customHeight="1" s="216">
      <c r="A23" s="1" t="n"/>
      <c r="B23" s="1" t="n"/>
      <c r="C23" s="1" t="n"/>
      <c r="D23" s="1" t="n"/>
      <c r="E23" s="1" t="n"/>
      <c r="F23" s="1" t="n"/>
      <c r="G23" s="1" t="n"/>
    </row>
    <row r="24" ht="15.75" customHeight="1" s="216">
      <c r="A24" s="1" t="n"/>
      <c r="B24" s="1" t="n"/>
      <c r="C24" s="1" t="n"/>
      <c r="D24" s="1" t="n"/>
      <c r="E24" s="1" t="n"/>
      <c r="F24" s="1" t="n"/>
      <c r="G24" s="1" t="n"/>
    </row>
    <row r="25" ht="15.75" customHeight="1" s="216">
      <c r="A25" s="1" t="n"/>
      <c r="B25" s="1" t="n"/>
      <c r="C25" s="1" t="n"/>
      <c r="D25" s="1" t="n"/>
      <c r="E25" s="1" t="n"/>
      <c r="F25" s="1" t="n"/>
      <c r="G25" s="1" t="n"/>
    </row>
    <row r="26" ht="15.75" customHeight="1" s="216">
      <c r="A26" s="1" t="n"/>
      <c r="B26" s="1" t="n"/>
      <c r="C26" s="1" t="n"/>
      <c r="D26" s="1" t="n"/>
      <c r="E26" s="1" t="n"/>
      <c r="F26" s="1" t="n"/>
      <c r="G26" s="1" t="n"/>
    </row>
    <row r="27" ht="15.75" customHeight="1" s="216">
      <c r="A27" s="1" t="n"/>
      <c r="B27" s="1" t="n"/>
      <c r="C27" s="1" t="n"/>
      <c r="D27" s="1" t="n"/>
      <c r="E27" s="1" t="n"/>
      <c r="F27" s="1" t="n"/>
      <c r="G27" s="1" t="n"/>
    </row>
    <row r="28" ht="15.75" customHeight="1" s="216">
      <c r="A28" s="1" t="n"/>
      <c r="B28" s="1" t="n"/>
      <c r="C28" s="1" t="n"/>
      <c r="D28" s="1" t="n"/>
      <c r="E28" s="1" t="n"/>
      <c r="F28" s="1" t="n"/>
      <c r="G28" s="1" t="n"/>
    </row>
    <row r="29" ht="15.75" customHeight="1" s="216">
      <c r="A29" s="1" t="n"/>
      <c r="B29" s="1" t="n"/>
      <c r="C29" s="1" t="n"/>
      <c r="D29" s="1" t="n"/>
      <c r="E29" s="1" t="n"/>
      <c r="F29" s="1" t="n"/>
      <c r="G29" s="1" t="n"/>
    </row>
    <row r="30" ht="15.75" customHeight="1" s="216">
      <c r="A30" s="1" t="n"/>
      <c r="B30" s="46" t="n"/>
      <c r="C30" s="47" t="n"/>
      <c r="D30" s="1" t="n"/>
      <c r="E30" s="1" t="n"/>
      <c r="F30" s="1" t="n"/>
      <c r="G30" s="1" t="n"/>
    </row>
    <row r="31" ht="15.75" customHeight="1" s="216">
      <c r="A31" s="1" t="n"/>
      <c r="B31" s="1" t="n"/>
      <c r="C31" s="1" t="n"/>
      <c r="D31" s="1" t="n"/>
      <c r="E31" s="1" t="n"/>
      <c r="F31" s="1" t="n"/>
      <c r="G31" s="1" t="n"/>
    </row>
    <row r="32" ht="15.75" customHeight="1" s="216">
      <c r="A32" s="1" t="n"/>
      <c r="B32" s="1" t="n"/>
      <c r="C32" s="1" t="n"/>
      <c r="D32" s="1" t="n"/>
      <c r="E32" s="1" t="n"/>
      <c r="F32" s="1" t="n"/>
      <c r="G32" s="1" t="n"/>
    </row>
    <row r="33" ht="15.75" customHeight="1" s="216">
      <c r="A33" s="1" t="n"/>
      <c r="B33" s="1" t="n"/>
      <c r="C33" s="1" t="n"/>
      <c r="D33" s="1" t="n"/>
      <c r="E33" s="1" t="n"/>
      <c r="F33" s="1" t="n"/>
      <c r="G33" s="1" t="n"/>
    </row>
    <row r="34" ht="15.75" customHeight="1" s="216">
      <c r="A34" s="1" t="n"/>
      <c r="B34" s="1" t="n"/>
      <c r="C34" s="1" t="n"/>
      <c r="D34" s="1" t="n"/>
      <c r="E34" s="1" t="n"/>
      <c r="F34" s="1" t="n"/>
      <c r="G34" s="1" t="n"/>
    </row>
    <row r="35" ht="15.75" customHeight="1" s="216">
      <c r="A35" s="1" t="n"/>
      <c r="B35" s="1" t="n"/>
      <c r="C35" s="1" t="n"/>
      <c r="D35" s="1" t="n"/>
      <c r="E35" s="1" t="n"/>
      <c r="F35" s="1" t="n"/>
      <c r="G35" s="1" t="n"/>
    </row>
    <row r="36" ht="15.75" customHeight="1" s="216">
      <c r="A36" s="1" t="n"/>
      <c r="B36" s="1" t="n"/>
      <c r="C36" s="1" t="n"/>
      <c r="D36" s="1" t="n"/>
      <c r="E36" s="1" t="n"/>
      <c r="F36" s="1" t="n"/>
      <c r="G36" s="1" t="n"/>
    </row>
    <row r="37" ht="15.75" customHeight="1" s="216">
      <c r="A37" s="1" t="n"/>
      <c r="B37" s="1" t="n"/>
      <c r="C37" s="1" t="n"/>
      <c r="D37" s="1" t="n"/>
      <c r="E37" s="1" t="n"/>
      <c r="F37" s="1" t="n"/>
      <c r="G37" s="1" t="n"/>
    </row>
    <row r="38" ht="15.75" customHeight="1" s="216">
      <c r="A38" s="1" t="n"/>
      <c r="B38" s="1" t="n"/>
      <c r="C38" s="1" t="n"/>
      <c r="D38" s="1" t="n"/>
      <c r="E38" s="1" t="n"/>
      <c r="F38" s="1" t="n"/>
      <c r="G38" s="1" t="n"/>
    </row>
    <row r="39" ht="15.75" customHeight="1" s="216">
      <c r="A39" s="1" t="n"/>
      <c r="B39" s="1" t="n"/>
      <c r="C39" s="1" t="n"/>
      <c r="D39" s="1" t="n"/>
      <c r="E39" s="1" t="n"/>
      <c r="F39" s="1" t="n"/>
      <c r="G39" s="1" t="n"/>
    </row>
    <row r="40" ht="15.75" customHeight="1" s="216">
      <c r="A40" s="1" t="n"/>
      <c r="B40" s="1" t="n"/>
      <c r="C40" s="1" t="n"/>
      <c r="D40" s="1" t="n"/>
      <c r="E40" s="1" t="n"/>
      <c r="F40" s="1" t="n"/>
      <c r="G40" s="1" t="n"/>
    </row>
    <row r="41" ht="15.75" customHeight="1" s="216">
      <c r="A41" s="1" t="n"/>
      <c r="B41" s="1" t="n"/>
      <c r="C41" s="1" t="n"/>
      <c r="D41" s="1" t="n"/>
      <c r="E41" s="1" t="n"/>
      <c r="F41" s="1" t="n"/>
      <c r="G41" s="1" t="n"/>
    </row>
    <row r="42" ht="37.5" customHeight="1" s="216">
      <c r="A42" s="1" t="n"/>
      <c r="B42" s="4" t="inlineStr">
        <is>
          <t>SDLC — MỨC ĐỘ ÁP DỤNG</t>
        </is>
      </c>
      <c r="C42" s="220" t="n"/>
      <c r="D42" s="220" t="n"/>
      <c r="E42" s="220" t="n"/>
      <c r="F42" s="1" t="n"/>
      <c r="G42" s="1" t="n"/>
    </row>
    <row r="43" ht="15.75" customHeight="1" s="216">
      <c r="A43" s="1" t="n"/>
      <c r="B43" s="58" t="inlineStr">
        <is>
          <t>Chỉ số</t>
        </is>
      </c>
      <c r="C43" s="59" t="inlineStr">
        <is>
          <t>Số lượng</t>
        </is>
      </c>
      <c r="D43" s="59" t="inlineStr">
        <is>
          <t>% / Tổng TC</t>
        </is>
      </c>
      <c r="E43" s="218" t="n"/>
      <c r="F43" s="1" t="n"/>
      <c r="G43" s="1" t="n"/>
    </row>
    <row r="44" ht="15.75" customHeight="1" s="216">
      <c r="A44" s="1" t="n"/>
      <c r="B44" s="61" t="inlineStr">
        <is>
          <t>TC do AI sinh (Origin=AI)</t>
        </is>
      </c>
      <c r="C44" s="62">
        <f>Dashboard!$V$34</f>
        <v/>
      </c>
      <c r="D44" s="226">
        <f>IFERROR(C44/$C17,0)</f>
        <v/>
      </c>
      <c r="E44" s="218" t="n"/>
      <c r="F44" s="1" t="n"/>
      <c r="G44" s="1" t="n"/>
    </row>
    <row r="45" ht="15.75" customHeight="1" s="216">
      <c r="A45" s="1" t="n"/>
      <c r="B45" s="61" t="inlineStr">
        <is>
          <t>TC do QC viết (Origin=QC)</t>
        </is>
      </c>
      <c r="C45" s="62">
        <f>Dashboard!$W$34</f>
        <v/>
      </c>
      <c r="D45" s="226">
        <f>IFERROR(C45/$C17,0)</f>
        <v/>
      </c>
      <c r="E45" s="218" t="n"/>
      <c r="F45" s="1" t="n"/>
      <c r="G45" s="1" t="n"/>
    </row>
    <row r="46" ht="15.75" customHeight="1" s="216">
      <c r="A46" s="1" t="n"/>
      <c r="B46" s="61" t="inlineStr">
        <is>
          <t>TC đã automation (Automated=Yes)</t>
        </is>
      </c>
      <c r="C46" s="62">
        <f>Dashboard!$X$34</f>
        <v/>
      </c>
      <c r="D46" s="226">
        <f>IFERROR(C46/$C17,0)</f>
        <v/>
      </c>
      <c r="E46" s="218" t="n"/>
      <c r="F46" s="1" t="n"/>
      <c r="G46" s="1" t="n"/>
    </row>
    <row r="47" ht="15.75" customHeight="1" s="216">
      <c r="A47" s="1" t="n"/>
      <c r="B47" s="61" t="inlineStr">
        <is>
          <t>TC Vibe-test (Yes)</t>
        </is>
      </c>
      <c r="C47" s="62">
        <f>Dashboard!$Y$34</f>
        <v/>
      </c>
      <c r="D47" s="226">
        <f>IFERROR(C47/$C17,0)</f>
        <v/>
      </c>
      <c r="E47" s="218" t="n"/>
      <c r="F47" s="1" t="n"/>
      <c r="G47" s="1" t="n"/>
    </row>
    <row r="48" ht="15.75" customHeight="1" s="216">
      <c r="A48" s="1" t="n"/>
      <c r="B48" s="61" t="inlineStr">
        <is>
          <t>TC script auto chạy Pass</t>
        </is>
      </c>
      <c r="C48" s="62">
        <f>Dashboard!$Z$34</f>
        <v/>
      </c>
      <c r="D48" s="226">
        <f>IFERROR(C48/$C17,0)</f>
        <v/>
      </c>
      <c r="E48" s="218" t="n"/>
      <c r="F48" s="1" t="n"/>
      <c r="G48" s="1" t="n"/>
    </row>
    <row r="49" ht="15.75" customHeight="1" s="216">
      <c r="A49" s="1" t="n"/>
      <c r="B49" s="61" t="inlineStr">
        <is>
          <t>TC đã TL review</t>
        </is>
      </c>
      <c r="C49" s="62">
        <f>Dashboard!$AA$34</f>
        <v/>
      </c>
      <c r="D49" s="226">
        <f>IFERROR(C49/$C17,0)</f>
        <v/>
      </c>
      <c r="E49" s="218" t="n"/>
      <c r="F49" s="1" t="n"/>
      <c r="G49" s="1" t="n"/>
    </row>
    <row r="50" ht="15.75" customHeight="1" s="216">
      <c r="A50" s="1" t="n"/>
      <c r="B50" s="1" t="n"/>
      <c r="C50" s="1" t="n"/>
      <c r="D50" s="1" t="n"/>
      <c r="E50" s="1" t="n"/>
      <c r="F50" s="1" t="n"/>
      <c r="G50" s="1" t="n"/>
    </row>
    <row r="51" ht="15.75" customHeight="1" s="216">
      <c r="A51" s="1" t="n"/>
      <c r="B51" s="64" t="inlineStr">
        <is>
          <t>% tính trên TỔNG SỐ TEST CASE. Tự đếm từ sheet Test Cases (khác khối III của Report — khối đó nhập tay theo bug).</t>
        </is>
      </c>
      <c r="F51" s="1" t="n"/>
      <c r="G51" s="1" t="n"/>
    </row>
    <row r="52" ht="15.75" customHeight="1" s="216">
      <c r="A52" s="1" t="n"/>
      <c r="B52" s="1" t="n"/>
      <c r="C52" s="1" t="n"/>
      <c r="D52" s="1" t="n"/>
      <c r="E52" s="1" t="n"/>
      <c r="F52" s="1" t="n"/>
      <c r="G52" s="1" t="n"/>
    </row>
    <row r="53" ht="15.75" customHeight="1" s="216">
      <c r="A53" s="1" t="n"/>
      <c r="B53" s="65" t="inlineStr">
        <is>
          <t>Test nhiều Round/1 version: nhập kết quả từng round ở cột R1…R8 (sheet Test Case); Status = round mới nhất. Chi tiết tiến độ theo round ở Report — mục IV.</t>
        </is>
      </c>
      <c r="F53" s="1" t="n"/>
      <c r="G53" s="1" t="n"/>
    </row>
    <row r="54" ht="15.75" customHeight="1" s="216">
      <c r="A54" s="1" t="n"/>
      <c r="B54" s="1" t="n"/>
      <c r="C54" s="1" t="n"/>
      <c r="D54" s="1" t="n"/>
      <c r="E54" s="1" t="n"/>
      <c r="F54" s="1" t="n"/>
      <c r="G54" s="1" t="n"/>
    </row>
    <row r="55" ht="15.75" customHeight="1" s="216">
      <c r="A55" s="1" t="n"/>
      <c r="B55" s="1" t="n"/>
      <c r="C55" s="1" t="n"/>
      <c r="D55" s="1" t="n"/>
      <c r="E55" s="1" t="n"/>
      <c r="F55" s="1" t="n"/>
      <c r="G55" s="1" t="n"/>
    </row>
    <row r="56" ht="40.5" customHeight="1" s="216">
      <c r="A56" s="1" t="n"/>
      <c r="B56" s="223" t="inlineStr">
        <is>
          <t>MÔI TRƯỜNG &amp; PHẠM VI TEST</t>
        </is>
      </c>
      <c r="C56" s="220" t="n"/>
      <c r="D56" s="220" t="n"/>
      <c r="E56" s="220" t="n"/>
      <c r="F56" s="218" t="n"/>
      <c r="G56" s="1" t="n"/>
    </row>
    <row r="57" ht="15.75" customHeight="1" s="216">
      <c r="A57" s="1" t="n"/>
      <c r="B57" s="39" t="inlineStr">
        <is>
          <t>Environment</t>
        </is>
      </c>
      <c r="C57" s="105" t="inlineStr">
        <is>
          <t>STG</t>
        </is>
      </c>
      <c r="D57" s="220" t="n"/>
      <c r="E57" s="220" t="n"/>
      <c r="F57" s="218" t="n"/>
      <c r="G57" s="1" t="n"/>
    </row>
    <row r="58" ht="15.75" customHeight="1" s="216">
      <c r="A58" s="1" t="n"/>
      <c r="B58" s="39" t="inlineStr">
        <is>
          <t>Platform</t>
        </is>
      </c>
      <c r="C58" s="105" t="inlineStr">
        <is>
          <t>App</t>
        </is>
      </c>
      <c r="D58" s="220" t="n"/>
      <c r="E58" s="220" t="n"/>
      <c r="F58" s="218" t="n"/>
      <c r="G58" s="1" t="n"/>
    </row>
    <row r="59" ht="15.75" customHeight="1" s="216">
      <c r="A59" s="1" t="n"/>
      <c r="B59" s="39" t="inlineStr">
        <is>
          <t>Device</t>
        </is>
      </c>
      <c r="C59" s="105" t="inlineStr">
        <is>
          <t>VD: iPhone 14 (iOS 17), Galaxy S23 (Android 14)</t>
        </is>
      </c>
      <c r="D59" s="220" t="n"/>
      <c r="E59" s="220" t="n"/>
      <c r="F59" s="218" t="n"/>
      <c r="G59" s="1" t="n"/>
    </row>
    <row r="60" ht="15.75" customHeight="1" s="216">
      <c r="A60" s="1" t="n"/>
      <c r="B60" s="39" t="inlineStr">
        <is>
          <t>Accounts</t>
        </is>
      </c>
      <c r="C60" s="105" t="inlineStr">
        <is>
          <t>VD: user01, user02</t>
        </is>
      </c>
      <c r="D60" s="220" t="n"/>
      <c r="E60" s="220" t="n"/>
      <c r="F60" s="218" t="n"/>
      <c r="G60" s="1" t="n"/>
    </row>
    <row r="61" ht="15.75" customHeight="1" s="216">
      <c r="A61" s="1" t="n"/>
      <c r="B61" s="39" t="inlineStr">
        <is>
          <t>Functional Testing</t>
        </is>
      </c>
      <c r="C61" s="105" t="inlineStr">
        <is>
          <t>VD: 1. Function A / 2. Function B</t>
        </is>
      </c>
      <c r="D61" s="220" t="n"/>
      <c r="E61" s="220" t="n"/>
      <c r="F61" s="218" t="n"/>
      <c r="G61" s="1" t="n"/>
    </row>
    <row r="62" ht="15.75" customHeight="1" s="216">
      <c r="A62" s="1" t="n"/>
      <c r="B62" s="39" t="inlineStr">
        <is>
          <t>System Integration Testing (nếu có)</t>
        </is>
      </c>
      <c r="C62" s="105" t="inlineStr">
        <is>
          <t>VD: Tool A, Tool B</t>
        </is>
      </c>
      <c r="D62" s="220" t="n"/>
      <c r="E62" s="220" t="n"/>
      <c r="F62" s="218" t="n"/>
      <c r="G62" s="1" t="n"/>
    </row>
    <row r="63" ht="15.75" customHeight="1" s="216">
      <c r="A63" s="1" t="n"/>
      <c r="B63" s="1" t="n"/>
      <c r="C63" s="1" t="n"/>
      <c r="D63" s="1" t="n"/>
      <c r="E63" s="1" t="n"/>
      <c r="F63" s="1" t="n"/>
      <c r="G63" s="1" t="n"/>
    </row>
    <row r="64" ht="15.75" customHeight="1" s="216">
      <c r="A64" s="1" t="n"/>
      <c r="B64" s="227" t="inlineStr">
        <is>
          <t>►  QUẢN LÝ DANH SÁCH SHEET TEST CASE: xem sheet "Dashboard".
     Thêm/bớt function chỉ cần thêm/xoá 1 dòng (tên tab sheet) ở Dashboard — mọi chỉ số tự cập nhật.</t>
        </is>
      </c>
      <c r="C64" s="228" t="n"/>
      <c r="D64" s="228" t="n"/>
      <c r="E64" s="228" t="n"/>
      <c r="F64" s="229" t="n"/>
      <c r="G64" s="1" t="n"/>
    </row>
    <row r="65" ht="45.75" customHeight="1" s="216">
      <c r="A65" s="1" t="n"/>
      <c r="B65" s="230" t="n"/>
      <c r="C65" s="231" t="n"/>
      <c r="D65" s="231" t="n"/>
      <c r="E65" s="231" t="n"/>
      <c r="F65" s="232" t="n"/>
      <c r="G65" s="1" t="n"/>
    </row>
    <row r="66" ht="15.75" customHeight="1" s="216">
      <c r="A66" s="1" t="n"/>
      <c r="B66" s="72" t="n"/>
      <c r="C66" s="73" t="n"/>
      <c r="D66" s="74" t="n"/>
      <c r="E66" s="74" t="n"/>
      <c r="F66" s="75" t="n"/>
      <c r="G66" s="1" t="n"/>
    </row>
    <row r="67" ht="15.75" customHeight="1" s="216">
      <c r="A67" s="1" t="n"/>
      <c r="B67" s="72" t="n"/>
      <c r="C67" s="73" t="n"/>
      <c r="D67" s="76" t="n"/>
      <c r="E67" s="76" t="n"/>
      <c r="F67" s="75" t="n"/>
      <c r="G67" s="1" t="n"/>
    </row>
    <row r="68" ht="15.75" customHeight="1" s="216">
      <c r="A68" s="1" t="n"/>
      <c r="B68" s="72" t="n"/>
      <c r="C68" s="73" t="n"/>
      <c r="D68" s="76" t="n"/>
      <c r="E68" s="76" t="n"/>
      <c r="F68" s="75" t="n"/>
      <c r="G68" s="1" t="n"/>
    </row>
    <row r="69" ht="15.75" customHeight="1" s="216">
      <c r="A69" s="1" t="n"/>
      <c r="B69" s="72" t="n"/>
      <c r="C69" s="73" t="n"/>
      <c r="D69" s="76" t="n"/>
      <c r="E69" s="76" t="n"/>
      <c r="F69" s="75" t="n"/>
      <c r="G69" s="1" t="n"/>
    </row>
    <row r="70" ht="15.75" customHeight="1" s="216">
      <c r="A70" s="1" t="n"/>
      <c r="B70" s="72" t="n"/>
      <c r="C70" s="73" t="n"/>
      <c r="D70" s="76" t="n"/>
      <c r="E70" s="76" t="n"/>
      <c r="F70" s="75" t="n"/>
      <c r="G70" s="1" t="n"/>
    </row>
    <row r="71" ht="15.75" customHeight="1" s="216">
      <c r="A71" s="1" t="n"/>
      <c r="B71" s="72" t="n"/>
      <c r="C71" s="73" t="n"/>
      <c r="D71" s="76" t="n"/>
      <c r="E71" s="76" t="n"/>
      <c r="F71" s="75" t="n"/>
      <c r="G71" s="1" t="n"/>
    </row>
    <row r="72" ht="15.75" customHeight="1" s="216">
      <c r="A72" s="1" t="n"/>
      <c r="B72" s="72" t="n"/>
      <c r="C72" s="73" t="n"/>
      <c r="D72" s="76" t="n"/>
      <c r="E72" s="76" t="n"/>
      <c r="F72" s="75" t="n"/>
      <c r="G72" s="1" t="n"/>
    </row>
    <row r="73" ht="15.75" customHeight="1" s="216">
      <c r="A73" s="1" t="n"/>
      <c r="B73" s="75" t="n"/>
      <c r="C73" s="1" t="n"/>
      <c r="D73" s="1" t="n"/>
      <c r="E73" s="1" t="n"/>
      <c r="F73" s="75" t="n"/>
      <c r="G73" s="1" t="n"/>
    </row>
    <row r="74" ht="15.75" customHeight="1" s="216">
      <c r="A74" s="1" t="n"/>
      <c r="B74" s="77" t="n"/>
      <c r="C74" s="1" t="n"/>
      <c r="D74" s="1" t="n"/>
      <c r="E74" s="1" t="n"/>
      <c r="F74" s="78" t="n"/>
      <c r="G74" s="1" t="n"/>
    </row>
    <row r="75" ht="15.75" customHeight="1" s="216">
      <c r="A75" s="1" t="n"/>
      <c r="B75" s="1" t="n"/>
      <c r="C75" s="1" t="n"/>
      <c r="D75" s="1" t="n"/>
      <c r="E75" s="1" t="n"/>
      <c r="F75" s="1" t="n"/>
      <c r="G75" s="1" t="n"/>
    </row>
    <row r="76" ht="15.75" customHeight="1" s="216">
      <c r="A76" s="1" t="n"/>
      <c r="B76" s="1" t="n"/>
      <c r="C76" s="1" t="n"/>
      <c r="D76" s="1" t="n"/>
      <c r="E76" s="1" t="n"/>
      <c r="F76" s="1" t="n"/>
      <c r="G76" s="1" t="n"/>
    </row>
    <row r="77" ht="15.75" customHeight="1" s="216">
      <c r="A77" s="1" t="n"/>
      <c r="B77" s="1" t="n"/>
      <c r="C77" s="1" t="n"/>
      <c r="D77" s="1" t="n"/>
      <c r="E77" s="1" t="n"/>
      <c r="F77" s="1" t="n"/>
      <c r="G77" s="1" t="n"/>
    </row>
    <row r="78" ht="15.75" customHeight="1" s="216">
      <c r="A78" s="1" t="n"/>
      <c r="B78" s="1" t="n"/>
      <c r="C78" s="1" t="n"/>
      <c r="D78" s="1" t="n"/>
      <c r="E78" s="1" t="n"/>
      <c r="F78" s="1" t="n"/>
      <c r="G78" s="1" t="n"/>
    </row>
    <row r="79" ht="15.75" customHeight="1" s="216">
      <c r="A79" s="1" t="n"/>
      <c r="B79" s="1" t="n"/>
      <c r="C79" s="1" t="n"/>
      <c r="D79" s="1" t="n"/>
      <c r="E79" s="1" t="n"/>
      <c r="F79" s="1" t="n"/>
      <c r="G79" s="1" t="n"/>
    </row>
    <row r="80" ht="15.75" customHeight="1" s="216">
      <c r="A80" s="1" t="n"/>
      <c r="B80" s="1" t="n"/>
      <c r="C80" s="1" t="n"/>
      <c r="D80" s="1" t="n"/>
      <c r="E80" s="1" t="n"/>
      <c r="F80" s="1" t="n"/>
      <c r="G80" s="1" t="n"/>
    </row>
    <row r="81" ht="15.75" customHeight="1" s="216">
      <c r="A81" s="1" t="n"/>
      <c r="B81" s="1" t="n"/>
      <c r="C81" s="1" t="n"/>
      <c r="D81" s="1" t="n"/>
      <c r="E81" s="1" t="n"/>
      <c r="F81" s="1" t="n"/>
      <c r="G81" s="1" t="n"/>
    </row>
    <row r="82" ht="15.75" customHeight="1" s="216">
      <c r="A82" s="1" t="n"/>
      <c r="B82" s="1" t="n"/>
      <c r="C82" s="1" t="n"/>
      <c r="D82" s="1" t="n"/>
      <c r="E82" s="1" t="n"/>
      <c r="F82" s="1" t="n"/>
      <c r="G82" s="1" t="n"/>
    </row>
    <row r="83" ht="15.75" customHeight="1" s="216">
      <c r="A83" s="1" t="n"/>
      <c r="B83" s="1" t="n"/>
      <c r="C83" s="1" t="n"/>
      <c r="D83" s="1" t="n"/>
      <c r="E83" s="1" t="n"/>
      <c r="F83" s="1" t="n"/>
      <c r="G83" s="1" t="n"/>
    </row>
    <row r="84" ht="15.75" customHeight="1" s="216">
      <c r="A84" s="1" t="n"/>
      <c r="B84" s="1" t="n"/>
      <c r="C84" s="1" t="n"/>
      <c r="D84" s="1" t="n"/>
      <c r="E84" s="1" t="n"/>
      <c r="F84" s="1" t="n"/>
      <c r="G84" s="1" t="n"/>
    </row>
    <row r="85" ht="15.75" customHeight="1" s="216">
      <c r="A85" s="1" t="n"/>
      <c r="B85" s="1" t="n"/>
      <c r="C85" s="1" t="n"/>
      <c r="D85" s="1" t="n"/>
      <c r="E85" s="1" t="n"/>
      <c r="F85" s="1" t="n"/>
      <c r="G85" s="1" t="n"/>
    </row>
    <row r="86" ht="15.75" customHeight="1" s="216">
      <c r="A86" s="1" t="n"/>
      <c r="B86" s="1" t="n"/>
      <c r="C86" s="1" t="n"/>
      <c r="D86" s="1" t="n"/>
      <c r="E86" s="1" t="n"/>
      <c r="F86" s="1" t="n"/>
      <c r="G86" s="1" t="n"/>
    </row>
    <row r="87" ht="15.75" customHeight="1" s="216">
      <c r="A87" s="1" t="n"/>
      <c r="B87" s="1" t="n"/>
      <c r="C87" s="1" t="n"/>
      <c r="D87" s="1" t="n"/>
      <c r="E87" s="1" t="n"/>
      <c r="F87" s="1" t="n"/>
      <c r="G87" s="1" t="n"/>
    </row>
    <row r="88" ht="15.75" customHeight="1" s="216">
      <c r="A88" s="1" t="n"/>
      <c r="B88" s="1" t="n"/>
      <c r="C88" s="1" t="n"/>
      <c r="D88" s="1" t="n"/>
      <c r="E88" s="1" t="n"/>
      <c r="F88" s="1" t="n"/>
      <c r="G88" s="1" t="n"/>
    </row>
    <row r="89" ht="15.75" customHeight="1" s="216">
      <c r="A89" s="1" t="n"/>
      <c r="B89" s="1" t="n"/>
      <c r="C89" s="1" t="n"/>
      <c r="D89" s="1" t="n"/>
      <c r="E89" s="1" t="n"/>
      <c r="F89" s="1" t="n"/>
      <c r="G89" s="1" t="n"/>
    </row>
    <row r="90" ht="15.75" customHeight="1" s="216">
      <c r="A90" s="1" t="n"/>
      <c r="B90" s="1" t="n"/>
      <c r="C90" s="1" t="n"/>
      <c r="D90" s="1" t="n"/>
      <c r="E90" s="1" t="n"/>
      <c r="F90" s="1" t="n"/>
      <c r="G90" s="1" t="n"/>
    </row>
    <row r="91" ht="15.75" customHeight="1" s="216">
      <c r="A91" s="1" t="n"/>
      <c r="B91" s="1" t="n"/>
      <c r="C91" s="1" t="n"/>
      <c r="D91" s="1" t="n"/>
      <c r="E91" s="1" t="n"/>
      <c r="F91" s="1" t="n"/>
      <c r="G91" s="1" t="n"/>
    </row>
    <row r="92" ht="15.75" customHeight="1" s="216">
      <c r="A92" s="1" t="n"/>
      <c r="B92" s="1" t="n"/>
      <c r="C92" s="1" t="n"/>
      <c r="D92" s="1" t="n"/>
      <c r="E92" s="1" t="n"/>
      <c r="F92" s="1" t="n"/>
      <c r="G92" s="1" t="n"/>
    </row>
    <row r="93" ht="15.75" customHeight="1" s="216">
      <c r="A93" s="1" t="n"/>
      <c r="B93" s="1" t="n"/>
      <c r="C93" s="1" t="n"/>
      <c r="D93" s="1" t="n"/>
      <c r="E93" s="1" t="n"/>
      <c r="F93" s="1" t="n"/>
      <c r="G93" s="1" t="n"/>
    </row>
    <row r="94" ht="15.75" customHeight="1" s="216">
      <c r="A94" s="1" t="n"/>
      <c r="B94" s="1" t="n"/>
      <c r="C94" s="1" t="n"/>
      <c r="D94" s="1" t="n"/>
      <c r="E94" s="1" t="n"/>
      <c r="F94" s="1" t="n"/>
      <c r="G94" s="1" t="n"/>
    </row>
    <row r="95" ht="15.75" customHeight="1" s="216">
      <c r="A95" s="1" t="n"/>
      <c r="B95" s="1" t="n"/>
      <c r="C95" s="1" t="n"/>
      <c r="D95" s="1" t="n"/>
      <c r="E95" s="1" t="n"/>
      <c r="F95" s="1" t="n"/>
      <c r="G95" s="1" t="n"/>
    </row>
    <row r="96" ht="15.75" customHeight="1" s="216">
      <c r="A96" s="1" t="n"/>
      <c r="B96" s="1" t="n"/>
      <c r="C96" s="1" t="n"/>
      <c r="D96" s="1" t="n"/>
      <c r="E96" s="1" t="n"/>
      <c r="F96" s="1" t="n"/>
      <c r="G96" s="1" t="n"/>
    </row>
    <row r="97" ht="15.75" customHeight="1" s="216">
      <c r="A97" s="1" t="n"/>
      <c r="B97" s="1" t="n"/>
      <c r="C97" s="1" t="n"/>
      <c r="D97" s="1" t="n"/>
      <c r="E97" s="1" t="n"/>
      <c r="F97" s="1" t="n"/>
      <c r="G97" s="1" t="n"/>
    </row>
    <row r="98" ht="15.75" customHeight="1" s="216">
      <c r="A98" s="1" t="n"/>
      <c r="B98" s="1" t="n"/>
      <c r="C98" s="1" t="n"/>
      <c r="D98" s="1" t="n"/>
      <c r="E98" s="1" t="n"/>
      <c r="F98" s="1" t="n"/>
      <c r="G98" s="1" t="n"/>
    </row>
    <row r="99" ht="15.75" customHeight="1" s="216">
      <c r="A99" s="1" t="n"/>
      <c r="B99" s="1" t="n"/>
      <c r="C99" s="1" t="n"/>
      <c r="D99" s="1" t="n"/>
      <c r="E99" s="1" t="n"/>
      <c r="F99" s="1" t="n"/>
      <c r="G99" s="1" t="n"/>
    </row>
    <row r="100" ht="15.75" customHeight="1" s="216">
      <c r="A100" s="1" t="n"/>
      <c r="B100" s="1" t="n"/>
      <c r="C100" s="1" t="n"/>
      <c r="D100" s="1" t="n"/>
      <c r="E100" s="1" t="n"/>
      <c r="F100" s="1" t="n"/>
      <c r="G100" s="1" t="n"/>
    </row>
    <row r="101" ht="15.75" customHeight="1" s="216">
      <c r="A101" s="1" t="n"/>
      <c r="B101" s="1" t="n"/>
      <c r="C101" s="1" t="n"/>
      <c r="D101" s="1" t="n"/>
      <c r="E101" s="1" t="n"/>
      <c r="F101" s="1" t="n"/>
      <c r="G101" s="1" t="n"/>
    </row>
    <row r="102" ht="15.75" customHeight="1" s="216">
      <c r="A102" s="1" t="n"/>
      <c r="B102" s="1" t="n"/>
      <c r="C102" s="1" t="n"/>
      <c r="D102" s="1" t="n"/>
      <c r="E102" s="1" t="n"/>
      <c r="F102" s="1" t="n"/>
      <c r="G102" s="1" t="n"/>
    </row>
    <row r="103" ht="15.75" customHeight="1" s="216">
      <c r="A103" s="1" t="n"/>
      <c r="B103" s="1" t="n"/>
      <c r="C103" s="1" t="n"/>
      <c r="D103" s="1" t="n"/>
      <c r="E103" s="1" t="n"/>
      <c r="F103" s="1" t="n"/>
      <c r="G103" s="1" t="n"/>
    </row>
    <row r="104" ht="15.75" customHeight="1" s="216">
      <c r="A104" s="1" t="n"/>
      <c r="B104" s="1" t="n"/>
      <c r="C104" s="1" t="n"/>
      <c r="D104" s="1" t="n"/>
      <c r="E104" s="1" t="n"/>
      <c r="F104" s="1" t="n"/>
      <c r="G104" s="1" t="n"/>
    </row>
    <row r="105" ht="15.75" customHeight="1" s="216">
      <c r="A105" s="1" t="n"/>
      <c r="B105" s="1" t="n"/>
      <c r="C105" s="1" t="n"/>
      <c r="D105" s="1" t="n"/>
      <c r="E105" s="1" t="n"/>
      <c r="F105" s="1" t="n"/>
      <c r="G105" s="1" t="n"/>
    </row>
    <row r="106" ht="15.75" customHeight="1" s="216">
      <c r="A106" s="1" t="n"/>
      <c r="B106" s="1" t="n"/>
      <c r="C106" s="1" t="n"/>
      <c r="D106" s="1" t="n"/>
      <c r="E106" s="1" t="n"/>
      <c r="F106" s="1" t="n"/>
      <c r="G106" s="1" t="n"/>
    </row>
    <row r="107" ht="15.75" customHeight="1" s="216">
      <c r="A107" s="1" t="n"/>
      <c r="B107" s="1" t="n"/>
      <c r="C107" s="1" t="n"/>
      <c r="D107" s="1" t="n"/>
      <c r="E107" s="1" t="n"/>
      <c r="F107" s="1" t="n"/>
      <c r="G107" s="1" t="n"/>
    </row>
    <row r="108" ht="15.75" customHeight="1" s="216">
      <c r="A108" s="1" t="n"/>
      <c r="B108" s="1" t="n"/>
      <c r="C108" s="1" t="n"/>
      <c r="D108" s="1" t="n"/>
      <c r="E108" s="1" t="n"/>
      <c r="F108" s="1" t="n"/>
      <c r="G108" s="1" t="n"/>
    </row>
    <row r="109" ht="15.75" customHeight="1" s="216">
      <c r="A109" s="1" t="n"/>
      <c r="B109" s="1" t="n"/>
      <c r="C109" s="1" t="n"/>
      <c r="D109" s="1" t="n"/>
      <c r="E109" s="1" t="n"/>
      <c r="F109" s="1" t="n"/>
      <c r="G109" s="1" t="n"/>
    </row>
    <row r="110" ht="15.75" customHeight="1" s="216">
      <c r="A110" s="1" t="n"/>
      <c r="B110" s="1" t="n"/>
      <c r="C110" s="1" t="n"/>
      <c r="D110" s="1" t="n"/>
      <c r="E110" s="1" t="n"/>
      <c r="F110" s="1" t="n"/>
      <c r="G110" s="1" t="n"/>
    </row>
    <row r="111" ht="15.75" customHeight="1" s="216">
      <c r="A111" s="1" t="n"/>
      <c r="B111" s="1" t="n"/>
      <c r="C111" s="1" t="n"/>
      <c r="D111" s="1" t="n"/>
      <c r="E111" s="1" t="n"/>
      <c r="F111" s="1" t="n"/>
      <c r="G111" s="1" t="n"/>
    </row>
    <row r="112" ht="15.75" customHeight="1" s="216">
      <c r="A112" s="1" t="n"/>
      <c r="B112" s="1" t="n"/>
      <c r="C112" s="1" t="n"/>
      <c r="D112" s="1" t="n"/>
      <c r="E112" s="1" t="n"/>
      <c r="F112" s="1" t="n"/>
      <c r="G112" s="1" t="n"/>
    </row>
    <row r="113" ht="15.75" customHeight="1" s="216">
      <c r="A113" s="1" t="n"/>
      <c r="B113" s="1" t="n"/>
      <c r="C113" s="1" t="n"/>
      <c r="D113" s="1" t="n"/>
      <c r="E113" s="1" t="n"/>
      <c r="F113" s="1" t="n"/>
      <c r="G113" s="1" t="n"/>
    </row>
    <row r="114" ht="15.75" customHeight="1" s="216">
      <c r="A114" s="1" t="n"/>
      <c r="B114" s="1" t="n"/>
      <c r="C114" s="1" t="n"/>
      <c r="D114" s="1" t="n"/>
      <c r="E114" s="1" t="n"/>
      <c r="F114" s="1" t="n"/>
      <c r="G114" s="1" t="n"/>
    </row>
    <row r="115" ht="15.75" customHeight="1" s="216">
      <c r="A115" s="1" t="n"/>
      <c r="B115" s="1" t="n"/>
      <c r="C115" s="1" t="n"/>
      <c r="D115" s="1" t="n"/>
      <c r="E115" s="1" t="n"/>
      <c r="F115" s="1" t="n"/>
      <c r="G115" s="1" t="n"/>
    </row>
    <row r="116" ht="15.75" customHeight="1" s="216">
      <c r="A116" s="1" t="n"/>
      <c r="B116" s="1" t="n"/>
      <c r="C116" s="1" t="n"/>
      <c r="D116" s="1" t="n"/>
      <c r="E116" s="1" t="n"/>
      <c r="F116" s="1" t="n"/>
      <c r="G116" s="1" t="n"/>
    </row>
    <row r="117" ht="15.75" customHeight="1" s="216">
      <c r="A117" s="1" t="n"/>
      <c r="B117" s="1" t="n"/>
      <c r="C117" s="1" t="n"/>
      <c r="D117" s="1" t="n"/>
      <c r="E117" s="1" t="n"/>
      <c r="F117" s="1" t="n"/>
      <c r="G117" s="1" t="n"/>
    </row>
    <row r="118" ht="15.75" customHeight="1" s="216">
      <c r="A118" s="1" t="n"/>
      <c r="B118" s="1" t="n"/>
      <c r="C118" s="1" t="n"/>
      <c r="D118" s="1" t="n"/>
      <c r="E118" s="1" t="n"/>
      <c r="F118" s="1" t="n"/>
      <c r="G118" s="1" t="n"/>
    </row>
    <row r="119" ht="15.75" customHeight="1" s="216">
      <c r="A119" s="1" t="n"/>
      <c r="B119" s="1" t="n"/>
      <c r="C119" s="1" t="n"/>
      <c r="D119" s="1" t="n"/>
      <c r="E119" s="1" t="n"/>
      <c r="F119" s="1" t="n"/>
      <c r="G119" s="1" t="n"/>
    </row>
    <row r="120" ht="15.75" customHeight="1" s="216">
      <c r="A120" s="1" t="n"/>
      <c r="B120" s="1" t="n"/>
      <c r="C120" s="1" t="n"/>
      <c r="D120" s="1" t="n"/>
      <c r="E120" s="1" t="n"/>
      <c r="F120" s="1" t="n"/>
      <c r="G120" s="1" t="n"/>
    </row>
    <row r="121" ht="15.75" customHeight="1" s="216">
      <c r="A121" s="1" t="n"/>
      <c r="B121" s="1" t="n"/>
      <c r="C121" s="1" t="n"/>
      <c r="D121" s="1" t="n"/>
      <c r="E121" s="1" t="n"/>
      <c r="F121" s="1" t="n"/>
      <c r="G121" s="1" t="n"/>
    </row>
    <row r="122" ht="15.75" customHeight="1" s="216">
      <c r="A122" s="1" t="n"/>
      <c r="B122" s="1" t="n"/>
      <c r="C122" s="1" t="n"/>
      <c r="D122" s="1" t="n"/>
      <c r="E122" s="1" t="n"/>
      <c r="F122" s="1" t="n"/>
      <c r="G122" s="1" t="n"/>
    </row>
    <row r="123" ht="15.75" customHeight="1" s="216">
      <c r="A123" s="1" t="n"/>
      <c r="B123" s="1" t="n"/>
      <c r="C123" s="1" t="n"/>
      <c r="D123" s="1" t="n"/>
      <c r="E123" s="1" t="n"/>
      <c r="F123" s="1" t="n"/>
      <c r="G123" s="1" t="n"/>
    </row>
    <row r="124" ht="15.75" customHeight="1" s="216">
      <c r="A124" s="1" t="n"/>
      <c r="B124" s="1" t="n"/>
      <c r="C124" s="1" t="n"/>
      <c r="D124" s="1" t="n"/>
      <c r="E124" s="1" t="n"/>
      <c r="F124" s="1" t="n"/>
      <c r="G124" s="1" t="n"/>
    </row>
    <row r="125" ht="15.75" customHeight="1" s="216">
      <c r="A125" s="1" t="n"/>
      <c r="B125" s="1" t="n"/>
      <c r="C125" s="1" t="n"/>
      <c r="D125" s="1" t="n"/>
      <c r="E125" s="1" t="n"/>
      <c r="F125" s="1" t="n"/>
      <c r="G125" s="1" t="n"/>
    </row>
    <row r="126" ht="15.75" customHeight="1" s="216">
      <c r="A126" s="1" t="n"/>
      <c r="B126" s="1" t="n"/>
      <c r="C126" s="1" t="n"/>
      <c r="D126" s="1" t="n"/>
      <c r="E126" s="1" t="n"/>
      <c r="F126" s="1" t="n"/>
      <c r="G126" s="1" t="n"/>
    </row>
    <row r="127" ht="15.75" customHeight="1" s="216">
      <c r="A127" s="1" t="n"/>
      <c r="B127" s="1" t="n"/>
      <c r="C127" s="1" t="n"/>
      <c r="D127" s="1" t="n"/>
      <c r="E127" s="1" t="n"/>
      <c r="F127" s="1" t="n"/>
      <c r="G127" s="1" t="n"/>
    </row>
    <row r="128" ht="15.75" customHeight="1" s="216">
      <c r="A128" s="1" t="n"/>
      <c r="B128" s="1" t="n"/>
      <c r="C128" s="1" t="n"/>
      <c r="D128" s="1" t="n"/>
      <c r="E128" s="1" t="n"/>
      <c r="F128" s="1" t="n"/>
      <c r="G128" s="1" t="n"/>
    </row>
    <row r="129" ht="15.75" customHeight="1" s="216">
      <c r="A129" s="1" t="n"/>
      <c r="B129" s="1" t="n"/>
      <c r="C129" s="1" t="n"/>
      <c r="D129" s="1" t="n"/>
      <c r="E129" s="1" t="n"/>
      <c r="F129" s="1" t="n"/>
      <c r="G129" s="1" t="n"/>
    </row>
    <row r="130" ht="15.75" customHeight="1" s="216">
      <c r="A130" s="1" t="n"/>
      <c r="B130" s="1" t="n"/>
      <c r="C130" s="1" t="n"/>
      <c r="D130" s="1" t="n"/>
      <c r="E130" s="1" t="n"/>
      <c r="F130" s="1" t="n"/>
      <c r="G130" s="1" t="n"/>
    </row>
    <row r="131" ht="15.75" customHeight="1" s="216">
      <c r="A131" s="1" t="n"/>
      <c r="B131" s="1" t="n"/>
      <c r="C131" s="1" t="n"/>
      <c r="D131" s="1" t="n"/>
      <c r="E131" s="1" t="n"/>
      <c r="F131" s="1" t="n"/>
      <c r="G131" s="1" t="n"/>
    </row>
    <row r="132" ht="15.75" customHeight="1" s="216">
      <c r="A132" s="1" t="n"/>
      <c r="B132" s="1" t="n"/>
      <c r="C132" s="1" t="n"/>
      <c r="D132" s="1" t="n"/>
      <c r="E132" s="1" t="n"/>
      <c r="F132" s="1" t="n"/>
      <c r="G132" s="1" t="n"/>
    </row>
    <row r="133" ht="15.75" customHeight="1" s="216">
      <c r="A133" s="1" t="n"/>
      <c r="B133" s="1" t="n"/>
      <c r="C133" s="1" t="n"/>
      <c r="D133" s="1" t="n"/>
      <c r="E133" s="1" t="n"/>
      <c r="F133" s="1" t="n"/>
      <c r="G133" s="1" t="n"/>
    </row>
    <row r="134" ht="15.75" customHeight="1" s="216">
      <c r="A134" s="1" t="n"/>
      <c r="B134" s="1" t="n"/>
      <c r="C134" s="1" t="n"/>
      <c r="D134" s="1" t="n"/>
      <c r="E134" s="1" t="n"/>
      <c r="F134" s="1" t="n"/>
      <c r="G134" s="1" t="n"/>
    </row>
    <row r="135" ht="15.75" customHeight="1" s="216">
      <c r="A135" s="1" t="n"/>
      <c r="B135" s="1" t="n"/>
      <c r="C135" s="1" t="n"/>
      <c r="D135" s="1" t="n"/>
      <c r="E135" s="1" t="n"/>
      <c r="F135" s="1" t="n"/>
      <c r="G135" s="1" t="n"/>
    </row>
    <row r="136" ht="15.75" customHeight="1" s="216">
      <c r="A136" s="1" t="n"/>
      <c r="B136" s="1" t="n"/>
      <c r="C136" s="1" t="n"/>
      <c r="D136" s="1" t="n"/>
      <c r="E136" s="1" t="n"/>
      <c r="F136" s="1" t="n"/>
      <c r="G136" s="1" t="n"/>
    </row>
    <row r="137" ht="15.75" customHeight="1" s="216">
      <c r="A137" s="1" t="n"/>
      <c r="B137" s="1" t="n"/>
      <c r="C137" s="1" t="n"/>
      <c r="D137" s="1" t="n"/>
      <c r="E137" s="1" t="n"/>
      <c r="F137" s="1" t="n"/>
      <c r="G137" s="1" t="n"/>
    </row>
    <row r="138" ht="15.75" customHeight="1" s="216">
      <c r="A138" s="1" t="n"/>
      <c r="B138" s="1" t="n"/>
      <c r="C138" s="1" t="n"/>
      <c r="D138" s="1" t="n"/>
      <c r="E138" s="1" t="n"/>
      <c r="F138" s="1" t="n"/>
      <c r="G138" s="1" t="n"/>
    </row>
    <row r="139" ht="15.75" customHeight="1" s="216">
      <c r="A139" s="1" t="n"/>
      <c r="B139" s="1" t="n"/>
      <c r="C139" s="1" t="n"/>
      <c r="D139" s="1" t="n"/>
      <c r="E139" s="1" t="n"/>
      <c r="F139" s="1" t="n"/>
      <c r="G139" s="1" t="n"/>
    </row>
    <row r="140" ht="15.75" customHeight="1" s="216">
      <c r="A140" s="1" t="n"/>
      <c r="B140" s="1" t="n"/>
      <c r="C140" s="1" t="n"/>
      <c r="D140" s="1" t="n"/>
      <c r="E140" s="1" t="n"/>
      <c r="F140" s="1" t="n"/>
      <c r="G140" s="1" t="n"/>
    </row>
    <row r="141" ht="15.75" customHeight="1" s="216">
      <c r="A141" s="1" t="n"/>
      <c r="B141" s="1" t="n"/>
      <c r="C141" s="1" t="n"/>
      <c r="D141" s="1" t="n"/>
      <c r="E141" s="1" t="n"/>
      <c r="F141" s="1" t="n"/>
      <c r="G141" s="1" t="n"/>
    </row>
    <row r="142" ht="15.75" customHeight="1" s="216">
      <c r="A142" s="1" t="n"/>
      <c r="B142" s="1" t="n"/>
      <c r="C142" s="1" t="n"/>
      <c r="D142" s="1" t="n"/>
      <c r="E142" s="1" t="n"/>
      <c r="F142" s="1" t="n"/>
      <c r="G142" s="1" t="n"/>
    </row>
    <row r="143" ht="15.75" customHeight="1" s="216">
      <c r="A143" s="1" t="n"/>
      <c r="B143" s="1" t="n"/>
      <c r="C143" s="1" t="n"/>
      <c r="D143" s="1" t="n"/>
      <c r="E143" s="1" t="n"/>
      <c r="F143" s="1" t="n"/>
      <c r="G143" s="1" t="n"/>
    </row>
    <row r="144" ht="15.75" customHeight="1" s="216">
      <c r="A144" s="1" t="n"/>
      <c r="B144" s="1" t="n"/>
      <c r="C144" s="1" t="n"/>
      <c r="D144" s="1" t="n"/>
      <c r="E144" s="1" t="n"/>
      <c r="F144" s="1" t="n"/>
      <c r="G144" s="1" t="n"/>
    </row>
    <row r="145" ht="15.75" customHeight="1" s="216">
      <c r="A145" s="1" t="n"/>
      <c r="B145" s="1" t="n"/>
      <c r="C145" s="1" t="n"/>
      <c r="D145" s="1" t="n"/>
      <c r="E145" s="1" t="n"/>
      <c r="F145" s="1" t="n"/>
      <c r="G145" s="1" t="n"/>
    </row>
    <row r="146" ht="15.75" customHeight="1" s="216">
      <c r="A146" s="1" t="n"/>
      <c r="B146" s="1" t="n"/>
      <c r="C146" s="1" t="n"/>
      <c r="D146" s="1" t="n"/>
      <c r="E146" s="1" t="n"/>
      <c r="F146" s="1" t="n"/>
      <c r="G146" s="1" t="n"/>
    </row>
    <row r="147" ht="15.75" customHeight="1" s="216">
      <c r="A147" s="1" t="n"/>
      <c r="B147" s="1" t="n"/>
      <c r="C147" s="1" t="n"/>
      <c r="D147" s="1" t="n"/>
      <c r="E147" s="1" t="n"/>
      <c r="F147" s="1" t="n"/>
      <c r="G147" s="1" t="n"/>
    </row>
    <row r="148" ht="15.75" customHeight="1" s="216">
      <c r="A148" s="1" t="n"/>
      <c r="B148" s="1" t="n"/>
      <c r="C148" s="1" t="n"/>
      <c r="D148" s="1" t="n"/>
      <c r="E148" s="1" t="n"/>
      <c r="F148" s="1" t="n"/>
      <c r="G148" s="1" t="n"/>
    </row>
    <row r="149" ht="15.75" customHeight="1" s="216">
      <c r="A149" s="1" t="n"/>
      <c r="B149" s="1" t="n"/>
      <c r="C149" s="1" t="n"/>
      <c r="D149" s="1" t="n"/>
      <c r="E149" s="1" t="n"/>
      <c r="F149" s="1" t="n"/>
      <c r="G149" s="1" t="n"/>
    </row>
    <row r="150" ht="15.75" customHeight="1" s="216">
      <c r="A150" s="1" t="n"/>
      <c r="B150" s="1" t="n"/>
      <c r="C150" s="1" t="n"/>
      <c r="D150" s="1" t="n"/>
      <c r="E150" s="1" t="n"/>
      <c r="F150" s="1" t="n"/>
      <c r="G150" s="1" t="n"/>
    </row>
    <row r="151" ht="15.75" customHeight="1" s="216">
      <c r="A151" s="1" t="n"/>
      <c r="B151" s="1" t="n"/>
      <c r="C151" s="1" t="n"/>
      <c r="D151" s="1" t="n"/>
      <c r="E151" s="1" t="n"/>
      <c r="F151" s="1" t="n"/>
      <c r="G151" s="1" t="n"/>
    </row>
    <row r="152" ht="15.75" customHeight="1" s="216">
      <c r="A152" s="1" t="n"/>
      <c r="B152" s="1" t="n"/>
      <c r="C152" s="1" t="n"/>
      <c r="D152" s="1" t="n"/>
      <c r="E152" s="1" t="n"/>
      <c r="F152" s="1" t="n"/>
      <c r="G152" s="1" t="n"/>
    </row>
    <row r="153" ht="15.75" customHeight="1" s="216">
      <c r="A153" s="1" t="n"/>
      <c r="B153" s="1" t="n"/>
      <c r="C153" s="1" t="n"/>
      <c r="D153" s="1" t="n"/>
      <c r="E153" s="1" t="n"/>
      <c r="F153" s="1" t="n"/>
      <c r="G153" s="1" t="n"/>
    </row>
    <row r="154" ht="15.75" customHeight="1" s="216">
      <c r="A154" s="1" t="n"/>
      <c r="B154" s="1" t="n"/>
      <c r="C154" s="1" t="n"/>
      <c r="D154" s="1" t="n"/>
      <c r="E154" s="1" t="n"/>
      <c r="F154" s="1" t="n"/>
      <c r="G154" s="1" t="n"/>
    </row>
    <row r="155" ht="15.75" customHeight="1" s="216">
      <c r="A155" s="1" t="n"/>
      <c r="B155" s="1" t="n"/>
      <c r="C155" s="1" t="n"/>
      <c r="D155" s="1" t="n"/>
      <c r="E155" s="1" t="n"/>
      <c r="F155" s="1" t="n"/>
      <c r="G155" s="1" t="n"/>
    </row>
    <row r="156" ht="15.75" customHeight="1" s="216">
      <c r="A156" s="1" t="n"/>
      <c r="B156" s="1" t="n"/>
      <c r="C156" s="1" t="n"/>
      <c r="D156" s="1" t="n"/>
      <c r="E156" s="1" t="n"/>
      <c r="F156" s="1" t="n"/>
      <c r="G156" s="1" t="n"/>
    </row>
    <row r="157" ht="15.75" customHeight="1" s="216">
      <c r="A157" s="1" t="n"/>
      <c r="B157" s="1" t="n"/>
      <c r="C157" s="1" t="n"/>
      <c r="D157" s="1" t="n"/>
      <c r="E157" s="1" t="n"/>
      <c r="F157" s="1" t="n"/>
      <c r="G157" s="1" t="n"/>
    </row>
    <row r="158" ht="15.75" customHeight="1" s="216">
      <c r="A158" s="1" t="n"/>
      <c r="B158" s="1" t="n"/>
      <c r="C158" s="1" t="n"/>
      <c r="D158" s="1" t="n"/>
      <c r="E158" s="1" t="n"/>
      <c r="F158" s="1" t="n"/>
      <c r="G158" s="1" t="n"/>
    </row>
    <row r="159" ht="15.75" customHeight="1" s="216">
      <c r="A159" s="1" t="n"/>
      <c r="B159" s="1" t="n"/>
      <c r="C159" s="1" t="n"/>
      <c r="D159" s="1" t="n"/>
      <c r="E159" s="1" t="n"/>
      <c r="F159" s="1" t="n"/>
      <c r="G159" s="1" t="n"/>
    </row>
    <row r="160" ht="15.75" customHeight="1" s="216">
      <c r="A160" s="1" t="n"/>
      <c r="B160" s="1" t="n"/>
      <c r="C160" s="1" t="n"/>
      <c r="D160" s="1" t="n"/>
      <c r="E160" s="1" t="n"/>
      <c r="F160" s="1" t="n"/>
      <c r="G160" s="1" t="n"/>
    </row>
    <row r="161" ht="15.75" customHeight="1" s="216">
      <c r="A161" s="1" t="n"/>
      <c r="B161" s="1" t="n"/>
      <c r="C161" s="1" t="n"/>
      <c r="D161" s="1" t="n"/>
      <c r="E161" s="1" t="n"/>
      <c r="F161" s="1" t="n"/>
      <c r="G161" s="1" t="n"/>
    </row>
    <row r="162" ht="15.75" customHeight="1" s="216">
      <c r="A162" s="1" t="n"/>
      <c r="B162" s="1" t="n"/>
      <c r="C162" s="1" t="n"/>
      <c r="D162" s="1" t="n"/>
      <c r="E162" s="1" t="n"/>
      <c r="F162" s="1" t="n"/>
      <c r="G162" s="1" t="n"/>
    </row>
    <row r="163" ht="15.75" customHeight="1" s="216">
      <c r="A163" s="1" t="n"/>
      <c r="B163" s="1" t="n"/>
      <c r="C163" s="1" t="n"/>
      <c r="D163" s="1" t="n"/>
      <c r="E163" s="1" t="n"/>
      <c r="F163" s="1" t="n"/>
      <c r="G163" s="1" t="n"/>
    </row>
    <row r="164" ht="15.75" customHeight="1" s="216">
      <c r="A164" s="1" t="n"/>
      <c r="B164" s="1" t="n"/>
      <c r="C164" s="1" t="n"/>
      <c r="D164" s="1" t="n"/>
      <c r="E164" s="1" t="n"/>
      <c r="F164" s="1" t="n"/>
      <c r="G164" s="1" t="n"/>
    </row>
    <row r="165" ht="15.75" customHeight="1" s="216">
      <c r="A165" s="1" t="n"/>
      <c r="B165" s="1" t="n"/>
      <c r="C165" s="1" t="n"/>
      <c r="D165" s="1" t="n"/>
      <c r="E165" s="1" t="n"/>
      <c r="F165" s="1" t="n"/>
      <c r="G165" s="1" t="n"/>
    </row>
    <row r="166" ht="15.75" customHeight="1" s="216">
      <c r="A166" s="1" t="n"/>
      <c r="B166" s="1" t="n"/>
      <c r="C166" s="1" t="n"/>
      <c r="D166" s="1" t="n"/>
      <c r="E166" s="1" t="n"/>
      <c r="F166" s="1" t="n"/>
      <c r="G166" s="1" t="n"/>
    </row>
    <row r="167" ht="15.75" customHeight="1" s="216">
      <c r="A167" s="1" t="n"/>
      <c r="B167" s="1" t="n"/>
      <c r="C167" s="1" t="n"/>
      <c r="D167" s="1" t="n"/>
      <c r="E167" s="1" t="n"/>
      <c r="F167" s="1" t="n"/>
      <c r="G167" s="1" t="n"/>
    </row>
    <row r="168" ht="15.75" customHeight="1" s="216">
      <c r="A168" s="1" t="n"/>
      <c r="B168" s="1" t="n"/>
      <c r="C168" s="1" t="n"/>
      <c r="D168" s="1" t="n"/>
      <c r="E168" s="1" t="n"/>
      <c r="F168" s="1" t="n"/>
      <c r="G168" s="1" t="n"/>
    </row>
    <row r="169" ht="15.75" customHeight="1" s="216">
      <c r="A169" s="1" t="n"/>
      <c r="B169" s="1" t="n"/>
      <c r="C169" s="1" t="n"/>
      <c r="D169" s="1" t="n"/>
      <c r="E169" s="1" t="n"/>
      <c r="F169" s="1" t="n"/>
      <c r="G169" s="1" t="n"/>
    </row>
    <row r="170" ht="15.75" customHeight="1" s="216">
      <c r="A170" s="1" t="n"/>
      <c r="B170" s="1" t="n"/>
      <c r="C170" s="1" t="n"/>
      <c r="D170" s="1" t="n"/>
      <c r="E170" s="1" t="n"/>
      <c r="F170" s="1" t="n"/>
      <c r="G170" s="1" t="n"/>
    </row>
    <row r="171" ht="15.75" customHeight="1" s="216">
      <c r="A171" s="1" t="n"/>
      <c r="B171" s="1" t="n"/>
      <c r="C171" s="1" t="n"/>
      <c r="D171" s="1" t="n"/>
      <c r="E171" s="1" t="n"/>
      <c r="F171" s="1" t="n"/>
      <c r="G171" s="1" t="n"/>
    </row>
    <row r="172" ht="15.75" customHeight="1" s="216">
      <c r="A172" s="1" t="n"/>
      <c r="B172" s="1" t="n"/>
      <c r="C172" s="1" t="n"/>
      <c r="D172" s="1" t="n"/>
      <c r="E172" s="1" t="n"/>
      <c r="F172" s="1" t="n"/>
      <c r="G172" s="1" t="n"/>
    </row>
    <row r="173" ht="15.75" customHeight="1" s="216">
      <c r="A173" s="1" t="n"/>
      <c r="B173" s="1" t="n"/>
      <c r="C173" s="1" t="n"/>
      <c r="D173" s="1" t="n"/>
      <c r="E173" s="1" t="n"/>
      <c r="F173" s="1" t="n"/>
      <c r="G173" s="1" t="n"/>
    </row>
    <row r="174" ht="15.75" customHeight="1" s="216">
      <c r="A174" s="1" t="n"/>
      <c r="B174" s="1" t="n"/>
      <c r="C174" s="1" t="n"/>
      <c r="D174" s="1" t="n"/>
      <c r="E174" s="1" t="n"/>
      <c r="F174" s="1" t="n"/>
      <c r="G174" s="1" t="n"/>
    </row>
    <row r="175" ht="15.75" customHeight="1" s="216">
      <c r="A175" s="1" t="n"/>
      <c r="B175" s="1" t="n"/>
      <c r="C175" s="1" t="n"/>
      <c r="D175" s="1" t="n"/>
      <c r="E175" s="1" t="n"/>
      <c r="F175" s="1" t="n"/>
      <c r="G175" s="1" t="n"/>
    </row>
    <row r="176" ht="15.75" customHeight="1" s="216">
      <c r="A176" s="1" t="n"/>
      <c r="B176" s="1" t="n"/>
      <c r="C176" s="1" t="n"/>
      <c r="D176" s="1" t="n"/>
      <c r="E176" s="1" t="n"/>
      <c r="F176" s="1" t="n"/>
      <c r="G176" s="1" t="n"/>
    </row>
    <row r="177" ht="15.75" customHeight="1" s="216">
      <c r="A177" s="1" t="n"/>
      <c r="B177" s="1" t="n"/>
      <c r="C177" s="1" t="n"/>
      <c r="D177" s="1" t="n"/>
      <c r="E177" s="1" t="n"/>
      <c r="F177" s="1" t="n"/>
      <c r="G177" s="1" t="n"/>
    </row>
    <row r="178" ht="15.75" customHeight="1" s="216">
      <c r="A178" s="1" t="n"/>
      <c r="B178" s="1" t="n"/>
      <c r="C178" s="1" t="n"/>
      <c r="D178" s="1" t="n"/>
      <c r="E178" s="1" t="n"/>
      <c r="F178" s="1" t="n"/>
      <c r="G178" s="1" t="n"/>
    </row>
    <row r="179" ht="15.75" customHeight="1" s="216">
      <c r="A179" s="1" t="n"/>
      <c r="B179" s="1" t="n"/>
      <c r="C179" s="1" t="n"/>
      <c r="D179" s="1" t="n"/>
      <c r="E179" s="1" t="n"/>
      <c r="F179" s="1" t="n"/>
      <c r="G179" s="1" t="n"/>
    </row>
    <row r="180" ht="15.75" customHeight="1" s="216">
      <c r="A180" s="1" t="n"/>
      <c r="B180" s="1" t="n"/>
      <c r="C180" s="1" t="n"/>
      <c r="D180" s="1" t="n"/>
      <c r="E180" s="1" t="n"/>
      <c r="F180" s="1" t="n"/>
      <c r="G180" s="1" t="n"/>
    </row>
    <row r="181" ht="15.75" customHeight="1" s="216">
      <c r="A181" s="1" t="n"/>
      <c r="B181" s="1" t="n"/>
      <c r="C181" s="1" t="n"/>
      <c r="D181" s="1" t="n"/>
      <c r="E181" s="1" t="n"/>
      <c r="F181" s="1" t="n"/>
      <c r="G181" s="1" t="n"/>
    </row>
    <row r="182" ht="15.75" customHeight="1" s="216">
      <c r="A182" s="1" t="n"/>
      <c r="B182" s="1" t="n"/>
      <c r="C182" s="1" t="n"/>
      <c r="D182" s="1" t="n"/>
      <c r="E182" s="1" t="n"/>
      <c r="F182" s="1" t="n"/>
      <c r="G182" s="1" t="n"/>
    </row>
    <row r="183" ht="15.75" customHeight="1" s="216">
      <c r="A183" s="1" t="n"/>
      <c r="B183" s="1" t="n"/>
      <c r="C183" s="1" t="n"/>
      <c r="D183" s="1" t="n"/>
      <c r="E183" s="1" t="n"/>
      <c r="F183" s="1" t="n"/>
      <c r="G183" s="1" t="n"/>
    </row>
    <row r="184" ht="15.75" customHeight="1" s="216">
      <c r="A184" s="1" t="n"/>
      <c r="B184" s="1" t="n"/>
      <c r="C184" s="1" t="n"/>
      <c r="D184" s="1" t="n"/>
      <c r="E184" s="1" t="n"/>
      <c r="F184" s="1" t="n"/>
      <c r="G184" s="1" t="n"/>
    </row>
    <row r="185" ht="15.75" customHeight="1" s="216">
      <c r="A185" s="1" t="n"/>
      <c r="B185" s="1" t="n"/>
      <c r="C185" s="1" t="n"/>
      <c r="D185" s="1" t="n"/>
      <c r="E185" s="1" t="n"/>
      <c r="F185" s="1" t="n"/>
      <c r="G185" s="1" t="n"/>
    </row>
    <row r="186" ht="15.75" customHeight="1" s="216">
      <c r="A186" s="1" t="n"/>
      <c r="B186" s="1" t="n"/>
      <c r="C186" s="1" t="n"/>
      <c r="D186" s="1" t="n"/>
      <c r="E186" s="1" t="n"/>
      <c r="F186" s="1" t="n"/>
      <c r="G186" s="1" t="n"/>
    </row>
    <row r="187" ht="15.75" customHeight="1" s="216">
      <c r="A187" s="1" t="n"/>
      <c r="B187" s="1" t="n"/>
      <c r="C187" s="1" t="n"/>
      <c r="D187" s="1" t="n"/>
      <c r="E187" s="1" t="n"/>
      <c r="F187" s="1" t="n"/>
      <c r="G187" s="1" t="n"/>
    </row>
    <row r="188" ht="15.75" customHeight="1" s="216">
      <c r="A188" s="1" t="n"/>
      <c r="B188" s="1" t="n"/>
      <c r="C188" s="1" t="n"/>
      <c r="D188" s="1" t="n"/>
      <c r="E188" s="1" t="n"/>
      <c r="F188" s="1" t="n"/>
      <c r="G188" s="1" t="n"/>
    </row>
    <row r="189" ht="15.75" customHeight="1" s="216">
      <c r="A189" s="1" t="n"/>
      <c r="B189" s="1" t="n"/>
      <c r="C189" s="1" t="n"/>
      <c r="D189" s="1" t="n"/>
      <c r="E189" s="1" t="n"/>
      <c r="F189" s="1" t="n"/>
      <c r="G189" s="1" t="n"/>
    </row>
    <row r="190" ht="15.75" customHeight="1" s="216">
      <c r="A190" s="1" t="n"/>
      <c r="B190" s="1" t="n"/>
      <c r="C190" s="1" t="n"/>
      <c r="D190" s="1" t="n"/>
      <c r="E190" s="1" t="n"/>
      <c r="F190" s="1" t="n"/>
      <c r="G190" s="1" t="n"/>
    </row>
    <row r="191" ht="15.75" customHeight="1" s="216">
      <c r="A191" s="1" t="n"/>
      <c r="B191" s="1" t="n"/>
      <c r="C191" s="1" t="n"/>
      <c r="D191" s="1" t="n"/>
      <c r="E191" s="1" t="n"/>
      <c r="F191" s="1" t="n"/>
      <c r="G191" s="1" t="n"/>
    </row>
    <row r="192" ht="15.75" customHeight="1" s="216">
      <c r="A192" s="1" t="n"/>
      <c r="B192" s="1" t="n"/>
      <c r="C192" s="1" t="n"/>
      <c r="D192" s="1" t="n"/>
      <c r="E192" s="1" t="n"/>
      <c r="F192" s="1" t="n"/>
      <c r="G192" s="1" t="n"/>
    </row>
    <row r="193" ht="15.75" customHeight="1" s="216">
      <c r="A193" s="1" t="n"/>
      <c r="B193" s="1" t="n"/>
      <c r="C193" s="1" t="n"/>
      <c r="D193" s="1" t="n"/>
      <c r="E193" s="1" t="n"/>
      <c r="F193" s="1" t="n"/>
      <c r="G193" s="1" t="n"/>
    </row>
    <row r="194" ht="15.75" customHeight="1" s="216">
      <c r="A194" s="1" t="n"/>
      <c r="B194" s="1" t="n"/>
      <c r="C194" s="1" t="n"/>
      <c r="D194" s="1" t="n"/>
      <c r="E194" s="1" t="n"/>
      <c r="F194" s="1" t="n"/>
      <c r="G194" s="1" t="n"/>
    </row>
    <row r="195" ht="15.75" customHeight="1" s="216">
      <c r="A195" s="1" t="n"/>
      <c r="B195" s="1" t="n"/>
      <c r="C195" s="1" t="n"/>
      <c r="D195" s="1" t="n"/>
      <c r="E195" s="1" t="n"/>
      <c r="F195" s="1" t="n"/>
      <c r="G195" s="1" t="n"/>
    </row>
    <row r="196" ht="15.75" customHeight="1" s="216">
      <c r="A196" s="1" t="n"/>
      <c r="B196" s="1" t="n"/>
      <c r="C196" s="1" t="n"/>
      <c r="D196" s="1" t="n"/>
      <c r="E196" s="1" t="n"/>
      <c r="F196" s="1" t="n"/>
      <c r="G196" s="1" t="n"/>
    </row>
    <row r="197" ht="15.75" customHeight="1" s="216">
      <c r="A197" s="1" t="n"/>
      <c r="B197" s="1" t="n"/>
      <c r="C197" s="1" t="n"/>
      <c r="D197" s="1" t="n"/>
      <c r="E197" s="1" t="n"/>
      <c r="F197" s="1" t="n"/>
      <c r="G197" s="1" t="n"/>
    </row>
    <row r="198" ht="15.75" customHeight="1" s="216">
      <c r="A198" s="1" t="n"/>
      <c r="B198" s="1" t="n"/>
      <c r="C198" s="1" t="n"/>
      <c r="D198" s="1" t="n"/>
      <c r="E198" s="1" t="n"/>
      <c r="F198" s="1" t="n"/>
      <c r="G198" s="1" t="n"/>
    </row>
    <row r="199" ht="15.75" customHeight="1" s="216">
      <c r="A199" s="1" t="n"/>
      <c r="B199" s="1" t="n"/>
      <c r="C199" s="1" t="n"/>
      <c r="D199" s="1" t="n"/>
      <c r="E199" s="1" t="n"/>
      <c r="F199" s="1" t="n"/>
      <c r="G199" s="1" t="n"/>
    </row>
    <row r="200" ht="15.75" customHeight="1" s="216">
      <c r="A200" s="1" t="n"/>
      <c r="B200" s="1" t="n"/>
      <c r="C200" s="1" t="n"/>
      <c r="D200" s="1" t="n"/>
      <c r="E200" s="1" t="n"/>
      <c r="F200" s="1" t="n"/>
      <c r="G200" s="1" t="n"/>
    </row>
    <row r="201" ht="15.75" customHeight="1" s="216">
      <c r="A201" s="1" t="n"/>
      <c r="B201" s="1" t="n"/>
      <c r="C201" s="1" t="n"/>
      <c r="D201" s="1" t="n"/>
      <c r="E201" s="1" t="n"/>
      <c r="F201" s="1" t="n"/>
      <c r="G201" s="1" t="n"/>
    </row>
    <row r="202" ht="15.75" customHeight="1" s="216">
      <c r="A202" s="1" t="n"/>
      <c r="B202" s="1" t="n"/>
      <c r="C202" s="1" t="n"/>
      <c r="D202" s="1" t="n"/>
      <c r="E202" s="1" t="n"/>
      <c r="F202" s="1" t="n"/>
      <c r="G202" s="1" t="n"/>
    </row>
    <row r="203" ht="15.75" customHeight="1" s="216">
      <c r="A203" s="1" t="n"/>
      <c r="B203" s="1" t="n"/>
      <c r="C203" s="1" t="n"/>
      <c r="D203" s="1" t="n"/>
      <c r="E203" s="1" t="n"/>
      <c r="F203" s="1" t="n"/>
      <c r="G203" s="1" t="n"/>
    </row>
    <row r="204" ht="15.75" customHeight="1" s="216">
      <c r="A204" s="1" t="n"/>
      <c r="B204" s="1" t="n"/>
      <c r="C204" s="1" t="n"/>
      <c r="D204" s="1" t="n"/>
      <c r="E204" s="1" t="n"/>
      <c r="F204" s="1" t="n"/>
      <c r="G204" s="1" t="n"/>
    </row>
    <row r="205" ht="15.75" customHeight="1" s="216">
      <c r="A205" s="1" t="n"/>
      <c r="B205" s="1" t="n"/>
      <c r="C205" s="1" t="n"/>
      <c r="D205" s="1" t="n"/>
      <c r="E205" s="1" t="n"/>
      <c r="F205" s="1" t="n"/>
      <c r="G205" s="1" t="n"/>
    </row>
    <row r="206" ht="15.75" customHeight="1" s="216">
      <c r="A206" s="1" t="n"/>
      <c r="B206" s="1" t="n"/>
      <c r="C206" s="1" t="n"/>
      <c r="D206" s="1" t="n"/>
      <c r="E206" s="1" t="n"/>
      <c r="F206" s="1" t="n"/>
      <c r="G206" s="1" t="n"/>
    </row>
    <row r="207" ht="15.75" customHeight="1" s="216">
      <c r="A207" s="1" t="n"/>
      <c r="B207" s="1" t="n"/>
      <c r="C207" s="1" t="n"/>
      <c r="D207" s="1" t="n"/>
      <c r="E207" s="1" t="n"/>
      <c r="F207" s="1" t="n"/>
      <c r="G207" s="1" t="n"/>
    </row>
    <row r="208" ht="15.75" customHeight="1" s="216">
      <c r="A208" s="1" t="n"/>
      <c r="B208" s="1" t="n"/>
      <c r="C208" s="1" t="n"/>
      <c r="D208" s="1" t="n"/>
      <c r="E208" s="1" t="n"/>
      <c r="F208" s="1" t="n"/>
      <c r="G208" s="1" t="n"/>
    </row>
    <row r="209" ht="15.75" customHeight="1" s="216">
      <c r="A209" s="1" t="n"/>
      <c r="B209" s="1" t="n"/>
      <c r="C209" s="1" t="n"/>
      <c r="D209" s="1" t="n"/>
      <c r="E209" s="1" t="n"/>
      <c r="F209" s="1" t="n"/>
      <c r="G209" s="1" t="n"/>
    </row>
    <row r="210" ht="15.75" customHeight="1" s="216">
      <c r="A210" s="1" t="n"/>
      <c r="B210" s="1" t="n"/>
      <c r="C210" s="1" t="n"/>
      <c r="D210" s="1" t="n"/>
      <c r="E210" s="1" t="n"/>
      <c r="F210" s="1" t="n"/>
      <c r="G210" s="1" t="n"/>
    </row>
    <row r="211" ht="15.75" customHeight="1" s="216">
      <c r="A211" s="1" t="n"/>
      <c r="B211" s="1" t="n"/>
      <c r="C211" s="1" t="n"/>
      <c r="D211" s="1" t="n"/>
      <c r="E211" s="1" t="n"/>
      <c r="F211" s="1" t="n"/>
      <c r="G211" s="1" t="n"/>
    </row>
    <row r="212" ht="15.75" customHeight="1" s="216">
      <c r="A212" s="1" t="n"/>
      <c r="B212" s="1" t="n"/>
      <c r="C212" s="1" t="n"/>
      <c r="D212" s="1" t="n"/>
      <c r="E212" s="1" t="n"/>
      <c r="F212" s="1" t="n"/>
      <c r="G212" s="1" t="n"/>
    </row>
    <row r="213" ht="15.75" customHeight="1" s="216">
      <c r="A213" s="1" t="n"/>
      <c r="B213" s="1" t="n"/>
      <c r="C213" s="1" t="n"/>
      <c r="D213" s="1" t="n"/>
      <c r="E213" s="1" t="n"/>
      <c r="F213" s="1" t="n"/>
      <c r="G213" s="1" t="n"/>
    </row>
    <row r="214" ht="15.75" customHeight="1" s="216">
      <c r="A214" s="1" t="n"/>
      <c r="B214" s="1" t="n"/>
      <c r="C214" s="1" t="n"/>
      <c r="D214" s="1" t="n"/>
      <c r="E214" s="1" t="n"/>
      <c r="F214" s="1" t="n"/>
      <c r="G214" s="1" t="n"/>
    </row>
    <row r="215" ht="15.75" customHeight="1" s="216">
      <c r="A215" s="1" t="n"/>
      <c r="B215" s="1" t="n"/>
      <c r="C215" s="1" t="n"/>
      <c r="D215" s="1" t="n"/>
      <c r="E215" s="1" t="n"/>
      <c r="F215" s="1" t="n"/>
      <c r="G215" s="1" t="n"/>
    </row>
    <row r="216" ht="15.75" customHeight="1" s="216">
      <c r="A216" s="1" t="n"/>
      <c r="B216" s="1" t="n"/>
      <c r="C216" s="1" t="n"/>
      <c r="D216" s="1" t="n"/>
      <c r="E216" s="1" t="n"/>
      <c r="F216" s="1" t="n"/>
      <c r="G216" s="1" t="n"/>
    </row>
    <row r="217" ht="15.75" customHeight="1" s="216">
      <c r="A217" s="1" t="n"/>
      <c r="B217" s="1" t="n"/>
      <c r="C217" s="1" t="n"/>
      <c r="D217" s="1" t="n"/>
      <c r="E217" s="1" t="n"/>
      <c r="F217" s="1" t="n"/>
      <c r="G217" s="1" t="n"/>
    </row>
    <row r="218" ht="15.75" customHeight="1" s="216">
      <c r="A218" s="1" t="n"/>
      <c r="B218" s="1" t="n"/>
      <c r="C218" s="1" t="n"/>
      <c r="D218" s="1" t="n"/>
      <c r="E218" s="1" t="n"/>
      <c r="F218" s="1" t="n"/>
      <c r="G218" s="1" t="n"/>
    </row>
    <row r="219" ht="15.75" customHeight="1" s="216">
      <c r="A219" s="1" t="n"/>
      <c r="B219" s="1" t="n"/>
      <c r="C219" s="1" t="n"/>
      <c r="D219" s="1" t="n"/>
      <c r="E219" s="1" t="n"/>
      <c r="F219" s="1" t="n"/>
      <c r="G219" s="1" t="n"/>
    </row>
    <row r="220" ht="15.75" customHeight="1" s="216">
      <c r="A220" s="1" t="n"/>
      <c r="B220" s="1" t="n"/>
      <c r="C220" s="1" t="n"/>
      <c r="D220" s="1" t="n"/>
      <c r="E220" s="1" t="n"/>
      <c r="F220" s="1" t="n"/>
      <c r="G220" s="1" t="n"/>
    </row>
    <row r="221" ht="15.75" customHeight="1" s="216">
      <c r="A221" s="1" t="n"/>
      <c r="B221" s="1" t="n"/>
      <c r="C221" s="1" t="n"/>
      <c r="D221" s="1" t="n"/>
      <c r="E221" s="1" t="n"/>
      <c r="F221" s="1" t="n"/>
      <c r="G221" s="1" t="n"/>
    </row>
    <row r="222" ht="15.75" customHeight="1" s="216">
      <c r="A222" s="1" t="n"/>
      <c r="B222" s="1" t="n"/>
      <c r="C222" s="1" t="n"/>
      <c r="D222" s="1" t="n"/>
      <c r="E222" s="1" t="n"/>
      <c r="F222" s="1" t="n"/>
      <c r="G222" s="1" t="n"/>
    </row>
    <row r="223" ht="15.75" customHeight="1" s="216">
      <c r="A223" s="1" t="n"/>
      <c r="B223" s="1" t="n"/>
      <c r="C223" s="1" t="n"/>
      <c r="D223" s="1" t="n"/>
      <c r="E223" s="1" t="n"/>
      <c r="F223" s="1" t="n"/>
      <c r="G223" s="1" t="n"/>
    </row>
    <row r="224" ht="15.75" customHeight="1" s="216">
      <c r="A224" s="1" t="n"/>
      <c r="B224" s="1" t="n"/>
      <c r="C224" s="1" t="n"/>
      <c r="D224" s="1" t="n"/>
      <c r="E224" s="1" t="n"/>
      <c r="F224" s="1" t="n"/>
      <c r="G224" s="1" t="n"/>
    </row>
    <row r="225" ht="15.75" customHeight="1" s="216">
      <c r="A225" s="1" t="n"/>
      <c r="B225" s="1" t="n"/>
      <c r="C225" s="1" t="n"/>
      <c r="D225" s="1" t="n"/>
      <c r="E225" s="1" t="n"/>
      <c r="F225" s="1" t="n"/>
      <c r="G225" s="1" t="n"/>
    </row>
    <row r="226" ht="15.75" customHeight="1" s="216">
      <c r="A226" s="1" t="n"/>
      <c r="B226" s="1" t="n"/>
      <c r="C226" s="1" t="n"/>
      <c r="D226" s="1" t="n"/>
      <c r="E226" s="1" t="n"/>
      <c r="F226" s="1" t="n"/>
      <c r="G226" s="1" t="n"/>
    </row>
    <row r="227" ht="15.75" customHeight="1" s="216">
      <c r="A227" s="1" t="n"/>
      <c r="B227" s="1" t="n"/>
      <c r="C227" s="1" t="n"/>
      <c r="D227" s="1" t="n"/>
      <c r="E227" s="1" t="n"/>
      <c r="F227" s="1" t="n"/>
      <c r="G227" s="1" t="n"/>
    </row>
    <row r="228" ht="15.75" customHeight="1" s="216">
      <c r="A228" s="1" t="n"/>
      <c r="B228" s="1" t="n"/>
      <c r="C228" s="1" t="n"/>
      <c r="D228" s="1" t="n"/>
      <c r="E228" s="1" t="n"/>
      <c r="F228" s="1" t="n"/>
      <c r="G228" s="1" t="n"/>
    </row>
    <row r="229" ht="15.75" customHeight="1" s="216">
      <c r="A229" s="1" t="n"/>
      <c r="B229" s="1" t="n"/>
      <c r="C229" s="1" t="n"/>
      <c r="D229" s="1" t="n"/>
      <c r="E229" s="1" t="n"/>
      <c r="F229" s="1" t="n"/>
      <c r="G229" s="1" t="n"/>
    </row>
    <row r="230" ht="15.75" customHeight="1" s="216">
      <c r="A230" s="1" t="n"/>
      <c r="B230" s="1" t="n"/>
      <c r="C230" s="1" t="n"/>
      <c r="D230" s="1" t="n"/>
      <c r="E230" s="1" t="n"/>
      <c r="F230" s="1" t="n"/>
      <c r="G230" s="1" t="n"/>
    </row>
    <row r="231" ht="15.75" customHeight="1" s="216">
      <c r="A231" s="1" t="n"/>
      <c r="B231" s="1" t="n"/>
      <c r="C231" s="1" t="n"/>
      <c r="D231" s="1" t="n"/>
      <c r="E231" s="1" t="n"/>
      <c r="F231" s="1" t="n"/>
      <c r="G231" s="1" t="n"/>
    </row>
    <row r="232" ht="15.75" customHeight="1" s="216">
      <c r="A232" s="1" t="n"/>
      <c r="B232" s="1" t="n"/>
      <c r="C232" s="1" t="n"/>
      <c r="D232" s="1" t="n"/>
      <c r="E232" s="1" t="n"/>
      <c r="F232" s="1" t="n"/>
      <c r="G232" s="1" t="n"/>
    </row>
    <row r="233" ht="15.75" customHeight="1" s="216">
      <c r="A233" s="1" t="n"/>
      <c r="B233" s="1" t="n"/>
      <c r="C233" s="1" t="n"/>
      <c r="D233" s="1" t="n"/>
      <c r="E233" s="1" t="n"/>
      <c r="F233" s="1" t="n"/>
      <c r="G233" s="1" t="n"/>
    </row>
    <row r="234" ht="15.75" customHeight="1" s="216">
      <c r="A234" s="1" t="n"/>
      <c r="B234" s="1" t="n"/>
      <c r="C234" s="1" t="n"/>
      <c r="D234" s="1" t="n"/>
      <c r="E234" s="1" t="n"/>
      <c r="F234" s="1" t="n"/>
      <c r="G234" s="1" t="n"/>
    </row>
    <row r="235" ht="15.75" customHeight="1" s="216">
      <c r="A235" s="1" t="n"/>
      <c r="B235" s="1" t="n"/>
      <c r="C235" s="1" t="n"/>
      <c r="D235" s="1" t="n"/>
      <c r="E235" s="1" t="n"/>
      <c r="F235" s="1" t="n"/>
      <c r="G235" s="1" t="n"/>
    </row>
    <row r="236" ht="15.75" customHeight="1" s="216">
      <c r="A236" s="1" t="n"/>
      <c r="B236" s="1" t="n"/>
      <c r="C236" s="1" t="n"/>
      <c r="D236" s="1" t="n"/>
      <c r="E236" s="1" t="n"/>
      <c r="F236" s="1" t="n"/>
      <c r="G236" s="1" t="n"/>
    </row>
    <row r="237" ht="15.75" customHeight="1" s="216">
      <c r="A237" s="1" t="n"/>
      <c r="B237" s="1" t="n"/>
      <c r="C237" s="1" t="n"/>
      <c r="D237" s="1" t="n"/>
      <c r="E237" s="1" t="n"/>
      <c r="F237" s="1" t="n"/>
      <c r="G237" s="1" t="n"/>
    </row>
    <row r="238" ht="15.75" customHeight="1" s="216">
      <c r="A238" s="1" t="n"/>
      <c r="B238" s="1" t="n"/>
      <c r="C238" s="1" t="n"/>
      <c r="D238" s="1" t="n"/>
      <c r="E238" s="1" t="n"/>
      <c r="F238" s="1" t="n"/>
      <c r="G238" s="1" t="n"/>
    </row>
    <row r="239" ht="15.75" customHeight="1" s="216">
      <c r="A239" s="1" t="n"/>
      <c r="B239" s="1" t="n"/>
      <c r="C239" s="1" t="n"/>
      <c r="D239" s="1" t="n"/>
      <c r="E239" s="1" t="n"/>
      <c r="F239" s="1" t="n"/>
      <c r="G239" s="1" t="n"/>
    </row>
    <row r="240" ht="15.75" customHeight="1" s="216">
      <c r="A240" s="1" t="n"/>
      <c r="B240" s="1" t="n"/>
      <c r="C240" s="1" t="n"/>
      <c r="D240" s="1" t="n"/>
      <c r="E240" s="1" t="n"/>
      <c r="F240" s="1" t="n"/>
      <c r="G240" s="1" t="n"/>
    </row>
    <row r="241" ht="15.75" customHeight="1" s="216">
      <c r="A241" s="1" t="n"/>
      <c r="B241" s="1" t="n"/>
      <c r="C241" s="1" t="n"/>
      <c r="D241" s="1" t="n"/>
      <c r="E241" s="1" t="n"/>
      <c r="F241" s="1" t="n"/>
      <c r="G241" s="1" t="n"/>
    </row>
    <row r="242" ht="15.75" customHeight="1" s="216">
      <c r="A242" s="1" t="n"/>
      <c r="B242" s="1" t="n"/>
      <c r="C242" s="1" t="n"/>
      <c r="D242" s="1" t="n"/>
      <c r="E242" s="1" t="n"/>
      <c r="F242" s="1" t="n"/>
      <c r="G242" s="1" t="n"/>
    </row>
    <row r="243" ht="15.75" customHeight="1" s="216">
      <c r="A243" s="1" t="n"/>
      <c r="B243" s="1" t="n"/>
      <c r="C243" s="1" t="n"/>
      <c r="D243" s="1" t="n"/>
      <c r="E243" s="1" t="n"/>
      <c r="F243" s="1" t="n"/>
      <c r="G243" s="1" t="n"/>
    </row>
    <row r="244" ht="15.75" customHeight="1" s="216">
      <c r="A244" s="1" t="n"/>
      <c r="B244" s="1" t="n"/>
      <c r="C244" s="1" t="n"/>
      <c r="D244" s="1" t="n"/>
      <c r="E244" s="1" t="n"/>
      <c r="F244" s="1" t="n"/>
      <c r="G244" s="1" t="n"/>
    </row>
    <row r="245" ht="15.75" customHeight="1" s="216">
      <c r="A245" s="1" t="n"/>
      <c r="B245" s="1" t="n"/>
      <c r="C245" s="1" t="n"/>
      <c r="D245" s="1" t="n"/>
      <c r="E245" s="1" t="n"/>
      <c r="F245" s="1" t="n"/>
      <c r="G245" s="1" t="n"/>
    </row>
    <row r="246" ht="15.75" customHeight="1" s="216">
      <c r="A246" s="1" t="n"/>
      <c r="B246" s="1" t="n"/>
      <c r="C246" s="1" t="n"/>
      <c r="D246" s="1" t="n"/>
      <c r="E246" s="1" t="n"/>
      <c r="F246" s="1" t="n"/>
      <c r="G246" s="1" t="n"/>
    </row>
    <row r="247" ht="15.75" customHeight="1" s="216">
      <c r="A247" s="1" t="n"/>
      <c r="B247" s="1" t="n"/>
      <c r="C247" s="1" t="n"/>
      <c r="D247" s="1" t="n"/>
      <c r="E247" s="1" t="n"/>
      <c r="F247" s="1" t="n"/>
      <c r="G247" s="1" t="n"/>
    </row>
    <row r="248" ht="15.75" customHeight="1" s="216">
      <c r="A248" s="1" t="n"/>
      <c r="B248" s="1" t="n"/>
      <c r="C248" s="1" t="n"/>
      <c r="D248" s="1" t="n"/>
      <c r="E248" s="1" t="n"/>
      <c r="F248" s="1" t="n"/>
      <c r="G248" s="1" t="n"/>
    </row>
    <row r="249" ht="15.75" customHeight="1" s="216">
      <c r="A249" s="1" t="n"/>
      <c r="B249" s="1" t="n"/>
      <c r="C249" s="1" t="n"/>
      <c r="D249" s="1" t="n"/>
      <c r="E249" s="1" t="n"/>
      <c r="F249" s="1" t="n"/>
      <c r="G249" s="1" t="n"/>
    </row>
    <row r="250" ht="15.75" customHeight="1" s="216">
      <c r="A250" s="1" t="n"/>
      <c r="B250" s="1" t="n"/>
      <c r="C250" s="1" t="n"/>
      <c r="D250" s="1" t="n"/>
      <c r="E250" s="1" t="n"/>
      <c r="F250" s="1" t="n"/>
      <c r="G250" s="1" t="n"/>
    </row>
    <row r="251" ht="15.75" customHeight="1" s="216">
      <c r="A251" s="1" t="n"/>
      <c r="B251" s="1" t="n"/>
      <c r="C251" s="1" t="n"/>
      <c r="D251" s="1" t="n"/>
      <c r="E251" s="1" t="n"/>
      <c r="F251" s="1" t="n"/>
      <c r="G251" s="1" t="n"/>
    </row>
    <row r="252" ht="15.75" customHeight="1" s="216">
      <c r="A252" s="1" t="n"/>
      <c r="B252" s="1" t="n"/>
      <c r="C252" s="1" t="n"/>
      <c r="D252" s="1" t="n"/>
      <c r="E252" s="1" t="n"/>
      <c r="F252" s="1" t="n"/>
      <c r="G252" s="1" t="n"/>
    </row>
    <row r="253" ht="15.75" customHeight="1" s="216">
      <c r="A253" s="1" t="n"/>
      <c r="B253" s="1" t="n"/>
      <c r="C253" s="1" t="n"/>
      <c r="D253" s="1" t="n"/>
      <c r="E253" s="1" t="n"/>
      <c r="F253" s="1" t="n"/>
      <c r="G253" s="1" t="n"/>
    </row>
    <row r="254" ht="15.75" customHeight="1" s="216">
      <c r="A254" s="1" t="n"/>
      <c r="B254" s="1" t="n"/>
      <c r="C254" s="1" t="n"/>
      <c r="D254" s="1" t="n"/>
      <c r="E254" s="1" t="n"/>
      <c r="F254" s="1" t="n"/>
      <c r="G254" s="1" t="n"/>
    </row>
    <row r="255" ht="15.75" customHeight="1" s="216">
      <c r="A255" s="1" t="n"/>
      <c r="B255" s="1" t="n"/>
      <c r="C255" s="1" t="n"/>
      <c r="D255" s="1" t="n"/>
      <c r="E255" s="1" t="n"/>
      <c r="F255" s="1" t="n"/>
      <c r="G255" s="1" t="n"/>
    </row>
    <row r="256" ht="15.75" customHeight="1" s="216">
      <c r="A256" s="1" t="n"/>
      <c r="B256" s="1" t="n"/>
      <c r="C256" s="1" t="n"/>
      <c r="D256" s="1" t="n"/>
      <c r="E256" s="1" t="n"/>
      <c r="F256" s="1" t="n"/>
      <c r="G256" s="1" t="n"/>
    </row>
    <row r="257" ht="15.75" customHeight="1" s="216">
      <c r="A257" s="1" t="n"/>
      <c r="B257" s="1" t="n"/>
      <c r="C257" s="1" t="n"/>
      <c r="D257" s="1" t="n"/>
      <c r="E257" s="1" t="n"/>
      <c r="F257" s="1" t="n"/>
      <c r="G257" s="1" t="n"/>
    </row>
    <row r="258" ht="15.75" customHeight="1" s="216">
      <c r="A258" s="1" t="n"/>
      <c r="B258" s="1" t="n"/>
      <c r="C258" s="1" t="n"/>
      <c r="D258" s="1" t="n"/>
      <c r="E258" s="1" t="n"/>
      <c r="F258" s="1" t="n"/>
      <c r="G258" s="1" t="n"/>
    </row>
    <row r="259" ht="15.75" customHeight="1" s="216">
      <c r="A259" s="1" t="n"/>
      <c r="B259" s="1" t="n"/>
      <c r="C259" s="1" t="n"/>
      <c r="D259" s="1" t="n"/>
      <c r="E259" s="1" t="n"/>
      <c r="F259" s="1" t="n"/>
      <c r="G259" s="1" t="n"/>
    </row>
    <row r="260" ht="15.75" customHeight="1" s="216">
      <c r="A260" s="1" t="n"/>
      <c r="B260" s="1" t="n"/>
      <c r="C260" s="1" t="n"/>
      <c r="D260" s="1" t="n"/>
      <c r="E260" s="1" t="n"/>
      <c r="F260" s="1" t="n"/>
      <c r="G260" s="1" t="n"/>
    </row>
    <row r="261" ht="15.75" customHeight="1" s="216">
      <c r="A261" s="1" t="n"/>
      <c r="B261" s="1" t="n"/>
      <c r="C261" s="1" t="n"/>
      <c r="D261" s="1" t="n"/>
      <c r="E261" s="1" t="n"/>
      <c r="F261" s="1" t="n"/>
      <c r="G261" s="1" t="n"/>
    </row>
    <row r="262" ht="15.75" customHeight="1" s="216">
      <c r="A262" s="1" t="n"/>
      <c r="B262" s="1" t="n"/>
      <c r="C262" s="1" t="n"/>
      <c r="D262" s="1" t="n"/>
      <c r="E262" s="1" t="n"/>
      <c r="F262" s="1" t="n"/>
      <c r="G262" s="1" t="n"/>
    </row>
    <row r="263" ht="15.75" customHeight="1" s="216">
      <c r="A263" s="1" t="n"/>
      <c r="B263" s="1" t="n"/>
      <c r="C263" s="1" t="n"/>
      <c r="D263" s="1" t="n"/>
      <c r="E263" s="1" t="n"/>
      <c r="F263" s="1" t="n"/>
      <c r="G263" s="1" t="n"/>
    </row>
    <row r="264" ht="15.75" customHeight="1" s="216">
      <c r="A264" s="1" t="n"/>
      <c r="B264" s="1" t="n"/>
      <c r="C264" s="1" t="n"/>
      <c r="D264" s="1" t="n"/>
      <c r="E264" s="1" t="n"/>
      <c r="F264" s="1" t="n"/>
      <c r="G264" s="1" t="n"/>
    </row>
    <row r="265" ht="15.75" customHeight="1" s="216"/>
    <row r="266" ht="15.75" customHeight="1" s="216"/>
    <row r="267" ht="15.75" customHeight="1" s="216"/>
    <row r="268" ht="15.75" customHeight="1" s="216"/>
    <row r="269" ht="15.75" customHeight="1" s="216"/>
    <row r="270" ht="15.75" customHeight="1" s="216"/>
    <row r="271" ht="15.75" customHeight="1" s="216"/>
    <row r="272" ht="15.75" customHeight="1" s="216"/>
    <row r="273" ht="15.75" customHeight="1" s="216"/>
    <row r="274" ht="15.75" customHeight="1" s="216"/>
    <row r="275" ht="15.75" customHeight="1" s="216"/>
    <row r="276" ht="15.75" customHeight="1" s="216"/>
    <row r="277" ht="15.75" customHeight="1" s="216"/>
    <row r="278" ht="15.75" customHeight="1" s="216"/>
    <row r="279" ht="15.75" customHeight="1" s="216"/>
    <row r="280" ht="15.75" customHeight="1" s="216"/>
    <row r="281" ht="15.75" customHeight="1" s="216"/>
    <row r="282" ht="15.75" customHeight="1" s="216"/>
    <row r="283" ht="15.75" customHeight="1" s="216"/>
    <row r="284" ht="15.75" customHeight="1" s="216"/>
    <row r="285" ht="15.75" customHeight="1" s="216"/>
    <row r="286" ht="15.75" customHeight="1" s="216"/>
    <row r="287" ht="15.75" customHeight="1" s="216"/>
    <row r="288" ht="15.75" customHeight="1" s="216"/>
    <row r="289" ht="15.75" customHeight="1" s="216"/>
    <row r="290" ht="15.75" customHeight="1" s="216"/>
    <row r="291" ht="15.75" customHeight="1" s="216"/>
    <row r="292" ht="15.75" customHeight="1" s="216"/>
    <row r="293" ht="15.75" customHeight="1" s="216"/>
    <row r="294" ht="15.75" customHeight="1" s="216"/>
    <row r="295" ht="15.75" customHeight="1" s="216"/>
    <row r="296" ht="15.75" customHeight="1" s="216"/>
    <row r="297" ht="15.75" customHeight="1" s="216"/>
    <row r="298" ht="15.75" customHeight="1" s="216"/>
    <row r="299" ht="15.75" customHeight="1" s="216"/>
    <row r="300" ht="15.75" customHeight="1" s="216"/>
    <row r="301" ht="15.75" customHeight="1" s="216"/>
    <row r="302" ht="15.75" customHeight="1" s="216"/>
    <row r="303" ht="15.75" customHeight="1" s="216"/>
    <row r="304" ht="15.75" customHeight="1" s="216"/>
    <row r="305" ht="15.75" customHeight="1" s="216"/>
    <row r="306" ht="15.75" customHeight="1" s="216"/>
    <row r="307" ht="15.75" customHeight="1" s="216"/>
    <row r="308" ht="15.75" customHeight="1" s="216"/>
    <row r="309" ht="15.75" customHeight="1" s="216"/>
    <row r="310" ht="15.75" customHeight="1" s="216"/>
    <row r="311" ht="15.75" customHeight="1" s="216"/>
    <row r="312" ht="15.75" customHeight="1" s="216"/>
    <row r="313" ht="15.75" customHeight="1" s="216"/>
    <row r="314" ht="15.75" customHeight="1" s="216"/>
    <row r="315" ht="15.75" customHeight="1" s="216"/>
    <row r="316" ht="15.75" customHeight="1" s="216"/>
    <row r="317" ht="15.75" customHeight="1" s="216"/>
    <row r="318" ht="15.75" customHeight="1" s="216"/>
    <row r="319" ht="15.75" customHeight="1" s="216"/>
    <row r="320" ht="15.75" customHeight="1" s="216"/>
    <row r="321" ht="15.75" customHeight="1" s="216"/>
    <row r="322" ht="15.75" customHeight="1" s="216"/>
    <row r="323" ht="15.75" customHeight="1" s="216"/>
    <row r="324" ht="15.75" customHeight="1" s="216"/>
    <row r="325" ht="15.75" customHeight="1" s="216"/>
    <row r="326" ht="15.75" customHeight="1" s="216"/>
    <row r="327" ht="15.75" customHeight="1" s="216"/>
    <row r="328" ht="15.75" customHeight="1" s="216"/>
    <row r="329" ht="15.75" customHeight="1" s="216"/>
    <row r="330" ht="15.75" customHeight="1" s="216"/>
    <row r="331" ht="15.75" customHeight="1" s="216"/>
    <row r="332" ht="15.75" customHeight="1" s="216"/>
    <row r="333" ht="15.75" customHeight="1" s="216"/>
    <row r="334" ht="15.75" customHeight="1" s="216"/>
    <row r="335" ht="15.75" customHeight="1" s="216"/>
    <row r="336" ht="15.75" customHeight="1" s="216"/>
    <row r="337" ht="15.75" customHeight="1" s="216"/>
    <row r="338" ht="15.75" customHeight="1" s="216"/>
    <row r="339" ht="15.75" customHeight="1" s="216"/>
    <row r="340" ht="15.75" customHeight="1" s="216"/>
    <row r="341" ht="15.75" customHeight="1" s="216"/>
    <row r="342" ht="15.75" customHeight="1" s="216"/>
    <row r="343" ht="15.75" customHeight="1" s="216"/>
    <row r="344" ht="15.75" customHeight="1" s="216"/>
    <row r="345" ht="15.75" customHeight="1" s="216"/>
    <row r="346" ht="15.75" customHeight="1" s="216"/>
    <row r="347" ht="15.75" customHeight="1" s="216"/>
    <row r="348" ht="15.75" customHeight="1" s="216"/>
    <row r="349" ht="15.75" customHeight="1" s="216"/>
    <row r="350" ht="15.75" customHeight="1" s="216"/>
    <row r="351" ht="15.75" customHeight="1" s="216"/>
    <row r="352" ht="15.75" customHeight="1" s="216"/>
    <row r="353" ht="15.75" customHeight="1" s="216"/>
    <row r="354" ht="15.75" customHeight="1" s="216"/>
    <row r="355" ht="15.75" customHeight="1" s="216"/>
    <row r="356" ht="15.75" customHeight="1" s="216"/>
    <row r="357" ht="15.75" customHeight="1" s="216"/>
    <row r="358" ht="15.75" customHeight="1" s="216"/>
    <row r="359" ht="15.75" customHeight="1" s="216"/>
    <row r="360" ht="15.75" customHeight="1" s="216"/>
    <row r="361" ht="15.75" customHeight="1" s="216"/>
    <row r="362" ht="15.75" customHeight="1" s="216"/>
    <row r="363" ht="15.75" customHeight="1" s="216"/>
    <row r="364" ht="15.75" customHeight="1" s="216"/>
    <row r="365" ht="15.75" customHeight="1" s="216"/>
    <row r="366" ht="15.75" customHeight="1" s="216"/>
    <row r="367" ht="15.75" customHeight="1" s="216"/>
    <row r="368" ht="15.75" customHeight="1" s="216"/>
    <row r="369" ht="15.75" customHeight="1" s="216"/>
    <row r="370" ht="15.75" customHeight="1" s="216"/>
    <row r="371" ht="15.75" customHeight="1" s="216"/>
    <row r="372" ht="15.75" customHeight="1" s="216"/>
    <row r="373" ht="15.75" customHeight="1" s="216"/>
    <row r="374" ht="15.75" customHeight="1" s="216"/>
    <row r="375" ht="15.75" customHeight="1" s="216"/>
    <row r="376" ht="15.75" customHeight="1" s="216"/>
    <row r="377" ht="15.75" customHeight="1" s="216"/>
    <row r="378" ht="15.75" customHeight="1" s="216"/>
    <row r="379" ht="15.75" customHeight="1" s="216"/>
    <row r="380" ht="15.75" customHeight="1" s="216"/>
    <row r="381" ht="15.75" customHeight="1" s="216"/>
    <row r="382" ht="15.75" customHeight="1" s="216"/>
    <row r="383" ht="15.75" customHeight="1" s="216"/>
    <row r="384" ht="15.75" customHeight="1" s="216"/>
    <row r="385" ht="15.75" customHeight="1" s="216"/>
    <row r="386" ht="15.75" customHeight="1" s="216"/>
    <row r="387" ht="15.75" customHeight="1" s="216"/>
    <row r="388" ht="15.75" customHeight="1" s="216"/>
    <row r="389" ht="15.75" customHeight="1" s="216"/>
    <row r="390" ht="15.75" customHeight="1" s="216"/>
    <row r="391" ht="15.75" customHeight="1" s="216"/>
    <row r="392" ht="15.75" customHeight="1" s="216"/>
    <row r="393" ht="15.75" customHeight="1" s="216"/>
    <row r="394" ht="15.75" customHeight="1" s="216"/>
    <row r="395" ht="15.75" customHeight="1" s="216"/>
    <row r="396" ht="15.75" customHeight="1" s="216"/>
    <row r="397" ht="15.75" customHeight="1" s="216"/>
    <row r="398" ht="15.75" customHeight="1" s="216"/>
    <row r="399" ht="15.75" customHeight="1" s="216"/>
    <row r="400" ht="15.75" customHeight="1" s="216"/>
    <row r="401" ht="15.75" customHeight="1" s="216"/>
    <row r="402" ht="15.75" customHeight="1" s="216"/>
    <row r="403" ht="15.75" customHeight="1" s="216"/>
    <row r="404" ht="15.75" customHeight="1" s="216"/>
    <row r="405" ht="15.75" customHeight="1" s="216"/>
    <row r="406" ht="15.75" customHeight="1" s="216"/>
    <row r="407" ht="15.75" customHeight="1" s="216"/>
    <row r="408" ht="15.75" customHeight="1" s="216"/>
    <row r="409" ht="15.75" customHeight="1" s="216"/>
    <row r="410" ht="15.75" customHeight="1" s="216"/>
    <row r="411" ht="15.75" customHeight="1" s="216"/>
    <row r="412" ht="15.75" customHeight="1" s="216"/>
    <row r="413" ht="15.75" customHeight="1" s="216"/>
    <row r="414" ht="15.75" customHeight="1" s="216"/>
    <row r="415" ht="15.75" customHeight="1" s="216"/>
    <row r="416" ht="15.75" customHeight="1" s="216"/>
    <row r="417" ht="15.75" customHeight="1" s="216"/>
    <row r="418" ht="15.75" customHeight="1" s="216"/>
    <row r="419" ht="15.75" customHeight="1" s="216"/>
    <row r="420" ht="15.75" customHeight="1" s="216"/>
    <row r="421" ht="15.75" customHeight="1" s="216"/>
    <row r="422" ht="15.75" customHeight="1" s="216"/>
    <row r="423" ht="15.75" customHeight="1" s="216"/>
    <row r="424" ht="15.75" customHeight="1" s="216"/>
    <row r="425" ht="15.75" customHeight="1" s="216"/>
    <row r="426" ht="15.75" customHeight="1" s="216"/>
    <row r="427" ht="15.75" customHeight="1" s="216"/>
    <row r="428" ht="15.75" customHeight="1" s="216"/>
    <row r="429" ht="15.75" customHeight="1" s="216"/>
    <row r="430" ht="15.75" customHeight="1" s="216"/>
    <row r="431" ht="15.75" customHeight="1" s="216"/>
    <row r="432" ht="15.75" customHeight="1" s="216"/>
    <row r="433" ht="15.75" customHeight="1" s="216"/>
    <row r="434" ht="15.75" customHeight="1" s="216"/>
    <row r="435" ht="15.75" customHeight="1" s="216"/>
    <row r="436" ht="15.75" customHeight="1" s="216"/>
    <row r="437" ht="15.75" customHeight="1" s="216"/>
    <row r="438" ht="15.75" customHeight="1" s="216"/>
    <row r="439" ht="15.75" customHeight="1" s="216"/>
    <row r="440" ht="15.75" customHeight="1" s="216"/>
    <row r="441" ht="15.75" customHeight="1" s="216"/>
    <row r="442" ht="15.75" customHeight="1" s="216"/>
    <row r="443" ht="15.75" customHeight="1" s="216"/>
    <row r="444" ht="15.75" customHeight="1" s="216"/>
    <row r="445" ht="15.75" customHeight="1" s="216"/>
    <row r="446" ht="15.75" customHeight="1" s="216"/>
    <row r="447" ht="15.75" customHeight="1" s="216"/>
    <row r="448" ht="15.75" customHeight="1" s="216"/>
    <row r="449" ht="15.75" customHeight="1" s="216"/>
    <row r="450" ht="15.75" customHeight="1" s="216"/>
    <row r="451" ht="15.75" customHeight="1" s="216"/>
    <row r="452" ht="15.75" customHeight="1" s="216"/>
    <row r="453" ht="15.75" customHeight="1" s="216"/>
    <row r="454" ht="15.75" customHeight="1" s="216"/>
    <row r="455" ht="15.75" customHeight="1" s="216"/>
    <row r="456" ht="15.75" customHeight="1" s="216"/>
    <row r="457" ht="15.75" customHeight="1" s="216"/>
    <row r="458" ht="15.75" customHeight="1" s="216"/>
    <row r="459" ht="15.75" customHeight="1" s="216"/>
    <row r="460" ht="15.75" customHeight="1" s="216"/>
    <row r="461" ht="15.75" customHeight="1" s="216"/>
    <row r="462" ht="15.75" customHeight="1" s="216"/>
    <row r="463" ht="15.75" customHeight="1" s="216"/>
    <row r="464" ht="15.75" customHeight="1" s="216"/>
    <row r="465" ht="15.75" customHeight="1" s="216"/>
    <row r="466" ht="15.75" customHeight="1" s="216"/>
    <row r="467" ht="15.75" customHeight="1" s="216"/>
    <row r="468" ht="15.75" customHeight="1" s="216"/>
    <row r="469" ht="15.75" customHeight="1" s="216"/>
    <row r="470" ht="15.75" customHeight="1" s="216"/>
    <row r="471" ht="15.75" customHeight="1" s="216"/>
    <row r="472" ht="15.75" customHeight="1" s="216"/>
    <row r="473" ht="15.75" customHeight="1" s="216"/>
    <row r="474" ht="15.75" customHeight="1" s="216"/>
    <row r="475" ht="15.75" customHeight="1" s="216"/>
    <row r="476" ht="15.75" customHeight="1" s="216"/>
    <row r="477" ht="15.75" customHeight="1" s="216"/>
    <row r="478" ht="15.75" customHeight="1" s="216"/>
    <row r="479" ht="15.75" customHeight="1" s="216"/>
    <row r="480" ht="15.75" customHeight="1" s="216"/>
    <row r="481" ht="15.75" customHeight="1" s="216"/>
    <row r="482" ht="15.75" customHeight="1" s="216"/>
    <row r="483" ht="15.75" customHeight="1" s="216"/>
    <row r="484" ht="15.75" customHeight="1" s="216"/>
    <row r="485" ht="15.75" customHeight="1" s="216"/>
    <row r="486" ht="15.75" customHeight="1" s="216"/>
    <row r="487" ht="15.75" customHeight="1" s="216"/>
    <row r="488" ht="15.75" customHeight="1" s="216"/>
    <row r="489" ht="15.75" customHeight="1" s="216"/>
    <row r="490" ht="15.75" customHeight="1" s="216"/>
    <row r="491" ht="15.75" customHeight="1" s="216"/>
    <row r="492" ht="15.75" customHeight="1" s="216"/>
    <row r="493" ht="15.75" customHeight="1" s="216"/>
    <row r="494" ht="15.75" customHeight="1" s="216"/>
    <row r="495" ht="15.75" customHeight="1" s="216"/>
    <row r="496" ht="15.75" customHeight="1" s="216"/>
    <row r="497" ht="15.75" customHeight="1" s="216"/>
    <row r="498" ht="15.75" customHeight="1" s="216"/>
    <row r="499" ht="15.75" customHeight="1" s="216"/>
    <row r="500" ht="15.75" customHeight="1" s="216"/>
    <row r="501" ht="15.75" customHeight="1" s="216"/>
    <row r="502" ht="15.75" customHeight="1" s="216"/>
    <row r="503" ht="15.75" customHeight="1" s="216"/>
    <row r="504" ht="15.75" customHeight="1" s="216"/>
    <row r="505" ht="15.75" customHeight="1" s="216"/>
    <row r="506" ht="15.75" customHeight="1" s="216"/>
    <row r="507" ht="15.75" customHeight="1" s="216"/>
    <row r="508" ht="15.75" customHeight="1" s="216"/>
    <row r="509" ht="15.75" customHeight="1" s="216"/>
    <row r="510" ht="15.75" customHeight="1" s="216"/>
    <row r="511" ht="15.75" customHeight="1" s="216"/>
    <row r="512" ht="15.75" customHeight="1" s="216"/>
    <row r="513" ht="15.75" customHeight="1" s="216"/>
    <row r="514" ht="15.75" customHeight="1" s="216"/>
    <row r="515" ht="15.75" customHeight="1" s="216"/>
    <row r="516" ht="15.75" customHeight="1" s="216"/>
    <row r="517" ht="15.75" customHeight="1" s="216"/>
    <row r="518" ht="15.75" customHeight="1" s="216"/>
    <row r="519" ht="15.75" customHeight="1" s="216"/>
    <row r="520" ht="15.75" customHeight="1" s="216"/>
    <row r="521" ht="15.75" customHeight="1" s="216"/>
    <row r="522" ht="15.75" customHeight="1" s="216"/>
    <row r="523" ht="15.75" customHeight="1" s="216"/>
    <row r="524" ht="15.75" customHeight="1" s="216"/>
    <row r="525" ht="15.75" customHeight="1" s="216"/>
    <row r="526" ht="15.75" customHeight="1" s="216"/>
    <row r="527" ht="15.75" customHeight="1" s="216"/>
    <row r="528" ht="15.75" customHeight="1" s="216"/>
    <row r="529" ht="15.75" customHeight="1" s="216"/>
    <row r="530" ht="15.75" customHeight="1" s="216"/>
    <row r="531" ht="15.75" customHeight="1" s="216"/>
    <row r="532" ht="15.75" customHeight="1" s="216"/>
    <row r="533" ht="15.75" customHeight="1" s="216"/>
    <row r="534" ht="15.75" customHeight="1" s="216"/>
    <row r="535" ht="15.75" customHeight="1" s="216"/>
    <row r="536" ht="15.75" customHeight="1" s="216"/>
    <row r="537" ht="15.75" customHeight="1" s="216"/>
    <row r="538" ht="15.75" customHeight="1" s="216"/>
    <row r="539" ht="15.75" customHeight="1" s="216"/>
    <row r="540" ht="15.75" customHeight="1" s="216"/>
    <row r="541" ht="15.75" customHeight="1" s="216"/>
    <row r="542" ht="15.75" customHeight="1" s="216"/>
    <row r="543" ht="15.75" customHeight="1" s="216"/>
    <row r="544" ht="15.75" customHeight="1" s="216"/>
    <row r="545" ht="15.75" customHeight="1" s="216"/>
    <row r="546" ht="15.75" customHeight="1" s="216"/>
    <row r="547" ht="15.75" customHeight="1" s="216"/>
    <row r="548" ht="15.75" customHeight="1" s="216"/>
    <row r="549" ht="15.75" customHeight="1" s="216"/>
    <row r="550" ht="15.75" customHeight="1" s="216"/>
    <row r="551" ht="15.75" customHeight="1" s="216"/>
    <row r="552" ht="15.75" customHeight="1" s="216"/>
    <row r="553" ht="15.75" customHeight="1" s="216"/>
    <row r="554" ht="15.75" customHeight="1" s="216"/>
    <row r="555" ht="15.75" customHeight="1" s="216"/>
    <row r="556" ht="15.75" customHeight="1" s="216"/>
    <row r="557" ht="15.75" customHeight="1" s="216"/>
    <row r="558" ht="15.75" customHeight="1" s="216"/>
    <row r="559" ht="15.75" customHeight="1" s="216"/>
    <row r="560" ht="15.75" customHeight="1" s="216"/>
    <row r="561" ht="15.75" customHeight="1" s="216"/>
    <row r="562" ht="15.75" customHeight="1" s="216"/>
    <row r="563" ht="15.75" customHeight="1" s="216"/>
    <row r="564" ht="15.75" customHeight="1" s="216"/>
    <row r="565" ht="15.75" customHeight="1" s="216"/>
    <row r="566" ht="15.75" customHeight="1" s="216"/>
    <row r="567" ht="15.75" customHeight="1" s="216"/>
    <row r="568" ht="15.75" customHeight="1" s="216"/>
    <row r="569" ht="15.75" customHeight="1" s="216"/>
    <row r="570" ht="15.75" customHeight="1" s="216"/>
    <row r="571" ht="15.75" customHeight="1" s="216"/>
    <row r="572" ht="15.75" customHeight="1" s="216"/>
    <row r="573" ht="15.75" customHeight="1" s="216"/>
    <row r="574" ht="15.75" customHeight="1" s="216"/>
    <row r="575" ht="15.75" customHeight="1" s="216"/>
    <row r="576" ht="15.75" customHeight="1" s="216"/>
    <row r="577" ht="15.75" customHeight="1" s="216"/>
    <row r="578" ht="15.75" customHeight="1" s="216"/>
    <row r="579" ht="15.75" customHeight="1" s="216"/>
    <row r="580" ht="15.75" customHeight="1" s="216"/>
    <row r="581" ht="15.75" customHeight="1" s="216"/>
    <row r="582" ht="15.75" customHeight="1" s="216"/>
    <row r="583" ht="15.75" customHeight="1" s="216"/>
    <row r="584" ht="15.75" customHeight="1" s="216"/>
    <row r="585" ht="15.75" customHeight="1" s="216"/>
    <row r="586" ht="15.75" customHeight="1" s="216"/>
    <row r="587" ht="15.75" customHeight="1" s="216"/>
    <row r="588" ht="15.75" customHeight="1" s="216"/>
    <row r="589" ht="15.75" customHeight="1" s="216"/>
    <row r="590" ht="15.75" customHeight="1" s="216"/>
    <row r="591" ht="15.75" customHeight="1" s="216"/>
    <row r="592" ht="15.75" customHeight="1" s="216"/>
    <row r="593" ht="15.75" customHeight="1" s="216"/>
    <row r="594" ht="15.75" customHeight="1" s="216"/>
    <row r="595" ht="15.75" customHeight="1" s="216"/>
    <row r="596" ht="15.75" customHeight="1" s="216"/>
    <row r="597" ht="15.75" customHeight="1" s="216"/>
    <row r="598" ht="15.75" customHeight="1" s="216"/>
    <row r="599" ht="15.75" customHeight="1" s="216"/>
    <row r="600" ht="15.75" customHeight="1" s="216"/>
    <row r="601" ht="15.75" customHeight="1" s="216"/>
    <row r="602" ht="15.75" customHeight="1" s="216"/>
    <row r="603" ht="15.75" customHeight="1" s="216"/>
    <row r="604" ht="15.75" customHeight="1" s="216"/>
    <row r="605" ht="15.75" customHeight="1" s="216"/>
    <row r="606" ht="15.75" customHeight="1" s="216"/>
    <row r="607" ht="15.75" customHeight="1" s="216"/>
    <row r="608" ht="15.75" customHeight="1" s="216"/>
    <row r="609" ht="15.75" customHeight="1" s="216"/>
    <row r="610" ht="15.75" customHeight="1" s="216"/>
    <row r="611" ht="15.75" customHeight="1" s="216"/>
    <row r="612" ht="15.75" customHeight="1" s="216"/>
    <row r="613" ht="15.75" customHeight="1" s="216"/>
    <row r="614" ht="15.75" customHeight="1" s="216"/>
    <row r="615" ht="15.75" customHeight="1" s="216"/>
    <row r="616" ht="15.75" customHeight="1" s="216"/>
    <row r="617" ht="15.75" customHeight="1" s="216"/>
    <row r="618" ht="15.75" customHeight="1" s="216"/>
    <row r="619" ht="15.75" customHeight="1" s="216"/>
    <row r="620" ht="15.75" customHeight="1" s="216"/>
    <row r="621" ht="15.75" customHeight="1" s="216"/>
    <row r="622" ht="15.75" customHeight="1" s="216"/>
    <row r="623" ht="15.75" customHeight="1" s="216"/>
    <row r="624" ht="15.75" customHeight="1" s="216"/>
    <row r="625" ht="15.75" customHeight="1" s="216"/>
    <row r="626" ht="15.75" customHeight="1" s="216"/>
    <row r="627" ht="15.75" customHeight="1" s="216"/>
    <row r="628" ht="15.75" customHeight="1" s="216"/>
    <row r="629" ht="15.75" customHeight="1" s="216"/>
    <row r="630" ht="15.75" customHeight="1" s="216"/>
    <row r="631" ht="15.75" customHeight="1" s="216"/>
    <row r="632" ht="15.75" customHeight="1" s="216"/>
    <row r="633" ht="15.75" customHeight="1" s="216"/>
    <row r="634" ht="15.75" customHeight="1" s="216"/>
    <row r="635" ht="15.75" customHeight="1" s="216"/>
    <row r="636" ht="15.75" customHeight="1" s="216"/>
    <row r="637" ht="15.75" customHeight="1" s="216"/>
    <row r="638" ht="15.75" customHeight="1" s="216"/>
    <row r="639" ht="15.75" customHeight="1" s="216"/>
    <row r="640" ht="15.75" customHeight="1" s="216"/>
    <row r="641" ht="15.75" customHeight="1" s="216"/>
    <row r="642" ht="15.75" customHeight="1" s="216"/>
    <row r="643" ht="15.75" customHeight="1" s="216"/>
    <row r="644" ht="15.75" customHeight="1" s="216"/>
    <row r="645" ht="15.75" customHeight="1" s="216"/>
    <row r="646" ht="15.75" customHeight="1" s="216"/>
    <row r="647" ht="15.75" customHeight="1" s="216"/>
    <row r="648" ht="15.75" customHeight="1" s="216"/>
    <row r="649" ht="15.75" customHeight="1" s="216"/>
    <row r="650" ht="15.75" customHeight="1" s="216"/>
    <row r="651" ht="15.75" customHeight="1" s="216"/>
    <row r="652" ht="15.75" customHeight="1" s="216"/>
    <row r="653" ht="15.75" customHeight="1" s="216"/>
    <row r="654" ht="15.75" customHeight="1" s="216"/>
    <row r="655" ht="15.75" customHeight="1" s="216"/>
    <row r="656" ht="15.75" customHeight="1" s="216"/>
    <row r="657" ht="15.75" customHeight="1" s="216"/>
    <row r="658" ht="15.75" customHeight="1" s="216"/>
    <row r="659" ht="15.75" customHeight="1" s="216"/>
    <row r="660" ht="15.75" customHeight="1" s="216"/>
    <row r="661" ht="15.75" customHeight="1" s="216"/>
    <row r="662" ht="15.75" customHeight="1" s="216"/>
    <row r="663" ht="15.75" customHeight="1" s="216"/>
    <row r="664" ht="15.75" customHeight="1" s="216"/>
    <row r="665" ht="15.75" customHeight="1" s="216"/>
    <row r="666" ht="15.75" customHeight="1" s="216"/>
    <row r="667" ht="15.75" customHeight="1" s="216"/>
    <row r="668" ht="15.75" customHeight="1" s="216"/>
    <row r="669" ht="15.75" customHeight="1" s="216"/>
    <row r="670" ht="15.75" customHeight="1" s="216"/>
    <row r="671" ht="15.75" customHeight="1" s="216"/>
    <row r="672" ht="15.75" customHeight="1" s="216"/>
    <row r="673" ht="15.75" customHeight="1" s="216"/>
    <row r="674" ht="15.75" customHeight="1" s="216"/>
    <row r="675" ht="15.75" customHeight="1" s="216"/>
    <row r="676" ht="15.75" customHeight="1" s="216"/>
    <row r="677" ht="15.75" customHeight="1" s="216"/>
    <row r="678" ht="15.75" customHeight="1" s="216"/>
    <row r="679" ht="15.75" customHeight="1" s="216"/>
    <row r="680" ht="15.75" customHeight="1" s="216"/>
    <row r="681" ht="15.75" customHeight="1" s="216"/>
    <row r="682" ht="15.75" customHeight="1" s="216"/>
    <row r="683" ht="15.75" customHeight="1" s="216"/>
    <row r="684" ht="15.75" customHeight="1" s="216"/>
    <row r="685" ht="15.75" customHeight="1" s="216"/>
    <row r="686" ht="15.75" customHeight="1" s="216"/>
    <row r="687" ht="15.75" customHeight="1" s="216"/>
    <row r="688" ht="15.75" customHeight="1" s="216"/>
    <row r="689" ht="15.75" customHeight="1" s="216"/>
    <row r="690" ht="15.75" customHeight="1" s="216"/>
    <row r="691" ht="15.75" customHeight="1" s="216"/>
    <row r="692" ht="15.75" customHeight="1" s="216"/>
    <row r="693" ht="15.75" customHeight="1" s="216"/>
    <row r="694" ht="15.75" customHeight="1" s="216"/>
    <row r="695" ht="15.75" customHeight="1" s="216"/>
    <row r="696" ht="15.75" customHeight="1" s="216"/>
    <row r="697" ht="15.75" customHeight="1" s="216"/>
    <row r="698" ht="15.75" customHeight="1" s="216"/>
    <row r="699" ht="15.75" customHeight="1" s="216"/>
    <row r="700" ht="15.75" customHeight="1" s="216"/>
    <row r="701" ht="15.75" customHeight="1" s="216"/>
    <row r="702" ht="15.75" customHeight="1" s="216"/>
    <row r="703" ht="15.75" customHeight="1" s="216"/>
    <row r="704" ht="15.75" customHeight="1" s="216"/>
    <row r="705" ht="15.75" customHeight="1" s="216"/>
    <row r="706" ht="15.75" customHeight="1" s="216"/>
    <row r="707" ht="15.75" customHeight="1" s="216"/>
    <row r="708" ht="15.75" customHeight="1" s="216"/>
    <row r="709" ht="15.75" customHeight="1" s="216"/>
    <row r="710" ht="15.75" customHeight="1" s="216"/>
    <row r="711" ht="15.75" customHeight="1" s="216"/>
    <row r="712" ht="15.75" customHeight="1" s="216"/>
    <row r="713" ht="15.75" customHeight="1" s="216"/>
    <row r="714" ht="15.75" customHeight="1" s="216"/>
    <row r="715" ht="15.75" customHeight="1" s="216"/>
    <row r="716" ht="15.75" customHeight="1" s="216"/>
    <row r="717" ht="15.75" customHeight="1" s="216"/>
    <row r="718" ht="15.75" customHeight="1" s="216"/>
    <row r="719" ht="15.75" customHeight="1" s="216"/>
    <row r="720" ht="15.75" customHeight="1" s="216"/>
    <row r="721" ht="15.75" customHeight="1" s="216"/>
    <row r="722" ht="15.75" customHeight="1" s="216"/>
    <row r="723" ht="15.75" customHeight="1" s="216"/>
    <row r="724" ht="15.75" customHeight="1" s="216"/>
    <row r="725" ht="15.75" customHeight="1" s="216"/>
    <row r="726" ht="15.75" customHeight="1" s="216"/>
    <row r="727" ht="15.75" customHeight="1" s="216"/>
    <row r="728" ht="15.75" customHeight="1" s="216"/>
    <row r="729" ht="15.75" customHeight="1" s="216"/>
    <row r="730" ht="15.75" customHeight="1" s="216"/>
    <row r="731" ht="15.75" customHeight="1" s="216"/>
    <row r="732" ht="15.75" customHeight="1" s="216"/>
    <row r="733" ht="15.75" customHeight="1" s="216"/>
    <row r="734" ht="15.75" customHeight="1" s="216"/>
    <row r="735" ht="15.75" customHeight="1" s="216"/>
    <row r="736" ht="15.75" customHeight="1" s="216"/>
    <row r="737" ht="15.75" customHeight="1" s="216"/>
    <row r="738" ht="15.75" customHeight="1" s="216"/>
    <row r="739" ht="15.75" customHeight="1" s="216"/>
    <row r="740" ht="15.75" customHeight="1" s="216"/>
    <row r="741" ht="15.75" customHeight="1" s="216"/>
    <row r="742" ht="15.75" customHeight="1" s="216"/>
    <row r="743" ht="15.75" customHeight="1" s="216"/>
    <row r="744" ht="15.75" customHeight="1" s="216"/>
    <row r="745" ht="15.75" customHeight="1" s="216"/>
    <row r="746" ht="15.75" customHeight="1" s="216"/>
    <row r="747" ht="15.75" customHeight="1" s="216"/>
    <row r="748" ht="15.75" customHeight="1" s="216"/>
    <row r="749" ht="15.75" customHeight="1" s="216"/>
    <row r="750" ht="15.75" customHeight="1" s="216"/>
    <row r="751" ht="15.75" customHeight="1" s="216"/>
    <row r="752" ht="15.75" customHeight="1" s="216"/>
    <row r="753" ht="15.75" customHeight="1" s="216"/>
    <row r="754" ht="15.75" customHeight="1" s="216"/>
    <row r="755" ht="15.75" customHeight="1" s="216"/>
    <row r="756" ht="15.75" customHeight="1" s="216"/>
    <row r="757" ht="15.75" customHeight="1" s="216"/>
    <row r="758" ht="15.75" customHeight="1" s="216"/>
    <row r="759" ht="15.75" customHeight="1" s="216"/>
    <row r="760" ht="15.75" customHeight="1" s="216"/>
    <row r="761" ht="15.75" customHeight="1" s="216"/>
    <row r="762" ht="15.75" customHeight="1" s="216"/>
    <row r="763" ht="15.75" customHeight="1" s="216"/>
    <row r="764" ht="15.75" customHeight="1" s="216"/>
    <row r="765" ht="15.75" customHeight="1" s="216"/>
    <row r="766" ht="15.75" customHeight="1" s="216"/>
    <row r="767" ht="15.75" customHeight="1" s="216"/>
    <row r="768" ht="15.75" customHeight="1" s="216"/>
    <row r="769" ht="15.75" customHeight="1" s="216"/>
    <row r="770" ht="15.75" customHeight="1" s="216"/>
    <row r="771" ht="15.75" customHeight="1" s="216"/>
    <row r="772" ht="15.75" customHeight="1" s="216"/>
    <row r="773" ht="15.75" customHeight="1" s="216"/>
    <row r="774" ht="15.75" customHeight="1" s="216"/>
    <row r="775" ht="15.75" customHeight="1" s="216"/>
    <row r="776" ht="15.75" customHeight="1" s="216"/>
    <row r="777" ht="15.75" customHeight="1" s="216"/>
    <row r="778" ht="15.75" customHeight="1" s="216"/>
    <row r="779" ht="15.75" customHeight="1" s="216"/>
    <row r="780" ht="15.75" customHeight="1" s="216"/>
    <row r="781" ht="15.75" customHeight="1" s="216"/>
    <row r="782" ht="15.75" customHeight="1" s="216"/>
    <row r="783" ht="15.75" customHeight="1" s="216"/>
    <row r="784" ht="15.75" customHeight="1" s="216"/>
    <row r="785" ht="15.75" customHeight="1" s="216"/>
    <row r="786" ht="15.75" customHeight="1" s="216"/>
    <row r="787" ht="15.75" customHeight="1" s="216"/>
    <row r="788" ht="15.75" customHeight="1" s="216"/>
    <row r="789" ht="15.75" customHeight="1" s="216"/>
    <row r="790" ht="15.75" customHeight="1" s="216"/>
    <row r="791" ht="15.75" customHeight="1" s="216"/>
    <row r="792" ht="15.75" customHeight="1" s="216"/>
    <row r="793" ht="15.75" customHeight="1" s="216"/>
    <row r="794" ht="15.75" customHeight="1" s="216"/>
    <row r="795" ht="15.75" customHeight="1" s="216"/>
    <row r="796" ht="15.75" customHeight="1" s="216"/>
    <row r="797" ht="15.75" customHeight="1" s="216"/>
    <row r="798" ht="15.75" customHeight="1" s="216"/>
    <row r="799" ht="15.75" customHeight="1" s="216"/>
    <row r="800" ht="15.75" customHeight="1" s="216"/>
    <row r="801" ht="15.75" customHeight="1" s="216"/>
    <row r="802" ht="15.75" customHeight="1" s="216"/>
    <row r="803" ht="15.75" customHeight="1" s="216"/>
    <row r="804" ht="15.75" customHeight="1" s="216"/>
    <row r="805" ht="15.75" customHeight="1" s="216"/>
    <row r="806" ht="15.75" customHeight="1" s="216"/>
    <row r="807" ht="15.75" customHeight="1" s="216"/>
    <row r="808" ht="15.75" customHeight="1" s="216"/>
    <row r="809" ht="15.75" customHeight="1" s="216"/>
    <row r="810" ht="15.75" customHeight="1" s="216"/>
    <row r="811" ht="15.75" customHeight="1" s="216"/>
    <row r="812" ht="15.75" customHeight="1" s="216"/>
    <row r="813" ht="15.75" customHeight="1" s="216"/>
    <row r="814" ht="15.75" customHeight="1" s="216"/>
    <row r="815" ht="15.75" customHeight="1" s="216"/>
    <row r="816" ht="15.75" customHeight="1" s="216"/>
    <row r="817" ht="15.75" customHeight="1" s="216"/>
    <row r="818" ht="15.75" customHeight="1" s="216"/>
    <row r="819" ht="15.75" customHeight="1" s="216"/>
    <row r="820" ht="15.75" customHeight="1" s="216"/>
    <row r="821" ht="15.75" customHeight="1" s="216"/>
    <row r="822" ht="15.75" customHeight="1" s="216"/>
    <row r="823" ht="15.75" customHeight="1" s="216"/>
    <row r="824" ht="15.75" customHeight="1" s="216"/>
    <row r="825" ht="15.75" customHeight="1" s="216"/>
    <row r="826" ht="15.75" customHeight="1" s="216"/>
    <row r="827" ht="15.75" customHeight="1" s="216"/>
    <row r="828" ht="15.75" customHeight="1" s="216"/>
    <row r="829" ht="15.75" customHeight="1" s="216"/>
    <row r="830" ht="15.75" customHeight="1" s="216"/>
    <row r="831" ht="15.75" customHeight="1" s="216"/>
    <row r="832" ht="15.75" customHeight="1" s="216"/>
    <row r="833" ht="15.75" customHeight="1" s="216"/>
    <row r="834" ht="15.75" customHeight="1" s="216"/>
    <row r="835" ht="15.75" customHeight="1" s="216"/>
    <row r="836" ht="15.75" customHeight="1" s="216"/>
    <row r="837" ht="15.75" customHeight="1" s="216"/>
    <row r="838" ht="15.75" customHeight="1" s="216"/>
    <row r="839" ht="15.75" customHeight="1" s="216"/>
    <row r="840" ht="15.75" customHeight="1" s="216"/>
    <row r="841" ht="15.75" customHeight="1" s="216"/>
    <row r="842" ht="15.75" customHeight="1" s="216"/>
    <row r="843" ht="15.75" customHeight="1" s="216"/>
    <row r="844" ht="15.75" customHeight="1" s="216"/>
    <row r="845" ht="15.75" customHeight="1" s="216"/>
    <row r="846" ht="15.75" customHeight="1" s="216"/>
    <row r="847" ht="15.75" customHeight="1" s="216"/>
    <row r="848" ht="15.75" customHeight="1" s="216"/>
    <row r="849" ht="15.75" customHeight="1" s="216"/>
    <row r="850" ht="15.75" customHeight="1" s="216"/>
    <row r="851" ht="15.75" customHeight="1" s="216"/>
    <row r="852" ht="15.75" customHeight="1" s="216"/>
    <row r="853" ht="15.75" customHeight="1" s="216"/>
    <row r="854" ht="15.75" customHeight="1" s="216"/>
    <row r="855" ht="15.75" customHeight="1" s="216"/>
    <row r="856" ht="15.75" customHeight="1" s="216"/>
    <row r="857" ht="15.75" customHeight="1" s="216"/>
    <row r="858" ht="15.75" customHeight="1" s="216"/>
    <row r="859" ht="15.75" customHeight="1" s="216"/>
    <row r="860" ht="15.75" customHeight="1" s="216"/>
    <row r="861" ht="15.75" customHeight="1" s="216"/>
    <row r="862" ht="15.75" customHeight="1" s="216"/>
    <row r="863" ht="15.75" customHeight="1" s="216"/>
    <row r="864" ht="15.75" customHeight="1" s="216"/>
    <row r="865" ht="15.75" customHeight="1" s="216"/>
    <row r="866" ht="15.75" customHeight="1" s="216"/>
    <row r="867" ht="15.75" customHeight="1" s="216"/>
    <row r="868" ht="15.75" customHeight="1" s="216"/>
    <row r="869" ht="15.75" customHeight="1" s="216"/>
    <row r="870" ht="15.75" customHeight="1" s="216"/>
    <row r="871" ht="15.75" customHeight="1" s="216"/>
    <row r="872" ht="15.75" customHeight="1" s="216"/>
    <row r="873" ht="15.75" customHeight="1" s="216"/>
    <row r="874" ht="15.75" customHeight="1" s="216"/>
    <row r="875" ht="15.75" customHeight="1" s="216"/>
    <row r="876" ht="15.75" customHeight="1" s="216"/>
    <row r="877" ht="15.75" customHeight="1" s="216"/>
    <row r="878" ht="15.75" customHeight="1" s="216"/>
    <row r="879" ht="15.75" customHeight="1" s="216"/>
    <row r="880" ht="15.75" customHeight="1" s="216"/>
    <row r="881" ht="15.75" customHeight="1" s="216"/>
    <row r="882" ht="15.75" customHeight="1" s="216"/>
    <row r="883" ht="15.75" customHeight="1" s="216"/>
    <row r="884" ht="15.75" customHeight="1" s="216"/>
    <row r="885" ht="15.75" customHeight="1" s="216"/>
    <row r="886" ht="15.75" customHeight="1" s="216"/>
    <row r="887" ht="15.75" customHeight="1" s="216"/>
    <row r="888" ht="15.75" customHeight="1" s="216"/>
    <row r="889" ht="15.75" customHeight="1" s="216"/>
    <row r="890" ht="15.75" customHeight="1" s="216"/>
    <row r="891" ht="15.75" customHeight="1" s="216"/>
    <row r="892" ht="15.75" customHeight="1" s="216"/>
    <row r="893" ht="15.75" customHeight="1" s="216"/>
    <row r="894" ht="15.75" customHeight="1" s="216"/>
    <row r="895" ht="15.75" customHeight="1" s="216"/>
    <row r="896" ht="15.75" customHeight="1" s="216"/>
    <row r="897" ht="15.75" customHeight="1" s="216"/>
    <row r="898" ht="15.75" customHeight="1" s="216"/>
    <row r="899" ht="15.75" customHeight="1" s="216"/>
    <row r="900" ht="15.75" customHeight="1" s="216"/>
    <row r="901" ht="15.75" customHeight="1" s="216"/>
    <row r="902" ht="15.75" customHeight="1" s="216"/>
    <row r="903" ht="15.75" customHeight="1" s="216"/>
    <row r="904" ht="15.75" customHeight="1" s="216"/>
    <row r="905" ht="15.75" customHeight="1" s="216"/>
    <row r="906" ht="15.75" customHeight="1" s="216"/>
    <row r="907" ht="15.75" customHeight="1" s="216"/>
    <row r="908" ht="15.75" customHeight="1" s="216"/>
    <row r="909" ht="15.75" customHeight="1" s="216"/>
    <row r="910" ht="15.75" customHeight="1" s="216"/>
    <row r="911" ht="15.75" customHeight="1" s="216"/>
    <row r="912" ht="15.75" customHeight="1" s="216"/>
    <row r="913" ht="15.75" customHeight="1" s="216"/>
    <row r="914" ht="15.75" customHeight="1" s="216"/>
    <row r="915" ht="15.75" customHeight="1" s="216"/>
    <row r="916" ht="15.75" customHeight="1" s="216"/>
    <row r="917" ht="15.75" customHeight="1" s="216"/>
    <row r="918" ht="15.75" customHeight="1" s="216"/>
    <row r="919" ht="15.75" customHeight="1" s="216"/>
    <row r="920" ht="15.75" customHeight="1" s="216"/>
    <row r="921" ht="15.75" customHeight="1" s="216"/>
    <row r="922" ht="15.75" customHeight="1" s="216"/>
    <row r="923" ht="15.75" customHeight="1" s="216"/>
    <row r="924" ht="15.75" customHeight="1" s="216"/>
    <row r="925" ht="15.75" customHeight="1" s="216"/>
    <row r="926" ht="15.75" customHeight="1" s="216"/>
    <row r="927" ht="15.75" customHeight="1" s="216"/>
    <row r="928" ht="15.75" customHeight="1" s="216"/>
    <row r="929" ht="15.75" customHeight="1" s="216"/>
    <row r="930" ht="15.75" customHeight="1" s="216"/>
    <row r="931" ht="15.75" customHeight="1" s="216"/>
    <row r="932" ht="15.75" customHeight="1" s="216"/>
    <row r="933" ht="15.75" customHeight="1" s="216"/>
    <row r="934" ht="15.75" customHeight="1" s="216"/>
    <row r="935" ht="15.75" customHeight="1" s="216"/>
    <row r="936" ht="15.75" customHeight="1" s="216"/>
    <row r="937" ht="15.75" customHeight="1" s="216"/>
    <row r="938" ht="15.75" customHeight="1" s="216"/>
    <row r="939" ht="15.75" customHeight="1" s="216"/>
    <row r="940" ht="15.75" customHeight="1" s="216"/>
    <row r="941" ht="15.75" customHeight="1" s="216"/>
    <row r="942" ht="15.75" customHeight="1" s="216"/>
    <row r="943" ht="15.75" customHeight="1" s="216"/>
    <row r="944" ht="15.75" customHeight="1" s="216"/>
    <row r="945" ht="15.75" customHeight="1" s="216"/>
    <row r="946" ht="15.75" customHeight="1" s="216"/>
    <row r="947" ht="15.75" customHeight="1" s="216"/>
    <row r="948" ht="15.75" customHeight="1" s="216"/>
    <row r="949" ht="15.75" customHeight="1" s="216"/>
    <row r="950" ht="15.75" customHeight="1" s="216"/>
    <row r="951" ht="15.75" customHeight="1" s="216"/>
    <row r="952" ht="15.75" customHeight="1" s="216"/>
    <row r="953" ht="15.75" customHeight="1" s="216"/>
    <row r="954" ht="15.75" customHeight="1" s="216"/>
    <row r="955" ht="15.75" customHeight="1" s="216"/>
    <row r="956" ht="15.75" customHeight="1" s="216"/>
    <row r="957" ht="15.75" customHeight="1" s="216"/>
    <row r="958" ht="15.75" customHeight="1" s="216"/>
    <row r="959" ht="15.75" customHeight="1" s="216"/>
    <row r="960" ht="15.75" customHeight="1" s="216"/>
    <row r="961" ht="15.75" customHeight="1" s="216"/>
    <row r="962" ht="15.75" customHeight="1" s="216"/>
    <row r="963" ht="15.75" customHeight="1" s="216"/>
    <row r="964" ht="15.75" customHeight="1" s="216"/>
    <row r="965" ht="15.75" customHeight="1" s="216"/>
    <row r="966" ht="15.75" customHeight="1" s="216"/>
    <row r="967" ht="15.75" customHeight="1" s="216"/>
    <row r="968" ht="15.75" customHeight="1" s="216"/>
    <row r="969" ht="15.75" customHeight="1" s="216"/>
    <row r="970" ht="15.75" customHeight="1" s="216"/>
    <row r="971" ht="15.75" customHeight="1" s="216"/>
    <row r="972" ht="15.75" customHeight="1" s="216"/>
    <row r="973" ht="15.75" customHeight="1" s="216"/>
    <row r="974" ht="15.75" customHeight="1" s="216"/>
    <row r="975" ht="15.75" customHeight="1" s="216"/>
    <row r="976" ht="15.75" customHeight="1" s="216"/>
    <row r="977" ht="15.75" customHeight="1" s="216"/>
    <row r="978" ht="15.75" customHeight="1" s="216"/>
    <row r="979" ht="15.75" customHeight="1" s="216"/>
    <row r="980" ht="15.75" customHeight="1" s="216"/>
    <row r="981" ht="15.75" customHeight="1" s="216"/>
    <row r="982" ht="15.75" customHeight="1" s="216"/>
    <row r="983" ht="15.75" customHeight="1" s="216"/>
    <row r="984" ht="15.75" customHeight="1" s="216"/>
    <row r="985" ht="15.75" customHeight="1" s="216"/>
    <row r="986" ht="15.75" customHeight="1" s="216"/>
    <row r="987" ht="15.75" customHeight="1" s="216"/>
    <row r="988" ht="15.75" customHeight="1" s="216"/>
    <row r="989" ht="15.75" customHeight="1" s="216"/>
    <row r="990" ht="15.75" customHeight="1" s="216"/>
    <row r="991" ht="15.75" customHeight="1" s="216"/>
    <row r="992" ht="15.75" customHeight="1" s="216"/>
    <row r="993" ht="15.75" customHeight="1" s="216"/>
    <row r="994" ht="15.75" customHeight="1" s="216"/>
    <row r="995" ht="15.75" customHeight="1" s="216"/>
    <row r="996" ht="15.75" customHeight="1" s="216"/>
    <row r="997" ht="15.75" customHeight="1" s="216"/>
    <row r="998" ht="15.75" customHeight="1" s="216"/>
    <row r="999" ht="15.75" customHeight="1" s="216"/>
    <row r="1000" ht="15.75" customHeight="1" s="216"/>
  </sheetData>
  <mergeCells count="30">
    <mergeCell ref="C61:F61"/>
    <mergeCell ref="B16:F16"/>
    <mergeCell ref="C9:E9"/>
    <mergeCell ref="D46:E46"/>
    <mergeCell ref="B5:E5"/>
    <mergeCell ref="B51:E51"/>
    <mergeCell ref="C57:F57"/>
    <mergeCell ref="C12:E12"/>
    <mergeCell ref="B56:F56"/>
    <mergeCell ref="D45:E45"/>
    <mergeCell ref="C11:E11"/>
    <mergeCell ref="D49:E49"/>
    <mergeCell ref="B64:F65"/>
    <mergeCell ref="C8:E8"/>
    <mergeCell ref="C62:F62"/>
    <mergeCell ref="C7:E7"/>
    <mergeCell ref="D48:E48"/>
    <mergeCell ref="C58:F58"/>
    <mergeCell ref="D47:E47"/>
    <mergeCell ref="C13:E13"/>
    <mergeCell ref="D43:E43"/>
    <mergeCell ref="B42:E42"/>
    <mergeCell ref="I17:J17"/>
    <mergeCell ref="C6:E6"/>
    <mergeCell ref="B14:E14"/>
    <mergeCell ref="B53:E53"/>
    <mergeCell ref="C59:F59"/>
    <mergeCell ref="C60:F60"/>
    <mergeCell ref="D44:E44"/>
    <mergeCell ref="C10:E10"/>
  </mergeCells>
  <pageMargins left="0.75" right="0.75" top="1" bottom="1" header="0" footer="0"/>
  <pageSetup orientation="landscape"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BC241"/>
  <sheetViews>
    <sheetView showGridLines="0" workbookViewId="0">
      <pane xSplit="5" ySplit="3" topLeftCell="F4" activePane="bottomRight" state="frozen"/>
      <selection pane="topRight" activeCell="F1" sqref="F1"/>
      <selection pane="bottomLeft" activeCell="A4" sqref="A4"/>
      <selection pane="bottomRight" activeCell="F4" sqref="F4"/>
    </sheetView>
  </sheetViews>
  <sheetFormatPr baseColWidth="8" defaultColWidth="14.43" defaultRowHeight="15" customHeight="1"/>
  <cols>
    <col width="2" customWidth="1" style="216" min="1" max="1"/>
    <col width="5" customWidth="1" style="216" min="2" max="2"/>
    <col width="8" customWidth="1" style="216" min="3" max="3"/>
    <col width="16" customWidth="1" style="216" min="4" max="4"/>
    <col width="20" customWidth="1" style="216" min="5" max="5"/>
    <col width="7" customWidth="1" style="216" min="6" max="6"/>
    <col width="6" customWidth="1" style="216" min="7" max="10"/>
    <col width="8" customWidth="1" style="216" min="11" max="11"/>
    <col width="9.57" customWidth="1" style="216" min="12" max="12"/>
    <col width="9" customWidth="1" style="216" min="13" max="13"/>
    <col width="8" customWidth="1" style="216" min="14" max="17"/>
    <col width="12.57" customWidth="1" style="216" min="18" max="18"/>
    <col width="8" customWidth="1" style="216" min="19" max="19"/>
    <col width="13.29" customWidth="1" style="216" min="20" max="20"/>
    <col width="11.86" customWidth="1" style="216" min="21" max="21"/>
    <col width="8" customWidth="1" style="216" min="22" max="26"/>
    <col width="10" customWidth="1" style="216" min="27" max="27"/>
    <col width="9" customWidth="1" style="216" min="28" max="30"/>
  </cols>
  <sheetData>
    <row r="1" ht="38.25" customHeight="1" s="216">
      <c r="A1" s="79" t="n"/>
      <c r="B1" s="80" t="inlineStr">
        <is>
          <t>BẢNG ĐIỀU KHIỂN — QUẢN LÝ &amp; GOM SỐ LIỆU TẤT CẢ SHEET TEST CASE</t>
        </is>
      </c>
      <c r="AB1" s="1" t="n"/>
      <c r="AC1" s="1" t="n"/>
      <c r="AD1" s="1" t="n"/>
    </row>
    <row r="2" ht="15" customHeight="1" s="216">
      <c r="A2" s="1" t="n"/>
      <c r="B2" s="81" t="n"/>
      <c r="C2" s="82" t="inlineStr">
        <is>
          <t>QUẢN LÝ SHEET  (nhập tay 3 cột)</t>
        </is>
      </c>
      <c r="D2" s="220" t="n"/>
      <c r="E2" s="220" t="n"/>
      <c r="F2" s="83" t="inlineStr">
        <is>
          <t>Execution</t>
        </is>
      </c>
      <c r="G2" s="220" t="n"/>
      <c r="H2" s="220" t="n"/>
      <c r="I2" s="220" t="n"/>
      <c r="J2" s="220" t="n"/>
      <c r="K2" s="220" t="n"/>
      <c r="L2" s="220" t="n"/>
      <c r="M2" s="220" t="n"/>
      <c r="N2" s="220" t="n"/>
      <c r="O2" s="84" t="inlineStr">
        <is>
          <t>PRIORITY</t>
        </is>
      </c>
      <c r="P2" s="220" t="n"/>
      <c r="Q2" s="220" t="n"/>
      <c r="R2" s="85" t="inlineStr">
        <is>
          <t>GROUP TC</t>
        </is>
      </c>
      <c r="S2" s="220" t="n"/>
      <c r="T2" s="220" t="n"/>
      <c r="U2" s="220" t="n"/>
      <c r="V2" s="86" t="inlineStr">
        <is>
          <t>SDLC</t>
        </is>
      </c>
      <c r="W2" s="220" t="n"/>
      <c r="X2" s="220" t="n"/>
      <c r="Y2" s="220" t="n"/>
      <c r="Z2" s="220" t="n"/>
      <c r="AA2" s="220" t="n"/>
      <c r="AB2" s="94" t="inlineStr">
        <is>
          <t>PRIORITY — ĐÃ CHẠY</t>
        </is>
      </c>
      <c r="AC2" s="220" t="n"/>
      <c r="AD2" s="218" t="n"/>
      <c r="AE2" s="88" t="inlineStr">
        <is>
          <t>TIẾN ĐỘ THEO ROUND (mỗi round chạy lại toàn bộ TC)</t>
        </is>
      </c>
    </row>
    <row r="3" ht="33.75" customHeight="1" s="216">
      <c r="A3" s="1" t="n"/>
      <c r="B3" s="89" t="inlineStr">
        <is>
          <t>STT</t>
        </is>
      </c>
      <c r="C3" s="89" t="inlineStr">
        <is>
          <t>Mã CN</t>
        </is>
      </c>
      <c r="D3" s="89" t="inlineStr">
        <is>
          <t>Tên tab sheet
(đúng 100%)</t>
        </is>
      </c>
      <c r="E3" s="89" t="inlineStr">
        <is>
          <t>Function / Màn hình</t>
        </is>
      </c>
      <c r="F3" s="90" t="inlineStr">
        <is>
          <t>Tổng TC</t>
        </is>
      </c>
      <c r="G3" s="90" t="inlineStr">
        <is>
          <t>Pass</t>
        </is>
      </c>
      <c r="H3" s="90" t="inlineStr">
        <is>
          <t>Fail</t>
        </is>
      </c>
      <c r="I3" s="90" t="inlineStr">
        <is>
          <t>Block</t>
        </is>
      </c>
      <c r="J3" s="90" t="inlineStr">
        <is>
          <t>N/A</t>
        </is>
      </c>
      <c r="K3" s="90" t="inlineStr">
        <is>
          <t>Chưa chạy</t>
        </is>
      </c>
      <c r="L3" s="90" t="inlineStr">
        <is>
          <t>Executed</t>
        </is>
      </c>
      <c r="M3" s="90" t="inlineStr">
        <is>
          <t>Coverage %</t>
        </is>
      </c>
      <c r="N3" s="90" t="inlineStr">
        <is>
          <t>Pass %</t>
        </is>
      </c>
      <c r="O3" s="91" t="inlineStr">
        <is>
          <t>High</t>
        </is>
      </c>
      <c r="P3" s="91" t="inlineStr">
        <is>
          <t>Medium</t>
        </is>
      </c>
      <c r="Q3" s="91" t="inlineStr">
        <is>
          <t>Low</t>
        </is>
      </c>
      <c r="R3" s="92" t="inlineStr">
        <is>
          <t>Functional</t>
        </is>
      </c>
      <c r="S3" s="92" t="inlineStr">
        <is>
          <t>UI</t>
        </is>
      </c>
      <c r="T3" s="92" t="inlineStr">
        <is>
          <t>Integration</t>
        </is>
      </c>
      <c r="U3" s="92" t="inlineStr">
        <is>
          <t>Database</t>
        </is>
      </c>
      <c r="V3" s="93" t="inlineStr">
        <is>
          <t>AI-gen</t>
        </is>
      </c>
      <c r="W3" s="93" t="inlineStr">
        <is>
          <t>QC viết</t>
        </is>
      </c>
      <c r="X3" s="93" t="inlineStr">
        <is>
          <t>Auto</t>
        </is>
      </c>
      <c r="Y3" s="93" t="inlineStr">
        <is>
          <t>Vibe</t>
        </is>
      </c>
      <c r="Z3" s="93" t="inlineStr">
        <is>
          <t>Script Pass</t>
        </is>
      </c>
      <c r="AA3" s="93" t="inlineStr">
        <is>
          <t>Reviewed</t>
        </is>
      </c>
      <c r="AB3" s="94" t="inlineStr">
        <is>
          <t>High
đã chạy</t>
        </is>
      </c>
      <c r="AC3" s="94" t="inlineStr">
        <is>
          <t>Medium
đã chạy</t>
        </is>
      </c>
      <c r="AD3" s="94" t="inlineStr">
        <is>
          <t>Low
đã chạy</t>
        </is>
      </c>
      <c r="AE3" s="95" t="inlineStr">
        <is>
          <t>R1 Executed</t>
        </is>
      </c>
      <c r="AF3" s="95" t="inlineStr">
        <is>
          <t>R1 Pass</t>
        </is>
      </c>
      <c r="AG3" s="95" t="inlineStr">
        <is>
          <t>R1 Fail</t>
        </is>
      </c>
      <c r="AH3" s="95" t="inlineStr">
        <is>
          <t>R1 Block</t>
        </is>
      </c>
      <c r="AI3" s="95" t="inlineStr">
        <is>
          <t>R1 N/A</t>
        </is>
      </c>
      <c r="AJ3" s="95" t="inlineStr">
        <is>
          <t>R2 Executed</t>
        </is>
      </c>
      <c r="AK3" s="95" t="inlineStr">
        <is>
          <t>R2 Pass</t>
        </is>
      </c>
      <c r="AL3" s="95" t="inlineStr">
        <is>
          <t>R2 Fail</t>
        </is>
      </c>
      <c r="AM3" s="95" t="inlineStr">
        <is>
          <t>R2 Block</t>
        </is>
      </c>
      <c r="AN3" s="95" t="inlineStr">
        <is>
          <t>R2 N/A</t>
        </is>
      </c>
      <c r="AO3" s="95" t="inlineStr">
        <is>
          <t>R3 Executed</t>
        </is>
      </c>
      <c r="AP3" s="95" t="inlineStr">
        <is>
          <t>R3 Pass</t>
        </is>
      </c>
      <c r="AQ3" s="95" t="inlineStr">
        <is>
          <t>R3 Fail</t>
        </is>
      </c>
      <c r="AR3" s="95" t="inlineStr">
        <is>
          <t>R3 Block</t>
        </is>
      </c>
      <c r="AS3" s="95" t="inlineStr">
        <is>
          <t>R3 N/A</t>
        </is>
      </c>
      <c r="AT3" s="95" t="inlineStr">
        <is>
          <t>R4 Executed</t>
        </is>
      </c>
      <c r="AU3" s="95" t="inlineStr">
        <is>
          <t>R4 Pass</t>
        </is>
      </c>
      <c r="AV3" s="95" t="inlineStr">
        <is>
          <t>R4 Fail</t>
        </is>
      </c>
      <c r="AW3" s="95" t="inlineStr">
        <is>
          <t>R4 Block</t>
        </is>
      </c>
      <c r="AX3" s="95" t="inlineStr">
        <is>
          <t>R4 N/A</t>
        </is>
      </c>
      <c r="AY3" s="95" t="inlineStr">
        <is>
          <t>R5 Executed</t>
        </is>
      </c>
      <c r="AZ3" s="95" t="inlineStr">
        <is>
          <t>R5 Pass</t>
        </is>
      </c>
      <c r="BA3" s="95" t="inlineStr">
        <is>
          <t>R5 Fail</t>
        </is>
      </c>
      <c r="BB3" s="95" t="inlineStr">
        <is>
          <t>R5 Block</t>
        </is>
      </c>
      <c r="BC3" s="95" t="inlineStr">
        <is>
          <t>R5 N/A</t>
        </is>
      </c>
    </row>
    <row r="4">
      <c r="A4" s="1" t="n"/>
      <c r="B4" s="96">
        <f>IF($D4="","",ROW()-3)</f>
        <v/>
      </c>
      <c r="C4" s="97" t="inlineStr">
        <is>
          <t>TC_01</t>
        </is>
      </c>
      <c r="D4" s="97" t="inlineStr">
        <is>
          <t>Hoạt động (Đơn của tôi)</t>
        </is>
      </c>
      <c r="E4" s="98" t="inlineStr">
        <is>
          <t>Hoạt động (Đơn của tôi)</t>
        </is>
      </c>
      <c r="F4" s="96">
        <f>IF($D4="","",IFERROR(COUNTIF(INDIRECT("'"&amp;$D4&amp;"'!$A$7:$A$500"),"?*"),0))</f>
        <v/>
      </c>
      <c r="G4" s="96">
        <f>IF($D4="","",IFERROR(COUNTIF(INDIRECT("'"&amp;$D4&amp;"'!$AT$7:$AT$500"),"Pass"),0))</f>
        <v/>
      </c>
      <c r="H4" s="96">
        <f>IF($D4="","",IFERROR(COUNTIF(INDIRECT("'"&amp;$D4&amp;"'!$AT$7:$AT$500"),"Fail"),0))</f>
        <v/>
      </c>
      <c r="I4" s="96">
        <f>IF($D4="","",IFERROR(COUNTIF(INDIRECT("'"&amp;$D4&amp;"'!$AT$7:$AT$500"),"Block"),0))</f>
        <v/>
      </c>
      <c r="J4" s="96">
        <f>IF($D4="","",IFERROR(COUNTIF(INDIRECT("'"&amp;$D4&amp;"'!$AT$7:$AT$500"),"N/A"),0))</f>
        <v/>
      </c>
      <c r="K4" s="96">
        <f>IF($D4="","",MAX(0,$F4-$G4-$H4-$I4-$J4))</f>
        <v/>
      </c>
      <c r="L4" s="96">
        <f>IF($D4="","",$G4+$H4+$I4+$J4)</f>
        <v/>
      </c>
      <c r="M4" s="99">
        <f>IF($D4="","",IFERROR($L4/$F4,0))</f>
        <v/>
      </c>
      <c r="N4" s="99">
        <f>IF($D4="","",IFERROR($G4/$L4,0))</f>
        <v/>
      </c>
      <c r="O4" s="96">
        <f>IF($D4="","",IFERROR(COUNTIF(INDIRECT("'"&amp;$D4&amp;"'!$E$7:$E$500"),"High"),0))</f>
        <v/>
      </c>
      <c r="P4" s="96">
        <f>IF($D4="","",IFERROR(COUNTIF(INDIRECT("'"&amp;$D4&amp;"'!$E$7:$E$500"),"Medium"),0))</f>
        <v/>
      </c>
      <c r="Q4" s="96">
        <f>IF($D4="","",IFERROR(COUNTIF(INDIRECT("'"&amp;$D4&amp;"'!$E$7:$E$500"),"Low"),0))</f>
        <v/>
      </c>
      <c r="R4" s="96">
        <f>IF($D4="","",IFERROR(COUNTIF(INDIRECT("'"&amp;$D4&amp;"'!$D$7:$D$500"),"Functional"),0))</f>
        <v/>
      </c>
      <c r="S4" s="96">
        <f>IF($D4="","",IFERROR(COUNTIF(INDIRECT("'"&amp;$D4&amp;"'!$D$7:$D$500"),"UI"),0))</f>
        <v/>
      </c>
      <c r="T4" s="96">
        <f>IF($D4="","",IFERROR(COUNTIF(INDIRECT("'"&amp;$D4&amp;"'!$D$7:$D$500"),"Integration"),0))</f>
        <v/>
      </c>
      <c r="U4" s="96">
        <f>IF($D4="","",IFERROR(COUNTIF(INDIRECT("'"&amp;$D4&amp;"'!$D$7:$D$500"),"Database Test Case"),0))</f>
        <v/>
      </c>
      <c r="V4" s="96">
        <f>IF($D4="","",IFERROR(COUNTIF(INDIRECT("'"&amp;$D4&amp;"'!$J$7:$J$500"),"AI"),0))</f>
        <v/>
      </c>
      <c r="W4" s="96">
        <f>IF($D4="","",IFERROR(COUNTIF(INDIRECT("'"&amp;$D4&amp;"'!$J$7:$J$500"),"QC"),0))</f>
        <v/>
      </c>
      <c r="X4" s="96">
        <f>IF($D4="","",IFERROR(COUNTIF(INDIRECT("'"&amp;$D4&amp;"'!$L$7:$L$500"),"Yes"),0))</f>
        <v/>
      </c>
      <c r="Y4" s="96">
        <f>IF($D4="","",IFERROR(COUNTIF(INDIRECT("'"&amp;$D4&amp;"'!$AR$7:$AR$500"),"Yes"),0))</f>
        <v/>
      </c>
      <c r="Z4" s="96">
        <f>IF($D4="","",IFERROR(COUNTIF(INDIRECT("'"&amp;$D4&amp;"'!$AS$7:$AS$500"),"Pass"),0))</f>
        <v/>
      </c>
      <c r="AA4" s="96">
        <f>IF($D4="","",IFERROR(COUNTIF(INDIRECT("'"&amp;$D4&amp;"'!$K$7:$K$500"),"Reviewed"),0))</f>
        <v/>
      </c>
      <c r="AB4" s="107">
        <f>IF($D4="","",IFERROR(COUNTIFS(INDIRECT("'"&amp;$D4&amp;"'!$E$7:$E$500"),"High",INDIRECT("'"&amp;$D4&amp;"'!$AT$7:$AT$500"),"?*"),0))</f>
        <v/>
      </c>
      <c r="AC4" s="107">
        <f>IF($D4="","",IFERROR(COUNTIFS(INDIRECT("'"&amp;$D4&amp;"'!$E$7:$E$500"),"Medium",INDIRECT("'"&amp;$D4&amp;"'!$AT$7:$AT$500"),"?*"),0))</f>
        <v/>
      </c>
      <c r="AD4" s="107">
        <f>IF($D4="","",IFERROR(COUNTIFS(INDIRECT("'"&amp;$D4&amp;"'!$E$7:$E$500"),"Low",INDIRECT("'"&amp;$D4&amp;"'!$AT$7:$AT$500"),"?*"),0))</f>
        <v/>
      </c>
      <c r="AE4" s="108">
        <f>IF($D4="","",IFERROR(COUNTIF(INDIRECT("'"&amp;$D4&amp;"'!$P$7:$P$500"),"?*"),0))</f>
        <v/>
      </c>
      <c r="AF4" s="108">
        <f>IF($D4="","",IFERROR(COUNTIF(INDIRECT("'"&amp;$D4&amp;"'!$P$7:$P$500"),"Pass"),0))</f>
        <v/>
      </c>
      <c r="AG4" s="108">
        <f>IF($D4="","",IFERROR(COUNTIF(INDIRECT("'"&amp;$D4&amp;"'!$P$7:$P$500"),"Fail"),0))</f>
        <v/>
      </c>
      <c r="AH4" s="108">
        <f>IF($D4="","",IFERROR(COUNTIF(INDIRECT("'"&amp;$D4&amp;"'!$P$7:$P$500"),"Block"),0))</f>
        <v/>
      </c>
      <c r="AI4" s="108">
        <f>IF($D4="","",IFERROR(COUNTIF(INDIRECT("'"&amp;$D4&amp;"'!$P$7:$P$500"),"N/A"),0))</f>
        <v/>
      </c>
      <c r="AJ4" s="108">
        <f>IF($D4="","",IFERROR(COUNTIF(INDIRECT("'"&amp;$D4&amp;"'!$V$7:$V$500"),"?*"),0))</f>
        <v/>
      </c>
      <c r="AK4" s="108">
        <f>IF($D4="","",IFERROR(COUNTIF(INDIRECT("'"&amp;$D4&amp;"'!$V$7:$V$500"),"Pass"),0))</f>
        <v/>
      </c>
      <c r="AL4" s="108">
        <f>IF($D4="","",IFERROR(COUNTIF(INDIRECT("'"&amp;$D4&amp;"'!$V$7:$V$500"),"Fail"),0))</f>
        <v/>
      </c>
      <c r="AM4" s="108">
        <f>IF($D4="","",IFERROR(COUNTIF(INDIRECT("'"&amp;$D4&amp;"'!$V$7:$V$500"),"Block"),0))</f>
        <v/>
      </c>
      <c r="AN4" s="108">
        <f>IF($D4="","",IFERROR(COUNTIF(INDIRECT("'"&amp;$D4&amp;"'!$V$7:$V$500"),"N/A"),0))</f>
        <v/>
      </c>
      <c r="AO4" s="108">
        <f>IF($D4="","",IFERROR(COUNTIF(INDIRECT("'"&amp;$D4&amp;"'!$AB$7:$AB$500"),"?*"),0))</f>
        <v/>
      </c>
      <c r="AP4" s="108">
        <f>IF($D4="","",IFERROR(COUNTIF(INDIRECT("'"&amp;$D4&amp;"'!$AB$7:$AB$500"),"Pass"),0))</f>
        <v/>
      </c>
      <c r="AQ4" s="108">
        <f>IF($D4="","",IFERROR(COUNTIF(INDIRECT("'"&amp;$D4&amp;"'!$AB$7:$AB$500"),"Fail"),0))</f>
        <v/>
      </c>
      <c r="AR4" s="108">
        <f>IF($D4="","",IFERROR(COUNTIF(INDIRECT("'"&amp;$D4&amp;"'!$AB$7:$AB$500"),"Block"),0))</f>
        <v/>
      </c>
      <c r="AS4" s="108">
        <f>IF($D4="","",IFERROR(COUNTIF(INDIRECT("'"&amp;$D4&amp;"'!$AB$7:$AB$500"),"N/A"),0))</f>
        <v/>
      </c>
      <c r="AT4" s="108">
        <f>IF($D4="","",IFERROR(COUNTIF(INDIRECT("'"&amp;$D4&amp;"'!$AH$7:$AH$500"),"?*"),0))</f>
        <v/>
      </c>
      <c r="AU4" s="108">
        <f>IF($D4="","",IFERROR(COUNTIF(INDIRECT("'"&amp;$D4&amp;"'!$AH$7:$AH$500"),"Pass"),0))</f>
        <v/>
      </c>
      <c r="AV4" s="108">
        <f>IF($D4="","",IFERROR(COUNTIF(INDIRECT("'"&amp;$D4&amp;"'!$AH$7:$AH$500"),"Fail"),0))</f>
        <v/>
      </c>
      <c r="AW4" s="108">
        <f>IF($D4="","",IFERROR(COUNTIF(INDIRECT("'"&amp;$D4&amp;"'!$AH$7:$AH$500"),"Block"),0))</f>
        <v/>
      </c>
      <c r="AX4" s="108">
        <f>IF($D4="","",IFERROR(COUNTIF(INDIRECT("'"&amp;$D4&amp;"'!$AH$7:$AH$500"),"N/A"),0))</f>
        <v/>
      </c>
      <c r="AY4" s="108">
        <f>IF($D4="","",IFERROR(COUNTIF(INDIRECT("'"&amp;$D4&amp;"'!$AN$7:$AN$500"),"?*"),0))</f>
        <v/>
      </c>
      <c r="AZ4" s="108">
        <f>IF($D4="","",IFERROR(COUNTIF(INDIRECT("'"&amp;$D4&amp;"'!$AN$7:$AN$500"),"Pass"),0))</f>
        <v/>
      </c>
      <c r="BA4" s="108">
        <f>IF($D4="","",IFERROR(COUNTIF(INDIRECT("'"&amp;$D4&amp;"'!$AN$7:$AN$500"),"Fail"),0))</f>
        <v/>
      </c>
      <c r="BB4" s="108">
        <f>IF($D4="","",IFERROR(COUNTIF(INDIRECT("'"&amp;$D4&amp;"'!$AN$7:$AN$500"),"Block"),0))</f>
        <v/>
      </c>
      <c r="BC4" s="109">
        <f>IF($D4="","",IFERROR(COUNTIF(INDIRECT("'"&amp;$D4&amp;"'!$AN$7:$AN$500"),"N/A"),0))</f>
        <v/>
      </c>
    </row>
    <row r="5">
      <c r="A5" s="1" t="n"/>
      <c r="B5" s="96">
        <f>IF($D5="","",ROW()-3)</f>
        <v/>
      </c>
      <c r="C5" s="97" t="inlineStr">
        <is>
          <t>TC_02</t>
        </is>
      </c>
      <c r="D5" s="97" t="inlineStr">
        <is>
          <t>Ghép nối</t>
        </is>
      </c>
      <c r="E5" s="98" t="inlineStr">
        <is>
          <t>Ghép nối</t>
        </is>
      </c>
      <c r="F5" s="96">
        <f>IF($D5="","",IFERROR(COUNTIF(INDIRECT("'"&amp;$D5&amp;"'!$A$7:$A$500"),"?*"),0))</f>
        <v/>
      </c>
      <c r="G5" s="96">
        <f>IF($D5="","",IFERROR(COUNTIF(INDIRECT("'"&amp;$D5&amp;"'!$AT$7:$AT$500"),"Pass"),0))</f>
        <v/>
      </c>
      <c r="H5" s="96">
        <f>IF($D5="","",IFERROR(COUNTIF(INDIRECT("'"&amp;$D5&amp;"'!$AT$7:$AT$500"),"Fail"),0))</f>
        <v/>
      </c>
      <c r="I5" s="96">
        <f>IF($D5="","",IFERROR(COUNTIF(INDIRECT("'"&amp;$D5&amp;"'!$AT$7:$AT$500"),"Block"),0))</f>
        <v/>
      </c>
      <c r="J5" s="96">
        <f>IF($D5="","",IFERROR(COUNTIF(INDIRECT("'"&amp;$D5&amp;"'!$AT$7:$AT$500"),"N/A"),0))</f>
        <v/>
      </c>
      <c r="K5" s="96">
        <f>IF($D5="","",MAX(0,$F5-$G5-$H5-$I5-$J5))</f>
        <v/>
      </c>
      <c r="L5" s="96">
        <f>IF($D5="","",$G5+$H5+$I5+$J5)</f>
        <v/>
      </c>
      <c r="M5" s="99">
        <f>IF($D5="","",IFERROR($L5/$F5,0))</f>
        <v/>
      </c>
      <c r="N5" s="99">
        <f>IF($D5="","",IFERROR($G5/$L5,0))</f>
        <v/>
      </c>
      <c r="O5" s="96">
        <f>IF($D5="","",IFERROR(COUNTIF(INDIRECT("'"&amp;$D5&amp;"'!$E$7:$E$500"),"High"),0))</f>
        <v/>
      </c>
      <c r="P5" s="96">
        <f>IF($D5="","",IFERROR(COUNTIF(INDIRECT("'"&amp;$D5&amp;"'!$E$7:$E$500"),"Medium"),0))</f>
        <v/>
      </c>
      <c r="Q5" s="96">
        <f>IF($D5="","",IFERROR(COUNTIF(INDIRECT("'"&amp;$D5&amp;"'!$E$7:$E$500"),"Low"),0))</f>
        <v/>
      </c>
      <c r="R5" s="96">
        <f>IF($D5="","",IFERROR(COUNTIF(INDIRECT("'"&amp;$D5&amp;"'!$D$7:$D$500"),"Functional"),0))</f>
        <v/>
      </c>
      <c r="S5" s="96">
        <f>IF($D5="","",IFERROR(COUNTIF(INDIRECT("'"&amp;$D5&amp;"'!$D$7:$D$500"),"UI"),0))</f>
        <v/>
      </c>
      <c r="T5" s="96">
        <f>IF($D5="","",IFERROR(COUNTIF(INDIRECT("'"&amp;$D5&amp;"'!$D$7:$D$500"),"Integration"),0))</f>
        <v/>
      </c>
      <c r="U5" s="96">
        <f>IF($D5="","",IFERROR(COUNTIF(INDIRECT("'"&amp;$D5&amp;"'!$D$7:$D$500"),"Database Test Case"),0))</f>
        <v/>
      </c>
      <c r="V5" s="96">
        <f>IF($D5="","",IFERROR(COUNTIF(INDIRECT("'"&amp;$D5&amp;"'!$J$7:$J$500"),"AI"),0))</f>
        <v/>
      </c>
      <c r="W5" s="96">
        <f>IF($D5="","",IFERROR(COUNTIF(INDIRECT("'"&amp;$D5&amp;"'!$J$7:$J$500"),"QC"),0))</f>
        <v/>
      </c>
      <c r="X5" s="96">
        <f>IF($D5="","",IFERROR(COUNTIF(INDIRECT("'"&amp;$D5&amp;"'!$L$7:$L$500"),"Yes"),0))</f>
        <v/>
      </c>
      <c r="Y5" s="96">
        <f>IF($D5="","",IFERROR(COUNTIF(INDIRECT("'"&amp;$D5&amp;"'!$AR$7:$AR$500"),"Yes"),0))</f>
        <v/>
      </c>
      <c r="Z5" s="96">
        <f>IF($D5="","",IFERROR(COUNTIF(INDIRECT("'"&amp;$D5&amp;"'!$AS$7:$AS$500"),"Pass"),0))</f>
        <v/>
      </c>
      <c r="AA5" s="96">
        <f>IF($D5="","",IFERROR(COUNTIF(INDIRECT("'"&amp;$D5&amp;"'!$K$7:$K$500"),"Reviewed"),0))</f>
        <v/>
      </c>
      <c r="AB5" s="107">
        <f>IF($D5="","",IFERROR(COUNTIFS(INDIRECT("'"&amp;$D5&amp;"'!$E$7:$E$500"),"High",INDIRECT("'"&amp;$D5&amp;"'!$AT$7:$AT$500"),"?*"),0))</f>
        <v/>
      </c>
      <c r="AC5" s="107">
        <f>IF($D5="","",IFERROR(COUNTIFS(INDIRECT("'"&amp;$D5&amp;"'!$E$7:$E$500"),"Medium",INDIRECT("'"&amp;$D5&amp;"'!$AT$7:$AT$500"),"?*"),0))</f>
        <v/>
      </c>
      <c r="AD5" s="107">
        <f>IF($D5="","",IFERROR(COUNTIFS(INDIRECT("'"&amp;$D5&amp;"'!$E$7:$E$500"),"Low",INDIRECT("'"&amp;$D5&amp;"'!$AT$7:$AT$500"),"?*"),0))</f>
        <v/>
      </c>
      <c r="AE5" s="108">
        <f>IF($D5="","",IFERROR(COUNTIF(INDIRECT("'"&amp;$D5&amp;"'!$P$7:$P$500"),"?*"),0))</f>
        <v/>
      </c>
      <c r="AF5" s="108">
        <f>IF($D5="","",IFERROR(COUNTIF(INDIRECT("'"&amp;$D5&amp;"'!$P$7:$P$500"),"Pass"),0))</f>
        <v/>
      </c>
      <c r="AG5" s="108">
        <f>IF($D5="","",IFERROR(COUNTIF(INDIRECT("'"&amp;$D5&amp;"'!$P$7:$P$500"),"Fail"),0))</f>
        <v/>
      </c>
      <c r="AH5" s="108">
        <f>IF($D5="","",IFERROR(COUNTIF(INDIRECT("'"&amp;$D5&amp;"'!$P$7:$P$500"),"Block"),0))</f>
        <v/>
      </c>
      <c r="AI5" s="108">
        <f>IF($D5="","",IFERROR(COUNTIF(INDIRECT("'"&amp;$D5&amp;"'!$P$7:$P$500"),"N/A"),0))</f>
        <v/>
      </c>
      <c r="AJ5" s="108">
        <f>IF($D5="","",IFERROR(COUNTIF(INDIRECT("'"&amp;$D5&amp;"'!$V$7:$V$500"),"?*"),0))</f>
        <v/>
      </c>
      <c r="AK5" s="108">
        <f>IF($D5="","",IFERROR(COUNTIF(INDIRECT("'"&amp;$D5&amp;"'!$V$7:$V$500"),"Pass"),0))</f>
        <v/>
      </c>
      <c r="AL5" s="108">
        <f>IF($D5="","",IFERROR(COUNTIF(INDIRECT("'"&amp;$D5&amp;"'!$V$7:$V$500"),"Fail"),0))</f>
        <v/>
      </c>
      <c r="AM5" s="108">
        <f>IF($D5="","",IFERROR(COUNTIF(INDIRECT("'"&amp;$D5&amp;"'!$V$7:$V$500"),"Block"),0))</f>
        <v/>
      </c>
      <c r="AN5" s="108">
        <f>IF($D5="","",IFERROR(COUNTIF(INDIRECT("'"&amp;$D5&amp;"'!$V$7:$V$500"),"N/A"),0))</f>
        <v/>
      </c>
      <c r="AO5" s="108">
        <f>IF($D5="","",IFERROR(COUNTIF(INDIRECT("'"&amp;$D5&amp;"'!$AB$7:$AB$500"),"?*"),0))</f>
        <v/>
      </c>
      <c r="AP5" s="108">
        <f>IF($D5="","",IFERROR(COUNTIF(INDIRECT("'"&amp;$D5&amp;"'!$AB$7:$AB$500"),"Pass"),0))</f>
        <v/>
      </c>
      <c r="AQ5" s="108">
        <f>IF($D5="","",IFERROR(COUNTIF(INDIRECT("'"&amp;$D5&amp;"'!$AB$7:$AB$500"),"Fail"),0))</f>
        <v/>
      </c>
      <c r="AR5" s="108">
        <f>IF($D5="","",IFERROR(COUNTIF(INDIRECT("'"&amp;$D5&amp;"'!$AB$7:$AB$500"),"Block"),0))</f>
        <v/>
      </c>
      <c r="AS5" s="108">
        <f>IF($D5="","",IFERROR(COUNTIF(INDIRECT("'"&amp;$D5&amp;"'!$AB$7:$AB$500"),"N/A"),0))</f>
        <v/>
      </c>
      <c r="AT5" s="108">
        <f>IF($D5="","",IFERROR(COUNTIF(INDIRECT("'"&amp;$D5&amp;"'!$AH$7:$AH$500"),"?*"),0))</f>
        <v/>
      </c>
      <c r="AU5" s="108">
        <f>IF($D5="","",IFERROR(COUNTIF(INDIRECT("'"&amp;$D5&amp;"'!$AH$7:$AH$500"),"Pass"),0))</f>
        <v/>
      </c>
      <c r="AV5" s="108">
        <f>IF($D5="","",IFERROR(COUNTIF(INDIRECT("'"&amp;$D5&amp;"'!$AH$7:$AH$500"),"Fail"),0))</f>
        <v/>
      </c>
      <c r="AW5" s="108">
        <f>IF($D5="","",IFERROR(COUNTIF(INDIRECT("'"&amp;$D5&amp;"'!$AH$7:$AH$500"),"Block"),0))</f>
        <v/>
      </c>
      <c r="AX5" s="108">
        <f>IF($D5="","",IFERROR(COUNTIF(INDIRECT("'"&amp;$D5&amp;"'!$AH$7:$AH$500"),"N/A"),0))</f>
        <v/>
      </c>
      <c r="AY5" s="108">
        <f>IF($D5="","",IFERROR(COUNTIF(INDIRECT("'"&amp;$D5&amp;"'!$AN$7:$AN$500"),"?*"),0))</f>
        <v/>
      </c>
      <c r="AZ5" s="108">
        <f>IF($D5="","",IFERROR(COUNTIF(INDIRECT("'"&amp;$D5&amp;"'!$AN$7:$AN$500"),"Pass"),0))</f>
        <v/>
      </c>
      <c r="BA5" s="108">
        <f>IF($D5="","",IFERROR(COUNTIF(INDIRECT("'"&amp;$D5&amp;"'!$AN$7:$AN$500"),"Fail"),0))</f>
        <v/>
      </c>
      <c r="BB5" s="108">
        <f>IF($D5="","",IFERROR(COUNTIF(INDIRECT("'"&amp;$D5&amp;"'!$AN$7:$AN$500"),"Block"),0))</f>
        <v/>
      </c>
      <c r="BC5" s="109">
        <f>IF($D5="","",IFERROR(COUNTIF(INDIRECT("'"&amp;$D5&amp;"'!$AN$7:$AN$500"),"N/A"),0))</f>
        <v/>
      </c>
    </row>
    <row r="6">
      <c r="A6" s="1" t="n"/>
      <c r="B6" s="96">
        <f>IF($D6="","",ROW()-3)</f>
        <v/>
      </c>
      <c r="C6" s="97" t="inlineStr">
        <is>
          <t>TC_03</t>
        </is>
      </c>
      <c r="D6" s="97" t="inlineStr">
        <is>
          <t>Huỷ đơn - Huỷ nhận đơn</t>
        </is>
      </c>
      <c r="E6" s="98" t="inlineStr">
        <is>
          <t>Huỷ đơn - Huỷ nhận đơn</t>
        </is>
      </c>
      <c r="F6" s="96">
        <f>IF($D6="","",IFERROR(COUNTIF(INDIRECT("'"&amp;$D6&amp;"'!$A$7:$A$500"),"?*"),0))</f>
        <v/>
      </c>
      <c r="G6" s="96">
        <f>IF($D6="","",IFERROR(COUNTIF(INDIRECT("'"&amp;$D6&amp;"'!$AT$7:$AT$500"),"Pass"),0))</f>
        <v/>
      </c>
      <c r="H6" s="96">
        <f>IF($D6="","",IFERROR(COUNTIF(INDIRECT("'"&amp;$D6&amp;"'!$AT$7:$AT$500"),"Fail"),0))</f>
        <v/>
      </c>
      <c r="I6" s="96">
        <f>IF($D6="","",IFERROR(COUNTIF(INDIRECT("'"&amp;$D6&amp;"'!$AT$7:$AT$500"),"Block"),0))</f>
        <v/>
      </c>
      <c r="J6" s="96">
        <f>IF($D6="","",IFERROR(COUNTIF(INDIRECT("'"&amp;$D6&amp;"'!$AT$7:$AT$500"),"N/A"),0))</f>
        <v/>
      </c>
      <c r="K6" s="96">
        <f>IF($D6="","",MAX(0,$F6-$G6-$H6-$I6-$J6))</f>
        <v/>
      </c>
      <c r="L6" s="96">
        <f>IF($D6="","",$G6+$H6+$I6+$J6)</f>
        <v/>
      </c>
      <c r="M6" s="99">
        <f>IF($D6="","",IFERROR($L6/$F6,0))</f>
        <v/>
      </c>
      <c r="N6" s="99">
        <f>IF($D6="","",IFERROR($G6/$L6,0))</f>
        <v/>
      </c>
      <c r="O6" s="96">
        <f>IF($D6="","",IFERROR(COUNTIF(INDIRECT("'"&amp;$D6&amp;"'!$E$7:$E$500"),"High"),0))</f>
        <v/>
      </c>
      <c r="P6" s="96">
        <f>IF($D6="","",IFERROR(COUNTIF(INDIRECT("'"&amp;$D6&amp;"'!$E$7:$E$500"),"Medium"),0))</f>
        <v/>
      </c>
      <c r="Q6" s="96">
        <f>IF($D6="","",IFERROR(COUNTIF(INDIRECT("'"&amp;$D6&amp;"'!$E$7:$E$500"),"Low"),0))</f>
        <v/>
      </c>
      <c r="R6" s="96">
        <f>IF($D6="","",IFERROR(COUNTIF(INDIRECT("'"&amp;$D6&amp;"'!$D$7:$D$500"),"Functional"),0))</f>
        <v/>
      </c>
      <c r="S6" s="96">
        <f>IF($D6="","",IFERROR(COUNTIF(INDIRECT("'"&amp;$D6&amp;"'!$D$7:$D$500"),"UI"),0))</f>
        <v/>
      </c>
      <c r="T6" s="96">
        <f>IF($D6="","",IFERROR(COUNTIF(INDIRECT("'"&amp;$D6&amp;"'!$D$7:$D$500"),"Integration"),0))</f>
        <v/>
      </c>
      <c r="U6" s="96">
        <f>IF($D6="","",IFERROR(COUNTIF(INDIRECT("'"&amp;$D6&amp;"'!$D$7:$D$500"),"Database Test Case"),0))</f>
        <v/>
      </c>
      <c r="V6" s="96">
        <f>IF($D6="","",IFERROR(COUNTIF(INDIRECT("'"&amp;$D6&amp;"'!$J$7:$J$500"),"AI"),0))</f>
        <v/>
      </c>
      <c r="W6" s="96">
        <f>IF($D6="","",IFERROR(COUNTIF(INDIRECT("'"&amp;$D6&amp;"'!$J$7:$J$500"),"QC"),0))</f>
        <v/>
      </c>
      <c r="X6" s="96">
        <f>IF($D6="","",IFERROR(COUNTIF(INDIRECT("'"&amp;$D6&amp;"'!$L$7:$L$500"),"Yes"),0))</f>
        <v/>
      </c>
      <c r="Y6" s="96">
        <f>IF($D6="","",IFERROR(COUNTIF(INDIRECT("'"&amp;$D6&amp;"'!$AR$7:$AR$500"),"Yes"),0))</f>
        <v/>
      </c>
      <c r="Z6" s="96">
        <f>IF($D6="","",IFERROR(COUNTIF(INDIRECT("'"&amp;$D6&amp;"'!$AS$7:$AS$500"),"Pass"),0))</f>
        <v/>
      </c>
      <c r="AA6" s="96">
        <f>IF($D6="","",IFERROR(COUNTIF(INDIRECT("'"&amp;$D6&amp;"'!$K$7:$K$500"),"Reviewed"),0))</f>
        <v/>
      </c>
      <c r="AB6" s="107">
        <f>IF($D6="","",IFERROR(COUNTIFS(INDIRECT("'"&amp;$D6&amp;"'!$E$7:$E$500"),"High",INDIRECT("'"&amp;$D6&amp;"'!$AT$7:$AT$500"),"?*"),0))</f>
        <v/>
      </c>
      <c r="AC6" s="107">
        <f>IF($D6="","",IFERROR(COUNTIFS(INDIRECT("'"&amp;$D6&amp;"'!$E$7:$E$500"),"Medium",INDIRECT("'"&amp;$D6&amp;"'!$AT$7:$AT$500"),"?*"),0))</f>
        <v/>
      </c>
      <c r="AD6" s="107">
        <f>IF($D6="","",IFERROR(COUNTIFS(INDIRECT("'"&amp;$D6&amp;"'!$E$7:$E$500"),"Low",INDIRECT("'"&amp;$D6&amp;"'!$AT$7:$AT$500"),"?*"),0))</f>
        <v/>
      </c>
      <c r="AE6" s="108">
        <f>IF($D6="","",IFERROR(COUNTIF(INDIRECT("'"&amp;$D6&amp;"'!$P$7:$P$500"),"?*"),0))</f>
        <v/>
      </c>
      <c r="AF6" s="108">
        <f>IF($D6="","",IFERROR(COUNTIF(INDIRECT("'"&amp;$D6&amp;"'!$P$7:$P$500"),"Pass"),0))</f>
        <v/>
      </c>
      <c r="AG6" s="108">
        <f>IF($D6="","",IFERROR(COUNTIF(INDIRECT("'"&amp;$D6&amp;"'!$P$7:$P$500"),"Fail"),0))</f>
        <v/>
      </c>
      <c r="AH6" s="108">
        <f>IF($D6="","",IFERROR(COUNTIF(INDIRECT("'"&amp;$D6&amp;"'!$P$7:$P$500"),"Block"),0))</f>
        <v/>
      </c>
      <c r="AI6" s="108">
        <f>IF($D6="","",IFERROR(COUNTIF(INDIRECT("'"&amp;$D6&amp;"'!$P$7:$P$500"),"N/A"),0))</f>
        <v/>
      </c>
      <c r="AJ6" s="108">
        <f>IF($D6="","",IFERROR(COUNTIF(INDIRECT("'"&amp;$D6&amp;"'!$V$7:$V$500"),"?*"),0))</f>
        <v/>
      </c>
      <c r="AK6" s="108">
        <f>IF($D6="","",IFERROR(COUNTIF(INDIRECT("'"&amp;$D6&amp;"'!$V$7:$V$500"),"Pass"),0))</f>
        <v/>
      </c>
      <c r="AL6" s="108">
        <f>IF($D6="","",IFERROR(COUNTIF(INDIRECT("'"&amp;$D6&amp;"'!$V$7:$V$500"),"Fail"),0))</f>
        <v/>
      </c>
      <c r="AM6" s="108">
        <f>IF($D6="","",IFERROR(COUNTIF(INDIRECT("'"&amp;$D6&amp;"'!$V$7:$V$500"),"Block"),0))</f>
        <v/>
      </c>
      <c r="AN6" s="108">
        <f>IF($D6="","",IFERROR(COUNTIF(INDIRECT("'"&amp;$D6&amp;"'!$V$7:$V$500"),"N/A"),0))</f>
        <v/>
      </c>
      <c r="AO6" s="108">
        <f>IF($D6="","",IFERROR(COUNTIF(INDIRECT("'"&amp;$D6&amp;"'!$AB$7:$AB$500"),"?*"),0))</f>
        <v/>
      </c>
      <c r="AP6" s="108">
        <f>IF($D6="","",IFERROR(COUNTIF(INDIRECT("'"&amp;$D6&amp;"'!$AB$7:$AB$500"),"Pass"),0))</f>
        <v/>
      </c>
      <c r="AQ6" s="108">
        <f>IF($D6="","",IFERROR(COUNTIF(INDIRECT("'"&amp;$D6&amp;"'!$AB$7:$AB$500"),"Fail"),0))</f>
        <v/>
      </c>
      <c r="AR6" s="108">
        <f>IF($D6="","",IFERROR(COUNTIF(INDIRECT("'"&amp;$D6&amp;"'!$AB$7:$AB$500"),"Block"),0))</f>
        <v/>
      </c>
      <c r="AS6" s="108">
        <f>IF($D6="","",IFERROR(COUNTIF(INDIRECT("'"&amp;$D6&amp;"'!$AB$7:$AB$500"),"N/A"),0))</f>
        <v/>
      </c>
      <c r="AT6" s="108">
        <f>IF($D6="","",IFERROR(COUNTIF(INDIRECT("'"&amp;$D6&amp;"'!$AH$7:$AH$500"),"?*"),0))</f>
        <v/>
      </c>
      <c r="AU6" s="108">
        <f>IF($D6="","",IFERROR(COUNTIF(INDIRECT("'"&amp;$D6&amp;"'!$AH$7:$AH$500"),"Pass"),0))</f>
        <v/>
      </c>
      <c r="AV6" s="108">
        <f>IF($D6="","",IFERROR(COUNTIF(INDIRECT("'"&amp;$D6&amp;"'!$AH$7:$AH$500"),"Fail"),0))</f>
        <v/>
      </c>
      <c r="AW6" s="108">
        <f>IF($D6="","",IFERROR(COUNTIF(INDIRECT("'"&amp;$D6&amp;"'!$AH$7:$AH$500"),"Block"),0))</f>
        <v/>
      </c>
      <c r="AX6" s="108">
        <f>IF($D6="","",IFERROR(COUNTIF(INDIRECT("'"&amp;$D6&amp;"'!$AH$7:$AH$500"),"N/A"),0))</f>
        <v/>
      </c>
      <c r="AY6" s="108">
        <f>IF($D6="","",IFERROR(COUNTIF(INDIRECT("'"&amp;$D6&amp;"'!$AN$7:$AN$500"),"?*"),0))</f>
        <v/>
      </c>
      <c r="AZ6" s="108">
        <f>IF($D6="","",IFERROR(COUNTIF(INDIRECT("'"&amp;$D6&amp;"'!$AN$7:$AN$500"),"Pass"),0))</f>
        <v/>
      </c>
      <c r="BA6" s="108">
        <f>IF($D6="","",IFERROR(COUNTIF(INDIRECT("'"&amp;$D6&amp;"'!$AN$7:$AN$500"),"Fail"),0))</f>
        <v/>
      </c>
      <c r="BB6" s="108">
        <f>IF($D6="","",IFERROR(COUNTIF(INDIRECT("'"&amp;$D6&amp;"'!$AN$7:$AN$500"),"Block"),0))</f>
        <v/>
      </c>
      <c r="BC6" s="109">
        <f>IF($D6="","",IFERROR(COUNTIF(INDIRECT("'"&amp;$D6&amp;"'!$AN$7:$AN$500"),"N/A"),0))</f>
        <v/>
      </c>
    </row>
    <row r="7">
      <c r="A7" s="1" t="n"/>
      <c r="B7" s="96">
        <f>IF($D7="","",ROW()-3)</f>
        <v/>
      </c>
      <c r="C7" s="97" t="inlineStr">
        <is>
          <t>TC_04</t>
        </is>
      </c>
      <c r="D7" s="97" t="inlineStr">
        <is>
          <t>Giao nhận &amp; Theo dõi đơn</t>
        </is>
      </c>
      <c r="E7" s="98" t="inlineStr">
        <is>
          <t>Giao nhận &amp; Theo dõi đơn</t>
        </is>
      </c>
      <c r="F7" s="96">
        <f>IF($D7="","",IFERROR(COUNTIF(INDIRECT("'"&amp;$D7&amp;"'!$A$7:$A$500"),"?*"),0))</f>
        <v/>
      </c>
      <c r="G7" s="96">
        <f>IF($D7="","",IFERROR(COUNTIF(INDIRECT("'"&amp;$D7&amp;"'!$AT$7:$AT$500"),"Pass"),0))</f>
        <v/>
      </c>
      <c r="H7" s="96">
        <f>IF($D7="","",IFERROR(COUNTIF(INDIRECT("'"&amp;$D7&amp;"'!$AT$7:$AT$500"),"Fail"),0))</f>
        <v/>
      </c>
      <c r="I7" s="96">
        <f>IF($D7="","",IFERROR(COUNTIF(INDIRECT("'"&amp;$D7&amp;"'!$AT$7:$AT$500"),"Block"),0))</f>
        <v/>
      </c>
      <c r="J7" s="96">
        <f>IF($D7="","",IFERROR(COUNTIF(INDIRECT("'"&amp;$D7&amp;"'!$AT$7:$AT$500"),"N/A"),0))</f>
        <v/>
      </c>
      <c r="K7" s="96">
        <f>IF($D7="","",MAX(0,$F7-$G7-$H7-$I7-$J7))</f>
        <v/>
      </c>
      <c r="L7" s="96">
        <f>IF($D7="","",$G7+$H7+$I7+$J7)</f>
        <v/>
      </c>
      <c r="M7" s="99">
        <f>IF($D7="","",IFERROR($L7/$F7,0))</f>
        <v/>
      </c>
      <c r="N7" s="99">
        <f>IF($D7="","",IFERROR($G7/$L7,0))</f>
        <v/>
      </c>
      <c r="O7" s="96">
        <f>IF($D7="","",IFERROR(COUNTIF(INDIRECT("'"&amp;$D7&amp;"'!$E$7:$E$500"),"High"),0))</f>
        <v/>
      </c>
      <c r="P7" s="96">
        <f>IF($D7="","",IFERROR(COUNTIF(INDIRECT("'"&amp;$D7&amp;"'!$E$7:$E$500"),"Medium"),0))</f>
        <v/>
      </c>
      <c r="Q7" s="96">
        <f>IF($D7="","",IFERROR(COUNTIF(INDIRECT("'"&amp;$D7&amp;"'!$E$7:$E$500"),"Low"),0))</f>
        <v/>
      </c>
      <c r="R7" s="96">
        <f>IF($D7="","",IFERROR(COUNTIF(INDIRECT("'"&amp;$D7&amp;"'!$D$7:$D$500"),"Functional"),0))</f>
        <v/>
      </c>
      <c r="S7" s="96">
        <f>IF($D7="","",IFERROR(COUNTIF(INDIRECT("'"&amp;$D7&amp;"'!$D$7:$D$500"),"UI"),0))</f>
        <v/>
      </c>
      <c r="T7" s="96">
        <f>IF($D7="","",IFERROR(COUNTIF(INDIRECT("'"&amp;$D7&amp;"'!$D$7:$D$500"),"Integration"),0))</f>
        <v/>
      </c>
      <c r="U7" s="96">
        <f>IF($D7="","",IFERROR(COUNTIF(INDIRECT("'"&amp;$D7&amp;"'!$D$7:$D$500"),"Database Test Case"),0))</f>
        <v/>
      </c>
      <c r="V7" s="96">
        <f>IF($D7="","",IFERROR(COUNTIF(INDIRECT("'"&amp;$D7&amp;"'!$J$7:$J$500"),"AI"),0))</f>
        <v/>
      </c>
      <c r="W7" s="96">
        <f>IF($D7="","",IFERROR(COUNTIF(INDIRECT("'"&amp;$D7&amp;"'!$J$7:$J$500"),"QC"),0))</f>
        <v/>
      </c>
      <c r="X7" s="96">
        <f>IF($D7="","",IFERROR(COUNTIF(INDIRECT("'"&amp;$D7&amp;"'!$L$7:$L$500"),"Yes"),0))</f>
        <v/>
      </c>
      <c r="Y7" s="96">
        <f>IF($D7="","",IFERROR(COUNTIF(INDIRECT("'"&amp;$D7&amp;"'!$AR$7:$AR$500"),"Yes"),0))</f>
        <v/>
      </c>
      <c r="Z7" s="96">
        <f>IF($D7="","",IFERROR(COUNTIF(INDIRECT("'"&amp;$D7&amp;"'!$AS$7:$AS$500"),"Pass"),0))</f>
        <v/>
      </c>
      <c r="AA7" s="96">
        <f>IF($D7="","",IFERROR(COUNTIF(INDIRECT("'"&amp;$D7&amp;"'!$K$7:$K$500"),"Reviewed"),0))</f>
        <v/>
      </c>
      <c r="AB7" s="107">
        <f>IF($D7="","",IFERROR(COUNTIFS(INDIRECT("'"&amp;$D7&amp;"'!$E$7:$E$500"),"High",INDIRECT("'"&amp;$D7&amp;"'!$AT$7:$AT$500"),"?*"),0))</f>
        <v/>
      </c>
      <c r="AC7" s="107">
        <f>IF($D7="","",IFERROR(COUNTIFS(INDIRECT("'"&amp;$D7&amp;"'!$E$7:$E$500"),"Medium",INDIRECT("'"&amp;$D7&amp;"'!$AT$7:$AT$500"),"?*"),0))</f>
        <v/>
      </c>
      <c r="AD7" s="107">
        <f>IF($D7="","",IFERROR(COUNTIFS(INDIRECT("'"&amp;$D7&amp;"'!$E$7:$E$500"),"Low",INDIRECT("'"&amp;$D7&amp;"'!$AT$7:$AT$500"),"?*"),0))</f>
        <v/>
      </c>
      <c r="AE7" s="108">
        <f>IF($D7="","",IFERROR(COUNTIF(INDIRECT("'"&amp;$D7&amp;"'!$P$7:$P$500"),"?*"),0))</f>
        <v/>
      </c>
      <c r="AF7" s="108">
        <f>IF($D7="","",IFERROR(COUNTIF(INDIRECT("'"&amp;$D7&amp;"'!$P$7:$P$500"),"Pass"),0))</f>
        <v/>
      </c>
      <c r="AG7" s="108">
        <f>IF($D7="","",IFERROR(COUNTIF(INDIRECT("'"&amp;$D7&amp;"'!$P$7:$P$500"),"Fail"),0))</f>
        <v/>
      </c>
      <c r="AH7" s="108">
        <f>IF($D7="","",IFERROR(COUNTIF(INDIRECT("'"&amp;$D7&amp;"'!$P$7:$P$500"),"Block"),0))</f>
        <v/>
      </c>
      <c r="AI7" s="108">
        <f>IF($D7="","",IFERROR(COUNTIF(INDIRECT("'"&amp;$D7&amp;"'!$P$7:$P$500"),"N/A"),0))</f>
        <v/>
      </c>
      <c r="AJ7" s="108">
        <f>IF($D7="","",IFERROR(COUNTIF(INDIRECT("'"&amp;$D7&amp;"'!$V$7:$V$500"),"?*"),0))</f>
        <v/>
      </c>
      <c r="AK7" s="108">
        <f>IF($D7="","",IFERROR(COUNTIF(INDIRECT("'"&amp;$D7&amp;"'!$V$7:$V$500"),"Pass"),0))</f>
        <v/>
      </c>
      <c r="AL7" s="108">
        <f>IF($D7="","",IFERROR(COUNTIF(INDIRECT("'"&amp;$D7&amp;"'!$V$7:$V$500"),"Fail"),0))</f>
        <v/>
      </c>
      <c r="AM7" s="108">
        <f>IF($D7="","",IFERROR(COUNTIF(INDIRECT("'"&amp;$D7&amp;"'!$V$7:$V$500"),"Block"),0))</f>
        <v/>
      </c>
      <c r="AN7" s="108">
        <f>IF($D7="","",IFERROR(COUNTIF(INDIRECT("'"&amp;$D7&amp;"'!$V$7:$V$500"),"N/A"),0))</f>
        <v/>
      </c>
      <c r="AO7" s="108">
        <f>IF($D7="","",IFERROR(COUNTIF(INDIRECT("'"&amp;$D7&amp;"'!$AB$7:$AB$500"),"?*"),0))</f>
        <v/>
      </c>
      <c r="AP7" s="108">
        <f>IF($D7="","",IFERROR(COUNTIF(INDIRECT("'"&amp;$D7&amp;"'!$AB$7:$AB$500"),"Pass"),0))</f>
        <v/>
      </c>
      <c r="AQ7" s="108">
        <f>IF($D7="","",IFERROR(COUNTIF(INDIRECT("'"&amp;$D7&amp;"'!$AB$7:$AB$500"),"Fail"),0))</f>
        <v/>
      </c>
      <c r="AR7" s="108">
        <f>IF($D7="","",IFERROR(COUNTIF(INDIRECT("'"&amp;$D7&amp;"'!$AB$7:$AB$500"),"Block"),0))</f>
        <v/>
      </c>
      <c r="AS7" s="108">
        <f>IF($D7="","",IFERROR(COUNTIF(INDIRECT("'"&amp;$D7&amp;"'!$AB$7:$AB$500"),"N/A"),0))</f>
        <v/>
      </c>
      <c r="AT7" s="108">
        <f>IF($D7="","",IFERROR(COUNTIF(INDIRECT("'"&amp;$D7&amp;"'!$AH$7:$AH$500"),"?*"),0))</f>
        <v/>
      </c>
      <c r="AU7" s="108">
        <f>IF($D7="","",IFERROR(COUNTIF(INDIRECT("'"&amp;$D7&amp;"'!$AH$7:$AH$500"),"Pass"),0))</f>
        <v/>
      </c>
      <c r="AV7" s="108">
        <f>IF($D7="","",IFERROR(COUNTIF(INDIRECT("'"&amp;$D7&amp;"'!$AH$7:$AH$500"),"Fail"),0))</f>
        <v/>
      </c>
      <c r="AW7" s="108">
        <f>IF($D7="","",IFERROR(COUNTIF(INDIRECT("'"&amp;$D7&amp;"'!$AH$7:$AH$500"),"Block"),0))</f>
        <v/>
      </c>
      <c r="AX7" s="108">
        <f>IF($D7="","",IFERROR(COUNTIF(INDIRECT("'"&amp;$D7&amp;"'!$AH$7:$AH$500"),"N/A"),0))</f>
        <v/>
      </c>
      <c r="AY7" s="108">
        <f>IF($D7="","",IFERROR(COUNTIF(INDIRECT("'"&amp;$D7&amp;"'!$AN$7:$AN$500"),"?*"),0))</f>
        <v/>
      </c>
      <c r="AZ7" s="108">
        <f>IF($D7="","",IFERROR(COUNTIF(INDIRECT("'"&amp;$D7&amp;"'!$AN$7:$AN$500"),"Pass"),0))</f>
        <v/>
      </c>
      <c r="BA7" s="108">
        <f>IF($D7="","",IFERROR(COUNTIF(INDIRECT("'"&amp;$D7&amp;"'!$AN$7:$AN$500"),"Fail"),0))</f>
        <v/>
      </c>
      <c r="BB7" s="108">
        <f>IF($D7="","",IFERROR(COUNTIF(INDIRECT("'"&amp;$D7&amp;"'!$AN$7:$AN$500"),"Block"),0))</f>
        <v/>
      </c>
      <c r="BC7" s="109">
        <f>IF($D7="","",IFERROR(COUNTIF(INDIRECT("'"&amp;$D7&amp;"'!$AN$7:$AN$500"),"N/A"),0))</f>
        <v/>
      </c>
    </row>
    <row r="8">
      <c r="A8" s="1" t="n"/>
      <c r="B8" s="96">
        <f>IF($D8="","",ROW()-3)</f>
        <v/>
      </c>
      <c r="C8" s="97" t="inlineStr">
        <is>
          <t>TC_05</t>
        </is>
      </c>
      <c r="D8" s="97" t="inlineStr">
        <is>
          <t>Bảng tin &amp; Chi tiết tin</t>
        </is>
      </c>
      <c r="E8" s="98" t="inlineStr">
        <is>
          <t>Bảng tin &amp; Chi tiết tin</t>
        </is>
      </c>
      <c r="F8" s="96">
        <f>IF($D8="","",IFERROR(COUNTIF(INDIRECT("'"&amp;$D8&amp;"'!$A$7:$A$500"),"?*"),0))</f>
        <v/>
      </c>
      <c r="G8" s="96">
        <f>IF($D8="","",IFERROR(COUNTIF(INDIRECT("'"&amp;$D8&amp;"'!$AT$7:$AT$500"),"Pass"),0))</f>
        <v/>
      </c>
      <c r="H8" s="96">
        <f>IF($D8="","",IFERROR(COUNTIF(INDIRECT("'"&amp;$D8&amp;"'!$AT$7:$AT$500"),"Fail"),0))</f>
        <v/>
      </c>
      <c r="I8" s="96">
        <f>IF($D8="","",IFERROR(COUNTIF(INDIRECT("'"&amp;$D8&amp;"'!$AT$7:$AT$500"),"Block"),0))</f>
        <v/>
      </c>
      <c r="J8" s="96">
        <f>IF($D8="","",IFERROR(COUNTIF(INDIRECT("'"&amp;$D8&amp;"'!$AT$7:$AT$500"),"N/A"),0))</f>
        <v/>
      </c>
      <c r="K8" s="96">
        <f>IF($D8="","",MAX(0,$F8-$G8-$H8-$I8-$J8))</f>
        <v/>
      </c>
      <c r="L8" s="96">
        <f>IF($D8="","",$G8+$H8+$I8+$J8)</f>
        <v/>
      </c>
      <c r="M8" s="99">
        <f>IF($D8="","",IFERROR($L8/$F8,0))</f>
        <v/>
      </c>
      <c r="N8" s="99">
        <f>IF($D8="","",IFERROR($G8/$L8,0))</f>
        <v/>
      </c>
      <c r="O8" s="96">
        <f>IF($D8="","",IFERROR(COUNTIF(INDIRECT("'"&amp;$D8&amp;"'!$E$7:$E$500"),"High"),0))</f>
        <v/>
      </c>
      <c r="P8" s="96">
        <f>IF($D8="","",IFERROR(COUNTIF(INDIRECT("'"&amp;$D8&amp;"'!$E$7:$E$500"),"Medium"),0))</f>
        <v/>
      </c>
      <c r="Q8" s="96">
        <f>IF($D8="","",IFERROR(COUNTIF(INDIRECT("'"&amp;$D8&amp;"'!$E$7:$E$500"),"Low"),0))</f>
        <v/>
      </c>
      <c r="R8" s="96">
        <f>IF($D8="","",IFERROR(COUNTIF(INDIRECT("'"&amp;$D8&amp;"'!$D$7:$D$500"),"Functional"),0))</f>
        <v/>
      </c>
      <c r="S8" s="96">
        <f>IF($D8="","",IFERROR(COUNTIF(INDIRECT("'"&amp;$D8&amp;"'!$D$7:$D$500"),"UI"),0))</f>
        <v/>
      </c>
      <c r="T8" s="96">
        <f>IF($D8="","",IFERROR(COUNTIF(INDIRECT("'"&amp;$D8&amp;"'!$D$7:$D$500"),"Integration"),0))</f>
        <v/>
      </c>
      <c r="U8" s="96">
        <f>IF($D8="","",IFERROR(COUNTIF(INDIRECT("'"&amp;$D8&amp;"'!$D$7:$D$500"),"Database Test Case"),0))</f>
        <v/>
      </c>
      <c r="V8" s="96">
        <f>IF($D8="","",IFERROR(COUNTIF(INDIRECT("'"&amp;$D8&amp;"'!$J$7:$J$500"),"AI"),0))</f>
        <v/>
      </c>
      <c r="W8" s="96">
        <f>IF($D8="","",IFERROR(COUNTIF(INDIRECT("'"&amp;$D8&amp;"'!$J$7:$J$500"),"QC"),0))</f>
        <v/>
      </c>
      <c r="X8" s="96">
        <f>IF($D8="","",IFERROR(COUNTIF(INDIRECT("'"&amp;$D8&amp;"'!$L$7:$L$500"),"Yes"),0))</f>
        <v/>
      </c>
      <c r="Y8" s="96">
        <f>IF($D8="","",IFERROR(COUNTIF(INDIRECT("'"&amp;$D8&amp;"'!$AR$7:$AR$500"),"Yes"),0))</f>
        <v/>
      </c>
      <c r="Z8" s="96">
        <f>IF($D8="","",IFERROR(COUNTIF(INDIRECT("'"&amp;$D8&amp;"'!$AS$7:$AS$500"),"Pass"),0))</f>
        <v/>
      </c>
      <c r="AA8" s="96">
        <f>IF($D8="","",IFERROR(COUNTIF(INDIRECT("'"&amp;$D8&amp;"'!$K$7:$K$500"),"Reviewed"),0))</f>
        <v/>
      </c>
      <c r="AB8" s="107">
        <f>IF($D8="","",IFERROR(COUNTIFS(INDIRECT("'"&amp;$D8&amp;"'!$E$7:$E$500"),"High",INDIRECT("'"&amp;$D8&amp;"'!$AT$7:$AT$500"),"?*"),0))</f>
        <v/>
      </c>
      <c r="AC8" s="107">
        <f>IF($D8="","",IFERROR(COUNTIFS(INDIRECT("'"&amp;$D8&amp;"'!$E$7:$E$500"),"Medium",INDIRECT("'"&amp;$D8&amp;"'!$AT$7:$AT$500"),"?*"),0))</f>
        <v/>
      </c>
      <c r="AD8" s="107">
        <f>IF($D8="","",IFERROR(COUNTIFS(INDIRECT("'"&amp;$D8&amp;"'!$E$7:$E$500"),"Low",INDIRECT("'"&amp;$D8&amp;"'!$AT$7:$AT$500"),"?*"),0))</f>
        <v/>
      </c>
      <c r="AE8" s="108">
        <f>IF($D8="","",IFERROR(COUNTIF(INDIRECT("'"&amp;$D8&amp;"'!$P$7:$P$500"),"?*"),0))</f>
        <v/>
      </c>
      <c r="AF8" s="108">
        <f>IF($D8="","",IFERROR(COUNTIF(INDIRECT("'"&amp;$D8&amp;"'!$P$7:$P$500"),"Pass"),0))</f>
        <v/>
      </c>
      <c r="AG8" s="108">
        <f>IF($D8="","",IFERROR(COUNTIF(INDIRECT("'"&amp;$D8&amp;"'!$P$7:$P$500"),"Fail"),0))</f>
        <v/>
      </c>
      <c r="AH8" s="108">
        <f>IF($D8="","",IFERROR(COUNTIF(INDIRECT("'"&amp;$D8&amp;"'!$P$7:$P$500"),"Block"),0))</f>
        <v/>
      </c>
      <c r="AI8" s="108">
        <f>IF($D8="","",IFERROR(COUNTIF(INDIRECT("'"&amp;$D8&amp;"'!$P$7:$P$500"),"N/A"),0))</f>
        <v/>
      </c>
      <c r="AJ8" s="108">
        <f>IF($D8="","",IFERROR(COUNTIF(INDIRECT("'"&amp;$D8&amp;"'!$V$7:$V$500"),"?*"),0))</f>
        <v/>
      </c>
      <c r="AK8" s="108">
        <f>IF($D8="","",IFERROR(COUNTIF(INDIRECT("'"&amp;$D8&amp;"'!$V$7:$V$500"),"Pass"),0))</f>
        <v/>
      </c>
      <c r="AL8" s="108">
        <f>IF($D8="","",IFERROR(COUNTIF(INDIRECT("'"&amp;$D8&amp;"'!$V$7:$V$500"),"Fail"),0))</f>
        <v/>
      </c>
      <c r="AM8" s="108">
        <f>IF($D8="","",IFERROR(COUNTIF(INDIRECT("'"&amp;$D8&amp;"'!$V$7:$V$500"),"Block"),0))</f>
        <v/>
      </c>
      <c r="AN8" s="108">
        <f>IF($D8="","",IFERROR(COUNTIF(INDIRECT("'"&amp;$D8&amp;"'!$V$7:$V$500"),"N/A"),0))</f>
        <v/>
      </c>
      <c r="AO8" s="108">
        <f>IF($D8="","",IFERROR(COUNTIF(INDIRECT("'"&amp;$D8&amp;"'!$AB$7:$AB$500"),"?*"),0))</f>
        <v/>
      </c>
      <c r="AP8" s="108">
        <f>IF($D8="","",IFERROR(COUNTIF(INDIRECT("'"&amp;$D8&amp;"'!$AB$7:$AB$500"),"Pass"),0))</f>
        <v/>
      </c>
      <c r="AQ8" s="108">
        <f>IF($D8="","",IFERROR(COUNTIF(INDIRECT("'"&amp;$D8&amp;"'!$AB$7:$AB$500"),"Fail"),0))</f>
        <v/>
      </c>
      <c r="AR8" s="108">
        <f>IF($D8="","",IFERROR(COUNTIF(INDIRECT("'"&amp;$D8&amp;"'!$AB$7:$AB$500"),"Block"),0))</f>
        <v/>
      </c>
      <c r="AS8" s="108">
        <f>IF($D8="","",IFERROR(COUNTIF(INDIRECT("'"&amp;$D8&amp;"'!$AB$7:$AB$500"),"N/A"),0))</f>
        <v/>
      </c>
      <c r="AT8" s="108">
        <f>IF($D8="","",IFERROR(COUNTIF(INDIRECT("'"&amp;$D8&amp;"'!$AH$7:$AH$500"),"?*"),0))</f>
        <v/>
      </c>
      <c r="AU8" s="108">
        <f>IF($D8="","",IFERROR(COUNTIF(INDIRECT("'"&amp;$D8&amp;"'!$AH$7:$AH$500"),"Pass"),0))</f>
        <v/>
      </c>
      <c r="AV8" s="108">
        <f>IF($D8="","",IFERROR(COUNTIF(INDIRECT("'"&amp;$D8&amp;"'!$AH$7:$AH$500"),"Fail"),0))</f>
        <v/>
      </c>
      <c r="AW8" s="108">
        <f>IF($D8="","",IFERROR(COUNTIF(INDIRECT("'"&amp;$D8&amp;"'!$AH$7:$AH$500"),"Block"),0))</f>
        <v/>
      </c>
      <c r="AX8" s="108">
        <f>IF($D8="","",IFERROR(COUNTIF(INDIRECT("'"&amp;$D8&amp;"'!$AH$7:$AH$500"),"N/A"),0))</f>
        <v/>
      </c>
      <c r="AY8" s="108">
        <f>IF($D8="","",IFERROR(COUNTIF(INDIRECT("'"&amp;$D8&amp;"'!$AN$7:$AN$500"),"?*"),0))</f>
        <v/>
      </c>
      <c r="AZ8" s="108">
        <f>IF($D8="","",IFERROR(COUNTIF(INDIRECT("'"&amp;$D8&amp;"'!$AN$7:$AN$500"),"Pass"),0))</f>
        <v/>
      </c>
      <c r="BA8" s="108">
        <f>IF($D8="","",IFERROR(COUNTIF(INDIRECT("'"&amp;$D8&amp;"'!$AN$7:$AN$500"),"Fail"),0))</f>
        <v/>
      </c>
      <c r="BB8" s="108">
        <f>IF($D8="","",IFERROR(COUNTIF(INDIRECT("'"&amp;$D8&amp;"'!$AN$7:$AN$500"),"Block"),0))</f>
        <v/>
      </c>
      <c r="BC8" s="109">
        <f>IF($D8="","",IFERROR(COUNTIF(INDIRECT("'"&amp;$D8&amp;"'!$AN$7:$AN$500"),"N/A"),0))</f>
        <v/>
      </c>
    </row>
    <row r="9">
      <c r="A9" s="1" t="n"/>
      <c r="B9" s="96">
        <f>IF($D9="","",ROW()-3)</f>
        <v/>
      </c>
      <c r="C9" s="97" t="inlineStr">
        <is>
          <t>TC_06</t>
        </is>
      </c>
      <c r="D9" s="97" t="inlineStr">
        <is>
          <t>Quà cảm ơn</t>
        </is>
      </c>
      <c r="E9" s="98" t="inlineStr">
        <is>
          <t>Quà cảm ơn</t>
        </is>
      </c>
      <c r="F9" s="96">
        <f>IF($D9="","",IFERROR(COUNTIF(INDIRECT("'"&amp;$D9&amp;"'!$A$7:$A$500"),"?*"),0))</f>
        <v/>
      </c>
      <c r="G9" s="96">
        <f>IF($D9="","",IFERROR(COUNTIF(INDIRECT("'"&amp;$D9&amp;"'!$AT$7:$AT$500"),"Pass"),0))</f>
        <v/>
      </c>
      <c r="H9" s="96">
        <f>IF($D9="","",IFERROR(COUNTIF(INDIRECT("'"&amp;$D9&amp;"'!$AT$7:$AT$500"),"Fail"),0))</f>
        <v/>
      </c>
      <c r="I9" s="96">
        <f>IF($D9="","",IFERROR(COUNTIF(INDIRECT("'"&amp;$D9&amp;"'!$AT$7:$AT$500"),"Block"),0))</f>
        <v/>
      </c>
      <c r="J9" s="96">
        <f>IF($D9="","",IFERROR(COUNTIF(INDIRECT("'"&amp;$D9&amp;"'!$AT$7:$AT$500"),"N/A"),0))</f>
        <v/>
      </c>
      <c r="K9" s="96">
        <f>IF($D9="","",MAX(0,$F9-$G9-$H9-$I9-$J9))</f>
        <v/>
      </c>
      <c r="L9" s="96">
        <f>IF($D9="","",$G9+$H9+$I9+$J9)</f>
        <v/>
      </c>
      <c r="M9" s="99">
        <f>IF($D9="","",IFERROR($L9/$F9,0))</f>
        <v/>
      </c>
      <c r="N9" s="99">
        <f>IF($D9="","",IFERROR($G9/$L9,0))</f>
        <v/>
      </c>
      <c r="O9" s="96">
        <f>IF($D9="","",IFERROR(COUNTIF(INDIRECT("'"&amp;$D9&amp;"'!$E$7:$E$500"),"High"),0))</f>
        <v/>
      </c>
      <c r="P9" s="96">
        <f>IF($D9="","",IFERROR(COUNTIF(INDIRECT("'"&amp;$D9&amp;"'!$E$7:$E$500"),"Medium"),0))</f>
        <v/>
      </c>
      <c r="Q9" s="96">
        <f>IF($D9="","",IFERROR(COUNTIF(INDIRECT("'"&amp;$D9&amp;"'!$E$7:$E$500"),"Low"),0))</f>
        <v/>
      </c>
      <c r="R9" s="96">
        <f>IF($D9="","",IFERROR(COUNTIF(INDIRECT("'"&amp;$D9&amp;"'!$D$7:$D$500"),"Functional"),0))</f>
        <v/>
      </c>
      <c r="S9" s="96">
        <f>IF($D9="","",IFERROR(COUNTIF(INDIRECT("'"&amp;$D9&amp;"'!$D$7:$D$500"),"UI"),0))</f>
        <v/>
      </c>
      <c r="T9" s="96">
        <f>IF($D9="","",IFERROR(COUNTIF(INDIRECT("'"&amp;$D9&amp;"'!$D$7:$D$500"),"Integration"),0))</f>
        <v/>
      </c>
      <c r="U9" s="96">
        <f>IF($D9="","",IFERROR(COUNTIF(INDIRECT("'"&amp;$D9&amp;"'!$D$7:$D$500"),"Database Test Case"),0))</f>
        <v/>
      </c>
      <c r="V9" s="96">
        <f>IF($D9="","",IFERROR(COUNTIF(INDIRECT("'"&amp;$D9&amp;"'!$J$7:$J$500"),"AI"),0))</f>
        <v/>
      </c>
      <c r="W9" s="96">
        <f>IF($D9="","",IFERROR(COUNTIF(INDIRECT("'"&amp;$D9&amp;"'!$J$7:$J$500"),"QC"),0))</f>
        <v/>
      </c>
      <c r="X9" s="96">
        <f>IF($D9="","",IFERROR(COUNTIF(INDIRECT("'"&amp;$D9&amp;"'!$L$7:$L$500"),"Yes"),0))</f>
        <v/>
      </c>
      <c r="Y9" s="96">
        <f>IF($D9="","",IFERROR(COUNTIF(INDIRECT("'"&amp;$D9&amp;"'!$AR$7:$AR$500"),"Yes"),0))</f>
        <v/>
      </c>
      <c r="Z9" s="96">
        <f>IF($D9="","",IFERROR(COUNTIF(INDIRECT("'"&amp;$D9&amp;"'!$AS$7:$AS$500"),"Pass"),0))</f>
        <v/>
      </c>
      <c r="AA9" s="96">
        <f>IF($D9="","",IFERROR(COUNTIF(INDIRECT("'"&amp;$D9&amp;"'!$K$7:$K$500"),"Reviewed"),0))</f>
        <v/>
      </c>
      <c r="AB9" s="107">
        <f>IF($D9="","",IFERROR(COUNTIFS(INDIRECT("'"&amp;$D9&amp;"'!$E$7:$E$500"),"High",INDIRECT("'"&amp;$D9&amp;"'!$AT$7:$AT$500"),"?*"),0))</f>
        <v/>
      </c>
      <c r="AC9" s="107">
        <f>IF($D9="","",IFERROR(COUNTIFS(INDIRECT("'"&amp;$D9&amp;"'!$E$7:$E$500"),"Medium",INDIRECT("'"&amp;$D9&amp;"'!$AT$7:$AT$500"),"?*"),0))</f>
        <v/>
      </c>
      <c r="AD9" s="107">
        <f>IF($D9="","",IFERROR(COUNTIFS(INDIRECT("'"&amp;$D9&amp;"'!$E$7:$E$500"),"Low",INDIRECT("'"&amp;$D9&amp;"'!$AT$7:$AT$500"),"?*"),0))</f>
        <v/>
      </c>
      <c r="AE9" s="108">
        <f>IF($D9="","",IFERROR(COUNTIF(INDIRECT("'"&amp;$D9&amp;"'!$P$7:$P$500"),"?*"),0))</f>
        <v/>
      </c>
      <c r="AF9" s="108">
        <f>IF($D9="","",IFERROR(COUNTIF(INDIRECT("'"&amp;$D9&amp;"'!$P$7:$P$500"),"Pass"),0))</f>
        <v/>
      </c>
      <c r="AG9" s="108">
        <f>IF($D9="","",IFERROR(COUNTIF(INDIRECT("'"&amp;$D9&amp;"'!$P$7:$P$500"),"Fail"),0))</f>
        <v/>
      </c>
      <c r="AH9" s="108">
        <f>IF($D9="","",IFERROR(COUNTIF(INDIRECT("'"&amp;$D9&amp;"'!$P$7:$P$500"),"Block"),0))</f>
        <v/>
      </c>
      <c r="AI9" s="108">
        <f>IF($D9="","",IFERROR(COUNTIF(INDIRECT("'"&amp;$D9&amp;"'!$P$7:$P$500"),"N/A"),0))</f>
        <v/>
      </c>
      <c r="AJ9" s="108">
        <f>IF($D9="","",IFERROR(COUNTIF(INDIRECT("'"&amp;$D9&amp;"'!$V$7:$V$500"),"?*"),0))</f>
        <v/>
      </c>
      <c r="AK9" s="108">
        <f>IF($D9="","",IFERROR(COUNTIF(INDIRECT("'"&amp;$D9&amp;"'!$V$7:$V$500"),"Pass"),0))</f>
        <v/>
      </c>
      <c r="AL9" s="108">
        <f>IF($D9="","",IFERROR(COUNTIF(INDIRECT("'"&amp;$D9&amp;"'!$V$7:$V$500"),"Fail"),0))</f>
        <v/>
      </c>
      <c r="AM9" s="108">
        <f>IF($D9="","",IFERROR(COUNTIF(INDIRECT("'"&amp;$D9&amp;"'!$V$7:$V$500"),"Block"),0))</f>
        <v/>
      </c>
      <c r="AN9" s="108">
        <f>IF($D9="","",IFERROR(COUNTIF(INDIRECT("'"&amp;$D9&amp;"'!$V$7:$V$500"),"N/A"),0))</f>
        <v/>
      </c>
      <c r="AO9" s="108">
        <f>IF($D9="","",IFERROR(COUNTIF(INDIRECT("'"&amp;$D9&amp;"'!$AB$7:$AB$500"),"?*"),0))</f>
        <v/>
      </c>
      <c r="AP9" s="108">
        <f>IF($D9="","",IFERROR(COUNTIF(INDIRECT("'"&amp;$D9&amp;"'!$AB$7:$AB$500"),"Pass"),0))</f>
        <v/>
      </c>
      <c r="AQ9" s="108">
        <f>IF($D9="","",IFERROR(COUNTIF(INDIRECT("'"&amp;$D9&amp;"'!$AB$7:$AB$500"),"Fail"),0))</f>
        <v/>
      </c>
      <c r="AR9" s="108">
        <f>IF($D9="","",IFERROR(COUNTIF(INDIRECT("'"&amp;$D9&amp;"'!$AB$7:$AB$500"),"Block"),0))</f>
        <v/>
      </c>
      <c r="AS9" s="108">
        <f>IF($D9="","",IFERROR(COUNTIF(INDIRECT("'"&amp;$D9&amp;"'!$AB$7:$AB$500"),"N/A"),0))</f>
        <v/>
      </c>
      <c r="AT9" s="108">
        <f>IF($D9="","",IFERROR(COUNTIF(INDIRECT("'"&amp;$D9&amp;"'!$AH$7:$AH$500"),"?*"),0))</f>
        <v/>
      </c>
      <c r="AU9" s="108">
        <f>IF($D9="","",IFERROR(COUNTIF(INDIRECT("'"&amp;$D9&amp;"'!$AH$7:$AH$500"),"Pass"),0))</f>
        <v/>
      </c>
      <c r="AV9" s="108">
        <f>IF($D9="","",IFERROR(COUNTIF(INDIRECT("'"&amp;$D9&amp;"'!$AH$7:$AH$500"),"Fail"),0))</f>
        <v/>
      </c>
      <c r="AW9" s="108">
        <f>IF($D9="","",IFERROR(COUNTIF(INDIRECT("'"&amp;$D9&amp;"'!$AH$7:$AH$500"),"Block"),0))</f>
        <v/>
      </c>
      <c r="AX9" s="108">
        <f>IF($D9="","",IFERROR(COUNTIF(INDIRECT("'"&amp;$D9&amp;"'!$AH$7:$AH$500"),"N/A"),0))</f>
        <v/>
      </c>
      <c r="AY9" s="108">
        <f>IF($D9="","",IFERROR(COUNTIF(INDIRECT("'"&amp;$D9&amp;"'!$AN$7:$AN$500"),"?*"),0))</f>
        <v/>
      </c>
      <c r="AZ9" s="108">
        <f>IF($D9="","",IFERROR(COUNTIF(INDIRECT("'"&amp;$D9&amp;"'!$AN$7:$AN$500"),"Pass"),0))</f>
        <v/>
      </c>
      <c r="BA9" s="108">
        <f>IF($D9="","",IFERROR(COUNTIF(INDIRECT("'"&amp;$D9&amp;"'!$AN$7:$AN$500"),"Fail"),0))</f>
        <v/>
      </c>
      <c r="BB9" s="108">
        <f>IF($D9="","",IFERROR(COUNTIF(INDIRECT("'"&amp;$D9&amp;"'!$AN$7:$AN$500"),"Block"),0))</f>
        <v/>
      </c>
      <c r="BC9" s="109">
        <f>IF($D9="","",IFERROR(COUNTIF(INDIRECT("'"&amp;$D9&amp;"'!$AN$7:$AN$500"),"N/A"),0))</f>
        <v/>
      </c>
    </row>
    <row r="10">
      <c r="A10" s="1" t="n"/>
      <c r="B10" s="96">
        <f>IF($D10="","",ROW()-3)</f>
        <v/>
      </c>
      <c r="C10" s="97" t="inlineStr">
        <is>
          <t>TC_07</t>
        </is>
      </c>
      <c r="D10" s="97" t="inlineStr">
        <is>
          <t>Trang chủ</t>
        </is>
      </c>
      <c r="E10" s="98" t="inlineStr">
        <is>
          <t>Trang chủ</t>
        </is>
      </c>
      <c r="F10" s="96">
        <f>IF($D10="","",IFERROR(COUNTIF(INDIRECT("'"&amp;$D10&amp;"'!$A$7:$A$500"),"?*"),0))</f>
        <v/>
      </c>
      <c r="G10" s="96">
        <f>IF($D10="","",IFERROR(COUNTIF(INDIRECT("'"&amp;$D10&amp;"'!$AT$7:$AT$500"),"Pass"),0))</f>
        <v/>
      </c>
      <c r="H10" s="96">
        <f>IF($D10="","",IFERROR(COUNTIF(INDIRECT("'"&amp;$D10&amp;"'!$AT$7:$AT$500"),"Fail"),0))</f>
        <v/>
      </c>
      <c r="I10" s="96">
        <f>IF($D10="","",IFERROR(COUNTIF(INDIRECT("'"&amp;$D10&amp;"'!$AT$7:$AT$500"),"Block"),0))</f>
        <v/>
      </c>
      <c r="J10" s="96">
        <f>IF($D10="","",IFERROR(COUNTIF(INDIRECT("'"&amp;$D10&amp;"'!$AT$7:$AT$500"),"N/A"),0))</f>
        <v/>
      </c>
      <c r="K10" s="96">
        <f>IF($D10="","",MAX(0,$F10-$G10-$H10-$I10-$J10))</f>
        <v/>
      </c>
      <c r="L10" s="96">
        <f>IF($D10="","",$G10+$H10+$I10+$J10)</f>
        <v/>
      </c>
      <c r="M10" s="99">
        <f>IF($D10="","",IFERROR($L10/$F10,0))</f>
        <v/>
      </c>
      <c r="N10" s="99">
        <f>IF($D10="","",IFERROR($G10/$L10,0))</f>
        <v/>
      </c>
      <c r="O10" s="96">
        <f>IF($D10="","",IFERROR(COUNTIF(INDIRECT("'"&amp;$D10&amp;"'!$E$7:$E$500"),"High"),0))</f>
        <v/>
      </c>
      <c r="P10" s="96">
        <f>IF($D10="","",IFERROR(COUNTIF(INDIRECT("'"&amp;$D10&amp;"'!$E$7:$E$500"),"Medium"),0))</f>
        <v/>
      </c>
      <c r="Q10" s="96">
        <f>IF($D10="","",IFERROR(COUNTIF(INDIRECT("'"&amp;$D10&amp;"'!$E$7:$E$500"),"Low"),0))</f>
        <v/>
      </c>
      <c r="R10" s="96">
        <f>IF($D10="","",IFERROR(COUNTIF(INDIRECT("'"&amp;$D10&amp;"'!$D$7:$D$500"),"Functional"),0))</f>
        <v/>
      </c>
      <c r="S10" s="96">
        <f>IF($D10="","",IFERROR(COUNTIF(INDIRECT("'"&amp;$D10&amp;"'!$D$7:$D$500"),"UI"),0))</f>
        <v/>
      </c>
      <c r="T10" s="96">
        <f>IF($D10="","",IFERROR(COUNTIF(INDIRECT("'"&amp;$D10&amp;"'!$D$7:$D$500"),"Integration"),0))</f>
        <v/>
      </c>
      <c r="U10" s="96">
        <f>IF($D10="","",IFERROR(COUNTIF(INDIRECT("'"&amp;$D10&amp;"'!$D$7:$D$500"),"Database Test Case"),0))</f>
        <v/>
      </c>
      <c r="V10" s="96">
        <f>IF($D10="","",IFERROR(COUNTIF(INDIRECT("'"&amp;$D10&amp;"'!$J$7:$J$500"),"AI"),0))</f>
        <v/>
      </c>
      <c r="W10" s="96">
        <f>IF($D10="","",IFERROR(COUNTIF(INDIRECT("'"&amp;$D10&amp;"'!$J$7:$J$500"),"QC"),0))</f>
        <v/>
      </c>
      <c r="X10" s="96">
        <f>IF($D10="","",IFERROR(COUNTIF(INDIRECT("'"&amp;$D10&amp;"'!$L$7:$L$500"),"Yes"),0))</f>
        <v/>
      </c>
      <c r="Y10" s="96">
        <f>IF($D10="","",IFERROR(COUNTIF(INDIRECT("'"&amp;$D10&amp;"'!$AR$7:$AR$500"),"Yes"),0))</f>
        <v/>
      </c>
      <c r="Z10" s="96">
        <f>IF($D10="","",IFERROR(COUNTIF(INDIRECT("'"&amp;$D10&amp;"'!$AS$7:$AS$500"),"Pass"),0))</f>
        <v/>
      </c>
      <c r="AA10" s="96">
        <f>IF($D10="","",IFERROR(COUNTIF(INDIRECT("'"&amp;$D10&amp;"'!$K$7:$K$500"),"Reviewed"),0))</f>
        <v/>
      </c>
      <c r="AB10" s="107">
        <f>IF($D10="","",IFERROR(COUNTIFS(INDIRECT("'"&amp;$D10&amp;"'!$E$7:$E$500"),"High",INDIRECT("'"&amp;$D10&amp;"'!$AT$7:$AT$500"),"?*"),0))</f>
        <v/>
      </c>
      <c r="AC10" s="107">
        <f>IF($D10="","",IFERROR(COUNTIFS(INDIRECT("'"&amp;$D10&amp;"'!$E$7:$E$500"),"Medium",INDIRECT("'"&amp;$D10&amp;"'!$AT$7:$AT$500"),"?*"),0))</f>
        <v/>
      </c>
      <c r="AD10" s="107">
        <f>IF($D10="","",IFERROR(COUNTIFS(INDIRECT("'"&amp;$D10&amp;"'!$E$7:$E$500"),"Low",INDIRECT("'"&amp;$D10&amp;"'!$AT$7:$AT$500"),"?*"),0))</f>
        <v/>
      </c>
      <c r="AE10" s="108">
        <f>IF($D10="","",IFERROR(COUNTIF(INDIRECT("'"&amp;$D10&amp;"'!$P$7:$P$500"),"?*"),0))</f>
        <v/>
      </c>
      <c r="AF10" s="108">
        <f>IF($D10="","",IFERROR(COUNTIF(INDIRECT("'"&amp;$D10&amp;"'!$P$7:$P$500"),"Pass"),0))</f>
        <v/>
      </c>
      <c r="AG10" s="108">
        <f>IF($D10="","",IFERROR(COUNTIF(INDIRECT("'"&amp;$D10&amp;"'!$P$7:$P$500"),"Fail"),0))</f>
        <v/>
      </c>
      <c r="AH10" s="108">
        <f>IF($D10="","",IFERROR(COUNTIF(INDIRECT("'"&amp;$D10&amp;"'!$P$7:$P$500"),"Block"),0))</f>
        <v/>
      </c>
      <c r="AI10" s="108">
        <f>IF($D10="","",IFERROR(COUNTIF(INDIRECT("'"&amp;$D10&amp;"'!$P$7:$P$500"),"N/A"),0))</f>
        <v/>
      </c>
      <c r="AJ10" s="108">
        <f>IF($D10="","",IFERROR(COUNTIF(INDIRECT("'"&amp;$D10&amp;"'!$V$7:$V$500"),"?*"),0))</f>
        <v/>
      </c>
      <c r="AK10" s="108">
        <f>IF($D10="","",IFERROR(COUNTIF(INDIRECT("'"&amp;$D10&amp;"'!$V$7:$V$500"),"Pass"),0))</f>
        <v/>
      </c>
      <c r="AL10" s="108">
        <f>IF($D10="","",IFERROR(COUNTIF(INDIRECT("'"&amp;$D10&amp;"'!$V$7:$V$500"),"Fail"),0))</f>
        <v/>
      </c>
      <c r="AM10" s="108">
        <f>IF($D10="","",IFERROR(COUNTIF(INDIRECT("'"&amp;$D10&amp;"'!$V$7:$V$500"),"Block"),0))</f>
        <v/>
      </c>
      <c r="AN10" s="108">
        <f>IF($D10="","",IFERROR(COUNTIF(INDIRECT("'"&amp;$D10&amp;"'!$V$7:$V$500"),"N/A"),0))</f>
        <v/>
      </c>
      <c r="AO10" s="108">
        <f>IF($D10="","",IFERROR(COUNTIF(INDIRECT("'"&amp;$D10&amp;"'!$AB$7:$AB$500"),"?*"),0))</f>
        <v/>
      </c>
      <c r="AP10" s="108">
        <f>IF($D10="","",IFERROR(COUNTIF(INDIRECT("'"&amp;$D10&amp;"'!$AB$7:$AB$500"),"Pass"),0))</f>
        <v/>
      </c>
      <c r="AQ10" s="108">
        <f>IF($D10="","",IFERROR(COUNTIF(INDIRECT("'"&amp;$D10&amp;"'!$AB$7:$AB$500"),"Fail"),0))</f>
        <v/>
      </c>
      <c r="AR10" s="108">
        <f>IF($D10="","",IFERROR(COUNTIF(INDIRECT("'"&amp;$D10&amp;"'!$AB$7:$AB$500"),"Block"),0))</f>
        <v/>
      </c>
      <c r="AS10" s="108">
        <f>IF($D10="","",IFERROR(COUNTIF(INDIRECT("'"&amp;$D10&amp;"'!$AB$7:$AB$500"),"N/A"),0))</f>
        <v/>
      </c>
      <c r="AT10" s="108">
        <f>IF($D10="","",IFERROR(COUNTIF(INDIRECT("'"&amp;$D10&amp;"'!$AH$7:$AH$500"),"?*"),0))</f>
        <v/>
      </c>
      <c r="AU10" s="108">
        <f>IF($D10="","",IFERROR(COUNTIF(INDIRECT("'"&amp;$D10&amp;"'!$AH$7:$AH$500"),"Pass"),0))</f>
        <v/>
      </c>
      <c r="AV10" s="108">
        <f>IF($D10="","",IFERROR(COUNTIF(INDIRECT("'"&amp;$D10&amp;"'!$AH$7:$AH$500"),"Fail"),0))</f>
        <v/>
      </c>
      <c r="AW10" s="108">
        <f>IF($D10="","",IFERROR(COUNTIF(INDIRECT("'"&amp;$D10&amp;"'!$AH$7:$AH$500"),"Block"),0))</f>
        <v/>
      </c>
      <c r="AX10" s="108">
        <f>IF($D10="","",IFERROR(COUNTIF(INDIRECT("'"&amp;$D10&amp;"'!$AH$7:$AH$500"),"N/A"),0))</f>
        <v/>
      </c>
      <c r="AY10" s="108">
        <f>IF($D10="","",IFERROR(COUNTIF(INDIRECT("'"&amp;$D10&amp;"'!$AN$7:$AN$500"),"?*"),0))</f>
        <v/>
      </c>
      <c r="AZ10" s="108">
        <f>IF($D10="","",IFERROR(COUNTIF(INDIRECT("'"&amp;$D10&amp;"'!$AN$7:$AN$500"),"Pass"),0))</f>
        <v/>
      </c>
      <c r="BA10" s="108">
        <f>IF($D10="","",IFERROR(COUNTIF(INDIRECT("'"&amp;$D10&amp;"'!$AN$7:$AN$500"),"Fail"),0))</f>
        <v/>
      </c>
      <c r="BB10" s="108">
        <f>IF($D10="","",IFERROR(COUNTIF(INDIRECT("'"&amp;$D10&amp;"'!$AN$7:$AN$500"),"Block"),0))</f>
        <v/>
      </c>
      <c r="BC10" s="109">
        <f>IF($D10="","",IFERROR(COUNTIF(INDIRECT("'"&amp;$D10&amp;"'!$AN$7:$AN$500"),"N/A"),0))</f>
        <v/>
      </c>
    </row>
    <row r="11">
      <c r="A11" s="1" t="n"/>
      <c r="B11" s="96">
        <f>IF($D11="","",ROW()-3)</f>
        <v/>
      </c>
      <c r="C11" s="97" t="inlineStr">
        <is>
          <t>TC_08</t>
        </is>
      </c>
      <c r="D11" s="97" t="inlineStr">
        <is>
          <t>Thông báo</t>
        </is>
      </c>
      <c r="E11" s="98" t="inlineStr">
        <is>
          <t>Thông báo</t>
        </is>
      </c>
      <c r="F11" s="96">
        <f>IF($D11="","",IFERROR(COUNTIF(INDIRECT("'"&amp;$D11&amp;"'!$A$7:$A$500"),"?*"),0))</f>
        <v/>
      </c>
      <c r="G11" s="96">
        <f>IF($D11="","",IFERROR(COUNTIF(INDIRECT("'"&amp;$D11&amp;"'!$AT$7:$AT$500"),"Pass"),0))</f>
        <v/>
      </c>
      <c r="H11" s="96">
        <f>IF($D11="","",IFERROR(COUNTIF(INDIRECT("'"&amp;$D11&amp;"'!$AT$7:$AT$500"),"Fail"),0))</f>
        <v/>
      </c>
      <c r="I11" s="96">
        <f>IF($D11="","",IFERROR(COUNTIF(INDIRECT("'"&amp;$D11&amp;"'!$AT$7:$AT$500"),"Block"),0))</f>
        <v/>
      </c>
      <c r="J11" s="96">
        <f>IF($D11="","",IFERROR(COUNTIF(INDIRECT("'"&amp;$D11&amp;"'!$AT$7:$AT$500"),"N/A"),0))</f>
        <v/>
      </c>
      <c r="K11" s="96">
        <f>IF($D11="","",MAX(0,$F11-$G11-$H11-$I11-$J11))</f>
        <v/>
      </c>
      <c r="L11" s="96">
        <f>IF($D11="","",$G11+$H11+$I11+$J11)</f>
        <v/>
      </c>
      <c r="M11" s="99">
        <f>IF($D11="","",IFERROR($L11/$F11,0))</f>
        <v/>
      </c>
      <c r="N11" s="99">
        <f>IF($D11="","",IFERROR($G11/$L11,0))</f>
        <v/>
      </c>
      <c r="O11" s="96">
        <f>IF($D11="","",IFERROR(COUNTIF(INDIRECT("'"&amp;$D11&amp;"'!$E$7:$E$500"),"High"),0))</f>
        <v/>
      </c>
      <c r="P11" s="96">
        <f>IF($D11="","",IFERROR(COUNTIF(INDIRECT("'"&amp;$D11&amp;"'!$E$7:$E$500"),"Medium"),0))</f>
        <v/>
      </c>
      <c r="Q11" s="96">
        <f>IF($D11="","",IFERROR(COUNTIF(INDIRECT("'"&amp;$D11&amp;"'!$E$7:$E$500"),"Low"),0))</f>
        <v/>
      </c>
      <c r="R11" s="96">
        <f>IF($D11="","",IFERROR(COUNTIF(INDIRECT("'"&amp;$D11&amp;"'!$D$7:$D$500"),"Functional"),0))</f>
        <v/>
      </c>
      <c r="S11" s="96">
        <f>IF($D11="","",IFERROR(COUNTIF(INDIRECT("'"&amp;$D11&amp;"'!$D$7:$D$500"),"UI"),0))</f>
        <v/>
      </c>
      <c r="T11" s="96">
        <f>IF($D11="","",IFERROR(COUNTIF(INDIRECT("'"&amp;$D11&amp;"'!$D$7:$D$500"),"Integration"),0))</f>
        <v/>
      </c>
      <c r="U11" s="96">
        <f>IF($D11="","",IFERROR(COUNTIF(INDIRECT("'"&amp;$D11&amp;"'!$D$7:$D$500"),"Database Test Case"),0))</f>
        <v/>
      </c>
      <c r="V11" s="96">
        <f>IF($D11="","",IFERROR(COUNTIF(INDIRECT("'"&amp;$D11&amp;"'!$J$7:$J$500"),"AI"),0))</f>
        <v/>
      </c>
      <c r="W11" s="96">
        <f>IF($D11="","",IFERROR(COUNTIF(INDIRECT("'"&amp;$D11&amp;"'!$J$7:$J$500"),"QC"),0))</f>
        <v/>
      </c>
      <c r="X11" s="96">
        <f>IF($D11="","",IFERROR(COUNTIF(INDIRECT("'"&amp;$D11&amp;"'!$L$7:$L$500"),"Yes"),0))</f>
        <v/>
      </c>
      <c r="Y11" s="96">
        <f>IF($D11="","",IFERROR(COUNTIF(INDIRECT("'"&amp;$D11&amp;"'!$AR$7:$AR$500"),"Yes"),0))</f>
        <v/>
      </c>
      <c r="Z11" s="96">
        <f>IF($D11="","",IFERROR(COUNTIF(INDIRECT("'"&amp;$D11&amp;"'!$AS$7:$AS$500"),"Pass"),0))</f>
        <v/>
      </c>
      <c r="AA11" s="96">
        <f>IF($D11="","",IFERROR(COUNTIF(INDIRECT("'"&amp;$D11&amp;"'!$K$7:$K$500"),"Reviewed"),0))</f>
        <v/>
      </c>
      <c r="AB11" s="107">
        <f>IF($D11="","",IFERROR(COUNTIFS(INDIRECT("'"&amp;$D11&amp;"'!$E$7:$E$500"),"High",INDIRECT("'"&amp;$D11&amp;"'!$AT$7:$AT$500"),"?*"),0))</f>
        <v/>
      </c>
      <c r="AC11" s="107">
        <f>IF($D11="","",IFERROR(COUNTIFS(INDIRECT("'"&amp;$D11&amp;"'!$E$7:$E$500"),"Medium",INDIRECT("'"&amp;$D11&amp;"'!$AT$7:$AT$500"),"?*"),0))</f>
        <v/>
      </c>
      <c r="AD11" s="107">
        <f>IF($D11="","",IFERROR(COUNTIFS(INDIRECT("'"&amp;$D11&amp;"'!$E$7:$E$500"),"Low",INDIRECT("'"&amp;$D11&amp;"'!$AT$7:$AT$500"),"?*"),0))</f>
        <v/>
      </c>
      <c r="AE11" s="108">
        <f>IF($D11="","",IFERROR(COUNTIF(INDIRECT("'"&amp;$D11&amp;"'!$P$7:$P$500"),"?*"),0))</f>
        <v/>
      </c>
      <c r="AF11" s="108">
        <f>IF($D11="","",IFERROR(COUNTIF(INDIRECT("'"&amp;$D11&amp;"'!$P$7:$P$500"),"Pass"),0))</f>
        <v/>
      </c>
      <c r="AG11" s="108">
        <f>IF($D11="","",IFERROR(COUNTIF(INDIRECT("'"&amp;$D11&amp;"'!$P$7:$P$500"),"Fail"),0))</f>
        <v/>
      </c>
      <c r="AH11" s="108">
        <f>IF($D11="","",IFERROR(COUNTIF(INDIRECT("'"&amp;$D11&amp;"'!$P$7:$P$500"),"Block"),0))</f>
        <v/>
      </c>
      <c r="AI11" s="108">
        <f>IF($D11="","",IFERROR(COUNTIF(INDIRECT("'"&amp;$D11&amp;"'!$P$7:$P$500"),"N/A"),0))</f>
        <v/>
      </c>
      <c r="AJ11" s="108">
        <f>IF($D11="","",IFERROR(COUNTIF(INDIRECT("'"&amp;$D11&amp;"'!$V$7:$V$500"),"?*"),0))</f>
        <v/>
      </c>
      <c r="AK11" s="108">
        <f>IF($D11="","",IFERROR(COUNTIF(INDIRECT("'"&amp;$D11&amp;"'!$V$7:$V$500"),"Pass"),0))</f>
        <v/>
      </c>
      <c r="AL11" s="108">
        <f>IF($D11="","",IFERROR(COUNTIF(INDIRECT("'"&amp;$D11&amp;"'!$V$7:$V$500"),"Fail"),0))</f>
        <v/>
      </c>
      <c r="AM11" s="108">
        <f>IF($D11="","",IFERROR(COUNTIF(INDIRECT("'"&amp;$D11&amp;"'!$V$7:$V$500"),"Block"),0))</f>
        <v/>
      </c>
      <c r="AN11" s="108">
        <f>IF($D11="","",IFERROR(COUNTIF(INDIRECT("'"&amp;$D11&amp;"'!$V$7:$V$500"),"N/A"),0))</f>
        <v/>
      </c>
      <c r="AO11" s="108">
        <f>IF($D11="","",IFERROR(COUNTIF(INDIRECT("'"&amp;$D11&amp;"'!$AB$7:$AB$500"),"?*"),0))</f>
        <v/>
      </c>
      <c r="AP11" s="108">
        <f>IF($D11="","",IFERROR(COUNTIF(INDIRECT("'"&amp;$D11&amp;"'!$AB$7:$AB$500"),"Pass"),0))</f>
        <v/>
      </c>
      <c r="AQ11" s="108">
        <f>IF($D11="","",IFERROR(COUNTIF(INDIRECT("'"&amp;$D11&amp;"'!$AB$7:$AB$500"),"Fail"),0))</f>
        <v/>
      </c>
      <c r="AR11" s="108">
        <f>IF($D11="","",IFERROR(COUNTIF(INDIRECT("'"&amp;$D11&amp;"'!$AB$7:$AB$500"),"Block"),0))</f>
        <v/>
      </c>
      <c r="AS11" s="108">
        <f>IF($D11="","",IFERROR(COUNTIF(INDIRECT("'"&amp;$D11&amp;"'!$AB$7:$AB$500"),"N/A"),0))</f>
        <v/>
      </c>
      <c r="AT11" s="108">
        <f>IF($D11="","",IFERROR(COUNTIF(INDIRECT("'"&amp;$D11&amp;"'!$AH$7:$AH$500"),"?*"),0))</f>
        <v/>
      </c>
      <c r="AU11" s="108">
        <f>IF($D11="","",IFERROR(COUNTIF(INDIRECT("'"&amp;$D11&amp;"'!$AH$7:$AH$500"),"Pass"),0))</f>
        <v/>
      </c>
      <c r="AV11" s="108">
        <f>IF($D11="","",IFERROR(COUNTIF(INDIRECT("'"&amp;$D11&amp;"'!$AH$7:$AH$500"),"Fail"),0))</f>
        <v/>
      </c>
      <c r="AW11" s="108">
        <f>IF($D11="","",IFERROR(COUNTIF(INDIRECT("'"&amp;$D11&amp;"'!$AH$7:$AH$500"),"Block"),0))</f>
        <v/>
      </c>
      <c r="AX11" s="108">
        <f>IF($D11="","",IFERROR(COUNTIF(INDIRECT("'"&amp;$D11&amp;"'!$AH$7:$AH$500"),"N/A"),0))</f>
        <v/>
      </c>
      <c r="AY11" s="108">
        <f>IF($D11="","",IFERROR(COUNTIF(INDIRECT("'"&amp;$D11&amp;"'!$AN$7:$AN$500"),"?*"),0))</f>
        <v/>
      </c>
      <c r="AZ11" s="108">
        <f>IF($D11="","",IFERROR(COUNTIF(INDIRECT("'"&amp;$D11&amp;"'!$AN$7:$AN$500"),"Pass"),0))</f>
        <v/>
      </c>
      <c r="BA11" s="108">
        <f>IF($D11="","",IFERROR(COUNTIF(INDIRECT("'"&amp;$D11&amp;"'!$AN$7:$AN$500"),"Fail"),0))</f>
        <v/>
      </c>
      <c r="BB11" s="108">
        <f>IF($D11="","",IFERROR(COUNTIF(INDIRECT("'"&amp;$D11&amp;"'!$AN$7:$AN$500"),"Block"),0))</f>
        <v/>
      </c>
      <c r="BC11" s="109">
        <f>IF($D11="","",IFERROR(COUNTIF(INDIRECT("'"&amp;$D11&amp;"'!$AN$7:$AN$500"),"N/A"),0))</f>
        <v/>
      </c>
    </row>
    <row r="12">
      <c r="A12" s="1" t="n"/>
      <c r="B12" s="96">
        <f>IF($D12="","",ROW()-3)</f>
        <v/>
      </c>
      <c r="C12" s="97" t="inlineStr">
        <is>
          <t>TC_09</t>
        </is>
      </c>
      <c r="D12" s="97" t="inlineStr">
        <is>
          <t>Đăng tin &amp; Quản lý tin</t>
        </is>
      </c>
      <c r="E12" s="98" t="inlineStr">
        <is>
          <t>Đăng tin &amp; Quản lý tin</t>
        </is>
      </c>
      <c r="F12" s="96">
        <f>IF($D12="","",IFERROR(COUNTIF(INDIRECT("'"&amp;$D12&amp;"'!$A$7:$A$500"),"?*"),0))</f>
        <v/>
      </c>
      <c r="G12" s="96">
        <f>IF($D12="","",IFERROR(COUNTIF(INDIRECT("'"&amp;$D12&amp;"'!$AT$7:$AT$500"),"Pass"),0))</f>
        <v/>
      </c>
      <c r="H12" s="96">
        <f>IF($D12="","",IFERROR(COUNTIF(INDIRECT("'"&amp;$D12&amp;"'!$AT$7:$AT$500"),"Fail"),0))</f>
        <v/>
      </c>
      <c r="I12" s="96">
        <f>IF($D12="","",IFERROR(COUNTIF(INDIRECT("'"&amp;$D12&amp;"'!$AT$7:$AT$500"),"Block"),0))</f>
        <v/>
      </c>
      <c r="J12" s="96">
        <f>IF($D12="","",IFERROR(COUNTIF(INDIRECT("'"&amp;$D12&amp;"'!$AT$7:$AT$500"),"N/A"),0))</f>
        <v/>
      </c>
      <c r="K12" s="96">
        <f>IF($D12="","",MAX(0,$F12-$G12-$H12-$I12-$J12))</f>
        <v/>
      </c>
      <c r="L12" s="96">
        <f>IF($D12="","",$G12+$H12+$I12+$J12)</f>
        <v/>
      </c>
      <c r="M12" s="99">
        <f>IF($D12="","",IFERROR($L12/$F12,0))</f>
        <v/>
      </c>
      <c r="N12" s="99">
        <f>IF($D12="","",IFERROR($G12/$L12,0))</f>
        <v/>
      </c>
      <c r="O12" s="96">
        <f>IF($D12="","",IFERROR(COUNTIF(INDIRECT("'"&amp;$D12&amp;"'!$E$7:$E$500"),"High"),0))</f>
        <v/>
      </c>
      <c r="P12" s="96">
        <f>IF($D12="","",IFERROR(COUNTIF(INDIRECT("'"&amp;$D12&amp;"'!$E$7:$E$500"),"Medium"),0))</f>
        <v/>
      </c>
      <c r="Q12" s="96">
        <f>IF($D12="","",IFERROR(COUNTIF(INDIRECT("'"&amp;$D12&amp;"'!$E$7:$E$500"),"Low"),0))</f>
        <v/>
      </c>
      <c r="R12" s="96">
        <f>IF($D12="","",IFERROR(COUNTIF(INDIRECT("'"&amp;$D12&amp;"'!$D$7:$D$500"),"Functional"),0))</f>
        <v/>
      </c>
      <c r="S12" s="96">
        <f>IF($D12="","",IFERROR(COUNTIF(INDIRECT("'"&amp;$D12&amp;"'!$D$7:$D$500"),"UI"),0))</f>
        <v/>
      </c>
      <c r="T12" s="96">
        <f>IF($D12="","",IFERROR(COUNTIF(INDIRECT("'"&amp;$D12&amp;"'!$D$7:$D$500"),"Integration"),0))</f>
        <v/>
      </c>
      <c r="U12" s="96">
        <f>IF($D12="","",IFERROR(COUNTIF(INDIRECT("'"&amp;$D12&amp;"'!$D$7:$D$500"),"Database Test Case"),0))</f>
        <v/>
      </c>
      <c r="V12" s="96">
        <f>IF($D12="","",IFERROR(COUNTIF(INDIRECT("'"&amp;$D12&amp;"'!$J$7:$J$500"),"AI"),0))</f>
        <v/>
      </c>
      <c r="W12" s="96">
        <f>IF($D12="","",IFERROR(COUNTIF(INDIRECT("'"&amp;$D12&amp;"'!$J$7:$J$500"),"QC"),0))</f>
        <v/>
      </c>
      <c r="X12" s="96">
        <f>IF($D12="","",IFERROR(COUNTIF(INDIRECT("'"&amp;$D12&amp;"'!$L$7:$L$500"),"Yes"),0))</f>
        <v/>
      </c>
      <c r="Y12" s="96">
        <f>IF($D12="","",IFERROR(COUNTIF(INDIRECT("'"&amp;$D12&amp;"'!$AR$7:$AR$500"),"Yes"),0))</f>
        <v/>
      </c>
      <c r="Z12" s="96">
        <f>IF($D12="","",IFERROR(COUNTIF(INDIRECT("'"&amp;$D12&amp;"'!$AS$7:$AS$500"),"Pass"),0))</f>
        <v/>
      </c>
      <c r="AA12" s="96">
        <f>IF($D12="","",IFERROR(COUNTIF(INDIRECT("'"&amp;$D12&amp;"'!$K$7:$K$500"),"Reviewed"),0))</f>
        <v/>
      </c>
      <c r="AB12" s="107">
        <f>IF($D12="","",IFERROR(COUNTIFS(INDIRECT("'"&amp;$D12&amp;"'!$E$7:$E$500"),"High",INDIRECT("'"&amp;$D12&amp;"'!$AT$7:$AT$500"),"?*"),0))</f>
        <v/>
      </c>
      <c r="AC12" s="107">
        <f>IF($D12="","",IFERROR(COUNTIFS(INDIRECT("'"&amp;$D12&amp;"'!$E$7:$E$500"),"Medium",INDIRECT("'"&amp;$D12&amp;"'!$AT$7:$AT$500"),"?*"),0))</f>
        <v/>
      </c>
      <c r="AD12" s="107">
        <f>IF($D12="","",IFERROR(COUNTIFS(INDIRECT("'"&amp;$D12&amp;"'!$E$7:$E$500"),"Low",INDIRECT("'"&amp;$D12&amp;"'!$AT$7:$AT$500"),"?*"),0))</f>
        <v/>
      </c>
      <c r="AE12" s="108">
        <f>IF($D12="","",IFERROR(COUNTIF(INDIRECT("'"&amp;$D12&amp;"'!$P$7:$P$500"),"?*"),0))</f>
        <v/>
      </c>
      <c r="AF12" s="108">
        <f>IF($D12="","",IFERROR(COUNTIF(INDIRECT("'"&amp;$D12&amp;"'!$P$7:$P$500"),"Pass"),0))</f>
        <v/>
      </c>
      <c r="AG12" s="108">
        <f>IF($D12="","",IFERROR(COUNTIF(INDIRECT("'"&amp;$D12&amp;"'!$P$7:$P$500"),"Fail"),0))</f>
        <v/>
      </c>
      <c r="AH12" s="108">
        <f>IF($D12="","",IFERROR(COUNTIF(INDIRECT("'"&amp;$D12&amp;"'!$P$7:$P$500"),"Block"),0))</f>
        <v/>
      </c>
      <c r="AI12" s="108">
        <f>IF($D12="","",IFERROR(COUNTIF(INDIRECT("'"&amp;$D12&amp;"'!$P$7:$P$500"),"N/A"),0))</f>
        <v/>
      </c>
      <c r="AJ12" s="108">
        <f>IF($D12="","",IFERROR(COUNTIF(INDIRECT("'"&amp;$D12&amp;"'!$V$7:$V$500"),"?*"),0))</f>
        <v/>
      </c>
      <c r="AK12" s="108">
        <f>IF($D12="","",IFERROR(COUNTIF(INDIRECT("'"&amp;$D12&amp;"'!$V$7:$V$500"),"Pass"),0))</f>
        <v/>
      </c>
      <c r="AL12" s="108">
        <f>IF($D12="","",IFERROR(COUNTIF(INDIRECT("'"&amp;$D12&amp;"'!$V$7:$V$500"),"Fail"),0))</f>
        <v/>
      </c>
      <c r="AM12" s="108">
        <f>IF($D12="","",IFERROR(COUNTIF(INDIRECT("'"&amp;$D12&amp;"'!$V$7:$V$500"),"Block"),0))</f>
        <v/>
      </c>
      <c r="AN12" s="108">
        <f>IF($D12="","",IFERROR(COUNTIF(INDIRECT("'"&amp;$D12&amp;"'!$V$7:$V$500"),"N/A"),0))</f>
        <v/>
      </c>
      <c r="AO12" s="108">
        <f>IF($D12="","",IFERROR(COUNTIF(INDIRECT("'"&amp;$D12&amp;"'!$AB$7:$AB$500"),"?*"),0))</f>
        <v/>
      </c>
      <c r="AP12" s="108">
        <f>IF($D12="","",IFERROR(COUNTIF(INDIRECT("'"&amp;$D12&amp;"'!$AB$7:$AB$500"),"Pass"),0))</f>
        <v/>
      </c>
      <c r="AQ12" s="108">
        <f>IF($D12="","",IFERROR(COUNTIF(INDIRECT("'"&amp;$D12&amp;"'!$AB$7:$AB$500"),"Fail"),0))</f>
        <v/>
      </c>
      <c r="AR12" s="108">
        <f>IF($D12="","",IFERROR(COUNTIF(INDIRECT("'"&amp;$D12&amp;"'!$AB$7:$AB$500"),"Block"),0))</f>
        <v/>
      </c>
      <c r="AS12" s="108">
        <f>IF($D12="","",IFERROR(COUNTIF(INDIRECT("'"&amp;$D12&amp;"'!$AB$7:$AB$500"),"N/A"),0))</f>
        <v/>
      </c>
      <c r="AT12" s="108">
        <f>IF($D12="","",IFERROR(COUNTIF(INDIRECT("'"&amp;$D12&amp;"'!$AH$7:$AH$500"),"?*"),0))</f>
        <v/>
      </c>
      <c r="AU12" s="108">
        <f>IF($D12="","",IFERROR(COUNTIF(INDIRECT("'"&amp;$D12&amp;"'!$AH$7:$AH$500"),"Pass"),0))</f>
        <v/>
      </c>
      <c r="AV12" s="108">
        <f>IF($D12="","",IFERROR(COUNTIF(INDIRECT("'"&amp;$D12&amp;"'!$AH$7:$AH$500"),"Fail"),0))</f>
        <v/>
      </c>
      <c r="AW12" s="108">
        <f>IF($D12="","",IFERROR(COUNTIF(INDIRECT("'"&amp;$D12&amp;"'!$AH$7:$AH$500"),"Block"),0))</f>
        <v/>
      </c>
      <c r="AX12" s="108">
        <f>IF($D12="","",IFERROR(COUNTIF(INDIRECT("'"&amp;$D12&amp;"'!$AH$7:$AH$500"),"N/A"),0))</f>
        <v/>
      </c>
      <c r="AY12" s="108">
        <f>IF($D12="","",IFERROR(COUNTIF(INDIRECT("'"&amp;$D12&amp;"'!$AN$7:$AN$500"),"?*"),0))</f>
        <v/>
      </c>
      <c r="AZ12" s="108">
        <f>IF($D12="","",IFERROR(COUNTIF(INDIRECT("'"&amp;$D12&amp;"'!$AN$7:$AN$500"),"Pass"),0))</f>
        <v/>
      </c>
      <c r="BA12" s="108">
        <f>IF($D12="","",IFERROR(COUNTIF(INDIRECT("'"&amp;$D12&amp;"'!$AN$7:$AN$500"),"Fail"),0))</f>
        <v/>
      </c>
      <c r="BB12" s="108">
        <f>IF($D12="","",IFERROR(COUNTIF(INDIRECT("'"&amp;$D12&amp;"'!$AN$7:$AN$500"),"Block"),0))</f>
        <v/>
      </c>
      <c r="BC12" s="109">
        <f>IF($D12="","",IFERROR(COUNTIF(INDIRECT("'"&amp;$D12&amp;"'!$AN$7:$AN$500"),"N/A"),0))</f>
        <v/>
      </c>
    </row>
    <row r="13">
      <c r="A13" s="1" t="n"/>
      <c r="B13" s="96">
        <f>IF($D13="","",ROW()-3)</f>
        <v/>
      </c>
      <c r="C13" s="97" t="inlineStr">
        <is>
          <t>TC_10</t>
        </is>
      </c>
      <c r="D13" s="97" t="inlineStr">
        <is>
          <t>Trust &amp; Safety</t>
        </is>
      </c>
      <c r="E13" s="98" t="inlineStr">
        <is>
          <t>Trust &amp; Safety</t>
        </is>
      </c>
      <c r="F13" s="96">
        <f>IF($D13="","",IFERROR(COUNTIF(INDIRECT("'"&amp;$D13&amp;"'!$A$7:$A$500"),"?*"),0))</f>
        <v/>
      </c>
      <c r="G13" s="96">
        <f>IF($D13="","",IFERROR(COUNTIF(INDIRECT("'"&amp;$D13&amp;"'!$AT$7:$AT$500"),"Pass"),0))</f>
        <v/>
      </c>
      <c r="H13" s="96">
        <f>IF($D13="","",IFERROR(COUNTIF(INDIRECT("'"&amp;$D13&amp;"'!$AT$7:$AT$500"),"Fail"),0))</f>
        <v/>
      </c>
      <c r="I13" s="96">
        <f>IF($D13="","",IFERROR(COUNTIF(INDIRECT("'"&amp;$D13&amp;"'!$AT$7:$AT$500"),"Block"),0))</f>
        <v/>
      </c>
      <c r="J13" s="96">
        <f>IF($D13="","",IFERROR(COUNTIF(INDIRECT("'"&amp;$D13&amp;"'!$AT$7:$AT$500"),"N/A"),0))</f>
        <v/>
      </c>
      <c r="K13" s="96">
        <f>IF($D13="","",MAX(0,$F13-$G13-$H13-$I13-$J13))</f>
        <v/>
      </c>
      <c r="L13" s="96">
        <f>IF($D13="","",$G13+$H13+$I13+$J13)</f>
        <v/>
      </c>
      <c r="M13" s="99">
        <f>IF($D13="","",IFERROR($L13/$F13,0))</f>
        <v/>
      </c>
      <c r="N13" s="99">
        <f>IF($D13="","",IFERROR($G13/$L13,0))</f>
        <v/>
      </c>
      <c r="O13" s="96">
        <f>IF($D13="","",IFERROR(COUNTIF(INDIRECT("'"&amp;$D13&amp;"'!$E$7:$E$500"),"High"),0))</f>
        <v/>
      </c>
      <c r="P13" s="96">
        <f>IF($D13="","",IFERROR(COUNTIF(INDIRECT("'"&amp;$D13&amp;"'!$E$7:$E$500"),"Medium"),0))</f>
        <v/>
      </c>
      <c r="Q13" s="96">
        <f>IF($D13="","",IFERROR(COUNTIF(INDIRECT("'"&amp;$D13&amp;"'!$E$7:$E$500"),"Low"),0))</f>
        <v/>
      </c>
      <c r="R13" s="96">
        <f>IF($D13="","",IFERROR(COUNTIF(INDIRECT("'"&amp;$D13&amp;"'!$D$7:$D$500"),"Functional"),0))</f>
        <v/>
      </c>
      <c r="S13" s="96">
        <f>IF($D13="","",IFERROR(COUNTIF(INDIRECT("'"&amp;$D13&amp;"'!$D$7:$D$500"),"UI"),0))</f>
        <v/>
      </c>
      <c r="T13" s="96">
        <f>IF($D13="","",IFERROR(COUNTIF(INDIRECT("'"&amp;$D13&amp;"'!$D$7:$D$500"),"Integration"),0))</f>
        <v/>
      </c>
      <c r="U13" s="96">
        <f>IF($D13="","",IFERROR(COUNTIF(INDIRECT("'"&amp;$D13&amp;"'!$D$7:$D$500"),"Database Test Case"),0))</f>
        <v/>
      </c>
      <c r="V13" s="96">
        <f>IF($D13="","",IFERROR(COUNTIF(INDIRECT("'"&amp;$D13&amp;"'!$J$7:$J$500"),"AI"),0))</f>
        <v/>
      </c>
      <c r="W13" s="96">
        <f>IF($D13="","",IFERROR(COUNTIF(INDIRECT("'"&amp;$D13&amp;"'!$J$7:$J$500"),"QC"),0))</f>
        <v/>
      </c>
      <c r="X13" s="96">
        <f>IF($D13="","",IFERROR(COUNTIF(INDIRECT("'"&amp;$D13&amp;"'!$L$7:$L$500"),"Yes"),0))</f>
        <v/>
      </c>
      <c r="Y13" s="96">
        <f>IF($D13="","",IFERROR(COUNTIF(INDIRECT("'"&amp;$D13&amp;"'!$AR$7:$AR$500"),"Yes"),0))</f>
        <v/>
      </c>
      <c r="Z13" s="96">
        <f>IF($D13="","",IFERROR(COUNTIF(INDIRECT("'"&amp;$D13&amp;"'!$AS$7:$AS$500"),"Pass"),0))</f>
        <v/>
      </c>
      <c r="AA13" s="96">
        <f>IF($D13="","",IFERROR(COUNTIF(INDIRECT("'"&amp;$D13&amp;"'!$K$7:$K$500"),"Reviewed"),0))</f>
        <v/>
      </c>
      <c r="AB13" s="107">
        <f>IF($D13="","",IFERROR(COUNTIFS(INDIRECT("'"&amp;$D13&amp;"'!$E$7:$E$500"),"High",INDIRECT("'"&amp;$D13&amp;"'!$AT$7:$AT$500"),"?*"),0))</f>
        <v/>
      </c>
      <c r="AC13" s="107">
        <f>IF($D13="","",IFERROR(COUNTIFS(INDIRECT("'"&amp;$D13&amp;"'!$E$7:$E$500"),"Medium",INDIRECT("'"&amp;$D13&amp;"'!$AT$7:$AT$500"),"?*"),0))</f>
        <v/>
      </c>
      <c r="AD13" s="107">
        <f>IF($D13="","",IFERROR(COUNTIFS(INDIRECT("'"&amp;$D13&amp;"'!$E$7:$E$500"),"Low",INDIRECT("'"&amp;$D13&amp;"'!$AT$7:$AT$500"),"?*"),0))</f>
        <v/>
      </c>
      <c r="AE13" s="108">
        <f>IF($D13="","",IFERROR(COUNTIF(INDIRECT("'"&amp;$D13&amp;"'!$P$7:$P$500"),"?*"),0))</f>
        <v/>
      </c>
      <c r="AF13" s="108">
        <f>IF($D13="","",IFERROR(COUNTIF(INDIRECT("'"&amp;$D13&amp;"'!$P$7:$P$500"),"Pass"),0))</f>
        <v/>
      </c>
      <c r="AG13" s="108">
        <f>IF($D13="","",IFERROR(COUNTIF(INDIRECT("'"&amp;$D13&amp;"'!$P$7:$P$500"),"Fail"),0))</f>
        <v/>
      </c>
      <c r="AH13" s="108">
        <f>IF($D13="","",IFERROR(COUNTIF(INDIRECT("'"&amp;$D13&amp;"'!$P$7:$P$500"),"Block"),0))</f>
        <v/>
      </c>
      <c r="AI13" s="108">
        <f>IF($D13="","",IFERROR(COUNTIF(INDIRECT("'"&amp;$D13&amp;"'!$P$7:$P$500"),"N/A"),0))</f>
        <v/>
      </c>
      <c r="AJ13" s="108">
        <f>IF($D13="","",IFERROR(COUNTIF(INDIRECT("'"&amp;$D13&amp;"'!$V$7:$V$500"),"?*"),0))</f>
        <v/>
      </c>
      <c r="AK13" s="108">
        <f>IF($D13="","",IFERROR(COUNTIF(INDIRECT("'"&amp;$D13&amp;"'!$V$7:$V$500"),"Pass"),0))</f>
        <v/>
      </c>
      <c r="AL13" s="108">
        <f>IF($D13="","",IFERROR(COUNTIF(INDIRECT("'"&amp;$D13&amp;"'!$V$7:$V$500"),"Fail"),0))</f>
        <v/>
      </c>
      <c r="AM13" s="108">
        <f>IF($D13="","",IFERROR(COUNTIF(INDIRECT("'"&amp;$D13&amp;"'!$V$7:$V$500"),"Block"),0))</f>
        <v/>
      </c>
      <c r="AN13" s="108">
        <f>IF($D13="","",IFERROR(COUNTIF(INDIRECT("'"&amp;$D13&amp;"'!$V$7:$V$500"),"N/A"),0))</f>
        <v/>
      </c>
      <c r="AO13" s="108">
        <f>IF($D13="","",IFERROR(COUNTIF(INDIRECT("'"&amp;$D13&amp;"'!$AB$7:$AB$500"),"?*"),0))</f>
        <v/>
      </c>
      <c r="AP13" s="108">
        <f>IF($D13="","",IFERROR(COUNTIF(INDIRECT("'"&amp;$D13&amp;"'!$AB$7:$AB$500"),"Pass"),0))</f>
        <v/>
      </c>
      <c r="AQ13" s="108">
        <f>IF($D13="","",IFERROR(COUNTIF(INDIRECT("'"&amp;$D13&amp;"'!$AB$7:$AB$500"),"Fail"),0))</f>
        <v/>
      </c>
      <c r="AR13" s="108">
        <f>IF($D13="","",IFERROR(COUNTIF(INDIRECT("'"&amp;$D13&amp;"'!$AB$7:$AB$500"),"Block"),0))</f>
        <v/>
      </c>
      <c r="AS13" s="108">
        <f>IF($D13="","",IFERROR(COUNTIF(INDIRECT("'"&amp;$D13&amp;"'!$AB$7:$AB$500"),"N/A"),0))</f>
        <v/>
      </c>
      <c r="AT13" s="108">
        <f>IF($D13="","",IFERROR(COUNTIF(INDIRECT("'"&amp;$D13&amp;"'!$AH$7:$AH$500"),"?*"),0))</f>
        <v/>
      </c>
      <c r="AU13" s="108">
        <f>IF($D13="","",IFERROR(COUNTIF(INDIRECT("'"&amp;$D13&amp;"'!$AH$7:$AH$500"),"Pass"),0))</f>
        <v/>
      </c>
      <c r="AV13" s="108">
        <f>IF($D13="","",IFERROR(COUNTIF(INDIRECT("'"&amp;$D13&amp;"'!$AH$7:$AH$500"),"Fail"),0))</f>
        <v/>
      </c>
      <c r="AW13" s="108">
        <f>IF($D13="","",IFERROR(COUNTIF(INDIRECT("'"&amp;$D13&amp;"'!$AH$7:$AH$500"),"Block"),0))</f>
        <v/>
      </c>
      <c r="AX13" s="108">
        <f>IF($D13="","",IFERROR(COUNTIF(INDIRECT("'"&amp;$D13&amp;"'!$AH$7:$AH$500"),"N/A"),0))</f>
        <v/>
      </c>
      <c r="AY13" s="108">
        <f>IF($D13="","",IFERROR(COUNTIF(INDIRECT("'"&amp;$D13&amp;"'!$AN$7:$AN$500"),"?*"),0))</f>
        <v/>
      </c>
      <c r="AZ13" s="108">
        <f>IF($D13="","",IFERROR(COUNTIF(INDIRECT("'"&amp;$D13&amp;"'!$AN$7:$AN$500"),"Pass"),0))</f>
        <v/>
      </c>
      <c r="BA13" s="108">
        <f>IF($D13="","",IFERROR(COUNTIF(INDIRECT("'"&amp;$D13&amp;"'!$AN$7:$AN$500"),"Fail"),0))</f>
        <v/>
      </c>
      <c r="BB13" s="108">
        <f>IF($D13="","",IFERROR(COUNTIF(INDIRECT("'"&amp;$D13&amp;"'!$AN$7:$AN$500"),"Block"),0))</f>
        <v/>
      </c>
      <c r="BC13" s="109">
        <f>IF($D13="","",IFERROR(COUNTIF(INDIRECT("'"&amp;$D13&amp;"'!$AN$7:$AN$500"),"N/A"),0))</f>
        <v/>
      </c>
    </row>
    <row r="14">
      <c r="A14" s="1" t="n"/>
      <c r="B14" s="96">
        <f>IF($D14="","",ROW()-3)</f>
        <v/>
      </c>
      <c r="C14" s="97" t="inlineStr">
        <is>
          <t>TC_11</t>
        </is>
      </c>
      <c r="D14" s="97" t="inlineStr">
        <is>
          <t>Tài khoản &amp; Hồ sơ</t>
        </is>
      </c>
      <c r="E14" s="98" t="inlineStr">
        <is>
          <t>Tài khoản &amp; Hồ sơ</t>
        </is>
      </c>
      <c r="F14" s="96">
        <f>IF($D14="","",IFERROR(COUNTIF(INDIRECT("'"&amp;$D14&amp;"'!$A$7:$A$500"),"?*"),0))</f>
        <v/>
      </c>
      <c r="G14" s="96">
        <f>IF($D14="","",IFERROR(COUNTIF(INDIRECT("'"&amp;$D14&amp;"'!$AT$7:$AT$500"),"Pass"),0))</f>
        <v/>
      </c>
      <c r="H14" s="96">
        <f>IF($D14="","",IFERROR(COUNTIF(INDIRECT("'"&amp;$D14&amp;"'!$AT$7:$AT$500"),"Fail"),0))</f>
        <v/>
      </c>
      <c r="I14" s="96">
        <f>IF($D14="","",IFERROR(COUNTIF(INDIRECT("'"&amp;$D14&amp;"'!$AT$7:$AT$500"),"Block"),0))</f>
        <v/>
      </c>
      <c r="J14" s="96">
        <f>IF($D14="","",IFERROR(COUNTIF(INDIRECT("'"&amp;$D14&amp;"'!$AT$7:$AT$500"),"N/A"),0))</f>
        <v/>
      </c>
      <c r="K14" s="96">
        <f>IF($D14="","",MAX(0,$F14-$G14-$H14-$I14-$J14))</f>
        <v/>
      </c>
      <c r="L14" s="96">
        <f>IF($D14="","",$G14+$H14+$I14+$J14)</f>
        <v/>
      </c>
      <c r="M14" s="99">
        <f>IF($D14="","",IFERROR($L14/$F14,0))</f>
        <v/>
      </c>
      <c r="N14" s="99">
        <f>IF($D14="","",IFERROR($G14/$L14,0))</f>
        <v/>
      </c>
      <c r="O14" s="96">
        <f>IF($D14="","",IFERROR(COUNTIF(INDIRECT("'"&amp;$D14&amp;"'!$E$7:$E$500"),"High"),0))</f>
        <v/>
      </c>
      <c r="P14" s="96">
        <f>IF($D14="","",IFERROR(COUNTIF(INDIRECT("'"&amp;$D14&amp;"'!$E$7:$E$500"),"Medium"),0))</f>
        <v/>
      </c>
      <c r="Q14" s="96">
        <f>IF($D14="","",IFERROR(COUNTIF(INDIRECT("'"&amp;$D14&amp;"'!$E$7:$E$500"),"Low"),0))</f>
        <v/>
      </c>
      <c r="R14" s="96">
        <f>IF($D14="","",IFERROR(COUNTIF(INDIRECT("'"&amp;$D14&amp;"'!$D$7:$D$500"),"Functional"),0))</f>
        <v/>
      </c>
      <c r="S14" s="96">
        <f>IF($D14="","",IFERROR(COUNTIF(INDIRECT("'"&amp;$D14&amp;"'!$D$7:$D$500"),"UI"),0))</f>
        <v/>
      </c>
      <c r="T14" s="96">
        <f>IF($D14="","",IFERROR(COUNTIF(INDIRECT("'"&amp;$D14&amp;"'!$D$7:$D$500"),"Integration"),0))</f>
        <v/>
      </c>
      <c r="U14" s="96">
        <f>IF($D14="","",IFERROR(COUNTIF(INDIRECT("'"&amp;$D14&amp;"'!$D$7:$D$500"),"Database Test Case"),0))</f>
        <v/>
      </c>
      <c r="V14" s="96">
        <f>IF($D14="","",IFERROR(COUNTIF(INDIRECT("'"&amp;$D14&amp;"'!$J$7:$J$500"),"AI"),0))</f>
        <v/>
      </c>
      <c r="W14" s="96">
        <f>IF($D14="","",IFERROR(COUNTIF(INDIRECT("'"&amp;$D14&amp;"'!$J$7:$J$500"),"QC"),0))</f>
        <v/>
      </c>
      <c r="X14" s="96">
        <f>IF($D14="","",IFERROR(COUNTIF(INDIRECT("'"&amp;$D14&amp;"'!$L$7:$L$500"),"Yes"),0))</f>
        <v/>
      </c>
      <c r="Y14" s="96">
        <f>IF($D14="","",IFERROR(COUNTIF(INDIRECT("'"&amp;$D14&amp;"'!$AR$7:$AR$500"),"Yes"),0))</f>
        <v/>
      </c>
      <c r="Z14" s="96">
        <f>IF($D14="","",IFERROR(COUNTIF(INDIRECT("'"&amp;$D14&amp;"'!$AS$7:$AS$500"),"Pass"),0))</f>
        <v/>
      </c>
      <c r="AA14" s="96">
        <f>IF($D14="","",IFERROR(COUNTIF(INDIRECT("'"&amp;$D14&amp;"'!$K$7:$K$500"),"Reviewed"),0))</f>
        <v/>
      </c>
      <c r="AB14" s="107">
        <f>IF($D14="","",IFERROR(COUNTIFS(INDIRECT("'"&amp;$D14&amp;"'!$E$7:$E$500"),"High",INDIRECT("'"&amp;$D14&amp;"'!$AT$7:$AT$500"),"?*"),0))</f>
        <v/>
      </c>
      <c r="AC14" s="107">
        <f>IF($D14="","",IFERROR(COUNTIFS(INDIRECT("'"&amp;$D14&amp;"'!$E$7:$E$500"),"Medium",INDIRECT("'"&amp;$D14&amp;"'!$AT$7:$AT$500"),"?*"),0))</f>
        <v/>
      </c>
      <c r="AD14" s="107">
        <f>IF($D14="","",IFERROR(COUNTIFS(INDIRECT("'"&amp;$D14&amp;"'!$E$7:$E$500"),"Low",INDIRECT("'"&amp;$D14&amp;"'!$AT$7:$AT$500"),"?*"),0))</f>
        <v/>
      </c>
      <c r="AE14" s="108">
        <f>IF($D14="","",IFERROR(COUNTIF(INDIRECT("'"&amp;$D14&amp;"'!$P$7:$P$500"),"?*"),0))</f>
        <v/>
      </c>
      <c r="AF14" s="108">
        <f>IF($D14="","",IFERROR(COUNTIF(INDIRECT("'"&amp;$D14&amp;"'!$P$7:$P$500"),"Pass"),0))</f>
        <v/>
      </c>
      <c r="AG14" s="108">
        <f>IF($D14="","",IFERROR(COUNTIF(INDIRECT("'"&amp;$D14&amp;"'!$P$7:$P$500"),"Fail"),0))</f>
        <v/>
      </c>
      <c r="AH14" s="108">
        <f>IF($D14="","",IFERROR(COUNTIF(INDIRECT("'"&amp;$D14&amp;"'!$P$7:$P$500"),"Block"),0))</f>
        <v/>
      </c>
      <c r="AI14" s="108">
        <f>IF($D14="","",IFERROR(COUNTIF(INDIRECT("'"&amp;$D14&amp;"'!$P$7:$P$500"),"N/A"),0))</f>
        <v/>
      </c>
      <c r="AJ14" s="108">
        <f>IF($D14="","",IFERROR(COUNTIF(INDIRECT("'"&amp;$D14&amp;"'!$V$7:$V$500"),"?*"),0))</f>
        <v/>
      </c>
      <c r="AK14" s="108">
        <f>IF($D14="","",IFERROR(COUNTIF(INDIRECT("'"&amp;$D14&amp;"'!$V$7:$V$500"),"Pass"),0))</f>
        <v/>
      </c>
      <c r="AL14" s="108">
        <f>IF($D14="","",IFERROR(COUNTIF(INDIRECT("'"&amp;$D14&amp;"'!$V$7:$V$500"),"Fail"),0))</f>
        <v/>
      </c>
      <c r="AM14" s="108">
        <f>IF($D14="","",IFERROR(COUNTIF(INDIRECT("'"&amp;$D14&amp;"'!$V$7:$V$500"),"Block"),0))</f>
        <v/>
      </c>
      <c r="AN14" s="108">
        <f>IF($D14="","",IFERROR(COUNTIF(INDIRECT("'"&amp;$D14&amp;"'!$V$7:$V$500"),"N/A"),0))</f>
        <v/>
      </c>
      <c r="AO14" s="108">
        <f>IF($D14="","",IFERROR(COUNTIF(INDIRECT("'"&amp;$D14&amp;"'!$AB$7:$AB$500"),"?*"),0))</f>
        <v/>
      </c>
      <c r="AP14" s="108">
        <f>IF($D14="","",IFERROR(COUNTIF(INDIRECT("'"&amp;$D14&amp;"'!$AB$7:$AB$500"),"Pass"),0))</f>
        <v/>
      </c>
      <c r="AQ14" s="108">
        <f>IF($D14="","",IFERROR(COUNTIF(INDIRECT("'"&amp;$D14&amp;"'!$AB$7:$AB$500"),"Fail"),0))</f>
        <v/>
      </c>
      <c r="AR14" s="108">
        <f>IF($D14="","",IFERROR(COUNTIF(INDIRECT("'"&amp;$D14&amp;"'!$AB$7:$AB$500"),"Block"),0))</f>
        <v/>
      </c>
      <c r="AS14" s="108">
        <f>IF($D14="","",IFERROR(COUNTIF(INDIRECT("'"&amp;$D14&amp;"'!$AB$7:$AB$500"),"N/A"),0))</f>
        <v/>
      </c>
      <c r="AT14" s="108">
        <f>IF($D14="","",IFERROR(COUNTIF(INDIRECT("'"&amp;$D14&amp;"'!$AH$7:$AH$500"),"?*"),0))</f>
        <v/>
      </c>
      <c r="AU14" s="108">
        <f>IF($D14="","",IFERROR(COUNTIF(INDIRECT("'"&amp;$D14&amp;"'!$AH$7:$AH$500"),"Pass"),0))</f>
        <v/>
      </c>
      <c r="AV14" s="108">
        <f>IF($D14="","",IFERROR(COUNTIF(INDIRECT("'"&amp;$D14&amp;"'!$AH$7:$AH$500"),"Fail"),0))</f>
        <v/>
      </c>
      <c r="AW14" s="108">
        <f>IF($D14="","",IFERROR(COUNTIF(INDIRECT("'"&amp;$D14&amp;"'!$AH$7:$AH$500"),"Block"),0))</f>
        <v/>
      </c>
      <c r="AX14" s="108">
        <f>IF($D14="","",IFERROR(COUNTIF(INDIRECT("'"&amp;$D14&amp;"'!$AH$7:$AH$500"),"N/A"),0))</f>
        <v/>
      </c>
      <c r="AY14" s="108">
        <f>IF($D14="","",IFERROR(COUNTIF(INDIRECT("'"&amp;$D14&amp;"'!$AN$7:$AN$500"),"?*"),0))</f>
        <v/>
      </c>
      <c r="AZ14" s="108">
        <f>IF($D14="","",IFERROR(COUNTIF(INDIRECT("'"&amp;$D14&amp;"'!$AN$7:$AN$500"),"Pass"),0))</f>
        <v/>
      </c>
      <c r="BA14" s="108">
        <f>IF($D14="","",IFERROR(COUNTIF(INDIRECT("'"&amp;$D14&amp;"'!$AN$7:$AN$500"),"Fail"),0))</f>
        <v/>
      </c>
      <c r="BB14" s="108">
        <f>IF($D14="","",IFERROR(COUNTIF(INDIRECT("'"&amp;$D14&amp;"'!$AN$7:$AN$500"),"Block"),0))</f>
        <v/>
      </c>
      <c r="BC14" s="109">
        <f>IF($D14="","",IFERROR(COUNTIF(INDIRECT("'"&amp;$D14&amp;"'!$AN$7:$AN$500"),"N/A"),0))</f>
        <v/>
      </c>
    </row>
    <row r="15">
      <c r="A15" s="1" t="n"/>
      <c r="B15" s="96">
        <f>IF($D15="","",ROW()-3)</f>
        <v/>
      </c>
      <c r="C15" s="97" t="n"/>
      <c r="D15" s="97" t="n"/>
      <c r="E15" s="98" t="n"/>
      <c r="F15" s="96">
        <f>IF($D15="","",IFERROR(COUNTIF(INDIRECT("'"&amp;$D15&amp;"'!$A$7:$A$500"),"?*"),0))</f>
        <v/>
      </c>
      <c r="G15" s="96">
        <f>IF($D15="","",IFERROR(COUNTIF(INDIRECT("'"&amp;$D15&amp;"'!$AT$7:$AT$500"),"Pass"),0))</f>
        <v/>
      </c>
      <c r="H15" s="96">
        <f>IF($D15="","",IFERROR(COUNTIF(INDIRECT("'"&amp;$D15&amp;"'!$AT$7:$AT$500"),"Fail"),0))</f>
        <v/>
      </c>
      <c r="I15" s="96">
        <f>IF($D15="","",IFERROR(COUNTIF(INDIRECT("'"&amp;$D15&amp;"'!$AT$7:$AT$500"),"Block"),0))</f>
        <v/>
      </c>
      <c r="J15" s="96">
        <f>IF($D15="","",IFERROR(COUNTIF(INDIRECT("'"&amp;$D15&amp;"'!$AT$7:$AT$500"),"N/A"),0))</f>
        <v/>
      </c>
      <c r="K15" s="96">
        <f>IF($D15="","",MAX(0,$F15-$G15-$H15-$I15-$J15))</f>
        <v/>
      </c>
      <c r="L15" s="96">
        <f>IF($D15="","",$G15+$H15+$I15+$J15)</f>
        <v/>
      </c>
      <c r="M15" s="99">
        <f>IF($D15="","",IFERROR($L15/$F15,0))</f>
        <v/>
      </c>
      <c r="N15" s="99">
        <f>IF($D15="","",IFERROR($G15/$L15,0))</f>
        <v/>
      </c>
      <c r="O15" s="96">
        <f>IF($D15="","",IFERROR(COUNTIF(INDIRECT("'"&amp;$D15&amp;"'!$E$7:$E$500"),"High"),0))</f>
        <v/>
      </c>
      <c r="P15" s="96">
        <f>IF($D15="","",IFERROR(COUNTIF(INDIRECT("'"&amp;$D15&amp;"'!$E$7:$E$500"),"Medium"),0))</f>
        <v/>
      </c>
      <c r="Q15" s="96">
        <f>IF($D15="","",IFERROR(COUNTIF(INDIRECT("'"&amp;$D15&amp;"'!$E$7:$E$500"),"Low"),0))</f>
        <v/>
      </c>
      <c r="R15" s="96">
        <f>IF($D15="","",IFERROR(COUNTIF(INDIRECT("'"&amp;$D15&amp;"'!$D$7:$D$500"),"Functional"),0))</f>
        <v/>
      </c>
      <c r="S15" s="96">
        <f>IF($D15="","",IFERROR(COUNTIF(INDIRECT("'"&amp;$D15&amp;"'!$D$7:$D$500"),"UI"),0))</f>
        <v/>
      </c>
      <c r="T15" s="96">
        <f>IF($D15="","",IFERROR(COUNTIF(INDIRECT("'"&amp;$D15&amp;"'!$D$7:$D$500"),"Integration"),0))</f>
        <v/>
      </c>
      <c r="U15" s="96">
        <f>IF($D15="","",IFERROR(COUNTIF(INDIRECT("'"&amp;$D15&amp;"'!$D$7:$D$500"),"Database Test Case"),0))</f>
        <v/>
      </c>
      <c r="V15" s="96">
        <f>IF($D15="","",IFERROR(COUNTIF(INDIRECT("'"&amp;$D15&amp;"'!$J$7:$J$500"),"AI"),0))</f>
        <v/>
      </c>
      <c r="W15" s="96">
        <f>IF($D15="","",IFERROR(COUNTIF(INDIRECT("'"&amp;$D15&amp;"'!$J$7:$J$500"),"QC"),0))</f>
        <v/>
      </c>
      <c r="X15" s="96">
        <f>IF($D15="","",IFERROR(COUNTIF(INDIRECT("'"&amp;$D15&amp;"'!$L$7:$L$500"),"Yes"),0))</f>
        <v/>
      </c>
      <c r="Y15" s="96">
        <f>IF($D15="","",IFERROR(COUNTIF(INDIRECT("'"&amp;$D15&amp;"'!$AR$7:$AR$500"),"Yes"),0))</f>
        <v/>
      </c>
      <c r="Z15" s="96">
        <f>IF($D15="","",IFERROR(COUNTIF(INDIRECT("'"&amp;$D15&amp;"'!$AS$7:$AS$500"),"Pass"),0))</f>
        <v/>
      </c>
      <c r="AA15" s="96">
        <f>IF($D15="","",IFERROR(COUNTIF(INDIRECT("'"&amp;$D15&amp;"'!$K$7:$K$500"),"Reviewed"),0))</f>
        <v/>
      </c>
      <c r="AB15" s="107">
        <f>IF($D15="","",IFERROR(COUNTIFS(INDIRECT("'"&amp;$D15&amp;"'!$E$7:$E$500"),"High",INDIRECT("'"&amp;$D15&amp;"'!$AT$7:$AT$500"),"?*"),0))</f>
        <v/>
      </c>
      <c r="AC15" s="107">
        <f>IF($D15="","",IFERROR(COUNTIFS(INDIRECT("'"&amp;$D15&amp;"'!$E$7:$E$500"),"Medium",INDIRECT("'"&amp;$D15&amp;"'!$AT$7:$AT$500"),"?*"),0))</f>
        <v/>
      </c>
      <c r="AD15" s="107">
        <f>IF($D15="","",IFERROR(COUNTIFS(INDIRECT("'"&amp;$D15&amp;"'!$E$7:$E$500"),"Low",INDIRECT("'"&amp;$D15&amp;"'!$AT$7:$AT$500"),"?*"),0))</f>
        <v/>
      </c>
      <c r="AE15" s="108">
        <f>IF($D15="","",IFERROR(COUNTIF(INDIRECT("'"&amp;$D15&amp;"'!$P$7:$P$500"),"?*"),0))</f>
        <v/>
      </c>
      <c r="AF15" s="108">
        <f>IF($D15="","",IFERROR(COUNTIF(INDIRECT("'"&amp;$D15&amp;"'!$P$7:$P$500"),"Pass"),0))</f>
        <v/>
      </c>
      <c r="AG15" s="108">
        <f>IF($D15="","",IFERROR(COUNTIF(INDIRECT("'"&amp;$D15&amp;"'!$P$7:$P$500"),"Fail"),0))</f>
        <v/>
      </c>
      <c r="AH15" s="108">
        <f>IF($D15="","",IFERROR(COUNTIF(INDIRECT("'"&amp;$D15&amp;"'!$P$7:$P$500"),"Block"),0))</f>
        <v/>
      </c>
      <c r="AI15" s="108">
        <f>IF($D15="","",IFERROR(COUNTIF(INDIRECT("'"&amp;$D15&amp;"'!$P$7:$P$500"),"N/A"),0))</f>
        <v/>
      </c>
      <c r="AJ15" s="108">
        <f>IF($D15="","",IFERROR(COUNTIF(INDIRECT("'"&amp;$D15&amp;"'!$V$7:$V$500"),"?*"),0))</f>
        <v/>
      </c>
      <c r="AK15" s="108">
        <f>IF($D15="","",IFERROR(COUNTIF(INDIRECT("'"&amp;$D15&amp;"'!$V$7:$V$500"),"Pass"),0))</f>
        <v/>
      </c>
      <c r="AL15" s="108">
        <f>IF($D15="","",IFERROR(COUNTIF(INDIRECT("'"&amp;$D15&amp;"'!$V$7:$V$500"),"Fail"),0))</f>
        <v/>
      </c>
      <c r="AM15" s="108">
        <f>IF($D15="","",IFERROR(COUNTIF(INDIRECT("'"&amp;$D15&amp;"'!$V$7:$V$500"),"Block"),0))</f>
        <v/>
      </c>
      <c r="AN15" s="108">
        <f>IF($D15="","",IFERROR(COUNTIF(INDIRECT("'"&amp;$D15&amp;"'!$V$7:$V$500"),"N/A"),0))</f>
        <v/>
      </c>
      <c r="AO15" s="108">
        <f>IF($D15="","",IFERROR(COUNTIF(INDIRECT("'"&amp;$D15&amp;"'!$AB$7:$AB$500"),"?*"),0))</f>
        <v/>
      </c>
      <c r="AP15" s="108">
        <f>IF($D15="","",IFERROR(COUNTIF(INDIRECT("'"&amp;$D15&amp;"'!$AB$7:$AB$500"),"Pass"),0))</f>
        <v/>
      </c>
      <c r="AQ15" s="108">
        <f>IF($D15="","",IFERROR(COUNTIF(INDIRECT("'"&amp;$D15&amp;"'!$AB$7:$AB$500"),"Fail"),0))</f>
        <v/>
      </c>
      <c r="AR15" s="108">
        <f>IF($D15="","",IFERROR(COUNTIF(INDIRECT("'"&amp;$D15&amp;"'!$AB$7:$AB$500"),"Block"),0))</f>
        <v/>
      </c>
      <c r="AS15" s="108">
        <f>IF($D15="","",IFERROR(COUNTIF(INDIRECT("'"&amp;$D15&amp;"'!$AB$7:$AB$500"),"N/A"),0))</f>
        <v/>
      </c>
      <c r="AT15" s="108">
        <f>IF($D15="","",IFERROR(COUNTIF(INDIRECT("'"&amp;$D15&amp;"'!$AH$7:$AH$500"),"?*"),0))</f>
        <v/>
      </c>
      <c r="AU15" s="108">
        <f>IF($D15="","",IFERROR(COUNTIF(INDIRECT("'"&amp;$D15&amp;"'!$AH$7:$AH$500"),"Pass"),0))</f>
        <v/>
      </c>
      <c r="AV15" s="108">
        <f>IF($D15="","",IFERROR(COUNTIF(INDIRECT("'"&amp;$D15&amp;"'!$AH$7:$AH$500"),"Fail"),0))</f>
        <v/>
      </c>
      <c r="AW15" s="108">
        <f>IF($D15="","",IFERROR(COUNTIF(INDIRECT("'"&amp;$D15&amp;"'!$AH$7:$AH$500"),"Block"),0))</f>
        <v/>
      </c>
      <c r="AX15" s="108">
        <f>IF($D15="","",IFERROR(COUNTIF(INDIRECT("'"&amp;$D15&amp;"'!$AH$7:$AH$500"),"N/A"),0))</f>
        <v/>
      </c>
      <c r="AY15" s="108">
        <f>IF($D15="","",IFERROR(COUNTIF(INDIRECT("'"&amp;$D15&amp;"'!$AN$7:$AN$500"),"?*"),0))</f>
        <v/>
      </c>
      <c r="AZ15" s="108">
        <f>IF($D15="","",IFERROR(COUNTIF(INDIRECT("'"&amp;$D15&amp;"'!$AN$7:$AN$500"),"Pass"),0))</f>
        <v/>
      </c>
      <c r="BA15" s="108">
        <f>IF($D15="","",IFERROR(COUNTIF(INDIRECT("'"&amp;$D15&amp;"'!$AN$7:$AN$500"),"Fail"),0))</f>
        <v/>
      </c>
      <c r="BB15" s="108">
        <f>IF($D15="","",IFERROR(COUNTIF(INDIRECT("'"&amp;$D15&amp;"'!$AN$7:$AN$500"),"Block"),0))</f>
        <v/>
      </c>
      <c r="BC15" s="109">
        <f>IF($D15="","",IFERROR(COUNTIF(INDIRECT("'"&amp;$D15&amp;"'!$AN$7:$AN$500"),"N/A"),0))</f>
        <v/>
      </c>
    </row>
    <row r="16">
      <c r="A16" s="1" t="n"/>
      <c r="B16" s="96">
        <f>IF($D16="","",ROW()-3)</f>
        <v/>
      </c>
      <c r="C16" s="97" t="n"/>
      <c r="D16" s="97" t="n"/>
      <c r="E16" s="98" t="n"/>
      <c r="F16" s="96">
        <f>IF($D16="","",IFERROR(COUNTIF(INDIRECT("'"&amp;$D16&amp;"'!$A$7:$A$500"),"?*"),0))</f>
        <v/>
      </c>
      <c r="G16" s="96">
        <f>IF($D16="","",IFERROR(COUNTIF(INDIRECT("'"&amp;$D16&amp;"'!$AT$7:$AT$500"),"Pass"),0))</f>
        <v/>
      </c>
      <c r="H16" s="96">
        <f>IF($D16="","",IFERROR(COUNTIF(INDIRECT("'"&amp;$D16&amp;"'!$AT$7:$AT$500"),"Fail"),0))</f>
        <v/>
      </c>
      <c r="I16" s="96">
        <f>IF($D16="","",IFERROR(COUNTIF(INDIRECT("'"&amp;$D16&amp;"'!$AT$7:$AT$500"),"Block"),0))</f>
        <v/>
      </c>
      <c r="J16" s="96">
        <f>IF($D16="","",IFERROR(COUNTIF(INDIRECT("'"&amp;$D16&amp;"'!$AT$7:$AT$500"),"N/A"),0))</f>
        <v/>
      </c>
      <c r="K16" s="96">
        <f>IF($D16="","",MAX(0,$F16-$G16-$H16-$I16-$J16))</f>
        <v/>
      </c>
      <c r="L16" s="96">
        <f>IF($D16="","",$G16+$H16+$I16+$J16)</f>
        <v/>
      </c>
      <c r="M16" s="99">
        <f>IF($D16="","",IFERROR($L16/$F16,0))</f>
        <v/>
      </c>
      <c r="N16" s="99">
        <f>IF($D16="","",IFERROR($G16/$L16,0))</f>
        <v/>
      </c>
      <c r="O16" s="96">
        <f>IF($D16="","",IFERROR(COUNTIF(INDIRECT("'"&amp;$D16&amp;"'!$E$7:$E$500"),"High"),0))</f>
        <v/>
      </c>
      <c r="P16" s="96">
        <f>IF($D16="","",IFERROR(COUNTIF(INDIRECT("'"&amp;$D16&amp;"'!$E$7:$E$500"),"Medium"),0))</f>
        <v/>
      </c>
      <c r="Q16" s="96">
        <f>IF($D16="","",IFERROR(COUNTIF(INDIRECT("'"&amp;$D16&amp;"'!$E$7:$E$500"),"Low"),0))</f>
        <v/>
      </c>
      <c r="R16" s="96">
        <f>IF($D16="","",IFERROR(COUNTIF(INDIRECT("'"&amp;$D16&amp;"'!$D$7:$D$500"),"Functional"),0))</f>
        <v/>
      </c>
      <c r="S16" s="96">
        <f>IF($D16="","",IFERROR(COUNTIF(INDIRECT("'"&amp;$D16&amp;"'!$D$7:$D$500"),"UI"),0))</f>
        <v/>
      </c>
      <c r="T16" s="96">
        <f>IF($D16="","",IFERROR(COUNTIF(INDIRECT("'"&amp;$D16&amp;"'!$D$7:$D$500"),"Integration"),0))</f>
        <v/>
      </c>
      <c r="U16" s="96">
        <f>IF($D16="","",IFERROR(COUNTIF(INDIRECT("'"&amp;$D16&amp;"'!$D$7:$D$500"),"Database Test Case"),0))</f>
        <v/>
      </c>
      <c r="V16" s="96">
        <f>IF($D16="","",IFERROR(COUNTIF(INDIRECT("'"&amp;$D16&amp;"'!$J$7:$J$500"),"AI"),0))</f>
        <v/>
      </c>
      <c r="W16" s="96">
        <f>IF($D16="","",IFERROR(COUNTIF(INDIRECT("'"&amp;$D16&amp;"'!$J$7:$J$500"),"QC"),0))</f>
        <v/>
      </c>
      <c r="X16" s="96">
        <f>IF($D16="","",IFERROR(COUNTIF(INDIRECT("'"&amp;$D16&amp;"'!$L$7:$L$500"),"Yes"),0))</f>
        <v/>
      </c>
      <c r="Y16" s="96">
        <f>IF($D16="","",IFERROR(COUNTIF(INDIRECT("'"&amp;$D16&amp;"'!$AR$7:$AR$500"),"Yes"),0))</f>
        <v/>
      </c>
      <c r="Z16" s="96">
        <f>IF($D16="","",IFERROR(COUNTIF(INDIRECT("'"&amp;$D16&amp;"'!$AS$7:$AS$500"),"Pass"),0))</f>
        <v/>
      </c>
      <c r="AA16" s="96">
        <f>IF($D16="","",IFERROR(COUNTIF(INDIRECT("'"&amp;$D16&amp;"'!$K$7:$K$500"),"Reviewed"),0))</f>
        <v/>
      </c>
      <c r="AB16" s="107">
        <f>IF($D16="","",IFERROR(COUNTIFS(INDIRECT("'"&amp;$D16&amp;"'!$E$7:$E$500"),"High",INDIRECT("'"&amp;$D16&amp;"'!$AT$7:$AT$500"),"?*"),0))</f>
        <v/>
      </c>
      <c r="AC16" s="107">
        <f>IF($D16="","",IFERROR(COUNTIFS(INDIRECT("'"&amp;$D16&amp;"'!$E$7:$E$500"),"Medium",INDIRECT("'"&amp;$D16&amp;"'!$AT$7:$AT$500"),"?*"),0))</f>
        <v/>
      </c>
      <c r="AD16" s="107">
        <f>IF($D16="","",IFERROR(COUNTIFS(INDIRECT("'"&amp;$D16&amp;"'!$E$7:$E$500"),"Low",INDIRECT("'"&amp;$D16&amp;"'!$AT$7:$AT$500"),"?*"),0))</f>
        <v/>
      </c>
      <c r="AE16" s="108">
        <f>IF($D16="","",IFERROR(COUNTIF(INDIRECT("'"&amp;$D16&amp;"'!$P$7:$P$500"),"?*"),0))</f>
        <v/>
      </c>
      <c r="AF16" s="108">
        <f>IF($D16="","",IFERROR(COUNTIF(INDIRECT("'"&amp;$D16&amp;"'!$P$7:$P$500"),"Pass"),0))</f>
        <v/>
      </c>
      <c r="AG16" s="108">
        <f>IF($D16="","",IFERROR(COUNTIF(INDIRECT("'"&amp;$D16&amp;"'!$P$7:$P$500"),"Fail"),0))</f>
        <v/>
      </c>
      <c r="AH16" s="108">
        <f>IF($D16="","",IFERROR(COUNTIF(INDIRECT("'"&amp;$D16&amp;"'!$P$7:$P$500"),"Block"),0))</f>
        <v/>
      </c>
      <c r="AI16" s="108">
        <f>IF($D16="","",IFERROR(COUNTIF(INDIRECT("'"&amp;$D16&amp;"'!$P$7:$P$500"),"N/A"),0))</f>
        <v/>
      </c>
      <c r="AJ16" s="108">
        <f>IF($D16="","",IFERROR(COUNTIF(INDIRECT("'"&amp;$D16&amp;"'!$V$7:$V$500"),"?*"),0))</f>
        <v/>
      </c>
      <c r="AK16" s="108">
        <f>IF($D16="","",IFERROR(COUNTIF(INDIRECT("'"&amp;$D16&amp;"'!$V$7:$V$500"),"Pass"),0))</f>
        <v/>
      </c>
      <c r="AL16" s="108">
        <f>IF($D16="","",IFERROR(COUNTIF(INDIRECT("'"&amp;$D16&amp;"'!$V$7:$V$500"),"Fail"),0))</f>
        <v/>
      </c>
      <c r="AM16" s="108">
        <f>IF($D16="","",IFERROR(COUNTIF(INDIRECT("'"&amp;$D16&amp;"'!$V$7:$V$500"),"Block"),0))</f>
        <v/>
      </c>
      <c r="AN16" s="108">
        <f>IF($D16="","",IFERROR(COUNTIF(INDIRECT("'"&amp;$D16&amp;"'!$V$7:$V$500"),"N/A"),0))</f>
        <v/>
      </c>
      <c r="AO16" s="108">
        <f>IF($D16="","",IFERROR(COUNTIF(INDIRECT("'"&amp;$D16&amp;"'!$AB$7:$AB$500"),"?*"),0))</f>
        <v/>
      </c>
      <c r="AP16" s="108">
        <f>IF($D16="","",IFERROR(COUNTIF(INDIRECT("'"&amp;$D16&amp;"'!$AB$7:$AB$500"),"Pass"),0))</f>
        <v/>
      </c>
      <c r="AQ16" s="108">
        <f>IF($D16="","",IFERROR(COUNTIF(INDIRECT("'"&amp;$D16&amp;"'!$AB$7:$AB$500"),"Fail"),0))</f>
        <v/>
      </c>
      <c r="AR16" s="108">
        <f>IF($D16="","",IFERROR(COUNTIF(INDIRECT("'"&amp;$D16&amp;"'!$AB$7:$AB$500"),"Block"),0))</f>
        <v/>
      </c>
      <c r="AS16" s="108">
        <f>IF($D16="","",IFERROR(COUNTIF(INDIRECT("'"&amp;$D16&amp;"'!$AB$7:$AB$500"),"N/A"),0))</f>
        <v/>
      </c>
      <c r="AT16" s="108">
        <f>IF($D16="","",IFERROR(COUNTIF(INDIRECT("'"&amp;$D16&amp;"'!$AH$7:$AH$500"),"?*"),0))</f>
        <v/>
      </c>
      <c r="AU16" s="108">
        <f>IF($D16="","",IFERROR(COUNTIF(INDIRECT("'"&amp;$D16&amp;"'!$AH$7:$AH$500"),"Pass"),0))</f>
        <v/>
      </c>
      <c r="AV16" s="108">
        <f>IF($D16="","",IFERROR(COUNTIF(INDIRECT("'"&amp;$D16&amp;"'!$AH$7:$AH$500"),"Fail"),0))</f>
        <v/>
      </c>
      <c r="AW16" s="108">
        <f>IF($D16="","",IFERROR(COUNTIF(INDIRECT("'"&amp;$D16&amp;"'!$AH$7:$AH$500"),"Block"),0))</f>
        <v/>
      </c>
      <c r="AX16" s="108">
        <f>IF($D16="","",IFERROR(COUNTIF(INDIRECT("'"&amp;$D16&amp;"'!$AH$7:$AH$500"),"N/A"),0))</f>
        <v/>
      </c>
      <c r="AY16" s="108">
        <f>IF($D16="","",IFERROR(COUNTIF(INDIRECT("'"&amp;$D16&amp;"'!$AN$7:$AN$500"),"?*"),0))</f>
        <v/>
      </c>
      <c r="AZ16" s="108">
        <f>IF($D16="","",IFERROR(COUNTIF(INDIRECT("'"&amp;$D16&amp;"'!$AN$7:$AN$500"),"Pass"),0))</f>
        <v/>
      </c>
      <c r="BA16" s="108">
        <f>IF($D16="","",IFERROR(COUNTIF(INDIRECT("'"&amp;$D16&amp;"'!$AN$7:$AN$500"),"Fail"),0))</f>
        <v/>
      </c>
      <c r="BB16" s="108">
        <f>IF($D16="","",IFERROR(COUNTIF(INDIRECT("'"&amp;$D16&amp;"'!$AN$7:$AN$500"),"Block"),0))</f>
        <v/>
      </c>
      <c r="BC16" s="109">
        <f>IF($D16="","",IFERROR(COUNTIF(INDIRECT("'"&amp;$D16&amp;"'!$AN$7:$AN$500"),"N/A"),0))</f>
        <v/>
      </c>
    </row>
    <row r="17">
      <c r="A17" s="1" t="n"/>
      <c r="B17" s="96">
        <f>IF($D17="","",ROW()-3)</f>
        <v/>
      </c>
      <c r="C17" s="97" t="n"/>
      <c r="D17" s="97" t="n"/>
      <c r="E17" s="98" t="n"/>
      <c r="F17" s="96">
        <f>IF($D17="","",IFERROR(COUNTIF(INDIRECT("'"&amp;$D17&amp;"'!$A$7:$A$500"),"?*"),0))</f>
        <v/>
      </c>
      <c r="G17" s="96">
        <f>IF($D17="","",IFERROR(COUNTIF(INDIRECT("'"&amp;$D17&amp;"'!$AT$7:$AT$500"),"Pass"),0))</f>
        <v/>
      </c>
      <c r="H17" s="96">
        <f>IF($D17="","",IFERROR(COUNTIF(INDIRECT("'"&amp;$D17&amp;"'!$AT$7:$AT$500"),"Fail"),0))</f>
        <v/>
      </c>
      <c r="I17" s="96">
        <f>IF($D17="","",IFERROR(COUNTIF(INDIRECT("'"&amp;$D17&amp;"'!$AT$7:$AT$500"),"Block"),0))</f>
        <v/>
      </c>
      <c r="J17" s="96">
        <f>IF($D17="","",IFERROR(COUNTIF(INDIRECT("'"&amp;$D17&amp;"'!$AT$7:$AT$500"),"N/A"),0))</f>
        <v/>
      </c>
      <c r="K17" s="96">
        <f>IF($D17="","",MAX(0,$F17-$G17-$H17-$I17-$J17))</f>
        <v/>
      </c>
      <c r="L17" s="96">
        <f>IF($D17="","",$G17+$H17+$I17+$J17)</f>
        <v/>
      </c>
      <c r="M17" s="99">
        <f>IF($D17="","",IFERROR($L17/$F17,0))</f>
        <v/>
      </c>
      <c r="N17" s="99">
        <f>IF($D17="","",IFERROR($G17/$L17,0))</f>
        <v/>
      </c>
      <c r="O17" s="96">
        <f>IF($D17="","",IFERROR(COUNTIF(INDIRECT("'"&amp;$D17&amp;"'!$E$7:$E$500"),"High"),0))</f>
        <v/>
      </c>
      <c r="P17" s="96">
        <f>IF($D17="","",IFERROR(COUNTIF(INDIRECT("'"&amp;$D17&amp;"'!$E$7:$E$500"),"Medium"),0))</f>
        <v/>
      </c>
      <c r="Q17" s="96">
        <f>IF($D17="","",IFERROR(COUNTIF(INDIRECT("'"&amp;$D17&amp;"'!$E$7:$E$500"),"Low"),0))</f>
        <v/>
      </c>
      <c r="R17" s="96">
        <f>IF($D17="","",IFERROR(COUNTIF(INDIRECT("'"&amp;$D17&amp;"'!$D$7:$D$500"),"Functional"),0))</f>
        <v/>
      </c>
      <c r="S17" s="96">
        <f>IF($D17="","",IFERROR(COUNTIF(INDIRECT("'"&amp;$D17&amp;"'!$D$7:$D$500"),"UI"),0))</f>
        <v/>
      </c>
      <c r="T17" s="96">
        <f>IF($D17="","",IFERROR(COUNTIF(INDIRECT("'"&amp;$D17&amp;"'!$D$7:$D$500"),"Integration"),0))</f>
        <v/>
      </c>
      <c r="U17" s="96">
        <f>IF($D17="","",IFERROR(COUNTIF(INDIRECT("'"&amp;$D17&amp;"'!$D$7:$D$500"),"Database Test Case"),0))</f>
        <v/>
      </c>
      <c r="V17" s="96">
        <f>IF($D17="","",IFERROR(COUNTIF(INDIRECT("'"&amp;$D17&amp;"'!$J$7:$J$500"),"AI"),0))</f>
        <v/>
      </c>
      <c r="W17" s="96">
        <f>IF($D17="","",IFERROR(COUNTIF(INDIRECT("'"&amp;$D17&amp;"'!$J$7:$J$500"),"QC"),0))</f>
        <v/>
      </c>
      <c r="X17" s="96">
        <f>IF($D17="","",IFERROR(COUNTIF(INDIRECT("'"&amp;$D17&amp;"'!$L$7:$L$500"),"Yes"),0))</f>
        <v/>
      </c>
      <c r="Y17" s="96">
        <f>IF($D17="","",IFERROR(COUNTIF(INDIRECT("'"&amp;$D17&amp;"'!$AR$7:$AR$500"),"Yes"),0))</f>
        <v/>
      </c>
      <c r="Z17" s="96">
        <f>IF($D17="","",IFERROR(COUNTIF(INDIRECT("'"&amp;$D17&amp;"'!$AS$7:$AS$500"),"Pass"),0))</f>
        <v/>
      </c>
      <c r="AA17" s="96">
        <f>IF($D17="","",IFERROR(COUNTIF(INDIRECT("'"&amp;$D17&amp;"'!$K$7:$K$500"),"Reviewed"),0))</f>
        <v/>
      </c>
      <c r="AB17" s="107">
        <f>IF($D17="","",IFERROR(COUNTIFS(INDIRECT("'"&amp;$D17&amp;"'!$E$7:$E$500"),"High",INDIRECT("'"&amp;$D17&amp;"'!$AT$7:$AT$500"),"?*"),0))</f>
        <v/>
      </c>
      <c r="AC17" s="107">
        <f>IF($D17="","",IFERROR(COUNTIFS(INDIRECT("'"&amp;$D17&amp;"'!$E$7:$E$500"),"Medium",INDIRECT("'"&amp;$D17&amp;"'!$AT$7:$AT$500"),"?*"),0))</f>
        <v/>
      </c>
      <c r="AD17" s="107">
        <f>IF($D17="","",IFERROR(COUNTIFS(INDIRECT("'"&amp;$D17&amp;"'!$E$7:$E$500"),"Low",INDIRECT("'"&amp;$D17&amp;"'!$AT$7:$AT$500"),"?*"),0))</f>
        <v/>
      </c>
      <c r="AE17" s="108">
        <f>IF($D17="","",IFERROR(COUNTIF(INDIRECT("'"&amp;$D17&amp;"'!$P$7:$P$500"),"?*"),0))</f>
        <v/>
      </c>
      <c r="AF17" s="108">
        <f>IF($D17="","",IFERROR(COUNTIF(INDIRECT("'"&amp;$D17&amp;"'!$P$7:$P$500"),"Pass"),0))</f>
        <v/>
      </c>
      <c r="AG17" s="108">
        <f>IF($D17="","",IFERROR(COUNTIF(INDIRECT("'"&amp;$D17&amp;"'!$P$7:$P$500"),"Fail"),0))</f>
        <v/>
      </c>
      <c r="AH17" s="108">
        <f>IF($D17="","",IFERROR(COUNTIF(INDIRECT("'"&amp;$D17&amp;"'!$P$7:$P$500"),"Block"),0))</f>
        <v/>
      </c>
      <c r="AI17" s="108">
        <f>IF($D17="","",IFERROR(COUNTIF(INDIRECT("'"&amp;$D17&amp;"'!$P$7:$P$500"),"N/A"),0))</f>
        <v/>
      </c>
      <c r="AJ17" s="108">
        <f>IF($D17="","",IFERROR(COUNTIF(INDIRECT("'"&amp;$D17&amp;"'!$V$7:$V$500"),"?*"),0))</f>
        <v/>
      </c>
      <c r="AK17" s="108">
        <f>IF($D17="","",IFERROR(COUNTIF(INDIRECT("'"&amp;$D17&amp;"'!$V$7:$V$500"),"Pass"),0))</f>
        <v/>
      </c>
      <c r="AL17" s="108">
        <f>IF($D17="","",IFERROR(COUNTIF(INDIRECT("'"&amp;$D17&amp;"'!$V$7:$V$500"),"Fail"),0))</f>
        <v/>
      </c>
      <c r="AM17" s="108">
        <f>IF($D17="","",IFERROR(COUNTIF(INDIRECT("'"&amp;$D17&amp;"'!$V$7:$V$500"),"Block"),0))</f>
        <v/>
      </c>
      <c r="AN17" s="108">
        <f>IF($D17="","",IFERROR(COUNTIF(INDIRECT("'"&amp;$D17&amp;"'!$V$7:$V$500"),"N/A"),0))</f>
        <v/>
      </c>
      <c r="AO17" s="108">
        <f>IF($D17="","",IFERROR(COUNTIF(INDIRECT("'"&amp;$D17&amp;"'!$AB$7:$AB$500"),"?*"),0))</f>
        <v/>
      </c>
      <c r="AP17" s="108">
        <f>IF($D17="","",IFERROR(COUNTIF(INDIRECT("'"&amp;$D17&amp;"'!$AB$7:$AB$500"),"Pass"),0))</f>
        <v/>
      </c>
      <c r="AQ17" s="108">
        <f>IF($D17="","",IFERROR(COUNTIF(INDIRECT("'"&amp;$D17&amp;"'!$AB$7:$AB$500"),"Fail"),0))</f>
        <v/>
      </c>
      <c r="AR17" s="108">
        <f>IF($D17="","",IFERROR(COUNTIF(INDIRECT("'"&amp;$D17&amp;"'!$AB$7:$AB$500"),"Block"),0))</f>
        <v/>
      </c>
      <c r="AS17" s="108">
        <f>IF($D17="","",IFERROR(COUNTIF(INDIRECT("'"&amp;$D17&amp;"'!$AB$7:$AB$500"),"N/A"),0))</f>
        <v/>
      </c>
      <c r="AT17" s="108">
        <f>IF($D17="","",IFERROR(COUNTIF(INDIRECT("'"&amp;$D17&amp;"'!$AH$7:$AH$500"),"?*"),0))</f>
        <v/>
      </c>
      <c r="AU17" s="108">
        <f>IF($D17="","",IFERROR(COUNTIF(INDIRECT("'"&amp;$D17&amp;"'!$AH$7:$AH$500"),"Pass"),0))</f>
        <v/>
      </c>
      <c r="AV17" s="108">
        <f>IF($D17="","",IFERROR(COUNTIF(INDIRECT("'"&amp;$D17&amp;"'!$AH$7:$AH$500"),"Fail"),0))</f>
        <v/>
      </c>
      <c r="AW17" s="108">
        <f>IF($D17="","",IFERROR(COUNTIF(INDIRECT("'"&amp;$D17&amp;"'!$AH$7:$AH$500"),"Block"),0))</f>
        <v/>
      </c>
      <c r="AX17" s="108">
        <f>IF($D17="","",IFERROR(COUNTIF(INDIRECT("'"&amp;$D17&amp;"'!$AH$7:$AH$500"),"N/A"),0))</f>
        <v/>
      </c>
      <c r="AY17" s="108">
        <f>IF($D17="","",IFERROR(COUNTIF(INDIRECT("'"&amp;$D17&amp;"'!$AN$7:$AN$500"),"?*"),0))</f>
        <v/>
      </c>
      <c r="AZ17" s="108">
        <f>IF($D17="","",IFERROR(COUNTIF(INDIRECT("'"&amp;$D17&amp;"'!$AN$7:$AN$500"),"Pass"),0))</f>
        <v/>
      </c>
      <c r="BA17" s="108">
        <f>IF($D17="","",IFERROR(COUNTIF(INDIRECT("'"&amp;$D17&amp;"'!$AN$7:$AN$500"),"Fail"),0))</f>
        <v/>
      </c>
      <c r="BB17" s="108">
        <f>IF($D17="","",IFERROR(COUNTIF(INDIRECT("'"&amp;$D17&amp;"'!$AN$7:$AN$500"),"Block"),0))</f>
        <v/>
      </c>
      <c r="BC17" s="109">
        <f>IF($D17="","",IFERROR(COUNTIF(INDIRECT("'"&amp;$D17&amp;"'!$AN$7:$AN$500"),"N/A"),0))</f>
        <v/>
      </c>
    </row>
    <row r="18">
      <c r="A18" s="1" t="n"/>
      <c r="B18" s="96">
        <f>IF($D18="","",ROW()-3)</f>
        <v/>
      </c>
      <c r="C18" s="97" t="n"/>
      <c r="D18" s="97" t="n"/>
      <c r="E18" s="98" t="n"/>
      <c r="F18" s="96">
        <f>IF($D18="","",IFERROR(COUNTIF(INDIRECT("'"&amp;$D18&amp;"'!$A$7:$A$500"),"?*"),0))</f>
        <v/>
      </c>
      <c r="G18" s="96">
        <f>IF($D18="","",IFERROR(COUNTIF(INDIRECT("'"&amp;$D18&amp;"'!$AT$7:$AT$500"),"Pass"),0))</f>
        <v/>
      </c>
      <c r="H18" s="96">
        <f>IF($D18="","",IFERROR(COUNTIF(INDIRECT("'"&amp;$D18&amp;"'!$AT$7:$AT$500"),"Fail"),0))</f>
        <v/>
      </c>
      <c r="I18" s="96">
        <f>IF($D18="","",IFERROR(COUNTIF(INDIRECT("'"&amp;$D18&amp;"'!$AT$7:$AT$500"),"Block"),0))</f>
        <v/>
      </c>
      <c r="J18" s="96">
        <f>IF($D18="","",IFERROR(COUNTIF(INDIRECT("'"&amp;$D18&amp;"'!$AT$7:$AT$500"),"N/A"),0))</f>
        <v/>
      </c>
      <c r="K18" s="96">
        <f>IF($D18="","",MAX(0,$F18-$G18-$H18-$I18-$J18))</f>
        <v/>
      </c>
      <c r="L18" s="96">
        <f>IF($D18="","",$G18+$H18+$I18+$J18)</f>
        <v/>
      </c>
      <c r="M18" s="99">
        <f>IF($D18="","",IFERROR($L18/$F18,0))</f>
        <v/>
      </c>
      <c r="N18" s="99">
        <f>IF($D18="","",IFERROR($G18/$L18,0))</f>
        <v/>
      </c>
      <c r="O18" s="96">
        <f>IF($D18="","",IFERROR(COUNTIF(INDIRECT("'"&amp;$D18&amp;"'!$E$7:$E$500"),"High"),0))</f>
        <v/>
      </c>
      <c r="P18" s="96">
        <f>IF($D18="","",IFERROR(COUNTIF(INDIRECT("'"&amp;$D18&amp;"'!$E$7:$E$500"),"Medium"),0))</f>
        <v/>
      </c>
      <c r="Q18" s="96">
        <f>IF($D18="","",IFERROR(COUNTIF(INDIRECT("'"&amp;$D18&amp;"'!$E$7:$E$500"),"Low"),0))</f>
        <v/>
      </c>
      <c r="R18" s="96">
        <f>IF($D18="","",IFERROR(COUNTIF(INDIRECT("'"&amp;$D18&amp;"'!$D$7:$D$500"),"Functional"),0))</f>
        <v/>
      </c>
      <c r="S18" s="96">
        <f>IF($D18="","",IFERROR(COUNTIF(INDIRECT("'"&amp;$D18&amp;"'!$D$7:$D$500"),"UI"),0))</f>
        <v/>
      </c>
      <c r="T18" s="96">
        <f>IF($D18="","",IFERROR(COUNTIF(INDIRECT("'"&amp;$D18&amp;"'!$D$7:$D$500"),"Integration"),0))</f>
        <v/>
      </c>
      <c r="U18" s="96">
        <f>IF($D18="","",IFERROR(COUNTIF(INDIRECT("'"&amp;$D18&amp;"'!$D$7:$D$500"),"Database Test Case"),0))</f>
        <v/>
      </c>
      <c r="V18" s="96">
        <f>IF($D18="","",IFERROR(COUNTIF(INDIRECT("'"&amp;$D18&amp;"'!$J$7:$J$500"),"AI"),0))</f>
        <v/>
      </c>
      <c r="W18" s="96">
        <f>IF($D18="","",IFERROR(COUNTIF(INDIRECT("'"&amp;$D18&amp;"'!$J$7:$J$500"),"QC"),0))</f>
        <v/>
      </c>
      <c r="X18" s="96">
        <f>IF($D18="","",IFERROR(COUNTIF(INDIRECT("'"&amp;$D18&amp;"'!$L$7:$L$500"),"Yes"),0))</f>
        <v/>
      </c>
      <c r="Y18" s="96">
        <f>IF($D18="","",IFERROR(COUNTIF(INDIRECT("'"&amp;$D18&amp;"'!$AR$7:$AR$500"),"Yes"),0))</f>
        <v/>
      </c>
      <c r="Z18" s="96">
        <f>IF($D18="","",IFERROR(COUNTIF(INDIRECT("'"&amp;$D18&amp;"'!$AS$7:$AS$500"),"Pass"),0))</f>
        <v/>
      </c>
      <c r="AA18" s="96">
        <f>IF($D18="","",IFERROR(COUNTIF(INDIRECT("'"&amp;$D18&amp;"'!$K$7:$K$500"),"Reviewed"),0))</f>
        <v/>
      </c>
      <c r="AB18" s="107">
        <f>IF($D18="","",IFERROR(COUNTIFS(INDIRECT("'"&amp;$D18&amp;"'!$E$7:$E$500"),"High",INDIRECT("'"&amp;$D18&amp;"'!$AT$7:$AT$500"),"?*"),0))</f>
        <v/>
      </c>
      <c r="AC18" s="107">
        <f>IF($D18="","",IFERROR(COUNTIFS(INDIRECT("'"&amp;$D18&amp;"'!$E$7:$E$500"),"Medium",INDIRECT("'"&amp;$D18&amp;"'!$AT$7:$AT$500"),"?*"),0))</f>
        <v/>
      </c>
      <c r="AD18" s="107">
        <f>IF($D18="","",IFERROR(COUNTIFS(INDIRECT("'"&amp;$D18&amp;"'!$E$7:$E$500"),"Low",INDIRECT("'"&amp;$D18&amp;"'!$AT$7:$AT$500"),"?*"),0))</f>
        <v/>
      </c>
      <c r="AE18" s="108">
        <f>IF($D18="","",IFERROR(COUNTIF(INDIRECT("'"&amp;$D18&amp;"'!$P$7:$P$500"),"?*"),0))</f>
        <v/>
      </c>
      <c r="AF18" s="108">
        <f>IF($D18="","",IFERROR(COUNTIF(INDIRECT("'"&amp;$D18&amp;"'!$P$7:$P$500"),"Pass"),0))</f>
        <v/>
      </c>
      <c r="AG18" s="108">
        <f>IF($D18="","",IFERROR(COUNTIF(INDIRECT("'"&amp;$D18&amp;"'!$P$7:$P$500"),"Fail"),0))</f>
        <v/>
      </c>
      <c r="AH18" s="108">
        <f>IF($D18="","",IFERROR(COUNTIF(INDIRECT("'"&amp;$D18&amp;"'!$P$7:$P$500"),"Block"),0))</f>
        <v/>
      </c>
      <c r="AI18" s="108">
        <f>IF($D18="","",IFERROR(COUNTIF(INDIRECT("'"&amp;$D18&amp;"'!$P$7:$P$500"),"N/A"),0))</f>
        <v/>
      </c>
      <c r="AJ18" s="108">
        <f>IF($D18="","",IFERROR(COUNTIF(INDIRECT("'"&amp;$D18&amp;"'!$V$7:$V$500"),"?*"),0))</f>
        <v/>
      </c>
      <c r="AK18" s="108">
        <f>IF($D18="","",IFERROR(COUNTIF(INDIRECT("'"&amp;$D18&amp;"'!$V$7:$V$500"),"Pass"),0))</f>
        <v/>
      </c>
      <c r="AL18" s="108">
        <f>IF($D18="","",IFERROR(COUNTIF(INDIRECT("'"&amp;$D18&amp;"'!$V$7:$V$500"),"Fail"),0))</f>
        <v/>
      </c>
      <c r="AM18" s="108">
        <f>IF($D18="","",IFERROR(COUNTIF(INDIRECT("'"&amp;$D18&amp;"'!$V$7:$V$500"),"Block"),0))</f>
        <v/>
      </c>
      <c r="AN18" s="108">
        <f>IF($D18="","",IFERROR(COUNTIF(INDIRECT("'"&amp;$D18&amp;"'!$V$7:$V$500"),"N/A"),0))</f>
        <v/>
      </c>
      <c r="AO18" s="108">
        <f>IF($D18="","",IFERROR(COUNTIF(INDIRECT("'"&amp;$D18&amp;"'!$AB$7:$AB$500"),"?*"),0))</f>
        <v/>
      </c>
      <c r="AP18" s="108">
        <f>IF($D18="","",IFERROR(COUNTIF(INDIRECT("'"&amp;$D18&amp;"'!$AB$7:$AB$500"),"Pass"),0))</f>
        <v/>
      </c>
      <c r="AQ18" s="108">
        <f>IF($D18="","",IFERROR(COUNTIF(INDIRECT("'"&amp;$D18&amp;"'!$AB$7:$AB$500"),"Fail"),0))</f>
        <v/>
      </c>
      <c r="AR18" s="108">
        <f>IF($D18="","",IFERROR(COUNTIF(INDIRECT("'"&amp;$D18&amp;"'!$AB$7:$AB$500"),"Block"),0))</f>
        <v/>
      </c>
      <c r="AS18" s="108">
        <f>IF($D18="","",IFERROR(COUNTIF(INDIRECT("'"&amp;$D18&amp;"'!$AB$7:$AB$500"),"N/A"),0))</f>
        <v/>
      </c>
      <c r="AT18" s="108">
        <f>IF($D18="","",IFERROR(COUNTIF(INDIRECT("'"&amp;$D18&amp;"'!$AH$7:$AH$500"),"?*"),0))</f>
        <v/>
      </c>
      <c r="AU18" s="108">
        <f>IF($D18="","",IFERROR(COUNTIF(INDIRECT("'"&amp;$D18&amp;"'!$AH$7:$AH$500"),"Pass"),0))</f>
        <v/>
      </c>
      <c r="AV18" s="108">
        <f>IF($D18="","",IFERROR(COUNTIF(INDIRECT("'"&amp;$D18&amp;"'!$AH$7:$AH$500"),"Fail"),0))</f>
        <v/>
      </c>
      <c r="AW18" s="108">
        <f>IF($D18="","",IFERROR(COUNTIF(INDIRECT("'"&amp;$D18&amp;"'!$AH$7:$AH$500"),"Block"),0))</f>
        <v/>
      </c>
      <c r="AX18" s="108">
        <f>IF($D18="","",IFERROR(COUNTIF(INDIRECT("'"&amp;$D18&amp;"'!$AH$7:$AH$500"),"N/A"),0))</f>
        <v/>
      </c>
      <c r="AY18" s="108">
        <f>IF($D18="","",IFERROR(COUNTIF(INDIRECT("'"&amp;$D18&amp;"'!$AN$7:$AN$500"),"?*"),0))</f>
        <v/>
      </c>
      <c r="AZ18" s="108">
        <f>IF($D18="","",IFERROR(COUNTIF(INDIRECT("'"&amp;$D18&amp;"'!$AN$7:$AN$500"),"Pass"),0))</f>
        <v/>
      </c>
      <c r="BA18" s="108">
        <f>IF($D18="","",IFERROR(COUNTIF(INDIRECT("'"&amp;$D18&amp;"'!$AN$7:$AN$500"),"Fail"),0))</f>
        <v/>
      </c>
      <c r="BB18" s="108">
        <f>IF($D18="","",IFERROR(COUNTIF(INDIRECT("'"&amp;$D18&amp;"'!$AN$7:$AN$500"),"Block"),0))</f>
        <v/>
      </c>
      <c r="BC18" s="109">
        <f>IF($D18="","",IFERROR(COUNTIF(INDIRECT("'"&amp;$D18&amp;"'!$AN$7:$AN$500"),"N/A"),0))</f>
        <v/>
      </c>
    </row>
    <row r="19">
      <c r="A19" s="1" t="n"/>
      <c r="B19" s="96">
        <f>IF($D19="","",ROW()-3)</f>
        <v/>
      </c>
      <c r="C19" s="97" t="n"/>
      <c r="D19" s="97" t="n"/>
      <c r="E19" s="98" t="n"/>
      <c r="F19" s="96">
        <f>IF($D19="","",IFERROR(COUNTIF(INDIRECT("'"&amp;$D19&amp;"'!$A$7:$A$500"),"?*"),0))</f>
        <v/>
      </c>
      <c r="G19" s="96">
        <f>IF($D19="","",IFERROR(COUNTIF(INDIRECT("'"&amp;$D19&amp;"'!$AT$7:$AT$500"),"Pass"),0))</f>
        <v/>
      </c>
      <c r="H19" s="96">
        <f>IF($D19="","",IFERROR(COUNTIF(INDIRECT("'"&amp;$D19&amp;"'!$AT$7:$AT$500"),"Fail"),0))</f>
        <v/>
      </c>
      <c r="I19" s="96">
        <f>IF($D19="","",IFERROR(COUNTIF(INDIRECT("'"&amp;$D19&amp;"'!$AT$7:$AT$500"),"Block"),0))</f>
        <v/>
      </c>
      <c r="J19" s="96">
        <f>IF($D19="","",IFERROR(COUNTIF(INDIRECT("'"&amp;$D19&amp;"'!$AT$7:$AT$500"),"N/A"),0))</f>
        <v/>
      </c>
      <c r="K19" s="96">
        <f>IF($D19="","",MAX(0,$F19-$G19-$H19-$I19-$J19))</f>
        <v/>
      </c>
      <c r="L19" s="96">
        <f>IF($D19="","",$G19+$H19+$I19+$J19)</f>
        <v/>
      </c>
      <c r="M19" s="99">
        <f>IF($D19="","",IFERROR($L19/$F19,0))</f>
        <v/>
      </c>
      <c r="N19" s="99">
        <f>IF($D19="","",IFERROR($G19/$L19,0))</f>
        <v/>
      </c>
      <c r="O19" s="96">
        <f>IF($D19="","",IFERROR(COUNTIF(INDIRECT("'"&amp;$D19&amp;"'!$E$7:$E$500"),"High"),0))</f>
        <v/>
      </c>
      <c r="P19" s="96">
        <f>IF($D19="","",IFERROR(COUNTIF(INDIRECT("'"&amp;$D19&amp;"'!$E$7:$E$500"),"Medium"),0))</f>
        <v/>
      </c>
      <c r="Q19" s="96">
        <f>IF($D19="","",IFERROR(COUNTIF(INDIRECT("'"&amp;$D19&amp;"'!$E$7:$E$500"),"Low"),0))</f>
        <v/>
      </c>
      <c r="R19" s="96">
        <f>IF($D19="","",IFERROR(COUNTIF(INDIRECT("'"&amp;$D19&amp;"'!$D$7:$D$500"),"Functional"),0))</f>
        <v/>
      </c>
      <c r="S19" s="96">
        <f>IF($D19="","",IFERROR(COUNTIF(INDIRECT("'"&amp;$D19&amp;"'!$D$7:$D$500"),"UI"),0))</f>
        <v/>
      </c>
      <c r="T19" s="96">
        <f>IF($D19="","",IFERROR(COUNTIF(INDIRECT("'"&amp;$D19&amp;"'!$D$7:$D$500"),"Integration"),0))</f>
        <v/>
      </c>
      <c r="U19" s="96">
        <f>IF($D19="","",IFERROR(COUNTIF(INDIRECT("'"&amp;$D19&amp;"'!$D$7:$D$500"),"Database Test Case"),0))</f>
        <v/>
      </c>
      <c r="V19" s="96">
        <f>IF($D19="","",IFERROR(COUNTIF(INDIRECT("'"&amp;$D19&amp;"'!$J$7:$J$500"),"AI"),0))</f>
        <v/>
      </c>
      <c r="W19" s="96">
        <f>IF($D19="","",IFERROR(COUNTIF(INDIRECT("'"&amp;$D19&amp;"'!$J$7:$J$500"),"QC"),0))</f>
        <v/>
      </c>
      <c r="X19" s="96">
        <f>IF($D19="","",IFERROR(COUNTIF(INDIRECT("'"&amp;$D19&amp;"'!$L$7:$L$500"),"Yes"),0))</f>
        <v/>
      </c>
      <c r="Y19" s="96">
        <f>IF($D19="","",IFERROR(COUNTIF(INDIRECT("'"&amp;$D19&amp;"'!$AR$7:$AR$500"),"Yes"),0))</f>
        <v/>
      </c>
      <c r="Z19" s="96">
        <f>IF($D19="","",IFERROR(COUNTIF(INDIRECT("'"&amp;$D19&amp;"'!$AS$7:$AS$500"),"Pass"),0))</f>
        <v/>
      </c>
      <c r="AA19" s="96">
        <f>IF($D19="","",IFERROR(COUNTIF(INDIRECT("'"&amp;$D19&amp;"'!$K$7:$K$500"),"Reviewed"),0))</f>
        <v/>
      </c>
      <c r="AB19" s="107">
        <f>IF($D19="","",IFERROR(COUNTIFS(INDIRECT("'"&amp;$D19&amp;"'!$E$7:$E$500"),"High",INDIRECT("'"&amp;$D19&amp;"'!$AT$7:$AT$500"),"?*"),0))</f>
        <v/>
      </c>
      <c r="AC19" s="107">
        <f>IF($D19="","",IFERROR(COUNTIFS(INDIRECT("'"&amp;$D19&amp;"'!$E$7:$E$500"),"Medium",INDIRECT("'"&amp;$D19&amp;"'!$AT$7:$AT$500"),"?*"),0))</f>
        <v/>
      </c>
      <c r="AD19" s="107">
        <f>IF($D19="","",IFERROR(COUNTIFS(INDIRECT("'"&amp;$D19&amp;"'!$E$7:$E$500"),"Low",INDIRECT("'"&amp;$D19&amp;"'!$AT$7:$AT$500"),"?*"),0))</f>
        <v/>
      </c>
      <c r="AE19" s="108">
        <f>IF($D19="","",IFERROR(COUNTIF(INDIRECT("'"&amp;$D19&amp;"'!$P$7:$P$500"),"?*"),0))</f>
        <v/>
      </c>
      <c r="AF19" s="108">
        <f>IF($D19="","",IFERROR(COUNTIF(INDIRECT("'"&amp;$D19&amp;"'!$P$7:$P$500"),"Pass"),0))</f>
        <v/>
      </c>
      <c r="AG19" s="108">
        <f>IF($D19="","",IFERROR(COUNTIF(INDIRECT("'"&amp;$D19&amp;"'!$P$7:$P$500"),"Fail"),0))</f>
        <v/>
      </c>
      <c r="AH19" s="108">
        <f>IF($D19="","",IFERROR(COUNTIF(INDIRECT("'"&amp;$D19&amp;"'!$P$7:$P$500"),"Block"),0))</f>
        <v/>
      </c>
      <c r="AI19" s="108">
        <f>IF($D19="","",IFERROR(COUNTIF(INDIRECT("'"&amp;$D19&amp;"'!$P$7:$P$500"),"N/A"),0))</f>
        <v/>
      </c>
      <c r="AJ19" s="108">
        <f>IF($D19="","",IFERROR(COUNTIF(INDIRECT("'"&amp;$D19&amp;"'!$V$7:$V$500"),"?*"),0))</f>
        <v/>
      </c>
      <c r="AK19" s="108">
        <f>IF($D19="","",IFERROR(COUNTIF(INDIRECT("'"&amp;$D19&amp;"'!$V$7:$V$500"),"Pass"),0))</f>
        <v/>
      </c>
      <c r="AL19" s="108">
        <f>IF($D19="","",IFERROR(COUNTIF(INDIRECT("'"&amp;$D19&amp;"'!$V$7:$V$500"),"Fail"),0))</f>
        <v/>
      </c>
      <c r="AM19" s="108">
        <f>IF($D19="","",IFERROR(COUNTIF(INDIRECT("'"&amp;$D19&amp;"'!$V$7:$V$500"),"Block"),0))</f>
        <v/>
      </c>
      <c r="AN19" s="108">
        <f>IF($D19="","",IFERROR(COUNTIF(INDIRECT("'"&amp;$D19&amp;"'!$V$7:$V$500"),"N/A"),0))</f>
        <v/>
      </c>
      <c r="AO19" s="108">
        <f>IF($D19="","",IFERROR(COUNTIF(INDIRECT("'"&amp;$D19&amp;"'!$AB$7:$AB$500"),"?*"),0))</f>
        <v/>
      </c>
      <c r="AP19" s="108">
        <f>IF($D19="","",IFERROR(COUNTIF(INDIRECT("'"&amp;$D19&amp;"'!$AB$7:$AB$500"),"Pass"),0))</f>
        <v/>
      </c>
      <c r="AQ19" s="108">
        <f>IF($D19="","",IFERROR(COUNTIF(INDIRECT("'"&amp;$D19&amp;"'!$AB$7:$AB$500"),"Fail"),0))</f>
        <v/>
      </c>
      <c r="AR19" s="108">
        <f>IF($D19="","",IFERROR(COUNTIF(INDIRECT("'"&amp;$D19&amp;"'!$AB$7:$AB$500"),"Block"),0))</f>
        <v/>
      </c>
      <c r="AS19" s="108">
        <f>IF($D19="","",IFERROR(COUNTIF(INDIRECT("'"&amp;$D19&amp;"'!$AB$7:$AB$500"),"N/A"),0))</f>
        <v/>
      </c>
      <c r="AT19" s="108">
        <f>IF($D19="","",IFERROR(COUNTIF(INDIRECT("'"&amp;$D19&amp;"'!$AH$7:$AH$500"),"?*"),0))</f>
        <v/>
      </c>
      <c r="AU19" s="108">
        <f>IF($D19="","",IFERROR(COUNTIF(INDIRECT("'"&amp;$D19&amp;"'!$AH$7:$AH$500"),"Pass"),0))</f>
        <v/>
      </c>
      <c r="AV19" s="108">
        <f>IF($D19="","",IFERROR(COUNTIF(INDIRECT("'"&amp;$D19&amp;"'!$AH$7:$AH$500"),"Fail"),0))</f>
        <v/>
      </c>
      <c r="AW19" s="108">
        <f>IF($D19="","",IFERROR(COUNTIF(INDIRECT("'"&amp;$D19&amp;"'!$AH$7:$AH$500"),"Block"),0))</f>
        <v/>
      </c>
      <c r="AX19" s="108">
        <f>IF($D19="","",IFERROR(COUNTIF(INDIRECT("'"&amp;$D19&amp;"'!$AH$7:$AH$500"),"N/A"),0))</f>
        <v/>
      </c>
      <c r="AY19" s="108">
        <f>IF($D19="","",IFERROR(COUNTIF(INDIRECT("'"&amp;$D19&amp;"'!$AN$7:$AN$500"),"?*"),0))</f>
        <v/>
      </c>
      <c r="AZ19" s="108">
        <f>IF($D19="","",IFERROR(COUNTIF(INDIRECT("'"&amp;$D19&amp;"'!$AN$7:$AN$500"),"Pass"),0))</f>
        <v/>
      </c>
      <c r="BA19" s="108">
        <f>IF($D19="","",IFERROR(COUNTIF(INDIRECT("'"&amp;$D19&amp;"'!$AN$7:$AN$500"),"Fail"),0))</f>
        <v/>
      </c>
      <c r="BB19" s="108">
        <f>IF($D19="","",IFERROR(COUNTIF(INDIRECT("'"&amp;$D19&amp;"'!$AN$7:$AN$500"),"Block"),0))</f>
        <v/>
      </c>
      <c r="BC19" s="109">
        <f>IF($D19="","",IFERROR(COUNTIF(INDIRECT("'"&amp;$D19&amp;"'!$AN$7:$AN$500"),"N/A"),0))</f>
        <v/>
      </c>
    </row>
    <row r="20">
      <c r="A20" s="1" t="n"/>
      <c r="B20" s="96">
        <f>IF($D20="","",ROW()-3)</f>
        <v/>
      </c>
      <c r="C20" s="97" t="n"/>
      <c r="D20" s="97" t="n"/>
      <c r="E20" s="98" t="n"/>
      <c r="F20" s="96">
        <f>IF($D20="","",IFERROR(COUNTIF(INDIRECT("'"&amp;$D20&amp;"'!$A$7:$A$500"),"?*"),0))</f>
        <v/>
      </c>
      <c r="G20" s="96">
        <f>IF($D20="","",IFERROR(COUNTIF(INDIRECT("'"&amp;$D20&amp;"'!$AT$7:$AT$500"),"Pass"),0))</f>
        <v/>
      </c>
      <c r="H20" s="96">
        <f>IF($D20="","",IFERROR(COUNTIF(INDIRECT("'"&amp;$D20&amp;"'!$AT$7:$AT$500"),"Fail"),0))</f>
        <v/>
      </c>
      <c r="I20" s="96">
        <f>IF($D20="","",IFERROR(COUNTIF(INDIRECT("'"&amp;$D20&amp;"'!$AT$7:$AT$500"),"Block"),0))</f>
        <v/>
      </c>
      <c r="J20" s="96">
        <f>IF($D20="","",IFERROR(COUNTIF(INDIRECT("'"&amp;$D20&amp;"'!$AT$7:$AT$500"),"N/A"),0))</f>
        <v/>
      </c>
      <c r="K20" s="96">
        <f>IF($D20="","",MAX(0,$F20-$G20-$H20-$I20-$J20))</f>
        <v/>
      </c>
      <c r="L20" s="96">
        <f>IF($D20="","",$G20+$H20+$I20+$J20)</f>
        <v/>
      </c>
      <c r="M20" s="99">
        <f>IF($D20="","",IFERROR($L20/$F20,0))</f>
        <v/>
      </c>
      <c r="N20" s="99">
        <f>IF($D20="","",IFERROR($G20/$L20,0))</f>
        <v/>
      </c>
      <c r="O20" s="96">
        <f>IF($D20="","",IFERROR(COUNTIF(INDIRECT("'"&amp;$D20&amp;"'!$E$7:$E$500"),"High"),0))</f>
        <v/>
      </c>
      <c r="P20" s="96">
        <f>IF($D20="","",IFERROR(COUNTIF(INDIRECT("'"&amp;$D20&amp;"'!$E$7:$E$500"),"Medium"),0))</f>
        <v/>
      </c>
      <c r="Q20" s="96">
        <f>IF($D20="","",IFERROR(COUNTIF(INDIRECT("'"&amp;$D20&amp;"'!$E$7:$E$500"),"Low"),0))</f>
        <v/>
      </c>
      <c r="R20" s="96">
        <f>IF($D20="","",IFERROR(COUNTIF(INDIRECT("'"&amp;$D20&amp;"'!$D$7:$D$500"),"Functional"),0))</f>
        <v/>
      </c>
      <c r="S20" s="96">
        <f>IF($D20="","",IFERROR(COUNTIF(INDIRECT("'"&amp;$D20&amp;"'!$D$7:$D$500"),"UI"),0))</f>
        <v/>
      </c>
      <c r="T20" s="96">
        <f>IF($D20="","",IFERROR(COUNTIF(INDIRECT("'"&amp;$D20&amp;"'!$D$7:$D$500"),"Integration"),0))</f>
        <v/>
      </c>
      <c r="U20" s="96">
        <f>IF($D20="","",IFERROR(COUNTIF(INDIRECT("'"&amp;$D20&amp;"'!$D$7:$D$500"),"Database Test Case"),0))</f>
        <v/>
      </c>
      <c r="V20" s="96">
        <f>IF($D20="","",IFERROR(COUNTIF(INDIRECT("'"&amp;$D20&amp;"'!$J$7:$J$500"),"AI"),0))</f>
        <v/>
      </c>
      <c r="W20" s="96">
        <f>IF($D20="","",IFERROR(COUNTIF(INDIRECT("'"&amp;$D20&amp;"'!$J$7:$J$500"),"QC"),0))</f>
        <v/>
      </c>
      <c r="X20" s="96">
        <f>IF($D20="","",IFERROR(COUNTIF(INDIRECT("'"&amp;$D20&amp;"'!$L$7:$L$500"),"Yes"),0))</f>
        <v/>
      </c>
      <c r="Y20" s="96">
        <f>IF($D20="","",IFERROR(COUNTIF(INDIRECT("'"&amp;$D20&amp;"'!$AR$7:$AR$500"),"Yes"),0))</f>
        <v/>
      </c>
      <c r="Z20" s="96">
        <f>IF($D20="","",IFERROR(COUNTIF(INDIRECT("'"&amp;$D20&amp;"'!$AS$7:$AS$500"),"Pass"),0))</f>
        <v/>
      </c>
      <c r="AA20" s="96">
        <f>IF($D20="","",IFERROR(COUNTIF(INDIRECT("'"&amp;$D20&amp;"'!$K$7:$K$500"),"Reviewed"),0))</f>
        <v/>
      </c>
      <c r="AB20" s="107">
        <f>IF($D20="","",IFERROR(COUNTIFS(INDIRECT("'"&amp;$D20&amp;"'!$E$7:$E$500"),"High",INDIRECT("'"&amp;$D20&amp;"'!$AT$7:$AT$500"),"?*"),0))</f>
        <v/>
      </c>
      <c r="AC20" s="107">
        <f>IF($D20="","",IFERROR(COUNTIFS(INDIRECT("'"&amp;$D20&amp;"'!$E$7:$E$500"),"Medium",INDIRECT("'"&amp;$D20&amp;"'!$AT$7:$AT$500"),"?*"),0))</f>
        <v/>
      </c>
      <c r="AD20" s="107">
        <f>IF($D20="","",IFERROR(COUNTIFS(INDIRECT("'"&amp;$D20&amp;"'!$E$7:$E$500"),"Low",INDIRECT("'"&amp;$D20&amp;"'!$AT$7:$AT$500"),"?*"),0))</f>
        <v/>
      </c>
      <c r="AE20" s="108">
        <f>IF($D20="","",IFERROR(COUNTIF(INDIRECT("'"&amp;$D20&amp;"'!$P$7:$P$500"),"?*"),0))</f>
        <v/>
      </c>
      <c r="AF20" s="108">
        <f>IF($D20="","",IFERROR(COUNTIF(INDIRECT("'"&amp;$D20&amp;"'!$P$7:$P$500"),"Pass"),0))</f>
        <v/>
      </c>
      <c r="AG20" s="108">
        <f>IF($D20="","",IFERROR(COUNTIF(INDIRECT("'"&amp;$D20&amp;"'!$P$7:$P$500"),"Fail"),0))</f>
        <v/>
      </c>
      <c r="AH20" s="108">
        <f>IF($D20="","",IFERROR(COUNTIF(INDIRECT("'"&amp;$D20&amp;"'!$P$7:$P$500"),"Block"),0))</f>
        <v/>
      </c>
      <c r="AI20" s="108">
        <f>IF($D20="","",IFERROR(COUNTIF(INDIRECT("'"&amp;$D20&amp;"'!$P$7:$P$500"),"N/A"),0))</f>
        <v/>
      </c>
      <c r="AJ20" s="108">
        <f>IF($D20="","",IFERROR(COUNTIF(INDIRECT("'"&amp;$D20&amp;"'!$V$7:$V$500"),"?*"),0))</f>
        <v/>
      </c>
      <c r="AK20" s="108">
        <f>IF($D20="","",IFERROR(COUNTIF(INDIRECT("'"&amp;$D20&amp;"'!$V$7:$V$500"),"Pass"),0))</f>
        <v/>
      </c>
      <c r="AL20" s="108">
        <f>IF($D20="","",IFERROR(COUNTIF(INDIRECT("'"&amp;$D20&amp;"'!$V$7:$V$500"),"Fail"),0))</f>
        <v/>
      </c>
      <c r="AM20" s="108">
        <f>IF($D20="","",IFERROR(COUNTIF(INDIRECT("'"&amp;$D20&amp;"'!$V$7:$V$500"),"Block"),0))</f>
        <v/>
      </c>
      <c r="AN20" s="108">
        <f>IF($D20="","",IFERROR(COUNTIF(INDIRECT("'"&amp;$D20&amp;"'!$V$7:$V$500"),"N/A"),0))</f>
        <v/>
      </c>
      <c r="AO20" s="108">
        <f>IF($D20="","",IFERROR(COUNTIF(INDIRECT("'"&amp;$D20&amp;"'!$AB$7:$AB$500"),"?*"),0))</f>
        <v/>
      </c>
      <c r="AP20" s="108">
        <f>IF($D20="","",IFERROR(COUNTIF(INDIRECT("'"&amp;$D20&amp;"'!$AB$7:$AB$500"),"Pass"),0))</f>
        <v/>
      </c>
      <c r="AQ20" s="108">
        <f>IF($D20="","",IFERROR(COUNTIF(INDIRECT("'"&amp;$D20&amp;"'!$AB$7:$AB$500"),"Fail"),0))</f>
        <v/>
      </c>
      <c r="AR20" s="108">
        <f>IF($D20="","",IFERROR(COUNTIF(INDIRECT("'"&amp;$D20&amp;"'!$AB$7:$AB$500"),"Block"),0))</f>
        <v/>
      </c>
      <c r="AS20" s="108">
        <f>IF($D20="","",IFERROR(COUNTIF(INDIRECT("'"&amp;$D20&amp;"'!$AB$7:$AB$500"),"N/A"),0))</f>
        <v/>
      </c>
      <c r="AT20" s="108">
        <f>IF($D20="","",IFERROR(COUNTIF(INDIRECT("'"&amp;$D20&amp;"'!$AH$7:$AH$500"),"?*"),0))</f>
        <v/>
      </c>
      <c r="AU20" s="108">
        <f>IF($D20="","",IFERROR(COUNTIF(INDIRECT("'"&amp;$D20&amp;"'!$AH$7:$AH$500"),"Pass"),0))</f>
        <v/>
      </c>
      <c r="AV20" s="108">
        <f>IF($D20="","",IFERROR(COUNTIF(INDIRECT("'"&amp;$D20&amp;"'!$AH$7:$AH$500"),"Fail"),0))</f>
        <v/>
      </c>
      <c r="AW20" s="108">
        <f>IF($D20="","",IFERROR(COUNTIF(INDIRECT("'"&amp;$D20&amp;"'!$AH$7:$AH$500"),"Block"),0))</f>
        <v/>
      </c>
      <c r="AX20" s="108">
        <f>IF($D20="","",IFERROR(COUNTIF(INDIRECT("'"&amp;$D20&amp;"'!$AH$7:$AH$500"),"N/A"),0))</f>
        <v/>
      </c>
      <c r="AY20" s="108">
        <f>IF($D20="","",IFERROR(COUNTIF(INDIRECT("'"&amp;$D20&amp;"'!$AN$7:$AN$500"),"?*"),0))</f>
        <v/>
      </c>
      <c r="AZ20" s="108">
        <f>IF($D20="","",IFERROR(COUNTIF(INDIRECT("'"&amp;$D20&amp;"'!$AN$7:$AN$500"),"Pass"),0))</f>
        <v/>
      </c>
      <c r="BA20" s="108">
        <f>IF($D20="","",IFERROR(COUNTIF(INDIRECT("'"&amp;$D20&amp;"'!$AN$7:$AN$500"),"Fail"),0))</f>
        <v/>
      </c>
      <c r="BB20" s="108">
        <f>IF($D20="","",IFERROR(COUNTIF(INDIRECT("'"&amp;$D20&amp;"'!$AN$7:$AN$500"),"Block"),0))</f>
        <v/>
      </c>
      <c r="BC20" s="109">
        <f>IF($D20="","",IFERROR(COUNTIF(INDIRECT("'"&amp;$D20&amp;"'!$AN$7:$AN$500"),"N/A"),0))</f>
        <v/>
      </c>
    </row>
    <row r="21" ht="15.75" customHeight="1" s="216">
      <c r="A21" s="1" t="n"/>
      <c r="B21" s="96">
        <f>IF($D21="","",ROW()-3)</f>
        <v/>
      </c>
      <c r="C21" s="97" t="n"/>
      <c r="D21" s="97" t="n"/>
      <c r="E21" s="98" t="n"/>
      <c r="F21" s="96">
        <f>IF($D21="","",IFERROR(COUNTIF(INDIRECT("'"&amp;$D21&amp;"'!$A$7:$A$500"),"?*"),0))</f>
        <v/>
      </c>
      <c r="G21" s="96">
        <f>IF($D21="","",IFERROR(COUNTIF(INDIRECT("'"&amp;$D21&amp;"'!$AT$7:$AT$500"),"Pass"),0))</f>
        <v/>
      </c>
      <c r="H21" s="96">
        <f>IF($D21="","",IFERROR(COUNTIF(INDIRECT("'"&amp;$D21&amp;"'!$AT$7:$AT$500"),"Fail"),0))</f>
        <v/>
      </c>
      <c r="I21" s="96">
        <f>IF($D21="","",IFERROR(COUNTIF(INDIRECT("'"&amp;$D21&amp;"'!$AT$7:$AT$500"),"Block"),0))</f>
        <v/>
      </c>
      <c r="J21" s="96">
        <f>IF($D21="","",IFERROR(COUNTIF(INDIRECT("'"&amp;$D21&amp;"'!$AT$7:$AT$500"),"N/A"),0))</f>
        <v/>
      </c>
      <c r="K21" s="96">
        <f>IF($D21="","",MAX(0,$F21-$G21-$H21-$I21-$J21))</f>
        <v/>
      </c>
      <c r="L21" s="96">
        <f>IF($D21="","",$G21+$H21+$I21+$J21)</f>
        <v/>
      </c>
      <c r="M21" s="99">
        <f>IF($D21="","",IFERROR($L21/$F21,0))</f>
        <v/>
      </c>
      <c r="N21" s="99">
        <f>IF($D21="","",IFERROR($G21/$L21,0))</f>
        <v/>
      </c>
      <c r="O21" s="96">
        <f>IF($D21="","",IFERROR(COUNTIF(INDIRECT("'"&amp;$D21&amp;"'!$E$7:$E$500"),"High"),0))</f>
        <v/>
      </c>
      <c r="P21" s="96">
        <f>IF($D21="","",IFERROR(COUNTIF(INDIRECT("'"&amp;$D21&amp;"'!$E$7:$E$500"),"Medium"),0))</f>
        <v/>
      </c>
      <c r="Q21" s="96">
        <f>IF($D21="","",IFERROR(COUNTIF(INDIRECT("'"&amp;$D21&amp;"'!$E$7:$E$500"),"Low"),0))</f>
        <v/>
      </c>
      <c r="R21" s="96">
        <f>IF($D21="","",IFERROR(COUNTIF(INDIRECT("'"&amp;$D21&amp;"'!$D$7:$D$500"),"Functional"),0))</f>
        <v/>
      </c>
      <c r="S21" s="96">
        <f>IF($D21="","",IFERROR(COUNTIF(INDIRECT("'"&amp;$D21&amp;"'!$D$7:$D$500"),"UI"),0))</f>
        <v/>
      </c>
      <c r="T21" s="96">
        <f>IF($D21="","",IFERROR(COUNTIF(INDIRECT("'"&amp;$D21&amp;"'!$D$7:$D$500"),"Integration"),0))</f>
        <v/>
      </c>
      <c r="U21" s="96">
        <f>IF($D21="","",IFERROR(COUNTIF(INDIRECT("'"&amp;$D21&amp;"'!$D$7:$D$500"),"Database Test Case"),0))</f>
        <v/>
      </c>
      <c r="V21" s="96">
        <f>IF($D21="","",IFERROR(COUNTIF(INDIRECT("'"&amp;$D21&amp;"'!$J$7:$J$500"),"AI"),0))</f>
        <v/>
      </c>
      <c r="W21" s="96">
        <f>IF($D21="","",IFERROR(COUNTIF(INDIRECT("'"&amp;$D21&amp;"'!$J$7:$J$500"),"QC"),0))</f>
        <v/>
      </c>
      <c r="X21" s="96">
        <f>IF($D21="","",IFERROR(COUNTIF(INDIRECT("'"&amp;$D21&amp;"'!$L$7:$L$500"),"Yes"),0))</f>
        <v/>
      </c>
      <c r="Y21" s="96">
        <f>IF($D21="","",IFERROR(COUNTIF(INDIRECT("'"&amp;$D21&amp;"'!$AR$7:$AR$500"),"Yes"),0))</f>
        <v/>
      </c>
      <c r="Z21" s="96">
        <f>IF($D21="","",IFERROR(COUNTIF(INDIRECT("'"&amp;$D21&amp;"'!$AS$7:$AS$500"),"Pass"),0))</f>
        <v/>
      </c>
      <c r="AA21" s="96">
        <f>IF($D21="","",IFERROR(COUNTIF(INDIRECT("'"&amp;$D21&amp;"'!$K$7:$K$500"),"Reviewed"),0))</f>
        <v/>
      </c>
      <c r="AB21" s="107">
        <f>IF($D21="","",IFERROR(COUNTIFS(INDIRECT("'"&amp;$D21&amp;"'!$E$7:$E$500"),"High",INDIRECT("'"&amp;$D21&amp;"'!$AT$7:$AT$500"),"?*"),0))</f>
        <v/>
      </c>
      <c r="AC21" s="107">
        <f>IF($D21="","",IFERROR(COUNTIFS(INDIRECT("'"&amp;$D21&amp;"'!$E$7:$E$500"),"Medium",INDIRECT("'"&amp;$D21&amp;"'!$AT$7:$AT$500"),"?*"),0))</f>
        <v/>
      </c>
      <c r="AD21" s="107">
        <f>IF($D21="","",IFERROR(COUNTIFS(INDIRECT("'"&amp;$D21&amp;"'!$E$7:$E$500"),"Low",INDIRECT("'"&amp;$D21&amp;"'!$AT$7:$AT$500"),"?*"),0))</f>
        <v/>
      </c>
      <c r="AE21" s="108">
        <f>IF($D21="","",IFERROR(COUNTIF(INDIRECT("'"&amp;$D21&amp;"'!$P$7:$P$500"),"?*"),0))</f>
        <v/>
      </c>
      <c r="AF21" s="108">
        <f>IF($D21="","",IFERROR(COUNTIF(INDIRECT("'"&amp;$D21&amp;"'!$P$7:$P$500"),"Pass"),0))</f>
        <v/>
      </c>
      <c r="AG21" s="108">
        <f>IF($D21="","",IFERROR(COUNTIF(INDIRECT("'"&amp;$D21&amp;"'!$P$7:$P$500"),"Fail"),0))</f>
        <v/>
      </c>
      <c r="AH21" s="108">
        <f>IF($D21="","",IFERROR(COUNTIF(INDIRECT("'"&amp;$D21&amp;"'!$P$7:$P$500"),"Block"),0))</f>
        <v/>
      </c>
      <c r="AI21" s="108">
        <f>IF($D21="","",IFERROR(COUNTIF(INDIRECT("'"&amp;$D21&amp;"'!$P$7:$P$500"),"N/A"),0))</f>
        <v/>
      </c>
      <c r="AJ21" s="108">
        <f>IF($D21="","",IFERROR(COUNTIF(INDIRECT("'"&amp;$D21&amp;"'!$V$7:$V$500"),"?*"),0))</f>
        <v/>
      </c>
      <c r="AK21" s="108">
        <f>IF($D21="","",IFERROR(COUNTIF(INDIRECT("'"&amp;$D21&amp;"'!$V$7:$V$500"),"Pass"),0))</f>
        <v/>
      </c>
      <c r="AL21" s="108">
        <f>IF($D21="","",IFERROR(COUNTIF(INDIRECT("'"&amp;$D21&amp;"'!$V$7:$V$500"),"Fail"),0))</f>
        <v/>
      </c>
      <c r="AM21" s="108">
        <f>IF($D21="","",IFERROR(COUNTIF(INDIRECT("'"&amp;$D21&amp;"'!$V$7:$V$500"),"Block"),0))</f>
        <v/>
      </c>
      <c r="AN21" s="108">
        <f>IF($D21="","",IFERROR(COUNTIF(INDIRECT("'"&amp;$D21&amp;"'!$V$7:$V$500"),"N/A"),0))</f>
        <v/>
      </c>
      <c r="AO21" s="108">
        <f>IF($D21="","",IFERROR(COUNTIF(INDIRECT("'"&amp;$D21&amp;"'!$AB$7:$AB$500"),"?*"),0))</f>
        <v/>
      </c>
      <c r="AP21" s="108">
        <f>IF($D21="","",IFERROR(COUNTIF(INDIRECT("'"&amp;$D21&amp;"'!$AB$7:$AB$500"),"Pass"),0))</f>
        <v/>
      </c>
      <c r="AQ21" s="108">
        <f>IF($D21="","",IFERROR(COUNTIF(INDIRECT("'"&amp;$D21&amp;"'!$AB$7:$AB$500"),"Fail"),0))</f>
        <v/>
      </c>
      <c r="AR21" s="108">
        <f>IF($D21="","",IFERROR(COUNTIF(INDIRECT("'"&amp;$D21&amp;"'!$AB$7:$AB$500"),"Block"),0))</f>
        <v/>
      </c>
      <c r="AS21" s="108">
        <f>IF($D21="","",IFERROR(COUNTIF(INDIRECT("'"&amp;$D21&amp;"'!$AB$7:$AB$500"),"N/A"),0))</f>
        <v/>
      </c>
      <c r="AT21" s="108">
        <f>IF($D21="","",IFERROR(COUNTIF(INDIRECT("'"&amp;$D21&amp;"'!$AH$7:$AH$500"),"?*"),0))</f>
        <v/>
      </c>
      <c r="AU21" s="108">
        <f>IF($D21="","",IFERROR(COUNTIF(INDIRECT("'"&amp;$D21&amp;"'!$AH$7:$AH$500"),"Pass"),0))</f>
        <v/>
      </c>
      <c r="AV21" s="108">
        <f>IF($D21="","",IFERROR(COUNTIF(INDIRECT("'"&amp;$D21&amp;"'!$AH$7:$AH$500"),"Fail"),0))</f>
        <v/>
      </c>
      <c r="AW21" s="108">
        <f>IF($D21="","",IFERROR(COUNTIF(INDIRECT("'"&amp;$D21&amp;"'!$AH$7:$AH$500"),"Block"),0))</f>
        <v/>
      </c>
      <c r="AX21" s="108">
        <f>IF($D21="","",IFERROR(COUNTIF(INDIRECT("'"&amp;$D21&amp;"'!$AH$7:$AH$500"),"N/A"),0))</f>
        <v/>
      </c>
      <c r="AY21" s="108">
        <f>IF($D21="","",IFERROR(COUNTIF(INDIRECT("'"&amp;$D21&amp;"'!$AN$7:$AN$500"),"?*"),0))</f>
        <v/>
      </c>
      <c r="AZ21" s="108">
        <f>IF($D21="","",IFERROR(COUNTIF(INDIRECT("'"&amp;$D21&amp;"'!$AN$7:$AN$500"),"Pass"),0))</f>
        <v/>
      </c>
      <c r="BA21" s="108">
        <f>IF($D21="","",IFERROR(COUNTIF(INDIRECT("'"&amp;$D21&amp;"'!$AN$7:$AN$500"),"Fail"),0))</f>
        <v/>
      </c>
      <c r="BB21" s="108">
        <f>IF($D21="","",IFERROR(COUNTIF(INDIRECT("'"&amp;$D21&amp;"'!$AN$7:$AN$500"),"Block"),0))</f>
        <v/>
      </c>
      <c r="BC21" s="109">
        <f>IF($D21="","",IFERROR(COUNTIF(INDIRECT("'"&amp;$D21&amp;"'!$AN$7:$AN$500"),"N/A"),0))</f>
        <v/>
      </c>
    </row>
    <row r="22" ht="15.75" customHeight="1" s="216">
      <c r="A22" s="1" t="n"/>
      <c r="B22" s="96">
        <f>IF($D22="","",ROW()-3)</f>
        <v/>
      </c>
      <c r="C22" s="97" t="n"/>
      <c r="D22" s="97" t="n"/>
      <c r="E22" s="98" t="n"/>
      <c r="F22" s="96">
        <f>IF($D22="","",IFERROR(COUNTIF(INDIRECT("'"&amp;$D22&amp;"'!$A$7:$A$500"),"?*"),0))</f>
        <v/>
      </c>
      <c r="G22" s="96">
        <f>IF($D22="","",IFERROR(COUNTIF(INDIRECT("'"&amp;$D22&amp;"'!$AT$7:$AT$500"),"Pass"),0))</f>
        <v/>
      </c>
      <c r="H22" s="96">
        <f>IF($D22="","",IFERROR(COUNTIF(INDIRECT("'"&amp;$D22&amp;"'!$AT$7:$AT$500"),"Fail"),0))</f>
        <v/>
      </c>
      <c r="I22" s="96">
        <f>IF($D22="","",IFERROR(COUNTIF(INDIRECT("'"&amp;$D22&amp;"'!$AT$7:$AT$500"),"Block"),0))</f>
        <v/>
      </c>
      <c r="J22" s="96">
        <f>IF($D22="","",IFERROR(COUNTIF(INDIRECT("'"&amp;$D22&amp;"'!$AT$7:$AT$500"),"N/A"),0))</f>
        <v/>
      </c>
      <c r="K22" s="96">
        <f>IF($D22="","",MAX(0,$F22-$G22-$H22-$I22-$J22))</f>
        <v/>
      </c>
      <c r="L22" s="96">
        <f>IF($D22="","",$G22+$H22+$I22+$J22)</f>
        <v/>
      </c>
      <c r="M22" s="99">
        <f>IF($D22="","",IFERROR($L22/$F22,0))</f>
        <v/>
      </c>
      <c r="N22" s="99">
        <f>IF($D22="","",IFERROR($G22/$L22,0))</f>
        <v/>
      </c>
      <c r="O22" s="96">
        <f>IF($D22="","",IFERROR(COUNTIF(INDIRECT("'"&amp;$D22&amp;"'!$E$7:$E$500"),"High"),0))</f>
        <v/>
      </c>
      <c r="P22" s="96">
        <f>IF($D22="","",IFERROR(COUNTIF(INDIRECT("'"&amp;$D22&amp;"'!$E$7:$E$500"),"Medium"),0))</f>
        <v/>
      </c>
      <c r="Q22" s="96">
        <f>IF($D22="","",IFERROR(COUNTIF(INDIRECT("'"&amp;$D22&amp;"'!$E$7:$E$500"),"Low"),0))</f>
        <v/>
      </c>
      <c r="R22" s="96">
        <f>IF($D22="","",IFERROR(COUNTIF(INDIRECT("'"&amp;$D22&amp;"'!$D$7:$D$500"),"Functional"),0))</f>
        <v/>
      </c>
      <c r="S22" s="96">
        <f>IF($D22="","",IFERROR(COUNTIF(INDIRECT("'"&amp;$D22&amp;"'!$D$7:$D$500"),"UI"),0))</f>
        <v/>
      </c>
      <c r="T22" s="96">
        <f>IF($D22="","",IFERROR(COUNTIF(INDIRECT("'"&amp;$D22&amp;"'!$D$7:$D$500"),"Integration"),0))</f>
        <v/>
      </c>
      <c r="U22" s="96">
        <f>IF($D22="","",IFERROR(COUNTIF(INDIRECT("'"&amp;$D22&amp;"'!$D$7:$D$500"),"Database Test Case"),0))</f>
        <v/>
      </c>
      <c r="V22" s="96">
        <f>IF($D22="","",IFERROR(COUNTIF(INDIRECT("'"&amp;$D22&amp;"'!$J$7:$J$500"),"AI"),0))</f>
        <v/>
      </c>
      <c r="W22" s="96">
        <f>IF($D22="","",IFERROR(COUNTIF(INDIRECT("'"&amp;$D22&amp;"'!$J$7:$J$500"),"QC"),0))</f>
        <v/>
      </c>
      <c r="X22" s="96">
        <f>IF($D22="","",IFERROR(COUNTIF(INDIRECT("'"&amp;$D22&amp;"'!$L$7:$L$500"),"Yes"),0))</f>
        <v/>
      </c>
      <c r="Y22" s="96">
        <f>IF($D22="","",IFERROR(COUNTIF(INDIRECT("'"&amp;$D22&amp;"'!$AR$7:$AR$500"),"Yes"),0))</f>
        <v/>
      </c>
      <c r="Z22" s="96">
        <f>IF($D22="","",IFERROR(COUNTIF(INDIRECT("'"&amp;$D22&amp;"'!$AS$7:$AS$500"),"Pass"),0))</f>
        <v/>
      </c>
      <c r="AA22" s="96">
        <f>IF($D22="","",IFERROR(COUNTIF(INDIRECT("'"&amp;$D22&amp;"'!$K$7:$K$500"),"Reviewed"),0))</f>
        <v/>
      </c>
      <c r="AB22" s="107">
        <f>IF($D22="","",IFERROR(COUNTIFS(INDIRECT("'"&amp;$D22&amp;"'!$E$7:$E$500"),"High",INDIRECT("'"&amp;$D22&amp;"'!$AT$7:$AT$500"),"?*"),0))</f>
        <v/>
      </c>
      <c r="AC22" s="107">
        <f>IF($D22="","",IFERROR(COUNTIFS(INDIRECT("'"&amp;$D22&amp;"'!$E$7:$E$500"),"Medium",INDIRECT("'"&amp;$D22&amp;"'!$AT$7:$AT$500"),"?*"),0))</f>
        <v/>
      </c>
      <c r="AD22" s="107">
        <f>IF($D22="","",IFERROR(COUNTIFS(INDIRECT("'"&amp;$D22&amp;"'!$E$7:$E$500"),"Low",INDIRECT("'"&amp;$D22&amp;"'!$AT$7:$AT$500"),"?*"),0))</f>
        <v/>
      </c>
      <c r="AE22" s="108">
        <f>IF($D22="","",IFERROR(COUNTIF(INDIRECT("'"&amp;$D22&amp;"'!$P$7:$P$500"),"?*"),0))</f>
        <v/>
      </c>
      <c r="AF22" s="108">
        <f>IF($D22="","",IFERROR(COUNTIF(INDIRECT("'"&amp;$D22&amp;"'!$P$7:$P$500"),"Pass"),0))</f>
        <v/>
      </c>
      <c r="AG22" s="108">
        <f>IF($D22="","",IFERROR(COUNTIF(INDIRECT("'"&amp;$D22&amp;"'!$P$7:$P$500"),"Fail"),0))</f>
        <v/>
      </c>
      <c r="AH22" s="108">
        <f>IF($D22="","",IFERROR(COUNTIF(INDIRECT("'"&amp;$D22&amp;"'!$P$7:$P$500"),"Block"),0))</f>
        <v/>
      </c>
      <c r="AI22" s="108">
        <f>IF($D22="","",IFERROR(COUNTIF(INDIRECT("'"&amp;$D22&amp;"'!$P$7:$P$500"),"N/A"),0))</f>
        <v/>
      </c>
      <c r="AJ22" s="108">
        <f>IF($D22="","",IFERROR(COUNTIF(INDIRECT("'"&amp;$D22&amp;"'!$V$7:$V$500"),"?*"),0))</f>
        <v/>
      </c>
      <c r="AK22" s="108">
        <f>IF($D22="","",IFERROR(COUNTIF(INDIRECT("'"&amp;$D22&amp;"'!$V$7:$V$500"),"Pass"),0))</f>
        <v/>
      </c>
      <c r="AL22" s="108">
        <f>IF($D22="","",IFERROR(COUNTIF(INDIRECT("'"&amp;$D22&amp;"'!$V$7:$V$500"),"Fail"),0))</f>
        <v/>
      </c>
      <c r="AM22" s="108">
        <f>IF($D22="","",IFERROR(COUNTIF(INDIRECT("'"&amp;$D22&amp;"'!$V$7:$V$500"),"Block"),0))</f>
        <v/>
      </c>
      <c r="AN22" s="108">
        <f>IF($D22="","",IFERROR(COUNTIF(INDIRECT("'"&amp;$D22&amp;"'!$V$7:$V$500"),"N/A"),0))</f>
        <v/>
      </c>
      <c r="AO22" s="108">
        <f>IF($D22="","",IFERROR(COUNTIF(INDIRECT("'"&amp;$D22&amp;"'!$AB$7:$AB$500"),"?*"),0))</f>
        <v/>
      </c>
      <c r="AP22" s="108">
        <f>IF($D22="","",IFERROR(COUNTIF(INDIRECT("'"&amp;$D22&amp;"'!$AB$7:$AB$500"),"Pass"),0))</f>
        <v/>
      </c>
      <c r="AQ22" s="108">
        <f>IF($D22="","",IFERROR(COUNTIF(INDIRECT("'"&amp;$D22&amp;"'!$AB$7:$AB$500"),"Fail"),0))</f>
        <v/>
      </c>
      <c r="AR22" s="108">
        <f>IF($D22="","",IFERROR(COUNTIF(INDIRECT("'"&amp;$D22&amp;"'!$AB$7:$AB$500"),"Block"),0))</f>
        <v/>
      </c>
      <c r="AS22" s="108">
        <f>IF($D22="","",IFERROR(COUNTIF(INDIRECT("'"&amp;$D22&amp;"'!$AB$7:$AB$500"),"N/A"),0))</f>
        <v/>
      </c>
      <c r="AT22" s="108">
        <f>IF($D22="","",IFERROR(COUNTIF(INDIRECT("'"&amp;$D22&amp;"'!$AH$7:$AH$500"),"?*"),0))</f>
        <v/>
      </c>
      <c r="AU22" s="108">
        <f>IF($D22="","",IFERROR(COUNTIF(INDIRECT("'"&amp;$D22&amp;"'!$AH$7:$AH$500"),"Pass"),0))</f>
        <v/>
      </c>
      <c r="AV22" s="108">
        <f>IF($D22="","",IFERROR(COUNTIF(INDIRECT("'"&amp;$D22&amp;"'!$AH$7:$AH$500"),"Fail"),0))</f>
        <v/>
      </c>
      <c r="AW22" s="108">
        <f>IF($D22="","",IFERROR(COUNTIF(INDIRECT("'"&amp;$D22&amp;"'!$AH$7:$AH$500"),"Block"),0))</f>
        <v/>
      </c>
      <c r="AX22" s="108">
        <f>IF($D22="","",IFERROR(COUNTIF(INDIRECT("'"&amp;$D22&amp;"'!$AH$7:$AH$500"),"N/A"),0))</f>
        <v/>
      </c>
      <c r="AY22" s="108">
        <f>IF($D22="","",IFERROR(COUNTIF(INDIRECT("'"&amp;$D22&amp;"'!$AN$7:$AN$500"),"?*"),0))</f>
        <v/>
      </c>
      <c r="AZ22" s="108">
        <f>IF($D22="","",IFERROR(COUNTIF(INDIRECT("'"&amp;$D22&amp;"'!$AN$7:$AN$500"),"Pass"),0))</f>
        <v/>
      </c>
      <c r="BA22" s="108">
        <f>IF($D22="","",IFERROR(COUNTIF(INDIRECT("'"&amp;$D22&amp;"'!$AN$7:$AN$500"),"Fail"),0))</f>
        <v/>
      </c>
      <c r="BB22" s="108">
        <f>IF($D22="","",IFERROR(COUNTIF(INDIRECT("'"&amp;$D22&amp;"'!$AN$7:$AN$500"),"Block"),0))</f>
        <v/>
      </c>
      <c r="BC22" s="109">
        <f>IF($D22="","",IFERROR(COUNTIF(INDIRECT("'"&amp;$D22&amp;"'!$AN$7:$AN$500"),"N/A"),0))</f>
        <v/>
      </c>
    </row>
    <row r="23" ht="15.75" customHeight="1" s="216">
      <c r="A23" s="1" t="n"/>
      <c r="B23" s="96">
        <f>IF($D23="","",ROW()-3)</f>
        <v/>
      </c>
      <c r="C23" s="97" t="n"/>
      <c r="D23" s="97" t="n"/>
      <c r="E23" s="98" t="n"/>
      <c r="F23" s="96">
        <f>IF($D23="","",IFERROR(COUNTIF(INDIRECT("'"&amp;$D23&amp;"'!$A$7:$A$500"),"?*"),0))</f>
        <v/>
      </c>
      <c r="G23" s="96">
        <f>IF($D23="","",IFERROR(COUNTIF(INDIRECT("'"&amp;$D23&amp;"'!$AT$7:$AT$500"),"Pass"),0))</f>
        <v/>
      </c>
      <c r="H23" s="96">
        <f>IF($D23="","",IFERROR(COUNTIF(INDIRECT("'"&amp;$D23&amp;"'!$AT$7:$AT$500"),"Fail"),0))</f>
        <v/>
      </c>
      <c r="I23" s="96">
        <f>IF($D23="","",IFERROR(COUNTIF(INDIRECT("'"&amp;$D23&amp;"'!$AT$7:$AT$500"),"Block"),0))</f>
        <v/>
      </c>
      <c r="J23" s="96">
        <f>IF($D23="","",IFERROR(COUNTIF(INDIRECT("'"&amp;$D23&amp;"'!$AT$7:$AT$500"),"N/A"),0))</f>
        <v/>
      </c>
      <c r="K23" s="96">
        <f>IF($D23="","",MAX(0,$F23-$G23-$H23-$I23-$J23))</f>
        <v/>
      </c>
      <c r="L23" s="96">
        <f>IF($D23="","",$G23+$H23+$I23+$J23)</f>
        <v/>
      </c>
      <c r="M23" s="99">
        <f>IF($D23="","",IFERROR($L23/$F23,0))</f>
        <v/>
      </c>
      <c r="N23" s="99">
        <f>IF($D23="","",IFERROR($G23/$L23,0))</f>
        <v/>
      </c>
      <c r="O23" s="96">
        <f>IF($D23="","",IFERROR(COUNTIF(INDIRECT("'"&amp;$D23&amp;"'!$E$7:$E$500"),"High"),0))</f>
        <v/>
      </c>
      <c r="P23" s="96">
        <f>IF($D23="","",IFERROR(COUNTIF(INDIRECT("'"&amp;$D23&amp;"'!$E$7:$E$500"),"Medium"),0))</f>
        <v/>
      </c>
      <c r="Q23" s="96">
        <f>IF($D23="","",IFERROR(COUNTIF(INDIRECT("'"&amp;$D23&amp;"'!$E$7:$E$500"),"Low"),0))</f>
        <v/>
      </c>
      <c r="R23" s="96">
        <f>IF($D23="","",IFERROR(COUNTIF(INDIRECT("'"&amp;$D23&amp;"'!$D$7:$D$500"),"Functional"),0))</f>
        <v/>
      </c>
      <c r="S23" s="96">
        <f>IF($D23="","",IFERROR(COUNTIF(INDIRECT("'"&amp;$D23&amp;"'!$D$7:$D$500"),"UI"),0))</f>
        <v/>
      </c>
      <c r="T23" s="96">
        <f>IF($D23="","",IFERROR(COUNTIF(INDIRECT("'"&amp;$D23&amp;"'!$D$7:$D$500"),"Integration"),0))</f>
        <v/>
      </c>
      <c r="U23" s="96">
        <f>IF($D23="","",IFERROR(COUNTIF(INDIRECT("'"&amp;$D23&amp;"'!$D$7:$D$500"),"Database Test Case"),0))</f>
        <v/>
      </c>
      <c r="V23" s="96">
        <f>IF($D23="","",IFERROR(COUNTIF(INDIRECT("'"&amp;$D23&amp;"'!$J$7:$J$500"),"AI"),0))</f>
        <v/>
      </c>
      <c r="W23" s="96">
        <f>IF($D23="","",IFERROR(COUNTIF(INDIRECT("'"&amp;$D23&amp;"'!$J$7:$J$500"),"QC"),0))</f>
        <v/>
      </c>
      <c r="X23" s="96">
        <f>IF($D23="","",IFERROR(COUNTIF(INDIRECT("'"&amp;$D23&amp;"'!$L$7:$L$500"),"Yes"),0))</f>
        <v/>
      </c>
      <c r="Y23" s="96">
        <f>IF($D23="","",IFERROR(COUNTIF(INDIRECT("'"&amp;$D23&amp;"'!$AR$7:$AR$500"),"Yes"),0))</f>
        <v/>
      </c>
      <c r="Z23" s="96">
        <f>IF($D23="","",IFERROR(COUNTIF(INDIRECT("'"&amp;$D23&amp;"'!$AS$7:$AS$500"),"Pass"),0))</f>
        <v/>
      </c>
      <c r="AA23" s="96">
        <f>IF($D23="","",IFERROR(COUNTIF(INDIRECT("'"&amp;$D23&amp;"'!$K$7:$K$500"),"Reviewed"),0))</f>
        <v/>
      </c>
      <c r="AB23" s="107">
        <f>IF($D23="","",IFERROR(COUNTIFS(INDIRECT("'"&amp;$D23&amp;"'!$E$7:$E$500"),"High",INDIRECT("'"&amp;$D23&amp;"'!$AT$7:$AT$500"),"?*"),0))</f>
        <v/>
      </c>
      <c r="AC23" s="107">
        <f>IF($D23="","",IFERROR(COUNTIFS(INDIRECT("'"&amp;$D23&amp;"'!$E$7:$E$500"),"Medium",INDIRECT("'"&amp;$D23&amp;"'!$AT$7:$AT$500"),"?*"),0))</f>
        <v/>
      </c>
      <c r="AD23" s="107">
        <f>IF($D23="","",IFERROR(COUNTIFS(INDIRECT("'"&amp;$D23&amp;"'!$E$7:$E$500"),"Low",INDIRECT("'"&amp;$D23&amp;"'!$AT$7:$AT$500"),"?*"),0))</f>
        <v/>
      </c>
      <c r="AE23" s="108">
        <f>IF($D23="","",IFERROR(COUNTIF(INDIRECT("'"&amp;$D23&amp;"'!$P$7:$P$500"),"?*"),0))</f>
        <v/>
      </c>
      <c r="AF23" s="108">
        <f>IF($D23="","",IFERROR(COUNTIF(INDIRECT("'"&amp;$D23&amp;"'!$P$7:$P$500"),"Pass"),0))</f>
        <v/>
      </c>
      <c r="AG23" s="108">
        <f>IF($D23="","",IFERROR(COUNTIF(INDIRECT("'"&amp;$D23&amp;"'!$P$7:$P$500"),"Fail"),0))</f>
        <v/>
      </c>
      <c r="AH23" s="108">
        <f>IF($D23="","",IFERROR(COUNTIF(INDIRECT("'"&amp;$D23&amp;"'!$P$7:$P$500"),"Block"),0))</f>
        <v/>
      </c>
      <c r="AI23" s="108">
        <f>IF($D23="","",IFERROR(COUNTIF(INDIRECT("'"&amp;$D23&amp;"'!$P$7:$P$500"),"N/A"),0))</f>
        <v/>
      </c>
      <c r="AJ23" s="108">
        <f>IF($D23="","",IFERROR(COUNTIF(INDIRECT("'"&amp;$D23&amp;"'!$V$7:$V$500"),"?*"),0))</f>
        <v/>
      </c>
      <c r="AK23" s="108">
        <f>IF($D23="","",IFERROR(COUNTIF(INDIRECT("'"&amp;$D23&amp;"'!$V$7:$V$500"),"Pass"),0))</f>
        <v/>
      </c>
      <c r="AL23" s="108">
        <f>IF($D23="","",IFERROR(COUNTIF(INDIRECT("'"&amp;$D23&amp;"'!$V$7:$V$500"),"Fail"),0))</f>
        <v/>
      </c>
      <c r="AM23" s="108">
        <f>IF($D23="","",IFERROR(COUNTIF(INDIRECT("'"&amp;$D23&amp;"'!$V$7:$V$500"),"Block"),0))</f>
        <v/>
      </c>
      <c r="AN23" s="108">
        <f>IF($D23="","",IFERROR(COUNTIF(INDIRECT("'"&amp;$D23&amp;"'!$V$7:$V$500"),"N/A"),0))</f>
        <v/>
      </c>
      <c r="AO23" s="108">
        <f>IF($D23="","",IFERROR(COUNTIF(INDIRECT("'"&amp;$D23&amp;"'!$AB$7:$AB$500"),"?*"),0))</f>
        <v/>
      </c>
      <c r="AP23" s="108">
        <f>IF($D23="","",IFERROR(COUNTIF(INDIRECT("'"&amp;$D23&amp;"'!$AB$7:$AB$500"),"Pass"),0))</f>
        <v/>
      </c>
      <c r="AQ23" s="108">
        <f>IF($D23="","",IFERROR(COUNTIF(INDIRECT("'"&amp;$D23&amp;"'!$AB$7:$AB$500"),"Fail"),0))</f>
        <v/>
      </c>
      <c r="AR23" s="108">
        <f>IF($D23="","",IFERROR(COUNTIF(INDIRECT("'"&amp;$D23&amp;"'!$AB$7:$AB$500"),"Block"),0))</f>
        <v/>
      </c>
      <c r="AS23" s="108">
        <f>IF($D23="","",IFERROR(COUNTIF(INDIRECT("'"&amp;$D23&amp;"'!$AB$7:$AB$500"),"N/A"),0))</f>
        <v/>
      </c>
      <c r="AT23" s="108">
        <f>IF($D23="","",IFERROR(COUNTIF(INDIRECT("'"&amp;$D23&amp;"'!$AH$7:$AH$500"),"?*"),0))</f>
        <v/>
      </c>
      <c r="AU23" s="108">
        <f>IF($D23="","",IFERROR(COUNTIF(INDIRECT("'"&amp;$D23&amp;"'!$AH$7:$AH$500"),"Pass"),0))</f>
        <v/>
      </c>
      <c r="AV23" s="108">
        <f>IF($D23="","",IFERROR(COUNTIF(INDIRECT("'"&amp;$D23&amp;"'!$AH$7:$AH$500"),"Fail"),0))</f>
        <v/>
      </c>
      <c r="AW23" s="108">
        <f>IF($D23="","",IFERROR(COUNTIF(INDIRECT("'"&amp;$D23&amp;"'!$AH$7:$AH$500"),"Block"),0))</f>
        <v/>
      </c>
      <c r="AX23" s="108">
        <f>IF($D23="","",IFERROR(COUNTIF(INDIRECT("'"&amp;$D23&amp;"'!$AH$7:$AH$500"),"N/A"),0))</f>
        <v/>
      </c>
      <c r="AY23" s="108">
        <f>IF($D23="","",IFERROR(COUNTIF(INDIRECT("'"&amp;$D23&amp;"'!$AN$7:$AN$500"),"?*"),0))</f>
        <v/>
      </c>
      <c r="AZ23" s="108">
        <f>IF($D23="","",IFERROR(COUNTIF(INDIRECT("'"&amp;$D23&amp;"'!$AN$7:$AN$500"),"Pass"),0))</f>
        <v/>
      </c>
      <c r="BA23" s="108">
        <f>IF($D23="","",IFERROR(COUNTIF(INDIRECT("'"&amp;$D23&amp;"'!$AN$7:$AN$500"),"Fail"),0))</f>
        <v/>
      </c>
      <c r="BB23" s="108">
        <f>IF($D23="","",IFERROR(COUNTIF(INDIRECT("'"&amp;$D23&amp;"'!$AN$7:$AN$500"),"Block"),0))</f>
        <v/>
      </c>
      <c r="BC23" s="109">
        <f>IF($D23="","",IFERROR(COUNTIF(INDIRECT("'"&amp;$D23&amp;"'!$AN$7:$AN$500"),"N/A"),0))</f>
        <v/>
      </c>
    </row>
    <row r="24" ht="15.75" customHeight="1" s="216">
      <c r="A24" s="1" t="n"/>
      <c r="B24" s="96">
        <f>IF($D24="","",ROW()-3)</f>
        <v/>
      </c>
      <c r="C24" s="97" t="n"/>
      <c r="D24" s="97" t="n"/>
      <c r="E24" s="98" t="n"/>
      <c r="F24" s="96">
        <f>IF($D24="","",IFERROR(COUNTIF(INDIRECT("'"&amp;$D24&amp;"'!$A$7:$A$500"),"?*"),0))</f>
        <v/>
      </c>
      <c r="G24" s="96">
        <f>IF($D24="","",IFERROR(COUNTIF(INDIRECT("'"&amp;$D24&amp;"'!$AT$7:$AT$500"),"Pass"),0))</f>
        <v/>
      </c>
      <c r="H24" s="96">
        <f>IF($D24="","",IFERROR(COUNTIF(INDIRECT("'"&amp;$D24&amp;"'!$AT$7:$AT$500"),"Fail"),0))</f>
        <v/>
      </c>
      <c r="I24" s="96">
        <f>IF($D24="","",IFERROR(COUNTIF(INDIRECT("'"&amp;$D24&amp;"'!$AT$7:$AT$500"),"Block"),0))</f>
        <v/>
      </c>
      <c r="J24" s="96">
        <f>IF($D24="","",IFERROR(COUNTIF(INDIRECT("'"&amp;$D24&amp;"'!$AT$7:$AT$500"),"N/A"),0))</f>
        <v/>
      </c>
      <c r="K24" s="96">
        <f>IF($D24="","",MAX(0,$F24-$G24-$H24-$I24-$J24))</f>
        <v/>
      </c>
      <c r="L24" s="96">
        <f>IF($D24="","",$G24+$H24+$I24+$J24)</f>
        <v/>
      </c>
      <c r="M24" s="99">
        <f>IF($D24="","",IFERROR($L24/$F24,0))</f>
        <v/>
      </c>
      <c r="N24" s="99">
        <f>IF($D24="","",IFERROR($G24/$L24,0))</f>
        <v/>
      </c>
      <c r="O24" s="96">
        <f>IF($D24="","",IFERROR(COUNTIF(INDIRECT("'"&amp;$D24&amp;"'!$E$7:$E$500"),"High"),0))</f>
        <v/>
      </c>
      <c r="P24" s="96">
        <f>IF($D24="","",IFERROR(COUNTIF(INDIRECT("'"&amp;$D24&amp;"'!$E$7:$E$500"),"Medium"),0))</f>
        <v/>
      </c>
      <c r="Q24" s="96">
        <f>IF($D24="","",IFERROR(COUNTIF(INDIRECT("'"&amp;$D24&amp;"'!$E$7:$E$500"),"Low"),0))</f>
        <v/>
      </c>
      <c r="R24" s="96">
        <f>IF($D24="","",IFERROR(COUNTIF(INDIRECT("'"&amp;$D24&amp;"'!$D$7:$D$500"),"Functional"),0))</f>
        <v/>
      </c>
      <c r="S24" s="96">
        <f>IF($D24="","",IFERROR(COUNTIF(INDIRECT("'"&amp;$D24&amp;"'!$D$7:$D$500"),"UI"),0))</f>
        <v/>
      </c>
      <c r="T24" s="96">
        <f>IF($D24="","",IFERROR(COUNTIF(INDIRECT("'"&amp;$D24&amp;"'!$D$7:$D$500"),"Integration"),0))</f>
        <v/>
      </c>
      <c r="U24" s="96">
        <f>IF($D24="","",IFERROR(COUNTIF(INDIRECT("'"&amp;$D24&amp;"'!$D$7:$D$500"),"Database Test Case"),0))</f>
        <v/>
      </c>
      <c r="V24" s="96">
        <f>IF($D24="","",IFERROR(COUNTIF(INDIRECT("'"&amp;$D24&amp;"'!$J$7:$J$500"),"AI"),0))</f>
        <v/>
      </c>
      <c r="W24" s="96">
        <f>IF($D24="","",IFERROR(COUNTIF(INDIRECT("'"&amp;$D24&amp;"'!$J$7:$J$500"),"QC"),0))</f>
        <v/>
      </c>
      <c r="X24" s="96">
        <f>IF($D24="","",IFERROR(COUNTIF(INDIRECT("'"&amp;$D24&amp;"'!$L$7:$L$500"),"Yes"),0))</f>
        <v/>
      </c>
      <c r="Y24" s="96">
        <f>IF($D24="","",IFERROR(COUNTIF(INDIRECT("'"&amp;$D24&amp;"'!$AR$7:$AR$500"),"Yes"),0))</f>
        <v/>
      </c>
      <c r="Z24" s="96">
        <f>IF($D24="","",IFERROR(COUNTIF(INDIRECT("'"&amp;$D24&amp;"'!$AS$7:$AS$500"),"Pass"),0))</f>
        <v/>
      </c>
      <c r="AA24" s="96">
        <f>IF($D24="","",IFERROR(COUNTIF(INDIRECT("'"&amp;$D24&amp;"'!$K$7:$K$500"),"Reviewed"),0))</f>
        <v/>
      </c>
      <c r="AB24" s="107">
        <f>IF($D24="","",IFERROR(COUNTIFS(INDIRECT("'"&amp;$D24&amp;"'!$E$7:$E$500"),"High",INDIRECT("'"&amp;$D24&amp;"'!$AT$7:$AT$500"),"?*"),0))</f>
        <v/>
      </c>
      <c r="AC24" s="107">
        <f>IF($D24="","",IFERROR(COUNTIFS(INDIRECT("'"&amp;$D24&amp;"'!$E$7:$E$500"),"Medium",INDIRECT("'"&amp;$D24&amp;"'!$AT$7:$AT$500"),"?*"),0))</f>
        <v/>
      </c>
      <c r="AD24" s="107">
        <f>IF($D24="","",IFERROR(COUNTIFS(INDIRECT("'"&amp;$D24&amp;"'!$E$7:$E$500"),"Low",INDIRECT("'"&amp;$D24&amp;"'!$AT$7:$AT$500"),"?*"),0))</f>
        <v/>
      </c>
      <c r="AE24" s="108">
        <f>IF($D24="","",IFERROR(COUNTIF(INDIRECT("'"&amp;$D24&amp;"'!$P$7:$P$500"),"?*"),0))</f>
        <v/>
      </c>
      <c r="AF24" s="108">
        <f>IF($D24="","",IFERROR(COUNTIF(INDIRECT("'"&amp;$D24&amp;"'!$P$7:$P$500"),"Pass"),0))</f>
        <v/>
      </c>
      <c r="AG24" s="108">
        <f>IF($D24="","",IFERROR(COUNTIF(INDIRECT("'"&amp;$D24&amp;"'!$P$7:$P$500"),"Fail"),0))</f>
        <v/>
      </c>
      <c r="AH24" s="108">
        <f>IF($D24="","",IFERROR(COUNTIF(INDIRECT("'"&amp;$D24&amp;"'!$P$7:$P$500"),"Block"),0))</f>
        <v/>
      </c>
      <c r="AI24" s="108">
        <f>IF($D24="","",IFERROR(COUNTIF(INDIRECT("'"&amp;$D24&amp;"'!$P$7:$P$500"),"N/A"),0))</f>
        <v/>
      </c>
      <c r="AJ24" s="108">
        <f>IF($D24="","",IFERROR(COUNTIF(INDIRECT("'"&amp;$D24&amp;"'!$V$7:$V$500"),"?*"),0))</f>
        <v/>
      </c>
      <c r="AK24" s="108">
        <f>IF($D24="","",IFERROR(COUNTIF(INDIRECT("'"&amp;$D24&amp;"'!$V$7:$V$500"),"Pass"),0))</f>
        <v/>
      </c>
      <c r="AL24" s="108">
        <f>IF($D24="","",IFERROR(COUNTIF(INDIRECT("'"&amp;$D24&amp;"'!$V$7:$V$500"),"Fail"),0))</f>
        <v/>
      </c>
      <c r="AM24" s="108">
        <f>IF($D24="","",IFERROR(COUNTIF(INDIRECT("'"&amp;$D24&amp;"'!$V$7:$V$500"),"Block"),0))</f>
        <v/>
      </c>
      <c r="AN24" s="108">
        <f>IF($D24="","",IFERROR(COUNTIF(INDIRECT("'"&amp;$D24&amp;"'!$V$7:$V$500"),"N/A"),0))</f>
        <v/>
      </c>
      <c r="AO24" s="108">
        <f>IF($D24="","",IFERROR(COUNTIF(INDIRECT("'"&amp;$D24&amp;"'!$AB$7:$AB$500"),"?*"),0))</f>
        <v/>
      </c>
      <c r="AP24" s="108">
        <f>IF($D24="","",IFERROR(COUNTIF(INDIRECT("'"&amp;$D24&amp;"'!$AB$7:$AB$500"),"Pass"),0))</f>
        <v/>
      </c>
      <c r="AQ24" s="108">
        <f>IF($D24="","",IFERROR(COUNTIF(INDIRECT("'"&amp;$D24&amp;"'!$AB$7:$AB$500"),"Fail"),0))</f>
        <v/>
      </c>
      <c r="AR24" s="108">
        <f>IF($D24="","",IFERROR(COUNTIF(INDIRECT("'"&amp;$D24&amp;"'!$AB$7:$AB$500"),"Block"),0))</f>
        <v/>
      </c>
      <c r="AS24" s="108">
        <f>IF($D24="","",IFERROR(COUNTIF(INDIRECT("'"&amp;$D24&amp;"'!$AB$7:$AB$500"),"N/A"),0))</f>
        <v/>
      </c>
      <c r="AT24" s="108">
        <f>IF($D24="","",IFERROR(COUNTIF(INDIRECT("'"&amp;$D24&amp;"'!$AH$7:$AH$500"),"?*"),0))</f>
        <v/>
      </c>
      <c r="AU24" s="108">
        <f>IF($D24="","",IFERROR(COUNTIF(INDIRECT("'"&amp;$D24&amp;"'!$AH$7:$AH$500"),"Pass"),0))</f>
        <v/>
      </c>
      <c r="AV24" s="108">
        <f>IF($D24="","",IFERROR(COUNTIF(INDIRECT("'"&amp;$D24&amp;"'!$AH$7:$AH$500"),"Fail"),0))</f>
        <v/>
      </c>
      <c r="AW24" s="108">
        <f>IF($D24="","",IFERROR(COUNTIF(INDIRECT("'"&amp;$D24&amp;"'!$AH$7:$AH$500"),"Block"),0))</f>
        <v/>
      </c>
      <c r="AX24" s="108">
        <f>IF($D24="","",IFERROR(COUNTIF(INDIRECT("'"&amp;$D24&amp;"'!$AH$7:$AH$500"),"N/A"),0))</f>
        <v/>
      </c>
      <c r="AY24" s="108">
        <f>IF($D24="","",IFERROR(COUNTIF(INDIRECT("'"&amp;$D24&amp;"'!$AN$7:$AN$500"),"?*"),0))</f>
        <v/>
      </c>
      <c r="AZ24" s="108">
        <f>IF($D24="","",IFERROR(COUNTIF(INDIRECT("'"&amp;$D24&amp;"'!$AN$7:$AN$500"),"Pass"),0))</f>
        <v/>
      </c>
      <c r="BA24" s="108">
        <f>IF($D24="","",IFERROR(COUNTIF(INDIRECT("'"&amp;$D24&amp;"'!$AN$7:$AN$500"),"Fail"),0))</f>
        <v/>
      </c>
      <c r="BB24" s="108">
        <f>IF($D24="","",IFERROR(COUNTIF(INDIRECT("'"&amp;$D24&amp;"'!$AN$7:$AN$500"),"Block"),0))</f>
        <v/>
      </c>
      <c r="BC24" s="109">
        <f>IF($D24="","",IFERROR(COUNTIF(INDIRECT("'"&amp;$D24&amp;"'!$AN$7:$AN$500"),"N/A"),0))</f>
        <v/>
      </c>
    </row>
    <row r="25" ht="15.75" customHeight="1" s="216">
      <c r="A25" s="1" t="n"/>
      <c r="B25" s="96">
        <f>IF($D25="","",ROW()-3)</f>
        <v/>
      </c>
      <c r="C25" s="97" t="n"/>
      <c r="D25" s="97" t="n"/>
      <c r="E25" s="98" t="n"/>
      <c r="F25" s="96">
        <f>IF($D25="","",IFERROR(COUNTIF(INDIRECT("'"&amp;$D25&amp;"'!$A$7:$A$500"),"?*"),0))</f>
        <v/>
      </c>
      <c r="G25" s="96">
        <f>IF($D25="","",IFERROR(COUNTIF(INDIRECT("'"&amp;$D25&amp;"'!$AT$7:$AT$500"),"Pass"),0))</f>
        <v/>
      </c>
      <c r="H25" s="96">
        <f>IF($D25="","",IFERROR(COUNTIF(INDIRECT("'"&amp;$D25&amp;"'!$AT$7:$AT$500"),"Fail"),0))</f>
        <v/>
      </c>
      <c r="I25" s="96">
        <f>IF($D25="","",IFERROR(COUNTIF(INDIRECT("'"&amp;$D25&amp;"'!$AT$7:$AT$500"),"Block"),0))</f>
        <v/>
      </c>
      <c r="J25" s="96">
        <f>IF($D25="","",IFERROR(COUNTIF(INDIRECT("'"&amp;$D25&amp;"'!$AT$7:$AT$500"),"N/A"),0))</f>
        <v/>
      </c>
      <c r="K25" s="96">
        <f>IF($D25="","",MAX(0,$F25-$G25-$H25-$I25-$J25))</f>
        <v/>
      </c>
      <c r="L25" s="96">
        <f>IF($D25="","",$G25+$H25+$I25+$J25)</f>
        <v/>
      </c>
      <c r="M25" s="99">
        <f>IF($D25="","",IFERROR($L25/$F25,0))</f>
        <v/>
      </c>
      <c r="N25" s="99">
        <f>IF($D25="","",IFERROR($G25/$L25,0))</f>
        <v/>
      </c>
      <c r="O25" s="96">
        <f>IF($D25="","",IFERROR(COUNTIF(INDIRECT("'"&amp;$D25&amp;"'!$E$7:$E$500"),"High"),0))</f>
        <v/>
      </c>
      <c r="P25" s="96">
        <f>IF($D25="","",IFERROR(COUNTIF(INDIRECT("'"&amp;$D25&amp;"'!$E$7:$E$500"),"Medium"),0))</f>
        <v/>
      </c>
      <c r="Q25" s="96">
        <f>IF($D25="","",IFERROR(COUNTIF(INDIRECT("'"&amp;$D25&amp;"'!$E$7:$E$500"),"Low"),0))</f>
        <v/>
      </c>
      <c r="R25" s="96">
        <f>IF($D25="","",IFERROR(COUNTIF(INDIRECT("'"&amp;$D25&amp;"'!$D$7:$D$500"),"Functional"),0))</f>
        <v/>
      </c>
      <c r="S25" s="96">
        <f>IF($D25="","",IFERROR(COUNTIF(INDIRECT("'"&amp;$D25&amp;"'!$D$7:$D$500"),"UI"),0))</f>
        <v/>
      </c>
      <c r="T25" s="96">
        <f>IF($D25="","",IFERROR(COUNTIF(INDIRECT("'"&amp;$D25&amp;"'!$D$7:$D$500"),"Integration"),0))</f>
        <v/>
      </c>
      <c r="U25" s="96">
        <f>IF($D25="","",IFERROR(COUNTIF(INDIRECT("'"&amp;$D25&amp;"'!$D$7:$D$500"),"Database Test Case"),0))</f>
        <v/>
      </c>
      <c r="V25" s="96">
        <f>IF($D25="","",IFERROR(COUNTIF(INDIRECT("'"&amp;$D25&amp;"'!$J$7:$J$500"),"AI"),0))</f>
        <v/>
      </c>
      <c r="W25" s="96">
        <f>IF($D25="","",IFERROR(COUNTIF(INDIRECT("'"&amp;$D25&amp;"'!$J$7:$J$500"),"QC"),0))</f>
        <v/>
      </c>
      <c r="X25" s="96">
        <f>IF($D25="","",IFERROR(COUNTIF(INDIRECT("'"&amp;$D25&amp;"'!$L$7:$L$500"),"Yes"),0))</f>
        <v/>
      </c>
      <c r="Y25" s="96">
        <f>IF($D25="","",IFERROR(COUNTIF(INDIRECT("'"&amp;$D25&amp;"'!$AR$7:$AR$500"),"Yes"),0))</f>
        <v/>
      </c>
      <c r="Z25" s="96">
        <f>IF($D25="","",IFERROR(COUNTIF(INDIRECT("'"&amp;$D25&amp;"'!$AS$7:$AS$500"),"Pass"),0))</f>
        <v/>
      </c>
      <c r="AA25" s="96">
        <f>IF($D25="","",IFERROR(COUNTIF(INDIRECT("'"&amp;$D25&amp;"'!$K$7:$K$500"),"Reviewed"),0))</f>
        <v/>
      </c>
      <c r="AB25" s="107">
        <f>IF($D25="","",IFERROR(COUNTIFS(INDIRECT("'"&amp;$D25&amp;"'!$E$7:$E$500"),"High",INDIRECT("'"&amp;$D25&amp;"'!$AT$7:$AT$500"),"?*"),0))</f>
        <v/>
      </c>
      <c r="AC25" s="107">
        <f>IF($D25="","",IFERROR(COUNTIFS(INDIRECT("'"&amp;$D25&amp;"'!$E$7:$E$500"),"Medium",INDIRECT("'"&amp;$D25&amp;"'!$AT$7:$AT$500"),"?*"),0))</f>
        <v/>
      </c>
      <c r="AD25" s="107">
        <f>IF($D25="","",IFERROR(COUNTIFS(INDIRECT("'"&amp;$D25&amp;"'!$E$7:$E$500"),"Low",INDIRECT("'"&amp;$D25&amp;"'!$AT$7:$AT$500"),"?*"),0))</f>
        <v/>
      </c>
      <c r="AE25" s="108">
        <f>IF($D25="","",IFERROR(COUNTIF(INDIRECT("'"&amp;$D25&amp;"'!$P$7:$P$500"),"?*"),0))</f>
        <v/>
      </c>
      <c r="AF25" s="108">
        <f>IF($D25="","",IFERROR(COUNTIF(INDIRECT("'"&amp;$D25&amp;"'!$P$7:$P$500"),"Pass"),0))</f>
        <v/>
      </c>
      <c r="AG25" s="108">
        <f>IF($D25="","",IFERROR(COUNTIF(INDIRECT("'"&amp;$D25&amp;"'!$P$7:$P$500"),"Fail"),0))</f>
        <v/>
      </c>
      <c r="AH25" s="108">
        <f>IF($D25="","",IFERROR(COUNTIF(INDIRECT("'"&amp;$D25&amp;"'!$P$7:$P$500"),"Block"),0))</f>
        <v/>
      </c>
      <c r="AI25" s="108">
        <f>IF($D25="","",IFERROR(COUNTIF(INDIRECT("'"&amp;$D25&amp;"'!$P$7:$P$500"),"N/A"),0))</f>
        <v/>
      </c>
      <c r="AJ25" s="108">
        <f>IF($D25="","",IFERROR(COUNTIF(INDIRECT("'"&amp;$D25&amp;"'!$V$7:$V$500"),"?*"),0))</f>
        <v/>
      </c>
      <c r="AK25" s="108">
        <f>IF($D25="","",IFERROR(COUNTIF(INDIRECT("'"&amp;$D25&amp;"'!$V$7:$V$500"),"Pass"),0))</f>
        <v/>
      </c>
      <c r="AL25" s="108">
        <f>IF($D25="","",IFERROR(COUNTIF(INDIRECT("'"&amp;$D25&amp;"'!$V$7:$V$500"),"Fail"),0))</f>
        <v/>
      </c>
      <c r="AM25" s="108">
        <f>IF($D25="","",IFERROR(COUNTIF(INDIRECT("'"&amp;$D25&amp;"'!$V$7:$V$500"),"Block"),0))</f>
        <v/>
      </c>
      <c r="AN25" s="108">
        <f>IF($D25="","",IFERROR(COUNTIF(INDIRECT("'"&amp;$D25&amp;"'!$V$7:$V$500"),"N/A"),0))</f>
        <v/>
      </c>
      <c r="AO25" s="108">
        <f>IF($D25="","",IFERROR(COUNTIF(INDIRECT("'"&amp;$D25&amp;"'!$AB$7:$AB$500"),"?*"),0))</f>
        <v/>
      </c>
      <c r="AP25" s="108">
        <f>IF($D25="","",IFERROR(COUNTIF(INDIRECT("'"&amp;$D25&amp;"'!$AB$7:$AB$500"),"Pass"),0))</f>
        <v/>
      </c>
      <c r="AQ25" s="108">
        <f>IF($D25="","",IFERROR(COUNTIF(INDIRECT("'"&amp;$D25&amp;"'!$AB$7:$AB$500"),"Fail"),0))</f>
        <v/>
      </c>
      <c r="AR25" s="108">
        <f>IF($D25="","",IFERROR(COUNTIF(INDIRECT("'"&amp;$D25&amp;"'!$AB$7:$AB$500"),"Block"),0))</f>
        <v/>
      </c>
      <c r="AS25" s="108">
        <f>IF($D25="","",IFERROR(COUNTIF(INDIRECT("'"&amp;$D25&amp;"'!$AB$7:$AB$500"),"N/A"),0))</f>
        <v/>
      </c>
      <c r="AT25" s="108">
        <f>IF($D25="","",IFERROR(COUNTIF(INDIRECT("'"&amp;$D25&amp;"'!$AH$7:$AH$500"),"?*"),0))</f>
        <v/>
      </c>
      <c r="AU25" s="108">
        <f>IF($D25="","",IFERROR(COUNTIF(INDIRECT("'"&amp;$D25&amp;"'!$AH$7:$AH$500"),"Pass"),0))</f>
        <v/>
      </c>
      <c r="AV25" s="108">
        <f>IF($D25="","",IFERROR(COUNTIF(INDIRECT("'"&amp;$D25&amp;"'!$AH$7:$AH$500"),"Fail"),0))</f>
        <v/>
      </c>
      <c r="AW25" s="108">
        <f>IF($D25="","",IFERROR(COUNTIF(INDIRECT("'"&amp;$D25&amp;"'!$AH$7:$AH$500"),"Block"),0))</f>
        <v/>
      </c>
      <c r="AX25" s="108">
        <f>IF($D25="","",IFERROR(COUNTIF(INDIRECT("'"&amp;$D25&amp;"'!$AH$7:$AH$500"),"N/A"),0))</f>
        <v/>
      </c>
      <c r="AY25" s="108">
        <f>IF($D25="","",IFERROR(COUNTIF(INDIRECT("'"&amp;$D25&amp;"'!$AN$7:$AN$500"),"?*"),0))</f>
        <v/>
      </c>
      <c r="AZ25" s="108">
        <f>IF($D25="","",IFERROR(COUNTIF(INDIRECT("'"&amp;$D25&amp;"'!$AN$7:$AN$500"),"Pass"),0))</f>
        <v/>
      </c>
      <c r="BA25" s="108">
        <f>IF($D25="","",IFERROR(COUNTIF(INDIRECT("'"&amp;$D25&amp;"'!$AN$7:$AN$500"),"Fail"),0))</f>
        <v/>
      </c>
      <c r="BB25" s="108">
        <f>IF($D25="","",IFERROR(COUNTIF(INDIRECT("'"&amp;$D25&amp;"'!$AN$7:$AN$500"),"Block"),0))</f>
        <v/>
      </c>
      <c r="BC25" s="109">
        <f>IF($D25="","",IFERROR(COUNTIF(INDIRECT("'"&amp;$D25&amp;"'!$AN$7:$AN$500"),"N/A"),0))</f>
        <v/>
      </c>
    </row>
    <row r="26" ht="15.75" customHeight="1" s="216">
      <c r="A26" s="1" t="n"/>
      <c r="B26" s="96">
        <f>IF($D26="","",ROW()-3)</f>
        <v/>
      </c>
      <c r="C26" s="97" t="n"/>
      <c r="D26" s="97" t="n"/>
      <c r="E26" s="98" t="n"/>
      <c r="F26" s="96">
        <f>IF($D26="","",IFERROR(COUNTIF(INDIRECT("'"&amp;$D26&amp;"'!$A$7:$A$500"),"?*"),0))</f>
        <v/>
      </c>
      <c r="G26" s="96">
        <f>IF($D26="","",IFERROR(COUNTIF(INDIRECT("'"&amp;$D26&amp;"'!$AT$7:$AT$500"),"Pass"),0))</f>
        <v/>
      </c>
      <c r="H26" s="96">
        <f>IF($D26="","",IFERROR(COUNTIF(INDIRECT("'"&amp;$D26&amp;"'!$AT$7:$AT$500"),"Fail"),0))</f>
        <v/>
      </c>
      <c r="I26" s="96">
        <f>IF($D26="","",IFERROR(COUNTIF(INDIRECT("'"&amp;$D26&amp;"'!$AT$7:$AT$500"),"Block"),0))</f>
        <v/>
      </c>
      <c r="J26" s="96">
        <f>IF($D26="","",IFERROR(COUNTIF(INDIRECT("'"&amp;$D26&amp;"'!$AT$7:$AT$500"),"N/A"),0))</f>
        <v/>
      </c>
      <c r="K26" s="96">
        <f>IF($D26="","",MAX(0,$F26-$G26-$H26-$I26-$J26))</f>
        <v/>
      </c>
      <c r="L26" s="96">
        <f>IF($D26="","",$G26+$H26+$I26+$J26)</f>
        <v/>
      </c>
      <c r="M26" s="99">
        <f>IF($D26="","",IFERROR($L26/$F26,0))</f>
        <v/>
      </c>
      <c r="N26" s="99">
        <f>IF($D26="","",IFERROR($G26/$L26,0))</f>
        <v/>
      </c>
      <c r="O26" s="96">
        <f>IF($D26="","",IFERROR(COUNTIF(INDIRECT("'"&amp;$D26&amp;"'!$E$7:$E$500"),"High"),0))</f>
        <v/>
      </c>
      <c r="P26" s="96">
        <f>IF($D26="","",IFERROR(COUNTIF(INDIRECT("'"&amp;$D26&amp;"'!$E$7:$E$500"),"Medium"),0))</f>
        <v/>
      </c>
      <c r="Q26" s="96">
        <f>IF($D26="","",IFERROR(COUNTIF(INDIRECT("'"&amp;$D26&amp;"'!$E$7:$E$500"),"Low"),0))</f>
        <v/>
      </c>
      <c r="R26" s="96">
        <f>IF($D26="","",IFERROR(COUNTIF(INDIRECT("'"&amp;$D26&amp;"'!$D$7:$D$500"),"Functional"),0))</f>
        <v/>
      </c>
      <c r="S26" s="96">
        <f>IF($D26="","",IFERROR(COUNTIF(INDIRECT("'"&amp;$D26&amp;"'!$D$7:$D$500"),"UI"),0))</f>
        <v/>
      </c>
      <c r="T26" s="96">
        <f>IF($D26="","",IFERROR(COUNTIF(INDIRECT("'"&amp;$D26&amp;"'!$D$7:$D$500"),"Integration"),0))</f>
        <v/>
      </c>
      <c r="U26" s="96">
        <f>IF($D26="","",IFERROR(COUNTIF(INDIRECT("'"&amp;$D26&amp;"'!$D$7:$D$500"),"Database Test Case"),0))</f>
        <v/>
      </c>
      <c r="V26" s="96">
        <f>IF($D26="","",IFERROR(COUNTIF(INDIRECT("'"&amp;$D26&amp;"'!$J$7:$J$500"),"AI"),0))</f>
        <v/>
      </c>
      <c r="W26" s="96">
        <f>IF($D26="","",IFERROR(COUNTIF(INDIRECT("'"&amp;$D26&amp;"'!$J$7:$J$500"),"QC"),0))</f>
        <v/>
      </c>
      <c r="X26" s="96">
        <f>IF($D26="","",IFERROR(COUNTIF(INDIRECT("'"&amp;$D26&amp;"'!$L$7:$L$500"),"Yes"),0))</f>
        <v/>
      </c>
      <c r="Y26" s="96">
        <f>IF($D26="","",IFERROR(COUNTIF(INDIRECT("'"&amp;$D26&amp;"'!$AR$7:$AR$500"),"Yes"),0))</f>
        <v/>
      </c>
      <c r="Z26" s="96">
        <f>IF($D26="","",IFERROR(COUNTIF(INDIRECT("'"&amp;$D26&amp;"'!$AS$7:$AS$500"),"Pass"),0))</f>
        <v/>
      </c>
      <c r="AA26" s="96">
        <f>IF($D26="","",IFERROR(COUNTIF(INDIRECT("'"&amp;$D26&amp;"'!$K$7:$K$500"),"Reviewed"),0))</f>
        <v/>
      </c>
      <c r="AB26" s="107">
        <f>IF($D26="","",IFERROR(COUNTIFS(INDIRECT("'"&amp;$D26&amp;"'!$E$7:$E$500"),"High",INDIRECT("'"&amp;$D26&amp;"'!$AT$7:$AT$500"),"?*"),0))</f>
        <v/>
      </c>
      <c r="AC26" s="107">
        <f>IF($D26="","",IFERROR(COUNTIFS(INDIRECT("'"&amp;$D26&amp;"'!$E$7:$E$500"),"Medium",INDIRECT("'"&amp;$D26&amp;"'!$AT$7:$AT$500"),"?*"),0))</f>
        <v/>
      </c>
      <c r="AD26" s="107">
        <f>IF($D26="","",IFERROR(COUNTIFS(INDIRECT("'"&amp;$D26&amp;"'!$E$7:$E$500"),"Low",INDIRECT("'"&amp;$D26&amp;"'!$AT$7:$AT$500"),"?*"),0))</f>
        <v/>
      </c>
      <c r="AE26" s="108">
        <f>IF($D26="","",IFERROR(COUNTIF(INDIRECT("'"&amp;$D26&amp;"'!$P$7:$P$500"),"?*"),0))</f>
        <v/>
      </c>
      <c r="AF26" s="108">
        <f>IF($D26="","",IFERROR(COUNTIF(INDIRECT("'"&amp;$D26&amp;"'!$P$7:$P$500"),"Pass"),0))</f>
        <v/>
      </c>
      <c r="AG26" s="108">
        <f>IF($D26="","",IFERROR(COUNTIF(INDIRECT("'"&amp;$D26&amp;"'!$P$7:$P$500"),"Fail"),0))</f>
        <v/>
      </c>
      <c r="AH26" s="108">
        <f>IF($D26="","",IFERROR(COUNTIF(INDIRECT("'"&amp;$D26&amp;"'!$P$7:$P$500"),"Block"),0))</f>
        <v/>
      </c>
      <c r="AI26" s="108">
        <f>IF($D26="","",IFERROR(COUNTIF(INDIRECT("'"&amp;$D26&amp;"'!$P$7:$P$500"),"N/A"),0))</f>
        <v/>
      </c>
      <c r="AJ26" s="108">
        <f>IF($D26="","",IFERROR(COUNTIF(INDIRECT("'"&amp;$D26&amp;"'!$V$7:$V$500"),"?*"),0))</f>
        <v/>
      </c>
      <c r="AK26" s="108">
        <f>IF($D26="","",IFERROR(COUNTIF(INDIRECT("'"&amp;$D26&amp;"'!$V$7:$V$500"),"Pass"),0))</f>
        <v/>
      </c>
      <c r="AL26" s="108">
        <f>IF($D26="","",IFERROR(COUNTIF(INDIRECT("'"&amp;$D26&amp;"'!$V$7:$V$500"),"Fail"),0))</f>
        <v/>
      </c>
      <c r="AM26" s="108">
        <f>IF($D26="","",IFERROR(COUNTIF(INDIRECT("'"&amp;$D26&amp;"'!$V$7:$V$500"),"Block"),0))</f>
        <v/>
      </c>
      <c r="AN26" s="108">
        <f>IF($D26="","",IFERROR(COUNTIF(INDIRECT("'"&amp;$D26&amp;"'!$V$7:$V$500"),"N/A"),0))</f>
        <v/>
      </c>
      <c r="AO26" s="108">
        <f>IF($D26="","",IFERROR(COUNTIF(INDIRECT("'"&amp;$D26&amp;"'!$AB$7:$AB$500"),"?*"),0))</f>
        <v/>
      </c>
      <c r="AP26" s="108">
        <f>IF($D26="","",IFERROR(COUNTIF(INDIRECT("'"&amp;$D26&amp;"'!$AB$7:$AB$500"),"Pass"),0))</f>
        <v/>
      </c>
      <c r="AQ26" s="108">
        <f>IF($D26="","",IFERROR(COUNTIF(INDIRECT("'"&amp;$D26&amp;"'!$AB$7:$AB$500"),"Fail"),0))</f>
        <v/>
      </c>
      <c r="AR26" s="108">
        <f>IF($D26="","",IFERROR(COUNTIF(INDIRECT("'"&amp;$D26&amp;"'!$AB$7:$AB$500"),"Block"),0))</f>
        <v/>
      </c>
      <c r="AS26" s="108">
        <f>IF($D26="","",IFERROR(COUNTIF(INDIRECT("'"&amp;$D26&amp;"'!$AB$7:$AB$500"),"N/A"),0))</f>
        <v/>
      </c>
      <c r="AT26" s="108">
        <f>IF($D26="","",IFERROR(COUNTIF(INDIRECT("'"&amp;$D26&amp;"'!$AH$7:$AH$500"),"?*"),0))</f>
        <v/>
      </c>
      <c r="AU26" s="108">
        <f>IF($D26="","",IFERROR(COUNTIF(INDIRECT("'"&amp;$D26&amp;"'!$AH$7:$AH$500"),"Pass"),0))</f>
        <v/>
      </c>
      <c r="AV26" s="108">
        <f>IF($D26="","",IFERROR(COUNTIF(INDIRECT("'"&amp;$D26&amp;"'!$AH$7:$AH$500"),"Fail"),0))</f>
        <v/>
      </c>
      <c r="AW26" s="108">
        <f>IF($D26="","",IFERROR(COUNTIF(INDIRECT("'"&amp;$D26&amp;"'!$AH$7:$AH$500"),"Block"),0))</f>
        <v/>
      </c>
      <c r="AX26" s="108">
        <f>IF($D26="","",IFERROR(COUNTIF(INDIRECT("'"&amp;$D26&amp;"'!$AH$7:$AH$500"),"N/A"),0))</f>
        <v/>
      </c>
      <c r="AY26" s="108">
        <f>IF($D26="","",IFERROR(COUNTIF(INDIRECT("'"&amp;$D26&amp;"'!$AN$7:$AN$500"),"?*"),0))</f>
        <v/>
      </c>
      <c r="AZ26" s="108">
        <f>IF($D26="","",IFERROR(COUNTIF(INDIRECT("'"&amp;$D26&amp;"'!$AN$7:$AN$500"),"Pass"),0))</f>
        <v/>
      </c>
      <c r="BA26" s="108">
        <f>IF($D26="","",IFERROR(COUNTIF(INDIRECT("'"&amp;$D26&amp;"'!$AN$7:$AN$500"),"Fail"),0))</f>
        <v/>
      </c>
      <c r="BB26" s="108">
        <f>IF($D26="","",IFERROR(COUNTIF(INDIRECT("'"&amp;$D26&amp;"'!$AN$7:$AN$500"),"Block"),0))</f>
        <v/>
      </c>
      <c r="BC26" s="109">
        <f>IF($D26="","",IFERROR(COUNTIF(INDIRECT("'"&amp;$D26&amp;"'!$AN$7:$AN$500"),"N/A"),0))</f>
        <v/>
      </c>
    </row>
    <row r="27" ht="15.75" customHeight="1" s="216">
      <c r="A27" s="1" t="n"/>
      <c r="B27" s="96">
        <f>IF($D27="","",ROW()-3)</f>
        <v/>
      </c>
      <c r="C27" s="97" t="n"/>
      <c r="D27" s="97" t="n"/>
      <c r="E27" s="98" t="n"/>
      <c r="F27" s="96">
        <f>IF($D27="","",IFERROR(COUNTIF(INDIRECT("'"&amp;$D27&amp;"'!$A$7:$A$500"),"?*"),0))</f>
        <v/>
      </c>
      <c r="G27" s="96">
        <f>IF($D27="","",IFERROR(COUNTIF(INDIRECT("'"&amp;$D27&amp;"'!$AT$7:$AT$500"),"Pass"),0))</f>
        <v/>
      </c>
      <c r="H27" s="96">
        <f>IF($D27="","",IFERROR(COUNTIF(INDIRECT("'"&amp;$D27&amp;"'!$AT$7:$AT$500"),"Fail"),0))</f>
        <v/>
      </c>
      <c r="I27" s="96">
        <f>IF($D27="","",IFERROR(COUNTIF(INDIRECT("'"&amp;$D27&amp;"'!$AT$7:$AT$500"),"Block"),0))</f>
        <v/>
      </c>
      <c r="J27" s="96">
        <f>IF($D27="","",IFERROR(COUNTIF(INDIRECT("'"&amp;$D27&amp;"'!$AT$7:$AT$500"),"N/A"),0))</f>
        <v/>
      </c>
      <c r="K27" s="96">
        <f>IF($D27="","",MAX(0,$F27-$G27-$H27-$I27-$J27))</f>
        <v/>
      </c>
      <c r="L27" s="96">
        <f>IF($D27="","",$G27+$H27+$I27+$J27)</f>
        <v/>
      </c>
      <c r="M27" s="99">
        <f>IF($D27="","",IFERROR($L27/$F27,0))</f>
        <v/>
      </c>
      <c r="N27" s="99">
        <f>IF($D27="","",IFERROR($G27/$L27,0))</f>
        <v/>
      </c>
      <c r="O27" s="96">
        <f>IF($D27="","",IFERROR(COUNTIF(INDIRECT("'"&amp;$D27&amp;"'!$E$7:$E$500"),"High"),0))</f>
        <v/>
      </c>
      <c r="P27" s="96">
        <f>IF($D27="","",IFERROR(COUNTIF(INDIRECT("'"&amp;$D27&amp;"'!$E$7:$E$500"),"Medium"),0))</f>
        <v/>
      </c>
      <c r="Q27" s="96">
        <f>IF($D27="","",IFERROR(COUNTIF(INDIRECT("'"&amp;$D27&amp;"'!$E$7:$E$500"),"Low"),0))</f>
        <v/>
      </c>
      <c r="R27" s="96">
        <f>IF($D27="","",IFERROR(COUNTIF(INDIRECT("'"&amp;$D27&amp;"'!$D$7:$D$500"),"Functional"),0))</f>
        <v/>
      </c>
      <c r="S27" s="96">
        <f>IF($D27="","",IFERROR(COUNTIF(INDIRECT("'"&amp;$D27&amp;"'!$D$7:$D$500"),"UI"),0))</f>
        <v/>
      </c>
      <c r="T27" s="96">
        <f>IF($D27="","",IFERROR(COUNTIF(INDIRECT("'"&amp;$D27&amp;"'!$D$7:$D$500"),"Integration"),0))</f>
        <v/>
      </c>
      <c r="U27" s="96">
        <f>IF($D27="","",IFERROR(COUNTIF(INDIRECT("'"&amp;$D27&amp;"'!$D$7:$D$500"),"Database Test Case"),0))</f>
        <v/>
      </c>
      <c r="V27" s="96">
        <f>IF($D27="","",IFERROR(COUNTIF(INDIRECT("'"&amp;$D27&amp;"'!$J$7:$J$500"),"AI"),0))</f>
        <v/>
      </c>
      <c r="W27" s="96">
        <f>IF($D27="","",IFERROR(COUNTIF(INDIRECT("'"&amp;$D27&amp;"'!$J$7:$J$500"),"QC"),0))</f>
        <v/>
      </c>
      <c r="X27" s="96">
        <f>IF($D27="","",IFERROR(COUNTIF(INDIRECT("'"&amp;$D27&amp;"'!$L$7:$L$500"),"Yes"),0))</f>
        <v/>
      </c>
      <c r="Y27" s="96">
        <f>IF($D27="","",IFERROR(COUNTIF(INDIRECT("'"&amp;$D27&amp;"'!$AR$7:$AR$500"),"Yes"),0))</f>
        <v/>
      </c>
      <c r="Z27" s="96">
        <f>IF($D27="","",IFERROR(COUNTIF(INDIRECT("'"&amp;$D27&amp;"'!$AS$7:$AS$500"),"Pass"),0))</f>
        <v/>
      </c>
      <c r="AA27" s="96">
        <f>IF($D27="","",IFERROR(COUNTIF(INDIRECT("'"&amp;$D27&amp;"'!$K$7:$K$500"),"Reviewed"),0))</f>
        <v/>
      </c>
      <c r="AB27" s="107">
        <f>IF($D27="","",IFERROR(COUNTIFS(INDIRECT("'"&amp;$D27&amp;"'!$E$7:$E$500"),"High",INDIRECT("'"&amp;$D27&amp;"'!$AT$7:$AT$500"),"?*"),0))</f>
        <v/>
      </c>
      <c r="AC27" s="107">
        <f>IF($D27="","",IFERROR(COUNTIFS(INDIRECT("'"&amp;$D27&amp;"'!$E$7:$E$500"),"Medium",INDIRECT("'"&amp;$D27&amp;"'!$AT$7:$AT$500"),"?*"),0))</f>
        <v/>
      </c>
      <c r="AD27" s="107">
        <f>IF($D27="","",IFERROR(COUNTIFS(INDIRECT("'"&amp;$D27&amp;"'!$E$7:$E$500"),"Low",INDIRECT("'"&amp;$D27&amp;"'!$AT$7:$AT$500"),"?*"),0))</f>
        <v/>
      </c>
      <c r="AE27" s="108">
        <f>IF($D27="","",IFERROR(COUNTIF(INDIRECT("'"&amp;$D27&amp;"'!$P$7:$P$500"),"?*"),0))</f>
        <v/>
      </c>
      <c r="AF27" s="108">
        <f>IF($D27="","",IFERROR(COUNTIF(INDIRECT("'"&amp;$D27&amp;"'!$P$7:$P$500"),"Pass"),0))</f>
        <v/>
      </c>
      <c r="AG27" s="108">
        <f>IF($D27="","",IFERROR(COUNTIF(INDIRECT("'"&amp;$D27&amp;"'!$P$7:$P$500"),"Fail"),0))</f>
        <v/>
      </c>
      <c r="AH27" s="108">
        <f>IF($D27="","",IFERROR(COUNTIF(INDIRECT("'"&amp;$D27&amp;"'!$P$7:$P$500"),"Block"),0))</f>
        <v/>
      </c>
      <c r="AI27" s="108">
        <f>IF($D27="","",IFERROR(COUNTIF(INDIRECT("'"&amp;$D27&amp;"'!$P$7:$P$500"),"N/A"),0))</f>
        <v/>
      </c>
      <c r="AJ27" s="108">
        <f>IF($D27="","",IFERROR(COUNTIF(INDIRECT("'"&amp;$D27&amp;"'!$V$7:$V$500"),"?*"),0))</f>
        <v/>
      </c>
      <c r="AK27" s="108">
        <f>IF($D27="","",IFERROR(COUNTIF(INDIRECT("'"&amp;$D27&amp;"'!$V$7:$V$500"),"Pass"),0))</f>
        <v/>
      </c>
      <c r="AL27" s="108">
        <f>IF($D27="","",IFERROR(COUNTIF(INDIRECT("'"&amp;$D27&amp;"'!$V$7:$V$500"),"Fail"),0))</f>
        <v/>
      </c>
      <c r="AM27" s="108">
        <f>IF($D27="","",IFERROR(COUNTIF(INDIRECT("'"&amp;$D27&amp;"'!$V$7:$V$500"),"Block"),0))</f>
        <v/>
      </c>
      <c r="AN27" s="108">
        <f>IF($D27="","",IFERROR(COUNTIF(INDIRECT("'"&amp;$D27&amp;"'!$V$7:$V$500"),"N/A"),0))</f>
        <v/>
      </c>
      <c r="AO27" s="108">
        <f>IF($D27="","",IFERROR(COUNTIF(INDIRECT("'"&amp;$D27&amp;"'!$AB$7:$AB$500"),"?*"),0))</f>
        <v/>
      </c>
      <c r="AP27" s="108">
        <f>IF($D27="","",IFERROR(COUNTIF(INDIRECT("'"&amp;$D27&amp;"'!$AB$7:$AB$500"),"Pass"),0))</f>
        <v/>
      </c>
      <c r="AQ27" s="108">
        <f>IF($D27="","",IFERROR(COUNTIF(INDIRECT("'"&amp;$D27&amp;"'!$AB$7:$AB$500"),"Fail"),0))</f>
        <v/>
      </c>
      <c r="AR27" s="108">
        <f>IF($D27="","",IFERROR(COUNTIF(INDIRECT("'"&amp;$D27&amp;"'!$AB$7:$AB$500"),"Block"),0))</f>
        <v/>
      </c>
      <c r="AS27" s="108">
        <f>IF($D27="","",IFERROR(COUNTIF(INDIRECT("'"&amp;$D27&amp;"'!$AB$7:$AB$500"),"N/A"),0))</f>
        <v/>
      </c>
      <c r="AT27" s="108">
        <f>IF($D27="","",IFERROR(COUNTIF(INDIRECT("'"&amp;$D27&amp;"'!$AH$7:$AH$500"),"?*"),0))</f>
        <v/>
      </c>
      <c r="AU27" s="108">
        <f>IF($D27="","",IFERROR(COUNTIF(INDIRECT("'"&amp;$D27&amp;"'!$AH$7:$AH$500"),"Pass"),0))</f>
        <v/>
      </c>
      <c r="AV27" s="108">
        <f>IF($D27="","",IFERROR(COUNTIF(INDIRECT("'"&amp;$D27&amp;"'!$AH$7:$AH$500"),"Fail"),0))</f>
        <v/>
      </c>
      <c r="AW27" s="108">
        <f>IF($D27="","",IFERROR(COUNTIF(INDIRECT("'"&amp;$D27&amp;"'!$AH$7:$AH$500"),"Block"),0))</f>
        <v/>
      </c>
      <c r="AX27" s="108">
        <f>IF($D27="","",IFERROR(COUNTIF(INDIRECT("'"&amp;$D27&amp;"'!$AH$7:$AH$500"),"N/A"),0))</f>
        <v/>
      </c>
      <c r="AY27" s="108">
        <f>IF($D27="","",IFERROR(COUNTIF(INDIRECT("'"&amp;$D27&amp;"'!$AN$7:$AN$500"),"?*"),0))</f>
        <v/>
      </c>
      <c r="AZ27" s="108">
        <f>IF($D27="","",IFERROR(COUNTIF(INDIRECT("'"&amp;$D27&amp;"'!$AN$7:$AN$500"),"Pass"),0))</f>
        <v/>
      </c>
      <c r="BA27" s="108">
        <f>IF($D27="","",IFERROR(COUNTIF(INDIRECT("'"&amp;$D27&amp;"'!$AN$7:$AN$500"),"Fail"),0))</f>
        <v/>
      </c>
      <c r="BB27" s="108">
        <f>IF($D27="","",IFERROR(COUNTIF(INDIRECT("'"&amp;$D27&amp;"'!$AN$7:$AN$500"),"Block"),0))</f>
        <v/>
      </c>
      <c r="BC27" s="109">
        <f>IF($D27="","",IFERROR(COUNTIF(INDIRECT("'"&amp;$D27&amp;"'!$AN$7:$AN$500"),"N/A"),0))</f>
        <v/>
      </c>
    </row>
    <row r="28" ht="15.75" customHeight="1" s="216">
      <c r="A28" s="1" t="n"/>
      <c r="B28" s="96">
        <f>IF($D28="","",ROW()-3)</f>
        <v/>
      </c>
      <c r="C28" s="97" t="n"/>
      <c r="D28" s="97" t="n"/>
      <c r="E28" s="98" t="n"/>
      <c r="F28" s="96">
        <f>IF($D28="","",IFERROR(COUNTIF(INDIRECT("'"&amp;$D28&amp;"'!$A$7:$A$500"),"?*"),0))</f>
        <v/>
      </c>
      <c r="G28" s="96">
        <f>IF($D28="","",IFERROR(COUNTIF(INDIRECT("'"&amp;$D28&amp;"'!$AT$7:$AT$500"),"Pass"),0))</f>
        <v/>
      </c>
      <c r="H28" s="96">
        <f>IF($D28="","",IFERROR(COUNTIF(INDIRECT("'"&amp;$D28&amp;"'!$AT$7:$AT$500"),"Fail"),0))</f>
        <v/>
      </c>
      <c r="I28" s="96">
        <f>IF($D28="","",IFERROR(COUNTIF(INDIRECT("'"&amp;$D28&amp;"'!$AT$7:$AT$500"),"Block"),0))</f>
        <v/>
      </c>
      <c r="J28" s="96">
        <f>IF($D28="","",IFERROR(COUNTIF(INDIRECT("'"&amp;$D28&amp;"'!$AT$7:$AT$500"),"N/A"),0))</f>
        <v/>
      </c>
      <c r="K28" s="96">
        <f>IF($D28="","",MAX(0,$F28-$G28-$H28-$I28-$J28))</f>
        <v/>
      </c>
      <c r="L28" s="96">
        <f>IF($D28="","",$G28+$H28+$I28+$J28)</f>
        <v/>
      </c>
      <c r="M28" s="99">
        <f>IF($D28="","",IFERROR($L28/$F28,0))</f>
        <v/>
      </c>
      <c r="N28" s="99">
        <f>IF($D28="","",IFERROR($G28/$L28,0))</f>
        <v/>
      </c>
      <c r="O28" s="96">
        <f>IF($D28="","",IFERROR(COUNTIF(INDIRECT("'"&amp;$D28&amp;"'!$E$7:$E$500"),"High"),0))</f>
        <v/>
      </c>
      <c r="P28" s="96">
        <f>IF($D28="","",IFERROR(COUNTIF(INDIRECT("'"&amp;$D28&amp;"'!$E$7:$E$500"),"Medium"),0))</f>
        <v/>
      </c>
      <c r="Q28" s="96">
        <f>IF($D28="","",IFERROR(COUNTIF(INDIRECT("'"&amp;$D28&amp;"'!$E$7:$E$500"),"Low"),0))</f>
        <v/>
      </c>
      <c r="R28" s="96">
        <f>IF($D28="","",IFERROR(COUNTIF(INDIRECT("'"&amp;$D28&amp;"'!$D$7:$D$500"),"Functional"),0))</f>
        <v/>
      </c>
      <c r="S28" s="96">
        <f>IF($D28="","",IFERROR(COUNTIF(INDIRECT("'"&amp;$D28&amp;"'!$D$7:$D$500"),"UI"),0))</f>
        <v/>
      </c>
      <c r="T28" s="96">
        <f>IF($D28="","",IFERROR(COUNTIF(INDIRECT("'"&amp;$D28&amp;"'!$D$7:$D$500"),"Integration"),0))</f>
        <v/>
      </c>
      <c r="U28" s="96">
        <f>IF($D28="","",IFERROR(COUNTIF(INDIRECT("'"&amp;$D28&amp;"'!$D$7:$D$500"),"Database Test Case"),0))</f>
        <v/>
      </c>
      <c r="V28" s="96">
        <f>IF($D28="","",IFERROR(COUNTIF(INDIRECT("'"&amp;$D28&amp;"'!$J$7:$J$500"),"AI"),0))</f>
        <v/>
      </c>
      <c r="W28" s="96">
        <f>IF($D28="","",IFERROR(COUNTIF(INDIRECT("'"&amp;$D28&amp;"'!$J$7:$J$500"),"QC"),0))</f>
        <v/>
      </c>
      <c r="X28" s="96">
        <f>IF($D28="","",IFERROR(COUNTIF(INDIRECT("'"&amp;$D28&amp;"'!$L$7:$L$500"),"Yes"),0))</f>
        <v/>
      </c>
      <c r="Y28" s="96">
        <f>IF($D28="","",IFERROR(COUNTIF(INDIRECT("'"&amp;$D28&amp;"'!$AR$7:$AR$500"),"Yes"),0))</f>
        <v/>
      </c>
      <c r="Z28" s="96">
        <f>IF($D28="","",IFERROR(COUNTIF(INDIRECT("'"&amp;$D28&amp;"'!$AS$7:$AS$500"),"Pass"),0))</f>
        <v/>
      </c>
      <c r="AA28" s="96">
        <f>IF($D28="","",IFERROR(COUNTIF(INDIRECT("'"&amp;$D28&amp;"'!$K$7:$K$500"),"Reviewed"),0))</f>
        <v/>
      </c>
      <c r="AB28" s="107">
        <f>IF($D28="","",IFERROR(COUNTIFS(INDIRECT("'"&amp;$D28&amp;"'!$E$7:$E$500"),"High",INDIRECT("'"&amp;$D28&amp;"'!$AT$7:$AT$500"),"?*"),0))</f>
        <v/>
      </c>
      <c r="AC28" s="107">
        <f>IF($D28="","",IFERROR(COUNTIFS(INDIRECT("'"&amp;$D28&amp;"'!$E$7:$E$500"),"Medium",INDIRECT("'"&amp;$D28&amp;"'!$AT$7:$AT$500"),"?*"),0))</f>
        <v/>
      </c>
      <c r="AD28" s="107">
        <f>IF($D28="","",IFERROR(COUNTIFS(INDIRECT("'"&amp;$D28&amp;"'!$E$7:$E$500"),"Low",INDIRECT("'"&amp;$D28&amp;"'!$AT$7:$AT$500"),"?*"),0))</f>
        <v/>
      </c>
      <c r="AE28" s="108">
        <f>IF($D28="","",IFERROR(COUNTIF(INDIRECT("'"&amp;$D28&amp;"'!$P$7:$P$500"),"?*"),0))</f>
        <v/>
      </c>
      <c r="AF28" s="108">
        <f>IF($D28="","",IFERROR(COUNTIF(INDIRECT("'"&amp;$D28&amp;"'!$P$7:$P$500"),"Pass"),0))</f>
        <v/>
      </c>
      <c r="AG28" s="108">
        <f>IF($D28="","",IFERROR(COUNTIF(INDIRECT("'"&amp;$D28&amp;"'!$P$7:$P$500"),"Fail"),0))</f>
        <v/>
      </c>
      <c r="AH28" s="108">
        <f>IF($D28="","",IFERROR(COUNTIF(INDIRECT("'"&amp;$D28&amp;"'!$P$7:$P$500"),"Block"),0))</f>
        <v/>
      </c>
      <c r="AI28" s="108">
        <f>IF($D28="","",IFERROR(COUNTIF(INDIRECT("'"&amp;$D28&amp;"'!$P$7:$P$500"),"N/A"),0))</f>
        <v/>
      </c>
      <c r="AJ28" s="108">
        <f>IF($D28="","",IFERROR(COUNTIF(INDIRECT("'"&amp;$D28&amp;"'!$V$7:$V$500"),"?*"),0))</f>
        <v/>
      </c>
      <c r="AK28" s="108">
        <f>IF($D28="","",IFERROR(COUNTIF(INDIRECT("'"&amp;$D28&amp;"'!$V$7:$V$500"),"Pass"),0))</f>
        <v/>
      </c>
      <c r="AL28" s="108">
        <f>IF($D28="","",IFERROR(COUNTIF(INDIRECT("'"&amp;$D28&amp;"'!$V$7:$V$500"),"Fail"),0))</f>
        <v/>
      </c>
      <c r="AM28" s="108">
        <f>IF($D28="","",IFERROR(COUNTIF(INDIRECT("'"&amp;$D28&amp;"'!$V$7:$V$500"),"Block"),0))</f>
        <v/>
      </c>
      <c r="AN28" s="108">
        <f>IF($D28="","",IFERROR(COUNTIF(INDIRECT("'"&amp;$D28&amp;"'!$V$7:$V$500"),"N/A"),0))</f>
        <v/>
      </c>
      <c r="AO28" s="108">
        <f>IF($D28="","",IFERROR(COUNTIF(INDIRECT("'"&amp;$D28&amp;"'!$AB$7:$AB$500"),"?*"),0))</f>
        <v/>
      </c>
      <c r="AP28" s="108">
        <f>IF($D28="","",IFERROR(COUNTIF(INDIRECT("'"&amp;$D28&amp;"'!$AB$7:$AB$500"),"Pass"),0))</f>
        <v/>
      </c>
      <c r="AQ28" s="108">
        <f>IF($D28="","",IFERROR(COUNTIF(INDIRECT("'"&amp;$D28&amp;"'!$AB$7:$AB$500"),"Fail"),0))</f>
        <v/>
      </c>
      <c r="AR28" s="108">
        <f>IF($D28="","",IFERROR(COUNTIF(INDIRECT("'"&amp;$D28&amp;"'!$AB$7:$AB$500"),"Block"),0))</f>
        <v/>
      </c>
      <c r="AS28" s="108">
        <f>IF($D28="","",IFERROR(COUNTIF(INDIRECT("'"&amp;$D28&amp;"'!$AB$7:$AB$500"),"N/A"),0))</f>
        <v/>
      </c>
      <c r="AT28" s="108">
        <f>IF($D28="","",IFERROR(COUNTIF(INDIRECT("'"&amp;$D28&amp;"'!$AH$7:$AH$500"),"?*"),0))</f>
        <v/>
      </c>
      <c r="AU28" s="108">
        <f>IF($D28="","",IFERROR(COUNTIF(INDIRECT("'"&amp;$D28&amp;"'!$AH$7:$AH$500"),"Pass"),0))</f>
        <v/>
      </c>
      <c r="AV28" s="108">
        <f>IF($D28="","",IFERROR(COUNTIF(INDIRECT("'"&amp;$D28&amp;"'!$AH$7:$AH$500"),"Fail"),0))</f>
        <v/>
      </c>
      <c r="AW28" s="108">
        <f>IF($D28="","",IFERROR(COUNTIF(INDIRECT("'"&amp;$D28&amp;"'!$AH$7:$AH$500"),"Block"),0))</f>
        <v/>
      </c>
      <c r="AX28" s="108">
        <f>IF($D28="","",IFERROR(COUNTIF(INDIRECT("'"&amp;$D28&amp;"'!$AH$7:$AH$500"),"N/A"),0))</f>
        <v/>
      </c>
      <c r="AY28" s="108">
        <f>IF($D28="","",IFERROR(COUNTIF(INDIRECT("'"&amp;$D28&amp;"'!$AN$7:$AN$500"),"?*"),0))</f>
        <v/>
      </c>
      <c r="AZ28" s="108">
        <f>IF($D28="","",IFERROR(COUNTIF(INDIRECT("'"&amp;$D28&amp;"'!$AN$7:$AN$500"),"Pass"),0))</f>
        <v/>
      </c>
      <c r="BA28" s="108">
        <f>IF($D28="","",IFERROR(COUNTIF(INDIRECT("'"&amp;$D28&amp;"'!$AN$7:$AN$500"),"Fail"),0))</f>
        <v/>
      </c>
      <c r="BB28" s="108">
        <f>IF($D28="","",IFERROR(COUNTIF(INDIRECT("'"&amp;$D28&amp;"'!$AN$7:$AN$500"),"Block"),0))</f>
        <v/>
      </c>
      <c r="BC28" s="109">
        <f>IF($D28="","",IFERROR(COUNTIF(INDIRECT("'"&amp;$D28&amp;"'!$AN$7:$AN$500"),"N/A"),0))</f>
        <v/>
      </c>
    </row>
    <row r="29" ht="15.75" customHeight="1" s="216">
      <c r="A29" s="1" t="n"/>
      <c r="B29" s="96">
        <f>IF($D29="","",ROW()-3)</f>
        <v/>
      </c>
      <c r="C29" s="97" t="n"/>
      <c r="D29" s="97" t="n"/>
      <c r="E29" s="98" t="n"/>
      <c r="F29" s="96">
        <f>IF($D29="","",IFERROR(COUNTIF(INDIRECT("'"&amp;$D29&amp;"'!$A$7:$A$500"),"?*"),0))</f>
        <v/>
      </c>
      <c r="G29" s="96">
        <f>IF($D29="","",IFERROR(COUNTIF(INDIRECT("'"&amp;$D29&amp;"'!$AT$7:$AT$500"),"Pass"),0))</f>
        <v/>
      </c>
      <c r="H29" s="96">
        <f>IF($D29="","",IFERROR(COUNTIF(INDIRECT("'"&amp;$D29&amp;"'!$AT$7:$AT$500"),"Fail"),0))</f>
        <v/>
      </c>
      <c r="I29" s="96">
        <f>IF($D29="","",IFERROR(COUNTIF(INDIRECT("'"&amp;$D29&amp;"'!$AT$7:$AT$500"),"Block"),0))</f>
        <v/>
      </c>
      <c r="J29" s="96">
        <f>IF($D29="","",IFERROR(COUNTIF(INDIRECT("'"&amp;$D29&amp;"'!$AT$7:$AT$500"),"N/A"),0))</f>
        <v/>
      </c>
      <c r="K29" s="96">
        <f>IF($D29="","",MAX(0,$F29-$G29-$H29-$I29-$J29))</f>
        <v/>
      </c>
      <c r="L29" s="96">
        <f>IF($D29="","",$G29+$H29+$I29+$J29)</f>
        <v/>
      </c>
      <c r="M29" s="99">
        <f>IF($D29="","",IFERROR($L29/$F29,0))</f>
        <v/>
      </c>
      <c r="N29" s="99">
        <f>IF($D29="","",IFERROR($G29/$L29,0))</f>
        <v/>
      </c>
      <c r="O29" s="96">
        <f>IF($D29="","",IFERROR(COUNTIF(INDIRECT("'"&amp;$D29&amp;"'!$E$7:$E$500"),"High"),0))</f>
        <v/>
      </c>
      <c r="P29" s="96">
        <f>IF($D29="","",IFERROR(COUNTIF(INDIRECT("'"&amp;$D29&amp;"'!$E$7:$E$500"),"Medium"),0))</f>
        <v/>
      </c>
      <c r="Q29" s="96">
        <f>IF($D29="","",IFERROR(COUNTIF(INDIRECT("'"&amp;$D29&amp;"'!$E$7:$E$500"),"Low"),0))</f>
        <v/>
      </c>
      <c r="R29" s="96">
        <f>IF($D29="","",IFERROR(COUNTIF(INDIRECT("'"&amp;$D29&amp;"'!$D$7:$D$500"),"Functional"),0))</f>
        <v/>
      </c>
      <c r="S29" s="96">
        <f>IF($D29="","",IFERROR(COUNTIF(INDIRECT("'"&amp;$D29&amp;"'!$D$7:$D$500"),"UI"),0))</f>
        <v/>
      </c>
      <c r="T29" s="96">
        <f>IF($D29="","",IFERROR(COUNTIF(INDIRECT("'"&amp;$D29&amp;"'!$D$7:$D$500"),"Integration"),0))</f>
        <v/>
      </c>
      <c r="U29" s="96">
        <f>IF($D29="","",IFERROR(COUNTIF(INDIRECT("'"&amp;$D29&amp;"'!$D$7:$D$500"),"Database Test Case"),0))</f>
        <v/>
      </c>
      <c r="V29" s="96">
        <f>IF($D29="","",IFERROR(COUNTIF(INDIRECT("'"&amp;$D29&amp;"'!$J$7:$J$500"),"AI"),0))</f>
        <v/>
      </c>
      <c r="W29" s="96">
        <f>IF($D29="","",IFERROR(COUNTIF(INDIRECT("'"&amp;$D29&amp;"'!$J$7:$J$500"),"QC"),0))</f>
        <v/>
      </c>
      <c r="X29" s="96">
        <f>IF($D29="","",IFERROR(COUNTIF(INDIRECT("'"&amp;$D29&amp;"'!$L$7:$L$500"),"Yes"),0))</f>
        <v/>
      </c>
      <c r="Y29" s="96">
        <f>IF($D29="","",IFERROR(COUNTIF(INDIRECT("'"&amp;$D29&amp;"'!$AR$7:$AR$500"),"Yes"),0))</f>
        <v/>
      </c>
      <c r="Z29" s="96">
        <f>IF($D29="","",IFERROR(COUNTIF(INDIRECT("'"&amp;$D29&amp;"'!$AS$7:$AS$500"),"Pass"),0))</f>
        <v/>
      </c>
      <c r="AA29" s="96">
        <f>IF($D29="","",IFERROR(COUNTIF(INDIRECT("'"&amp;$D29&amp;"'!$K$7:$K$500"),"Reviewed"),0))</f>
        <v/>
      </c>
      <c r="AB29" s="107">
        <f>IF($D29="","",IFERROR(COUNTIFS(INDIRECT("'"&amp;$D29&amp;"'!$E$7:$E$500"),"High",INDIRECT("'"&amp;$D29&amp;"'!$AT$7:$AT$500"),"?*"),0))</f>
        <v/>
      </c>
      <c r="AC29" s="107">
        <f>IF($D29="","",IFERROR(COUNTIFS(INDIRECT("'"&amp;$D29&amp;"'!$E$7:$E$500"),"Medium",INDIRECT("'"&amp;$D29&amp;"'!$AT$7:$AT$500"),"?*"),0))</f>
        <v/>
      </c>
      <c r="AD29" s="107">
        <f>IF($D29="","",IFERROR(COUNTIFS(INDIRECT("'"&amp;$D29&amp;"'!$E$7:$E$500"),"Low",INDIRECT("'"&amp;$D29&amp;"'!$AT$7:$AT$500"),"?*"),0))</f>
        <v/>
      </c>
      <c r="AE29" s="108">
        <f>IF($D29="","",IFERROR(COUNTIF(INDIRECT("'"&amp;$D29&amp;"'!$P$7:$P$500"),"?*"),0))</f>
        <v/>
      </c>
      <c r="AF29" s="108">
        <f>IF($D29="","",IFERROR(COUNTIF(INDIRECT("'"&amp;$D29&amp;"'!$P$7:$P$500"),"Pass"),0))</f>
        <v/>
      </c>
      <c r="AG29" s="108">
        <f>IF($D29="","",IFERROR(COUNTIF(INDIRECT("'"&amp;$D29&amp;"'!$P$7:$P$500"),"Fail"),0))</f>
        <v/>
      </c>
      <c r="AH29" s="108">
        <f>IF($D29="","",IFERROR(COUNTIF(INDIRECT("'"&amp;$D29&amp;"'!$P$7:$P$500"),"Block"),0))</f>
        <v/>
      </c>
      <c r="AI29" s="108">
        <f>IF($D29="","",IFERROR(COUNTIF(INDIRECT("'"&amp;$D29&amp;"'!$P$7:$P$500"),"N/A"),0))</f>
        <v/>
      </c>
      <c r="AJ29" s="108">
        <f>IF($D29="","",IFERROR(COUNTIF(INDIRECT("'"&amp;$D29&amp;"'!$V$7:$V$500"),"?*"),0))</f>
        <v/>
      </c>
      <c r="AK29" s="108">
        <f>IF($D29="","",IFERROR(COUNTIF(INDIRECT("'"&amp;$D29&amp;"'!$V$7:$V$500"),"Pass"),0))</f>
        <v/>
      </c>
      <c r="AL29" s="108">
        <f>IF($D29="","",IFERROR(COUNTIF(INDIRECT("'"&amp;$D29&amp;"'!$V$7:$V$500"),"Fail"),0))</f>
        <v/>
      </c>
      <c r="AM29" s="108">
        <f>IF($D29="","",IFERROR(COUNTIF(INDIRECT("'"&amp;$D29&amp;"'!$V$7:$V$500"),"Block"),0))</f>
        <v/>
      </c>
      <c r="AN29" s="108">
        <f>IF($D29="","",IFERROR(COUNTIF(INDIRECT("'"&amp;$D29&amp;"'!$V$7:$V$500"),"N/A"),0))</f>
        <v/>
      </c>
      <c r="AO29" s="108">
        <f>IF($D29="","",IFERROR(COUNTIF(INDIRECT("'"&amp;$D29&amp;"'!$AB$7:$AB$500"),"?*"),0))</f>
        <v/>
      </c>
      <c r="AP29" s="108">
        <f>IF($D29="","",IFERROR(COUNTIF(INDIRECT("'"&amp;$D29&amp;"'!$AB$7:$AB$500"),"Pass"),0))</f>
        <v/>
      </c>
      <c r="AQ29" s="108">
        <f>IF($D29="","",IFERROR(COUNTIF(INDIRECT("'"&amp;$D29&amp;"'!$AB$7:$AB$500"),"Fail"),0))</f>
        <v/>
      </c>
      <c r="AR29" s="108">
        <f>IF($D29="","",IFERROR(COUNTIF(INDIRECT("'"&amp;$D29&amp;"'!$AB$7:$AB$500"),"Block"),0))</f>
        <v/>
      </c>
      <c r="AS29" s="108">
        <f>IF($D29="","",IFERROR(COUNTIF(INDIRECT("'"&amp;$D29&amp;"'!$AB$7:$AB$500"),"N/A"),0))</f>
        <v/>
      </c>
      <c r="AT29" s="108">
        <f>IF($D29="","",IFERROR(COUNTIF(INDIRECT("'"&amp;$D29&amp;"'!$AH$7:$AH$500"),"?*"),0))</f>
        <v/>
      </c>
      <c r="AU29" s="108">
        <f>IF($D29="","",IFERROR(COUNTIF(INDIRECT("'"&amp;$D29&amp;"'!$AH$7:$AH$500"),"Pass"),0))</f>
        <v/>
      </c>
      <c r="AV29" s="108">
        <f>IF($D29="","",IFERROR(COUNTIF(INDIRECT("'"&amp;$D29&amp;"'!$AH$7:$AH$500"),"Fail"),0))</f>
        <v/>
      </c>
      <c r="AW29" s="108">
        <f>IF($D29="","",IFERROR(COUNTIF(INDIRECT("'"&amp;$D29&amp;"'!$AH$7:$AH$500"),"Block"),0))</f>
        <v/>
      </c>
      <c r="AX29" s="108">
        <f>IF($D29="","",IFERROR(COUNTIF(INDIRECT("'"&amp;$D29&amp;"'!$AH$7:$AH$500"),"N/A"),0))</f>
        <v/>
      </c>
      <c r="AY29" s="108">
        <f>IF($D29="","",IFERROR(COUNTIF(INDIRECT("'"&amp;$D29&amp;"'!$AN$7:$AN$500"),"?*"),0))</f>
        <v/>
      </c>
      <c r="AZ29" s="108">
        <f>IF($D29="","",IFERROR(COUNTIF(INDIRECT("'"&amp;$D29&amp;"'!$AN$7:$AN$500"),"Pass"),0))</f>
        <v/>
      </c>
      <c r="BA29" s="108">
        <f>IF($D29="","",IFERROR(COUNTIF(INDIRECT("'"&amp;$D29&amp;"'!$AN$7:$AN$500"),"Fail"),0))</f>
        <v/>
      </c>
      <c r="BB29" s="108">
        <f>IF($D29="","",IFERROR(COUNTIF(INDIRECT("'"&amp;$D29&amp;"'!$AN$7:$AN$500"),"Block"),0))</f>
        <v/>
      </c>
      <c r="BC29" s="109">
        <f>IF($D29="","",IFERROR(COUNTIF(INDIRECT("'"&amp;$D29&amp;"'!$AN$7:$AN$500"),"N/A"),0))</f>
        <v/>
      </c>
    </row>
    <row r="30" ht="15.75" customHeight="1" s="216">
      <c r="A30" s="1" t="n"/>
      <c r="B30" s="96">
        <f>IF($D30="","",ROW()-3)</f>
        <v/>
      </c>
      <c r="C30" s="97" t="n"/>
      <c r="D30" s="97" t="n"/>
      <c r="E30" s="98" t="n"/>
      <c r="F30" s="96">
        <f>IF($D30="","",IFERROR(COUNTIF(INDIRECT("'"&amp;$D30&amp;"'!$A$7:$A$500"),"?*"),0))</f>
        <v/>
      </c>
      <c r="G30" s="96">
        <f>IF($D30="","",IFERROR(COUNTIF(INDIRECT("'"&amp;$D30&amp;"'!$AT$7:$AT$500"),"Pass"),0))</f>
        <v/>
      </c>
      <c r="H30" s="96">
        <f>IF($D30="","",IFERROR(COUNTIF(INDIRECT("'"&amp;$D30&amp;"'!$AT$7:$AT$500"),"Fail"),0))</f>
        <v/>
      </c>
      <c r="I30" s="96">
        <f>IF($D30="","",IFERROR(COUNTIF(INDIRECT("'"&amp;$D30&amp;"'!$AT$7:$AT$500"),"Block"),0))</f>
        <v/>
      </c>
      <c r="J30" s="96">
        <f>IF($D30="","",IFERROR(COUNTIF(INDIRECT("'"&amp;$D30&amp;"'!$AT$7:$AT$500"),"N/A"),0))</f>
        <v/>
      </c>
      <c r="K30" s="96">
        <f>IF($D30="","",MAX(0,$F30-$G30-$H30-$I30-$J30))</f>
        <v/>
      </c>
      <c r="L30" s="96">
        <f>IF($D30="","",$G30+$H30+$I30+$J30)</f>
        <v/>
      </c>
      <c r="M30" s="99">
        <f>IF($D30="","",IFERROR($L30/$F30,0))</f>
        <v/>
      </c>
      <c r="N30" s="99">
        <f>IF($D30="","",IFERROR($G30/$L30,0))</f>
        <v/>
      </c>
      <c r="O30" s="96">
        <f>IF($D30="","",IFERROR(COUNTIF(INDIRECT("'"&amp;$D30&amp;"'!$E$7:$E$500"),"High"),0))</f>
        <v/>
      </c>
      <c r="P30" s="96">
        <f>IF($D30="","",IFERROR(COUNTIF(INDIRECT("'"&amp;$D30&amp;"'!$E$7:$E$500"),"Medium"),0))</f>
        <v/>
      </c>
      <c r="Q30" s="96">
        <f>IF($D30="","",IFERROR(COUNTIF(INDIRECT("'"&amp;$D30&amp;"'!$E$7:$E$500"),"Low"),0))</f>
        <v/>
      </c>
      <c r="R30" s="96">
        <f>IF($D30="","",IFERROR(COUNTIF(INDIRECT("'"&amp;$D30&amp;"'!$D$7:$D$500"),"Functional"),0))</f>
        <v/>
      </c>
      <c r="S30" s="96">
        <f>IF($D30="","",IFERROR(COUNTIF(INDIRECT("'"&amp;$D30&amp;"'!$D$7:$D$500"),"UI"),0))</f>
        <v/>
      </c>
      <c r="T30" s="96">
        <f>IF($D30="","",IFERROR(COUNTIF(INDIRECT("'"&amp;$D30&amp;"'!$D$7:$D$500"),"Integration"),0))</f>
        <v/>
      </c>
      <c r="U30" s="96">
        <f>IF($D30="","",IFERROR(COUNTIF(INDIRECT("'"&amp;$D30&amp;"'!$D$7:$D$500"),"Database Test Case"),0))</f>
        <v/>
      </c>
      <c r="V30" s="96">
        <f>IF($D30="","",IFERROR(COUNTIF(INDIRECT("'"&amp;$D30&amp;"'!$J$7:$J$500"),"AI"),0))</f>
        <v/>
      </c>
      <c r="W30" s="96">
        <f>IF($D30="","",IFERROR(COUNTIF(INDIRECT("'"&amp;$D30&amp;"'!$J$7:$J$500"),"QC"),0))</f>
        <v/>
      </c>
      <c r="X30" s="96">
        <f>IF($D30="","",IFERROR(COUNTIF(INDIRECT("'"&amp;$D30&amp;"'!$L$7:$L$500"),"Yes"),0))</f>
        <v/>
      </c>
      <c r="Y30" s="96">
        <f>IF($D30="","",IFERROR(COUNTIF(INDIRECT("'"&amp;$D30&amp;"'!$AR$7:$AR$500"),"Yes"),0))</f>
        <v/>
      </c>
      <c r="Z30" s="96">
        <f>IF($D30="","",IFERROR(COUNTIF(INDIRECT("'"&amp;$D30&amp;"'!$AS$7:$AS$500"),"Pass"),0))</f>
        <v/>
      </c>
      <c r="AA30" s="96">
        <f>IF($D30="","",IFERROR(COUNTIF(INDIRECT("'"&amp;$D30&amp;"'!$K$7:$K$500"),"Reviewed"),0))</f>
        <v/>
      </c>
      <c r="AB30" s="107">
        <f>IF($D30="","",IFERROR(COUNTIFS(INDIRECT("'"&amp;$D30&amp;"'!$E$7:$E$500"),"High",INDIRECT("'"&amp;$D30&amp;"'!$AT$7:$AT$500"),"?*"),0))</f>
        <v/>
      </c>
      <c r="AC30" s="107">
        <f>IF($D30="","",IFERROR(COUNTIFS(INDIRECT("'"&amp;$D30&amp;"'!$E$7:$E$500"),"Medium",INDIRECT("'"&amp;$D30&amp;"'!$AT$7:$AT$500"),"?*"),0))</f>
        <v/>
      </c>
      <c r="AD30" s="107">
        <f>IF($D30="","",IFERROR(COUNTIFS(INDIRECT("'"&amp;$D30&amp;"'!$E$7:$E$500"),"Low",INDIRECT("'"&amp;$D30&amp;"'!$AT$7:$AT$500"),"?*"),0))</f>
        <v/>
      </c>
      <c r="AE30" s="108">
        <f>IF($D30="","",IFERROR(COUNTIF(INDIRECT("'"&amp;$D30&amp;"'!$P$7:$P$500"),"?*"),0))</f>
        <v/>
      </c>
      <c r="AF30" s="108">
        <f>IF($D30="","",IFERROR(COUNTIF(INDIRECT("'"&amp;$D30&amp;"'!$P$7:$P$500"),"Pass"),0))</f>
        <v/>
      </c>
      <c r="AG30" s="108">
        <f>IF($D30="","",IFERROR(COUNTIF(INDIRECT("'"&amp;$D30&amp;"'!$P$7:$P$500"),"Fail"),0))</f>
        <v/>
      </c>
      <c r="AH30" s="108">
        <f>IF($D30="","",IFERROR(COUNTIF(INDIRECT("'"&amp;$D30&amp;"'!$P$7:$P$500"),"Block"),0))</f>
        <v/>
      </c>
      <c r="AI30" s="108">
        <f>IF($D30="","",IFERROR(COUNTIF(INDIRECT("'"&amp;$D30&amp;"'!$P$7:$P$500"),"N/A"),0))</f>
        <v/>
      </c>
      <c r="AJ30" s="108">
        <f>IF($D30="","",IFERROR(COUNTIF(INDIRECT("'"&amp;$D30&amp;"'!$V$7:$V$500"),"?*"),0))</f>
        <v/>
      </c>
      <c r="AK30" s="108">
        <f>IF($D30="","",IFERROR(COUNTIF(INDIRECT("'"&amp;$D30&amp;"'!$V$7:$V$500"),"Pass"),0))</f>
        <v/>
      </c>
      <c r="AL30" s="108">
        <f>IF($D30="","",IFERROR(COUNTIF(INDIRECT("'"&amp;$D30&amp;"'!$V$7:$V$500"),"Fail"),0))</f>
        <v/>
      </c>
      <c r="AM30" s="108">
        <f>IF($D30="","",IFERROR(COUNTIF(INDIRECT("'"&amp;$D30&amp;"'!$V$7:$V$500"),"Block"),0))</f>
        <v/>
      </c>
      <c r="AN30" s="108">
        <f>IF($D30="","",IFERROR(COUNTIF(INDIRECT("'"&amp;$D30&amp;"'!$V$7:$V$500"),"N/A"),0))</f>
        <v/>
      </c>
      <c r="AO30" s="108">
        <f>IF($D30="","",IFERROR(COUNTIF(INDIRECT("'"&amp;$D30&amp;"'!$AB$7:$AB$500"),"?*"),0))</f>
        <v/>
      </c>
      <c r="AP30" s="108">
        <f>IF($D30="","",IFERROR(COUNTIF(INDIRECT("'"&amp;$D30&amp;"'!$AB$7:$AB$500"),"Pass"),0))</f>
        <v/>
      </c>
      <c r="AQ30" s="108">
        <f>IF($D30="","",IFERROR(COUNTIF(INDIRECT("'"&amp;$D30&amp;"'!$AB$7:$AB$500"),"Fail"),0))</f>
        <v/>
      </c>
      <c r="AR30" s="108">
        <f>IF($D30="","",IFERROR(COUNTIF(INDIRECT("'"&amp;$D30&amp;"'!$AB$7:$AB$500"),"Block"),0))</f>
        <v/>
      </c>
      <c r="AS30" s="108">
        <f>IF($D30="","",IFERROR(COUNTIF(INDIRECT("'"&amp;$D30&amp;"'!$AB$7:$AB$500"),"N/A"),0))</f>
        <v/>
      </c>
      <c r="AT30" s="108">
        <f>IF($D30="","",IFERROR(COUNTIF(INDIRECT("'"&amp;$D30&amp;"'!$AH$7:$AH$500"),"?*"),0))</f>
        <v/>
      </c>
      <c r="AU30" s="108">
        <f>IF($D30="","",IFERROR(COUNTIF(INDIRECT("'"&amp;$D30&amp;"'!$AH$7:$AH$500"),"Pass"),0))</f>
        <v/>
      </c>
      <c r="AV30" s="108">
        <f>IF($D30="","",IFERROR(COUNTIF(INDIRECT("'"&amp;$D30&amp;"'!$AH$7:$AH$500"),"Fail"),0))</f>
        <v/>
      </c>
      <c r="AW30" s="108">
        <f>IF($D30="","",IFERROR(COUNTIF(INDIRECT("'"&amp;$D30&amp;"'!$AH$7:$AH$500"),"Block"),0))</f>
        <v/>
      </c>
      <c r="AX30" s="108">
        <f>IF($D30="","",IFERROR(COUNTIF(INDIRECT("'"&amp;$D30&amp;"'!$AH$7:$AH$500"),"N/A"),0))</f>
        <v/>
      </c>
      <c r="AY30" s="108">
        <f>IF($D30="","",IFERROR(COUNTIF(INDIRECT("'"&amp;$D30&amp;"'!$AN$7:$AN$500"),"?*"),0))</f>
        <v/>
      </c>
      <c r="AZ30" s="108">
        <f>IF($D30="","",IFERROR(COUNTIF(INDIRECT("'"&amp;$D30&amp;"'!$AN$7:$AN$500"),"Pass"),0))</f>
        <v/>
      </c>
      <c r="BA30" s="108">
        <f>IF($D30="","",IFERROR(COUNTIF(INDIRECT("'"&amp;$D30&amp;"'!$AN$7:$AN$500"),"Fail"),0))</f>
        <v/>
      </c>
      <c r="BB30" s="108">
        <f>IF($D30="","",IFERROR(COUNTIF(INDIRECT("'"&amp;$D30&amp;"'!$AN$7:$AN$500"),"Block"),0))</f>
        <v/>
      </c>
      <c r="BC30" s="109">
        <f>IF($D30="","",IFERROR(COUNTIF(INDIRECT("'"&amp;$D30&amp;"'!$AN$7:$AN$500"),"N/A"),0))</f>
        <v/>
      </c>
    </row>
    <row r="31" ht="15.75" customHeight="1" s="216">
      <c r="A31" s="1" t="n"/>
      <c r="B31" s="96">
        <f>IF($D31="","",ROW()-3)</f>
        <v/>
      </c>
      <c r="C31" s="97" t="n"/>
      <c r="D31" s="97" t="n"/>
      <c r="E31" s="98" t="n"/>
      <c r="F31" s="96">
        <f>IF($D31="","",IFERROR(COUNTIF(INDIRECT("'"&amp;$D31&amp;"'!$A$7:$A$500"),"?*"),0))</f>
        <v/>
      </c>
      <c r="G31" s="96">
        <f>IF($D31="","",IFERROR(COUNTIF(INDIRECT("'"&amp;$D31&amp;"'!$AT$7:$AT$500"),"Pass"),0))</f>
        <v/>
      </c>
      <c r="H31" s="96">
        <f>IF($D31="","",IFERROR(COUNTIF(INDIRECT("'"&amp;$D31&amp;"'!$AT$7:$AT$500"),"Fail"),0))</f>
        <v/>
      </c>
      <c r="I31" s="96">
        <f>IF($D31="","",IFERROR(COUNTIF(INDIRECT("'"&amp;$D31&amp;"'!$AT$7:$AT$500"),"Block"),0))</f>
        <v/>
      </c>
      <c r="J31" s="96">
        <f>IF($D31="","",IFERROR(COUNTIF(INDIRECT("'"&amp;$D31&amp;"'!$AT$7:$AT$500"),"N/A"),0))</f>
        <v/>
      </c>
      <c r="K31" s="96">
        <f>IF($D31="","",MAX(0,$F31-$G31-$H31-$I31-$J31))</f>
        <v/>
      </c>
      <c r="L31" s="96">
        <f>IF($D31="","",$G31+$H31+$I31+$J31)</f>
        <v/>
      </c>
      <c r="M31" s="99">
        <f>IF($D31="","",IFERROR($L31/$F31,0))</f>
        <v/>
      </c>
      <c r="N31" s="99">
        <f>IF($D31="","",IFERROR($G31/$L31,0))</f>
        <v/>
      </c>
      <c r="O31" s="96">
        <f>IF($D31="","",IFERROR(COUNTIF(INDIRECT("'"&amp;$D31&amp;"'!$E$7:$E$500"),"High"),0))</f>
        <v/>
      </c>
      <c r="P31" s="96">
        <f>IF($D31="","",IFERROR(COUNTIF(INDIRECT("'"&amp;$D31&amp;"'!$E$7:$E$500"),"Medium"),0))</f>
        <v/>
      </c>
      <c r="Q31" s="96">
        <f>IF($D31="","",IFERROR(COUNTIF(INDIRECT("'"&amp;$D31&amp;"'!$E$7:$E$500"),"Low"),0))</f>
        <v/>
      </c>
      <c r="R31" s="96">
        <f>IF($D31="","",IFERROR(COUNTIF(INDIRECT("'"&amp;$D31&amp;"'!$D$7:$D$500"),"Functional"),0))</f>
        <v/>
      </c>
      <c r="S31" s="96">
        <f>IF($D31="","",IFERROR(COUNTIF(INDIRECT("'"&amp;$D31&amp;"'!$D$7:$D$500"),"UI"),0))</f>
        <v/>
      </c>
      <c r="T31" s="96">
        <f>IF($D31="","",IFERROR(COUNTIF(INDIRECT("'"&amp;$D31&amp;"'!$D$7:$D$500"),"Integration"),0))</f>
        <v/>
      </c>
      <c r="U31" s="96">
        <f>IF($D31="","",IFERROR(COUNTIF(INDIRECT("'"&amp;$D31&amp;"'!$D$7:$D$500"),"Database Test Case"),0))</f>
        <v/>
      </c>
      <c r="V31" s="96">
        <f>IF($D31="","",IFERROR(COUNTIF(INDIRECT("'"&amp;$D31&amp;"'!$J$7:$J$500"),"AI"),0))</f>
        <v/>
      </c>
      <c r="W31" s="96">
        <f>IF($D31="","",IFERROR(COUNTIF(INDIRECT("'"&amp;$D31&amp;"'!$J$7:$J$500"),"QC"),0))</f>
        <v/>
      </c>
      <c r="X31" s="96">
        <f>IF($D31="","",IFERROR(COUNTIF(INDIRECT("'"&amp;$D31&amp;"'!$L$7:$L$500"),"Yes"),0))</f>
        <v/>
      </c>
      <c r="Y31" s="96">
        <f>IF($D31="","",IFERROR(COUNTIF(INDIRECT("'"&amp;$D31&amp;"'!$AR$7:$AR$500"),"Yes"),0))</f>
        <v/>
      </c>
      <c r="Z31" s="96">
        <f>IF($D31="","",IFERROR(COUNTIF(INDIRECT("'"&amp;$D31&amp;"'!$AS$7:$AS$500"),"Pass"),0))</f>
        <v/>
      </c>
      <c r="AA31" s="96">
        <f>IF($D31="","",IFERROR(COUNTIF(INDIRECT("'"&amp;$D31&amp;"'!$K$7:$K$500"),"Reviewed"),0))</f>
        <v/>
      </c>
      <c r="AB31" s="107">
        <f>IF($D31="","",IFERROR(COUNTIFS(INDIRECT("'"&amp;$D31&amp;"'!$E$7:$E$500"),"High",INDIRECT("'"&amp;$D31&amp;"'!$AT$7:$AT$500"),"?*"),0))</f>
        <v/>
      </c>
      <c r="AC31" s="107">
        <f>IF($D31="","",IFERROR(COUNTIFS(INDIRECT("'"&amp;$D31&amp;"'!$E$7:$E$500"),"Medium",INDIRECT("'"&amp;$D31&amp;"'!$AT$7:$AT$500"),"?*"),0))</f>
        <v/>
      </c>
      <c r="AD31" s="107">
        <f>IF($D31="","",IFERROR(COUNTIFS(INDIRECT("'"&amp;$D31&amp;"'!$E$7:$E$500"),"Low",INDIRECT("'"&amp;$D31&amp;"'!$AT$7:$AT$500"),"?*"),0))</f>
        <v/>
      </c>
      <c r="AE31" s="108">
        <f>IF($D31="","",IFERROR(COUNTIF(INDIRECT("'"&amp;$D31&amp;"'!$P$7:$P$500"),"?*"),0))</f>
        <v/>
      </c>
      <c r="AF31" s="108">
        <f>IF($D31="","",IFERROR(COUNTIF(INDIRECT("'"&amp;$D31&amp;"'!$P$7:$P$500"),"Pass"),0))</f>
        <v/>
      </c>
      <c r="AG31" s="108">
        <f>IF($D31="","",IFERROR(COUNTIF(INDIRECT("'"&amp;$D31&amp;"'!$P$7:$P$500"),"Fail"),0))</f>
        <v/>
      </c>
      <c r="AH31" s="108">
        <f>IF($D31="","",IFERROR(COUNTIF(INDIRECT("'"&amp;$D31&amp;"'!$P$7:$P$500"),"Block"),0))</f>
        <v/>
      </c>
      <c r="AI31" s="108">
        <f>IF($D31="","",IFERROR(COUNTIF(INDIRECT("'"&amp;$D31&amp;"'!$P$7:$P$500"),"N/A"),0))</f>
        <v/>
      </c>
      <c r="AJ31" s="108">
        <f>IF($D31="","",IFERROR(COUNTIF(INDIRECT("'"&amp;$D31&amp;"'!$V$7:$V$500"),"?*"),0))</f>
        <v/>
      </c>
      <c r="AK31" s="108">
        <f>IF($D31="","",IFERROR(COUNTIF(INDIRECT("'"&amp;$D31&amp;"'!$V$7:$V$500"),"Pass"),0))</f>
        <v/>
      </c>
      <c r="AL31" s="108">
        <f>IF($D31="","",IFERROR(COUNTIF(INDIRECT("'"&amp;$D31&amp;"'!$V$7:$V$500"),"Fail"),0))</f>
        <v/>
      </c>
      <c r="AM31" s="108">
        <f>IF($D31="","",IFERROR(COUNTIF(INDIRECT("'"&amp;$D31&amp;"'!$V$7:$V$500"),"Block"),0))</f>
        <v/>
      </c>
      <c r="AN31" s="108">
        <f>IF($D31="","",IFERROR(COUNTIF(INDIRECT("'"&amp;$D31&amp;"'!$V$7:$V$500"),"N/A"),0))</f>
        <v/>
      </c>
      <c r="AO31" s="108">
        <f>IF($D31="","",IFERROR(COUNTIF(INDIRECT("'"&amp;$D31&amp;"'!$AB$7:$AB$500"),"?*"),0))</f>
        <v/>
      </c>
      <c r="AP31" s="108">
        <f>IF($D31="","",IFERROR(COUNTIF(INDIRECT("'"&amp;$D31&amp;"'!$AB$7:$AB$500"),"Pass"),0))</f>
        <v/>
      </c>
      <c r="AQ31" s="108">
        <f>IF($D31="","",IFERROR(COUNTIF(INDIRECT("'"&amp;$D31&amp;"'!$AB$7:$AB$500"),"Fail"),0))</f>
        <v/>
      </c>
      <c r="AR31" s="108">
        <f>IF($D31="","",IFERROR(COUNTIF(INDIRECT("'"&amp;$D31&amp;"'!$AB$7:$AB$500"),"Block"),0))</f>
        <v/>
      </c>
      <c r="AS31" s="108">
        <f>IF($D31="","",IFERROR(COUNTIF(INDIRECT("'"&amp;$D31&amp;"'!$AB$7:$AB$500"),"N/A"),0))</f>
        <v/>
      </c>
      <c r="AT31" s="108">
        <f>IF($D31="","",IFERROR(COUNTIF(INDIRECT("'"&amp;$D31&amp;"'!$AH$7:$AH$500"),"?*"),0))</f>
        <v/>
      </c>
      <c r="AU31" s="108">
        <f>IF($D31="","",IFERROR(COUNTIF(INDIRECT("'"&amp;$D31&amp;"'!$AH$7:$AH$500"),"Pass"),0))</f>
        <v/>
      </c>
      <c r="AV31" s="108">
        <f>IF($D31="","",IFERROR(COUNTIF(INDIRECT("'"&amp;$D31&amp;"'!$AH$7:$AH$500"),"Fail"),0))</f>
        <v/>
      </c>
      <c r="AW31" s="108">
        <f>IF($D31="","",IFERROR(COUNTIF(INDIRECT("'"&amp;$D31&amp;"'!$AH$7:$AH$500"),"Block"),0))</f>
        <v/>
      </c>
      <c r="AX31" s="108">
        <f>IF($D31="","",IFERROR(COUNTIF(INDIRECT("'"&amp;$D31&amp;"'!$AH$7:$AH$500"),"N/A"),0))</f>
        <v/>
      </c>
      <c r="AY31" s="108">
        <f>IF($D31="","",IFERROR(COUNTIF(INDIRECT("'"&amp;$D31&amp;"'!$AN$7:$AN$500"),"?*"),0))</f>
        <v/>
      </c>
      <c r="AZ31" s="108">
        <f>IF($D31="","",IFERROR(COUNTIF(INDIRECT("'"&amp;$D31&amp;"'!$AN$7:$AN$500"),"Pass"),0))</f>
        <v/>
      </c>
      <c r="BA31" s="108">
        <f>IF($D31="","",IFERROR(COUNTIF(INDIRECT("'"&amp;$D31&amp;"'!$AN$7:$AN$500"),"Fail"),0))</f>
        <v/>
      </c>
      <c r="BB31" s="108">
        <f>IF($D31="","",IFERROR(COUNTIF(INDIRECT("'"&amp;$D31&amp;"'!$AN$7:$AN$500"),"Block"),0))</f>
        <v/>
      </c>
      <c r="BC31" s="109">
        <f>IF($D31="","",IFERROR(COUNTIF(INDIRECT("'"&amp;$D31&amp;"'!$AN$7:$AN$500"),"N/A"),0))</f>
        <v/>
      </c>
    </row>
    <row r="32" ht="15.75" customHeight="1" s="216">
      <c r="A32" s="1" t="n"/>
      <c r="B32" s="96">
        <f>IF($D32="","",ROW()-3)</f>
        <v/>
      </c>
      <c r="C32" s="97" t="n"/>
      <c r="D32" s="97" t="n"/>
      <c r="E32" s="98" t="n"/>
      <c r="F32" s="96">
        <f>IF($D32="","",IFERROR(COUNTIF(INDIRECT("'"&amp;$D32&amp;"'!$A$7:$A$500"),"?*"),0))</f>
        <v/>
      </c>
      <c r="G32" s="96">
        <f>IF($D32="","",IFERROR(COUNTIF(INDIRECT("'"&amp;$D32&amp;"'!$AT$7:$AT$500"),"Pass"),0))</f>
        <v/>
      </c>
      <c r="H32" s="96">
        <f>IF($D32="","",IFERROR(COUNTIF(INDIRECT("'"&amp;$D32&amp;"'!$AT$7:$AT$500"),"Fail"),0))</f>
        <v/>
      </c>
      <c r="I32" s="96">
        <f>IF($D32="","",IFERROR(COUNTIF(INDIRECT("'"&amp;$D32&amp;"'!$AT$7:$AT$500"),"Block"),0))</f>
        <v/>
      </c>
      <c r="J32" s="96">
        <f>IF($D32="","",IFERROR(COUNTIF(INDIRECT("'"&amp;$D32&amp;"'!$AT$7:$AT$500"),"N/A"),0))</f>
        <v/>
      </c>
      <c r="K32" s="96">
        <f>IF($D32="","",MAX(0,$F32-$G32-$H32-$I32-$J32))</f>
        <v/>
      </c>
      <c r="L32" s="96">
        <f>IF($D32="","",$G32+$H32+$I32+$J32)</f>
        <v/>
      </c>
      <c r="M32" s="99">
        <f>IF($D32="","",IFERROR($L32/$F32,0))</f>
        <v/>
      </c>
      <c r="N32" s="99">
        <f>IF($D32="","",IFERROR($G32/$L32,0))</f>
        <v/>
      </c>
      <c r="O32" s="96">
        <f>IF($D32="","",IFERROR(COUNTIF(INDIRECT("'"&amp;$D32&amp;"'!$E$7:$E$500"),"High"),0))</f>
        <v/>
      </c>
      <c r="P32" s="96">
        <f>IF($D32="","",IFERROR(COUNTIF(INDIRECT("'"&amp;$D32&amp;"'!$E$7:$E$500"),"Medium"),0))</f>
        <v/>
      </c>
      <c r="Q32" s="96">
        <f>IF($D32="","",IFERROR(COUNTIF(INDIRECT("'"&amp;$D32&amp;"'!$E$7:$E$500"),"Low"),0))</f>
        <v/>
      </c>
      <c r="R32" s="96">
        <f>IF($D32="","",IFERROR(COUNTIF(INDIRECT("'"&amp;$D32&amp;"'!$D$7:$D$500"),"Functional"),0))</f>
        <v/>
      </c>
      <c r="S32" s="96">
        <f>IF($D32="","",IFERROR(COUNTIF(INDIRECT("'"&amp;$D32&amp;"'!$D$7:$D$500"),"UI"),0))</f>
        <v/>
      </c>
      <c r="T32" s="96">
        <f>IF($D32="","",IFERROR(COUNTIF(INDIRECT("'"&amp;$D32&amp;"'!$D$7:$D$500"),"Integration"),0))</f>
        <v/>
      </c>
      <c r="U32" s="96">
        <f>IF($D32="","",IFERROR(COUNTIF(INDIRECT("'"&amp;$D32&amp;"'!$D$7:$D$500"),"Database Test Case"),0))</f>
        <v/>
      </c>
      <c r="V32" s="96">
        <f>IF($D32="","",IFERROR(COUNTIF(INDIRECT("'"&amp;$D32&amp;"'!$J$7:$J$500"),"AI"),0))</f>
        <v/>
      </c>
      <c r="W32" s="96">
        <f>IF($D32="","",IFERROR(COUNTIF(INDIRECT("'"&amp;$D32&amp;"'!$J$7:$J$500"),"QC"),0))</f>
        <v/>
      </c>
      <c r="X32" s="96">
        <f>IF($D32="","",IFERROR(COUNTIF(INDIRECT("'"&amp;$D32&amp;"'!$L$7:$L$500"),"Yes"),0))</f>
        <v/>
      </c>
      <c r="Y32" s="96">
        <f>IF($D32="","",IFERROR(COUNTIF(INDIRECT("'"&amp;$D32&amp;"'!$AR$7:$AR$500"),"Yes"),0))</f>
        <v/>
      </c>
      <c r="Z32" s="96">
        <f>IF($D32="","",IFERROR(COUNTIF(INDIRECT("'"&amp;$D32&amp;"'!$AS$7:$AS$500"),"Pass"),0))</f>
        <v/>
      </c>
      <c r="AA32" s="96">
        <f>IF($D32="","",IFERROR(COUNTIF(INDIRECT("'"&amp;$D32&amp;"'!$K$7:$K$500"),"Reviewed"),0))</f>
        <v/>
      </c>
      <c r="AB32" s="107">
        <f>IF($D32="","",IFERROR(COUNTIFS(INDIRECT("'"&amp;$D32&amp;"'!$E$7:$E$500"),"High",INDIRECT("'"&amp;$D32&amp;"'!$AT$7:$AT$500"),"?*"),0))</f>
        <v/>
      </c>
      <c r="AC32" s="107">
        <f>IF($D32="","",IFERROR(COUNTIFS(INDIRECT("'"&amp;$D32&amp;"'!$E$7:$E$500"),"Medium",INDIRECT("'"&amp;$D32&amp;"'!$AT$7:$AT$500"),"?*"),0))</f>
        <v/>
      </c>
      <c r="AD32" s="107">
        <f>IF($D32="","",IFERROR(COUNTIFS(INDIRECT("'"&amp;$D32&amp;"'!$E$7:$E$500"),"Low",INDIRECT("'"&amp;$D32&amp;"'!$AT$7:$AT$500"),"?*"),0))</f>
        <v/>
      </c>
      <c r="AE32" s="108">
        <f>IF($D32="","",IFERROR(COUNTIF(INDIRECT("'"&amp;$D32&amp;"'!$P$7:$P$500"),"?*"),0))</f>
        <v/>
      </c>
      <c r="AF32" s="108">
        <f>IF($D32="","",IFERROR(COUNTIF(INDIRECT("'"&amp;$D32&amp;"'!$P$7:$P$500"),"Pass"),0))</f>
        <v/>
      </c>
      <c r="AG32" s="108">
        <f>IF($D32="","",IFERROR(COUNTIF(INDIRECT("'"&amp;$D32&amp;"'!$P$7:$P$500"),"Fail"),0))</f>
        <v/>
      </c>
      <c r="AH32" s="108">
        <f>IF($D32="","",IFERROR(COUNTIF(INDIRECT("'"&amp;$D32&amp;"'!$P$7:$P$500"),"Block"),0))</f>
        <v/>
      </c>
      <c r="AI32" s="108">
        <f>IF($D32="","",IFERROR(COUNTIF(INDIRECT("'"&amp;$D32&amp;"'!$P$7:$P$500"),"N/A"),0))</f>
        <v/>
      </c>
      <c r="AJ32" s="108">
        <f>IF($D32="","",IFERROR(COUNTIF(INDIRECT("'"&amp;$D32&amp;"'!$V$7:$V$500"),"?*"),0))</f>
        <v/>
      </c>
      <c r="AK32" s="108">
        <f>IF($D32="","",IFERROR(COUNTIF(INDIRECT("'"&amp;$D32&amp;"'!$V$7:$V$500"),"Pass"),0))</f>
        <v/>
      </c>
      <c r="AL32" s="108">
        <f>IF($D32="","",IFERROR(COUNTIF(INDIRECT("'"&amp;$D32&amp;"'!$V$7:$V$500"),"Fail"),0))</f>
        <v/>
      </c>
      <c r="AM32" s="108">
        <f>IF($D32="","",IFERROR(COUNTIF(INDIRECT("'"&amp;$D32&amp;"'!$V$7:$V$500"),"Block"),0))</f>
        <v/>
      </c>
      <c r="AN32" s="108">
        <f>IF($D32="","",IFERROR(COUNTIF(INDIRECT("'"&amp;$D32&amp;"'!$V$7:$V$500"),"N/A"),0))</f>
        <v/>
      </c>
      <c r="AO32" s="108">
        <f>IF($D32="","",IFERROR(COUNTIF(INDIRECT("'"&amp;$D32&amp;"'!$AB$7:$AB$500"),"?*"),0))</f>
        <v/>
      </c>
      <c r="AP32" s="108">
        <f>IF($D32="","",IFERROR(COUNTIF(INDIRECT("'"&amp;$D32&amp;"'!$AB$7:$AB$500"),"Pass"),0))</f>
        <v/>
      </c>
      <c r="AQ32" s="108">
        <f>IF($D32="","",IFERROR(COUNTIF(INDIRECT("'"&amp;$D32&amp;"'!$AB$7:$AB$500"),"Fail"),0))</f>
        <v/>
      </c>
      <c r="AR32" s="108">
        <f>IF($D32="","",IFERROR(COUNTIF(INDIRECT("'"&amp;$D32&amp;"'!$AB$7:$AB$500"),"Block"),0))</f>
        <v/>
      </c>
      <c r="AS32" s="108">
        <f>IF($D32="","",IFERROR(COUNTIF(INDIRECT("'"&amp;$D32&amp;"'!$AB$7:$AB$500"),"N/A"),0))</f>
        <v/>
      </c>
      <c r="AT32" s="108">
        <f>IF($D32="","",IFERROR(COUNTIF(INDIRECT("'"&amp;$D32&amp;"'!$AH$7:$AH$500"),"?*"),0))</f>
        <v/>
      </c>
      <c r="AU32" s="108">
        <f>IF($D32="","",IFERROR(COUNTIF(INDIRECT("'"&amp;$D32&amp;"'!$AH$7:$AH$500"),"Pass"),0))</f>
        <v/>
      </c>
      <c r="AV32" s="108">
        <f>IF($D32="","",IFERROR(COUNTIF(INDIRECT("'"&amp;$D32&amp;"'!$AH$7:$AH$500"),"Fail"),0))</f>
        <v/>
      </c>
      <c r="AW32" s="108">
        <f>IF($D32="","",IFERROR(COUNTIF(INDIRECT("'"&amp;$D32&amp;"'!$AH$7:$AH$500"),"Block"),0))</f>
        <v/>
      </c>
      <c r="AX32" s="108">
        <f>IF($D32="","",IFERROR(COUNTIF(INDIRECT("'"&amp;$D32&amp;"'!$AH$7:$AH$500"),"N/A"),0))</f>
        <v/>
      </c>
      <c r="AY32" s="108">
        <f>IF($D32="","",IFERROR(COUNTIF(INDIRECT("'"&amp;$D32&amp;"'!$AN$7:$AN$500"),"?*"),0))</f>
        <v/>
      </c>
      <c r="AZ32" s="108">
        <f>IF($D32="","",IFERROR(COUNTIF(INDIRECT("'"&amp;$D32&amp;"'!$AN$7:$AN$500"),"Pass"),0))</f>
        <v/>
      </c>
      <c r="BA32" s="108">
        <f>IF($D32="","",IFERROR(COUNTIF(INDIRECT("'"&amp;$D32&amp;"'!$AN$7:$AN$500"),"Fail"),0))</f>
        <v/>
      </c>
      <c r="BB32" s="108">
        <f>IF($D32="","",IFERROR(COUNTIF(INDIRECT("'"&amp;$D32&amp;"'!$AN$7:$AN$500"),"Block"),0))</f>
        <v/>
      </c>
      <c r="BC32" s="109">
        <f>IF($D32="","",IFERROR(COUNTIF(INDIRECT("'"&amp;$D32&amp;"'!$AN$7:$AN$500"),"N/A"),0))</f>
        <v/>
      </c>
    </row>
    <row r="33" ht="15.75" customHeight="1" s="216">
      <c r="A33" s="1" t="n"/>
      <c r="B33" s="96">
        <f>IF($D33="","",ROW()-3)</f>
        <v/>
      </c>
      <c r="C33" s="97" t="n"/>
      <c r="D33" s="97" t="n"/>
      <c r="E33" s="98" t="n"/>
      <c r="F33" s="96">
        <f>IF($D33="","",IFERROR(COUNTIF(INDIRECT("'"&amp;$D33&amp;"'!$A$7:$A$500"),"?*"),0))</f>
        <v/>
      </c>
      <c r="G33" s="96">
        <f>IF($D33="","",IFERROR(COUNTIF(INDIRECT("'"&amp;$D33&amp;"'!$AT$7:$AT$500"),"Pass"),0))</f>
        <v/>
      </c>
      <c r="H33" s="96">
        <f>IF($D33="","",IFERROR(COUNTIF(INDIRECT("'"&amp;$D33&amp;"'!$AT$7:$AT$500"),"Fail"),0))</f>
        <v/>
      </c>
      <c r="I33" s="96">
        <f>IF($D33="","",IFERROR(COUNTIF(INDIRECT("'"&amp;$D33&amp;"'!$AT$7:$AT$500"),"Block"),0))</f>
        <v/>
      </c>
      <c r="J33" s="96">
        <f>IF($D33="","",IFERROR(COUNTIF(INDIRECT("'"&amp;$D33&amp;"'!$AT$7:$AT$500"),"N/A"),0))</f>
        <v/>
      </c>
      <c r="K33" s="96">
        <f>IF($D33="","",MAX(0,$F33-$G33-$H33-$I33-$J33))</f>
        <v/>
      </c>
      <c r="L33" s="96">
        <f>IF($D33="","",$G33+$H33+$I33+$J33)</f>
        <v/>
      </c>
      <c r="M33" s="99">
        <f>IF($D33="","",IFERROR($L33/$F33,0))</f>
        <v/>
      </c>
      <c r="N33" s="99">
        <f>IF($D33="","",IFERROR($G33/$L33,0))</f>
        <v/>
      </c>
      <c r="O33" s="96">
        <f>IF($D33="","",IFERROR(COUNTIF(INDIRECT("'"&amp;$D33&amp;"'!$E$7:$E$500"),"High"),0))</f>
        <v/>
      </c>
      <c r="P33" s="96">
        <f>IF($D33="","",IFERROR(COUNTIF(INDIRECT("'"&amp;$D33&amp;"'!$E$7:$E$500"),"Medium"),0))</f>
        <v/>
      </c>
      <c r="Q33" s="96">
        <f>IF($D33="","",IFERROR(COUNTIF(INDIRECT("'"&amp;$D33&amp;"'!$E$7:$E$500"),"Low"),0))</f>
        <v/>
      </c>
      <c r="R33" s="96">
        <f>IF($D33="","",IFERROR(COUNTIF(INDIRECT("'"&amp;$D33&amp;"'!$D$7:$D$500"),"Functional"),0))</f>
        <v/>
      </c>
      <c r="S33" s="96">
        <f>IF($D33="","",IFERROR(COUNTIF(INDIRECT("'"&amp;$D33&amp;"'!$D$7:$D$500"),"UI"),0))</f>
        <v/>
      </c>
      <c r="T33" s="96">
        <f>IF($D33="","",IFERROR(COUNTIF(INDIRECT("'"&amp;$D33&amp;"'!$D$7:$D$500"),"Integration"),0))</f>
        <v/>
      </c>
      <c r="U33" s="96">
        <f>IF($D33="","",IFERROR(COUNTIF(INDIRECT("'"&amp;$D33&amp;"'!$D$7:$D$500"),"Database Test Case"),0))</f>
        <v/>
      </c>
      <c r="V33" s="96">
        <f>IF($D33="","",IFERROR(COUNTIF(INDIRECT("'"&amp;$D33&amp;"'!$J$7:$J$500"),"AI"),0))</f>
        <v/>
      </c>
      <c r="W33" s="96">
        <f>IF($D33="","",IFERROR(COUNTIF(INDIRECT("'"&amp;$D33&amp;"'!$J$7:$J$500"),"QC"),0))</f>
        <v/>
      </c>
      <c r="X33" s="96">
        <f>IF($D33="","",IFERROR(COUNTIF(INDIRECT("'"&amp;$D33&amp;"'!$L$7:$L$500"),"Yes"),0))</f>
        <v/>
      </c>
      <c r="Y33" s="96">
        <f>IF($D33="","",IFERROR(COUNTIF(INDIRECT("'"&amp;$D33&amp;"'!$AR$7:$AR$500"),"Yes"),0))</f>
        <v/>
      </c>
      <c r="Z33" s="96">
        <f>IF($D33="","",IFERROR(COUNTIF(INDIRECT("'"&amp;$D33&amp;"'!$AS$7:$AS$500"),"Pass"),0))</f>
        <v/>
      </c>
      <c r="AA33" s="96">
        <f>IF($D33="","",IFERROR(COUNTIF(INDIRECT("'"&amp;$D33&amp;"'!$K$7:$K$500"),"Reviewed"),0))</f>
        <v/>
      </c>
      <c r="AB33" s="107">
        <f>IF($D33="","",IFERROR(COUNTIFS(INDIRECT("'"&amp;$D33&amp;"'!$E$7:$E$500"),"High",INDIRECT("'"&amp;$D33&amp;"'!$AT$7:$AT$500"),"?*"),0))</f>
        <v/>
      </c>
      <c r="AC33" s="107">
        <f>IF($D33="","",IFERROR(COUNTIFS(INDIRECT("'"&amp;$D33&amp;"'!$E$7:$E$500"),"Medium",INDIRECT("'"&amp;$D33&amp;"'!$AT$7:$AT$500"),"?*"),0))</f>
        <v/>
      </c>
      <c r="AD33" s="107">
        <f>IF($D33="","",IFERROR(COUNTIFS(INDIRECT("'"&amp;$D33&amp;"'!$E$7:$E$500"),"Low",INDIRECT("'"&amp;$D33&amp;"'!$AT$7:$AT$500"),"?*"),0))</f>
        <v/>
      </c>
      <c r="AE33" s="108">
        <f>IF($D33="","",IFERROR(COUNTIF(INDIRECT("'"&amp;$D33&amp;"'!$P$7:$P$500"),"?*"),0))</f>
        <v/>
      </c>
      <c r="AF33" s="108">
        <f>IF($D33="","",IFERROR(COUNTIF(INDIRECT("'"&amp;$D33&amp;"'!$P$7:$P$500"),"Pass"),0))</f>
        <v/>
      </c>
      <c r="AG33" s="108">
        <f>IF($D33="","",IFERROR(COUNTIF(INDIRECT("'"&amp;$D33&amp;"'!$P$7:$P$500"),"Fail"),0))</f>
        <v/>
      </c>
      <c r="AH33" s="108">
        <f>IF($D33="","",IFERROR(COUNTIF(INDIRECT("'"&amp;$D33&amp;"'!$P$7:$P$500"),"Block"),0))</f>
        <v/>
      </c>
      <c r="AI33" s="108">
        <f>IF($D33="","",IFERROR(COUNTIF(INDIRECT("'"&amp;$D33&amp;"'!$P$7:$P$500"),"N/A"),0))</f>
        <v/>
      </c>
      <c r="AJ33" s="108">
        <f>IF($D33="","",IFERROR(COUNTIF(INDIRECT("'"&amp;$D33&amp;"'!$V$7:$V$500"),"?*"),0))</f>
        <v/>
      </c>
      <c r="AK33" s="108">
        <f>IF($D33="","",IFERROR(COUNTIF(INDIRECT("'"&amp;$D33&amp;"'!$V$7:$V$500"),"Pass"),0))</f>
        <v/>
      </c>
      <c r="AL33" s="108">
        <f>IF($D33="","",IFERROR(COUNTIF(INDIRECT("'"&amp;$D33&amp;"'!$V$7:$V$500"),"Fail"),0))</f>
        <v/>
      </c>
      <c r="AM33" s="108">
        <f>IF($D33="","",IFERROR(COUNTIF(INDIRECT("'"&amp;$D33&amp;"'!$V$7:$V$500"),"Block"),0))</f>
        <v/>
      </c>
      <c r="AN33" s="108">
        <f>IF($D33="","",IFERROR(COUNTIF(INDIRECT("'"&amp;$D33&amp;"'!$V$7:$V$500"),"N/A"),0))</f>
        <v/>
      </c>
      <c r="AO33" s="108">
        <f>IF($D33="","",IFERROR(COUNTIF(INDIRECT("'"&amp;$D33&amp;"'!$AB$7:$AB$500"),"?*"),0))</f>
        <v/>
      </c>
      <c r="AP33" s="108">
        <f>IF($D33="","",IFERROR(COUNTIF(INDIRECT("'"&amp;$D33&amp;"'!$AB$7:$AB$500"),"Pass"),0))</f>
        <v/>
      </c>
      <c r="AQ33" s="108">
        <f>IF($D33="","",IFERROR(COUNTIF(INDIRECT("'"&amp;$D33&amp;"'!$AB$7:$AB$500"),"Fail"),0))</f>
        <v/>
      </c>
      <c r="AR33" s="108">
        <f>IF($D33="","",IFERROR(COUNTIF(INDIRECT("'"&amp;$D33&amp;"'!$AB$7:$AB$500"),"Block"),0))</f>
        <v/>
      </c>
      <c r="AS33" s="108">
        <f>IF($D33="","",IFERROR(COUNTIF(INDIRECT("'"&amp;$D33&amp;"'!$AB$7:$AB$500"),"N/A"),0))</f>
        <v/>
      </c>
      <c r="AT33" s="108">
        <f>IF($D33="","",IFERROR(COUNTIF(INDIRECT("'"&amp;$D33&amp;"'!$AH$7:$AH$500"),"?*"),0))</f>
        <v/>
      </c>
      <c r="AU33" s="108">
        <f>IF($D33="","",IFERROR(COUNTIF(INDIRECT("'"&amp;$D33&amp;"'!$AH$7:$AH$500"),"Pass"),0))</f>
        <v/>
      </c>
      <c r="AV33" s="108">
        <f>IF($D33="","",IFERROR(COUNTIF(INDIRECT("'"&amp;$D33&amp;"'!$AH$7:$AH$500"),"Fail"),0))</f>
        <v/>
      </c>
      <c r="AW33" s="108">
        <f>IF($D33="","",IFERROR(COUNTIF(INDIRECT("'"&amp;$D33&amp;"'!$AH$7:$AH$500"),"Block"),0))</f>
        <v/>
      </c>
      <c r="AX33" s="108">
        <f>IF($D33="","",IFERROR(COUNTIF(INDIRECT("'"&amp;$D33&amp;"'!$AH$7:$AH$500"),"N/A"),0))</f>
        <v/>
      </c>
      <c r="AY33" s="108">
        <f>IF($D33="","",IFERROR(COUNTIF(INDIRECT("'"&amp;$D33&amp;"'!$AN$7:$AN$500"),"?*"),0))</f>
        <v/>
      </c>
      <c r="AZ33" s="108">
        <f>IF($D33="","",IFERROR(COUNTIF(INDIRECT("'"&amp;$D33&amp;"'!$AN$7:$AN$500"),"Pass"),0))</f>
        <v/>
      </c>
      <c r="BA33" s="108">
        <f>IF($D33="","",IFERROR(COUNTIF(INDIRECT("'"&amp;$D33&amp;"'!$AN$7:$AN$500"),"Fail"),0))</f>
        <v/>
      </c>
      <c r="BB33" s="108">
        <f>IF($D33="","",IFERROR(COUNTIF(INDIRECT("'"&amp;$D33&amp;"'!$AN$7:$AN$500"),"Block"),0))</f>
        <v/>
      </c>
      <c r="BC33" s="109">
        <f>IF($D33="","",IFERROR(COUNTIF(INDIRECT("'"&amp;$D33&amp;"'!$AN$7:$AN$500"),"N/A"),0))</f>
        <v/>
      </c>
    </row>
    <row r="34" ht="15.75" customHeight="1" s="216">
      <c r="A34" s="1" t="n"/>
      <c r="B34" s="162" t="inlineStr">
        <is>
          <t>TOTAL</t>
        </is>
      </c>
      <c r="C34" s="162" t="n"/>
      <c r="D34" s="162">
        <f>COUNTIF($D$4:$D$33,"?*")&amp;" sheet"</f>
        <v/>
      </c>
      <c r="E34" s="163" t="n"/>
      <c r="F34" s="162">
        <f>SUM(F4:F33)</f>
        <v/>
      </c>
      <c r="G34" s="162">
        <f>SUM(G4:G33)</f>
        <v/>
      </c>
      <c r="H34" s="162">
        <f>SUM(H4:H33)</f>
        <v/>
      </c>
      <c r="I34" s="162">
        <f>SUM(I4:I33)</f>
        <v/>
      </c>
      <c r="J34" s="162">
        <f>SUM(J4:J33)</f>
        <v/>
      </c>
      <c r="K34" s="162">
        <f>SUM(K4:K33)</f>
        <v/>
      </c>
      <c r="L34" s="162">
        <f>SUM(L4:L33)</f>
        <v/>
      </c>
      <c r="M34" s="164">
        <f>IFERROR($L34/$F34,0)</f>
        <v/>
      </c>
      <c r="N34" s="164">
        <f>IFERROR($G34/$L34,0)</f>
        <v/>
      </c>
      <c r="O34" s="162">
        <f>SUM(O4:O33)</f>
        <v/>
      </c>
      <c r="P34" s="162">
        <f>SUM(P4:P33)</f>
        <v/>
      </c>
      <c r="Q34" s="162">
        <f>SUM(Q4:Q33)</f>
        <v/>
      </c>
      <c r="R34" s="162">
        <f>SUM(R4:R33)</f>
        <v/>
      </c>
      <c r="S34" s="162">
        <f>SUM(S4:S33)</f>
        <v/>
      </c>
      <c r="T34" s="162">
        <f>SUM(T4:T33)</f>
        <v/>
      </c>
      <c r="U34" s="162">
        <f>SUM(U4:U33)</f>
        <v/>
      </c>
      <c r="V34" s="162">
        <f>SUM(V4:V33)</f>
        <v/>
      </c>
      <c r="W34" s="162">
        <f>SUM(W4:W33)</f>
        <v/>
      </c>
      <c r="X34" s="162">
        <f>SUM(X4:X33)</f>
        <v/>
      </c>
      <c r="Y34" s="162">
        <f>SUM(Y4:Y33)</f>
        <v/>
      </c>
      <c r="Z34" s="162">
        <f>SUM(Z4:Z33)</f>
        <v/>
      </c>
      <c r="AA34" s="162">
        <f>SUM(AA4:AA33)</f>
        <v/>
      </c>
      <c r="AB34" s="165">
        <f>SUM(AB4:AB33)</f>
        <v/>
      </c>
      <c r="AC34" s="165">
        <f>SUM(AC4:AC33)</f>
        <v/>
      </c>
      <c r="AD34" s="165">
        <f>SUM(AD4:AD33)</f>
        <v/>
      </c>
      <c r="AE34" s="166">
        <f>SUM(AE4:AE33)</f>
        <v/>
      </c>
      <c r="AF34" s="166">
        <f>SUM(AF4:AF33)</f>
        <v/>
      </c>
      <c r="AG34" s="166">
        <f>SUM(AG4:AG33)</f>
        <v/>
      </c>
      <c r="AH34" s="166">
        <f>SUM(AH4:AH33)</f>
        <v/>
      </c>
      <c r="AI34" s="166">
        <f>SUM(AI4:AI33)</f>
        <v/>
      </c>
      <c r="AJ34" s="166">
        <f>SUM(AJ4:AJ33)</f>
        <v/>
      </c>
      <c r="AK34" s="166">
        <f>SUM(AK4:AK33)</f>
        <v/>
      </c>
      <c r="AL34" s="166">
        <f>SUM(AL4:AL33)</f>
        <v/>
      </c>
      <c r="AM34" s="166">
        <f>SUM(AM4:AM33)</f>
        <v/>
      </c>
      <c r="AN34" s="166">
        <f>SUM(AN4:AN33)</f>
        <v/>
      </c>
      <c r="AO34" s="166">
        <f>SUM(AO4:AO33)</f>
        <v/>
      </c>
      <c r="AP34" s="166">
        <f>SUM(AP4:AP33)</f>
        <v/>
      </c>
      <c r="AQ34" s="166">
        <f>SUM(AQ4:AQ33)</f>
        <v/>
      </c>
      <c r="AR34" s="166">
        <f>SUM(AR4:AR33)</f>
        <v/>
      </c>
      <c r="AS34" s="166">
        <f>SUM(AS4:AS33)</f>
        <v/>
      </c>
      <c r="AT34" s="166">
        <f>SUM(AT4:AT33)</f>
        <v/>
      </c>
      <c r="AU34" s="166">
        <f>SUM(AU4:AU33)</f>
        <v/>
      </c>
      <c r="AV34" s="166">
        <f>SUM(AV4:AV33)</f>
        <v/>
      </c>
      <c r="AW34" s="166">
        <f>SUM(AW4:AW33)</f>
        <v/>
      </c>
      <c r="AX34" s="166">
        <f>SUM(AX4:AX33)</f>
        <v/>
      </c>
      <c r="AY34" s="166">
        <f>SUM(AY4:AY33)</f>
        <v/>
      </c>
      <c r="AZ34" s="166">
        <f>SUM(AZ4:AZ33)</f>
        <v/>
      </c>
      <c r="BA34" s="166">
        <f>SUM(BA4:BA33)</f>
        <v/>
      </c>
      <c r="BB34" s="166">
        <f>SUM(BB4:BB33)</f>
        <v/>
      </c>
      <c r="BC34" s="167">
        <f>SUM(BC4:BC33)</f>
        <v/>
      </c>
    </row>
    <row r="35" ht="15.75" customHeight="1" s="216">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row>
    <row r="36" ht="15" customHeight="1" s="216">
      <c r="A36" s="1" t="n"/>
      <c r="B36" s="168" t="inlineStr">
        <is>
          <t>CÁCH THÊM 1 FUNCTION MỚI (chạy được cả Excel &amp; Google Sheets):</t>
        </is>
      </c>
      <c r="O36" s="1" t="n"/>
      <c r="P36" s="1" t="n"/>
      <c r="Q36" s="1" t="n"/>
      <c r="R36" s="1" t="n"/>
      <c r="S36" s="1" t="n"/>
      <c r="T36" s="1" t="n"/>
      <c r="U36" s="1" t="n"/>
      <c r="V36" s="1" t="n"/>
      <c r="W36" s="1" t="n"/>
      <c r="X36" s="1" t="n"/>
      <c r="Y36" s="1" t="n"/>
      <c r="Z36" s="1" t="n"/>
      <c r="AA36" s="1" t="n"/>
      <c r="AB36" s="1" t="n"/>
      <c r="AC36" s="1" t="n"/>
      <c r="AD36" s="1" t="n"/>
    </row>
    <row r="37" ht="15" customHeight="1" s="216">
      <c r="A37" s="1" t="n"/>
      <c r="B37" s="169" t="inlineStr">
        <is>
          <t>1. Nhân bản (Duplicate) 1 sheet Test Case có sẵn → đổi tên tab thành tên function mới.</t>
        </is>
      </c>
      <c r="O37" s="1" t="n"/>
      <c r="P37" s="1" t="n"/>
      <c r="Q37" s="1" t="n"/>
      <c r="R37" s="1" t="n"/>
      <c r="S37" s="1" t="n"/>
      <c r="T37" s="1" t="n"/>
      <c r="U37" s="1" t="n"/>
      <c r="V37" s="1" t="n"/>
      <c r="W37" s="1" t="n"/>
      <c r="X37" s="1" t="n"/>
      <c r="Y37" s="1" t="n"/>
      <c r="Z37" s="1" t="n"/>
      <c r="AA37" s="1" t="n"/>
      <c r="AB37" s="1" t="n"/>
      <c r="AC37" s="1" t="n"/>
      <c r="AD37" s="1" t="n"/>
    </row>
    <row r="38" ht="15" customHeight="1" s="216">
      <c r="A38" s="1" t="n"/>
      <c r="B38" s="169" t="inlineStr">
        <is>
          <t>2. Thêm 1 dòng ở bảng trên: nhập Mã CN, TÊN TAB SHEET (phải giống hệt tên tab), Function.</t>
        </is>
      </c>
      <c r="O38" s="1" t="n"/>
      <c r="P38" s="1" t="n"/>
      <c r="Q38" s="1" t="n"/>
      <c r="R38" s="1" t="n"/>
      <c r="S38" s="1" t="n"/>
      <c r="T38" s="1" t="n"/>
      <c r="U38" s="1" t="n"/>
      <c r="V38" s="1" t="n"/>
      <c r="W38" s="1" t="n"/>
      <c r="X38" s="1" t="n"/>
      <c r="Y38" s="1" t="n"/>
      <c r="Z38" s="1" t="n"/>
      <c r="AA38" s="1" t="n"/>
      <c r="AB38" s="1" t="n"/>
      <c r="AC38" s="1" t="n"/>
      <c r="AD38" s="1" t="n"/>
    </row>
    <row r="39" ht="15" customHeight="1" s="216">
      <c r="A39" s="1" t="n"/>
      <c r="B39" s="169" t="inlineStr">
        <is>
          <t>3. Xong! Tổng TC / Pass / Coverage / Priority / SDLC tự cộng vào Summary &amp; Report Test.</t>
        </is>
      </c>
      <c r="O39" s="1" t="n"/>
      <c r="P39" s="1" t="n"/>
      <c r="Q39" s="1" t="n"/>
      <c r="R39" s="1" t="n"/>
      <c r="S39" s="1" t="n"/>
      <c r="T39" s="1" t="n"/>
      <c r="U39" s="1" t="n"/>
      <c r="V39" s="1" t="n"/>
      <c r="W39" s="1" t="n"/>
      <c r="X39" s="1" t="n"/>
      <c r="Y39" s="1" t="n"/>
      <c r="Z39" s="1" t="n"/>
      <c r="AA39" s="1" t="n"/>
      <c r="AB39" s="1" t="n"/>
      <c r="AC39" s="1" t="n"/>
      <c r="AD39" s="1" t="n"/>
    </row>
    <row r="40" ht="15" customHeight="1" s="216">
      <c r="A40" s="1" t="n"/>
      <c r="B40" s="169" t="inlineStr">
        <is>
          <t>Lưu ý: cột "Tên tab sheet" phải trùng KHÍT tên tab (kể cả khoảng trắng). Sai tên → dòng đó = 0 (không lỗi).</t>
        </is>
      </c>
      <c r="O40" s="1" t="n"/>
      <c r="P40" s="1" t="n"/>
      <c r="Q40" s="1" t="n"/>
      <c r="R40" s="1" t="n"/>
      <c r="S40" s="1" t="n"/>
      <c r="T40" s="1" t="n"/>
      <c r="U40" s="1" t="n"/>
      <c r="V40" s="1" t="n"/>
      <c r="W40" s="1" t="n"/>
      <c r="X40" s="1" t="n"/>
      <c r="Y40" s="1" t="n"/>
      <c r="Z40" s="1" t="n"/>
      <c r="AA40" s="1" t="n"/>
      <c r="AB40" s="1" t="n"/>
      <c r="AC40" s="1" t="n"/>
      <c r="AD40" s="1" t="n"/>
    </row>
    <row r="41" ht="15.75" customHeight="1" s="216">
      <c r="A41" s="1" t="n"/>
      <c r="B41" s="169" t="inlineStr">
        <is>
          <t>Các chỉ số lấy từ sheet Test Case: A=Testcase ID · D=Group · E=Priority · J=Origin · K=Review · L=Auto · AR=Vibe(tổng) · AS=KQ Script(tổng) · Kết quả từng round: P/V/AB/AH/AN · Status(mới nhất)=AT.</t>
        </is>
      </c>
      <c r="O41" s="1" t="n"/>
      <c r="P41" s="1" t="n"/>
      <c r="Q41" s="1" t="n"/>
      <c r="R41" s="1" t="n"/>
      <c r="S41" s="1" t="n"/>
      <c r="T41" s="1" t="n"/>
      <c r="U41" s="1" t="n"/>
      <c r="V41" s="1" t="n"/>
      <c r="W41" s="1" t="n"/>
      <c r="X41" s="1" t="n"/>
      <c r="Y41" s="1" t="n"/>
      <c r="Z41" s="1" t="n"/>
      <c r="AA41" s="1" t="n"/>
      <c r="AB41" s="1" t="n"/>
      <c r="AC41" s="1" t="n"/>
      <c r="AD41" s="1" t="n"/>
    </row>
    <row r="42" ht="15.75" customHeight="1" s="216">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row>
    <row r="43" ht="15.75" customHeight="1" s="216">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row>
    <row r="44" ht="15.75" customHeight="1" s="216">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row>
    <row r="45" ht="15.75" customHeight="1" s="216">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row>
    <row r="46" ht="15.75" customHeight="1" s="21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row>
    <row r="47" ht="15.75" customHeight="1" s="216">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row>
    <row r="48" ht="15.75" customHeight="1" s="216">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row>
    <row r="49" ht="15.75" customHeight="1" s="216">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row>
    <row r="50" ht="15.75" customHeight="1" s="216">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row>
    <row r="51" ht="15.75" customHeight="1" s="216">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row>
    <row r="52" ht="15.75" customHeight="1" s="216">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row>
    <row r="53" ht="15.75" customHeight="1" s="216">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row>
    <row r="54" ht="15.75" customHeight="1" s="216">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row>
    <row r="55" ht="15.75" customHeight="1" s="216">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row>
    <row r="56" ht="15.75" customHeight="1" s="21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row>
    <row r="57" ht="15.75" customHeight="1" s="216">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row>
    <row r="58" ht="15.75" customHeight="1" s="216">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row>
    <row r="59" ht="15.75" customHeight="1" s="216">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row>
    <row r="60" ht="15.75" customHeight="1" s="216">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row>
    <row r="61" ht="15.75" customHeight="1" s="216">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row>
    <row r="62" ht="15.75" customHeight="1" s="216">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row>
    <row r="63" ht="15.75" customHeight="1" s="216">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row>
    <row r="64" ht="15.75" customHeight="1" s="216">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row>
    <row r="65" ht="15.75" customHeight="1" s="216">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row>
    <row r="66" ht="15.75" customHeight="1" s="21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row>
    <row r="67" ht="15.75" customHeight="1" s="216">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row>
    <row r="68" ht="15.75" customHeight="1" s="216">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row>
    <row r="69" ht="15.75" customHeight="1" s="216">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row>
    <row r="70" ht="15.75" customHeight="1" s="216">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row>
    <row r="71" ht="15.75" customHeight="1" s="216">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row>
    <row r="72" ht="15.75" customHeight="1" s="216">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row>
    <row r="73" ht="15.75" customHeight="1" s="216">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row>
    <row r="74" ht="15.75" customHeight="1" s="216">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row>
    <row r="75" ht="15.75" customHeight="1" s="216">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row>
    <row r="76" ht="15.75" customHeight="1" s="21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row>
    <row r="77" ht="15.75" customHeight="1" s="216">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row>
    <row r="78" ht="15.75" customHeight="1" s="216">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row>
    <row r="79" ht="15.75" customHeight="1" s="216">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row>
    <row r="80" ht="15.75" customHeight="1" s="216">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row>
    <row r="81" ht="15.75" customHeight="1" s="216">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row>
    <row r="82" ht="15.75" customHeight="1" s="216">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row>
    <row r="83" ht="15.75" customHeight="1" s="216">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row>
    <row r="84" ht="15.75" customHeight="1" s="216">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row>
    <row r="85" ht="15.75" customHeight="1" s="216">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row>
    <row r="86" ht="15.75" customHeight="1" s="21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row>
    <row r="87" ht="15.75" customHeight="1" s="216">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row>
    <row r="88" ht="15.75" customHeight="1" s="216">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row>
    <row r="89" ht="15.75" customHeight="1" s="216">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row>
    <row r="90" ht="15.75" customHeight="1" s="216">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row>
    <row r="91" ht="15.75" customHeight="1" s="216">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row>
    <row r="92" ht="15.75" customHeight="1" s="216">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row>
    <row r="93" ht="15.75" customHeight="1" s="216">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row>
    <row r="94" ht="15.75" customHeight="1" s="216">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row>
    <row r="95" ht="15.75" customHeight="1" s="216">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row>
    <row r="96" ht="15.75" customHeight="1" s="21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row>
    <row r="97" ht="15.75" customHeight="1" s="216">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row>
    <row r="98" ht="15.75" customHeight="1" s="216">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row>
    <row r="99" ht="15.75" customHeight="1" s="216">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row>
    <row r="100" ht="15.75" customHeight="1" s="216">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row>
    <row r="101" ht="15.75" customHeight="1" s="216">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row>
    <row r="102" ht="15.75" customHeight="1" s="216">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row>
    <row r="103" ht="15.75" customHeight="1" s="216">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row>
    <row r="104" ht="15.75" customHeight="1" s="216">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row>
    <row r="105" ht="15.75" customHeight="1" s="216">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row>
    <row r="106" ht="15.75" customHeight="1" s="21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row>
    <row r="107" ht="15.75" customHeight="1" s="216">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row>
    <row r="108" ht="15.75" customHeight="1" s="216">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row>
    <row r="109" ht="15.75" customHeight="1" s="216">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row>
    <row r="110" ht="15.75" customHeight="1" s="216">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row>
    <row r="111" ht="15.75" customHeight="1" s="216">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row>
    <row r="112" ht="15.75" customHeight="1" s="216">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row>
    <row r="113" ht="15.75" customHeight="1" s="216">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row>
    <row r="114" ht="15.75" customHeight="1" s="216">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row>
    <row r="115" ht="15.75" customHeight="1" s="216">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row>
    <row r="116" ht="15.75" customHeight="1" s="2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row>
    <row r="117" ht="15.75" customHeight="1" s="216">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row>
    <row r="118" ht="15.75" customHeight="1" s="216">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row>
    <row r="119" ht="15.75" customHeight="1" s="216">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row>
    <row r="120" ht="15.75" customHeight="1" s="216">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row>
    <row r="121" ht="15.75" customHeight="1" s="216">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row>
    <row r="122" ht="15.75" customHeight="1" s="216">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row>
    <row r="123" ht="15.75" customHeight="1" s="216">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row>
    <row r="124" ht="15.75" customHeight="1" s="216">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row>
    <row r="125" ht="15.75" customHeight="1" s="216">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row>
    <row r="126" ht="15.75" customHeight="1" s="21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row>
    <row r="127" ht="15.75" customHeight="1" s="216">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row>
    <row r="128" ht="15.75" customHeight="1" s="216">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row>
    <row r="129" ht="15.75" customHeight="1" s="216">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row>
    <row r="130" ht="15.75" customHeight="1" s="216">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row>
    <row r="131" ht="15.75" customHeight="1" s="216">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row>
    <row r="132" ht="15.75" customHeight="1" s="216">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row>
    <row r="133" ht="15.75" customHeight="1" s="216">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row>
    <row r="134" ht="15.75" customHeight="1" s="216">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row>
    <row r="135" ht="15.75" customHeight="1" s="216">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row>
    <row r="136" ht="15.75" customHeight="1" s="21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row>
    <row r="137" ht="15.75" customHeight="1" s="216">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row>
    <row r="138" ht="15.75" customHeight="1" s="216">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row>
    <row r="139" ht="15.75" customHeight="1" s="216">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row>
    <row r="140" ht="15.75" customHeight="1" s="216">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row>
    <row r="141" ht="15.75" customHeight="1" s="216">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row>
    <row r="142" ht="15.75" customHeight="1" s="216">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row>
    <row r="143" ht="15.75" customHeight="1" s="216">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row>
    <row r="144" ht="15.75" customHeight="1" s="216">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row>
    <row r="145" ht="15.75" customHeight="1" s="216">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row>
    <row r="146" ht="15.75" customHeight="1" s="21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row>
    <row r="147" ht="15.75" customHeight="1" s="216">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row>
    <row r="148" ht="15.75" customHeight="1" s="216">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row>
    <row r="149" ht="15.75" customHeight="1" s="216">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row>
    <row r="150" ht="15.75" customHeight="1" s="216">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row>
    <row r="151" ht="15.75" customHeight="1" s="216">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row>
    <row r="152" ht="15.75" customHeight="1" s="216">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row>
    <row r="153" ht="15.75" customHeight="1" s="216">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row>
    <row r="154" ht="15.75" customHeight="1" s="216">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row>
    <row r="155" ht="15.75" customHeight="1" s="216">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row>
    <row r="156" ht="15.75" customHeight="1" s="21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row>
    <row r="157" ht="15.75" customHeight="1" s="216">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row>
    <row r="158" ht="15.75" customHeight="1" s="216">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row>
    <row r="159" ht="15.75" customHeight="1" s="216">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row>
    <row r="160" ht="15.75" customHeight="1" s="216">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row>
    <row r="161" ht="15.75" customHeight="1" s="216">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row>
    <row r="162" ht="15.75" customHeight="1" s="216">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row>
    <row r="163" ht="15.75" customHeight="1" s="216">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row>
    <row r="164" ht="15.75" customHeight="1" s="216">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row>
    <row r="165" ht="15.75" customHeight="1" s="216">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row>
    <row r="166" ht="15.75" customHeight="1" s="21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row>
    <row r="167" ht="15.75" customHeight="1" s="216">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row>
    <row r="168" ht="15.75" customHeight="1" s="216">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row>
    <row r="169" ht="15.75" customHeight="1" s="216">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row>
    <row r="170" ht="15.75" customHeight="1" s="216">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row>
    <row r="171" ht="15.75" customHeight="1" s="216">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row>
    <row r="172" ht="15.75" customHeight="1" s="216">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row>
    <row r="173" ht="15.75" customHeight="1" s="216">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row>
    <row r="174" ht="15.75" customHeight="1" s="216">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row>
    <row r="175" ht="15.75" customHeight="1" s="216">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row>
    <row r="176" ht="15.75" customHeight="1" s="21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row>
    <row r="177" ht="15.75" customHeight="1" s="216">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row>
    <row r="178" ht="15.75" customHeight="1" s="216">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row>
    <row r="179" ht="15.75" customHeight="1" s="216">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row>
    <row r="180" ht="15.75" customHeight="1" s="216">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row>
    <row r="181" ht="15.75" customHeight="1" s="216">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row>
    <row r="182" ht="15.75" customHeight="1" s="216">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row>
    <row r="183" ht="15.75" customHeight="1" s="216">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row>
    <row r="184" ht="15.75" customHeight="1" s="216">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row>
    <row r="185" ht="15.75" customHeight="1" s="216">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row>
    <row r="186" ht="15.75" customHeight="1" s="21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row>
    <row r="187" ht="15.75" customHeight="1" s="216">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row>
    <row r="188" ht="15.75" customHeight="1" s="216">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row>
    <row r="189" ht="15.75" customHeight="1" s="216">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row>
    <row r="190" ht="15.75" customHeight="1" s="216">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row>
    <row r="191" ht="15.75" customHeight="1" s="216">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row>
    <row r="192" ht="15.75" customHeight="1" s="216">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row>
    <row r="193" ht="15.75" customHeight="1" s="216">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row>
    <row r="194" ht="15.75" customHeight="1" s="216">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row>
    <row r="195" ht="15.75" customHeight="1" s="216">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row>
    <row r="196" ht="15.75" customHeight="1" s="21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row>
    <row r="197" ht="15.75" customHeight="1" s="216">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row>
    <row r="198" ht="15.75" customHeight="1" s="216">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row>
    <row r="199" ht="15.75" customHeight="1" s="216">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row>
    <row r="200" ht="15.75" customHeight="1" s="216">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row>
    <row r="201" ht="15.75" customHeight="1" s="216">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row>
    <row r="202" ht="15.75" customHeight="1" s="216">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row>
    <row r="203" ht="15.75" customHeight="1" s="216">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row>
    <row r="204" ht="15.75" customHeight="1" s="216">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row>
    <row r="205" ht="15.75" customHeight="1" s="216">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row>
    <row r="206" ht="15.75" customHeight="1" s="21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row>
    <row r="207" ht="15.75" customHeight="1" s="216">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row>
    <row r="208" ht="15.75" customHeight="1" s="216">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row>
    <row r="209" ht="15.75" customHeight="1" s="216">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row>
    <row r="210" ht="15.75" customHeight="1" s="216">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row>
    <row r="211" ht="15.75" customHeight="1" s="216">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row>
    <row r="212" ht="15.75" customHeight="1" s="216">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row>
    <row r="213" ht="15.75" customHeight="1" s="216">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row>
    <row r="214" ht="15.75" customHeight="1" s="216">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row>
    <row r="215" ht="15.75" customHeight="1" s="216">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row>
    <row r="216" ht="15.75" customHeight="1" s="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row>
    <row r="217" ht="15.75" customHeight="1" s="216">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row>
    <row r="218" ht="15.75" customHeight="1" s="216">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row>
    <row r="219" ht="15.75" customHeight="1" s="216">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row>
    <row r="220" ht="15.75" customHeight="1" s="216">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row>
    <row r="221" ht="15.75" customHeight="1" s="216">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row>
    <row r="222" ht="15.75" customHeight="1" s="216">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row>
    <row r="223" ht="15.75" customHeight="1" s="216">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row>
    <row r="224" ht="15.75" customHeight="1" s="216">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row>
    <row r="225" ht="15.75" customHeight="1" s="216">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row>
    <row r="226" ht="15.75" customHeight="1" s="21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row>
    <row r="227" ht="15.75" customHeight="1" s="216">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row>
    <row r="228" ht="15.75" customHeight="1" s="216">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row>
    <row r="229" ht="15.75" customHeight="1" s="216">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row>
    <row r="230" ht="15.75" customHeight="1" s="216">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row>
    <row r="231" ht="15.75" customHeight="1" s="216">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row>
    <row r="232" ht="15.75" customHeight="1" s="216">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row>
    <row r="233" ht="15.75" customHeight="1" s="216">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row>
    <row r="234" ht="15.75" customHeight="1" s="216">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row>
    <row r="235" ht="15.75" customHeight="1" s="216">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row>
    <row r="236" ht="15.75" customHeight="1" s="21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row>
    <row r="237" ht="15.75" customHeight="1" s="216">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row>
    <row r="238" ht="15.75" customHeight="1" s="216">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row>
    <row r="239" ht="15.75" customHeight="1" s="216">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row>
    <row r="240" ht="15.75" customHeight="1" s="216">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row>
    <row r="241" ht="15.75" customHeight="1" s="216">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row>
    <row r="242" ht="15.75" customHeight="1" s="216"/>
    <row r="243" ht="15.75" customHeight="1" s="216"/>
    <row r="244" ht="15.75" customHeight="1" s="216"/>
    <row r="245" ht="15.75" customHeight="1" s="216"/>
    <row r="246" ht="15.75" customHeight="1" s="216"/>
    <row r="247" ht="15.75" customHeight="1" s="216"/>
    <row r="248" ht="15.75" customHeight="1" s="216"/>
    <row r="249" ht="15.75" customHeight="1" s="216"/>
    <row r="250" ht="15.75" customHeight="1" s="216"/>
    <row r="251" ht="15.75" customHeight="1" s="216"/>
    <row r="252" ht="15.75" customHeight="1" s="216"/>
    <row r="253" ht="15.75" customHeight="1" s="216"/>
    <row r="254" ht="15.75" customHeight="1" s="216"/>
    <row r="255" ht="15.75" customHeight="1" s="216"/>
    <row r="256" ht="15.75" customHeight="1" s="216"/>
    <row r="257" ht="15.75" customHeight="1" s="216"/>
    <row r="258" ht="15.75" customHeight="1" s="216"/>
    <row r="259" ht="15.75" customHeight="1" s="216"/>
    <row r="260" ht="15.75" customHeight="1" s="216"/>
    <row r="261" ht="15.75" customHeight="1" s="216"/>
    <row r="262" ht="15.75" customHeight="1" s="216"/>
    <row r="263" ht="15.75" customHeight="1" s="216"/>
    <row r="264" ht="15.75" customHeight="1" s="216"/>
    <row r="265" ht="15.75" customHeight="1" s="216"/>
    <row r="266" ht="15.75" customHeight="1" s="216"/>
    <row r="267" ht="15.75" customHeight="1" s="216"/>
    <row r="268" ht="15.75" customHeight="1" s="216"/>
    <row r="269" ht="15.75" customHeight="1" s="216"/>
    <row r="270" ht="15.75" customHeight="1" s="216"/>
    <row r="271" ht="15.75" customHeight="1" s="216"/>
    <row r="272" ht="15.75" customHeight="1" s="216"/>
    <row r="273" ht="15.75" customHeight="1" s="216"/>
    <row r="274" ht="15.75" customHeight="1" s="216"/>
    <row r="275" ht="15.75" customHeight="1" s="216"/>
    <row r="276" ht="15.75" customHeight="1" s="216"/>
    <row r="277" ht="15.75" customHeight="1" s="216"/>
    <row r="278" ht="15.75" customHeight="1" s="216"/>
    <row r="279" ht="15.75" customHeight="1" s="216"/>
    <row r="280" ht="15.75" customHeight="1" s="216"/>
    <row r="281" ht="15.75" customHeight="1" s="216"/>
    <row r="282" ht="15.75" customHeight="1" s="216"/>
    <row r="283" ht="15.75" customHeight="1" s="216"/>
    <row r="284" ht="15.75" customHeight="1" s="216"/>
    <row r="285" ht="15.75" customHeight="1" s="216"/>
    <row r="286" ht="15.75" customHeight="1" s="216"/>
    <row r="287" ht="15.75" customHeight="1" s="216"/>
    <row r="288" ht="15.75" customHeight="1" s="216"/>
    <row r="289" ht="15.75" customHeight="1" s="216"/>
    <row r="290" ht="15.75" customHeight="1" s="216"/>
    <row r="291" ht="15.75" customHeight="1" s="216"/>
    <row r="292" ht="15.75" customHeight="1" s="216"/>
    <row r="293" ht="15.75" customHeight="1" s="216"/>
    <row r="294" ht="15.75" customHeight="1" s="216"/>
    <row r="295" ht="15.75" customHeight="1" s="216"/>
    <row r="296" ht="15.75" customHeight="1" s="216"/>
    <row r="297" ht="15.75" customHeight="1" s="216"/>
    <row r="298" ht="15.75" customHeight="1" s="216"/>
    <row r="299" ht="15.75" customHeight="1" s="216"/>
    <row r="300" ht="15.75" customHeight="1" s="216"/>
    <row r="301" ht="15.75" customHeight="1" s="216"/>
    <row r="302" ht="15.75" customHeight="1" s="216"/>
    <row r="303" ht="15.75" customHeight="1" s="216"/>
    <row r="304" ht="15.75" customHeight="1" s="216"/>
    <row r="305" ht="15.75" customHeight="1" s="216"/>
    <row r="306" ht="15.75" customHeight="1" s="216"/>
    <row r="307" ht="15.75" customHeight="1" s="216"/>
    <row r="308" ht="15.75" customHeight="1" s="216"/>
    <row r="309" ht="15.75" customHeight="1" s="216"/>
    <row r="310" ht="15.75" customHeight="1" s="216"/>
    <row r="311" ht="15.75" customHeight="1" s="216"/>
    <row r="312" ht="15.75" customHeight="1" s="216"/>
    <row r="313" ht="15.75" customHeight="1" s="216"/>
    <row r="314" ht="15.75" customHeight="1" s="216"/>
    <row r="315" ht="15.75" customHeight="1" s="216"/>
    <row r="316" ht="15.75" customHeight="1" s="216"/>
    <row r="317" ht="15.75" customHeight="1" s="216"/>
    <row r="318" ht="15.75" customHeight="1" s="216"/>
    <row r="319" ht="15.75" customHeight="1" s="216"/>
    <row r="320" ht="15.75" customHeight="1" s="216"/>
    <row r="321" ht="15.75" customHeight="1" s="216"/>
    <row r="322" ht="15.75" customHeight="1" s="216"/>
    <row r="323" ht="15.75" customHeight="1" s="216"/>
    <row r="324" ht="15.75" customHeight="1" s="216"/>
    <row r="325" ht="15.75" customHeight="1" s="216"/>
    <row r="326" ht="15.75" customHeight="1" s="216"/>
    <row r="327" ht="15.75" customHeight="1" s="216"/>
    <row r="328" ht="15.75" customHeight="1" s="216"/>
    <row r="329" ht="15.75" customHeight="1" s="216"/>
    <row r="330" ht="15.75" customHeight="1" s="216"/>
    <row r="331" ht="15.75" customHeight="1" s="216"/>
    <row r="332" ht="15.75" customHeight="1" s="216"/>
    <row r="333" ht="15.75" customHeight="1" s="216"/>
    <row r="334" ht="15.75" customHeight="1" s="216"/>
    <row r="335" ht="15.75" customHeight="1" s="216"/>
    <row r="336" ht="15.75" customHeight="1" s="216"/>
    <row r="337" ht="15.75" customHeight="1" s="216"/>
    <row r="338" ht="15.75" customHeight="1" s="216"/>
    <row r="339" ht="15.75" customHeight="1" s="216"/>
    <row r="340" ht="15.75" customHeight="1" s="216"/>
    <row r="341" ht="15.75" customHeight="1" s="216"/>
    <row r="342" ht="15.75" customHeight="1" s="216"/>
    <row r="343" ht="15.75" customHeight="1" s="216"/>
    <row r="344" ht="15.75" customHeight="1" s="216"/>
    <row r="345" ht="15.75" customHeight="1" s="216"/>
    <row r="346" ht="15.75" customHeight="1" s="216"/>
    <row r="347" ht="15.75" customHeight="1" s="216"/>
    <row r="348" ht="15.75" customHeight="1" s="216"/>
    <row r="349" ht="15.75" customHeight="1" s="216"/>
    <row r="350" ht="15.75" customHeight="1" s="216"/>
    <row r="351" ht="15.75" customHeight="1" s="216"/>
    <row r="352" ht="15.75" customHeight="1" s="216"/>
    <row r="353" ht="15.75" customHeight="1" s="216"/>
    <row r="354" ht="15.75" customHeight="1" s="216"/>
    <row r="355" ht="15.75" customHeight="1" s="216"/>
    <row r="356" ht="15.75" customHeight="1" s="216"/>
    <row r="357" ht="15.75" customHeight="1" s="216"/>
    <row r="358" ht="15.75" customHeight="1" s="216"/>
    <row r="359" ht="15.75" customHeight="1" s="216"/>
    <row r="360" ht="15.75" customHeight="1" s="216"/>
    <row r="361" ht="15.75" customHeight="1" s="216"/>
    <row r="362" ht="15.75" customHeight="1" s="216"/>
    <row r="363" ht="15.75" customHeight="1" s="216"/>
    <row r="364" ht="15.75" customHeight="1" s="216"/>
    <row r="365" ht="15.75" customHeight="1" s="216"/>
    <row r="366" ht="15.75" customHeight="1" s="216"/>
    <row r="367" ht="15.75" customHeight="1" s="216"/>
    <row r="368" ht="15.75" customHeight="1" s="216"/>
    <row r="369" ht="15.75" customHeight="1" s="216"/>
    <row r="370" ht="15.75" customHeight="1" s="216"/>
    <row r="371" ht="15.75" customHeight="1" s="216"/>
    <row r="372" ht="15.75" customHeight="1" s="216"/>
    <row r="373" ht="15.75" customHeight="1" s="216"/>
    <row r="374" ht="15.75" customHeight="1" s="216"/>
    <row r="375" ht="15.75" customHeight="1" s="216"/>
    <row r="376" ht="15.75" customHeight="1" s="216"/>
    <row r="377" ht="15.75" customHeight="1" s="216"/>
    <row r="378" ht="15.75" customHeight="1" s="216"/>
    <row r="379" ht="15.75" customHeight="1" s="216"/>
    <row r="380" ht="15.75" customHeight="1" s="216"/>
    <row r="381" ht="15.75" customHeight="1" s="216"/>
    <row r="382" ht="15.75" customHeight="1" s="216"/>
    <row r="383" ht="15.75" customHeight="1" s="216"/>
    <row r="384" ht="15.75" customHeight="1" s="216"/>
    <row r="385" ht="15.75" customHeight="1" s="216"/>
    <row r="386" ht="15.75" customHeight="1" s="216"/>
    <row r="387" ht="15.75" customHeight="1" s="216"/>
    <row r="388" ht="15.75" customHeight="1" s="216"/>
    <row r="389" ht="15.75" customHeight="1" s="216"/>
    <row r="390" ht="15.75" customHeight="1" s="216"/>
    <row r="391" ht="15.75" customHeight="1" s="216"/>
    <row r="392" ht="15.75" customHeight="1" s="216"/>
    <row r="393" ht="15.75" customHeight="1" s="216"/>
    <row r="394" ht="15.75" customHeight="1" s="216"/>
    <row r="395" ht="15.75" customHeight="1" s="216"/>
    <row r="396" ht="15.75" customHeight="1" s="216"/>
    <row r="397" ht="15.75" customHeight="1" s="216"/>
    <row r="398" ht="15.75" customHeight="1" s="216"/>
    <row r="399" ht="15.75" customHeight="1" s="216"/>
    <row r="400" ht="15.75" customHeight="1" s="216"/>
    <row r="401" ht="15.75" customHeight="1" s="216"/>
    <row r="402" ht="15.75" customHeight="1" s="216"/>
    <row r="403" ht="15.75" customHeight="1" s="216"/>
    <row r="404" ht="15.75" customHeight="1" s="216"/>
    <row r="405" ht="15.75" customHeight="1" s="216"/>
    <row r="406" ht="15.75" customHeight="1" s="216"/>
    <row r="407" ht="15.75" customHeight="1" s="216"/>
    <row r="408" ht="15.75" customHeight="1" s="216"/>
    <row r="409" ht="15.75" customHeight="1" s="216"/>
    <row r="410" ht="15.75" customHeight="1" s="216"/>
    <row r="411" ht="15.75" customHeight="1" s="216"/>
    <row r="412" ht="15.75" customHeight="1" s="216"/>
    <row r="413" ht="15.75" customHeight="1" s="216"/>
    <row r="414" ht="15.75" customHeight="1" s="216"/>
    <row r="415" ht="15.75" customHeight="1" s="216"/>
    <row r="416" ht="15.75" customHeight="1" s="216"/>
    <row r="417" ht="15.75" customHeight="1" s="216"/>
    <row r="418" ht="15.75" customHeight="1" s="216"/>
    <row r="419" ht="15.75" customHeight="1" s="216"/>
    <row r="420" ht="15.75" customHeight="1" s="216"/>
    <row r="421" ht="15.75" customHeight="1" s="216"/>
    <row r="422" ht="15.75" customHeight="1" s="216"/>
    <row r="423" ht="15.75" customHeight="1" s="216"/>
    <row r="424" ht="15.75" customHeight="1" s="216"/>
    <row r="425" ht="15.75" customHeight="1" s="216"/>
    <row r="426" ht="15.75" customHeight="1" s="216"/>
    <row r="427" ht="15.75" customHeight="1" s="216"/>
    <row r="428" ht="15.75" customHeight="1" s="216"/>
    <row r="429" ht="15.75" customHeight="1" s="216"/>
    <row r="430" ht="15.75" customHeight="1" s="216"/>
    <row r="431" ht="15.75" customHeight="1" s="216"/>
    <row r="432" ht="15.75" customHeight="1" s="216"/>
    <row r="433" ht="15.75" customHeight="1" s="216"/>
    <row r="434" ht="15.75" customHeight="1" s="216"/>
    <row r="435" ht="15.75" customHeight="1" s="216"/>
    <row r="436" ht="15.75" customHeight="1" s="216"/>
    <row r="437" ht="15.75" customHeight="1" s="216"/>
    <row r="438" ht="15.75" customHeight="1" s="216"/>
    <row r="439" ht="15.75" customHeight="1" s="216"/>
    <row r="440" ht="15.75" customHeight="1" s="216"/>
    <row r="441" ht="15.75" customHeight="1" s="216"/>
    <row r="442" ht="15.75" customHeight="1" s="216"/>
    <row r="443" ht="15.75" customHeight="1" s="216"/>
    <row r="444" ht="15.75" customHeight="1" s="216"/>
    <row r="445" ht="15.75" customHeight="1" s="216"/>
    <row r="446" ht="15.75" customHeight="1" s="216"/>
    <row r="447" ht="15.75" customHeight="1" s="216"/>
    <row r="448" ht="15.75" customHeight="1" s="216"/>
    <row r="449" ht="15.75" customHeight="1" s="216"/>
    <row r="450" ht="15.75" customHeight="1" s="216"/>
    <row r="451" ht="15.75" customHeight="1" s="216"/>
    <row r="452" ht="15.75" customHeight="1" s="216"/>
    <row r="453" ht="15.75" customHeight="1" s="216"/>
    <row r="454" ht="15.75" customHeight="1" s="216"/>
    <row r="455" ht="15.75" customHeight="1" s="216"/>
    <row r="456" ht="15.75" customHeight="1" s="216"/>
    <row r="457" ht="15.75" customHeight="1" s="216"/>
    <row r="458" ht="15.75" customHeight="1" s="216"/>
    <row r="459" ht="15.75" customHeight="1" s="216"/>
    <row r="460" ht="15.75" customHeight="1" s="216"/>
    <row r="461" ht="15.75" customHeight="1" s="216"/>
    <row r="462" ht="15.75" customHeight="1" s="216"/>
    <row r="463" ht="15.75" customHeight="1" s="216"/>
    <row r="464" ht="15.75" customHeight="1" s="216"/>
    <row r="465" ht="15.75" customHeight="1" s="216"/>
    <row r="466" ht="15.75" customHeight="1" s="216"/>
    <row r="467" ht="15.75" customHeight="1" s="216"/>
    <row r="468" ht="15.75" customHeight="1" s="216"/>
    <row r="469" ht="15.75" customHeight="1" s="216"/>
    <row r="470" ht="15.75" customHeight="1" s="216"/>
    <row r="471" ht="15.75" customHeight="1" s="216"/>
    <row r="472" ht="15.75" customHeight="1" s="216"/>
    <row r="473" ht="15.75" customHeight="1" s="216"/>
    <row r="474" ht="15.75" customHeight="1" s="216"/>
    <row r="475" ht="15.75" customHeight="1" s="216"/>
    <row r="476" ht="15.75" customHeight="1" s="216"/>
    <row r="477" ht="15.75" customHeight="1" s="216"/>
    <row r="478" ht="15.75" customHeight="1" s="216"/>
    <row r="479" ht="15.75" customHeight="1" s="216"/>
    <row r="480" ht="15.75" customHeight="1" s="216"/>
    <row r="481" ht="15.75" customHeight="1" s="216"/>
    <row r="482" ht="15.75" customHeight="1" s="216"/>
    <row r="483" ht="15.75" customHeight="1" s="216"/>
    <row r="484" ht="15.75" customHeight="1" s="216"/>
    <row r="485" ht="15.75" customHeight="1" s="216"/>
    <row r="486" ht="15.75" customHeight="1" s="216"/>
    <row r="487" ht="15.75" customHeight="1" s="216"/>
    <row r="488" ht="15.75" customHeight="1" s="216"/>
    <row r="489" ht="15.75" customHeight="1" s="216"/>
    <row r="490" ht="15.75" customHeight="1" s="216"/>
    <row r="491" ht="15.75" customHeight="1" s="216"/>
    <row r="492" ht="15.75" customHeight="1" s="216"/>
    <row r="493" ht="15.75" customHeight="1" s="216"/>
    <row r="494" ht="15.75" customHeight="1" s="216"/>
    <row r="495" ht="15.75" customHeight="1" s="216"/>
    <row r="496" ht="15.75" customHeight="1" s="216"/>
    <row r="497" ht="15.75" customHeight="1" s="216"/>
    <row r="498" ht="15.75" customHeight="1" s="216"/>
    <row r="499" ht="15.75" customHeight="1" s="216"/>
    <row r="500" ht="15.75" customHeight="1" s="216"/>
    <row r="501" ht="15.75" customHeight="1" s="216"/>
    <row r="502" ht="15.75" customHeight="1" s="216"/>
    <row r="503" ht="15.75" customHeight="1" s="216"/>
    <row r="504" ht="15.75" customHeight="1" s="216"/>
    <row r="505" ht="15.75" customHeight="1" s="216"/>
    <row r="506" ht="15.75" customHeight="1" s="216"/>
    <row r="507" ht="15.75" customHeight="1" s="216"/>
    <row r="508" ht="15.75" customHeight="1" s="216"/>
    <row r="509" ht="15.75" customHeight="1" s="216"/>
    <row r="510" ht="15.75" customHeight="1" s="216"/>
    <row r="511" ht="15.75" customHeight="1" s="216"/>
    <row r="512" ht="15.75" customHeight="1" s="216"/>
    <row r="513" ht="15.75" customHeight="1" s="216"/>
    <row r="514" ht="15.75" customHeight="1" s="216"/>
    <row r="515" ht="15.75" customHeight="1" s="216"/>
    <row r="516" ht="15.75" customHeight="1" s="216"/>
    <row r="517" ht="15.75" customHeight="1" s="216"/>
    <row r="518" ht="15.75" customHeight="1" s="216"/>
    <row r="519" ht="15.75" customHeight="1" s="216"/>
    <row r="520" ht="15.75" customHeight="1" s="216"/>
    <row r="521" ht="15.75" customHeight="1" s="216"/>
    <row r="522" ht="15.75" customHeight="1" s="216"/>
    <row r="523" ht="15.75" customHeight="1" s="216"/>
    <row r="524" ht="15.75" customHeight="1" s="216"/>
    <row r="525" ht="15.75" customHeight="1" s="216"/>
    <row r="526" ht="15.75" customHeight="1" s="216"/>
    <row r="527" ht="15.75" customHeight="1" s="216"/>
    <row r="528" ht="15.75" customHeight="1" s="216"/>
    <row r="529" ht="15.75" customHeight="1" s="216"/>
    <row r="530" ht="15.75" customHeight="1" s="216"/>
    <row r="531" ht="15.75" customHeight="1" s="216"/>
    <row r="532" ht="15.75" customHeight="1" s="216"/>
    <row r="533" ht="15.75" customHeight="1" s="216"/>
    <row r="534" ht="15.75" customHeight="1" s="216"/>
    <row r="535" ht="15.75" customHeight="1" s="216"/>
    <row r="536" ht="15.75" customHeight="1" s="216"/>
    <row r="537" ht="15.75" customHeight="1" s="216"/>
    <row r="538" ht="15.75" customHeight="1" s="216"/>
    <row r="539" ht="15.75" customHeight="1" s="216"/>
    <row r="540" ht="15.75" customHeight="1" s="216"/>
    <row r="541" ht="15.75" customHeight="1" s="216"/>
    <row r="542" ht="15.75" customHeight="1" s="216"/>
    <row r="543" ht="15.75" customHeight="1" s="216"/>
    <row r="544" ht="15.75" customHeight="1" s="216"/>
    <row r="545" ht="15.75" customHeight="1" s="216"/>
    <row r="546" ht="15.75" customHeight="1" s="216"/>
    <row r="547" ht="15.75" customHeight="1" s="216"/>
    <row r="548" ht="15.75" customHeight="1" s="216"/>
    <row r="549" ht="15.75" customHeight="1" s="216"/>
    <row r="550" ht="15.75" customHeight="1" s="216"/>
    <row r="551" ht="15.75" customHeight="1" s="216"/>
    <row r="552" ht="15.75" customHeight="1" s="216"/>
    <row r="553" ht="15.75" customHeight="1" s="216"/>
    <row r="554" ht="15.75" customHeight="1" s="216"/>
    <row r="555" ht="15.75" customHeight="1" s="216"/>
    <row r="556" ht="15.75" customHeight="1" s="216"/>
    <row r="557" ht="15.75" customHeight="1" s="216"/>
    <row r="558" ht="15.75" customHeight="1" s="216"/>
    <row r="559" ht="15.75" customHeight="1" s="216"/>
    <row r="560" ht="15.75" customHeight="1" s="216"/>
    <row r="561" ht="15.75" customHeight="1" s="216"/>
    <row r="562" ht="15.75" customHeight="1" s="216"/>
    <row r="563" ht="15.75" customHeight="1" s="216"/>
    <row r="564" ht="15.75" customHeight="1" s="216"/>
    <row r="565" ht="15.75" customHeight="1" s="216"/>
    <row r="566" ht="15.75" customHeight="1" s="216"/>
    <row r="567" ht="15.75" customHeight="1" s="216"/>
    <row r="568" ht="15.75" customHeight="1" s="216"/>
    <row r="569" ht="15.75" customHeight="1" s="216"/>
    <row r="570" ht="15.75" customHeight="1" s="216"/>
    <row r="571" ht="15.75" customHeight="1" s="216"/>
    <row r="572" ht="15.75" customHeight="1" s="216"/>
    <row r="573" ht="15.75" customHeight="1" s="216"/>
    <row r="574" ht="15.75" customHeight="1" s="216"/>
    <row r="575" ht="15.75" customHeight="1" s="216"/>
    <row r="576" ht="15.75" customHeight="1" s="216"/>
    <row r="577" ht="15.75" customHeight="1" s="216"/>
    <row r="578" ht="15.75" customHeight="1" s="216"/>
    <row r="579" ht="15.75" customHeight="1" s="216"/>
    <row r="580" ht="15.75" customHeight="1" s="216"/>
    <row r="581" ht="15.75" customHeight="1" s="216"/>
    <row r="582" ht="15.75" customHeight="1" s="216"/>
    <row r="583" ht="15.75" customHeight="1" s="216"/>
    <row r="584" ht="15.75" customHeight="1" s="216"/>
    <row r="585" ht="15.75" customHeight="1" s="216"/>
    <row r="586" ht="15.75" customHeight="1" s="216"/>
    <row r="587" ht="15.75" customHeight="1" s="216"/>
    <row r="588" ht="15.75" customHeight="1" s="216"/>
    <row r="589" ht="15.75" customHeight="1" s="216"/>
    <row r="590" ht="15.75" customHeight="1" s="216"/>
    <row r="591" ht="15.75" customHeight="1" s="216"/>
    <row r="592" ht="15.75" customHeight="1" s="216"/>
    <row r="593" ht="15.75" customHeight="1" s="216"/>
    <row r="594" ht="15.75" customHeight="1" s="216"/>
    <row r="595" ht="15.75" customHeight="1" s="216"/>
    <row r="596" ht="15.75" customHeight="1" s="216"/>
    <row r="597" ht="15.75" customHeight="1" s="216"/>
    <row r="598" ht="15.75" customHeight="1" s="216"/>
    <row r="599" ht="15.75" customHeight="1" s="216"/>
    <row r="600" ht="15.75" customHeight="1" s="216"/>
    <row r="601" ht="15.75" customHeight="1" s="216"/>
    <row r="602" ht="15.75" customHeight="1" s="216"/>
    <row r="603" ht="15.75" customHeight="1" s="216"/>
    <row r="604" ht="15.75" customHeight="1" s="216"/>
    <row r="605" ht="15.75" customHeight="1" s="216"/>
    <row r="606" ht="15.75" customHeight="1" s="216"/>
    <row r="607" ht="15.75" customHeight="1" s="216"/>
    <row r="608" ht="15.75" customHeight="1" s="216"/>
    <row r="609" ht="15.75" customHeight="1" s="216"/>
    <row r="610" ht="15.75" customHeight="1" s="216"/>
    <row r="611" ht="15.75" customHeight="1" s="216"/>
    <row r="612" ht="15.75" customHeight="1" s="216"/>
    <row r="613" ht="15.75" customHeight="1" s="216"/>
    <row r="614" ht="15.75" customHeight="1" s="216"/>
    <row r="615" ht="15.75" customHeight="1" s="216"/>
    <row r="616" ht="15.75" customHeight="1" s="216"/>
    <row r="617" ht="15.75" customHeight="1" s="216"/>
    <row r="618" ht="15.75" customHeight="1" s="216"/>
    <row r="619" ht="15.75" customHeight="1" s="216"/>
    <row r="620" ht="15.75" customHeight="1" s="216"/>
    <row r="621" ht="15.75" customHeight="1" s="216"/>
    <row r="622" ht="15.75" customHeight="1" s="216"/>
    <row r="623" ht="15.75" customHeight="1" s="216"/>
    <row r="624" ht="15.75" customHeight="1" s="216"/>
    <row r="625" ht="15.75" customHeight="1" s="216"/>
    <row r="626" ht="15.75" customHeight="1" s="216"/>
    <row r="627" ht="15.75" customHeight="1" s="216"/>
    <row r="628" ht="15.75" customHeight="1" s="216"/>
    <row r="629" ht="15.75" customHeight="1" s="216"/>
    <row r="630" ht="15.75" customHeight="1" s="216"/>
    <row r="631" ht="15.75" customHeight="1" s="216"/>
    <row r="632" ht="15.75" customHeight="1" s="216"/>
    <row r="633" ht="15.75" customHeight="1" s="216"/>
    <row r="634" ht="15.75" customHeight="1" s="216"/>
    <row r="635" ht="15.75" customHeight="1" s="216"/>
    <row r="636" ht="15.75" customHeight="1" s="216"/>
    <row r="637" ht="15.75" customHeight="1" s="216"/>
    <row r="638" ht="15.75" customHeight="1" s="216"/>
    <row r="639" ht="15.75" customHeight="1" s="216"/>
    <row r="640" ht="15.75" customHeight="1" s="216"/>
    <row r="641" ht="15.75" customHeight="1" s="216"/>
    <row r="642" ht="15.75" customHeight="1" s="216"/>
    <row r="643" ht="15.75" customHeight="1" s="216"/>
    <row r="644" ht="15.75" customHeight="1" s="216"/>
    <row r="645" ht="15.75" customHeight="1" s="216"/>
    <row r="646" ht="15.75" customHeight="1" s="216"/>
    <row r="647" ht="15.75" customHeight="1" s="216"/>
    <row r="648" ht="15.75" customHeight="1" s="216"/>
    <row r="649" ht="15.75" customHeight="1" s="216"/>
    <row r="650" ht="15.75" customHeight="1" s="216"/>
    <row r="651" ht="15.75" customHeight="1" s="216"/>
    <row r="652" ht="15.75" customHeight="1" s="216"/>
    <row r="653" ht="15.75" customHeight="1" s="216"/>
    <row r="654" ht="15.75" customHeight="1" s="216"/>
    <row r="655" ht="15.75" customHeight="1" s="216"/>
    <row r="656" ht="15.75" customHeight="1" s="216"/>
    <row r="657" ht="15.75" customHeight="1" s="216"/>
    <row r="658" ht="15.75" customHeight="1" s="216"/>
    <row r="659" ht="15.75" customHeight="1" s="216"/>
    <row r="660" ht="15.75" customHeight="1" s="216"/>
    <row r="661" ht="15.75" customHeight="1" s="216"/>
    <row r="662" ht="15.75" customHeight="1" s="216"/>
    <row r="663" ht="15.75" customHeight="1" s="216"/>
    <row r="664" ht="15.75" customHeight="1" s="216"/>
    <row r="665" ht="15.75" customHeight="1" s="216"/>
    <row r="666" ht="15.75" customHeight="1" s="216"/>
    <row r="667" ht="15.75" customHeight="1" s="216"/>
    <row r="668" ht="15.75" customHeight="1" s="216"/>
    <row r="669" ht="15.75" customHeight="1" s="216"/>
    <row r="670" ht="15.75" customHeight="1" s="216"/>
    <row r="671" ht="15.75" customHeight="1" s="216"/>
    <row r="672" ht="15.75" customHeight="1" s="216"/>
    <row r="673" ht="15.75" customHeight="1" s="216"/>
    <row r="674" ht="15.75" customHeight="1" s="216"/>
    <row r="675" ht="15.75" customHeight="1" s="216"/>
    <row r="676" ht="15.75" customHeight="1" s="216"/>
    <row r="677" ht="15.75" customHeight="1" s="216"/>
    <row r="678" ht="15.75" customHeight="1" s="216"/>
    <row r="679" ht="15.75" customHeight="1" s="216"/>
    <row r="680" ht="15.75" customHeight="1" s="216"/>
    <row r="681" ht="15.75" customHeight="1" s="216"/>
    <row r="682" ht="15.75" customHeight="1" s="216"/>
    <row r="683" ht="15.75" customHeight="1" s="216"/>
    <row r="684" ht="15.75" customHeight="1" s="216"/>
    <row r="685" ht="15.75" customHeight="1" s="216"/>
    <row r="686" ht="15.75" customHeight="1" s="216"/>
    <row r="687" ht="15.75" customHeight="1" s="216"/>
    <row r="688" ht="15.75" customHeight="1" s="216"/>
    <row r="689" ht="15.75" customHeight="1" s="216"/>
    <row r="690" ht="15.75" customHeight="1" s="216"/>
    <row r="691" ht="15.75" customHeight="1" s="216"/>
    <row r="692" ht="15.75" customHeight="1" s="216"/>
    <row r="693" ht="15.75" customHeight="1" s="216"/>
    <row r="694" ht="15.75" customHeight="1" s="216"/>
    <row r="695" ht="15.75" customHeight="1" s="216"/>
    <row r="696" ht="15.75" customHeight="1" s="216"/>
    <row r="697" ht="15.75" customHeight="1" s="216"/>
    <row r="698" ht="15.75" customHeight="1" s="216"/>
    <row r="699" ht="15.75" customHeight="1" s="216"/>
    <row r="700" ht="15.75" customHeight="1" s="216"/>
    <row r="701" ht="15.75" customHeight="1" s="216"/>
    <row r="702" ht="15.75" customHeight="1" s="216"/>
    <row r="703" ht="15.75" customHeight="1" s="216"/>
    <row r="704" ht="15.75" customHeight="1" s="216"/>
    <row r="705" ht="15.75" customHeight="1" s="216"/>
    <row r="706" ht="15.75" customHeight="1" s="216"/>
    <row r="707" ht="15.75" customHeight="1" s="216"/>
    <row r="708" ht="15.75" customHeight="1" s="216"/>
    <row r="709" ht="15.75" customHeight="1" s="216"/>
    <row r="710" ht="15.75" customHeight="1" s="216"/>
    <row r="711" ht="15.75" customHeight="1" s="216"/>
    <row r="712" ht="15.75" customHeight="1" s="216"/>
    <row r="713" ht="15.75" customHeight="1" s="216"/>
    <row r="714" ht="15.75" customHeight="1" s="216"/>
    <row r="715" ht="15.75" customHeight="1" s="216"/>
    <row r="716" ht="15.75" customHeight="1" s="216"/>
    <row r="717" ht="15.75" customHeight="1" s="216"/>
    <row r="718" ht="15.75" customHeight="1" s="216"/>
    <row r="719" ht="15.75" customHeight="1" s="216"/>
    <row r="720" ht="15.75" customHeight="1" s="216"/>
    <row r="721" ht="15.75" customHeight="1" s="216"/>
    <row r="722" ht="15.75" customHeight="1" s="216"/>
    <row r="723" ht="15.75" customHeight="1" s="216"/>
    <row r="724" ht="15.75" customHeight="1" s="216"/>
    <row r="725" ht="15.75" customHeight="1" s="216"/>
    <row r="726" ht="15.75" customHeight="1" s="216"/>
    <row r="727" ht="15.75" customHeight="1" s="216"/>
    <row r="728" ht="15.75" customHeight="1" s="216"/>
    <row r="729" ht="15.75" customHeight="1" s="216"/>
    <row r="730" ht="15.75" customHeight="1" s="216"/>
    <row r="731" ht="15.75" customHeight="1" s="216"/>
    <row r="732" ht="15.75" customHeight="1" s="216"/>
    <row r="733" ht="15.75" customHeight="1" s="216"/>
    <row r="734" ht="15.75" customHeight="1" s="216"/>
    <row r="735" ht="15.75" customHeight="1" s="216"/>
    <row r="736" ht="15.75" customHeight="1" s="216"/>
    <row r="737" ht="15.75" customHeight="1" s="216"/>
    <row r="738" ht="15.75" customHeight="1" s="216"/>
    <row r="739" ht="15.75" customHeight="1" s="216"/>
    <row r="740" ht="15.75" customHeight="1" s="216"/>
    <row r="741" ht="15.75" customHeight="1" s="216"/>
    <row r="742" ht="15.75" customHeight="1" s="216"/>
    <row r="743" ht="15.75" customHeight="1" s="216"/>
    <row r="744" ht="15.75" customHeight="1" s="216"/>
    <row r="745" ht="15.75" customHeight="1" s="216"/>
    <row r="746" ht="15.75" customHeight="1" s="216"/>
    <row r="747" ht="15.75" customHeight="1" s="216"/>
    <row r="748" ht="15.75" customHeight="1" s="216"/>
    <row r="749" ht="15.75" customHeight="1" s="216"/>
    <row r="750" ht="15.75" customHeight="1" s="216"/>
    <row r="751" ht="15.75" customHeight="1" s="216"/>
    <row r="752" ht="15.75" customHeight="1" s="216"/>
    <row r="753" ht="15.75" customHeight="1" s="216"/>
    <row r="754" ht="15.75" customHeight="1" s="216"/>
    <row r="755" ht="15.75" customHeight="1" s="216"/>
    <row r="756" ht="15.75" customHeight="1" s="216"/>
    <row r="757" ht="15.75" customHeight="1" s="216"/>
    <row r="758" ht="15.75" customHeight="1" s="216"/>
    <row r="759" ht="15.75" customHeight="1" s="216"/>
    <row r="760" ht="15.75" customHeight="1" s="216"/>
    <row r="761" ht="15.75" customHeight="1" s="216"/>
    <row r="762" ht="15.75" customHeight="1" s="216"/>
    <row r="763" ht="15.75" customHeight="1" s="216"/>
    <row r="764" ht="15.75" customHeight="1" s="216"/>
    <row r="765" ht="15.75" customHeight="1" s="216"/>
    <row r="766" ht="15.75" customHeight="1" s="216"/>
    <row r="767" ht="15.75" customHeight="1" s="216"/>
    <row r="768" ht="15.75" customHeight="1" s="216"/>
    <row r="769" ht="15.75" customHeight="1" s="216"/>
    <row r="770" ht="15.75" customHeight="1" s="216"/>
    <row r="771" ht="15.75" customHeight="1" s="216"/>
    <row r="772" ht="15.75" customHeight="1" s="216"/>
    <row r="773" ht="15.75" customHeight="1" s="216"/>
    <row r="774" ht="15.75" customHeight="1" s="216"/>
    <row r="775" ht="15.75" customHeight="1" s="216"/>
    <row r="776" ht="15.75" customHeight="1" s="216"/>
    <row r="777" ht="15.75" customHeight="1" s="216"/>
    <row r="778" ht="15.75" customHeight="1" s="216"/>
    <row r="779" ht="15.75" customHeight="1" s="216"/>
    <row r="780" ht="15.75" customHeight="1" s="216"/>
    <row r="781" ht="15.75" customHeight="1" s="216"/>
    <row r="782" ht="15.75" customHeight="1" s="216"/>
    <row r="783" ht="15.75" customHeight="1" s="216"/>
    <row r="784" ht="15.75" customHeight="1" s="216"/>
    <row r="785" ht="15.75" customHeight="1" s="216"/>
    <row r="786" ht="15.75" customHeight="1" s="216"/>
    <row r="787" ht="15.75" customHeight="1" s="216"/>
    <row r="788" ht="15.75" customHeight="1" s="216"/>
    <row r="789" ht="15.75" customHeight="1" s="216"/>
    <row r="790" ht="15.75" customHeight="1" s="216"/>
    <row r="791" ht="15.75" customHeight="1" s="216"/>
    <row r="792" ht="15.75" customHeight="1" s="216"/>
    <row r="793" ht="15.75" customHeight="1" s="216"/>
    <row r="794" ht="15.75" customHeight="1" s="216"/>
    <row r="795" ht="15.75" customHeight="1" s="216"/>
    <row r="796" ht="15.75" customHeight="1" s="216"/>
    <row r="797" ht="15.75" customHeight="1" s="216"/>
    <row r="798" ht="15.75" customHeight="1" s="216"/>
    <row r="799" ht="15.75" customHeight="1" s="216"/>
    <row r="800" ht="15.75" customHeight="1" s="216"/>
    <row r="801" ht="15.75" customHeight="1" s="216"/>
    <row r="802" ht="15.75" customHeight="1" s="216"/>
    <row r="803" ht="15.75" customHeight="1" s="216"/>
    <row r="804" ht="15.75" customHeight="1" s="216"/>
    <row r="805" ht="15.75" customHeight="1" s="216"/>
    <row r="806" ht="15.75" customHeight="1" s="216"/>
    <row r="807" ht="15.75" customHeight="1" s="216"/>
    <row r="808" ht="15.75" customHeight="1" s="216"/>
    <row r="809" ht="15.75" customHeight="1" s="216"/>
    <row r="810" ht="15.75" customHeight="1" s="216"/>
    <row r="811" ht="15.75" customHeight="1" s="216"/>
    <row r="812" ht="15.75" customHeight="1" s="216"/>
    <row r="813" ht="15.75" customHeight="1" s="216"/>
    <row r="814" ht="15.75" customHeight="1" s="216"/>
    <row r="815" ht="15.75" customHeight="1" s="216"/>
    <row r="816" ht="15.75" customHeight="1" s="216"/>
    <row r="817" ht="15.75" customHeight="1" s="216"/>
    <row r="818" ht="15.75" customHeight="1" s="216"/>
    <row r="819" ht="15.75" customHeight="1" s="216"/>
    <row r="820" ht="15.75" customHeight="1" s="216"/>
    <row r="821" ht="15.75" customHeight="1" s="216"/>
    <row r="822" ht="15.75" customHeight="1" s="216"/>
    <row r="823" ht="15.75" customHeight="1" s="216"/>
    <row r="824" ht="15.75" customHeight="1" s="216"/>
    <row r="825" ht="15.75" customHeight="1" s="216"/>
    <row r="826" ht="15.75" customHeight="1" s="216"/>
    <row r="827" ht="15.75" customHeight="1" s="216"/>
    <row r="828" ht="15.75" customHeight="1" s="216"/>
    <row r="829" ht="15.75" customHeight="1" s="216"/>
    <row r="830" ht="15.75" customHeight="1" s="216"/>
    <row r="831" ht="15.75" customHeight="1" s="216"/>
    <row r="832" ht="15.75" customHeight="1" s="216"/>
    <row r="833" ht="15.75" customHeight="1" s="216"/>
    <row r="834" ht="15.75" customHeight="1" s="216"/>
    <row r="835" ht="15.75" customHeight="1" s="216"/>
    <row r="836" ht="15.75" customHeight="1" s="216"/>
    <row r="837" ht="15.75" customHeight="1" s="216"/>
    <row r="838" ht="15.75" customHeight="1" s="216"/>
    <row r="839" ht="15.75" customHeight="1" s="216"/>
    <row r="840" ht="15.75" customHeight="1" s="216"/>
    <row r="841" ht="15.75" customHeight="1" s="216"/>
    <row r="842" ht="15.75" customHeight="1" s="216"/>
    <row r="843" ht="15.75" customHeight="1" s="216"/>
    <row r="844" ht="15.75" customHeight="1" s="216"/>
    <row r="845" ht="15.75" customHeight="1" s="216"/>
    <row r="846" ht="15.75" customHeight="1" s="216"/>
    <row r="847" ht="15.75" customHeight="1" s="216"/>
    <row r="848" ht="15.75" customHeight="1" s="216"/>
    <row r="849" ht="15.75" customHeight="1" s="216"/>
    <row r="850" ht="15.75" customHeight="1" s="216"/>
    <row r="851" ht="15.75" customHeight="1" s="216"/>
    <row r="852" ht="15.75" customHeight="1" s="216"/>
    <row r="853" ht="15.75" customHeight="1" s="216"/>
    <row r="854" ht="15.75" customHeight="1" s="216"/>
    <row r="855" ht="15.75" customHeight="1" s="216"/>
    <row r="856" ht="15.75" customHeight="1" s="216"/>
    <row r="857" ht="15.75" customHeight="1" s="216"/>
    <row r="858" ht="15.75" customHeight="1" s="216"/>
    <row r="859" ht="15.75" customHeight="1" s="216"/>
    <row r="860" ht="15.75" customHeight="1" s="216"/>
    <row r="861" ht="15.75" customHeight="1" s="216"/>
    <row r="862" ht="15.75" customHeight="1" s="216"/>
    <row r="863" ht="15.75" customHeight="1" s="216"/>
    <row r="864" ht="15.75" customHeight="1" s="216"/>
    <row r="865" ht="15.75" customHeight="1" s="216"/>
    <row r="866" ht="15.75" customHeight="1" s="216"/>
    <row r="867" ht="15.75" customHeight="1" s="216"/>
    <row r="868" ht="15.75" customHeight="1" s="216"/>
    <row r="869" ht="15.75" customHeight="1" s="216"/>
    <row r="870" ht="15.75" customHeight="1" s="216"/>
    <row r="871" ht="15.75" customHeight="1" s="216"/>
    <row r="872" ht="15.75" customHeight="1" s="216"/>
    <row r="873" ht="15.75" customHeight="1" s="216"/>
    <row r="874" ht="15.75" customHeight="1" s="216"/>
    <row r="875" ht="15.75" customHeight="1" s="216"/>
    <row r="876" ht="15.75" customHeight="1" s="216"/>
    <row r="877" ht="15.75" customHeight="1" s="216"/>
    <row r="878" ht="15.75" customHeight="1" s="216"/>
    <row r="879" ht="15.75" customHeight="1" s="216"/>
    <row r="880" ht="15.75" customHeight="1" s="216"/>
    <row r="881" ht="15.75" customHeight="1" s="216"/>
    <row r="882" ht="15.75" customHeight="1" s="216"/>
    <row r="883" ht="15.75" customHeight="1" s="216"/>
    <row r="884" ht="15.75" customHeight="1" s="216"/>
    <row r="885" ht="15.75" customHeight="1" s="216"/>
    <row r="886" ht="15.75" customHeight="1" s="216"/>
    <row r="887" ht="15.75" customHeight="1" s="216"/>
    <row r="888" ht="15.75" customHeight="1" s="216"/>
    <row r="889" ht="15.75" customHeight="1" s="216"/>
    <row r="890" ht="15.75" customHeight="1" s="216"/>
    <row r="891" ht="15.75" customHeight="1" s="216"/>
    <row r="892" ht="15.75" customHeight="1" s="216"/>
    <row r="893" ht="15.75" customHeight="1" s="216"/>
    <row r="894" ht="15.75" customHeight="1" s="216"/>
    <row r="895" ht="15.75" customHeight="1" s="216"/>
    <row r="896" ht="15.75" customHeight="1" s="216"/>
    <row r="897" ht="15.75" customHeight="1" s="216"/>
    <row r="898" ht="15.75" customHeight="1" s="216"/>
    <row r="899" ht="15.75" customHeight="1" s="216"/>
    <row r="900" ht="15.75" customHeight="1" s="216"/>
    <row r="901" ht="15.75" customHeight="1" s="216"/>
    <row r="902" ht="15.75" customHeight="1" s="216"/>
    <row r="903" ht="15.75" customHeight="1" s="216"/>
    <row r="904" ht="15.75" customHeight="1" s="216"/>
    <row r="905" ht="15.75" customHeight="1" s="216"/>
    <row r="906" ht="15.75" customHeight="1" s="216"/>
    <row r="907" ht="15.75" customHeight="1" s="216"/>
    <row r="908" ht="15.75" customHeight="1" s="216"/>
    <row r="909" ht="15.75" customHeight="1" s="216"/>
    <row r="910" ht="15.75" customHeight="1" s="216"/>
    <row r="911" ht="15.75" customHeight="1" s="216"/>
    <row r="912" ht="15.75" customHeight="1" s="216"/>
    <row r="913" ht="15.75" customHeight="1" s="216"/>
    <row r="914" ht="15.75" customHeight="1" s="216"/>
    <row r="915" ht="15.75" customHeight="1" s="216"/>
    <row r="916" ht="15.75" customHeight="1" s="216"/>
    <row r="917" ht="15.75" customHeight="1" s="216"/>
    <row r="918" ht="15.75" customHeight="1" s="216"/>
    <row r="919" ht="15.75" customHeight="1" s="216"/>
    <row r="920" ht="15.75" customHeight="1" s="216"/>
    <row r="921" ht="15.75" customHeight="1" s="216"/>
    <row r="922" ht="15.75" customHeight="1" s="216"/>
    <row r="923" ht="15.75" customHeight="1" s="216"/>
    <row r="924" ht="15.75" customHeight="1" s="216"/>
    <row r="925" ht="15.75" customHeight="1" s="216"/>
    <row r="926" ht="15.75" customHeight="1" s="216"/>
    <row r="927" ht="15.75" customHeight="1" s="216"/>
    <row r="928" ht="15.75" customHeight="1" s="216"/>
    <row r="929" ht="15.75" customHeight="1" s="216"/>
    <row r="930" ht="15.75" customHeight="1" s="216"/>
    <row r="931" ht="15.75" customHeight="1" s="216"/>
    <row r="932" ht="15.75" customHeight="1" s="216"/>
    <row r="933" ht="15.75" customHeight="1" s="216"/>
    <row r="934" ht="15.75" customHeight="1" s="216"/>
    <row r="935" ht="15.75" customHeight="1" s="216"/>
    <row r="936" ht="15.75" customHeight="1" s="216"/>
    <row r="937" ht="15.75" customHeight="1" s="216"/>
    <row r="938" ht="15.75" customHeight="1" s="216"/>
    <row r="939" ht="15.75" customHeight="1" s="216"/>
    <row r="940" ht="15.75" customHeight="1" s="216"/>
    <row r="941" ht="15.75" customHeight="1" s="216"/>
    <row r="942" ht="15.75" customHeight="1" s="216"/>
    <row r="943" ht="15.75" customHeight="1" s="216"/>
    <row r="944" ht="15.75" customHeight="1" s="216"/>
    <row r="945" ht="15.75" customHeight="1" s="216"/>
    <row r="946" ht="15.75" customHeight="1" s="216"/>
    <row r="947" ht="15.75" customHeight="1" s="216"/>
    <row r="948" ht="15.75" customHeight="1" s="216"/>
    <row r="949" ht="15.75" customHeight="1" s="216"/>
    <row r="950" ht="15.75" customHeight="1" s="216"/>
    <row r="951" ht="15.75" customHeight="1" s="216"/>
    <row r="952" ht="15.75" customHeight="1" s="216"/>
    <row r="953" ht="15.75" customHeight="1" s="216"/>
    <row r="954" ht="15.75" customHeight="1" s="216"/>
    <row r="955" ht="15.75" customHeight="1" s="216"/>
    <row r="956" ht="15.75" customHeight="1" s="216"/>
    <row r="957" ht="15.75" customHeight="1" s="216"/>
    <row r="958" ht="15.75" customHeight="1" s="216"/>
    <row r="959" ht="15.75" customHeight="1" s="216"/>
    <row r="960" ht="15.75" customHeight="1" s="216"/>
    <row r="961" ht="15.75" customHeight="1" s="216"/>
    <row r="962" ht="15.75" customHeight="1" s="216"/>
    <row r="963" ht="15.75" customHeight="1" s="216"/>
    <row r="964" ht="15.75" customHeight="1" s="216"/>
    <row r="965" ht="15.75" customHeight="1" s="216"/>
    <row r="966" ht="15.75" customHeight="1" s="216"/>
    <row r="967" ht="15.75" customHeight="1" s="216"/>
    <row r="968" ht="15.75" customHeight="1" s="216"/>
    <row r="969" ht="15.75" customHeight="1" s="216"/>
    <row r="970" ht="15.75" customHeight="1" s="216"/>
    <row r="971" ht="15.75" customHeight="1" s="216"/>
    <row r="972" ht="15.75" customHeight="1" s="216"/>
    <row r="973" ht="15.75" customHeight="1" s="216"/>
    <row r="974" ht="15.75" customHeight="1" s="216"/>
    <row r="975" ht="15.75" customHeight="1" s="216"/>
    <row r="976" ht="15.75" customHeight="1" s="216"/>
    <row r="977" ht="15.75" customHeight="1" s="216"/>
    <row r="978" ht="15.75" customHeight="1" s="216"/>
    <row r="979" ht="15.75" customHeight="1" s="216"/>
    <row r="980" ht="15.75" customHeight="1" s="216"/>
    <row r="981" ht="15.75" customHeight="1" s="216"/>
    <row r="982" ht="15.75" customHeight="1" s="216"/>
    <row r="983" ht="15.75" customHeight="1" s="216"/>
    <row r="984" ht="15.75" customHeight="1" s="216"/>
    <row r="985" ht="15.75" customHeight="1" s="216"/>
    <row r="986" ht="15.75" customHeight="1" s="216"/>
    <row r="987" ht="15.75" customHeight="1" s="216"/>
    <row r="988" ht="15.75" customHeight="1" s="216"/>
    <row r="989" ht="15.75" customHeight="1" s="216"/>
    <row r="990" ht="15.75" customHeight="1" s="216"/>
    <row r="991" ht="15.75" customHeight="1" s="216"/>
    <row r="992" ht="15.75" customHeight="1" s="216"/>
    <row r="993" ht="15.75" customHeight="1" s="216"/>
    <row r="994" ht="15.75" customHeight="1" s="216"/>
    <row r="995" ht="15.75" customHeight="1" s="216"/>
    <row r="996" ht="15.75" customHeight="1" s="216"/>
    <row r="997" ht="15.75" customHeight="1" s="216"/>
    <row r="998" ht="15.75" customHeight="1" s="216"/>
    <row r="999" ht="15.75" customHeight="1" s="216"/>
    <row r="1000" ht="15.75" customHeight="1" s="216"/>
  </sheetData>
  <mergeCells count="14">
    <mergeCell ref="C2:E2"/>
    <mergeCell ref="B36:N36"/>
    <mergeCell ref="B37:N37"/>
    <mergeCell ref="AB2:AD2"/>
    <mergeCell ref="F2:N2"/>
    <mergeCell ref="AE2:BC2"/>
    <mergeCell ref="B41:N41"/>
    <mergeCell ref="B38:N38"/>
    <mergeCell ref="B1:AA1"/>
    <mergeCell ref="B40:N40"/>
    <mergeCell ref="B39:N39"/>
    <mergeCell ref="R2:U2"/>
    <mergeCell ref="O2:Q2"/>
    <mergeCell ref="V2:AA2"/>
  </mergeCells>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Z436"/>
  <sheetViews>
    <sheetView showGridLines="0" workbookViewId="0">
      <pane ySplit="1" topLeftCell="A2" activePane="bottomLeft" state="frozen"/>
      <selection pane="bottomLeft" activeCell="B3" sqref="B3"/>
    </sheetView>
  </sheetViews>
  <sheetFormatPr baseColWidth="8" defaultColWidth="14.43" defaultRowHeight="15" customHeight="1"/>
  <cols>
    <col width="2.43" customWidth="1" style="216" min="1" max="1"/>
    <col width="14" customWidth="1" style="216" min="2" max="2"/>
    <col width="26" customWidth="1" style="216" min="3" max="3"/>
    <col width="13" customWidth="1" style="216" min="4" max="9"/>
    <col width="11" customWidth="1" style="216" min="10" max="11"/>
    <col width="34" customWidth="1" style="216" min="12" max="12"/>
    <col width="9" customWidth="1" style="216" min="13" max="15"/>
  </cols>
  <sheetData>
    <row r="1">
      <c r="A1" s="1" t="n"/>
      <c r="B1" s="1" t="n"/>
      <c r="C1" s="1" t="n"/>
      <c r="D1" s="1" t="n"/>
      <c r="E1" s="1" t="n"/>
      <c r="F1" s="1" t="n"/>
      <c r="G1" s="1" t="n"/>
      <c r="H1" s="1" t="n"/>
      <c r="I1" s="1" t="n"/>
      <c r="J1" s="1" t="n"/>
      <c r="K1" s="1" t="n"/>
      <c r="L1" s="1" t="n"/>
      <c r="M1" s="1" t="n"/>
      <c r="N1" s="1" t="n"/>
      <c r="O1" s="1" t="n"/>
    </row>
    <row r="2" ht="24.75" customHeight="1" s="216">
      <c r="A2" s="1" t="n"/>
      <c r="B2" s="118" t="inlineStr">
        <is>
          <t>I. THÔNG TIN CHUNG</t>
        </is>
      </c>
      <c r="C2" s="1" t="n"/>
      <c r="D2" s="1" t="n"/>
      <c r="E2" s="1" t="n"/>
      <c r="F2" s="233" t="inlineStr">
        <is>
          <t>TỔNG QUAN NHANH</t>
        </is>
      </c>
      <c r="G2" s="220" t="n"/>
      <c r="H2" s="220" t="n"/>
      <c r="I2" s="220" t="n"/>
      <c r="J2" s="218" t="n"/>
      <c r="K2" s="1" t="n"/>
      <c r="L2" s="1" t="n"/>
      <c r="M2" s="1" t="n"/>
      <c r="N2" s="1" t="n"/>
      <c r="O2" s="1" t="n"/>
    </row>
    <row r="3" ht="19.5" customHeight="1" s="216">
      <c r="A3" s="1" t="n"/>
      <c r="B3" s="120" t="inlineStr">
        <is>
          <t>Tên dự án</t>
        </is>
      </c>
      <c r="C3" s="174">
        <f>Summary!$C$6</f>
        <v/>
      </c>
      <c r="D3" s="218" t="n"/>
      <c r="E3" s="1" t="n"/>
      <c r="F3" s="234" t="inlineStr">
        <is>
          <t>Tổng số Bug</t>
        </is>
      </c>
      <c r="G3" s="220" t="n"/>
      <c r="H3" s="218" t="n"/>
      <c r="I3" s="235">
        <f>I21</f>
        <v/>
      </c>
      <c r="J3" s="218" t="n"/>
      <c r="K3" s="1" t="n"/>
      <c r="L3" s="1" t="n"/>
      <c r="M3" s="1" t="n"/>
      <c r="N3" s="1" t="n"/>
      <c r="O3" s="1" t="n"/>
    </row>
    <row r="4" ht="19.5" customHeight="1" s="216">
      <c r="A4" s="1" t="n"/>
      <c r="B4" s="120" t="inlineStr">
        <is>
          <t>Version</t>
        </is>
      </c>
      <c r="C4" s="174">
        <f>Summary!$C$8</f>
        <v/>
      </c>
      <c r="D4" s="218" t="n"/>
      <c r="E4" s="1" t="n"/>
      <c r="F4" s="236" t="inlineStr">
        <is>
          <t>Critical + Major</t>
        </is>
      </c>
      <c r="G4" s="220" t="n"/>
      <c r="H4" s="218" t="n"/>
      <c r="I4" s="235">
        <f>C102+C103</f>
        <v/>
      </c>
      <c r="J4" s="218" t="n"/>
      <c r="K4" s="1" t="n"/>
      <c r="L4" s="1" t="n"/>
      <c r="M4" s="1" t="n"/>
      <c r="N4" s="1" t="n"/>
      <c r="O4" s="1" t="n"/>
    </row>
    <row r="5" ht="19.5" customHeight="1" s="216">
      <c r="A5" s="1" t="n"/>
      <c r="B5" s="120" t="inlineStr">
        <is>
          <t>Sprint</t>
        </is>
      </c>
      <c r="C5" s="174">
        <f>Summary!$C$9</f>
        <v/>
      </c>
      <c r="D5" s="218" t="n"/>
      <c r="E5" s="1" t="n"/>
      <c r="F5" s="237" t="inlineStr">
        <is>
          <t>% Bug đã đóng</t>
        </is>
      </c>
      <c r="G5" s="220" t="n"/>
      <c r="H5" s="218" t="n"/>
      <c r="I5" s="238">
        <f>IFERROR(((COUNTIFS('Bug Data'!$D:$D,"Done")+COUNTIFS('Bug Data'!$D:$D,"Closed")+COUNTIFS('Bug Data'!$D:$D,"Resolved"))+(COUNTIFS('Bug Data'!$D:$D,"Cancel")+COUNTIFS('Bug Data'!$D:$D,"Cancelled")+COUNTIFS('Bug Data'!$D:$D,"Canceled")))/COUNTIF('Bug Data'!$D$2:$D$250,"?*"),0)</f>
        <v/>
      </c>
      <c r="J5" s="218" t="n"/>
      <c r="K5" s="1" t="n"/>
      <c r="L5" s="1" t="n"/>
      <c r="M5" s="1" t="n"/>
      <c r="N5" s="1" t="n"/>
      <c r="O5" s="1" t="n"/>
    </row>
    <row r="6" ht="19.5" customHeight="1" s="216">
      <c r="A6" s="1" t="n"/>
      <c r="B6" s="120" t="inlineStr">
        <is>
          <t>Test Period</t>
        </is>
      </c>
      <c r="C6" s="174">
        <f>TEXT(Summary!$C$10,"DD/MM/YYYY")&amp;"  →  "&amp;TEXT(Summary!$C$11,"DD/MM/YYYY")</f>
        <v/>
      </c>
      <c r="D6" s="218" t="n"/>
      <c r="E6" s="1" t="n"/>
      <c r="F6" s="239" t="inlineStr">
        <is>
          <t>% Coverage (thực thi)</t>
        </is>
      </c>
      <c r="G6" s="220" t="n"/>
      <c r="H6" s="218" t="n"/>
      <c r="I6" s="238">
        <f>IFERROR(Dashboard!$L$34/Dashboard!$F$34,0)</f>
        <v/>
      </c>
      <c r="J6" s="218" t="n"/>
      <c r="K6" s="1" t="n"/>
      <c r="L6" s="1" t="n"/>
      <c r="M6" s="1" t="n"/>
      <c r="N6" s="1" t="n"/>
      <c r="O6" s="1" t="n"/>
    </row>
    <row r="7" ht="19.5" customHeight="1" s="216">
      <c r="A7" s="1" t="n"/>
      <c r="B7" s="240" t="inlineStr">
        <is>
          <t>Thông tin dự án load tự động từ sheet Summary (PROJECT SETUP). Môi trường · thiết bị · tài khoản · phạm vi test: xem mục 'MÔI TRƯỜNG &amp; PHẠM VI TEST' trong Summary.</t>
        </is>
      </c>
      <c r="C7" s="228" t="n"/>
      <c r="D7" s="229" t="n"/>
      <c r="E7" s="1" t="n"/>
      <c r="F7" s="241" t="inlineStr">
        <is>
          <t>% Automation</t>
        </is>
      </c>
      <c r="G7" s="220" t="n"/>
      <c r="H7" s="218" t="n"/>
      <c r="I7" s="238">
        <f>D205</f>
        <v/>
      </c>
      <c r="J7" s="218" t="n"/>
      <c r="K7" s="1" t="n"/>
      <c r="L7" s="1" t="n"/>
      <c r="M7" s="1" t="n"/>
      <c r="N7" s="1" t="n"/>
      <c r="O7" s="1" t="n"/>
    </row>
    <row r="8" ht="19.5" customHeight="1" s="216">
      <c r="A8" s="1" t="n"/>
      <c r="B8" s="242" t="n"/>
      <c r="D8" s="243" t="n"/>
      <c r="E8" s="1" t="n"/>
      <c r="F8" s="244" t="inlineStr">
        <is>
          <t>% Bug do AI phát hiện</t>
        </is>
      </c>
      <c r="G8" s="220" t="n"/>
      <c r="H8" s="218" t="n"/>
      <c r="I8" s="238">
        <f>D209</f>
        <v/>
      </c>
      <c r="J8" s="218" t="n"/>
      <c r="K8" s="1" t="n"/>
      <c r="L8" s="1" t="n"/>
      <c r="M8" s="1" t="n"/>
      <c r="N8" s="1" t="n"/>
      <c r="O8" s="1" t="n"/>
    </row>
    <row r="9" ht="19.5" customHeight="1" s="216">
      <c r="A9" s="1" t="n"/>
      <c r="B9" s="230" t="n"/>
      <c r="C9" s="231" t="n"/>
      <c r="D9" s="232" t="n"/>
      <c r="E9" s="1" t="n"/>
      <c r="F9" s="184" t="inlineStr">
        <is>
          <t>% TC Pass</t>
        </is>
      </c>
      <c r="G9" s="220" t="n"/>
      <c r="H9" s="218" t="n"/>
      <c r="I9" s="238">
        <f>IFERROR(C85/C90,0)</f>
        <v/>
      </c>
      <c r="J9" s="218" t="n"/>
      <c r="K9" s="1" t="n"/>
      <c r="L9" s="1" t="n"/>
      <c r="M9" s="1" t="n"/>
      <c r="N9" s="1" t="n"/>
      <c r="O9" s="1" t="n"/>
    </row>
    <row r="10" ht="19.5" customHeight="1" s="216">
      <c r="A10" s="1" t="n"/>
      <c r="B10" s="1" t="n"/>
      <c r="C10" s="1" t="n"/>
      <c r="D10" s="1" t="n"/>
      <c r="E10" s="1" t="n"/>
      <c r="F10" s="236" t="inlineStr">
        <is>
          <t>Critical/Major còn Open</t>
        </is>
      </c>
      <c r="G10" s="220" t="n"/>
      <c r="H10" s="218" t="n"/>
      <c r="I10" s="235">
        <f>(COUNTIFS('Bug Data'!$D:$D,"?*",'Bug Data'!$L:$L,20)-(COUNTIFS('Bug Data'!$D:$D,"Done",'Bug Data'!$L:$L,20)+COUNTIFS('Bug Data'!$D:$D,"Closed",'Bug Data'!$L:$L,20)+COUNTIFS('Bug Data'!$D:$D,"Resolved",'Bug Data'!$L:$L,20))-(COUNTIFS('Bug Data'!$D:$D,"Cancel",'Bug Data'!$L:$L,20)+COUNTIFS('Bug Data'!$D:$D,"Cancelled",'Bug Data'!$L:$L,20)+COUNTIFS('Bug Data'!$D:$D,"Canceled",'Bug Data'!$L:$L,20)))+(COUNTIFS('Bug Data'!$D:$D,"?*",'Bug Data'!$L:$L,10)-(COUNTIFS('Bug Data'!$D:$D,"Done",'Bug Data'!$L:$L,10)+COUNTIFS('Bug Data'!$D:$D,"Closed",'Bug Data'!$L:$L,10)+COUNTIFS('Bug Data'!$D:$D,"Resolved",'Bug Data'!$L:$L,10))-(COUNTIFS('Bug Data'!$D:$D,"Cancel",'Bug Data'!$L:$L,10)+COUNTIFS('Bug Data'!$D:$D,"Cancelled",'Bug Data'!$L:$L,10)+COUNTIFS('Bug Data'!$D:$D,"Canceled",'Bug Data'!$L:$L,10)))</f>
        <v/>
      </c>
      <c r="J10" s="218" t="n"/>
      <c r="K10" s="1" t="n"/>
      <c r="L10" s="1" t="n"/>
      <c r="M10" s="1" t="n"/>
      <c r="N10" s="1" t="n"/>
      <c r="O10" s="1" t="n"/>
    </row>
    <row r="11">
      <c r="A11" s="1" t="n"/>
      <c r="B11" s="118" t="inlineStr">
        <is>
          <t>II. REPORT TEST</t>
        </is>
      </c>
      <c r="C11" s="1" t="n"/>
      <c r="D11" s="1" t="n"/>
      <c r="E11" s="1" t="n"/>
      <c r="F11" s="133" t="inlineStr">
        <is>
          <t>KPI = chỉ số chính (Key Performance Indicator). Ô có màu = nhập ở khối III / Data; số tự cập nhật.</t>
        </is>
      </c>
      <c r="K11" s="1" t="n"/>
      <c r="L11" s="1" t="n"/>
      <c r="M11" s="1" t="n"/>
      <c r="N11" s="1" t="n"/>
      <c r="O11" s="1" t="n"/>
    </row>
    <row r="12">
      <c r="A12" s="1" t="n"/>
      <c r="B12" s="1" t="n"/>
      <c r="C12" s="1" t="n"/>
      <c r="D12" s="1" t="n"/>
      <c r="E12" s="1" t="n"/>
      <c r="F12" s="1" t="n"/>
      <c r="G12" s="1" t="n"/>
      <c r="H12" s="1" t="n"/>
      <c r="I12" s="1" t="n"/>
      <c r="J12" s="1" t="n"/>
      <c r="K12" s="1" t="n"/>
      <c r="L12" s="1" t="n"/>
      <c r="M12" s="1" t="n"/>
      <c r="N12" s="1" t="n"/>
      <c r="O12" s="1" t="n"/>
    </row>
    <row r="13">
      <c r="A13" s="1" t="n"/>
      <c r="B13" s="245" t="inlineStr">
        <is>
          <t>PHẦN A — TỔNG QUAN</t>
        </is>
      </c>
      <c r="C13" s="220" t="n"/>
      <c r="D13" s="220" t="n"/>
      <c r="E13" s="220" t="n"/>
      <c r="F13" s="220" t="n"/>
      <c r="G13" s="220" t="n"/>
      <c r="H13" s="220" t="n"/>
      <c r="I13" s="218" t="n"/>
      <c r="J13" s="1" t="n"/>
      <c r="K13" s="1" t="n"/>
      <c r="L13" s="1" t="n"/>
      <c r="M13" s="1" t="n"/>
      <c r="N13" s="1" t="n"/>
      <c r="O13" s="1" t="n"/>
    </row>
    <row r="14">
      <c r="A14" s="1" t="n"/>
      <c r="B14" s="1" t="n"/>
      <c r="C14" s="1" t="n"/>
      <c r="D14" s="1" t="n"/>
      <c r="E14" s="1" t="n"/>
      <c r="F14" s="1" t="n"/>
      <c r="G14" s="1" t="n"/>
      <c r="H14" s="1" t="n"/>
      <c r="I14" s="1" t="n"/>
      <c r="J14" s="1" t="n"/>
      <c r="K14" s="1" t="n"/>
      <c r="L14" s="1" t="n"/>
      <c r="M14" s="1" t="n"/>
      <c r="N14" s="1" t="n"/>
      <c r="O14" s="1" t="n"/>
    </row>
    <row r="15">
      <c r="A15" s="1" t="n"/>
      <c r="B15" s="135" t="inlineStr">
        <is>
          <t>1. Total Test</t>
        </is>
      </c>
      <c r="C15" s="1" t="n"/>
      <c r="D15" s="1" t="n"/>
      <c r="E15" s="1" t="n"/>
      <c r="F15" s="1" t="n"/>
      <c r="G15" s="1" t="n"/>
      <c r="H15" s="1" t="n"/>
      <c r="I15" s="1" t="n"/>
      <c r="J15" s="1" t="n"/>
      <c r="K15" s="1" t="n"/>
      <c r="L15" s="1" t="n"/>
      <c r="M15" s="1" t="n"/>
      <c r="N15" s="1" t="n"/>
      <c r="O15" s="1" t="n"/>
    </row>
    <row r="16" ht="15" customHeight="1" s="216">
      <c r="A16" s="1" t="n"/>
      <c r="B16" s="246" t="inlineStr">
        <is>
          <t>1a. Bug Status theo nền tảng (Platform)</t>
        </is>
      </c>
      <c r="C16" s="220" t="n"/>
      <c r="D16" s="220" t="n"/>
      <c r="E16" s="220" t="n"/>
      <c r="F16" s="220" t="n"/>
      <c r="G16" s="220" t="n"/>
      <c r="H16" s="220" t="n"/>
      <c r="I16" s="218" t="n"/>
      <c r="J16" s="1" t="n"/>
      <c r="K16" s="1" t="n"/>
      <c r="L16" s="1" t="n"/>
      <c r="M16" s="1" t="n"/>
      <c r="N16" s="1" t="n"/>
      <c r="O16" s="1" t="n"/>
    </row>
    <row r="17">
      <c r="A17" s="1" t="n"/>
      <c r="B17" s="137" t="inlineStr">
        <is>
          <t>Nền tảng</t>
        </is>
      </c>
      <c r="C17" s="137" t="inlineStr">
        <is>
          <t>To Do</t>
        </is>
      </c>
      <c r="D17" s="137" t="inlineStr">
        <is>
          <t>In Progress</t>
        </is>
      </c>
      <c r="E17" s="137" t="inlineStr">
        <is>
          <t>In Review</t>
        </is>
      </c>
      <c r="F17" s="137" t="inlineStr">
        <is>
          <t>Pending</t>
        </is>
      </c>
      <c r="G17" s="137" t="inlineStr">
        <is>
          <t>Cancel</t>
        </is>
      </c>
      <c r="H17" s="137" t="inlineStr">
        <is>
          <t>Done</t>
        </is>
      </c>
      <c r="I17" s="137" t="inlineStr">
        <is>
          <t>Total</t>
        </is>
      </c>
      <c r="J17" s="1" t="n"/>
      <c r="K17" s="1" t="n"/>
      <c r="L17" s="1" t="n"/>
      <c r="M17" s="1" t="n"/>
      <c r="N17" s="1" t="n"/>
      <c r="O17" s="1" t="n"/>
    </row>
    <row r="18">
      <c r="A18" s="1" t="n"/>
      <c r="B18" s="120" t="inlineStr">
        <is>
          <t>Web</t>
        </is>
      </c>
      <c r="C18" s="138">
        <f>COUNTIFS('Bug Data'!$D:$D,"To Do",'Bug Data'!$N:$N,$B18)+COUNTIFS('Bug Data'!$D:$D,"Todo",'Bug Data'!$N:$N,$B18)</f>
        <v/>
      </c>
      <c r="D18" s="138">
        <f>COUNTIFS('Bug Data'!$D:$D,"In Progress",'Bug Data'!$N:$N,$B18)</f>
        <v/>
      </c>
      <c r="E18" s="138">
        <f>COUNTIFS('Bug Data'!$D:$D,"In Review",'Bug Data'!$N:$N,$B18)</f>
        <v/>
      </c>
      <c r="F18" s="138">
        <f>COUNTIFS('Bug Data'!$D:$D,"Pending",'Bug Data'!$N:$N,$B18)</f>
        <v/>
      </c>
      <c r="G18" s="138">
        <f>COUNTIFS('Bug Data'!$D:$D,"Cancel",'Bug Data'!$N:$N,$B18)+COUNTIFS('Bug Data'!$D:$D,"Cancelled",'Bug Data'!$N:$N,$B18)+COUNTIFS('Bug Data'!$D:$D,"Canceled",'Bug Data'!$N:$N,$B18)</f>
        <v/>
      </c>
      <c r="H18" s="138">
        <f>COUNTIFS('Bug Data'!$D:$D,"Done",'Bug Data'!$N:$N,$B18)+COUNTIFS('Bug Data'!$D:$D,"Closed",'Bug Data'!$N:$N,$B18)+COUNTIFS('Bug Data'!$D:$D,"Resolved",'Bug Data'!$N:$N,$B18)</f>
        <v/>
      </c>
      <c r="I18" s="139">
        <f>SUM(C18:H18)</f>
        <v/>
      </c>
      <c r="J18" s="1" t="n"/>
      <c r="K18" s="1" t="n"/>
      <c r="L18" s="1" t="n"/>
      <c r="M18" s="1" t="n"/>
      <c r="N18" s="1" t="n"/>
      <c r="O18" s="1" t="n"/>
    </row>
    <row r="19">
      <c r="A19" s="1" t="n"/>
      <c r="B19" s="120" t="inlineStr">
        <is>
          <t>App</t>
        </is>
      </c>
      <c r="C19" s="138">
        <f>COUNTIFS('Bug Data'!$D:$D,"To Do",'Bug Data'!$N:$N,$B19)+COUNTIFS('Bug Data'!$D:$D,"Todo",'Bug Data'!$N:$N,$B19)</f>
        <v/>
      </c>
      <c r="D19" s="138">
        <f>COUNTIFS('Bug Data'!$D:$D,"In Progress",'Bug Data'!$N:$N,$B19)</f>
        <v/>
      </c>
      <c r="E19" s="138">
        <f>COUNTIFS('Bug Data'!$D:$D,"In Review",'Bug Data'!$N:$N,$B19)</f>
        <v/>
      </c>
      <c r="F19" s="138">
        <f>COUNTIFS('Bug Data'!$D:$D,"Pending",'Bug Data'!$N:$N,$B19)</f>
        <v/>
      </c>
      <c r="G19" s="138">
        <f>COUNTIFS('Bug Data'!$D:$D,"Cancel",'Bug Data'!$N:$N,$B19)+COUNTIFS('Bug Data'!$D:$D,"Cancelled",'Bug Data'!$N:$N,$B19)+COUNTIFS('Bug Data'!$D:$D,"Canceled",'Bug Data'!$N:$N,$B19)</f>
        <v/>
      </c>
      <c r="H19" s="138">
        <f>COUNTIFS('Bug Data'!$D:$D,"Done",'Bug Data'!$N:$N,$B19)+COUNTIFS('Bug Data'!$D:$D,"Closed",'Bug Data'!$N:$N,$B19)+COUNTIFS('Bug Data'!$D:$D,"Resolved",'Bug Data'!$N:$N,$B19)</f>
        <v/>
      </c>
      <c r="I19" s="139">
        <f>SUM(C19:H19)</f>
        <v/>
      </c>
      <c r="J19" s="1" t="n"/>
      <c r="K19" s="1" t="n"/>
      <c r="L19" s="1" t="n"/>
      <c r="M19" s="1" t="n"/>
      <c r="N19" s="1" t="n"/>
      <c r="O19" s="1" t="n"/>
    </row>
    <row r="20">
      <c r="A20" s="1" t="n"/>
      <c r="B20" s="120" t="inlineStr">
        <is>
          <t>Web, App</t>
        </is>
      </c>
      <c r="C20" s="138">
        <f>COUNTIFS('Bug Data'!$D:$D,"To Do",'Bug Data'!$N:$N,$B20)+COUNTIFS('Bug Data'!$D:$D,"Todo",'Bug Data'!$N:$N,$B20)</f>
        <v/>
      </c>
      <c r="D20" s="138">
        <f>COUNTIFS('Bug Data'!$D:$D,"In Progress",'Bug Data'!$N:$N,$B20)</f>
        <v/>
      </c>
      <c r="E20" s="138">
        <f>COUNTIFS('Bug Data'!$D:$D,"In Review",'Bug Data'!$N:$N,$B20)</f>
        <v/>
      </c>
      <c r="F20" s="138">
        <f>COUNTIFS('Bug Data'!$D:$D,"Pending",'Bug Data'!$N:$N,$B20)</f>
        <v/>
      </c>
      <c r="G20" s="138">
        <f>COUNTIFS('Bug Data'!$D:$D,"Cancel",'Bug Data'!$N:$N,$B20)+COUNTIFS('Bug Data'!$D:$D,"Cancelled",'Bug Data'!$N:$N,$B20)+COUNTIFS('Bug Data'!$D:$D,"Canceled",'Bug Data'!$N:$N,$B20)</f>
        <v/>
      </c>
      <c r="H20" s="138">
        <f>COUNTIFS('Bug Data'!$D:$D,"Done",'Bug Data'!$N:$N,$B20)+COUNTIFS('Bug Data'!$D:$D,"Closed",'Bug Data'!$N:$N,$B20)+COUNTIFS('Bug Data'!$D:$D,"Resolved",'Bug Data'!$N:$N,$B20)</f>
        <v/>
      </c>
      <c r="I20" s="139">
        <f>SUM(C20:H20)</f>
        <v/>
      </c>
      <c r="J20" s="1" t="n"/>
      <c r="K20" s="1" t="n"/>
      <c r="L20" s="1" t="n"/>
      <c r="M20" s="1" t="n"/>
      <c r="N20" s="1" t="n"/>
      <c r="O20" s="1" t="n"/>
    </row>
    <row r="21" ht="15.75" customHeight="1" s="216">
      <c r="A21" s="1" t="n"/>
      <c r="B21" s="39" t="inlineStr">
        <is>
          <t>Total</t>
        </is>
      </c>
      <c r="C21" s="140">
        <f>SUM(C18:C20)</f>
        <v/>
      </c>
      <c r="D21" s="140">
        <f>SUM(D18:D20)</f>
        <v/>
      </c>
      <c r="E21" s="140">
        <f>SUM(E18:E20)</f>
        <v/>
      </c>
      <c r="F21" s="140">
        <f>SUM(F18:F20)</f>
        <v/>
      </c>
      <c r="G21" s="140">
        <f>SUM(G18:G20)</f>
        <v/>
      </c>
      <c r="H21" s="140">
        <f>SUM(H18:H20)</f>
        <v/>
      </c>
      <c r="I21" s="140">
        <f>SUM(I18:I20)</f>
        <v/>
      </c>
      <c r="J21" s="1" t="n"/>
      <c r="K21" s="1" t="n"/>
      <c r="L21" s="1" t="n"/>
      <c r="M21" s="1" t="n"/>
      <c r="N21" s="1" t="n"/>
      <c r="O21" s="1" t="n"/>
    </row>
    <row r="22" ht="31.5" customHeight="1" s="216">
      <c r="A22" s="1" t="n"/>
      <c r="B22" s="141" t="inlineStr">
        <is>
          <t>Mỗi cột = 1 trạng thái Jira của bug (sheet Bug Data, cột Bug Status); Total = tổng 6 cột. Bug chưa đóng (Open) = To Do + In Progress + In Review. Bug ở trạng thái riêng của board (Reopened, QA Verify…) KHÔNG lên bảng này — script export cảnh báo khi gặp.</t>
        </is>
      </c>
      <c r="J22" s="1" t="n"/>
      <c r="K22" s="1" t="n"/>
      <c r="L22" s="1" t="n"/>
      <c r="M22" s="1" t="n"/>
      <c r="N22" s="1" t="n"/>
      <c r="O22" s="1" t="n"/>
    </row>
    <row r="23" ht="15.75" customHeight="1" s="216">
      <c r="A23" s="1" t="n"/>
      <c r="B23" s="1" t="n"/>
      <c r="C23" s="1" t="n"/>
      <c r="D23" s="1" t="n"/>
      <c r="E23" s="1" t="n"/>
      <c r="F23" s="1" t="n"/>
      <c r="G23" s="1" t="n"/>
      <c r="H23" s="1" t="n"/>
      <c r="I23" s="1" t="n"/>
      <c r="J23" s="1" t="n"/>
      <c r="K23" s="1" t="n"/>
      <c r="L23" s="1" t="n"/>
      <c r="M23" s="1" t="n"/>
      <c r="N23" s="1" t="n"/>
      <c r="O23" s="1" t="n"/>
    </row>
    <row r="24" ht="15.75" customHeight="1" s="216">
      <c r="A24" s="1" t="n"/>
      <c r="B24" s="1" t="n"/>
      <c r="C24" s="1" t="n"/>
      <c r="D24" s="1" t="n"/>
      <c r="E24" s="1" t="n"/>
      <c r="F24" s="1" t="n"/>
      <c r="G24" s="1" t="n"/>
      <c r="H24" s="1" t="n"/>
      <c r="I24" s="1" t="n"/>
      <c r="J24" s="1" t="n"/>
      <c r="K24" s="1" t="n"/>
      <c r="L24" s="1" t="n"/>
      <c r="M24" s="1" t="n"/>
      <c r="N24" s="1" t="n"/>
      <c r="O24" s="1" t="n"/>
    </row>
    <row r="25" ht="15.75" customHeight="1" s="216">
      <c r="A25" s="1" t="n"/>
      <c r="B25" s="1" t="n"/>
      <c r="C25" s="1" t="n"/>
      <c r="D25" s="1" t="n"/>
      <c r="E25" s="1" t="n"/>
      <c r="F25" s="1" t="n"/>
      <c r="G25" s="1" t="n"/>
      <c r="H25" s="1" t="n"/>
      <c r="I25" s="1" t="n"/>
      <c r="J25" s="1" t="n"/>
      <c r="K25" s="1" t="n"/>
      <c r="L25" s="1" t="n"/>
      <c r="M25" s="1" t="n"/>
      <c r="N25" s="1" t="n"/>
      <c r="O25" s="1" t="n"/>
    </row>
    <row r="26" ht="15.75" customHeight="1" s="216">
      <c r="A26" s="1" t="n"/>
      <c r="B26" s="1" t="n"/>
      <c r="C26" s="1" t="n"/>
      <c r="D26" s="1" t="n"/>
      <c r="E26" s="1" t="n"/>
      <c r="F26" s="1" t="n"/>
      <c r="G26" s="1" t="n"/>
      <c r="H26" s="1" t="n"/>
      <c r="I26" s="1" t="n"/>
      <c r="J26" s="1" t="n"/>
      <c r="K26" s="1" t="n"/>
      <c r="L26" s="1" t="n"/>
      <c r="M26" s="1" t="n"/>
      <c r="N26" s="1" t="n"/>
      <c r="O26" s="1" t="n"/>
    </row>
    <row r="27" ht="15.75" customHeight="1" s="216">
      <c r="A27" s="1" t="n"/>
      <c r="B27" s="1" t="n"/>
      <c r="C27" s="1" t="n"/>
      <c r="D27" s="1" t="n"/>
      <c r="E27" s="1" t="n"/>
      <c r="F27" s="1" t="n"/>
      <c r="G27" s="1" t="n"/>
      <c r="H27" s="1" t="n"/>
      <c r="I27" s="1" t="n"/>
      <c r="J27" s="1" t="n"/>
      <c r="K27" s="1" t="n"/>
      <c r="L27" s="1" t="n"/>
      <c r="M27" s="1" t="n"/>
      <c r="N27" s="1" t="n"/>
      <c r="O27" s="1" t="n"/>
    </row>
    <row r="28" ht="15.75" customHeight="1" s="216">
      <c r="A28" s="1" t="n"/>
      <c r="B28" s="1" t="n"/>
      <c r="C28" s="1" t="n"/>
      <c r="D28" s="1" t="n"/>
      <c r="E28" s="1" t="n"/>
      <c r="F28" s="1" t="n"/>
      <c r="G28" s="1" t="n"/>
      <c r="H28" s="1" t="n"/>
      <c r="I28" s="1" t="n"/>
      <c r="J28" s="1" t="n"/>
      <c r="K28" s="1" t="n"/>
      <c r="L28" s="1" t="n"/>
      <c r="M28" s="1" t="n"/>
      <c r="N28" s="1" t="n"/>
      <c r="O28" s="1" t="n"/>
    </row>
    <row r="29" ht="15.75" customHeight="1" s="216">
      <c r="A29" s="1" t="n"/>
      <c r="B29" s="1" t="n"/>
      <c r="C29" s="1" t="n"/>
      <c r="D29" s="1" t="n"/>
      <c r="E29" s="1" t="n"/>
      <c r="F29" s="1" t="n"/>
      <c r="G29" s="1" t="n"/>
      <c r="H29" s="1" t="n"/>
      <c r="I29" s="1" t="n"/>
      <c r="J29" s="1" t="n"/>
      <c r="K29" s="1" t="n"/>
      <c r="L29" s="1" t="n"/>
      <c r="M29" s="1" t="n"/>
      <c r="N29" s="1" t="n"/>
      <c r="O29" s="1" t="n"/>
    </row>
    <row r="30" ht="15.75" customHeight="1" s="216">
      <c r="A30" s="1" t="n"/>
      <c r="B30" s="1" t="n"/>
      <c r="C30" s="1" t="n"/>
      <c r="D30" s="1" t="n"/>
      <c r="E30" s="1" t="n"/>
      <c r="F30" s="1" t="n"/>
      <c r="G30" s="1" t="n"/>
      <c r="H30" s="1" t="n"/>
      <c r="I30" s="1" t="n"/>
      <c r="J30" s="1" t="n"/>
      <c r="K30" s="1" t="n"/>
      <c r="L30" s="1" t="n"/>
      <c r="M30" s="1" t="n"/>
      <c r="N30" s="1" t="n"/>
      <c r="O30" s="1" t="n"/>
    </row>
    <row r="31" ht="15.75" customHeight="1" s="216">
      <c r="A31" s="1" t="n"/>
      <c r="B31" s="1" t="n"/>
      <c r="C31" s="1" t="n"/>
      <c r="D31" s="1" t="n"/>
      <c r="E31" s="1" t="n"/>
      <c r="F31" s="1" t="n"/>
      <c r="G31" s="1" t="n"/>
      <c r="H31" s="1" t="n"/>
      <c r="I31" s="1" t="n"/>
      <c r="J31" s="1" t="n"/>
      <c r="K31" s="1" t="n"/>
      <c r="L31" s="1" t="n"/>
      <c r="M31" s="1" t="n"/>
      <c r="N31" s="1" t="n"/>
      <c r="O31" s="1" t="n"/>
    </row>
    <row r="32" ht="15.75" customHeight="1" s="216">
      <c r="A32" s="1" t="n"/>
      <c r="B32" s="1" t="n"/>
      <c r="C32" s="1" t="n"/>
      <c r="D32" s="1" t="n"/>
      <c r="E32" s="1" t="n"/>
      <c r="F32" s="1" t="n"/>
      <c r="G32" s="1" t="n"/>
      <c r="H32" s="1" t="n"/>
      <c r="I32" s="1" t="n"/>
      <c r="J32" s="1" t="n"/>
      <c r="K32" s="1" t="n"/>
      <c r="L32" s="1" t="n"/>
      <c r="M32" s="1" t="n"/>
      <c r="N32" s="1" t="n"/>
      <c r="O32" s="1" t="n"/>
    </row>
    <row r="33" ht="15.75" customHeight="1" s="216">
      <c r="A33" s="1" t="n"/>
      <c r="B33" s="1" t="n"/>
      <c r="C33" s="1" t="n"/>
      <c r="D33" s="1" t="n"/>
      <c r="E33" s="1" t="n"/>
      <c r="F33" s="1" t="n"/>
      <c r="G33" s="1" t="n"/>
      <c r="H33" s="1" t="n"/>
      <c r="I33" s="1" t="n"/>
      <c r="J33" s="1" t="n"/>
      <c r="K33" s="1" t="n"/>
      <c r="L33" s="1" t="n"/>
      <c r="M33" s="1" t="n"/>
      <c r="N33" s="1" t="n"/>
      <c r="O33" s="1" t="n"/>
    </row>
    <row r="34" ht="15.75" customHeight="1" s="216">
      <c r="A34" s="1" t="n"/>
      <c r="B34" s="1" t="n"/>
      <c r="C34" s="1" t="n"/>
      <c r="D34" s="1" t="n"/>
      <c r="E34" s="1" t="n"/>
      <c r="F34" s="1" t="n"/>
      <c r="G34" s="1" t="n"/>
      <c r="H34" s="1" t="n"/>
      <c r="I34" s="1" t="n"/>
      <c r="J34" s="1" t="n"/>
      <c r="K34" s="1" t="n"/>
      <c r="L34" s="1" t="n"/>
      <c r="M34" s="1" t="n"/>
      <c r="N34" s="1" t="n"/>
      <c r="O34" s="1" t="n"/>
    </row>
    <row r="35" ht="15.75" customHeight="1" s="216">
      <c r="A35" s="1" t="n"/>
      <c r="B35" s="1" t="n"/>
      <c r="C35" s="1" t="n"/>
      <c r="D35" s="1" t="n"/>
      <c r="E35" s="1" t="n"/>
      <c r="F35" s="1" t="n"/>
      <c r="G35" s="1" t="n"/>
      <c r="H35" s="1" t="n"/>
      <c r="I35" s="1" t="n"/>
      <c r="J35" s="1" t="n"/>
      <c r="K35" s="1" t="n"/>
      <c r="L35" s="1" t="n"/>
      <c r="M35" s="1" t="n"/>
      <c r="N35" s="1" t="n"/>
      <c r="O35" s="1" t="n"/>
    </row>
    <row r="36" ht="15.75" customHeight="1" s="216">
      <c r="A36" s="1" t="n"/>
      <c r="B36" s="1" t="n"/>
      <c r="C36" s="1" t="n"/>
      <c r="D36" s="1" t="n"/>
      <c r="E36" s="1" t="n"/>
      <c r="F36" s="1" t="n"/>
      <c r="G36" s="1" t="n"/>
      <c r="H36" s="1" t="n"/>
      <c r="I36" s="1" t="n"/>
      <c r="J36" s="1" t="n"/>
      <c r="K36" s="1" t="n"/>
      <c r="L36" s="1" t="n"/>
      <c r="M36" s="1" t="n"/>
      <c r="N36" s="1" t="n"/>
      <c r="O36" s="1" t="n"/>
    </row>
    <row r="37" ht="15.75" customHeight="1" s="216">
      <c r="A37" s="1" t="n"/>
      <c r="B37" s="1" t="n"/>
      <c r="C37" s="1" t="n"/>
      <c r="D37" s="1" t="n"/>
      <c r="E37" s="1" t="n"/>
      <c r="F37" s="1" t="n"/>
      <c r="G37" s="1" t="n"/>
      <c r="H37" s="1" t="n"/>
      <c r="I37" s="1" t="n"/>
      <c r="J37" s="1" t="n"/>
      <c r="K37" s="1" t="n"/>
      <c r="L37" s="1" t="n"/>
      <c r="M37" s="1" t="n"/>
      <c r="N37" s="1" t="n"/>
      <c r="O37" s="1" t="n"/>
    </row>
    <row r="38" ht="15.75" customHeight="1" s="216">
      <c r="A38" s="1" t="n"/>
      <c r="B38" s="1" t="n"/>
      <c r="C38" s="1" t="n"/>
      <c r="D38" s="1" t="n"/>
      <c r="E38" s="1" t="n"/>
      <c r="F38" s="1" t="n"/>
      <c r="G38" s="1" t="n"/>
      <c r="H38" s="1" t="n"/>
      <c r="I38" s="1" t="n"/>
      <c r="J38" s="1" t="n"/>
      <c r="K38" s="1" t="n"/>
      <c r="L38" s="1" t="n"/>
      <c r="M38" s="1" t="n"/>
      <c r="N38" s="1" t="n"/>
      <c r="O38" s="1" t="n"/>
    </row>
    <row r="39" ht="15.75" customHeight="1" s="216">
      <c r="A39" s="1" t="n"/>
      <c r="B39" s="1" t="n"/>
      <c r="C39" s="1" t="n"/>
      <c r="D39" s="1" t="n"/>
      <c r="E39" s="1" t="n"/>
      <c r="F39" s="1" t="n"/>
      <c r="G39" s="1" t="n"/>
      <c r="H39" s="1" t="n"/>
      <c r="I39" s="1" t="n"/>
      <c r="J39" s="1" t="n"/>
      <c r="K39" s="1" t="n"/>
      <c r="L39" s="1" t="n"/>
      <c r="M39" s="1" t="n"/>
      <c r="N39" s="1" t="n"/>
      <c r="O39" s="1" t="n"/>
    </row>
    <row r="40" ht="15.75" customHeight="1" s="216">
      <c r="A40" s="1" t="n"/>
      <c r="B40" s="135" t="inlineStr">
        <is>
          <t>1b. Tỷ lệ Bug theo chức năng (Function)</t>
        </is>
      </c>
      <c r="C40" s="1" t="n"/>
      <c r="D40" s="1" t="n"/>
      <c r="E40" s="1" t="n"/>
      <c r="F40" s="1" t="n"/>
      <c r="G40" s="1" t="n"/>
      <c r="H40" s="1" t="n"/>
      <c r="I40" s="1" t="n"/>
      <c r="J40" s="1" t="n"/>
      <c r="K40" s="1" t="n"/>
      <c r="L40" s="1" t="n"/>
      <c r="M40" s="1" t="n"/>
      <c r="N40" s="1" t="n"/>
      <c r="O40" s="1" t="n"/>
    </row>
    <row r="41" ht="15.75" customHeight="1" s="216">
      <c r="A41" s="1" t="n"/>
      <c r="B41" s="246" t="inlineStr">
        <is>
          <t>Bug theo chức năng</t>
        </is>
      </c>
      <c r="C41" s="220" t="n"/>
      <c r="D41" s="220" t="n"/>
      <c r="E41" s="220" t="n"/>
      <c r="F41" s="220" t="n"/>
      <c r="G41" s="220" t="n"/>
      <c r="H41" s="220" t="n"/>
      <c r="I41" s="220" t="n"/>
      <c r="J41" s="220" t="n"/>
      <c r="K41" s="218" t="n"/>
      <c r="L41" s="1" t="n"/>
      <c r="M41" s="1" t="n"/>
      <c r="N41" s="1" t="n"/>
      <c r="O41" s="1" t="n"/>
    </row>
    <row r="42" ht="15.75" customHeight="1" s="216">
      <c r="A42" s="1" t="n"/>
      <c r="B42" s="137" t="inlineStr">
        <is>
          <t>ID</t>
        </is>
      </c>
      <c r="C42" s="137" t="inlineStr">
        <is>
          <t>Chức năng</t>
        </is>
      </c>
      <c r="D42" s="137" t="inlineStr">
        <is>
          <t>To Do</t>
        </is>
      </c>
      <c r="E42" s="137" t="inlineStr">
        <is>
          <t>In Progress</t>
        </is>
      </c>
      <c r="F42" s="137" t="inlineStr">
        <is>
          <t>In Review</t>
        </is>
      </c>
      <c r="G42" s="137" t="inlineStr">
        <is>
          <t>Pending</t>
        </is>
      </c>
      <c r="H42" s="137" t="inlineStr">
        <is>
          <t>Cancel</t>
        </is>
      </c>
      <c r="I42" s="137" t="inlineStr">
        <is>
          <t>Done</t>
        </is>
      </c>
      <c r="J42" s="137" t="inlineStr">
        <is>
          <t>Total</t>
        </is>
      </c>
      <c r="K42" s="137" t="inlineStr">
        <is>
          <t>Tỷ lệ</t>
        </is>
      </c>
      <c r="L42" s="1" t="n"/>
      <c r="M42" s="1" t="n"/>
      <c r="N42" s="1" t="n"/>
      <c r="O42" s="1" t="n"/>
    </row>
    <row r="43" ht="15.75" customHeight="1" s="216">
      <c r="A43" s="1" t="n"/>
      <c r="B43" s="113" t="inlineStr">
        <is>
          <t>TC_01</t>
        </is>
      </c>
      <c r="C43" s="55" t="inlineStr">
        <is>
          <t>Hoạt động (Đơn của tôi)</t>
        </is>
      </c>
      <c r="D43" s="53">
        <f>COUNTIFS('Bug Data'!$D:$D,"To Do",'Bug Data'!$M:$M,$C43)+COUNTIFS('Bug Data'!$D:$D,"Todo",'Bug Data'!$M:$M,$C43)</f>
        <v/>
      </c>
      <c r="E43" s="53">
        <f>COUNTIFS('Bug Data'!$D:$D,"In Progress",'Bug Data'!$M:$M,$C43)</f>
        <v/>
      </c>
      <c r="F43" s="53">
        <f>COUNTIFS('Bug Data'!$D:$D,"In Review",'Bug Data'!$M:$M,$C43)</f>
        <v/>
      </c>
      <c r="G43" s="53">
        <f>COUNTIFS('Bug Data'!$D:$D,"Pending",'Bug Data'!$M:$M,$C43)</f>
        <v/>
      </c>
      <c r="H43" s="53">
        <f>COUNTIFS('Bug Data'!$D:$D,"Cancel",'Bug Data'!$M:$M,$C43)+COUNTIFS('Bug Data'!$D:$D,"Cancelled",'Bug Data'!$M:$M,$C43)+COUNTIFS('Bug Data'!$D:$D,"Canceled",'Bug Data'!$M:$M,$C43)</f>
        <v/>
      </c>
      <c r="I43" s="53">
        <f>COUNTIFS('Bug Data'!$D:$D,"Done",'Bug Data'!$M:$M,$C43)+COUNTIFS('Bug Data'!$D:$D,"Closed",'Bug Data'!$M:$M,$C43)+COUNTIFS('Bug Data'!$D:$D,"Resolved",'Bug Data'!$M:$M,$C43)</f>
        <v/>
      </c>
      <c r="J43" s="143">
        <f>SUM(D43:I43)</f>
        <v/>
      </c>
      <c r="K43" s="54">
        <f>IFERROR(J43/$J$53,0)</f>
        <v/>
      </c>
      <c r="L43" s="1" t="n"/>
      <c r="M43" s="1" t="n"/>
      <c r="N43" s="1" t="n"/>
      <c r="O43" s="1" t="n"/>
    </row>
    <row r="44" ht="15.75" customHeight="1" s="216">
      <c r="A44" s="1" t="n"/>
      <c r="B44" s="113" t="inlineStr">
        <is>
          <t>TC_02</t>
        </is>
      </c>
      <c r="C44" s="55" t="inlineStr">
        <is>
          <t>Ghép nối</t>
        </is>
      </c>
      <c r="D44" s="53">
        <f>COUNTIFS('Bug Data'!$D:$D,"To Do",'Bug Data'!$M:$M,$C44)+COUNTIFS('Bug Data'!$D:$D,"Todo",'Bug Data'!$M:$M,$C44)</f>
        <v/>
      </c>
      <c r="E44" s="53">
        <f>COUNTIFS('Bug Data'!$D:$D,"In Progress",'Bug Data'!$M:$M,$C44)</f>
        <v/>
      </c>
      <c r="F44" s="53">
        <f>COUNTIFS('Bug Data'!$D:$D,"In Review",'Bug Data'!$M:$M,$C44)</f>
        <v/>
      </c>
      <c r="G44" s="53">
        <f>COUNTIFS('Bug Data'!$D:$D,"Pending",'Bug Data'!$M:$M,$C44)</f>
        <v/>
      </c>
      <c r="H44" s="53">
        <f>COUNTIFS('Bug Data'!$D:$D,"Cancel",'Bug Data'!$M:$M,$C44)+COUNTIFS('Bug Data'!$D:$D,"Cancelled",'Bug Data'!$M:$M,$C44)+COUNTIFS('Bug Data'!$D:$D,"Canceled",'Bug Data'!$M:$M,$C44)</f>
        <v/>
      </c>
      <c r="I44" s="53">
        <f>COUNTIFS('Bug Data'!$D:$D,"Done",'Bug Data'!$M:$M,$C44)+COUNTIFS('Bug Data'!$D:$D,"Closed",'Bug Data'!$M:$M,$C44)+COUNTIFS('Bug Data'!$D:$D,"Resolved",'Bug Data'!$M:$M,$C44)</f>
        <v/>
      </c>
      <c r="J44" s="143">
        <f>SUM(D44:I44)</f>
        <v/>
      </c>
      <c r="K44" s="54">
        <f>IFERROR(J44/$J$53,0)</f>
        <v/>
      </c>
      <c r="L44" s="1" t="n"/>
      <c r="M44" s="1" t="n"/>
      <c r="N44" s="1" t="n"/>
      <c r="O44" s="1" t="n"/>
    </row>
    <row r="45" ht="15.75" customHeight="1" s="216">
      <c r="A45" s="1" t="n"/>
      <c r="B45" s="113" t="inlineStr">
        <is>
          <t>TC_03</t>
        </is>
      </c>
      <c r="C45" s="55" t="inlineStr">
        <is>
          <t>Huỷ đơn - Huỷ nhận đơn</t>
        </is>
      </c>
      <c r="D45" s="53">
        <f>COUNTIFS('Bug Data'!$D:$D,"To Do",'Bug Data'!$M:$M,$C45)+COUNTIFS('Bug Data'!$D:$D,"Todo",'Bug Data'!$M:$M,$C45)</f>
        <v/>
      </c>
      <c r="E45" s="53">
        <f>COUNTIFS('Bug Data'!$D:$D,"In Progress",'Bug Data'!$M:$M,$C45)</f>
        <v/>
      </c>
      <c r="F45" s="53">
        <f>COUNTIFS('Bug Data'!$D:$D,"In Review",'Bug Data'!$M:$M,$C45)</f>
        <v/>
      </c>
      <c r="G45" s="53">
        <f>COUNTIFS('Bug Data'!$D:$D,"Pending",'Bug Data'!$M:$M,$C45)</f>
        <v/>
      </c>
      <c r="H45" s="53">
        <f>COUNTIFS('Bug Data'!$D:$D,"Cancel",'Bug Data'!$M:$M,$C45)+COUNTIFS('Bug Data'!$D:$D,"Cancelled",'Bug Data'!$M:$M,$C45)+COUNTIFS('Bug Data'!$D:$D,"Canceled",'Bug Data'!$M:$M,$C45)</f>
        <v/>
      </c>
      <c r="I45" s="53">
        <f>COUNTIFS('Bug Data'!$D:$D,"Done",'Bug Data'!$M:$M,$C45)+COUNTIFS('Bug Data'!$D:$D,"Closed",'Bug Data'!$M:$M,$C45)+COUNTIFS('Bug Data'!$D:$D,"Resolved",'Bug Data'!$M:$M,$C45)</f>
        <v/>
      </c>
      <c r="J45" s="143">
        <f>SUM(D45:I45)</f>
        <v/>
      </c>
      <c r="K45" s="54">
        <f>IFERROR(J45/$J$53,0)</f>
        <v/>
      </c>
      <c r="L45" s="1" t="n"/>
      <c r="M45" s="1" t="n"/>
      <c r="N45" s="1" t="n"/>
      <c r="O45" s="1" t="n"/>
    </row>
    <row r="46" ht="15.75" customHeight="1" s="216">
      <c r="A46" s="1" t="n"/>
      <c r="B46" s="113" t="inlineStr">
        <is>
          <t>TC_04</t>
        </is>
      </c>
      <c r="C46" s="55" t="inlineStr">
        <is>
          <t>Giao nhận &amp; Theo dõi đơn</t>
        </is>
      </c>
      <c r="D46" s="53">
        <f>COUNTIFS('Bug Data'!$D:$D,"To Do",'Bug Data'!$M:$M,$C46)+COUNTIFS('Bug Data'!$D:$D,"Todo",'Bug Data'!$M:$M,$C46)</f>
        <v/>
      </c>
      <c r="E46" s="53">
        <f>COUNTIFS('Bug Data'!$D:$D,"In Progress",'Bug Data'!$M:$M,$C46)</f>
        <v/>
      </c>
      <c r="F46" s="53">
        <f>COUNTIFS('Bug Data'!$D:$D,"In Review",'Bug Data'!$M:$M,$C46)</f>
        <v/>
      </c>
      <c r="G46" s="53">
        <f>COUNTIFS('Bug Data'!$D:$D,"Pending",'Bug Data'!$M:$M,$C46)</f>
        <v/>
      </c>
      <c r="H46" s="53">
        <f>COUNTIFS('Bug Data'!$D:$D,"Cancel",'Bug Data'!$M:$M,$C46)+COUNTIFS('Bug Data'!$D:$D,"Cancelled",'Bug Data'!$M:$M,$C46)+COUNTIFS('Bug Data'!$D:$D,"Canceled",'Bug Data'!$M:$M,$C46)</f>
        <v/>
      </c>
      <c r="I46" s="53">
        <f>COUNTIFS('Bug Data'!$D:$D,"Done",'Bug Data'!$M:$M,$C46)+COUNTIFS('Bug Data'!$D:$D,"Closed",'Bug Data'!$M:$M,$C46)+COUNTIFS('Bug Data'!$D:$D,"Resolved",'Bug Data'!$M:$M,$C46)</f>
        <v/>
      </c>
      <c r="J46" s="143">
        <f>SUM(D46:I46)</f>
        <v/>
      </c>
      <c r="K46" s="54">
        <f>IFERROR(J46/$J$53,0)</f>
        <v/>
      </c>
      <c r="L46" s="1" t="n"/>
      <c r="M46" s="1" t="n"/>
      <c r="N46" s="1" t="n"/>
      <c r="O46" s="1" t="n"/>
    </row>
    <row r="47" ht="15.75" customHeight="1" s="216">
      <c r="A47" s="1" t="n"/>
      <c r="B47" s="113" t="inlineStr">
        <is>
          <t>TC_05</t>
        </is>
      </c>
      <c r="C47" s="55" t="inlineStr">
        <is>
          <t>Bảng tin &amp; Chi tiết tin</t>
        </is>
      </c>
      <c r="D47" s="53">
        <f>COUNTIFS('Bug Data'!$D:$D,"To Do",'Bug Data'!$M:$M,$C47)+COUNTIFS('Bug Data'!$D:$D,"Todo",'Bug Data'!$M:$M,$C47)</f>
        <v/>
      </c>
      <c r="E47" s="53">
        <f>COUNTIFS('Bug Data'!$D:$D,"In Progress",'Bug Data'!$M:$M,$C47)</f>
        <v/>
      </c>
      <c r="F47" s="53">
        <f>COUNTIFS('Bug Data'!$D:$D,"In Review",'Bug Data'!$M:$M,$C47)</f>
        <v/>
      </c>
      <c r="G47" s="53">
        <f>COUNTIFS('Bug Data'!$D:$D,"Pending",'Bug Data'!$M:$M,$C47)</f>
        <v/>
      </c>
      <c r="H47" s="53">
        <f>COUNTIFS('Bug Data'!$D:$D,"Cancel",'Bug Data'!$M:$M,$C47)+COUNTIFS('Bug Data'!$D:$D,"Cancelled",'Bug Data'!$M:$M,$C47)+COUNTIFS('Bug Data'!$D:$D,"Canceled",'Bug Data'!$M:$M,$C47)</f>
        <v/>
      </c>
      <c r="I47" s="53">
        <f>COUNTIFS('Bug Data'!$D:$D,"Done",'Bug Data'!$M:$M,$C47)+COUNTIFS('Bug Data'!$D:$D,"Closed",'Bug Data'!$M:$M,$C47)+COUNTIFS('Bug Data'!$D:$D,"Resolved",'Bug Data'!$M:$M,$C47)</f>
        <v/>
      </c>
      <c r="J47" s="143">
        <f>SUM(D47:I47)</f>
        <v/>
      </c>
      <c r="K47" s="54">
        <f>IFERROR(J47/$J$53,0)</f>
        <v/>
      </c>
      <c r="L47" s="1" t="n"/>
      <c r="M47" s="1" t="n"/>
      <c r="N47" s="1" t="n"/>
      <c r="O47" s="1" t="n"/>
    </row>
    <row r="48" ht="15.75" customHeight="1" s="216">
      <c r="A48" s="1" t="n"/>
      <c r="B48" s="113" t="inlineStr">
        <is>
          <t>TC_06</t>
        </is>
      </c>
      <c r="C48" s="55" t="inlineStr">
        <is>
          <t>Quà cảm ơn</t>
        </is>
      </c>
      <c r="D48" s="53">
        <f>COUNTIFS('Bug Data'!$D:$D,"To Do",'Bug Data'!$M:$M,$C48)+COUNTIFS('Bug Data'!$D:$D,"Todo",'Bug Data'!$M:$M,$C48)</f>
        <v/>
      </c>
      <c r="E48" s="53">
        <f>COUNTIFS('Bug Data'!$D:$D,"In Progress",'Bug Data'!$M:$M,$C48)</f>
        <v/>
      </c>
      <c r="F48" s="53">
        <f>COUNTIFS('Bug Data'!$D:$D,"In Review",'Bug Data'!$M:$M,$C48)</f>
        <v/>
      </c>
      <c r="G48" s="53">
        <f>COUNTIFS('Bug Data'!$D:$D,"Pending",'Bug Data'!$M:$M,$C48)</f>
        <v/>
      </c>
      <c r="H48" s="53">
        <f>COUNTIFS('Bug Data'!$D:$D,"Cancel",'Bug Data'!$M:$M,$C48)+COUNTIFS('Bug Data'!$D:$D,"Cancelled",'Bug Data'!$M:$M,$C48)+COUNTIFS('Bug Data'!$D:$D,"Canceled",'Bug Data'!$M:$M,$C48)</f>
        <v/>
      </c>
      <c r="I48" s="53">
        <f>COUNTIFS('Bug Data'!$D:$D,"Done",'Bug Data'!$M:$M,$C48)+COUNTIFS('Bug Data'!$D:$D,"Closed",'Bug Data'!$M:$M,$C48)+COUNTIFS('Bug Data'!$D:$D,"Resolved",'Bug Data'!$M:$M,$C48)</f>
        <v/>
      </c>
      <c r="J48" s="143">
        <f>SUM(D48:I48)</f>
        <v/>
      </c>
      <c r="K48" s="54">
        <f>IFERROR(J48/$J$53,0)</f>
        <v/>
      </c>
      <c r="L48" s="1" t="n"/>
      <c r="M48" s="1" t="n"/>
      <c r="N48" s="1" t="n"/>
      <c r="O48" s="1" t="n"/>
    </row>
    <row r="49" ht="15.75" customHeight="1" s="216">
      <c r="A49" s="1" t="n"/>
      <c r="B49" s="113" t="inlineStr">
        <is>
          <t>TC_07</t>
        </is>
      </c>
      <c r="C49" s="55" t="inlineStr">
        <is>
          <t>Trang chủ</t>
        </is>
      </c>
      <c r="D49" s="53">
        <f>COUNTIFS('Bug Data'!$D:$D,"To Do",'Bug Data'!$M:$M,$C49)+COUNTIFS('Bug Data'!$D:$D,"Todo",'Bug Data'!$M:$M,$C49)</f>
        <v/>
      </c>
      <c r="E49" s="53">
        <f>COUNTIFS('Bug Data'!$D:$D,"In Progress",'Bug Data'!$M:$M,$C49)</f>
        <v/>
      </c>
      <c r="F49" s="53">
        <f>COUNTIFS('Bug Data'!$D:$D,"In Review",'Bug Data'!$M:$M,$C49)</f>
        <v/>
      </c>
      <c r="G49" s="53">
        <f>COUNTIFS('Bug Data'!$D:$D,"Pending",'Bug Data'!$M:$M,$C49)</f>
        <v/>
      </c>
      <c r="H49" s="53">
        <f>COUNTIFS('Bug Data'!$D:$D,"Cancel",'Bug Data'!$M:$M,$C49)+COUNTIFS('Bug Data'!$D:$D,"Cancelled",'Bug Data'!$M:$M,$C49)+COUNTIFS('Bug Data'!$D:$D,"Canceled",'Bug Data'!$M:$M,$C49)</f>
        <v/>
      </c>
      <c r="I49" s="53">
        <f>COUNTIFS('Bug Data'!$D:$D,"Done",'Bug Data'!$M:$M,$C49)+COUNTIFS('Bug Data'!$D:$D,"Closed",'Bug Data'!$M:$M,$C49)+COUNTIFS('Bug Data'!$D:$D,"Resolved",'Bug Data'!$M:$M,$C49)</f>
        <v/>
      </c>
      <c r="J49" s="143">
        <f>SUM(D49:I49)</f>
        <v/>
      </c>
      <c r="K49" s="54">
        <f>IFERROR(J49/$J$53,0)</f>
        <v/>
      </c>
      <c r="L49" s="1" t="n"/>
      <c r="M49" s="1" t="n"/>
      <c r="N49" s="1" t="n"/>
      <c r="O49" s="1" t="n"/>
    </row>
    <row r="50" ht="15.75" customHeight="1" s="216">
      <c r="A50" s="1" t="n"/>
      <c r="B50" s="113" t="inlineStr">
        <is>
          <t>TC_08</t>
        </is>
      </c>
      <c r="C50" s="55" t="inlineStr">
        <is>
          <t>Thông báo</t>
        </is>
      </c>
      <c r="D50" s="53">
        <f>COUNTIFS('Bug Data'!$D:$D,"To Do",'Bug Data'!$M:$M,$C50)+COUNTIFS('Bug Data'!$D:$D,"Todo",'Bug Data'!$M:$M,$C50)</f>
        <v/>
      </c>
      <c r="E50" s="53">
        <f>COUNTIFS('Bug Data'!$D:$D,"In Progress",'Bug Data'!$M:$M,$C50)</f>
        <v/>
      </c>
      <c r="F50" s="53">
        <f>COUNTIFS('Bug Data'!$D:$D,"In Review",'Bug Data'!$M:$M,$C50)</f>
        <v/>
      </c>
      <c r="G50" s="53">
        <f>COUNTIFS('Bug Data'!$D:$D,"Pending",'Bug Data'!$M:$M,$C50)</f>
        <v/>
      </c>
      <c r="H50" s="53">
        <f>COUNTIFS('Bug Data'!$D:$D,"Cancel",'Bug Data'!$M:$M,$C50)+COUNTIFS('Bug Data'!$D:$D,"Cancelled",'Bug Data'!$M:$M,$C50)+COUNTIFS('Bug Data'!$D:$D,"Canceled",'Bug Data'!$M:$M,$C50)</f>
        <v/>
      </c>
      <c r="I50" s="53">
        <f>COUNTIFS('Bug Data'!$D:$D,"Done",'Bug Data'!$M:$M,$C50)+COUNTIFS('Bug Data'!$D:$D,"Closed",'Bug Data'!$M:$M,$C50)+COUNTIFS('Bug Data'!$D:$D,"Resolved",'Bug Data'!$M:$M,$C50)</f>
        <v/>
      </c>
      <c r="J50" s="143">
        <f>SUM(D50:I50)</f>
        <v/>
      </c>
      <c r="K50" s="54">
        <f>IFERROR(J50/$J$53,0)</f>
        <v/>
      </c>
      <c r="L50" s="1" t="n"/>
      <c r="M50" s="1" t="n"/>
      <c r="N50" s="1" t="n"/>
      <c r="O50" s="1" t="n"/>
    </row>
    <row r="51" ht="15.75" customHeight="1" s="216">
      <c r="A51" s="1" t="n"/>
      <c r="B51" s="113" t="inlineStr">
        <is>
          <t>TC_09</t>
        </is>
      </c>
      <c r="C51" s="55" t="inlineStr">
        <is>
          <t>Đăng tin &amp; Quản lý tin</t>
        </is>
      </c>
      <c r="D51" s="53">
        <f>COUNTIFS('Bug Data'!$D:$D,"To Do",'Bug Data'!$M:$M,$C51)+COUNTIFS('Bug Data'!$D:$D,"Todo",'Bug Data'!$M:$M,$C51)</f>
        <v/>
      </c>
      <c r="E51" s="53">
        <f>COUNTIFS('Bug Data'!$D:$D,"In Progress",'Bug Data'!$M:$M,$C51)</f>
        <v/>
      </c>
      <c r="F51" s="53">
        <f>COUNTIFS('Bug Data'!$D:$D,"In Review",'Bug Data'!$M:$M,$C51)</f>
        <v/>
      </c>
      <c r="G51" s="53">
        <f>COUNTIFS('Bug Data'!$D:$D,"Pending",'Bug Data'!$M:$M,$C51)</f>
        <v/>
      </c>
      <c r="H51" s="53">
        <f>COUNTIFS('Bug Data'!$D:$D,"Cancel",'Bug Data'!$M:$M,$C51)+COUNTIFS('Bug Data'!$D:$D,"Cancelled",'Bug Data'!$M:$M,$C51)+COUNTIFS('Bug Data'!$D:$D,"Canceled",'Bug Data'!$M:$M,$C51)</f>
        <v/>
      </c>
      <c r="I51" s="53">
        <f>COUNTIFS('Bug Data'!$D:$D,"Done",'Bug Data'!$M:$M,$C51)+COUNTIFS('Bug Data'!$D:$D,"Closed",'Bug Data'!$M:$M,$C51)+COUNTIFS('Bug Data'!$D:$D,"Resolved",'Bug Data'!$M:$M,$C51)</f>
        <v/>
      </c>
      <c r="J51" s="143">
        <f>SUM(D51:I51)</f>
        <v/>
      </c>
      <c r="K51" s="54">
        <f>IFERROR(J51/$J$53,0)</f>
        <v/>
      </c>
      <c r="L51" s="1" t="n"/>
      <c r="M51" s="1" t="n"/>
      <c r="N51" s="1" t="n"/>
      <c r="O51" s="1" t="n"/>
    </row>
    <row r="52" ht="15.75" customHeight="1" s="216">
      <c r="A52" s="1" t="n"/>
      <c r="B52" s="113" t="inlineStr">
        <is>
          <t>—</t>
        </is>
      </c>
      <c r="C52" s="55" t="inlineStr">
        <is>
          <t>Khác / chưa gán chức năng</t>
        </is>
      </c>
      <c r="D52" s="53">
        <f>COUNTIFS('Bug Data'!$D:$D,"To Do")+COUNTIFS('Bug Data'!$D:$D,"Todo")-SUM(D43:D51)</f>
        <v/>
      </c>
      <c r="E52" s="53">
        <f>COUNTIFS('Bug Data'!$D:$D,"In Progress")-SUM(E43:E51)</f>
        <v/>
      </c>
      <c r="F52" s="53">
        <f>COUNTIFS('Bug Data'!$D:$D,"In Review")-SUM(F43:F51)</f>
        <v/>
      </c>
      <c r="G52" s="53">
        <f>COUNTIFS('Bug Data'!$D:$D,"Pending")-SUM(G43:G51)</f>
        <v/>
      </c>
      <c r="H52" s="53">
        <f>COUNTIFS('Bug Data'!$D:$D,"Cancel")+COUNTIFS('Bug Data'!$D:$D,"Cancelled")+COUNTIFS('Bug Data'!$D:$D,"Canceled")-SUM(H43:H51)</f>
        <v/>
      </c>
      <c r="I52" s="53">
        <f>COUNTIFS('Bug Data'!$D:$D,"Done")+COUNTIFS('Bug Data'!$D:$D,"Closed")+COUNTIFS('Bug Data'!$D:$D,"Resolved")-SUM(I43:I51)</f>
        <v/>
      </c>
      <c r="J52" s="143">
        <f>SUM(D52:I52)</f>
        <v/>
      </c>
      <c r="K52" s="54">
        <f>IFERROR(J52/$J$53,0)</f>
        <v/>
      </c>
      <c r="L52" s="1" t="n"/>
      <c r="M52" s="1" t="n"/>
      <c r="N52" s="1" t="n"/>
      <c r="O52" s="1" t="n"/>
    </row>
    <row r="53" ht="15.75" customHeight="1" s="216">
      <c r="A53" s="1" t="n"/>
      <c r="B53" s="114" t="inlineStr">
        <is>
          <t>Total</t>
        </is>
      </c>
      <c r="C53" s="116" t="n"/>
      <c r="D53" s="44">
        <f>SUM(D43:D52)</f>
        <v/>
      </c>
      <c r="E53" s="44">
        <f>SUM(E43:E52)</f>
        <v/>
      </c>
      <c r="F53" s="44">
        <f>SUM(F43:F52)</f>
        <v/>
      </c>
      <c r="G53" s="44">
        <f>SUM(G43:G52)</f>
        <v/>
      </c>
      <c r="H53" s="44">
        <f>SUM(H43:H52)</f>
        <v/>
      </c>
      <c r="I53" s="44">
        <f>SUM(I43:I52)</f>
        <v/>
      </c>
      <c r="J53" s="44">
        <f>SUM(J43:J52)</f>
        <v/>
      </c>
      <c r="K53" s="57">
        <f>IFERROR(J53/J53,0)</f>
        <v/>
      </c>
      <c r="L53" s="1" t="n"/>
      <c r="M53" s="1" t="n"/>
      <c r="N53" s="1" t="n"/>
      <c r="O53" s="1" t="n"/>
    </row>
    <row r="54" ht="15.75" customHeight="1" s="216">
      <c r="A54" s="1" t="n"/>
      <c r="B54" s="1" t="n"/>
      <c r="C54" s="1" t="n"/>
      <c r="D54" s="1" t="n"/>
      <c r="E54" s="1" t="n"/>
      <c r="F54" s="1" t="n"/>
      <c r="G54" s="1" t="n"/>
      <c r="H54" s="1" t="n"/>
      <c r="I54" s="1" t="n"/>
      <c r="J54" s="1" t="n"/>
      <c r="K54" s="1" t="n"/>
      <c r="L54" s="1" t="n"/>
      <c r="M54" s="1" t="n"/>
      <c r="N54" s="1" t="n"/>
      <c r="O54" s="1" t="n"/>
    </row>
    <row r="55" ht="31.5" customHeight="1" s="216">
      <c r="A55" s="1" t="n"/>
      <c r="B55" s="247" t="inlineStr">
        <is>
          <t>Chức năng khớp theo cột "Function" ở sheet Bug Data — script tự chuẩn hoá về tên module TC-MASTER (bỏ qua khác biệt hoa/thường, dấu, gạch dưới). Chức năng không map được vẫn được liệt kê với ID "—"; dòng "Khác / chưa gán chức năng" gom phần còn lại nên Total của bảng này luôn khớp Total ở mục 1a. ID = mã module của sheet Dashboard.</t>
        </is>
      </c>
      <c r="C55" s="248" t="n"/>
      <c r="D55" s="248" t="n"/>
      <c r="E55" s="248" t="n"/>
      <c r="F55" s="248" t="n"/>
      <c r="G55" s="248" t="n"/>
      <c r="H55" s="248" t="n"/>
      <c r="I55" s="248" t="n"/>
      <c r="J55" s="248" t="n"/>
      <c r="K55" s="249" t="n"/>
      <c r="L55" s="1" t="n"/>
      <c r="M55" s="1" t="n"/>
      <c r="N55" s="1" t="n"/>
      <c r="O55" s="1" t="n"/>
    </row>
    <row r="56" ht="15.75" customHeight="1" s="216">
      <c r="A56" s="1" t="n"/>
      <c r="B56" s="1" t="n"/>
      <c r="C56" s="1" t="n"/>
      <c r="D56" s="1" t="n"/>
      <c r="E56" s="1" t="n"/>
      <c r="F56" s="1" t="n"/>
      <c r="G56" s="1" t="n"/>
      <c r="H56" s="1" t="n"/>
      <c r="I56" s="1" t="n"/>
      <c r="J56" s="1" t="n"/>
      <c r="K56" s="1" t="n"/>
      <c r="L56" s="1" t="n"/>
      <c r="M56" s="1" t="n"/>
      <c r="N56" s="1" t="n"/>
      <c r="O56" s="1" t="n"/>
    </row>
    <row r="57" ht="15.75" customHeight="1" s="216">
      <c r="A57" s="1" t="n"/>
      <c r="B57" s="135" t="inlineStr">
        <is>
          <t>2. Coverage (Độ phủ Test Case)</t>
        </is>
      </c>
      <c r="C57" s="1" t="n"/>
      <c r="D57" s="1" t="n"/>
      <c r="E57" s="1" t="n"/>
      <c r="F57" s="1" t="n"/>
      <c r="G57" s="1" t="n"/>
      <c r="H57" s="1" t="n"/>
      <c r="I57" s="1" t="n"/>
      <c r="J57" s="1" t="n"/>
      <c r="K57" s="1" t="n"/>
      <c r="L57" s="1" t="n"/>
      <c r="M57" s="1" t="n"/>
      <c r="N57" s="1" t="n"/>
      <c r="O57" s="1" t="n"/>
    </row>
    <row r="58" ht="15.75" customHeight="1" s="216">
      <c r="A58" s="1" t="n"/>
      <c r="B58" s="246" t="inlineStr">
        <is>
          <t>Coverage theo chức năng</t>
        </is>
      </c>
      <c r="C58" s="220" t="n"/>
      <c r="D58" s="220" t="n"/>
      <c r="E58" s="220" t="n"/>
      <c r="F58" s="220" t="n"/>
      <c r="G58" s="218" t="n"/>
      <c r="H58" s="1" t="n"/>
      <c r="I58" s="1" t="n"/>
      <c r="J58" s="1" t="n"/>
      <c r="K58" s="1" t="n"/>
      <c r="L58" s="1" t="n"/>
      <c r="M58" s="1" t="n"/>
      <c r="N58" s="1" t="n"/>
      <c r="O58" s="1" t="n"/>
    </row>
    <row r="59" ht="15.75" customHeight="1" s="216">
      <c r="A59" s="1" t="n"/>
      <c r="B59" s="137" t="inlineStr">
        <is>
          <t>ID</t>
        </is>
      </c>
      <c r="C59" s="137" t="inlineStr">
        <is>
          <t>Chức năng</t>
        </is>
      </c>
      <c r="D59" s="137" t="inlineStr">
        <is>
          <t>Total TC</t>
        </is>
      </c>
      <c r="E59" s="137" t="inlineStr">
        <is>
          <t>Executed TC</t>
        </is>
      </c>
      <c r="F59" s="137" t="inlineStr">
        <is>
          <t>Coverage</t>
        </is>
      </c>
      <c r="G59" s="137" t="inlineStr">
        <is>
          <t>Note</t>
        </is>
      </c>
      <c r="H59" s="1" t="n"/>
      <c r="I59" s="1" t="n"/>
      <c r="J59" s="1" t="n"/>
      <c r="K59" s="1" t="n"/>
      <c r="L59" s="1" t="n"/>
      <c r="M59" s="1" t="n"/>
      <c r="N59" s="1" t="n"/>
      <c r="O59" s="1" t="n"/>
    </row>
    <row r="60" ht="15.75" customHeight="1" s="216">
      <c r="A60" s="1" t="n"/>
      <c r="B60" s="173">
        <f>IF(Dashboard!$D4="","",Dashboard!$C4)</f>
        <v/>
      </c>
      <c r="C60" s="174">
        <f>IF(Dashboard!$D4="","",Dashboard!$E4)</f>
        <v/>
      </c>
      <c r="D60" s="138">
        <f>IF(Dashboard!$D4="","",Dashboard!$F4)</f>
        <v/>
      </c>
      <c r="E60" s="138">
        <f>IF(Dashboard!$D4="","",Dashboard!$L4)</f>
        <v/>
      </c>
      <c r="F60" s="175">
        <f>IFERROR(E60/D60,0)</f>
        <v/>
      </c>
      <c r="G60" s="174" t="n"/>
      <c r="H60" s="1" t="n"/>
      <c r="I60" s="1" t="n"/>
      <c r="J60" s="1" t="n"/>
      <c r="K60" s="1" t="n"/>
      <c r="L60" s="1" t="n"/>
      <c r="M60" s="1" t="n"/>
      <c r="N60" s="1" t="n"/>
      <c r="O60" s="1" t="n"/>
    </row>
    <row r="61" ht="15.75" customHeight="1" s="216">
      <c r="A61" s="1" t="n"/>
      <c r="B61" s="173">
        <f>IF(Dashboard!$D5="","",Dashboard!$C5)</f>
        <v/>
      </c>
      <c r="C61" s="174">
        <f>IF(Dashboard!$D5="","",Dashboard!$E5)</f>
        <v/>
      </c>
      <c r="D61" s="138">
        <f>IF(Dashboard!$D5="","",Dashboard!$F5)</f>
        <v/>
      </c>
      <c r="E61" s="138">
        <f>IF(Dashboard!$D5="","",Dashboard!$L5)</f>
        <v/>
      </c>
      <c r="F61" s="175">
        <f>IFERROR(E61/D61,0)</f>
        <v/>
      </c>
      <c r="G61" s="174" t="n"/>
      <c r="H61" s="1" t="n"/>
      <c r="I61" s="1" t="n"/>
      <c r="J61" s="1" t="n"/>
      <c r="K61" s="1" t="n"/>
      <c r="L61" s="1" t="n"/>
      <c r="M61" s="1" t="n"/>
      <c r="N61" s="1" t="n"/>
      <c r="O61" s="1" t="n"/>
    </row>
    <row r="62" ht="15.75" customHeight="1" s="216">
      <c r="A62" s="1" t="n"/>
      <c r="B62" s="173">
        <f>IF(Dashboard!$D6="","",Dashboard!$C6)</f>
        <v/>
      </c>
      <c r="C62" s="174">
        <f>IF(Dashboard!$D6="","",Dashboard!$E6)</f>
        <v/>
      </c>
      <c r="D62" s="138">
        <f>IF(Dashboard!$D6="","",Dashboard!$F6)</f>
        <v/>
      </c>
      <c r="E62" s="138">
        <f>IF(Dashboard!$D6="","",Dashboard!$L6)</f>
        <v/>
      </c>
      <c r="F62" s="175">
        <f>IFERROR(E62/D62,0)</f>
        <v/>
      </c>
      <c r="G62" s="174" t="n"/>
      <c r="H62" s="1" t="n"/>
      <c r="I62" s="1" t="n"/>
      <c r="J62" s="1" t="n"/>
      <c r="K62" s="1" t="n"/>
      <c r="L62" s="1" t="n"/>
      <c r="M62" s="1" t="n"/>
      <c r="N62" s="1" t="n"/>
      <c r="O62" s="1" t="n"/>
    </row>
    <row r="63" ht="15.75" customHeight="1" s="216">
      <c r="A63" s="1" t="n"/>
      <c r="B63" s="173">
        <f>IF(Dashboard!$D7="","",Dashboard!$C7)</f>
        <v/>
      </c>
      <c r="C63" s="174">
        <f>IF(Dashboard!$D7="","",Dashboard!$E7)</f>
        <v/>
      </c>
      <c r="D63" s="138">
        <f>IF(Dashboard!$D7="","",Dashboard!$F7)</f>
        <v/>
      </c>
      <c r="E63" s="138">
        <f>IF(Dashboard!$D7="","",Dashboard!$L7)</f>
        <v/>
      </c>
      <c r="F63" s="175">
        <f>IFERROR(E63/D63,0)</f>
        <v/>
      </c>
      <c r="G63" s="174" t="n"/>
      <c r="H63" s="1" t="n"/>
      <c r="I63" s="1" t="n"/>
      <c r="J63" s="1" t="n"/>
      <c r="K63" s="1" t="n"/>
      <c r="L63" s="1" t="n"/>
      <c r="M63" s="1" t="n"/>
      <c r="N63" s="1" t="n"/>
      <c r="O63" s="1" t="n"/>
    </row>
    <row r="64" ht="24" customHeight="1" s="216">
      <c r="A64" s="1" t="n"/>
      <c r="B64" s="173">
        <f>IF(Dashboard!$D8="","",Dashboard!$C8)</f>
        <v/>
      </c>
      <c r="C64" s="174">
        <f>IF(Dashboard!$D8="","",Dashboard!$E8)</f>
        <v/>
      </c>
      <c r="D64" s="138">
        <f>IF(Dashboard!$D8="","",Dashboard!$F8)</f>
        <v/>
      </c>
      <c r="E64" s="138">
        <f>IF(Dashboard!$D8="","",Dashboard!$L8)</f>
        <v/>
      </c>
      <c r="F64" s="175">
        <f>IFERROR(E64/D64,0)</f>
        <v/>
      </c>
      <c r="G64" s="174" t="n"/>
      <c r="H64" s="1" t="n"/>
      <c r="I64" s="1" t="n"/>
      <c r="J64" s="1" t="n"/>
      <c r="K64" s="1" t="n"/>
      <c r="L64" s="1" t="n"/>
      <c r="M64" s="1" t="n"/>
      <c r="N64" s="1" t="n"/>
      <c r="O64" s="1" t="n"/>
    </row>
    <row r="65" ht="15.75" customHeight="1" s="216">
      <c r="A65" s="1" t="n"/>
      <c r="B65" s="173">
        <f>IF(Dashboard!$D9="","",Dashboard!$C9)</f>
        <v/>
      </c>
      <c r="C65" s="174">
        <f>IF(Dashboard!$D9="","",Dashboard!$E9)</f>
        <v/>
      </c>
      <c r="D65" s="138">
        <f>IF(Dashboard!$D9="","",Dashboard!$F9)</f>
        <v/>
      </c>
      <c r="E65" s="138">
        <f>IF(Dashboard!$D9="","",Dashboard!$L9)</f>
        <v/>
      </c>
      <c r="F65" s="175">
        <f>IFERROR(E65/D65,0)</f>
        <v/>
      </c>
      <c r="G65" s="174" t="n"/>
      <c r="H65" s="179" t="n"/>
      <c r="I65" s="179" t="n"/>
      <c r="J65" s="1" t="n"/>
      <c r="K65" s="1" t="n"/>
      <c r="L65" s="1" t="n"/>
      <c r="M65" s="1" t="n"/>
      <c r="N65" s="1" t="n"/>
      <c r="O65" s="1" t="n"/>
    </row>
    <row r="66" ht="15.75" customHeight="1" s="216">
      <c r="A66" s="1" t="n"/>
      <c r="B66" s="173">
        <f>IF(Dashboard!$D10="","",Dashboard!$C10)</f>
        <v/>
      </c>
      <c r="C66" s="174">
        <f>IF(Dashboard!$D10="","",Dashboard!$E10)</f>
        <v/>
      </c>
      <c r="D66" s="138">
        <f>IF(Dashboard!$D10="","",Dashboard!$F10)</f>
        <v/>
      </c>
      <c r="E66" s="138">
        <f>IF(Dashboard!$D10="","",Dashboard!$L10)</f>
        <v/>
      </c>
      <c r="F66" s="175">
        <f>IFERROR(E66/D66,0)</f>
        <v/>
      </c>
      <c r="G66" s="174" t="n"/>
      <c r="H66" s="1" t="n"/>
      <c r="I66" s="1" t="n"/>
      <c r="J66" s="1" t="n"/>
      <c r="K66" s="1" t="n"/>
      <c r="L66" s="1" t="n"/>
      <c r="M66" s="1" t="n"/>
      <c r="N66" s="1" t="n"/>
      <c r="O66" s="1" t="n"/>
    </row>
    <row r="67" ht="15.75" customHeight="1" s="216">
      <c r="A67" s="1" t="n"/>
      <c r="B67" s="173">
        <f>IF(Dashboard!$D11="","",Dashboard!$C11)</f>
        <v/>
      </c>
      <c r="C67" s="174">
        <f>IF(Dashboard!$D11="","",Dashboard!$E11)</f>
        <v/>
      </c>
      <c r="D67" s="138">
        <f>IF(Dashboard!$D11="","",Dashboard!$F11)</f>
        <v/>
      </c>
      <c r="E67" s="138">
        <f>IF(Dashboard!$D11="","",Dashboard!$L11)</f>
        <v/>
      </c>
      <c r="F67" s="175">
        <f>IFERROR(E67/D67,0)</f>
        <v/>
      </c>
      <c r="G67" s="174" t="n"/>
      <c r="H67" s="1" t="n"/>
      <c r="I67" s="1" t="n"/>
      <c r="J67" s="1" t="n"/>
      <c r="K67" s="1" t="n"/>
      <c r="L67" s="1" t="n"/>
      <c r="M67" s="1" t="n"/>
      <c r="N67" s="1" t="n"/>
      <c r="O67" s="1" t="n"/>
    </row>
    <row r="68" ht="15.75" customHeight="1" s="216">
      <c r="A68" s="1" t="n"/>
      <c r="B68" s="173">
        <f>IF(Dashboard!$D12="","",Dashboard!$C12)</f>
        <v/>
      </c>
      <c r="C68" s="174">
        <f>IF(Dashboard!$D12="","",Dashboard!$E12)</f>
        <v/>
      </c>
      <c r="D68" s="138">
        <f>IF(Dashboard!$D12="","",Dashboard!$F12)</f>
        <v/>
      </c>
      <c r="E68" s="138">
        <f>IF(Dashboard!$D12="","",Dashboard!$L12)</f>
        <v/>
      </c>
      <c r="F68" s="175">
        <f>IFERROR(E68/D68,0)</f>
        <v/>
      </c>
      <c r="G68" s="174" t="n"/>
      <c r="H68" s="1" t="n"/>
      <c r="I68" s="1" t="n"/>
      <c r="J68" s="1" t="n"/>
      <c r="K68" s="1" t="n"/>
      <c r="L68" s="1" t="n"/>
      <c r="M68" s="1" t="n"/>
      <c r="N68" s="1" t="n"/>
      <c r="O68" s="1" t="n"/>
    </row>
    <row r="69" ht="15.75" customHeight="1" s="216">
      <c r="A69" s="1" t="n"/>
      <c r="B69" s="173">
        <f>IF(Dashboard!$D13="","",Dashboard!$C13)</f>
        <v/>
      </c>
      <c r="C69" s="174">
        <f>IF(Dashboard!$D13="","",Dashboard!$E13)</f>
        <v/>
      </c>
      <c r="D69" s="138">
        <f>IF(Dashboard!$D13="","",Dashboard!$F13)</f>
        <v/>
      </c>
      <c r="E69" s="138">
        <f>IF(Dashboard!$D13="","",Dashboard!$L13)</f>
        <v/>
      </c>
      <c r="F69" s="175">
        <f>IFERROR(E69/D69,0)</f>
        <v/>
      </c>
      <c r="G69" s="174" t="n"/>
      <c r="H69" s="1" t="n"/>
      <c r="I69" s="1" t="n"/>
      <c r="J69" s="1" t="n"/>
      <c r="K69" s="1" t="n"/>
      <c r="L69" s="1" t="n"/>
      <c r="M69" s="1" t="n"/>
      <c r="N69" s="1" t="n"/>
      <c r="O69" s="1" t="n"/>
    </row>
    <row r="70" ht="15.75" customHeight="1" s="216">
      <c r="A70" s="1" t="n"/>
      <c r="B70" s="173">
        <f>IF(Dashboard!$D14="","",Dashboard!$C14)</f>
        <v/>
      </c>
      <c r="C70" s="174">
        <f>IF(Dashboard!$D14="","",Dashboard!$E14)</f>
        <v/>
      </c>
      <c r="D70" s="138">
        <f>IF(Dashboard!$D14="","",Dashboard!$F14)</f>
        <v/>
      </c>
      <c r="E70" s="138">
        <f>IF(Dashboard!$D14="","",Dashboard!$L14)</f>
        <v/>
      </c>
      <c r="F70" s="175">
        <f>IFERROR(E70/D70,0)</f>
        <v/>
      </c>
      <c r="G70" s="174" t="n"/>
      <c r="H70" s="1" t="n"/>
      <c r="I70" s="1" t="n"/>
      <c r="J70" s="1" t="n"/>
      <c r="K70" s="1" t="n"/>
      <c r="L70" s="1" t="n"/>
      <c r="M70" s="1" t="n"/>
      <c r="N70" s="1" t="n"/>
      <c r="O70" s="1" t="n"/>
    </row>
    <row r="71" ht="15.75" customHeight="1" s="216">
      <c r="A71" s="1" t="n"/>
      <c r="B71" s="137" t="inlineStr">
        <is>
          <t>Total</t>
        </is>
      </c>
      <c r="C71" s="176" t="n"/>
      <c r="D71" s="140">
        <f>Dashboard!$F$34</f>
        <v/>
      </c>
      <c r="E71" s="140">
        <f>Dashboard!$L$34</f>
        <v/>
      </c>
      <c r="F71" s="177">
        <f>IFERROR(E71/D71,0)</f>
        <v/>
      </c>
      <c r="G71" s="176" t="n"/>
      <c r="H71" s="1" t="n"/>
      <c r="I71" s="1" t="n"/>
      <c r="J71" s="1" t="n"/>
      <c r="K71" s="1" t="n"/>
      <c r="L71" s="1" t="n"/>
      <c r="M71" s="1" t="n"/>
      <c r="N71" s="1" t="n"/>
      <c r="O71" s="1" t="n"/>
    </row>
    <row r="72" ht="15.75" customHeight="1" s="216">
      <c r="A72" s="1" t="n"/>
      <c r="B72" s="178" t="inlineStr">
        <is>
          <t>Tổng (dòng Total) = gộp TẤT CẢ sheet Test Case. Các dòng ở trên là từng module (tối đa 18) — ID/tên chức năng lấy trực tiếp từ sheet "Dashboard" nên luôn khớp.</t>
        </is>
      </c>
      <c r="H72" s="1" t="n"/>
      <c r="I72" s="1" t="n"/>
      <c r="J72" s="1" t="n"/>
      <c r="K72" s="1" t="n"/>
      <c r="L72" s="1" t="n"/>
      <c r="M72" s="1" t="n"/>
      <c r="N72" s="1" t="n"/>
      <c r="O72" s="1" t="n"/>
    </row>
    <row r="73" ht="15.75" customHeight="1" s="216">
      <c r="A73" s="1" t="n"/>
      <c r="B73" s="1" t="n"/>
      <c r="C73" s="1" t="n"/>
      <c r="D73" s="1" t="n"/>
      <c r="E73" s="1" t="n"/>
      <c r="F73" s="1" t="n"/>
      <c r="G73" s="1" t="n"/>
      <c r="H73" s="1" t="n"/>
      <c r="I73" s="1" t="n"/>
      <c r="J73" s="1" t="n"/>
      <c r="K73" s="1" t="n"/>
      <c r="L73" s="1" t="n"/>
      <c r="M73" s="1" t="n"/>
      <c r="N73" s="1" t="n"/>
      <c r="O73" s="1" t="n"/>
    </row>
    <row r="74" ht="15.75" customHeight="1" s="216">
      <c r="A74" s="1" t="n"/>
      <c r="B74" s="1" t="n"/>
      <c r="C74" s="1" t="n"/>
      <c r="D74" s="1" t="n"/>
      <c r="E74" s="1" t="n"/>
      <c r="F74" s="1" t="n"/>
      <c r="G74" s="1" t="n"/>
      <c r="H74" s="1" t="n"/>
      <c r="I74" s="1" t="n"/>
      <c r="J74" s="1" t="n"/>
      <c r="K74" s="1" t="n"/>
      <c r="L74" s="1" t="n"/>
      <c r="M74" s="1" t="n"/>
      <c r="N74" s="1" t="n"/>
      <c r="O74" s="1" t="n"/>
    </row>
    <row r="75" ht="15.75" customHeight="1" s="216">
      <c r="A75" s="1" t="n"/>
      <c r="B75" s="1" t="n"/>
      <c r="C75" s="1" t="n"/>
      <c r="D75" s="1" t="n"/>
      <c r="E75" s="1" t="n"/>
      <c r="F75" s="1" t="n"/>
      <c r="G75" s="1" t="n"/>
      <c r="H75" s="1" t="n"/>
      <c r="I75" s="1" t="n"/>
      <c r="J75" s="1" t="n"/>
      <c r="K75" s="1" t="n"/>
      <c r="L75" s="1" t="n"/>
      <c r="M75" s="1" t="n"/>
      <c r="N75" s="1" t="n"/>
      <c r="O75" s="1" t="n"/>
    </row>
    <row r="76" ht="15.75" customHeight="1" s="216">
      <c r="A76" s="1" t="n"/>
      <c r="B76" s="1" t="n"/>
      <c r="C76" s="1" t="n"/>
      <c r="D76" s="1" t="n"/>
      <c r="E76" s="1" t="n"/>
      <c r="F76" s="1" t="n"/>
      <c r="G76" s="1" t="n"/>
      <c r="H76" s="1" t="n"/>
      <c r="I76" s="1" t="n"/>
      <c r="J76" s="1" t="n"/>
      <c r="K76" s="1" t="n"/>
      <c r="L76" s="1" t="n"/>
      <c r="M76" s="1" t="n"/>
      <c r="N76" s="1" t="n"/>
      <c r="O76" s="1" t="n"/>
    </row>
    <row r="77" ht="15.75" customHeight="1" s="216">
      <c r="A77" s="1" t="n"/>
      <c r="B77" s="1" t="n"/>
      <c r="C77" s="1" t="n"/>
      <c r="D77" s="1" t="n"/>
      <c r="E77" s="1" t="n"/>
      <c r="F77" s="1" t="n"/>
      <c r="G77" s="1" t="n"/>
      <c r="H77" s="1" t="n"/>
      <c r="I77" s="1" t="n"/>
      <c r="J77" s="1" t="n"/>
      <c r="K77" s="1" t="n"/>
      <c r="L77" s="1" t="n"/>
      <c r="M77" s="1" t="n"/>
      <c r="N77" s="1" t="n"/>
      <c r="O77" s="1" t="n"/>
    </row>
    <row r="78" ht="15.75" customHeight="1" s="216">
      <c r="A78" s="1" t="n"/>
      <c r="B78" s="1" t="n"/>
      <c r="C78" s="1" t="n"/>
      <c r="D78" s="1" t="n"/>
      <c r="E78" s="1" t="n"/>
      <c r="F78" s="1" t="n"/>
      <c r="G78" s="1" t="n"/>
      <c r="H78" s="1" t="n"/>
      <c r="I78" s="1" t="n"/>
      <c r="J78" s="1" t="n"/>
      <c r="K78" s="1" t="n"/>
      <c r="L78" s="1" t="n"/>
      <c r="M78" s="1" t="n"/>
      <c r="N78" s="1" t="n"/>
      <c r="O78" s="1" t="n"/>
    </row>
    <row r="79" ht="15.75" customHeight="1" s="216">
      <c r="A79" s="1" t="n"/>
      <c r="B79" s="1" t="n"/>
      <c r="C79" s="1" t="n"/>
      <c r="D79" s="1" t="n"/>
      <c r="E79" s="1" t="n"/>
      <c r="F79" s="1" t="n"/>
      <c r="G79" s="1" t="n"/>
      <c r="H79" s="1" t="n"/>
      <c r="I79" s="1" t="n"/>
      <c r="J79" s="1" t="n"/>
      <c r="K79" s="1" t="n"/>
      <c r="L79" s="1" t="n"/>
      <c r="M79" s="1" t="n"/>
      <c r="N79" s="1" t="n"/>
      <c r="O79" s="1" t="n"/>
    </row>
    <row r="80" ht="15.75" customHeight="1" s="216">
      <c r="A80" s="1" t="n"/>
      <c r="B80" s="1" t="n"/>
      <c r="C80" s="1" t="n"/>
      <c r="D80" s="1" t="n"/>
      <c r="E80" s="1" t="n"/>
      <c r="F80" s="1" t="n"/>
      <c r="G80" s="1" t="n"/>
      <c r="H80" s="1" t="n"/>
      <c r="I80" s="1" t="n"/>
      <c r="J80" s="1" t="n"/>
      <c r="K80" s="1" t="n"/>
      <c r="L80" s="1" t="n"/>
      <c r="M80" s="1" t="n"/>
      <c r="N80" s="1" t="n"/>
      <c r="O80" s="1" t="n"/>
    </row>
    <row r="81" ht="15.75" customHeight="1" s="216">
      <c r="A81" s="1" t="n"/>
      <c r="B81" s="1" t="n"/>
      <c r="C81" s="1" t="n"/>
      <c r="D81" s="1" t="n"/>
      <c r="E81" s="1" t="n"/>
      <c r="F81" s="1" t="n"/>
      <c r="G81" s="1" t="n"/>
      <c r="H81" s="1" t="n"/>
      <c r="I81" s="1" t="n"/>
      <c r="J81" s="1" t="n"/>
      <c r="K81" s="1" t="n"/>
      <c r="L81" s="1" t="n"/>
      <c r="M81" s="1" t="n"/>
      <c r="N81" s="1" t="n"/>
      <c r="O81" s="1" t="n"/>
    </row>
    <row r="82" ht="15.75" customHeight="1" s="216">
      <c r="A82" s="1" t="n"/>
      <c r="B82" s="135" t="inlineStr">
        <is>
          <t>2b. Kết quả thực thi Test Case</t>
        </is>
      </c>
      <c r="C82" s="1" t="n"/>
      <c r="D82" s="1" t="n"/>
      <c r="E82" s="1" t="n"/>
      <c r="F82" s="1" t="n"/>
      <c r="G82" s="1" t="n"/>
      <c r="H82" s="1" t="n"/>
      <c r="I82" s="1" t="n"/>
      <c r="J82" s="1" t="n"/>
      <c r="K82" s="1" t="n"/>
      <c r="L82" s="1" t="n"/>
      <c r="M82" s="1" t="n"/>
      <c r="N82" s="1" t="n"/>
      <c r="O82" s="1" t="n"/>
    </row>
    <row r="83" ht="15.75" customHeight="1" s="216">
      <c r="A83" s="1" t="n"/>
      <c r="B83" s="246" t="inlineStr">
        <is>
          <t>Kết quả TC theo Status (từ sheet Test Cases)</t>
        </is>
      </c>
      <c r="C83" s="220" t="n"/>
      <c r="D83" s="218" t="n"/>
      <c r="E83" s="1" t="n"/>
      <c r="F83" s="1" t="n"/>
      <c r="G83" s="1" t="n"/>
      <c r="H83" s="1" t="n"/>
      <c r="I83" s="1" t="n"/>
      <c r="J83" s="1" t="n"/>
      <c r="K83" s="1" t="n"/>
      <c r="L83" s="1" t="n"/>
      <c r="M83" s="1" t="n"/>
      <c r="N83" s="1" t="n"/>
      <c r="O83" s="1" t="n"/>
    </row>
    <row r="84" ht="15.75" customHeight="1" s="216">
      <c r="A84" s="1" t="n"/>
      <c r="B84" s="137" t="inlineStr">
        <is>
          <t>Trạng thái</t>
        </is>
      </c>
      <c r="C84" s="137" t="inlineStr">
        <is>
          <t>Số lượng</t>
        </is>
      </c>
      <c r="D84" s="137" t="inlineStr">
        <is>
          <t>Tỷ lệ</t>
        </is>
      </c>
      <c r="E84" s="1" t="n"/>
      <c r="F84" s="1" t="n"/>
      <c r="G84" s="1" t="n"/>
      <c r="H84" s="1" t="n"/>
      <c r="I84" s="1" t="n"/>
      <c r="J84" s="1" t="n"/>
      <c r="K84" s="1" t="n"/>
      <c r="L84" s="1" t="n"/>
      <c r="M84" s="1" t="n"/>
      <c r="N84" s="1" t="n"/>
      <c r="O84" s="1" t="n"/>
    </row>
    <row r="85" ht="15.75" customHeight="1" s="216">
      <c r="A85" s="1" t="n"/>
      <c r="B85" s="120" t="inlineStr">
        <is>
          <t>Pass</t>
        </is>
      </c>
      <c r="C85" s="138">
        <f>Dashboard!$G$34</f>
        <v/>
      </c>
      <c r="D85" s="175">
        <f>IFERROR(C85/$C$90,0)</f>
        <v/>
      </c>
      <c r="E85" s="1" t="n"/>
      <c r="F85" s="1" t="n"/>
      <c r="G85" s="1" t="n"/>
      <c r="H85" s="1" t="n"/>
      <c r="I85" s="1" t="n"/>
      <c r="J85" s="1" t="n"/>
      <c r="K85" s="1" t="n"/>
      <c r="L85" s="1" t="n"/>
      <c r="M85" s="1" t="n"/>
      <c r="N85" s="1" t="n"/>
      <c r="O85" s="1" t="n"/>
    </row>
    <row r="86" ht="15.75" customHeight="1" s="216">
      <c r="A86" s="1" t="n"/>
      <c r="B86" s="120" t="inlineStr">
        <is>
          <t>Fail</t>
        </is>
      </c>
      <c r="C86" s="138">
        <f>Dashboard!$H$34</f>
        <v/>
      </c>
      <c r="D86" s="175">
        <f>IFERROR(C86/$C$90,0)</f>
        <v/>
      </c>
      <c r="E86" s="1" t="n"/>
      <c r="F86" s="1" t="n"/>
      <c r="G86" s="1" t="n"/>
      <c r="H86" s="1" t="n"/>
      <c r="I86" s="1" t="n"/>
      <c r="J86" s="1" t="n"/>
      <c r="K86" s="1" t="n"/>
      <c r="L86" s="1" t="n"/>
      <c r="M86" s="1" t="n"/>
      <c r="N86" s="1" t="n"/>
      <c r="O86" s="1" t="n"/>
    </row>
    <row r="87" ht="15.75" customHeight="1" s="216">
      <c r="A87" s="1" t="n"/>
      <c r="B87" s="120" t="inlineStr">
        <is>
          <t>Block</t>
        </is>
      </c>
      <c r="C87" s="138">
        <f>Dashboard!$I$34</f>
        <v/>
      </c>
      <c r="D87" s="175">
        <f>IFERROR(C87/$C$90,0)</f>
        <v/>
      </c>
      <c r="E87" s="1" t="n"/>
      <c r="F87" s="1" t="n"/>
      <c r="G87" s="1" t="n"/>
      <c r="H87" s="1" t="n"/>
      <c r="I87" s="1" t="n"/>
      <c r="J87" s="1" t="n"/>
      <c r="K87" s="1" t="n"/>
      <c r="L87" s="1" t="n"/>
      <c r="M87" s="1" t="n"/>
      <c r="N87" s="1" t="n"/>
      <c r="O87" s="1" t="n"/>
    </row>
    <row r="88" ht="15.75" customHeight="1" s="216">
      <c r="A88" s="1" t="n"/>
      <c r="B88" s="120" t="inlineStr">
        <is>
          <t>N/A</t>
        </is>
      </c>
      <c r="C88" s="138">
        <f>Dashboard!$J$34</f>
        <v/>
      </c>
      <c r="D88" s="175">
        <f>IFERROR(C88/$C$90,0)</f>
        <v/>
      </c>
      <c r="E88" s="1" t="n"/>
      <c r="F88" s="1" t="n"/>
      <c r="G88" s="1" t="n"/>
      <c r="H88" s="1" t="n"/>
      <c r="I88" s="1" t="n"/>
      <c r="J88" s="1" t="n"/>
      <c r="K88" s="1" t="n"/>
      <c r="L88" s="1" t="n"/>
      <c r="M88" s="1" t="n"/>
      <c r="N88" s="1" t="n"/>
      <c r="O88" s="1" t="n"/>
    </row>
    <row r="89">
      <c r="A89" s="1" t="n"/>
      <c r="B89" s="120" t="inlineStr">
        <is>
          <t>Chưa thực hiện</t>
        </is>
      </c>
      <c r="C89" s="138">
        <f>Dashboard!$K$34</f>
        <v/>
      </c>
      <c r="D89" s="175">
        <f>IFERROR(C89/$C$90,0)</f>
        <v/>
      </c>
      <c r="E89" s="1" t="n"/>
      <c r="F89" s="1" t="n"/>
      <c r="G89" s="1" t="n"/>
      <c r="H89" s="1" t="n"/>
      <c r="I89" s="1" t="n"/>
      <c r="J89" s="1" t="n"/>
      <c r="K89" s="1" t="n"/>
      <c r="L89" s="1" t="n"/>
      <c r="M89" s="1" t="n"/>
      <c r="N89" s="1" t="n"/>
      <c r="O89" s="1" t="n"/>
    </row>
    <row r="90" ht="15.75" customHeight="1" s="216">
      <c r="A90" s="1" t="n"/>
      <c r="B90" s="39" t="inlineStr">
        <is>
          <t>Total</t>
        </is>
      </c>
      <c r="C90" s="140">
        <f>SUM(C85:C89)</f>
        <v/>
      </c>
      <c r="D90" s="177">
        <f>IFERROR(SUM(D85:D89),0)</f>
        <v/>
      </c>
      <c r="E90" s="1" t="n"/>
      <c r="F90" s="1" t="n"/>
      <c r="G90" s="1" t="n"/>
      <c r="H90" s="1" t="n"/>
      <c r="I90" s="1" t="n"/>
      <c r="J90" s="1" t="n"/>
      <c r="K90" s="1" t="n"/>
      <c r="L90" s="1" t="n"/>
      <c r="M90" s="1" t="n"/>
      <c r="N90" s="1" t="n"/>
      <c r="O90" s="1" t="n"/>
    </row>
    <row r="91" ht="15.75" customHeight="1" s="216">
      <c r="A91" s="1" t="n"/>
      <c r="B91" s="1" t="n"/>
      <c r="C91" s="1" t="n"/>
      <c r="D91" s="1" t="n"/>
      <c r="E91" s="1" t="n"/>
      <c r="F91" s="1" t="n"/>
      <c r="G91" s="1" t="n"/>
      <c r="H91" s="1" t="n"/>
      <c r="I91" s="1" t="n"/>
      <c r="J91" s="1" t="n"/>
      <c r="K91" s="1" t="n"/>
      <c r="L91" s="1" t="n"/>
      <c r="M91" s="1" t="n"/>
      <c r="N91" s="1" t="n"/>
      <c r="O91" s="1" t="n"/>
    </row>
    <row r="92" ht="15.75" customHeight="1" s="216">
      <c r="A92" s="1" t="n"/>
      <c r="B92" s="1" t="n"/>
      <c r="C92" s="1" t="n"/>
      <c r="D92" s="1" t="n"/>
      <c r="E92" s="1" t="n"/>
      <c r="F92" s="1" t="n"/>
      <c r="G92" s="1" t="n"/>
      <c r="H92" s="1" t="n"/>
      <c r="I92" s="1" t="n"/>
      <c r="J92" s="1" t="n"/>
      <c r="K92" s="1" t="n"/>
      <c r="L92" s="1" t="n"/>
      <c r="M92" s="1" t="n"/>
      <c r="N92" s="1" t="n"/>
      <c r="O92" s="1" t="n"/>
    </row>
    <row r="93" ht="15.75" customHeight="1" s="216">
      <c r="A93" s="1" t="n"/>
      <c r="B93" s="1" t="n"/>
      <c r="C93" s="1" t="n"/>
      <c r="D93" s="1" t="n"/>
      <c r="E93" s="1" t="n"/>
      <c r="F93" s="1" t="n"/>
      <c r="G93" s="1" t="n"/>
      <c r="H93" s="1" t="n"/>
      <c r="I93" s="1" t="n"/>
      <c r="J93" s="1" t="n"/>
      <c r="K93" s="1" t="n"/>
      <c r="L93" s="1" t="n"/>
      <c r="M93" s="1" t="n"/>
      <c r="N93" s="1" t="n"/>
      <c r="O93" s="1" t="n"/>
    </row>
    <row r="94" ht="15.75" customHeight="1" s="216">
      <c r="A94" s="1" t="n"/>
      <c r="B94" s="1" t="n"/>
      <c r="C94" s="1" t="n"/>
      <c r="D94" s="1" t="n"/>
      <c r="E94" s="1" t="n"/>
      <c r="F94" s="1" t="n"/>
      <c r="G94" s="1" t="n"/>
      <c r="H94" s="1" t="n"/>
      <c r="I94" s="1" t="n"/>
      <c r="J94" s="1" t="n"/>
      <c r="K94" s="1" t="n"/>
      <c r="L94" s="1" t="n"/>
      <c r="M94" s="1" t="n"/>
      <c r="N94" s="1" t="n"/>
      <c r="O94" s="1" t="n"/>
    </row>
    <row r="95" ht="15.75" customHeight="1" s="216">
      <c r="A95" s="1" t="n"/>
      <c r="B95" s="1" t="n"/>
      <c r="C95" s="1" t="n"/>
      <c r="D95" s="1" t="n"/>
      <c r="E95" s="1" t="n"/>
      <c r="F95" s="1" t="n"/>
      <c r="G95" s="1" t="n"/>
      <c r="H95" s="1" t="n"/>
      <c r="I95" s="1" t="n"/>
      <c r="J95" s="1" t="n"/>
      <c r="K95" s="1" t="n"/>
      <c r="L95" s="1" t="n"/>
      <c r="M95" s="1" t="n"/>
      <c r="N95" s="1" t="n"/>
      <c r="O95" s="1" t="n"/>
    </row>
    <row r="96" ht="15.75" customHeight="1" s="216">
      <c r="A96" s="1" t="n"/>
      <c r="B96" s="1" t="n"/>
      <c r="C96" s="1" t="n"/>
      <c r="D96" s="1" t="n"/>
      <c r="E96" s="1" t="n"/>
      <c r="F96" s="1" t="n"/>
      <c r="G96" s="1" t="n"/>
      <c r="H96" s="1" t="n"/>
      <c r="I96" s="1" t="n"/>
      <c r="J96" s="1" t="n"/>
      <c r="K96" s="1" t="n"/>
      <c r="L96" s="1" t="n"/>
      <c r="M96" s="1" t="n"/>
      <c r="N96" s="1" t="n"/>
      <c r="O96" s="1" t="n"/>
    </row>
    <row r="97" ht="15.75" customHeight="1" s="216">
      <c r="A97" s="1" t="n"/>
      <c r="B97" s="1" t="n"/>
      <c r="C97" s="1" t="n"/>
      <c r="D97" s="1" t="n"/>
      <c r="E97" s="1" t="n"/>
      <c r="F97" s="1" t="n"/>
      <c r="G97" s="1" t="n"/>
      <c r="H97" s="1" t="n"/>
      <c r="I97" s="1" t="n"/>
      <c r="J97" s="1" t="n"/>
      <c r="K97" s="1" t="n"/>
      <c r="L97" s="1" t="n"/>
      <c r="M97" s="1" t="n"/>
      <c r="N97" s="1" t="n"/>
      <c r="O97" s="1" t="n"/>
    </row>
    <row r="98" ht="15.75" customHeight="1" s="216">
      <c r="A98" s="180" t="n"/>
      <c r="B98" s="180" t="n"/>
      <c r="C98" s="180" t="n"/>
      <c r="D98" s="180" t="n"/>
      <c r="E98" s="180" t="n"/>
      <c r="F98" s="180" t="n"/>
      <c r="G98" s="180" t="n"/>
      <c r="H98" s="180" t="n"/>
      <c r="I98" s="180" t="n"/>
      <c r="J98" s="180" t="n"/>
      <c r="K98" s="180" t="n"/>
      <c r="L98" s="180" t="n"/>
      <c r="M98" s="180" t="n"/>
      <c r="N98" s="180" t="n"/>
      <c r="O98" s="180" t="n"/>
      <c r="P98" s="180" t="n"/>
      <c r="Q98" s="180" t="n"/>
      <c r="R98" s="180" t="n"/>
      <c r="S98" s="180" t="n"/>
      <c r="T98" s="180" t="n"/>
      <c r="U98" s="180" t="n"/>
      <c r="V98" s="180" t="n"/>
      <c r="W98" s="180" t="n"/>
      <c r="X98" s="180" t="n"/>
      <c r="Y98" s="180" t="n"/>
      <c r="Z98" s="180" t="n"/>
    </row>
    <row r="99" ht="15.75" customHeight="1" s="216">
      <c r="A99" s="1" t="n"/>
      <c r="B99" s="135" t="inlineStr">
        <is>
          <t>3. Bug Severity</t>
        </is>
      </c>
      <c r="C99" s="1" t="n"/>
      <c r="D99" s="1" t="n"/>
      <c r="E99" s="1" t="n"/>
      <c r="F99" s="1" t="n"/>
      <c r="G99" s="1" t="n"/>
      <c r="H99" s="1" t="n"/>
      <c r="I99" s="1" t="n"/>
      <c r="J99" s="1" t="n"/>
      <c r="K99" s="1" t="n"/>
      <c r="L99" s="1" t="n"/>
      <c r="M99" s="1" t="n"/>
      <c r="N99" s="1" t="n"/>
      <c r="O99" s="1" t="n"/>
    </row>
    <row r="100" ht="15.75" customHeight="1" s="216">
      <c r="A100" s="1" t="n"/>
      <c r="B100" s="246" t="inlineStr">
        <is>
          <t>Bug Severity</t>
        </is>
      </c>
      <c r="C100" s="220" t="n"/>
      <c r="D100" s="220" t="n"/>
      <c r="E100" s="218" t="n"/>
      <c r="F100" s="1" t="n"/>
      <c r="G100" s="1" t="n"/>
      <c r="H100" s="1" t="n"/>
      <c r="I100" s="1" t="n"/>
      <c r="J100" s="1" t="n"/>
      <c r="K100" s="1" t="n"/>
      <c r="L100" s="1" t="n"/>
      <c r="M100" s="1" t="n"/>
      <c r="N100" s="1" t="n"/>
      <c r="O100" s="1" t="n"/>
    </row>
    <row r="101" ht="15.75" customHeight="1" s="216">
      <c r="A101" s="1" t="n"/>
      <c r="B101" s="137" t="inlineStr">
        <is>
          <t>Mức độ</t>
        </is>
      </c>
      <c r="C101" s="137" t="inlineStr">
        <is>
          <t>Số lượng</t>
        </is>
      </c>
      <c r="D101" s="137" t="inlineStr">
        <is>
          <t>Thang điểm</t>
        </is>
      </c>
      <c r="E101" s="137" t="inlineStr">
        <is>
          <t>Tỷ lệ</t>
        </is>
      </c>
      <c r="F101" s="1" t="n"/>
      <c r="G101" s="1" t="n"/>
      <c r="H101" s="1" t="n"/>
      <c r="I101" s="1" t="n"/>
      <c r="J101" s="1" t="n"/>
      <c r="K101" s="1" t="n"/>
      <c r="L101" s="1" t="n"/>
      <c r="M101" s="1" t="n"/>
      <c r="N101" s="1" t="n"/>
      <c r="O101" s="1" t="n"/>
    </row>
    <row r="102" ht="15.75" customHeight="1" s="216">
      <c r="A102" s="1" t="n"/>
      <c r="B102" s="120" t="inlineStr">
        <is>
          <t>Critical Bug</t>
        </is>
      </c>
      <c r="C102" s="138">
        <f>COUNTIF('Bug Data'!$L:$L,20)</f>
        <v/>
      </c>
      <c r="D102" s="173" t="n">
        <v>20</v>
      </c>
      <c r="E102" s="175">
        <f>IFERROR(C102/$C$107,0)</f>
        <v/>
      </c>
      <c r="F102" s="1" t="n"/>
      <c r="G102" s="1" t="n"/>
      <c r="H102" s="1" t="n"/>
      <c r="I102" s="1" t="n"/>
      <c r="J102" s="1" t="n"/>
      <c r="K102" s="1" t="n"/>
      <c r="L102" s="1" t="n"/>
      <c r="M102" s="1" t="n"/>
      <c r="N102" s="1" t="n"/>
      <c r="O102" s="1" t="n"/>
    </row>
    <row r="103" ht="15.75" customHeight="1" s="216">
      <c r="A103" s="1" t="n"/>
      <c r="B103" s="120" t="inlineStr">
        <is>
          <t>Major Bug</t>
        </is>
      </c>
      <c r="C103" s="138">
        <f>COUNTIF('Bug Data'!$L:$L,10)</f>
        <v/>
      </c>
      <c r="D103" s="173" t="n">
        <v>10</v>
      </c>
      <c r="E103" s="175">
        <f>IFERROR(C103/$C$107,0)</f>
        <v/>
      </c>
      <c r="F103" s="1" t="n"/>
      <c r="G103" s="1" t="n"/>
      <c r="H103" s="1" t="n"/>
      <c r="I103" s="1" t="n"/>
      <c r="J103" s="1" t="n"/>
      <c r="K103" s="1" t="n"/>
      <c r="L103" s="1" t="n"/>
      <c r="M103" s="1" t="n"/>
      <c r="N103" s="1" t="n"/>
      <c r="O103" s="1" t="n"/>
    </row>
    <row r="104" ht="15.75" customHeight="1" s="216">
      <c r="A104" s="1" t="n"/>
      <c r="B104" s="120" t="inlineStr">
        <is>
          <t>Medium Bug</t>
        </is>
      </c>
      <c r="C104" s="138">
        <f>COUNTIF('Bug Data'!$L:$L,5)</f>
        <v/>
      </c>
      <c r="D104" s="173" t="n">
        <v>5</v>
      </c>
      <c r="E104" s="175">
        <f>IFERROR(C104/$C$107,0)</f>
        <v/>
      </c>
      <c r="F104" s="1" t="n"/>
      <c r="G104" s="1" t="n"/>
      <c r="H104" s="1" t="n"/>
      <c r="I104" s="1" t="n"/>
      <c r="J104" s="1" t="n"/>
      <c r="K104" s="1" t="n"/>
      <c r="L104" s="1" t="n"/>
      <c r="M104" s="1" t="n"/>
      <c r="N104" s="1" t="n"/>
      <c r="O104" s="1" t="n"/>
    </row>
    <row r="105" ht="15.75" customHeight="1" s="216">
      <c r="A105" s="1" t="n"/>
      <c r="B105" s="120" t="inlineStr">
        <is>
          <t>Low Bug</t>
        </is>
      </c>
      <c r="C105" s="138">
        <f>COUNTIF('Bug Data'!$L:$L,2)</f>
        <v/>
      </c>
      <c r="D105" s="173" t="n">
        <v>2</v>
      </c>
      <c r="E105" s="175">
        <f>IFERROR(C105/$C$107,0)</f>
        <v/>
      </c>
      <c r="F105" s="1" t="n"/>
      <c r="G105" s="1" t="n"/>
      <c r="H105" s="1" t="n"/>
      <c r="I105" s="1" t="n"/>
      <c r="J105" s="1" t="n"/>
      <c r="K105" s="1" t="n"/>
      <c r="L105" s="1" t="n"/>
      <c r="M105" s="1" t="n"/>
      <c r="N105" s="1" t="n"/>
      <c r="O105" s="1" t="n"/>
    </row>
    <row r="106" ht="15.75" customHeight="1" s="216">
      <c r="A106" s="1" t="n"/>
      <c r="B106" s="120" t="inlineStr">
        <is>
          <t>Suggest Bug</t>
        </is>
      </c>
      <c r="C106" s="138">
        <f>COUNTIF('Bug Data'!$L:$L,0)</f>
        <v/>
      </c>
      <c r="D106" s="173" t="n">
        <v>0</v>
      </c>
      <c r="E106" s="175">
        <f>IFERROR(C106/$C$107,0)</f>
        <v/>
      </c>
      <c r="F106" s="1" t="n"/>
      <c r="G106" s="1" t="n"/>
      <c r="H106" s="1" t="n"/>
      <c r="I106" s="1" t="n"/>
      <c r="J106" s="1" t="n"/>
      <c r="K106" s="1" t="n"/>
      <c r="L106" s="1" t="n"/>
      <c r="M106" s="1" t="n"/>
      <c r="N106" s="1" t="n"/>
      <c r="O106" s="1" t="n"/>
    </row>
    <row r="107" ht="15.75" customHeight="1" s="216">
      <c r="A107" s="1" t="n"/>
      <c r="B107" s="39" t="inlineStr">
        <is>
          <t>Total</t>
        </is>
      </c>
      <c r="C107" s="140">
        <f>SUM(C102:C106)</f>
        <v/>
      </c>
      <c r="D107" s="176" t="n"/>
      <c r="E107" s="177">
        <f>IFERROR(SUM(E102:E106),0)</f>
        <v/>
      </c>
      <c r="F107" s="1" t="n"/>
      <c r="G107" s="1" t="n"/>
      <c r="H107" s="1" t="n"/>
      <c r="I107" s="1" t="n"/>
      <c r="J107" s="1" t="n"/>
      <c r="K107" s="1" t="n"/>
      <c r="L107" s="1" t="n"/>
      <c r="M107" s="1" t="n"/>
      <c r="N107" s="1" t="n"/>
      <c r="O107" s="1" t="n"/>
    </row>
    <row r="108" ht="15.75" customHeight="1" s="216">
      <c r="A108" s="1" t="n"/>
      <c r="B108" s="37" t="inlineStr">
        <is>
          <t>Thang điểm: Critical=20, Major=10, Medium=5, Low=2.</t>
        </is>
      </c>
      <c r="F108" s="1" t="n"/>
      <c r="G108" s="1" t="n"/>
      <c r="H108" s="1" t="n"/>
      <c r="I108" s="1" t="n"/>
      <c r="J108" s="1" t="n"/>
      <c r="K108" s="1" t="n"/>
      <c r="L108" s="1" t="n"/>
      <c r="M108" s="1" t="n"/>
      <c r="N108" s="1" t="n"/>
      <c r="O108" s="1" t="n"/>
    </row>
    <row r="109" ht="15.75" customHeight="1" s="216">
      <c r="A109" s="1" t="n"/>
      <c r="B109" s="1" t="n"/>
      <c r="C109" s="1" t="n"/>
      <c r="D109" s="1" t="n"/>
      <c r="E109" s="1" t="n"/>
      <c r="F109" s="1" t="n"/>
      <c r="G109" s="1" t="n"/>
      <c r="H109" s="1" t="n"/>
      <c r="I109" s="1" t="n"/>
      <c r="J109" s="1" t="n"/>
      <c r="K109" s="1" t="n"/>
      <c r="L109" s="1" t="n"/>
      <c r="M109" s="1" t="n"/>
      <c r="N109" s="1" t="n"/>
      <c r="O109" s="1" t="n"/>
    </row>
    <row r="110" ht="15.75" customHeight="1" s="216">
      <c r="A110" s="1" t="n"/>
      <c r="B110" s="1" t="n"/>
      <c r="C110" s="1" t="n"/>
      <c r="D110" s="1" t="n"/>
      <c r="E110" s="1" t="n"/>
      <c r="F110" s="1" t="n"/>
      <c r="G110" s="1" t="n"/>
      <c r="H110" s="1" t="n"/>
      <c r="I110" s="1" t="n"/>
      <c r="J110" s="1" t="n"/>
      <c r="K110" s="1" t="n"/>
      <c r="L110" s="1" t="n"/>
      <c r="M110" s="1" t="n"/>
      <c r="N110" s="1" t="n"/>
      <c r="O110" s="1" t="n"/>
    </row>
    <row r="111" ht="15.75" customHeight="1" s="216">
      <c r="A111" s="1" t="n"/>
      <c r="B111" s="1" t="n"/>
      <c r="C111" s="1" t="n"/>
      <c r="D111" s="1" t="n"/>
      <c r="E111" s="1" t="n"/>
      <c r="F111" s="1" t="n"/>
      <c r="G111" s="1" t="n"/>
      <c r="H111" s="1" t="n"/>
      <c r="I111" s="1" t="n"/>
      <c r="J111" s="1" t="n"/>
      <c r="K111" s="1" t="n"/>
      <c r="L111" s="1" t="n"/>
      <c r="M111" s="1" t="n"/>
      <c r="N111" s="1" t="n"/>
      <c r="O111" s="1" t="n"/>
    </row>
    <row r="112" ht="15.75" customHeight="1" s="216">
      <c r="A112" s="1" t="n"/>
      <c r="B112" s="1" t="n"/>
      <c r="C112" s="1" t="n"/>
      <c r="D112" s="1" t="n"/>
      <c r="E112" s="1" t="n"/>
      <c r="F112" s="1" t="n"/>
      <c r="G112" s="1" t="n"/>
      <c r="H112" s="1" t="n"/>
      <c r="I112" s="1" t="n"/>
      <c r="J112" s="1" t="n"/>
      <c r="K112" s="1" t="n"/>
      <c r="L112" s="1" t="n"/>
      <c r="M112" s="1" t="n"/>
      <c r="N112" s="1" t="n"/>
      <c r="O112" s="1" t="n"/>
    </row>
    <row r="113" ht="15.75" customHeight="1" s="216">
      <c r="A113" s="1" t="n"/>
      <c r="B113" s="1" t="n"/>
      <c r="C113" s="1" t="n"/>
      <c r="D113" s="1" t="n"/>
      <c r="E113" s="1" t="n"/>
      <c r="F113" s="1" t="n"/>
      <c r="G113" s="1" t="n"/>
      <c r="H113" s="1" t="n"/>
      <c r="I113" s="1" t="n"/>
      <c r="J113" s="1" t="n"/>
      <c r="K113" s="1" t="n"/>
      <c r="L113" s="1" t="n"/>
      <c r="M113" s="1" t="n"/>
      <c r="N113" s="1" t="n"/>
      <c r="O113" s="1" t="n"/>
    </row>
    <row r="114" ht="15.75" customHeight="1" s="216">
      <c r="A114" s="1" t="n"/>
      <c r="B114" s="1" t="n"/>
      <c r="C114" s="1" t="n"/>
      <c r="D114" s="1" t="n"/>
      <c r="E114" s="1" t="n"/>
      <c r="F114" s="1" t="n"/>
      <c r="G114" s="1" t="n"/>
      <c r="H114" s="1" t="n"/>
      <c r="I114" s="1" t="n"/>
      <c r="J114" s="1" t="n"/>
      <c r="K114" s="1" t="n"/>
      <c r="L114" s="1" t="n"/>
      <c r="M114" s="1" t="n"/>
      <c r="N114" s="1" t="n"/>
      <c r="O114" s="1" t="n"/>
    </row>
    <row r="115" ht="15.75" customHeight="1" s="216">
      <c r="A115" s="1" t="n"/>
      <c r="B115" s="1" t="n"/>
      <c r="C115" s="1" t="n"/>
      <c r="D115" s="1" t="n"/>
      <c r="E115" s="1" t="n"/>
      <c r="F115" s="1" t="n"/>
      <c r="G115" s="1" t="n"/>
      <c r="H115" s="1" t="n"/>
      <c r="I115" s="1" t="n"/>
      <c r="J115" s="1" t="n"/>
      <c r="K115" s="1" t="n"/>
      <c r="L115" s="1" t="n"/>
      <c r="M115" s="1" t="n"/>
      <c r="N115" s="1" t="n"/>
      <c r="O115" s="1" t="n"/>
    </row>
    <row r="116" ht="15.75" customHeight="1" s="216">
      <c r="A116" s="1" t="n"/>
      <c r="B116" s="245" t="inlineStr">
        <is>
          <t>PHẦN B — CHI TIẾT QC</t>
        </is>
      </c>
      <c r="C116" s="220" t="n"/>
      <c r="D116" s="220" t="n"/>
      <c r="E116" s="220" t="n"/>
      <c r="F116" s="220" t="n"/>
      <c r="G116" s="220" t="n"/>
      <c r="H116" s="220" t="n"/>
      <c r="I116" s="218" t="n"/>
      <c r="J116" s="1" t="n"/>
      <c r="K116" s="1" t="n"/>
      <c r="L116" s="1" t="n"/>
      <c r="M116" s="1" t="n"/>
      <c r="N116" s="1" t="n"/>
      <c r="O116" s="1" t="n"/>
    </row>
    <row r="117" ht="15.75" customHeight="1" s="216">
      <c r="A117" s="1" t="n"/>
      <c r="B117" s="1" t="n"/>
      <c r="C117" s="1" t="n"/>
      <c r="D117" s="1" t="n"/>
      <c r="E117" s="1" t="n"/>
      <c r="F117" s="1" t="n"/>
      <c r="G117" s="1" t="n"/>
      <c r="H117" s="1" t="n"/>
      <c r="I117" s="1" t="n"/>
      <c r="J117" s="1" t="n"/>
      <c r="K117" s="1" t="n"/>
      <c r="L117" s="1" t="n"/>
      <c r="M117" s="1" t="n"/>
      <c r="N117" s="1" t="n"/>
      <c r="O117" s="1" t="n"/>
    </row>
    <row r="118" ht="15.75" customHeight="1" s="216">
      <c r="A118" s="1" t="n"/>
      <c r="B118" s="135" t="inlineStr">
        <is>
          <t>4. Bug Resolution</t>
        </is>
      </c>
      <c r="C118" s="1" t="n"/>
      <c r="D118" s="1" t="n"/>
      <c r="E118" s="1" t="n"/>
      <c r="F118" s="1" t="n"/>
      <c r="G118" s="1" t="n"/>
      <c r="H118" s="1" t="n"/>
      <c r="I118" s="1" t="n"/>
      <c r="J118" s="1" t="n"/>
      <c r="K118" s="1" t="n"/>
      <c r="L118" s="1" t="n"/>
      <c r="M118" s="1" t="n"/>
      <c r="N118" s="1" t="n"/>
      <c r="O118" s="1" t="n"/>
    </row>
    <row r="119" ht="15.75" customHeight="1" s="216">
      <c r="A119" s="1" t="n"/>
      <c r="B119" s="246" t="inlineStr">
        <is>
          <t>Bug Resolution</t>
        </is>
      </c>
      <c r="C119" s="220" t="n"/>
      <c r="D119" s="218" t="n"/>
      <c r="E119" s="1" t="n"/>
      <c r="F119" s="1" t="n"/>
      <c r="G119" s="1" t="n"/>
      <c r="H119" s="1" t="n"/>
      <c r="I119" s="1" t="n"/>
      <c r="J119" s="1" t="n"/>
      <c r="K119" s="1" t="n"/>
      <c r="L119" s="1" t="n"/>
      <c r="M119" s="1" t="n"/>
      <c r="N119" s="1" t="n"/>
      <c r="O119" s="1" t="n"/>
    </row>
    <row r="120" ht="15.75" customHeight="1" s="216">
      <c r="A120" s="1" t="n"/>
      <c r="B120" s="137" t="inlineStr">
        <is>
          <t>Resolution</t>
        </is>
      </c>
      <c r="C120" s="137" t="inlineStr">
        <is>
          <t>Số lượng</t>
        </is>
      </c>
      <c r="D120" s="137" t="inlineStr">
        <is>
          <t>Tỷ lệ</t>
        </is>
      </c>
      <c r="E120" s="1" t="n"/>
      <c r="F120" s="1" t="n"/>
      <c r="G120" s="1" t="n"/>
      <c r="H120" s="1" t="n"/>
      <c r="I120" s="1" t="n"/>
      <c r="J120" s="1" t="n"/>
      <c r="K120" s="1" t="n"/>
      <c r="L120" s="1" t="n"/>
      <c r="M120" s="1" t="n"/>
      <c r="N120" s="1" t="n"/>
      <c r="O120" s="1" t="n"/>
    </row>
    <row r="121" ht="15.75" customHeight="1" s="216">
      <c r="A121" s="1" t="n"/>
      <c r="B121" s="120" t="inlineStr">
        <is>
          <t>Fixed</t>
        </is>
      </c>
      <c r="C121" s="138">
        <f>COUNTIF('Bug Data'!$O:$O,$B121)</f>
        <v/>
      </c>
      <c r="D121" s="175">
        <f>IFERROR(C121/$C$124,0)</f>
        <v/>
      </c>
      <c r="E121" s="1" t="n"/>
      <c r="F121" s="1" t="n"/>
      <c r="G121" s="1" t="n"/>
      <c r="H121" s="1" t="n"/>
      <c r="I121" s="1" t="n"/>
      <c r="J121" s="1" t="n"/>
      <c r="K121" s="1" t="n"/>
      <c r="L121" s="1" t="n"/>
      <c r="M121" s="1" t="n"/>
      <c r="N121" s="1" t="n"/>
      <c r="O121" s="1" t="n"/>
    </row>
    <row r="122" ht="15.75" customHeight="1" s="216">
      <c r="A122" s="1" t="n"/>
      <c r="B122" s="120" t="inlineStr">
        <is>
          <t>Won't fix</t>
        </is>
      </c>
      <c r="C122" s="138">
        <f>COUNTIF('Bug Data'!$O:$O,$B122)</f>
        <v/>
      </c>
      <c r="D122" s="175">
        <f>IFERROR(C122/$C$124,0)</f>
        <v/>
      </c>
      <c r="E122" s="1" t="n"/>
      <c r="F122" s="1" t="n"/>
      <c r="G122" s="1" t="n"/>
      <c r="H122" s="1" t="n"/>
      <c r="I122" s="1" t="n"/>
      <c r="J122" s="1" t="n"/>
      <c r="K122" s="1" t="n"/>
      <c r="L122" s="1" t="n"/>
      <c r="M122" s="1" t="n"/>
      <c r="N122" s="1" t="n"/>
      <c r="O122" s="1" t="n"/>
    </row>
    <row r="123" ht="15.75" customHeight="1" s="216">
      <c r="A123" s="1" t="n"/>
      <c r="B123" s="120" t="inlineStr">
        <is>
          <t>Chưa xác định</t>
        </is>
      </c>
      <c r="C123" s="138">
        <f>COUNTIFS('Bug Data'!$A:$A, "&lt;&gt;", 'Bug Data'!$O:$O, "")</f>
        <v/>
      </c>
      <c r="D123" s="175">
        <f>IFERROR(C123/$C$124,0)</f>
        <v/>
      </c>
      <c r="E123" s="1" t="n"/>
      <c r="F123" s="1" t="n"/>
      <c r="G123" s="1" t="n"/>
      <c r="H123" s="1" t="n"/>
      <c r="I123" s="1" t="n"/>
      <c r="J123" s="1" t="n"/>
      <c r="K123" s="1" t="n"/>
      <c r="L123" s="1" t="n"/>
      <c r="M123" s="1" t="n"/>
      <c r="N123" s="1" t="n"/>
      <c r="O123" s="1" t="n"/>
    </row>
    <row r="124" ht="15.75" customHeight="1" s="216">
      <c r="A124" s="1" t="n"/>
      <c r="B124" s="39" t="inlineStr">
        <is>
          <t>Total</t>
        </is>
      </c>
      <c r="C124" s="140">
        <f>SUM(C121:C123)</f>
        <v/>
      </c>
      <c r="D124" s="177">
        <f>IFERROR(SUM(D121:D123),0)</f>
        <v/>
      </c>
      <c r="E124" s="1" t="n"/>
      <c r="F124" s="1" t="n"/>
      <c r="G124" s="1" t="n"/>
      <c r="H124" s="1" t="n"/>
      <c r="I124" s="1" t="n"/>
      <c r="J124" s="1" t="n"/>
      <c r="K124" s="1" t="n"/>
      <c r="L124" s="1" t="n"/>
      <c r="M124" s="1" t="n"/>
      <c r="N124" s="1" t="n"/>
      <c r="O124" s="1" t="n"/>
    </row>
    <row r="125" ht="15.75" customHeight="1" s="216">
      <c r="A125" s="1" t="n"/>
      <c r="B125" s="1" t="n"/>
      <c r="C125" s="1" t="n"/>
      <c r="D125" s="1" t="n"/>
      <c r="E125" s="1" t="n"/>
      <c r="F125" s="1" t="n"/>
      <c r="G125" s="1" t="n"/>
      <c r="H125" s="1" t="n"/>
      <c r="I125" s="1" t="n"/>
      <c r="J125" s="1" t="n"/>
      <c r="K125" s="1" t="n"/>
      <c r="L125" s="1" t="n"/>
      <c r="M125" s="1" t="n"/>
      <c r="N125" s="1" t="n"/>
      <c r="O125" s="1" t="n"/>
    </row>
    <row r="126" ht="15.75" customHeight="1" s="216">
      <c r="A126" s="1" t="n"/>
      <c r="B126" s="1" t="n"/>
      <c r="C126" s="1" t="n"/>
      <c r="D126" s="1" t="n"/>
      <c r="E126" s="1" t="n"/>
      <c r="F126" s="1" t="n"/>
      <c r="G126" s="1" t="n"/>
      <c r="H126" s="1" t="n"/>
      <c r="I126" s="1" t="n"/>
      <c r="J126" s="1" t="n"/>
      <c r="K126" s="1" t="n"/>
      <c r="L126" s="1" t="n"/>
      <c r="M126" s="1" t="n"/>
      <c r="N126" s="1" t="n"/>
      <c r="O126" s="1" t="n"/>
    </row>
    <row r="127" ht="15.75" customHeight="1" s="216">
      <c r="A127" s="1" t="n"/>
      <c r="B127" s="1" t="n"/>
      <c r="C127" s="1" t="n"/>
      <c r="D127" s="1" t="n"/>
      <c r="E127" s="1" t="n"/>
      <c r="F127" s="1" t="n"/>
      <c r="G127" s="1" t="n"/>
      <c r="H127" s="1" t="n"/>
      <c r="I127" s="1" t="n"/>
      <c r="J127" s="1" t="n"/>
      <c r="K127" s="1" t="n"/>
      <c r="L127" s="1" t="n"/>
      <c r="M127" s="1" t="n"/>
      <c r="N127" s="1" t="n"/>
      <c r="O127" s="1" t="n"/>
    </row>
    <row r="128" ht="15.75" customHeight="1" s="216">
      <c r="A128" s="1" t="n"/>
      <c r="B128" s="1" t="n"/>
      <c r="C128" s="1" t="n"/>
      <c r="D128" s="1" t="n"/>
      <c r="E128" s="1" t="n"/>
      <c r="F128" s="1" t="n"/>
      <c r="G128" s="1" t="n"/>
      <c r="H128" s="1" t="n"/>
      <c r="I128" s="1" t="n"/>
      <c r="J128" s="1" t="n"/>
      <c r="K128" s="1" t="n"/>
      <c r="L128" s="1" t="n"/>
      <c r="M128" s="1" t="n"/>
      <c r="N128" s="1" t="n"/>
      <c r="O128" s="1" t="n"/>
    </row>
    <row r="129" ht="15.75" customHeight="1" s="216">
      <c r="A129" s="1" t="n"/>
      <c r="B129" s="1" t="n"/>
      <c r="C129" s="1" t="n"/>
      <c r="D129" s="1" t="n"/>
      <c r="E129" s="1" t="n"/>
      <c r="F129" s="1" t="n"/>
      <c r="G129" s="1" t="n"/>
      <c r="H129" s="1" t="n"/>
      <c r="I129" s="1" t="n"/>
      <c r="J129" s="1" t="n"/>
      <c r="K129" s="1" t="n"/>
      <c r="L129" s="1" t="n"/>
      <c r="M129" s="1" t="n"/>
      <c r="N129" s="1" t="n"/>
      <c r="O129" s="1" t="n"/>
    </row>
    <row r="130" ht="15.75" customHeight="1" s="216">
      <c r="A130" s="1" t="n"/>
      <c r="B130" s="1" t="n"/>
      <c r="C130" s="1" t="n"/>
      <c r="D130" s="1" t="n"/>
      <c r="E130" s="1" t="n"/>
      <c r="F130" s="1" t="n"/>
      <c r="G130" s="1" t="n"/>
      <c r="H130" s="1" t="n"/>
      <c r="I130" s="1" t="n"/>
      <c r="J130" s="1" t="n"/>
      <c r="K130" s="1" t="n"/>
      <c r="L130" s="1" t="n"/>
      <c r="M130" s="1" t="n"/>
      <c r="N130" s="1" t="n"/>
      <c r="O130" s="1" t="n"/>
    </row>
    <row r="131" ht="15.75" customHeight="1" s="216">
      <c r="A131" s="1" t="n"/>
      <c r="B131" s="1" t="n"/>
      <c r="C131" s="1" t="n"/>
      <c r="D131" s="1" t="n"/>
      <c r="E131" s="1" t="n"/>
      <c r="F131" s="1" t="n"/>
      <c r="G131" s="1" t="n"/>
      <c r="H131" s="1" t="n"/>
      <c r="I131" s="1" t="n"/>
      <c r="J131" s="1" t="n"/>
      <c r="K131" s="1" t="n"/>
      <c r="L131" s="1" t="n"/>
      <c r="M131" s="1" t="n"/>
      <c r="N131" s="1" t="n"/>
      <c r="O131" s="1" t="n"/>
    </row>
    <row r="132" ht="15.75" customHeight="1" s="216">
      <c r="A132" s="1" t="n"/>
      <c r="B132" s="1" t="n"/>
      <c r="C132" s="1" t="n"/>
      <c r="D132" s="1" t="n"/>
      <c r="E132" s="1" t="n"/>
      <c r="F132" s="1" t="n"/>
      <c r="G132" s="1" t="n"/>
      <c r="H132" s="1" t="n"/>
      <c r="I132" s="1" t="n"/>
      <c r="J132" s="1" t="n"/>
      <c r="K132" s="1" t="n"/>
      <c r="L132" s="1" t="n"/>
      <c r="M132" s="1" t="n"/>
      <c r="N132" s="1" t="n"/>
      <c r="O132" s="1" t="n"/>
    </row>
    <row r="133" ht="15.75" customHeight="1" s="216">
      <c r="A133" s="1" t="n"/>
      <c r="B133" s="1" t="n"/>
      <c r="C133" s="1" t="n"/>
      <c r="D133" s="1" t="n"/>
      <c r="E133" s="1" t="n"/>
      <c r="F133" s="1" t="n"/>
      <c r="G133" s="1" t="n"/>
      <c r="H133" s="1" t="n"/>
      <c r="I133" s="1" t="n"/>
      <c r="J133" s="1" t="n"/>
      <c r="K133" s="1" t="n"/>
      <c r="L133" s="1" t="n"/>
      <c r="M133" s="1" t="n"/>
      <c r="N133" s="1" t="n"/>
      <c r="O133" s="1" t="n"/>
    </row>
    <row r="134" ht="15.75" customHeight="1" s="216">
      <c r="A134" s="1" t="n"/>
      <c r="B134" s="1" t="n"/>
      <c r="C134" s="1" t="n"/>
      <c r="D134" s="1" t="n"/>
      <c r="E134" s="1" t="n"/>
      <c r="F134" s="1" t="n"/>
      <c r="G134" s="1" t="n"/>
      <c r="H134" s="1" t="n"/>
      <c r="I134" s="1" t="n"/>
      <c r="J134" s="1" t="n"/>
      <c r="K134" s="1" t="n"/>
      <c r="L134" s="1" t="n"/>
      <c r="M134" s="1" t="n"/>
      <c r="N134" s="1" t="n"/>
      <c r="O134" s="1" t="n"/>
    </row>
    <row r="135" ht="15.75" customHeight="1" s="216">
      <c r="A135" s="1" t="n"/>
      <c r="B135" s="135" t="inlineStr">
        <is>
          <t>5. Bug Won't fix By Reason</t>
        </is>
      </c>
      <c r="C135" s="1" t="n"/>
      <c r="D135" s="1" t="n"/>
      <c r="E135" s="1" t="n"/>
      <c r="F135" s="1" t="n"/>
      <c r="G135" s="1" t="n"/>
      <c r="H135" s="1" t="n"/>
      <c r="I135" s="1" t="n"/>
      <c r="J135" s="1" t="n"/>
      <c r="K135" s="1" t="n"/>
      <c r="L135" s="1" t="n"/>
      <c r="M135" s="1" t="n"/>
      <c r="N135" s="1" t="n"/>
      <c r="O135" s="1" t="n"/>
    </row>
    <row r="136" ht="15.75" customHeight="1" s="216">
      <c r="A136" s="1" t="n"/>
      <c r="B136" s="246" t="inlineStr">
        <is>
          <t>Bug Won't fix By Reason</t>
        </is>
      </c>
      <c r="C136" s="220" t="n"/>
      <c r="D136" s="220" t="n"/>
      <c r="E136" s="218" t="n"/>
      <c r="F136" s="1" t="n"/>
      <c r="G136" s="1" t="n"/>
      <c r="H136" s="1" t="n"/>
      <c r="I136" s="1" t="n"/>
      <c r="J136" s="1" t="n"/>
      <c r="K136" s="1" t="n"/>
      <c r="L136" s="1" t="n"/>
      <c r="M136" s="1" t="n"/>
      <c r="N136" s="1" t="n"/>
      <c r="O136" s="1" t="n"/>
    </row>
    <row r="137" ht="15.75" customHeight="1" s="216">
      <c r="A137" s="1" t="n"/>
      <c r="B137" s="137" t="inlineStr">
        <is>
          <t>Mã</t>
        </is>
      </c>
      <c r="C137" s="137" t="inlineStr">
        <is>
          <t>Lý do</t>
        </is>
      </c>
      <c r="D137" s="218" t="n"/>
      <c r="E137" s="137" t="inlineStr">
        <is>
          <t>Số lượng</t>
        </is>
      </c>
      <c r="F137" s="1" t="n"/>
      <c r="G137" s="1" t="n"/>
      <c r="H137" s="1" t="n"/>
      <c r="I137" s="1" t="n"/>
      <c r="J137" s="1" t="n"/>
      <c r="K137" s="1" t="n"/>
      <c r="L137" s="1" t="n"/>
      <c r="M137" s="1" t="n"/>
      <c r="N137" s="1" t="n"/>
      <c r="O137" s="1" t="n"/>
    </row>
    <row r="138" ht="15.75" customHeight="1" s="216">
      <c r="A138" s="1" t="n"/>
      <c r="B138" s="183" t="inlineStr">
        <is>
          <t>1.1</t>
        </is>
      </c>
      <c r="C138" s="174" t="inlineStr">
        <is>
          <t>QC miss thông tin/ nghiệp vụ</t>
        </is>
      </c>
      <c r="D138" s="218" t="n"/>
      <c r="E138" s="138">
        <f>COUNTIF('Bug Data'!$P:$P,$B138&amp;" "&amp;$C138)</f>
        <v/>
      </c>
      <c r="F138" s="1" t="n"/>
      <c r="G138" s="1" t="n"/>
      <c r="H138" s="1" t="n"/>
      <c r="I138" s="1" t="n"/>
      <c r="J138" s="1" t="n"/>
      <c r="K138" s="1" t="n"/>
      <c r="L138" s="1" t="n"/>
      <c r="M138" s="1" t="n"/>
      <c r="N138" s="1" t="n"/>
      <c r="O138" s="1" t="n"/>
    </row>
    <row r="139" ht="15.75" customHeight="1" s="216">
      <c r="A139" s="1" t="n"/>
      <c r="B139" s="183" t="inlineStr">
        <is>
          <t>1.2</t>
        </is>
      </c>
      <c r="C139" s="174" t="inlineStr">
        <is>
          <t>QC post trùng bug</t>
        </is>
      </c>
      <c r="D139" s="218" t="n"/>
      <c r="E139" s="138">
        <f>COUNTIF('Bug Data'!$P:$P,$B139&amp;" "&amp;$C139)</f>
        <v/>
      </c>
      <c r="F139" s="1" t="n"/>
      <c r="G139" s="1" t="n"/>
      <c r="H139" s="1" t="n"/>
      <c r="I139" s="1" t="n"/>
      <c r="J139" s="1" t="n"/>
      <c r="K139" s="1" t="n"/>
      <c r="L139" s="1" t="n"/>
      <c r="M139" s="1" t="n"/>
      <c r="N139" s="1" t="n"/>
      <c r="O139" s="1" t="n"/>
    </row>
    <row r="140" ht="15.75" customHeight="1" s="216">
      <c r="A140" s="1" t="n"/>
      <c r="B140" s="183" t="inlineStr">
        <is>
          <t>1.3</t>
        </is>
      </c>
      <c r="C140" s="174" t="inlineStr">
        <is>
          <t>QC không tái hiện được Bug</t>
        </is>
      </c>
      <c r="D140" s="218" t="n"/>
      <c r="E140" s="138">
        <f>COUNTIF('Bug Data'!$P:$P,$B140&amp;" "&amp;$C140)</f>
        <v/>
      </c>
      <c r="F140" s="1" t="n"/>
      <c r="G140" s="1" t="n"/>
      <c r="H140" s="1" t="n"/>
      <c r="I140" s="1" t="n"/>
      <c r="J140" s="1" t="n"/>
      <c r="K140" s="1" t="n"/>
      <c r="L140" s="1" t="n"/>
      <c r="M140" s="1" t="n"/>
      <c r="N140" s="1" t="n"/>
      <c r="O140" s="1" t="n"/>
    </row>
    <row r="141" ht="15.75" customHeight="1" s="216">
      <c r="A141" s="1" t="n"/>
      <c r="B141" s="183" t="inlineStr">
        <is>
          <t>2.1</t>
        </is>
      </c>
      <c r="C141" s="174" t="inlineStr">
        <is>
          <t>BA miss luồng</t>
        </is>
      </c>
      <c r="D141" s="218" t="n"/>
      <c r="E141" s="138">
        <f>COUNTIF('Bug Data'!$P:$P,$B141&amp;" "&amp;$C141)</f>
        <v/>
      </c>
      <c r="F141" s="1" t="n"/>
      <c r="G141" s="1" t="n"/>
      <c r="H141" s="1" t="n"/>
      <c r="I141" s="1" t="n"/>
      <c r="J141" s="1" t="n"/>
      <c r="K141" s="1" t="n"/>
      <c r="L141" s="1" t="n"/>
      <c r="M141" s="1" t="n"/>
      <c r="N141" s="1" t="n"/>
      <c r="O141" s="1" t="n"/>
    </row>
    <row r="142" ht="15.75" customHeight="1" s="216">
      <c r="A142" s="1" t="n"/>
      <c r="B142" s="183" t="inlineStr">
        <is>
          <t>2.2</t>
        </is>
      </c>
      <c r="C142" s="174" t="inlineStr">
        <is>
          <t>BA thiếu/ sai nghiệp vụ</t>
        </is>
      </c>
      <c r="D142" s="218" t="n"/>
      <c r="E142" s="138">
        <f>COUNTIF('Bug Data'!$P:$P,$B142&amp;" "&amp;$C142)</f>
        <v/>
      </c>
      <c r="F142" s="1" t="n"/>
      <c r="G142" s="1" t="n"/>
      <c r="H142" s="1" t="n"/>
      <c r="I142" s="1" t="n"/>
      <c r="J142" s="1" t="n"/>
      <c r="K142" s="1" t="n"/>
      <c r="L142" s="1" t="n"/>
      <c r="M142" s="1" t="n"/>
      <c r="N142" s="1" t="n"/>
      <c r="O142" s="1" t="n"/>
    </row>
    <row r="143" ht="15.75" customHeight="1" s="216">
      <c r="A143" s="1" t="n"/>
      <c r="B143" s="183" t="inlineStr">
        <is>
          <t>3.1</t>
        </is>
      </c>
      <c r="C143" s="174" t="inlineStr">
        <is>
          <t>Dev không sửa do Ngoài scope dự án</t>
        </is>
      </c>
      <c r="D143" s="218" t="n"/>
      <c r="E143" s="138">
        <f>COUNTIF('Bug Data'!$P:$P,$B143&amp;" "&amp;$C143)</f>
        <v/>
      </c>
      <c r="F143" s="1" t="n"/>
      <c r="G143" s="1" t="n"/>
      <c r="H143" s="1" t="n"/>
      <c r="I143" s="1" t="n"/>
      <c r="J143" s="1" t="n"/>
      <c r="K143" s="1" t="n"/>
      <c r="L143" s="1" t="n"/>
      <c r="M143" s="1" t="n"/>
      <c r="N143" s="1" t="n"/>
      <c r="O143" s="1" t="n"/>
    </row>
    <row r="144" ht="15.75" customHeight="1" s="216">
      <c r="A144" s="1" t="n"/>
      <c r="B144" s="183" t="inlineStr">
        <is>
          <t>3.2</t>
        </is>
      </c>
      <c r="C144" s="174" t="inlineStr">
        <is>
          <t>Dev không fix do Phụ thuộc thông tin các bên liên quan ngoài ISC</t>
        </is>
      </c>
      <c r="D144" s="218" t="n"/>
      <c r="E144" s="138">
        <f>COUNTIF('Bug Data'!$P:$P,$B144&amp;" "&amp;$C144)</f>
        <v/>
      </c>
      <c r="F144" s="1" t="n"/>
      <c r="G144" s="1" t="n"/>
      <c r="H144" s="1" t="n"/>
      <c r="I144" s="1" t="n"/>
      <c r="J144" s="1" t="n"/>
      <c r="K144" s="1" t="n"/>
      <c r="L144" s="1" t="n"/>
      <c r="M144" s="1" t="n"/>
      <c r="N144" s="1" t="n"/>
      <c r="O144" s="1" t="n"/>
    </row>
    <row r="145" ht="15.75" customHeight="1" s="216">
      <c r="A145" s="1" t="n"/>
      <c r="B145" s="183" t="inlineStr">
        <is>
          <t>3.3</t>
        </is>
      </c>
      <c r="C145" s="174" t="inlineStr">
        <is>
          <t>Dev không fix do Điều kiện test không đáp ứng (Môi trường, cấu hình, dữ liệu, thiết bị,...)</t>
        </is>
      </c>
      <c r="D145" s="218" t="n"/>
      <c r="E145" s="138">
        <f>COUNTIF('Bug Data'!$P:$P,$B145&amp;" "&amp;$C145)</f>
        <v/>
      </c>
      <c r="F145" s="1" t="n"/>
      <c r="G145" s="1" t="n"/>
      <c r="H145" s="1" t="n"/>
      <c r="I145" s="1" t="n"/>
      <c r="J145" s="1" t="n"/>
      <c r="K145" s="1" t="n"/>
      <c r="L145" s="1" t="n"/>
      <c r="M145" s="1" t="n"/>
      <c r="N145" s="1" t="n"/>
      <c r="O145" s="1" t="n"/>
    </row>
    <row r="146" ht="15.75" customHeight="1" s="216">
      <c r="A146" s="1" t="n"/>
      <c r="B146" s="183" t="inlineStr">
        <is>
          <t>3.4</t>
        </is>
      </c>
      <c r="C146" s="174" t="inlineStr">
        <is>
          <t>Dev miss thông tin</t>
        </is>
      </c>
      <c r="D146" s="218" t="n"/>
      <c r="E146" s="138">
        <f>COUNTIF('Bug Data'!$P:$P,$B146&amp;" "&amp;$C146)</f>
        <v/>
      </c>
      <c r="F146" s="1" t="n"/>
      <c r="G146" s="1" t="n"/>
      <c r="H146" s="1" t="n"/>
      <c r="I146" s="1" t="n"/>
      <c r="J146" s="1" t="n"/>
      <c r="K146" s="1" t="n"/>
      <c r="L146" s="1" t="n"/>
      <c r="M146" s="1" t="n"/>
      <c r="N146" s="1" t="n"/>
      <c r="O146" s="1" t="n"/>
    </row>
    <row r="147" ht="15.75" customHeight="1" s="216">
      <c r="A147" s="1" t="n"/>
      <c r="B147" s="183" t="inlineStr">
        <is>
          <t>4.1</t>
        </is>
      </c>
      <c r="C147" s="174" t="inlineStr">
        <is>
          <t>PM/PMO CR, QC không nhận thông tin</t>
        </is>
      </c>
      <c r="D147" s="218" t="n"/>
      <c r="E147" s="138">
        <f>COUNTIF('Bug Data'!$P:$P,$B147&amp;" "&amp;$C147)</f>
        <v/>
      </c>
      <c r="F147" s="1" t="n"/>
      <c r="G147" s="1" t="n"/>
      <c r="H147" s="1" t="n"/>
      <c r="I147" s="1" t="n"/>
      <c r="J147" s="1" t="n"/>
      <c r="K147" s="1" t="n"/>
      <c r="L147" s="1" t="n"/>
      <c r="M147" s="1" t="n"/>
      <c r="N147" s="1" t="n"/>
      <c r="O147" s="1" t="n"/>
    </row>
    <row r="148" ht="15.75" customHeight="1" s="216">
      <c r="A148" s="1" t="n"/>
      <c r="B148" s="183" t="inlineStr">
        <is>
          <t>Total</t>
        </is>
      </c>
      <c r="C148" s="174" t="n"/>
      <c r="D148" s="218" t="n"/>
      <c r="E148" s="138">
        <f>SUM(E138:E147)</f>
        <v/>
      </c>
      <c r="F148" s="1" t="n"/>
      <c r="G148" s="1" t="n"/>
      <c r="H148" s="1" t="n"/>
      <c r="I148" s="1" t="n"/>
      <c r="J148" s="1" t="n"/>
      <c r="K148" s="1" t="n"/>
      <c r="L148" s="1" t="n"/>
      <c r="M148" s="1" t="n"/>
      <c r="N148" s="1" t="n"/>
      <c r="O148" s="1" t="n"/>
    </row>
    <row r="149" ht="15.75" customHeight="1" s="216">
      <c r="A149" s="1" t="n"/>
      <c r="B149" s="1" t="n"/>
      <c r="C149" s="1" t="n"/>
      <c r="D149" s="1" t="n"/>
      <c r="E149" s="1" t="n"/>
      <c r="F149" s="1" t="n"/>
      <c r="G149" s="1" t="n"/>
      <c r="H149" s="1" t="n"/>
      <c r="I149" s="1" t="n"/>
      <c r="J149" s="1" t="n"/>
      <c r="K149" s="1" t="n"/>
      <c r="L149" s="1" t="n"/>
      <c r="M149" s="1" t="n"/>
      <c r="N149" s="1" t="n"/>
      <c r="O149" s="1" t="n"/>
    </row>
    <row r="150" ht="15.75" customHeight="1" s="216">
      <c r="A150" s="1" t="n"/>
      <c r="B150" s="1" t="n"/>
      <c r="C150" s="1" t="n"/>
      <c r="D150" s="1" t="n"/>
      <c r="E150" s="1" t="n"/>
      <c r="F150" s="1" t="n"/>
      <c r="G150" s="1" t="n"/>
      <c r="H150" s="1" t="n"/>
      <c r="I150" s="1" t="n"/>
      <c r="J150" s="1" t="n"/>
      <c r="K150" s="1" t="n"/>
      <c r="L150" s="1" t="n"/>
      <c r="M150" s="1" t="n"/>
      <c r="N150" s="1" t="n"/>
      <c r="O150" s="1" t="n"/>
    </row>
    <row r="151" ht="15.75" customHeight="1" s="216">
      <c r="A151" s="1" t="n"/>
      <c r="B151" s="135" t="inlineStr">
        <is>
          <t>6. Defect Type</t>
        </is>
      </c>
      <c r="C151" s="1" t="n"/>
      <c r="D151" s="1" t="n"/>
      <c r="E151" s="1" t="n"/>
      <c r="F151" s="1" t="n"/>
      <c r="G151" s="1" t="n"/>
      <c r="H151" s="1" t="n"/>
      <c r="I151" s="1" t="n"/>
      <c r="J151" s="1" t="n"/>
      <c r="K151" s="1" t="n"/>
      <c r="L151" s="1" t="n"/>
      <c r="M151" s="1" t="n"/>
      <c r="N151" s="1" t="n"/>
      <c r="O151" s="1" t="n"/>
    </row>
    <row r="152" ht="15.75" customHeight="1" s="216">
      <c r="A152" s="1" t="n"/>
      <c r="B152" s="246" t="inlineStr">
        <is>
          <t>Defect Type</t>
        </is>
      </c>
      <c r="C152" s="218" t="n"/>
      <c r="D152" s="1" t="n"/>
      <c r="E152" s="1" t="n"/>
      <c r="F152" s="1" t="n"/>
      <c r="G152" s="1" t="n"/>
      <c r="H152" s="1" t="n"/>
      <c r="I152" s="1" t="n"/>
      <c r="J152" s="1" t="n"/>
      <c r="K152" s="1" t="n"/>
      <c r="L152" s="1" t="n"/>
      <c r="M152" s="1" t="n"/>
      <c r="N152" s="1" t="n"/>
      <c r="O152" s="1" t="n"/>
    </row>
    <row r="153" ht="15.75" customHeight="1" s="216">
      <c r="A153" s="1" t="n"/>
      <c r="B153" s="137" t="inlineStr">
        <is>
          <t>Loại</t>
        </is>
      </c>
      <c r="C153" s="137" t="inlineStr">
        <is>
          <t>SL</t>
        </is>
      </c>
      <c r="D153" s="1" t="n"/>
      <c r="E153" s="1" t="n"/>
      <c r="F153" s="1" t="n"/>
      <c r="G153" s="1" t="n"/>
      <c r="H153" s="1" t="n"/>
      <c r="I153" s="1" t="n"/>
      <c r="J153" s="1" t="n"/>
      <c r="K153" s="1" t="n"/>
      <c r="L153" s="1" t="n"/>
      <c r="M153" s="1" t="n"/>
      <c r="N153" s="1" t="n"/>
      <c r="O153" s="1" t="n"/>
    </row>
    <row r="154" ht="15.75" customHeight="1" s="216">
      <c r="A154" s="1" t="n"/>
      <c r="B154" s="120" t="inlineStr">
        <is>
          <t>Data</t>
        </is>
      </c>
      <c r="C154" s="138">
        <f>COUNTIF('Bug Data'!$Q:$Q,$B154)</f>
        <v/>
      </c>
      <c r="D154" s="1" t="n"/>
      <c r="E154" s="1" t="n"/>
      <c r="F154" s="1" t="n"/>
      <c r="G154" s="1" t="n"/>
      <c r="H154" s="1" t="n"/>
      <c r="I154" s="1" t="n"/>
      <c r="J154" s="1" t="n"/>
      <c r="K154" s="1" t="n"/>
      <c r="L154" s="1" t="n"/>
      <c r="M154" s="1" t="n"/>
      <c r="N154" s="1" t="n"/>
      <c r="O154" s="1" t="n"/>
    </row>
    <row r="155" ht="15.75" customHeight="1" s="216">
      <c r="A155" s="1" t="n"/>
      <c r="B155" s="120" t="inlineStr">
        <is>
          <t>Interface</t>
        </is>
      </c>
      <c r="C155" s="138">
        <f>COUNTIF('Bug Data'!$Q:$Q,$B155)</f>
        <v/>
      </c>
      <c r="D155" s="1" t="n"/>
      <c r="E155" s="1" t="n"/>
      <c r="F155" s="1" t="n"/>
      <c r="G155" s="1" t="n"/>
      <c r="H155" s="1" t="n"/>
      <c r="I155" s="1" t="n"/>
      <c r="J155" s="1" t="n"/>
      <c r="K155" s="1" t="n"/>
      <c r="L155" s="1" t="n"/>
      <c r="M155" s="1" t="n"/>
      <c r="N155" s="1" t="n"/>
      <c r="O155" s="1" t="n"/>
    </row>
    <row r="156" ht="15.75" customHeight="1" s="216">
      <c r="A156" s="1" t="n"/>
      <c r="B156" s="120" t="inlineStr">
        <is>
          <t>Logic</t>
        </is>
      </c>
      <c r="C156" s="138">
        <f>COUNTIF('Bug Data'!$Q:$Q,$B156)</f>
        <v/>
      </c>
      <c r="D156" s="1" t="n"/>
      <c r="E156" s="1" t="n"/>
      <c r="F156" s="1" t="n"/>
      <c r="G156" s="1" t="n"/>
      <c r="H156" s="1" t="n"/>
      <c r="I156" s="1" t="n"/>
      <c r="J156" s="1" t="n"/>
      <c r="K156" s="1" t="n"/>
      <c r="L156" s="1" t="n"/>
      <c r="M156" s="1" t="n"/>
      <c r="N156" s="1" t="n"/>
      <c r="O156" s="1" t="n"/>
    </row>
    <row r="157" ht="15.75" customHeight="1" s="216">
      <c r="A157" s="1" t="n"/>
      <c r="B157" s="120" t="inlineStr">
        <is>
          <t>Requirement</t>
        </is>
      </c>
      <c r="C157" s="138">
        <f>COUNTIF('Bug Data'!$Q:$Q,$B157)</f>
        <v/>
      </c>
      <c r="D157" s="1" t="n"/>
      <c r="E157" s="1" t="n"/>
      <c r="F157" s="1" t="n"/>
      <c r="G157" s="1" t="n"/>
      <c r="H157" s="1" t="n"/>
      <c r="I157" s="1" t="n"/>
      <c r="J157" s="1" t="n"/>
      <c r="K157" s="1" t="n"/>
      <c r="L157" s="1" t="n"/>
      <c r="M157" s="1" t="n"/>
      <c r="N157" s="1" t="n"/>
      <c r="O157" s="1" t="n"/>
    </row>
    <row r="158" ht="15.75" customHeight="1" s="216">
      <c r="A158" s="1" t="n"/>
      <c r="B158" s="120" t="inlineStr">
        <is>
          <t>Server</t>
        </is>
      </c>
      <c r="C158" s="138">
        <f>COUNTIF('Bug Data'!$Q:$Q,$B158)</f>
        <v/>
      </c>
      <c r="D158" s="1" t="n"/>
      <c r="E158" s="1" t="n"/>
      <c r="F158" s="1" t="n"/>
      <c r="G158" s="1" t="n"/>
      <c r="H158" s="1" t="n"/>
      <c r="I158" s="1" t="n"/>
      <c r="J158" s="1" t="n"/>
      <c r="K158" s="1" t="n"/>
      <c r="L158" s="1" t="n"/>
      <c r="M158" s="1" t="n"/>
      <c r="N158" s="1" t="n"/>
      <c r="O158" s="1" t="n"/>
    </row>
    <row r="159" ht="15.75" customHeight="1" s="216">
      <c r="A159" s="1" t="n"/>
      <c r="B159" s="120" t="inlineStr">
        <is>
          <t>Other</t>
        </is>
      </c>
      <c r="C159" s="138">
        <f>COUNTIF('Bug Data'!$Q:$Q,$B159)</f>
        <v/>
      </c>
      <c r="D159" s="1" t="n"/>
      <c r="E159" s="1" t="n"/>
      <c r="F159" s="1" t="n"/>
      <c r="G159" s="1" t="n"/>
      <c r="H159" s="1" t="n"/>
      <c r="I159" s="1" t="n"/>
      <c r="J159" s="1" t="n"/>
      <c r="K159" s="1" t="n"/>
      <c r="L159" s="1" t="n"/>
      <c r="M159" s="1" t="n"/>
      <c r="N159" s="1" t="n"/>
      <c r="O159" s="1" t="n"/>
    </row>
    <row r="160" ht="15.75" customHeight="1" s="216">
      <c r="A160" s="1" t="n"/>
      <c r="B160" s="39" t="inlineStr">
        <is>
          <t>Total</t>
        </is>
      </c>
      <c r="C160" s="140">
        <f>SUM(C154:C159)</f>
        <v/>
      </c>
      <c r="D160" s="1" t="n"/>
      <c r="E160" s="1" t="n"/>
      <c r="F160" s="1" t="n"/>
      <c r="G160" s="1" t="n"/>
      <c r="H160" s="1" t="n"/>
      <c r="I160" s="1" t="n"/>
      <c r="J160" s="1" t="n"/>
      <c r="K160" s="1" t="n"/>
      <c r="L160" s="1" t="n"/>
      <c r="M160" s="1" t="n"/>
      <c r="N160" s="1" t="n"/>
      <c r="O160" s="1" t="n"/>
    </row>
    <row r="161" ht="15.75" customHeight="1" s="216">
      <c r="A161" s="1" t="n"/>
      <c r="B161" s="1" t="n"/>
      <c r="C161" s="1" t="n"/>
      <c r="D161" s="1" t="n"/>
      <c r="E161" s="1" t="n"/>
      <c r="F161" s="1" t="n"/>
      <c r="G161" s="1" t="n"/>
      <c r="H161" s="1" t="n"/>
      <c r="I161" s="1" t="n"/>
      <c r="J161" s="1" t="n"/>
      <c r="K161" s="1" t="n"/>
      <c r="L161" s="1" t="n"/>
      <c r="M161" s="1" t="n"/>
      <c r="N161" s="1" t="n"/>
      <c r="O161" s="1" t="n"/>
    </row>
    <row r="162" ht="15.75" customHeight="1" s="216">
      <c r="A162" s="1" t="n"/>
      <c r="B162" s="1" t="n"/>
      <c r="C162" s="1" t="n"/>
      <c r="D162" s="1" t="n"/>
      <c r="E162" s="1" t="n"/>
      <c r="F162" s="1" t="n"/>
      <c r="G162" s="1" t="n"/>
      <c r="H162" s="1" t="n"/>
      <c r="I162" s="1" t="n"/>
      <c r="J162" s="1" t="n"/>
      <c r="K162" s="1" t="n"/>
      <c r="L162" s="1" t="n"/>
      <c r="M162" s="1" t="n"/>
      <c r="N162" s="1" t="n"/>
      <c r="O162" s="1" t="n"/>
    </row>
    <row r="163" ht="15.75" customHeight="1" s="216">
      <c r="A163" s="1" t="n"/>
      <c r="B163" s="1" t="n"/>
      <c r="C163" s="1" t="n"/>
      <c r="D163" s="1" t="n"/>
      <c r="E163" s="1" t="n"/>
      <c r="F163" s="1" t="n"/>
      <c r="G163" s="1" t="n"/>
      <c r="H163" s="1" t="n"/>
      <c r="I163" s="1" t="n"/>
      <c r="J163" s="1" t="n"/>
      <c r="K163" s="1" t="n"/>
      <c r="L163" s="1" t="n"/>
      <c r="M163" s="1" t="n"/>
      <c r="N163" s="1" t="n"/>
      <c r="O163" s="1" t="n"/>
    </row>
    <row r="164" ht="15.75" customHeight="1" s="216">
      <c r="A164" s="1" t="n"/>
      <c r="B164" s="1" t="n"/>
      <c r="C164" s="1" t="n"/>
      <c r="D164" s="1" t="n"/>
      <c r="E164" s="1" t="n"/>
      <c r="F164" s="1" t="n"/>
      <c r="G164" s="1" t="n"/>
      <c r="H164" s="1" t="n"/>
      <c r="I164" s="1" t="n"/>
      <c r="J164" s="1" t="n"/>
      <c r="K164" s="1" t="n"/>
      <c r="L164" s="1" t="n"/>
      <c r="M164" s="1" t="n"/>
      <c r="N164" s="1" t="n"/>
      <c r="O164" s="1" t="n"/>
    </row>
    <row r="165" ht="15.75" customHeight="1" s="216">
      <c r="A165" s="1" t="n"/>
      <c r="B165" s="1" t="n"/>
      <c r="C165" s="1" t="n"/>
      <c r="D165" s="1" t="n"/>
      <c r="E165" s="1" t="n"/>
      <c r="F165" s="1" t="n"/>
      <c r="G165" s="1" t="n"/>
      <c r="H165" s="1" t="n"/>
      <c r="I165" s="1" t="n"/>
      <c r="J165" s="1" t="n"/>
      <c r="K165" s="1" t="n"/>
      <c r="L165" s="1" t="n"/>
      <c r="M165" s="1" t="n"/>
      <c r="N165" s="1" t="n"/>
      <c r="O165" s="1" t="n"/>
    </row>
    <row r="166" ht="15.75" customHeight="1" s="216">
      <c r="A166" s="1" t="n"/>
      <c r="B166" s="1" t="n"/>
      <c r="C166" s="1" t="n"/>
      <c r="D166" s="1" t="n"/>
      <c r="E166" s="1" t="n"/>
      <c r="F166" s="1" t="n"/>
      <c r="G166" s="1" t="n"/>
      <c r="H166" s="1" t="n"/>
      <c r="I166" s="1" t="n"/>
      <c r="J166" s="1" t="n"/>
      <c r="K166" s="1" t="n"/>
      <c r="L166" s="1" t="n"/>
      <c r="M166" s="1" t="n"/>
      <c r="N166" s="1" t="n"/>
      <c r="O166" s="1" t="n"/>
    </row>
    <row r="167" ht="15.75" customHeight="1" s="216">
      <c r="A167" s="1" t="n"/>
      <c r="B167" s="135" t="inlineStr">
        <is>
          <t>7. Effect</t>
        </is>
      </c>
      <c r="C167" s="1" t="n"/>
      <c r="D167" s="1" t="n"/>
      <c r="E167" s="1" t="n"/>
      <c r="F167" s="1" t="n"/>
      <c r="G167" s="1" t="n"/>
      <c r="H167" s="1" t="n"/>
      <c r="I167" s="1" t="n"/>
      <c r="J167" s="1" t="n"/>
      <c r="K167" s="1" t="n"/>
      <c r="L167" s="1" t="n"/>
      <c r="M167" s="1" t="n"/>
      <c r="N167" s="1" t="n"/>
      <c r="O167" s="1" t="n"/>
    </row>
    <row r="168" ht="15.75" customHeight="1" s="216">
      <c r="A168" s="1" t="n"/>
      <c r="B168" s="246" t="inlineStr">
        <is>
          <t>Effect</t>
        </is>
      </c>
      <c r="C168" s="218" t="n"/>
      <c r="D168" s="1" t="n"/>
      <c r="E168" s="1" t="n"/>
      <c r="F168" s="1" t="n"/>
      <c r="G168" s="1" t="n"/>
      <c r="H168" s="1" t="n"/>
      <c r="I168" s="1" t="n"/>
      <c r="J168" s="1" t="n"/>
      <c r="K168" s="1" t="n"/>
      <c r="L168" s="1" t="n"/>
      <c r="M168" s="1" t="n"/>
      <c r="N168" s="1" t="n"/>
      <c r="O168" s="1" t="n"/>
    </row>
    <row r="169" ht="15.75" customHeight="1" s="216">
      <c r="A169" s="1" t="n"/>
      <c r="B169" s="137" t="inlineStr">
        <is>
          <t>Loại</t>
        </is>
      </c>
      <c r="C169" s="137" t="inlineStr">
        <is>
          <t>SL</t>
        </is>
      </c>
      <c r="D169" s="1" t="n"/>
      <c r="E169" s="1" t="n"/>
      <c r="F169" s="1" t="n"/>
      <c r="G169" s="1" t="n"/>
      <c r="H169" s="1" t="n"/>
      <c r="I169" s="1" t="n"/>
      <c r="J169" s="1" t="n"/>
      <c r="K169" s="1" t="n"/>
      <c r="L169" s="1" t="n"/>
      <c r="M169" s="1" t="n"/>
      <c r="N169" s="1" t="n"/>
      <c r="O169" s="1" t="n"/>
    </row>
    <row r="170" ht="15.75" customHeight="1" s="216">
      <c r="A170" s="1" t="n"/>
      <c r="B170" s="120" t="inlineStr">
        <is>
          <t>Functionality</t>
        </is>
      </c>
      <c r="C170" s="138">
        <f>COUNTIF('Bug Data'!$R:$R,$B170)</f>
        <v/>
      </c>
      <c r="D170" s="1" t="n"/>
      <c r="E170" s="1" t="n"/>
      <c r="F170" s="1" t="n"/>
      <c r="G170" s="1" t="n"/>
      <c r="H170" s="1" t="n"/>
      <c r="I170" s="1" t="n"/>
      <c r="J170" s="1" t="n"/>
      <c r="K170" s="1" t="n"/>
      <c r="L170" s="1" t="n"/>
      <c r="M170" s="1" t="n"/>
      <c r="N170" s="1" t="n"/>
      <c r="O170" s="1" t="n"/>
    </row>
    <row r="171" ht="15.75" customHeight="1" s="216">
      <c r="A171" s="1" t="n"/>
      <c r="B171" s="120" t="inlineStr">
        <is>
          <t>Performance</t>
        </is>
      </c>
      <c r="C171" s="138">
        <f>COUNTIF('Bug Data'!$R:$R,$B171)</f>
        <v/>
      </c>
      <c r="D171" s="1" t="n"/>
      <c r="E171" s="1" t="n"/>
      <c r="F171" s="1" t="n"/>
      <c r="G171" s="1" t="n"/>
      <c r="H171" s="1" t="n"/>
      <c r="I171" s="1" t="n"/>
      <c r="J171" s="1" t="n"/>
      <c r="K171" s="1" t="n"/>
      <c r="L171" s="1" t="n"/>
      <c r="M171" s="1" t="n"/>
      <c r="N171" s="1" t="n"/>
      <c r="O171" s="1" t="n"/>
    </row>
    <row r="172" ht="15.75" customHeight="1" s="216">
      <c r="A172" s="1" t="n"/>
      <c r="B172" s="120" t="inlineStr">
        <is>
          <t>Security</t>
        </is>
      </c>
      <c r="C172" s="138">
        <f>COUNTIF('Bug Data'!$R:$R,$B172)</f>
        <v/>
      </c>
      <c r="D172" s="1" t="n"/>
      <c r="E172" s="1" t="n"/>
      <c r="F172" s="1" t="n"/>
      <c r="G172" s="1" t="n"/>
      <c r="H172" s="1" t="n"/>
      <c r="I172" s="1" t="n"/>
      <c r="J172" s="1" t="n"/>
      <c r="K172" s="1" t="n"/>
      <c r="L172" s="1" t="n"/>
      <c r="M172" s="1" t="n"/>
      <c r="N172" s="1" t="n"/>
      <c r="O172" s="1" t="n"/>
    </row>
    <row r="173" ht="15.75" customHeight="1" s="216">
      <c r="A173" s="1" t="n"/>
      <c r="B173" s="120" t="inlineStr">
        <is>
          <t>Serviceability</t>
        </is>
      </c>
      <c r="C173" s="138">
        <f>COUNTIF('Bug Data'!$R:$R,$B173)</f>
        <v/>
      </c>
      <c r="D173" s="1" t="n"/>
      <c r="E173" s="1" t="n"/>
      <c r="F173" s="1" t="n"/>
      <c r="G173" s="1" t="n"/>
      <c r="H173" s="1" t="n"/>
      <c r="I173" s="1" t="n"/>
      <c r="J173" s="1" t="n"/>
      <c r="K173" s="1" t="n"/>
      <c r="L173" s="1" t="n"/>
      <c r="M173" s="1" t="n"/>
      <c r="N173" s="1" t="n"/>
      <c r="O173" s="1" t="n"/>
    </row>
    <row r="174" ht="15.75" customHeight="1" s="216">
      <c r="A174" s="1" t="n"/>
      <c r="B174" s="120" t="inlineStr">
        <is>
          <t>Usability</t>
        </is>
      </c>
      <c r="C174" s="138">
        <f>COUNTIF('Bug Data'!$R:$R,$B174)</f>
        <v/>
      </c>
      <c r="D174" s="1" t="n"/>
      <c r="E174" s="1" t="n"/>
      <c r="F174" s="1" t="n"/>
      <c r="G174" s="1" t="n"/>
      <c r="H174" s="1" t="n"/>
      <c r="I174" s="1" t="n"/>
      <c r="J174" s="1" t="n"/>
      <c r="K174" s="1" t="n"/>
      <c r="L174" s="1" t="n"/>
      <c r="M174" s="1" t="n"/>
      <c r="N174" s="1" t="n"/>
      <c r="O174" s="1" t="n"/>
    </row>
    <row r="175" ht="15.75" customHeight="1" s="216">
      <c r="A175" s="1" t="n"/>
      <c r="B175" s="39" t="inlineStr">
        <is>
          <t>Total</t>
        </is>
      </c>
      <c r="C175" s="140">
        <f>SUM(C170:C174)</f>
        <v/>
      </c>
      <c r="D175" s="1" t="n"/>
      <c r="E175" s="1" t="n"/>
      <c r="F175" s="1" t="n"/>
      <c r="G175" s="1" t="n"/>
      <c r="H175" s="1" t="n"/>
      <c r="I175" s="1" t="n"/>
      <c r="J175" s="1" t="n"/>
      <c r="K175" s="1" t="n"/>
      <c r="L175" s="1" t="n"/>
      <c r="M175" s="1" t="n"/>
      <c r="N175" s="1" t="n"/>
      <c r="O175" s="1" t="n"/>
    </row>
    <row r="176" ht="15.75" customHeight="1" s="216">
      <c r="A176" s="1" t="n"/>
      <c r="B176" s="1" t="n"/>
      <c r="C176" s="1" t="n"/>
      <c r="D176" s="1" t="n"/>
      <c r="E176" s="1" t="n"/>
      <c r="F176" s="1" t="n"/>
      <c r="G176" s="1" t="n"/>
      <c r="H176" s="1" t="n"/>
      <c r="I176" s="1" t="n"/>
      <c r="J176" s="1" t="n"/>
      <c r="K176" s="1" t="n"/>
      <c r="L176" s="1" t="n"/>
      <c r="M176" s="1" t="n"/>
      <c r="N176" s="1" t="n"/>
      <c r="O176" s="1" t="n"/>
    </row>
    <row r="177" ht="15.75" customHeight="1" s="216">
      <c r="A177" s="1" t="n"/>
      <c r="B177" s="1" t="n"/>
      <c r="C177" s="1" t="n"/>
      <c r="D177" s="1" t="n"/>
      <c r="E177" s="1" t="n"/>
      <c r="F177" s="1" t="n"/>
      <c r="G177" s="1" t="n"/>
      <c r="H177" s="1" t="n"/>
      <c r="I177" s="1" t="n"/>
      <c r="J177" s="1" t="n"/>
      <c r="K177" s="1" t="n"/>
      <c r="L177" s="1" t="n"/>
      <c r="M177" s="1" t="n"/>
      <c r="N177" s="1" t="n"/>
      <c r="O177" s="1" t="n"/>
    </row>
    <row r="178" ht="15.75" customHeight="1" s="216">
      <c r="A178" s="1" t="n"/>
      <c r="B178" s="1" t="n"/>
      <c r="C178" s="1" t="n"/>
      <c r="D178" s="1" t="n"/>
      <c r="E178" s="1" t="n"/>
      <c r="F178" s="1" t="n"/>
      <c r="G178" s="1" t="n"/>
      <c r="H178" s="1" t="n"/>
      <c r="I178" s="1" t="n"/>
      <c r="J178" s="1" t="n"/>
      <c r="K178" s="1" t="n"/>
      <c r="L178" s="1" t="n"/>
      <c r="M178" s="1" t="n"/>
      <c r="N178" s="1" t="n"/>
      <c r="O178" s="1" t="n"/>
    </row>
    <row r="179" ht="15.75" customHeight="1" s="216">
      <c r="A179" s="1" t="n"/>
      <c r="B179" s="1" t="n"/>
      <c r="C179" s="1" t="n"/>
      <c r="D179" s="1" t="n"/>
      <c r="E179" s="1" t="n"/>
      <c r="F179" s="1" t="n"/>
      <c r="G179" s="1" t="n"/>
      <c r="H179" s="1" t="n"/>
      <c r="I179" s="1" t="n"/>
      <c r="J179" s="1" t="n"/>
      <c r="K179" s="1" t="n"/>
      <c r="L179" s="1" t="n"/>
      <c r="M179" s="1" t="n"/>
      <c r="N179" s="1" t="n"/>
      <c r="O179" s="1" t="n"/>
    </row>
    <row r="180" ht="15.75" customHeight="1" s="216">
      <c r="A180" s="1" t="n"/>
      <c r="B180" s="1" t="n"/>
      <c r="C180" s="1" t="n"/>
      <c r="D180" s="1" t="n"/>
      <c r="E180" s="1" t="n"/>
      <c r="F180" s="1" t="n"/>
      <c r="G180" s="1" t="n"/>
      <c r="H180" s="1" t="n"/>
      <c r="I180" s="1" t="n"/>
      <c r="J180" s="1" t="n"/>
      <c r="K180" s="1" t="n"/>
      <c r="L180" s="1" t="n"/>
      <c r="M180" s="1" t="n"/>
      <c r="N180" s="1" t="n"/>
      <c r="O180" s="1" t="n"/>
    </row>
    <row r="181" ht="15.75" customHeight="1" s="216">
      <c r="A181" s="1" t="n"/>
      <c r="B181" s="1" t="n"/>
      <c r="C181" s="1" t="n"/>
      <c r="D181" s="1" t="n"/>
      <c r="E181" s="1" t="n"/>
      <c r="F181" s="1" t="n"/>
      <c r="G181" s="1" t="n"/>
      <c r="H181" s="1" t="n"/>
      <c r="I181" s="1" t="n"/>
      <c r="J181" s="1" t="n"/>
      <c r="K181" s="1" t="n"/>
      <c r="L181" s="1" t="n"/>
      <c r="M181" s="1" t="n"/>
      <c r="N181" s="1" t="n"/>
      <c r="O181" s="1" t="n"/>
    </row>
    <row r="182" ht="15.75" customHeight="1" s="216">
      <c r="A182" s="1" t="n"/>
      <c r="B182" s="1" t="n"/>
      <c r="C182" s="1" t="n"/>
      <c r="D182" s="1" t="n"/>
      <c r="E182" s="1" t="n"/>
      <c r="F182" s="1" t="n"/>
      <c r="G182" s="1" t="n"/>
      <c r="H182" s="1" t="n"/>
      <c r="I182" s="1" t="n"/>
      <c r="J182" s="1" t="n"/>
      <c r="K182" s="1" t="n"/>
      <c r="L182" s="1" t="n"/>
      <c r="M182" s="1" t="n"/>
      <c r="N182" s="1" t="n"/>
      <c r="O182" s="1" t="n"/>
    </row>
    <row r="183" ht="15.75" customHeight="1" s="216">
      <c r="A183" s="1" t="n"/>
      <c r="B183" s="135" t="inlineStr">
        <is>
          <t>8. Bug Rework</t>
        </is>
      </c>
      <c r="C183" s="1" t="n"/>
      <c r="D183" s="1" t="n"/>
      <c r="E183" s="1" t="n"/>
      <c r="F183" s="1" t="n"/>
      <c r="G183" s="1" t="n"/>
      <c r="H183" s="1" t="n"/>
      <c r="I183" s="1" t="n"/>
      <c r="J183" s="1" t="n"/>
      <c r="K183" s="1" t="n"/>
      <c r="L183" s="1" t="n"/>
      <c r="M183" s="1" t="n"/>
      <c r="N183" s="1" t="n"/>
      <c r="O183" s="1" t="n"/>
    </row>
    <row r="184" ht="15.75" customHeight="1" s="216">
      <c r="A184" s="1" t="n"/>
      <c r="B184" s="246" t="inlineStr">
        <is>
          <t>Bug Rework</t>
        </is>
      </c>
      <c r="C184" s="218" t="n"/>
      <c r="D184" s="1" t="n"/>
      <c r="E184" s="1" t="n"/>
      <c r="F184" s="1" t="n"/>
      <c r="G184" s="1" t="n"/>
      <c r="H184" s="1" t="n"/>
      <c r="I184" s="1" t="n"/>
      <c r="J184" s="1" t="n"/>
      <c r="K184" s="1" t="n"/>
      <c r="L184" s="1" t="n"/>
      <c r="M184" s="1" t="n"/>
      <c r="N184" s="1" t="n"/>
      <c r="O184" s="1" t="n"/>
    </row>
    <row r="185" ht="15.75" customHeight="1" s="216">
      <c r="A185" s="1" t="n"/>
      <c r="B185" s="137" t="inlineStr">
        <is>
          <t>Số lần rework</t>
        </is>
      </c>
      <c r="C185" s="137" t="inlineStr">
        <is>
          <t>SL</t>
        </is>
      </c>
      <c r="D185" s="1" t="n"/>
      <c r="E185" s="1" t="n"/>
      <c r="F185" s="1" t="n"/>
      <c r="G185" s="1" t="n"/>
      <c r="H185" s="1" t="n"/>
      <c r="I185" s="1" t="n"/>
      <c r="J185" s="1" t="n"/>
      <c r="K185" s="1" t="n"/>
      <c r="L185" s="1" t="n"/>
      <c r="M185" s="1" t="n"/>
      <c r="N185" s="1" t="n"/>
      <c r="O185" s="1" t="n"/>
    </row>
    <row r="186" ht="15.75" customHeight="1" s="216">
      <c r="A186" s="1" t="n"/>
      <c r="B186" s="120" t="inlineStr">
        <is>
          <t>1-2 lần</t>
        </is>
      </c>
      <c r="C186" s="138">
        <f>COUNTIFS('Bug Data'!$S:$S,"&gt;="&amp;1,'Bug Data'!$S:$S,"&lt;="&amp;2)</f>
        <v/>
      </c>
      <c r="D186" s="1" t="n"/>
      <c r="E186" s="1" t="n"/>
      <c r="F186" s="1" t="n"/>
      <c r="G186" s="1" t="n"/>
      <c r="H186" s="1" t="n"/>
      <c r="I186" s="1" t="n"/>
      <c r="J186" s="1" t="n"/>
      <c r="K186" s="1" t="n"/>
      <c r="L186" s="1" t="n"/>
      <c r="M186" s="1" t="n"/>
      <c r="N186" s="1" t="n"/>
      <c r="O186" s="1" t="n"/>
    </row>
    <row r="187" ht="15.75" customHeight="1" s="216">
      <c r="A187" s="1" t="n"/>
      <c r="B187" s="120" t="inlineStr">
        <is>
          <t>3-5 lần</t>
        </is>
      </c>
      <c r="C187" s="138">
        <f>COUNTIFS('Bug Data'!$S:$S,"&gt;="&amp;3,'Bug Data'!$S:$S,"&lt;="&amp;5)</f>
        <v/>
      </c>
      <c r="D187" s="1" t="n"/>
      <c r="E187" s="1" t="n"/>
      <c r="F187" s="1" t="n"/>
      <c r="G187" s="1" t="n"/>
      <c r="H187" s="1" t="n"/>
      <c r="I187" s="1" t="n"/>
      <c r="J187" s="1" t="n"/>
      <c r="K187" s="1" t="n"/>
      <c r="L187" s="1" t="n"/>
      <c r="M187" s="1" t="n"/>
      <c r="N187" s="1" t="n"/>
      <c r="O187" s="1" t="n"/>
    </row>
    <row r="188" ht="15.75" customHeight="1" s="216">
      <c r="A188" s="1" t="n"/>
      <c r="B188" s="120" t="inlineStr">
        <is>
          <t>6-7 lần</t>
        </is>
      </c>
      <c r="C188" s="138">
        <f>COUNTIFS('Bug Data'!$S:$S,"&gt;="&amp;6,'Bug Data'!$S:$S,"&lt;="&amp;7)</f>
        <v/>
      </c>
      <c r="D188" s="1" t="n"/>
      <c r="E188" s="1" t="n"/>
      <c r="F188" s="1" t="n"/>
      <c r="G188" s="1" t="n"/>
      <c r="H188" s="1" t="n"/>
      <c r="I188" s="1" t="n"/>
      <c r="J188" s="1" t="n"/>
      <c r="K188" s="1" t="n"/>
      <c r="L188" s="1" t="n"/>
      <c r="M188" s="1" t="n"/>
      <c r="N188" s="1" t="n"/>
      <c r="O188" s="1" t="n"/>
    </row>
    <row r="189" ht="15.75" customHeight="1" s="216">
      <c r="A189" s="1" t="n"/>
      <c r="B189" s="120" t="inlineStr">
        <is>
          <t>8-10 lần</t>
        </is>
      </c>
      <c r="C189" s="138">
        <f>COUNTIFS('Bug Data'!$S:$S,"&gt;="&amp;8,'Bug Data'!$S:$S,"&lt;="&amp;10)</f>
        <v/>
      </c>
      <c r="D189" s="1" t="n"/>
      <c r="E189" s="1" t="n"/>
      <c r="F189" s="1" t="n"/>
      <c r="G189" s="1" t="n"/>
      <c r="H189" s="1" t="n"/>
      <c r="I189" s="1" t="n"/>
      <c r="J189" s="1" t="n"/>
      <c r="K189" s="1" t="n"/>
      <c r="L189" s="1" t="n"/>
      <c r="M189" s="1" t="n"/>
      <c r="N189" s="1" t="n"/>
      <c r="O189" s="1" t="n"/>
    </row>
    <row r="190" ht="15.75" customHeight="1" s="216">
      <c r="A190" s="1" t="n"/>
      <c r="B190" s="39" t="inlineStr">
        <is>
          <t>Total</t>
        </is>
      </c>
      <c r="C190" s="140">
        <f>SUM(C186:C189)</f>
        <v/>
      </c>
      <c r="D190" s="1" t="n"/>
      <c r="E190" s="1" t="n"/>
      <c r="F190" s="1" t="n"/>
      <c r="G190" s="1" t="n"/>
      <c r="H190" s="1" t="n"/>
      <c r="I190" s="1" t="n"/>
      <c r="J190" s="1" t="n"/>
      <c r="K190" s="1" t="n"/>
      <c r="L190" s="1" t="n"/>
      <c r="M190" s="1" t="n"/>
      <c r="N190" s="1" t="n"/>
      <c r="O190" s="1" t="n"/>
    </row>
    <row r="191" ht="15.75" customHeight="1" s="216">
      <c r="A191" s="1" t="n"/>
      <c r="B191" s="1" t="n"/>
      <c r="C191" s="1" t="n"/>
      <c r="D191" s="1" t="n"/>
      <c r="E191" s="1" t="n"/>
      <c r="F191" s="1" t="n"/>
      <c r="G191" s="1" t="n"/>
      <c r="H191" s="1" t="n"/>
      <c r="I191" s="1" t="n"/>
      <c r="J191" s="1" t="n"/>
      <c r="K191" s="1" t="n"/>
      <c r="L191" s="1" t="n"/>
      <c r="M191" s="1" t="n"/>
      <c r="N191" s="1" t="n"/>
      <c r="O191" s="1" t="n"/>
    </row>
    <row r="192" ht="15.75" customHeight="1" s="216">
      <c r="A192" s="1" t="n"/>
      <c r="B192" s="1" t="n"/>
      <c r="C192" s="1" t="n"/>
      <c r="D192" s="1" t="n"/>
      <c r="E192" s="1" t="n"/>
      <c r="F192" s="1" t="n"/>
      <c r="G192" s="1" t="n"/>
      <c r="H192" s="1" t="n"/>
      <c r="I192" s="1" t="n"/>
      <c r="J192" s="1" t="n"/>
      <c r="K192" s="1" t="n"/>
      <c r="L192" s="1" t="n"/>
      <c r="M192" s="1" t="n"/>
      <c r="N192" s="1" t="n"/>
      <c r="O192" s="1" t="n"/>
    </row>
    <row r="193" ht="15.75" customHeight="1" s="216">
      <c r="A193" s="1" t="n"/>
      <c r="B193" s="1" t="n"/>
      <c r="C193" s="1" t="n"/>
      <c r="D193" s="1" t="n"/>
      <c r="E193" s="1" t="n"/>
      <c r="F193" s="1" t="n"/>
      <c r="G193" s="1" t="n"/>
      <c r="H193" s="1" t="n"/>
      <c r="I193" s="1" t="n"/>
      <c r="J193" s="1" t="n"/>
      <c r="K193" s="1" t="n"/>
      <c r="L193" s="1" t="n"/>
      <c r="M193" s="1" t="n"/>
      <c r="N193" s="1" t="n"/>
      <c r="O193" s="1" t="n"/>
    </row>
    <row r="194" ht="15.75" customHeight="1" s="216">
      <c r="A194" s="1" t="n"/>
      <c r="B194" s="1" t="n"/>
      <c r="C194" s="1" t="n"/>
      <c r="D194" s="1" t="n"/>
      <c r="E194" s="1" t="n"/>
      <c r="F194" s="1" t="n"/>
      <c r="G194" s="1" t="n"/>
      <c r="H194" s="1" t="n"/>
      <c r="I194" s="1" t="n"/>
      <c r="J194" s="1" t="n"/>
      <c r="K194" s="1" t="n"/>
      <c r="L194" s="1" t="n"/>
      <c r="M194" s="1" t="n"/>
      <c r="N194" s="1" t="n"/>
      <c r="O194" s="1" t="n"/>
    </row>
    <row r="195" ht="15.75" customHeight="1" s="216">
      <c r="A195" s="1" t="n"/>
      <c r="B195" s="1" t="n"/>
      <c r="C195" s="1" t="n"/>
      <c r="D195" s="1" t="n"/>
      <c r="E195" s="1" t="n"/>
      <c r="F195" s="1" t="n"/>
      <c r="G195" s="1" t="n"/>
      <c r="H195" s="1" t="n"/>
      <c r="I195" s="1" t="n"/>
      <c r="J195" s="1" t="n"/>
      <c r="K195" s="1" t="n"/>
      <c r="L195" s="1" t="n"/>
      <c r="M195" s="1" t="n"/>
      <c r="N195" s="1" t="n"/>
      <c r="O195" s="1" t="n"/>
    </row>
    <row r="196" ht="15.75" customHeight="1" s="216">
      <c r="A196" s="1" t="n"/>
      <c r="B196" s="1" t="n"/>
      <c r="C196" s="1" t="n"/>
      <c r="D196" s="1" t="n"/>
      <c r="E196" s="1" t="n"/>
      <c r="F196" s="1" t="n"/>
      <c r="G196" s="1" t="n"/>
      <c r="H196" s="1" t="n"/>
      <c r="I196" s="1" t="n"/>
      <c r="J196" s="1" t="n"/>
      <c r="K196" s="1" t="n"/>
      <c r="L196" s="1" t="n"/>
      <c r="M196" s="1" t="n"/>
      <c r="N196" s="1" t="n"/>
      <c r="O196" s="1" t="n"/>
    </row>
    <row r="197" ht="15.75" customHeight="1" s="216">
      <c r="A197" s="1" t="n"/>
      <c r="B197" s="1" t="n"/>
      <c r="C197" s="1" t="n"/>
      <c r="D197" s="1" t="n"/>
      <c r="E197" s="1" t="n"/>
      <c r="F197" s="1" t="n"/>
      <c r="G197" s="1" t="n"/>
      <c r="H197" s="1" t="n"/>
      <c r="I197" s="1" t="n"/>
      <c r="J197" s="1" t="n"/>
      <c r="K197" s="1" t="n"/>
      <c r="L197" s="1" t="n"/>
      <c r="M197" s="1" t="n"/>
      <c r="N197" s="1" t="n"/>
      <c r="O197" s="1" t="n"/>
    </row>
    <row r="198" ht="15.75" customHeight="1" s="216">
      <c r="A198" s="1" t="n"/>
      <c r="B198" s="1" t="n"/>
      <c r="C198" s="1" t="n"/>
      <c r="D198" s="1" t="n"/>
      <c r="E198" s="1" t="n"/>
      <c r="F198" s="1" t="n"/>
      <c r="G198" s="1" t="n"/>
      <c r="H198" s="1" t="n"/>
      <c r="I198" s="1" t="n"/>
      <c r="J198" s="1" t="n"/>
      <c r="K198" s="1" t="n"/>
      <c r="L198" s="1" t="n"/>
      <c r="M198" s="1" t="n"/>
      <c r="N198" s="1" t="n"/>
      <c r="O198" s="1" t="n"/>
    </row>
    <row r="199" ht="15.75" customHeight="1" s="216">
      <c r="A199" s="1" t="n"/>
      <c r="B199" s="135" t="inlineStr">
        <is>
          <t>III. SDLC / AUTOMATION METRICS</t>
        </is>
      </c>
      <c r="C199" s="1" t="n"/>
      <c r="D199" s="1" t="n"/>
      <c r="E199" s="1" t="n"/>
      <c r="F199" s="1" t="n"/>
      <c r="G199" s="1" t="n"/>
      <c r="H199" s="1" t="n"/>
      <c r="I199" s="1" t="n"/>
      <c r="J199" s="1" t="n"/>
      <c r="K199" s="1" t="n"/>
      <c r="L199" s="1" t="n"/>
      <c r="M199" s="1" t="n"/>
      <c r="N199" s="1" t="n"/>
      <c r="O199" s="1" t="n"/>
    </row>
    <row r="200" ht="15.75" customHeight="1" s="216">
      <c r="A200" s="1" t="n"/>
      <c r="B200" s="250" t="inlineStr">
        <is>
          <t>Chỉ số SDLC &amp; Automation</t>
        </is>
      </c>
      <c r="C200" s="220" t="n"/>
      <c r="D200" s="218" t="n"/>
      <c r="E200" s="1" t="n"/>
      <c r="F200" s="1" t="n"/>
      <c r="G200" s="1" t="n"/>
      <c r="H200" s="1" t="n"/>
      <c r="I200" s="1" t="n"/>
      <c r="J200" s="1" t="n"/>
      <c r="K200" s="1" t="n"/>
      <c r="L200" s="1" t="n"/>
      <c r="M200" s="1" t="n"/>
      <c r="N200" s="1" t="n"/>
      <c r="O200" s="1" t="n"/>
    </row>
    <row r="201" ht="15.75" customHeight="1" s="216">
      <c r="A201" s="1" t="n"/>
      <c r="B201" s="184" t="inlineStr">
        <is>
          <t>Chỉ số</t>
        </is>
      </c>
      <c r="C201" s="185" t="inlineStr">
        <is>
          <t>Số lượng</t>
        </is>
      </c>
      <c r="D201" s="185" t="inlineStr">
        <is>
          <t>% / Tổng TC</t>
        </is>
      </c>
      <c r="E201" s="1" t="n"/>
      <c r="F201" s="1" t="n"/>
      <c r="G201" s="1" t="n"/>
      <c r="H201" s="1" t="n"/>
      <c r="I201" s="1" t="n"/>
      <c r="J201" s="1" t="n"/>
      <c r="K201" s="1" t="n"/>
      <c r="L201" s="1" t="n"/>
      <c r="M201" s="1" t="n"/>
      <c r="N201" s="1" t="n"/>
      <c r="O201" s="1" t="n"/>
    </row>
    <row r="202" ht="15.75" customHeight="1" s="216">
      <c r="A202" s="1" t="n"/>
      <c r="B202" s="186" t="inlineStr">
        <is>
          <t>Tổng số Test Case</t>
        </is>
      </c>
      <c r="C202" s="53">
        <f>Summary!$C$17</f>
        <v/>
      </c>
      <c r="D202" s="187" t="n">
        <v>1</v>
      </c>
      <c r="E202" s="1" t="n"/>
      <c r="F202" s="1" t="n"/>
      <c r="G202" s="1" t="n"/>
      <c r="H202" s="1" t="n"/>
      <c r="I202" s="1" t="n"/>
      <c r="J202" s="1" t="n"/>
      <c r="K202" s="1" t="n"/>
      <c r="L202" s="1" t="n"/>
      <c r="M202" s="1" t="n"/>
      <c r="N202" s="1" t="n"/>
      <c r="O202" s="1" t="n"/>
    </row>
    <row r="203" ht="15.75" customHeight="1" s="216">
      <c r="A203" s="1" t="n"/>
      <c r="B203" s="186" t="inlineStr">
        <is>
          <t>TC sinh bởi AI (AI-generated)</t>
        </is>
      </c>
      <c r="C203" s="53">
        <f>Summary!$C$44</f>
        <v/>
      </c>
      <c r="D203" s="188">
        <f>IFERROR(C203/$C$202,0)</f>
        <v/>
      </c>
      <c r="E203" s="1" t="n"/>
      <c r="F203" s="1" t="n"/>
      <c r="G203" s="1" t="n"/>
      <c r="H203" s="1" t="n"/>
      <c r="I203" s="1" t="n"/>
      <c r="J203" s="1" t="n"/>
      <c r="K203" s="1" t="n"/>
      <c r="L203" s="1" t="n"/>
      <c r="M203" s="1" t="n"/>
      <c r="N203" s="1" t="n"/>
      <c r="O203" s="1" t="n"/>
    </row>
    <row r="204" ht="15.75" customHeight="1" s="216">
      <c r="A204" s="1" t="n"/>
      <c r="B204" s="186" t="inlineStr">
        <is>
          <t>TC do QC viết tay</t>
        </is>
      </c>
      <c r="C204" s="53">
        <f>Summary!$C$45</f>
        <v/>
      </c>
      <c r="D204" s="54">
        <f>IFERROR(C204/$C$202,0)</f>
        <v/>
      </c>
      <c r="E204" s="1" t="n"/>
      <c r="F204" s="1" t="n"/>
      <c r="G204" s="1" t="n"/>
      <c r="H204" s="1" t="n"/>
      <c r="I204" s="1" t="n"/>
      <c r="J204" s="1" t="n"/>
      <c r="K204" s="1" t="n"/>
      <c r="L204" s="1" t="n"/>
      <c r="M204" s="1" t="n"/>
      <c r="N204" s="1" t="n"/>
      <c r="O204" s="1" t="n"/>
    </row>
    <row r="205" ht="15.75" customHeight="1" s="216">
      <c r="A205" s="1" t="n"/>
      <c r="B205" s="186" t="inlineStr">
        <is>
          <t>TC đã automation (có script)</t>
        </is>
      </c>
      <c r="C205" s="53">
        <f>Summary!$C$46</f>
        <v/>
      </c>
      <c r="D205" s="188">
        <f>IFERROR(C205/$C$202,0)</f>
        <v/>
      </c>
      <c r="E205" s="1" t="n"/>
      <c r="F205" s="1" t="n"/>
      <c r="G205" s="1" t="n"/>
      <c r="H205" s="1" t="n"/>
      <c r="I205" s="1" t="n"/>
      <c r="J205" s="1" t="n"/>
      <c r="K205" s="1" t="n"/>
      <c r="L205" s="1" t="n"/>
      <c r="M205" s="1" t="n"/>
      <c r="N205" s="1" t="n"/>
      <c r="O205" s="1" t="n"/>
    </row>
    <row r="206" ht="15.75" customHeight="1" s="216">
      <c r="A206" s="1" t="n"/>
      <c r="B206" s="186" t="inlineStr">
        <is>
          <t>TC Vibe-test</t>
        </is>
      </c>
      <c r="C206" s="53">
        <f>Summary!$C$47</f>
        <v/>
      </c>
      <c r="D206" s="188">
        <f>IFERROR(C206/$C$202,0)</f>
        <v/>
      </c>
      <c r="E206" s="1" t="n"/>
      <c r="F206" s="1" t="n"/>
      <c r="G206" s="1" t="n"/>
      <c r="H206" s="1" t="n"/>
      <c r="I206" s="1" t="n"/>
      <c r="J206" s="1" t="n"/>
      <c r="K206" s="1" t="n"/>
      <c r="L206" s="1" t="n"/>
      <c r="M206" s="1" t="n"/>
      <c r="N206" s="1" t="n"/>
      <c r="O206" s="1" t="n"/>
    </row>
    <row r="207" ht="15.75" customHeight="1" s="216">
      <c r="A207" s="1" t="n"/>
      <c r="B207" s="186" t="inlineStr">
        <is>
          <t>TC đã QC review</t>
        </is>
      </c>
      <c r="C207" s="53">
        <f>Summary!$C$49</f>
        <v/>
      </c>
      <c r="D207" s="54">
        <f>IFERROR(C207/$C$202,0)</f>
        <v/>
      </c>
      <c r="E207" s="1" t="n"/>
      <c r="F207" s="1" t="n"/>
      <c r="G207" s="1" t="n"/>
      <c r="H207" s="1" t="n"/>
      <c r="I207" s="1" t="n"/>
      <c r="J207" s="1" t="n"/>
      <c r="K207" s="1" t="n"/>
      <c r="L207" s="1" t="n"/>
      <c r="M207" s="1" t="n"/>
      <c r="N207" s="1" t="n"/>
      <c r="O207" s="1" t="n"/>
    </row>
    <row r="208" ht="15.75" customHeight="1" s="216">
      <c r="A208" s="1" t="n"/>
      <c r="B208" s="186" t="inlineStr">
        <is>
          <t>TC script auto chạy Pass</t>
        </is>
      </c>
      <c r="C208" s="53">
        <f>Summary!$C$48</f>
        <v/>
      </c>
      <c r="D208" s="188">
        <f>IFERROR(C208/$C$202,0)</f>
        <v/>
      </c>
      <c r="E208" s="1" t="n"/>
      <c r="F208" s="1" t="n"/>
      <c r="G208" s="1" t="n"/>
      <c r="H208" s="1" t="n"/>
      <c r="I208" s="1" t="n"/>
      <c r="J208" s="1" t="n"/>
      <c r="K208" s="1" t="n"/>
      <c r="L208" s="1" t="n"/>
      <c r="M208" s="1" t="n"/>
      <c r="N208" s="1" t="n"/>
      <c r="O208" s="1" t="n"/>
    </row>
    <row r="209" ht="15.75" customHeight="1" s="216">
      <c r="A209" s="1" t="n"/>
      <c r="B209" s="186" t="inlineStr">
        <is>
          <t>Bug do AI phát hiện (nhập tay)</t>
        </is>
      </c>
      <c r="C209" s="189" t="n">
        <v>40</v>
      </c>
      <c r="D209" s="188">
        <f>IFERROR(C209/COUNTIF('Bug Data'!$D$2:$D$250,"?*"),0)</f>
        <v/>
      </c>
      <c r="E209" s="1" t="n"/>
      <c r="F209" s="1" t="n"/>
      <c r="G209" s="1" t="n"/>
      <c r="H209" s="1" t="n"/>
      <c r="I209" s="1" t="n"/>
      <c r="J209" s="1" t="n"/>
      <c r="K209" s="1" t="n"/>
      <c r="L209" s="1" t="n"/>
      <c r="M209" s="1" t="n"/>
      <c r="N209" s="1" t="n"/>
      <c r="O209" s="1" t="n"/>
    </row>
    <row r="210" ht="15.75" customHeight="1" s="216">
      <c r="A210" s="1" t="n"/>
      <c r="B210" s="190" t="n"/>
      <c r="C210" s="1" t="n"/>
      <c r="D210" s="191" t="n"/>
      <c r="E210" s="1" t="n"/>
      <c r="F210" s="1" t="n"/>
      <c r="G210" s="1" t="n"/>
      <c r="H210" s="1" t="n"/>
      <c r="I210" s="1" t="n"/>
      <c r="J210" s="1" t="n"/>
      <c r="K210" s="1" t="n"/>
      <c r="L210" s="1" t="n"/>
      <c r="M210" s="1" t="n"/>
      <c r="N210" s="1" t="n"/>
      <c r="O210" s="1" t="n"/>
    </row>
    <row r="211" ht="15.75" customHeight="1" s="216">
      <c r="A211" s="1" t="n"/>
      <c r="B211" s="192" t="inlineStr">
        <is>
          <t>Ô vàng = nhập tay; các % tự tính trên Tổng TC. % Bug do AI = Bug do AI phát hiện / Tổng số Bug.</t>
        </is>
      </c>
      <c r="E211" s="1" t="n"/>
      <c r="F211" s="1" t="n"/>
      <c r="G211" s="1" t="n"/>
      <c r="H211" s="1" t="n"/>
      <c r="I211" s="1" t="n"/>
      <c r="J211" s="1" t="n"/>
      <c r="K211" s="1" t="n"/>
      <c r="L211" s="1" t="n"/>
      <c r="M211" s="1" t="n"/>
      <c r="N211" s="1" t="n"/>
      <c r="O211" s="1" t="n"/>
    </row>
    <row r="212" ht="15.75" customHeight="1" s="216">
      <c r="A212" s="1" t="n"/>
      <c r="B212" s="1" t="n"/>
      <c r="C212" s="1" t="n"/>
      <c r="D212" s="1" t="n"/>
      <c r="E212" s="1" t="n"/>
      <c r="F212" s="1" t="n"/>
      <c r="G212" s="1" t="n"/>
      <c r="H212" s="1" t="n"/>
      <c r="I212" s="1" t="n"/>
      <c r="J212" s="1" t="n"/>
      <c r="K212" s="1" t="n"/>
      <c r="L212" s="1" t="n"/>
      <c r="M212" s="1" t="n"/>
      <c r="N212" s="1" t="n"/>
      <c r="O212" s="1" t="n"/>
    </row>
    <row r="213" ht="15.75" customHeight="1" s="216">
      <c r="A213" s="1" t="n"/>
      <c r="B213" s="1" t="n"/>
      <c r="C213" s="1" t="n"/>
      <c r="D213" s="1" t="n"/>
      <c r="E213" s="1" t="n"/>
      <c r="F213" s="1" t="n"/>
      <c r="G213" s="1" t="n"/>
      <c r="H213" s="1" t="n"/>
      <c r="I213" s="1" t="n"/>
      <c r="J213" s="1" t="n"/>
      <c r="K213" s="1" t="n"/>
      <c r="L213" s="1" t="n"/>
      <c r="M213" s="1" t="n"/>
      <c r="N213" s="1" t="n"/>
      <c r="O213" s="1" t="n"/>
    </row>
    <row r="214" ht="15.75" customHeight="1" s="216">
      <c r="A214" s="1" t="n"/>
      <c r="B214" s="1" t="n"/>
      <c r="C214" s="1" t="n"/>
      <c r="D214" s="1" t="n"/>
      <c r="E214" s="1" t="n"/>
      <c r="F214" s="1" t="n"/>
      <c r="G214" s="1" t="n"/>
      <c r="H214" s="1" t="n"/>
      <c r="I214" s="1" t="n"/>
      <c r="J214" s="1" t="n"/>
      <c r="K214" s="1" t="n"/>
      <c r="L214" s="1" t="n"/>
      <c r="M214" s="1" t="n"/>
      <c r="N214" s="1" t="n"/>
      <c r="O214" s="1" t="n"/>
    </row>
    <row r="215" ht="15.75" customHeight="1" s="216">
      <c r="A215" s="1" t="n"/>
      <c r="B215" s="1" t="n"/>
      <c r="C215" s="1" t="n"/>
      <c r="D215" s="1" t="n"/>
      <c r="E215" s="1" t="n"/>
      <c r="F215" s="1" t="n"/>
      <c r="G215" s="1" t="n"/>
      <c r="H215" s="1" t="n"/>
      <c r="I215" s="1" t="n"/>
      <c r="J215" s="1" t="n"/>
      <c r="K215" s="1" t="n"/>
      <c r="L215" s="1" t="n"/>
      <c r="M215" s="1" t="n"/>
      <c r="N215" s="1" t="n"/>
      <c r="O215" s="1" t="n"/>
    </row>
    <row r="216" ht="15.75" customHeight="1" s="216">
      <c r="A216" s="1" t="n"/>
      <c r="B216" s="1" t="n"/>
      <c r="C216" s="1" t="n"/>
      <c r="D216" s="1" t="n"/>
      <c r="E216" s="1" t="n"/>
      <c r="F216" s="1" t="n"/>
      <c r="G216" s="1" t="n"/>
      <c r="H216" s="1" t="n"/>
      <c r="I216" s="1" t="n"/>
      <c r="J216" s="1" t="n"/>
      <c r="K216" s="1" t="n"/>
      <c r="L216" s="1" t="n"/>
      <c r="M216" s="1" t="n"/>
      <c r="N216" s="1" t="n"/>
      <c r="O216" s="1" t="n"/>
    </row>
    <row r="217" ht="15.75" customHeight="1" s="216">
      <c r="A217" s="1" t="n"/>
      <c r="B217" s="193" t="inlineStr">
        <is>
          <t>IV. KẾT QUẢ THỰC THI THEO ROUND (Round-by-Round)</t>
        </is>
      </c>
      <c r="M217" s="1" t="n"/>
      <c r="N217" s="1" t="n"/>
      <c r="O217" s="1" t="n"/>
    </row>
    <row r="218" ht="15.75" customHeight="1" s="216">
      <c r="A218" s="1" t="n"/>
      <c r="B218" s="64" t="inlineStr">
        <is>
          <t>Ghi Phạm vi/Chức năng test của mỗi Round ở cột 'Phạm vi'. TH1 – các Round chia scope KHÔNG trùng nhau (VD R1: Function A; R2: Function B, C) → độ phủ cộng dồn qua các Round. TH2 – mỗi Round chạy full regression toàn bộ chức năng (số Round = số lần test lại). Coverage% = Đã chạy/Tổng TC · Pass rate = Pass/Đã chạy · dòng 'Cuối' = verdict Final.</t>
        </is>
      </c>
      <c r="M218" s="1" t="n"/>
      <c r="N218" s="1" t="n"/>
      <c r="O218" s="1" t="n"/>
    </row>
    <row r="219" ht="15.75" customHeight="1" s="216">
      <c r="A219" s="1" t="n"/>
      <c r="B219" s="251" t="inlineStr">
        <is>
          <t>Bảng kết quả theo Round (số liệu gom tự động từ Dashboard)</t>
        </is>
      </c>
      <c r="C219" s="252" t="n"/>
      <c r="D219" s="252" t="n"/>
      <c r="E219" s="252" t="n"/>
      <c r="F219" s="252" t="n"/>
      <c r="G219" s="252" t="n"/>
      <c r="H219" s="252" t="n"/>
      <c r="I219" s="252" t="n"/>
      <c r="J219" s="252" t="n"/>
      <c r="K219" s="252" t="n"/>
      <c r="L219" s="253" t="n"/>
      <c r="M219" s="1" t="n"/>
      <c r="N219" s="1" t="n"/>
      <c r="O219" s="1" t="n"/>
    </row>
    <row r="220" ht="31.5" customHeight="1" s="216">
      <c r="A220" s="1" t="n"/>
      <c r="B220" s="195" t="inlineStr">
        <is>
          <t>Round</t>
        </is>
      </c>
      <c r="C220" s="196" t="inlineStr">
        <is>
          <t>Thời gian</t>
        </is>
      </c>
      <c r="D220" s="196" t="inlineStr">
        <is>
          <t>Total TC</t>
        </is>
      </c>
      <c r="E220" s="196" t="inlineStr">
        <is>
          <t>Executed</t>
        </is>
      </c>
      <c r="F220" s="197" t="inlineStr">
        <is>
          <t>Pass</t>
        </is>
      </c>
      <c r="G220" s="197" t="inlineStr">
        <is>
          <t>Fail</t>
        </is>
      </c>
      <c r="H220" s="195" t="inlineStr">
        <is>
          <t>Block</t>
        </is>
      </c>
      <c r="I220" s="195" t="inlineStr">
        <is>
          <t>N/A</t>
        </is>
      </c>
      <c r="J220" s="195" t="inlineStr">
        <is>
          <t>Coverage%</t>
        </is>
      </c>
      <c r="K220" s="195" t="inlineStr">
        <is>
          <t>Pass rate</t>
        </is>
      </c>
      <c r="L220" s="195" t="inlineStr">
        <is>
          <t>Phạm vi / Chức năng test</t>
        </is>
      </c>
      <c r="M220" s="1" t="n"/>
      <c r="N220" s="1" t="n"/>
      <c r="O220" s="1" t="n"/>
    </row>
    <row r="221" ht="30" customHeight="1" s="216">
      <c r="A221" s="1" t="n"/>
      <c r="B221" s="198" t="inlineStr">
        <is>
          <t>Round 1</t>
        </is>
      </c>
      <c r="C221" s="199" t="inlineStr">
        <is>
          <t>18/09/2026  →  22/09/2026</t>
        </is>
      </c>
      <c r="D221" s="200">
        <f>Dashboard!$F$34</f>
        <v/>
      </c>
      <c r="E221" s="200">
        <f>Dashboard!$AE$34</f>
        <v/>
      </c>
      <c r="F221" s="200">
        <f>Dashboard!$AF$34</f>
        <v/>
      </c>
      <c r="G221" s="200">
        <f>Dashboard!$AG$34</f>
        <v/>
      </c>
      <c r="H221" s="200">
        <f>Dashboard!$AH$34</f>
        <v/>
      </c>
      <c r="I221" s="200">
        <f>Dashboard!$AI$34</f>
        <v/>
      </c>
      <c r="J221" s="201">
        <f>IFERROR(IF(E221=0,"",E221/D221),"")</f>
        <v/>
      </c>
      <c r="K221" s="201">
        <f>IFERROR(IF(E221=0,"",F221/E221),"")</f>
        <v/>
      </c>
      <c r="L221" s="199" t="inlineStr">
        <is>
          <t>Toàn bộ chức năng</t>
        </is>
      </c>
      <c r="M221" s="1" t="n"/>
      <c r="N221" s="1" t="n"/>
      <c r="O221" s="1" t="n"/>
    </row>
    <row r="222" ht="30" customHeight="1" s="216">
      <c r="A222" s="1" t="n"/>
      <c r="B222" s="198" t="inlineStr">
        <is>
          <t>Round 2</t>
        </is>
      </c>
      <c r="C222" s="199" t="n"/>
      <c r="D222" s="200">
        <f>Dashboard!$F$34</f>
        <v/>
      </c>
      <c r="E222" s="200">
        <f>Dashboard!$AJ$34</f>
        <v/>
      </c>
      <c r="F222" s="200">
        <f>Dashboard!$AK$34</f>
        <v/>
      </c>
      <c r="G222" s="200">
        <f>Dashboard!$AL$34</f>
        <v/>
      </c>
      <c r="H222" s="200">
        <f>Dashboard!$AM$34</f>
        <v/>
      </c>
      <c r="I222" s="200">
        <f>Dashboard!$AN$34</f>
        <v/>
      </c>
      <c r="J222" s="201">
        <f>IFERROR(IF(E222=0,"",E222/D222),"")</f>
        <v/>
      </c>
      <c r="K222" s="201">
        <f>IFERROR(IF(E222=0,"",F222/E222),"")</f>
        <v/>
      </c>
      <c r="L222" s="199" t="n"/>
      <c r="M222" s="1" t="n"/>
      <c r="N222" s="1" t="n"/>
      <c r="O222" s="1" t="n"/>
    </row>
    <row r="223" ht="30" customHeight="1" s="216">
      <c r="A223" s="1" t="n"/>
      <c r="B223" s="198" t="inlineStr">
        <is>
          <t>Round 3</t>
        </is>
      </c>
      <c r="C223" s="199" t="n"/>
      <c r="D223" s="200">
        <f>Dashboard!$F$34</f>
        <v/>
      </c>
      <c r="E223" s="200">
        <f>Dashboard!$AO$34</f>
        <v/>
      </c>
      <c r="F223" s="200">
        <f>Dashboard!$AP$34</f>
        <v/>
      </c>
      <c r="G223" s="200">
        <f>Dashboard!$AQ$34</f>
        <v/>
      </c>
      <c r="H223" s="200">
        <f>Dashboard!$AR$34</f>
        <v/>
      </c>
      <c r="I223" s="200">
        <f>Dashboard!$AS$34</f>
        <v/>
      </c>
      <c r="J223" s="201">
        <f>IFERROR(IF(E223=0,"",E223/D223),"")</f>
        <v/>
      </c>
      <c r="K223" s="201">
        <f>IFERROR(IF(E223=0,"",F223/E223),"")</f>
        <v/>
      </c>
      <c r="L223" s="199" t="n"/>
      <c r="M223" s="1" t="n"/>
      <c r="N223" s="1" t="n"/>
      <c r="O223" s="1" t="n"/>
    </row>
    <row r="224" ht="30" customHeight="1" s="216">
      <c r="A224" s="1" t="n"/>
      <c r="B224" s="198" t="inlineStr">
        <is>
          <t>Round 4</t>
        </is>
      </c>
      <c r="C224" s="199" t="n"/>
      <c r="D224" s="200">
        <f>Dashboard!$F$34</f>
        <v/>
      </c>
      <c r="E224" s="200">
        <f>Dashboard!$AT$34</f>
        <v/>
      </c>
      <c r="F224" s="200">
        <f>Dashboard!$AU$34</f>
        <v/>
      </c>
      <c r="G224" s="200">
        <f>Dashboard!$AV$34</f>
        <v/>
      </c>
      <c r="H224" s="200">
        <f>Dashboard!$AW$34</f>
        <v/>
      </c>
      <c r="I224" s="200">
        <f>Dashboard!$AX$34</f>
        <v/>
      </c>
      <c r="J224" s="201">
        <f>IFERROR(IF(E224=0,"",E224/D224),"")</f>
        <v/>
      </c>
      <c r="K224" s="201">
        <f>IFERROR(IF(E224=0,"",F224/E224),"")</f>
        <v/>
      </c>
      <c r="L224" s="199" t="n"/>
      <c r="M224" s="1" t="n"/>
      <c r="N224" s="1" t="n"/>
      <c r="O224" s="1" t="n"/>
    </row>
    <row r="225" ht="30" customHeight="1" s="216">
      <c r="A225" s="1" t="n"/>
      <c r="B225" s="198" t="inlineStr">
        <is>
          <t>Round 5</t>
        </is>
      </c>
      <c r="C225" s="199" t="n"/>
      <c r="D225" s="200">
        <f>Dashboard!$F$34</f>
        <v/>
      </c>
      <c r="E225" s="200">
        <f>Dashboard!$AY$34</f>
        <v/>
      </c>
      <c r="F225" s="200">
        <f>Dashboard!$AZ$34</f>
        <v/>
      </c>
      <c r="G225" s="200">
        <f>Dashboard!$BA$34</f>
        <v/>
      </c>
      <c r="H225" s="200">
        <f>Dashboard!$BB$34</f>
        <v/>
      </c>
      <c r="I225" s="200">
        <f>Dashboard!$BC$34</f>
        <v/>
      </c>
      <c r="J225" s="201">
        <f>IFERROR(IF(E225=0,"",E225/D225),"")</f>
        <v/>
      </c>
      <c r="K225" s="201">
        <f>IFERROR(IF(E225=0,"",F225/E225),"")</f>
        <v/>
      </c>
      <c r="L225" s="199" t="n"/>
      <c r="M225" s="1" t="n"/>
      <c r="N225" s="1" t="n"/>
      <c r="O225" s="1" t="n"/>
    </row>
    <row r="226" ht="30" customHeight="1" s="216">
      <c r="A226" s="1" t="n"/>
      <c r="B226" s="202" t="inlineStr">
        <is>
          <t>Cuối (Final)</t>
        </is>
      </c>
      <c r="C226" s="203">
        <f>IF(OR(Summary!$C$10="",Summary!$C$11=""),"",TEXT(Summary!$C$10,"DD/MM/YYYY")&amp;"  →  "&amp;TEXT(Summary!$C$11,"DD/MM/YYYY"))</f>
        <v/>
      </c>
      <c r="D226" s="203">
        <f>Dashboard!$F$34</f>
        <v/>
      </c>
      <c r="E226" s="203">
        <f>Dashboard!$L$34</f>
        <v/>
      </c>
      <c r="F226" s="203">
        <f>Dashboard!$G$34</f>
        <v/>
      </c>
      <c r="G226" s="203">
        <f>Dashboard!$H$34</f>
        <v/>
      </c>
      <c r="H226" s="203">
        <f>Dashboard!$I$34</f>
        <v/>
      </c>
      <c r="I226" s="203">
        <f>Dashboard!$J$34</f>
        <v/>
      </c>
      <c r="J226" s="204">
        <f>IFERROR(E226/D226,0)</f>
        <v/>
      </c>
      <c r="K226" s="204">
        <f>IFERROR(F226/E226,0)</f>
        <v/>
      </c>
      <c r="L226" s="203" t="inlineStr">
        <is>
          <t>Toàn bộ chức năng</t>
        </is>
      </c>
      <c r="M226" s="1" t="n"/>
      <c r="N226" s="1" t="n"/>
      <c r="O226" s="1" t="n"/>
    </row>
    <row r="227" ht="15.75" customHeight="1" s="216">
      <c r="A227" s="1" t="n"/>
      <c r="B227" s="205" t="n"/>
      <c r="C227" s="206" t="n"/>
      <c r="D227" s="206" t="n"/>
      <c r="E227" s="206" t="n"/>
      <c r="F227" s="207" t="n"/>
      <c r="G227" s="207" t="n"/>
      <c r="H227" s="24" t="n"/>
      <c r="I227" s="24" t="n"/>
      <c r="J227" s="24" t="n"/>
      <c r="K227" s="24" t="n"/>
      <c r="L227" s="1" t="n"/>
      <c r="M227" s="1" t="n"/>
      <c r="N227" s="1" t="n"/>
      <c r="O227" s="1" t="n"/>
    </row>
    <row r="228" ht="15.75" customHeight="1" s="216">
      <c r="A228" s="1" t="n"/>
      <c r="B228" s="251" t="inlineStr">
        <is>
          <t>Xu hướng Bug theo Round (phát hiện vs đã đóng)</t>
        </is>
      </c>
      <c r="C228" s="252" t="n"/>
      <c r="D228" s="253" t="n"/>
      <c r="E228" s="24" t="n"/>
      <c r="F228" s="24" t="n"/>
      <c r="G228" s="24" t="n"/>
      <c r="H228" s="24" t="n"/>
      <c r="I228" s="24" t="n"/>
      <c r="J228" s="24" t="n"/>
      <c r="K228" s="24" t="n"/>
      <c r="L228" s="1" t="n"/>
      <c r="M228" s="1" t="n"/>
      <c r="N228" s="1" t="n"/>
      <c r="O228" s="1" t="n"/>
    </row>
    <row r="229" ht="15.75" customHeight="1" s="216">
      <c r="A229" s="1" t="n"/>
      <c r="B229" s="195" t="inlineStr">
        <is>
          <t>Round</t>
        </is>
      </c>
      <c r="C229" s="195" t="inlineStr">
        <is>
          <t>Phát hiện</t>
        </is>
      </c>
      <c r="D229" s="195" t="inlineStr">
        <is>
          <t>Đã đóng</t>
        </is>
      </c>
      <c r="E229" s="24" t="n"/>
      <c r="F229" s="24" t="n"/>
      <c r="G229" s="24" t="n"/>
      <c r="H229" s="24" t="n"/>
      <c r="I229" s="24" t="n"/>
      <c r="J229" s="24" t="n"/>
      <c r="K229" s="24" t="n"/>
      <c r="L229" s="1" t="n"/>
      <c r="M229" s="1" t="n"/>
      <c r="N229" s="1" t="n"/>
      <c r="O229" s="1" t="n"/>
    </row>
    <row r="230" ht="15.75" customHeight="1" s="216">
      <c r="A230" s="1" t="n"/>
      <c r="B230" s="208" t="n">
        <v>1</v>
      </c>
      <c r="C230" s="209">
        <f>COUNTIF('Bug Data'!$T:$T,$B230)</f>
        <v/>
      </c>
      <c r="D230" s="209">
        <f>COUNTIF('Bug Data'!$U:$U,$B230)</f>
        <v/>
      </c>
      <c r="E230" s="24" t="n"/>
      <c r="F230" s="24" t="n"/>
      <c r="G230" s="24" t="n"/>
      <c r="H230" s="24" t="n"/>
      <c r="I230" s="24" t="n"/>
      <c r="J230" s="24" t="n"/>
      <c r="K230" s="24" t="n"/>
      <c r="L230" s="1" t="n"/>
      <c r="M230" s="1" t="n"/>
      <c r="N230" s="1" t="n"/>
      <c r="O230" s="1" t="n"/>
    </row>
    <row r="231" ht="15.75" customHeight="1" s="216">
      <c r="A231" s="1" t="n"/>
      <c r="B231" s="208" t="n">
        <v>2</v>
      </c>
      <c r="C231" s="209">
        <f>COUNTIF('Bug Data'!$T:$T,$B231)</f>
        <v/>
      </c>
      <c r="D231" s="209">
        <f>COUNTIF('Bug Data'!$U:$U,$B231)</f>
        <v/>
      </c>
      <c r="E231" s="24" t="n"/>
      <c r="F231" s="24" t="n"/>
      <c r="G231" s="24" t="n"/>
      <c r="H231" s="24" t="n"/>
      <c r="I231" s="24" t="n"/>
      <c r="J231" s="24" t="n"/>
      <c r="K231" s="24" t="n"/>
      <c r="L231" s="1" t="n"/>
      <c r="M231" s="1" t="n"/>
      <c r="N231" s="1" t="n"/>
      <c r="O231" s="1" t="n"/>
    </row>
    <row r="232" ht="15.75" customHeight="1" s="216">
      <c r="A232" s="1" t="n"/>
      <c r="B232" s="208" t="n">
        <v>3</v>
      </c>
      <c r="C232" s="209">
        <f>COUNTIF('Bug Data'!$T:$T,$B232)</f>
        <v/>
      </c>
      <c r="D232" s="209">
        <f>COUNTIF('Bug Data'!$U:$U,$B232)</f>
        <v/>
      </c>
      <c r="E232" s="24" t="n"/>
      <c r="F232" s="24" t="n"/>
      <c r="G232" s="24" t="n"/>
      <c r="H232" s="24" t="n"/>
      <c r="I232" s="24" t="n"/>
      <c r="J232" s="24" t="n"/>
      <c r="K232" s="24" t="n"/>
      <c r="L232" s="1" t="n"/>
      <c r="M232" s="1" t="n"/>
      <c r="N232" s="1" t="n"/>
      <c r="O232" s="1" t="n"/>
    </row>
    <row r="233" ht="15.75" customHeight="1" s="216">
      <c r="A233" s="1" t="n"/>
      <c r="B233" s="210" t="n">
        <v>4</v>
      </c>
      <c r="C233" s="200">
        <f>COUNTIF('Bug Data'!$T:$T,$B233)</f>
        <v/>
      </c>
      <c r="D233" s="209">
        <f>COUNTIF('Bug Data'!$U:$U,$B233)</f>
        <v/>
      </c>
      <c r="E233" s="24" t="n"/>
      <c r="F233" s="24" t="n"/>
      <c r="G233" s="24" t="n"/>
      <c r="H233" s="24" t="n"/>
      <c r="I233" s="24" t="n"/>
      <c r="J233" s="24" t="n"/>
      <c r="K233" s="24" t="n"/>
      <c r="L233" s="1" t="n"/>
      <c r="M233" s="1" t="n"/>
      <c r="N233" s="1" t="n"/>
      <c r="O233" s="1" t="n"/>
    </row>
    <row r="234" ht="15.75" customHeight="1" s="216">
      <c r="A234" s="1" t="n"/>
      <c r="B234" s="210" t="n">
        <v>5</v>
      </c>
      <c r="C234" s="200">
        <f>COUNTIF('Bug Data'!$T:$T,$B234)</f>
        <v/>
      </c>
      <c r="D234" s="209">
        <f>COUNTIF('Bug Data'!$U:$U,$B234)</f>
        <v/>
      </c>
      <c r="E234" s="24" t="n"/>
      <c r="F234" s="24" t="n"/>
      <c r="G234" s="24" t="n"/>
      <c r="H234" s="24" t="n"/>
      <c r="I234" s="24" t="n"/>
      <c r="J234" s="24" t="n"/>
      <c r="K234" s="24" t="n"/>
      <c r="L234" s="1" t="n"/>
      <c r="M234" s="1" t="n"/>
      <c r="N234" s="1" t="n"/>
      <c r="O234" s="1" t="n"/>
    </row>
    <row r="235" ht="15.75" customHeight="1" s="216">
      <c r="A235" s="1" t="n"/>
      <c r="B235" s="211" t="inlineStr">
        <is>
          <t>Total</t>
        </is>
      </c>
      <c r="C235" s="211">
        <f>SUM(C230:C234)</f>
        <v/>
      </c>
      <c r="D235" s="212">
        <f>SUM(D230:D234)</f>
        <v/>
      </c>
      <c r="E235" s="24" t="n"/>
      <c r="F235" s="24" t="n"/>
      <c r="G235" s="24" t="n"/>
      <c r="H235" s="24" t="n"/>
      <c r="I235" s="24" t="n"/>
      <c r="J235" s="24" t="n"/>
      <c r="K235" s="24" t="n"/>
      <c r="L235" s="1" t="n"/>
      <c r="M235" s="1" t="n"/>
      <c r="N235" s="1" t="n"/>
      <c r="O235" s="1" t="n"/>
    </row>
    <row r="236" ht="15.75" customHeight="1" s="216">
      <c r="A236" s="1" t="n"/>
      <c r="B236" s="213" t="inlineStr">
        <is>
          <t>Phát hiện = đếm cột T `Round` (round PHÁT HIỆN bug) · Đã đóng = đếm cột U `Round closed bug` (round ĐÓNG bug) ⇒ bug tìm ở R1 mà fix xong ở R3 vào Phát hiện R1 + Đã đóng R3, KHÔNG cộng cả hai vào R1. Total Phát hiện = số bug có Round (phải khớp Tổng số Bug ở mục 1) · Total Đã đóng = số bug đã đóng có điền Round closed bug — chênh lệch 2 Total = bug còn nợ; bug chưa đóng để TRỐNG cột U.</t>
        </is>
      </c>
      <c r="C236" s="213" t="n"/>
      <c r="D236" s="213" t="n"/>
      <c r="E236" s="213" t="n"/>
      <c r="F236" s="213" t="n"/>
      <c r="G236" s="213" t="n"/>
      <c r="H236" s="213" t="n"/>
      <c r="I236" s="213" t="n"/>
      <c r="J236" s="213" t="n"/>
      <c r="K236" s="213" t="n"/>
      <c r="L236" s="1" t="n"/>
      <c r="M236" s="1" t="n"/>
      <c r="N236" s="1" t="n"/>
      <c r="O236" s="1" t="n"/>
    </row>
    <row r="237" ht="15.75" customHeight="1" s="216">
      <c r="A237" s="1" t="n"/>
      <c r="B237" s="206" t="n"/>
      <c r="C237" s="206" t="n"/>
      <c r="D237" s="24" t="n"/>
      <c r="E237" s="24" t="n"/>
      <c r="F237" s="24" t="n"/>
      <c r="G237" s="24" t="n"/>
      <c r="H237" s="24" t="n"/>
      <c r="I237" s="24" t="n"/>
      <c r="J237" s="24" t="n"/>
      <c r="K237" s="24" t="n"/>
      <c r="L237" s="1" t="n"/>
      <c r="M237" s="1" t="n"/>
      <c r="N237" s="1" t="n"/>
      <c r="O237" s="1" t="n"/>
    </row>
    <row r="238" ht="15.75" customHeight="1" s="216">
      <c r="A238" s="1" t="n"/>
      <c r="B238" s="206" t="n"/>
      <c r="C238" s="206" t="n"/>
      <c r="D238" s="24" t="n"/>
      <c r="E238" s="24" t="n"/>
      <c r="F238" s="24" t="n"/>
      <c r="G238" s="24" t="n"/>
      <c r="H238" s="24" t="n"/>
      <c r="I238" s="24" t="n"/>
      <c r="J238" s="24" t="n"/>
      <c r="K238" s="24" t="n"/>
      <c r="L238" s="1" t="n"/>
      <c r="M238" s="1" t="n"/>
      <c r="N238" s="1" t="n"/>
      <c r="O238" s="1" t="n"/>
    </row>
    <row r="239" ht="15.75" customHeight="1" s="216">
      <c r="A239" s="1" t="n"/>
      <c r="B239" s="206" t="n"/>
      <c r="C239" s="206" t="n"/>
      <c r="D239" s="24" t="n"/>
      <c r="E239" s="24" t="n"/>
      <c r="F239" s="24" t="n"/>
      <c r="G239" s="24" t="n"/>
      <c r="H239" s="24" t="n"/>
      <c r="I239" s="24" t="n"/>
      <c r="J239" s="24" t="n"/>
      <c r="K239" s="24" t="n"/>
      <c r="L239" s="1" t="n"/>
      <c r="M239" s="1" t="n"/>
      <c r="N239" s="1" t="n"/>
      <c r="O239" s="1" t="n"/>
    </row>
    <row r="240" ht="15.75" customHeight="1" s="216">
      <c r="A240" s="1" t="n"/>
      <c r="B240" s="206" t="n"/>
      <c r="C240" s="206" t="n"/>
      <c r="D240" s="24" t="n"/>
      <c r="E240" s="24" t="n"/>
      <c r="F240" s="24" t="n"/>
      <c r="G240" s="24" t="n"/>
      <c r="H240" s="24" t="n"/>
      <c r="I240" s="24" t="n"/>
      <c r="J240" s="24" t="n"/>
      <c r="K240" s="24" t="n"/>
      <c r="L240" s="1" t="n"/>
      <c r="M240" s="1" t="n"/>
      <c r="N240" s="1" t="n"/>
      <c r="O240" s="1" t="n"/>
    </row>
    <row r="241" ht="15.75" customHeight="1" s="216">
      <c r="A241" s="1" t="n"/>
      <c r="B241" s="214" t="n"/>
      <c r="C241" s="206" t="n"/>
      <c r="D241" s="24" t="n"/>
      <c r="E241" s="24" t="n"/>
      <c r="F241" s="24" t="n"/>
      <c r="G241" s="24" t="n"/>
      <c r="H241" s="24" t="n"/>
      <c r="I241" s="24" t="n"/>
      <c r="J241" s="24" t="n"/>
      <c r="K241" s="24" t="n"/>
      <c r="L241" s="1" t="n"/>
      <c r="M241" s="1" t="n"/>
      <c r="N241" s="1" t="n"/>
      <c r="O241" s="1" t="n"/>
    </row>
    <row r="242" ht="15.75" customHeight="1" s="216">
      <c r="A242" s="1" t="n"/>
      <c r="B242" s="215" t="n"/>
      <c r="C242" s="24" t="n"/>
      <c r="D242" s="24" t="n"/>
      <c r="E242" s="24" t="n"/>
      <c r="F242" s="24" t="n"/>
      <c r="G242" s="24" t="n"/>
      <c r="H242" s="24" t="n"/>
      <c r="I242" s="24" t="n"/>
      <c r="J242" s="24" t="n"/>
      <c r="K242" s="24" t="n"/>
      <c r="L242" s="1" t="n"/>
      <c r="M242" s="1" t="n"/>
      <c r="N242" s="1" t="n"/>
      <c r="O242" s="1" t="n"/>
    </row>
    <row r="243" ht="15.75" customHeight="1" s="216">
      <c r="A243" s="1" t="n"/>
      <c r="B243" s="24" t="n"/>
      <c r="C243" s="24" t="n"/>
      <c r="D243" s="24" t="n"/>
      <c r="E243" s="24" t="n"/>
      <c r="F243" s="24" t="n"/>
      <c r="G243" s="24" t="n"/>
      <c r="H243" s="24" t="n"/>
      <c r="I243" s="24" t="n"/>
      <c r="J243" s="24" t="n"/>
      <c r="K243" s="24" t="n"/>
      <c r="L243" s="1" t="n"/>
      <c r="M243" s="1" t="n"/>
      <c r="N243" s="1" t="n"/>
      <c r="O243" s="1" t="n"/>
    </row>
    <row r="244" ht="15.75" customHeight="1" s="216">
      <c r="A244" s="1" t="n"/>
      <c r="B244" s="1" t="n"/>
      <c r="C244" s="1" t="n"/>
      <c r="D244" s="1" t="n"/>
      <c r="E244" s="1" t="n"/>
      <c r="F244" s="1" t="n"/>
      <c r="G244" s="1" t="n"/>
      <c r="H244" s="1" t="n"/>
      <c r="I244" s="1" t="n"/>
      <c r="J244" s="1" t="n"/>
      <c r="K244" s="1" t="n"/>
      <c r="L244" s="1" t="n"/>
      <c r="M244" s="1" t="n"/>
      <c r="N244" s="1" t="n"/>
      <c r="O244" s="1" t="n"/>
    </row>
    <row r="245" ht="15.75" customHeight="1" s="216">
      <c r="A245" s="1" t="n"/>
      <c r="B245" s="1" t="n"/>
      <c r="C245" s="1" t="n"/>
      <c r="D245" s="1" t="n"/>
      <c r="E245" s="1" t="n"/>
      <c r="F245" s="1" t="n"/>
      <c r="G245" s="1" t="n"/>
      <c r="H245" s="1" t="n"/>
      <c r="I245" s="1" t="n"/>
      <c r="J245" s="1" t="n"/>
      <c r="K245" s="1" t="n"/>
      <c r="L245" s="1" t="n"/>
      <c r="M245" s="1" t="n"/>
      <c r="N245" s="1" t="n"/>
      <c r="O245" s="1" t="n"/>
    </row>
    <row r="246" ht="15.75" customHeight="1" s="216">
      <c r="A246" s="1" t="n"/>
      <c r="B246" s="1" t="n"/>
      <c r="C246" s="1" t="n"/>
      <c r="D246" s="1" t="n"/>
      <c r="E246" s="1" t="n"/>
      <c r="F246" s="1" t="n"/>
      <c r="G246" s="1" t="n"/>
      <c r="H246" s="1" t="n"/>
      <c r="I246" s="1" t="n"/>
      <c r="J246" s="1" t="n"/>
      <c r="K246" s="1" t="n"/>
      <c r="L246" s="1" t="n"/>
      <c r="M246" s="1" t="n"/>
      <c r="N246" s="1" t="n"/>
      <c r="O246" s="1" t="n"/>
    </row>
    <row r="247" ht="15.75" customHeight="1" s="216">
      <c r="A247" s="1" t="n"/>
      <c r="B247" s="1" t="n"/>
      <c r="C247" s="1" t="n"/>
      <c r="D247" s="1" t="n"/>
      <c r="E247" s="1" t="n"/>
      <c r="F247" s="1" t="n"/>
      <c r="G247" s="1" t="n"/>
      <c r="H247" s="1" t="n"/>
      <c r="I247" s="1" t="n"/>
      <c r="J247" s="1" t="n"/>
      <c r="K247" s="1" t="n"/>
      <c r="L247" s="1" t="n"/>
      <c r="M247" s="1" t="n"/>
      <c r="N247" s="1" t="n"/>
      <c r="O247" s="1" t="n"/>
    </row>
    <row r="248" ht="15.75" customHeight="1" s="216">
      <c r="A248" s="1" t="n"/>
      <c r="B248" s="1" t="n"/>
      <c r="C248" s="1" t="n"/>
      <c r="D248" s="1" t="n"/>
      <c r="E248" s="1" t="n"/>
      <c r="F248" s="1" t="n"/>
      <c r="G248" s="1" t="n"/>
      <c r="H248" s="1" t="n"/>
      <c r="I248" s="1" t="n"/>
      <c r="J248" s="1" t="n"/>
      <c r="K248" s="1" t="n"/>
      <c r="L248" s="1" t="n"/>
      <c r="M248" s="1" t="n"/>
      <c r="N248" s="1" t="n"/>
      <c r="O248" s="1" t="n"/>
    </row>
    <row r="249" ht="15.75" customHeight="1" s="216">
      <c r="A249" s="1" t="n"/>
      <c r="B249" s="1" t="n"/>
      <c r="C249" s="1" t="n"/>
      <c r="D249" s="1" t="n"/>
      <c r="E249" s="1" t="n"/>
      <c r="F249" s="1" t="n"/>
      <c r="G249" s="1" t="n"/>
      <c r="H249" s="1" t="n"/>
      <c r="I249" s="1" t="n"/>
      <c r="J249" s="1" t="n"/>
      <c r="K249" s="1" t="n"/>
      <c r="L249" s="1" t="n"/>
      <c r="M249" s="1" t="n"/>
      <c r="N249" s="1" t="n"/>
      <c r="O249" s="1" t="n"/>
    </row>
    <row r="250" ht="15.75" customHeight="1" s="216">
      <c r="A250" s="1" t="n"/>
      <c r="B250" s="1" t="n"/>
      <c r="C250" s="1" t="n"/>
      <c r="D250" s="1" t="n"/>
      <c r="E250" s="1" t="n"/>
      <c r="F250" s="1" t="n"/>
      <c r="G250" s="1" t="n"/>
      <c r="H250" s="1" t="n"/>
      <c r="I250" s="1" t="n"/>
      <c r="J250" s="1" t="n"/>
      <c r="K250" s="1" t="n"/>
      <c r="L250" s="1" t="n"/>
      <c r="M250" s="1" t="n"/>
      <c r="N250" s="1" t="n"/>
      <c r="O250" s="1" t="n"/>
    </row>
    <row r="251" ht="15.75" customHeight="1" s="216">
      <c r="A251" s="1" t="n"/>
      <c r="B251" s="1" t="n"/>
      <c r="C251" s="1" t="n"/>
      <c r="D251" s="1" t="n"/>
      <c r="E251" s="1" t="n"/>
      <c r="F251" s="1" t="n"/>
      <c r="G251" s="1" t="n"/>
      <c r="H251" s="1" t="n"/>
      <c r="I251" s="1" t="n"/>
      <c r="J251" s="1" t="n"/>
      <c r="K251" s="1" t="n"/>
      <c r="L251" s="1" t="n"/>
      <c r="M251" s="1" t="n"/>
      <c r="N251" s="1" t="n"/>
      <c r="O251" s="1" t="n"/>
    </row>
    <row r="252" ht="15.75" customHeight="1" s="216">
      <c r="A252" s="1" t="n"/>
      <c r="B252" s="1" t="n"/>
      <c r="C252" s="1" t="n"/>
      <c r="D252" s="1" t="n"/>
      <c r="E252" s="1" t="n"/>
      <c r="F252" s="1" t="n"/>
      <c r="G252" s="1" t="n"/>
      <c r="H252" s="1" t="n"/>
      <c r="I252" s="1" t="n"/>
      <c r="J252" s="1" t="n"/>
      <c r="K252" s="1" t="n"/>
      <c r="L252" s="1" t="n"/>
      <c r="M252" s="1" t="n"/>
      <c r="N252" s="1" t="n"/>
      <c r="O252" s="1" t="n"/>
    </row>
    <row r="253" ht="15.75" customHeight="1" s="216">
      <c r="A253" s="1" t="n"/>
      <c r="B253" s="1" t="n"/>
      <c r="C253" s="1" t="n"/>
      <c r="D253" s="1" t="n"/>
      <c r="E253" s="1" t="n"/>
      <c r="F253" s="1" t="n"/>
      <c r="G253" s="1" t="n"/>
      <c r="H253" s="1" t="n"/>
      <c r="I253" s="1" t="n"/>
      <c r="J253" s="1" t="n"/>
      <c r="K253" s="1" t="n"/>
      <c r="L253" s="1" t="n"/>
      <c r="M253" s="1" t="n"/>
      <c r="N253" s="1" t="n"/>
      <c r="O253" s="1" t="n"/>
    </row>
    <row r="254" ht="15.75" customHeight="1" s="216">
      <c r="A254" s="1" t="n"/>
      <c r="B254" s="1" t="n"/>
      <c r="C254" s="1" t="n"/>
      <c r="D254" s="1" t="n"/>
      <c r="E254" s="1" t="n"/>
      <c r="F254" s="1" t="n"/>
      <c r="G254" s="1" t="n"/>
      <c r="H254" s="1" t="n"/>
      <c r="I254" s="1" t="n"/>
      <c r="J254" s="1" t="n"/>
      <c r="K254" s="1" t="n"/>
      <c r="L254" s="1" t="n"/>
      <c r="M254" s="1" t="n"/>
      <c r="N254" s="1" t="n"/>
      <c r="O254" s="1" t="n"/>
    </row>
    <row r="255" ht="15.75" customHeight="1" s="216">
      <c r="A255" s="1" t="n"/>
      <c r="B255" s="1" t="n"/>
      <c r="C255" s="1" t="n"/>
      <c r="D255" s="1" t="n"/>
      <c r="E255" s="1" t="n"/>
      <c r="F255" s="1" t="n"/>
      <c r="G255" s="1" t="n"/>
      <c r="H255" s="1" t="n"/>
      <c r="I255" s="1" t="n"/>
      <c r="J255" s="1" t="n"/>
      <c r="K255" s="1" t="n"/>
      <c r="L255" s="1" t="n"/>
      <c r="M255" s="1" t="n"/>
      <c r="N255" s="1" t="n"/>
      <c r="O255" s="1" t="n"/>
    </row>
    <row r="256" ht="15.75" customHeight="1" s="216">
      <c r="A256" s="1" t="n"/>
      <c r="B256" s="1" t="n"/>
      <c r="C256" s="1" t="n"/>
      <c r="D256" s="1" t="n"/>
      <c r="E256" s="1" t="n"/>
      <c r="F256" s="1" t="n"/>
      <c r="G256" s="1" t="n"/>
      <c r="H256" s="1" t="n"/>
      <c r="I256" s="1" t="n"/>
      <c r="J256" s="1" t="n"/>
      <c r="K256" s="1" t="n"/>
      <c r="L256" s="1" t="n"/>
      <c r="M256" s="1" t="n"/>
      <c r="N256" s="1" t="n"/>
      <c r="O256" s="1" t="n"/>
    </row>
    <row r="257" ht="15.75" customHeight="1" s="216">
      <c r="A257" s="1" t="n"/>
      <c r="B257" s="1" t="n"/>
      <c r="C257" s="1" t="n"/>
      <c r="D257" s="1" t="n"/>
      <c r="E257" s="1" t="n"/>
      <c r="F257" s="1" t="n"/>
      <c r="G257" s="1" t="n"/>
      <c r="H257" s="1" t="n"/>
      <c r="I257" s="1" t="n"/>
      <c r="J257" s="1" t="n"/>
      <c r="K257" s="1" t="n"/>
      <c r="L257" s="1" t="n"/>
      <c r="M257" s="1" t="n"/>
      <c r="N257" s="1" t="n"/>
      <c r="O257" s="1" t="n"/>
    </row>
    <row r="258" ht="15.75" customHeight="1" s="216">
      <c r="A258" s="1" t="n"/>
      <c r="B258" s="1" t="n"/>
      <c r="C258" s="1" t="n"/>
      <c r="D258" s="1" t="n"/>
      <c r="E258" s="1" t="n"/>
      <c r="F258" s="1" t="n"/>
      <c r="G258" s="1" t="n"/>
      <c r="H258" s="1" t="n"/>
      <c r="I258" s="1" t="n"/>
      <c r="J258" s="1" t="n"/>
      <c r="K258" s="1" t="n"/>
      <c r="L258" s="1" t="n"/>
      <c r="M258" s="1" t="n"/>
      <c r="N258" s="1" t="n"/>
      <c r="O258" s="1" t="n"/>
    </row>
    <row r="259" ht="15.75" customHeight="1" s="216">
      <c r="A259" s="1" t="n"/>
      <c r="B259" s="1" t="n"/>
      <c r="C259" s="1" t="n"/>
      <c r="D259" s="1" t="n"/>
      <c r="E259" s="1" t="n"/>
      <c r="F259" s="1" t="n"/>
      <c r="G259" s="1" t="n"/>
      <c r="H259" s="1" t="n"/>
      <c r="I259" s="1" t="n"/>
      <c r="J259" s="1" t="n"/>
      <c r="K259" s="1" t="n"/>
      <c r="L259" s="1" t="n"/>
      <c r="M259" s="1" t="n"/>
      <c r="N259" s="1" t="n"/>
      <c r="O259" s="1" t="n"/>
    </row>
    <row r="260" ht="15.75" customHeight="1" s="216">
      <c r="A260" s="1" t="n"/>
      <c r="B260" s="1" t="n"/>
      <c r="C260" s="1" t="n"/>
      <c r="D260" s="1" t="n"/>
      <c r="E260" s="1" t="n"/>
      <c r="F260" s="1" t="n"/>
      <c r="G260" s="1" t="n"/>
      <c r="H260" s="1" t="n"/>
      <c r="I260" s="1" t="n"/>
      <c r="J260" s="1" t="n"/>
      <c r="K260" s="1" t="n"/>
      <c r="L260" s="1" t="n"/>
      <c r="M260" s="1" t="n"/>
      <c r="N260" s="1" t="n"/>
      <c r="O260" s="1" t="n"/>
    </row>
    <row r="261" ht="15.75" customHeight="1" s="216">
      <c r="A261" s="1" t="n"/>
      <c r="B261" s="1" t="n"/>
      <c r="C261" s="1" t="n"/>
      <c r="D261" s="1" t="n"/>
      <c r="E261" s="1" t="n"/>
      <c r="F261" s="1" t="n"/>
      <c r="G261" s="1" t="n"/>
      <c r="H261" s="1" t="n"/>
      <c r="I261" s="1" t="n"/>
      <c r="J261" s="1" t="n"/>
      <c r="K261" s="1" t="n"/>
      <c r="L261" s="1" t="n"/>
      <c r="M261" s="1" t="n"/>
      <c r="N261" s="1" t="n"/>
      <c r="O261" s="1" t="n"/>
    </row>
    <row r="262" ht="15.75" customHeight="1" s="216">
      <c r="A262" s="1" t="n"/>
      <c r="B262" s="1" t="n"/>
      <c r="C262" s="1" t="n"/>
      <c r="D262" s="1" t="n"/>
      <c r="E262" s="1" t="n"/>
      <c r="F262" s="1" t="n"/>
      <c r="G262" s="1" t="n"/>
      <c r="H262" s="1" t="n"/>
      <c r="I262" s="1" t="n"/>
      <c r="J262" s="1" t="n"/>
      <c r="K262" s="1" t="n"/>
      <c r="L262" s="1" t="n"/>
      <c r="M262" s="1" t="n"/>
      <c r="N262" s="1" t="n"/>
      <c r="O262" s="1" t="n"/>
    </row>
    <row r="263" ht="15.75" customHeight="1" s="216">
      <c r="A263" s="1" t="n"/>
      <c r="B263" s="1" t="n"/>
      <c r="C263" s="1" t="n"/>
      <c r="D263" s="1" t="n"/>
      <c r="E263" s="1" t="n"/>
      <c r="F263" s="1" t="n"/>
      <c r="G263" s="1" t="n"/>
      <c r="H263" s="1" t="n"/>
      <c r="I263" s="1" t="n"/>
      <c r="J263" s="1" t="n"/>
      <c r="K263" s="1" t="n"/>
      <c r="L263" s="1" t="n"/>
      <c r="M263" s="1" t="n"/>
      <c r="N263" s="1" t="n"/>
      <c r="O263" s="1" t="n"/>
    </row>
    <row r="264" ht="15.75" customHeight="1" s="216">
      <c r="A264" s="1" t="n"/>
      <c r="B264" s="1" t="n"/>
      <c r="C264" s="1" t="n"/>
      <c r="D264" s="1" t="n"/>
      <c r="E264" s="1" t="n"/>
      <c r="F264" s="1" t="n"/>
      <c r="G264" s="1" t="n"/>
      <c r="H264" s="1" t="n"/>
      <c r="I264" s="1" t="n"/>
      <c r="J264" s="1" t="n"/>
      <c r="K264" s="1" t="n"/>
      <c r="L264" s="1" t="n"/>
      <c r="M264" s="1" t="n"/>
      <c r="N264" s="1" t="n"/>
      <c r="O264" s="1" t="n"/>
    </row>
    <row r="265" ht="15.75" customHeight="1" s="216">
      <c r="A265" s="1" t="n"/>
      <c r="B265" s="1" t="n"/>
      <c r="C265" s="1" t="n"/>
      <c r="D265" s="1" t="n"/>
      <c r="E265" s="1" t="n"/>
      <c r="F265" s="1" t="n"/>
      <c r="G265" s="1" t="n"/>
      <c r="H265" s="1" t="n"/>
      <c r="I265" s="1" t="n"/>
      <c r="J265" s="1" t="n"/>
      <c r="K265" s="1" t="n"/>
      <c r="L265" s="1" t="n"/>
      <c r="M265" s="1" t="n"/>
      <c r="N265" s="1" t="n"/>
      <c r="O265" s="1" t="n"/>
    </row>
    <row r="266" ht="15.75" customHeight="1" s="216">
      <c r="A266" s="1" t="n"/>
      <c r="B266" s="1" t="n"/>
      <c r="C266" s="1" t="n"/>
      <c r="D266" s="1" t="n"/>
      <c r="E266" s="1" t="n"/>
      <c r="F266" s="1" t="n"/>
      <c r="G266" s="1" t="n"/>
      <c r="H266" s="1" t="n"/>
      <c r="I266" s="1" t="n"/>
      <c r="J266" s="1" t="n"/>
      <c r="K266" s="1" t="n"/>
      <c r="L266" s="1" t="n"/>
      <c r="M266" s="1" t="n"/>
      <c r="N266" s="1" t="n"/>
      <c r="O266" s="1" t="n"/>
    </row>
    <row r="267" ht="15.75" customHeight="1" s="216">
      <c r="A267" s="1" t="n"/>
      <c r="B267" s="1" t="n"/>
      <c r="C267" s="1" t="n"/>
      <c r="D267" s="1" t="n"/>
      <c r="E267" s="1" t="n"/>
      <c r="F267" s="1" t="n"/>
      <c r="G267" s="1" t="n"/>
      <c r="H267" s="1" t="n"/>
      <c r="I267" s="1" t="n"/>
      <c r="J267" s="1" t="n"/>
      <c r="K267" s="1" t="n"/>
      <c r="L267" s="1" t="n"/>
      <c r="M267" s="1" t="n"/>
      <c r="N267" s="1" t="n"/>
      <c r="O267" s="1" t="n"/>
    </row>
    <row r="268" ht="15.75" customHeight="1" s="216">
      <c r="A268" s="1" t="n"/>
      <c r="B268" s="1" t="n"/>
      <c r="C268" s="1" t="n"/>
      <c r="D268" s="1" t="n"/>
      <c r="E268" s="1" t="n"/>
      <c r="F268" s="1" t="n"/>
      <c r="G268" s="1" t="n"/>
      <c r="H268" s="1" t="n"/>
      <c r="I268" s="1" t="n"/>
      <c r="J268" s="1" t="n"/>
      <c r="K268" s="1" t="n"/>
      <c r="L268" s="1" t="n"/>
      <c r="M268" s="1" t="n"/>
      <c r="N268" s="1" t="n"/>
      <c r="O268" s="1" t="n"/>
    </row>
    <row r="269" ht="15.75" customHeight="1" s="216">
      <c r="A269" s="1" t="n"/>
      <c r="B269" s="1" t="n"/>
      <c r="C269" s="1" t="n"/>
      <c r="D269" s="1" t="n"/>
      <c r="E269" s="1" t="n"/>
      <c r="F269" s="1" t="n"/>
      <c r="G269" s="1" t="n"/>
      <c r="H269" s="1" t="n"/>
      <c r="I269" s="1" t="n"/>
      <c r="J269" s="1" t="n"/>
      <c r="K269" s="1" t="n"/>
      <c r="L269" s="1" t="n"/>
      <c r="M269" s="1" t="n"/>
      <c r="N269" s="1" t="n"/>
      <c r="O269" s="1" t="n"/>
    </row>
    <row r="270" ht="15.75" customHeight="1" s="216">
      <c r="A270" s="1" t="n"/>
      <c r="B270" s="1" t="n"/>
      <c r="C270" s="1" t="n"/>
      <c r="D270" s="1" t="n"/>
      <c r="E270" s="1" t="n"/>
      <c r="F270" s="1" t="n"/>
      <c r="G270" s="1" t="n"/>
      <c r="H270" s="1" t="n"/>
      <c r="I270" s="1" t="n"/>
      <c r="J270" s="1" t="n"/>
      <c r="K270" s="1" t="n"/>
      <c r="L270" s="1" t="n"/>
      <c r="M270" s="1" t="n"/>
      <c r="N270" s="1" t="n"/>
      <c r="O270" s="1" t="n"/>
    </row>
    <row r="271" ht="15.75" customHeight="1" s="216">
      <c r="A271" s="1" t="n"/>
      <c r="B271" s="1" t="n"/>
      <c r="C271" s="1" t="n"/>
      <c r="D271" s="1" t="n"/>
      <c r="E271" s="1" t="n"/>
      <c r="F271" s="1" t="n"/>
      <c r="G271" s="1" t="n"/>
      <c r="H271" s="1" t="n"/>
      <c r="I271" s="1" t="n"/>
      <c r="J271" s="1" t="n"/>
      <c r="K271" s="1" t="n"/>
      <c r="L271" s="1" t="n"/>
      <c r="M271" s="1" t="n"/>
      <c r="N271" s="1" t="n"/>
      <c r="O271" s="1" t="n"/>
    </row>
    <row r="272" ht="15.75" customHeight="1" s="216">
      <c r="A272" s="1" t="n"/>
      <c r="B272" s="1" t="n"/>
      <c r="C272" s="1" t="n"/>
      <c r="D272" s="1" t="n"/>
      <c r="E272" s="1" t="n"/>
      <c r="F272" s="1" t="n"/>
      <c r="G272" s="1" t="n"/>
      <c r="H272" s="1" t="n"/>
      <c r="I272" s="1" t="n"/>
      <c r="J272" s="1" t="n"/>
      <c r="K272" s="1" t="n"/>
      <c r="L272" s="1" t="n"/>
      <c r="M272" s="1" t="n"/>
      <c r="N272" s="1" t="n"/>
      <c r="O272" s="1" t="n"/>
    </row>
    <row r="273" ht="15.75" customHeight="1" s="216">
      <c r="A273" s="1" t="n"/>
      <c r="B273" s="1" t="n"/>
      <c r="C273" s="1" t="n"/>
      <c r="D273" s="1" t="n"/>
      <c r="E273" s="1" t="n"/>
      <c r="F273" s="1" t="n"/>
      <c r="G273" s="1" t="n"/>
      <c r="H273" s="1" t="n"/>
      <c r="I273" s="1" t="n"/>
      <c r="J273" s="1" t="n"/>
      <c r="K273" s="1" t="n"/>
      <c r="L273" s="1" t="n"/>
      <c r="M273" s="1" t="n"/>
      <c r="N273" s="1" t="n"/>
      <c r="O273" s="1" t="n"/>
    </row>
    <row r="274" ht="15.75" customHeight="1" s="216">
      <c r="A274" s="1" t="n"/>
      <c r="B274" s="1" t="n"/>
      <c r="C274" s="1" t="n"/>
      <c r="D274" s="1" t="n"/>
      <c r="E274" s="1" t="n"/>
      <c r="F274" s="1" t="n"/>
      <c r="G274" s="1" t="n"/>
      <c r="H274" s="1" t="n"/>
      <c r="I274" s="1" t="n"/>
      <c r="J274" s="1" t="n"/>
      <c r="K274" s="1" t="n"/>
      <c r="L274" s="1" t="n"/>
      <c r="M274" s="1" t="n"/>
      <c r="N274" s="1" t="n"/>
      <c r="O274" s="1" t="n"/>
    </row>
    <row r="275" ht="15.75" customHeight="1" s="216">
      <c r="A275" s="1" t="n"/>
      <c r="B275" s="1" t="n"/>
      <c r="C275" s="1" t="n"/>
      <c r="D275" s="1" t="n"/>
      <c r="E275" s="1" t="n"/>
      <c r="F275" s="1" t="n"/>
      <c r="G275" s="1" t="n"/>
      <c r="H275" s="1" t="n"/>
      <c r="I275" s="1" t="n"/>
      <c r="J275" s="1" t="n"/>
      <c r="K275" s="1" t="n"/>
      <c r="L275" s="1" t="n"/>
      <c r="M275" s="1" t="n"/>
      <c r="N275" s="1" t="n"/>
      <c r="O275" s="1" t="n"/>
    </row>
    <row r="276" ht="15.75" customHeight="1" s="216">
      <c r="A276" s="1" t="n"/>
      <c r="B276" s="1" t="n"/>
      <c r="C276" s="1" t="n"/>
      <c r="D276" s="1" t="n"/>
      <c r="E276" s="1" t="n"/>
      <c r="F276" s="1" t="n"/>
      <c r="G276" s="1" t="n"/>
      <c r="H276" s="1" t="n"/>
      <c r="I276" s="1" t="n"/>
      <c r="J276" s="1" t="n"/>
      <c r="K276" s="1" t="n"/>
      <c r="L276" s="1" t="n"/>
      <c r="M276" s="1" t="n"/>
      <c r="N276" s="1" t="n"/>
      <c r="O276" s="1" t="n"/>
    </row>
    <row r="277" ht="15.75" customHeight="1" s="216">
      <c r="A277" s="1" t="n"/>
      <c r="B277" s="1" t="n"/>
      <c r="C277" s="1" t="n"/>
      <c r="D277" s="1" t="n"/>
      <c r="E277" s="1" t="n"/>
      <c r="F277" s="1" t="n"/>
      <c r="G277" s="1" t="n"/>
      <c r="H277" s="1" t="n"/>
      <c r="I277" s="1" t="n"/>
      <c r="J277" s="1" t="n"/>
      <c r="K277" s="1" t="n"/>
      <c r="L277" s="1" t="n"/>
      <c r="M277" s="1" t="n"/>
      <c r="N277" s="1" t="n"/>
      <c r="O277" s="1" t="n"/>
    </row>
    <row r="278" ht="15.75" customHeight="1" s="216">
      <c r="A278" s="1" t="n"/>
      <c r="B278" s="1" t="n"/>
      <c r="C278" s="1" t="n"/>
      <c r="D278" s="1" t="n"/>
      <c r="E278" s="1" t="n"/>
      <c r="F278" s="1" t="n"/>
      <c r="G278" s="1" t="n"/>
      <c r="H278" s="1" t="n"/>
      <c r="I278" s="1" t="n"/>
      <c r="J278" s="1" t="n"/>
      <c r="K278" s="1" t="n"/>
      <c r="L278" s="1" t="n"/>
      <c r="M278" s="1" t="n"/>
      <c r="N278" s="1" t="n"/>
      <c r="O278" s="1" t="n"/>
    </row>
    <row r="279" ht="15.75" customHeight="1" s="216">
      <c r="A279" s="1" t="n"/>
      <c r="B279" s="1" t="n"/>
      <c r="C279" s="1" t="n"/>
      <c r="D279" s="1" t="n"/>
      <c r="E279" s="1" t="n"/>
      <c r="F279" s="1" t="n"/>
      <c r="G279" s="1" t="n"/>
      <c r="H279" s="1" t="n"/>
      <c r="I279" s="1" t="n"/>
      <c r="J279" s="1" t="n"/>
      <c r="K279" s="1" t="n"/>
      <c r="L279" s="1" t="n"/>
      <c r="M279" s="1" t="n"/>
      <c r="N279" s="1" t="n"/>
      <c r="O279" s="1" t="n"/>
    </row>
    <row r="280" ht="15.75" customHeight="1" s="216">
      <c r="A280" s="1" t="n"/>
      <c r="B280" s="1" t="n"/>
      <c r="C280" s="1" t="n"/>
      <c r="D280" s="1" t="n"/>
      <c r="E280" s="1" t="n"/>
      <c r="F280" s="1" t="n"/>
      <c r="G280" s="1" t="n"/>
      <c r="H280" s="1" t="n"/>
      <c r="I280" s="1" t="n"/>
      <c r="J280" s="1" t="n"/>
      <c r="K280" s="1" t="n"/>
      <c r="L280" s="1" t="n"/>
      <c r="M280" s="1" t="n"/>
      <c r="N280" s="1" t="n"/>
      <c r="O280" s="1" t="n"/>
    </row>
    <row r="281" ht="15.75" customHeight="1" s="216">
      <c r="A281" s="1" t="n"/>
      <c r="B281" s="1" t="n"/>
      <c r="C281" s="1" t="n"/>
      <c r="D281" s="1" t="n"/>
      <c r="E281" s="1" t="n"/>
      <c r="F281" s="1" t="n"/>
      <c r="G281" s="1" t="n"/>
      <c r="H281" s="1" t="n"/>
      <c r="I281" s="1" t="n"/>
      <c r="J281" s="1" t="n"/>
      <c r="K281" s="1" t="n"/>
      <c r="L281" s="1" t="n"/>
      <c r="M281" s="1" t="n"/>
      <c r="N281" s="1" t="n"/>
      <c r="O281" s="1" t="n"/>
    </row>
    <row r="282" ht="15.75" customHeight="1" s="216">
      <c r="A282" s="1" t="n"/>
      <c r="B282" s="1" t="n"/>
      <c r="C282" s="1" t="n"/>
      <c r="D282" s="1" t="n"/>
      <c r="E282" s="1" t="n"/>
      <c r="F282" s="1" t="n"/>
      <c r="G282" s="1" t="n"/>
      <c r="H282" s="1" t="n"/>
      <c r="I282" s="1" t="n"/>
      <c r="J282" s="1" t="n"/>
      <c r="K282" s="1" t="n"/>
      <c r="L282" s="1" t="n"/>
      <c r="M282" s="1" t="n"/>
      <c r="N282" s="1" t="n"/>
      <c r="O282" s="1" t="n"/>
    </row>
    <row r="283" ht="15.75" customHeight="1" s="216">
      <c r="A283" s="1" t="n"/>
      <c r="B283" s="1" t="n"/>
      <c r="C283" s="1" t="n"/>
      <c r="D283" s="1" t="n"/>
      <c r="E283" s="1" t="n"/>
      <c r="F283" s="1" t="n"/>
      <c r="G283" s="1" t="n"/>
      <c r="H283" s="1" t="n"/>
      <c r="I283" s="1" t="n"/>
      <c r="J283" s="1" t="n"/>
      <c r="K283" s="1" t="n"/>
      <c r="L283" s="1" t="n"/>
      <c r="M283" s="1" t="n"/>
      <c r="N283" s="1" t="n"/>
      <c r="O283" s="1" t="n"/>
    </row>
    <row r="284" ht="15.75" customHeight="1" s="216">
      <c r="A284" s="1" t="n"/>
      <c r="B284" s="1" t="n"/>
      <c r="C284" s="1" t="n"/>
      <c r="D284" s="1" t="n"/>
      <c r="E284" s="1" t="n"/>
      <c r="F284" s="1" t="n"/>
      <c r="G284" s="1" t="n"/>
      <c r="H284" s="1" t="n"/>
      <c r="I284" s="1" t="n"/>
      <c r="J284" s="1" t="n"/>
      <c r="K284" s="1" t="n"/>
      <c r="L284" s="1" t="n"/>
      <c r="M284" s="1" t="n"/>
      <c r="N284" s="1" t="n"/>
      <c r="O284" s="1" t="n"/>
    </row>
    <row r="285" ht="15.75" customHeight="1" s="216">
      <c r="A285" s="1" t="n"/>
      <c r="B285" s="1" t="n"/>
      <c r="C285" s="1" t="n"/>
      <c r="D285" s="1" t="n"/>
      <c r="E285" s="1" t="n"/>
      <c r="F285" s="1" t="n"/>
      <c r="G285" s="1" t="n"/>
      <c r="H285" s="1" t="n"/>
      <c r="I285" s="1" t="n"/>
      <c r="J285" s="1" t="n"/>
      <c r="K285" s="1" t="n"/>
      <c r="L285" s="1" t="n"/>
      <c r="M285" s="1" t="n"/>
      <c r="N285" s="1" t="n"/>
      <c r="O285" s="1" t="n"/>
    </row>
    <row r="286" ht="15.75" customHeight="1" s="216">
      <c r="A286" s="1" t="n"/>
      <c r="B286" s="1" t="n"/>
      <c r="C286" s="1" t="n"/>
      <c r="D286" s="1" t="n"/>
      <c r="E286" s="1" t="n"/>
      <c r="F286" s="1" t="n"/>
      <c r="G286" s="1" t="n"/>
      <c r="H286" s="1" t="n"/>
      <c r="I286" s="1" t="n"/>
      <c r="J286" s="1" t="n"/>
      <c r="K286" s="1" t="n"/>
      <c r="L286" s="1" t="n"/>
      <c r="M286" s="1" t="n"/>
      <c r="N286" s="1" t="n"/>
      <c r="O286" s="1" t="n"/>
    </row>
    <row r="287" ht="15.75" customHeight="1" s="216">
      <c r="A287" s="1" t="n"/>
      <c r="B287" s="1" t="n"/>
      <c r="C287" s="1" t="n"/>
      <c r="D287" s="1" t="n"/>
      <c r="E287" s="1" t="n"/>
      <c r="F287" s="1" t="n"/>
      <c r="G287" s="1" t="n"/>
      <c r="H287" s="1" t="n"/>
      <c r="I287" s="1" t="n"/>
      <c r="J287" s="1" t="n"/>
      <c r="K287" s="1" t="n"/>
      <c r="L287" s="1" t="n"/>
      <c r="M287" s="1" t="n"/>
      <c r="N287" s="1" t="n"/>
      <c r="O287" s="1" t="n"/>
    </row>
    <row r="288" ht="15.75" customHeight="1" s="216">
      <c r="A288" s="1" t="n"/>
      <c r="B288" s="1" t="n"/>
      <c r="C288" s="1" t="n"/>
      <c r="D288" s="1" t="n"/>
      <c r="E288" s="1" t="n"/>
      <c r="F288" s="1" t="n"/>
      <c r="G288" s="1" t="n"/>
      <c r="H288" s="1" t="n"/>
      <c r="I288" s="1" t="n"/>
      <c r="J288" s="1" t="n"/>
      <c r="K288" s="1" t="n"/>
      <c r="L288" s="1" t="n"/>
      <c r="M288" s="1" t="n"/>
      <c r="N288" s="1" t="n"/>
      <c r="O288" s="1" t="n"/>
    </row>
    <row r="289" ht="15.75" customHeight="1" s="216">
      <c r="A289" s="1" t="n"/>
      <c r="B289" s="1" t="n"/>
      <c r="C289" s="1" t="n"/>
      <c r="D289" s="1" t="n"/>
      <c r="E289" s="1" t="n"/>
      <c r="F289" s="1" t="n"/>
      <c r="G289" s="1" t="n"/>
      <c r="H289" s="1" t="n"/>
      <c r="I289" s="1" t="n"/>
      <c r="J289" s="1" t="n"/>
      <c r="K289" s="1" t="n"/>
      <c r="L289" s="1" t="n"/>
      <c r="M289" s="1" t="n"/>
      <c r="N289" s="1" t="n"/>
      <c r="O289" s="1" t="n"/>
    </row>
    <row r="290" ht="15.75" customHeight="1" s="216">
      <c r="A290" s="1" t="n"/>
      <c r="B290" s="1" t="n"/>
      <c r="C290" s="1" t="n"/>
      <c r="D290" s="1" t="n"/>
      <c r="E290" s="1" t="n"/>
      <c r="F290" s="1" t="n"/>
      <c r="G290" s="1" t="n"/>
      <c r="H290" s="1" t="n"/>
      <c r="I290" s="1" t="n"/>
      <c r="J290" s="1" t="n"/>
      <c r="K290" s="1" t="n"/>
      <c r="L290" s="1" t="n"/>
      <c r="M290" s="1" t="n"/>
      <c r="N290" s="1" t="n"/>
      <c r="O290" s="1" t="n"/>
    </row>
    <row r="291" ht="15.75" customHeight="1" s="216">
      <c r="A291" s="1" t="n"/>
      <c r="B291" s="1" t="n"/>
      <c r="C291" s="1" t="n"/>
      <c r="D291" s="1" t="n"/>
      <c r="E291" s="1" t="n"/>
      <c r="F291" s="1" t="n"/>
      <c r="G291" s="1" t="n"/>
      <c r="H291" s="1" t="n"/>
      <c r="I291" s="1" t="n"/>
      <c r="J291" s="1" t="n"/>
      <c r="K291" s="1" t="n"/>
      <c r="L291" s="1" t="n"/>
      <c r="M291" s="1" t="n"/>
      <c r="N291" s="1" t="n"/>
      <c r="O291" s="1" t="n"/>
    </row>
    <row r="292" ht="15.75" customHeight="1" s="216">
      <c r="A292" s="1" t="n"/>
      <c r="B292" s="1" t="n"/>
      <c r="C292" s="1" t="n"/>
      <c r="D292" s="1" t="n"/>
      <c r="E292" s="1" t="n"/>
      <c r="F292" s="1" t="n"/>
      <c r="G292" s="1" t="n"/>
      <c r="H292" s="1" t="n"/>
      <c r="I292" s="1" t="n"/>
      <c r="J292" s="1" t="n"/>
      <c r="K292" s="1" t="n"/>
      <c r="L292" s="1" t="n"/>
      <c r="M292" s="1" t="n"/>
      <c r="N292" s="1" t="n"/>
      <c r="O292" s="1" t="n"/>
    </row>
    <row r="293" ht="15.75" customHeight="1" s="216">
      <c r="A293" s="1" t="n"/>
      <c r="B293" s="1" t="n"/>
      <c r="C293" s="1" t="n"/>
      <c r="D293" s="1" t="n"/>
      <c r="E293" s="1" t="n"/>
      <c r="F293" s="1" t="n"/>
      <c r="G293" s="1" t="n"/>
      <c r="H293" s="1" t="n"/>
      <c r="I293" s="1" t="n"/>
      <c r="J293" s="1" t="n"/>
      <c r="K293" s="1" t="n"/>
      <c r="L293" s="1" t="n"/>
      <c r="M293" s="1" t="n"/>
      <c r="N293" s="1" t="n"/>
      <c r="O293" s="1" t="n"/>
    </row>
    <row r="294" ht="15.75" customHeight="1" s="216">
      <c r="A294" s="1" t="n"/>
      <c r="B294" s="1" t="n"/>
      <c r="C294" s="1" t="n"/>
      <c r="D294" s="1" t="n"/>
      <c r="E294" s="1" t="n"/>
      <c r="F294" s="1" t="n"/>
      <c r="G294" s="1" t="n"/>
      <c r="H294" s="1" t="n"/>
      <c r="I294" s="1" t="n"/>
      <c r="J294" s="1" t="n"/>
      <c r="K294" s="1" t="n"/>
      <c r="L294" s="1" t="n"/>
      <c r="M294" s="1" t="n"/>
      <c r="N294" s="1" t="n"/>
      <c r="O294" s="1" t="n"/>
    </row>
    <row r="295" ht="15.75" customHeight="1" s="216">
      <c r="A295" s="1" t="n"/>
      <c r="B295" s="1" t="n"/>
      <c r="C295" s="1" t="n"/>
      <c r="D295" s="1" t="n"/>
      <c r="E295" s="1" t="n"/>
      <c r="F295" s="1" t="n"/>
      <c r="G295" s="1" t="n"/>
      <c r="H295" s="1" t="n"/>
      <c r="I295" s="1" t="n"/>
      <c r="J295" s="1" t="n"/>
      <c r="K295" s="1" t="n"/>
      <c r="L295" s="1" t="n"/>
      <c r="M295" s="1" t="n"/>
      <c r="N295" s="1" t="n"/>
      <c r="O295" s="1" t="n"/>
    </row>
    <row r="296" ht="15.75" customHeight="1" s="216">
      <c r="A296" s="1" t="n"/>
      <c r="B296" s="1" t="n"/>
      <c r="C296" s="1" t="n"/>
      <c r="D296" s="1" t="n"/>
      <c r="E296" s="1" t="n"/>
      <c r="F296" s="1" t="n"/>
      <c r="G296" s="1" t="n"/>
      <c r="H296" s="1" t="n"/>
      <c r="I296" s="1" t="n"/>
      <c r="J296" s="1" t="n"/>
      <c r="K296" s="1" t="n"/>
      <c r="L296" s="1" t="n"/>
      <c r="M296" s="1" t="n"/>
      <c r="N296" s="1" t="n"/>
      <c r="O296" s="1" t="n"/>
    </row>
    <row r="297" ht="15.75" customHeight="1" s="216">
      <c r="A297" s="1" t="n"/>
      <c r="B297" s="1" t="n"/>
      <c r="C297" s="1" t="n"/>
      <c r="D297" s="1" t="n"/>
      <c r="E297" s="1" t="n"/>
      <c r="F297" s="1" t="n"/>
      <c r="G297" s="1" t="n"/>
      <c r="H297" s="1" t="n"/>
      <c r="I297" s="1" t="n"/>
      <c r="J297" s="1" t="n"/>
      <c r="K297" s="1" t="n"/>
      <c r="L297" s="1" t="n"/>
      <c r="M297" s="1" t="n"/>
      <c r="N297" s="1" t="n"/>
      <c r="O297" s="1" t="n"/>
    </row>
    <row r="298" ht="15.75" customHeight="1" s="216">
      <c r="A298" s="1" t="n"/>
      <c r="B298" s="1" t="n"/>
      <c r="C298" s="1" t="n"/>
      <c r="D298" s="1" t="n"/>
      <c r="E298" s="1" t="n"/>
      <c r="F298" s="1" t="n"/>
      <c r="G298" s="1" t="n"/>
      <c r="H298" s="1" t="n"/>
      <c r="I298" s="1" t="n"/>
      <c r="J298" s="1" t="n"/>
      <c r="K298" s="1" t="n"/>
      <c r="L298" s="1" t="n"/>
      <c r="M298" s="1" t="n"/>
      <c r="N298" s="1" t="n"/>
      <c r="O298" s="1" t="n"/>
    </row>
    <row r="299" ht="15.75" customHeight="1" s="216">
      <c r="A299" s="1" t="n"/>
      <c r="B299" s="1" t="n"/>
      <c r="C299" s="1" t="n"/>
      <c r="D299" s="1" t="n"/>
      <c r="E299" s="1" t="n"/>
      <c r="F299" s="1" t="n"/>
      <c r="G299" s="1" t="n"/>
      <c r="H299" s="1" t="n"/>
      <c r="I299" s="1" t="n"/>
      <c r="J299" s="1" t="n"/>
      <c r="K299" s="1" t="n"/>
      <c r="L299" s="1" t="n"/>
      <c r="M299" s="1" t="n"/>
      <c r="N299" s="1" t="n"/>
      <c r="O299" s="1" t="n"/>
    </row>
    <row r="300" ht="15.75" customHeight="1" s="216">
      <c r="A300" s="1" t="n"/>
      <c r="B300" s="1" t="n"/>
      <c r="C300" s="1" t="n"/>
      <c r="D300" s="1" t="n"/>
      <c r="E300" s="1" t="n"/>
      <c r="F300" s="1" t="n"/>
      <c r="G300" s="1" t="n"/>
      <c r="H300" s="1" t="n"/>
      <c r="I300" s="1" t="n"/>
      <c r="J300" s="1" t="n"/>
      <c r="K300" s="1" t="n"/>
      <c r="L300" s="1" t="n"/>
      <c r="M300" s="1" t="n"/>
      <c r="N300" s="1" t="n"/>
      <c r="O300" s="1" t="n"/>
    </row>
    <row r="301" ht="15.75" customHeight="1" s="216">
      <c r="A301" s="1" t="n"/>
      <c r="B301" s="1" t="n"/>
      <c r="C301" s="1" t="n"/>
      <c r="D301" s="1" t="n"/>
      <c r="E301" s="1" t="n"/>
      <c r="F301" s="1" t="n"/>
      <c r="G301" s="1" t="n"/>
      <c r="H301" s="1" t="n"/>
      <c r="I301" s="1" t="n"/>
      <c r="J301" s="1" t="n"/>
      <c r="K301" s="1" t="n"/>
      <c r="L301" s="1" t="n"/>
      <c r="M301" s="1" t="n"/>
      <c r="N301" s="1" t="n"/>
      <c r="O301" s="1" t="n"/>
    </row>
    <row r="302" ht="15.75" customHeight="1" s="216">
      <c r="A302" s="1" t="n"/>
      <c r="B302" s="1" t="n"/>
      <c r="C302" s="1" t="n"/>
      <c r="D302" s="1" t="n"/>
      <c r="E302" s="1" t="n"/>
      <c r="F302" s="1" t="n"/>
      <c r="G302" s="1" t="n"/>
      <c r="H302" s="1" t="n"/>
      <c r="I302" s="1" t="n"/>
      <c r="J302" s="1" t="n"/>
      <c r="K302" s="1" t="n"/>
      <c r="L302" s="1" t="n"/>
      <c r="M302" s="1" t="n"/>
      <c r="N302" s="1" t="n"/>
      <c r="O302" s="1" t="n"/>
    </row>
    <row r="303" ht="15.75" customHeight="1" s="216">
      <c r="A303" s="1" t="n"/>
      <c r="B303" s="1" t="n"/>
      <c r="C303" s="1" t="n"/>
      <c r="D303" s="1" t="n"/>
      <c r="E303" s="1" t="n"/>
      <c r="F303" s="1" t="n"/>
      <c r="G303" s="1" t="n"/>
      <c r="H303" s="1" t="n"/>
      <c r="I303" s="1" t="n"/>
      <c r="J303" s="1" t="n"/>
      <c r="K303" s="1" t="n"/>
      <c r="L303" s="1" t="n"/>
      <c r="M303" s="1" t="n"/>
      <c r="N303" s="1" t="n"/>
      <c r="O303" s="1" t="n"/>
    </row>
    <row r="304" ht="15.75" customHeight="1" s="216">
      <c r="A304" s="1" t="n"/>
      <c r="B304" s="1" t="n"/>
      <c r="C304" s="1" t="n"/>
      <c r="D304" s="1" t="n"/>
      <c r="E304" s="1" t="n"/>
      <c r="F304" s="1" t="n"/>
      <c r="G304" s="1" t="n"/>
      <c r="H304" s="1" t="n"/>
      <c r="I304" s="1" t="n"/>
      <c r="J304" s="1" t="n"/>
      <c r="K304" s="1" t="n"/>
      <c r="L304" s="1" t="n"/>
      <c r="M304" s="1" t="n"/>
      <c r="N304" s="1" t="n"/>
      <c r="O304" s="1" t="n"/>
    </row>
    <row r="305" ht="15.75" customHeight="1" s="216">
      <c r="A305" s="1" t="n"/>
      <c r="B305" s="1" t="n"/>
      <c r="C305" s="1" t="n"/>
      <c r="D305" s="1" t="n"/>
      <c r="E305" s="1" t="n"/>
      <c r="F305" s="1" t="n"/>
      <c r="G305" s="1" t="n"/>
      <c r="H305" s="1" t="n"/>
      <c r="I305" s="1" t="n"/>
      <c r="J305" s="1" t="n"/>
      <c r="K305" s="1" t="n"/>
      <c r="L305" s="1" t="n"/>
      <c r="M305" s="1" t="n"/>
      <c r="N305" s="1" t="n"/>
      <c r="O305" s="1" t="n"/>
    </row>
    <row r="306" ht="15.75" customHeight="1" s="216">
      <c r="A306" s="1" t="n"/>
      <c r="B306" s="1" t="n"/>
      <c r="C306" s="1" t="n"/>
      <c r="D306" s="1" t="n"/>
      <c r="E306" s="1" t="n"/>
      <c r="F306" s="1" t="n"/>
      <c r="G306" s="1" t="n"/>
      <c r="H306" s="1" t="n"/>
      <c r="I306" s="1" t="n"/>
      <c r="J306" s="1" t="n"/>
      <c r="K306" s="1" t="n"/>
      <c r="L306" s="1" t="n"/>
      <c r="M306" s="1" t="n"/>
      <c r="N306" s="1" t="n"/>
      <c r="O306" s="1" t="n"/>
    </row>
    <row r="307" ht="15.75" customHeight="1" s="216">
      <c r="A307" s="1" t="n"/>
      <c r="B307" s="1" t="n"/>
      <c r="C307" s="1" t="n"/>
      <c r="D307" s="1" t="n"/>
      <c r="E307" s="1" t="n"/>
      <c r="F307" s="1" t="n"/>
      <c r="G307" s="1" t="n"/>
      <c r="H307" s="1" t="n"/>
      <c r="I307" s="1" t="n"/>
      <c r="J307" s="1" t="n"/>
      <c r="K307" s="1" t="n"/>
      <c r="L307" s="1" t="n"/>
      <c r="M307" s="1" t="n"/>
      <c r="N307" s="1" t="n"/>
      <c r="O307" s="1" t="n"/>
    </row>
    <row r="308" ht="15.75" customHeight="1" s="216">
      <c r="A308" s="1" t="n"/>
      <c r="B308" s="1" t="n"/>
      <c r="C308" s="1" t="n"/>
      <c r="D308" s="1" t="n"/>
      <c r="E308" s="1" t="n"/>
      <c r="F308" s="1" t="n"/>
      <c r="G308" s="1" t="n"/>
      <c r="H308" s="1" t="n"/>
      <c r="I308" s="1" t="n"/>
      <c r="J308" s="1" t="n"/>
      <c r="K308" s="1" t="n"/>
      <c r="L308" s="1" t="n"/>
      <c r="M308" s="1" t="n"/>
      <c r="N308" s="1" t="n"/>
      <c r="O308" s="1" t="n"/>
    </row>
    <row r="309" ht="15.75" customHeight="1" s="216">
      <c r="A309" s="1" t="n"/>
      <c r="B309" s="1" t="n"/>
      <c r="C309" s="1" t="n"/>
      <c r="D309" s="1" t="n"/>
      <c r="E309" s="1" t="n"/>
      <c r="F309" s="1" t="n"/>
      <c r="G309" s="1" t="n"/>
      <c r="H309" s="1" t="n"/>
      <c r="I309" s="1" t="n"/>
      <c r="J309" s="1" t="n"/>
      <c r="K309" s="1" t="n"/>
      <c r="L309" s="1" t="n"/>
      <c r="M309" s="1" t="n"/>
      <c r="N309" s="1" t="n"/>
      <c r="O309" s="1" t="n"/>
    </row>
    <row r="310" ht="15.75" customHeight="1" s="216">
      <c r="A310" s="1" t="n"/>
      <c r="B310" s="1" t="n"/>
      <c r="C310" s="1" t="n"/>
      <c r="D310" s="1" t="n"/>
      <c r="E310" s="1" t="n"/>
      <c r="F310" s="1" t="n"/>
      <c r="G310" s="1" t="n"/>
      <c r="H310" s="1" t="n"/>
      <c r="I310" s="1" t="n"/>
      <c r="J310" s="1" t="n"/>
      <c r="K310" s="1" t="n"/>
      <c r="L310" s="1" t="n"/>
      <c r="M310" s="1" t="n"/>
      <c r="N310" s="1" t="n"/>
      <c r="O310" s="1" t="n"/>
    </row>
    <row r="311" ht="15.75" customHeight="1" s="216">
      <c r="A311" s="1" t="n"/>
      <c r="B311" s="1" t="n"/>
      <c r="C311" s="1" t="n"/>
      <c r="D311" s="1" t="n"/>
      <c r="E311" s="1" t="n"/>
      <c r="F311" s="1" t="n"/>
      <c r="G311" s="1" t="n"/>
      <c r="H311" s="1" t="n"/>
      <c r="I311" s="1" t="n"/>
      <c r="J311" s="1" t="n"/>
      <c r="K311" s="1" t="n"/>
      <c r="L311" s="1" t="n"/>
      <c r="M311" s="1" t="n"/>
      <c r="N311" s="1" t="n"/>
      <c r="O311" s="1" t="n"/>
    </row>
    <row r="312" ht="15.75" customHeight="1" s="216">
      <c r="A312" s="1" t="n"/>
      <c r="B312" s="1" t="n"/>
      <c r="C312" s="1" t="n"/>
      <c r="D312" s="1" t="n"/>
      <c r="E312" s="1" t="n"/>
      <c r="F312" s="1" t="n"/>
      <c r="G312" s="1" t="n"/>
      <c r="H312" s="1" t="n"/>
      <c r="I312" s="1" t="n"/>
      <c r="J312" s="1" t="n"/>
      <c r="K312" s="1" t="n"/>
      <c r="L312" s="1" t="n"/>
      <c r="M312" s="1" t="n"/>
      <c r="N312" s="1" t="n"/>
      <c r="O312" s="1" t="n"/>
    </row>
    <row r="313" ht="15.75" customHeight="1" s="216">
      <c r="A313" s="1" t="n"/>
      <c r="B313" s="1" t="n"/>
      <c r="C313" s="1" t="n"/>
      <c r="D313" s="1" t="n"/>
      <c r="E313" s="1" t="n"/>
      <c r="F313" s="1" t="n"/>
      <c r="G313" s="1" t="n"/>
      <c r="H313" s="1" t="n"/>
      <c r="I313" s="1" t="n"/>
      <c r="J313" s="1" t="n"/>
      <c r="K313" s="1" t="n"/>
      <c r="L313" s="1" t="n"/>
      <c r="M313" s="1" t="n"/>
      <c r="N313" s="1" t="n"/>
      <c r="O313" s="1" t="n"/>
    </row>
    <row r="314" ht="15.75" customHeight="1" s="216">
      <c r="A314" s="1" t="n"/>
      <c r="B314" s="1" t="n"/>
      <c r="C314" s="1" t="n"/>
      <c r="D314" s="1" t="n"/>
      <c r="E314" s="1" t="n"/>
      <c r="F314" s="1" t="n"/>
      <c r="G314" s="1" t="n"/>
      <c r="H314" s="1" t="n"/>
      <c r="I314" s="1" t="n"/>
      <c r="J314" s="1" t="n"/>
      <c r="K314" s="1" t="n"/>
      <c r="L314" s="1" t="n"/>
      <c r="M314" s="1" t="n"/>
      <c r="N314" s="1" t="n"/>
      <c r="O314" s="1" t="n"/>
    </row>
    <row r="315" ht="15.75" customHeight="1" s="216">
      <c r="A315" s="1" t="n"/>
      <c r="B315" s="1" t="n"/>
      <c r="C315" s="1" t="n"/>
      <c r="D315" s="1" t="n"/>
      <c r="E315" s="1" t="n"/>
      <c r="F315" s="1" t="n"/>
      <c r="G315" s="1" t="n"/>
      <c r="H315" s="1" t="n"/>
      <c r="I315" s="1" t="n"/>
      <c r="J315" s="1" t="n"/>
      <c r="K315" s="1" t="n"/>
      <c r="L315" s="1" t="n"/>
      <c r="M315" s="1" t="n"/>
      <c r="N315" s="1" t="n"/>
      <c r="O315" s="1" t="n"/>
    </row>
    <row r="316" ht="15.75" customHeight="1" s="216">
      <c r="A316" s="1" t="n"/>
      <c r="B316" s="1" t="n"/>
      <c r="C316" s="1" t="n"/>
      <c r="D316" s="1" t="n"/>
      <c r="E316" s="1" t="n"/>
      <c r="F316" s="1" t="n"/>
      <c r="G316" s="1" t="n"/>
      <c r="H316" s="1" t="n"/>
      <c r="I316" s="1" t="n"/>
      <c r="J316" s="1" t="n"/>
      <c r="K316" s="1" t="n"/>
      <c r="L316" s="1" t="n"/>
      <c r="M316" s="1" t="n"/>
      <c r="N316" s="1" t="n"/>
      <c r="O316" s="1" t="n"/>
    </row>
    <row r="317" ht="15.75" customHeight="1" s="216">
      <c r="A317" s="1" t="n"/>
      <c r="B317" s="1" t="n"/>
      <c r="C317" s="1" t="n"/>
      <c r="D317" s="1" t="n"/>
      <c r="E317" s="1" t="n"/>
      <c r="F317" s="1" t="n"/>
      <c r="G317" s="1" t="n"/>
      <c r="H317" s="1" t="n"/>
      <c r="I317" s="1" t="n"/>
      <c r="J317" s="1" t="n"/>
      <c r="K317" s="1" t="n"/>
      <c r="L317" s="1" t="n"/>
      <c r="M317" s="1" t="n"/>
      <c r="N317" s="1" t="n"/>
      <c r="O317" s="1" t="n"/>
    </row>
    <row r="318" ht="15.75" customHeight="1" s="216">
      <c r="A318" s="1" t="n"/>
      <c r="B318" s="1" t="n"/>
      <c r="C318" s="1" t="n"/>
      <c r="D318" s="1" t="n"/>
      <c r="E318" s="1" t="n"/>
      <c r="F318" s="1" t="n"/>
      <c r="G318" s="1" t="n"/>
      <c r="H318" s="1" t="n"/>
      <c r="I318" s="1" t="n"/>
      <c r="J318" s="1" t="n"/>
      <c r="K318" s="1" t="n"/>
      <c r="L318" s="1" t="n"/>
      <c r="M318" s="1" t="n"/>
      <c r="N318" s="1" t="n"/>
      <c r="O318" s="1" t="n"/>
    </row>
    <row r="319" ht="15.75" customHeight="1" s="216">
      <c r="A319" s="1" t="n"/>
      <c r="B319" s="1" t="n"/>
      <c r="C319" s="1" t="n"/>
      <c r="D319" s="1" t="n"/>
      <c r="E319" s="1" t="n"/>
      <c r="F319" s="1" t="n"/>
      <c r="G319" s="1" t="n"/>
      <c r="H319" s="1" t="n"/>
      <c r="I319" s="1" t="n"/>
      <c r="J319" s="1" t="n"/>
      <c r="K319" s="1" t="n"/>
      <c r="L319" s="1" t="n"/>
      <c r="M319" s="1" t="n"/>
      <c r="N319" s="1" t="n"/>
      <c r="O319" s="1" t="n"/>
    </row>
    <row r="320" ht="15.75" customHeight="1" s="216">
      <c r="A320" s="1" t="n"/>
      <c r="B320" s="1" t="n"/>
      <c r="C320" s="1" t="n"/>
      <c r="D320" s="1" t="n"/>
      <c r="E320" s="1" t="n"/>
      <c r="F320" s="1" t="n"/>
      <c r="G320" s="1" t="n"/>
      <c r="H320" s="1" t="n"/>
      <c r="I320" s="1" t="n"/>
      <c r="J320" s="1" t="n"/>
      <c r="K320" s="1" t="n"/>
      <c r="L320" s="1" t="n"/>
      <c r="M320" s="1" t="n"/>
      <c r="N320" s="1" t="n"/>
      <c r="O320" s="1" t="n"/>
    </row>
    <row r="321" ht="15.75" customHeight="1" s="216">
      <c r="A321" s="1" t="n"/>
      <c r="B321" s="1" t="n"/>
      <c r="C321" s="1" t="n"/>
      <c r="D321" s="1" t="n"/>
      <c r="E321" s="1" t="n"/>
      <c r="F321" s="1" t="n"/>
      <c r="G321" s="1" t="n"/>
      <c r="H321" s="1" t="n"/>
      <c r="I321" s="1" t="n"/>
      <c r="J321" s="1" t="n"/>
      <c r="K321" s="1" t="n"/>
      <c r="L321" s="1" t="n"/>
      <c r="M321" s="1" t="n"/>
      <c r="N321" s="1" t="n"/>
      <c r="O321" s="1" t="n"/>
    </row>
    <row r="322" ht="15.75" customHeight="1" s="216">
      <c r="A322" s="1" t="n"/>
      <c r="B322" s="1" t="n"/>
      <c r="C322" s="1" t="n"/>
      <c r="D322" s="1" t="n"/>
      <c r="E322" s="1" t="n"/>
      <c r="F322" s="1" t="n"/>
      <c r="G322" s="1" t="n"/>
      <c r="H322" s="1" t="n"/>
      <c r="I322" s="1" t="n"/>
      <c r="J322" s="1" t="n"/>
      <c r="K322" s="1" t="n"/>
      <c r="L322" s="1" t="n"/>
      <c r="M322" s="1" t="n"/>
      <c r="N322" s="1" t="n"/>
      <c r="O322" s="1" t="n"/>
    </row>
    <row r="323" ht="15.75" customHeight="1" s="216">
      <c r="A323" s="1" t="n"/>
      <c r="B323" s="1" t="n"/>
      <c r="C323" s="1" t="n"/>
      <c r="D323" s="1" t="n"/>
      <c r="E323" s="1" t="n"/>
      <c r="F323" s="1" t="n"/>
      <c r="G323" s="1" t="n"/>
      <c r="H323" s="1" t="n"/>
      <c r="I323" s="1" t="n"/>
      <c r="J323" s="1" t="n"/>
      <c r="K323" s="1" t="n"/>
      <c r="L323" s="1" t="n"/>
      <c r="M323" s="1" t="n"/>
      <c r="N323" s="1" t="n"/>
      <c r="O323" s="1" t="n"/>
    </row>
    <row r="324" ht="15.75" customHeight="1" s="216">
      <c r="A324" s="1" t="n"/>
      <c r="B324" s="1" t="n"/>
      <c r="C324" s="1" t="n"/>
      <c r="D324" s="1" t="n"/>
      <c r="E324" s="1" t="n"/>
      <c r="F324" s="1" t="n"/>
      <c r="G324" s="1" t="n"/>
      <c r="H324" s="1" t="n"/>
      <c r="I324" s="1" t="n"/>
      <c r="J324" s="1" t="n"/>
      <c r="K324" s="1" t="n"/>
      <c r="L324" s="1" t="n"/>
      <c r="M324" s="1" t="n"/>
      <c r="N324" s="1" t="n"/>
      <c r="O324" s="1" t="n"/>
    </row>
    <row r="325" ht="15.75" customHeight="1" s="216">
      <c r="A325" s="1" t="n"/>
      <c r="B325" s="1" t="n"/>
      <c r="C325" s="1" t="n"/>
      <c r="D325" s="1" t="n"/>
      <c r="E325" s="1" t="n"/>
      <c r="F325" s="1" t="n"/>
      <c r="G325" s="1" t="n"/>
      <c r="H325" s="1" t="n"/>
      <c r="I325" s="1" t="n"/>
      <c r="J325" s="1" t="n"/>
      <c r="K325" s="1" t="n"/>
      <c r="L325" s="1" t="n"/>
      <c r="M325" s="1" t="n"/>
      <c r="N325" s="1" t="n"/>
      <c r="O325" s="1" t="n"/>
    </row>
    <row r="326" ht="15.75" customHeight="1" s="216">
      <c r="A326" s="1" t="n"/>
      <c r="B326" s="1" t="n"/>
      <c r="C326" s="1" t="n"/>
      <c r="D326" s="1" t="n"/>
      <c r="E326" s="1" t="n"/>
      <c r="F326" s="1" t="n"/>
      <c r="G326" s="1" t="n"/>
      <c r="H326" s="1" t="n"/>
      <c r="I326" s="1" t="n"/>
      <c r="J326" s="1" t="n"/>
      <c r="K326" s="1" t="n"/>
      <c r="L326" s="1" t="n"/>
      <c r="M326" s="1" t="n"/>
      <c r="N326" s="1" t="n"/>
      <c r="O326" s="1" t="n"/>
    </row>
    <row r="327" ht="15.75" customHeight="1" s="216">
      <c r="A327" s="1" t="n"/>
      <c r="B327" s="1" t="n"/>
      <c r="C327" s="1" t="n"/>
      <c r="D327" s="1" t="n"/>
      <c r="E327" s="1" t="n"/>
      <c r="F327" s="1" t="n"/>
      <c r="G327" s="1" t="n"/>
      <c r="H327" s="1" t="n"/>
      <c r="I327" s="1" t="n"/>
      <c r="J327" s="1" t="n"/>
      <c r="K327" s="1" t="n"/>
      <c r="L327" s="1" t="n"/>
      <c r="M327" s="1" t="n"/>
      <c r="N327" s="1" t="n"/>
      <c r="O327" s="1" t="n"/>
    </row>
    <row r="328" ht="15.75" customHeight="1" s="216">
      <c r="A328" s="1" t="n"/>
      <c r="B328" s="1" t="n"/>
      <c r="C328" s="1" t="n"/>
      <c r="D328" s="1" t="n"/>
      <c r="E328" s="1" t="n"/>
      <c r="F328" s="1" t="n"/>
      <c r="G328" s="1" t="n"/>
      <c r="H328" s="1" t="n"/>
      <c r="I328" s="1" t="n"/>
      <c r="J328" s="1" t="n"/>
      <c r="K328" s="1" t="n"/>
      <c r="L328" s="1" t="n"/>
      <c r="M328" s="1" t="n"/>
      <c r="N328" s="1" t="n"/>
      <c r="O328" s="1" t="n"/>
    </row>
    <row r="329" ht="15.75" customHeight="1" s="216">
      <c r="A329" s="1" t="n"/>
      <c r="B329" s="1" t="n"/>
      <c r="C329" s="1" t="n"/>
      <c r="D329" s="1" t="n"/>
      <c r="E329" s="1" t="n"/>
      <c r="F329" s="1" t="n"/>
      <c r="G329" s="1" t="n"/>
      <c r="H329" s="1" t="n"/>
      <c r="I329" s="1" t="n"/>
      <c r="J329" s="1" t="n"/>
      <c r="K329" s="1" t="n"/>
      <c r="L329" s="1" t="n"/>
      <c r="M329" s="1" t="n"/>
      <c r="N329" s="1" t="n"/>
      <c r="O329" s="1" t="n"/>
    </row>
    <row r="330" ht="15.75" customHeight="1" s="216">
      <c r="A330" s="1" t="n"/>
      <c r="B330" s="1" t="n"/>
      <c r="C330" s="1" t="n"/>
      <c r="D330" s="1" t="n"/>
      <c r="E330" s="1" t="n"/>
      <c r="F330" s="1" t="n"/>
      <c r="G330" s="1" t="n"/>
      <c r="H330" s="1" t="n"/>
      <c r="I330" s="1" t="n"/>
      <c r="J330" s="1" t="n"/>
      <c r="K330" s="1" t="n"/>
      <c r="L330" s="1" t="n"/>
      <c r="M330" s="1" t="n"/>
      <c r="N330" s="1" t="n"/>
      <c r="O330" s="1" t="n"/>
    </row>
    <row r="331" ht="15.75" customHeight="1" s="216">
      <c r="A331" s="1" t="n"/>
      <c r="B331" s="1" t="n"/>
      <c r="C331" s="1" t="n"/>
      <c r="D331" s="1" t="n"/>
      <c r="E331" s="1" t="n"/>
      <c r="F331" s="1" t="n"/>
      <c r="G331" s="1" t="n"/>
      <c r="H331" s="1" t="n"/>
      <c r="I331" s="1" t="n"/>
      <c r="J331" s="1" t="n"/>
      <c r="K331" s="1" t="n"/>
      <c r="L331" s="1" t="n"/>
      <c r="M331" s="1" t="n"/>
      <c r="N331" s="1" t="n"/>
      <c r="O331" s="1" t="n"/>
    </row>
    <row r="332" ht="15.75" customHeight="1" s="216">
      <c r="A332" s="1" t="n"/>
      <c r="B332" s="1" t="n"/>
      <c r="C332" s="1" t="n"/>
      <c r="D332" s="1" t="n"/>
      <c r="E332" s="1" t="n"/>
      <c r="F332" s="1" t="n"/>
      <c r="G332" s="1" t="n"/>
      <c r="H332" s="1" t="n"/>
      <c r="I332" s="1" t="n"/>
      <c r="J332" s="1" t="n"/>
      <c r="K332" s="1" t="n"/>
      <c r="L332" s="1" t="n"/>
      <c r="M332" s="1" t="n"/>
      <c r="N332" s="1" t="n"/>
      <c r="O332" s="1" t="n"/>
    </row>
    <row r="333" ht="15.75" customHeight="1" s="216">
      <c r="A333" s="1" t="n"/>
      <c r="B333" s="1" t="n"/>
      <c r="C333" s="1" t="n"/>
      <c r="D333" s="1" t="n"/>
      <c r="E333" s="1" t="n"/>
      <c r="F333" s="1" t="n"/>
      <c r="G333" s="1" t="n"/>
      <c r="H333" s="1" t="n"/>
      <c r="I333" s="1" t="n"/>
      <c r="J333" s="1" t="n"/>
      <c r="K333" s="1" t="n"/>
      <c r="L333" s="1" t="n"/>
      <c r="M333" s="1" t="n"/>
      <c r="N333" s="1" t="n"/>
      <c r="O333" s="1" t="n"/>
    </row>
    <row r="334" ht="15.75" customHeight="1" s="216">
      <c r="A334" s="1" t="n"/>
      <c r="B334" s="1" t="n"/>
      <c r="C334" s="1" t="n"/>
      <c r="D334" s="1" t="n"/>
      <c r="E334" s="1" t="n"/>
      <c r="F334" s="1" t="n"/>
      <c r="G334" s="1" t="n"/>
      <c r="H334" s="1" t="n"/>
      <c r="I334" s="1" t="n"/>
      <c r="J334" s="1" t="n"/>
      <c r="K334" s="1" t="n"/>
      <c r="L334" s="1" t="n"/>
      <c r="M334" s="1" t="n"/>
      <c r="N334" s="1" t="n"/>
      <c r="O334" s="1" t="n"/>
    </row>
    <row r="335" ht="15.75" customHeight="1" s="216">
      <c r="A335" s="1" t="n"/>
      <c r="B335" s="1" t="n"/>
      <c r="C335" s="1" t="n"/>
      <c r="D335" s="1" t="n"/>
      <c r="E335" s="1" t="n"/>
      <c r="F335" s="1" t="n"/>
      <c r="G335" s="1" t="n"/>
      <c r="H335" s="1" t="n"/>
      <c r="I335" s="1" t="n"/>
      <c r="J335" s="1" t="n"/>
      <c r="K335" s="1" t="n"/>
      <c r="L335" s="1" t="n"/>
      <c r="M335" s="1" t="n"/>
      <c r="N335" s="1" t="n"/>
      <c r="O335" s="1" t="n"/>
    </row>
    <row r="336" ht="15.75" customHeight="1" s="216">
      <c r="A336" s="1" t="n"/>
      <c r="B336" s="1" t="n"/>
      <c r="C336" s="1" t="n"/>
      <c r="D336" s="1" t="n"/>
      <c r="E336" s="1" t="n"/>
      <c r="F336" s="1" t="n"/>
      <c r="G336" s="1" t="n"/>
      <c r="H336" s="1" t="n"/>
      <c r="I336" s="1" t="n"/>
      <c r="J336" s="1" t="n"/>
      <c r="K336" s="1" t="n"/>
      <c r="L336" s="1" t="n"/>
      <c r="M336" s="1" t="n"/>
      <c r="N336" s="1" t="n"/>
      <c r="O336" s="1" t="n"/>
    </row>
    <row r="337" ht="15.75" customHeight="1" s="216">
      <c r="A337" s="1" t="n"/>
      <c r="B337" s="1" t="n"/>
      <c r="C337" s="1" t="n"/>
      <c r="D337" s="1" t="n"/>
      <c r="E337" s="1" t="n"/>
      <c r="F337" s="1" t="n"/>
      <c r="G337" s="1" t="n"/>
      <c r="H337" s="1" t="n"/>
      <c r="I337" s="1" t="n"/>
      <c r="J337" s="1" t="n"/>
      <c r="K337" s="1" t="n"/>
      <c r="L337" s="1" t="n"/>
      <c r="M337" s="1" t="n"/>
      <c r="N337" s="1" t="n"/>
      <c r="O337" s="1" t="n"/>
    </row>
    <row r="338" ht="15.75" customHeight="1" s="216">
      <c r="A338" s="1" t="n"/>
      <c r="B338" s="1" t="n"/>
      <c r="C338" s="1" t="n"/>
      <c r="D338" s="1" t="n"/>
      <c r="E338" s="1" t="n"/>
      <c r="F338" s="1" t="n"/>
      <c r="G338" s="1" t="n"/>
      <c r="H338" s="1" t="n"/>
      <c r="I338" s="1" t="n"/>
      <c r="J338" s="1" t="n"/>
      <c r="K338" s="1" t="n"/>
      <c r="L338" s="1" t="n"/>
      <c r="M338" s="1" t="n"/>
      <c r="N338" s="1" t="n"/>
      <c r="O338" s="1" t="n"/>
    </row>
    <row r="339" ht="15.75" customHeight="1" s="216">
      <c r="A339" s="1" t="n"/>
      <c r="B339" s="1" t="n"/>
      <c r="C339" s="1" t="n"/>
      <c r="D339" s="1" t="n"/>
      <c r="E339" s="1" t="n"/>
      <c r="F339" s="1" t="n"/>
      <c r="G339" s="1" t="n"/>
      <c r="H339" s="1" t="n"/>
      <c r="I339" s="1" t="n"/>
      <c r="J339" s="1" t="n"/>
      <c r="K339" s="1" t="n"/>
      <c r="L339" s="1" t="n"/>
      <c r="M339" s="1" t="n"/>
      <c r="N339" s="1" t="n"/>
      <c r="O339" s="1" t="n"/>
    </row>
    <row r="340" ht="15.75" customHeight="1" s="216">
      <c r="A340" s="1" t="n"/>
      <c r="B340" s="1" t="n"/>
      <c r="C340" s="1" t="n"/>
      <c r="D340" s="1" t="n"/>
      <c r="E340" s="1" t="n"/>
      <c r="F340" s="1" t="n"/>
      <c r="G340" s="1" t="n"/>
      <c r="H340" s="1" t="n"/>
      <c r="I340" s="1" t="n"/>
      <c r="J340" s="1" t="n"/>
      <c r="K340" s="1" t="n"/>
      <c r="L340" s="1" t="n"/>
      <c r="M340" s="1" t="n"/>
      <c r="N340" s="1" t="n"/>
      <c r="O340" s="1" t="n"/>
    </row>
    <row r="341" ht="15.75" customHeight="1" s="216">
      <c r="A341" s="1" t="n"/>
      <c r="B341" s="1" t="n"/>
      <c r="C341" s="1" t="n"/>
      <c r="D341" s="1" t="n"/>
      <c r="E341" s="1" t="n"/>
      <c r="F341" s="1" t="n"/>
      <c r="G341" s="1" t="n"/>
      <c r="H341" s="1" t="n"/>
      <c r="I341" s="1" t="n"/>
      <c r="J341" s="1" t="n"/>
      <c r="K341" s="1" t="n"/>
      <c r="L341" s="1" t="n"/>
      <c r="M341" s="1" t="n"/>
      <c r="N341" s="1" t="n"/>
      <c r="O341" s="1" t="n"/>
    </row>
    <row r="342" ht="15.75" customHeight="1" s="216">
      <c r="A342" s="1" t="n"/>
      <c r="B342" s="1" t="n"/>
      <c r="C342" s="1" t="n"/>
      <c r="D342" s="1" t="n"/>
      <c r="E342" s="1" t="n"/>
      <c r="F342" s="1" t="n"/>
      <c r="G342" s="1" t="n"/>
      <c r="H342" s="1" t="n"/>
      <c r="I342" s="1" t="n"/>
      <c r="J342" s="1" t="n"/>
      <c r="K342" s="1" t="n"/>
      <c r="L342" s="1" t="n"/>
      <c r="M342" s="1" t="n"/>
      <c r="N342" s="1" t="n"/>
      <c r="O342" s="1" t="n"/>
    </row>
    <row r="343" ht="15.75" customHeight="1" s="216">
      <c r="A343" s="1" t="n"/>
      <c r="B343" s="1" t="n"/>
      <c r="C343" s="1" t="n"/>
      <c r="D343" s="1" t="n"/>
      <c r="E343" s="1" t="n"/>
      <c r="F343" s="1" t="n"/>
      <c r="G343" s="1" t="n"/>
      <c r="H343" s="1" t="n"/>
      <c r="I343" s="1" t="n"/>
      <c r="J343" s="1" t="n"/>
      <c r="K343" s="1" t="n"/>
      <c r="L343" s="1" t="n"/>
      <c r="M343" s="1" t="n"/>
      <c r="N343" s="1" t="n"/>
      <c r="O343" s="1" t="n"/>
    </row>
    <row r="344" ht="15.75" customHeight="1" s="216">
      <c r="A344" s="1" t="n"/>
      <c r="B344" s="1" t="n"/>
      <c r="C344" s="1" t="n"/>
      <c r="D344" s="1" t="n"/>
      <c r="E344" s="1" t="n"/>
      <c r="F344" s="1" t="n"/>
      <c r="G344" s="1" t="n"/>
      <c r="H344" s="1" t="n"/>
      <c r="I344" s="1" t="n"/>
      <c r="J344" s="1" t="n"/>
      <c r="K344" s="1" t="n"/>
      <c r="L344" s="1" t="n"/>
      <c r="M344" s="1" t="n"/>
      <c r="N344" s="1" t="n"/>
      <c r="O344" s="1" t="n"/>
    </row>
    <row r="345" ht="15.75" customHeight="1" s="216">
      <c r="A345" s="1" t="n"/>
      <c r="B345" s="1" t="n"/>
      <c r="C345" s="1" t="n"/>
      <c r="D345" s="1" t="n"/>
      <c r="E345" s="1" t="n"/>
      <c r="F345" s="1" t="n"/>
      <c r="G345" s="1" t="n"/>
      <c r="H345" s="1" t="n"/>
      <c r="I345" s="1" t="n"/>
      <c r="J345" s="1" t="n"/>
      <c r="K345" s="1" t="n"/>
      <c r="L345" s="1" t="n"/>
      <c r="M345" s="1" t="n"/>
      <c r="N345" s="1" t="n"/>
      <c r="O345" s="1" t="n"/>
    </row>
    <row r="346" ht="15.75" customHeight="1" s="216">
      <c r="A346" s="1" t="n"/>
      <c r="B346" s="1" t="n"/>
      <c r="C346" s="1" t="n"/>
      <c r="D346" s="1" t="n"/>
      <c r="E346" s="1" t="n"/>
      <c r="F346" s="1" t="n"/>
      <c r="G346" s="1" t="n"/>
      <c r="H346" s="1" t="n"/>
      <c r="I346" s="1" t="n"/>
      <c r="J346" s="1" t="n"/>
      <c r="K346" s="1" t="n"/>
      <c r="L346" s="1" t="n"/>
      <c r="M346" s="1" t="n"/>
      <c r="N346" s="1" t="n"/>
      <c r="O346" s="1" t="n"/>
    </row>
    <row r="347" ht="15.75" customHeight="1" s="216">
      <c r="A347" s="1" t="n"/>
      <c r="B347" s="1" t="n"/>
      <c r="C347" s="1" t="n"/>
      <c r="D347" s="1" t="n"/>
      <c r="E347" s="1" t="n"/>
      <c r="F347" s="1" t="n"/>
      <c r="G347" s="1" t="n"/>
      <c r="H347" s="1" t="n"/>
      <c r="I347" s="1" t="n"/>
      <c r="J347" s="1" t="n"/>
      <c r="K347" s="1" t="n"/>
      <c r="L347" s="1" t="n"/>
      <c r="M347" s="1" t="n"/>
      <c r="N347" s="1" t="n"/>
      <c r="O347" s="1" t="n"/>
    </row>
    <row r="348" ht="15.75" customHeight="1" s="216">
      <c r="A348" s="1" t="n"/>
      <c r="B348" s="1" t="n"/>
      <c r="C348" s="1" t="n"/>
      <c r="D348" s="1" t="n"/>
      <c r="E348" s="1" t="n"/>
      <c r="F348" s="1" t="n"/>
      <c r="G348" s="1" t="n"/>
      <c r="H348" s="1" t="n"/>
      <c r="I348" s="1" t="n"/>
      <c r="J348" s="1" t="n"/>
      <c r="K348" s="1" t="n"/>
      <c r="L348" s="1" t="n"/>
      <c r="M348" s="1" t="n"/>
      <c r="N348" s="1" t="n"/>
      <c r="O348" s="1" t="n"/>
    </row>
    <row r="349" ht="15.75" customHeight="1" s="216">
      <c r="A349" s="1" t="n"/>
      <c r="B349" s="1" t="n"/>
      <c r="C349" s="1" t="n"/>
      <c r="D349" s="1" t="n"/>
      <c r="E349" s="1" t="n"/>
      <c r="F349" s="1" t="n"/>
      <c r="G349" s="1" t="n"/>
      <c r="H349" s="1" t="n"/>
      <c r="I349" s="1" t="n"/>
      <c r="J349" s="1" t="n"/>
      <c r="K349" s="1" t="n"/>
      <c r="L349" s="1" t="n"/>
      <c r="M349" s="1" t="n"/>
      <c r="N349" s="1" t="n"/>
      <c r="O349" s="1" t="n"/>
    </row>
    <row r="350" ht="15.75" customHeight="1" s="216">
      <c r="A350" s="1" t="n"/>
      <c r="B350" s="1" t="n"/>
      <c r="C350" s="1" t="n"/>
      <c r="D350" s="1" t="n"/>
      <c r="E350" s="1" t="n"/>
      <c r="F350" s="1" t="n"/>
      <c r="G350" s="1" t="n"/>
      <c r="H350" s="1" t="n"/>
      <c r="I350" s="1" t="n"/>
      <c r="J350" s="1" t="n"/>
      <c r="K350" s="1" t="n"/>
      <c r="L350" s="1" t="n"/>
      <c r="M350" s="1" t="n"/>
      <c r="N350" s="1" t="n"/>
      <c r="O350" s="1" t="n"/>
    </row>
    <row r="351" ht="15.75" customHeight="1" s="216">
      <c r="A351" s="1" t="n"/>
      <c r="B351" s="1" t="n"/>
      <c r="C351" s="1" t="n"/>
      <c r="D351" s="1" t="n"/>
      <c r="E351" s="1" t="n"/>
      <c r="F351" s="1" t="n"/>
      <c r="G351" s="1" t="n"/>
      <c r="H351" s="1" t="n"/>
      <c r="I351" s="1" t="n"/>
      <c r="J351" s="1" t="n"/>
      <c r="K351" s="1" t="n"/>
      <c r="L351" s="1" t="n"/>
      <c r="M351" s="1" t="n"/>
      <c r="N351" s="1" t="n"/>
      <c r="O351" s="1" t="n"/>
    </row>
    <row r="352" ht="15.75" customHeight="1" s="216">
      <c r="A352" s="1" t="n"/>
      <c r="B352" s="1" t="n"/>
      <c r="C352" s="1" t="n"/>
      <c r="D352" s="1" t="n"/>
      <c r="E352" s="1" t="n"/>
      <c r="F352" s="1" t="n"/>
      <c r="G352" s="1" t="n"/>
      <c r="H352" s="1" t="n"/>
      <c r="I352" s="1" t="n"/>
      <c r="J352" s="1" t="n"/>
      <c r="K352" s="1" t="n"/>
      <c r="L352" s="1" t="n"/>
      <c r="M352" s="1" t="n"/>
      <c r="N352" s="1" t="n"/>
      <c r="O352" s="1" t="n"/>
    </row>
    <row r="353" ht="15.75" customHeight="1" s="216">
      <c r="A353" s="1" t="n"/>
      <c r="B353" s="1" t="n"/>
      <c r="C353" s="1" t="n"/>
      <c r="D353" s="1" t="n"/>
      <c r="E353" s="1" t="n"/>
      <c r="F353" s="1" t="n"/>
      <c r="G353" s="1" t="n"/>
      <c r="H353" s="1" t="n"/>
      <c r="I353" s="1" t="n"/>
      <c r="J353" s="1" t="n"/>
      <c r="K353" s="1" t="n"/>
      <c r="L353" s="1" t="n"/>
      <c r="M353" s="1" t="n"/>
      <c r="N353" s="1" t="n"/>
      <c r="O353" s="1" t="n"/>
    </row>
    <row r="354" ht="15.75" customHeight="1" s="216">
      <c r="A354" s="1" t="n"/>
      <c r="B354" s="1" t="n"/>
      <c r="C354" s="1" t="n"/>
      <c r="D354" s="1" t="n"/>
      <c r="E354" s="1" t="n"/>
      <c r="F354" s="1" t="n"/>
      <c r="G354" s="1" t="n"/>
      <c r="H354" s="1" t="n"/>
      <c r="I354" s="1" t="n"/>
      <c r="J354" s="1" t="n"/>
      <c r="K354" s="1" t="n"/>
      <c r="L354" s="1" t="n"/>
      <c r="M354" s="1" t="n"/>
      <c r="N354" s="1" t="n"/>
      <c r="O354" s="1" t="n"/>
    </row>
    <row r="355" ht="15.75" customHeight="1" s="216">
      <c r="A355" s="1" t="n"/>
      <c r="B355" s="1" t="n"/>
      <c r="C355" s="1" t="n"/>
      <c r="D355" s="1" t="n"/>
      <c r="E355" s="1" t="n"/>
      <c r="F355" s="1" t="n"/>
      <c r="G355" s="1" t="n"/>
      <c r="H355" s="1" t="n"/>
      <c r="I355" s="1" t="n"/>
      <c r="J355" s="1" t="n"/>
      <c r="K355" s="1" t="n"/>
      <c r="L355" s="1" t="n"/>
      <c r="M355" s="1" t="n"/>
      <c r="N355" s="1" t="n"/>
      <c r="O355" s="1" t="n"/>
    </row>
    <row r="356" ht="15.75" customHeight="1" s="216">
      <c r="A356" s="1" t="n"/>
      <c r="B356" s="1" t="n"/>
      <c r="C356" s="1" t="n"/>
      <c r="D356" s="1" t="n"/>
      <c r="E356" s="1" t="n"/>
      <c r="F356" s="1" t="n"/>
      <c r="G356" s="1" t="n"/>
      <c r="H356" s="1" t="n"/>
      <c r="I356" s="1" t="n"/>
      <c r="J356" s="1" t="n"/>
      <c r="K356" s="1" t="n"/>
      <c r="L356" s="1" t="n"/>
      <c r="M356" s="1" t="n"/>
      <c r="N356" s="1" t="n"/>
      <c r="O356" s="1" t="n"/>
    </row>
    <row r="357" ht="15.75" customHeight="1" s="216">
      <c r="A357" s="1" t="n"/>
      <c r="B357" s="1" t="n"/>
      <c r="C357" s="1" t="n"/>
      <c r="D357" s="1" t="n"/>
      <c r="E357" s="1" t="n"/>
      <c r="F357" s="1" t="n"/>
      <c r="G357" s="1" t="n"/>
      <c r="H357" s="1" t="n"/>
      <c r="I357" s="1" t="n"/>
      <c r="J357" s="1" t="n"/>
      <c r="K357" s="1" t="n"/>
      <c r="L357" s="1" t="n"/>
      <c r="M357" s="1" t="n"/>
      <c r="N357" s="1" t="n"/>
      <c r="O357" s="1" t="n"/>
    </row>
    <row r="358" ht="15.75" customHeight="1" s="216">
      <c r="A358" s="1" t="n"/>
      <c r="B358" s="1" t="n"/>
      <c r="C358" s="1" t="n"/>
      <c r="D358" s="1" t="n"/>
      <c r="E358" s="1" t="n"/>
      <c r="F358" s="1" t="n"/>
      <c r="G358" s="1" t="n"/>
      <c r="H358" s="1" t="n"/>
      <c r="I358" s="1" t="n"/>
      <c r="J358" s="1" t="n"/>
      <c r="K358" s="1" t="n"/>
      <c r="L358" s="1" t="n"/>
      <c r="M358" s="1" t="n"/>
      <c r="N358" s="1" t="n"/>
      <c r="O358" s="1" t="n"/>
    </row>
    <row r="359" ht="15.75" customHeight="1" s="216">
      <c r="A359" s="1" t="n"/>
      <c r="B359" s="1" t="n"/>
      <c r="C359" s="1" t="n"/>
      <c r="D359" s="1" t="n"/>
      <c r="E359" s="1" t="n"/>
      <c r="F359" s="1" t="n"/>
      <c r="G359" s="1" t="n"/>
      <c r="H359" s="1" t="n"/>
      <c r="I359" s="1" t="n"/>
      <c r="J359" s="1" t="n"/>
      <c r="K359" s="1" t="n"/>
      <c r="L359" s="1" t="n"/>
      <c r="M359" s="1" t="n"/>
      <c r="N359" s="1" t="n"/>
      <c r="O359" s="1" t="n"/>
    </row>
    <row r="360" ht="15.75" customHeight="1" s="216">
      <c r="A360" s="1" t="n"/>
      <c r="B360" s="1" t="n"/>
      <c r="C360" s="1" t="n"/>
      <c r="D360" s="1" t="n"/>
      <c r="E360" s="1" t="n"/>
      <c r="F360" s="1" t="n"/>
      <c r="G360" s="1" t="n"/>
      <c r="H360" s="1" t="n"/>
      <c r="I360" s="1" t="n"/>
      <c r="J360" s="1" t="n"/>
      <c r="K360" s="1" t="n"/>
      <c r="L360" s="1" t="n"/>
      <c r="M360" s="1" t="n"/>
      <c r="N360" s="1" t="n"/>
      <c r="O360" s="1" t="n"/>
    </row>
    <row r="361" ht="15.75" customHeight="1" s="216">
      <c r="A361" s="1" t="n"/>
      <c r="B361" s="1" t="n"/>
      <c r="C361" s="1" t="n"/>
      <c r="D361" s="1" t="n"/>
      <c r="E361" s="1" t="n"/>
      <c r="F361" s="1" t="n"/>
      <c r="G361" s="1" t="n"/>
      <c r="H361" s="1" t="n"/>
      <c r="I361" s="1" t="n"/>
      <c r="J361" s="1" t="n"/>
      <c r="K361" s="1" t="n"/>
      <c r="L361" s="1" t="n"/>
      <c r="M361" s="1" t="n"/>
      <c r="N361" s="1" t="n"/>
      <c r="O361" s="1" t="n"/>
    </row>
    <row r="362" ht="15.75" customHeight="1" s="216">
      <c r="A362" s="1" t="n"/>
      <c r="B362" s="1" t="n"/>
      <c r="C362" s="1" t="n"/>
      <c r="D362" s="1" t="n"/>
      <c r="E362" s="1" t="n"/>
      <c r="F362" s="1" t="n"/>
      <c r="G362" s="1" t="n"/>
      <c r="H362" s="1" t="n"/>
      <c r="I362" s="1" t="n"/>
      <c r="J362" s="1" t="n"/>
      <c r="K362" s="1" t="n"/>
      <c r="L362" s="1" t="n"/>
      <c r="M362" s="1" t="n"/>
      <c r="N362" s="1" t="n"/>
      <c r="O362" s="1" t="n"/>
    </row>
    <row r="363" ht="15.75" customHeight="1" s="216">
      <c r="A363" s="1" t="n"/>
      <c r="B363" s="1" t="n"/>
      <c r="C363" s="1" t="n"/>
      <c r="D363" s="1" t="n"/>
      <c r="E363" s="1" t="n"/>
      <c r="F363" s="1" t="n"/>
      <c r="G363" s="1" t="n"/>
      <c r="H363" s="1" t="n"/>
      <c r="I363" s="1" t="n"/>
      <c r="J363" s="1" t="n"/>
      <c r="K363" s="1" t="n"/>
      <c r="L363" s="1" t="n"/>
      <c r="M363" s="1" t="n"/>
      <c r="N363" s="1" t="n"/>
      <c r="O363" s="1" t="n"/>
    </row>
    <row r="364" ht="15.75" customHeight="1" s="216">
      <c r="A364" s="1" t="n"/>
      <c r="B364" s="1" t="n"/>
      <c r="C364" s="1" t="n"/>
      <c r="D364" s="1" t="n"/>
      <c r="E364" s="1" t="n"/>
      <c r="F364" s="1" t="n"/>
      <c r="G364" s="1" t="n"/>
      <c r="H364" s="1" t="n"/>
      <c r="I364" s="1" t="n"/>
      <c r="J364" s="1" t="n"/>
      <c r="K364" s="1" t="n"/>
      <c r="L364" s="1" t="n"/>
      <c r="M364" s="1" t="n"/>
      <c r="N364" s="1" t="n"/>
      <c r="O364" s="1" t="n"/>
    </row>
    <row r="365" ht="15.75" customHeight="1" s="216">
      <c r="A365" s="1" t="n"/>
      <c r="B365" s="1" t="n"/>
      <c r="C365" s="1" t="n"/>
      <c r="D365" s="1" t="n"/>
      <c r="E365" s="1" t="n"/>
      <c r="F365" s="1" t="n"/>
      <c r="G365" s="1" t="n"/>
      <c r="H365" s="1" t="n"/>
      <c r="I365" s="1" t="n"/>
      <c r="J365" s="1" t="n"/>
      <c r="K365" s="1" t="n"/>
      <c r="L365" s="1" t="n"/>
      <c r="M365" s="1" t="n"/>
      <c r="N365" s="1" t="n"/>
      <c r="O365" s="1" t="n"/>
    </row>
    <row r="366" ht="15.75" customHeight="1" s="216">
      <c r="A366" s="1" t="n"/>
      <c r="B366" s="1" t="n"/>
      <c r="C366" s="1" t="n"/>
      <c r="D366" s="1" t="n"/>
      <c r="E366" s="1" t="n"/>
      <c r="F366" s="1" t="n"/>
      <c r="G366" s="1" t="n"/>
      <c r="H366" s="1" t="n"/>
      <c r="I366" s="1" t="n"/>
      <c r="J366" s="1" t="n"/>
      <c r="K366" s="1" t="n"/>
      <c r="L366" s="1" t="n"/>
      <c r="M366" s="1" t="n"/>
      <c r="N366" s="1" t="n"/>
      <c r="O366" s="1" t="n"/>
    </row>
    <row r="367" ht="15.75" customHeight="1" s="216">
      <c r="A367" s="1" t="n"/>
      <c r="B367" s="1" t="n"/>
      <c r="C367" s="1" t="n"/>
      <c r="D367" s="1" t="n"/>
      <c r="E367" s="1" t="n"/>
      <c r="F367" s="1" t="n"/>
      <c r="G367" s="1" t="n"/>
      <c r="H367" s="1" t="n"/>
      <c r="I367" s="1" t="n"/>
      <c r="J367" s="1" t="n"/>
      <c r="K367" s="1" t="n"/>
      <c r="L367" s="1" t="n"/>
      <c r="M367" s="1" t="n"/>
      <c r="N367" s="1" t="n"/>
      <c r="O367" s="1" t="n"/>
    </row>
    <row r="368" ht="15.75" customHeight="1" s="216">
      <c r="A368" s="1" t="n"/>
      <c r="B368" s="1" t="n"/>
      <c r="C368" s="1" t="n"/>
      <c r="D368" s="1" t="n"/>
      <c r="E368" s="1" t="n"/>
      <c r="F368" s="1" t="n"/>
      <c r="G368" s="1" t="n"/>
      <c r="H368" s="1" t="n"/>
      <c r="I368" s="1" t="n"/>
      <c r="J368" s="1" t="n"/>
      <c r="K368" s="1" t="n"/>
      <c r="L368" s="1" t="n"/>
      <c r="M368" s="1" t="n"/>
      <c r="N368" s="1" t="n"/>
      <c r="O368" s="1" t="n"/>
    </row>
    <row r="369" ht="15.75" customHeight="1" s="216">
      <c r="A369" s="1" t="n"/>
      <c r="B369" s="1" t="n"/>
      <c r="C369" s="1" t="n"/>
      <c r="D369" s="1" t="n"/>
      <c r="E369" s="1" t="n"/>
      <c r="F369" s="1" t="n"/>
      <c r="G369" s="1" t="n"/>
      <c r="H369" s="1" t="n"/>
      <c r="I369" s="1" t="n"/>
      <c r="J369" s="1" t="n"/>
      <c r="K369" s="1" t="n"/>
      <c r="L369" s="1" t="n"/>
      <c r="M369" s="1" t="n"/>
      <c r="N369" s="1" t="n"/>
      <c r="O369" s="1" t="n"/>
    </row>
    <row r="370" ht="15.75" customHeight="1" s="216">
      <c r="A370" s="1" t="n"/>
      <c r="B370" s="1" t="n"/>
      <c r="C370" s="1" t="n"/>
      <c r="D370" s="1" t="n"/>
      <c r="E370" s="1" t="n"/>
      <c r="F370" s="1" t="n"/>
      <c r="G370" s="1" t="n"/>
      <c r="H370" s="1" t="n"/>
      <c r="I370" s="1" t="n"/>
      <c r="J370" s="1" t="n"/>
      <c r="K370" s="1" t="n"/>
      <c r="L370" s="1" t="n"/>
      <c r="M370" s="1" t="n"/>
      <c r="N370" s="1" t="n"/>
      <c r="O370" s="1" t="n"/>
    </row>
    <row r="371" ht="15.75" customHeight="1" s="216">
      <c r="A371" s="1" t="n"/>
      <c r="B371" s="1" t="n"/>
      <c r="C371" s="1" t="n"/>
      <c r="D371" s="1" t="n"/>
      <c r="E371" s="1" t="n"/>
      <c r="F371" s="1" t="n"/>
      <c r="G371" s="1" t="n"/>
      <c r="H371" s="1" t="n"/>
      <c r="I371" s="1" t="n"/>
      <c r="J371" s="1" t="n"/>
      <c r="K371" s="1" t="n"/>
      <c r="L371" s="1" t="n"/>
      <c r="M371" s="1" t="n"/>
      <c r="N371" s="1" t="n"/>
      <c r="O371" s="1" t="n"/>
    </row>
    <row r="372" ht="15.75" customHeight="1" s="216">
      <c r="A372" s="1" t="n"/>
      <c r="B372" s="1" t="n"/>
      <c r="C372" s="1" t="n"/>
      <c r="D372" s="1" t="n"/>
      <c r="E372" s="1" t="n"/>
      <c r="F372" s="1" t="n"/>
      <c r="G372" s="1" t="n"/>
      <c r="H372" s="1" t="n"/>
      <c r="I372" s="1" t="n"/>
      <c r="J372" s="1" t="n"/>
      <c r="K372" s="1" t="n"/>
      <c r="L372" s="1" t="n"/>
      <c r="M372" s="1" t="n"/>
      <c r="N372" s="1" t="n"/>
      <c r="O372" s="1" t="n"/>
    </row>
    <row r="373" ht="15.75" customHeight="1" s="216">
      <c r="A373" s="1" t="n"/>
      <c r="B373" s="1" t="n"/>
      <c r="C373" s="1" t="n"/>
      <c r="D373" s="1" t="n"/>
      <c r="E373" s="1" t="n"/>
      <c r="F373" s="1" t="n"/>
      <c r="G373" s="1" t="n"/>
      <c r="H373" s="1" t="n"/>
      <c r="I373" s="1" t="n"/>
      <c r="J373" s="1" t="n"/>
      <c r="K373" s="1" t="n"/>
      <c r="L373" s="1" t="n"/>
      <c r="M373" s="1" t="n"/>
      <c r="N373" s="1" t="n"/>
      <c r="O373" s="1" t="n"/>
    </row>
    <row r="374" ht="15.75" customHeight="1" s="216">
      <c r="A374" s="1" t="n"/>
      <c r="B374" s="1" t="n"/>
      <c r="C374" s="1" t="n"/>
      <c r="D374" s="1" t="n"/>
      <c r="E374" s="1" t="n"/>
      <c r="F374" s="1" t="n"/>
      <c r="G374" s="1" t="n"/>
      <c r="H374" s="1" t="n"/>
      <c r="I374" s="1" t="n"/>
      <c r="J374" s="1" t="n"/>
      <c r="K374" s="1" t="n"/>
      <c r="L374" s="1" t="n"/>
      <c r="M374" s="1" t="n"/>
      <c r="N374" s="1" t="n"/>
      <c r="O374" s="1" t="n"/>
    </row>
    <row r="375" ht="15.75" customHeight="1" s="216">
      <c r="A375" s="1" t="n"/>
      <c r="B375" s="1" t="n"/>
      <c r="C375" s="1" t="n"/>
      <c r="D375" s="1" t="n"/>
      <c r="E375" s="1" t="n"/>
      <c r="F375" s="1" t="n"/>
      <c r="G375" s="1" t="n"/>
      <c r="H375" s="1" t="n"/>
      <c r="I375" s="1" t="n"/>
      <c r="J375" s="1" t="n"/>
      <c r="K375" s="1" t="n"/>
      <c r="L375" s="1" t="n"/>
      <c r="M375" s="1" t="n"/>
      <c r="N375" s="1" t="n"/>
      <c r="O375" s="1" t="n"/>
    </row>
    <row r="376" ht="15.75" customHeight="1" s="216">
      <c r="A376" s="1" t="n"/>
      <c r="B376" s="1" t="n"/>
      <c r="C376" s="1" t="n"/>
      <c r="D376" s="1" t="n"/>
      <c r="E376" s="1" t="n"/>
      <c r="F376" s="1" t="n"/>
      <c r="G376" s="1" t="n"/>
      <c r="H376" s="1" t="n"/>
      <c r="I376" s="1" t="n"/>
      <c r="J376" s="1" t="n"/>
      <c r="K376" s="1" t="n"/>
      <c r="L376" s="1" t="n"/>
      <c r="M376" s="1" t="n"/>
      <c r="N376" s="1" t="n"/>
      <c r="O376" s="1" t="n"/>
    </row>
    <row r="377" ht="15.75" customHeight="1" s="216">
      <c r="A377" s="1" t="n"/>
      <c r="B377" s="1" t="n"/>
      <c r="C377" s="1" t="n"/>
      <c r="D377" s="1" t="n"/>
      <c r="E377" s="1" t="n"/>
      <c r="F377" s="1" t="n"/>
      <c r="G377" s="1" t="n"/>
      <c r="H377" s="1" t="n"/>
      <c r="I377" s="1" t="n"/>
      <c r="J377" s="1" t="n"/>
      <c r="K377" s="1" t="n"/>
      <c r="L377" s="1" t="n"/>
      <c r="M377" s="1" t="n"/>
      <c r="N377" s="1" t="n"/>
      <c r="O377" s="1" t="n"/>
    </row>
    <row r="378" ht="15.75" customHeight="1" s="216">
      <c r="A378" s="1" t="n"/>
      <c r="B378" s="1" t="n"/>
      <c r="C378" s="1" t="n"/>
      <c r="D378" s="1" t="n"/>
      <c r="E378" s="1" t="n"/>
      <c r="F378" s="1" t="n"/>
      <c r="G378" s="1" t="n"/>
      <c r="H378" s="1" t="n"/>
      <c r="I378" s="1" t="n"/>
      <c r="J378" s="1" t="n"/>
      <c r="K378" s="1" t="n"/>
      <c r="L378" s="1" t="n"/>
      <c r="M378" s="1" t="n"/>
      <c r="N378" s="1" t="n"/>
      <c r="O378" s="1" t="n"/>
    </row>
    <row r="379" ht="15.75" customHeight="1" s="216">
      <c r="A379" s="1" t="n"/>
      <c r="B379" s="1" t="n"/>
      <c r="C379" s="1" t="n"/>
      <c r="D379" s="1" t="n"/>
      <c r="E379" s="1" t="n"/>
      <c r="F379" s="1" t="n"/>
      <c r="G379" s="1" t="n"/>
      <c r="H379" s="1" t="n"/>
      <c r="I379" s="1" t="n"/>
      <c r="J379" s="1" t="n"/>
      <c r="K379" s="1" t="n"/>
      <c r="L379" s="1" t="n"/>
      <c r="M379" s="1" t="n"/>
      <c r="N379" s="1" t="n"/>
      <c r="O379" s="1" t="n"/>
    </row>
    <row r="380" ht="15.75" customHeight="1" s="216">
      <c r="A380" s="1" t="n"/>
      <c r="B380" s="1" t="n"/>
      <c r="C380" s="1" t="n"/>
      <c r="D380" s="1" t="n"/>
      <c r="E380" s="1" t="n"/>
      <c r="F380" s="1" t="n"/>
      <c r="G380" s="1" t="n"/>
      <c r="H380" s="1" t="n"/>
      <c r="I380" s="1" t="n"/>
      <c r="J380" s="1" t="n"/>
      <c r="K380" s="1" t="n"/>
      <c r="L380" s="1" t="n"/>
      <c r="M380" s="1" t="n"/>
      <c r="N380" s="1" t="n"/>
      <c r="O380" s="1" t="n"/>
    </row>
    <row r="381" ht="15.75" customHeight="1" s="216">
      <c r="A381" s="1" t="n"/>
      <c r="B381" s="1" t="n"/>
      <c r="C381" s="1" t="n"/>
      <c r="D381" s="1" t="n"/>
      <c r="E381" s="1" t="n"/>
      <c r="F381" s="1" t="n"/>
      <c r="G381" s="1" t="n"/>
      <c r="H381" s="1" t="n"/>
      <c r="I381" s="1" t="n"/>
      <c r="J381" s="1" t="n"/>
      <c r="K381" s="1" t="n"/>
      <c r="L381" s="1" t="n"/>
      <c r="M381" s="1" t="n"/>
      <c r="N381" s="1" t="n"/>
      <c r="O381" s="1" t="n"/>
    </row>
    <row r="382" ht="15.75" customHeight="1" s="216">
      <c r="A382" s="1" t="n"/>
      <c r="B382" s="1" t="n"/>
      <c r="C382" s="1" t="n"/>
      <c r="D382" s="1" t="n"/>
      <c r="E382" s="1" t="n"/>
      <c r="F382" s="1" t="n"/>
      <c r="G382" s="1" t="n"/>
      <c r="H382" s="1" t="n"/>
      <c r="I382" s="1" t="n"/>
      <c r="J382" s="1" t="n"/>
      <c r="K382" s="1" t="n"/>
      <c r="L382" s="1" t="n"/>
      <c r="M382" s="1" t="n"/>
      <c r="N382" s="1" t="n"/>
      <c r="O382" s="1" t="n"/>
    </row>
    <row r="383" ht="15.75" customHeight="1" s="216">
      <c r="A383" s="1" t="n"/>
      <c r="B383" s="1" t="n"/>
      <c r="C383" s="1" t="n"/>
      <c r="D383" s="1" t="n"/>
      <c r="E383" s="1" t="n"/>
      <c r="F383" s="1" t="n"/>
      <c r="G383" s="1" t="n"/>
      <c r="H383" s="1" t="n"/>
      <c r="I383" s="1" t="n"/>
      <c r="J383" s="1" t="n"/>
      <c r="K383" s="1" t="n"/>
      <c r="L383" s="1" t="n"/>
      <c r="M383" s="1" t="n"/>
      <c r="N383" s="1" t="n"/>
      <c r="O383" s="1" t="n"/>
    </row>
    <row r="384" ht="15.75" customHeight="1" s="216">
      <c r="A384" s="1" t="n"/>
      <c r="B384" s="1" t="n"/>
      <c r="C384" s="1" t="n"/>
      <c r="D384" s="1" t="n"/>
      <c r="E384" s="1" t="n"/>
      <c r="F384" s="1" t="n"/>
      <c r="G384" s="1" t="n"/>
      <c r="H384" s="1" t="n"/>
      <c r="I384" s="1" t="n"/>
      <c r="J384" s="1" t="n"/>
      <c r="K384" s="1" t="n"/>
      <c r="L384" s="1" t="n"/>
      <c r="M384" s="1" t="n"/>
      <c r="N384" s="1" t="n"/>
      <c r="O384" s="1" t="n"/>
    </row>
    <row r="385" ht="15.75" customHeight="1" s="216">
      <c r="A385" s="1" t="n"/>
      <c r="B385" s="1" t="n"/>
      <c r="C385" s="1" t="n"/>
      <c r="D385" s="1" t="n"/>
      <c r="E385" s="1" t="n"/>
      <c r="F385" s="1" t="n"/>
      <c r="G385" s="1" t="n"/>
      <c r="H385" s="1" t="n"/>
      <c r="I385" s="1" t="n"/>
      <c r="J385" s="1" t="n"/>
      <c r="K385" s="1" t="n"/>
      <c r="L385" s="1" t="n"/>
      <c r="M385" s="1" t="n"/>
      <c r="N385" s="1" t="n"/>
      <c r="O385" s="1" t="n"/>
    </row>
    <row r="386" ht="15.75" customHeight="1" s="216">
      <c r="A386" s="1" t="n"/>
      <c r="B386" s="1" t="n"/>
      <c r="C386" s="1" t="n"/>
      <c r="D386" s="1" t="n"/>
      <c r="E386" s="1" t="n"/>
      <c r="F386" s="1" t="n"/>
      <c r="G386" s="1" t="n"/>
      <c r="H386" s="1" t="n"/>
      <c r="I386" s="1" t="n"/>
      <c r="J386" s="1" t="n"/>
      <c r="K386" s="1" t="n"/>
      <c r="L386" s="1" t="n"/>
      <c r="M386" s="1" t="n"/>
      <c r="N386" s="1" t="n"/>
      <c r="O386" s="1" t="n"/>
    </row>
    <row r="387" ht="15.75" customHeight="1" s="216">
      <c r="A387" s="1" t="n"/>
      <c r="B387" s="1" t="n"/>
      <c r="C387" s="1" t="n"/>
      <c r="D387" s="1" t="n"/>
      <c r="E387" s="1" t="n"/>
      <c r="F387" s="1" t="n"/>
      <c r="G387" s="1" t="n"/>
      <c r="H387" s="1" t="n"/>
      <c r="I387" s="1" t="n"/>
      <c r="J387" s="1" t="n"/>
      <c r="K387" s="1" t="n"/>
      <c r="L387" s="1" t="n"/>
      <c r="M387" s="1" t="n"/>
      <c r="N387" s="1" t="n"/>
      <c r="O387" s="1" t="n"/>
    </row>
    <row r="388" ht="15.75" customHeight="1" s="216">
      <c r="A388" s="1" t="n"/>
      <c r="B388" s="1" t="n"/>
      <c r="C388" s="1" t="n"/>
      <c r="D388" s="1" t="n"/>
      <c r="E388" s="1" t="n"/>
      <c r="F388" s="1" t="n"/>
      <c r="G388" s="1" t="n"/>
      <c r="H388" s="1" t="n"/>
      <c r="I388" s="1" t="n"/>
      <c r="J388" s="1" t="n"/>
      <c r="K388" s="1" t="n"/>
      <c r="L388" s="1" t="n"/>
      <c r="M388" s="1" t="n"/>
      <c r="N388" s="1" t="n"/>
      <c r="O388" s="1" t="n"/>
    </row>
    <row r="389" ht="15.75" customHeight="1" s="216">
      <c r="A389" s="1" t="n"/>
      <c r="B389" s="1" t="n"/>
      <c r="C389" s="1" t="n"/>
      <c r="D389" s="1" t="n"/>
      <c r="E389" s="1" t="n"/>
      <c r="F389" s="1" t="n"/>
      <c r="G389" s="1" t="n"/>
      <c r="H389" s="1" t="n"/>
      <c r="I389" s="1" t="n"/>
      <c r="J389" s="1" t="n"/>
      <c r="K389" s="1" t="n"/>
      <c r="L389" s="1" t="n"/>
      <c r="M389" s="1" t="n"/>
      <c r="N389" s="1" t="n"/>
      <c r="O389" s="1" t="n"/>
    </row>
    <row r="390" ht="15.75" customHeight="1" s="216">
      <c r="A390" s="1" t="n"/>
      <c r="B390" s="1" t="n"/>
      <c r="C390" s="1" t="n"/>
      <c r="D390" s="1" t="n"/>
      <c r="E390" s="1" t="n"/>
      <c r="F390" s="1" t="n"/>
      <c r="G390" s="1" t="n"/>
      <c r="H390" s="1" t="n"/>
      <c r="I390" s="1" t="n"/>
      <c r="J390" s="1" t="n"/>
      <c r="K390" s="1" t="n"/>
      <c r="L390" s="1" t="n"/>
      <c r="M390" s="1" t="n"/>
      <c r="N390" s="1" t="n"/>
      <c r="O390" s="1" t="n"/>
    </row>
    <row r="391" ht="15.75" customHeight="1" s="216">
      <c r="A391" s="1" t="n"/>
      <c r="B391" s="1" t="n"/>
      <c r="C391" s="1" t="n"/>
      <c r="D391" s="1" t="n"/>
      <c r="E391" s="1" t="n"/>
      <c r="F391" s="1" t="n"/>
      <c r="G391" s="1" t="n"/>
      <c r="H391" s="1" t="n"/>
      <c r="I391" s="1" t="n"/>
      <c r="J391" s="1" t="n"/>
      <c r="K391" s="1" t="n"/>
      <c r="L391" s="1" t="n"/>
      <c r="M391" s="1" t="n"/>
      <c r="N391" s="1" t="n"/>
      <c r="O391" s="1" t="n"/>
    </row>
    <row r="392" ht="15.75" customHeight="1" s="216">
      <c r="A392" s="1" t="n"/>
      <c r="B392" s="1" t="n"/>
      <c r="C392" s="1" t="n"/>
      <c r="D392" s="1" t="n"/>
      <c r="E392" s="1" t="n"/>
      <c r="F392" s="1" t="n"/>
      <c r="G392" s="1" t="n"/>
      <c r="H392" s="1" t="n"/>
      <c r="I392" s="1" t="n"/>
      <c r="J392" s="1" t="n"/>
      <c r="K392" s="1" t="n"/>
      <c r="L392" s="1" t="n"/>
      <c r="M392" s="1" t="n"/>
      <c r="N392" s="1" t="n"/>
      <c r="O392" s="1" t="n"/>
    </row>
    <row r="393" ht="15.75" customHeight="1" s="216">
      <c r="A393" s="1" t="n"/>
      <c r="B393" s="1" t="n"/>
      <c r="C393" s="1" t="n"/>
      <c r="D393" s="1" t="n"/>
      <c r="E393" s="1" t="n"/>
      <c r="F393" s="1" t="n"/>
      <c r="G393" s="1" t="n"/>
      <c r="H393" s="1" t="n"/>
      <c r="I393" s="1" t="n"/>
      <c r="J393" s="1" t="n"/>
      <c r="K393" s="1" t="n"/>
      <c r="L393" s="1" t="n"/>
      <c r="M393" s="1" t="n"/>
      <c r="N393" s="1" t="n"/>
      <c r="O393" s="1" t="n"/>
    </row>
    <row r="394" ht="15.75" customHeight="1" s="216">
      <c r="A394" s="1" t="n"/>
      <c r="B394" s="1" t="n"/>
      <c r="C394" s="1" t="n"/>
      <c r="D394" s="1" t="n"/>
      <c r="E394" s="1" t="n"/>
      <c r="F394" s="1" t="n"/>
      <c r="G394" s="1" t="n"/>
      <c r="H394" s="1" t="n"/>
      <c r="I394" s="1" t="n"/>
      <c r="J394" s="1" t="n"/>
      <c r="K394" s="1" t="n"/>
      <c r="L394" s="1" t="n"/>
      <c r="M394" s="1" t="n"/>
      <c r="N394" s="1" t="n"/>
      <c r="O394" s="1" t="n"/>
    </row>
    <row r="395" ht="15.75" customHeight="1" s="216">
      <c r="A395" s="1" t="n"/>
      <c r="B395" s="1" t="n"/>
      <c r="C395" s="1" t="n"/>
      <c r="D395" s="1" t="n"/>
      <c r="E395" s="1" t="n"/>
      <c r="F395" s="1" t="n"/>
      <c r="G395" s="1" t="n"/>
      <c r="H395" s="1" t="n"/>
      <c r="I395" s="1" t="n"/>
      <c r="J395" s="1" t="n"/>
      <c r="K395" s="1" t="n"/>
      <c r="L395" s="1" t="n"/>
      <c r="M395" s="1" t="n"/>
      <c r="N395" s="1" t="n"/>
      <c r="O395" s="1" t="n"/>
    </row>
    <row r="396" ht="15.75" customHeight="1" s="216">
      <c r="A396" s="1" t="n"/>
      <c r="B396" s="1" t="n"/>
      <c r="C396" s="1" t="n"/>
      <c r="D396" s="1" t="n"/>
      <c r="E396" s="1" t="n"/>
      <c r="F396" s="1" t="n"/>
      <c r="G396" s="1" t="n"/>
      <c r="H396" s="1" t="n"/>
      <c r="I396" s="1" t="n"/>
      <c r="J396" s="1" t="n"/>
      <c r="K396" s="1" t="n"/>
      <c r="L396" s="1" t="n"/>
      <c r="M396" s="1" t="n"/>
      <c r="N396" s="1" t="n"/>
      <c r="O396" s="1" t="n"/>
    </row>
    <row r="397" ht="15.75" customHeight="1" s="216">
      <c r="A397" s="1" t="n"/>
      <c r="B397" s="1" t="n"/>
      <c r="C397" s="1" t="n"/>
      <c r="D397" s="1" t="n"/>
      <c r="E397" s="1" t="n"/>
      <c r="F397" s="1" t="n"/>
      <c r="G397" s="1" t="n"/>
      <c r="H397" s="1" t="n"/>
      <c r="I397" s="1" t="n"/>
      <c r="J397" s="1" t="n"/>
      <c r="K397" s="1" t="n"/>
      <c r="L397" s="1" t="n"/>
      <c r="M397" s="1" t="n"/>
      <c r="N397" s="1" t="n"/>
      <c r="O397" s="1" t="n"/>
    </row>
    <row r="398" ht="15.75" customHeight="1" s="216">
      <c r="A398" s="1" t="n"/>
      <c r="B398" s="1" t="n"/>
      <c r="C398" s="1" t="n"/>
      <c r="D398" s="1" t="n"/>
      <c r="E398" s="1" t="n"/>
      <c r="F398" s="1" t="n"/>
      <c r="G398" s="1" t="n"/>
      <c r="H398" s="1" t="n"/>
      <c r="I398" s="1" t="n"/>
      <c r="J398" s="1" t="n"/>
      <c r="K398" s="1" t="n"/>
      <c r="L398" s="1" t="n"/>
      <c r="M398" s="1" t="n"/>
      <c r="N398" s="1" t="n"/>
      <c r="O398" s="1" t="n"/>
    </row>
    <row r="399" ht="15.75" customHeight="1" s="216">
      <c r="A399" s="1" t="n"/>
      <c r="B399" s="1" t="n"/>
      <c r="C399" s="1" t="n"/>
      <c r="D399" s="1" t="n"/>
      <c r="E399" s="1" t="n"/>
      <c r="F399" s="1" t="n"/>
      <c r="G399" s="1" t="n"/>
      <c r="H399" s="1" t="n"/>
      <c r="I399" s="1" t="n"/>
      <c r="J399" s="1" t="n"/>
      <c r="K399" s="1" t="n"/>
      <c r="L399" s="1" t="n"/>
      <c r="M399" s="1" t="n"/>
      <c r="N399" s="1" t="n"/>
      <c r="O399" s="1" t="n"/>
    </row>
    <row r="400" ht="15.75" customHeight="1" s="216">
      <c r="A400" s="1" t="n"/>
      <c r="B400" s="1" t="n"/>
      <c r="C400" s="1" t="n"/>
      <c r="D400" s="1" t="n"/>
      <c r="E400" s="1" t="n"/>
      <c r="F400" s="1" t="n"/>
      <c r="G400" s="1" t="n"/>
      <c r="H400" s="1" t="n"/>
      <c r="I400" s="1" t="n"/>
      <c r="J400" s="1" t="n"/>
      <c r="K400" s="1" t="n"/>
      <c r="L400" s="1" t="n"/>
      <c r="M400" s="1" t="n"/>
      <c r="N400" s="1" t="n"/>
      <c r="O400" s="1" t="n"/>
    </row>
    <row r="401" ht="15.75" customHeight="1" s="216">
      <c r="A401" s="1" t="n"/>
      <c r="B401" s="1" t="n"/>
      <c r="C401" s="1" t="n"/>
      <c r="D401" s="1" t="n"/>
      <c r="E401" s="1" t="n"/>
      <c r="F401" s="1" t="n"/>
      <c r="G401" s="1" t="n"/>
      <c r="H401" s="1" t="n"/>
      <c r="I401" s="1" t="n"/>
      <c r="J401" s="1" t="n"/>
      <c r="K401" s="1" t="n"/>
      <c r="L401" s="1" t="n"/>
      <c r="M401" s="1" t="n"/>
      <c r="N401" s="1" t="n"/>
      <c r="O401" s="1" t="n"/>
    </row>
    <row r="402" ht="15.75" customHeight="1" s="216">
      <c r="A402" s="1" t="n"/>
      <c r="B402" s="1" t="n"/>
      <c r="C402" s="1" t="n"/>
      <c r="D402" s="1" t="n"/>
      <c r="E402" s="1" t="n"/>
      <c r="F402" s="1" t="n"/>
      <c r="G402" s="1" t="n"/>
      <c r="H402" s="1" t="n"/>
      <c r="I402" s="1" t="n"/>
      <c r="J402" s="1" t="n"/>
      <c r="K402" s="1" t="n"/>
      <c r="L402" s="1" t="n"/>
      <c r="M402" s="1" t="n"/>
      <c r="N402" s="1" t="n"/>
      <c r="O402" s="1" t="n"/>
    </row>
    <row r="403" ht="15.75" customHeight="1" s="216">
      <c r="A403" s="1" t="n"/>
      <c r="B403" s="1" t="n"/>
      <c r="C403" s="1" t="n"/>
      <c r="D403" s="1" t="n"/>
      <c r="E403" s="1" t="n"/>
      <c r="F403" s="1" t="n"/>
      <c r="G403" s="1" t="n"/>
      <c r="H403" s="1" t="n"/>
      <c r="I403" s="1" t="n"/>
      <c r="J403" s="1" t="n"/>
      <c r="K403" s="1" t="n"/>
      <c r="L403" s="1" t="n"/>
      <c r="M403" s="1" t="n"/>
      <c r="N403" s="1" t="n"/>
      <c r="O403" s="1" t="n"/>
    </row>
    <row r="404" ht="15.75" customHeight="1" s="216">
      <c r="A404" s="1" t="n"/>
      <c r="B404" s="1" t="n"/>
      <c r="C404" s="1" t="n"/>
      <c r="D404" s="1" t="n"/>
      <c r="E404" s="1" t="n"/>
      <c r="F404" s="1" t="n"/>
      <c r="G404" s="1" t="n"/>
      <c r="H404" s="1" t="n"/>
      <c r="I404" s="1" t="n"/>
      <c r="J404" s="1" t="n"/>
      <c r="K404" s="1" t="n"/>
      <c r="L404" s="1" t="n"/>
      <c r="M404" s="1" t="n"/>
      <c r="N404" s="1" t="n"/>
      <c r="O404" s="1" t="n"/>
    </row>
    <row r="405" ht="15.75" customHeight="1" s="216">
      <c r="A405" s="1" t="n"/>
      <c r="B405" s="1" t="n"/>
      <c r="C405" s="1" t="n"/>
      <c r="D405" s="1" t="n"/>
      <c r="E405" s="1" t="n"/>
      <c r="F405" s="1" t="n"/>
      <c r="G405" s="1" t="n"/>
      <c r="H405" s="1" t="n"/>
      <c r="I405" s="1" t="n"/>
      <c r="J405" s="1" t="n"/>
      <c r="K405" s="1" t="n"/>
      <c r="L405" s="1" t="n"/>
      <c r="M405" s="1" t="n"/>
      <c r="N405" s="1" t="n"/>
      <c r="O405" s="1" t="n"/>
    </row>
    <row r="406" ht="15.75" customHeight="1" s="216">
      <c r="A406" s="1" t="n"/>
      <c r="B406" s="1" t="n"/>
      <c r="C406" s="1" t="n"/>
      <c r="D406" s="1" t="n"/>
      <c r="E406" s="1" t="n"/>
      <c r="F406" s="1" t="n"/>
      <c r="G406" s="1" t="n"/>
      <c r="H406" s="1" t="n"/>
      <c r="I406" s="1" t="n"/>
      <c r="J406" s="1" t="n"/>
      <c r="K406" s="1" t="n"/>
      <c r="L406" s="1" t="n"/>
      <c r="M406" s="1" t="n"/>
      <c r="N406" s="1" t="n"/>
      <c r="O406" s="1" t="n"/>
    </row>
    <row r="407" ht="15.75" customHeight="1" s="216">
      <c r="A407" s="1" t="n"/>
      <c r="B407" s="1" t="n"/>
      <c r="C407" s="1" t="n"/>
      <c r="D407" s="1" t="n"/>
      <c r="E407" s="1" t="n"/>
      <c r="F407" s="1" t="n"/>
      <c r="G407" s="1" t="n"/>
      <c r="H407" s="1" t="n"/>
      <c r="I407" s="1" t="n"/>
      <c r="J407" s="1" t="n"/>
      <c r="K407" s="1" t="n"/>
      <c r="L407" s="1" t="n"/>
      <c r="M407" s="1" t="n"/>
      <c r="N407" s="1" t="n"/>
      <c r="O407" s="1" t="n"/>
    </row>
    <row r="408" ht="15.75" customHeight="1" s="216">
      <c r="A408" s="1" t="n"/>
      <c r="B408" s="1" t="n"/>
      <c r="C408" s="1" t="n"/>
      <c r="D408" s="1" t="n"/>
      <c r="E408" s="1" t="n"/>
      <c r="F408" s="1" t="n"/>
      <c r="G408" s="1" t="n"/>
      <c r="H408" s="1" t="n"/>
      <c r="I408" s="1" t="n"/>
      <c r="J408" s="1" t="n"/>
      <c r="K408" s="1" t="n"/>
      <c r="L408" s="1" t="n"/>
      <c r="M408" s="1" t="n"/>
      <c r="N408" s="1" t="n"/>
      <c r="O408" s="1" t="n"/>
    </row>
    <row r="409" ht="15.75" customHeight="1" s="216">
      <c r="A409" s="1" t="n"/>
      <c r="B409" s="1" t="n"/>
      <c r="C409" s="1" t="n"/>
      <c r="D409" s="1" t="n"/>
      <c r="E409" s="1" t="n"/>
      <c r="F409" s="1" t="n"/>
      <c r="G409" s="1" t="n"/>
      <c r="H409" s="1" t="n"/>
      <c r="I409" s="1" t="n"/>
      <c r="J409" s="1" t="n"/>
      <c r="K409" s="1" t="n"/>
      <c r="L409" s="1" t="n"/>
      <c r="M409" s="1" t="n"/>
      <c r="N409" s="1" t="n"/>
      <c r="O409" s="1" t="n"/>
    </row>
    <row r="410" ht="15.75" customHeight="1" s="216">
      <c r="A410" s="1" t="n"/>
      <c r="B410" s="1" t="n"/>
      <c r="C410" s="1" t="n"/>
      <c r="D410" s="1" t="n"/>
      <c r="E410" s="1" t="n"/>
      <c r="F410" s="1" t="n"/>
      <c r="G410" s="1" t="n"/>
      <c r="H410" s="1" t="n"/>
      <c r="I410" s="1" t="n"/>
      <c r="J410" s="1" t="n"/>
      <c r="K410" s="1" t="n"/>
      <c r="L410" s="1" t="n"/>
      <c r="M410" s="1" t="n"/>
      <c r="N410" s="1" t="n"/>
      <c r="O410" s="1" t="n"/>
    </row>
    <row r="411" ht="15.75" customHeight="1" s="216">
      <c r="A411" s="1" t="n"/>
      <c r="B411" s="1" t="n"/>
      <c r="C411" s="1" t="n"/>
      <c r="D411" s="1" t="n"/>
      <c r="E411" s="1" t="n"/>
      <c r="F411" s="1" t="n"/>
      <c r="G411" s="1" t="n"/>
      <c r="H411" s="1" t="n"/>
      <c r="I411" s="1" t="n"/>
      <c r="J411" s="1" t="n"/>
      <c r="K411" s="1" t="n"/>
      <c r="L411" s="1" t="n"/>
      <c r="M411" s="1" t="n"/>
      <c r="N411" s="1" t="n"/>
      <c r="O411" s="1" t="n"/>
    </row>
    <row r="412" ht="15.75" customHeight="1" s="216">
      <c r="A412" s="1" t="n"/>
      <c r="B412" s="1" t="n"/>
      <c r="C412" s="1" t="n"/>
      <c r="D412" s="1" t="n"/>
      <c r="E412" s="1" t="n"/>
      <c r="F412" s="1" t="n"/>
      <c r="G412" s="1" t="n"/>
      <c r="H412" s="1" t="n"/>
      <c r="I412" s="1" t="n"/>
      <c r="J412" s="1" t="n"/>
      <c r="K412" s="1" t="n"/>
      <c r="L412" s="1" t="n"/>
      <c r="M412" s="1" t="n"/>
      <c r="N412" s="1" t="n"/>
      <c r="O412" s="1" t="n"/>
    </row>
    <row r="413" ht="15.75" customHeight="1" s="216">
      <c r="A413" s="1" t="n"/>
      <c r="B413" s="1" t="n"/>
      <c r="C413" s="1" t="n"/>
      <c r="D413" s="1" t="n"/>
      <c r="E413" s="1" t="n"/>
      <c r="F413" s="1" t="n"/>
      <c r="G413" s="1" t="n"/>
      <c r="H413" s="1" t="n"/>
      <c r="I413" s="1" t="n"/>
      <c r="J413" s="1" t="n"/>
      <c r="K413" s="1" t="n"/>
      <c r="L413" s="1" t="n"/>
      <c r="M413" s="1" t="n"/>
      <c r="N413" s="1" t="n"/>
      <c r="O413" s="1" t="n"/>
    </row>
    <row r="414" ht="15.75" customHeight="1" s="216">
      <c r="A414" s="1" t="n"/>
      <c r="B414" s="1" t="n"/>
      <c r="C414" s="1" t="n"/>
      <c r="D414" s="1" t="n"/>
      <c r="E414" s="1" t="n"/>
      <c r="F414" s="1" t="n"/>
      <c r="G414" s="1" t="n"/>
      <c r="H414" s="1" t="n"/>
      <c r="I414" s="1" t="n"/>
      <c r="J414" s="1" t="n"/>
      <c r="K414" s="1" t="n"/>
      <c r="L414" s="1" t="n"/>
      <c r="M414" s="1" t="n"/>
      <c r="N414" s="1" t="n"/>
      <c r="O414" s="1" t="n"/>
    </row>
    <row r="415" ht="15.75" customHeight="1" s="216">
      <c r="A415" s="1" t="n"/>
      <c r="B415" s="1" t="n"/>
      <c r="C415" s="1" t="n"/>
      <c r="D415" s="1" t="n"/>
      <c r="E415" s="1" t="n"/>
      <c r="F415" s="1" t="n"/>
      <c r="G415" s="1" t="n"/>
      <c r="H415" s="1" t="n"/>
      <c r="I415" s="1" t="n"/>
      <c r="J415" s="1" t="n"/>
      <c r="K415" s="1" t="n"/>
      <c r="L415" s="1" t="n"/>
      <c r="M415" s="1" t="n"/>
      <c r="N415" s="1" t="n"/>
      <c r="O415" s="1" t="n"/>
    </row>
    <row r="416" ht="15.75" customHeight="1" s="216">
      <c r="A416" s="1" t="n"/>
      <c r="B416" s="1" t="n"/>
      <c r="C416" s="1" t="n"/>
      <c r="D416" s="1" t="n"/>
      <c r="E416" s="1" t="n"/>
      <c r="F416" s="1" t="n"/>
      <c r="G416" s="1" t="n"/>
      <c r="H416" s="1" t="n"/>
      <c r="I416" s="1" t="n"/>
      <c r="J416" s="1" t="n"/>
      <c r="K416" s="1" t="n"/>
      <c r="L416" s="1" t="n"/>
      <c r="M416" s="1" t="n"/>
      <c r="N416" s="1" t="n"/>
      <c r="O416" s="1" t="n"/>
    </row>
    <row r="417" ht="15.75" customHeight="1" s="216">
      <c r="A417" s="1" t="n"/>
      <c r="B417" s="1" t="n"/>
      <c r="C417" s="1" t="n"/>
      <c r="D417" s="1" t="n"/>
      <c r="E417" s="1" t="n"/>
      <c r="F417" s="1" t="n"/>
      <c r="G417" s="1" t="n"/>
      <c r="H417" s="1" t="n"/>
      <c r="I417" s="1" t="n"/>
      <c r="J417" s="1" t="n"/>
      <c r="K417" s="1" t="n"/>
      <c r="L417" s="1" t="n"/>
      <c r="M417" s="1" t="n"/>
      <c r="N417" s="1" t="n"/>
      <c r="O417" s="1" t="n"/>
    </row>
    <row r="418" ht="15.75" customHeight="1" s="216">
      <c r="A418" s="1" t="n"/>
      <c r="B418" s="1" t="n"/>
      <c r="C418" s="1" t="n"/>
      <c r="D418" s="1" t="n"/>
      <c r="E418" s="1" t="n"/>
      <c r="F418" s="1" t="n"/>
      <c r="G418" s="1" t="n"/>
      <c r="H418" s="1" t="n"/>
      <c r="I418" s="1" t="n"/>
      <c r="J418" s="1" t="n"/>
      <c r="K418" s="1" t="n"/>
      <c r="L418" s="1" t="n"/>
      <c r="M418" s="1" t="n"/>
      <c r="N418" s="1" t="n"/>
      <c r="O418" s="1" t="n"/>
    </row>
    <row r="419" ht="15.75" customHeight="1" s="216">
      <c r="A419" s="1" t="n"/>
      <c r="B419" s="1" t="n"/>
      <c r="C419" s="1" t="n"/>
      <c r="D419" s="1" t="n"/>
      <c r="E419" s="1" t="n"/>
      <c r="F419" s="1" t="n"/>
      <c r="G419" s="1" t="n"/>
      <c r="H419" s="1" t="n"/>
      <c r="I419" s="1" t="n"/>
      <c r="J419" s="1" t="n"/>
      <c r="K419" s="1" t="n"/>
      <c r="L419" s="1" t="n"/>
      <c r="M419" s="1" t="n"/>
      <c r="N419" s="1" t="n"/>
      <c r="O419" s="1" t="n"/>
    </row>
    <row r="420" ht="15.75" customHeight="1" s="216">
      <c r="A420" s="1" t="n"/>
      <c r="B420" s="1" t="n"/>
      <c r="C420" s="1" t="n"/>
      <c r="D420" s="1" t="n"/>
      <c r="E420" s="1" t="n"/>
      <c r="F420" s="1" t="n"/>
      <c r="G420" s="1" t="n"/>
      <c r="H420" s="1" t="n"/>
      <c r="I420" s="1" t="n"/>
      <c r="J420" s="1" t="n"/>
      <c r="K420" s="1" t="n"/>
      <c r="L420" s="1" t="n"/>
      <c r="M420" s="1" t="n"/>
      <c r="N420" s="1" t="n"/>
      <c r="O420" s="1" t="n"/>
    </row>
    <row r="421" ht="15.75" customHeight="1" s="216">
      <c r="A421" s="1" t="n"/>
      <c r="B421" s="1" t="n"/>
      <c r="C421" s="1" t="n"/>
      <c r="D421" s="1" t="n"/>
      <c r="E421" s="1" t="n"/>
      <c r="F421" s="1" t="n"/>
      <c r="G421" s="1" t="n"/>
      <c r="H421" s="1" t="n"/>
      <c r="I421" s="1" t="n"/>
      <c r="J421" s="1" t="n"/>
      <c r="K421" s="1" t="n"/>
      <c r="L421" s="1" t="n"/>
      <c r="M421" s="1" t="n"/>
      <c r="N421" s="1" t="n"/>
      <c r="O421" s="1" t="n"/>
    </row>
    <row r="422" ht="15.75" customHeight="1" s="216">
      <c r="A422" s="1" t="n"/>
      <c r="B422" s="1" t="n"/>
      <c r="C422" s="1" t="n"/>
      <c r="D422" s="1" t="n"/>
      <c r="E422" s="1" t="n"/>
      <c r="F422" s="1" t="n"/>
      <c r="G422" s="1" t="n"/>
      <c r="H422" s="1" t="n"/>
      <c r="I422" s="1" t="n"/>
      <c r="J422" s="1" t="n"/>
      <c r="K422" s="1" t="n"/>
      <c r="L422" s="1" t="n"/>
      <c r="M422" s="1" t="n"/>
      <c r="N422" s="1" t="n"/>
      <c r="O422" s="1" t="n"/>
    </row>
    <row r="423" ht="15.75" customHeight="1" s="216">
      <c r="A423" s="1" t="n"/>
      <c r="B423" s="1" t="n"/>
      <c r="C423" s="1" t="n"/>
      <c r="D423" s="1" t="n"/>
      <c r="E423" s="1" t="n"/>
      <c r="F423" s="1" t="n"/>
      <c r="G423" s="1" t="n"/>
      <c r="H423" s="1" t="n"/>
      <c r="I423" s="1" t="n"/>
      <c r="J423" s="1" t="n"/>
      <c r="K423" s="1" t="n"/>
      <c r="L423" s="1" t="n"/>
      <c r="M423" s="1" t="n"/>
      <c r="N423" s="1" t="n"/>
      <c r="O423" s="1" t="n"/>
    </row>
    <row r="424" ht="15.75" customHeight="1" s="216">
      <c r="A424" s="1" t="n"/>
      <c r="B424" s="1" t="n"/>
      <c r="C424" s="1" t="n"/>
      <c r="D424" s="1" t="n"/>
      <c r="E424" s="1" t="n"/>
      <c r="F424" s="1" t="n"/>
      <c r="G424" s="1" t="n"/>
      <c r="H424" s="1" t="n"/>
      <c r="I424" s="1" t="n"/>
      <c r="J424" s="1" t="n"/>
      <c r="K424" s="1" t="n"/>
      <c r="L424" s="1" t="n"/>
      <c r="M424" s="1" t="n"/>
      <c r="N424" s="1" t="n"/>
      <c r="O424" s="1" t="n"/>
    </row>
    <row r="425" ht="15.75" customHeight="1" s="216">
      <c r="A425" s="1" t="n"/>
      <c r="B425" s="1" t="n"/>
      <c r="C425" s="1" t="n"/>
      <c r="D425" s="1" t="n"/>
      <c r="E425" s="1" t="n"/>
      <c r="F425" s="1" t="n"/>
      <c r="G425" s="1" t="n"/>
      <c r="H425" s="1" t="n"/>
      <c r="I425" s="1" t="n"/>
      <c r="J425" s="1" t="n"/>
      <c r="K425" s="1" t="n"/>
      <c r="L425" s="1" t="n"/>
      <c r="M425" s="1" t="n"/>
      <c r="N425" s="1" t="n"/>
      <c r="O425" s="1" t="n"/>
    </row>
    <row r="426" ht="15.75" customHeight="1" s="216">
      <c r="A426" s="1" t="n"/>
      <c r="B426" s="1" t="n"/>
      <c r="C426" s="1" t="n"/>
      <c r="D426" s="1" t="n"/>
      <c r="E426" s="1" t="n"/>
      <c r="F426" s="1" t="n"/>
      <c r="G426" s="1" t="n"/>
      <c r="H426" s="1" t="n"/>
      <c r="I426" s="1" t="n"/>
      <c r="J426" s="1" t="n"/>
      <c r="K426" s="1" t="n"/>
      <c r="L426" s="1" t="n"/>
      <c r="M426" s="1" t="n"/>
      <c r="N426" s="1" t="n"/>
      <c r="O426" s="1" t="n"/>
    </row>
    <row r="427" ht="15.75" customHeight="1" s="216">
      <c r="A427" s="1" t="n"/>
      <c r="B427" s="1" t="n"/>
      <c r="C427" s="1" t="n"/>
      <c r="D427" s="1" t="n"/>
      <c r="E427" s="1" t="n"/>
      <c r="F427" s="1" t="n"/>
      <c r="G427" s="1" t="n"/>
      <c r="H427" s="1" t="n"/>
      <c r="I427" s="1" t="n"/>
      <c r="J427" s="1" t="n"/>
      <c r="K427" s="1" t="n"/>
      <c r="L427" s="1" t="n"/>
      <c r="M427" s="1" t="n"/>
      <c r="N427" s="1" t="n"/>
      <c r="O427" s="1" t="n"/>
    </row>
    <row r="428" ht="15.75" customHeight="1" s="216">
      <c r="A428" s="1" t="n"/>
      <c r="B428" s="1" t="n"/>
      <c r="C428" s="1" t="n"/>
      <c r="D428" s="1" t="n"/>
      <c r="E428" s="1" t="n"/>
      <c r="F428" s="1" t="n"/>
      <c r="G428" s="1" t="n"/>
      <c r="H428" s="1" t="n"/>
      <c r="I428" s="1" t="n"/>
      <c r="J428" s="1" t="n"/>
      <c r="K428" s="1" t="n"/>
      <c r="L428" s="1" t="n"/>
      <c r="M428" s="1" t="n"/>
      <c r="N428" s="1" t="n"/>
      <c r="O428" s="1" t="n"/>
    </row>
    <row r="429" ht="15.75" customHeight="1" s="216">
      <c r="A429" s="1" t="n"/>
      <c r="B429" s="1" t="n"/>
      <c r="C429" s="1" t="n"/>
      <c r="D429" s="1" t="n"/>
      <c r="E429" s="1" t="n"/>
      <c r="F429" s="1" t="n"/>
      <c r="G429" s="1" t="n"/>
      <c r="H429" s="1" t="n"/>
      <c r="I429" s="1" t="n"/>
      <c r="J429" s="1" t="n"/>
      <c r="K429" s="1" t="n"/>
      <c r="L429" s="1" t="n"/>
      <c r="M429" s="1" t="n"/>
      <c r="N429" s="1" t="n"/>
      <c r="O429" s="1" t="n"/>
    </row>
    <row r="430" ht="15.75" customHeight="1" s="216">
      <c r="A430" s="1" t="n"/>
      <c r="B430" s="1" t="n"/>
      <c r="C430" s="1" t="n"/>
      <c r="D430" s="1" t="n"/>
      <c r="E430" s="1" t="n"/>
      <c r="F430" s="1" t="n"/>
      <c r="G430" s="1" t="n"/>
      <c r="H430" s="1" t="n"/>
      <c r="I430" s="1" t="n"/>
      <c r="J430" s="1" t="n"/>
      <c r="K430" s="1" t="n"/>
      <c r="L430" s="1" t="n"/>
      <c r="M430" s="1" t="n"/>
      <c r="N430" s="1" t="n"/>
      <c r="O430" s="1" t="n"/>
    </row>
    <row r="431" ht="15.75" customHeight="1" s="216">
      <c r="A431" s="1" t="n"/>
      <c r="B431" s="1" t="n"/>
      <c r="C431" s="1" t="n"/>
      <c r="D431" s="1" t="n"/>
      <c r="E431" s="1" t="n"/>
      <c r="F431" s="1" t="n"/>
      <c r="G431" s="1" t="n"/>
      <c r="H431" s="1" t="n"/>
      <c r="I431" s="1" t="n"/>
      <c r="J431" s="1" t="n"/>
      <c r="K431" s="1" t="n"/>
      <c r="L431" s="1" t="n"/>
      <c r="M431" s="1" t="n"/>
      <c r="N431" s="1" t="n"/>
      <c r="O431" s="1" t="n"/>
    </row>
    <row r="432" ht="15.75" customHeight="1" s="216">
      <c r="A432" s="1" t="n"/>
      <c r="B432" s="1" t="n"/>
      <c r="C432" s="1" t="n"/>
      <c r="D432" s="1" t="n"/>
      <c r="E432" s="1" t="n"/>
      <c r="F432" s="1" t="n"/>
      <c r="G432" s="1" t="n"/>
      <c r="H432" s="1" t="n"/>
      <c r="I432" s="1" t="n"/>
      <c r="J432" s="1" t="n"/>
      <c r="K432" s="1" t="n"/>
      <c r="L432" s="1" t="n"/>
      <c r="M432" s="1" t="n"/>
      <c r="N432" s="1" t="n"/>
      <c r="O432" s="1" t="n"/>
    </row>
    <row r="433" ht="15.75" customHeight="1" s="216">
      <c r="A433" s="1" t="n"/>
      <c r="B433" s="1" t="n"/>
      <c r="C433" s="1" t="n"/>
      <c r="D433" s="1" t="n"/>
      <c r="E433" s="1" t="n"/>
      <c r="F433" s="1" t="n"/>
      <c r="G433" s="1" t="n"/>
      <c r="H433" s="1" t="n"/>
      <c r="I433" s="1" t="n"/>
      <c r="J433" s="1" t="n"/>
      <c r="K433" s="1" t="n"/>
      <c r="L433" s="1" t="n"/>
      <c r="M433" s="1" t="n"/>
      <c r="N433" s="1" t="n"/>
      <c r="O433" s="1" t="n"/>
    </row>
    <row r="434" ht="15.75" customHeight="1" s="216">
      <c r="A434" s="1" t="n"/>
      <c r="B434" s="1" t="n"/>
      <c r="C434" s="1" t="n"/>
      <c r="D434" s="1" t="n"/>
      <c r="E434" s="1" t="n"/>
      <c r="F434" s="1" t="n"/>
      <c r="G434" s="1" t="n"/>
      <c r="H434" s="1" t="n"/>
      <c r="I434" s="1" t="n"/>
      <c r="J434" s="1" t="n"/>
      <c r="K434" s="1" t="n"/>
      <c r="L434" s="1" t="n"/>
      <c r="M434" s="1" t="n"/>
      <c r="N434" s="1" t="n"/>
      <c r="O434" s="1" t="n"/>
    </row>
    <row r="435" ht="15.75" customHeight="1" s="216">
      <c r="A435" s="1" t="n"/>
      <c r="B435" s="1" t="n"/>
      <c r="C435" s="1" t="n"/>
      <c r="D435" s="1" t="n"/>
      <c r="E435" s="1" t="n"/>
      <c r="F435" s="1" t="n"/>
      <c r="G435" s="1" t="n"/>
      <c r="H435" s="1" t="n"/>
      <c r="I435" s="1" t="n"/>
      <c r="J435" s="1" t="n"/>
      <c r="K435" s="1" t="n"/>
      <c r="L435" s="1" t="n"/>
      <c r="M435" s="1" t="n"/>
      <c r="N435" s="1" t="n"/>
      <c r="O435" s="1" t="n"/>
    </row>
    <row r="436" ht="15.75" customHeight="1" s="216">
      <c r="A436" s="1" t="n"/>
      <c r="B436" s="1" t="n"/>
      <c r="C436" s="1" t="n"/>
      <c r="D436" s="1" t="n"/>
      <c r="E436" s="1" t="n"/>
      <c r="F436" s="1" t="n"/>
      <c r="G436" s="1" t="n"/>
      <c r="H436" s="1" t="n"/>
      <c r="I436" s="1" t="n"/>
      <c r="J436" s="1" t="n"/>
      <c r="K436" s="1" t="n"/>
      <c r="L436" s="1" t="n"/>
      <c r="M436" s="1" t="n"/>
      <c r="N436" s="1" t="n"/>
      <c r="O436" s="1" t="n"/>
    </row>
    <row r="437" ht="15.75" customHeight="1" s="216"/>
    <row r="438" ht="15.75" customHeight="1" s="216"/>
    <row r="439" ht="15.75" customHeight="1" s="216"/>
    <row r="440" ht="15.75" customHeight="1" s="216"/>
    <row r="441" ht="15.75" customHeight="1" s="216"/>
    <row r="442" ht="15.75" customHeight="1" s="216"/>
    <row r="443" ht="15.75" customHeight="1" s="216"/>
    <row r="444" ht="15.75" customHeight="1" s="216"/>
    <row r="445" ht="15.75" customHeight="1" s="216"/>
    <row r="446" ht="15.75" customHeight="1" s="216"/>
    <row r="447" ht="15.75" customHeight="1" s="216"/>
    <row r="448" ht="15.75" customHeight="1" s="216"/>
    <row r="449" ht="15.75" customHeight="1" s="216"/>
    <row r="450" ht="15.75" customHeight="1" s="216"/>
    <row r="451" ht="15.75" customHeight="1" s="216"/>
    <row r="452" ht="15.75" customHeight="1" s="216"/>
    <row r="453" ht="15.75" customHeight="1" s="216"/>
    <row r="454" ht="15.75" customHeight="1" s="216"/>
    <row r="455" ht="15.75" customHeight="1" s="216"/>
    <row r="456" ht="15.75" customHeight="1" s="216"/>
    <row r="457" ht="15.75" customHeight="1" s="216"/>
    <row r="458" ht="15.75" customHeight="1" s="216"/>
    <row r="459" ht="15.75" customHeight="1" s="216"/>
    <row r="460" ht="15.75" customHeight="1" s="216"/>
    <row r="461" ht="15.75" customHeight="1" s="216"/>
    <row r="462" ht="15.75" customHeight="1" s="216"/>
    <row r="463" ht="15.75" customHeight="1" s="216"/>
    <row r="464" ht="15.75" customHeight="1" s="216"/>
    <row r="465" ht="15.75" customHeight="1" s="216"/>
    <row r="466" ht="15.75" customHeight="1" s="216"/>
    <row r="467" ht="15.75" customHeight="1" s="216"/>
    <row r="468" ht="15.75" customHeight="1" s="216"/>
    <row r="469" ht="15.75" customHeight="1" s="216"/>
    <row r="470" ht="15.75" customHeight="1" s="216"/>
    <row r="471" ht="15.75" customHeight="1" s="216"/>
    <row r="472" ht="15.75" customHeight="1" s="216"/>
    <row r="473" ht="15.75" customHeight="1" s="216"/>
    <row r="474" ht="15.75" customHeight="1" s="216"/>
    <row r="475" ht="15.75" customHeight="1" s="216"/>
    <row r="476" ht="15.75" customHeight="1" s="216"/>
    <row r="477" ht="15.75" customHeight="1" s="216"/>
    <row r="478" ht="15.75" customHeight="1" s="216"/>
    <row r="479" ht="15.75" customHeight="1" s="216"/>
    <row r="480" ht="15.75" customHeight="1" s="216"/>
    <row r="481" ht="15.75" customHeight="1" s="216"/>
    <row r="482" ht="15.75" customHeight="1" s="216"/>
    <row r="483" ht="15.75" customHeight="1" s="216"/>
    <row r="484" ht="15.75" customHeight="1" s="216"/>
    <row r="485" ht="15.75" customHeight="1" s="216"/>
    <row r="486" ht="15.75" customHeight="1" s="216"/>
    <row r="487" ht="15.75" customHeight="1" s="216"/>
    <row r="488" ht="15.75" customHeight="1" s="216"/>
    <row r="489" ht="15.75" customHeight="1" s="216"/>
    <row r="490" ht="15.75" customHeight="1" s="216"/>
    <row r="491" ht="15.75" customHeight="1" s="216"/>
    <row r="492" ht="15.75" customHeight="1" s="216"/>
    <row r="493" ht="15.75" customHeight="1" s="216"/>
    <row r="494" ht="15.75" customHeight="1" s="216"/>
    <row r="495" ht="15.75" customHeight="1" s="216"/>
    <row r="496" ht="15.75" customHeight="1" s="216"/>
    <row r="497" ht="15.75" customHeight="1" s="216"/>
    <row r="498" ht="15.75" customHeight="1" s="216"/>
    <row r="499" ht="15.75" customHeight="1" s="216"/>
    <row r="500" ht="15.75" customHeight="1" s="216"/>
    <row r="501" ht="15.75" customHeight="1" s="216"/>
    <row r="502" ht="15.75" customHeight="1" s="216"/>
    <row r="503" ht="15.75" customHeight="1" s="216"/>
    <row r="504" ht="15.75" customHeight="1" s="216"/>
    <row r="505" ht="15.75" customHeight="1" s="216"/>
    <row r="506" ht="15.75" customHeight="1" s="216"/>
    <row r="507" ht="15.75" customHeight="1" s="216"/>
    <row r="508" ht="15.75" customHeight="1" s="216"/>
    <row r="509" ht="15.75" customHeight="1" s="216"/>
    <row r="510" ht="15.75" customHeight="1" s="216"/>
    <row r="511" ht="15.75" customHeight="1" s="216"/>
    <row r="512" ht="15.75" customHeight="1" s="216"/>
    <row r="513" ht="15.75" customHeight="1" s="216"/>
    <row r="514" ht="15.75" customHeight="1" s="216"/>
    <row r="515" ht="15.75" customHeight="1" s="216"/>
    <row r="516" ht="15.75" customHeight="1" s="216"/>
    <row r="517" ht="15.75" customHeight="1" s="216"/>
    <row r="518" ht="15.75" customHeight="1" s="216"/>
    <row r="519" ht="15.75" customHeight="1" s="216"/>
    <row r="520" ht="15.75" customHeight="1" s="216"/>
    <row r="521" ht="15.75" customHeight="1" s="216"/>
    <row r="522" ht="15.75" customHeight="1" s="216"/>
    <row r="523" ht="15.75" customHeight="1" s="216"/>
    <row r="524" ht="15.75" customHeight="1" s="216"/>
    <row r="525" ht="15.75" customHeight="1" s="216"/>
    <row r="526" ht="15.75" customHeight="1" s="216"/>
    <row r="527" ht="15.75" customHeight="1" s="216"/>
    <row r="528" ht="15.75" customHeight="1" s="216"/>
    <row r="529" ht="15.75" customHeight="1" s="216"/>
    <row r="530" ht="15.75" customHeight="1" s="216"/>
    <row r="531" ht="15.75" customHeight="1" s="216"/>
    <row r="532" ht="15.75" customHeight="1" s="216"/>
    <row r="533" ht="15.75" customHeight="1" s="216"/>
    <row r="534" ht="15.75" customHeight="1" s="216"/>
    <row r="535" ht="15.75" customHeight="1" s="216"/>
    <row r="536" ht="15.75" customHeight="1" s="216"/>
    <row r="537" ht="15.75" customHeight="1" s="216"/>
    <row r="538" ht="15.75" customHeight="1" s="216"/>
    <row r="539" ht="15.75" customHeight="1" s="216"/>
    <row r="540" ht="15.75" customHeight="1" s="216"/>
    <row r="541" ht="15.75" customHeight="1" s="216"/>
    <row r="542" ht="15.75" customHeight="1" s="216"/>
    <row r="543" ht="15.75" customHeight="1" s="216"/>
    <row r="544" ht="15.75" customHeight="1" s="216"/>
    <row r="545" ht="15.75" customHeight="1" s="216"/>
    <row r="546" ht="15.75" customHeight="1" s="216"/>
    <row r="547" ht="15.75" customHeight="1" s="216"/>
    <row r="548" ht="15.75" customHeight="1" s="216"/>
    <row r="549" ht="15.75" customHeight="1" s="216"/>
    <row r="550" ht="15.75" customHeight="1" s="216"/>
    <row r="551" ht="15.75" customHeight="1" s="216"/>
    <row r="552" ht="15.75" customHeight="1" s="216"/>
    <row r="553" ht="15.75" customHeight="1" s="216"/>
    <row r="554" ht="15.75" customHeight="1" s="216"/>
    <row r="555" ht="15.75" customHeight="1" s="216"/>
    <row r="556" ht="15.75" customHeight="1" s="216"/>
    <row r="557" ht="15.75" customHeight="1" s="216"/>
    <row r="558" ht="15.75" customHeight="1" s="216"/>
    <row r="559" ht="15.75" customHeight="1" s="216"/>
    <row r="560" ht="15.75" customHeight="1" s="216"/>
    <row r="561" ht="15.75" customHeight="1" s="216"/>
    <row r="562" ht="15.75" customHeight="1" s="216"/>
    <row r="563" ht="15.75" customHeight="1" s="216"/>
    <row r="564" ht="15.75" customHeight="1" s="216"/>
    <row r="565" ht="15.75" customHeight="1" s="216"/>
    <row r="566" ht="15.75" customHeight="1" s="216"/>
    <row r="567" ht="15.75" customHeight="1" s="216"/>
    <row r="568" ht="15.75" customHeight="1" s="216"/>
    <row r="569" ht="15.75" customHeight="1" s="216"/>
    <row r="570" ht="15.75" customHeight="1" s="216"/>
    <row r="571" ht="15.75" customHeight="1" s="216"/>
    <row r="572" ht="15.75" customHeight="1" s="216"/>
    <row r="573" ht="15.75" customHeight="1" s="216"/>
    <row r="574" ht="15.75" customHeight="1" s="216"/>
    <row r="575" ht="15.75" customHeight="1" s="216"/>
    <row r="576" ht="15.75" customHeight="1" s="216"/>
    <row r="577" ht="15.75" customHeight="1" s="216"/>
    <row r="578" ht="15.75" customHeight="1" s="216"/>
    <row r="579" ht="15.75" customHeight="1" s="216"/>
    <row r="580" ht="15.75" customHeight="1" s="216"/>
    <row r="581" ht="15.75" customHeight="1" s="216"/>
    <row r="582" ht="15.75" customHeight="1" s="216"/>
    <row r="583" ht="15.75" customHeight="1" s="216"/>
    <row r="584" ht="15.75" customHeight="1" s="216"/>
    <row r="585" ht="15.75" customHeight="1" s="216"/>
    <row r="586" ht="15.75" customHeight="1" s="216"/>
    <row r="587" ht="15.75" customHeight="1" s="216"/>
    <row r="588" ht="15.75" customHeight="1" s="216"/>
    <row r="589" ht="15.75" customHeight="1" s="216"/>
    <row r="590" ht="15.75" customHeight="1" s="216"/>
    <row r="591" ht="15.75" customHeight="1" s="216"/>
    <row r="592" ht="15.75" customHeight="1" s="216"/>
    <row r="593" ht="15.75" customHeight="1" s="216"/>
    <row r="594" ht="15.75" customHeight="1" s="216"/>
    <row r="595" ht="15.75" customHeight="1" s="216"/>
    <row r="596" ht="15.75" customHeight="1" s="216"/>
    <row r="597" ht="15.75" customHeight="1" s="216"/>
    <row r="598" ht="15.75" customHeight="1" s="216"/>
    <row r="599" ht="15.75" customHeight="1" s="216"/>
    <row r="600" ht="15.75" customHeight="1" s="216"/>
    <row r="601" ht="15.75" customHeight="1" s="216"/>
    <row r="602" ht="15.75" customHeight="1" s="216"/>
    <row r="603" ht="15.75" customHeight="1" s="216"/>
    <row r="604" ht="15.75" customHeight="1" s="216"/>
    <row r="605" ht="15.75" customHeight="1" s="216"/>
    <row r="606" ht="15.75" customHeight="1" s="216"/>
    <row r="607" ht="15.75" customHeight="1" s="216"/>
    <row r="608" ht="15.75" customHeight="1" s="216"/>
    <row r="609" ht="15.75" customHeight="1" s="216"/>
    <row r="610" ht="15.75" customHeight="1" s="216"/>
    <row r="611" ht="15.75" customHeight="1" s="216"/>
    <row r="612" ht="15.75" customHeight="1" s="216"/>
    <row r="613" ht="15.75" customHeight="1" s="216"/>
    <row r="614" ht="15.75" customHeight="1" s="216"/>
    <row r="615" ht="15.75" customHeight="1" s="216"/>
    <row r="616" ht="15.75" customHeight="1" s="216"/>
    <row r="617" ht="15.75" customHeight="1" s="216"/>
    <row r="618" ht="15.75" customHeight="1" s="216"/>
    <row r="619" ht="15.75" customHeight="1" s="216"/>
    <row r="620" ht="15.75" customHeight="1" s="216"/>
    <row r="621" ht="15.75" customHeight="1" s="216"/>
    <row r="622" ht="15.75" customHeight="1" s="216"/>
    <row r="623" ht="15.75" customHeight="1" s="216"/>
    <row r="624" ht="15.75" customHeight="1" s="216"/>
    <row r="625" ht="15.75" customHeight="1" s="216"/>
    <row r="626" ht="15.75" customHeight="1" s="216"/>
    <row r="627" ht="15.75" customHeight="1" s="216"/>
    <row r="628" ht="15.75" customHeight="1" s="216"/>
    <row r="629" ht="15.75" customHeight="1" s="216"/>
    <row r="630" ht="15.75" customHeight="1" s="216"/>
    <row r="631" ht="15.75" customHeight="1" s="216"/>
    <row r="632" ht="15.75" customHeight="1" s="216"/>
    <row r="633" ht="15.75" customHeight="1" s="216"/>
    <row r="634" ht="15.75" customHeight="1" s="216"/>
    <row r="635" ht="15.75" customHeight="1" s="216"/>
    <row r="636" ht="15.75" customHeight="1" s="216"/>
    <row r="637" ht="15.75" customHeight="1" s="216"/>
    <row r="638" ht="15.75" customHeight="1" s="216"/>
    <row r="639" ht="15.75" customHeight="1" s="216"/>
    <row r="640" ht="15.75" customHeight="1" s="216"/>
    <row r="641" ht="15.75" customHeight="1" s="216"/>
    <row r="642" ht="15.75" customHeight="1" s="216"/>
    <row r="643" ht="15.75" customHeight="1" s="216"/>
    <row r="644" ht="15.75" customHeight="1" s="216"/>
    <row r="645" ht="15.75" customHeight="1" s="216"/>
    <row r="646" ht="15.75" customHeight="1" s="216"/>
    <row r="647" ht="15.75" customHeight="1" s="216"/>
    <row r="648" ht="15.75" customHeight="1" s="216"/>
    <row r="649" ht="15.75" customHeight="1" s="216"/>
    <row r="650" ht="15.75" customHeight="1" s="216"/>
    <row r="651" ht="15.75" customHeight="1" s="216"/>
    <row r="652" ht="15.75" customHeight="1" s="216"/>
    <row r="653" ht="15.75" customHeight="1" s="216"/>
    <row r="654" ht="15.75" customHeight="1" s="216"/>
    <row r="655" ht="15.75" customHeight="1" s="216"/>
    <row r="656" ht="15.75" customHeight="1" s="216"/>
    <row r="657" ht="15.75" customHeight="1" s="216"/>
    <row r="658" ht="15.75" customHeight="1" s="216"/>
    <row r="659" ht="15.75" customHeight="1" s="216"/>
    <row r="660" ht="15.75" customHeight="1" s="216"/>
    <row r="661" ht="15.75" customHeight="1" s="216"/>
    <row r="662" ht="15.75" customHeight="1" s="216"/>
    <row r="663" ht="15.75" customHeight="1" s="216"/>
    <row r="664" ht="15.75" customHeight="1" s="216"/>
    <row r="665" ht="15.75" customHeight="1" s="216"/>
    <row r="666" ht="15.75" customHeight="1" s="216"/>
    <row r="667" ht="15.75" customHeight="1" s="216"/>
    <row r="668" ht="15.75" customHeight="1" s="216"/>
    <row r="669" ht="15.75" customHeight="1" s="216"/>
    <row r="670" ht="15.75" customHeight="1" s="216"/>
    <row r="671" ht="15.75" customHeight="1" s="216"/>
    <row r="672" ht="15.75" customHeight="1" s="216"/>
    <row r="673" ht="15.75" customHeight="1" s="216"/>
    <row r="674" ht="15.75" customHeight="1" s="216"/>
    <row r="675" ht="15.75" customHeight="1" s="216"/>
    <row r="676" ht="15.75" customHeight="1" s="216"/>
    <row r="677" ht="15.75" customHeight="1" s="216"/>
    <row r="678" ht="15.75" customHeight="1" s="216"/>
    <row r="679" ht="15.75" customHeight="1" s="216"/>
    <row r="680" ht="15.75" customHeight="1" s="216"/>
    <row r="681" ht="15.75" customHeight="1" s="216"/>
    <row r="682" ht="15.75" customHeight="1" s="216"/>
    <row r="683" ht="15.75" customHeight="1" s="216"/>
    <row r="684" ht="15.75" customHeight="1" s="216"/>
    <row r="685" ht="15.75" customHeight="1" s="216"/>
    <row r="686" ht="15.75" customHeight="1" s="216"/>
    <row r="687" ht="15.75" customHeight="1" s="216"/>
    <row r="688" ht="15.75" customHeight="1" s="216"/>
    <row r="689" ht="15.75" customHeight="1" s="216"/>
    <row r="690" ht="15.75" customHeight="1" s="216"/>
    <row r="691" ht="15.75" customHeight="1" s="216"/>
    <row r="692" ht="15.75" customHeight="1" s="216"/>
    <row r="693" ht="15.75" customHeight="1" s="216"/>
    <row r="694" ht="15.75" customHeight="1" s="216"/>
    <row r="695" ht="15.75" customHeight="1" s="216"/>
    <row r="696" ht="15.75" customHeight="1" s="216"/>
    <row r="697" ht="15.75" customHeight="1" s="216"/>
    <row r="698" ht="15.75" customHeight="1" s="216"/>
    <row r="699" ht="15.75" customHeight="1" s="216"/>
    <row r="700" ht="15.75" customHeight="1" s="216"/>
    <row r="701" ht="15.75" customHeight="1" s="216"/>
    <row r="702" ht="15.75" customHeight="1" s="216"/>
    <row r="703" ht="15.75" customHeight="1" s="216"/>
    <row r="704" ht="15.75" customHeight="1" s="216"/>
    <row r="705" ht="15.75" customHeight="1" s="216"/>
    <row r="706" ht="15.75" customHeight="1" s="216"/>
    <row r="707" ht="15.75" customHeight="1" s="216"/>
    <row r="708" ht="15.75" customHeight="1" s="216"/>
    <row r="709" ht="15.75" customHeight="1" s="216"/>
    <row r="710" ht="15.75" customHeight="1" s="216"/>
    <row r="711" ht="15.75" customHeight="1" s="216"/>
    <row r="712" ht="15.75" customHeight="1" s="216"/>
    <row r="713" ht="15.75" customHeight="1" s="216"/>
    <row r="714" ht="15.75" customHeight="1" s="216"/>
    <row r="715" ht="15.75" customHeight="1" s="216"/>
    <row r="716" ht="15.75" customHeight="1" s="216"/>
    <row r="717" ht="15.75" customHeight="1" s="216"/>
    <row r="718" ht="15.75" customHeight="1" s="216"/>
    <row r="719" ht="15.75" customHeight="1" s="216"/>
    <row r="720" ht="15.75" customHeight="1" s="216"/>
    <row r="721" ht="15.75" customHeight="1" s="216"/>
    <row r="722" ht="15.75" customHeight="1" s="216"/>
    <row r="723" ht="15.75" customHeight="1" s="216"/>
    <row r="724" ht="15.75" customHeight="1" s="216"/>
    <row r="725" ht="15.75" customHeight="1" s="216"/>
    <row r="726" ht="15.75" customHeight="1" s="216"/>
    <row r="727" ht="15.75" customHeight="1" s="216"/>
    <row r="728" ht="15.75" customHeight="1" s="216"/>
    <row r="729" ht="15.75" customHeight="1" s="216"/>
    <row r="730" ht="15.75" customHeight="1" s="216"/>
    <row r="731" ht="15.75" customHeight="1" s="216"/>
    <row r="732" ht="15.75" customHeight="1" s="216"/>
    <row r="733" ht="15.75" customHeight="1" s="216"/>
    <row r="734" ht="15.75" customHeight="1" s="216"/>
    <row r="735" ht="15.75" customHeight="1" s="216"/>
    <row r="736" ht="15.75" customHeight="1" s="216"/>
    <row r="737" ht="15.75" customHeight="1" s="216"/>
    <row r="738" ht="15.75" customHeight="1" s="216"/>
    <row r="739" ht="15.75" customHeight="1" s="216"/>
    <row r="740" ht="15.75" customHeight="1" s="216"/>
    <row r="741" ht="15.75" customHeight="1" s="216"/>
    <row r="742" ht="15.75" customHeight="1" s="216"/>
    <row r="743" ht="15.75" customHeight="1" s="216"/>
    <row r="744" ht="15.75" customHeight="1" s="216"/>
    <row r="745" ht="15.75" customHeight="1" s="216"/>
    <row r="746" ht="15.75" customHeight="1" s="216"/>
    <row r="747" ht="15.75" customHeight="1" s="216"/>
    <row r="748" ht="15.75" customHeight="1" s="216"/>
    <row r="749" ht="15.75" customHeight="1" s="216"/>
    <row r="750" ht="15.75" customHeight="1" s="216"/>
    <row r="751" ht="15.75" customHeight="1" s="216"/>
    <row r="752" ht="15.75" customHeight="1" s="216"/>
    <row r="753" ht="15.75" customHeight="1" s="216"/>
    <row r="754" ht="15.75" customHeight="1" s="216"/>
    <row r="755" ht="15.75" customHeight="1" s="216"/>
    <row r="756" ht="15.75" customHeight="1" s="216"/>
    <row r="757" ht="15.75" customHeight="1" s="216"/>
    <row r="758" ht="15.75" customHeight="1" s="216"/>
    <row r="759" ht="15.75" customHeight="1" s="216"/>
    <row r="760" ht="15.75" customHeight="1" s="216"/>
    <row r="761" ht="15.75" customHeight="1" s="216"/>
    <row r="762" ht="15.75" customHeight="1" s="216"/>
    <row r="763" ht="15.75" customHeight="1" s="216"/>
    <row r="764" ht="15.75" customHeight="1" s="216"/>
    <row r="765" ht="15.75" customHeight="1" s="216"/>
    <row r="766" ht="15.75" customHeight="1" s="216"/>
    <row r="767" ht="15.75" customHeight="1" s="216"/>
    <row r="768" ht="15.75" customHeight="1" s="216"/>
    <row r="769" ht="15.75" customHeight="1" s="216"/>
    <row r="770" ht="15.75" customHeight="1" s="216"/>
    <row r="771" ht="15.75" customHeight="1" s="216"/>
    <row r="772" ht="15.75" customHeight="1" s="216"/>
    <row r="773" ht="15.75" customHeight="1" s="216"/>
    <row r="774" ht="15.75" customHeight="1" s="216"/>
    <row r="775" ht="15.75" customHeight="1" s="216"/>
    <row r="776" ht="15.75" customHeight="1" s="216"/>
    <row r="777" ht="15.75" customHeight="1" s="216"/>
    <row r="778" ht="15.75" customHeight="1" s="216"/>
    <row r="779" ht="15.75" customHeight="1" s="216"/>
    <row r="780" ht="15.75" customHeight="1" s="216"/>
    <row r="781" ht="15.75" customHeight="1" s="216"/>
    <row r="782" ht="15.75" customHeight="1" s="216"/>
    <row r="783" ht="15.75" customHeight="1" s="216"/>
    <row r="784" ht="15.75" customHeight="1" s="216"/>
    <row r="785" ht="15.75" customHeight="1" s="216"/>
    <row r="786" ht="15.75" customHeight="1" s="216"/>
    <row r="787" ht="15.75" customHeight="1" s="216"/>
    <row r="788" ht="15.75" customHeight="1" s="216"/>
    <row r="789" ht="15.75" customHeight="1" s="216"/>
    <row r="790" ht="15.75" customHeight="1" s="216"/>
    <row r="791" ht="15.75" customHeight="1" s="216"/>
    <row r="792" ht="15.75" customHeight="1" s="216"/>
    <row r="793" ht="15.75" customHeight="1" s="216"/>
    <row r="794" ht="15.75" customHeight="1" s="216"/>
    <row r="795" ht="15.75" customHeight="1" s="216"/>
    <row r="796" ht="15.75" customHeight="1" s="216"/>
    <row r="797" ht="15.75" customHeight="1" s="216"/>
    <row r="798" ht="15.75" customHeight="1" s="216"/>
    <row r="799" ht="15.75" customHeight="1" s="216"/>
    <row r="800" ht="15.75" customHeight="1" s="216"/>
    <row r="801" ht="15.75" customHeight="1" s="216"/>
    <row r="802" ht="15.75" customHeight="1" s="216"/>
    <row r="803" ht="15.75" customHeight="1" s="216"/>
    <row r="804" ht="15.75" customHeight="1" s="216"/>
    <row r="805" ht="15.75" customHeight="1" s="216"/>
    <row r="806" ht="15.75" customHeight="1" s="216"/>
    <row r="807" ht="15.75" customHeight="1" s="216"/>
    <row r="808" ht="15.75" customHeight="1" s="216"/>
    <row r="809" ht="15.75" customHeight="1" s="216"/>
    <row r="810" ht="15.75" customHeight="1" s="216"/>
    <row r="811" ht="15.75" customHeight="1" s="216"/>
    <row r="812" ht="15.75" customHeight="1" s="216"/>
    <row r="813" ht="15.75" customHeight="1" s="216"/>
    <row r="814" ht="15.75" customHeight="1" s="216"/>
    <row r="815" ht="15.75" customHeight="1" s="216"/>
    <row r="816" ht="15.75" customHeight="1" s="216"/>
    <row r="817" ht="15.75" customHeight="1" s="216"/>
    <row r="818" ht="15.75" customHeight="1" s="216"/>
    <row r="819" ht="15.75" customHeight="1" s="216"/>
    <row r="820" ht="15.75" customHeight="1" s="216"/>
    <row r="821" ht="15.75" customHeight="1" s="216"/>
    <row r="822" ht="15.75" customHeight="1" s="216"/>
    <row r="823" ht="15.75" customHeight="1" s="216"/>
    <row r="824" ht="15.75" customHeight="1" s="216"/>
    <row r="825" ht="15.75" customHeight="1" s="216"/>
    <row r="826" ht="15.75" customHeight="1" s="216"/>
    <row r="827" ht="15.75" customHeight="1" s="216"/>
    <row r="828" ht="15.75" customHeight="1" s="216"/>
    <row r="829" ht="15.75" customHeight="1" s="216"/>
    <row r="830" ht="15.75" customHeight="1" s="216"/>
    <row r="831" ht="15.75" customHeight="1" s="216"/>
    <row r="832" ht="15.75" customHeight="1" s="216"/>
    <row r="833" ht="15.75" customHeight="1" s="216"/>
    <row r="834" ht="15.75" customHeight="1" s="216"/>
    <row r="835" ht="15.75" customHeight="1" s="216"/>
    <row r="836" ht="15.75" customHeight="1" s="216"/>
    <row r="837" ht="15.75" customHeight="1" s="216"/>
    <row r="838" ht="15.75" customHeight="1" s="216"/>
    <row r="839" ht="15.75" customHeight="1" s="216"/>
    <row r="840" ht="15.75" customHeight="1" s="216"/>
    <row r="841" ht="15.75" customHeight="1" s="216"/>
    <row r="842" ht="15.75" customHeight="1" s="216"/>
    <row r="843" ht="15.75" customHeight="1" s="216"/>
    <row r="844" ht="15.75" customHeight="1" s="216"/>
    <row r="845" ht="15.75" customHeight="1" s="216"/>
    <row r="846" ht="15.75" customHeight="1" s="216"/>
    <row r="847" ht="15.75" customHeight="1" s="216"/>
    <row r="848" ht="15.75" customHeight="1" s="216"/>
    <row r="849" ht="15.75" customHeight="1" s="216"/>
    <row r="850" ht="15.75" customHeight="1" s="216"/>
    <row r="851" ht="15.75" customHeight="1" s="216"/>
    <row r="852" ht="15.75" customHeight="1" s="216"/>
    <row r="853" ht="15.75" customHeight="1" s="216"/>
    <row r="854" ht="15.75" customHeight="1" s="216"/>
    <row r="855" ht="15.75" customHeight="1" s="216"/>
    <row r="856" ht="15.75" customHeight="1" s="216"/>
    <row r="857" ht="15.75" customHeight="1" s="216"/>
    <row r="858" ht="15.75" customHeight="1" s="216"/>
    <row r="859" ht="15.75" customHeight="1" s="216"/>
    <row r="860" ht="15.75" customHeight="1" s="216"/>
    <row r="861" ht="15.75" customHeight="1" s="216"/>
    <row r="862" ht="15.75" customHeight="1" s="216"/>
    <row r="863" ht="15.75" customHeight="1" s="216"/>
    <row r="864" ht="15.75" customHeight="1" s="216"/>
    <row r="865" ht="15.75" customHeight="1" s="216"/>
    <row r="866" ht="15.75" customHeight="1" s="216"/>
    <row r="867" ht="15.75" customHeight="1" s="216"/>
    <row r="868" ht="15.75" customHeight="1" s="216"/>
    <row r="869" ht="15.75" customHeight="1" s="216"/>
    <row r="870" ht="15.75" customHeight="1" s="216"/>
    <row r="871" ht="15.75" customHeight="1" s="216"/>
    <row r="872" ht="15.75" customHeight="1" s="216"/>
    <row r="873" ht="15.75" customHeight="1" s="216"/>
    <row r="874" ht="15.75" customHeight="1" s="216"/>
    <row r="875" ht="15.75" customHeight="1" s="216"/>
    <row r="876" ht="15.75" customHeight="1" s="216"/>
    <row r="877" ht="15.75" customHeight="1" s="216"/>
    <row r="878" ht="15.75" customHeight="1" s="216"/>
    <row r="879" ht="15.75" customHeight="1" s="216"/>
    <row r="880" ht="15.75" customHeight="1" s="216"/>
    <row r="881" ht="15.75" customHeight="1" s="216"/>
    <row r="882" ht="15.75" customHeight="1" s="216"/>
    <row r="883" ht="15.75" customHeight="1" s="216"/>
    <row r="884" ht="15.75" customHeight="1" s="216"/>
    <row r="885" ht="15.75" customHeight="1" s="216"/>
    <row r="886" ht="15.75" customHeight="1" s="216"/>
    <row r="887" ht="15.75" customHeight="1" s="216"/>
    <row r="888" ht="15.75" customHeight="1" s="216"/>
    <row r="889" ht="15.75" customHeight="1" s="216"/>
    <row r="890" ht="15.75" customHeight="1" s="216"/>
    <row r="891" ht="15.75" customHeight="1" s="216"/>
    <row r="892" ht="15.75" customHeight="1" s="216"/>
    <row r="893" ht="15.75" customHeight="1" s="216"/>
    <row r="894" ht="15.75" customHeight="1" s="216"/>
    <row r="895" ht="15.75" customHeight="1" s="216"/>
    <row r="896" ht="15.75" customHeight="1" s="216"/>
    <row r="897" ht="15.75" customHeight="1" s="216"/>
    <row r="898" ht="15.75" customHeight="1" s="216"/>
    <row r="899" ht="15.75" customHeight="1" s="216"/>
    <row r="900" ht="15.75" customHeight="1" s="216"/>
    <row r="901" ht="15.75" customHeight="1" s="216"/>
    <row r="902" ht="15.75" customHeight="1" s="216"/>
    <row r="903" ht="15.75" customHeight="1" s="216"/>
    <row r="904" ht="15.75" customHeight="1" s="216"/>
    <row r="905" ht="15.75" customHeight="1" s="216"/>
    <row r="906" ht="15.75" customHeight="1" s="216"/>
    <row r="907" ht="15.75" customHeight="1" s="216"/>
    <row r="908" ht="15.75" customHeight="1" s="216"/>
    <row r="909" ht="15.75" customHeight="1" s="216"/>
    <row r="910" ht="15.75" customHeight="1" s="216"/>
    <row r="911" ht="15.75" customHeight="1" s="216"/>
    <row r="912" ht="15.75" customHeight="1" s="216"/>
    <row r="913" ht="15.75" customHeight="1" s="216"/>
    <row r="914" ht="15.75" customHeight="1" s="216"/>
    <row r="915" ht="15.75" customHeight="1" s="216"/>
    <row r="916" ht="15.75" customHeight="1" s="216"/>
    <row r="917" ht="15.75" customHeight="1" s="216"/>
    <row r="918" ht="15.75" customHeight="1" s="216"/>
    <row r="919" ht="15.75" customHeight="1" s="216"/>
    <row r="920" ht="15.75" customHeight="1" s="216"/>
    <row r="921" ht="15.75" customHeight="1" s="216"/>
    <row r="922" ht="15.75" customHeight="1" s="216"/>
    <row r="923" ht="15.75" customHeight="1" s="216"/>
    <row r="924" ht="15.75" customHeight="1" s="216"/>
    <row r="925" ht="15.75" customHeight="1" s="216"/>
    <row r="926" ht="15.75" customHeight="1" s="216"/>
    <row r="927" ht="15.75" customHeight="1" s="216"/>
    <row r="928" ht="15.75" customHeight="1" s="216"/>
    <row r="929" ht="15.75" customHeight="1" s="216"/>
    <row r="930" ht="15.75" customHeight="1" s="216"/>
    <row r="931" ht="15.75" customHeight="1" s="216"/>
    <row r="932" ht="15.75" customHeight="1" s="216"/>
    <row r="933" ht="15.75" customHeight="1" s="216"/>
    <row r="934" ht="15.75" customHeight="1" s="216"/>
    <row r="935" ht="15.75" customHeight="1" s="216"/>
    <row r="936" ht="15.75" customHeight="1" s="216"/>
    <row r="937" ht="15.75" customHeight="1" s="216"/>
    <row r="938" ht="15.75" customHeight="1" s="216"/>
    <row r="939" ht="15.75" customHeight="1" s="216"/>
    <row r="940" ht="15.75" customHeight="1" s="216"/>
    <row r="941" ht="15.75" customHeight="1" s="216"/>
    <row r="942" ht="15.75" customHeight="1" s="216"/>
    <row r="943" ht="15.75" customHeight="1" s="216"/>
    <row r="944" ht="15.75" customHeight="1" s="216"/>
    <row r="945" ht="15.75" customHeight="1" s="216"/>
    <row r="946" ht="15.75" customHeight="1" s="216"/>
    <row r="947" ht="15.75" customHeight="1" s="216"/>
    <row r="948" ht="15.75" customHeight="1" s="216"/>
    <row r="949" ht="15.75" customHeight="1" s="216"/>
    <row r="950" ht="15.75" customHeight="1" s="216"/>
    <row r="951" ht="15.75" customHeight="1" s="216"/>
    <row r="952" ht="15.75" customHeight="1" s="216"/>
    <row r="953" ht="15.75" customHeight="1" s="216"/>
    <row r="954" ht="15.75" customHeight="1" s="216"/>
    <row r="955" ht="15.75" customHeight="1" s="216"/>
    <row r="956" ht="15.75" customHeight="1" s="216"/>
    <row r="957" ht="15.75" customHeight="1" s="216"/>
    <row r="958" ht="15.75" customHeight="1" s="216"/>
    <row r="959" ht="15.75" customHeight="1" s="216"/>
    <row r="960" ht="15.75" customHeight="1" s="216"/>
    <row r="961" ht="15.75" customHeight="1" s="216"/>
    <row r="962" ht="15.75" customHeight="1" s="216"/>
    <row r="963" ht="15.75" customHeight="1" s="216"/>
    <row r="964" ht="15.75" customHeight="1" s="216"/>
    <row r="965" ht="15.75" customHeight="1" s="216"/>
    <row r="966" ht="15.75" customHeight="1" s="216"/>
    <row r="967" ht="15.75" customHeight="1" s="216"/>
    <row r="968" ht="15.75" customHeight="1" s="216"/>
    <row r="969" ht="15.75" customHeight="1" s="216"/>
    <row r="970" ht="15.75" customHeight="1" s="216"/>
    <row r="971" ht="15.75" customHeight="1" s="216"/>
    <row r="972" ht="15.75" customHeight="1" s="216"/>
    <row r="973" ht="15.75" customHeight="1" s="216"/>
    <row r="974" ht="15.75" customHeight="1" s="216"/>
    <row r="975" ht="15.75" customHeight="1" s="216"/>
    <row r="976" ht="15.75" customHeight="1" s="216"/>
    <row r="977" ht="15.75" customHeight="1" s="216"/>
    <row r="978" ht="15.75" customHeight="1" s="216"/>
    <row r="979" ht="15.75" customHeight="1" s="216"/>
    <row r="980" ht="15.75" customHeight="1" s="216"/>
    <row r="981" ht="15.75" customHeight="1" s="216"/>
    <row r="982" ht="15.75" customHeight="1" s="216"/>
    <row r="983" ht="15.75" customHeight="1" s="216"/>
    <row r="984" ht="15.75" customHeight="1" s="216"/>
    <row r="985" ht="15.75" customHeight="1" s="216"/>
    <row r="986" ht="15.75" customHeight="1" s="216"/>
    <row r="987" ht="15.75" customHeight="1" s="216"/>
    <row r="988" ht="15.75" customHeight="1" s="216"/>
    <row r="989" ht="15.75" customHeight="1" s="216"/>
    <row r="990" ht="15.75" customHeight="1" s="216"/>
    <row r="991" ht="15.75" customHeight="1" s="216"/>
    <row r="992" ht="15.75" customHeight="1" s="216"/>
    <row r="993" ht="15.75" customHeight="1" s="216"/>
    <row r="994" ht="15.75" customHeight="1" s="216"/>
    <row r="995" ht="15.75" customHeight="1" s="216"/>
    <row r="996" ht="15.75" customHeight="1" s="216"/>
    <row r="997" ht="15.75" customHeight="1" s="216"/>
    <row r="998" ht="15.75" customHeight="1" s="216"/>
    <row r="999" ht="15.75" customHeight="1" s="216"/>
    <row r="1000" ht="15.75" customHeight="1" s="216"/>
    <row r="1001" ht="15.75" customHeight="1" s="216"/>
  </sheetData>
  <mergeCells count="57">
    <mergeCell ref="B108:E108"/>
    <mergeCell ref="C6:D6"/>
    <mergeCell ref="F5:H5"/>
    <mergeCell ref="I6:J6"/>
    <mergeCell ref="F11:J11"/>
    <mergeCell ref="B218:L218"/>
    <mergeCell ref="B228:D228"/>
    <mergeCell ref="B16:I16"/>
    <mergeCell ref="C5:D5"/>
    <mergeCell ref="F8:H8"/>
    <mergeCell ref="C141:D141"/>
    <mergeCell ref="B22:I22"/>
    <mergeCell ref="B55:K55"/>
    <mergeCell ref="B119:D119"/>
    <mergeCell ref="B184:C184"/>
    <mergeCell ref="C4:D4"/>
    <mergeCell ref="B152:C152"/>
    <mergeCell ref="C147:D147"/>
    <mergeCell ref="B41:K41"/>
    <mergeCell ref="C143:D143"/>
    <mergeCell ref="B211:D211"/>
    <mergeCell ref="B219:L219"/>
    <mergeCell ref="I7:J7"/>
    <mergeCell ref="C146:D146"/>
    <mergeCell ref="B100:E100"/>
    <mergeCell ref="C137:D137"/>
    <mergeCell ref="F9:H9"/>
    <mergeCell ref="C142:D142"/>
    <mergeCell ref="B83:D83"/>
    <mergeCell ref="C148:D148"/>
    <mergeCell ref="F2:J2"/>
    <mergeCell ref="I3:J3"/>
    <mergeCell ref="B13:I13"/>
    <mergeCell ref="C139:D139"/>
    <mergeCell ref="B116:I116"/>
    <mergeCell ref="C138:D138"/>
    <mergeCell ref="B168:C168"/>
    <mergeCell ref="I5:J5"/>
    <mergeCell ref="F4:H4"/>
    <mergeCell ref="I8:J8"/>
    <mergeCell ref="B200:D200"/>
    <mergeCell ref="B217:L217"/>
    <mergeCell ref="C144:D144"/>
    <mergeCell ref="B136:E136"/>
    <mergeCell ref="B7:D9"/>
    <mergeCell ref="B72:G72"/>
    <mergeCell ref="F10:H10"/>
    <mergeCell ref="I4:J4"/>
    <mergeCell ref="F6:H6"/>
    <mergeCell ref="I10:J10"/>
    <mergeCell ref="B58:G58"/>
    <mergeCell ref="F7:H7"/>
    <mergeCell ref="C140:D140"/>
    <mergeCell ref="F3:H3"/>
    <mergeCell ref="C3:D3"/>
    <mergeCell ref="I9:J9"/>
    <mergeCell ref="C145:D145"/>
  </mergeCells>
  <pageMargins left="0.75" right="0.75" top="1" bottom="1" header="0" footer="0"/>
  <pageSetup orientation="landscape" fitToHeight="0"/>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AA250"/>
  <sheetViews>
    <sheetView showGridLines="0" workbookViewId="0">
      <selection activeCell="A1" sqref="A1"/>
    </sheetView>
  </sheetViews>
  <sheetFormatPr baseColWidth="8" defaultColWidth="14.43" defaultRowHeight="15" customHeight="1"/>
  <cols>
    <col width="12" customWidth="1" style="216" min="1" max="1"/>
    <col width="9" customWidth="1" style="216" min="2" max="2"/>
    <col width="40" customWidth="1" style="216" min="3" max="3"/>
    <col width="14" customWidth="1" style="216" min="4" max="4"/>
    <col width="12" customWidth="1" style="216" min="5" max="10"/>
    <col width="10" customWidth="1" style="216" min="11" max="11"/>
    <col width="9" customWidth="1" style="216" min="12" max="12"/>
    <col width="13" customWidth="1" style="216" min="13" max="13"/>
    <col width="10" customWidth="1" style="216" min="14" max="14"/>
    <col width="46" customWidth="1" style="216" min="16" max="16"/>
    <col width="13" customWidth="1" style="216" min="17" max="17"/>
    <col width="15" customWidth="1" style="216" min="18" max="18"/>
    <col width="13" customWidth="1" style="216" min="19" max="19"/>
    <col width="8" customWidth="1" style="216" min="20" max="20"/>
    <col width="14" customWidth="1" style="216" min="21" max="21"/>
    <col width="3" customWidth="1" style="216" min="24" max="24"/>
    <col width="60" customWidth="1" style="216" min="25" max="25"/>
    <col width="3" customWidth="1" style="216" min="26" max="26"/>
    <col width="66" customWidth="1" style="216" min="27" max="27"/>
  </cols>
  <sheetData>
    <row r="1" ht="27.75" customHeight="1" s="216">
      <c r="A1" s="100" t="inlineStr">
        <is>
          <t>Key</t>
        </is>
      </c>
      <c r="B1" s="100" t="inlineStr">
        <is>
          <t>Type</t>
        </is>
      </c>
      <c r="C1" s="100" t="inlineStr">
        <is>
          <t>Summary</t>
        </is>
      </c>
      <c r="D1" s="100" t="inlineStr">
        <is>
          <t>Bug Status</t>
        </is>
      </c>
      <c r="E1" s="100" t="inlineStr">
        <is>
          <t>Priority (Jira)</t>
        </is>
      </c>
      <c r="F1" s="100" t="inlineStr">
        <is>
          <t>Assignee</t>
        </is>
      </c>
      <c r="G1" s="100" t="inlineStr">
        <is>
          <t>Reporter</t>
        </is>
      </c>
      <c r="H1" s="100" t="inlineStr">
        <is>
          <t>Created</t>
        </is>
      </c>
      <c r="I1" s="100" t="inlineStr">
        <is>
          <t>Resolved</t>
        </is>
      </c>
      <c r="J1" s="100" t="inlineStr">
        <is>
          <t>Fix Version</t>
        </is>
      </c>
      <c r="K1" s="100" t="inlineStr">
        <is>
          <t>Sprint</t>
        </is>
      </c>
      <c r="L1" s="101" t="inlineStr">
        <is>
          <t>Severity</t>
        </is>
      </c>
      <c r="M1" s="101" t="inlineStr">
        <is>
          <t>Function</t>
        </is>
      </c>
      <c r="N1" s="101" t="inlineStr">
        <is>
          <t>Platform</t>
        </is>
      </c>
      <c r="O1" s="101" t="inlineStr">
        <is>
          <t>Resolution</t>
        </is>
      </c>
      <c r="P1" s="101" t="inlineStr">
        <is>
          <t>Won't Fix Reason</t>
        </is>
      </c>
      <c r="Q1" s="101" t="inlineStr">
        <is>
          <t>Defect</t>
        </is>
      </c>
      <c r="R1" s="101" t="inlineStr">
        <is>
          <t>Effect</t>
        </is>
      </c>
      <c r="S1" s="101" t="inlineStr">
        <is>
          <t>Rework number</t>
        </is>
      </c>
      <c r="T1" s="101" t="inlineStr">
        <is>
          <t>Round</t>
        </is>
      </c>
      <c r="U1" s="101" t="inlineStr">
        <is>
          <t>Round closed bug</t>
        </is>
      </c>
      <c r="X1" s="1" t="n"/>
      <c r="Y1" s="102" t="inlineStr">
        <is>
          <t>Danh mục Won't Fix Reason (nguồn dropdown cột P)</t>
        </is>
      </c>
      <c r="Z1" s="1" t="n"/>
      <c r="AA1" s="103" t="inlineStr">
        <is>
          <t>HƯỚNG DẪN IMPORT TỪ JIRA</t>
        </is>
      </c>
    </row>
    <row r="2" ht="15.75" customHeight="1" s="216">
      <c r="A2" s="173" t="inlineStr">
        <is>
          <t>FE-290</t>
        </is>
      </c>
      <c r="B2" s="173" t="inlineStr">
        <is>
          <t>Bug</t>
        </is>
      </c>
      <c r="C2" s="174" t="inlineStr">
        <is>
          <t>[TC_11 - Tài khoản &amp; Hồ sơ]:  Chặn lưu SĐT im lặng, không báo lỗi</t>
        </is>
      </c>
      <c r="D2" s="173" t="inlineStr">
        <is>
          <t>To Do</t>
        </is>
      </c>
      <c r="E2" s="173" t="inlineStr">
        <is>
          <t>Medium</t>
        </is>
      </c>
      <c r="F2" s="173" t="inlineStr">
        <is>
          <t>Tuanvm37</t>
        </is>
      </c>
      <c r="G2" s="173" t="inlineStr">
        <is>
          <t>GiangDC2</t>
        </is>
      </c>
      <c r="H2" s="173" t="inlineStr">
        <is>
          <t>2026-09-18</t>
        </is>
      </c>
      <c r="I2" s="173" t="inlineStr"/>
      <c r="J2" s="173" t="inlineStr">
        <is>
          <t>v1.1</t>
        </is>
      </c>
      <c r="K2" s="173" t="inlineStr">
        <is>
          <t>R1</t>
        </is>
      </c>
      <c r="L2" s="173" t="n">
        <v>2</v>
      </c>
      <c r="M2" s="173" t="inlineStr">
        <is>
          <t>Tài khoản &amp; Hồ sơ</t>
        </is>
      </c>
      <c r="N2" s="173" t="inlineStr">
        <is>
          <t>App</t>
        </is>
      </c>
      <c r="O2" s="173" t="inlineStr"/>
      <c r="P2" s="174" t="inlineStr"/>
      <c r="Q2" s="173" t="inlineStr">
        <is>
          <t>Logic</t>
        </is>
      </c>
      <c r="R2" s="173" t="inlineStr">
        <is>
          <t>Functionality</t>
        </is>
      </c>
      <c r="S2" s="173" t="inlineStr"/>
      <c r="T2" s="173" t="n">
        <v>1</v>
      </c>
      <c r="U2" s="173" t="inlineStr"/>
      <c r="X2" s="1" t="n"/>
      <c r="Y2" s="106" t="inlineStr">
        <is>
          <t>1.1 QC miss thông tin/ nghiệp vụ</t>
        </is>
      </c>
      <c r="Z2" s="1" t="n"/>
      <c r="AA2" s="106" t="inlineStr">
        <is>
          <t>① KHỐI JIRA (cột A–K, nền vàng): export/CSV từ Jira rồi dán trực tiếp bắt đầu ô A2.</t>
        </is>
      </c>
    </row>
    <row r="3" ht="15.75" customHeight="1" s="216">
      <c r="A3" s="173" t="inlineStr">
        <is>
          <t>FE-291</t>
        </is>
      </c>
      <c r="B3" s="173" t="inlineStr">
        <is>
          <t>Bug</t>
        </is>
      </c>
      <c r="C3" s="174" t="inlineStr">
        <is>
          <t>[TC_11 - Tài khoản &amp; Hồ sơ] - Chuỗi thông báo lỗi SĐT lệch chuỗi BA đã chốt</t>
        </is>
      </c>
      <c r="D3" s="173" t="inlineStr">
        <is>
          <t>To Do</t>
        </is>
      </c>
      <c r="E3" s="173" t="inlineStr">
        <is>
          <t>Medium</t>
        </is>
      </c>
      <c r="F3" s="173" t="inlineStr">
        <is>
          <t>Tuanvm37</t>
        </is>
      </c>
      <c r="G3" s="173" t="inlineStr">
        <is>
          <t>GiangDC2</t>
        </is>
      </c>
      <c r="H3" s="173" t="inlineStr">
        <is>
          <t>2026-09-18</t>
        </is>
      </c>
      <c r="I3" s="173" t="inlineStr"/>
      <c r="J3" s="173" t="inlineStr">
        <is>
          <t>v1.1</t>
        </is>
      </c>
      <c r="K3" s="173" t="inlineStr">
        <is>
          <t>R1</t>
        </is>
      </c>
      <c r="L3" s="173" t="n">
        <v>2</v>
      </c>
      <c r="M3" s="173" t="inlineStr">
        <is>
          <t>Tài khoản &amp; Hồ sơ</t>
        </is>
      </c>
      <c r="N3" s="173" t="inlineStr">
        <is>
          <t>App</t>
        </is>
      </c>
      <c r="O3" s="173" t="inlineStr"/>
      <c r="P3" s="174" t="inlineStr"/>
      <c r="Q3" s="173" t="inlineStr">
        <is>
          <t>Interface</t>
        </is>
      </c>
      <c r="R3" s="173" t="inlineStr">
        <is>
          <t>Usability</t>
        </is>
      </c>
      <c r="S3" s="173" t="inlineStr"/>
      <c r="T3" s="173" t="n">
        <v>1</v>
      </c>
      <c r="U3" s="173" t="inlineStr"/>
      <c r="X3" s="1" t="n"/>
      <c r="Y3" s="106" t="inlineStr">
        <is>
          <t>1.2 QC post trùng bug</t>
        </is>
      </c>
      <c r="Z3" s="1" t="n"/>
      <c r="AA3" s="106" t="inlineStr">
        <is>
          <t xml:space="preserve">   • Board dự án: foxproject.atlassian.net (project key IP). Mỗi round = 1 Sprint.</t>
        </is>
      </c>
    </row>
    <row r="4" ht="15.75" customHeight="1" s="216">
      <c r="A4" s="173" t="inlineStr">
        <is>
          <t>FE-292</t>
        </is>
      </c>
      <c r="B4" s="173" t="inlineStr">
        <is>
          <t>Bug</t>
        </is>
      </c>
      <c r="C4" s="174" t="inlineStr">
        <is>
          <t>[TC_11 - Tài khoản &amp; Hồ sơ] - Địa chỉ gõ tay không bị xoá rỗng khi rời field, bị lưu làm mặc định</t>
        </is>
      </c>
      <c r="D4" s="173" t="inlineStr">
        <is>
          <t>To Do</t>
        </is>
      </c>
      <c r="E4" s="173" t="inlineStr">
        <is>
          <t>Medium</t>
        </is>
      </c>
      <c r="F4" s="173" t="inlineStr">
        <is>
          <t>Tuanvm37</t>
        </is>
      </c>
      <c r="G4" s="173" t="inlineStr">
        <is>
          <t>GiangDC2</t>
        </is>
      </c>
      <c r="H4" s="173" t="inlineStr">
        <is>
          <t>2026-09-18</t>
        </is>
      </c>
      <c r="I4" s="173" t="inlineStr"/>
      <c r="J4" s="173" t="inlineStr">
        <is>
          <t>v1.1</t>
        </is>
      </c>
      <c r="K4" s="173" t="inlineStr">
        <is>
          <t>R1</t>
        </is>
      </c>
      <c r="L4" s="173" t="n">
        <v>2</v>
      </c>
      <c r="M4" s="173" t="inlineStr">
        <is>
          <t>Tài khoản &amp; Hồ sơ</t>
        </is>
      </c>
      <c r="N4" s="173" t="inlineStr">
        <is>
          <t>App</t>
        </is>
      </c>
      <c r="O4" s="173" t="inlineStr"/>
      <c r="P4" s="174" t="inlineStr"/>
      <c r="Q4" s="173" t="inlineStr">
        <is>
          <t>Logic</t>
        </is>
      </c>
      <c r="R4" s="173" t="inlineStr">
        <is>
          <t>Functionality</t>
        </is>
      </c>
      <c r="S4" s="173" t="inlineStr"/>
      <c r="T4" s="173" t="n">
        <v>1</v>
      </c>
      <c r="U4" s="173" t="inlineStr"/>
      <c r="X4" s="1" t="n"/>
      <c r="Y4" s="106" t="inlineStr">
        <is>
          <t>1.3 QC không tái hiện được Bug</t>
        </is>
      </c>
      <c r="Z4" s="1" t="n"/>
      <c r="AA4" s="106" t="inlineStr">
        <is>
          <t xml:space="preserve">   • A Key, B Type, C Summary, D Bug Status, E Priority, F Assignee, G Reporter,</t>
        </is>
      </c>
    </row>
    <row r="5" ht="15.75" customHeight="1" s="216">
      <c r="A5" s="173" t="inlineStr">
        <is>
          <t>FE-293</t>
        </is>
      </c>
      <c r="B5" s="173" t="inlineStr">
        <is>
          <t>Bug</t>
        </is>
      </c>
      <c r="C5" s="174" t="inlineStr">
        <is>
          <t>[TC_11 - Tài khoản &amp; Hồ sơ] - Avatar chữ viết tắt sai quy tắc dẫn xuất</t>
        </is>
      </c>
      <c r="D5" s="173" t="inlineStr">
        <is>
          <t>To Do</t>
        </is>
      </c>
      <c r="E5" s="173" t="inlineStr">
        <is>
          <t>Low</t>
        </is>
      </c>
      <c r="F5" s="173" t="inlineStr">
        <is>
          <t>Tuanvm37</t>
        </is>
      </c>
      <c r="G5" s="173" t="inlineStr">
        <is>
          <t>GiangDC2</t>
        </is>
      </c>
      <c r="H5" s="173" t="inlineStr">
        <is>
          <t>2026-09-18</t>
        </is>
      </c>
      <c r="I5" s="173" t="inlineStr"/>
      <c r="J5" s="173" t="inlineStr">
        <is>
          <t>v1.1</t>
        </is>
      </c>
      <c r="K5" s="173" t="inlineStr">
        <is>
          <t>R1</t>
        </is>
      </c>
      <c r="L5" s="173" t="n">
        <v>2</v>
      </c>
      <c r="M5" s="173" t="inlineStr">
        <is>
          <t>Tài khoản &amp; Hồ sơ</t>
        </is>
      </c>
      <c r="N5" s="173" t="inlineStr">
        <is>
          <t>App</t>
        </is>
      </c>
      <c r="O5" s="173" t="inlineStr"/>
      <c r="P5" s="174" t="inlineStr"/>
      <c r="Q5" s="173" t="inlineStr">
        <is>
          <t>Logic</t>
        </is>
      </c>
      <c r="R5" s="173" t="inlineStr">
        <is>
          <t>Usability</t>
        </is>
      </c>
      <c r="S5" s="173" t="inlineStr"/>
      <c r="T5" s="173" t="n">
        <v>1</v>
      </c>
      <c r="U5" s="173" t="inlineStr"/>
      <c r="X5" s="1" t="n"/>
      <c r="Y5" s="106" t="inlineStr">
        <is>
          <t>2.1 BA miss luồng</t>
        </is>
      </c>
      <c r="Z5" s="1" t="n"/>
      <c r="AA5" s="106" t="inlineStr">
        <is>
          <t xml:space="preserve">     H Created, I Resolved, J Fix Version, K Sprint — khớp cột export mặc định của Jira.</t>
        </is>
      </c>
    </row>
    <row r="6" ht="15.75" customHeight="1" s="216">
      <c r="A6" s="173" t="inlineStr">
        <is>
          <t>FE-294</t>
        </is>
      </c>
      <c r="B6" s="173" t="inlineStr">
        <is>
          <t>Bug</t>
        </is>
      </c>
      <c r="C6" s="174" t="inlineStr">
        <is>
          <t>[TC_11 - Tài khoản &amp; Hồ sơ] - Nhãn mục menu thứ 3 lệch tài liệu, không nhất quán tiêu đề màn đích</t>
        </is>
      </c>
      <c r="D6" s="173" t="inlineStr">
        <is>
          <t>To Do</t>
        </is>
      </c>
      <c r="E6" s="173" t="inlineStr">
        <is>
          <t>Low</t>
        </is>
      </c>
      <c r="F6" s="173" t="inlineStr">
        <is>
          <t>Tuanvm37</t>
        </is>
      </c>
      <c r="G6" s="173" t="inlineStr">
        <is>
          <t>GiangDC2</t>
        </is>
      </c>
      <c r="H6" s="173" t="inlineStr">
        <is>
          <t>2026-09-18</t>
        </is>
      </c>
      <c r="I6" s="173" t="inlineStr"/>
      <c r="J6" s="173" t="inlineStr">
        <is>
          <t>v1.1</t>
        </is>
      </c>
      <c r="K6" s="173" t="inlineStr">
        <is>
          <t>R1</t>
        </is>
      </c>
      <c r="L6" s="173" t="n">
        <v>2</v>
      </c>
      <c r="M6" s="173" t="inlineStr">
        <is>
          <t>Tài khoản &amp; Hồ sơ</t>
        </is>
      </c>
      <c r="N6" s="173" t="inlineStr">
        <is>
          <t>App</t>
        </is>
      </c>
      <c r="O6" s="173" t="inlineStr"/>
      <c r="P6" s="174" t="inlineStr"/>
      <c r="Q6" s="173" t="inlineStr">
        <is>
          <t>Requirement</t>
        </is>
      </c>
      <c r="R6" s="173" t="inlineStr">
        <is>
          <t>Usability</t>
        </is>
      </c>
      <c r="S6" s="173" t="inlineStr"/>
      <c r="T6" s="173" t="n">
        <v>1</v>
      </c>
      <c r="U6" s="173" t="inlineStr"/>
      <c r="X6" s="1" t="n"/>
      <c r="Y6" s="106" t="inlineStr">
        <is>
          <t>2.2 BA thiếu/ sai nghiệp vụ</t>
        </is>
      </c>
      <c r="Z6" s="1" t="n"/>
      <c r="AA6" s="106" t="inlineStr">
        <is>
          <t>② KHỐI QC PHÂN TÍCH (cột L–U, nền cam): QC tự điền, là nguồn cho biểu đồ sheet Report Test.</t>
        </is>
      </c>
    </row>
    <row r="7" ht="15.75" customHeight="1" s="216">
      <c r="A7" s="173" t="inlineStr">
        <is>
          <t>FE-295</t>
        </is>
      </c>
      <c r="B7" s="173" t="inlineStr">
        <is>
          <t>Bug</t>
        </is>
      </c>
      <c r="C7" s="174" t="inlineStr">
        <is>
          <t>[TC_11 - Tài khoản &amp; Hồ sơ] - Thiếu icon khiên cạnh field Email công ty</t>
        </is>
      </c>
      <c r="D7" s="173" t="inlineStr">
        <is>
          <t>To Do</t>
        </is>
      </c>
      <c r="E7" s="173" t="inlineStr">
        <is>
          <t>Lowest</t>
        </is>
      </c>
      <c r="F7" s="173" t="inlineStr">
        <is>
          <t>Tuanvm37</t>
        </is>
      </c>
      <c r="G7" s="173" t="inlineStr">
        <is>
          <t>GiangDC2</t>
        </is>
      </c>
      <c r="H7" s="173" t="inlineStr">
        <is>
          <t>2026-09-18</t>
        </is>
      </c>
      <c r="I7" s="173" t="inlineStr"/>
      <c r="J7" s="173" t="inlineStr">
        <is>
          <t>v1.1</t>
        </is>
      </c>
      <c r="K7" s="173" t="inlineStr">
        <is>
          <t>R1</t>
        </is>
      </c>
      <c r="L7" s="173" t="n">
        <v>0</v>
      </c>
      <c r="M7" s="173" t="inlineStr">
        <is>
          <t>Tài khoản &amp; Hồ sơ</t>
        </is>
      </c>
      <c r="N7" s="173" t="inlineStr">
        <is>
          <t>App</t>
        </is>
      </c>
      <c r="O7" s="173" t="inlineStr"/>
      <c r="P7" s="174" t="inlineStr"/>
      <c r="Q7" s="173" t="inlineStr">
        <is>
          <t>Interface</t>
        </is>
      </c>
      <c r="R7" s="173" t="inlineStr">
        <is>
          <t>Usability</t>
        </is>
      </c>
      <c r="S7" s="173" t="inlineStr"/>
      <c r="T7" s="173" t="n">
        <v>1</v>
      </c>
      <c r="U7" s="173" t="inlineStr"/>
      <c r="X7" s="1" t="n"/>
      <c r="Y7" s="106" t="inlineStr">
        <is>
          <t>3.1 Dev không sửa do Ngoài scope dự án</t>
        </is>
      </c>
      <c r="Z7" s="1" t="n"/>
      <c r="AA7" s="106" t="inlineStr">
        <is>
          <t xml:space="preserve">   • L Severity (20=Critical,10=Major,5=Medium,2=Low) — map từ Priority/field Severity của Jira.</t>
        </is>
      </c>
    </row>
    <row r="8" ht="15.75" customHeight="1" s="216">
      <c r="A8" s="173" t="inlineStr">
        <is>
          <t>FE-297</t>
        </is>
      </c>
      <c r="B8" s="173" t="inlineStr">
        <is>
          <t>Bug</t>
        </is>
      </c>
      <c r="C8" s="174" t="inlineStr">
        <is>
          <t>[TC_11 - Tài khoản &amp; Hồ sơ] - Mã nhân viên bị cắt, hiển thị không đầy đủ</t>
        </is>
      </c>
      <c r="D8" s="173" t="inlineStr">
        <is>
          <t>To Do</t>
        </is>
      </c>
      <c r="E8" s="173" t="inlineStr">
        <is>
          <t>Low</t>
        </is>
      </c>
      <c r="F8" s="173" t="inlineStr">
        <is>
          <t>Tuanvm37</t>
        </is>
      </c>
      <c r="G8" s="173" t="inlineStr">
        <is>
          <t>GiangDC2</t>
        </is>
      </c>
      <c r="H8" s="173" t="inlineStr">
        <is>
          <t>2026-09-18</t>
        </is>
      </c>
      <c r="I8" s="173" t="inlineStr"/>
      <c r="J8" s="173" t="inlineStr">
        <is>
          <t>v1.1</t>
        </is>
      </c>
      <c r="K8" s="173" t="inlineStr">
        <is>
          <t>R1</t>
        </is>
      </c>
      <c r="L8" s="173" t="n">
        <v>0</v>
      </c>
      <c r="M8" s="173" t="inlineStr">
        <is>
          <t>Tài khoản &amp; Hồ sơ</t>
        </is>
      </c>
      <c r="N8" s="173" t="inlineStr">
        <is>
          <t>App</t>
        </is>
      </c>
      <c r="O8" s="173" t="inlineStr"/>
      <c r="P8" s="174" t="inlineStr"/>
      <c r="Q8" s="173" t="inlineStr">
        <is>
          <t>Interface</t>
        </is>
      </c>
      <c r="R8" s="173" t="inlineStr">
        <is>
          <t>Usability</t>
        </is>
      </c>
      <c r="S8" s="173" t="inlineStr"/>
      <c r="T8" s="173" t="n">
        <v>1</v>
      </c>
      <c r="U8" s="173" t="inlineStr"/>
      <c r="X8" s="1" t="n"/>
      <c r="Y8" s="106" t="inlineStr">
        <is>
          <t>3.2 Dev không fix do Phụ thuộc thông tin các bên liên quan ngoài ISC</t>
        </is>
      </c>
      <c r="Z8" s="1" t="n"/>
      <c r="AA8" s="106" t="inlineStr">
        <is>
          <t xml:space="preserve">   • D Bug Status: GIỮ NGUYÊN status của board Jira (không gom nhóm, không có cột status thứ 2). Report Test §1a/§1b đếm theo từng trạng thái này.</t>
        </is>
      </c>
    </row>
    <row r="9" ht="15.75" customHeight="1" s="216">
      <c r="A9" s="173" t="inlineStr">
        <is>
          <t>FE-298</t>
        </is>
      </c>
      <c r="B9" s="173" t="inlineStr">
        <is>
          <t>Bug</t>
        </is>
      </c>
      <c r="C9" s="174" t="inlineStr">
        <is>
          <t>[TC_11 - Tài khoản &amp; Hồ sơ]: Gợi ý địa chỉ tìm địa chỉ không đúng</t>
        </is>
      </c>
      <c r="D9" s="173" t="inlineStr">
        <is>
          <t>To Do</t>
        </is>
      </c>
      <c r="E9" s="173" t="inlineStr">
        <is>
          <t>Medium</t>
        </is>
      </c>
      <c r="F9" s="173" t="inlineStr">
        <is>
          <t>Tuanvm37</t>
        </is>
      </c>
      <c r="G9" s="173" t="inlineStr">
        <is>
          <t>GiangDC2</t>
        </is>
      </c>
      <c r="H9" s="173" t="inlineStr">
        <is>
          <t>2026-09-18</t>
        </is>
      </c>
      <c r="I9" s="173" t="inlineStr"/>
      <c r="J9" s="173" t="inlineStr">
        <is>
          <t>v1.1</t>
        </is>
      </c>
      <c r="K9" s="173" t="inlineStr">
        <is>
          <t>R1</t>
        </is>
      </c>
      <c r="L9" s="173" t="n">
        <v>5</v>
      </c>
      <c r="M9" s="173" t="inlineStr">
        <is>
          <t>Tài khoản &amp; Hồ sơ</t>
        </is>
      </c>
      <c r="N9" s="173" t="inlineStr">
        <is>
          <t>App</t>
        </is>
      </c>
      <c r="O9" s="173" t="inlineStr"/>
      <c r="P9" s="174" t="inlineStr"/>
      <c r="Q9" s="173" t="inlineStr">
        <is>
          <t>Data</t>
        </is>
      </c>
      <c r="R9" s="173" t="inlineStr">
        <is>
          <t>Functionality</t>
        </is>
      </c>
      <c r="S9" s="173" t="inlineStr"/>
      <c r="T9" s="173" t="n">
        <v>1</v>
      </c>
      <c r="U9" s="173" t="inlineStr"/>
      <c r="X9" s="1" t="n"/>
      <c r="Y9" s="106" t="inlineStr">
        <is>
          <t>3.3 Dev không fix do Điều kiện test không đáp ứng (Môi trường, cấu hình, dữ liệu, thiết bị,...)</t>
        </is>
      </c>
      <c r="Z9" s="1" t="n"/>
      <c r="AA9" s="106" t="inlineStr">
        <is>
          <t xml:space="preserve">   • T Round: round PHÁT HIỆN bug (1..5) — map từ Sprint (K). Là nguồn cột 'Phát hiện' của biểu đồ Xu hướng Bug theo Round (Report Test §IV).</t>
        </is>
      </c>
    </row>
    <row r="10" ht="15.75" customHeight="1" s="216">
      <c r="A10" s="173" t="inlineStr">
        <is>
          <t>FE-300</t>
        </is>
      </c>
      <c r="B10" s="173" t="inlineStr">
        <is>
          <t>Bug</t>
        </is>
      </c>
      <c r="C10" s="174" t="inlineStr">
        <is>
          <t>[TC_11 - Tài khoản &amp; Hồ sơ] - Không load SĐT và địa chỉ mặc định từ HRIS</t>
        </is>
      </c>
      <c r="D10" s="173" t="inlineStr">
        <is>
          <t>To Do</t>
        </is>
      </c>
      <c r="E10" s="173" t="inlineStr">
        <is>
          <t>Medium</t>
        </is>
      </c>
      <c r="F10" s="173" t="inlineStr">
        <is>
          <t>Tuanvm37</t>
        </is>
      </c>
      <c r="G10" s="173" t="inlineStr">
        <is>
          <t>GiangDC2</t>
        </is>
      </c>
      <c r="H10" s="173" t="inlineStr">
        <is>
          <t>2026-09-21</t>
        </is>
      </c>
      <c r="I10" s="173" t="inlineStr"/>
      <c r="J10" s="173" t="inlineStr">
        <is>
          <t>v1.1</t>
        </is>
      </c>
      <c r="K10" s="173" t="inlineStr">
        <is>
          <t>R1</t>
        </is>
      </c>
      <c r="L10" s="173" t="n">
        <v>2</v>
      </c>
      <c r="M10" s="173" t="inlineStr">
        <is>
          <t>Tài khoản &amp; Hồ sơ</t>
        </is>
      </c>
      <c r="N10" s="173" t="inlineStr">
        <is>
          <t>App</t>
        </is>
      </c>
      <c r="O10" s="173" t="inlineStr"/>
      <c r="P10" s="174" t="inlineStr"/>
      <c r="Q10" s="173" t="inlineStr">
        <is>
          <t>Data</t>
        </is>
      </c>
      <c r="R10" s="173" t="inlineStr">
        <is>
          <t>Functionality</t>
        </is>
      </c>
      <c r="S10" s="173" t="inlineStr"/>
      <c r="T10" s="173" t="n">
        <v>1</v>
      </c>
      <c r="U10" s="173" t="inlineStr"/>
      <c r="X10" s="1" t="n"/>
      <c r="Y10" s="106" t="inlineStr">
        <is>
          <t>3.4 Dev miss thông tin</t>
        </is>
      </c>
      <c r="Z10" s="1" t="n"/>
      <c r="AA10" s="106" t="inlineStr">
        <is>
          <t xml:space="preserve">   • U Round closed bug: round ĐÓNG bug (1..5) — điền khi bug đã đóng, để trống nếu chưa. Là nguồn cột 'Đã đóng' của biểu đồ đó: bug tìm ở R1 mà fix xong ở R3 thì T=1, U=3 (KHÔNG phải U=1).</t>
        </is>
      </c>
    </row>
    <row r="11" ht="15.75" customHeight="1" s="216">
      <c r="A11" s="173" t="inlineStr">
        <is>
          <t>FE-301</t>
        </is>
      </c>
      <c r="B11" s="173" t="inlineStr">
        <is>
          <t>Bug</t>
        </is>
      </c>
      <c r="C11" s="174" t="inlineStr">
        <is>
          <t>[TC_04 - Đăng tin - Tôi cần gửi hàng] Chặn sang bước sau nhưng không hiện lỗi ở trường thiếu</t>
        </is>
      </c>
      <c r="D11" s="173" t="inlineStr">
        <is>
          <t>To Do</t>
        </is>
      </c>
      <c r="E11" s="173" t="inlineStr">
        <is>
          <t>Medium</t>
        </is>
      </c>
      <c r="F11" s="173" t="inlineStr">
        <is>
          <t>Tuanvm37</t>
        </is>
      </c>
      <c r="G11" s="173" t="inlineStr">
        <is>
          <t>GiangDC2</t>
        </is>
      </c>
      <c r="H11" s="173" t="inlineStr">
        <is>
          <t>2026-09-21</t>
        </is>
      </c>
      <c r="I11" s="173" t="inlineStr"/>
      <c r="J11" s="173" t="inlineStr">
        <is>
          <t>v1.1</t>
        </is>
      </c>
      <c r="K11" s="173" t="inlineStr">
        <is>
          <t>R1</t>
        </is>
      </c>
      <c r="L11" s="173" t="n">
        <v>5</v>
      </c>
      <c r="M11" s="173" t="inlineStr">
        <is>
          <t>Đăng tin &amp; Quản lý tin</t>
        </is>
      </c>
      <c r="N11" s="173" t="inlineStr">
        <is>
          <t>App</t>
        </is>
      </c>
      <c r="O11" s="173" t="inlineStr"/>
      <c r="P11" s="174" t="inlineStr"/>
      <c r="Q11" s="173" t="inlineStr">
        <is>
          <t>Interface</t>
        </is>
      </c>
      <c r="R11" s="173" t="inlineStr">
        <is>
          <t>Usability</t>
        </is>
      </c>
      <c r="S11" s="173" t="inlineStr"/>
      <c r="T11" s="173" t="n">
        <v>1</v>
      </c>
      <c r="U11" s="173" t="inlineStr"/>
      <c r="X11" s="1" t="n"/>
      <c r="Y11" s="106" t="inlineStr">
        <is>
          <t>4.1 PM/PMO CR, QC không nhận thông tin</t>
        </is>
      </c>
      <c r="Z11" s="1" t="n"/>
      <c r="AA11" s="106" t="inlineStr">
        <is>
          <t xml:space="preserve">   • P Won't Fix Reason: chọn theo danh mục (mã + lý do) ở cột Y.</t>
        </is>
      </c>
    </row>
    <row r="12" ht="15.75" customHeight="1" s="216">
      <c r="A12" s="173" t="inlineStr">
        <is>
          <t>FE-302</t>
        </is>
      </c>
      <c r="B12" s="173" t="inlineStr">
        <is>
          <t>Bug</t>
        </is>
      </c>
      <c r="C12" s="174" t="inlineStr">
        <is>
          <t>[TC_04 - Đăng tin - Tôi cần gửi hàng] Thoát wizard không hiện popup xác nhận, mất dữ liệu đã nhập</t>
        </is>
      </c>
      <c r="D12" s="173" t="inlineStr">
        <is>
          <t>To Do</t>
        </is>
      </c>
      <c r="E12" s="173" t="inlineStr">
        <is>
          <t>Medium</t>
        </is>
      </c>
      <c r="F12" s="173" t="inlineStr">
        <is>
          <t>Tuanvm37</t>
        </is>
      </c>
      <c r="G12" s="173" t="inlineStr">
        <is>
          <t>GiangDC2</t>
        </is>
      </c>
      <c r="H12" s="173" t="inlineStr">
        <is>
          <t>2026-09-21</t>
        </is>
      </c>
      <c r="I12" s="173" t="inlineStr"/>
      <c r="J12" s="173" t="inlineStr">
        <is>
          <t>v1.1</t>
        </is>
      </c>
      <c r="K12" s="173" t="inlineStr">
        <is>
          <t>R1</t>
        </is>
      </c>
      <c r="L12" s="173" t="n">
        <v>2</v>
      </c>
      <c r="M12" s="173" t="inlineStr">
        <is>
          <t>Đăng tin &amp; Quản lý tin</t>
        </is>
      </c>
      <c r="N12" s="173" t="inlineStr">
        <is>
          <t>App</t>
        </is>
      </c>
      <c r="O12" s="173" t="inlineStr"/>
      <c r="P12" s="174" t="inlineStr"/>
      <c r="Q12" s="173" t="inlineStr">
        <is>
          <t>Logic</t>
        </is>
      </c>
      <c r="R12" s="173" t="inlineStr">
        <is>
          <t>Functionality</t>
        </is>
      </c>
      <c r="S12" s="173" t="inlineStr"/>
      <c r="T12" s="173" t="n">
        <v>1</v>
      </c>
      <c r="U12" s="173" t="inlineStr"/>
      <c r="X12" s="1" t="n"/>
      <c r="Y12" s="1" t="n"/>
      <c r="Z12" s="1" t="n"/>
      <c r="AA12" s="106" t="inlineStr">
        <is>
          <t>③ 13 dòng mẫu nền vàng/cam: xoá khi dùng dữ liệu thật. Chỉ dán vào khối Jira, khối QC điền tay.</t>
        </is>
      </c>
    </row>
    <row r="13" ht="15.75" customHeight="1" s="216">
      <c r="A13" s="173" t="inlineStr">
        <is>
          <t>FE-303</t>
        </is>
      </c>
      <c r="B13" s="173" t="inlineStr">
        <is>
          <t>Bug</t>
        </is>
      </c>
      <c r="C13" s="174" t="inlineStr">
        <is>
          <t>[TC_04 - Đăng tin - Tôi cần gửi hàng] Vẫn chọn được buổi đã trôi qua trong ngày hôm nay</t>
        </is>
      </c>
      <c r="D13" s="173" t="inlineStr">
        <is>
          <t>To Do</t>
        </is>
      </c>
      <c r="E13" s="173" t="inlineStr">
        <is>
          <t>Medium</t>
        </is>
      </c>
      <c r="F13" s="173" t="inlineStr">
        <is>
          <t>Tuanvm37</t>
        </is>
      </c>
      <c r="G13" s="173" t="inlineStr">
        <is>
          <t>GiangDC2</t>
        </is>
      </c>
      <c r="H13" s="173" t="inlineStr">
        <is>
          <t>2026-09-21</t>
        </is>
      </c>
      <c r="I13" s="173" t="inlineStr"/>
      <c r="J13" s="173" t="inlineStr">
        <is>
          <t>v1.1</t>
        </is>
      </c>
      <c r="K13" s="173" t="inlineStr">
        <is>
          <t>R1</t>
        </is>
      </c>
      <c r="L13" s="173" t="n">
        <v>2</v>
      </c>
      <c r="M13" s="173" t="inlineStr">
        <is>
          <t>Đăng tin &amp; Quản lý tin</t>
        </is>
      </c>
      <c r="N13" s="173" t="inlineStr">
        <is>
          <t>App</t>
        </is>
      </c>
      <c r="O13" s="173" t="inlineStr"/>
      <c r="P13" s="174" t="inlineStr"/>
      <c r="Q13" s="173" t="inlineStr">
        <is>
          <t>Logic</t>
        </is>
      </c>
      <c r="R13" s="173" t="inlineStr">
        <is>
          <t>Functionality</t>
        </is>
      </c>
      <c r="S13" s="173" t="inlineStr"/>
      <c r="T13" s="173" t="n">
        <v>1</v>
      </c>
      <c r="U13" s="173" t="inlineStr"/>
      <c r="X13" s="1" t="n"/>
      <c r="Y13" s="1" t="n"/>
      <c r="Z13" s="1" t="n"/>
      <c r="AA13" s="106" t="inlineStr">
        <is>
          <t>Ghi chú: mapping theo cấu trúc export chuẩn của Jira; nếu dự án dùng custom field (Severity, Sprint) có thể chỉnh cột tương ứng.</t>
        </is>
      </c>
    </row>
    <row r="14" ht="15.75" customHeight="1" s="216">
      <c r="A14" s="173" t="inlineStr">
        <is>
          <t>FE-304</t>
        </is>
      </c>
      <c r="B14" s="173" t="inlineStr">
        <is>
          <t>Bug</t>
        </is>
      </c>
      <c r="C14" s="174" t="inlineStr">
        <is>
          <t>[TC_04 - Đăng tin - Tôi cần gửi hàng] Buổi mong muốn không có giá trị mặc định Sau giờ làm</t>
        </is>
      </c>
      <c r="D14" s="173" t="inlineStr">
        <is>
          <t>To Do</t>
        </is>
      </c>
      <c r="E14" s="173" t="inlineStr">
        <is>
          <t>Medium</t>
        </is>
      </c>
      <c r="F14" s="173" t="inlineStr">
        <is>
          <t>Tuanvm37</t>
        </is>
      </c>
      <c r="G14" s="173" t="inlineStr">
        <is>
          <t>GiangDC2</t>
        </is>
      </c>
      <c r="H14" s="173" t="inlineStr">
        <is>
          <t>2026-09-21</t>
        </is>
      </c>
      <c r="I14" s="173" t="inlineStr"/>
      <c r="J14" s="173" t="inlineStr">
        <is>
          <t>v1.1</t>
        </is>
      </c>
      <c r="K14" s="173" t="inlineStr">
        <is>
          <t>R1</t>
        </is>
      </c>
      <c r="L14" s="173" t="n">
        <v>2</v>
      </c>
      <c r="M14" s="173" t="inlineStr">
        <is>
          <t>Đăng tin &amp; Quản lý tin</t>
        </is>
      </c>
      <c r="N14" s="173" t="inlineStr">
        <is>
          <t>App</t>
        </is>
      </c>
      <c r="O14" s="173" t="inlineStr"/>
      <c r="P14" s="174" t="inlineStr"/>
      <c r="Q14" s="173" t="inlineStr">
        <is>
          <t>Logic</t>
        </is>
      </c>
      <c r="R14" s="173" t="inlineStr">
        <is>
          <t>Functionality</t>
        </is>
      </c>
      <c r="S14" s="173" t="inlineStr"/>
      <c r="T14" s="173" t="n">
        <v>1</v>
      </c>
      <c r="U14" s="173" t="inlineStr"/>
      <c r="X14" s="1" t="n"/>
      <c r="Y14" s="1" t="n"/>
      <c r="Z14" s="1" t="n"/>
      <c r="AA14" s="1" t="n"/>
    </row>
    <row r="15">
      <c r="A15" s="1" t="inlineStr">
        <is>
          <t>FE-305</t>
        </is>
      </c>
      <c r="B15" s="1" t="inlineStr">
        <is>
          <t>Bug</t>
        </is>
      </c>
      <c r="C15" s="1" t="inlineStr">
        <is>
          <t>[TC_04 - Đăng tin - Tôi cần gửi hàng] Địa chỉ người gửi và người nhận không được tự điền</t>
        </is>
      </c>
      <c r="D15" s="1" t="inlineStr">
        <is>
          <t>To Do</t>
        </is>
      </c>
      <c r="E15" s="1" t="inlineStr">
        <is>
          <t>Low</t>
        </is>
      </c>
      <c r="F15" s="1" t="inlineStr">
        <is>
          <t>Tuanvm37</t>
        </is>
      </c>
      <c r="G15" s="1" t="inlineStr">
        <is>
          <t>GiangDC2</t>
        </is>
      </c>
      <c r="H15" s="1" t="inlineStr">
        <is>
          <t>2026-09-21</t>
        </is>
      </c>
      <c r="I15" s="1" t="inlineStr"/>
      <c r="J15" s="1" t="inlineStr">
        <is>
          <t>v1.1</t>
        </is>
      </c>
      <c r="K15" s="1" t="inlineStr">
        <is>
          <t>R1</t>
        </is>
      </c>
      <c r="L15" s="1" t="n">
        <v>2</v>
      </c>
      <c r="M15" s="1" t="inlineStr">
        <is>
          <t>Đăng tin &amp; Quản lý tin</t>
        </is>
      </c>
      <c r="N15" s="1" t="inlineStr">
        <is>
          <t>App</t>
        </is>
      </c>
      <c r="O15" s="1" t="inlineStr"/>
      <c r="P15" s="1" t="inlineStr"/>
      <c r="Q15" s="1" t="inlineStr">
        <is>
          <t>Data</t>
        </is>
      </c>
      <c r="R15" s="1" t="inlineStr">
        <is>
          <t>Functionality</t>
        </is>
      </c>
      <c r="S15" s="1" t="inlineStr"/>
      <c r="T15" s="1" t="n">
        <v>1</v>
      </c>
      <c r="U15" s="1" t="inlineStr"/>
      <c r="X15" s="1" t="n"/>
      <c r="Y15" s="1" t="n"/>
      <c r="Z15" s="1" t="n"/>
      <c r="AA15" s="1" t="n"/>
    </row>
    <row r="16">
      <c r="A16" s="1" t="inlineStr">
        <is>
          <t>FE-307</t>
        </is>
      </c>
      <c r="B16" s="1" t="inlineStr">
        <is>
          <t>Bug</t>
        </is>
      </c>
      <c r="C16" s="1" t="inlineStr">
        <is>
          <t>[TC_04 - Đăng tin][Suggest] Đề xuất thống nhất cơ chế validate giữa 2 luồng đăng tin</t>
        </is>
      </c>
      <c r="D16" s="1" t="inlineStr">
        <is>
          <t>To Do</t>
        </is>
      </c>
      <c r="E16" s="1" t="inlineStr">
        <is>
          <t>Low</t>
        </is>
      </c>
      <c r="F16" s="1" t="inlineStr">
        <is>
          <t>Tuanvm37</t>
        </is>
      </c>
      <c r="G16" s="1" t="inlineStr">
        <is>
          <t>GiangDC2</t>
        </is>
      </c>
      <c r="H16" s="1" t="inlineStr">
        <is>
          <t>2026-09-21</t>
        </is>
      </c>
      <c r="I16" s="1" t="inlineStr"/>
      <c r="J16" s="1" t="inlineStr">
        <is>
          <t>v1.1</t>
        </is>
      </c>
      <c r="K16" s="1" t="inlineStr">
        <is>
          <t>R1</t>
        </is>
      </c>
      <c r="L16" s="1" t="n">
        <v>0</v>
      </c>
      <c r="M16" s="1" t="inlineStr">
        <is>
          <t>Đăng tin &amp; Quản lý tin</t>
        </is>
      </c>
      <c r="N16" s="1" t="inlineStr">
        <is>
          <t>App</t>
        </is>
      </c>
      <c r="O16" s="1" t="inlineStr"/>
      <c r="P16" s="1" t="inlineStr"/>
      <c r="Q16" s="1" t="inlineStr">
        <is>
          <t>Requirement</t>
        </is>
      </c>
      <c r="R16" s="1" t="inlineStr">
        <is>
          <t>Usability</t>
        </is>
      </c>
      <c r="S16" s="1" t="inlineStr"/>
      <c r="T16" s="1" t="n">
        <v>1</v>
      </c>
      <c r="U16" s="1" t="inlineStr"/>
      <c r="X16" s="1" t="n"/>
      <c r="Y16" s="1" t="n"/>
      <c r="Z16" s="1" t="n"/>
      <c r="AA16" s="1" t="n"/>
    </row>
    <row r="17">
      <c r="A17" s="1" t="inlineStr">
        <is>
          <t>FE-308</t>
        </is>
      </c>
      <c r="B17" s="1" t="inlineStr">
        <is>
          <t>Bug</t>
        </is>
      </c>
      <c r="C17" s="1" t="inlineStr">
        <is>
          <t>[TC_08 - Quà cảm ơn - Tặng quà] Popup sau khi tặng quà hiện chuỗi cũ, sai chuỗi chính thức BR14-02</t>
        </is>
      </c>
      <c r="D17" s="1" t="inlineStr">
        <is>
          <t>To Do</t>
        </is>
      </c>
      <c r="E17" s="1" t="inlineStr">
        <is>
          <t>Medium</t>
        </is>
      </c>
      <c r="F17" s="1" t="inlineStr">
        <is>
          <t>Tuanvm37</t>
        </is>
      </c>
      <c r="G17" s="1" t="inlineStr">
        <is>
          <t>GiangDC2</t>
        </is>
      </c>
      <c r="H17" s="1" t="inlineStr">
        <is>
          <t>2026-09-21</t>
        </is>
      </c>
      <c r="I17" s="1" t="inlineStr"/>
      <c r="J17" s="1" t="inlineStr">
        <is>
          <t>v1.1</t>
        </is>
      </c>
      <c r="K17" s="1" t="inlineStr">
        <is>
          <t>R1</t>
        </is>
      </c>
      <c r="L17" s="1" t="n">
        <v>2</v>
      </c>
      <c r="M17" s="1" t="inlineStr">
        <is>
          <t>Quà cảm ơn</t>
        </is>
      </c>
      <c r="N17" s="1" t="inlineStr">
        <is>
          <t>App</t>
        </is>
      </c>
      <c r="O17" s="1" t="inlineStr"/>
      <c r="P17" s="1" t="inlineStr"/>
      <c r="Q17" s="1" t="inlineStr">
        <is>
          <t>Interface</t>
        </is>
      </c>
      <c r="R17" s="1" t="inlineStr">
        <is>
          <t>Usability</t>
        </is>
      </c>
      <c r="S17" s="1" t="inlineStr"/>
      <c r="T17" s="1" t="n">
        <v>1</v>
      </c>
      <c r="U17" s="1" t="inlineStr"/>
      <c r="X17" s="1" t="n"/>
      <c r="Y17" s="1" t="n"/>
      <c r="Z17" s="1" t="n"/>
      <c r="AA17" s="1" t="n"/>
    </row>
    <row r="18">
      <c r="A18" s="1" t="inlineStr">
        <is>
          <t>FE-309</t>
        </is>
      </c>
      <c r="B18" s="1" t="inlineStr">
        <is>
          <t>Bug</t>
        </is>
      </c>
      <c r="C18" s="1" t="inlineStr">
        <is>
          <t>[TC_07 - Trang chủ - Tin mới] Nút Xem thêm trên Bảng tin hiện khi đúng 5 tin</t>
        </is>
      </c>
      <c r="D18" s="1" t="inlineStr">
        <is>
          <t>To Do</t>
        </is>
      </c>
      <c r="E18" s="1" t="inlineStr">
        <is>
          <t>Medium</t>
        </is>
      </c>
      <c r="F18" s="1" t="inlineStr">
        <is>
          <t>Tuanvm37</t>
        </is>
      </c>
      <c r="G18" s="1" t="inlineStr">
        <is>
          <t>GiangDC2</t>
        </is>
      </c>
      <c r="H18" s="1" t="inlineStr">
        <is>
          <t>2026-09-21</t>
        </is>
      </c>
      <c r="I18" s="1" t="inlineStr"/>
      <c r="J18" s="1" t="inlineStr">
        <is>
          <t>v1.1</t>
        </is>
      </c>
      <c r="K18" s="1" t="inlineStr">
        <is>
          <t>R1</t>
        </is>
      </c>
      <c r="L18" s="1" t="n">
        <v>2</v>
      </c>
      <c r="M18" s="1" t="inlineStr">
        <is>
          <t>Trang chủ</t>
        </is>
      </c>
      <c r="N18" s="1" t="inlineStr">
        <is>
          <t>App</t>
        </is>
      </c>
      <c r="O18" s="1" t="inlineStr"/>
      <c r="P18" s="1" t="inlineStr"/>
      <c r="Q18" s="1" t="inlineStr">
        <is>
          <t>Interface</t>
        </is>
      </c>
      <c r="R18" s="1" t="inlineStr">
        <is>
          <t>Usability</t>
        </is>
      </c>
      <c r="S18" s="1" t="inlineStr"/>
      <c r="T18" s="1" t="n">
        <v>1</v>
      </c>
      <c r="U18" s="1" t="inlineStr"/>
      <c r="X18" s="1" t="n"/>
      <c r="Y18" s="1" t="n"/>
      <c r="Z18" s="1" t="n"/>
      <c r="AA18" s="1" t="n"/>
    </row>
    <row r="19">
      <c r="A19" s="1" t="inlineStr">
        <is>
          <t>FE-310</t>
        </is>
      </c>
      <c r="B19" s="1" t="inlineStr">
        <is>
          <t>Bug</t>
        </is>
      </c>
      <c r="C19" s="1" t="inlineStr">
        <is>
          <t>[TC_07 - Trang chủ - Đơn của tôi] Empty state Đơn của tôi sai chuỗi, thiếu CTA và icon</t>
        </is>
      </c>
      <c r="D19" s="1" t="inlineStr">
        <is>
          <t>To Do</t>
        </is>
      </c>
      <c r="E19" s="1" t="inlineStr">
        <is>
          <t>Medium</t>
        </is>
      </c>
      <c r="F19" s="1" t="inlineStr">
        <is>
          <t>Tuanvm37</t>
        </is>
      </c>
      <c r="G19" s="1" t="inlineStr">
        <is>
          <t>GiangDC2</t>
        </is>
      </c>
      <c r="H19" s="1" t="inlineStr">
        <is>
          <t>2026-09-21</t>
        </is>
      </c>
      <c r="I19" s="1" t="inlineStr"/>
      <c r="J19" s="1" t="inlineStr">
        <is>
          <t>v1.1</t>
        </is>
      </c>
      <c r="K19" s="1" t="inlineStr">
        <is>
          <t>R1</t>
        </is>
      </c>
      <c r="L19" s="1" t="n">
        <v>2</v>
      </c>
      <c r="M19" s="1" t="inlineStr">
        <is>
          <t>Trang chủ</t>
        </is>
      </c>
      <c r="N19" s="1" t="inlineStr">
        <is>
          <t>App</t>
        </is>
      </c>
      <c r="O19" s="1" t="inlineStr"/>
      <c r="P19" s="1" t="inlineStr"/>
      <c r="Q19" s="1" t="inlineStr">
        <is>
          <t>Interface</t>
        </is>
      </c>
      <c r="R19" s="1" t="inlineStr">
        <is>
          <t>Usability</t>
        </is>
      </c>
      <c r="S19" s="1" t="inlineStr"/>
      <c r="T19" s="1" t="n">
        <v>1</v>
      </c>
      <c r="U19" s="1" t="inlineStr"/>
      <c r="X19" s="1" t="n"/>
      <c r="Y19" s="1" t="n"/>
      <c r="Z19" s="1" t="n"/>
      <c r="AA19" s="1" t="n"/>
    </row>
    <row r="20">
      <c r="A20" s="1" t="inlineStr">
        <is>
          <t>FE-311</t>
        </is>
      </c>
      <c r="B20" s="1" t="inlineStr">
        <is>
          <t>Bug</t>
        </is>
      </c>
      <c r="C20" s="1" t="inlineStr">
        <is>
          <t>[TC_02 - Ghép nối] - Ghép chuyến bị chặn đòi chấp nhận điều khoản nhưng PRD không quy định</t>
        </is>
      </c>
      <c r="D20" s="1" t="inlineStr">
        <is>
          <t>To Do</t>
        </is>
      </c>
      <c r="E20" s="1" t="inlineStr">
        <is>
          <t>High</t>
        </is>
      </c>
      <c r="F20" s="1" t="inlineStr">
        <is>
          <t>Tuanvm37</t>
        </is>
      </c>
      <c r="G20" s="1" t="inlineStr">
        <is>
          <t>GiangDC2</t>
        </is>
      </c>
      <c r="H20" s="1" t="inlineStr">
        <is>
          <t>2026-09-21</t>
        </is>
      </c>
      <c r="I20" s="1" t="inlineStr"/>
      <c r="J20" s="1" t="inlineStr">
        <is>
          <t>v1.1</t>
        </is>
      </c>
      <c r="K20" s="1" t="inlineStr">
        <is>
          <t>R1</t>
        </is>
      </c>
      <c r="L20" s="1" t="n">
        <v>5</v>
      </c>
      <c r="M20" s="1" t="inlineStr">
        <is>
          <t>Ghép nối</t>
        </is>
      </c>
      <c r="N20" s="1" t="inlineStr">
        <is>
          <t>App</t>
        </is>
      </c>
      <c r="O20" s="1" t="inlineStr"/>
      <c r="P20" s="1" t="inlineStr"/>
      <c r="Q20" s="1" t="inlineStr">
        <is>
          <t>Logic</t>
        </is>
      </c>
      <c r="R20" s="1" t="inlineStr">
        <is>
          <t>Functionality</t>
        </is>
      </c>
      <c r="S20" s="1" t="inlineStr"/>
      <c r="T20" s="1" t="n">
        <v>1</v>
      </c>
      <c r="U20" s="1" t="inlineStr"/>
      <c r="X20" s="1" t="n"/>
      <c r="Y20" s="1" t="n"/>
      <c r="Z20" s="1" t="n"/>
      <c r="AA20" s="1" t="n"/>
    </row>
    <row r="21" ht="15.75" customHeight="1" s="216">
      <c r="A21" s="1" t="inlineStr">
        <is>
          <t>FE-312</t>
        </is>
      </c>
      <c r="B21" s="1" t="inlineStr">
        <is>
          <t>Bug</t>
        </is>
      </c>
      <c r="C21" s="1" t="inlineStr">
        <is>
          <t>[TC_05 - Bảng tin &amp; Chi tiết tin] [Suggest]- Chủ tin mở tin từ Bảng tin không có Chỉnh sửa/Huỷ đơn</t>
        </is>
      </c>
      <c r="D21" s="1" t="inlineStr">
        <is>
          <t>To Do</t>
        </is>
      </c>
      <c r="E21" s="1" t="inlineStr">
        <is>
          <t>Medium</t>
        </is>
      </c>
      <c r="F21" s="1" t="inlineStr">
        <is>
          <t>Tuanvm37</t>
        </is>
      </c>
      <c r="G21" s="1" t="inlineStr">
        <is>
          <t>GiangDC2</t>
        </is>
      </c>
      <c r="H21" s="1" t="inlineStr">
        <is>
          <t>2026-09-21</t>
        </is>
      </c>
      <c r="I21" s="1" t="inlineStr"/>
      <c r="J21" s="1" t="inlineStr">
        <is>
          <t>v1.1</t>
        </is>
      </c>
      <c r="K21" s="1" t="inlineStr">
        <is>
          <t>R1</t>
        </is>
      </c>
      <c r="L21" s="1" t="n">
        <v>0</v>
      </c>
      <c r="M21" s="1" t="inlineStr">
        <is>
          <t>Bảng tin &amp; Chi tiết tin</t>
        </is>
      </c>
      <c r="N21" s="1" t="inlineStr">
        <is>
          <t>App</t>
        </is>
      </c>
      <c r="O21" s="1" t="inlineStr"/>
      <c r="P21" s="1" t="inlineStr"/>
      <c r="Q21" s="1" t="inlineStr">
        <is>
          <t>Interface</t>
        </is>
      </c>
      <c r="R21" s="1" t="inlineStr">
        <is>
          <t>Usability</t>
        </is>
      </c>
      <c r="S21" s="1" t="inlineStr"/>
      <c r="T21" s="1" t="n">
        <v>1</v>
      </c>
      <c r="U21" s="1" t="inlineStr"/>
      <c r="X21" s="1" t="n"/>
      <c r="Y21" s="1" t="n"/>
      <c r="Z21" s="1" t="n"/>
      <c r="AA21" s="1" t="n"/>
    </row>
    <row r="22" ht="15.75" customHeight="1" s="216">
      <c r="A22" s="1" t="inlineStr">
        <is>
          <t>FE-317</t>
        </is>
      </c>
      <c r="B22" s="1" t="inlineStr">
        <is>
          <t>Bug</t>
        </is>
      </c>
      <c r="C22" s="1" t="inlineStr">
        <is>
          <t>[TC_01- Hoạt động] - Lý do trên card đơn Hết hạn hiện sai chuỗi chính thức</t>
        </is>
      </c>
      <c r="D22" s="1" t="inlineStr">
        <is>
          <t>To Do</t>
        </is>
      </c>
      <c r="E22" s="1" t="inlineStr">
        <is>
          <t>Lowest</t>
        </is>
      </c>
      <c r="F22" s="1" t="inlineStr">
        <is>
          <t>Tuanvm37</t>
        </is>
      </c>
      <c r="G22" s="1" t="inlineStr">
        <is>
          <t>GiangDC2</t>
        </is>
      </c>
      <c r="H22" s="1" t="inlineStr">
        <is>
          <t>2026-09-22</t>
        </is>
      </c>
      <c r="I22" s="1" t="inlineStr"/>
      <c r="J22" s="1" t="inlineStr">
        <is>
          <t>v1.1</t>
        </is>
      </c>
      <c r="K22" s="1" t="inlineStr">
        <is>
          <t>R1</t>
        </is>
      </c>
      <c r="L22" s="1" t="n">
        <v>2</v>
      </c>
      <c r="M22" s="1" t="inlineStr">
        <is>
          <t>Hoạt động (Đơn của tôi)</t>
        </is>
      </c>
      <c r="N22" s="1" t="inlineStr">
        <is>
          <t>App</t>
        </is>
      </c>
      <c r="O22" s="1" t="inlineStr"/>
      <c r="P22" s="1" t="inlineStr"/>
      <c r="Q22" s="1" t="inlineStr">
        <is>
          <t>Requirement</t>
        </is>
      </c>
      <c r="R22" s="1" t="inlineStr">
        <is>
          <t>Usability</t>
        </is>
      </c>
      <c r="S22" s="1" t="inlineStr"/>
      <c r="T22" s="1" t="n">
        <v>1</v>
      </c>
      <c r="U22" s="1" t="inlineStr"/>
      <c r="X22" s="1" t="n"/>
      <c r="Y22" s="1" t="n"/>
      <c r="Z22" s="1" t="n"/>
      <c r="AA22" s="1" t="n"/>
    </row>
    <row r="23" ht="15.75" customHeight="1" s="216">
      <c r="A23" s="1" t="inlineStr">
        <is>
          <t>FE-318</t>
        </is>
      </c>
      <c r="B23" s="1" t="inlineStr">
        <is>
          <t>Bug</t>
        </is>
      </c>
      <c r="C23" s="1" t="inlineStr">
        <is>
          <t>[TC_01 - Hoạt động] - Empty state tab Đang diễn ra thiếu dòng giải thích</t>
        </is>
      </c>
      <c r="D23" s="1" t="inlineStr">
        <is>
          <t>To Do</t>
        </is>
      </c>
      <c r="E23" s="1" t="inlineStr">
        <is>
          <t>Low</t>
        </is>
      </c>
      <c r="F23" s="1" t="inlineStr">
        <is>
          <t>Tuanvm37</t>
        </is>
      </c>
      <c r="G23" s="1" t="inlineStr">
        <is>
          <t>GiangDC2</t>
        </is>
      </c>
      <c r="H23" s="1" t="inlineStr">
        <is>
          <t>2026-09-22</t>
        </is>
      </c>
      <c r="I23" s="1" t="inlineStr"/>
      <c r="J23" s="1" t="inlineStr">
        <is>
          <t>v1.1</t>
        </is>
      </c>
      <c r="K23" s="1" t="inlineStr">
        <is>
          <t>R1</t>
        </is>
      </c>
      <c r="L23" s="1" t="n">
        <v>2</v>
      </c>
      <c r="M23" s="1" t="inlineStr">
        <is>
          <t>Hoạt động (Đơn của tôi)</t>
        </is>
      </c>
      <c r="N23" s="1" t="inlineStr">
        <is>
          <t>App</t>
        </is>
      </c>
      <c r="O23" s="1" t="inlineStr"/>
      <c r="P23" s="1" t="inlineStr"/>
      <c r="Q23" s="1" t="inlineStr">
        <is>
          <t>Requirement</t>
        </is>
      </c>
      <c r="R23" s="1" t="inlineStr">
        <is>
          <t>Usability</t>
        </is>
      </c>
      <c r="S23" s="1" t="inlineStr"/>
      <c r="T23" s="1" t="n">
        <v>1</v>
      </c>
      <c r="U23" s="1" t="inlineStr"/>
      <c r="X23" s="1" t="n"/>
      <c r="Y23" s="1" t="n"/>
      <c r="Z23" s="1" t="n"/>
      <c r="AA23" s="1" t="n"/>
    </row>
    <row r="24" ht="15.75" customHeight="1" s="216">
      <c r="A24" s="1" t="inlineStr">
        <is>
          <t>FE-319</t>
        </is>
      </c>
      <c r="B24" s="1" t="inlineStr">
        <is>
          <t>Bug</t>
        </is>
      </c>
      <c r="C24" s="1" t="inlineStr">
        <is>
          <t>[TC_03 - Huỷ đơn] - Log người gửi huỷ đơn lại ghi nhãn Đã huỷ nhận đơn</t>
        </is>
      </c>
      <c r="D24" s="1" t="inlineStr">
        <is>
          <t>To Do</t>
        </is>
      </c>
      <c r="E24" s="1" t="inlineStr">
        <is>
          <t>Low</t>
        </is>
      </c>
      <c r="F24" s="1" t="inlineStr">
        <is>
          <t>Tuanvm37</t>
        </is>
      </c>
      <c r="G24" s="1" t="inlineStr">
        <is>
          <t>GiangDC2</t>
        </is>
      </c>
      <c r="H24" s="1" t="inlineStr">
        <is>
          <t>2026-09-22</t>
        </is>
      </c>
      <c r="I24" s="1" t="inlineStr"/>
      <c r="J24" s="1" t="inlineStr">
        <is>
          <t>v1.1</t>
        </is>
      </c>
      <c r="K24" s="1" t="inlineStr">
        <is>
          <t>R1</t>
        </is>
      </c>
      <c r="L24" s="1" t="n">
        <v>2</v>
      </c>
      <c r="M24" s="1" t="inlineStr">
        <is>
          <t>Huỷ đơn - Huỷ nhận đơn</t>
        </is>
      </c>
      <c r="N24" s="1" t="inlineStr">
        <is>
          <t>App</t>
        </is>
      </c>
      <c r="O24" s="1" t="inlineStr"/>
      <c r="P24" s="1" t="inlineStr"/>
      <c r="Q24" s="1" t="inlineStr">
        <is>
          <t>Interface</t>
        </is>
      </c>
      <c r="R24" s="1" t="inlineStr">
        <is>
          <t>Usability</t>
        </is>
      </c>
      <c r="S24" s="1" t="inlineStr"/>
      <c r="T24" s="1" t="n">
        <v>1</v>
      </c>
      <c r="U24" s="1" t="inlineStr"/>
      <c r="X24" s="1" t="n"/>
      <c r="Y24" s="1" t="n"/>
      <c r="Z24" s="1" t="n"/>
      <c r="AA24" s="1" t="n"/>
    </row>
    <row r="25" ht="15.75" customHeight="1" s="216">
      <c r="A25" s="1" t="inlineStr">
        <is>
          <t>FE-320</t>
        </is>
      </c>
      <c r="B25" s="1" t="inlineStr">
        <is>
          <t>Bug</t>
        </is>
      </c>
      <c r="C25" s="1" t="inlineStr">
        <is>
          <t>[TC_03 - Huỷ đơn][Suggest] - Thiếu dòng lỗi dưới ô lý do khi nhập 4 ký tự</t>
        </is>
      </c>
      <c r="D25" s="1" t="inlineStr">
        <is>
          <t>To Do</t>
        </is>
      </c>
      <c r="E25" s="1" t="inlineStr">
        <is>
          <t>Low</t>
        </is>
      </c>
      <c r="F25" s="1" t="inlineStr">
        <is>
          <t>Tuanvm37</t>
        </is>
      </c>
      <c r="G25" s="1" t="inlineStr">
        <is>
          <t>GiangDC2</t>
        </is>
      </c>
      <c r="H25" s="1" t="inlineStr">
        <is>
          <t>2026-09-22</t>
        </is>
      </c>
      <c r="I25" s="1" t="inlineStr"/>
      <c r="J25" s="1" t="inlineStr">
        <is>
          <t>v1.1</t>
        </is>
      </c>
      <c r="K25" s="1" t="inlineStr">
        <is>
          <t>R1</t>
        </is>
      </c>
      <c r="L25" s="1" t="n">
        <v>0</v>
      </c>
      <c r="M25" s="1" t="inlineStr">
        <is>
          <t>Huỷ đơn - Huỷ nhận đơn</t>
        </is>
      </c>
      <c r="N25" s="1" t="inlineStr">
        <is>
          <t>App</t>
        </is>
      </c>
      <c r="O25" s="1" t="inlineStr"/>
      <c r="P25" s="1" t="inlineStr"/>
      <c r="Q25" s="1" t="inlineStr">
        <is>
          <t>Interface</t>
        </is>
      </c>
      <c r="R25" s="1" t="inlineStr">
        <is>
          <t>Usability</t>
        </is>
      </c>
      <c r="S25" s="1" t="inlineStr"/>
      <c r="T25" s="1" t="n">
        <v>1</v>
      </c>
      <c r="U25" s="1" t="inlineStr"/>
      <c r="X25" s="1" t="n"/>
      <c r="Y25" s="1" t="n"/>
      <c r="Z25" s="1" t="n"/>
      <c r="AA25" s="1" t="n"/>
    </row>
    <row r="26" ht="15.75" customHeight="1" s="216">
      <c r="A26" s="1" t="inlineStr">
        <is>
          <t>FE-321</t>
        </is>
      </c>
      <c r="B26" s="1" t="inlineStr">
        <is>
          <t>Bug</t>
        </is>
      </c>
      <c r="C26" s="1" t="inlineStr">
        <is>
          <t>[TC_10 - Trust &amp; Safety] - Form Báo cáo sự cố bắt buộc đăng nhập Microsoft (do có trường tải file) — đề xuất bỏ bắt buộc đăng nhập</t>
        </is>
      </c>
      <c r="D26" s="1" t="inlineStr">
        <is>
          <t>To Do</t>
        </is>
      </c>
      <c r="E26" s="1" t="inlineStr">
        <is>
          <t>Low</t>
        </is>
      </c>
      <c r="F26" s="1" t="inlineStr">
        <is>
          <t>Tuanvm37</t>
        </is>
      </c>
      <c r="G26" s="1" t="inlineStr">
        <is>
          <t>GiangDC2</t>
        </is>
      </c>
      <c r="H26" s="1" t="inlineStr">
        <is>
          <t>2026-09-22</t>
        </is>
      </c>
      <c r="I26" s="1" t="inlineStr"/>
      <c r="J26" s="1" t="inlineStr">
        <is>
          <t>v1.1</t>
        </is>
      </c>
      <c r="K26" s="1" t="inlineStr">
        <is>
          <t>R1</t>
        </is>
      </c>
      <c r="L26" s="1" t="n">
        <v>0</v>
      </c>
      <c r="M26" s="1" t="inlineStr">
        <is>
          <t>Trust &amp; Safety</t>
        </is>
      </c>
      <c r="N26" s="1" t="inlineStr">
        <is>
          <t>App</t>
        </is>
      </c>
      <c r="O26" s="1" t="inlineStr"/>
      <c r="P26" s="1" t="inlineStr"/>
      <c r="Q26" s="1" t="inlineStr">
        <is>
          <t>Other</t>
        </is>
      </c>
      <c r="R26" s="1" t="inlineStr">
        <is>
          <t>Usability</t>
        </is>
      </c>
      <c r="S26" s="1" t="inlineStr"/>
      <c r="T26" s="1" t="n">
        <v>1</v>
      </c>
      <c r="U26" s="1" t="inlineStr"/>
      <c r="X26" s="1" t="n"/>
      <c r="Y26" s="1" t="n"/>
      <c r="Z26" s="1" t="n"/>
      <c r="AA26" s="1" t="n"/>
    </row>
    <row r="27" ht="15.75" customHeight="1" s="216">
      <c r="A27" s="1" t="inlineStr">
        <is>
          <t>FE-322</t>
        </is>
      </c>
      <c r="B27" s="1" t="inlineStr">
        <is>
          <t>Bug</t>
        </is>
      </c>
      <c r="C27" s="1" t="inlineStr">
        <is>
          <t>[TC_10 - Trust &amp; Safety] - Mất mạng khi mở Báo cáo sự cố hiện trang lỗi kỹ thuật, không có nút Thử lại</t>
        </is>
      </c>
      <c r="D27" s="1" t="inlineStr">
        <is>
          <t>To Do</t>
        </is>
      </c>
      <c r="E27" s="1" t="inlineStr">
        <is>
          <t>Low</t>
        </is>
      </c>
      <c r="F27" s="1" t="inlineStr">
        <is>
          <t>Tuanvm37</t>
        </is>
      </c>
      <c r="G27" s="1" t="inlineStr">
        <is>
          <t>GiangDC2</t>
        </is>
      </c>
      <c r="H27" s="1" t="inlineStr">
        <is>
          <t>2026-09-22</t>
        </is>
      </c>
      <c r="I27" s="1" t="inlineStr"/>
      <c r="J27" s="1" t="inlineStr">
        <is>
          <t>v1.1</t>
        </is>
      </c>
      <c r="K27" s="1" t="inlineStr">
        <is>
          <t>R1</t>
        </is>
      </c>
      <c r="L27" s="1" t="n">
        <v>2</v>
      </c>
      <c r="M27" s="1" t="inlineStr">
        <is>
          <t>Trust &amp; Safety</t>
        </is>
      </c>
      <c r="N27" s="1" t="inlineStr">
        <is>
          <t>App</t>
        </is>
      </c>
      <c r="O27" s="1" t="inlineStr"/>
      <c r="P27" s="1" t="inlineStr"/>
      <c r="Q27" s="1" t="inlineStr">
        <is>
          <t>Interface</t>
        </is>
      </c>
      <c r="R27" s="1" t="inlineStr">
        <is>
          <t>Usability</t>
        </is>
      </c>
      <c r="S27" s="1" t="inlineStr"/>
      <c r="T27" s="1" t="n">
        <v>1</v>
      </c>
      <c r="U27" s="1" t="inlineStr"/>
      <c r="X27" s="1" t="n"/>
      <c r="Y27" s="1" t="n"/>
      <c r="Z27" s="1" t="n"/>
      <c r="AA27" s="1" t="n"/>
    </row>
    <row r="28" ht="15.75" customHeight="1" s="216">
      <c r="A28" s="1" t="inlineStr">
        <is>
          <t>FE-323</t>
        </is>
      </c>
      <c r="B28" s="1" t="inlineStr">
        <is>
          <t>Bug</t>
        </is>
      </c>
      <c r="C28" s="1" t="inlineStr">
        <is>
          <t>[TC_10 - Trust &amp; Safety] - Màn xác nhận sau khi gửi báo cáo sự cố là mặc định Microsoft Forms, không đúng đặc tả</t>
        </is>
      </c>
      <c r="D28" s="1" t="inlineStr">
        <is>
          <t>To Do</t>
        </is>
      </c>
      <c r="E28" s="1" t="inlineStr">
        <is>
          <t>Low</t>
        </is>
      </c>
      <c r="F28" s="1" t="inlineStr">
        <is>
          <t>Tuanvm37</t>
        </is>
      </c>
      <c r="G28" s="1" t="inlineStr">
        <is>
          <t>GiangDC2</t>
        </is>
      </c>
      <c r="H28" s="1" t="inlineStr">
        <is>
          <t>2026-09-22</t>
        </is>
      </c>
      <c r="I28" s="1" t="inlineStr"/>
      <c r="J28" s="1" t="inlineStr">
        <is>
          <t>v1.1</t>
        </is>
      </c>
      <c r="K28" s="1" t="inlineStr">
        <is>
          <t>R1</t>
        </is>
      </c>
      <c r="L28" s="1" t="n">
        <v>2</v>
      </c>
      <c r="M28" s="1" t="inlineStr">
        <is>
          <t>Trust &amp; Safety</t>
        </is>
      </c>
      <c r="N28" s="1" t="inlineStr">
        <is>
          <t>App</t>
        </is>
      </c>
      <c r="O28" s="1" t="inlineStr"/>
      <c r="P28" s="1" t="inlineStr"/>
      <c r="Q28" s="1" t="inlineStr">
        <is>
          <t>Requirement</t>
        </is>
      </c>
      <c r="R28" s="1" t="inlineStr">
        <is>
          <t>Usability</t>
        </is>
      </c>
      <c r="S28" s="1" t="inlineStr"/>
      <c r="T28" s="1" t="n">
        <v>1</v>
      </c>
      <c r="U28" s="1" t="inlineStr"/>
      <c r="X28" s="1" t="n"/>
      <c r="Y28" s="1" t="n"/>
      <c r="Z28" s="1" t="n"/>
      <c r="AA28" s="1" t="n"/>
    </row>
    <row r="29" ht="15.75" customHeight="1" s="216">
      <c r="A29" s="1" t="inlineStr">
        <is>
          <t>FE-324</t>
        </is>
      </c>
      <c r="B29" s="1" t="inlineStr">
        <is>
          <t>Bug</t>
        </is>
      </c>
      <c r="C29" s="1" t="inlineStr">
        <is>
          <t>[TC_10 - Trust &amp; Safety] - SĐT liên hệ lại trong form báo cáo sự cố không validate định dạng</t>
        </is>
      </c>
      <c r="D29" s="1" t="inlineStr">
        <is>
          <t>To Do</t>
        </is>
      </c>
      <c r="E29" s="1" t="inlineStr">
        <is>
          <t>Medium</t>
        </is>
      </c>
      <c r="F29" s="1" t="inlineStr">
        <is>
          <t>Tuanvm37</t>
        </is>
      </c>
      <c r="G29" s="1" t="inlineStr">
        <is>
          <t>GiangDC2</t>
        </is>
      </c>
      <c r="H29" s="1" t="inlineStr">
        <is>
          <t>2026-09-22</t>
        </is>
      </c>
      <c r="I29" s="1" t="inlineStr"/>
      <c r="J29" s="1" t="inlineStr">
        <is>
          <t>v1.1</t>
        </is>
      </c>
      <c r="K29" s="1" t="inlineStr">
        <is>
          <t>R1</t>
        </is>
      </c>
      <c r="L29" s="1" t="n">
        <v>2</v>
      </c>
      <c r="M29" s="1" t="inlineStr">
        <is>
          <t>Trust &amp; Safety</t>
        </is>
      </c>
      <c r="N29" s="1" t="inlineStr">
        <is>
          <t>App</t>
        </is>
      </c>
      <c r="O29" s="1" t="inlineStr"/>
      <c r="P29" s="1" t="inlineStr"/>
      <c r="Q29" s="1" t="inlineStr">
        <is>
          <t>Logic</t>
        </is>
      </c>
      <c r="R29" s="1" t="inlineStr">
        <is>
          <t>Functionality</t>
        </is>
      </c>
      <c r="S29" s="1" t="inlineStr"/>
      <c r="T29" s="1" t="n">
        <v>1</v>
      </c>
      <c r="U29" s="1" t="inlineStr"/>
      <c r="X29" s="1" t="n"/>
      <c r="Y29" s="1" t="n"/>
      <c r="Z29" s="1" t="n"/>
      <c r="AA29" s="1" t="n"/>
    </row>
    <row r="30" ht="15.75" customHeight="1" s="216">
      <c r="A30" s="1" t="inlineStr">
        <is>
          <t>FE-325</t>
        </is>
      </c>
      <c r="B30" s="1" t="inlineStr">
        <is>
          <t>Bug</t>
        </is>
      </c>
      <c r="C30" s="1" t="inlineStr">
        <is>
          <t>[TC_10 - Trust &amp; Safety] - Trường ảnh đính kèm trong báo cáo sự cố bắt buộc, ngược đặc tả</t>
        </is>
      </c>
      <c r="D30" s="1" t="inlineStr">
        <is>
          <t>To Do</t>
        </is>
      </c>
      <c r="E30" s="1" t="inlineStr">
        <is>
          <t>Medium</t>
        </is>
      </c>
      <c r="F30" s="1" t="inlineStr">
        <is>
          <t>Tuanvm37</t>
        </is>
      </c>
      <c r="G30" s="1" t="inlineStr">
        <is>
          <t>GiangDC2</t>
        </is>
      </c>
      <c r="H30" s="1" t="inlineStr">
        <is>
          <t>2026-09-22</t>
        </is>
      </c>
      <c r="I30" s="1" t="inlineStr"/>
      <c r="J30" s="1" t="inlineStr">
        <is>
          <t>v1.1</t>
        </is>
      </c>
      <c r="K30" s="1" t="inlineStr">
        <is>
          <t>R1</t>
        </is>
      </c>
      <c r="L30" s="1" t="n">
        <v>5</v>
      </c>
      <c r="M30" s="1" t="inlineStr">
        <is>
          <t>Trust &amp; Safety</t>
        </is>
      </c>
      <c r="N30" s="1" t="inlineStr">
        <is>
          <t>App</t>
        </is>
      </c>
      <c r="O30" s="1" t="inlineStr"/>
      <c r="P30" s="1" t="inlineStr"/>
      <c r="Q30" s="1" t="inlineStr">
        <is>
          <t>Requirement</t>
        </is>
      </c>
      <c r="R30" s="1" t="inlineStr">
        <is>
          <t>Functionality</t>
        </is>
      </c>
      <c r="S30" s="1" t="inlineStr"/>
      <c r="T30" s="1" t="n">
        <v>1</v>
      </c>
      <c r="U30" s="1" t="inlineStr"/>
      <c r="X30" s="1" t="n"/>
      <c r="Y30" s="1" t="n"/>
      <c r="Z30" s="1" t="n"/>
      <c r="AA30" s="1" t="n"/>
    </row>
    <row r="31" ht="15.75" customHeight="1" s="216">
      <c r="A31" s="1" t="inlineStr">
        <is>
          <t>FE-326</t>
        </is>
      </c>
      <c r="B31" s="1" t="inlineStr">
        <is>
          <t>Bug</t>
        </is>
      </c>
      <c r="C31" s="1" t="inlineStr">
        <is>
          <t>[TC_10 - Trust &amp; Safety] - Ô mã đơn hàng trong form báo cáo sự cố sửa được, sai đặc tả chỉ đọc</t>
        </is>
      </c>
      <c r="D31" s="1" t="inlineStr">
        <is>
          <t>To Do</t>
        </is>
      </c>
      <c r="E31" s="1" t="inlineStr">
        <is>
          <t>Medium</t>
        </is>
      </c>
      <c r="F31" s="1" t="inlineStr">
        <is>
          <t>Tuanvm37</t>
        </is>
      </c>
      <c r="G31" s="1" t="inlineStr">
        <is>
          <t>GiangDC2</t>
        </is>
      </c>
      <c r="H31" s="1" t="inlineStr">
        <is>
          <t>2026-09-22</t>
        </is>
      </c>
      <c r="I31" s="1" t="inlineStr"/>
      <c r="J31" s="1" t="inlineStr">
        <is>
          <t>v1.1</t>
        </is>
      </c>
      <c r="K31" s="1" t="inlineStr">
        <is>
          <t>R1</t>
        </is>
      </c>
      <c r="L31" s="1" t="n">
        <v>5</v>
      </c>
      <c r="M31" s="1" t="inlineStr">
        <is>
          <t>Trust &amp; Safety</t>
        </is>
      </c>
      <c r="N31" s="1" t="inlineStr">
        <is>
          <t>App</t>
        </is>
      </c>
      <c r="O31" s="1" t="inlineStr"/>
      <c r="P31" s="1" t="inlineStr"/>
      <c r="Q31" s="1" t="inlineStr">
        <is>
          <t>Logic</t>
        </is>
      </c>
      <c r="R31" s="1" t="inlineStr">
        <is>
          <t>Functionality</t>
        </is>
      </c>
      <c r="S31" s="1" t="inlineStr"/>
      <c r="T31" s="1" t="n">
        <v>1</v>
      </c>
      <c r="U31" s="1" t="inlineStr"/>
      <c r="X31" s="1" t="n"/>
      <c r="Y31" s="1" t="n"/>
      <c r="Z31" s="1" t="n"/>
      <c r="AA31" s="1" t="n"/>
    </row>
    <row r="32" ht="15.75" customHeight="1" s="216">
      <c r="A32" s="1" t="inlineStr">
        <is>
          <t>FE-327</t>
        </is>
      </c>
      <c r="B32" s="1" t="inlineStr">
        <is>
          <t>Bug</t>
        </is>
      </c>
      <c r="C32" s="1" t="inlineStr">
        <is>
          <t>[TC_04 - Giao nhận] - Nút xác nhận đến nơi giao chưa đổi tên theo đặc tả v1.1</t>
        </is>
      </c>
      <c r="D32" s="1" t="inlineStr">
        <is>
          <t>To Do</t>
        </is>
      </c>
      <c r="E32" s="1" t="inlineStr">
        <is>
          <t>Medium</t>
        </is>
      </c>
      <c r="F32" s="1" t="inlineStr">
        <is>
          <t>Tuanvm37</t>
        </is>
      </c>
      <c r="G32" s="1" t="inlineStr">
        <is>
          <t>GiangDC2</t>
        </is>
      </c>
      <c r="H32" s="1" t="inlineStr">
        <is>
          <t>2026-09-22</t>
        </is>
      </c>
      <c r="I32" s="1" t="inlineStr"/>
      <c r="J32" s="1" t="inlineStr">
        <is>
          <t>v1.1</t>
        </is>
      </c>
      <c r="K32" s="1" t="inlineStr">
        <is>
          <t>R1</t>
        </is>
      </c>
      <c r="L32" s="1" t="n">
        <v>2</v>
      </c>
      <c r="M32" s="1" t="inlineStr">
        <is>
          <t>Giao nhận &amp; Theo dõi đơn</t>
        </is>
      </c>
      <c r="N32" s="1" t="inlineStr">
        <is>
          <t>App</t>
        </is>
      </c>
      <c r="O32" s="1" t="inlineStr"/>
      <c r="P32" s="1" t="inlineStr"/>
      <c r="Q32" s="1" t="inlineStr">
        <is>
          <t>Interface</t>
        </is>
      </c>
      <c r="R32" s="1" t="inlineStr">
        <is>
          <t>Usability</t>
        </is>
      </c>
      <c r="S32" s="1" t="inlineStr"/>
      <c r="T32" s="1" t="n">
        <v>1</v>
      </c>
      <c r="U32" s="1" t="inlineStr"/>
      <c r="X32" s="1" t="n"/>
      <c r="Y32" s="1" t="n"/>
      <c r="Z32" s="1" t="n"/>
      <c r="AA32" s="1" t="n"/>
    </row>
    <row r="33" ht="15.75" customHeight="1" s="216">
      <c r="A33" s="1" t="inlineStr">
        <is>
          <t>FE-328</t>
        </is>
      </c>
      <c r="B33" s="1" t="inlineStr">
        <is>
          <t>Bug</t>
        </is>
      </c>
      <c r="C33" s="1" t="inlineStr">
        <is>
          <t>[TC_03 - Huỷ đơn]- Title popup thông báo Đã hủy nhậ nđơn không đúng bị hiển thị trên 2 dòng</t>
        </is>
      </c>
      <c r="D33" s="1" t="inlineStr">
        <is>
          <t>To Do</t>
        </is>
      </c>
      <c r="E33" s="1" t="inlineStr">
        <is>
          <t>Medium</t>
        </is>
      </c>
      <c r="F33" s="1" t="inlineStr">
        <is>
          <t>Tuanvm37</t>
        </is>
      </c>
      <c r="G33" s="1" t="inlineStr">
        <is>
          <t>GiangDC2</t>
        </is>
      </c>
      <c r="H33" s="1" t="inlineStr">
        <is>
          <t>2026-09-22</t>
        </is>
      </c>
      <c r="I33" s="1" t="inlineStr"/>
      <c r="J33" s="1" t="inlineStr">
        <is>
          <t>v1.1</t>
        </is>
      </c>
      <c r="K33" s="1" t="inlineStr">
        <is>
          <t>R1</t>
        </is>
      </c>
      <c r="L33" s="1" t="n">
        <v>2</v>
      </c>
      <c r="M33" s="1" t="inlineStr">
        <is>
          <t>Huỷ đơn - Huỷ nhận đơn</t>
        </is>
      </c>
      <c r="N33" s="1" t="inlineStr">
        <is>
          <t>App</t>
        </is>
      </c>
      <c r="O33" s="1" t="inlineStr"/>
      <c r="P33" s="1" t="inlineStr"/>
      <c r="Q33" s="1" t="inlineStr">
        <is>
          <t>Interface</t>
        </is>
      </c>
      <c r="R33" s="1" t="inlineStr">
        <is>
          <t>Usability</t>
        </is>
      </c>
      <c r="S33" s="1" t="inlineStr"/>
      <c r="T33" s="1" t="n">
        <v>1</v>
      </c>
      <c r="U33" s="1" t="inlineStr"/>
      <c r="X33" s="1" t="n"/>
      <c r="Y33" s="1" t="n"/>
      <c r="Z33" s="1" t="n"/>
      <c r="AA33" s="1" t="n"/>
    </row>
    <row r="34" ht="15.75" customHeight="1" s="216">
      <c r="A34" s="1" t="inlineStr">
        <is>
          <t>FE-329</t>
        </is>
      </c>
      <c r="B34" s="1" t="inlineStr">
        <is>
          <t>Bug</t>
        </is>
      </c>
      <c r="C34" s="1" t="inlineStr">
        <is>
          <t>[TC_08 - Thông báo]- Nội dung thông báo khi giao cho người được ủy quyền không đúng</t>
        </is>
      </c>
      <c r="D34" s="1" t="inlineStr">
        <is>
          <t>In review</t>
        </is>
      </c>
      <c r="E34" s="1" t="inlineStr">
        <is>
          <t>Medium</t>
        </is>
      </c>
      <c r="F34" s="1" t="inlineStr">
        <is>
          <t>HungHT32</t>
        </is>
      </c>
      <c r="G34" s="1" t="inlineStr">
        <is>
          <t>GiangDC2</t>
        </is>
      </c>
      <c r="H34" s="1" t="inlineStr">
        <is>
          <t>2026-09-22</t>
        </is>
      </c>
      <c r="I34" s="1" t="inlineStr">
        <is>
          <t>2026-09-22</t>
        </is>
      </c>
      <c r="J34" s="1" t="inlineStr">
        <is>
          <t>v1.1</t>
        </is>
      </c>
      <c r="K34" s="1" t="inlineStr">
        <is>
          <t>R1</t>
        </is>
      </c>
      <c r="L34" s="1" t="n">
        <v>5</v>
      </c>
      <c r="M34" s="1" t="inlineStr">
        <is>
          <t>Thông báo</t>
        </is>
      </c>
      <c r="N34" s="1" t="inlineStr">
        <is>
          <t>App</t>
        </is>
      </c>
      <c r="O34" s="1" t="inlineStr">
        <is>
          <t>Fixed</t>
        </is>
      </c>
      <c r="P34" s="1" t="inlineStr"/>
      <c r="Q34" s="1" t="inlineStr">
        <is>
          <t>Interface</t>
        </is>
      </c>
      <c r="R34" s="1" t="inlineStr">
        <is>
          <t>Usability</t>
        </is>
      </c>
      <c r="S34" s="1" t="inlineStr"/>
      <c r="T34" s="1" t="n">
        <v>1</v>
      </c>
      <c r="U34" s="1" t="inlineStr"/>
      <c r="X34" s="1" t="n"/>
      <c r="Y34" s="1" t="n"/>
      <c r="Z34" s="1" t="n"/>
      <c r="AA34" s="1" t="n"/>
    </row>
    <row r="35" ht="15.75" customHeight="1" s="216">
      <c r="A35" s="1" t="inlineStr">
        <is>
          <t>FE-330</t>
        </is>
      </c>
      <c r="B35" s="1" t="inlineStr">
        <is>
          <t>Bug</t>
        </is>
      </c>
      <c r="C35" s="1" t="inlineStr">
        <is>
          <t>[TC_09 - Đăng tin]- Có thể chọn người gởi và nhận cùng email</t>
        </is>
      </c>
      <c r="D35" s="1" t="inlineStr">
        <is>
          <t>To Do</t>
        </is>
      </c>
      <c r="E35" s="1" t="inlineStr">
        <is>
          <t>Medium</t>
        </is>
      </c>
      <c r="F35" s="1" t="inlineStr">
        <is>
          <t>Tuanvm37</t>
        </is>
      </c>
      <c r="G35" s="1" t="inlineStr">
        <is>
          <t>GiangDC2</t>
        </is>
      </c>
      <c r="H35" s="1" t="inlineStr">
        <is>
          <t>2026-09-22</t>
        </is>
      </c>
      <c r="I35" s="1" t="inlineStr"/>
      <c r="J35" s="1" t="inlineStr">
        <is>
          <t>v1.1</t>
        </is>
      </c>
      <c r="K35" s="1" t="inlineStr">
        <is>
          <t>R1</t>
        </is>
      </c>
      <c r="L35" s="1" t="n">
        <v>2</v>
      </c>
      <c r="M35" s="1" t="inlineStr">
        <is>
          <t>Đăng tin &amp; Quản lý tin</t>
        </is>
      </c>
      <c r="N35" s="1" t="inlineStr">
        <is>
          <t>App</t>
        </is>
      </c>
      <c r="O35" s="1" t="inlineStr"/>
      <c r="P35" s="1" t="inlineStr"/>
      <c r="Q35" s="1" t="inlineStr">
        <is>
          <t>Logic</t>
        </is>
      </c>
      <c r="R35" s="1" t="inlineStr">
        <is>
          <t>Functionality</t>
        </is>
      </c>
      <c r="S35" s="1" t="inlineStr"/>
      <c r="T35" s="1" t="n">
        <v>1</v>
      </c>
      <c r="U35" s="1" t="inlineStr"/>
      <c r="X35" s="1" t="n"/>
      <c r="Y35" s="1" t="n"/>
      <c r="Z35" s="1" t="n"/>
      <c r="AA35" s="1" t="n"/>
    </row>
    <row r="36" ht="15.75" customHeight="1" s="216">
      <c r="A36" s="1" t="inlineStr">
        <is>
          <t>FE-331</t>
        </is>
      </c>
      <c r="B36" s="1" t="inlineStr">
        <is>
          <t>Bug</t>
        </is>
      </c>
      <c r="C36" s="1" t="inlineStr">
        <is>
          <t>[TC_04 - Giao nhận &amp; Theo dõi đơn]- Lịch sử và btn trên màn hình theo dõi đơn khi đơn Đã hẹn giao lại không đúng</t>
        </is>
      </c>
      <c r="D36" s="1" t="inlineStr">
        <is>
          <t>To Do</t>
        </is>
      </c>
      <c r="E36" s="1" t="inlineStr">
        <is>
          <t>Medium</t>
        </is>
      </c>
      <c r="F36" s="1" t="inlineStr">
        <is>
          <t>Tuanvm37</t>
        </is>
      </c>
      <c r="G36" s="1" t="inlineStr">
        <is>
          <t>GiangDC2</t>
        </is>
      </c>
      <c r="H36" s="1" t="inlineStr">
        <is>
          <t>2026-09-22</t>
        </is>
      </c>
      <c r="I36" s="1" t="inlineStr"/>
      <c r="J36" s="1" t="inlineStr">
        <is>
          <t>v1.1</t>
        </is>
      </c>
      <c r="K36" s="1" t="inlineStr">
        <is>
          <t>R1</t>
        </is>
      </c>
      <c r="L36" s="1" t="n">
        <v>5</v>
      </c>
      <c r="M36" s="1" t="inlineStr">
        <is>
          <t>Giao nhận &amp; Theo dõi đơn</t>
        </is>
      </c>
      <c r="N36" s="1" t="inlineStr">
        <is>
          <t>App</t>
        </is>
      </c>
      <c r="O36" s="1" t="inlineStr"/>
      <c r="P36" s="1" t="inlineStr"/>
      <c r="Q36" s="1" t="inlineStr">
        <is>
          <t>Data</t>
        </is>
      </c>
      <c r="R36" s="1" t="inlineStr">
        <is>
          <t>Functionality</t>
        </is>
      </c>
      <c r="S36" s="1" t="inlineStr"/>
      <c r="T36" s="1" t="n">
        <v>1</v>
      </c>
      <c r="U36" s="1" t="inlineStr"/>
      <c r="X36" s="1" t="n"/>
      <c r="Y36" s="1" t="n"/>
      <c r="Z36" s="1" t="n"/>
      <c r="AA36" s="1" t="n"/>
    </row>
    <row r="37" ht="15.75" customHeight="1" s="216">
      <c r="A37" s="1" t="inlineStr">
        <is>
          <t>FE-332</t>
        </is>
      </c>
      <c r="B37" s="1" t="inlineStr">
        <is>
          <t>Bug</t>
        </is>
      </c>
      <c r="C37" s="1" t="inlineStr">
        <is>
          <t>[TC_04 - Giao nhận &amp; Theo dõi đơn]- suggest kiêm tra điều kiện hoặc thông báo cho người dùng khi SĐT không tồn tại zalo</t>
        </is>
      </c>
      <c r="D37" s="1" t="inlineStr">
        <is>
          <t>To Do</t>
        </is>
      </c>
      <c r="E37" s="1" t="inlineStr">
        <is>
          <t>Medium</t>
        </is>
      </c>
      <c r="F37" s="1" t="inlineStr">
        <is>
          <t>Tuanvm37</t>
        </is>
      </c>
      <c r="G37" s="1" t="inlineStr">
        <is>
          <t>GiangDC2</t>
        </is>
      </c>
      <c r="H37" s="1" t="inlineStr">
        <is>
          <t>2026-09-22</t>
        </is>
      </c>
      <c r="I37" s="1" t="inlineStr"/>
      <c r="J37" s="1" t="inlineStr">
        <is>
          <t>v1.1</t>
        </is>
      </c>
      <c r="K37" s="1" t="inlineStr">
        <is>
          <t>R1</t>
        </is>
      </c>
      <c r="L37" s="1" t="n">
        <v>0</v>
      </c>
      <c r="M37" s="1" t="inlineStr">
        <is>
          <t>Giao nhận &amp; Theo dõi đơn</t>
        </is>
      </c>
      <c r="N37" s="1" t="inlineStr">
        <is>
          <t>App</t>
        </is>
      </c>
      <c r="O37" s="1" t="inlineStr"/>
      <c r="P37" s="1" t="inlineStr"/>
      <c r="Q37" s="1" t="inlineStr">
        <is>
          <t>Interface</t>
        </is>
      </c>
      <c r="R37" s="1" t="inlineStr">
        <is>
          <t>Usability</t>
        </is>
      </c>
      <c r="S37" s="1" t="inlineStr"/>
      <c r="T37" s="1" t="n">
        <v>1</v>
      </c>
      <c r="U37" s="1" t="inlineStr"/>
      <c r="X37" s="1" t="n"/>
      <c r="Y37" s="1" t="n"/>
      <c r="Z37" s="1" t="n"/>
      <c r="AA37" s="1" t="n"/>
    </row>
    <row r="38" ht="15.75" customHeight="1" s="216">
      <c r="A38" s="1" t="inlineStr">
        <is>
          <t>FE-333</t>
        </is>
      </c>
      <c r="B38" s="1" t="inlineStr">
        <is>
          <t>Bug</t>
        </is>
      </c>
      <c r="C38" s="1" t="inlineStr">
        <is>
          <t>[TC_04 - Giao nhận &amp; Theo dõi đơn]- Xử lý khi click btn Không thê liên lạc cho người nhận không đúng</t>
        </is>
      </c>
      <c r="D38" s="1" t="inlineStr">
        <is>
          <t>To Do</t>
        </is>
      </c>
      <c r="E38" s="1" t="inlineStr">
        <is>
          <t>Medium</t>
        </is>
      </c>
      <c r="F38" s="1" t="inlineStr">
        <is>
          <t>Tuanvm37</t>
        </is>
      </c>
      <c r="G38" s="1" t="inlineStr">
        <is>
          <t>GiangDC2</t>
        </is>
      </c>
      <c r="H38" s="1" t="inlineStr">
        <is>
          <t>2026-09-22</t>
        </is>
      </c>
      <c r="I38" s="1" t="inlineStr"/>
      <c r="J38" s="1" t="inlineStr">
        <is>
          <t>v1.1</t>
        </is>
      </c>
      <c r="K38" s="1" t="inlineStr">
        <is>
          <t>R1</t>
        </is>
      </c>
      <c r="L38" s="1" t="n">
        <v>2</v>
      </c>
      <c r="M38" s="1" t="inlineStr">
        <is>
          <t>Giao nhận &amp; Theo dõi đơn</t>
        </is>
      </c>
      <c r="N38" s="1" t="inlineStr">
        <is>
          <t>App</t>
        </is>
      </c>
      <c r="O38" s="1" t="inlineStr"/>
      <c r="P38" s="1" t="inlineStr"/>
      <c r="Q38" s="1" t="inlineStr">
        <is>
          <t>Logic</t>
        </is>
      </c>
      <c r="R38" s="1" t="inlineStr">
        <is>
          <t>Functionality</t>
        </is>
      </c>
      <c r="S38" s="1" t="inlineStr"/>
      <c r="T38" s="1" t="n">
        <v>1</v>
      </c>
      <c r="U38" s="1" t="inlineStr"/>
      <c r="X38" s="1" t="n"/>
      <c r="Y38" s="1" t="n"/>
      <c r="Z38" s="1" t="n"/>
      <c r="AA38" s="1" t="n"/>
    </row>
    <row r="39" ht="15.75" customHeight="1" s="216">
      <c r="A39" s="1" t="inlineStr">
        <is>
          <t>FE-334</t>
        </is>
      </c>
      <c r="B39" s="1" t="inlineStr">
        <is>
          <t>Bug</t>
        </is>
      </c>
      <c r="C39" s="1" t="inlineStr">
        <is>
          <t>[TC_04 - Giao nhận &amp; Theo dõi đơn]- Không  validate SĐT tại Ngươi được ủy quyền/Quầy lễ tân/Quầy bảo vệ</t>
        </is>
      </c>
      <c r="D39" s="1" t="inlineStr">
        <is>
          <t>To Do</t>
        </is>
      </c>
      <c r="E39" s="1" t="inlineStr">
        <is>
          <t>Medium</t>
        </is>
      </c>
      <c r="F39" s="1" t="inlineStr">
        <is>
          <t>Tuanvm37</t>
        </is>
      </c>
      <c r="G39" s="1" t="inlineStr">
        <is>
          <t>GiangDC2</t>
        </is>
      </c>
      <c r="H39" s="1" t="inlineStr">
        <is>
          <t>2026-09-22</t>
        </is>
      </c>
      <c r="I39" s="1" t="inlineStr"/>
      <c r="J39" s="1" t="inlineStr">
        <is>
          <t>v1.1</t>
        </is>
      </c>
      <c r="K39" s="1" t="inlineStr">
        <is>
          <t>R1</t>
        </is>
      </c>
      <c r="L39" s="1" t="n">
        <v>2</v>
      </c>
      <c r="M39" s="1" t="inlineStr">
        <is>
          <t>Giao nhận &amp; Theo dõi đơn</t>
        </is>
      </c>
      <c r="N39" s="1" t="inlineStr">
        <is>
          <t>App</t>
        </is>
      </c>
      <c r="O39" s="1" t="inlineStr"/>
      <c r="P39" s="1" t="inlineStr"/>
      <c r="Q39" s="1" t="inlineStr">
        <is>
          <t>Interface</t>
        </is>
      </c>
      <c r="R39" s="1" t="inlineStr">
        <is>
          <t>Usability</t>
        </is>
      </c>
      <c r="S39" s="1" t="inlineStr"/>
      <c r="T39" s="1" t="n">
        <v>1</v>
      </c>
      <c r="U39" s="1" t="inlineStr"/>
      <c r="X39" s="1" t="n"/>
      <c r="Y39" s="1" t="n"/>
      <c r="Z39" s="1" t="n"/>
      <c r="AA39" s="1" t="n"/>
    </row>
    <row r="40" ht="15.75" customHeight="1" s="216">
      <c r="A40" s="1" t="inlineStr">
        <is>
          <t>FE-337</t>
        </is>
      </c>
      <c r="B40" s="1" t="inlineStr">
        <is>
          <t>Bug</t>
        </is>
      </c>
      <c r="C40" s="1" t="inlineStr">
        <is>
          <t>[TC_04 - Giao nhận &amp; Theo dõi đơn]- Giao diện màn hình Theo dõi đơn - Luồng xác nhận trả hàng cho người gởi không đúng</t>
        </is>
      </c>
      <c r="D40" s="1" t="inlineStr">
        <is>
          <t>To Do</t>
        </is>
      </c>
      <c r="E40" s="1" t="inlineStr">
        <is>
          <t>Medium</t>
        </is>
      </c>
      <c r="F40" s="1" t="inlineStr">
        <is>
          <t>Tuanvm37</t>
        </is>
      </c>
      <c r="G40" s="1" t="inlineStr">
        <is>
          <t>GiangDC2</t>
        </is>
      </c>
      <c r="H40" s="1" t="inlineStr">
        <is>
          <t>2026-09-22</t>
        </is>
      </c>
      <c r="I40" s="1" t="inlineStr"/>
      <c r="J40" s="1" t="inlineStr">
        <is>
          <t>v1.1</t>
        </is>
      </c>
      <c r="K40" s="1" t="inlineStr">
        <is>
          <t>R1</t>
        </is>
      </c>
      <c r="L40" s="1" t="n">
        <v>5</v>
      </c>
      <c r="M40" s="1" t="inlineStr">
        <is>
          <t>Giao nhận &amp; Theo dõi đơn</t>
        </is>
      </c>
      <c r="N40" s="1" t="inlineStr">
        <is>
          <t>App</t>
        </is>
      </c>
      <c r="O40" s="1" t="inlineStr"/>
      <c r="P40" s="1" t="inlineStr"/>
      <c r="Q40" s="1" t="inlineStr">
        <is>
          <t>Logic</t>
        </is>
      </c>
      <c r="R40" s="1" t="inlineStr">
        <is>
          <t>Functionality</t>
        </is>
      </c>
      <c r="S40" s="1" t="inlineStr"/>
      <c r="T40" s="1" t="n">
        <v>1</v>
      </c>
      <c r="U40" s="1" t="inlineStr"/>
      <c r="X40" s="1" t="n"/>
      <c r="Y40" s="1" t="n"/>
      <c r="Z40" s="1" t="n"/>
      <c r="AA40" s="1" t="n"/>
    </row>
    <row r="41" ht="15.75" customHeight="1" s="216">
      <c r="A41" s="1" t="inlineStr">
        <is>
          <t>FE-338</t>
        </is>
      </c>
      <c r="B41" s="1" t="inlineStr">
        <is>
          <t>Bug</t>
        </is>
      </c>
      <c r="C41" s="1" t="inlineStr">
        <is>
          <t>[TC_04 - Giao nhận &amp; Theo dõi đơn]- Giao diện màn hình Theo dõi đơn - Luồng  hẹn giao lại</t>
        </is>
      </c>
      <c r="D41" s="1" t="inlineStr">
        <is>
          <t>To Do</t>
        </is>
      </c>
      <c r="E41" s="1" t="inlineStr">
        <is>
          <t>Medium</t>
        </is>
      </c>
      <c r="F41" s="1" t="inlineStr">
        <is>
          <t>Tuanvm37</t>
        </is>
      </c>
      <c r="G41" s="1" t="inlineStr">
        <is>
          <t>GiangDC2</t>
        </is>
      </c>
      <c r="H41" s="1" t="inlineStr">
        <is>
          <t>2026-09-22</t>
        </is>
      </c>
      <c r="I41" s="1" t="inlineStr"/>
      <c r="J41" s="1" t="inlineStr">
        <is>
          <t>v1.1</t>
        </is>
      </c>
      <c r="K41" s="1" t="inlineStr">
        <is>
          <t>R1</t>
        </is>
      </c>
      <c r="L41" s="1" t="n">
        <v>5</v>
      </c>
      <c r="M41" s="1" t="inlineStr">
        <is>
          <t>Giao nhận &amp; Theo dõi đơn</t>
        </is>
      </c>
      <c r="N41" s="1" t="inlineStr">
        <is>
          <t>App</t>
        </is>
      </c>
      <c r="O41" s="1" t="inlineStr"/>
      <c r="P41" s="1" t="inlineStr"/>
      <c r="Q41" s="1" t="inlineStr">
        <is>
          <t>Logic</t>
        </is>
      </c>
      <c r="R41" s="1" t="inlineStr">
        <is>
          <t>Functionality</t>
        </is>
      </c>
      <c r="S41" s="1" t="inlineStr"/>
      <c r="T41" s="1" t="n">
        <v>1</v>
      </c>
      <c r="U41" s="1" t="inlineStr"/>
      <c r="X41" s="1" t="n"/>
      <c r="Y41" s="1" t="n"/>
      <c r="Z41" s="1" t="n"/>
      <c r="AA41" s="1" t="n"/>
    </row>
    <row r="42" ht="15.75" customHeight="1" s="216">
      <c r="A42" s="1" t="n"/>
      <c r="B42" s="1" t="n"/>
      <c r="C42" s="1" t="n"/>
      <c r="D42" s="1" t="n"/>
      <c r="E42" s="1" t="n"/>
      <c r="F42" s="1" t="n"/>
      <c r="G42" s="1" t="n"/>
      <c r="H42" s="1" t="n"/>
      <c r="I42" s="1" t="n"/>
      <c r="J42" s="1" t="n"/>
      <c r="K42" s="1" t="n"/>
      <c r="L42" s="1" t="n"/>
      <c r="M42" s="1" t="n"/>
      <c r="N42" s="1" t="n"/>
      <c r="O42" s="1" t="n"/>
      <c r="P42" s="1" t="n"/>
      <c r="Q42" s="1" t="n"/>
      <c r="R42" s="1" t="n"/>
      <c r="S42" s="1" t="n"/>
      <c r="T42" s="1" t="n"/>
      <c r="U42" s="1" t="n"/>
      <c r="X42" s="1" t="n"/>
      <c r="Y42" s="1" t="n"/>
      <c r="Z42" s="1" t="n"/>
      <c r="AA42" s="1" t="n"/>
    </row>
    <row r="43" ht="15.75" customHeight="1" s="216">
      <c r="A43" s="1" t="n"/>
      <c r="B43" s="1" t="n"/>
      <c r="C43" s="1" t="n"/>
      <c r="D43" s="1" t="n"/>
      <c r="E43" s="1" t="n"/>
      <c r="F43" s="1" t="n"/>
      <c r="G43" s="1" t="n"/>
      <c r="H43" s="1" t="n"/>
      <c r="I43" s="1" t="n"/>
      <c r="J43" s="1" t="n"/>
      <c r="K43" s="1" t="n"/>
      <c r="L43" s="1" t="n"/>
      <c r="M43" s="1" t="n"/>
      <c r="N43" s="1" t="n"/>
      <c r="O43" s="1" t="n"/>
      <c r="P43" s="1" t="n"/>
      <c r="Q43" s="1" t="n"/>
      <c r="R43" s="1" t="n"/>
      <c r="S43" s="1" t="n"/>
      <c r="T43" s="1" t="n"/>
      <c r="U43" s="1" t="n"/>
      <c r="X43" s="1" t="n"/>
      <c r="Y43" s="1" t="n"/>
      <c r="Z43" s="1" t="n"/>
      <c r="AA43" s="1" t="n"/>
    </row>
    <row r="44" ht="15.75" customHeight="1" s="216">
      <c r="A44" s="1" t="n"/>
      <c r="B44" s="1" t="n"/>
      <c r="C44" s="1" t="n"/>
      <c r="D44" s="1" t="n"/>
      <c r="E44" s="1" t="n"/>
      <c r="F44" s="1" t="n"/>
      <c r="G44" s="1" t="n"/>
      <c r="H44" s="1" t="n"/>
      <c r="I44" s="1" t="n"/>
      <c r="J44" s="1" t="n"/>
      <c r="K44" s="1" t="n"/>
      <c r="L44" s="1" t="n"/>
      <c r="M44" s="1" t="n"/>
      <c r="N44" s="1" t="n"/>
      <c r="O44" s="1" t="n"/>
      <c r="P44" s="1" t="n"/>
      <c r="Q44" s="1" t="n"/>
      <c r="R44" s="1" t="n"/>
      <c r="S44" s="1" t="n"/>
      <c r="T44" s="1" t="n"/>
      <c r="U44" s="1" t="n"/>
      <c r="X44" s="1" t="n"/>
      <c r="Y44" s="1" t="n"/>
      <c r="Z44" s="1" t="n"/>
      <c r="AA44" s="1" t="n"/>
    </row>
    <row r="45" ht="15.75" customHeight="1" s="216">
      <c r="A45" s="1" t="n"/>
      <c r="B45" s="1" t="n"/>
      <c r="C45" s="1" t="n"/>
      <c r="D45" s="1" t="n"/>
      <c r="E45" s="1" t="n"/>
      <c r="F45" s="1" t="n"/>
      <c r="G45" s="1" t="n"/>
      <c r="H45" s="1" t="n"/>
      <c r="I45" s="1" t="n"/>
      <c r="J45" s="1" t="n"/>
      <c r="K45" s="1" t="n"/>
      <c r="L45" s="1" t="n"/>
      <c r="M45" s="1" t="n"/>
      <c r="N45" s="1" t="n"/>
      <c r="O45" s="1" t="n"/>
      <c r="P45" s="1" t="n"/>
      <c r="Q45" s="1" t="n"/>
      <c r="R45" s="1" t="n"/>
      <c r="S45" s="1" t="n"/>
      <c r="T45" s="1" t="n"/>
      <c r="U45" s="1" t="n"/>
      <c r="X45" s="1" t="n"/>
      <c r="Y45" s="1" t="n"/>
      <c r="Z45" s="1" t="n"/>
      <c r="AA45" s="1" t="n"/>
    </row>
    <row r="46" ht="15.75" customHeight="1" s="216">
      <c r="A46" s="1" t="n"/>
      <c r="B46" s="1" t="n"/>
      <c r="C46" s="1" t="n"/>
      <c r="D46" s="1" t="n"/>
      <c r="E46" s="1" t="n"/>
      <c r="F46" s="1" t="n"/>
      <c r="G46" s="1" t="n"/>
      <c r="H46" s="1" t="n"/>
      <c r="I46" s="1" t="n"/>
      <c r="J46" s="1" t="n"/>
      <c r="K46" s="1" t="n"/>
      <c r="L46" s="1" t="n"/>
      <c r="M46" s="1" t="n"/>
      <c r="N46" s="1" t="n"/>
      <c r="O46" s="1" t="n"/>
      <c r="P46" s="1" t="n"/>
      <c r="Q46" s="1" t="n"/>
      <c r="R46" s="1" t="n"/>
      <c r="S46" s="1" t="n"/>
      <c r="T46" s="1" t="n"/>
      <c r="U46" s="1" t="n"/>
      <c r="X46" s="1" t="n"/>
      <c r="Y46" s="1" t="n"/>
      <c r="Z46" s="1" t="n"/>
      <c r="AA46" s="1" t="n"/>
    </row>
    <row r="47" ht="15.75" customHeight="1" s="216">
      <c r="A47" s="1" t="n"/>
      <c r="B47" s="1" t="n"/>
      <c r="C47" s="1" t="n"/>
      <c r="D47" s="1" t="n"/>
      <c r="E47" s="1" t="n"/>
      <c r="F47" s="1" t="n"/>
      <c r="G47" s="1" t="n"/>
      <c r="H47" s="1" t="n"/>
      <c r="I47" s="1" t="n"/>
      <c r="J47" s="1" t="n"/>
      <c r="K47" s="1" t="n"/>
      <c r="L47" s="1" t="n"/>
      <c r="M47" s="1" t="n"/>
      <c r="N47" s="1" t="n"/>
      <c r="O47" s="1" t="n"/>
      <c r="P47" s="1" t="n"/>
      <c r="Q47" s="1" t="n"/>
      <c r="R47" s="1" t="n"/>
      <c r="S47" s="1" t="n"/>
      <c r="T47" s="1" t="n"/>
      <c r="U47" s="1" t="n"/>
      <c r="X47" s="1" t="n"/>
      <c r="Y47" s="1" t="n"/>
      <c r="Z47" s="1" t="n"/>
      <c r="AA47" s="1" t="n"/>
    </row>
    <row r="48" ht="15.75" customHeight="1" s="216">
      <c r="A48" s="1" t="n"/>
      <c r="B48" s="1" t="n"/>
      <c r="C48" s="1" t="n"/>
      <c r="D48" s="1" t="n"/>
      <c r="E48" s="1" t="n"/>
      <c r="F48" s="1" t="n"/>
      <c r="G48" s="1" t="n"/>
      <c r="H48" s="1" t="n"/>
      <c r="I48" s="1" t="n"/>
      <c r="J48" s="1" t="n"/>
      <c r="K48" s="1" t="n"/>
      <c r="L48" s="1" t="n"/>
      <c r="M48" s="1" t="n"/>
      <c r="N48" s="1" t="n"/>
      <c r="O48" s="1" t="n"/>
      <c r="P48" s="1" t="n"/>
      <c r="Q48" s="1" t="n"/>
      <c r="R48" s="1" t="n"/>
      <c r="S48" s="1" t="n"/>
      <c r="T48" s="1" t="n"/>
      <c r="U48" s="1" t="n"/>
      <c r="X48" s="1" t="n"/>
      <c r="Y48" s="1" t="n"/>
      <c r="Z48" s="1" t="n"/>
      <c r="AA48" s="1" t="n"/>
    </row>
    <row r="49" ht="15.75" customHeight="1" s="216">
      <c r="A49" s="1" t="n"/>
      <c r="B49" s="1" t="n"/>
      <c r="C49" s="1" t="n"/>
      <c r="D49" s="1" t="n"/>
      <c r="E49" s="1" t="n"/>
      <c r="F49" s="1" t="n"/>
      <c r="G49" s="1" t="n"/>
      <c r="H49" s="1" t="n"/>
      <c r="I49" s="1" t="n"/>
      <c r="J49" s="1" t="n"/>
      <c r="K49" s="1" t="n"/>
      <c r="L49" s="1" t="n"/>
      <c r="M49" s="1" t="n"/>
      <c r="N49" s="1" t="n"/>
      <c r="O49" s="1" t="n"/>
      <c r="P49" s="1" t="n"/>
      <c r="Q49" s="1" t="n"/>
      <c r="R49" s="1" t="n"/>
      <c r="S49" s="1" t="n"/>
      <c r="T49" s="1" t="n"/>
      <c r="U49" s="1" t="n"/>
      <c r="X49" s="1" t="n"/>
      <c r="Y49" s="1" t="n"/>
      <c r="Z49" s="1" t="n"/>
      <c r="AA49" s="1" t="n"/>
    </row>
    <row r="50" ht="15.75" customHeight="1" s="216">
      <c r="A50" s="1" t="n"/>
      <c r="B50" s="1" t="n"/>
      <c r="C50" s="1" t="n"/>
      <c r="D50" s="1" t="n"/>
      <c r="E50" s="1" t="n"/>
      <c r="F50" s="1" t="n"/>
      <c r="G50" s="1" t="n"/>
      <c r="H50" s="1" t="n"/>
      <c r="I50" s="1" t="n"/>
      <c r="J50" s="1" t="n"/>
      <c r="K50" s="1" t="n"/>
      <c r="L50" s="1" t="n"/>
      <c r="M50" s="1" t="n"/>
      <c r="N50" s="1" t="n"/>
      <c r="O50" s="1" t="n"/>
      <c r="P50" s="1" t="n"/>
      <c r="Q50" s="1" t="n"/>
      <c r="R50" s="1" t="n"/>
      <c r="S50" s="1" t="n"/>
      <c r="T50" s="1" t="n"/>
      <c r="U50" s="1" t="n"/>
      <c r="X50" s="1" t="n"/>
      <c r="Y50" s="1" t="n"/>
      <c r="Z50" s="1" t="n"/>
      <c r="AA50" s="1" t="n"/>
    </row>
    <row r="51" ht="15.75" customHeight="1" s="216">
      <c r="A51" s="1" t="n"/>
      <c r="B51" s="1" t="n"/>
      <c r="C51" s="1" t="n"/>
      <c r="D51" s="1" t="n"/>
      <c r="E51" s="1" t="n"/>
      <c r="F51" s="1" t="n"/>
      <c r="G51" s="1" t="n"/>
      <c r="H51" s="1" t="n"/>
      <c r="I51" s="1" t="n"/>
      <c r="J51" s="1" t="n"/>
      <c r="K51" s="1" t="n"/>
      <c r="L51" s="1" t="n"/>
      <c r="M51" s="1" t="n"/>
      <c r="N51" s="1" t="n"/>
      <c r="O51" s="1" t="n"/>
      <c r="P51" s="1" t="n"/>
      <c r="Q51" s="1" t="n"/>
      <c r="R51" s="1" t="n"/>
      <c r="S51" s="1" t="n"/>
      <c r="T51" s="1" t="n"/>
      <c r="U51" s="1" t="n"/>
      <c r="X51" s="1" t="n"/>
      <c r="Y51" s="1" t="n"/>
      <c r="Z51" s="1" t="n"/>
      <c r="AA51" s="1" t="n"/>
    </row>
    <row r="52" ht="15.75" customHeight="1" s="216">
      <c r="A52" s="1" t="n"/>
      <c r="B52" s="1" t="n"/>
      <c r="C52" s="1" t="n"/>
      <c r="D52" s="1" t="n"/>
      <c r="E52" s="1" t="n"/>
      <c r="F52" s="1" t="n"/>
      <c r="G52" s="1" t="n"/>
      <c r="H52" s="1" t="n"/>
      <c r="I52" s="1" t="n"/>
      <c r="J52" s="1" t="n"/>
      <c r="K52" s="1" t="n"/>
      <c r="L52" s="1" t="n"/>
      <c r="M52" s="1" t="n"/>
      <c r="N52" s="1" t="n"/>
      <c r="O52" s="1" t="n"/>
      <c r="P52" s="1" t="n"/>
      <c r="Q52" s="1" t="n"/>
      <c r="R52" s="1" t="n"/>
      <c r="S52" s="1" t="n"/>
      <c r="T52" s="1" t="n"/>
      <c r="U52" s="1" t="n"/>
      <c r="X52" s="1" t="n"/>
      <c r="Y52" s="1" t="n"/>
      <c r="Z52" s="1" t="n"/>
      <c r="AA52" s="1" t="n"/>
    </row>
    <row r="53" ht="15.75" customHeight="1" s="216">
      <c r="A53" s="1" t="n"/>
      <c r="B53" s="1" t="n"/>
      <c r="C53" s="1" t="n"/>
      <c r="D53" s="1" t="n"/>
      <c r="E53" s="1" t="n"/>
      <c r="F53" s="1" t="n"/>
      <c r="G53" s="1" t="n"/>
      <c r="H53" s="1" t="n"/>
      <c r="I53" s="1" t="n"/>
      <c r="J53" s="1" t="n"/>
      <c r="K53" s="1" t="n"/>
      <c r="L53" s="1" t="n"/>
      <c r="M53" s="1" t="n"/>
      <c r="N53" s="1" t="n"/>
      <c r="O53" s="1" t="n"/>
      <c r="P53" s="1" t="n"/>
      <c r="Q53" s="1" t="n"/>
      <c r="R53" s="1" t="n"/>
      <c r="S53" s="1" t="n"/>
      <c r="T53" s="1" t="n"/>
      <c r="U53" s="1" t="n"/>
      <c r="X53" s="1" t="n"/>
      <c r="Y53" s="1" t="n"/>
      <c r="Z53" s="1" t="n"/>
      <c r="AA53" s="1" t="n"/>
    </row>
    <row r="54" ht="15.75" customHeight="1" s="216">
      <c r="A54" s="1" t="n"/>
      <c r="B54" s="1" t="n"/>
      <c r="C54" s="1" t="n"/>
      <c r="D54" s="1" t="n"/>
      <c r="E54" s="1" t="n"/>
      <c r="F54" s="1" t="n"/>
      <c r="G54" s="1" t="n"/>
      <c r="H54" s="1" t="n"/>
      <c r="I54" s="1" t="n"/>
      <c r="J54" s="1" t="n"/>
      <c r="K54" s="1" t="n"/>
      <c r="L54" s="1" t="n"/>
      <c r="M54" s="1" t="n"/>
      <c r="N54" s="1" t="n"/>
      <c r="O54" s="1" t="n"/>
      <c r="P54" s="1" t="n"/>
      <c r="Q54" s="1" t="n"/>
      <c r="R54" s="1" t="n"/>
      <c r="S54" s="1" t="n"/>
      <c r="T54" s="1" t="n"/>
      <c r="U54" s="1" t="n"/>
      <c r="X54" s="1" t="n"/>
      <c r="Y54" s="1" t="n"/>
      <c r="Z54" s="1" t="n"/>
      <c r="AA54" s="1" t="n"/>
    </row>
    <row r="55" ht="15.75" customHeight="1" s="216">
      <c r="A55" s="1" t="n"/>
      <c r="B55" s="1" t="n"/>
      <c r="C55" s="1" t="n"/>
      <c r="D55" s="1" t="n"/>
      <c r="E55" s="1" t="n"/>
      <c r="F55" s="1" t="n"/>
      <c r="G55" s="1" t="n"/>
      <c r="H55" s="1" t="n"/>
      <c r="I55" s="1" t="n"/>
      <c r="J55" s="1" t="n"/>
      <c r="K55" s="1" t="n"/>
      <c r="L55" s="1" t="n"/>
      <c r="M55" s="1" t="n"/>
      <c r="N55" s="1" t="n"/>
      <c r="O55" s="1" t="n"/>
      <c r="P55" s="1" t="n"/>
      <c r="Q55" s="1" t="n"/>
      <c r="R55" s="1" t="n"/>
      <c r="S55" s="1" t="n"/>
      <c r="T55" s="1" t="n"/>
      <c r="U55" s="1" t="n"/>
      <c r="X55" s="1" t="n"/>
      <c r="Y55" s="1" t="n"/>
      <c r="Z55" s="1" t="n"/>
      <c r="AA55" s="1" t="n"/>
    </row>
    <row r="56" ht="15.75" customHeight="1" s="216">
      <c r="A56" s="1" t="n"/>
      <c r="B56" s="1" t="n"/>
      <c r="C56" s="1" t="n"/>
      <c r="D56" s="1" t="n"/>
      <c r="E56" s="1" t="n"/>
      <c r="F56" s="1" t="n"/>
      <c r="G56" s="1" t="n"/>
      <c r="H56" s="1" t="n"/>
      <c r="I56" s="1" t="n"/>
      <c r="J56" s="1" t="n"/>
      <c r="K56" s="1" t="n"/>
      <c r="L56" s="1" t="n"/>
      <c r="M56" s="1" t="n"/>
      <c r="N56" s="1" t="n"/>
      <c r="O56" s="1" t="n"/>
      <c r="P56" s="1" t="n"/>
      <c r="Q56" s="1" t="n"/>
      <c r="R56" s="1" t="n"/>
      <c r="S56" s="1" t="n"/>
      <c r="T56" s="1" t="n"/>
      <c r="U56" s="1" t="n"/>
      <c r="X56" s="1" t="n"/>
      <c r="Y56" s="1" t="n"/>
      <c r="Z56" s="1" t="n"/>
      <c r="AA56" s="1" t="n"/>
    </row>
    <row r="57" ht="15.75" customHeight="1" s="216">
      <c r="A57" s="1" t="n"/>
      <c r="B57" s="1" t="n"/>
      <c r="C57" s="1" t="n"/>
      <c r="D57" s="1" t="n"/>
      <c r="E57" s="1" t="n"/>
      <c r="F57" s="1" t="n"/>
      <c r="G57" s="1" t="n"/>
      <c r="H57" s="1" t="n"/>
      <c r="I57" s="1" t="n"/>
      <c r="J57" s="1" t="n"/>
      <c r="K57" s="1" t="n"/>
      <c r="L57" s="1" t="n"/>
      <c r="M57" s="1" t="n"/>
      <c r="N57" s="1" t="n"/>
      <c r="O57" s="1" t="n"/>
      <c r="P57" s="1" t="n"/>
      <c r="Q57" s="1" t="n"/>
      <c r="R57" s="1" t="n"/>
      <c r="S57" s="1" t="n"/>
      <c r="T57" s="1" t="n"/>
      <c r="U57" s="1" t="n"/>
      <c r="X57" s="1" t="n"/>
      <c r="Y57" s="1" t="n"/>
      <c r="Z57" s="1" t="n"/>
      <c r="AA57" s="1" t="n"/>
    </row>
    <row r="58" ht="15.75" customHeight="1" s="216">
      <c r="A58" s="1" t="n"/>
      <c r="B58" s="1" t="n"/>
      <c r="C58" s="1" t="n"/>
      <c r="D58" s="1" t="n"/>
      <c r="E58" s="1" t="n"/>
      <c r="F58" s="1" t="n"/>
      <c r="G58" s="1" t="n"/>
      <c r="H58" s="1" t="n"/>
      <c r="I58" s="1" t="n"/>
      <c r="J58" s="1" t="n"/>
      <c r="K58" s="1" t="n"/>
      <c r="L58" s="1" t="n"/>
      <c r="M58" s="1" t="n"/>
      <c r="N58" s="1" t="n"/>
      <c r="O58" s="1" t="n"/>
      <c r="P58" s="1" t="n"/>
      <c r="Q58" s="1" t="n"/>
      <c r="R58" s="1" t="n"/>
      <c r="S58" s="1" t="n"/>
      <c r="T58" s="1" t="n"/>
      <c r="U58" s="1" t="n"/>
      <c r="X58" s="1" t="n"/>
      <c r="Y58" s="1" t="n"/>
      <c r="Z58" s="1" t="n"/>
      <c r="AA58" s="1" t="n"/>
    </row>
    <row r="59" ht="15.75" customHeight="1" s="216">
      <c r="A59" s="1" t="n"/>
      <c r="B59" s="1" t="n"/>
      <c r="C59" s="1" t="n"/>
      <c r="D59" s="1" t="n"/>
      <c r="E59" s="1" t="n"/>
      <c r="F59" s="1" t="n"/>
      <c r="G59" s="1" t="n"/>
      <c r="H59" s="1" t="n"/>
      <c r="I59" s="1" t="n"/>
      <c r="J59" s="1" t="n"/>
      <c r="K59" s="1" t="n"/>
      <c r="L59" s="1" t="n"/>
      <c r="M59" s="1" t="n"/>
      <c r="N59" s="1" t="n"/>
      <c r="O59" s="1" t="n"/>
      <c r="P59" s="1" t="n"/>
      <c r="Q59" s="1" t="n"/>
      <c r="R59" s="1" t="n"/>
      <c r="S59" s="1" t="n"/>
      <c r="T59" s="1" t="n"/>
      <c r="U59" s="1" t="n"/>
      <c r="X59" s="1" t="n"/>
      <c r="Y59" s="1" t="n"/>
      <c r="Z59" s="1" t="n"/>
      <c r="AA59" s="1" t="n"/>
    </row>
    <row r="60" ht="15.75" customHeight="1" s="216">
      <c r="A60" s="1" t="n"/>
      <c r="B60" s="1" t="n"/>
      <c r="C60" s="1" t="n"/>
      <c r="D60" s="1" t="n"/>
      <c r="E60" s="1" t="n"/>
      <c r="F60" s="1" t="n"/>
      <c r="G60" s="1" t="n"/>
      <c r="H60" s="1" t="n"/>
      <c r="I60" s="1" t="n"/>
      <c r="J60" s="1" t="n"/>
      <c r="K60" s="1" t="n"/>
      <c r="L60" s="1" t="n"/>
      <c r="M60" s="1" t="n"/>
      <c r="N60" s="1" t="n"/>
      <c r="O60" s="1" t="n"/>
      <c r="P60" s="1" t="n"/>
      <c r="Q60" s="1" t="n"/>
      <c r="R60" s="1" t="n"/>
      <c r="S60" s="1" t="n"/>
      <c r="T60" s="1" t="n"/>
      <c r="U60" s="1" t="n"/>
      <c r="X60" s="1" t="n"/>
      <c r="Y60" s="1" t="n"/>
      <c r="Z60" s="1" t="n"/>
      <c r="AA60" s="1" t="n"/>
    </row>
    <row r="61" ht="15.75" customHeight="1" s="216">
      <c r="A61" s="1" t="n"/>
      <c r="B61" s="1" t="n"/>
      <c r="C61" s="1" t="n"/>
      <c r="D61" s="1" t="n"/>
      <c r="E61" s="1" t="n"/>
      <c r="F61" s="1" t="n"/>
      <c r="G61" s="1" t="n"/>
      <c r="H61" s="1" t="n"/>
      <c r="I61" s="1" t="n"/>
      <c r="J61" s="1" t="n"/>
      <c r="K61" s="1" t="n"/>
      <c r="L61" s="1" t="n"/>
      <c r="M61" s="1" t="n"/>
      <c r="N61" s="1" t="n"/>
      <c r="O61" s="1" t="n"/>
      <c r="P61" s="1" t="n"/>
      <c r="Q61" s="1" t="n"/>
      <c r="R61" s="1" t="n"/>
      <c r="S61" s="1" t="n"/>
      <c r="T61" s="1" t="n"/>
      <c r="U61" s="1" t="n"/>
      <c r="X61" s="1" t="n"/>
      <c r="Y61" s="1" t="n"/>
      <c r="Z61" s="1" t="n"/>
      <c r="AA61" s="1" t="n"/>
    </row>
    <row r="62" ht="15.75" customHeight="1" s="216">
      <c r="A62" s="1" t="n"/>
      <c r="B62" s="1" t="n"/>
      <c r="C62" s="1" t="n"/>
      <c r="D62" s="1" t="n"/>
      <c r="E62" s="1" t="n"/>
      <c r="F62" s="1" t="n"/>
      <c r="G62" s="1" t="n"/>
      <c r="H62" s="1" t="n"/>
      <c r="I62" s="1" t="n"/>
      <c r="J62" s="1" t="n"/>
      <c r="K62" s="1" t="n"/>
      <c r="L62" s="1" t="n"/>
      <c r="M62" s="1" t="n"/>
      <c r="N62" s="1" t="n"/>
      <c r="O62" s="1" t="n"/>
      <c r="P62" s="1" t="n"/>
      <c r="Q62" s="1" t="n"/>
      <c r="R62" s="1" t="n"/>
      <c r="S62" s="1" t="n"/>
      <c r="T62" s="1" t="n"/>
      <c r="U62" s="1" t="n"/>
      <c r="X62" s="1" t="n"/>
      <c r="Y62" s="1" t="n"/>
      <c r="Z62" s="1" t="n"/>
      <c r="AA62" s="1" t="n"/>
    </row>
    <row r="63" ht="15.75" customHeight="1" s="216">
      <c r="A63" s="1" t="n"/>
      <c r="B63" s="1" t="n"/>
      <c r="C63" s="1" t="n"/>
      <c r="D63" s="1" t="n"/>
      <c r="E63" s="1" t="n"/>
      <c r="F63" s="1" t="n"/>
      <c r="G63" s="1" t="n"/>
      <c r="H63" s="1" t="n"/>
      <c r="I63" s="1" t="n"/>
      <c r="J63" s="1" t="n"/>
      <c r="K63" s="1" t="n"/>
      <c r="L63" s="1" t="n"/>
      <c r="M63" s="1" t="n"/>
      <c r="N63" s="1" t="n"/>
      <c r="O63" s="1" t="n"/>
      <c r="P63" s="1" t="n"/>
      <c r="Q63" s="1" t="n"/>
      <c r="R63" s="1" t="n"/>
      <c r="S63" s="1" t="n"/>
      <c r="T63" s="1" t="n"/>
      <c r="U63" s="1" t="n"/>
      <c r="X63" s="1" t="n"/>
      <c r="Y63" s="1" t="n"/>
      <c r="Z63" s="1" t="n"/>
      <c r="AA63" s="1" t="n"/>
    </row>
    <row r="64" ht="15.75" customHeight="1" s="216">
      <c r="A64" s="1" t="n"/>
      <c r="B64" s="1" t="n"/>
      <c r="C64" s="1" t="n"/>
      <c r="D64" s="1" t="n"/>
      <c r="E64" s="1" t="n"/>
      <c r="F64" s="1" t="n"/>
      <c r="G64" s="1" t="n"/>
      <c r="H64" s="1" t="n"/>
      <c r="I64" s="1" t="n"/>
      <c r="J64" s="1" t="n"/>
      <c r="K64" s="1" t="n"/>
      <c r="L64" s="1" t="n"/>
      <c r="M64" s="1" t="n"/>
      <c r="N64" s="1" t="n"/>
      <c r="O64" s="1" t="n"/>
      <c r="P64" s="1" t="n"/>
      <c r="Q64" s="1" t="n"/>
      <c r="R64" s="1" t="n"/>
      <c r="S64" s="1" t="n"/>
      <c r="T64" s="1" t="n"/>
      <c r="U64" s="1" t="n"/>
      <c r="X64" s="1" t="n"/>
      <c r="Y64" s="1" t="n"/>
      <c r="Z64" s="1" t="n"/>
      <c r="AA64" s="1" t="n"/>
    </row>
    <row r="65" ht="15.75" customHeight="1" s="216">
      <c r="A65" s="1" t="n"/>
      <c r="B65" s="1" t="n"/>
      <c r="C65" s="1" t="n"/>
      <c r="D65" s="1" t="n"/>
      <c r="E65" s="1" t="n"/>
      <c r="F65" s="1" t="n"/>
      <c r="G65" s="1" t="n"/>
      <c r="H65" s="1" t="n"/>
      <c r="I65" s="1" t="n"/>
      <c r="J65" s="1" t="n"/>
      <c r="K65" s="1" t="n"/>
      <c r="L65" s="1" t="n"/>
      <c r="M65" s="1" t="n"/>
      <c r="N65" s="1" t="n"/>
      <c r="O65" s="1" t="n"/>
      <c r="P65" s="1" t="n"/>
      <c r="Q65" s="1" t="n"/>
      <c r="R65" s="1" t="n"/>
      <c r="S65" s="1" t="n"/>
      <c r="T65" s="1" t="n"/>
      <c r="U65" s="1" t="n"/>
      <c r="X65" s="1" t="n"/>
      <c r="Y65" s="1" t="n"/>
      <c r="Z65" s="1" t="n"/>
      <c r="AA65" s="1" t="n"/>
    </row>
    <row r="66" ht="15.75" customHeight="1" s="216">
      <c r="A66" s="1" t="n"/>
      <c r="B66" s="1" t="n"/>
      <c r="C66" s="1" t="n"/>
      <c r="D66" s="1" t="n"/>
      <c r="E66" s="1" t="n"/>
      <c r="F66" s="1" t="n"/>
      <c r="G66" s="1" t="n"/>
      <c r="H66" s="1" t="n"/>
      <c r="I66" s="1" t="n"/>
      <c r="J66" s="1" t="n"/>
      <c r="K66" s="1" t="n"/>
      <c r="L66" s="1" t="n"/>
      <c r="M66" s="1" t="n"/>
      <c r="N66" s="1" t="n"/>
      <c r="O66" s="1" t="n"/>
      <c r="P66" s="1" t="n"/>
      <c r="Q66" s="1" t="n"/>
      <c r="R66" s="1" t="n"/>
      <c r="S66" s="1" t="n"/>
      <c r="T66" s="1" t="n"/>
      <c r="U66" s="1" t="n"/>
      <c r="X66" s="1" t="n"/>
      <c r="Y66" s="1" t="n"/>
      <c r="Z66" s="1" t="n"/>
      <c r="AA66" s="1" t="n"/>
    </row>
    <row r="67" ht="15.75" customHeight="1" s="216">
      <c r="A67" s="1" t="n"/>
      <c r="B67" s="1" t="n"/>
      <c r="C67" s="1" t="n"/>
      <c r="D67" s="1" t="n"/>
      <c r="E67" s="1" t="n"/>
      <c r="F67" s="1" t="n"/>
      <c r="G67" s="1" t="n"/>
      <c r="H67" s="1" t="n"/>
      <c r="I67" s="1" t="n"/>
      <c r="J67" s="1" t="n"/>
      <c r="K67" s="1" t="n"/>
      <c r="L67" s="1" t="n"/>
      <c r="M67" s="1" t="n"/>
      <c r="N67" s="1" t="n"/>
      <c r="O67" s="1" t="n"/>
      <c r="P67" s="1" t="n"/>
      <c r="Q67" s="1" t="n"/>
      <c r="R67" s="1" t="n"/>
      <c r="S67" s="1" t="n"/>
      <c r="T67" s="1" t="n"/>
      <c r="U67" s="1" t="n"/>
      <c r="X67" s="1" t="n"/>
      <c r="Y67" s="1" t="n"/>
      <c r="Z67" s="1" t="n"/>
      <c r="AA67" s="1" t="n"/>
    </row>
    <row r="68" ht="15.75" customHeight="1" s="216">
      <c r="A68" s="1" t="n"/>
      <c r="B68" s="1" t="n"/>
      <c r="C68" s="1" t="n"/>
      <c r="D68" s="1" t="n"/>
      <c r="E68" s="1" t="n"/>
      <c r="F68" s="1" t="n"/>
      <c r="G68" s="1" t="n"/>
      <c r="H68" s="1" t="n"/>
      <c r="I68" s="1" t="n"/>
      <c r="J68" s="1" t="n"/>
      <c r="K68" s="1" t="n"/>
      <c r="L68" s="1" t="n"/>
      <c r="M68" s="1" t="n"/>
      <c r="N68" s="1" t="n"/>
      <c r="O68" s="1" t="n"/>
      <c r="P68" s="1" t="n"/>
      <c r="Q68" s="1" t="n"/>
      <c r="R68" s="1" t="n"/>
      <c r="S68" s="1" t="n"/>
      <c r="T68" s="1" t="n"/>
      <c r="U68" s="1" t="n"/>
      <c r="X68" s="1" t="n"/>
      <c r="Y68" s="1" t="n"/>
      <c r="Z68" s="1" t="n"/>
      <c r="AA68" s="1" t="n"/>
    </row>
    <row r="69" ht="15.75" customHeight="1" s="216">
      <c r="A69" s="1" t="n"/>
      <c r="B69" s="1" t="n"/>
      <c r="C69" s="1" t="n"/>
      <c r="D69" s="1" t="n"/>
      <c r="E69" s="1" t="n"/>
      <c r="F69" s="1" t="n"/>
      <c r="G69" s="1" t="n"/>
      <c r="H69" s="1" t="n"/>
      <c r="I69" s="1" t="n"/>
      <c r="J69" s="1" t="n"/>
      <c r="K69" s="1" t="n"/>
      <c r="L69" s="1" t="n"/>
      <c r="M69" s="1" t="n"/>
      <c r="N69" s="1" t="n"/>
      <c r="O69" s="1" t="n"/>
      <c r="P69" s="1" t="n"/>
      <c r="Q69" s="1" t="n"/>
      <c r="R69" s="1" t="n"/>
      <c r="S69" s="1" t="n"/>
      <c r="T69" s="1" t="n"/>
      <c r="U69" s="1" t="n"/>
      <c r="X69" s="1" t="n"/>
      <c r="Y69" s="1" t="n"/>
      <c r="Z69" s="1" t="n"/>
      <c r="AA69" s="1" t="n"/>
    </row>
    <row r="70" ht="15.75" customHeight="1" s="216">
      <c r="A70" s="1" t="n"/>
      <c r="B70" s="1" t="n"/>
      <c r="C70" s="1" t="n"/>
      <c r="D70" s="1" t="n"/>
      <c r="E70" s="1" t="n"/>
      <c r="F70" s="1" t="n"/>
      <c r="G70" s="1" t="n"/>
      <c r="H70" s="1" t="n"/>
      <c r="I70" s="1" t="n"/>
      <c r="J70" s="1" t="n"/>
      <c r="K70" s="1" t="n"/>
      <c r="L70" s="1" t="n"/>
      <c r="M70" s="1" t="n"/>
      <c r="N70" s="1" t="n"/>
      <c r="O70" s="1" t="n"/>
      <c r="P70" s="1" t="n"/>
      <c r="Q70" s="1" t="n"/>
      <c r="R70" s="1" t="n"/>
      <c r="S70" s="1" t="n"/>
      <c r="T70" s="1" t="n"/>
      <c r="U70" s="1" t="n"/>
      <c r="X70" s="1" t="n"/>
      <c r="Y70" s="1" t="n"/>
      <c r="Z70" s="1" t="n"/>
      <c r="AA70" s="1" t="n"/>
    </row>
    <row r="71" ht="15.75" customHeight="1" s="216">
      <c r="A71" s="1" t="n"/>
      <c r="B71" s="1" t="n"/>
      <c r="C71" s="1" t="n"/>
      <c r="D71" s="1" t="n"/>
      <c r="E71" s="1" t="n"/>
      <c r="F71" s="1" t="n"/>
      <c r="G71" s="1" t="n"/>
      <c r="H71" s="1" t="n"/>
      <c r="I71" s="1" t="n"/>
      <c r="J71" s="1" t="n"/>
      <c r="K71" s="1" t="n"/>
      <c r="L71" s="1" t="n"/>
      <c r="M71" s="1" t="n"/>
      <c r="N71" s="1" t="n"/>
      <c r="O71" s="1" t="n"/>
      <c r="P71" s="1" t="n"/>
      <c r="Q71" s="1" t="n"/>
      <c r="R71" s="1" t="n"/>
      <c r="S71" s="1" t="n"/>
      <c r="T71" s="1" t="n"/>
      <c r="U71" s="1" t="n"/>
      <c r="X71" s="1" t="n"/>
      <c r="Y71" s="1" t="n"/>
      <c r="Z71" s="1" t="n"/>
      <c r="AA71" s="1" t="n"/>
    </row>
    <row r="72" ht="15.75" customHeight="1" s="216">
      <c r="A72" s="1" t="n"/>
      <c r="B72" s="1" t="n"/>
      <c r="C72" s="1" t="n"/>
      <c r="D72" s="1" t="n"/>
      <c r="E72" s="1" t="n"/>
      <c r="F72" s="1" t="n"/>
      <c r="G72" s="1" t="n"/>
      <c r="H72" s="1" t="n"/>
      <c r="I72" s="1" t="n"/>
      <c r="J72" s="1" t="n"/>
      <c r="K72" s="1" t="n"/>
      <c r="L72" s="1" t="n"/>
      <c r="M72" s="1" t="n"/>
      <c r="N72" s="1" t="n"/>
      <c r="O72" s="1" t="n"/>
      <c r="P72" s="1" t="n"/>
      <c r="Q72" s="1" t="n"/>
      <c r="R72" s="1" t="n"/>
      <c r="S72" s="1" t="n"/>
      <c r="T72" s="1" t="n"/>
      <c r="U72" s="1" t="n"/>
      <c r="X72" s="1" t="n"/>
      <c r="Y72" s="1" t="n"/>
      <c r="Z72" s="1" t="n"/>
      <c r="AA72" s="1" t="n"/>
    </row>
    <row r="73" ht="15.75" customHeight="1" s="216">
      <c r="A73" s="1" t="n"/>
      <c r="B73" s="1" t="n"/>
      <c r="C73" s="1" t="n"/>
      <c r="D73" s="1" t="n"/>
      <c r="E73" s="1" t="n"/>
      <c r="F73" s="1" t="n"/>
      <c r="G73" s="1" t="n"/>
      <c r="H73" s="1" t="n"/>
      <c r="I73" s="1" t="n"/>
      <c r="J73" s="1" t="n"/>
      <c r="K73" s="1" t="n"/>
      <c r="L73" s="1" t="n"/>
      <c r="M73" s="1" t="n"/>
      <c r="N73" s="1" t="n"/>
      <c r="O73" s="1" t="n"/>
      <c r="P73" s="1" t="n"/>
      <c r="Q73" s="1" t="n"/>
      <c r="R73" s="1" t="n"/>
      <c r="S73" s="1" t="n"/>
      <c r="T73" s="1" t="n"/>
      <c r="U73" s="1" t="n"/>
      <c r="X73" s="1" t="n"/>
      <c r="Y73" s="1" t="n"/>
      <c r="Z73" s="1" t="n"/>
      <c r="AA73" s="1" t="n"/>
    </row>
    <row r="74" ht="15.75" customHeight="1" s="216">
      <c r="A74" s="1" t="n"/>
      <c r="B74" s="1" t="n"/>
      <c r="C74" s="1" t="n"/>
      <c r="D74" s="1" t="n"/>
      <c r="E74" s="1" t="n"/>
      <c r="F74" s="1" t="n"/>
      <c r="G74" s="1" t="n"/>
      <c r="H74" s="1" t="n"/>
      <c r="I74" s="1" t="n"/>
      <c r="J74" s="1" t="n"/>
      <c r="K74" s="1" t="n"/>
      <c r="L74" s="1" t="n"/>
      <c r="M74" s="1" t="n"/>
      <c r="N74" s="1" t="n"/>
      <c r="O74" s="1" t="n"/>
      <c r="P74" s="1" t="n"/>
      <c r="Q74" s="1" t="n"/>
      <c r="R74" s="1" t="n"/>
      <c r="S74" s="1" t="n"/>
      <c r="T74" s="1" t="n"/>
      <c r="U74" s="1" t="n"/>
      <c r="X74" s="1" t="n"/>
      <c r="Y74" s="1" t="n"/>
      <c r="Z74" s="1" t="n"/>
      <c r="AA74" s="1" t="n"/>
    </row>
    <row r="75" ht="15.75" customHeight="1" s="216">
      <c r="A75" s="1" t="n"/>
      <c r="B75" s="1" t="n"/>
      <c r="C75" s="1" t="n"/>
      <c r="D75" s="1" t="n"/>
      <c r="E75" s="1" t="n"/>
      <c r="F75" s="1" t="n"/>
      <c r="G75" s="1" t="n"/>
      <c r="H75" s="1" t="n"/>
      <c r="I75" s="1" t="n"/>
      <c r="J75" s="1" t="n"/>
      <c r="K75" s="1" t="n"/>
      <c r="L75" s="1" t="n"/>
      <c r="M75" s="1" t="n"/>
      <c r="N75" s="1" t="n"/>
      <c r="O75" s="1" t="n"/>
      <c r="P75" s="1" t="n"/>
      <c r="Q75" s="1" t="n"/>
      <c r="R75" s="1" t="n"/>
      <c r="S75" s="1" t="n"/>
      <c r="T75" s="1" t="n"/>
      <c r="U75" s="1" t="n"/>
      <c r="X75" s="1" t="n"/>
      <c r="Y75" s="1" t="n"/>
      <c r="Z75" s="1" t="n"/>
      <c r="AA75" s="1" t="n"/>
    </row>
    <row r="76" ht="15.75" customHeight="1" s="216">
      <c r="A76" s="1" t="n"/>
      <c r="B76" s="1" t="n"/>
      <c r="C76" s="1" t="n"/>
      <c r="D76" s="1" t="n"/>
      <c r="E76" s="1" t="n"/>
      <c r="F76" s="1" t="n"/>
      <c r="G76" s="1" t="n"/>
      <c r="H76" s="1" t="n"/>
      <c r="I76" s="1" t="n"/>
      <c r="J76" s="1" t="n"/>
      <c r="K76" s="1" t="n"/>
      <c r="L76" s="1" t="n"/>
      <c r="M76" s="1" t="n"/>
      <c r="N76" s="1" t="n"/>
      <c r="O76" s="1" t="n"/>
      <c r="P76" s="1" t="n"/>
      <c r="Q76" s="1" t="n"/>
      <c r="R76" s="1" t="n"/>
      <c r="S76" s="1" t="n"/>
      <c r="T76" s="1" t="n"/>
      <c r="U76" s="1" t="n"/>
      <c r="X76" s="1" t="n"/>
      <c r="Y76" s="1" t="n"/>
      <c r="Z76" s="1" t="n"/>
      <c r="AA76" s="1" t="n"/>
    </row>
    <row r="77" ht="15.75" customHeight="1" s="216">
      <c r="A77" s="1" t="n"/>
      <c r="B77" s="1" t="n"/>
      <c r="C77" s="1" t="n"/>
      <c r="D77" s="1" t="n"/>
      <c r="E77" s="1" t="n"/>
      <c r="F77" s="1" t="n"/>
      <c r="G77" s="1" t="n"/>
      <c r="H77" s="1" t="n"/>
      <c r="I77" s="1" t="n"/>
      <c r="J77" s="1" t="n"/>
      <c r="K77" s="1" t="n"/>
      <c r="L77" s="1" t="n"/>
      <c r="M77" s="1" t="n"/>
      <c r="N77" s="1" t="n"/>
      <c r="O77" s="1" t="n"/>
      <c r="P77" s="1" t="n"/>
      <c r="Q77" s="1" t="n"/>
      <c r="R77" s="1" t="n"/>
      <c r="S77" s="1" t="n"/>
      <c r="T77" s="1" t="n"/>
      <c r="U77" s="1" t="n"/>
      <c r="X77" s="1" t="n"/>
      <c r="Y77" s="1" t="n"/>
      <c r="Z77" s="1" t="n"/>
      <c r="AA77" s="1" t="n"/>
    </row>
    <row r="78" ht="15.75" customHeight="1" s="216">
      <c r="A78" s="1" t="n"/>
      <c r="B78" s="1" t="n"/>
      <c r="C78" s="1" t="n"/>
      <c r="D78" s="1" t="n"/>
      <c r="E78" s="1" t="n"/>
      <c r="F78" s="1" t="n"/>
      <c r="G78" s="1" t="n"/>
      <c r="H78" s="1" t="n"/>
      <c r="I78" s="1" t="n"/>
      <c r="J78" s="1" t="n"/>
      <c r="K78" s="1" t="n"/>
      <c r="L78" s="1" t="n"/>
      <c r="M78" s="1" t="n"/>
      <c r="N78" s="1" t="n"/>
      <c r="O78" s="1" t="n"/>
      <c r="P78" s="1" t="n"/>
      <c r="Q78" s="1" t="n"/>
      <c r="R78" s="1" t="n"/>
      <c r="S78" s="1" t="n"/>
      <c r="T78" s="1" t="n"/>
      <c r="U78" s="1" t="n"/>
      <c r="X78" s="1" t="n"/>
      <c r="Y78" s="1" t="n"/>
      <c r="Z78" s="1" t="n"/>
      <c r="AA78" s="1" t="n"/>
    </row>
    <row r="79" ht="15.75" customHeight="1" s="216">
      <c r="A79" s="1" t="n"/>
      <c r="B79" s="1" t="n"/>
      <c r="C79" s="1" t="n"/>
      <c r="D79" s="1" t="n"/>
      <c r="E79" s="1" t="n"/>
      <c r="F79" s="1" t="n"/>
      <c r="G79" s="1" t="n"/>
      <c r="H79" s="1" t="n"/>
      <c r="I79" s="1" t="n"/>
      <c r="J79" s="1" t="n"/>
      <c r="K79" s="1" t="n"/>
      <c r="L79" s="1" t="n"/>
      <c r="M79" s="1" t="n"/>
      <c r="N79" s="1" t="n"/>
      <c r="O79" s="1" t="n"/>
      <c r="P79" s="1" t="n"/>
      <c r="Q79" s="1" t="n"/>
      <c r="R79" s="1" t="n"/>
      <c r="S79" s="1" t="n"/>
      <c r="T79" s="1" t="n"/>
      <c r="U79" s="1" t="n"/>
      <c r="X79" s="1" t="n"/>
      <c r="Y79" s="1" t="n"/>
      <c r="Z79" s="1" t="n"/>
      <c r="AA79" s="1" t="n"/>
    </row>
    <row r="80" ht="15.75" customHeight="1" s="216">
      <c r="A80" s="1" t="n"/>
      <c r="B80" s="1" t="n"/>
      <c r="C80" s="1" t="n"/>
      <c r="D80" s="1" t="n"/>
      <c r="E80" s="1" t="n"/>
      <c r="F80" s="1" t="n"/>
      <c r="G80" s="1" t="n"/>
      <c r="H80" s="1" t="n"/>
      <c r="I80" s="1" t="n"/>
      <c r="J80" s="1" t="n"/>
      <c r="K80" s="1" t="n"/>
      <c r="L80" s="1" t="n"/>
      <c r="M80" s="1" t="n"/>
      <c r="N80" s="1" t="n"/>
      <c r="O80" s="1" t="n"/>
      <c r="P80" s="1" t="n"/>
      <c r="Q80" s="1" t="n"/>
      <c r="R80" s="1" t="n"/>
      <c r="S80" s="1" t="n"/>
      <c r="T80" s="1" t="n"/>
      <c r="U80" s="1" t="n"/>
      <c r="X80" s="1" t="n"/>
      <c r="Y80" s="1" t="n"/>
      <c r="Z80" s="1" t="n"/>
      <c r="AA80" s="1" t="n"/>
    </row>
    <row r="81" ht="15.75" customHeight="1" s="216">
      <c r="A81" s="1" t="n"/>
      <c r="B81" s="1" t="n"/>
      <c r="C81" s="1" t="n"/>
      <c r="D81" s="1" t="n"/>
      <c r="E81" s="1" t="n"/>
      <c r="F81" s="1" t="n"/>
      <c r="G81" s="1" t="n"/>
      <c r="H81" s="1" t="n"/>
      <c r="I81" s="1" t="n"/>
      <c r="J81" s="1" t="n"/>
      <c r="K81" s="1" t="n"/>
      <c r="L81" s="1" t="n"/>
      <c r="M81" s="1" t="n"/>
      <c r="N81" s="1" t="n"/>
      <c r="O81" s="1" t="n"/>
      <c r="P81" s="1" t="n"/>
      <c r="Q81" s="1" t="n"/>
      <c r="R81" s="1" t="n"/>
      <c r="S81" s="1" t="n"/>
      <c r="T81" s="1" t="n"/>
      <c r="U81" s="1" t="n"/>
      <c r="X81" s="1" t="n"/>
      <c r="Y81" s="1" t="n"/>
      <c r="Z81" s="1" t="n"/>
      <c r="AA81" s="1" t="n"/>
    </row>
    <row r="82" ht="15.75" customHeight="1" s="216">
      <c r="A82" s="1" t="n"/>
      <c r="B82" s="1" t="n"/>
      <c r="C82" s="1" t="n"/>
      <c r="D82" s="1" t="n"/>
      <c r="E82" s="1" t="n"/>
      <c r="F82" s="1" t="n"/>
      <c r="G82" s="1" t="n"/>
      <c r="H82" s="1" t="n"/>
      <c r="I82" s="1" t="n"/>
      <c r="J82" s="1" t="n"/>
      <c r="K82" s="1" t="n"/>
      <c r="L82" s="1" t="n"/>
      <c r="M82" s="1" t="n"/>
      <c r="N82" s="1" t="n"/>
      <c r="O82" s="1" t="n"/>
      <c r="P82" s="1" t="n"/>
      <c r="Q82" s="1" t="n"/>
      <c r="R82" s="1" t="n"/>
      <c r="S82" s="1" t="n"/>
      <c r="T82" s="1" t="n"/>
      <c r="U82" s="1" t="n"/>
      <c r="X82" s="1" t="n"/>
      <c r="Y82" s="1" t="n"/>
      <c r="Z82" s="1" t="n"/>
      <c r="AA82" s="1" t="n"/>
    </row>
    <row r="83" ht="15.75" customHeight="1" s="216">
      <c r="A83" s="1" t="n"/>
      <c r="B83" s="1" t="n"/>
      <c r="C83" s="1" t="n"/>
      <c r="D83" s="1" t="n"/>
      <c r="E83" s="1" t="n"/>
      <c r="F83" s="1" t="n"/>
      <c r="G83" s="1" t="n"/>
      <c r="H83" s="1" t="n"/>
      <c r="I83" s="1" t="n"/>
      <c r="J83" s="1" t="n"/>
      <c r="K83" s="1" t="n"/>
      <c r="L83" s="1" t="n"/>
      <c r="M83" s="1" t="n"/>
      <c r="N83" s="1" t="n"/>
      <c r="O83" s="1" t="n"/>
      <c r="P83" s="1" t="n"/>
      <c r="Q83" s="1" t="n"/>
      <c r="R83" s="1" t="n"/>
      <c r="S83" s="1" t="n"/>
      <c r="T83" s="1" t="n"/>
      <c r="U83" s="1" t="n"/>
      <c r="X83" s="1" t="n"/>
      <c r="Y83" s="1" t="n"/>
      <c r="Z83" s="1" t="n"/>
      <c r="AA83" s="1" t="n"/>
    </row>
    <row r="84" ht="15.75" customHeight="1" s="216">
      <c r="A84" s="1" t="n"/>
      <c r="B84" s="1" t="n"/>
      <c r="C84" s="1" t="n"/>
      <c r="D84" s="1" t="n"/>
      <c r="E84" s="1" t="n"/>
      <c r="F84" s="1" t="n"/>
      <c r="G84" s="1" t="n"/>
      <c r="H84" s="1" t="n"/>
      <c r="I84" s="1" t="n"/>
      <c r="J84" s="1" t="n"/>
      <c r="K84" s="1" t="n"/>
      <c r="L84" s="1" t="n"/>
      <c r="M84" s="1" t="n"/>
      <c r="N84" s="1" t="n"/>
      <c r="O84" s="1" t="n"/>
      <c r="P84" s="1" t="n"/>
      <c r="Q84" s="1" t="n"/>
      <c r="R84" s="1" t="n"/>
      <c r="S84" s="1" t="n"/>
      <c r="T84" s="1" t="n"/>
      <c r="U84" s="1" t="n"/>
      <c r="X84" s="1" t="n"/>
      <c r="Y84" s="1" t="n"/>
      <c r="Z84" s="1" t="n"/>
      <c r="AA84" s="1" t="n"/>
    </row>
    <row r="85" ht="15.75" customHeight="1" s="216">
      <c r="A85" s="1" t="n"/>
      <c r="B85" s="1" t="n"/>
      <c r="C85" s="1" t="n"/>
      <c r="D85" s="1" t="n"/>
      <c r="E85" s="1" t="n"/>
      <c r="F85" s="1" t="n"/>
      <c r="G85" s="1" t="n"/>
      <c r="H85" s="1" t="n"/>
      <c r="I85" s="1" t="n"/>
      <c r="J85" s="1" t="n"/>
      <c r="K85" s="1" t="n"/>
      <c r="L85" s="1" t="n"/>
      <c r="M85" s="1" t="n"/>
      <c r="N85" s="1" t="n"/>
      <c r="O85" s="1" t="n"/>
      <c r="P85" s="1" t="n"/>
      <c r="Q85" s="1" t="n"/>
      <c r="R85" s="1" t="n"/>
      <c r="S85" s="1" t="n"/>
      <c r="T85" s="1" t="n"/>
      <c r="U85" s="1" t="n"/>
      <c r="X85" s="1" t="n"/>
      <c r="Y85" s="1" t="n"/>
      <c r="Z85" s="1" t="n"/>
      <c r="AA85" s="1" t="n"/>
    </row>
    <row r="86" ht="15.75" customHeight="1" s="216">
      <c r="A86" s="1" t="n"/>
      <c r="B86" s="1" t="n"/>
      <c r="C86" s="1" t="n"/>
      <c r="D86" s="1" t="n"/>
      <c r="E86" s="1" t="n"/>
      <c r="F86" s="1" t="n"/>
      <c r="G86" s="1" t="n"/>
      <c r="H86" s="1" t="n"/>
      <c r="I86" s="1" t="n"/>
      <c r="J86" s="1" t="n"/>
      <c r="K86" s="1" t="n"/>
      <c r="L86" s="1" t="n"/>
      <c r="M86" s="1" t="n"/>
      <c r="N86" s="1" t="n"/>
      <c r="O86" s="1" t="n"/>
      <c r="P86" s="1" t="n"/>
      <c r="Q86" s="1" t="n"/>
      <c r="R86" s="1" t="n"/>
      <c r="S86" s="1" t="n"/>
      <c r="T86" s="1" t="n"/>
      <c r="U86" s="1" t="n"/>
      <c r="X86" s="1" t="n"/>
      <c r="Y86" s="1" t="n"/>
      <c r="Z86" s="1" t="n"/>
      <c r="AA86" s="1" t="n"/>
    </row>
    <row r="87" ht="15.75" customHeight="1" s="216">
      <c r="A87" s="1" t="n"/>
      <c r="B87" s="1" t="n"/>
      <c r="C87" s="1" t="n"/>
      <c r="D87" s="1" t="n"/>
      <c r="E87" s="1" t="n"/>
      <c r="F87" s="1" t="n"/>
      <c r="G87" s="1" t="n"/>
      <c r="H87" s="1" t="n"/>
      <c r="I87" s="1" t="n"/>
      <c r="J87" s="1" t="n"/>
      <c r="K87" s="1" t="n"/>
      <c r="L87" s="1" t="n"/>
      <c r="M87" s="1" t="n"/>
      <c r="N87" s="1" t="n"/>
      <c r="O87" s="1" t="n"/>
      <c r="P87" s="1" t="n"/>
      <c r="Q87" s="1" t="n"/>
      <c r="R87" s="1" t="n"/>
      <c r="S87" s="1" t="n"/>
      <c r="T87" s="1" t="n"/>
      <c r="U87" s="1" t="n"/>
      <c r="X87" s="1" t="n"/>
      <c r="Y87" s="1" t="n"/>
      <c r="Z87" s="1" t="n"/>
      <c r="AA87" s="1" t="n"/>
    </row>
    <row r="88" ht="15.75" customHeight="1" s="216">
      <c r="A88" s="1" t="n"/>
      <c r="B88" s="1" t="n"/>
      <c r="C88" s="1" t="n"/>
      <c r="D88" s="1" t="n"/>
      <c r="E88" s="1" t="n"/>
      <c r="F88" s="1" t="n"/>
      <c r="G88" s="1" t="n"/>
      <c r="H88" s="1" t="n"/>
      <c r="I88" s="1" t="n"/>
      <c r="J88" s="1" t="n"/>
      <c r="K88" s="1" t="n"/>
      <c r="L88" s="1" t="n"/>
      <c r="M88" s="1" t="n"/>
      <c r="N88" s="1" t="n"/>
      <c r="O88" s="1" t="n"/>
      <c r="P88" s="1" t="n"/>
      <c r="Q88" s="1" t="n"/>
      <c r="R88" s="1" t="n"/>
      <c r="S88" s="1" t="n"/>
      <c r="T88" s="1" t="n"/>
      <c r="U88" s="1" t="n"/>
      <c r="X88" s="1" t="n"/>
      <c r="Y88" s="1" t="n"/>
      <c r="Z88" s="1" t="n"/>
      <c r="AA88" s="1" t="n"/>
    </row>
    <row r="89" ht="15.75" customHeight="1" s="216">
      <c r="A89" s="1" t="n"/>
      <c r="B89" s="1" t="n"/>
      <c r="C89" s="1" t="n"/>
      <c r="D89" s="1" t="n"/>
      <c r="E89" s="1" t="n"/>
      <c r="F89" s="1" t="n"/>
      <c r="G89" s="1" t="n"/>
      <c r="H89" s="1" t="n"/>
      <c r="I89" s="1" t="n"/>
      <c r="J89" s="1" t="n"/>
      <c r="K89" s="1" t="n"/>
      <c r="L89" s="1" t="n"/>
      <c r="M89" s="1" t="n"/>
      <c r="N89" s="1" t="n"/>
      <c r="O89" s="1" t="n"/>
      <c r="P89" s="1" t="n"/>
      <c r="Q89" s="1" t="n"/>
      <c r="R89" s="1" t="n"/>
      <c r="S89" s="1" t="n"/>
      <c r="T89" s="1" t="n"/>
      <c r="U89" s="1" t="n"/>
      <c r="X89" s="1" t="n"/>
      <c r="Y89" s="1" t="n"/>
      <c r="Z89" s="1" t="n"/>
      <c r="AA89" s="1" t="n"/>
    </row>
    <row r="90" ht="15.75" customHeight="1" s="216">
      <c r="A90" s="1" t="n"/>
      <c r="B90" s="1" t="n"/>
      <c r="C90" s="1" t="n"/>
      <c r="D90" s="1" t="n"/>
      <c r="E90" s="1" t="n"/>
      <c r="F90" s="1" t="n"/>
      <c r="G90" s="1" t="n"/>
      <c r="H90" s="1" t="n"/>
      <c r="I90" s="1" t="n"/>
      <c r="J90" s="1" t="n"/>
      <c r="K90" s="1" t="n"/>
      <c r="L90" s="1" t="n"/>
      <c r="M90" s="1" t="n"/>
      <c r="N90" s="1" t="n"/>
      <c r="O90" s="1" t="n"/>
      <c r="P90" s="1" t="n"/>
      <c r="Q90" s="1" t="n"/>
      <c r="R90" s="1" t="n"/>
      <c r="S90" s="1" t="n"/>
      <c r="T90" s="1" t="n"/>
      <c r="U90" s="1" t="n"/>
      <c r="X90" s="1" t="n"/>
      <c r="Y90" s="1" t="n"/>
      <c r="Z90" s="1" t="n"/>
      <c r="AA90" s="1" t="n"/>
    </row>
    <row r="91" ht="15.75" customHeight="1" s="216">
      <c r="A91" s="1" t="n"/>
      <c r="B91" s="1" t="n"/>
      <c r="C91" s="1" t="n"/>
      <c r="D91" s="1" t="n"/>
      <c r="E91" s="1" t="n"/>
      <c r="F91" s="1" t="n"/>
      <c r="G91" s="1" t="n"/>
      <c r="H91" s="1" t="n"/>
      <c r="I91" s="1" t="n"/>
      <c r="J91" s="1" t="n"/>
      <c r="K91" s="1" t="n"/>
      <c r="L91" s="1" t="n"/>
      <c r="M91" s="1" t="n"/>
      <c r="N91" s="1" t="n"/>
      <c r="O91" s="1" t="n"/>
      <c r="P91" s="1" t="n"/>
      <c r="Q91" s="1" t="n"/>
      <c r="R91" s="1" t="n"/>
      <c r="S91" s="1" t="n"/>
      <c r="T91" s="1" t="n"/>
      <c r="U91" s="1" t="n"/>
      <c r="X91" s="1" t="n"/>
      <c r="Y91" s="1" t="n"/>
      <c r="Z91" s="1" t="n"/>
      <c r="AA91" s="1" t="n"/>
    </row>
    <row r="92" ht="15.75" customHeight="1" s="216">
      <c r="A92" s="1" t="n"/>
      <c r="B92" s="1" t="n"/>
      <c r="C92" s="1" t="n"/>
      <c r="D92" s="1" t="n"/>
      <c r="E92" s="1" t="n"/>
      <c r="F92" s="1" t="n"/>
      <c r="G92" s="1" t="n"/>
      <c r="H92" s="1" t="n"/>
      <c r="I92" s="1" t="n"/>
      <c r="J92" s="1" t="n"/>
      <c r="K92" s="1" t="n"/>
      <c r="L92" s="1" t="n"/>
      <c r="M92" s="1" t="n"/>
      <c r="N92" s="1" t="n"/>
      <c r="O92" s="1" t="n"/>
      <c r="P92" s="1" t="n"/>
      <c r="Q92" s="1" t="n"/>
      <c r="R92" s="1" t="n"/>
      <c r="S92" s="1" t="n"/>
      <c r="T92" s="1" t="n"/>
      <c r="U92" s="1" t="n"/>
      <c r="X92" s="1" t="n"/>
      <c r="Y92" s="1" t="n"/>
      <c r="Z92" s="1" t="n"/>
      <c r="AA92" s="1" t="n"/>
    </row>
    <row r="93" ht="15.75" customHeight="1" s="216">
      <c r="A93" s="1" t="n"/>
      <c r="B93" s="1" t="n"/>
      <c r="C93" s="1" t="n"/>
      <c r="D93" s="1" t="n"/>
      <c r="E93" s="1" t="n"/>
      <c r="F93" s="1" t="n"/>
      <c r="G93" s="1" t="n"/>
      <c r="H93" s="1" t="n"/>
      <c r="I93" s="1" t="n"/>
      <c r="J93" s="1" t="n"/>
      <c r="K93" s="1" t="n"/>
      <c r="L93" s="1" t="n"/>
      <c r="M93" s="1" t="n"/>
      <c r="N93" s="1" t="n"/>
      <c r="O93" s="1" t="n"/>
      <c r="P93" s="1" t="n"/>
      <c r="Q93" s="1" t="n"/>
      <c r="R93" s="1" t="n"/>
      <c r="S93" s="1" t="n"/>
      <c r="T93" s="1" t="n"/>
      <c r="U93" s="1" t="n"/>
      <c r="X93" s="1" t="n"/>
      <c r="Y93" s="1" t="n"/>
      <c r="Z93" s="1" t="n"/>
      <c r="AA93" s="1" t="n"/>
    </row>
    <row r="94" ht="15.75" customHeight="1" s="216">
      <c r="A94" s="1" t="n"/>
      <c r="B94" s="1" t="n"/>
      <c r="C94" s="1" t="n"/>
      <c r="D94" s="1" t="n"/>
      <c r="E94" s="1" t="n"/>
      <c r="F94" s="1" t="n"/>
      <c r="G94" s="1" t="n"/>
      <c r="H94" s="1" t="n"/>
      <c r="I94" s="1" t="n"/>
      <c r="J94" s="1" t="n"/>
      <c r="K94" s="1" t="n"/>
      <c r="L94" s="1" t="n"/>
      <c r="M94" s="1" t="n"/>
      <c r="N94" s="1" t="n"/>
      <c r="O94" s="1" t="n"/>
      <c r="P94" s="1" t="n"/>
      <c r="Q94" s="1" t="n"/>
      <c r="R94" s="1" t="n"/>
      <c r="S94" s="1" t="n"/>
      <c r="T94" s="1" t="n"/>
      <c r="U94" s="1" t="n"/>
      <c r="X94" s="1" t="n"/>
      <c r="Y94" s="1" t="n"/>
      <c r="Z94" s="1" t="n"/>
      <c r="AA94" s="1" t="n"/>
    </row>
    <row r="95" ht="15.75" customHeight="1" s="216">
      <c r="A95" s="1" t="n"/>
      <c r="B95" s="1" t="n"/>
      <c r="C95" s="1" t="n"/>
      <c r="D95" s="1" t="n"/>
      <c r="E95" s="1" t="n"/>
      <c r="F95" s="1" t="n"/>
      <c r="G95" s="1" t="n"/>
      <c r="H95" s="1" t="n"/>
      <c r="I95" s="1" t="n"/>
      <c r="J95" s="1" t="n"/>
      <c r="K95" s="1" t="n"/>
      <c r="L95" s="1" t="n"/>
      <c r="M95" s="1" t="n"/>
      <c r="N95" s="1" t="n"/>
      <c r="O95" s="1" t="n"/>
      <c r="P95" s="1" t="n"/>
      <c r="Q95" s="1" t="n"/>
      <c r="R95" s="1" t="n"/>
      <c r="S95" s="1" t="n"/>
      <c r="T95" s="1" t="n"/>
      <c r="U95" s="1" t="n"/>
      <c r="X95" s="1" t="n"/>
      <c r="Y95" s="1" t="n"/>
      <c r="Z95" s="1" t="n"/>
      <c r="AA95" s="1" t="n"/>
    </row>
    <row r="96" ht="15.75" customHeight="1" s="216">
      <c r="A96" s="1" t="n"/>
      <c r="B96" s="1" t="n"/>
      <c r="C96" s="1" t="n"/>
      <c r="D96" s="1" t="n"/>
      <c r="E96" s="1" t="n"/>
      <c r="F96" s="1" t="n"/>
      <c r="G96" s="1" t="n"/>
      <c r="H96" s="1" t="n"/>
      <c r="I96" s="1" t="n"/>
      <c r="J96" s="1" t="n"/>
      <c r="K96" s="1" t="n"/>
      <c r="L96" s="1" t="n"/>
      <c r="M96" s="1" t="n"/>
      <c r="N96" s="1" t="n"/>
      <c r="O96" s="1" t="n"/>
      <c r="P96" s="1" t="n"/>
      <c r="Q96" s="1" t="n"/>
      <c r="R96" s="1" t="n"/>
      <c r="S96" s="1" t="n"/>
      <c r="T96" s="1" t="n"/>
      <c r="U96" s="1" t="n"/>
      <c r="X96" s="1" t="n"/>
      <c r="Y96" s="1" t="n"/>
      <c r="Z96" s="1" t="n"/>
      <c r="AA96" s="1" t="n"/>
    </row>
    <row r="97" ht="15.75" customHeight="1" s="216">
      <c r="A97" s="1" t="n"/>
      <c r="B97" s="1" t="n"/>
      <c r="C97" s="1" t="n"/>
      <c r="D97" s="1" t="n"/>
      <c r="E97" s="1" t="n"/>
      <c r="F97" s="1" t="n"/>
      <c r="G97" s="1" t="n"/>
      <c r="H97" s="1" t="n"/>
      <c r="I97" s="1" t="n"/>
      <c r="J97" s="1" t="n"/>
      <c r="K97" s="1" t="n"/>
      <c r="L97" s="1" t="n"/>
      <c r="M97" s="1" t="n"/>
      <c r="N97" s="1" t="n"/>
      <c r="O97" s="1" t="n"/>
      <c r="P97" s="1" t="n"/>
      <c r="Q97" s="1" t="n"/>
      <c r="R97" s="1" t="n"/>
      <c r="S97" s="1" t="n"/>
      <c r="T97" s="1" t="n"/>
      <c r="U97" s="1" t="n"/>
      <c r="X97" s="1" t="n"/>
      <c r="Y97" s="1" t="n"/>
      <c r="Z97" s="1" t="n"/>
      <c r="AA97" s="1" t="n"/>
    </row>
    <row r="98" ht="15.75" customHeight="1" s="216">
      <c r="A98" s="1" t="n"/>
      <c r="B98" s="1" t="n"/>
      <c r="C98" s="1" t="n"/>
      <c r="D98" s="1" t="n"/>
      <c r="E98" s="1" t="n"/>
      <c r="F98" s="1" t="n"/>
      <c r="G98" s="1" t="n"/>
      <c r="H98" s="1" t="n"/>
      <c r="I98" s="1" t="n"/>
      <c r="J98" s="1" t="n"/>
      <c r="K98" s="1" t="n"/>
      <c r="L98" s="1" t="n"/>
      <c r="M98" s="1" t="n"/>
      <c r="N98" s="1" t="n"/>
      <c r="O98" s="1" t="n"/>
      <c r="P98" s="1" t="n"/>
      <c r="Q98" s="1" t="n"/>
      <c r="R98" s="1" t="n"/>
      <c r="S98" s="1" t="n"/>
      <c r="T98" s="1" t="n"/>
      <c r="U98" s="1" t="n"/>
      <c r="X98" s="1" t="n"/>
      <c r="Y98" s="1" t="n"/>
      <c r="Z98" s="1" t="n"/>
      <c r="AA98" s="1" t="n"/>
    </row>
    <row r="99" ht="15.75" customHeight="1" s="216">
      <c r="A99" s="1" t="n"/>
      <c r="B99" s="1" t="n"/>
      <c r="C99" s="1" t="n"/>
      <c r="D99" s="1" t="n"/>
      <c r="E99" s="1" t="n"/>
      <c r="F99" s="1" t="n"/>
      <c r="G99" s="1" t="n"/>
      <c r="H99" s="1" t="n"/>
      <c r="I99" s="1" t="n"/>
      <c r="J99" s="1" t="n"/>
      <c r="K99" s="1" t="n"/>
      <c r="L99" s="1" t="n"/>
      <c r="M99" s="1" t="n"/>
      <c r="N99" s="1" t="n"/>
      <c r="O99" s="1" t="n"/>
      <c r="P99" s="1" t="n"/>
      <c r="Q99" s="1" t="n"/>
      <c r="R99" s="1" t="n"/>
      <c r="S99" s="1" t="n"/>
      <c r="T99" s="1" t="n"/>
      <c r="U99" s="1" t="n"/>
      <c r="X99" s="1" t="n"/>
      <c r="Y99" s="1" t="n"/>
      <c r="Z99" s="1" t="n"/>
      <c r="AA99" s="1" t="n"/>
    </row>
    <row r="100" ht="15.75" customHeight="1" s="216">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X100" s="1" t="n"/>
      <c r="Y100" s="1" t="n"/>
      <c r="Z100" s="1" t="n"/>
      <c r="AA100" s="1" t="n"/>
    </row>
    <row r="101" ht="15.75" customHeight="1" s="216">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X101" s="1" t="n"/>
      <c r="Y101" s="1" t="n"/>
      <c r="Z101" s="1" t="n"/>
      <c r="AA101" s="1" t="n"/>
    </row>
    <row r="102" ht="15.75" customHeight="1" s="216">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X102" s="1" t="n"/>
      <c r="Y102" s="1" t="n"/>
      <c r="Z102" s="1" t="n"/>
      <c r="AA102" s="1" t="n"/>
    </row>
    <row r="103" ht="15.75" customHeight="1" s="216">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X103" s="1" t="n"/>
      <c r="Y103" s="1" t="n"/>
      <c r="Z103" s="1" t="n"/>
      <c r="AA103" s="1" t="n"/>
    </row>
    <row r="104" ht="15.75" customHeight="1" s="216">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X104" s="1" t="n"/>
      <c r="Y104" s="1" t="n"/>
      <c r="Z104" s="1" t="n"/>
      <c r="AA104" s="1" t="n"/>
    </row>
    <row r="105" ht="15.75" customHeight="1" s="216">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X105" s="1" t="n"/>
      <c r="Y105" s="1" t="n"/>
      <c r="Z105" s="1" t="n"/>
      <c r="AA105" s="1" t="n"/>
    </row>
    <row r="106" ht="15.75" customHeight="1" s="21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X106" s="1" t="n"/>
      <c r="Y106" s="1" t="n"/>
      <c r="Z106" s="1" t="n"/>
      <c r="AA106" s="1" t="n"/>
    </row>
    <row r="107" ht="15.75" customHeight="1" s="216">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X107" s="1" t="n"/>
      <c r="Y107" s="1" t="n"/>
      <c r="Z107" s="1" t="n"/>
      <c r="AA107" s="1" t="n"/>
    </row>
    <row r="108" ht="15.75" customHeight="1" s="216">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X108" s="1" t="n"/>
      <c r="Y108" s="1" t="n"/>
      <c r="Z108" s="1" t="n"/>
      <c r="AA108" s="1" t="n"/>
    </row>
    <row r="109" ht="15.75" customHeight="1" s="216">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X109" s="1" t="n"/>
      <c r="Y109" s="1" t="n"/>
      <c r="Z109" s="1" t="n"/>
      <c r="AA109" s="1" t="n"/>
    </row>
    <row r="110" ht="15.75" customHeight="1" s="216">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X110" s="1" t="n"/>
      <c r="Y110" s="1" t="n"/>
      <c r="Z110" s="1" t="n"/>
      <c r="AA110" s="1" t="n"/>
    </row>
    <row r="111" ht="15.75" customHeight="1" s="216">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X111" s="1" t="n"/>
      <c r="Y111" s="1" t="n"/>
      <c r="Z111" s="1" t="n"/>
      <c r="AA111" s="1" t="n"/>
    </row>
    <row r="112" ht="15.75" customHeight="1" s="216">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X112" s="1" t="n"/>
      <c r="Y112" s="1" t="n"/>
      <c r="Z112" s="1" t="n"/>
      <c r="AA112" s="1" t="n"/>
    </row>
    <row r="113" ht="15.75" customHeight="1" s="216">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X113" s="1" t="n"/>
      <c r="Y113" s="1" t="n"/>
      <c r="Z113" s="1" t="n"/>
      <c r="AA113" s="1" t="n"/>
    </row>
    <row r="114" ht="15.75" customHeight="1" s="216">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X114" s="1" t="n"/>
      <c r="Y114" s="1" t="n"/>
      <c r="Z114" s="1" t="n"/>
      <c r="AA114" s="1" t="n"/>
    </row>
    <row r="115" ht="15.75" customHeight="1" s="216">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X115" s="1" t="n"/>
      <c r="Y115" s="1" t="n"/>
      <c r="Z115" s="1" t="n"/>
      <c r="AA115" s="1" t="n"/>
    </row>
    <row r="116" ht="15.75" customHeight="1" s="2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X116" s="1" t="n"/>
      <c r="Y116" s="1" t="n"/>
      <c r="Z116" s="1" t="n"/>
      <c r="AA116" s="1" t="n"/>
    </row>
    <row r="117" ht="15.75" customHeight="1" s="216">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X117" s="1" t="n"/>
      <c r="Y117" s="1" t="n"/>
      <c r="Z117" s="1" t="n"/>
      <c r="AA117" s="1" t="n"/>
    </row>
    <row r="118" ht="15.75" customHeight="1" s="216">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X118" s="1" t="n"/>
      <c r="Y118" s="1" t="n"/>
      <c r="Z118" s="1" t="n"/>
      <c r="AA118" s="1" t="n"/>
    </row>
    <row r="119" ht="15.75" customHeight="1" s="216">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X119" s="1" t="n"/>
      <c r="Y119" s="1" t="n"/>
      <c r="Z119" s="1" t="n"/>
      <c r="AA119" s="1" t="n"/>
    </row>
    <row r="120" ht="15.75" customHeight="1" s="216">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X120" s="1" t="n"/>
      <c r="Y120" s="1" t="n"/>
      <c r="Z120" s="1" t="n"/>
      <c r="AA120" s="1" t="n"/>
    </row>
    <row r="121" ht="15.75" customHeight="1" s="216">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X121" s="1" t="n"/>
      <c r="Y121" s="1" t="n"/>
      <c r="Z121" s="1" t="n"/>
      <c r="AA121" s="1" t="n"/>
    </row>
    <row r="122" ht="15.75" customHeight="1" s="216">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X122" s="1" t="n"/>
      <c r="Y122" s="1" t="n"/>
      <c r="Z122" s="1" t="n"/>
      <c r="AA122" s="1" t="n"/>
    </row>
    <row r="123" ht="15.75" customHeight="1" s="216">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X123" s="1" t="n"/>
      <c r="Y123" s="1" t="n"/>
      <c r="Z123" s="1" t="n"/>
      <c r="AA123" s="1" t="n"/>
    </row>
    <row r="124" ht="15.75" customHeight="1" s="216">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X124" s="1" t="n"/>
      <c r="Y124" s="1" t="n"/>
      <c r="Z124" s="1" t="n"/>
      <c r="AA124" s="1" t="n"/>
    </row>
    <row r="125" ht="15.75" customHeight="1" s="216">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X125" s="1" t="n"/>
      <c r="Y125" s="1" t="n"/>
      <c r="Z125" s="1" t="n"/>
      <c r="AA125" s="1" t="n"/>
    </row>
    <row r="126" ht="15.75" customHeight="1" s="21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X126" s="1" t="n"/>
      <c r="Y126" s="1" t="n"/>
      <c r="Z126" s="1" t="n"/>
      <c r="AA126" s="1" t="n"/>
    </row>
    <row r="127" ht="15.75" customHeight="1" s="216">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X127" s="1" t="n"/>
      <c r="Y127" s="1" t="n"/>
      <c r="Z127" s="1" t="n"/>
      <c r="AA127" s="1" t="n"/>
    </row>
    <row r="128" ht="15.75" customHeight="1" s="216">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X128" s="1" t="n"/>
      <c r="Y128" s="1" t="n"/>
      <c r="Z128" s="1" t="n"/>
      <c r="AA128" s="1" t="n"/>
    </row>
    <row r="129" ht="15.75" customHeight="1" s="216">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X129" s="1" t="n"/>
      <c r="Y129" s="1" t="n"/>
      <c r="Z129" s="1" t="n"/>
      <c r="AA129" s="1" t="n"/>
    </row>
    <row r="130" ht="15.75" customHeight="1" s="216">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X130" s="1" t="n"/>
      <c r="Y130" s="1" t="n"/>
      <c r="Z130" s="1" t="n"/>
      <c r="AA130" s="1" t="n"/>
    </row>
    <row r="131" ht="15.75" customHeight="1" s="216">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X131" s="1" t="n"/>
      <c r="Y131" s="1" t="n"/>
      <c r="Z131" s="1" t="n"/>
      <c r="AA131" s="1" t="n"/>
    </row>
    <row r="132" ht="15.75" customHeight="1" s="216">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X132" s="1" t="n"/>
      <c r="Y132" s="1" t="n"/>
      <c r="Z132" s="1" t="n"/>
      <c r="AA132" s="1" t="n"/>
    </row>
    <row r="133" ht="15.75" customHeight="1" s="216">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X133" s="1" t="n"/>
      <c r="Y133" s="1" t="n"/>
      <c r="Z133" s="1" t="n"/>
      <c r="AA133" s="1" t="n"/>
    </row>
    <row r="134" ht="15.75" customHeight="1" s="216">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X134" s="1" t="n"/>
      <c r="Y134" s="1" t="n"/>
      <c r="Z134" s="1" t="n"/>
      <c r="AA134" s="1" t="n"/>
    </row>
    <row r="135" ht="15.75" customHeight="1" s="216">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X135" s="1" t="n"/>
      <c r="Y135" s="1" t="n"/>
      <c r="Z135" s="1" t="n"/>
      <c r="AA135" s="1" t="n"/>
    </row>
    <row r="136" ht="15.75" customHeight="1" s="21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X136" s="1" t="n"/>
      <c r="Y136" s="1" t="n"/>
      <c r="Z136" s="1" t="n"/>
      <c r="AA136" s="1" t="n"/>
    </row>
    <row r="137" ht="15.75" customHeight="1" s="216">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X137" s="1" t="n"/>
      <c r="Y137" s="1" t="n"/>
      <c r="Z137" s="1" t="n"/>
      <c r="AA137" s="1" t="n"/>
    </row>
    <row r="138" ht="15.75" customHeight="1" s="216">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X138" s="1" t="n"/>
      <c r="Y138" s="1" t="n"/>
      <c r="Z138" s="1" t="n"/>
      <c r="AA138" s="1" t="n"/>
    </row>
    <row r="139" ht="15.75" customHeight="1" s="216">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X139" s="1" t="n"/>
      <c r="Y139" s="1" t="n"/>
      <c r="Z139" s="1" t="n"/>
      <c r="AA139" s="1" t="n"/>
    </row>
    <row r="140" ht="15.75" customHeight="1" s="216">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X140" s="1" t="n"/>
      <c r="Y140" s="1" t="n"/>
      <c r="Z140" s="1" t="n"/>
      <c r="AA140" s="1" t="n"/>
    </row>
    <row r="141" ht="15.75" customHeight="1" s="216">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X141" s="1" t="n"/>
      <c r="Y141" s="1" t="n"/>
      <c r="Z141" s="1" t="n"/>
      <c r="AA141" s="1" t="n"/>
    </row>
    <row r="142" ht="15.75" customHeight="1" s="216">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X142" s="1" t="n"/>
      <c r="Y142" s="1" t="n"/>
      <c r="Z142" s="1" t="n"/>
      <c r="AA142" s="1" t="n"/>
    </row>
    <row r="143" ht="15.75" customHeight="1" s="216">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X143" s="1" t="n"/>
      <c r="Y143" s="1" t="n"/>
      <c r="Z143" s="1" t="n"/>
      <c r="AA143" s="1" t="n"/>
    </row>
    <row r="144" ht="15.75" customHeight="1" s="216">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X144" s="1" t="n"/>
      <c r="Y144" s="1" t="n"/>
      <c r="Z144" s="1" t="n"/>
      <c r="AA144" s="1" t="n"/>
    </row>
    <row r="145" ht="15.75" customHeight="1" s="216">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X145" s="1" t="n"/>
      <c r="Y145" s="1" t="n"/>
      <c r="Z145" s="1" t="n"/>
      <c r="AA145" s="1" t="n"/>
    </row>
    <row r="146" ht="15.75" customHeight="1" s="21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X146" s="1" t="n"/>
      <c r="Y146" s="1" t="n"/>
      <c r="Z146" s="1" t="n"/>
      <c r="AA146" s="1" t="n"/>
    </row>
    <row r="147" ht="15.75" customHeight="1" s="216">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X147" s="1" t="n"/>
      <c r="Y147" s="1" t="n"/>
      <c r="Z147" s="1" t="n"/>
      <c r="AA147" s="1" t="n"/>
    </row>
    <row r="148" ht="15.75" customHeight="1" s="216">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X148" s="1" t="n"/>
      <c r="Y148" s="1" t="n"/>
      <c r="Z148" s="1" t="n"/>
      <c r="AA148" s="1" t="n"/>
    </row>
    <row r="149" ht="15.75" customHeight="1" s="216">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X149" s="1" t="n"/>
      <c r="Y149" s="1" t="n"/>
      <c r="Z149" s="1" t="n"/>
      <c r="AA149" s="1" t="n"/>
    </row>
    <row r="150" ht="15.75" customHeight="1" s="216">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X150" s="1" t="n"/>
      <c r="Y150" s="1" t="n"/>
      <c r="Z150" s="1" t="n"/>
      <c r="AA150" s="1" t="n"/>
    </row>
    <row r="151" ht="15.75" customHeight="1" s="216">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X151" s="1" t="n"/>
      <c r="Y151" s="1" t="n"/>
      <c r="Z151" s="1" t="n"/>
      <c r="AA151" s="1" t="n"/>
    </row>
    <row r="152" ht="15.75" customHeight="1" s="216">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X152" s="1" t="n"/>
      <c r="Y152" s="1" t="n"/>
      <c r="Z152" s="1" t="n"/>
      <c r="AA152" s="1" t="n"/>
    </row>
    <row r="153" ht="15.75" customHeight="1" s="216">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X153" s="1" t="n"/>
      <c r="Y153" s="1" t="n"/>
      <c r="Z153" s="1" t="n"/>
      <c r="AA153" s="1" t="n"/>
    </row>
    <row r="154" ht="15.75" customHeight="1" s="216">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X154" s="1" t="n"/>
      <c r="Y154" s="1" t="n"/>
      <c r="Z154" s="1" t="n"/>
      <c r="AA154" s="1" t="n"/>
    </row>
    <row r="155" ht="15.75" customHeight="1" s="216">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X155" s="1" t="n"/>
      <c r="Y155" s="1" t="n"/>
      <c r="Z155" s="1" t="n"/>
      <c r="AA155" s="1" t="n"/>
    </row>
    <row r="156" ht="15.75" customHeight="1" s="21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X156" s="1" t="n"/>
      <c r="Y156" s="1" t="n"/>
      <c r="Z156" s="1" t="n"/>
      <c r="AA156" s="1" t="n"/>
    </row>
    <row r="157" ht="15.75" customHeight="1" s="216">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X157" s="1" t="n"/>
      <c r="Y157" s="1" t="n"/>
      <c r="Z157" s="1" t="n"/>
      <c r="AA157" s="1" t="n"/>
    </row>
    <row r="158" ht="15.75" customHeight="1" s="216">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X158" s="1" t="n"/>
      <c r="Y158" s="1" t="n"/>
      <c r="Z158" s="1" t="n"/>
      <c r="AA158" s="1" t="n"/>
    </row>
    <row r="159" ht="15.75" customHeight="1" s="216">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X159" s="1" t="n"/>
      <c r="Y159" s="1" t="n"/>
      <c r="Z159" s="1" t="n"/>
      <c r="AA159" s="1" t="n"/>
    </row>
    <row r="160" ht="15.75" customHeight="1" s="216">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X160" s="1" t="n"/>
      <c r="Y160" s="1" t="n"/>
      <c r="Z160" s="1" t="n"/>
      <c r="AA160" s="1" t="n"/>
    </row>
    <row r="161" ht="15.75" customHeight="1" s="216">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X161" s="1" t="n"/>
      <c r="Y161" s="1" t="n"/>
      <c r="Z161" s="1" t="n"/>
      <c r="AA161" s="1" t="n"/>
    </row>
    <row r="162" ht="15.75" customHeight="1" s="216">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X162" s="1" t="n"/>
      <c r="Y162" s="1" t="n"/>
      <c r="Z162" s="1" t="n"/>
      <c r="AA162" s="1" t="n"/>
    </row>
    <row r="163" ht="15.75" customHeight="1" s="216">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X163" s="1" t="n"/>
      <c r="Y163" s="1" t="n"/>
      <c r="Z163" s="1" t="n"/>
      <c r="AA163" s="1" t="n"/>
    </row>
    <row r="164" ht="15.75" customHeight="1" s="216">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X164" s="1" t="n"/>
      <c r="Y164" s="1" t="n"/>
      <c r="Z164" s="1" t="n"/>
      <c r="AA164" s="1" t="n"/>
    </row>
    <row r="165" ht="15.75" customHeight="1" s="216">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X165" s="1" t="n"/>
      <c r="Y165" s="1" t="n"/>
      <c r="Z165" s="1" t="n"/>
      <c r="AA165" s="1" t="n"/>
    </row>
    <row r="166" ht="15.75" customHeight="1" s="21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X166" s="1" t="n"/>
      <c r="Y166" s="1" t="n"/>
      <c r="Z166" s="1" t="n"/>
      <c r="AA166" s="1" t="n"/>
    </row>
    <row r="167" ht="15.75" customHeight="1" s="216">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X167" s="1" t="n"/>
      <c r="Y167" s="1" t="n"/>
      <c r="Z167" s="1" t="n"/>
      <c r="AA167" s="1" t="n"/>
    </row>
    <row r="168" ht="15.75" customHeight="1" s="216">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X168" s="1" t="n"/>
      <c r="Y168" s="1" t="n"/>
      <c r="Z168" s="1" t="n"/>
      <c r="AA168" s="1" t="n"/>
    </row>
    <row r="169" ht="15.75" customHeight="1" s="216">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X169" s="1" t="n"/>
      <c r="Y169" s="1" t="n"/>
      <c r="Z169" s="1" t="n"/>
      <c r="AA169" s="1" t="n"/>
    </row>
    <row r="170" ht="15.75" customHeight="1" s="216">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X170" s="1" t="n"/>
      <c r="Y170" s="1" t="n"/>
      <c r="Z170" s="1" t="n"/>
      <c r="AA170" s="1" t="n"/>
    </row>
    <row r="171" ht="15.75" customHeight="1" s="216">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X171" s="1" t="n"/>
      <c r="Y171" s="1" t="n"/>
      <c r="Z171" s="1" t="n"/>
      <c r="AA171" s="1" t="n"/>
    </row>
    <row r="172" ht="15.75" customHeight="1" s="216">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X172" s="1" t="n"/>
      <c r="Y172" s="1" t="n"/>
      <c r="Z172" s="1" t="n"/>
      <c r="AA172" s="1" t="n"/>
    </row>
    <row r="173" ht="15.75" customHeight="1" s="216">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X173" s="1" t="n"/>
      <c r="Y173" s="1" t="n"/>
      <c r="Z173" s="1" t="n"/>
      <c r="AA173" s="1" t="n"/>
    </row>
    <row r="174" ht="15.75" customHeight="1" s="216">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X174" s="1" t="n"/>
      <c r="Y174" s="1" t="n"/>
      <c r="Z174" s="1" t="n"/>
      <c r="AA174" s="1" t="n"/>
    </row>
    <row r="175" ht="15.75" customHeight="1" s="216">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X175" s="1" t="n"/>
      <c r="Y175" s="1" t="n"/>
      <c r="Z175" s="1" t="n"/>
      <c r="AA175" s="1" t="n"/>
    </row>
    <row r="176" ht="15.75" customHeight="1" s="21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X176" s="1" t="n"/>
      <c r="Y176" s="1" t="n"/>
      <c r="Z176" s="1" t="n"/>
      <c r="AA176" s="1" t="n"/>
    </row>
    <row r="177" ht="15.75" customHeight="1" s="216">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X177" s="1" t="n"/>
      <c r="Y177" s="1" t="n"/>
      <c r="Z177" s="1" t="n"/>
      <c r="AA177" s="1" t="n"/>
    </row>
    <row r="178" ht="15.75" customHeight="1" s="216">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X178" s="1" t="n"/>
      <c r="Y178" s="1" t="n"/>
      <c r="Z178" s="1" t="n"/>
      <c r="AA178" s="1" t="n"/>
    </row>
    <row r="179" ht="15.75" customHeight="1" s="216">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X179" s="1" t="n"/>
      <c r="Y179" s="1" t="n"/>
      <c r="Z179" s="1" t="n"/>
      <c r="AA179" s="1" t="n"/>
    </row>
    <row r="180" ht="15.75" customHeight="1" s="216">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X180" s="1" t="n"/>
      <c r="Y180" s="1" t="n"/>
      <c r="Z180" s="1" t="n"/>
      <c r="AA180" s="1" t="n"/>
    </row>
    <row r="181" ht="15.75" customHeight="1" s="216">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X181" s="1" t="n"/>
      <c r="Y181" s="1" t="n"/>
      <c r="Z181" s="1" t="n"/>
      <c r="AA181" s="1" t="n"/>
    </row>
    <row r="182" ht="15.75" customHeight="1" s="216">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X182" s="1" t="n"/>
      <c r="Y182" s="1" t="n"/>
      <c r="Z182" s="1" t="n"/>
      <c r="AA182" s="1" t="n"/>
    </row>
    <row r="183" ht="15.75" customHeight="1" s="216">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X183" s="1" t="n"/>
      <c r="Y183" s="1" t="n"/>
      <c r="Z183" s="1" t="n"/>
      <c r="AA183" s="1" t="n"/>
    </row>
    <row r="184" ht="15.75" customHeight="1" s="216">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X184" s="1" t="n"/>
      <c r="Y184" s="1" t="n"/>
      <c r="Z184" s="1" t="n"/>
      <c r="AA184" s="1" t="n"/>
    </row>
    <row r="185" ht="15.75" customHeight="1" s="216">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X185" s="1" t="n"/>
      <c r="Y185" s="1" t="n"/>
      <c r="Z185" s="1" t="n"/>
      <c r="AA185" s="1" t="n"/>
    </row>
    <row r="186" ht="15.75" customHeight="1" s="21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X186" s="1" t="n"/>
      <c r="Y186" s="1" t="n"/>
      <c r="Z186" s="1" t="n"/>
      <c r="AA186" s="1" t="n"/>
    </row>
    <row r="187" ht="15.75" customHeight="1" s="216">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X187" s="1" t="n"/>
      <c r="Y187" s="1" t="n"/>
      <c r="Z187" s="1" t="n"/>
      <c r="AA187" s="1" t="n"/>
    </row>
    <row r="188" ht="15.75" customHeight="1" s="216">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X188" s="1" t="n"/>
      <c r="Y188" s="1" t="n"/>
      <c r="Z188" s="1" t="n"/>
      <c r="AA188" s="1" t="n"/>
    </row>
    <row r="189" ht="15.75" customHeight="1" s="216">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X189" s="1" t="n"/>
      <c r="Y189" s="1" t="n"/>
      <c r="Z189" s="1" t="n"/>
      <c r="AA189" s="1" t="n"/>
    </row>
    <row r="190" ht="15.75" customHeight="1" s="216">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X190" s="1" t="n"/>
      <c r="Y190" s="1" t="n"/>
      <c r="Z190" s="1" t="n"/>
      <c r="AA190" s="1" t="n"/>
    </row>
    <row r="191" ht="15.75" customHeight="1" s="216">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X191" s="1" t="n"/>
      <c r="Y191" s="1" t="n"/>
      <c r="Z191" s="1" t="n"/>
      <c r="AA191" s="1" t="n"/>
    </row>
    <row r="192" ht="15.75" customHeight="1" s="216">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X192" s="1" t="n"/>
      <c r="Y192" s="1" t="n"/>
      <c r="Z192" s="1" t="n"/>
      <c r="AA192" s="1" t="n"/>
    </row>
    <row r="193" ht="15.75" customHeight="1" s="216">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X193" s="1" t="n"/>
      <c r="Y193" s="1" t="n"/>
      <c r="Z193" s="1" t="n"/>
      <c r="AA193" s="1" t="n"/>
    </row>
    <row r="194" ht="15.75" customHeight="1" s="216">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X194" s="1" t="n"/>
      <c r="Y194" s="1" t="n"/>
      <c r="Z194" s="1" t="n"/>
      <c r="AA194" s="1" t="n"/>
    </row>
    <row r="195" ht="15.75" customHeight="1" s="216">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X195" s="1" t="n"/>
      <c r="Y195" s="1" t="n"/>
      <c r="Z195" s="1" t="n"/>
      <c r="AA195" s="1" t="n"/>
    </row>
    <row r="196" ht="15.75" customHeight="1" s="21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X196" s="1" t="n"/>
      <c r="Y196" s="1" t="n"/>
      <c r="Z196" s="1" t="n"/>
      <c r="AA196" s="1" t="n"/>
    </row>
    <row r="197" ht="15.75" customHeight="1" s="216">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X197" s="1" t="n"/>
      <c r="Y197" s="1" t="n"/>
      <c r="Z197" s="1" t="n"/>
      <c r="AA197" s="1" t="n"/>
    </row>
    <row r="198" ht="15.75" customHeight="1" s="216">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X198" s="1" t="n"/>
      <c r="Y198" s="1" t="n"/>
      <c r="Z198" s="1" t="n"/>
      <c r="AA198" s="1" t="n"/>
    </row>
    <row r="199" ht="15.75" customHeight="1" s="216">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X199" s="1" t="n"/>
      <c r="Y199" s="1" t="n"/>
      <c r="Z199" s="1" t="n"/>
      <c r="AA199" s="1" t="n"/>
    </row>
    <row r="200" ht="15.75" customHeight="1" s="216">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X200" s="1" t="n"/>
      <c r="Y200" s="1" t="n"/>
      <c r="Z200" s="1" t="n"/>
      <c r="AA200" s="1" t="n"/>
    </row>
    <row r="201" ht="15.75" customHeight="1" s="216">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X201" s="1" t="n"/>
      <c r="Y201" s="1" t="n"/>
      <c r="Z201" s="1" t="n"/>
      <c r="AA201" s="1" t="n"/>
    </row>
    <row r="202" ht="15.75" customHeight="1" s="216">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X202" s="1" t="n"/>
      <c r="Y202" s="1" t="n"/>
      <c r="Z202" s="1" t="n"/>
      <c r="AA202" s="1" t="n"/>
    </row>
    <row r="203" ht="15.75" customHeight="1" s="216">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X203" s="1" t="n"/>
      <c r="Y203" s="1" t="n"/>
      <c r="Z203" s="1" t="n"/>
      <c r="AA203" s="1" t="n"/>
    </row>
    <row r="204" ht="15.75" customHeight="1" s="216">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X204" s="1" t="n"/>
      <c r="Y204" s="1" t="n"/>
      <c r="Z204" s="1" t="n"/>
      <c r="AA204" s="1" t="n"/>
    </row>
    <row r="205" ht="15.75" customHeight="1" s="216">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X205" s="1" t="n"/>
      <c r="Y205" s="1" t="n"/>
      <c r="Z205" s="1" t="n"/>
      <c r="AA205" s="1" t="n"/>
    </row>
    <row r="206" ht="15.75" customHeight="1" s="21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X206" s="1" t="n"/>
      <c r="Y206" s="1" t="n"/>
      <c r="Z206" s="1" t="n"/>
      <c r="AA206" s="1" t="n"/>
    </row>
    <row r="207" ht="15.75" customHeight="1" s="216">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X207" s="1" t="n"/>
      <c r="Y207" s="1" t="n"/>
      <c r="Z207" s="1" t="n"/>
      <c r="AA207" s="1" t="n"/>
    </row>
    <row r="208" ht="15.75" customHeight="1" s="216">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X208" s="1" t="n"/>
      <c r="Y208" s="1" t="n"/>
      <c r="Z208" s="1" t="n"/>
      <c r="AA208" s="1" t="n"/>
    </row>
    <row r="209" ht="15.75" customHeight="1" s="216">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X209" s="1" t="n"/>
      <c r="Y209" s="1" t="n"/>
      <c r="Z209" s="1" t="n"/>
      <c r="AA209" s="1" t="n"/>
    </row>
    <row r="210" ht="15.75" customHeight="1" s="216">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X210" s="1" t="n"/>
      <c r="Y210" s="1" t="n"/>
      <c r="Z210" s="1" t="n"/>
      <c r="AA210" s="1" t="n"/>
    </row>
    <row r="211" ht="15.75" customHeight="1" s="216">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X211" s="1" t="n"/>
      <c r="Y211" s="1" t="n"/>
      <c r="Z211" s="1" t="n"/>
      <c r="AA211" s="1" t="n"/>
    </row>
    <row r="212" ht="15.75" customHeight="1" s="216">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X212" s="1" t="n"/>
      <c r="Y212" s="1" t="n"/>
      <c r="Z212" s="1" t="n"/>
      <c r="AA212" s="1" t="n"/>
    </row>
    <row r="213" ht="15.75" customHeight="1" s="216">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X213" s="1" t="n"/>
      <c r="Y213" s="1" t="n"/>
      <c r="Z213" s="1" t="n"/>
      <c r="AA213" s="1" t="n"/>
    </row>
    <row r="214" ht="15.75" customHeight="1" s="216">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X214" s="1" t="n"/>
      <c r="Y214" s="1" t="n"/>
      <c r="Z214" s="1" t="n"/>
      <c r="AA214" s="1" t="n"/>
    </row>
    <row r="215" ht="15.75" customHeight="1" s="216">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X215" s="1" t="n"/>
      <c r="Y215" s="1" t="n"/>
      <c r="Z215" s="1" t="n"/>
      <c r="AA215" s="1" t="n"/>
    </row>
    <row r="216" ht="15.75" customHeight="1" s="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X216" s="1" t="n"/>
      <c r="Y216" s="1" t="n"/>
      <c r="Z216" s="1" t="n"/>
      <c r="AA216" s="1" t="n"/>
    </row>
    <row r="217" ht="15.75" customHeight="1" s="216">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X217" s="1" t="n"/>
      <c r="Y217" s="1" t="n"/>
      <c r="Z217" s="1" t="n"/>
      <c r="AA217" s="1" t="n"/>
    </row>
    <row r="218" ht="15.75" customHeight="1" s="216">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X218" s="1" t="n"/>
      <c r="Y218" s="1" t="n"/>
      <c r="Z218" s="1" t="n"/>
      <c r="AA218" s="1" t="n"/>
    </row>
    <row r="219" ht="15.75" customHeight="1" s="216">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X219" s="1" t="n"/>
      <c r="Y219" s="1" t="n"/>
      <c r="Z219" s="1" t="n"/>
      <c r="AA219" s="1" t="n"/>
    </row>
    <row r="220" ht="15.75" customHeight="1" s="216">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X220" s="1" t="n"/>
      <c r="Y220" s="1" t="n"/>
      <c r="Z220" s="1" t="n"/>
      <c r="AA220" s="1" t="n"/>
    </row>
    <row r="221" ht="15.75" customHeight="1" s="216">
      <c r="B221" s="109" t="n"/>
      <c r="D221" s="109" t="n"/>
      <c r="E221" s="109" t="n"/>
      <c r="L221" s="109" t="n"/>
      <c r="N221" s="109" t="n"/>
      <c r="O221" s="109" t="n"/>
      <c r="P221" s="109" t="n"/>
      <c r="Q221" s="109" t="n"/>
      <c r="R221" s="109" t="n"/>
      <c r="T221" s="109" t="n"/>
      <c r="U221" s="109" t="n"/>
    </row>
    <row r="222" ht="15.75" customHeight="1" s="216">
      <c r="B222" s="109" t="n"/>
      <c r="D222" s="109" t="n"/>
      <c r="E222" s="109" t="n"/>
      <c r="L222" s="109" t="n"/>
      <c r="N222" s="109" t="n"/>
      <c r="O222" s="109" t="n"/>
      <c r="P222" s="109" t="n"/>
      <c r="Q222" s="109" t="n"/>
      <c r="R222" s="109" t="n"/>
      <c r="T222" s="109" t="n"/>
      <c r="U222" s="109" t="n"/>
    </row>
    <row r="223" ht="15.75" customHeight="1" s="216">
      <c r="B223" s="109" t="n"/>
      <c r="D223" s="109" t="n"/>
      <c r="E223" s="109" t="n"/>
      <c r="L223" s="109" t="n"/>
      <c r="N223" s="109" t="n"/>
      <c r="O223" s="109" t="n"/>
      <c r="P223" s="109" t="n"/>
      <c r="Q223" s="109" t="n"/>
      <c r="R223" s="109" t="n"/>
      <c r="T223" s="109" t="n"/>
      <c r="U223" s="109" t="n"/>
    </row>
    <row r="224" ht="15.75" customHeight="1" s="216">
      <c r="B224" s="109" t="n"/>
      <c r="D224" s="109" t="n"/>
      <c r="E224" s="109" t="n"/>
      <c r="L224" s="109" t="n"/>
      <c r="N224" s="109" t="n"/>
      <c r="O224" s="109" t="n"/>
      <c r="P224" s="109" t="n"/>
      <c r="Q224" s="109" t="n"/>
      <c r="R224" s="109" t="n"/>
      <c r="T224" s="109" t="n"/>
      <c r="U224" s="109" t="n"/>
    </row>
    <row r="225" ht="15.75" customHeight="1" s="216">
      <c r="B225" s="109" t="n"/>
      <c r="D225" s="109" t="n"/>
      <c r="E225" s="109" t="n"/>
      <c r="L225" s="109" t="n"/>
      <c r="N225" s="109" t="n"/>
      <c r="O225" s="109" t="n"/>
      <c r="P225" s="109" t="n"/>
      <c r="Q225" s="109" t="n"/>
      <c r="R225" s="109" t="n"/>
      <c r="T225" s="109" t="n"/>
      <c r="U225" s="109" t="n"/>
    </row>
    <row r="226" ht="15.75" customHeight="1" s="216">
      <c r="B226" s="109" t="n"/>
      <c r="D226" s="109" t="n"/>
      <c r="E226" s="109" t="n"/>
      <c r="L226" s="109" t="n"/>
      <c r="N226" s="109" t="n"/>
      <c r="O226" s="109" t="n"/>
      <c r="P226" s="109" t="n"/>
      <c r="Q226" s="109" t="n"/>
      <c r="R226" s="109" t="n"/>
      <c r="T226" s="109" t="n"/>
      <c r="U226" s="109" t="n"/>
    </row>
    <row r="227" ht="15.75" customHeight="1" s="216">
      <c r="B227" s="109" t="n"/>
      <c r="D227" s="109" t="n"/>
      <c r="E227" s="109" t="n"/>
      <c r="L227" s="109" t="n"/>
      <c r="N227" s="109" t="n"/>
      <c r="O227" s="109" t="n"/>
      <c r="P227" s="109" t="n"/>
      <c r="Q227" s="109" t="n"/>
      <c r="R227" s="109" t="n"/>
      <c r="T227" s="109" t="n"/>
      <c r="U227" s="109" t="n"/>
    </row>
    <row r="228" ht="15.75" customHeight="1" s="216">
      <c r="B228" s="109" t="n"/>
      <c r="D228" s="109" t="n"/>
      <c r="E228" s="109" t="n"/>
      <c r="L228" s="109" t="n"/>
      <c r="N228" s="109" t="n"/>
      <c r="O228" s="109" t="n"/>
      <c r="P228" s="109" t="n"/>
      <c r="Q228" s="109" t="n"/>
      <c r="R228" s="109" t="n"/>
      <c r="T228" s="109" t="n"/>
      <c r="U228" s="109" t="n"/>
    </row>
    <row r="229" ht="15.75" customHeight="1" s="216">
      <c r="B229" s="109" t="n"/>
      <c r="D229" s="109" t="n"/>
      <c r="E229" s="109" t="n"/>
      <c r="L229" s="109" t="n"/>
      <c r="N229" s="109" t="n"/>
      <c r="O229" s="109" t="n"/>
      <c r="P229" s="109" t="n"/>
      <c r="Q229" s="109" t="n"/>
      <c r="R229" s="109" t="n"/>
      <c r="T229" s="109" t="n"/>
      <c r="U229" s="109" t="n"/>
    </row>
    <row r="230" ht="15.75" customHeight="1" s="216">
      <c r="B230" s="109" t="n"/>
      <c r="D230" s="109" t="n"/>
      <c r="E230" s="109" t="n"/>
      <c r="L230" s="109" t="n"/>
      <c r="N230" s="109" t="n"/>
      <c r="O230" s="109" t="n"/>
      <c r="P230" s="109" t="n"/>
      <c r="Q230" s="109" t="n"/>
      <c r="R230" s="109" t="n"/>
      <c r="T230" s="109" t="n"/>
      <c r="U230" s="109" t="n"/>
    </row>
    <row r="231" ht="15.75" customHeight="1" s="216">
      <c r="B231" s="109" t="n"/>
      <c r="D231" s="109" t="n"/>
      <c r="E231" s="109" t="n"/>
      <c r="L231" s="109" t="n"/>
      <c r="N231" s="109" t="n"/>
      <c r="O231" s="109" t="n"/>
      <c r="P231" s="109" t="n"/>
      <c r="Q231" s="109" t="n"/>
      <c r="R231" s="109" t="n"/>
      <c r="T231" s="109" t="n"/>
      <c r="U231" s="109" t="n"/>
    </row>
    <row r="232" ht="15.75" customHeight="1" s="216">
      <c r="B232" s="109" t="n"/>
      <c r="D232" s="109" t="n"/>
      <c r="E232" s="109" t="n"/>
      <c r="L232" s="109" t="n"/>
      <c r="N232" s="109" t="n"/>
      <c r="O232" s="109" t="n"/>
      <c r="P232" s="109" t="n"/>
      <c r="Q232" s="109" t="n"/>
      <c r="R232" s="109" t="n"/>
      <c r="T232" s="109" t="n"/>
      <c r="U232" s="109" t="n"/>
    </row>
    <row r="233" ht="15.75" customHeight="1" s="216">
      <c r="B233" s="109" t="n"/>
      <c r="D233" s="109" t="n"/>
      <c r="E233" s="109" t="n"/>
      <c r="L233" s="109" t="n"/>
      <c r="N233" s="109" t="n"/>
      <c r="O233" s="109" t="n"/>
      <c r="P233" s="109" t="n"/>
      <c r="Q233" s="109" t="n"/>
      <c r="R233" s="109" t="n"/>
      <c r="T233" s="109" t="n"/>
      <c r="U233" s="109" t="n"/>
    </row>
    <row r="234" ht="15.75" customHeight="1" s="216">
      <c r="B234" s="109" t="n"/>
      <c r="D234" s="109" t="n"/>
      <c r="E234" s="109" t="n"/>
      <c r="L234" s="109" t="n"/>
      <c r="N234" s="109" t="n"/>
      <c r="O234" s="109" t="n"/>
      <c r="P234" s="109" t="n"/>
      <c r="Q234" s="109" t="n"/>
      <c r="R234" s="109" t="n"/>
      <c r="T234" s="109" t="n"/>
      <c r="U234" s="109" t="n"/>
    </row>
    <row r="235" ht="15.75" customHeight="1" s="216">
      <c r="B235" s="109" t="n"/>
      <c r="D235" s="109" t="n"/>
      <c r="E235" s="109" t="n"/>
      <c r="L235" s="109" t="n"/>
      <c r="N235" s="109" t="n"/>
      <c r="O235" s="109" t="n"/>
      <c r="P235" s="109" t="n"/>
      <c r="Q235" s="109" t="n"/>
      <c r="R235" s="109" t="n"/>
      <c r="T235" s="109" t="n"/>
      <c r="U235" s="109" t="n"/>
    </row>
    <row r="236" ht="15.75" customHeight="1" s="216">
      <c r="B236" s="109" t="n"/>
      <c r="D236" s="109" t="n"/>
      <c r="E236" s="109" t="n"/>
      <c r="L236" s="109" t="n"/>
      <c r="N236" s="109" t="n"/>
      <c r="O236" s="109" t="n"/>
      <c r="P236" s="109" t="n"/>
      <c r="Q236" s="109" t="n"/>
      <c r="R236" s="109" t="n"/>
      <c r="T236" s="109" t="n"/>
      <c r="U236" s="109" t="n"/>
    </row>
    <row r="237" ht="15.75" customHeight="1" s="216">
      <c r="B237" s="109" t="n"/>
      <c r="D237" s="109" t="n"/>
      <c r="E237" s="109" t="n"/>
      <c r="L237" s="109" t="n"/>
      <c r="N237" s="109" t="n"/>
      <c r="O237" s="109" t="n"/>
      <c r="P237" s="109" t="n"/>
      <c r="Q237" s="109" t="n"/>
      <c r="R237" s="109" t="n"/>
      <c r="T237" s="109" t="n"/>
      <c r="U237" s="109" t="n"/>
    </row>
    <row r="238" ht="15.75" customHeight="1" s="216">
      <c r="B238" s="109" t="n"/>
      <c r="D238" s="109" t="n"/>
      <c r="E238" s="109" t="n"/>
      <c r="L238" s="109" t="n"/>
      <c r="N238" s="109" t="n"/>
      <c r="O238" s="109" t="n"/>
      <c r="P238" s="109" t="n"/>
      <c r="Q238" s="109" t="n"/>
      <c r="R238" s="109" t="n"/>
      <c r="T238" s="109" t="n"/>
      <c r="U238" s="109" t="n"/>
    </row>
    <row r="239" ht="15.75" customHeight="1" s="216">
      <c r="B239" s="109" t="n"/>
      <c r="D239" s="109" t="n"/>
      <c r="E239" s="109" t="n"/>
      <c r="L239" s="109" t="n"/>
      <c r="N239" s="109" t="n"/>
      <c r="O239" s="109" t="n"/>
      <c r="P239" s="109" t="n"/>
      <c r="Q239" s="109" t="n"/>
      <c r="R239" s="109" t="n"/>
      <c r="T239" s="109" t="n"/>
      <c r="U239" s="109" t="n"/>
    </row>
    <row r="240" ht="15.75" customHeight="1" s="216">
      <c r="B240" s="109" t="n"/>
      <c r="D240" s="109" t="n"/>
      <c r="E240" s="109" t="n"/>
      <c r="L240" s="109" t="n"/>
      <c r="N240" s="109" t="n"/>
      <c r="O240" s="109" t="n"/>
      <c r="P240" s="109" t="n"/>
      <c r="Q240" s="109" t="n"/>
      <c r="R240" s="109" t="n"/>
      <c r="T240" s="109" t="n"/>
      <c r="U240" s="109" t="n"/>
    </row>
    <row r="241" ht="15.75" customHeight="1" s="216">
      <c r="B241" s="109" t="n"/>
      <c r="D241" s="109" t="n"/>
      <c r="E241" s="109" t="n"/>
      <c r="L241" s="109" t="n"/>
      <c r="N241" s="109" t="n"/>
      <c r="O241" s="109" t="n"/>
      <c r="P241" s="109" t="n"/>
      <c r="Q241" s="109" t="n"/>
      <c r="R241" s="109" t="n"/>
      <c r="T241" s="109" t="n"/>
      <c r="U241" s="109" t="n"/>
    </row>
    <row r="242" ht="15.75" customHeight="1" s="216">
      <c r="B242" s="109" t="n"/>
      <c r="D242" s="109" t="n"/>
      <c r="E242" s="109" t="n"/>
      <c r="L242" s="109" t="n"/>
      <c r="N242" s="109" t="n"/>
      <c r="O242" s="109" t="n"/>
      <c r="P242" s="109" t="n"/>
      <c r="Q242" s="109" t="n"/>
      <c r="R242" s="109" t="n"/>
      <c r="T242" s="109" t="n"/>
      <c r="U242" s="109" t="n"/>
    </row>
    <row r="243" ht="15.75" customHeight="1" s="216">
      <c r="B243" s="109" t="n"/>
      <c r="D243" s="109" t="n"/>
      <c r="E243" s="109" t="n"/>
      <c r="L243" s="109" t="n"/>
      <c r="N243" s="109" t="n"/>
      <c r="O243" s="109" t="n"/>
      <c r="P243" s="109" t="n"/>
      <c r="Q243" s="109" t="n"/>
      <c r="R243" s="109" t="n"/>
      <c r="T243" s="109" t="n"/>
      <c r="U243" s="109" t="n"/>
    </row>
    <row r="244" ht="15.75" customHeight="1" s="216">
      <c r="B244" s="109" t="n"/>
      <c r="D244" s="109" t="n"/>
      <c r="E244" s="109" t="n"/>
      <c r="L244" s="109" t="n"/>
      <c r="N244" s="109" t="n"/>
      <c r="O244" s="109" t="n"/>
      <c r="P244" s="109" t="n"/>
      <c r="Q244" s="109" t="n"/>
      <c r="R244" s="109" t="n"/>
      <c r="T244" s="109" t="n"/>
      <c r="U244" s="109" t="n"/>
    </row>
    <row r="245" ht="15.75" customHeight="1" s="216">
      <c r="B245" s="109" t="n"/>
      <c r="D245" s="109" t="n"/>
      <c r="E245" s="109" t="n"/>
      <c r="L245" s="109" t="n"/>
      <c r="N245" s="109" t="n"/>
      <c r="O245" s="109" t="n"/>
      <c r="P245" s="109" t="n"/>
      <c r="Q245" s="109" t="n"/>
      <c r="R245" s="109" t="n"/>
      <c r="T245" s="109" t="n"/>
      <c r="U245" s="109" t="n"/>
    </row>
    <row r="246" ht="15.75" customHeight="1" s="216">
      <c r="B246" s="109" t="n"/>
      <c r="D246" s="109" t="n"/>
      <c r="E246" s="109" t="n"/>
      <c r="L246" s="109" t="n"/>
      <c r="N246" s="109" t="n"/>
      <c r="O246" s="109" t="n"/>
      <c r="P246" s="109" t="n"/>
      <c r="Q246" s="109" t="n"/>
      <c r="R246" s="109" t="n"/>
      <c r="T246" s="109" t="n"/>
      <c r="U246" s="109" t="n"/>
    </row>
    <row r="247" ht="15.75" customHeight="1" s="216">
      <c r="B247" s="109" t="n"/>
      <c r="D247" s="109" t="n"/>
      <c r="E247" s="109" t="n"/>
      <c r="L247" s="109" t="n"/>
      <c r="N247" s="109" t="n"/>
      <c r="O247" s="109" t="n"/>
      <c r="P247" s="109" t="n"/>
      <c r="Q247" s="109" t="n"/>
      <c r="R247" s="109" t="n"/>
      <c r="T247" s="109" t="n"/>
      <c r="U247" s="109" t="n"/>
    </row>
    <row r="248" ht="15.75" customHeight="1" s="216">
      <c r="B248" s="109" t="n"/>
      <c r="D248" s="109" t="n"/>
      <c r="E248" s="109" t="n"/>
      <c r="L248" s="109" t="n"/>
      <c r="N248" s="109" t="n"/>
      <c r="O248" s="109" t="n"/>
      <c r="P248" s="109" t="n"/>
      <c r="Q248" s="109" t="n"/>
      <c r="R248" s="109" t="n"/>
      <c r="T248" s="109" t="n"/>
      <c r="U248" s="109" t="n"/>
    </row>
    <row r="249" ht="15.75" customHeight="1" s="216">
      <c r="B249" s="109" t="n"/>
      <c r="D249" s="109" t="n"/>
      <c r="E249" s="109" t="n"/>
      <c r="L249" s="109" t="n"/>
      <c r="N249" s="109" t="n"/>
      <c r="O249" s="109" t="n"/>
      <c r="P249" s="109" t="n"/>
      <c r="Q249" s="109" t="n"/>
      <c r="R249" s="109" t="n"/>
      <c r="T249" s="109" t="n"/>
      <c r="U249" s="109" t="n"/>
    </row>
    <row r="250" ht="15.75" customHeight="1" s="216">
      <c r="B250" s="109" t="n"/>
      <c r="D250" s="109" t="n"/>
      <c r="E250" s="109" t="n"/>
      <c r="L250" s="109" t="n"/>
      <c r="N250" s="109" t="n"/>
      <c r="O250" s="109" t="n"/>
      <c r="P250" s="109" t="n"/>
      <c r="Q250" s="109" t="n"/>
      <c r="R250" s="109" t="n"/>
      <c r="T250" s="109" t="n"/>
      <c r="U250" s="109" t="n"/>
    </row>
    <row r="251" ht="15.75" customHeight="1" s="216"/>
    <row r="252" ht="15.75" customHeight="1" s="216"/>
    <row r="253" ht="15.75" customHeight="1" s="216"/>
    <row r="254" ht="15.75" customHeight="1" s="216"/>
    <row r="255" ht="15.75" customHeight="1" s="216"/>
    <row r="256" ht="15.75" customHeight="1" s="216"/>
    <row r="257" ht="15.75" customHeight="1" s="216"/>
    <row r="258" ht="15.75" customHeight="1" s="216"/>
    <row r="259" ht="15.75" customHeight="1" s="216"/>
    <row r="260" ht="15.75" customHeight="1" s="216"/>
    <row r="261" ht="15.75" customHeight="1" s="216"/>
    <row r="262" ht="15.75" customHeight="1" s="216"/>
    <row r="263" ht="15.75" customHeight="1" s="216"/>
    <row r="264" ht="15.75" customHeight="1" s="216"/>
    <row r="265" ht="15.75" customHeight="1" s="216"/>
    <row r="266" ht="15.75" customHeight="1" s="216"/>
    <row r="267" ht="15.75" customHeight="1" s="216"/>
    <row r="268" ht="15.75" customHeight="1" s="216"/>
    <row r="269" ht="15.75" customHeight="1" s="216"/>
    <row r="270" ht="15.75" customHeight="1" s="216"/>
    <row r="271" ht="15.75" customHeight="1" s="216"/>
    <row r="272" ht="15.75" customHeight="1" s="216"/>
    <row r="273" ht="15.75" customHeight="1" s="216"/>
    <row r="274" ht="15.75" customHeight="1" s="216"/>
    <row r="275" ht="15.75" customHeight="1" s="216"/>
    <row r="276" ht="15.75" customHeight="1" s="216"/>
    <row r="277" ht="15.75" customHeight="1" s="216"/>
    <row r="278" ht="15.75" customHeight="1" s="216"/>
    <row r="279" ht="15.75" customHeight="1" s="216"/>
    <row r="280" ht="15.75" customHeight="1" s="216"/>
    <row r="281" ht="15.75" customHeight="1" s="216"/>
    <row r="282" ht="15.75" customHeight="1" s="216"/>
    <row r="283" ht="15.75" customHeight="1" s="216"/>
    <row r="284" ht="15.75" customHeight="1" s="216"/>
    <row r="285" ht="15.75" customHeight="1" s="216"/>
    <row r="286" ht="15.75" customHeight="1" s="216"/>
    <row r="287" ht="15.75" customHeight="1" s="216"/>
    <row r="288" ht="15.75" customHeight="1" s="216"/>
    <row r="289" ht="15.75" customHeight="1" s="216"/>
    <row r="290" ht="15.75" customHeight="1" s="216"/>
    <row r="291" ht="15.75" customHeight="1" s="216"/>
    <row r="292" ht="15.75" customHeight="1" s="216"/>
    <row r="293" ht="15.75" customHeight="1" s="216"/>
    <row r="294" ht="15.75" customHeight="1" s="216"/>
    <row r="295" ht="15.75" customHeight="1" s="216"/>
    <row r="296" ht="15.75" customHeight="1" s="216"/>
    <row r="297" ht="15.75" customHeight="1" s="216"/>
    <row r="298" ht="15.75" customHeight="1" s="216"/>
    <row r="299" ht="15.75" customHeight="1" s="216"/>
    <row r="300" ht="15.75" customHeight="1" s="216"/>
    <row r="301" ht="15.75" customHeight="1" s="216"/>
    <row r="302" ht="15.75" customHeight="1" s="216"/>
    <row r="303" ht="15.75" customHeight="1" s="216"/>
    <row r="304" ht="15.75" customHeight="1" s="216"/>
    <row r="305" ht="15.75" customHeight="1" s="216"/>
    <row r="306" ht="15.75" customHeight="1" s="216"/>
    <row r="307" ht="15.75" customHeight="1" s="216"/>
    <row r="308" ht="15.75" customHeight="1" s="216"/>
    <row r="309" ht="15.75" customHeight="1" s="216"/>
    <row r="310" ht="15.75" customHeight="1" s="216"/>
    <row r="311" ht="15.75" customHeight="1" s="216"/>
    <row r="312" ht="15.75" customHeight="1" s="216"/>
    <row r="313" ht="15.75" customHeight="1" s="216"/>
    <row r="314" ht="15.75" customHeight="1" s="216"/>
    <row r="315" ht="15.75" customHeight="1" s="216"/>
    <row r="316" ht="15.75" customHeight="1" s="216"/>
    <row r="317" ht="15.75" customHeight="1" s="216"/>
    <row r="318" ht="15.75" customHeight="1" s="216"/>
    <row r="319" ht="15.75" customHeight="1" s="216"/>
    <row r="320" ht="15.75" customHeight="1" s="216"/>
    <row r="321" ht="15.75" customHeight="1" s="216"/>
    <row r="322" ht="15.75" customHeight="1" s="216"/>
    <row r="323" ht="15.75" customHeight="1" s="216"/>
    <row r="324" ht="15.75" customHeight="1" s="216"/>
    <row r="325" ht="15.75" customHeight="1" s="216"/>
    <row r="326" ht="15.75" customHeight="1" s="216"/>
    <row r="327" ht="15.75" customHeight="1" s="216"/>
    <row r="328" ht="15.75" customHeight="1" s="216"/>
    <row r="329" ht="15.75" customHeight="1" s="216"/>
    <row r="330" ht="15.75" customHeight="1" s="216"/>
    <row r="331" ht="15.75" customHeight="1" s="216"/>
    <row r="332" ht="15.75" customHeight="1" s="216"/>
    <row r="333" ht="15.75" customHeight="1" s="216"/>
    <row r="334" ht="15.75" customHeight="1" s="216"/>
    <row r="335" ht="15.75" customHeight="1" s="216"/>
    <row r="336" ht="15.75" customHeight="1" s="216"/>
    <row r="337" ht="15.75" customHeight="1" s="216"/>
    <row r="338" ht="15.75" customHeight="1" s="216"/>
    <row r="339" ht="15.75" customHeight="1" s="216"/>
    <row r="340" ht="15.75" customHeight="1" s="216"/>
    <row r="341" ht="15.75" customHeight="1" s="216"/>
    <row r="342" ht="15.75" customHeight="1" s="216"/>
    <row r="343" ht="15.75" customHeight="1" s="216"/>
    <row r="344" ht="15.75" customHeight="1" s="216"/>
    <row r="345" ht="15.75" customHeight="1" s="216"/>
    <row r="346" ht="15.75" customHeight="1" s="216"/>
    <row r="347" ht="15.75" customHeight="1" s="216"/>
    <row r="348" ht="15.75" customHeight="1" s="216"/>
    <row r="349" ht="15.75" customHeight="1" s="216"/>
    <row r="350" ht="15.75" customHeight="1" s="216"/>
    <row r="351" ht="15.75" customHeight="1" s="216"/>
    <row r="352" ht="15.75" customHeight="1" s="216"/>
    <row r="353" ht="15.75" customHeight="1" s="216"/>
    <row r="354" ht="15.75" customHeight="1" s="216"/>
    <row r="355" ht="15.75" customHeight="1" s="216"/>
    <row r="356" ht="15.75" customHeight="1" s="216"/>
    <row r="357" ht="15.75" customHeight="1" s="216"/>
    <row r="358" ht="15.75" customHeight="1" s="216"/>
    <row r="359" ht="15.75" customHeight="1" s="216"/>
    <row r="360" ht="15.75" customHeight="1" s="216"/>
    <row r="361" ht="15.75" customHeight="1" s="216"/>
    <row r="362" ht="15.75" customHeight="1" s="216"/>
    <row r="363" ht="15.75" customHeight="1" s="216"/>
    <row r="364" ht="15.75" customHeight="1" s="216"/>
    <row r="365" ht="15.75" customHeight="1" s="216"/>
    <row r="366" ht="15.75" customHeight="1" s="216"/>
    <row r="367" ht="15.75" customHeight="1" s="216"/>
    <row r="368" ht="15.75" customHeight="1" s="216"/>
    <row r="369" ht="15.75" customHeight="1" s="216"/>
    <row r="370" ht="15.75" customHeight="1" s="216"/>
    <row r="371" ht="15.75" customHeight="1" s="216"/>
    <row r="372" ht="15.75" customHeight="1" s="216"/>
    <row r="373" ht="15.75" customHeight="1" s="216"/>
    <row r="374" ht="15.75" customHeight="1" s="216"/>
    <row r="375" ht="15.75" customHeight="1" s="216"/>
    <row r="376" ht="15.75" customHeight="1" s="216"/>
    <row r="377" ht="15.75" customHeight="1" s="216"/>
    <row r="378" ht="15.75" customHeight="1" s="216"/>
    <row r="379" ht="15.75" customHeight="1" s="216"/>
    <row r="380" ht="15.75" customHeight="1" s="216"/>
    <row r="381" ht="15.75" customHeight="1" s="216"/>
    <row r="382" ht="15.75" customHeight="1" s="216"/>
    <row r="383" ht="15.75" customHeight="1" s="216"/>
    <row r="384" ht="15.75" customHeight="1" s="216"/>
    <row r="385" ht="15.75" customHeight="1" s="216"/>
    <row r="386" ht="15.75" customHeight="1" s="216"/>
    <row r="387" ht="15.75" customHeight="1" s="216"/>
    <row r="388" ht="15.75" customHeight="1" s="216"/>
    <row r="389" ht="15.75" customHeight="1" s="216"/>
    <row r="390" ht="15.75" customHeight="1" s="216"/>
    <row r="391" ht="15.75" customHeight="1" s="216"/>
    <row r="392" ht="15.75" customHeight="1" s="216"/>
    <row r="393" ht="15.75" customHeight="1" s="216"/>
    <row r="394" ht="15.75" customHeight="1" s="216"/>
    <row r="395" ht="15.75" customHeight="1" s="216"/>
    <row r="396" ht="15.75" customHeight="1" s="216"/>
    <row r="397" ht="15.75" customHeight="1" s="216"/>
    <row r="398" ht="15.75" customHeight="1" s="216"/>
    <row r="399" ht="15.75" customHeight="1" s="216"/>
    <row r="400" ht="15.75" customHeight="1" s="216"/>
    <row r="401" ht="15.75" customHeight="1" s="216"/>
    <row r="402" ht="15.75" customHeight="1" s="216"/>
    <row r="403" ht="15.75" customHeight="1" s="216"/>
    <row r="404" ht="15.75" customHeight="1" s="216"/>
    <row r="405" ht="15.75" customHeight="1" s="216"/>
    <row r="406" ht="15.75" customHeight="1" s="216"/>
    <row r="407" ht="15.75" customHeight="1" s="216"/>
    <row r="408" ht="15.75" customHeight="1" s="216"/>
    <row r="409" ht="15.75" customHeight="1" s="216"/>
    <row r="410" ht="15.75" customHeight="1" s="216"/>
    <row r="411" ht="15.75" customHeight="1" s="216"/>
    <row r="412" ht="15.75" customHeight="1" s="216"/>
    <row r="413" ht="15.75" customHeight="1" s="216"/>
    <row r="414" ht="15.75" customHeight="1" s="216"/>
    <row r="415" ht="15.75" customHeight="1" s="216"/>
    <row r="416" ht="15.75" customHeight="1" s="216"/>
    <row r="417" ht="15.75" customHeight="1" s="216"/>
    <row r="418" ht="15.75" customHeight="1" s="216"/>
    <row r="419" ht="15.75" customHeight="1" s="216"/>
    <row r="420" ht="15.75" customHeight="1" s="216"/>
    <row r="421" ht="15.75" customHeight="1" s="216"/>
    <row r="422" ht="15.75" customHeight="1" s="216"/>
    <row r="423" ht="15.75" customHeight="1" s="216"/>
    <row r="424" ht="15.75" customHeight="1" s="216"/>
    <row r="425" ht="15.75" customHeight="1" s="216"/>
    <row r="426" ht="15.75" customHeight="1" s="216"/>
    <row r="427" ht="15.75" customHeight="1" s="216"/>
    <row r="428" ht="15.75" customHeight="1" s="216"/>
    <row r="429" ht="15.75" customHeight="1" s="216"/>
    <row r="430" ht="15.75" customHeight="1" s="216"/>
    <row r="431" ht="15.75" customHeight="1" s="216"/>
    <row r="432" ht="15.75" customHeight="1" s="216"/>
    <row r="433" ht="15.75" customHeight="1" s="216"/>
    <row r="434" ht="15.75" customHeight="1" s="216"/>
    <row r="435" ht="15.75" customHeight="1" s="216"/>
    <row r="436" ht="15.75" customHeight="1" s="216"/>
    <row r="437" ht="15.75" customHeight="1" s="216"/>
    <row r="438" ht="15.75" customHeight="1" s="216"/>
    <row r="439" ht="15.75" customHeight="1" s="216"/>
    <row r="440" ht="15.75" customHeight="1" s="216"/>
    <row r="441" ht="15.75" customHeight="1" s="216"/>
    <row r="442" ht="15.75" customHeight="1" s="216"/>
    <row r="443" ht="15.75" customHeight="1" s="216"/>
    <row r="444" ht="15.75" customHeight="1" s="216"/>
    <row r="445" ht="15.75" customHeight="1" s="216"/>
    <row r="446" ht="15.75" customHeight="1" s="216"/>
    <row r="447" ht="15.75" customHeight="1" s="216"/>
    <row r="448" ht="15.75" customHeight="1" s="216"/>
    <row r="449" ht="15.75" customHeight="1" s="216"/>
    <row r="450" ht="15.75" customHeight="1" s="216"/>
    <row r="451" ht="15.75" customHeight="1" s="216"/>
    <row r="452" ht="15.75" customHeight="1" s="216"/>
    <row r="453" ht="15.75" customHeight="1" s="216"/>
    <row r="454" ht="15.75" customHeight="1" s="216"/>
    <row r="455" ht="15.75" customHeight="1" s="216"/>
    <row r="456" ht="15.75" customHeight="1" s="216"/>
    <row r="457" ht="15.75" customHeight="1" s="216"/>
    <row r="458" ht="15.75" customHeight="1" s="216"/>
    <row r="459" ht="15.75" customHeight="1" s="216"/>
    <row r="460" ht="15.75" customHeight="1" s="216"/>
    <row r="461" ht="15.75" customHeight="1" s="216"/>
    <row r="462" ht="15.75" customHeight="1" s="216"/>
    <row r="463" ht="15.75" customHeight="1" s="216"/>
    <row r="464" ht="15.75" customHeight="1" s="216"/>
    <row r="465" ht="15.75" customHeight="1" s="216"/>
    <row r="466" ht="15.75" customHeight="1" s="216"/>
    <row r="467" ht="15.75" customHeight="1" s="216"/>
    <row r="468" ht="15.75" customHeight="1" s="216"/>
    <row r="469" ht="15.75" customHeight="1" s="216"/>
    <row r="470" ht="15.75" customHeight="1" s="216"/>
    <row r="471" ht="15.75" customHeight="1" s="216"/>
    <row r="472" ht="15.75" customHeight="1" s="216"/>
    <row r="473" ht="15.75" customHeight="1" s="216"/>
    <row r="474" ht="15.75" customHeight="1" s="216"/>
    <row r="475" ht="15.75" customHeight="1" s="216"/>
    <row r="476" ht="15.75" customHeight="1" s="216"/>
    <row r="477" ht="15.75" customHeight="1" s="216"/>
    <row r="478" ht="15.75" customHeight="1" s="216"/>
    <row r="479" ht="15.75" customHeight="1" s="216"/>
    <row r="480" ht="15.75" customHeight="1" s="216"/>
    <row r="481" ht="15.75" customHeight="1" s="216"/>
    <row r="482" ht="15.75" customHeight="1" s="216"/>
    <row r="483" ht="15.75" customHeight="1" s="216"/>
    <row r="484" ht="15.75" customHeight="1" s="216"/>
    <row r="485" ht="15.75" customHeight="1" s="216"/>
    <row r="486" ht="15.75" customHeight="1" s="216"/>
    <row r="487" ht="15.75" customHeight="1" s="216"/>
    <row r="488" ht="15.75" customHeight="1" s="216"/>
    <row r="489" ht="15.75" customHeight="1" s="216"/>
    <row r="490" ht="15.75" customHeight="1" s="216"/>
    <row r="491" ht="15.75" customHeight="1" s="216"/>
    <row r="492" ht="15.75" customHeight="1" s="216"/>
    <row r="493" ht="15.75" customHeight="1" s="216"/>
    <row r="494" ht="15.75" customHeight="1" s="216"/>
    <row r="495" ht="15.75" customHeight="1" s="216"/>
    <row r="496" ht="15.75" customHeight="1" s="216"/>
    <row r="497" ht="15.75" customHeight="1" s="216"/>
    <row r="498" ht="15.75" customHeight="1" s="216"/>
    <row r="499" ht="15.75" customHeight="1" s="216"/>
    <row r="500" ht="15.75" customHeight="1" s="216"/>
    <row r="501" ht="15.75" customHeight="1" s="216"/>
    <row r="502" ht="15.75" customHeight="1" s="216"/>
    <row r="503" ht="15.75" customHeight="1" s="216"/>
    <row r="504" ht="15.75" customHeight="1" s="216"/>
    <row r="505" ht="15.75" customHeight="1" s="216"/>
    <row r="506" ht="15.75" customHeight="1" s="216"/>
    <row r="507" ht="15.75" customHeight="1" s="216"/>
    <row r="508" ht="15.75" customHeight="1" s="216"/>
    <row r="509" ht="15.75" customHeight="1" s="216"/>
    <row r="510" ht="15.75" customHeight="1" s="216"/>
    <row r="511" ht="15.75" customHeight="1" s="216"/>
    <row r="512" ht="15.75" customHeight="1" s="216"/>
    <row r="513" ht="15.75" customHeight="1" s="216"/>
    <row r="514" ht="15.75" customHeight="1" s="216"/>
    <row r="515" ht="15.75" customHeight="1" s="216"/>
    <row r="516" ht="15.75" customHeight="1" s="216"/>
    <row r="517" ht="15.75" customHeight="1" s="216"/>
    <row r="518" ht="15.75" customHeight="1" s="216"/>
    <row r="519" ht="15.75" customHeight="1" s="216"/>
    <row r="520" ht="15.75" customHeight="1" s="216"/>
    <row r="521" ht="15.75" customHeight="1" s="216"/>
    <row r="522" ht="15.75" customHeight="1" s="216"/>
    <row r="523" ht="15.75" customHeight="1" s="216"/>
    <row r="524" ht="15.75" customHeight="1" s="216"/>
    <row r="525" ht="15.75" customHeight="1" s="216"/>
    <row r="526" ht="15.75" customHeight="1" s="216"/>
    <row r="527" ht="15.75" customHeight="1" s="216"/>
    <row r="528" ht="15.75" customHeight="1" s="216"/>
    <row r="529" ht="15.75" customHeight="1" s="216"/>
    <row r="530" ht="15.75" customHeight="1" s="216"/>
    <row r="531" ht="15.75" customHeight="1" s="216"/>
    <row r="532" ht="15.75" customHeight="1" s="216"/>
    <row r="533" ht="15.75" customHeight="1" s="216"/>
    <row r="534" ht="15.75" customHeight="1" s="216"/>
    <row r="535" ht="15.75" customHeight="1" s="216"/>
    <row r="536" ht="15.75" customHeight="1" s="216"/>
    <row r="537" ht="15.75" customHeight="1" s="216"/>
    <row r="538" ht="15.75" customHeight="1" s="216"/>
    <row r="539" ht="15.75" customHeight="1" s="216"/>
    <row r="540" ht="15.75" customHeight="1" s="216"/>
    <row r="541" ht="15.75" customHeight="1" s="216"/>
    <row r="542" ht="15.75" customHeight="1" s="216"/>
    <row r="543" ht="15.75" customHeight="1" s="216"/>
    <row r="544" ht="15.75" customHeight="1" s="216"/>
    <row r="545" ht="15.75" customHeight="1" s="216"/>
    <row r="546" ht="15.75" customHeight="1" s="216"/>
    <row r="547" ht="15.75" customHeight="1" s="216"/>
    <row r="548" ht="15.75" customHeight="1" s="216"/>
    <row r="549" ht="15.75" customHeight="1" s="216"/>
    <row r="550" ht="15.75" customHeight="1" s="216"/>
    <row r="551" ht="15.75" customHeight="1" s="216"/>
    <row r="552" ht="15.75" customHeight="1" s="216"/>
    <row r="553" ht="15.75" customHeight="1" s="216"/>
    <row r="554" ht="15.75" customHeight="1" s="216"/>
    <row r="555" ht="15.75" customHeight="1" s="216"/>
    <row r="556" ht="15.75" customHeight="1" s="216"/>
    <row r="557" ht="15.75" customHeight="1" s="216"/>
    <row r="558" ht="15.75" customHeight="1" s="216"/>
    <row r="559" ht="15.75" customHeight="1" s="216"/>
    <row r="560" ht="15.75" customHeight="1" s="216"/>
    <row r="561" ht="15.75" customHeight="1" s="216"/>
    <row r="562" ht="15.75" customHeight="1" s="216"/>
    <row r="563" ht="15.75" customHeight="1" s="216"/>
    <row r="564" ht="15.75" customHeight="1" s="216"/>
    <row r="565" ht="15.75" customHeight="1" s="216"/>
    <row r="566" ht="15.75" customHeight="1" s="216"/>
    <row r="567" ht="15.75" customHeight="1" s="216"/>
    <row r="568" ht="15.75" customHeight="1" s="216"/>
    <row r="569" ht="15.75" customHeight="1" s="216"/>
    <row r="570" ht="15.75" customHeight="1" s="216"/>
    <row r="571" ht="15.75" customHeight="1" s="216"/>
    <row r="572" ht="15.75" customHeight="1" s="216"/>
    <row r="573" ht="15.75" customHeight="1" s="216"/>
    <row r="574" ht="15.75" customHeight="1" s="216"/>
    <row r="575" ht="15.75" customHeight="1" s="216"/>
    <row r="576" ht="15.75" customHeight="1" s="216"/>
    <row r="577" ht="15.75" customHeight="1" s="216"/>
    <row r="578" ht="15.75" customHeight="1" s="216"/>
    <row r="579" ht="15.75" customHeight="1" s="216"/>
    <row r="580" ht="15.75" customHeight="1" s="216"/>
    <row r="581" ht="15.75" customHeight="1" s="216"/>
    <row r="582" ht="15.75" customHeight="1" s="216"/>
    <row r="583" ht="15.75" customHeight="1" s="216"/>
    <row r="584" ht="15.75" customHeight="1" s="216"/>
    <row r="585" ht="15.75" customHeight="1" s="216"/>
    <row r="586" ht="15.75" customHeight="1" s="216"/>
    <row r="587" ht="15.75" customHeight="1" s="216"/>
    <row r="588" ht="15.75" customHeight="1" s="216"/>
    <row r="589" ht="15.75" customHeight="1" s="216"/>
    <row r="590" ht="15.75" customHeight="1" s="216"/>
    <row r="591" ht="15.75" customHeight="1" s="216"/>
    <row r="592" ht="15.75" customHeight="1" s="216"/>
    <row r="593" ht="15.75" customHeight="1" s="216"/>
    <row r="594" ht="15.75" customHeight="1" s="216"/>
    <row r="595" ht="15.75" customHeight="1" s="216"/>
    <row r="596" ht="15.75" customHeight="1" s="216"/>
    <row r="597" ht="15.75" customHeight="1" s="216"/>
    <row r="598" ht="15.75" customHeight="1" s="216"/>
    <row r="599" ht="15.75" customHeight="1" s="216"/>
    <row r="600" ht="15.75" customHeight="1" s="216"/>
    <row r="601" ht="15.75" customHeight="1" s="216"/>
    <row r="602" ht="15.75" customHeight="1" s="216"/>
    <row r="603" ht="15.75" customHeight="1" s="216"/>
    <row r="604" ht="15.75" customHeight="1" s="216"/>
    <row r="605" ht="15.75" customHeight="1" s="216"/>
    <row r="606" ht="15.75" customHeight="1" s="216"/>
    <row r="607" ht="15.75" customHeight="1" s="216"/>
    <row r="608" ht="15.75" customHeight="1" s="216"/>
    <row r="609" ht="15.75" customHeight="1" s="216"/>
    <row r="610" ht="15.75" customHeight="1" s="216"/>
    <row r="611" ht="15.75" customHeight="1" s="216"/>
    <row r="612" ht="15.75" customHeight="1" s="216"/>
    <row r="613" ht="15.75" customHeight="1" s="216"/>
    <row r="614" ht="15.75" customHeight="1" s="216"/>
    <row r="615" ht="15.75" customHeight="1" s="216"/>
    <row r="616" ht="15.75" customHeight="1" s="216"/>
    <row r="617" ht="15.75" customHeight="1" s="216"/>
    <row r="618" ht="15.75" customHeight="1" s="216"/>
    <row r="619" ht="15.75" customHeight="1" s="216"/>
    <row r="620" ht="15.75" customHeight="1" s="216"/>
    <row r="621" ht="15.75" customHeight="1" s="216"/>
    <row r="622" ht="15.75" customHeight="1" s="216"/>
    <row r="623" ht="15.75" customHeight="1" s="216"/>
    <row r="624" ht="15.75" customHeight="1" s="216"/>
    <row r="625" ht="15.75" customHeight="1" s="216"/>
    <row r="626" ht="15.75" customHeight="1" s="216"/>
    <row r="627" ht="15.75" customHeight="1" s="216"/>
    <row r="628" ht="15.75" customHeight="1" s="216"/>
    <row r="629" ht="15.75" customHeight="1" s="216"/>
    <row r="630" ht="15.75" customHeight="1" s="216"/>
    <row r="631" ht="15.75" customHeight="1" s="216"/>
    <row r="632" ht="15.75" customHeight="1" s="216"/>
    <row r="633" ht="15.75" customHeight="1" s="216"/>
    <row r="634" ht="15.75" customHeight="1" s="216"/>
    <row r="635" ht="15.75" customHeight="1" s="216"/>
    <row r="636" ht="15.75" customHeight="1" s="216"/>
    <row r="637" ht="15.75" customHeight="1" s="216"/>
    <row r="638" ht="15.75" customHeight="1" s="216"/>
    <row r="639" ht="15.75" customHeight="1" s="216"/>
    <row r="640" ht="15.75" customHeight="1" s="216"/>
    <row r="641" ht="15.75" customHeight="1" s="216"/>
    <row r="642" ht="15.75" customHeight="1" s="216"/>
    <row r="643" ht="15.75" customHeight="1" s="216"/>
    <row r="644" ht="15.75" customHeight="1" s="216"/>
    <row r="645" ht="15.75" customHeight="1" s="216"/>
    <row r="646" ht="15.75" customHeight="1" s="216"/>
    <row r="647" ht="15.75" customHeight="1" s="216"/>
    <row r="648" ht="15.75" customHeight="1" s="216"/>
    <row r="649" ht="15.75" customHeight="1" s="216"/>
    <row r="650" ht="15.75" customHeight="1" s="216"/>
    <row r="651" ht="15.75" customHeight="1" s="216"/>
    <row r="652" ht="15.75" customHeight="1" s="216"/>
    <row r="653" ht="15.75" customHeight="1" s="216"/>
    <row r="654" ht="15.75" customHeight="1" s="216"/>
    <row r="655" ht="15.75" customHeight="1" s="216"/>
    <row r="656" ht="15.75" customHeight="1" s="216"/>
    <row r="657" ht="15.75" customHeight="1" s="216"/>
    <row r="658" ht="15.75" customHeight="1" s="216"/>
    <row r="659" ht="15.75" customHeight="1" s="216"/>
    <row r="660" ht="15.75" customHeight="1" s="216"/>
    <row r="661" ht="15.75" customHeight="1" s="216"/>
    <row r="662" ht="15.75" customHeight="1" s="216"/>
    <row r="663" ht="15.75" customHeight="1" s="216"/>
    <row r="664" ht="15.75" customHeight="1" s="216"/>
    <row r="665" ht="15.75" customHeight="1" s="216"/>
    <row r="666" ht="15.75" customHeight="1" s="216"/>
    <row r="667" ht="15.75" customHeight="1" s="216"/>
    <row r="668" ht="15.75" customHeight="1" s="216"/>
    <row r="669" ht="15.75" customHeight="1" s="216"/>
    <row r="670" ht="15.75" customHeight="1" s="216"/>
    <row r="671" ht="15.75" customHeight="1" s="216"/>
    <row r="672" ht="15.75" customHeight="1" s="216"/>
    <row r="673" ht="15.75" customHeight="1" s="216"/>
    <row r="674" ht="15.75" customHeight="1" s="216"/>
    <row r="675" ht="15.75" customHeight="1" s="216"/>
    <row r="676" ht="15.75" customHeight="1" s="216"/>
    <row r="677" ht="15.75" customHeight="1" s="216"/>
    <row r="678" ht="15.75" customHeight="1" s="216"/>
    <row r="679" ht="15.75" customHeight="1" s="216"/>
    <row r="680" ht="15.75" customHeight="1" s="216"/>
    <row r="681" ht="15.75" customHeight="1" s="216"/>
    <row r="682" ht="15.75" customHeight="1" s="216"/>
    <row r="683" ht="15.75" customHeight="1" s="216"/>
    <row r="684" ht="15.75" customHeight="1" s="216"/>
    <row r="685" ht="15.75" customHeight="1" s="216"/>
    <row r="686" ht="15.75" customHeight="1" s="216"/>
    <row r="687" ht="15.75" customHeight="1" s="216"/>
    <row r="688" ht="15.75" customHeight="1" s="216"/>
    <row r="689" ht="15.75" customHeight="1" s="216"/>
    <row r="690" ht="15.75" customHeight="1" s="216"/>
    <row r="691" ht="15.75" customHeight="1" s="216"/>
    <row r="692" ht="15.75" customHeight="1" s="216"/>
    <row r="693" ht="15.75" customHeight="1" s="216"/>
    <row r="694" ht="15.75" customHeight="1" s="216"/>
    <row r="695" ht="15.75" customHeight="1" s="216"/>
    <row r="696" ht="15.75" customHeight="1" s="216"/>
    <row r="697" ht="15.75" customHeight="1" s="216"/>
    <row r="698" ht="15.75" customHeight="1" s="216"/>
    <row r="699" ht="15.75" customHeight="1" s="216"/>
    <row r="700" ht="15.75" customHeight="1" s="216"/>
    <row r="701" ht="15.75" customHeight="1" s="216"/>
    <row r="702" ht="15.75" customHeight="1" s="216"/>
    <row r="703" ht="15.75" customHeight="1" s="216"/>
    <row r="704" ht="15.75" customHeight="1" s="216"/>
    <row r="705" ht="15.75" customHeight="1" s="216"/>
    <row r="706" ht="15.75" customHeight="1" s="216"/>
    <row r="707" ht="15.75" customHeight="1" s="216"/>
    <row r="708" ht="15.75" customHeight="1" s="216"/>
    <row r="709" ht="15.75" customHeight="1" s="216"/>
    <row r="710" ht="15.75" customHeight="1" s="216"/>
    <row r="711" ht="15.75" customHeight="1" s="216"/>
    <row r="712" ht="15.75" customHeight="1" s="216"/>
    <row r="713" ht="15.75" customHeight="1" s="216"/>
    <row r="714" ht="15.75" customHeight="1" s="216"/>
    <row r="715" ht="15.75" customHeight="1" s="216"/>
    <row r="716" ht="15.75" customHeight="1" s="216"/>
    <row r="717" ht="15.75" customHeight="1" s="216"/>
    <row r="718" ht="15.75" customHeight="1" s="216"/>
    <row r="719" ht="15.75" customHeight="1" s="216"/>
    <row r="720" ht="15.75" customHeight="1" s="216"/>
    <row r="721" ht="15.75" customHeight="1" s="216"/>
    <row r="722" ht="15.75" customHeight="1" s="216"/>
    <row r="723" ht="15.75" customHeight="1" s="216"/>
    <row r="724" ht="15.75" customHeight="1" s="216"/>
    <row r="725" ht="15.75" customHeight="1" s="216"/>
    <row r="726" ht="15.75" customHeight="1" s="216"/>
    <row r="727" ht="15.75" customHeight="1" s="216"/>
    <row r="728" ht="15.75" customHeight="1" s="216"/>
    <row r="729" ht="15.75" customHeight="1" s="216"/>
    <row r="730" ht="15.75" customHeight="1" s="216"/>
    <row r="731" ht="15.75" customHeight="1" s="216"/>
    <row r="732" ht="15.75" customHeight="1" s="216"/>
    <row r="733" ht="15.75" customHeight="1" s="216"/>
    <row r="734" ht="15.75" customHeight="1" s="216"/>
    <row r="735" ht="15.75" customHeight="1" s="216"/>
    <row r="736" ht="15.75" customHeight="1" s="216"/>
    <row r="737" ht="15.75" customHeight="1" s="216"/>
    <row r="738" ht="15.75" customHeight="1" s="216"/>
    <row r="739" ht="15.75" customHeight="1" s="216"/>
    <row r="740" ht="15.75" customHeight="1" s="216"/>
    <row r="741" ht="15.75" customHeight="1" s="216"/>
    <row r="742" ht="15.75" customHeight="1" s="216"/>
    <row r="743" ht="15.75" customHeight="1" s="216"/>
    <row r="744" ht="15.75" customHeight="1" s="216"/>
    <row r="745" ht="15.75" customHeight="1" s="216"/>
    <row r="746" ht="15.75" customHeight="1" s="216"/>
    <row r="747" ht="15.75" customHeight="1" s="216"/>
    <row r="748" ht="15.75" customHeight="1" s="216"/>
    <row r="749" ht="15.75" customHeight="1" s="216"/>
    <row r="750" ht="15.75" customHeight="1" s="216"/>
    <row r="751" ht="15.75" customHeight="1" s="216"/>
    <row r="752" ht="15.75" customHeight="1" s="216"/>
    <row r="753" ht="15.75" customHeight="1" s="216"/>
    <row r="754" ht="15.75" customHeight="1" s="216"/>
    <row r="755" ht="15.75" customHeight="1" s="216"/>
    <row r="756" ht="15.75" customHeight="1" s="216"/>
    <row r="757" ht="15.75" customHeight="1" s="216"/>
    <row r="758" ht="15.75" customHeight="1" s="216"/>
    <row r="759" ht="15.75" customHeight="1" s="216"/>
    <row r="760" ht="15.75" customHeight="1" s="216"/>
    <row r="761" ht="15.75" customHeight="1" s="216"/>
    <row r="762" ht="15.75" customHeight="1" s="216"/>
    <row r="763" ht="15.75" customHeight="1" s="216"/>
    <row r="764" ht="15.75" customHeight="1" s="216"/>
    <row r="765" ht="15.75" customHeight="1" s="216"/>
    <row r="766" ht="15.75" customHeight="1" s="216"/>
    <row r="767" ht="15.75" customHeight="1" s="216"/>
    <row r="768" ht="15.75" customHeight="1" s="216"/>
    <row r="769" ht="15.75" customHeight="1" s="216"/>
    <row r="770" ht="15.75" customHeight="1" s="216"/>
    <row r="771" ht="15.75" customHeight="1" s="216"/>
    <row r="772" ht="15.75" customHeight="1" s="216"/>
    <row r="773" ht="15.75" customHeight="1" s="216"/>
    <row r="774" ht="15.75" customHeight="1" s="216"/>
    <row r="775" ht="15.75" customHeight="1" s="216"/>
    <row r="776" ht="15.75" customHeight="1" s="216"/>
    <row r="777" ht="15.75" customHeight="1" s="216"/>
    <row r="778" ht="15.75" customHeight="1" s="216"/>
    <row r="779" ht="15.75" customHeight="1" s="216"/>
    <row r="780" ht="15.75" customHeight="1" s="216"/>
    <row r="781" ht="15.75" customHeight="1" s="216"/>
    <row r="782" ht="15.75" customHeight="1" s="216"/>
    <row r="783" ht="15.75" customHeight="1" s="216"/>
    <row r="784" ht="15.75" customHeight="1" s="216"/>
    <row r="785" ht="15.75" customHeight="1" s="216"/>
    <row r="786" ht="15.75" customHeight="1" s="216"/>
    <row r="787" ht="15.75" customHeight="1" s="216"/>
    <row r="788" ht="15.75" customHeight="1" s="216"/>
    <row r="789" ht="15.75" customHeight="1" s="216"/>
    <row r="790" ht="15.75" customHeight="1" s="216"/>
    <row r="791" ht="15.75" customHeight="1" s="216"/>
    <row r="792" ht="15.75" customHeight="1" s="216"/>
    <row r="793" ht="15.75" customHeight="1" s="216"/>
    <row r="794" ht="15.75" customHeight="1" s="216"/>
    <row r="795" ht="15.75" customHeight="1" s="216"/>
    <row r="796" ht="15.75" customHeight="1" s="216"/>
    <row r="797" ht="15.75" customHeight="1" s="216"/>
    <row r="798" ht="15.75" customHeight="1" s="216"/>
    <row r="799" ht="15.75" customHeight="1" s="216"/>
    <row r="800" ht="15.75" customHeight="1" s="216"/>
    <row r="801" ht="15.75" customHeight="1" s="216"/>
    <row r="802" ht="15.75" customHeight="1" s="216"/>
    <row r="803" ht="15.75" customHeight="1" s="216"/>
    <row r="804" ht="15.75" customHeight="1" s="216"/>
    <row r="805" ht="15.75" customHeight="1" s="216"/>
    <row r="806" ht="15.75" customHeight="1" s="216"/>
    <row r="807" ht="15.75" customHeight="1" s="216"/>
    <row r="808" ht="15.75" customHeight="1" s="216"/>
    <row r="809" ht="15.75" customHeight="1" s="216"/>
    <row r="810" ht="15.75" customHeight="1" s="216"/>
    <row r="811" ht="15.75" customHeight="1" s="216"/>
    <row r="812" ht="15.75" customHeight="1" s="216"/>
    <row r="813" ht="15.75" customHeight="1" s="216"/>
    <row r="814" ht="15.75" customHeight="1" s="216"/>
    <row r="815" ht="15.75" customHeight="1" s="216"/>
    <row r="816" ht="15.75" customHeight="1" s="216"/>
    <row r="817" ht="15.75" customHeight="1" s="216"/>
    <row r="818" ht="15.75" customHeight="1" s="216"/>
    <row r="819" ht="15.75" customHeight="1" s="216"/>
    <row r="820" ht="15.75" customHeight="1" s="216"/>
    <row r="821" ht="15.75" customHeight="1" s="216"/>
    <row r="822" ht="15.75" customHeight="1" s="216"/>
    <row r="823" ht="15.75" customHeight="1" s="216"/>
    <row r="824" ht="15.75" customHeight="1" s="216"/>
    <row r="825" ht="15.75" customHeight="1" s="216"/>
    <row r="826" ht="15.75" customHeight="1" s="216"/>
    <row r="827" ht="15.75" customHeight="1" s="216"/>
    <row r="828" ht="15.75" customHeight="1" s="216"/>
    <row r="829" ht="15.75" customHeight="1" s="216"/>
    <row r="830" ht="15.75" customHeight="1" s="216"/>
    <row r="831" ht="15.75" customHeight="1" s="216"/>
    <row r="832" ht="15.75" customHeight="1" s="216"/>
    <row r="833" ht="15.75" customHeight="1" s="216"/>
    <row r="834" ht="15.75" customHeight="1" s="216"/>
    <row r="835" ht="15.75" customHeight="1" s="216"/>
    <row r="836" ht="15.75" customHeight="1" s="216"/>
    <row r="837" ht="15.75" customHeight="1" s="216"/>
    <row r="838" ht="15.75" customHeight="1" s="216"/>
    <row r="839" ht="15.75" customHeight="1" s="216"/>
    <row r="840" ht="15.75" customHeight="1" s="216"/>
    <row r="841" ht="15.75" customHeight="1" s="216"/>
    <row r="842" ht="15.75" customHeight="1" s="216"/>
    <row r="843" ht="15.75" customHeight="1" s="216"/>
    <row r="844" ht="15.75" customHeight="1" s="216"/>
    <row r="845" ht="15.75" customHeight="1" s="216"/>
    <row r="846" ht="15.75" customHeight="1" s="216"/>
    <row r="847" ht="15.75" customHeight="1" s="216"/>
    <row r="848" ht="15.75" customHeight="1" s="216"/>
    <row r="849" ht="15.75" customHeight="1" s="216"/>
    <row r="850" ht="15.75" customHeight="1" s="216"/>
    <row r="851" ht="15.75" customHeight="1" s="216"/>
    <row r="852" ht="15.75" customHeight="1" s="216"/>
    <row r="853" ht="15.75" customHeight="1" s="216"/>
    <row r="854" ht="15.75" customHeight="1" s="216"/>
    <row r="855" ht="15.75" customHeight="1" s="216"/>
    <row r="856" ht="15.75" customHeight="1" s="216"/>
    <row r="857" ht="15.75" customHeight="1" s="216"/>
    <row r="858" ht="15.75" customHeight="1" s="216"/>
    <row r="859" ht="15.75" customHeight="1" s="216"/>
    <row r="860" ht="15.75" customHeight="1" s="216"/>
    <row r="861" ht="15.75" customHeight="1" s="216"/>
    <row r="862" ht="15.75" customHeight="1" s="216"/>
    <row r="863" ht="15.75" customHeight="1" s="216"/>
    <row r="864" ht="15.75" customHeight="1" s="216"/>
    <row r="865" ht="15.75" customHeight="1" s="216"/>
    <row r="866" ht="15.75" customHeight="1" s="216"/>
    <row r="867" ht="15.75" customHeight="1" s="216"/>
    <row r="868" ht="15.75" customHeight="1" s="216"/>
    <row r="869" ht="15.75" customHeight="1" s="216"/>
    <row r="870" ht="15.75" customHeight="1" s="216"/>
    <row r="871" ht="15.75" customHeight="1" s="216"/>
    <row r="872" ht="15.75" customHeight="1" s="216"/>
    <row r="873" ht="15.75" customHeight="1" s="216"/>
    <row r="874" ht="15.75" customHeight="1" s="216"/>
    <row r="875" ht="15.75" customHeight="1" s="216"/>
    <row r="876" ht="15.75" customHeight="1" s="216"/>
    <row r="877" ht="15.75" customHeight="1" s="216"/>
    <row r="878" ht="15.75" customHeight="1" s="216"/>
    <row r="879" ht="15.75" customHeight="1" s="216"/>
    <row r="880" ht="15.75" customHeight="1" s="216"/>
    <row r="881" ht="15.75" customHeight="1" s="216"/>
    <row r="882" ht="15.75" customHeight="1" s="216"/>
    <row r="883" ht="15.75" customHeight="1" s="216"/>
    <row r="884" ht="15.75" customHeight="1" s="216"/>
    <row r="885" ht="15.75" customHeight="1" s="216"/>
    <row r="886" ht="15.75" customHeight="1" s="216"/>
    <row r="887" ht="15.75" customHeight="1" s="216"/>
    <row r="888" ht="15.75" customHeight="1" s="216"/>
    <row r="889" ht="15.75" customHeight="1" s="216"/>
    <row r="890" ht="15.75" customHeight="1" s="216"/>
    <row r="891" ht="15.75" customHeight="1" s="216"/>
    <row r="892" ht="15.75" customHeight="1" s="216"/>
    <row r="893" ht="15.75" customHeight="1" s="216"/>
    <row r="894" ht="15.75" customHeight="1" s="216"/>
    <row r="895" ht="15.75" customHeight="1" s="216"/>
    <row r="896" ht="15.75" customHeight="1" s="216"/>
    <row r="897" ht="15.75" customHeight="1" s="216"/>
    <row r="898" ht="15.75" customHeight="1" s="216"/>
    <row r="899" ht="15.75" customHeight="1" s="216"/>
    <row r="900" ht="15.75" customHeight="1" s="216"/>
    <row r="901" ht="15.75" customHeight="1" s="216"/>
    <row r="902" ht="15.75" customHeight="1" s="216"/>
    <row r="903" ht="15.75" customHeight="1" s="216"/>
    <row r="904" ht="15.75" customHeight="1" s="216"/>
    <row r="905" ht="15.75" customHeight="1" s="216"/>
    <row r="906" ht="15.75" customHeight="1" s="216"/>
    <row r="907" ht="15.75" customHeight="1" s="216"/>
    <row r="908" ht="15.75" customHeight="1" s="216"/>
    <row r="909" ht="15.75" customHeight="1" s="216"/>
    <row r="910" ht="15.75" customHeight="1" s="216"/>
    <row r="911" ht="15.75" customHeight="1" s="216"/>
    <row r="912" ht="15.75" customHeight="1" s="216"/>
    <row r="913" ht="15.75" customHeight="1" s="216"/>
    <row r="914" ht="15.75" customHeight="1" s="216"/>
    <row r="915" ht="15.75" customHeight="1" s="216"/>
    <row r="916" ht="15.75" customHeight="1" s="216"/>
    <row r="917" ht="15.75" customHeight="1" s="216"/>
    <row r="918" ht="15.75" customHeight="1" s="216"/>
    <row r="919" ht="15.75" customHeight="1" s="216"/>
    <row r="920" ht="15.75" customHeight="1" s="216"/>
    <row r="921" ht="15.75" customHeight="1" s="216"/>
    <row r="922" ht="15.75" customHeight="1" s="216"/>
    <row r="923" ht="15.75" customHeight="1" s="216"/>
    <row r="924" ht="15.75" customHeight="1" s="216"/>
    <row r="925" ht="15.75" customHeight="1" s="216"/>
    <row r="926" ht="15.75" customHeight="1" s="216"/>
    <row r="927" ht="15.75" customHeight="1" s="216"/>
    <row r="928" ht="15.75" customHeight="1" s="216"/>
    <row r="929" ht="15.75" customHeight="1" s="216"/>
    <row r="930" ht="15.75" customHeight="1" s="216"/>
    <row r="931" ht="15.75" customHeight="1" s="216"/>
    <row r="932" ht="15.75" customHeight="1" s="216"/>
    <row r="933" ht="15.75" customHeight="1" s="216"/>
    <row r="934" ht="15.75" customHeight="1" s="216"/>
    <row r="935" ht="15.75" customHeight="1" s="216"/>
    <row r="936" ht="15.75" customHeight="1" s="216"/>
    <row r="937" ht="15.75" customHeight="1" s="216"/>
    <row r="938" ht="15.75" customHeight="1" s="216"/>
    <row r="939" ht="15.75" customHeight="1" s="216"/>
    <row r="940" ht="15.75" customHeight="1" s="216"/>
    <row r="941" ht="15.75" customHeight="1" s="216"/>
    <row r="942" ht="15.75" customHeight="1" s="216"/>
    <row r="943" ht="15.75" customHeight="1" s="216"/>
    <row r="944" ht="15.75" customHeight="1" s="216"/>
    <row r="945" ht="15.75" customHeight="1" s="216"/>
    <row r="946" ht="15.75" customHeight="1" s="216"/>
    <row r="947" ht="15.75" customHeight="1" s="216"/>
    <row r="948" ht="15.75" customHeight="1" s="216"/>
    <row r="949" ht="15.75" customHeight="1" s="216"/>
    <row r="950" ht="15.75" customHeight="1" s="216"/>
    <row r="951" ht="15.75" customHeight="1" s="216"/>
    <row r="952" ht="15.75" customHeight="1" s="216"/>
    <row r="953" ht="15.75" customHeight="1" s="216"/>
    <row r="954" ht="15.75" customHeight="1" s="216"/>
    <row r="955" ht="15.75" customHeight="1" s="216"/>
    <row r="956" ht="15.75" customHeight="1" s="216"/>
    <row r="957" ht="15.75" customHeight="1" s="216"/>
    <row r="958" ht="15.75" customHeight="1" s="216"/>
    <row r="959" ht="15.75" customHeight="1" s="216"/>
    <row r="960" ht="15.75" customHeight="1" s="216"/>
    <row r="961" ht="15.75" customHeight="1" s="216"/>
    <row r="962" ht="15.75" customHeight="1" s="216"/>
    <row r="963" ht="15.75" customHeight="1" s="216"/>
    <row r="964" ht="15.75" customHeight="1" s="216"/>
    <row r="965" ht="15.75" customHeight="1" s="216"/>
    <row r="966" ht="15.75" customHeight="1" s="216"/>
    <row r="967" ht="15.75" customHeight="1" s="216"/>
    <row r="968" ht="15.75" customHeight="1" s="216"/>
    <row r="969" ht="15.75" customHeight="1" s="216"/>
    <row r="970" ht="15.75" customHeight="1" s="216"/>
    <row r="971" ht="15.75" customHeight="1" s="216"/>
    <row r="972" ht="15.75" customHeight="1" s="216"/>
    <row r="973" ht="15.75" customHeight="1" s="216"/>
    <row r="974" ht="15.75" customHeight="1" s="216"/>
    <row r="975" ht="15.75" customHeight="1" s="216"/>
    <row r="976" ht="15.75" customHeight="1" s="216"/>
    <row r="977" ht="15.75" customHeight="1" s="216"/>
    <row r="978" ht="15.75" customHeight="1" s="216"/>
    <row r="979" ht="15.75" customHeight="1" s="216"/>
    <row r="980" ht="15.75" customHeight="1" s="216"/>
    <row r="981" ht="15.75" customHeight="1" s="216"/>
    <row r="982" ht="15.75" customHeight="1" s="216"/>
    <row r="983" ht="15.75" customHeight="1" s="216"/>
    <row r="984" ht="15.75" customHeight="1" s="216"/>
    <row r="985" ht="15.75" customHeight="1" s="216"/>
    <row r="986" ht="15.75" customHeight="1" s="216"/>
    <row r="987" ht="15.75" customHeight="1" s="216"/>
    <row r="988" ht="15.75" customHeight="1" s="216"/>
    <row r="989" ht="15.75" customHeight="1" s="216"/>
    <row r="990" ht="15.75" customHeight="1" s="216"/>
    <row r="991" ht="15.75" customHeight="1" s="216"/>
    <row r="992" ht="15.75" customHeight="1" s="216"/>
    <row r="993" ht="15.75" customHeight="1" s="216"/>
    <row r="994" ht="15.75" customHeight="1" s="216"/>
    <row r="995" ht="15.75" customHeight="1" s="216"/>
    <row r="996" ht="15.75" customHeight="1" s="216"/>
    <row r="997" ht="15.75" customHeight="1" s="216"/>
    <row r="998" ht="15.75" customHeight="1" s="216"/>
    <row r="999" ht="15.75" customHeight="1" s="216"/>
    <row r="1000" ht="15.75" customHeight="1" s="216"/>
  </sheetData>
  <dataValidations count="10">
    <dataValidation sqref="T2:U250" showDropDown="0" showInputMessage="0" showErrorMessage="0" allowBlank="1" type="list">
      <formula1>"1,2,3,4,5"</formula1>
    </dataValidation>
    <dataValidation sqref="Q2:Q250" showDropDown="0" showInputMessage="0" showErrorMessage="0" allowBlank="1" type="list">
      <formula1>"Data,Interface,Logic,Requirement,Server,Other"</formula1>
    </dataValidation>
    <dataValidation sqref="P2:P250" showDropDown="0" showInputMessage="0" showErrorMessage="0" allowBlank="1" type="list">
      <formula1>$Y$2:$Y$11</formula1>
    </dataValidation>
    <dataValidation sqref="B2:B250" showDropDown="0" showInputMessage="0" showErrorMessage="0" allowBlank="1" type="list">
      <formula1>"Bug,Story,Task,Sub-task"</formula1>
    </dataValidation>
    <dataValidation sqref="O2:O250" showDropDown="0" showInputMessage="0" showErrorMessage="0" allowBlank="1" type="list">
      <formula1>"Fixed,Won't fix"</formula1>
    </dataValidation>
    <dataValidation sqref="R2:R250" showDropDown="0" showInputMessage="0" showErrorMessage="0" allowBlank="1" type="list">
      <formula1>"Functionality,Performance,Security,Serviceability,Usability"</formula1>
    </dataValidation>
    <dataValidation sqref="N2:N250" showDropDown="0" showInputMessage="0" showErrorMessage="0" allowBlank="1" type="list">
      <formula1>"Web,App,Web,App"</formula1>
    </dataValidation>
    <dataValidation sqref="E2:E250" showDropDown="0" showInputMessage="0" showErrorMessage="0" allowBlank="1" type="list">
      <formula1>"Highest,High,Medium,Low,Lowest"</formula1>
    </dataValidation>
    <dataValidation sqref="L2:L250" showDropDown="0" showInputMessage="0" showErrorMessage="0" allowBlank="1" type="list">
      <formula1>"20,10,5,2"</formula1>
    </dataValidation>
    <dataValidation sqref="D2:D250" showDropDown="0" showInputMessage="0" showErrorMessage="0" allowBlank="1" type="list">
      <formula1>"To Do,In Progress,In review,Pending,Done,Cancel"</formula1>
    </dataValidation>
  </dataValidation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AF220"/>
  <sheetViews>
    <sheetView showGridLines="0" workbookViewId="0">
      <pane ySplit="5" topLeftCell="A6" activePane="bottomLeft" state="frozen"/>
      <selection pane="bottomLeft" activeCell="B7" sqref="B7"/>
    </sheetView>
  </sheetViews>
  <sheetFormatPr baseColWidth="8" defaultColWidth="14.43" defaultRowHeight="15" customHeight="1"/>
  <cols>
    <col width="3" customWidth="1" style="216" min="1" max="1"/>
    <col width="14" customWidth="1" style="216" min="2" max="2"/>
    <col width="42" customWidth="1" style="216" min="3" max="3"/>
    <col width="15" customWidth="1" style="216" min="4" max="4"/>
    <col width="8" customWidth="1" style="216" min="5" max="5"/>
    <col width="9" customWidth="1" style="216" min="6" max="6"/>
    <col width="7" customWidth="1" style="216" min="7" max="10"/>
    <col width="9" customWidth="1" style="216" min="11" max="11"/>
    <col width="20" customWidth="1" style="216" min="12" max="12"/>
    <col hidden="1" width="13" customWidth="1" style="216" min="28" max="28"/>
    <col hidden="1" width="13" customWidth="1" style="216" min="30" max="30"/>
    <col hidden="1" width="13" customWidth="1" style="216" min="31" max="31"/>
    <col hidden="1" width="13" customWidth="1" style="216" min="32" max="32"/>
  </cols>
  <sheetData>
    <row r="1">
      <c r="A1" s="1" t="n"/>
      <c r="B1" s="1" t="n"/>
      <c r="C1" s="1" t="n"/>
      <c r="D1" s="1" t="n"/>
      <c r="E1" s="1" t="n"/>
      <c r="F1" s="1" t="n"/>
      <c r="G1" s="1" t="n"/>
      <c r="H1" s="1" t="n"/>
      <c r="I1" s="1" t="n"/>
      <c r="J1" s="1" t="n"/>
      <c r="K1" s="1" t="n"/>
      <c r="L1" s="1" t="n"/>
    </row>
    <row r="2">
      <c r="A2" s="1" t="n"/>
      <c r="B2" s="110" t="inlineStr">
        <is>
          <t>RTM — MA TRẬN TRUY VẾT YÊU CẦU (Requirement Traceability Matrix)</t>
        </is>
      </c>
      <c r="C2" s="1" t="n"/>
      <c r="D2" s="1" t="n"/>
      <c r="E2" s="1" t="n"/>
      <c r="F2" s="1" t="n"/>
      <c r="G2" s="1" t="n"/>
      <c r="H2" s="1" t="n"/>
      <c r="I2" s="1" t="n"/>
      <c r="J2" s="1" t="n"/>
      <c r="K2" s="1" t="n"/>
      <c r="L2" s="1" t="n"/>
    </row>
    <row r="3">
      <c r="A3" s="1" t="n"/>
      <c r="B3" s="111" t="inlineStr">
        <is>
          <t>Mỗi dòng = 1 yêu cầu (Req ID) ĐÃ CÓ test case — REQ out-scope / chốt không làm không liệt kê ở đây. Số liệu tự đếm từ các sheet Test Case.</t>
        </is>
      </c>
    </row>
    <row r="4">
      <c r="A4" s="1" t="n"/>
      <c r="B4" s="1" t="n"/>
      <c r="C4" s="1" t="n"/>
      <c r="D4" s="1" t="n"/>
      <c r="E4" s="1" t="n"/>
      <c r="F4" s="1" t="n"/>
      <c r="G4" s="1" t="n"/>
      <c r="H4" s="1" t="n"/>
      <c r="I4" s="1" t="n"/>
      <c r="J4" s="1" t="n"/>
      <c r="K4" s="1" t="n"/>
      <c r="L4" s="1" t="n"/>
    </row>
    <row r="5">
      <c r="A5" s="1" t="n"/>
      <c r="B5" s="59" t="inlineStr">
        <is>
          <t>Req ID</t>
        </is>
      </c>
      <c r="C5" s="59" t="inlineStr">
        <is>
          <t>Yêu cầu (mô tả)</t>
        </is>
      </c>
      <c r="D5" s="59" t="inlineStr">
        <is>
          <t>Nguồn (DOC)</t>
        </is>
      </c>
      <c r="E5" s="59" t="inlineStr">
        <is>
          <t>Số TC</t>
        </is>
      </c>
      <c r="F5" s="59" t="inlineStr">
        <is>
          <t>Đã chạy</t>
        </is>
      </c>
      <c r="G5" s="59" t="inlineStr">
        <is>
          <t>Pass</t>
        </is>
      </c>
      <c r="H5" s="59" t="inlineStr">
        <is>
          <t>Fail</t>
        </is>
      </c>
      <c r="I5" s="59" t="inlineStr">
        <is>
          <t>Block</t>
        </is>
      </c>
      <c r="J5" s="59" t="inlineStr">
        <is>
          <t>N/A</t>
        </is>
      </c>
      <c r="K5" s="59" t="inlineStr">
        <is>
          <t>% phủ</t>
        </is>
      </c>
      <c r="L5" s="59" t="inlineStr">
        <is>
          <t>Trạng thái</t>
        </is>
      </c>
    </row>
    <row r="6">
      <c r="A6" s="1" t="n"/>
      <c r="B6" s="112" t="inlineStr">
        <is>
          <t>REQ-ACT-001</t>
        </is>
      </c>
      <c r="C6" s="261" t="inlineStr">
        <is>
          <t>Nguồn (v1.0) — `DOC-v1.0-02 §3.7` + `KP-01 §3 KB-ORD-07` (quan sát app 2026-07-27): "Màn Hoạt động có 2 tab: **Đang diễn ra** / **Đã hoàn thành**.</t>
        </is>
      </c>
      <c r="D6" s="113" t="inlineStr">
        <is>
          <t>DOC-v1.1-01 §8.17.1 EMP-05 / EMP-06 · trang 51</t>
        </is>
      </c>
      <c r="E6" s="53">
        <f>SUMPRODUCT(--ISNUMBER(SEARCH(", "&amp;$B6&amp;", ",", "&amp;'Hoạt động (Đơn của tôi)'!$B$7:$B$500&amp;", ")))+SUMPRODUCT(--ISNUMBER(SEARCH(", "&amp;$B6&amp;", ",", "&amp;'Ghép nối'!$B$7:$B$500&amp;", ")))+SUMPRODUCT(--ISNUMBER(SEARCH(", "&amp;$B6&amp;", ",", "&amp;'Huỷ đơn - Huỷ nhận đơn'!$B$7:$B$500&amp;", ")))+SUMPRODUCT(--ISNUMBER(SEARCH(", "&amp;$B6&amp;", ",", "&amp;'Giao nhận &amp; Theo dõi đơn'!$B$7:$B$500&amp;", ")))+SUMPRODUCT(--ISNUMBER(SEARCH(", "&amp;$B6&amp;", ",", "&amp;'Bảng tin &amp; Chi tiết tin'!$B$7:$B$500&amp;", ")))+SUMPRODUCT(--ISNUMBER(SEARCH(", "&amp;$B6&amp;", ",", "&amp;'Quà cảm ơn'!$B$7:$B$500&amp;", ")))+SUMPRODUCT(--ISNUMBER(SEARCH(", "&amp;$B6&amp;", ",", "&amp;'Trang chủ'!$B$7:$B$500&amp;", ")))+SUMPRODUCT(--ISNUMBER(SEARCH(", "&amp;$B6&amp;", ",", "&amp;'Thông báo'!$B$7:$B$500&amp;", ")))+SUMPRODUCT(--ISNUMBER(SEARCH(", "&amp;$B6&amp;", ",", "&amp;'Đăng tin &amp; Quản lý tin'!$B$7:$B$500&amp;", ")))+SUMPRODUCT(--ISNUMBER(SEARCH(", "&amp;$B6&amp;", ",", "&amp;'Trust &amp; Safety'!$B$7:$B$500&amp;", ")))+SUMPRODUCT(--ISNUMBER(SEARCH(", "&amp;$B6&amp;", ",", "&amp;'Tài khoản &amp; Hồ sơ'!$B$7:$B$500&amp;", ")))</f>
        <v/>
      </c>
      <c r="F6" s="53">
        <f>SUMPRODUCT(--ISNUMBER(SEARCH(", "&amp;$B6&amp;", ",", "&amp;'Hoạt động (Đơn của tôi)'!$B$7:$B$500&amp;", ")),--('Hoạt động (Đơn của tôi)'!$AT$7:$AT$500&lt;&gt;""))+SUMPRODUCT(--ISNUMBER(SEARCH(", "&amp;$B6&amp;", ",", "&amp;'Ghép nối'!$B$7:$B$500&amp;", ")),--('Ghép nối'!$AT$7:$AT$500&lt;&gt;""))+SUMPRODUCT(--ISNUMBER(SEARCH(", "&amp;$B6&amp;", ",", "&amp;'Huỷ đơn - Huỷ nhận đơn'!$B$7:$B$500&amp;", ")),--('Huỷ đơn - Huỷ nhận đơn'!$AT$7:$AT$500&lt;&gt;""))+SUMPRODUCT(--ISNUMBER(SEARCH(", "&amp;$B6&amp;", ",", "&amp;'Giao nhận &amp; Theo dõi đơn'!$B$7:$B$500&amp;", ")),--('Giao nhận &amp; Theo dõi đơn'!$AT$7:$AT$500&lt;&gt;""))+SUMPRODUCT(--ISNUMBER(SEARCH(", "&amp;$B6&amp;", ",", "&amp;'Bảng tin &amp; Chi tiết tin'!$B$7:$B$500&amp;", ")),--('Bảng tin &amp; Chi tiết tin'!$AT$7:$AT$500&lt;&gt;""))+SUMPRODUCT(--ISNUMBER(SEARCH(", "&amp;$B6&amp;", ",", "&amp;'Quà cảm ơn'!$B$7:$B$500&amp;", ")),--('Quà cảm ơn'!$AT$7:$AT$500&lt;&gt;""))+SUMPRODUCT(--ISNUMBER(SEARCH(", "&amp;$B6&amp;", ",", "&amp;'Trang chủ'!$B$7:$B$500&amp;", ")),--('Trang chủ'!$AT$7:$AT$500&lt;&gt;""))+SUMPRODUCT(--ISNUMBER(SEARCH(", "&amp;$B6&amp;", ",", "&amp;'Thông báo'!$B$7:$B$500&amp;", ")),--('Thông báo'!$AT$7:$AT$500&lt;&gt;""))+SUMPRODUCT(--ISNUMBER(SEARCH(", "&amp;$B6&amp;", ",", "&amp;'Đăng tin &amp; Quản lý tin'!$B$7:$B$500&amp;", ")),--('Đăng tin &amp; Quản lý tin'!$AT$7:$AT$500&lt;&gt;""))+SUMPRODUCT(--ISNUMBER(SEARCH(", "&amp;$B6&amp;", ",", "&amp;'Trust &amp; Safety'!$B$7:$B$500&amp;", ")),--('Trust &amp; Safety'!$AT$7:$AT$500&lt;&gt;""))+SUMPRODUCT(--ISNUMBER(SEARCH(", "&amp;$B6&amp;", ",", "&amp;'Tài khoản &amp; Hồ sơ'!$B$7:$B$500&amp;", ")),--('Tài khoản &amp; Hồ sơ'!$AT$7:$AT$500&lt;&gt;""))</f>
        <v/>
      </c>
      <c r="G6" s="53">
        <f>SUMPRODUCT(--ISNUMBER(SEARCH(", "&amp;$B6&amp;", ",", "&amp;'Hoạt động (Đơn của tôi)'!$B$7:$B$500&amp;", ")),--('Hoạt động (Đơn của tôi)'!$AT$7:$AT$500="Pass"))+SUMPRODUCT(--ISNUMBER(SEARCH(", "&amp;$B6&amp;", ",", "&amp;'Ghép nối'!$B$7:$B$500&amp;", ")),--('Ghép nối'!$AT$7:$AT$500="Pass"))+SUMPRODUCT(--ISNUMBER(SEARCH(", "&amp;$B6&amp;", ",", "&amp;'Huỷ đơn - Huỷ nhận đơn'!$B$7:$B$500&amp;", ")),--('Huỷ đơn - Huỷ nhận đơn'!$AT$7:$AT$500="Pass"))+SUMPRODUCT(--ISNUMBER(SEARCH(", "&amp;$B6&amp;", ",", "&amp;'Giao nhận &amp; Theo dõi đơn'!$B$7:$B$500&amp;", ")),--('Giao nhận &amp; Theo dõi đơn'!$AT$7:$AT$500="Pass"))+SUMPRODUCT(--ISNUMBER(SEARCH(", "&amp;$B6&amp;", ",", "&amp;'Bảng tin &amp; Chi tiết tin'!$B$7:$B$500&amp;", ")),--('Bảng tin &amp; Chi tiết tin'!$AT$7:$AT$500="Pass"))+SUMPRODUCT(--ISNUMBER(SEARCH(", "&amp;$B6&amp;", ",", "&amp;'Quà cảm ơn'!$B$7:$B$500&amp;", ")),--('Quà cảm ơn'!$AT$7:$AT$500="Pass"))+SUMPRODUCT(--ISNUMBER(SEARCH(", "&amp;$B6&amp;", ",", "&amp;'Trang chủ'!$B$7:$B$500&amp;", ")),--('Trang chủ'!$AT$7:$AT$500="Pass"))+SUMPRODUCT(--ISNUMBER(SEARCH(", "&amp;$B6&amp;", ",", "&amp;'Thông báo'!$B$7:$B$500&amp;", ")),--('Thông báo'!$AT$7:$AT$500="Pass"))+SUMPRODUCT(--ISNUMBER(SEARCH(", "&amp;$B6&amp;", ",", "&amp;'Đăng tin &amp; Quản lý tin'!$B$7:$B$500&amp;", ")),--('Đăng tin &amp; Quản lý tin'!$AT$7:$AT$500="Pass"))+SUMPRODUCT(--ISNUMBER(SEARCH(", "&amp;$B6&amp;", ",", "&amp;'Trust &amp; Safety'!$B$7:$B$500&amp;", ")),--('Trust &amp; Safety'!$AT$7:$AT$500="Pass"))+SUMPRODUCT(--ISNUMBER(SEARCH(", "&amp;$B6&amp;", ",", "&amp;'Tài khoản &amp; Hồ sơ'!$B$7:$B$500&amp;", ")),--('Tài khoản &amp; Hồ sơ'!$AT$7:$AT$500="Pass"))</f>
        <v/>
      </c>
      <c r="H6" s="53">
        <f>SUMPRODUCT(--ISNUMBER(SEARCH(", "&amp;$B6&amp;", ",", "&amp;'Hoạt động (Đơn của tôi)'!$B$7:$B$500&amp;", ")),--('Hoạt động (Đơn của tôi)'!$AT$7:$AT$500="Fail"))+SUMPRODUCT(--ISNUMBER(SEARCH(", "&amp;$B6&amp;", ",", "&amp;'Ghép nối'!$B$7:$B$500&amp;", ")),--('Ghép nối'!$AT$7:$AT$500="Fail"))+SUMPRODUCT(--ISNUMBER(SEARCH(", "&amp;$B6&amp;", ",", "&amp;'Huỷ đơn - Huỷ nhận đơn'!$B$7:$B$500&amp;", ")),--('Huỷ đơn - Huỷ nhận đơn'!$AT$7:$AT$500="Fail"))+SUMPRODUCT(--ISNUMBER(SEARCH(", "&amp;$B6&amp;", ",", "&amp;'Giao nhận &amp; Theo dõi đơn'!$B$7:$B$500&amp;", ")),--('Giao nhận &amp; Theo dõi đơn'!$AT$7:$AT$500="Fail"))+SUMPRODUCT(--ISNUMBER(SEARCH(", "&amp;$B6&amp;", ",", "&amp;'Bảng tin &amp; Chi tiết tin'!$B$7:$B$500&amp;", ")),--('Bảng tin &amp; Chi tiết tin'!$AT$7:$AT$500="Fail"))+SUMPRODUCT(--ISNUMBER(SEARCH(", "&amp;$B6&amp;", ",", "&amp;'Quà cảm ơn'!$B$7:$B$500&amp;", ")),--('Quà cảm ơn'!$AT$7:$AT$500="Fail"))+SUMPRODUCT(--ISNUMBER(SEARCH(", "&amp;$B6&amp;", ",", "&amp;'Trang chủ'!$B$7:$B$500&amp;", ")),--('Trang chủ'!$AT$7:$AT$500="Fail"))+SUMPRODUCT(--ISNUMBER(SEARCH(", "&amp;$B6&amp;", ",", "&amp;'Thông báo'!$B$7:$B$500&amp;", ")),--('Thông báo'!$AT$7:$AT$500="Fail"))+SUMPRODUCT(--ISNUMBER(SEARCH(", "&amp;$B6&amp;", ",", "&amp;'Đăng tin &amp; Quản lý tin'!$B$7:$B$500&amp;", ")),--('Đăng tin &amp; Quản lý tin'!$AT$7:$AT$500="Fail"))+SUMPRODUCT(--ISNUMBER(SEARCH(", "&amp;$B6&amp;", ",", "&amp;'Trust &amp; Safety'!$B$7:$B$500&amp;", ")),--('Trust &amp; Safety'!$AT$7:$AT$500="Fail"))+SUMPRODUCT(--ISNUMBER(SEARCH(", "&amp;$B6&amp;", ",", "&amp;'Tài khoản &amp; Hồ sơ'!$B$7:$B$500&amp;", ")),--('Tài khoản &amp; Hồ sơ'!$AT$7:$AT$500="Fail"))</f>
        <v/>
      </c>
      <c r="I6" s="53">
        <f>SUMPRODUCT(--ISNUMBER(SEARCH(", "&amp;$B6&amp;", ",", "&amp;'Hoạt động (Đơn của tôi)'!$B$7:$B$500&amp;", ")),--('Hoạt động (Đơn của tôi)'!$AT$7:$AT$500="Block"))+SUMPRODUCT(--ISNUMBER(SEARCH(", "&amp;$B6&amp;", ",", "&amp;'Ghép nối'!$B$7:$B$500&amp;", ")),--('Ghép nối'!$AT$7:$AT$500="Block"))+SUMPRODUCT(--ISNUMBER(SEARCH(", "&amp;$B6&amp;", ",", "&amp;'Huỷ đơn - Huỷ nhận đơn'!$B$7:$B$500&amp;", ")),--('Huỷ đơn - Huỷ nhận đơn'!$AT$7:$AT$500="Block"))+SUMPRODUCT(--ISNUMBER(SEARCH(", "&amp;$B6&amp;", ",", "&amp;'Giao nhận &amp; Theo dõi đơn'!$B$7:$B$500&amp;", ")),--('Giao nhận &amp; Theo dõi đơn'!$AT$7:$AT$500="Block"))+SUMPRODUCT(--ISNUMBER(SEARCH(", "&amp;$B6&amp;", ",", "&amp;'Bảng tin &amp; Chi tiết tin'!$B$7:$B$500&amp;", ")),--('Bảng tin &amp; Chi tiết tin'!$AT$7:$AT$500="Block"))+SUMPRODUCT(--ISNUMBER(SEARCH(", "&amp;$B6&amp;", ",", "&amp;'Quà cảm ơn'!$B$7:$B$500&amp;", ")),--('Quà cảm ơn'!$AT$7:$AT$500="Block"))+SUMPRODUCT(--ISNUMBER(SEARCH(", "&amp;$B6&amp;", ",", "&amp;'Trang chủ'!$B$7:$B$500&amp;", ")),--('Trang chủ'!$AT$7:$AT$500="Block"))+SUMPRODUCT(--ISNUMBER(SEARCH(", "&amp;$B6&amp;", ",", "&amp;'Thông báo'!$B$7:$B$500&amp;", ")),--('Thông báo'!$AT$7:$AT$500="Block"))+SUMPRODUCT(--ISNUMBER(SEARCH(", "&amp;$B6&amp;", ",", "&amp;'Đăng tin &amp; Quản lý tin'!$B$7:$B$500&amp;", ")),--('Đăng tin &amp; Quản lý tin'!$AT$7:$AT$500="Block"))+SUMPRODUCT(--ISNUMBER(SEARCH(", "&amp;$B6&amp;", ",", "&amp;'Trust &amp; Safety'!$B$7:$B$500&amp;", ")),--('Trust &amp; Safety'!$AT$7:$AT$500="Block"))+SUMPRODUCT(--ISNUMBER(SEARCH(", "&amp;$B6&amp;", ",", "&amp;'Tài khoản &amp; Hồ sơ'!$B$7:$B$500&amp;", ")),--('Tài khoản &amp; Hồ sơ'!$AT$7:$AT$500="Block"))</f>
        <v/>
      </c>
      <c r="J6" s="53">
        <f>SUMPRODUCT(--ISNUMBER(SEARCH(", "&amp;$B6&amp;", ",", "&amp;'Hoạt động (Đơn của tôi)'!$B$7:$B$500&amp;", ")),--('Hoạt động (Đơn của tôi)'!$AT$7:$AT$500="N/A"))+SUMPRODUCT(--ISNUMBER(SEARCH(", "&amp;$B6&amp;", ",", "&amp;'Ghép nối'!$B$7:$B$500&amp;", ")),--('Ghép nối'!$AT$7:$AT$500="N/A"))+SUMPRODUCT(--ISNUMBER(SEARCH(", "&amp;$B6&amp;", ",", "&amp;'Huỷ đơn - Huỷ nhận đơn'!$B$7:$B$500&amp;", ")),--('Huỷ đơn - Huỷ nhận đơn'!$AT$7:$AT$500="N/A"))+SUMPRODUCT(--ISNUMBER(SEARCH(", "&amp;$B6&amp;", ",", "&amp;'Giao nhận &amp; Theo dõi đơn'!$B$7:$B$500&amp;", ")),--('Giao nhận &amp; Theo dõi đơn'!$AT$7:$AT$500="N/A"))+SUMPRODUCT(--ISNUMBER(SEARCH(", "&amp;$B6&amp;", ",", "&amp;'Bảng tin &amp; Chi tiết tin'!$B$7:$B$500&amp;", ")),--('Bảng tin &amp; Chi tiết tin'!$AT$7:$AT$500="N/A"))+SUMPRODUCT(--ISNUMBER(SEARCH(", "&amp;$B6&amp;", ",", "&amp;'Quà cảm ơn'!$B$7:$B$500&amp;", ")),--('Quà cảm ơn'!$AT$7:$AT$500="N/A"))+SUMPRODUCT(--ISNUMBER(SEARCH(", "&amp;$B6&amp;", ",", "&amp;'Trang chủ'!$B$7:$B$500&amp;", ")),--('Trang chủ'!$AT$7:$AT$500="N/A"))+SUMPRODUCT(--ISNUMBER(SEARCH(", "&amp;$B6&amp;", ",", "&amp;'Thông báo'!$B$7:$B$500&amp;", ")),--('Thông báo'!$AT$7:$AT$500="N/A"))+SUMPRODUCT(--ISNUMBER(SEARCH(", "&amp;$B6&amp;", ",", "&amp;'Đăng tin &amp; Quản lý tin'!$B$7:$B$500&amp;", ")),--('Đăng tin &amp; Quản lý tin'!$AT$7:$AT$500="N/A"))+SUMPRODUCT(--ISNUMBER(SEARCH(", "&amp;$B6&amp;", ",", "&amp;'Trust &amp; Safety'!$B$7:$B$500&amp;", ")),--('Trust &amp; Safety'!$AT$7:$AT$500="N/A"))+SUMPRODUCT(--ISNUMBER(SEARCH(", "&amp;$B6&amp;", ",", "&amp;'Tài khoản &amp; Hồ sơ'!$B$7:$B$500&amp;", ")),--('Tài khoản &amp; Hồ sơ'!$AT$7:$AT$500="N/A"))</f>
        <v/>
      </c>
      <c r="K6" s="54">
        <f>IFERROR(F6/E6,0)</f>
        <v/>
      </c>
      <c r="L6" s="113">
        <f>IF(E6=0,"Chưa có TC (gap)",IF(H6&gt;0,"Có lỗi (Fail)",IF(I6&gt;0,"Bị block",IF(F6&lt;E6,"Đang test",IF(G6=0,"Không áp dụng (N/A)","Đã test xong")))))</f>
        <v/>
      </c>
      <c r="AB6" t="inlineStr">
        <is>
          <t>REQ-ACT</t>
        </is>
      </c>
      <c r="AD6" t="inlineStr">
        <is>
          <t>REQ-ACT</t>
        </is>
      </c>
      <c r="AE6">
        <f>SUMIF($AB$6:$AB$143,$AD6,$E$6:$E$143)</f>
        <v/>
      </c>
      <c r="AF6">
        <f>SUMIF($AB$6:$AB$143,$AD6,$F$6:$F$143)</f>
        <v/>
      </c>
    </row>
    <row r="7">
      <c r="A7" s="1" t="n"/>
      <c r="B7" s="112" t="inlineStr">
        <is>
          <t>REQ-ACT-004</t>
        </is>
      </c>
      <c r="C7" s="261" t="inlineStr">
        <is>
          <t>Nguồn (v1.0) — `DOC-v1.0-02 §3.7 đoạn 3` + `DOC-v1.0-01 §D1b US-D04 L166`: "Tab 'Đã hoàn thành' liệt kê các đơn đã kết thúc.</t>
        </is>
      </c>
      <c r="D7" s="113" t="inlineStr">
        <is>
          <t>DOC-v1.1-01 §6.2 AC-24.2.01 · trang 25</t>
        </is>
      </c>
      <c r="E7" s="53">
        <f>SUMPRODUCT(--ISNUMBER(SEARCH(", "&amp;$B7&amp;", ",", "&amp;'Hoạt động (Đơn của tôi)'!$B$7:$B$500&amp;", ")))+SUMPRODUCT(--ISNUMBER(SEARCH(", "&amp;$B7&amp;", ",", "&amp;'Ghép nối'!$B$7:$B$500&amp;", ")))+SUMPRODUCT(--ISNUMBER(SEARCH(", "&amp;$B7&amp;", ",", "&amp;'Huỷ đơn - Huỷ nhận đơn'!$B$7:$B$500&amp;", ")))+SUMPRODUCT(--ISNUMBER(SEARCH(", "&amp;$B7&amp;", ",", "&amp;'Giao nhận &amp; Theo dõi đơn'!$B$7:$B$500&amp;", ")))+SUMPRODUCT(--ISNUMBER(SEARCH(", "&amp;$B7&amp;", ",", "&amp;'Bảng tin &amp; Chi tiết tin'!$B$7:$B$500&amp;", ")))+SUMPRODUCT(--ISNUMBER(SEARCH(", "&amp;$B7&amp;", ",", "&amp;'Quà cảm ơn'!$B$7:$B$500&amp;", ")))+SUMPRODUCT(--ISNUMBER(SEARCH(", "&amp;$B7&amp;", ",", "&amp;'Trang chủ'!$B$7:$B$500&amp;", ")))+SUMPRODUCT(--ISNUMBER(SEARCH(", "&amp;$B7&amp;", ",", "&amp;'Thông báo'!$B$7:$B$500&amp;", ")))+SUMPRODUCT(--ISNUMBER(SEARCH(", "&amp;$B7&amp;", ",", "&amp;'Đăng tin &amp; Quản lý tin'!$B$7:$B$500&amp;", ")))+SUMPRODUCT(--ISNUMBER(SEARCH(", "&amp;$B7&amp;", ",", "&amp;'Trust &amp; Safety'!$B$7:$B$500&amp;", ")))+SUMPRODUCT(--ISNUMBER(SEARCH(", "&amp;$B7&amp;", ",", "&amp;'Tài khoản &amp; Hồ sơ'!$B$7:$B$500&amp;", ")))</f>
        <v/>
      </c>
      <c r="F7" s="53">
        <f>SUMPRODUCT(--ISNUMBER(SEARCH(", "&amp;$B7&amp;", ",", "&amp;'Hoạt động (Đơn của tôi)'!$B$7:$B$500&amp;", ")),--('Hoạt động (Đơn của tôi)'!$AT$7:$AT$500&lt;&gt;""))+SUMPRODUCT(--ISNUMBER(SEARCH(", "&amp;$B7&amp;", ",", "&amp;'Ghép nối'!$B$7:$B$500&amp;", ")),--('Ghép nối'!$AT$7:$AT$500&lt;&gt;""))+SUMPRODUCT(--ISNUMBER(SEARCH(", "&amp;$B7&amp;", ",", "&amp;'Huỷ đơn - Huỷ nhận đơn'!$B$7:$B$500&amp;", ")),--('Huỷ đơn - Huỷ nhận đơn'!$AT$7:$AT$500&lt;&gt;""))+SUMPRODUCT(--ISNUMBER(SEARCH(", "&amp;$B7&amp;", ",", "&amp;'Giao nhận &amp; Theo dõi đơn'!$B$7:$B$500&amp;", ")),--('Giao nhận &amp; Theo dõi đơn'!$AT$7:$AT$500&lt;&gt;""))+SUMPRODUCT(--ISNUMBER(SEARCH(", "&amp;$B7&amp;", ",", "&amp;'Bảng tin &amp; Chi tiết tin'!$B$7:$B$500&amp;", ")),--('Bảng tin &amp; Chi tiết tin'!$AT$7:$AT$500&lt;&gt;""))+SUMPRODUCT(--ISNUMBER(SEARCH(", "&amp;$B7&amp;", ",", "&amp;'Quà cảm ơn'!$B$7:$B$500&amp;", ")),--('Quà cảm ơn'!$AT$7:$AT$500&lt;&gt;""))+SUMPRODUCT(--ISNUMBER(SEARCH(", "&amp;$B7&amp;", ",", "&amp;'Trang chủ'!$B$7:$B$500&amp;", ")),--('Trang chủ'!$AT$7:$AT$500&lt;&gt;""))+SUMPRODUCT(--ISNUMBER(SEARCH(", "&amp;$B7&amp;", ",", "&amp;'Thông báo'!$B$7:$B$500&amp;", ")),--('Thông báo'!$AT$7:$AT$500&lt;&gt;""))+SUMPRODUCT(--ISNUMBER(SEARCH(", "&amp;$B7&amp;", ",", "&amp;'Đăng tin &amp; Quản lý tin'!$B$7:$B$500&amp;", ")),--('Đăng tin &amp; Quản lý tin'!$AT$7:$AT$500&lt;&gt;""))+SUMPRODUCT(--ISNUMBER(SEARCH(", "&amp;$B7&amp;", ",", "&amp;'Trust &amp; Safety'!$B$7:$B$500&amp;", ")),--('Trust &amp; Safety'!$AT$7:$AT$500&lt;&gt;""))+SUMPRODUCT(--ISNUMBER(SEARCH(", "&amp;$B7&amp;", ",", "&amp;'Tài khoản &amp; Hồ sơ'!$B$7:$B$500&amp;", ")),--('Tài khoản &amp; Hồ sơ'!$AT$7:$AT$500&lt;&gt;""))</f>
        <v/>
      </c>
      <c r="G7" s="53">
        <f>SUMPRODUCT(--ISNUMBER(SEARCH(", "&amp;$B7&amp;", ",", "&amp;'Hoạt động (Đơn của tôi)'!$B$7:$B$500&amp;", ")),--('Hoạt động (Đơn của tôi)'!$AT$7:$AT$500="Pass"))+SUMPRODUCT(--ISNUMBER(SEARCH(", "&amp;$B7&amp;", ",", "&amp;'Ghép nối'!$B$7:$B$500&amp;", ")),--('Ghép nối'!$AT$7:$AT$500="Pass"))+SUMPRODUCT(--ISNUMBER(SEARCH(", "&amp;$B7&amp;", ",", "&amp;'Huỷ đơn - Huỷ nhận đơn'!$B$7:$B$500&amp;", ")),--('Huỷ đơn - Huỷ nhận đơn'!$AT$7:$AT$500="Pass"))+SUMPRODUCT(--ISNUMBER(SEARCH(", "&amp;$B7&amp;", ",", "&amp;'Giao nhận &amp; Theo dõi đơn'!$B$7:$B$500&amp;", ")),--('Giao nhận &amp; Theo dõi đơn'!$AT$7:$AT$500="Pass"))+SUMPRODUCT(--ISNUMBER(SEARCH(", "&amp;$B7&amp;", ",", "&amp;'Bảng tin &amp; Chi tiết tin'!$B$7:$B$500&amp;", ")),--('Bảng tin &amp; Chi tiết tin'!$AT$7:$AT$500="Pass"))+SUMPRODUCT(--ISNUMBER(SEARCH(", "&amp;$B7&amp;", ",", "&amp;'Quà cảm ơn'!$B$7:$B$500&amp;", ")),--('Quà cảm ơn'!$AT$7:$AT$500="Pass"))+SUMPRODUCT(--ISNUMBER(SEARCH(", "&amp;$B7&amp;", ",", "&amp;'Trang chủ'!$B$7:$B$500&amp;", ")),--('Trang chủ'!$AT$7:$AT$500="Pass"))+SUMPRODUCT(--ISNUMBER(SEARCH(", "&amp;$B7&amp;", ",", "&amp;'Thông báo'!$B$7:$B$500&amp;", ")),--('Thông báo'!$AT$7:$AT$500="Pass"))+SUMPRODUCT(--ISNUMBER(SEARCH(", "&amp;$B7&amp;", ",", "&amp;'Đăng tin &amp; Quản lý tin'!$B$7:$B$500&amp;", ")),--('Đăng tin &amp; Quản lý tin'!$AT$7:$AT$500="Pass"))+SUMPRODUCT(--ISNUMBER(SEARCH(", "&amp;$B7&amp;", ",", "&amp;'Trust &amp; Safety'!$B$7:$B$500&amp;", ")),--('Trust &amp; Safety'!$AT$7:$AT$500="Pass"))+SUMPRODUCT(--ISNUMBER(SEARCH(", "&amp;$B7&amp;", ",", "&amp;'Tài khoản &amp; Hồ sơ'!$B$7:$B$500&amp;", ")),--('Tài khoản &amp; Hồ sơ'!$AT$7:$AT$500="Pass"))</f>
        <v/>
      </c>
      <c r="H7" s="53">
        <f>SUMPRODUCT(--ISNUMBER(SEARCH(", "&amp;$B7&amp;", ",", "&amp;'Hoạt động (Đơn của tôi)'!$B$7:$B$500&amp;", ")),--('Hoạt động (Đơn của tôi)'!$AT$7:$AT$500="Fail"))+SUMPRODUCT(--ISNUMBER(SEARCH(", "&amp;$B7&amp;", ",", "&amp;'Ghép nối'!$B$7:$B$500&amp;", ")),--('Ghép nối'!$AT$7:$AT$500="Fail"))+SUMPRODUCT(--ISNUMBER(SEARCH(", "&amp;$B7&amp;", ",", "&amp;'Huỷ đơn - Huỷ nhận đơn'!$B$7:$B$500&amp;", ")),--('Huỷ đơn - Huỷ nhận đơn'!$AT$7:$AT$500="Fail"))+SUMPRODUCT(--ISNUMBER(SEARCH(", "&amp;$B7&amp;", ",", "&amp;'Giao nhận &amp; Theo dõi đơn'!$B$7:$B$500&amp;", ")),--('Giao nhận &amp; Theo dõi đơn'!$AT$7:$AT$500="Fail"))+SUMPRODUCT(--ISNUMBER(SEARCH(", "&amp;$B7&amp;", ",", "&amp;'Bảng tin &amp; Chi tiết tin'!$B$7:$B$500&amp;", ")),--('Bảng tin &amp; Chi tiết tin'!$AT$7:$AT$500="Fail"))+SUMPRODUCT(--ISNUMBER(SEARCH(", "&amp;$B7&amp;", ",", "&amp;'Quà cảm ơn'!$B$7:$B$500&amp;", ")),--('Quà cảm ơn'!$AT$7:$AT$500="Fail"))+SUMPRODUCT(--ISNUMBER(SEARCH(", "&amp;$B7&amp;", ",", "&amp;'Trang chủ'!$B$7:$B$500&amp;", ")),--('Trang chủ'!$AT$7:$AT$500="Fail"))+SUMPRODUCT(--ISNUMBER(SEARCH(", "&amp;$B7&amp;", ",", "&amp;'Thông báo'!$B$7:$B$500&amp;", ")),--('Thông báo'!$AT$7:$AT$500="Fail"))+SUMPRODUCT(--ISNUMBER(SEARCH(", "&amp;$B7&amp;", ",", "&amp;'Đăng tin &amp; Quản lý tin'!$B$7:$B$500&amp;", ")),--('Đăng tin &amp; Quản lý tin'!$AT$7:$AT$500="Fail"))+SUMPRODUCT(--ISNUMBER(SEARCH(", "&amp;$B7&amp;", ",", "&amp;'Trust &amp; Safety'!$B$7:$B$500&amp;", ")),--('Trust &amp; Safety'!$AT$7:$AT$500="Fail"))+SUMPRODUCT(--ISNUMBER(SEARCH(", "&amp;$B7&amp;", ",", "&amp;'Tài khoản &amp; Hồ sơ'!$B$7:$B$500&amp;", ")),--('Tài khoản &amp; Hồ sơ'!$AT$7:$AT$500="Fail"))</f>
        <v/>
      </c>
      <c r="I7" s="53">
        <f>SUMPRODUCT(--ISNUMBER(SEARCH(", "&amp;$B7&amp;", ",", "&amp;'Hoạt động (Đơn của tôi)'!$B$7:$B$500&amp;", ")),--('Hoạt động (Đơn của tôi)'!$AT$7:$AT$500="Block"))+SUMPRODUCT(--ISNUMBER(SEARCH(", "&amp;$B7&amp;", ",", "&amp;'Ghép nối'!$B$7:$B$500&amp;", ")),--('Ghép nối'!$AT$7:$AT$500="Block"))+SUMPRODUCT(--ISNUMBER(SEARCH(", "&amp;$B7&amp;", ",", "&amp;'Huỷ đơn - Huỷ nhận đơn'!$B$7:$B$500&amp;", ")),--('Huỷ đơn - Huỷ nhận đơn'!$AT$7:$AT$500="Block"))+SUMPRODUCT(--ISNUMBER(SEARCH(", "&amp;$B7&amp;", ",", "&amp;'Giao nhận &amp; Theo dõi đơn'!$B$7:$B$500&amp;", ")),--('Giao nhận &amp; Theo dõi đơn'!$AT$7:$AT$500="Block"))+SUMPRODUCT(--ISNUMBER(SEARCH(", "&amp;$B7&amp;", ",", "&amp;'Bảng tin &amp; Chi tiết tin'!$B$7:$B$500&amp;", ")),--('Bảng tin &amp; Chi tiết tin'!$AT$7:$AT$500="Block"))+SUMPRODUCT(--ISNUMBER(SEARCH(", "&amp;$B7&amp;", ",", "&amp;'Quà cảm ơn'!$B$7:$B$500&amp;", ")),--('Quà cảm ơn'!$AT$7:$AT$500="Block"))+SUMPRODUCT(--ISNUMBER(SEARCH(", "&amp;$B7&amp;", ",", "&amp;'Trang chủ'!$B$7:$B$500&amp;", ")),--('Trang chủ'!$AT$7:$AT$500="Block"))+SUMPRODUCT(--ISNUMBER(SEARCH(", "&amp;$B7&amp;", ",", "&amp;'Thông báo'!$B$7:$B$500&amp;", ")),--('Thông báo'!$AT$7:$AT$500="Block"))+SUMPRODUCT(--ISNUMBER(SEARCH(", "&amp;$B7&amp;", ",", "&amp;'Đăng tin &amp; Quản lý tin'!$B$7:$B$500&amp;", ")),--('Đăng tin &amp; Quản lý tin'!$AT$7:$AT$500="Block"))+SUMPRODUCT(--ISNUMBER(SEARCH(", "&amp;$B7&amp;", ",", "&amp;'Trust &amp; Safety'!$B$7:$B$500&amp;", ")),--('Trust &amp; Safety'!$AT$7:$AT$500="Block"))+SUMPRODUCT(--ISNUMBER(SEARCH(", "&amp;$B7&amp;", ",", "&amp;'Tài khoản &amp; Hồ sơ'!$B$7:$B$500&amp;", ")),--('Tài khoản &amp; Hồ sơ'!$AT$7:$AT$500="Block"))</f>
        <v/>
      </c>
      <c r="J7" s="53">
        <f>SUMPRODUCT(--ISNUMBER(SEARCH(", "&amp;$B7&amp;", ",", "&amp;'Hoạt động (Đơn của tôi)'!$B$7:$B$500&amp;", ")),--('Hoạt động (Đơn của tôi)'!$AT$7:$AT$500="N/A"))+SUMPRODUCT(--ISNUMBER(SEARCH(", "&amp;$B7&amp;", ",", "&amp;'Ghép nối'!$B$7:$B$500&amp;", ")),--('Ghép nối'!$AT$7:$AT$500="N/A"))+SUMPRODUCT(--ISNUMBER(SEARCH(", "&amp;$B7&amp;", ",", "&amp;'Huỷ đơn - Huỷ nhận đơn'!$B$7:$B$500&amp;", ")),--('Huỷ đơn - Huỷ nhận đơn'!$AT$7:$AT$500="N/A"))+SUMPRODUCT(--ISNUMBER(SEARCH(", "&amp;$B7&amp;", ",", "&amp;'Giao nhận &amp; Theo dõi đơn'!$B$7:$B$500&amp;", ")),--('Giao nhận &amp; Theo dõi đơn'!$AT$7:$AT$500="N/A"))+SUMPRODUCT(--ISNUMBER(SEARCH(", "&amp;$B7&amp;", ",", "&amp;'Bảng tin &amp; Chi tiết tin'!$B$7:$B$500&amp;", ")),--('Bảng tin &amp; Chi tiết tin'!$AT$7:$AT$500="N/A"))+SUMPRODUCT(--ISNUMBER(SEARCH(", "&amp;$B7&amp;", ",", "&amp;'Quà cảm ơn'!$B$7:$B$500&amp;", ")),--('Quà cảm ơn'!$AT$7:$AT$500="N/A"))+SUMPRODUCT(--ISNUMBER(SEARCH(", "&amp;$B7&amp;", ",", "&amp;'Trang chủ'!$B$7:$B$500&amp;", ")),--('Trang chủ'!$AT$7:$AT$500="N/A"))+SUMPRODUCT(--ISNUMBER(SEARCH(", "&amp;$B7&amp;", ",", "&amp;'Thông báo'!$B$7:$B$500&amp;", ")),--('Thông báo'!$AT$7:$AT$500="N/A"))+SUMPRODUCT(--ISNUMBER(SEARCH(", "&amp;$B7&amp;", ",", "&amp;'Đăng tin &amp; Quản lý tin'!$B$7:$B$500&amp;", ")),--('Đăng tin &amp; Quản lý tin'!$AT$7:$AT$500="N/A"))+SUMPRODUCT(--ISNUMBER(SEARCH(", "&amp;$B7&amp;", ",", "&amp;'Trust &amp; Safety'!$B$7:$B$500&amp;", ")),--('Trust &amp; Safety'!$AT$7:$AT$500="N/A"))+SUMPRODUCT(--ISNUMBER(SEARCH(", "&amp;$B7&amp;", ",", "&amp;'Tài khoản &amp; Hồ sơ'!$B$7:$B$500&amp;", ")),--('Tài khoản &amp; Hồ sơ'!$AT$7:$AT$500="N/A"))</f>
        <v/>
      </c>
      <c r="K7" s="54">
        <f>IFERROR(F7/E7,0)</f>
        <v/>
      </c>
      <c r="L7" s="113">
        <f>IF(E7=0,"Chưa có TC (gap)",IF(H7&gt;0,"Có lỗi (Fail)",IF(I7&gt;0,"Bị block",IF(F7&lt;E7,"Đang test",IF(G7=0,"Không áp dụng (N/A)","Đã test xong")))))</f>
        <v/>
      </c>
      <c r="AB7" t="inlineStr">
        <is>
          <t>REQ-ACT</t>
        </is>
      </c>
      <c r="AD7" t="inlineStr">
        <is>
          <t>REQ-ASN</t>
        </is>
      </c>
      <c r="AE7">
        <f>SUMIF($AB$6:$AB$143,$AD7,$E$6:$E$143)</f>
        <v/>
      </c>
      <c r="AF7">
        <f>SUMIF($AB$6:$AB$143,$AD7,$F$6:$F$143)</f>
        <v/>
      </c>
    </row>
    <row r="8">
      <c r="A8" s="1" t="n"/>
      <c r="B8" s="112" t="inlineStr">
        <is>
          <t>REQ-ACT-005</t>
        </is>
      </c>
      <c r="C8" s="261" t="inlineStr">
        <is>
          <t>Nguồn (v1.0) — `DOC-v1.0-06 KP-01 §3 KB-ORD-07 (#4,#6)` (quan sát app): card "Hết hạn" **có** lý do, nhưng **chuỗi lý do lấy từ màn hình**, không từ tài liệu.</t>
        </is>
      </c>
      <c r="D8" s="113" t="inlineStr">
        <is>
          <t>DOC-v1.1-01 §8.5.1 BR05-03 · trang 38</t>
        </is>
      </c>
      <c r="E8" s="53">
        <f>SUMPRODUCT(--ISNUMBER(SEARCH(", "&amp;$B8&amp;", ",", "&amp;'Hoạt động (Đơn của tôi)'!$B$7:$B$500&amp;", ")))+SUMPRODUCT(--ISNUMBER(SEARCH(", "&amp;$B8&amp;", ",", "&amp;'Ghép nối'!$B$7:$B$500&amp;", ")))+SUMPRODUCT(--ISNUMBER(SEARCH(", "&amp;$B8&amp;", ",", "&amp;'Huỷ đơn - Huỷ nhận đơn'!$B$7:$B$500&amp;", ")))+SUMPRODUCT(--ISNUMBER(SEARCH(", "&amp;$B8&amp;", ",", "&amp;'Giao nhận &amp; Theo dõi đơn'!$B$7:$B$500&amp;", ")))+SUMPRODUCT(--ISNUMBER(SEARCH(", "&amp;$B8&amp;", ",", "&amp;'Bảng tin &amp; Chi tiết tin'!$B$7:$B$500&amp;", ")))+SUMPRODUCT(--ISNUMBER(SEARCH(", "&amp;$B8&amp;", ",", "&amp;'Quà cảm ơn'!$B$7:$B$500&amp;", ")))+SUMPRODUCT(--ISNUMBER(SEARCH(", "&amp;$B8&amp;", ",", "&amp;'Trang chủ'!$B$7:$B$500&amp;", ")))+SUMPRODUCT(--ISNUMBER(SEARCH(", "&amp;$B8&amp;", ",", "&amp;'Thông báo'!$B$7:$B$500&amp;", ")))+SUMPRODUCT(--ISNUMBER(SEARCH(", "&amp;$B8&amp;", ",", "&amp;'Đăng tin &amp; Quản lý tin'!$B$7:$B$500&amp;", ")))+SUMPRODUCT(--ISNUMBER(SEARCH(", "&amp;$B8&amp;", ",", "&amp;'Trust &amp; Safety'!$B$7:$B$500&amp;", ")))+SUMPRODUCT(--ISNUMBER(SEARCH(", "&amp;$B8&amp;", ",", "&amp;'Tài khoản &amp; Hồ sơ'!$B$7:$B$500&amp;", ")))</f>
        <v/>
      </c>
      <c r="F8" s="53">
        <f>SUMPRODUCT(--ISNUMBER(SEARCH(", "&amp;$B8&amp;", ",", "&amp;'Hoạt động (Đơn của tôi)'!$B$7:$B$500&amp;", ")),--('Hoạt động (Đơn của tôi)'!$AT$7:$AT$500&lt;&gt;""))+SUMPRODUCT(--ISNUMBER(SEARCH(", "&amp;$B8&amp;", ",", "&amp;'Ghép nối'!$B$7:$B$500&amp;", ")),--('Ghép nối'!$AT$7:$AT$500&lt;&gt;""))+SUMPRODUCT(--ISNUMBER(SEARCH(", "&amp;$B8&amp;", ",", "&amp;'Huỷ đơn - Huỷ nhận đơn'!$B$7:$B$500&amp;", ")),--('Huỷ đơn - Huỷ nhận đơn'!$AT$7:$AT$500&lt;&gt;""))+SUMPRODUCT(--ISNUMBER(SEARCH(", "&amp;$B8&amp;", ",", "&amp;'Giao nhận &amp; Theo dõi đơn'!$B$7:$B$500&amp;", ")),--('Giao nhận &amp; Theo dõi đơn'!$AT$7:$AT$500&lt;&gt;""))+SUMPRODUCT(--ISNUMBER(SEARCH(", "&amp;$B8&amp;", ",", "&amp;'Bảng tin &amp; Chi tiết tin'!$B$7:$B$500&amp;", ")),--('Bảng tin &amp; Chi tiết tin'!$AT$7:$AT$500&lt;&gt;""))+SUMPRODUCT(--ISNUMBER(SEARCH(", "&amp;$B8&amp;", ",", "&amp;'Quà cảm ơn'!$B$7:$B$500&amp;", ")),--('Quà cảm ơn'!$AT$7:$AT$500&lt;&gt;""))+SUMPRODUCT(--ISNUMBER(SEARCH(", "&amp;$B8&amp;", ",", "&amp;'Trang chủ'!$B$7:$B$500&amp;", ")),--('Trang chủ'!$AT$7:$AT$500&lt;&gt;""))+SUMPRODUCT(--ISNUMBER(SEARCH(", "&amp;$B8&amp;", ",", "&amp;'Thông báo'!$B$7:$B$500&amp;", ")),--('Thông báo'!$AT$7:$AT$500&lt;&gt;""))+SUMPRODUCT(--ISNUMBER(SEARCH(", "&amp;$B8&amp;", ",", "&amp;'Đăng tin &amp; Quản lý tin'!$B$7:$B$500&amp;", ")),--('Đăng tin &amp; Quản lý tin'!$AT$7:$AT$500&lt;&gt;""))+SUMPRODUCT(--ISNUMBER(SEARCH(", "&amp;$B8&amp;", ",", "&amp;'Trust &amp; Safety'!$B$7:$B$500&amp;", ")),--('Trust &amp; Safety'!$AT$7:$AT$500&lt;&gt;""))+SUMPRODUCT(--ISNUMBER(SEARCH(", "&amp;$B8&amp;", ",", "&amp;'Tài khoản &amp; Hồ sơ'!$B$7:$B$500&amp;", ")),--('Tài khoản &amp; Hồ sơ'!$AT$7:$AT$500&lt;&gt;""))</f>
        <v/>
      </c>
      <c r="G8" s="53">
        <f>SUMPRODUCT(--ISNUMBER(SEARCH(", "&amp;$B8&amp;", ",", "&amp;'Hoạt động (Đơn của tôi)'!$B$7:$B$500&amp;", ")),--('Hoạt động (Đơn của tôi)'!$AT$7:$AT$500="Pass"))+SUMPRODUCT(--ISNUMBER(SEARCH(", "&amp;$B8&amp;", ",", "&amp;'Ghép nối'!$B$7:$B$500&amp;", ")),--('Ghép nối'!$AT$7:$AT$500="Pass"))+SUMPRODUCT(--ISNUMBER(SEARCH(", "&amp;$B8&amp;", ",", "&amp;'Huỷ đơn - Huỷ nhận đơn'!$B$7:$B$500&amp;", ")),--('Huỷ đơn - Huỷ nhận đơn'!$AT$7:$AT$500="Pass"))+SUMPRODUCT(--ISNUMBER(SEARCH(", "&amp;$B8&amp;", ",", "&amp;'Giao nhận &amp; Theo dõi đơn'!$B$7:$B$500&amp;", ")),--('Giao nhận &amp; Theo dõi đơn'!$AT$7:$AT$500="Pass"))+SUMPRODUCT(--ISNUMBER(SEARCH(", "&amp;$B8&amp;", ",", "&amp;'Bảng tin &amp; Chi tiết tin'!$B$7:$B$500&amp;", ")),--('Bảng tin &amp; Chi tiết tin'!$AT$7:$AT$500="Pass"))+SUMPRODUCT(--ISNUMBER(SEARCH(", "&amp;$B8&amp;", ",", "&amp;'Quà cảm ơn'!$B$7:$B$500&amp;", ")),--('Quà cảm ơn'!$AT$7:$AT$500="Pass"))+SUMPRODUCT(--ISNUMBER(SEARCH(", "&amp;$B8&amp;", ",", "&amp;'Trang chủ'!$B$7:$B$500&amp;", ")),--('Trang chủ'!$AT$7:$AT$500="Pass"))+SUMPRODUCT(--ISNUMBER(SEARCH(", "&amp;$B8&amp;", ",", "&amp;'Thông báo'!$B$7:$B$500&amp;", ")),--('Thông báo'!$AT$7:$AT$500="Pass"))+SUMPRODUCT(--ISNUMBER(SEARCH(", "&amp;$B8&amp;", ",", "&amp;'Đăng tin &amp; Quản lý tin'!$B$7:$B$500&amp;", ")),--('Đăng tin &amp; Quản lý tin'!$AT$7:$AT$500="Pass"))+SUMPRODUCT(--ISNUMBER(SEARCH(", "&amp;$B8&amp;", ",", "&amp;'Trust &amp; Safety'!$B$7:$B$500&amp;", ")),--('Trust &amp; Safety'!$AT$7:$AT$500="Pass"))+SUMPRODUCT(--ISNUMBER(SEARCH(", "&amp;$B8&amp;", ",", "&amp;'Tài khoản &amp; Hồ sơ'!$B$7:$B$500&amp;", ")),--('Tài khoản &amp; Hồ sơ'!$AT$7:$AT$500="Pass"))</f>
        <v/>
      </c>
      <c r="H8" s="53">
        <f>SUMPRODUCT(--ISNUMBER(SEARCH(", "&amp;$B8&amp;", ",", "&amp;'Hoạt động (Đơn của tôi)'!$B$7:$B$500&amp;", ")),--('Hoạt động (Đơn của tôi)'!$AT$7:$AT$500="Fail"))+SUMPRODUCT(--ISNUMBER(SEARCH(", "&amp;$B8&amp;", ",", "&amp;'Ghép nối'!$B$7:$B$500&amp;", ")),--('Ghép nối'!$AT$7:$AT$500="Fail"))+SUMPRODUCT(--ISNUMBER(SEARCH(", "&amp;$B8&amp;", ",", "&amp;'Huỷ đơn - Huỷ nhận đơn'!$B$7:$B$500&amp;", ")),--('Huỷ đơn - Huỷ nhận đơn'!$AT$7:$AT$500="Fail"))+SUMPRODUCT(--ISNUMBER(SEARCH(", "&amp;$B8&amp;", ",", "&amp;'Giao nhận &amp; Theo dõi đơn'!$B$7:$B$500&amp;", ")),--('Giao nhận &amp; Theo dõi đơn'!$AT$7:$AT$500="Fail"))+SUMPRODUCT(--ISNUMBER(SEARCH(", "&amp;$B8&amp;", ",", "&amp;'Bảng tin &amp; Chi tiết tin'!$B$7:$B$500&amp;", ")),--('Bảng tin &amp; Chi tiết tin'!$AT$7:$AT$500="Fail"))+SUMPRODUCT(--ISNUMBER(SEARCH(", "&amp;$B8&amp;", ",", "&amp;'Quà cảm ơn'!$B$7:$B$500&amp;", ")),--('Quà cảm ơn'!$AT$7:$AT$500="Fail"))+SUMPRODUCT(--ISNUMBER(SEARCH(", "&amp;$B8&amp;", ",", "&amp;'Trang chủ'!$B$7:$B$500&amp;", ")),--('Trang chủ'!$AT$7:$AT$500="Fail"))+SUMPRODUCT(--ISNUMBER(SEARCH(", "&amp;$B8&amp;", ",", "&amp;'Thông báo'!$B$7:$B$500&amp;", ")),--('Thông báo'!$AT$7:$AT$500="Fail"))+SUMPRODUCT(--ISNUMBER(SEARCH(", "&amp;$B8&amp;", ",", "&amp;'Đăng tin &amp; Quản lý tin'!$B$7:$B$500&amp;", ")),--('Đăng tin &amp; Quản lý tin'!$AT$7:$AT$500="Fail"))+SUMPRODUCT(--ISNUMBER(SEARCH(", "&amp;$B8&amp;", ",", "&amp;'Trust &amp; Safety'!$B$7:$B$500&amp;", ")),--('Trust &amp; Safety'!$AT$7:$AT$500="Fail"))+SUMPRODUCT(--ISNUMBER(SEARCH(", "&amp;$B8&amp;", ",", "&amp;'Tài khoản &amp; Hồ sơ'!$B$7:$B$500&amp;", ")),--('Tài khoản &amp; Hồ sơ'!$AT$7:$AT$500="Fail"))</f>
        <v/>
      </c>
      <c r="I8" s="53">
        <f>SUMPRODUCT(--ISNUMBER(SEARCH(", "&amp;$B8&amp;", ",", "&amp;'Hoạt động (Đơn của tôi)'!$B$7:$B$500&amp;", ")),--('Hoạt động (Đơn của tôi)'!$AT$7:$AT$500="Block"))+SUMPRODUCT(--ISNUMBER(SEARCH(", "&amp;$B8&amp;", ",", "&amp;'Ghép nối'!$B$7:$B$500&amp;", ")),--('Ghép nối'!$AT$7:$AT$500="Block"))+SUMPRODUCT(--ISNUMBER(SEARCH(", "&amp;$B8&amp;", ",", "&amp;'Huỷ đơn - Huỷ nhận đơn'!$B$7:$B$500&amp;", ")),--('Huỷ đơn - Huỷ nhận đơn'!$AT$7:$AT$500="Block"))+SUMPRODUCT(--ISNUMBER(SEARCH(", "&amp;$B8&amp;", ",", "&amp;'Giao nhận &amp; Theo dõi đơn'!$B$7:$B$500&amp;", ")),--('Giao nhận &amp; Theo dõi đơn'!$AT$7:$AT$500="Block"))+SUMPRODUCT(--ISNUMBER(SEARCH(", "&amp;$B8&amp;", ",", "&amp;'Bảng tin &amp; Chi tiết tin'!$B$7:$B$500&amp;", ")),--('Bảng tin &amp; Chi tiết tin'!$AT$7:$AT$500="Block"))+SUMPRODUCT(--ISNUMBER(SEARCH(", "&amp;$B8&amp;", ",", "&amp;'Quà cảm ơn'!$B$7:$B$500&amp;", ")),--('Quà cảm ơn'!$AT$7:$AT$500="Block"))+SUMPRODUCT(--ISNUMBER(SEARCH(", "&amp;$B8&amp;", ",", "&amp;'Trang chủ'!$B$7:$B$500&amp;", ")),--('Trang chủ'!$AT$7:$AT$500="Block"))+SUMPRODUCT(--ISNUMBER(SEARCH(", "&amp;$B8&amp;", ",", "&amp;'Thông báo'!$B$7:$B$500&amp;", ")),--('Thông báo'!$AT$7:$AT$500="Block"))+SUMPRODUCT(--ISNUMBER(SEARCH(", "&amp;$B8&amp;", ",", "&amp;'Đăng tin &amp; Quản lý tin'!$B$7:$B$500&amp;", ")),--('Đăng tin &amp; Quản lý tin'!$AT$7:$AT$500="Block"))+SUMPRODUCT(--ISNUMBER(SEARCH(", "&amp;$B8&amp;", ",", "&amp;'Trust &amp; Safety'!$B$7:$B$500&amp;", ")),--('Trust &amp; Safety'!$AT$7:$AT$500="Block"))+SUMPRODUCT(--ISNUMBER(SEARCH(", "&amp;$B8&amp;", ",", "&amp;'Tài khoản &amp; Hồ sơ'!$B$7:$B$500&amp;", ")),--('Tài khoản &amp; Hồ sơ'!$AT$7:$AT$500="Block"))</f>
        <v/>
      </c>
      <c r="J8" s="53">
        <f>SUMPRODUCT(--ISNUMBER(SEARCH(", "&amp;$B8&amp;", ",", "&amp;'Hoạt động (Đơn của tôi)'!$B$7:$B$500&amp;", ")),--('Hoạt động (Đơn của tôi)'!$AT$7:$AT$500="N/A"))+SUMPRODUCT(--ISNUMBER(SEARCH(", "&amp;$B8&amp;", ",", "&amp;'Ghép nối'!$B$7:$B$500&amp;", ")),--('Ghép nối'!$AT$7:$AT$500="N/A"))+SUMPRODUCT(--ISNUMBER(SEARCH(", "&amp;$B8&amp;", ",", "&amp;'Huỷ đơn - Huỷ nhận đơn'!$B$7:$B$500&amp;", ")),--('Huỷ đơn - Huỷ nhận đơn'!$AT$7:$AT$500="N/A"))+SUMPRODUCT(--ISNUMBER(SEARCH(", "&amp;$B8&amp;", ",", "&amp;'Giao nhận &amp; Theo dõi đơn'!$B$7:$B$500&amp;", ")),--('Giao nhận &amp; Theo dõi đơn'!$AT$7:$AT$500="N/A"))+SUMPRODUCT(--ISNUMBER(SEARCH(", "&amp;$B8&amp;", ",", "&amp;'Bảng tin &amp; Chi tiết tin'!$B$7:$B$500&amp;", ")),--('Bảng tin &amp; Chi tiết tin'!$AT$7:$AT$500="N/A"))+SUMPRODUCT(--ISNUMBER(SEARCH(", "&amp;$B8&amp;", ",", "&amp;'Quà cảm ơn'!$B$7:$B$500&amp;", ")),--('Quà cảm ơn'!$AT$7:$AT$500="N/A"))+SUMPRODUCT(--ISNUMBER(SEARCH(", "&amp;$B8&amp;", ",", "&amp;'Trang chủ'!$B$7:$B$500&amp;", ")),--('Trang chủ'!$AT$7:$AT$500="N/A"))+SUMPRODUCT(--ISNUMBER(SEARCH(", "&amp;$B8&amp;", ",", "&amp;'Thông báo'!$B$7:$B$500&amp;", ")),--('Thông báo'!$AT$7:$AT$500="N/A"))+SUMPRODUCT(--ISNUMBER(SEARCH(", "&amp;$B8&amp;", ",", "&amp;'Đăng tin &amp; Quản lý tin'!$B$7:$B$500&amp;", ")),--('Đăng tin &amp; Quản lý tin'!$AT$7:$AT$500="N/A"))+SUMPRODUCT(--ISNUMBER(SEARCH(", "&amp;$B8&amp;", ",", "&amp;'Trust &amp; Safety'!$B$7:$B$500&amp;", ")),--('Trust &amp; Safety'!$AT$7:$AT$500="N/A"))+SUMPRODUCT(--ISNUMBER(SEARCH(", "&amp;$B8&amp;", ",", "&amp;'Tài khoản &amp; Hồ sơ'!$B$7:$B$500&amp;", ")),--('Tài khoản &amp; Hồ sơ'!$AT$7:$AT$500="N/A"))</f>
        <v/>
      </c>
      <c r="K8" s="54">
        <f>IFERROR(F8/E8,0)</f>
        <v/>
      </c>
      <c r="L8" s="113">
        <f>IF(E8=0,"Chưa có TC (gap)",IF(H8&gt;0,"Có lỗi (Fail)",IF(I8&gt;0,"Bị block",IF(F8&lt;E8,"Đang test",IF(G8=0,"Không áp dụng (N/A)","Đã test xong")))))</f>
        <v/>
      </c>
      <c r="AB8" t="inlineStr">
        <is>
          <t>REQ-ACT</t>
        </is>
      </c>
      <c r="AD8" t="inlineStr">
        <is>
          <t>REQ-CNL</t>
        </is>
      </c>
      <c r="AE8">
        <f>SUMIF($AB$6:$AB$143,$AD8,$E$6:$E$143)</f>
        <v/>
      </c>
      <c r="AF8">
        <f>SUMIF($AB$6:$AB$143,$AD8,$F$6:$F$143)</f>
        <v/>
      </c>
    </row>
    <row r="9">
      <c r="A9" s="1" t="n"/>
      <c r="B9" s="112" t="inlineStr">
        <is>
          <t>REQ-ACT-008</t>
        </is>
      </c>
      <c r="C9" s="261" t="inlineStr">
        <is>
          <t>Nguồn (v1.0) — `DOC-v1.0-06 KP-02 §5 dòng C-ORD-06`: text empty state **chưa chốt** — từng Resolved 2026-07-28 rồi **REVERT** 2026-07-29 vì chốt không kèm bằng chứng.</t>
        </is>
      </c>
      <c r="D9" s="113" t="inlineStr">
        <is>
          <t>DOC-v1.1-01 §8.17.1 bảng Danh mục empty state, dòng EMP-05 / EMP-06 · trang 51</t>
        </is>
      </c>
      <c r="E9" s="53">
        <f>SUMPRODUCT(--ISNUMBER(SEARCH(", "&amp;$B9&amp;", ",", "&amp;'Hoạt động (Đơn của tôi)'!$B$7:$B$500&amp;", ")))+SUMPRODUCT(--ISNUMBER(SEARCH(", "&amp;$B9&amp;", ",", "&amp;'Ghép nối'!$B$7:$B$500&amp;", ")))+SUMPRODUCT(--ISNUMBER(SEARCH(", "&amp;$B9&amp;", ",", "&amp;'Huỷ đơn - Huỷ nhận đơn'!$B$7:$B$500&amp;", ")))+SUMPRODUCT(--ISNUMBER(SEARCH(", "&amp;$B9&amp;", ",", "&amp;'Giao nhận &amp; Theo dõi đơn'!$B$7:$B$500&amp;", ")))+SUMPRODUCT(--ISNUMBER(SEARCH(", "&amp;$B9&amp;", ",", "&amp;'Bảng tin &amp; Chi tiết tin'!$B$7:$B$500&amp;", ")))+SUMPRODUCT(--ISNUMBER(SEARCH(", "&amp;$B9&amp;", ",", "&amp;'Quà cảm ơn'!$B$7:$B$500&amp;", ")))+SUMPRODUCT(--ISNUMBER(SEARCH(", "&amp;$B9&amp;", ",", "&amp;'Trang chủ'!$B$7:$B$500&amp;", ")))+SUMPRODUCT(--ISNUMBER(SEARCH(", "&amp;$B9&amp;", ",", "&amp;'Thông báo'!$B$7:$B$500&amp;", ")))+SUMPRODUCT(--ISNUMBER(SEARCH(", "&amp;$B9&amp;", ",", "&amp;'Đăng tin &amp; Quản lý tin'!$B$7:$B$500&amp;", ")))+SUMPRODUCT(--ISNUMBER(SEARCH(", "&amp;$B9&amp;", ",", "&amp;'Trust &amp; Safety'!$B$7:$B$500&amp;", ")))+SUMPRODUCT(--ISNUMBER(SEARCH(", "&amp;$B9&amp;", ",", "&amp;'Tài khoản &amp; Hồ sơ'!$B$7:$B$500&amp;", ")))</f>
        <v/>
      </c>
      <c r="F9" s="53">
        <f>SUMPRODUCT(--ISNUMBER(SEARCH(", "&amp;$B9&amp;", ",", "&amp;'Hoạt động (Đơn của tôi)'!$B$7:$B$500&amp;", ")),--('Hoạt động (Đơn của tôi)'!$AT$7:$AT$500&lt;&gt;""))+SUMPRODUCT(--ISNUMBER(SEARCH(", "&amp;$B9&amp;", ",", "&amp;'Ghép nối'!$B$7:$B$500&amp;", ")),--('Ghép nối'!$AT$7:$AT$500&lt;&gt;""))+SUMPRODUCT(--ISNUMBER(SEARCH(", "&amp;$B9&amp;", ",", "&amp;'Huỷ đơn - Huỷ nhận đơn'!$B$7:$B$500&amp;", ")),--('Huỷ đơn - Huỷ nhận đơn'!$AT$7:$AT$500&lt;&gt;""))+SUMPRODUCT(--ISNUMBER(SEARCH(", "&amp;$B9&amp;", ",", "&amp;'Giao nhận &amp; Theo dõi đơn'!$B$7:$B$500&amp;", ")),--('Giao nhận &amp; Theo dõi đơn'!$AT$7:$AT$500&lt;&gt;""))+SUMPRODUCT(--ISNUMBER(SEARCH(", "&amp;$B9&amp;", ",", "&amp;'Bảng tin &amp; Chi tiết tin'!$B$7:$B$500&amp;", ")),--('Bảng tin &amp; Chi tiết tin'!$AT$7:$AT$500&lt;&gt;""))+SUMPRODUCT(--ISNUMBER(SEARCH(", "&amp;$B9&amp;", ",", "&amp;'Quà cảm ơn'!$B$7:$B$500&amp;", ")),--('Quà cảm ơn'!$AT$7:$AT$500&lt;&gt;""))+SUMPRODUCT(--ISNUMBER(SEARCH(", "&amp;$B9&amp;", ",", "&amp;'Trang chủ'!$B$7:$B$500&amp;", ")),--('Trang chủ'!$AT$7:$AT$500&lt;&gt;""))+SUMPRODUCT(--ISNUMBER(SEARCH(", "&amp;$B9&amp;", ",", "&amp;'Thông báo'!$B$7:$B$500&amp;", ")),--('Thông báo'!$AT$7:$AT$500&lt;&gt;""))+SUMPRODUCT(--ISNUMBER(SEARCH(", "&amp;$B9&amp;", ",", "&amp;'Đăng tin &amp; Quản lý tin'!$B$7:$B$500&amp;", ")),--('Đăng tin &amp; Quản lý tin'!$AT$7:$AT$500&lt;&gt;""))+SUMPRODUCT(--ISNUMBER(SEARCH(", "&amp;$B9&amp;", ",", "&amp;'Trust &amp; Safety'!$B$7:$B$500&amp;", ")),--('Trust &amp; Safety'!$AT$7:$AT$500&lt;&gt;""))+SUMPRODUCT(--ISNUMBER(SEARCH(", "&amp;$B9&amp;", ",", "&amp;'Tài khoản &amp; Hồ sơ'!$B$7:$B$500&amp;", ")),--('Tài khoản &amp; Hồ sơ'!$AT$7:$AT$500&lt;&gt;""))</f>
        <v/>
      </c>
      <c r="G9" s="53">
        <f>SUMPRODUCT(--ISNUMBER(SEARCH(", "&amp;$B9&amp;", ",", "&amp;'Hoạt động (Đơn của tôi)'!$B$7:$B$500&amp;", ")),--('Hoạt động (Đơn của tôi)'!$AT$7:$AT$500="Pass"))+SUMPRODUCT(--ISNUMBER(SEARCH(", "&amp;$B9&amp;", ",", "&amp;'Ghép nối'!$B$7:$B$500&amp;", ")),--('Ghép nối'!$AT$7:$AT$500="Pass"))+SUMPRODUCT(--ISNUMBER(SEARCH(", "&amp;$B9&amp;", ",", "&amp;'Huỷ đơn - Huỷ nhận đơn'!$B$7:$B$500&amp;", ")),--('Huỷ đơn - Huỷ nhận đơn'!$AT$7:$AT$500="Pass"))+SUMPRODUCT(--ISNUMBER(SEARCH(", "&amp;$B9&amp;", ",", "&amp;'Giao nhận &amp; Theo dõi đơn'!$B$7:$B$500&amp;", ")),--('Giao nhận &amp; Theo dõi đơn'!$AT$7:$AT$500="Pass"))+SUMPRODUCT(--ISNUMBER(SEARCH(", "&amp;$B9&amp;", ",", "&amp;'Bảng tin &amp; Chi tiết tin'!$B$7:$B$500&amp;", ")),--('Bảng tin &amp; Chi tiết tin'!$AT$7:$AT$500="Pass"))+SUMPRODUCT(--ISNUMBER(SEARCH(", "&amp;$B9&amp;", ",", "&amp;'Quà cảm ơn'!$B$7:$B$500&amp;", ")),--('Quà cảm ơn'!$AT$7:$AT$500="Pass"))+SUMPRODUCT(--ISNUMBER(SEARCH(", "&amp;$B9&amp;", ",", "&amp;'Trang chủ'!$B$7:$B$500&amp;", ")),--('Trang chủ'!$AT$7:$AT$500="Pass"))+SUMPRODUCT(--ISNUMBER(SEARCH(", "&amp;$B9&amp;", ",", "&amp;'Thông báo'!$B$7:$B$500&amp;", ")),--('Thông báo'!$AT$7:$AT$500="Pass"))+SUMPRODUCT(--ISNUMBER(SEARCH(", "&amp;$B9&amp;", ",", "&amp;'Đăng tin &amp; Quản lý tin'!$B$7:$B$500&amp;", ")),--('Đăng tin &amp; Quản lý tin'!$AT$7:$AT$500="Pass"))+SUMPRODUCT(--ISNUMBER(SEARCH(", "&amp;$B9&amp;", ",", "&amp;'Trust &amp; Safety'!$B$7:$B$500&amp;", ")),--('Trust &amp; Safety'!$AT$7:$AT$500="Pass"))+SUMPRODUCT(--ISNUMBER(SEARCH(", "&amp;$B9&amp;", ",", "&amp;'Tài khoản &amp; Hồ sơ'!$B$7:$B$500&amp;", ")),--('Tài khoản &amp; Hồ sơ'!$AT$7:$AT$500="Pass"))</f>
        <v/>
      </c>
      <c r="H9" s="53">
        <f>SUMPRODUCT(--ISNUMBER(SEARCH(", "&amp;$B9&amp;", ",", "&amp;'Hoạt động (Đơn của tôi)'!$B$7:$B$500&amp;", ")),--('Hoạt động (Đơn của tôi)'!$AT$7:$AT$500="Fail"))+SUMPRODUCT(--ISNUMBER(SEARCH(", "&amp;$B9&amp;", ",", "&amp;'Ghép nối'!$B$7:$B$500&amp;", ")),--('Ghép nối'!$AT$7:$AT$500="Fail"))+SUMPRODUCT(--ISNUMBER(SEARCH(", "&amp;$B9&amp;", ",", "&amp;'Huỷ đơn - Huỷ nhận đơn'!$B$7:$B$500&amp;", ")),--('Huỷ đơn - Huỷ nhận đơn'!$AT$7:$AT$500="Fail"))+SUMPRODUCT(--ISNUMBER(SEARCH(", "&amp;$B9&amp;", ",", "&amp;'Giao nhận &amp; Theo dõi đơn'!$B$7:$B$500&amp;", ")),--('Giao nhận &amp; Theo dõi đơn'!$AT$7:$AT$500="Fail"))+SUMPRODUCT(--ISNUMBER(SEARCH(", "&amp;$B9&amp;", ",", "&amp;'Bảng tin &amp; Chi tiết tin'!$B$7:$B$500&amp;", ")),--('Bảng tin &amp; Chi tiết tin'!$AT$7:$AT$500="Fail"))+SUMPRODUCT(--ISNUMBER(SEARCH(", "&amp;$B9&amp;", ",", "&amp;'Quà cảm ơn'!$B$7:$B$500&amp;", ")),--('Quà cảm ơn'!$AT$7:$AT$500="Fail"))+SUMPRODUCT(--ISNUMBER(SEARCH(", "&amp;$B9&amp;", ",", "&amp;'Trang chủ'!$B$7:$B$500&amp;", ")),--('Trang chủ'!$AT$7:$AT$500="Fail"))+SUMPRODUCT(--ISNUMBER(SEARCH(", "&amp;$B9&amp;", ",", "&amp;'Thông báo'!$B$7:$B$500&amp;", ")),--('Thông báo'!$AT$7:$AT$500="Fail"))+SUMPRODUCT(--ISNUMBER(SEARCH(", "&amp;$B9&amp;", ",", "&amp;'Đăng tin &amp; Quản lý tin'!$B$7:$B$500&amp;", ")),--('Đăng tin &amp; Quản lý tin'!$AT$7:$AT$500="Fail"))+SUMPRODUCT(--ISNUMBER(SEARCH(", "&amp;$B9&amp;", ",", "&amp;'Trust &amp; Safety'!$B$7:$B$500&amp;", ")),--('Trust &amp; Safety'!$AT$7:$AT$500="Fail"))+SUMPRODUCT(--ISNUMBER(SEARCH(", "&amp;$B9&amp;", ",", "&amp;'Tài khoản &amp; Hồ sơ'!$B$7:$B$500&amp;", ")),--('Tài khoản &amp; Hồ sơ'!$AT$7:$AT$500="Fail"))</f>
        <v/>
      </c>
      <c r="I9" s="53">
        <f>SUMPRODUCT(--ISNUMBER(SEARCH(", "&amp;$B9&amp;", ",", "&amp;'Hoạt động (Đơn của tôi)'!$B$7:$B$500&amp;", ")),--('Hoạt động (Đơn của tôi)'!$AT$7:$AT$500="Block"))+SUMPRODUCT(--ISNUMBER(SEARCH(", "&amp;$B9&amp;", ",", "&amp;'Ghép nối'!$B$7:$B$500&amp;", ")),--('Ghép nối'!$AT$7:$AT$500="Block"))+SUMPRODUCT(--ISNUMBER(SEARCH(", "&amp;$B9&amp;", ",", "&amp;'Huỷ đơn - Huỷ nhận đơn'!$B$7:$B$500&amp;", ")),--('Huỷ đơn - Huỷ nhận đơn'!$AT$7:$AT$500="Block"))+SUMPRODUCT(--ISNUMBER(SEARCH(", "&amp;$B9&amp;", ",", "&amp;'Giao nhận &amp; Theo dõi đơn'!$B$7:$B$500&amp;", ")),--('Giao nhận &amp; Theo dõi đơn'!$AT$7:$AT$500="Block"))+SUMPRODUCT(--ISNUMBER(SEARCH(", "&amp;$B9&amp;", ",", "&amp;'Bảng tin &amp; Chi tiết tin'!$B$7:$B$500&amp;", ")),--('Bảng tin &amp; Chi tiết tin'!$AT$7:$AT$500="Block"))+SUMPRODUCT(--ISNUMBER(SEARCH(", "&amp;$B9&amp;", ",", "&amp;'Quà cảm ơn'!$B$7:$B$500&amp;", ")),--('Quà cảm ơn'!$AT$7:$AT$500="Block"))+SUMPRODUCT(--ISNUMBER(SEARCH(", "&amp;$B9&amp;", ",", "&amp;'Trang chủ'!$B$7:$B$500&amp;", ")),--('Trang chủ'!$AT$7:$AT$500="Block"))+SUMPRODUCT(--ISNUMBER(SEARCH(", "&amp;$B9&amp;", ",", "&amp;'Thông báo'!$B$7:$B$500&amp;", ")),--('Thông báo'!$AT$7:$AT$500="Block"))+SUMPRODUCT(--ISNUMBER(SEARCH(", "&amp;$B9&amp;", ",", "&amp;'Đăng tin &amp; Quản lý tin'!$B$7:$B$500&amp;", ")),--('Đăng tin &amp; Quản lý tin'!$AT$7:$AT$500="Block"))+SUMPRODUCT(--ISNUMBER(SEARCH(", "&amp;$B9&amp;", ",", "&amp;'Trust &amp; Safety'!$B$7:$B$500&amp;", ")),--('Trust &amp; Safety'!$AT$7:$AT$500="Block"))+SUMPRODUCT(--ISNUMBER(SEARCH(", "&amp;$B9&amp;", ",", "&amp;'Tài khoản &amp; Hồ sơ'!$B$7:$B$500&amp;", ")),--('Tài khoản &amp; Hồ sơ'!$AT$7:$AT$500="Block"))</f>
        <v/>
      </c>
      <c r="J9" s="53">
        <f>SUMPRODUCT(--ISNUMBER(SEARCH(", "&amp;$B9&amp;", ",", "&amp;'Hoạt động (Đơn của tôi)'!$B$7:$B$500&amp;", ")),--('Hoạt động (Đơn của tôi)'!$AT$7:$AT$500="N/A"))+SUMPRODUCT(--ISNUMBER(SEARCH(", "&amp;$B9&amp;", ",", "&amp;'Ghép nối'!$B$7:$B$500&amp;", ")),--('Ghép nối'!$AT$7:$AT$500="N/A"))+SUMPRODUCT(--ISNUMBER(SEARCH(", "&amp;$B9&amp;", ",", "&amp;'Huỷ đơn - Huỷ nhận đơn'!$B$7:$B$500&amp;", ")),--('Huỷ đơn - Huỷ nhận đơn'!$AT$7:$AT$500="N/A"))+SUMPRODUCT(--ISNUMBER(SEARCH(", "&amp;$B9&amp;", ",", "&amp;'Giao nhận &amp; Theo dõi đơn'!$B$7:$B$500&amp;", ")),--('Giao nhận &amp; Theo dõi đơn'!$AT$7:$AT$500="N/A"))+SUMPRODUCT(--ISNUMBER(SEARCH(", "&amp;$B9&amp;", ",", "&amp;'Bảng tin &amp; Chi tiết tin'!$B$7:$B$500&amp;", ")),--('Bảng tin &amp; Chi tiết tin'!$AT$7:$AT$500="N/A"))+SUMPRODUCT(--ISNUMBER(SEARCH(", "&amp;$B9&amp;", ",", "&amp;'Quà cảm ơn'!$B$7:$B$500&amp;", ")),--('Quà cảm ơn'!$AT$7:$AT$500="N/A"))+SUMPRODUCT(--ISNUMBER(SEARCH(", "&amp;$B9&amp;", ",", "&amp;'Trang chủ'!$B$7:$B$500&amp;", ")),--('Trang chủ'!$AT$7:$AT$500="N/A"))+SUMPRODUCT(--ISNUMBER(SEARCH(", "&amp;$B9&amp;", ",", "&amp;'Thông báo'!$B$7:$B$500&amp;", ")),--('Thông báo'!$AT$7:$AT$500="N/A"))+SUMPRODUCT(--ISNUMBER(SEARCH(", "&amp;$B9&amp;", ",", "&amp;'Đăng tin &amp; Quản lý tin'!$B$7:$B$500&amp;", ")),--('Đăng tin &amp; Quản lý tin'!$AT$7:$AT$500="N/A"))+SUMPRODUCT(--ISNUMBER(SEARCH(", "&amp;$B9&amp;", ",", "&amp;'Trust &amp; Safety'!$B$7:$B$500&amp;", ")),--('Trust &amp; Safety'!$AT$7:$AT$500="N/A"))+SUMPRODUCT(--ISNUMBER(SEARCH(", "&amp;$B9&amp;", ",", "&amp;'Tài khoản &amp; Hồ sơ'!$B$7:$B$500&amp;", ")),--('Tài khoản &amp; Hồ sơ'!$AT$7:$AT$500="N/A"))</f>
        <v/>
      </c>
      <c r="K9" s="54">
        <f>IFERROR(F9/E9,0)</f>
        <v/>
      </c>
      <c r="L9" s="113">
        <f>IF(E9=0,"Chưa có TC (gap)",IF(H9&gt;0,"Có lỗi (Fail)",IF(I9&gt;0,"Bị block",IF(F9&lt;E9,"Đang test",IF(G9=0,"Không áp dụng (N/A)","Đã test xong")))))</f>
        <v/>
      </c>
      <c r="AB9" t="inlineStr">
        <is>
          <t>REQ-ACT</t>
        </is>
      </c>
      <c r="AD9" t="inlineStr">
        <is>
          <t>REQ-DLV</t>
        </is>
      </c>
      <c r="AE9">
        <f>SUMIF($AB$6:$AB$143,$AD9,$E$6:$E$143)</f>
        <v/>
      </c>
      <c r="AF9">
        <f>SUMIF($AB$6:$AB$143,$AD9,$F$6:$F$143)</f>
        <v/>
      </c>
    </row>
    <row r="10">
      <c r="A10" s="1" t="n"/>
      <c r="B10" s="112" t="inlineStr">
        <is>
          <t>REQ-ACT-009</t>
        </is>
      </c>
      <c r="C10" s="261" t="inlineStr">
        <is>
          <t>Nguồn (v1.0) — `DOC-v1.0-02 §3.7 đoạn 3` + `KP-01 §6 KB-GIFT-02`, gắn `C-GIFT-01` Resolved *"Out of scope **v1.0**"* ⇒ SC chỉ **ghi nhận**.</t>
        </is>
      </c>
      <c r="D10" s="113" t="inlineStr">
        <is>
          <t>DOC-v1.1-01 §8.14.1 BR14-03 · trang 49</t>
        </is>
      </c>
      <c r="E10" s="53">
        <f>SUMPRODUCT(--ISNUMBER(SEARCH(", "&amp;$B10&amp;", ",", "&amp;'Hoạt động (Đơn của tôi)'!$B$7:$B$500&amp;", ")))+SUMPRODUCT(--ISNUMBER(SEARCH(", "&amp;$B10&amp;", ",", "&amp;'Ghép nối'!$B$7:$B$500&amp;", ")))+SUMPRODUCT(--ISNUMBER(SEARCH(", "&amp;$B10&amp;", ",", "&amp;'Huỷ đơn - Huỷ nhận đơn'!$B$7:$B$500&amp;", ")))+SUMPRODUCT(--ISNUMBER(SEARCH(", "&amp;$B10&amp;", ",", "&amp;'Giao nhận &amp; Theo dõi đơn'!$B$7:$B$500&amp;", ")))+SUMPRODUCT(--ISNUMBER(SEARCH(", "&amp;$B10&amp;", ",", "&amp;'Bảng tin &amp; Chi tiết tin'!$B$7:$B$500&amp;", ")))+SUMPRODUCT(--ISNUMBER(SEARCH(", "&amp;$B10&amp;", ",", "&amp;'Quà cảm ơn'!$B$7:$B$500&amp;", ")))+SUMPRODUCT(--ISNUMBER(SEARCH(", "&amp;$B10&amp;", ",", "&amp;'Trang chủ'!$B$7:$B$500&amp;", ")))+SUMPRODUCT(--ISNUMBER(SEARCH(", "&amp;$B10&amp;", ",", "&amp;'Thông báo'!$B$7:$B$500&amp;", ")))+SUMPRODUCT(--ISNUMBER(SEARCH(", "&amp;$B10&amp;", ",", "&amp;'Đăng tin &amp; Quản lý tin'!$B$7:$B$500&amp;", ")))+SUMPRODUCT(--ISNUMBER(SEARCH(", "&amp;$B10&amp;", ",", "&amp;'Trust &amp; Safety'!$B$7:$B$500&amp;", ")))+SUMPRODUCT(--ISNUMBER(SEARCH(", "&amp;$B10&amp;", ",", "&amp;'Tài khoản &amp; Hồ sơ'!$B$7:$B$500&amp;", ")))</f>
        <v/>
      </c>
      <c r="F10" s="53">
        <f>SUMPRODUCT(--ISNUMBER(SEARCH(", "&amp;$B10&amp;", ",", "&amp;'Hoạt động (Đơn của tôi)'!$B$7:$B$500&amp;", ")),--('Hoạt động (Đơn của tôi)'!$AT$7:$AT$500&lt;&gt;""))+SUMPRODUCT(--ISNUMBER(SEARCH(", "&amp;$B10&amp;", ",", "&amp;'Ghép nối'!$B$7:$B$500&amp;", ")),--('Ghép nối'!$AT$7:$AT$500&lt;&gt;""))+SUMPRODUCT(--ISNUMBER(SEARCH(", "&amp;$B10&amp;", ",", "&amp;'Huỷ đơn - Huỷ nhận đơn'!$B$7:$B$500&amp;", ")),--('Huỷ đơn - Huỷ nhận đơn'!$AT$7:$AT$500&lt;&gt;""))+SUMPRODUCT(--ISNUMBER(SEARCH(", "&amp;$B10&amp;", ",", "&amp;'Giao nhận &amp; Theo dõi đơn'!$B$7:$B$500&amp;", ")),--('Giao nhận &amp; Theo dõi đơn'!$AT$7:$AT$500&lt;&gt;""))+SUMPRODUCT(--ISNUMBER(SEARCH(", "&amp;$B10&amp;", ",", "&amp;'Bảng tin &amp; Chi tiết tin'!$B$7:$B$500&amp;", ")),--('Bảng tin &amp; Chi tiết tin'!$AT$7:$AT$500&lt;&gt;""))+SUMPRODUCT(--ISNUMBER(SEARCH(", "&amp;$B10&amp;", ",", "&amp;'Quà cảm ơn'!$B$7:$B$500&amp;", ")),--('Quà cảm ơn'!$AT$7:$AT$500&lt;&gt;""))+SUMPRODUCT(--ISNUMBER(SEARCH(", "&amp;$B10&amp;", ",", "&amp;'Trang chủ'!$B$7:$B$500&amp;", ")),--('Trang chủ'!$AT$7:$AT$500&lt;&gt;""))+SUMPRODUCT(--ISNUMBER(SEARCH(", "&amp;$B10&amp;", ",", "&amp;'Thông báo'!$B$7:$B$500&amp;", ")),--('Thông báo'!$AT$7:$AT$500&lt;&gt;""))+SUMPRODUCT(--ISNUMBER(SEARCH(", "&amp;$B10&amp;", ",", "&amp;'Đăng tin &amp; Quản lý tin'!$B$7:$B$500&amp;", ")),--('Đăng tin &amp; Quản lý tin'!$AT$7:$AT$500&lt;&gt;""))+SUMPRODUCT(--ISNUMBER(SEARCH(", "&amp;$B10&amp;", ",", "&amp;'Trust &amp; Safety'!$B$7:$B$500&amp;", ")),--('Trust &amp; Safety'!$AT$7:$AT$500&lt;&gt;""))+SUMPRODUCT(--ISNUMBER(SEARCH(", "&amp;$B10&amp;", ",", "&amp;'Tài khoản &amp; Hồ sơ'!$B$7:$B$500&amp;", ")),--('Tài khoản &amp; Hồ sơ'!$AT$7:$AT$500&lt;&gt;""))</f>
        <v/>
      </c>
      <c r="G10" s="53">
        <f>SUMPRODUCT(--ISNUMBER(SEARCH(", "&amp;$B10&amp;", ",", "&amp;'Hoạt động (Đơn của tôi)'!$B$7:$B$500&amp;", ")),--('Hoạt động (Đơn của tôi)'!$AT$7:$AT$500="Pass"))+SUMPRODUCT(--ISNUMBER(SEARCH(", "&amp;$B10&amp;", ",", "&amp;'Ghép nối'!$B$7:$B$500&amp;", ")),--('Ghép nối'!$AT$7:$AT$500="Pass"))+SUMPRODUCT(--ISNUMBER(SEARCH(", "&amp;$B10&amp;", ",", "&amp;'Huỷ đơn - Huỷ nhận đơn'!$B$7:$B$500&amp;", ")),--('Huỷ đơn - Huỷ nhận đơn'!$AT$7:$AT$500="Pass"))+SUMPRODUCT(--ISNUMBER(SEARCH(", "&amp;$B10&amp;", ",", "&amp;'Giao nhận &amp; Theo dõi đơn'!$B$7:$B$500&amp;", ")),--('Giao nhận &amp; Theo dõi đơn'!$AT$7:$AT$500="Pass"))+SUMPRODUCT(--ISNUMBER(SEARCH(", "&amp;$B10&amp;", ",", "&amp;'Bảng tin &amp; Chi tiết tin'!$B$7:$B$500&amp;", ")),--('Bảng tin &amp; Chi tiết tin'!$AT$7:$AT$500="Pass"))+SUMPRODUCT(--ISNUMBER(SEARCH(", "&amp;$B10&amp;", ",", "&amp;'Quà cảm ơn'!$B$7:$B$500&amp;", ")),--('Quà cảm ơn'!$AT$7:$AT$500="Pass"))+SUMPRODUCT(--ISNUMBER(SEARCH(", "&amp;$B10&amp;", ",", "&amp;'Trang chủ'!$B$7:$B$500&amp;", ")),--('Trang chủ'!$AT$7:$AT$500="Pass"))+SUMPRODUCT(--ISNUMBER(SEARCH(", "&amp;$B10&amp;", ",", "&amp;'Thông báo'!$B$7:$B$500&amp;", ")),--('Thông báo'!$AT$7:$AT$500="Pass"))+SUMPRODUCT(--ISNUMBER(SEARCH(", "&amp;$B10&amp;", ",", "&amp;'Đăng tin &amp; Quản lý tin'!$B$7:$B$500&amp;", ")),--('Đăng tin &amp; Quản lý tin'!$AT$7:$AT$500="Pass"))+SUMPRODUCT(--ISNUMBER(SEARCH(", "&amp;$B10&amp;", ",", "&amp;'Trust &amp; Safety'!$B$7:$B$500&amp;", ")),--('Trust &amp; Safety'!$AT$7:$AT$500="Pass"))+SUMPRODUCT(--ISNUMBER(SEARCH(", "&amp;$B10&amp;", ",", "&amp;'Tài khoản &amp; Hồ sơ'!$B$7:$B$500&amp;", ")),--('Tài khoản &amp; Hồ sơ'!$AT$7:$AT$500="Pass"))</f>
        <v/>
      </c>
      <c r="H10" s="53">
        <f>SUMPRODUCT(--ISNUMBER(SEARCH(", "&amp;$B10&amp;", ",", "&amp;'Hoạt động (Đơn của tôi)'!$B$7:$B$500&amp;", ")),--('Hoạt động (Đơn của tôi)'!$AT$7:$AT$500="Fail"))+SUMPRODUCT(--ISNUMBER(SEARCH(", "&amp;$B10&amp;", ",", "&amp;'Ghép nối'!$B$7:$B$500&amp;", ")),--('Ghép nối'!$AT$7:$AT$500="Fail"))+SUMPRODUCT(--ISNUMBER(SEARCH(", "&amp;$B10&amp;", ",", "&amp;'Huỷ đơn - Huỷ nhận đơn'!$B$7:$B$500&amp;", ")),--('Huỷ đơn - Huỷ nhận đơn'!$AT$7:$AT$500="Fail"))+SUMPRODUCT(--ISNUMBER(SEARCH(", "&amp;$B10&amp;", ",", "&amp;'Giao nhận &amp; Theo dõi đơn'!$B$7:$B$500&amp;", ")),--('Giao nhận &amp; Theo dõi đơn'!$AT$7:$AT$500="Fail"))+SUMPRODUCT(--ISNUMBER(SEARCH(", "&amp;$B10&amp;", ",", "&amp;'Bảng tin &amp; Chi tiết tin'!$B$7:$B$500&amp;", ")),--('Bảng tin &amp; Chi tiết tin'!$AT$7:$AT$500="Fail"))+SUMPRODUCT(--ISNUMBER(SEARCH(", "&amp;$B10&amp;", ",", "&amp;'Quà cảm ơn'!$B$7:$B$500&amp;", ")),--('Quà cảm ơn'!$AT$7:$AT$500="Fail"))+SUMPRODUCT(--ISNUMBER(SEARCH(", "&amp;$B10&amp;", ",", "&amp;'Trang chủ'!$B$7:$B$500&amp;", ")),--('Trang chủ'!$AT$7:$AT$500="Fail"))+SUMPRODUCT(--ISNUMBER(SEARCH(", "&amp;$B10&amp;", ",", "&amp;'Thông báo'!$B$7:$B$500&amp;", ")),--('Thông báo'!$AT$7:$AT$500="Fail"))+SUMPRODUCT(--ISNUMBER(SEARCH(", "&amp;$B10&amp;", ",", "&amp;'Đăng tin &amp; Quản lý tin'!$B$7:$B$500&amp;", ")),--('Đăng tin &amp; Quản lý tin'!$AT$7:$AT$500="Fail"))+SUMPRODUCT(--ISNUMBER(SEARCH(", "&amp;$B10&amp;", ",", "&amp;'Trust &amp; Safety'!$B$7:$B$500&amp;", ")),--('Trust &amp; Safety'!$AT$7:$AT$500="Fail"))+SUMPRODUCT(--ISNUMBER(SEARCH(", "&amp;$B10&amp;", ",", "&amp;'Tài khoản &amp; Hồ sơ'!$B$7:$B$500&amp;", ")),--('Tài khoản &amp; Hồ sơ'!$AT$7:$AT$500="Fail"))</f>
        <v/>
      </c>
      <c r="I10" s="53">
        <f>SUMPRODUCT(--ISNUMBER(SEARCH(", "&amp;$B10&amp;", ",", "&amp;'Hoạt động (Đơn của tôi)'!$B$7:$B$500&amp;", ")),--('Hoạt động (Đơn của tôi)'!$AT$7:$AT$500="Block"))+SUMPRODUCT(--ISNUMBER(SEARCH(", "&amp;$B10&amp;", ",", "&amp;'Ghép nối'!$B$7:$B$500&amp;", ")),--('Ghép nối'!$AT$7:$AT$500="Block"))+SUMPRODUCT(--ISNUMBER(SEARCH(", "&amp;$B10&amp;", ",", "&amp;'Huỷ đơn - Huỷ nhận đơn'!$B$7:$B$500&amp;", ")),--('Huỷ đơn - Huỷ nhận đơn'!$AT$7:$AT$500="Block"))+SUMPRODUCT(--ISNUMBER(SEARCH(", "&amp;$B10&amp;", ",", "&amp;'Giao nhận &amp; Theo dõi đơn'!$B$7:$B$500&amp;", ")),--('Giao nhận &amp; Theo dõi đơn'!$AT$7:$AT$500="Block"))+SUMPRODUCT(--ISNUMBER(SEARCH(", "&amp;$B10&amp;", ",", "&amp;'Bảng tin &amp; Chi tiết tin'!$B$7:$B$500&amp;", ")),--('Bảng tin &amp; Chi tiết tin'!$AT$7:$AT$500="Block"))+SUMPRODUCT(--ISNUMBER(SEARCH(", "&amp;$B10&amp;", ",", "&amp;'Quà cảm ơn'!$B$7:$B$500&amp;", ")),--('Quà cảm ơn'!$AT$7:$AT$500="Block"))+SUMPRODUCT(--ISNUMBER(SEARCH(", "&amp;$B10&amp;", ",", "&amp;'Trang chủ'!$B$7:$B$500&amp;", ")),--('Trang chủ'!$AT$7:$AT$500="Block"))+SUMPRODUCT(--ISNUMBER(SEARCH(", "&amp;$B10&amp;", ",", "&amp;'Thông báo'!$B$7:$B$500&amp;", ")),--('Thông báo'!$AT$7:$AT$500="Block"))+SUMPRODUCT(--ISNUMBER(SEARCH(", "&amp;$B10&amp;", ",", "&amp;'Đăng tin &amp; Quản lý tin'!$B$7:$B$500&amp;", ")),--('Đăng tin &amp; Quản lý tin'!$AT$7:$AT$500="Block"))+SUMPRODUCT(--ISNUMBER(SEARCH(", "&amp;$B10&amp;", ",", "&amp;'Trust &amp; Safety'!$B$7:$B$500&amp;", ")),--('Trust &amp; Safety'!$AT$7:$AT$500="Block"))+SUMPRODUCT(--ISNUMBER(SEARCH(", "&amp;$B10&amp;", ",", "&amp;'Tài khoản &amp; Hồ sơ'!$B$7:$B$500&amp;", ")),--('Tài khoản &amp; Hồ sơ'!$AT$7:$AT$500="Block"))</f>
        <v/>
      </c>
      <c r="J10" s="53">
        <f>SUMPRODUCT(--ISNUMBER(SEARCH(", "&amp;$B10&amp;", ",", "&amp;'Hoạt động (Đơn của tôi)'!$B$7:$B$500&amp;", ")),--('Hoạt động (Đơn của tôi)'!$AT$7:$AT$500="N/A"))+SUMPRODUCT(--ISNUMBER(SEARCH(", "&amp;$B10&amp;", ",", "&amp;'Ghép nối'!$B$7:$B$500&amp;", ")),--('Ghép nối'!$AT$7:$AT$500="N/A"))+SUMPRODUCT(--ISNUMBER(SEARCH(", "&amp;$B10&amp;", ",", "&amp;'Huỷ đơn - Huỷ nhận đơn'!$B$7:$B$500&amp;", ")),--('Huỷ đơn - Huỷ nhận đơn'!$AT$7:$AT$500="N/A"))+SUMPRODUCT(--ISNUMBER(SEARCH(", "&amp;$B10&amp;", ",", "&amp;'Giao nhận &amp; Theo dõi đơn'!$B$7:$B$500&amp;", ")),--('Giao nhận &amp; Theo dõi đơn'!$AT$7:$AT$500="N/A"))+SUMPRODUCT(--ISNUMBER(SEARCH(", "&amp;$B10&amp;", ",", "&amp;'Bảng tin &amp; Chi tiết tin'!$B$7:$B$500&amp;", ")),--('Bảng tin &amp; Chi tiết tin'!$AT$7:$AT$500="N/A"))+SUMPRODUCT(--ISNUMBER(SEARCH(", "&amp;$B10&amp;", ",", "&amp;'Quà cảm ơn'!$B$7:$B$500&amp;", ")),--('Quà cảm ơn'!$AT$7:$AT$500="N/A"))+SUMPRODUCT(--ISNUMBER(SEARCH(", "&amp;$B10&amp;", ",", "&amp;'Trang chủ'!$B$7:$B$500&amp;", ")),--('Trang chủ'!$AT$7:$AT$500="N/A"))+SUMPRODUCT(--ISNUMBER(SEARCH(", "&amp;$B10&amp;", ",", "&amp;'Thông báo'!$B$7:$B$500&amp;", ")),--('Thông báo'!$AT$7:$AT$500="N/A"))+SUMPRODUCT(--ISNUMBER(SEARCH(", "&amp;$B10&amp;", ",", "&amp;'Đăng tin &amp; Quản lý tin'!$B$7:$B$500&amp;", ")),--('Đăng tin &amp; Quản lý tin'!$AT$7:$AT$500="N/A"))+SUMPRODUCT(--ISNUMBER(SEARCH(", "&amp;$B10&amp;", ",", "&amp;'Trust &amp; Safety'!$B$7:$B$500&amp;", ")),--('Trust &amp; Safety'!$AT$7:$AT$500="N/A"))+SUMPRODUCT(--ISNUMBER(SEARCH(", "&amp;$B10&amp;", ",", "&amp;'Tài khoản &amp; Hồ sơ'!$B$7:$B$500&amp;", ")),--('Tài khoản &amp; Hồ sơ'!$AT$7:$AT$500="N/A"))</f>
        <v/>
      </c>
      <c r="K10" s="54">
        <f>IFERROR(F10/E10,0)</f>
        <v/>
      </c>
      <c r="L10" s="113">
        <f>IF(E10=0,"Chưa có TC (gap)",IF(H10&gt;0,"Có lỗi (Fail)",IF(I10&gt;0,"Bị block",IF(F10&lt;E10,"Đang test",IF(G10=0,"Không áp dụng (N/A)","Đã test xong")))))</f>
        <v/>
      </c>
      <c r="AB10" t="inlineStr">
        <is>
          <t>REQ-ACT</t>
        </is>
      </c>
      <c r="AD10" t="inlineStr">
        <is>
          <t>REQ-FEED</t>
        </is>
      </c>
      <c r="AE10">
        <f>SUMIF($AB$6:$AB$143,$AD10,$E$6:$E$143)</f>
        <v/>
      </c>
      <c r="AF10">
        <f>SUMIF($AB$6:$AB$143,$AD10,$F$6:$F$143)</f>
        <v/>
      </c>
    </row>
    <row r="11">
      <c r="A11" s="1" t="n"/>
      <c r="B11" s="112" t="inlineStr">
        <is>
          <t>REQ-ACT-010</t>
        </is>
      </c>
      <c r="C11" s="261" t="inlineStr">
        <is>
          <t>Nguồn #1 — BR17-01..03 (§8.17.2, trang 51): "BR17-01 | Mỗi empty state gồm: icon nét mảnh màu neutral + một dòng tiêu đề + một dòng giải thích + tối đa một CTA." "BR17-02 | Không dùng ảnh minh hoạ nặng; không hiện skeleton vô hạn — phân biệt rõ đang tải và không có dữ liệu." "BR17-03 | Empty state không được che thanh tab dưới và vẫn cuộn được.</t>
        </is>
      </c>
      <c r="D11" s="113" t="inlineStr">
        <is>
          <t>DOC-v1.1-01 §8.17.2 BR17-01..03 · trang 51</t>
        </is>
      </c>
      <c r="E11" s="53">
        <f>SUMPRODUCT(--ISNUMBER(SEARCH(", "&amp;$B11&amp;", ",", "&amp;'Hoạt động (Đơn của tôi)'!$B$7:$B$500&amp;", ")))+SUMPRODUCT(--ISNUMBER(SEARCH(", "&amp;$B11&amp;", ",", "&amp;'Ghép nối'!$B$7:$B$500&amp;", ")))+SUMPRODUCT(--ISNUMBER(SEARCH(", "&amp;$B11&amp;", ",", "&amp;'Huỷ đơn - Huỷ nhận đơn'!$B$7:$B$500&amp;", ")))+SUMPRODUCT(--ISNUMBER(SEARCH(", "&amp;$B11&amp;", ",", "&amp;'Giao nhận &amp; Theo dõi đơn'!$B$7:$B$500&amp;", ")))+SUMPRODUCT(--ISNUMBER(SEARCH(", "&amp;$B11&amp;", ",", "&amp;'Bảng tin &amp; Chi tiết tin'!$B$7:$B$500&amp;", ")))+SUMPRODUCT(--ISNUMBER(SEARCH(", "&amp;$B11&amp;", ",", "&amp;'Quà cảm ơn'!$B$7:$B$500&amp;", ")))+SUMPRODUCT(--ISNUMBER(SEARCH(", "&amp;$B11&amp;", ",", "&amp;'Trang chủ'!$B$7:$B$500&amp;", ")))+SUMPRODUCT(--ISNUMBER(SEARCH(", "&amp;$B11&amp;", ",", "&amp;'Thông báo'!$B$7:$B$500&amp;", ")))+SUMPRODUCT(--ISNUMBER(SEARCH(", "&amp;$B11&amp;", ",", "&amp;'Đăng tin &amp; Quản lý tin'!$B$7:$B$500&amp;", ")))+SUMPRODUCT(--ISNUMBER(SEARCH(", "&amp;$B11&amp;", ",", "&amp;'Trust &amp; Safety'!$B$7:$B$500&amp;", ")))+SUMPRODUCT(--ISNUMBER(SEARCH(", "&amp;$B11&amp;", ",", "&amp;'Tài khoản &amp; Hồ sơ'!$B$7:$B$500&amp;", ")))</f>
        <v/>
      </c>
      <c r="F11" s="53">
        <f>SUMPRODUCT(--ISNUMBER(SEARCH(", "&amp;$B11&amp;", ",", "&amp;'Hoạt động (Đơn của tôi)'!$B$7:$B$500&amp;", ")),--('Hoạt động (Đơn của tôi)'!$AT$7:$AT$500&lt;&gt;""))+SUMPRODUCT(--ISNUMBER(SEARCH(", "&amp;$B11&amp;", ",", "&amp;'Ghép nối'!$B$7:$B$500&amp;", ")),--('Ghép nối'!$AT$7:$AT$500&lt;&gt;""))+SUMPRODUCT(--ISNUMBER(SEARCH(", "&amp;$B11&amp;", ",", "&amp;'Huỷ đơn - Huỷ nhận đơn'!$B$7:$B$500&amp;", ")),--('Huỷ đơn - Huỷ nhận đơn'!$AT$7:$AT$500&lt;&gt;""))+SUMPRODUCT(--ISNUMBER(SEARCH(", "&amp;$B11&amp;", ",", "&amp;'Giao nhận &amp; Theo dõi đơn'!$B$7:$B$500&amp;", ")),--('Giao nhận &amp; Theo dõi đơn'!$AT$7:$AT$500&lt;&gt;""))+SUMPRODUCT(--ISNUMBER(SEARCH(", "&amp;$B11&amp;", ",", "&amp;'Bảng tin &amp; Chi tiết tin'!$B$7:$B$500&amp;", ")),--('Bảng tin &amp; Chi tiết tin'!$AT$7:$AT$500&lt;&gt;""))+SUMPRODUCT(--ISNUMBER(SEARCH(", "&amp;$B11&amp;", ",", "&amp;'Quà cảm ơn'!$B$7:$B$500&amp;", ")),--('Quà cảm ơn'!$AT$7:$AT$500&lt;&gt;""))+SUMPRODUCT(--ISNUMBER(SEARCH(", "&amp;$B11&amp;", ",", "&amp;'Trang chủ'!$B$7:$B$500&amp;", ")),--('Trang chủ'!$AT$7:$AT$500&lt;&gt;""))+SUMPRODUCT(--ISNUMBER(SEARCH(", "&amp;$B11&amp;", ",", "&amp;'Thông báo'!$B$7:$B$500&amp;", ")),--('Thông báo'!$AT$7:$AT$500&lt;&gt;""))+SUMPRODUCT(--ISNUMBER(SEARCH(", "&amp;$B11&amp;", ",", "&amp;'Đăng tin &amp; Quản lý tin'!$B$7:$B$500&amp;", ")),--('Đăng tin &amp; Quản lý tin'!$AT$7:$AT$500&lt;&gt;""))+SUMPRODUCT(--ISNUMBER(SEARCH(", "&amp;$B11&amp;", ",", "&amp;'Trust &amp; Safety'!$B$7:$B$500&amp;", ")),--('Trust &amp; Safety'!$AT$7:$AT$500&lt;&gt;""))+SUMPRODUCT(--ISNUMBER(SEARCH(", "&amp;$B11&amp;", ",", "&amp;'Tài khoản &amp; Hồ sơ'!$B$7:$B$500&amp;", ")),--('Tài khoản &amp; Hồ sơ'!$AT$7:$AT$500&lt;&gt;""))</f>
        <v/>
      </c>
      <c r="G11" s="53">
        <f>SUMPRODUCT(--ISNUMBER(SEARCH(", "&amp;$B11&amp;", ",", "&amp;'Hoạt động (Đơn của tôi)'!$B$7:$B$500&amp;", ")),--('Hoạt động (Đơn của tôi)'!$AT$7:$AT$500="Pass"))+SUMPRODUCT(--ISNUMBER(SEARCH(", "&amp;$B11&amp;", ",", "&amp;'Ghép nối'!$B$7:$B$500&amp;", ")),--('Ghép nối'!$AT$7:$AT$500="Pass"))+SUMPRODUCT(--ISNUMBER(SEARCH(", "&amp;$B11&amp;", ",", "&amp;'Huỷ đơn - Huỷ nhận đơn'!$B$7:$B$500&amp;", ")),--('Huỷ đơn - Huỷ nhận đơn'!$AT$7:$AT$500="Pass"))+SUMPRODUCT(--ISNUMBER(SEARCH(", "&amp;$B11&amp;", ",", "&amp;'Giao nhận &amp; Theo dõi đơn'!$B$7:$B$500&amp;", ")),--('Giao nhận &amp; Theo dõi đơn'!$AT$7:$AT$500="Pass"))+SUMPRODUCT(--ISNUMBER(SEARCH(", "&amp;$B11&amp;", ",", "&amp;'Bảng tin &amp; Chi tiết tin'!$B$7:$B$500&amp;", ")),--('Bảng tin &amp; Chi tiết tin'!$AT$7:$AT$500="Pass"))+SUMPRODUCT(--ISNUMBER(SEARCH(", "&amp;$B11&amp;", ",", "&amp;'Quà cảm ơn'!$B$7:$B$500&amp;", ")),--('Quà cảm ơn'!$AT$7:$AT$500="Pass"))+SUMPRODUCT(--ISNUMBER(SEARCH(", "&amp;$B11&amp;", ",", "&amp;'Trang chủ'!$B$7:$B$500&amp;", ")),--('Trang chủ'!$AT$7:$AT$500="Pass"))+SUMPRODUCT(--ISNUMBER(SEARCH(", "&amp;$B11&amp;", ",", "&amp;'Thông báo'!$B$7:$B$500&amp;", ")),--('Thông báo'!$AT$7:$AT$500="Pass"))+SUMPRODUCT(--ISNUMBER(SEARCH(", "&amp;$B11&amp;", ",", "&amp;'Đăng tin &amp; Quản lý tin'!$B$7:$B$500&amp;", ")),--('Đăng tin &amp; Quản lý tin'!$AT$7:$AT$500="Pass"))+SUMPRODUCT(--ISNUMBER(SEARCH(", "&amp;$B11&amp;", ",", "&amp;'Trust &amp; Safety'!$B$7:$B$500&amp;", ")),--('Trust &amp; Safety'!$AT$7:$AT$500="Pass"))+SUMPRODUCT(--ISNUMBER(SEARCH(", "&amp;$B11&amp;", ",", "&amp;'Tài khoản &amp; Hồ sơ'!$B$7:$B$500&amp;", ")),--('Tài khoản &amp; Hồ sơ'!$AT$7:$AT$500="Pass"))</f>
        <v/>
      </c>
      <c r="H11" s="53">
        <f>SUMPRODUCT(--ISNUMBER(SEARCH(", "&amp;$B11&amp;", ",", "&amp;'Hoạt động (Đơn của tôi)'!$B$7:$B$500&amp;", ")),--('Hoạt động (Đơn của tôi)'!$AT$7:$AT$500="Fail"))+SUMPRODUCT(--ISNUMBER(SEARCH(", "&amp;$B11&amp;", ",", "&amp;'Ghép nối'!$B$7:$B$500&amp;", ")),--('Ghép nối'!$AT$7:$AT$500="Fail"))+SUMPRODUCT(--ISNUMBER(SEARCH(", "&amp;$B11&amp;", ",", "&amp;'Huỷ đơn - Huỷ nhận đơn'!$B$7:$B$500&amp;", ")),--('Huỷ đơn - Huỷ nhận đơn'!$AT$7:$AT$500="Fail"))+SUMPRODUCT(--ISNUMBER(SEARCH(", "&amp;$B11&amp;", ",", "&amp;'Giao nhận &amp; Theo dõi đơn'!$B$7:$B$500&amp;", ")),--('Giao nhận &amp; Theo dõi đơn'!$AT$7:$AT$500="Fail"))+SUMPRODUCT(--ISNUMBER(SEARCH(", "&amp;$B11&amp;", ",", "&amp;'Bảng tin &amp; Chi tiết tin'!$B$7:$B$500&amp;", ")),--('Bảng tin &amp; Chi tiết tin'!$AT$7:$AT$500="Fail"))+SUMPRODUCT(--ISNUMBER(SEARCH(", "&amp;$B11&amp;", ",", "&amp;'Quà cảm ơn'!$B$7:$B$500&amp;", ")),--('Quà cảm ơn'!$AT$7:$AT$500="Fail"))+SUMPRODUCT(--ISNUMBER(SEARCH(", "&amp;$B11&amp;", ",", "&amp;'Trang chủ'!$B$7:$B$500&amp;", ")),--('Trang chủ'!$AT$7:$AT$500="Fail"))+SUMPRODUCT(--ISNUMBER(SEARCH(", "&amp;$B11&amp;", ",", "&amp;'Thông báo'!$B$7:$B$500&amp;", ")),--('Thông báo'!$AT$7:$AT$500="Fail"))+SUMPRODUCT(--ISNUMBER(SEARCH(", "&amp;$B11&amp;", ",", "&amp;'Đăng tin &amp; Quản lý tin'!$B$7:$B$500&amp;", ")),--('Đăng tin &amp; Quản lý tin'!$AT$7:$AT$500="Fail"))+SUMPRODUCT(--ISNUMBER(SEARCH(", "&amp;$B11&amp;", ",", "&amp;'Trust &amp; Safety'!$B$7:$B$500&amp;", ")),--('Trust &amp; Safety'!$AT$7:$AT$500="Fail"))+SUMPRODUCT(--ISNUMBER(SEARCH(", "&amp;$B11&amp;", ",", "&amp;'Tài khoản &amp; Hồ sơ'!$B$7:$B$500&amp;", ")),--('Tài khoản &amp; Hồ sơ'!$AT$7:$AT$500="Fail"))</f>
        <v/>
      </c>
      <c r="I11" s="53">
        <f>SUMPRODUCT(--ISNUMBER(SEARCH(", "&amp;$B11&amp;", ",", "&amp;'Hoạt động (Đơn của tôi)'!$B$7:$B$500&amp;", ")),--('Hoạt động (Đơn của tôi)'!$AT$7:$AT$500="Block"))+SUMPRODUCT(--ISNUMBER(SEARCH(", "&amp;$B11&amp;", ",", "&amp;'Ghép nối'!$B$7:$B$500&amp;", ")),--('Ghép nối'!$AT$7:$AT$500="Block"))+SUMPRODUCT(--ISNUMBER(SEARCH(", "&amp;$B11&amp;", ",", "&amp;'Huỷ đơn - Huỷ nhận đơn'!$B$7:$B$500&amp;", ")),--('Huỷ đơn - Huỷ nhận đơn'!$AT$7:$AT$500="Block"))+SUMPRODUCT(--ISNUMBER(SEARCH(", "&amp;$B11&amp;", ",", "&amp;'Giao nhận &amp; Theo dõi đơn'!$B$7:$B$500&amp;", ")),--('Giao nhận &amp; Theo dõi đơn'!$AT$7:$AT$500="Block"))+SUMPRODUCT(--ISNUMBER(SEARCH(", "&amp;$B11&amp;", ",", "&amp;'Bảng tin &amp; Chi tiết tin'!$B$7:$B$500&amp;", ")),--('Bảng tin &amp; Chi tiết tin'!$AT$7:$AT$500="Block"))+SUMPRODUCT(--ISNUMBER(SEARCH(", "&amp;$B11&amp;", ",", "&amp;'Quà cảm ơn'!$B$7:$B$500&amp;", ")),--('Quà cảm ơn'!$AT$7:$AT$500="Block"))+SUMPRODUCT(--ISNUMBER(SEARCH(", "&amp;$B11&amp;", ",", "&amp;'Trang chủ'!$B$7:$B$500&amp;", ")),--('Trang chủ'!$AT$7:$AT$500="Block"))+SUMPRODUCT(--ISNUMBER(SEARCH(", "&amp;$B11&amp;", ",", "&amp;'Thông báo'!$B$7:$B$500&amp;", ")),--('Thông báo'!$AT$7:$AT$500="Block"))+SUMPRODUCT(--ISNUMBER(SEARCH(", "&amp;$B11&amp;", ",", "&amp;'Đăng tin &amp; Quản lý tin'!$B$7:$B$500&amp;", ")),--('Đăng tin &amp; Quản lý tin'!$AT$7:$AT$500="Block"))+SUMPRODUCT(--ISNUMBER(SEARCH(", "&amp;$B11&amp;", ",", "&amp;'Trust &amp; Safety'!$B$7:$B$500&amp;", ")),--('Trust &amp; Safety'!$AT$7:$AT$500="Block"))+SUMPRODUCT(--ISNUMBER(SEARCH(", "&amp;$B11&amp;", ",", "&amp;'Tài khoản &amp; Hồ sơ'!$B$7:$B$500&amp;", ")),--('Tài khoản &amp; Hồ sơ'!$AT$7:$AT$500="Block"))</f>
        <v/>
      </c>
      <c r="J11" s="53">
        <f>SUMPRODUCT(--ISNUMBER(SEARCH(", "&amp;$B11&amp;", ",", "&amp;'Hoạt động (Đơn của tôi)'!$B$7:$B$500&amp;", ")),--('Hoạt động (Đơn của tôi)'!$AT$7:$AT$500="N/A"))+SUMPRODUCT(--ISNUMBER(SEARCH(", "&amp;$B11&amp;", ",", "&amp;'Ghép nối'!$B$7:$B$500&amp;", ")),--('Ghép nối'!$AT$7:$AT$500="N/A"))+SUMPRODUCT(--ISNUMBER(SEARCH(", "&amp;$B11&amp;", ",", "&amp;'Huỷ đơn - Huỷ nhận đơn'!$B$7:$B$500&amp;", ")),--('Huỷ đơn - Huỷ nhận đơn'!$AT$7:$AT$500="N/A"))+SUMPRODUCT(--ISNUMBER(SEARCH(", "&amp;$B11&amp;", ",", "&amp;'Giao nhận &amp; Theo dõi đơn'!$B$7:$B$500&amp;", ")),--('Giao nhận &amp; Theo dõi đơn'!$AT$7:$AT$500="N/A"))+SUMPRODUCT(--ISNUMBER(SEARCH(", "&amp;$B11&amp;", ",", "&amp;'Bảng tin &amp; Chi tiết tin'!$B$7:$B$500&amp;", ")),--('Bảng tin &amp; Chi tiết tin'!$AT$7:$AT$500="N/A"))+SUMPRODUCT(--ISNUMBER(SEARCH(", "&amp;$B11&amp;", ",", "&amp;'Quà cảm ơn'!$B$7:$B$500&amp;", ")),--('Quà cảm ơn'!$AT$7:$AT$500="N/A"))+SUMPRODUCT(--ISNUMBER(SEARCH(", "&amp;$B11&amp;", ",", "&amp;'Trang chủ'!$B$7:$B$500&amp;", ")),--('Trang chủ'!$AT$7:$AT$500="N/A"))+SUMPRODUCT(--ISNUMBER(SEARCH(", "&amp;$B11&amp;", ",", "&amp;'Thông báo'!$B$7:$B$500&amp;", ")),--('Thông báo'!$AT$7:$AT$500="N/A"))+SUMPRODUCT(--ISNUMBER(SEARCH(", "&amp;$B11&amp;", ",", "&amp;'Đăng tin &amp; Quản lý tin'!$B$7:$B$500&amp;", ")),--('Đăng tin &amp; Quản lý tin'!$AT$7:$AT$500="N/A"))+SUMPRODUCT(--ISNUMBER(SEARCH(", "&amp;$B11&amp;", ",", "&amp;'Trust &amp; Safety'!$B$7:$B$500&amp;", ")),--('Trust &amp; Safety'!$AT$7:$AT$500="N/A"))+SUMPRODUCT(--ISNUMBER(SEARCH(", "&amp;$B11&amp;", ",", "&amp;'Tài khoản &amp; Hồ sơ'!$B$7:$B$500&amp;", ")),--('Tài khoản &amp; Hồ sơ'!$AT$7:$AT$500="N/A"))</f>
        <v/>
      </c>
      <c r="K11" s="54">
        <f>IFERROR(F11/E11,0)</f>
        <v/>
      </c>
      <c r="L11" s="113">
        <f>IF(E11=0,"Chưa có TC (gap)",IF(H11&gt;0,"Có lỗi (Fail)",IF(I11&gt;0,"Bị block",IF(F11&lt;E11,"Đang test",IF(G11=0,"Không áp dụng (N/A)","Đã test xong")))))</f>
        <v/>
      </c>
      <c r="AB11" t="inlineStr">
        <is>
          <t>REQ-ACT</t>
        </is>
      </c>
      <c r="AD11" t="inlineStr">
        <is>
          <t>REQ-GIFT</t>
        </is>
      </c>
      <c r="AE11">
        <f>SUMIF($AB$6:$AB$143,$AD11,$E$6:$E$143)</f>
        <v/>
      </c>
      <c r="AF11">
        <f>SUMIF($AB$6:$AB$143,$AD11,$F$6:$F$143)</f>
        <v/>
      </c>
    </row>
    <row r="12">
      <c r="A12" s="1" t="n"/>
      <c r="B12" s="112" t="inlineStr">
        <is>
          <t>REQ-ACT-003</t>
        </is>
      </c>
      <c r="C12" s="261" t="inlineStr"/>
      <c r="D12" s="113" t="inlineStr">
        <is>
          <t>DOC-v1.0-02</t>
        </is>
      </c>
      <c r="E12" s="53">
        <f>SUMPRODUCT(--ISNUMBER(SEARCH(", "&amp;$B12&amp;", ",", "&amp;'Hoạt động (Đơn của tôi)'!$B$7:$B$500&amp;", ")))+SUMPRODUCT(--ISNUMBER(SEARCH(", "&amp;$B12&amp;", ",", "&amp;'Ghép nối'!$B$7:$B$500&amp;", ")))+SUMPRODUCT(--ISNUMBER(SEARCH(", "&amp;$B12&amp;", ",", "&amp;'Huỷ đơn - Huỷ nhận đơn'!$B$7:$B$500&amp;", ")))+SUMPRODUCT(--ISNUMBER(SEARCH(", "&amp;$B12&amp;", ",", "&amp;'Giao nhận &amp; Theo dõi đơn'!$B$7:$B$500&amp;", ")))+SUMPRODUCT(--ISNUMBER(SEARCH(", "&amp;$B12&amp;", ",", "&amp;'Bảng tin &amp; Chi tiết tin'!$B$7:$B$500&amp;", ")))+SUMPRODUCT(--ISNUMBER(SEARCH(", "&amp;$B12&amp;", ",", "&amp;'Quà cảm ơn'!$B$7:$B$500&amp;", ")))+SUMPRODUCT(--ISNUMBER(SEARCH(", "&amp;$B12&amp;", ",", "&amp;'Trang chủ'!$B$7:$B$500&amp;", ")))+SUMPRODUCT(--ISNUMBER(SEARCH(", "&amp;$B12&amp;", ",", "&amp;'Thông báo'!$B$7:$B$500&amp;", ")))+SUMPRODUCT(--ISNUMBER(SEARCH(", "&amp;$B12&amp;", ",", "&amp;'Đăng tin &amp; Quản lý tin'!$B$7:$B$500&amp;", ")))+SUMPRODUCT(--ISNUMBER(SEARCH(", "&amp;$B12&amp;", ",", "&amp;'Trust &amp; Safety'!$B$7:$B$500&amp;", ")))+SUMPRODUCT(--ISNUMBER(SEARCH(", "&amp;$B12&amp;", ",", "&amp;'Tài khoản &amp; Hồ sơ'!$B$7:$B$500&amp;", ")))</f>
        <v/>
      </c>
      <c r="F12" s="53">
        <f>SUMPRODUCT(--ISNUMBER(SEARCH(", "&amp;$B12&amp;", ",", "&amp;'Hoạt động (Đơn của tôi)'!$B$7:$B$500&amp;", ")),--('Hoạt động (Đơn của tôi)'!$AT$7:$AT$500&lt;&gt;""))+SUMPRODUCT(--ISNUMBER(SEARCH(", "&amp;$B12&amp;", ",", "&amp;'Ghép nối'!$B$7:$B$500&amp;", ")),--('Ghép nối'!$AT$7:$AT$500&lt;&gt;""))+SUMPRODUCT(--ISNUMBER(SEARCH(", "&amp;$B12&amp;", ",", "&amp;'Huỷ đơn - Huỷ nhận đơn'!$B$7:$B$500&amp;", ")),--('Huỷ đơn - Huỷ nhận đơn'!$AT$7:$AT$500&lt;&gt;""))+SUMPRODUCT(--ISNUMBER(SEARCH(", "&amp;$B12&amp;", ",", "&amp;'Giao nhận &amp; Theo dõi đơn'!$B$7:$B$500&amp;", ")),--('Giao nhận &amp; Theo dõi đơn'!$AT$7:$AT$500&lt;&gt;""))+SUMPRODUCT(--ISNUMBER(SEARCH(", "&amp;$B12&amp;", ",", "&amp;'Bảng tin &amp; Chi tiết tin'!$B$7:$B$500&amp;", ")),--('Bảng tin &amp; Chi tiết tin'!$AT$7:$AT$500&lt;&gt;""))+SUMPRODUCT(--ISNUMBER(SEARCH(", "&amp;$B12&amp;", ",", "&amp;'Quà cảm ơn'!$B$7:$B$500&amp;", ")),--('Quà cảm ơn'!$AT$7:$AT$500&lt;&gt;""))+SUMPRODUCT(--ISNUMBER(SEARCH(", "&amp;$B12&amp;", ",", "&amp;'Trang chủ'!$B$7:$B$500&amp;", ")),--('Trang chủ'!$AT$7:$AT$500&lt;&gt;""))+SUMPRODUCT(--ISNUMBER(SEARCH(", "&amp;$B12&amp;", ",", "&amp;'Thông báo'!$B$7:$B$500&amp;", ")),--('Thông báo'!$AT$7:$AT$500&lt;&gt;""))+SUMPRODUCT(--ISNUMBER(SEARCH(", "&amp;$B12&amp;", ",", "&amp;'Đăng tin &amp; Quản lý tin'!$B$7:$B$500&amp;", ")),--('Đăng tin &amp; Quản lý tin'!$AT$7:$AT$500&lt;&gt;""))+SUMPRODUCT(--ISNUMBER(SEARCH(", "&amp;$B12&amp;", ",", "&amp;'Trust &amp; Safety'!$B$7:$B$500&amp;", ")),--('Trust &amp; Safety'!$AT$7:$AT$500&lt;&gt;""))+SUMPRODUCT(--ISNUMBER(SEARCH(", "&amp;$B12&amp;", ",", "&amp;'Tài khoản &amp; Hồ sơ'!$B$7:$B$500&amp;", ")),--('Tài khoản &amp; Hồ sơ'!$AT$7:$AT$500&lt;&gt;""))</f>
        <v/>
      </c>
      <c r="G12" s="53">
        <f>SUMPRODUCT(--ISNUMBER(SEARCH(", "&amp;$B12&amp;", ",", "&amp;'Hoạt động (Đơn của tôi)'!$B$7:$B$500&amp;", ")),--('Hoạt động (Đơn của tôi)'!$AT$7:$AT$500="Pass"))+SUMPRODUCT(--ISNUMBER(SEARCH(", "&amp;$B12&amp;", ",", "&amp;'Ghép nối'!$B$7:$B$500&amp;", ")),--('Ghép nối'!$AT$7:$AT$500="Pass"))+SUMPRODUCT(--ISNUMBER(SEARCH(", "&amp;$B12&amp;", ",", "&amp;'Huỷ đơn - Huỷ nhận đơn'!$B$7:$B$500&amp;", ")),--('Huỷ đơn - Huỷ nhận đơn'!$AT$7:$AT$500="Pass"))+SUMPRODUCT(--ISNUMBER(SEARCH(", "&amp;$B12&amp;", ",", "&amp;'Giao nhận &amp; Theo dõi đơn'!$B$7:$B$500&amp;", ")),--('Giao nhận &amp; Theo dõi đơn'!$AT$7:$AT$500="Pass"))+SUMPRODUCT(--ISNUMBER(SEARCH(", "&amp;$B12&amp;", ",", "&amp;'Bảng tin &amp; Chi tiết tin'!$B$7:$B$500&amp;", ")),--('Bảng tin &amp; Chi tiết tin'!$AT$7:$AT$500="Pass"))+SUMPRODUCT(--ISNUMBER(SEARCH(", "&amp;$B12&amp;", ",", "&amp;'Quà cảm ơn'!$B$7:$B$500&amp;", ")),--('Quà cảm ơn'!$AT$7:$AT$500="Pass"))+SUMPRODUCT(--ISNUMBER(SEARCH(", "&amp;$B12&amp;", ",", "&amp;'Trang chủ'!$B$7:$B$500&amp;", ")),--('Trang chủ'!$AT$7:$AT$500="Pass"))+SUMPRODUCT(--ISNUMBER(SEARCH(", "&amp;$B12&amp;", ",", "&amp;'Thông báo'!$B$7:$B$500&amp;", ")),--('Thông báo'!$AT$7:$AT$500="Pass"))+SUMPRODUCT(--ISNUMBER(SEARCH(", "&amp;$B12&amp;", ",", "&amp;'Đăng tin &amp; Quản lý tin'!$B$7:$B$500&amp;", ")),--('Đăng tin &amp; Quản lý tin'!$AT$7:$AT$500="Pass"))+SUMPRODUCT(--ISNUMBER(SEARCH(", "&amp;$B12&amp;", ",", "&amp;'Trust &amp; Safety'!$B$7:$B$500&amp;", ")),--('Trust &amp; Safety'!$AT$7:$AT$500="Pass"))+SUMPRODUCT(--ISNUMBER(SEARCH(", "&amp;$B12&amp;", ",", "&amp;'Tài khoản &amp; Hồ sơ'!$B$7:$B$500&amp;", ")),--('Tài khoản &amp; Hồ sơ'!$AT$7:$AT$500="Pass"))</f>
        <v/>
      </c>
      <c r="H12" s="53">
        <f>SUMPRODUCT(--ISNUMBER(SEARCH(", "&amp;$B12&amp;", ",", "&amp;'Hoạt động (Đơn của tôi)'!$B$7:$B$500&amp;", ")),--('Hoạt động (Đơn của tôi)'!$AT$7:$AT$500="Fail"))+SUMPRODUCT(--ISNUMBER(SEARCH(", "&amp;$B12&amp;", ",", "&amp;'Ghép nối'!$B$7:$B$500&amp;", ")),--('Ghép nối'!$AT$7:$AT$500="Fail"))+SUMPRODUCT(--ISNUMBER(SEARCH(", "&amp;$B12&amp;", ",", "&amp;'Huỷ đơn - Huỷ nhận đơn'!$B$7:$B$500&amp;", ")),--('Huỷ đơn - Huỷ nhận đơn'!$AT$7:$AT$500="Fail"))+SUMPRODUCT(--ISNUMBER(SEARCH(", "&amp;$B12&amp;", ",", "&amp;'Giao nhận &amp; Theo dõi đơn'!$B$7:$B$500&amp;", ")),--('Giao nhận &amp; Theo dõi đơn'!$AT$7:$AT$500="Fail"))+SUMPRODUCT(--ISNUMBER(SEARCH(", "&amp;$B12&amp;", ",", "&amp;'Bảng tin &amp; Chi tiết tin'!$B$7:$B$500&amp;", ")),--('Bảng tin &amp; Chi tiết tin'!$AT$7:$AT$500="Fail"))+SUMPRODUCT(--ISNUMBER(SEARCH(", "&amp;$B12&amp;", ",", "&amp;'Quà cảm ơn'!$B$7:$B$500&amp;", ")),--('Quà cảm ơn'!$AT$7:$AT$500="Fail"))+SUMPRODUCT(--ISNUMBER(SEARCH(", "&amp;$B12&amp;", ",", "&amp;'Trang chủ'!$B$7:$B$500&amp;", ")),--('Trang chủ'!$AT$7:$AT$500="Fail"))+SUMPRODUCT(--ISNUMBER(SEARCH(", "&amp;$B12&amp;", ",", "&amp;'Thông báo'!$B$7:$B$500&amp;", ")),--('Thông báo'!$AT$7:$AT$500="Fail"))+SUMPRODUCT(--ISNUMBER(SEARCH(", "&amp;$B12&amp;", ",", "&amp;'Đăng tin &amp; Quản lý tin'!$B$7:$B$500&amp;", ")),--('Đăng tin &amp; Quản lý tin'!$AT$7:$AT$500="Fail"))+SUMPRODUCT(--ISNUMBER(SEARCH(", "&amp;$B12&amp;", ",", "&amp;'Trust &amp; Safety'!$B$7:$B$500&amp;", ")),--('Trust &amp; Safety'!$AT$7:$AT$500="Fail"))+SUMPRODUCT(--ISNUMBER(SEARCH(", "&amp;$B12&amp;", ",", "&amp;'Tài khoản &amp; Hồ sơ'!$B$7:$B$500&amp;", ")),--('Tài khoản &amp; Hồ sơ'!$AT$7:$AT$500="Fail"))</f>
        <v/>
      </c>
      <c r="I12" s="53">
        <f>SUMPRODUCT(--ISNUMBER(SEARCH(", "&amp;$B12&amp;", ",", "&amp;'Hoạt động (Đơn của tôi)'!$B$7:$B$500&amp;", ")),--('Hoạt động (Đơn của tôi)'!$AT$7:$AT$500="Block"))+SUMPRODUCT(--ISNUMBER(SEARCH(", "&amp;$B12&amp;", ",", "&amp;'Ghép nối'!$B$7:$B$500&amp;", ")),--('Ghép nối'!$AT$7:$AT$500="Block"))+SUMPRODUCT(--ISNUMBER(SEARCH(", "&amp;$B12&amp;", ",", "&amp;'Huỷ đơn - Huỷ nhận đơn'!$B$7:$B$500&amp;", ")),--('Huỷ đơn - Huỷ nhận đơn'!$AT$7:$AT$500="Block"))+SUMPRODUCT(--ISNUMBER(SEARCH(", "&amp;$B12&amp;", ",", "&amp;'Giao nhận &amp; Theo dõi đơn'!$B$7:$B$500&amp;", ")),--('Giao nhận &amp; Theo dõi đơn'!$AT$7:$AT$500="Block"))+SUMPRODUCT(--ISNUMBER(SEARCH(", "&amp;$B12&amp;", ",", "&amp;'Bảng tin &amp; Chi tiết tin'!$B$7:$B$500&amp;", ")),--('Bảng tin &amp; Chi tiết tin'!$AT$7:$AT$500="Block"))+SUMPRODUCT(--ISNUMBER(SEARCH(", "&amp;$B12&amp;", ",", "&amp;'Quà cảm ơn'!$B$7:$B$500&amp;", ")),--('Quà cảm ơn'!$AT$7:$AT$500="Block"))+SUMPRODUCT(--ISNUMBER(SEARCH(", "&amp;$B12&amp;", ",", "&amp;'Trang chủ'!$B$7:$B$500&amp;", ")),--('Trang chủ'!$AT$7:$AT$500="Block"))+SUMPRODUCT(--ISNUMBER(SEARCH(", "&amp;$B12&amp;", ",", "&amp;'Thông báo'!$B$7:$B$500&amp;", ")),--('Thông báo'!$AT$7:$AT$500="Block"))+SUMPRODUCT(--ISNUMBER(SEARCH(", "&amp;$B12&amp;", ",", "&amp;'Đăng tin &amp; Quản lý tin'!$B$7:$B$500&amp;", ")),--('Đăng tin &amp; Quản lý tin'!$AT$7:$AT$500="Block"))+SUMPRODUCT(--ISNUMBER(SEARCH(", "&amp;$B12&amp;", ",", "&amp;'Trust &amp; Safety'!$B$7:$B$500&amp;", ")),--('Trust &amp; Safety'!$AT$7:$AT$500="Block"))+SUMPRODUCT(--ISNUMBER(SEARCH(", "&amp;$B12&amp;", ",", "&amp;'Tài khoản &amp; Hồ sơ'!$B$7:$B$500&amp;", ")),--('Tài khoản &amp; Hồ sơ'!$AT$7:$AT$500="Block"))</f>
        <v/>
      </c>
      <c r="J12" s="53">
        <f>SUMPRODUCT(--ISNUMBER(SEARCH(", "&amp;$B12&amp;", ",", "&amp;'Hoạt động (Đơn của tôi)'!$B$7:$B$500&amp;", ")),--('Hoạt động (Đơn của tôi)'!$AT$7:$AT$500="N/A"))+SUMPRODUCT(--ISNUMBER(SEARCH(", "&amp;$B12&amp;", ",", "&amp;'Ghép nối'!$B$7:$B$500&amp;", ")),--('Ghép nối'!$AT$7:$AT$500="N/A"))+SUMPRODUCT(--ISNUMBER(SEARCH(", "&amp;$B12&amp;", ",", "&amp;'Huỷ đơn - Huỷ nhận đơn'!$B$7:$B$500&amp;", ")),--('Huỷ đơn - Huỷ nhận đơn'!$AT$7:$AT$500="N/A"))+SUMPRODUCT(--ISNUMBER(SEARCH(", "&amp;$B12&amp;", ",", "&amp;'Giao nhận &amp; Theo dõi đơn'!$B$7:$B$500&amp;", ")),--('Giao nhận &amp; Theo dõi đơn'!$AT$7:$AT$500="N/A"))+SUMPRODUCT(--ISNUMBER(SEARCH(", "&amp;$B12&amp;", ",", "&amp;'Bảng tin &amp; Chi tiết tin'!$B$7:$B$500&amp;", ")),--('Bảng tin &amp; Chi tiết tin'!$AT$7:$AT$500="N/A"))+SUMPRODUCT(--ISNUMBER(SEARCH(", "&amp;$B12&amp;", ",", "&amp;'Quà cảm ơn'!$B$7:$B$500&amp;", ")),--('Quà cảm ơn'!$AT$7:$AT$500="N/A"))+SUMPRODUCT(--ISNUMBER(SEARCH(", "&amp;$B12&amp;", ",", "&amp;'Trang chủ'!$B$7:$B$500&amp;", ")),--('Trang chủ'!$AT$7:$AT$500="N/A"))+SUMPRODUCT(--ISNUMBER(SEARCH(", "&amp;$B12&amp;", ",", "&amp;'Thông báo'!$B$7:$B$500&amp;", ")),--('Thông báo'!$AT$7:$AT$500="N/A"))+SUMPRODUCT(--ISNUMBER(SEARCH(", "&amp;$B12&amp;", ",", "&amp;'Đăng tin &amp; Quản lý tin'!$B$7:$B$500&amp;", ")),--('Đăng tin &amp; Quản lý tin'!$AT$7:$AT$500="N/A"))+SUMPRODUCT(--ISNUMBER(SEARCH(", "&amp;$B12&amp;", ",", "&amp;'Trust &amp; Safety'!$B$7:$B$500&amp;", ")),--('Trust &amp; Safety'!$AT$7:$AT$500="N/A"))+SUMPRODUCT(--ISNUMBER(SEARCH(", "&amp;$B12&amp;", ",", "&amp;'Tài khoản &amp; Hồ sơ'!$B$7:$B$500&amp;", ")),--('Tài khoản &amp; Hồ sơ'!$AT$7:$AT$500="N/A"))</f>
        <v/>
      </c>
      <c r="K12" s="54">
        <f>IFERROR(F12/E12,0)</f>
        <v/>
      </c>
      <c r="L12" s="113">
        <f>IF(E12=0,"Chưa có TC (gap)",IF(H12&gt;0,"Có lỗi (Fail)",IF(I12&gt;0,"Bị block",IF(F12&lt;E12,"Đang test",IF(G12=0,"Không áp dụng (N/A)","Đã test xong")))))</f>
        <v/>
      </c>
      <c r="AB12" t="inlineStr">
        <is>
          <t>REQ-ACT</t>
        </is>
      </c>
      <c r="AD12" t="inlineStr">
        <is>
          <t>REQ-HOME</t>
        </is>
      </c>
      <c r="AE12">
        <f>SUMIF($AB$6:$AB$143,$AD12,$E$6:$E$143)</f>
        <v/>
      </c>
      <c r="AF12">
        <f>SUMIF($AB$6:$AB$143,$AD12,$F$6:$F$143)</f>
        <v/>
      </c>
    </row>
    <row r="13">
      <c r="A13" s="1" t="n"/>
      <c r="B13" s="112" t="inlineStr">
        <is>
          <t>REQ-ACT-002</t>
        </is>
      </c>
      <c r="C13" s="261" t="inlineStr"/>
      <c r="D13" s="113" t="inlineStr">
        <is>
          <t>DOC-v1.0-06 · DOC-v1.0-05</t>
        </is>
      </c>
      <c r="E13" s="53">
        <f>SUMPRODUCT(--ISNUMBER(SEARCH(", "&amp;$B13&amp;", ",", "&amp;'Hoạt động (Đơn của tôi)'!$B$7:$B$500&amp;", ")))+SUMPRODUCT(--ISNUMBER(SEARCH(", "&amp;$B13&amp;", ",", "&amp;'Ghép nối'!$B$7:$B$500&amp;", ")))+SUMPRODUCT(--ISNUMBER(SEARCH(", "&amp;$B13&amp;", ",", "&amp;'Huỷ đơn - Huỷ nhận đơn'!$B$7:$B$500&amp;", ")))+SUMPRODUCT(--ISNUMBER(SEARCH(", "&amp;$B13&amp;", ",", "&amp;'Giao nhận &amp; Theo dõi đơn'!$B$7:$B$500&amp;", ")))+SUMPRODUCT(--ISNUMBER(SEARCH(", "&amp;$B13&amp;", ",", "&amp;'Bảng tin &amp; Chi tiết tin'!$B$7:$B$500&amp;", ")))+SUMPRODUCT(--ISNUMBER(SEARCH(", "&amp;$B13&amp;", ",", "&amp;'Quà cảm ơn'!$B$7:$B$500&amp;", ")))+SUMPRODUCT(--ISNUMBER(SEARCH(", "&amp;$B13&amp;", ",", "&amp;'Trang chủ'!$B$7:$B$500&amp;", ")))+SUMPRODUCT(--ISNUMBER(SEARCH(", "&amp;$B13&amp;", ",", "&amp;'Thông báo'!$B$7:$B$500&amp;", ")))+SUMPRODUCT(--ISNUMBER(SEARCH(", "&amp;$B13&amp;", ",", "&amp;'Đăng tin &amp; Quản lý tin'!$B$7:$B$500&amp;", ")))+SUMPRODUCT(--ISNUMBER(SEARCH(", "&amp;$B13&amp;", ",", "&amp;'Trust &amp; Safety'!$B$7:$B$500&amp;", ")))+SUMPRODUCT(--ISNUMBER(SEARCH(", "&amp;$B13&amp;", ",", "&amp;'Tài khoản &amp; Hồ sơ'!$B$7:$B$500&amp;", ")))</f>
        <v/>
      </c>
      <c r="F13" s="53">
        <f>SUMPRODUCT(--ISNUMBER(SEARCH(", "&amp;$B13&amp;", ",", "&amp;'Hoạt động (Đơn của tôi)'!$B$7:$B$500&amp;", ")),--('Hoạt động (Đơn của tôi)'!$AT$7:$AT$500&lt;&gt;""))+SUMPRODUCT(--ISNUMBER(SEARCH(", "&amp;$B13&amp;", ",", "&amp;'Ghép nối'!$B$7:$B$500&amp;", ")),--('Ghép nối'!$AT$7:$AT$500&lt;&gt;""))+SUMPRODUCT(--ISNUMBER(SEARCH(", "&amp;$B13&amp;", ",", "&amp;'Huỷ đơn - Huỷ nhận đơn'!$B$7:$B$500&amp;", ")),--('Huỷ đơn - Huỷ nhận đơn'!$AT$7:$AT$500&lt;&gt;""))+SUMPRODUCT(--ISNUMBER(SEARCH(", "&amp;$B13&amp;", ",", "&amp;'Giao nhận &amp; Theo dõi đơn'!$B$7:$B$500&amp;", ")),--('Giao nhận &amp; Theo dõi đơn'!$AT$7:$AT$500&lt;&gt;""))+SUMPRODUCT(--ISNUMBER(SEARCH(", "&amp;$B13&amp;", ",", "&amp;'Bảng tin &amp; Chi tiết tin'!$B$7:$B$500&amp;", ")),--('Bảng tin &amp; Chi tiết tin'!$AT$7:$AT$500&lt;&gt;""))+SUMPRODUCT(--ISNUMBER(SEARCH(", "&amp;$B13&amp;", ",", "&amp;'Quà cảm ơn'!$B$7:$B$500&amp;", ")),--('Quà cảm ơn'!$AT$7:$AT$500&lt;&gt;""))+SUMPRODUCT(--ISNUMBER(SEARCH(", "&amp;$B13&amp;", ",", "&amp;'Trang chủ'!$B$7:$B$500&amp;", ")),--('Trang chủ'!$AT$7:$AT$500&lt;&gt;""))+SUMPRODUCT(--ISNUMBER(SEARCH(", "&amp;$B13&amp;", ",", "&amp;'Thông báo'!$B$7:$B$500&amp;", ")),--('Thông báo'!$AT$7:$AT$500&lt;&gt;""))+SUMPRODUCT(--ISNUMBER(SEARCH(", "&amp;$B13&amp;", ",", "&amp;'Đăng tin &amp; Quản lý tin'!$B$7:$B$500&amp;", ")),--('Đăng tin &amp; Quản lý tin'!$AT$7:$AT$500&lt;&gt;""))+SUMPRODUCT(--ISNUMBER(SEARCH(", "&amp;$B13&amp;", ",", "&amp;'Trust &amp; Safety'!$B$7:$B$500&amp;", ")),--('Trust &amp; Safety'!$AT$7:$AT$500&lt;&gt;""))+SUMPRODUCT(--ISNUMBER(SEARCH(", "&amp;$B13&amp;", ",", "&amp;'Tài khoản &amp; Hồ sơ'!$B$7:$B$500&amp;", ")),--('Tài khoản &amp; Hồ sơ'!$AT$7:$AT$500&lt;&gt;""))</f>
        <v/>
      </c>
      <c r="G13" s="53">
        <f>SUMPRODUCT(--ISNUMBER(SEARCH(", "&amp;$B13&amp;", ",", "&amp;'Hoạt động (Đơn của tôi)'!$B$7:$B$500&amp;", ")),--('Hoạt động (Đơn của tôi)'!$AT$7:$AT$500="Pass"))+SUMPRODUCT(--ISNUMBER(SEARCH(", "&amp;$B13&amp;", ",", "&amp;'Ghép nối'!$B$7:$B$500&amp;", ")),--('Ghép nối'!$AT$7:$AT$500="Pass"))+SUMPRODUCT(--ISNUMBER(SEARCH(", "&amp;$B13&amp;", ",", "&amp;'Huỷ đơn - Huỷ nhận đơn'!$B$7:$B$500&amp;", ")),--('Huỷ đơn - Huỷ nhận đơn'!$AT$7:$AT$500="Pass"))+SUMPRODUCT(--ISNUMBER(SEARCH(", "&amp;$B13&amp;", ",", "&amp;'Giao nhận &amp; Theo dõi đơn'!$B$7:$B$500&amp;", ")),--('Giao nhận &amp; Theo dõi đơn'!$AT$7:$AT$500="Pass"))+SUMPRODUCT(--ISNUMBER(SEARCH(", "&amp;$B13&amp;", ",", "&amp;'Bảng tin &amp; Chi tiết tin'!$B$7:$B$500&amp;", ")),--('Bảng tin &amp; Chi tiết tin'!$AT$7:$AT$500="Pass"))+SUMPRODUCT(--ISNUMBER(SEARCH(", "&amp;$B13&amp;", ",", "&amp;'Quà cảm ơn'!$B$7:$B$500&amp;", ")),--('Quà cảm ơn'!$AT$7:$AT$500="Pass"))+SUMPRODUCT(--ISNUMBER(SEARCH(", "&amp;$B13&amp;", ",", "&amp;'Trang chủ'!$B$7:$B$500&amp;", ")),--('Trang chủ'!$AT$7:$AT$500="Pass"))+SUMPRODUCT(--ISNUMBER(SEARCH(", "&amp;$B13&amp;", ",", "&amp;'Thông báo'!$B$7:$B$500&amp;", ")),--('Thông báo'!$AT$7:$AT$500="Pass"))+SUMPRODUCT(--ISNUMBER(SEARCH(", "&amp;$B13&amp;", ",", "&amp;'Đăng tin &amp; Quản lý tin'!$B$7:$B$500&amp;", ")),--('Đăng tin &amp; Quản lý tin'!$AT$7:$AT$500="Pass"))+SUMPRODUCT(--ISNUMBER(SEARCH(", "&amp;$B13&amp;", ",", "&amp;'Trust &amp; Safety'!$B$7:$B$500&amp;", ")),--('Trust &amp; Safety'!$AT$7:$AT$500="Pass"))+SUMPRODUCT(--ISNUMBER(SEARCH(", "&amp;$B13&amp;", ",", "&amp;'Tài khoản &amp; Hồ sơ'!$B$7:$B$500&amp;", ")),--('Tài khoản &amp; Hồ sơ'!$AT$7:$AT$500="Pass"))</f>
        <v/>
      </c>
      <c r="H13" s="53">
        <f>SUMPRODUCT(--ISNUMBER(SEARCH(", "&amp;$B13&amp;", ",", "&amp;'Hoạt động (Đơn của tôi)'!$B$7:$B$500&amp;", ")),--('Hoạt động (Đơn của tôi)'!$AT$7:$AT$500="Fail"))+SUMPRODUCT(--ISNUMBER(SEARCH(", "&amp;$B13&amp;", ",", "&amp;'Ghép nối'!$B$7:$B$500&amp;", ")),--('Ghép nối'!$AT$7:$AT$500="Fail"))+SUMPRODUCT(--ISNUMBER(SEARCH(", "&amp;$B13&amp;", ",", "&amp;'Huỷ đơn - Huỷ nhận đơn'!$B$7:$B$500&amp;", ")),--('Huỷ đơn - Huỷ nhận đơn'!$AT$7:$AT$500="Fail"))+SUMPRODUCT(--ISNUMBER(SEARCH(", "&amp;$B13&amp;", ",", "&amp;'Giao nhận &amp; Theo dõi đơn'!$B$7:$B$500&amp;", ")),--('Giao nhận &amp; Theo dõi đơn'!$AT$7:$AT$500="Fail"))+SUMPRODUCT(--ISNUMBER(SEARCH(", "&amp;$B13&amp;", ",", "&amp;'Bảng tin &amp; Chi tiết tin'!$B$7:$B$500&amp;", ")),--('Bảng tin &amp; Chi tiết tin'!$AT$7:$AT$500="Fail"))+SUMPRODUCT(--ISNUMBER(SEARCH(", "&amp;$B13&amp;", ",", "&amp;'Quà cảm ơn'!$B$7:$B$500&amp;", ")),--('Quà cảm ơn'!$AT$7:$AT$500="Fail"))+SUMPRODUCT(--ISNUMBER(SEARCH(", "&amp;$B13&amp;", ",", "&amp;'Trang chủ'!$B$7:$B$500&amp;", ")),--('Trang chủ'!$AT$7:$AT$500="Fail"))+SUMPRODUCT(--ISNUMBER(SEARCH(", "&amp;$B13&amp;", ",", "&amp;'Thông báo'!$B$7:$B$500&amp;", ")),--('Thông báo'!$AT$7:$AT$500="Fail"))+SUMPRODUCT(--ISNUMBER(SEARCH(", "&amp;$B13&amp;", ",", "&amp;'Đăng tin &amp; Quản lý tin'!$B$7:$B$500&amp;", ")),--('Đăng tin &amp; Quản lý tin'!$AT$7:$AT$500="Fail"))+SUMPRODUCT(--ISNUMBER(SEARCH(", "&amp;$B13&amp;", ",", "&amp;'Trust &amp; Safety'!$B$7:$B$500&amp;", ")),--('Trust &amp; Safety'!$AT$7:$AT$500="Fail"))+SUMPRODUCT(--ISNUMBER(SEARCH(", "&amp;$B13&amp;", ",", "&amp;'Tài khoản &amp; Hồ sơ'!$B$7:$B$500&amp;", ")),--('Tài khoản &amp; Hồ sơ'!$AT$7:$AT$500="Fail"))</f>
        <v/>
      </c>
      <c r="I13" s="53">
        <f>SUMPRODUCT(--ISNUMBER(SEARCH(", "&amp;$B13&amp;", ",", "&amp;'Hoạt động (Đơn của tôi)'!$B$7:$B$500&amp;", ")),--('Hoạt động (Đơn của tôi)'!$AT$7:$AT$500="Block"))+SUMPRODUCT(--ISNUMBER(SEARCH(", "&amp;$B13&amp;", ",", "&amp;'Ghép nối'!$B$7:$B$500&amp;", ")),--('Ghép nối'!$AT$7:$AT$500="Block"))+SUMPRODUCT(--ISNUMBER(SEARCH(", "&amp;$B13&amp;", ",", "&amp;'Huỷ đơn - Huỷ nhận đơn'!$B$7:$B$500&amp;", ")),--('Huỷ đơn - Huỷ nhận đơn'!$AT$7:$AT$500="Block"))+SUMPRODUCT(--ISNUMBER(SEARCH(", "&amp;$B13&amp;", ",", "&amp;'Giao nhận &amp; Theo dõi đơn'!$B$7:$B$500&amp;", ")),--('Giao nhận &amp; Theo dõi đơn'!$AT$7:$AT$500="Block"))+SUMPRODUCT(--ISNUMBER(SEARCH(", "&amp;$B13&amp;", ",", "&amp;'Bảng tin &amp; Chi tiết tin'!$B$7:$B$500&amp;", ")),--('Bảng tin &amp; Chi tiết tin'!$AT$7:$AT$500="Block"))+SUMPRODUCT(--ISNUMBER(SEARCH(", "&amp;$B13&amp;", ",", "&amp;'Quà cảm ơn'!$B$7:$B$500&amp;", ")),--('Quà cảm ơn'!$AT$7:$AT$500="Block"))+SUMPRODUCT(--ISNUMBER(SEARCH(", "&amp;$B13&amp;", ",", "&amp;'Trang chủ'!$B$7:$B$500&amp;", ")),--('Trang chủ'!$AT$7:$AT$500="Block"))+SUMPRODUCT(--ISNUMBER(SEARCH(", "&amp;$B13&amp;", ",", "&amp;'Thông báo'!$B$7:$B$500&amp;", ")),--('Thông báo'!$AT$7:$AT$500="Block"))+SUMPRODUCT(--ISNUMBER(SEARCH(", "&amp;$B13&amp;", ",", "&amp;'Đăng tin &amp; Quản lý tin'!$B$7:$B$500&amp;", ")),--('Đăng tin &amp; Quản lý tin'!$AT$7:$AT$500="Block"))+SUMPRODUCT(--ISNUMBER(SEARCH(", "&amp;$B13&amp;", ",", "&amp;'Trust &amp; Safety'!$B$7:$B$500&amp;", ")),--('Trust &amp; Safety'!$AT$7:$AT$500="Block"))+SUMPRODUCT(--ISNUMBER(SEARCH(", "&amp;$B13&amp;", ",", "&amp;'Tài khoản &amp; Hồ sơ'!$B$7:$B$500&amp;", ")),--('Tài khoản &amp; Hồ sơ'!$AT$7:$AT$500="Block"))</f>
        <v/>
      </c>
      <c r="J13" s="53">
        <f>SUMPRODUCT(--ISNUMBER(SEARCH(", "&amp;$B13&amp;", ",", "&amp;'Hoạt động (Đơn của tôi)'!$B$7:$B$500&amp;", ")),--('Hoạt động (Đơn của tôi)'!$AT$7:$AT$500="N/A"))+SUMPRODUCT(--ISNUMBER(SEARCH(", "&amp;$B13&amp;", ",", "&amp;'Ghép nối'!$B$7:$B$500&amp;", ")),--('Ghép nối'!$AT$7:$AT$500="N/A"))+SUMPRODUCT(--ISNUMBER(SEARCH(", "&amp;$B13&amp;", ",", "&amp;'Huỷ đơn - Huỷ nhận đơn'!$B$7:$B$500&amp;", ")),--('Huỷ đơn - Huỷ nhận đơn'!$AT$7:$AT$500="N/A"))+SUMPRODUCT(--ISNUMBER(SEARCH(", "&amp;$B13&amp;", ",", "&amp;'Giao nhận &amp; Theo dõi đơn'!$B$7:$B$500&amp;", ")),--('Giao nhận &amp; Theo dõi đơn'!$AT$7:$AT$500="N/A"))+SUMPRODUCT(--ISNUMBER(SEARCH(", "&amp;$B13&amp;", ",", "&amp;'Bảng tin &amp; Chi tiết tin'!$B$7:$B$500&amp;", ")),--('Bảng tin &amp; Chi tiết tin'!$AT$7:$AT$500="N/A"))+SUMPRODUCT(--ISNUMBER(SEARCH(", "&amp;$B13&amp;", ",", "&amp;'Quà cảm ơn'!$B$7:$B$500&amp;", ")),--('Quà cảm ơn'!$AT$7:$AT$500="N/A"))+SUMPRODUCT(--ISNUMBER(SEARCH(", "&amp;$B13&amp;", ",", "&amp;'Trang chủ'!$B$7:$B$500&amp;", ")),--('Trang chủ'!$AT$7:$AT$500="N/A"))+SUMPRODUCT(--ISNUMBER(SEARCH(", "&amp;$B13&amp;", ",", "&amp;'Thông báo'!$B$7:$B$500&amp;", ")),--('Thông báo'!$AT$7:$AT$500="N/A"))+SUMPRODUCT(--ISNUMBER(SEARCH(", "&amp;$B13&amp;", ",", "&amp;'Đăng tin &amp; Quản lý tin'!$B$7:$B$500&amp;", ")),--('Đăng tin &amp; Quản lý tin'!$AT$7:$AT$500="N/A"))+SUMPRODUCT(--ISNUMBER(SEARCH(", "&amp;$B13&amp;", ",", "&amp;'Trust &amp; Safety'!$B$7:$B$500&amp;", ")),--('Trust &amp; Safety'!$AT$7:$AT$500="N/A"))+SUMPRODUCT(--ISNUMBER(SEARCH(", "&amp;$B13&amp;", ",", "&amp;'Tài khoản &amp; Hồ sơ'!$B$7:$B$500&amp;", ")),--('Tài khoản &amp; Hồ sơ'!$AT$7:$AT$500="N/A"))</f>
        <v/>
      </c>
      <c r="K13" s="54">
        <f>IFERROR(F13/E13,0)</f>
        <v/>
      </c>
      <c r="L13" s="113">
        <f>IF(E13=0,"Chưa có TC (gap)",IF(H13&gt;0,"Có lỗi (Fail)",IF(I13&gt;0,"Bị block",IF(F13&lt;E13,"Đang test",IF(G13=0,"Không áp dụng (N/A)","Đã test xong")))))</f>
        <v/>
      </c>
      <c r="AB13" t="inlineStr">
        <is>
          <t>REQ-ACT</t>
        </is>
      </c>
      <c r="AD13" t="inlineStr">
        <is>
          <t>REQ-NTF</t>
        </is>
      </c>
      <c r="AE13">
        <f>SUMIF($AB$6:$AB$143,$AD13,$E$6:$E$143)</f>
        <v/>
      </c>
      <c r="AF13">
        <f>SUMIF($AB$6:$AB$143,$AD13,$F$6:$F$143)</f>
        <v/>
      </c>
    </row>
    <row r="14">
      <c r="A14" s="1" t="n"/>
      <c r="B14" s="112" t="inlineStr">
        <is>
          <t>REQ-ACT-007</t>
        </is>
      </c>
      <c r="C14" s="261" t="inlineStr"/>
      <c r="D14" s="113" t="inlineStr">
        <is>
          <t>DOC-v1.0-06</t>
        </is>
      </c>
      <c r="E14" s="53">
        <f>SUMPRODUCT(--ISNUMBER(SEARCH(", "&amp;$B14&amp;", ",", "&amp;'Hoạt động (Đơn của tôi)'!$B$7:$B$500&amp;", ")))+SUMPRODUCT(--ISNUMBER(SEARCH(", "&amp;$B14&amp;", ",", "&amp;'Ghép nối'!$B$7:$B$500&amp;", ")))+SUMPRODUCT(--ISNUMBER(SEARCH(", "&amp;$B14&amp;", ",", "&amp;'Huỷ đơn - Huỷ nhận đơn'!$B$7:$B$500&amp;", ")))+SUMPRODUCT(--ISNUMBER(SEARCH(", "&amp;$B14&amp;", ",", "&amp;'Giao nhận &amp; Theo dõi đơn'!$B$7:$B$500&amp;", ")))+SUMPRODUCT(--ISNUMBER(SEARCH(", "&amp;$B14&amp;", ",", "&amp;'Bảng tin &amp; Chi tiết tin'!$B$7:$B$500&amp;", ")))+SUMPRODUCT(--ISNUMBER(SEARCH(", "&amp;$B14&amp;", ",", "&amp;'Quà cảm ơn'!$B$7:$B$500&amp;", ")))+SUMPRODUCT(--ISNUMBER(SEARCH(", "&amp;$B14&amp;", ",", "&amp;'Trang chủ'!$B$7:$B$500&amp;", ")))+SUMPRODUCT(--ISNUMBER(SEARCH(", "&amp;$B14&amp;", ",", "&amp;'Thông báo'!$B$7:$B$500&amp;", ")))+SUMPRODUCT(--ISNUMBER(SEARCH(", "&amp;$B14&amp;", ",", "&amp;'Đăng tin &amp; Quản lý tin'!$B$7:$B$500&amp;", ")))+SUMPRODUCT(--ISNUMBER(SEARCH(", "&amp;$B14&amp;", ",", "&amp;'Trust &amp; Safety'!$B$7:$B$500&amp;", ")))+SUMPRODUCT(--ISNUMBER(SEARCH(", "&amp;$B14&amp;", ",", "&amp;'Tài khoản &amp; Hồ sơ'!$B$7:$B$500&amp;", ")))</f>
        <v/>
      </c>
      <c r="F14" s="53">
        <f>SUMPRODUCT(--ISNUMBER(SEARCH(", "&amp;$B14&amp;", ",", "&amp;'Hoạt động (Đơn của tôi)'!$B$7:$B$500&amp;", ")),--('Hoạt động (Đơn của tôi)'!$AT$7:$AT$500&lt;&gt;""))+SUMPRODUCT(--ISNUMBER(SEARCH(", "&amp;$B14&amp;", ",", "&amp;'Ghép nối'!$B$7:$B$500&amp;", ")),--('Ghép nối'!$AT$7:$AT$500&lt;&gt;""))+SUMPRODUCT(--ISNUMBER(SEARCH(", "&amp;$B14&amp;", ",", "&amp;'Huỷ đơn - Huỷ nhận đơn'!$B$7:$B$500&amp;", ")),--('Huỷ đơn - Huỷ nhận đơn'!$AT$7:$AT$500&lt;&gt;""))+SUMPRODUCT(--ISNUMBER(SEARCH(", "&amp;$B14&amp;", ",", "&amp;'Giao nhận &amp; Theo dõi đơn'!$B$7:$B$500&amp;", ")),--('Giao nhận &amp; Theo dõi đơn'!$AT$7:$AT$500&lt;&gt;""))+SUMPRODUCT(--ISNUMBER(SEARCH(", "&amp;$B14&amp;", ",", "&amp;'Bảng tin &amp; Chi tiết tin'!$B$7:$B$500&amp;", ")),--('Bảng tin &amp; Chi tiết tin'!$AT$7:$AT$500&lt;&gt;""))+SUMPRODUCT(--ISNUMBER(SEARCH(", "&amp;$B14&amp;", ",", "&amp;'Quà cảm ơn'!$B$7:$B$500&amp;", ")),--('Quà cảm ơn'!$AT$7:$AT$500&lt;&gt;""))+SUMPRODUCT(--ISNUMBER(SEARCH(", "&amp;$B14&amp;", ",", "&amp;'Trang chủ'!$B$7:$B$500&amp;", ")),--('Trang chủ'!$AT$7:$AT$500&lt;&gt;""))+SUMPRODUCT(--ISNUMBER(SEARCH(", "&amp;$B14&amp;", ",", "&amp;'Thông báo'!$B$7:$B$500&amp;", ")),--('Thông báo'!$AT$7:$AT$500&lt;&gt;""))+SUMPRODUCT(--ISNUMBER(SEARCH(", "&amp;$B14&amp;", ",", "&amp;'Đăng tin &amp; Quản lý tin'!$B$7:$B$500&amp;", ")),--('Đăng tin &amp; Quản lý tin'!$AT$7:$AT$500&lt;&gt;""))+SUMPRODUCT(--ISNUMBER(SEARCH(", "&amp;$B14&amp;", ",", "&amp;'Trust &amp; Safety'!$B$7:$B$500&amp;", ")),--('Trust &amp; Safety'!$AT$7:$AT$500&lt;&gt;""))+SUMPRODUCT(--ISNUMBER(SEARCH(", "&amp;$B14&amp;", ",", "&amp;'Tài khoản &amp; Hồ sơ'!$B$7:$B$500&amp;", ")),--('Tài khoản &amp; Hồ sơ'!$AT$7:$AT$500&lt;&gt;""))</f>
        <v/>
      </c>
      <c r="G14" s="53">
        <f>SUMPRODUCT(--ISNUMBER(SEARCH(", "&amp;$B14&amp;", ",", "&amp;'Hoạt động (Đơn của tôi)'!$B$7:$B$500&amp;", ")),--('Hoạt động (Đơn của tôi)'!$AT$7:$AT$500="Pass"))+SUMPRODUCT(--ISNUMBER(SEARCH(", "&amp;$B14&amp;", ",", "&amp;'Ghép nối'!$B$7:$B$500&amp;", ")),--('Ghép nối'!$AT$7:$AT$500="Pass"))+SUMPRODUCT(--ISNUMBER(SEARCH(", "&amp;$B14&amp;", ",", "&amp;'Huỷ đơn - Huỷ nhận đơn'!$B$7:$B$500&amp;", ")),--('Huỷ đơn - Huỷ nhận đơn'!$AT$7:$AT$500="Pass"))+SUMPRODUCT(--ISNUMBER(SEARCH(", "&amp;$B14&amp;", ",", "&amp;'Giao nhận &amp; Theo dõi đơn'!$B$7:$B$500&amp;", ")),--('Giao nhận &amp; Theo dõi đơn'!$AT$7:$AT$500="Pass"))+SUMPRODUCT(--ISNUMBER(SEARCH(", "&amp;$B14&amp;", ",", "&amp;'Bảng tin &amp; Chi tiết tin'!$B$7:$B$500&amp;", ")),--('Bảng tin &amp; Chi tiết tin'!$AT$7:$AT$500="Pass"))+SUMPRODUCT(--ISNUMBER(SEARCH(", "&amp;$B14&amp;", ",", "&amp;'Quà cảm ơn'!$B$7:$B$500&amp;", ")),--('Quà cảm ơn'!$AT$7:$AT$500="Pass"))+SUMPRODUCT(--ISNUMBER(SEARCH(", "&amp;$B14&amp;", ",", "&amp;'Trang chủ'!$B$7:$B$500&amp;", ")),--('Trang chủ'!$AT$7:$AT$500="Pass"))+SUMPRODUCT(--ISNUMBER(SEARCH(", "&amp;$B14&amp;", ",", "&amp;'Thông báo'!$B$7:$B$500&amp;", ")),--('Thông báo'!$AT$7:$AT$500="Pass"))+SUMPRODUCT(--ISNUMBER(SEARCH(", "&amp;$B14&amp;", ",", "&amp;'Đăng tin &amp; Quản lý tin'!$B$7:$B$500&amp;", ")),--('Đăng tin &amp; Quản lý tin'!$AT$7:$AT$500="Pass"))+SUMPRODUCT(--ISNUMBER(SEARCH(", "&amp;$B14&amp;", ",", "&amp;'Trust &amp; Safety'!$B$7:$B$500&amp;", ")),--('Trust &amp; Safety'!$AT$7:$AT$500="Pass"))+SUMPRODUCT(--ISNUMBER(SEARCH(", "&amp;$B14&amp;", ",", "&amp;'Tài khoản &amp; Hồ sơ'!$B$7:$B$500&amp;", ")),--('Tài khoản &amp; Hồ sơ'!$AT$7:$AT$500="Pass"))</f>
        <v/>
      </c>
      <c r="H14" s="53">
        <f>SUMPRODUCT(--ISNUMBER(SEARCH(", "&amp;$B14&amp;", ",", "&amp;'Hoạt động (Đơn của tôi)'!$B$7:$B$500&amp;", ")),--('Hoạt động (Đơn của tôi)'!$AT$7:$AT$500="Fail"))+SUMPRODUCT(--ISNUMBER(SEARCH(", "&amp;$B14&amp;", ",", "&amp;'Ghép nối'!$B$7:$B$500&amp;", ")),--('Ghép nối'!$AT$7:$AT$500="Fail"))+SUMPRODUCT(--ISNUMBER(SEARCH(", "&amp;$B14&amp;", ",", "&amp;'Huỷ đơn - Huỷ nhận đơn'!$B$7:$B$500&amp;", ")),--('Huỷ đơn - Huỷ nhận đơn'!$AT$7:$AT$500="Fail"))+SUMPRODUCT(--ISNUMBER(SEARCH(", "&amp;$B14&amp;", ",", "&amp;'Giao nhận &amp; Theo dõi đơn'!$B$7:$B$500&amp;", ")),--('Giao nhận &amp; Theo dõi đơn'!$AT$7:$AT$500="Fail"))+SUMPRODUCT(--ISNUMBER(SEARCH(", "&amp;$B14&amp;", ",", "&amp;'Bảng tin &amp; Chi tiết tin'!$B$7:$B$500&amp;", ")),--('Bảng tin &amp; Chi tiết tin'!$AT$7:$AT$500="Fail"))+SUMPRODUCT(--ISNUMBER(SEARCH(", "&amp;$B14&amp;", ",", "&amp;'Quà cảm ơn'!$B$7:$B$500&amp;", ")),--('Quà cảm ơn'!$AT$7:$AT$500="Fail"))+SUMPRODUCT(--ISNUMBER(SEARCH(", "&amp;$B14&amp;", ",", "&amp;'Trang chủ'!$B$7:$B$500&amp;", ")),--('Trang chủ'!$AT$7:$AT$500="Fail"))+SUMPRODUCT(--ISNUMBER(SEARCH(", "&amp;$B14&amp;", ",", "&amp;'Thông báo'!$B$7:$B$500&amp;", ")),--('Thông báo'!$AT$7:$AT$500="Fail"))+SUMPRODUCT(--ISNUMBER(SEARCH(", "&amp;$B14&amp;", ",", "&amp;'Đăng tin &amp; Quản lý tin'!$B$7:$B$500&amp;", ")),--('Đăng tin &amp; Quản lý tin'!$AT$7:$AT$500="Fail"))+SUMPRODUCT(--ISNUMBER(SEARCH(", "&amp;$B14&amp;", ",", "&amp;'Trust &amp; Safety'!$B$7:$B$500&amp;", ")),--('Trust &amp; Safety'!$AT$7:$AT$500="Fail"))+SUMPRODUCT(--ISNUMBER(SEARCH(", "&amp;$B14&amp;", ",", "&amp;'Tài khoản &amp; Hồ sơ'!$B$7:$B$500&amp;", ")),--('Tài khoản &amp; Hồ sơ'!$AT$7:$AT$500="Fail"))</f>
        <v/>
      </c>
      <c r="I14" s="53">
        <f>SUMPRODUCT(--ISNUMBER(SEARCH(", "&amp;$B14&amp;", ",", "&amp;'Hoạt động (Đơn của tôi)'!$B$7:$B$500&amp;", ")),--('Hoạt động (Đơn của tôi)'!$AT$7:$AT$500="Block"))+SUMPRODUCT(--ISNUMBER(SEARCH(", "&amp;$B14&amp;", ",", "&amp;'Ghép nối'!$B$7:$B$500&amp;", ")),--('Ghép nối'!$AT$7:$AT$500="Block"))+SUMPRODUCT(--ISNUMBER(SEARCH(", "&amp;$B14&amp;", ",", "&amp;'Huỷ đơn - Huỷ nhận đơn'!$B$7:$B$500&amp;", ")),--('Huỷ đơn - Huỷ nhận đơn'!$AT$7:$AT$500="Block"))+SUMPRODUCT(--ISNUMBER(SEARCH(", "&amp;$B14&amp;", ",", "&amp;'Giao nhận &amp; Theo dõi đơn'!$B$7:$B$500&amp;", ")),--('Giao nhận &amp; Theo dõi đơn'!$AT$7:$AT$500="Block"))+SUMPRODUCT(--ISNUMBER(SEARCH(", "&amp;$B14&amp;", ",", "&amp;'Bảng tin &amp; Chi tiết tin'!$B$7:$B$500&amp;", ")),--('Bảng tin &amp; Chi tiết tin'!$AT$7:$AT$500="Block"))+SUMPRODUCT(--ISNUMBER(SEARCH(", "&amp;$B14&amp;", ",", "&amp;'Quà cảm ơn'!$B$7:$B$500&amp;", ")),--('Quà cảm ơn'!$AT$7:$AT$500="Block"))+SUMPRODUCT(--ISNUMBER(SEARCH(", "&amp;$B14&amp;", ",", "&amp;'Trang chủ'!$B$7:$B$500&amp;", ")),--('Trang chủ'!$AT$7:$AT$500="Block"))+SUMPRODUCT(--ISNUMBER(SEARCH(", "&amp;$B14&amp;", ",", "&amp;'Thông báo'!$B$7:$B$500&amp;", ")),--('Thông báo'!$AT$7:$AT$500="Block"))+SUMPRODUCT(--ISNUMBER(SEARCH(", "&amp;$B14&amp;", ",", "&amp;'Đăng tin &amp; Quản lý tin'!$B$7:$B$500&amp;", ")),--('Đăng tin &amp; Quản lý tin'!$AT$7:$AT$500="Block"))+SUMPRODUCT(--ISNUMBER(SEARCH(", "&amp;$B14&amp;", ",", "&amp;'Trust &amp; Safety'!$B$7:$B$500&amp;", ")),--('Trust &amp; Safety'!$AT$7:$AT$500="Block"))+SUMPRODUCT(--ISNUMBER(SEARCH(", "&amp;$B14&amp;", ",", "&amp;'Tài khoản &amp; Hồ sơ'!$B$7:$B$500&amp;", ")),--('Tài khoản &amp; Hồ sơ'!$AT$7:$AT$500="Block"))</f>
        <v/>
      </c>
      <c r="J14" s="53">
        <f>SUMPRODUCT(--ISNUMBER(SEARCH(", "&amp;$B14&amp;", ",", "&amp;'Hoạt động (Đơn của tôi)'!$B$7:$B$500&amp;", ")),--('Hoạt động (Đơn của tôi)'!$AT$7:$AT$500="N/A"))+SUMPRODUCT(--ISNUMBER(SEARCH(", "&amp;$B14&amp;", ",", "&amp;'Ghép nối'!$B$7:$B$500&amp;", ")),--('Ghép nối'!$AT$7:$AT$500="N/A"))+SUMPRODUCT(--ISNUMBER(SEARCH(", "&amp;$B14&amp;", ",", "&amp;'Huỷ đơn - Huỷ nhận đơn'!$B$7:$B$500&amp;", ")),--('Huỷ đơn - Huỷ nhận đơn'!$AT$7:$AT$500="N/A"))+SUMPRODUCT(--ISNUMBER(SEARCH(", "&amp;$B14&amp;", ",", "&amp;'Giao nhận &amp; Theo dõi đơn'!$B$7:$B$500&amp;", ")),--('Giao nhận &amp; Theo dõi đơn'!$AT$7:$AT$500="N/A"))+SUMPRODUCT(--ISNUMBER(SEARCH(", "&amp;$B14&amp;", ",", "&amp;'Bảng tin &amp; Chi tiết tin'!$B$7:$B$500&amp;", ")),--('Bảng tin &amp; Chi tiết tin'!$AT$7:$AT$500="N/A"))+SUMPRODUCT(--ISNUMBER(SEARCH(", "&amp;$B14&amp;", ",", "&amp;'Quà cảm ơn'!$B$7:$B$500&amp;", ")),--('Quà cảm ơn'!$AT$7:$AT$500="N/A"))+SUMPRODUCT(--ISNUMBER(SEARCH(", "&amp;$B14&amp;", ",", "&amp;'Trang chủ'!$B$7:$B$500&amp;", ")),--('Trang chủ'!$AT$7:$AT$500="N/A"))+SUMPRODUCT(--ISNUMBER(SEARCH(", "&amp;$B14&amp;", ",", "&amp;'Thông báo'!$B$7:$B$500&amp;", ")),--('Thông báo'!$AT$7:$AT$500="N/A"))+SUMPRODUCT(--ISNUMBER(SEARCH(", "&amp;$B14&amp;", ",", "&amp;'Đăng tin &amp; Quản lý tin'!$B$7:$B$500&amp;", ")),--('Đăng tin &amp; Quản lý tin'!$AT$7:$AT$500="N/A"))+SUMPRODUCT(--ISNUMBER(SEARCH(", "&amp;$B14&amp;", ",", "&amp;'Trust &amp; Safety'!$B$7:$B$500&amp;", ")),--('Trust &amp; Safety'!$AT$7:$AT$500="N/A"))+SUMPRODUCT(--ISNUMBER(SEARCH(", "&amp;$B14&amp;", ",", "&amp;'Tài khoản &amp; Hồ sơ'!$B$7:$B$500&amp;", ")),--('Tài khoản &amp; Hồ sơ'!$AT$7:$AT$500="N/A"))</f>
        <v/>
      </c>
      <c r="K14" s="54">
        <f>IFERROR(F14/E14,0)</f>
        <v/>
      </c>
      <c r="L14" s="113">
        <f>IF(E14=0,"Chưa có TC (gap)",IF(H14&gt;0,"Có lỗi (Fail)",IF(I14&gt;0,"Bị block",IF(F14&lt;E14,"Đang test",IF(G14=0,"Không áp dụng (N/A)","Đã test xong")))))</f>
        <v/>
      </c>
      <c r="AB14" t="inlineStr">
        <is>
          <t>REQ-ACT</t>
        </is>
      </c>
      <c r="AD14" t="inlineStr">
        <is>
          <t>REQ-ORD</t>
        </is>
      </c>
      <c r="AE14">
        <f>SUMIF($AB$6:$AB$143,$AD14,$E$6:$E$143)</f>
        <v/>
      </c>
      <c r="AF14">
        <f>SUMIF($AB$6:$AB$143,$AD14,$F$6:$F$143)</f>
        <v/>
      </c>
    </row>
    <row r="15">
      <c r="A15" s="1" t="n"/>
      <c r="B15" s="112" t="inlineStr">
        <is>
          <t>REQ-ACT-006</t>
        </is>
      </c>
      <c r="C15" s="261" t="inlineStr"/>
      <c r="D15" s="113" t="inlineStr">
        <is>
          <t>DOC-v1.0-06 · DOC-v1.0-02</t>
        </is>
      </c>
      <c r="E15" s="53">
        <f>SUMPRODUCT(--ISNUMBER(SEARCH(", "&amp;$B15&amp;", ",", "&amp;'Hoạt động (Đơn của tôi)'!$B$7:$B$500&amp;", ")))+SUMPRODUCT(--ISNUMBER(SEARCH(", "&amp;$B15&amp;", ",", "&amp;'Ghép nối'!$B$7:$B$500&amp;", ")))+SUMPRODUCT(--ISNUMBER(SEARCH(", "&amp;$B15&amp;", ",", "&amp;'Huỷ đơn - Huỷ nhận đơn'!$B$7:$B$500&amp;", ")))+SUMPRODUCT(--ISNUMBER(SEARCH(", "&amp;$B15&amp;", ",", "&amp;'Giao nhận &amp; Theo dõi đơn'!$B$7:$B$500&amp;", ")))+SUMPRODUCT(--ISNUMBER(SEARCH(", "&amp;$B15&amp;", ",", "&amp;'Bảng tin &amp; Chi tiết tin'!$B$7:$B$500&amp;", ")))+SUMPRODUCT(--ISNUMBER(SEARCH(", "&amp;$B15&amp;", ",", "&amp;'Quà cảm ơn'!$B$7:$B$500&amp;", ")))+SUMPRODUCT(--ISNUMBER(SEARCH(", "&amp;$B15&amp;", ",", "&amp;'Trang chủ'!$B$7:$B$500&amp;", ")))+SUMPRODUCT(--ISNUMBER(SEARCH(", "&amp;$B15&amp;", ",", "&amp;'Thông báo'!$B$7:$B$500&amp;", ")))+SUMPRODUCT(--ISNUMBER(SEARCH(", "&amp;$B15&amp;", ",", "&amp;'Đăng tin &amp; Quản lý tin'!$B$7:$B$500&amp;", ")))+SUMPRODUCT(--ISNUMBER(SEARCH(", "&amp;$B15&amp;", ",", "&amp;'Trust &amp; Safety'!$B$7:$B$500&amp;", ")))+SUMPRODUCT(--ISNUMBER(SEARCH(", "&amp;$B15&amp;", ",", "&amp;'Tài khoản &amp; Hồ sơ'!$B$7:$B$500&amp;", ")))</f>
        <v/>
      </c>
      <c r="F15" s="53">
        <f>SUMPRODUCT(--ISNUMBER(SEARCH(", "&amp;$B15&amp;", ",", "&amp;'Hoạt động (Đơn của tôi)'!$B$7:$B$500&amp;", ")),--('Hoạt động (Đơn của tôi)'!$AT$7:$AT$500&lt;&gt;""))+SUMPRODUCT(--ISNUMBER(SEARCH(", "&amp;$B15&amp;", ",", "&amp;'Ghép nối'!$B$7:$B$500&amp;", ")),--('Ghép nối'!$AT$7:$AT$500&lt;&gt;""))+SUMPRODUCT(--ISNUMBER(SEARCH(", "&amp;$B15&amp;", ",", "&amp;'Huỷ đơn - Huỷ nhận đơn'!$B$7:$B$500&amp;", ")),--('Huỷ đơn - Huỷ nhận đơn'!$AT$7:$AT$500&lt;&gt;""))+SUMPRODUCT(--ISNUMBER(SEARCH(", "&amp;$B15&amp;", ",", "&amp;'Giao nhận &amp; Theo dõi đơn'!$B$7:$B$500&amp;", ")),--('Giao nhận &amp; Theo dõi đơn'!$AT$7:$AT$500&lt;&gt;""))+SUMPRODUCT(--ISNUMBER(SEARCH(", "&amp;$B15&amp;", ",", "&amp;'Bảng tin &amp; Chi tiết tin'!$B$7:$B$500&amp;", ")),--('Bảng tin &amp; Chi tiết tin'!$AT$7:$AT$500&lt;&gt;""))+SUMPRODUCT(--ISNUMBER(SEARCH(", "&amp;$B15&amp;", ",", "&amp;'Quà cảm ơn'!$B$7:$B$500&amp;", ")),--('Quà cảm ơn'!$AT$7:$AT$500&lt;&gt;""))+SUMPRODUCT(--ISNUMBER(SEARCH(", "&amp;$B15&amp;", ",", "&amp;'Trang chủ'!$B$7:$B$500&amp;", ")),--('Trang chủ'!$AT$7:$AT$500&lt;&gt;""))+SUMPRODUCT(--ISNUMBER(SEARCH(", "&amp;$B15&amp;", ",", "&amp;'Thông báo'!$B$7:$B$500&amp;", ")),--('Thông báo'!$AT$7:$AT$500&lt;&gt;""))+SUMPRODUCT(--ISNUMBER(SEARCH(", "&amp;$B15&amp;", ",", "&amp;'Đăng tin &amp; Quản lý tin'!$B$7:$B$500&amp;", ")),--('Đăng tin &amp; Quản lý tin'!$AT$7:$AT$500&lt;&gt;""))+SUMPRODUCT(--ISNUMBER(SEARCH(", "&amp;$B15&amp;", ",", "&amp;'Trust &amp; Safety'!$B$7:$B$500&amp;", ")),--('Trust &amp; Safety'!$AT$7:$AT$500&lt;&gt;""))+SUMPRODUCT(--ISNUMBER(SEARCH(", "&amp;$B15&amp;", ",", "&amp;'Tài khoản &amp; Hồ sơ'!$B$7:$B$500&amp;", ")),--('Tài khoản &amp; Hồ sơ'!$AT$7:$AT$500&lt;&gt;""))</f>
        <v/>
      </c>
      <c r="G15" s="53">
        <f>SUMPRODUCT(--ISNUMBER(SEARCH(", "&amp;$B15&amp;", ",", "&amp;'Hoạt động (Đơn của tôi)'!$B$7:$B$500&amp;", ")),--('Hoạt động (Đơn của tôi)'!$AT$7:$AT$500="Pass"))+SUMPRODUCT(--ISNUMBER(SEARCH(", "&amp;$B15&amp;", ",", "&amp;'Ghép nối'!$B$7:$B$500&amp;", ")),--('Ghép nối'!$AT$7:$AT$500="Pass"))+SUMPRODUCT(--ISNUMBER(SEARCH(", "&amp;$B15&amp;", ",", "&amp;'Huỷ đơn - Huỷ nhận đơn'!$B$7:$B$500&amp;", ")),--('Huỷ đơn - Huỷ nhận đơn'!$AT$7:$AT$500="Pass"))+SUMPRODUCT(--ISNUMBER(SEARCH(", "&amp;$B15&amp;", ",", "&amp;'Giao nhận &amp; Theo dõi đơn'!$B$7:$B$500&amp;", ")),--('Giao nhận &amp; Theo dõi đơn'!$AT$7:$AT$500="Pass"))+SUMPRODUCT(--ISNUMBER(SEARCH(", "&amp;$B15&amp;", ",", "&amp;'Bảng tin &amp; Chi tiết tin'!$B$7:$B$500&amp;", ")),--('Bảng tin &amp; Chi tiết tin'!$AT$7:$AT$500="Pass"))+SUMPRODUCT(--ISNUMBER(SEARCH(", "&amp;$B15&amp;", ",", "&amp;'Quà cảm ơn'!$B$7:$B$500&amp;", ")),--('Quà cảm ơn'!$AT$7:$AT$500="Pass"))+SUMPRODUCT(--ISNUMBER(SEARCH(", "&amp;$B15&amp;", ",", "&amp;'Trang chủ'!$B$7:$B$500&amp;", ")),--('Trang chủ'!$AT$7:$AT$500="Pass"))+SUMPRODUCT(--ISNUMBER(SEARCH(", "&amp;$B15&amp;", ",", "&amp;'Thông báo'!$B$7:$B$500&amp;", ")),--('Thông báo'!$AT$7:$AT$500="Pass"))+SUMPRODUCT(--ISNUMBER(SEARCH(", "&amp;$B15&amp;", ",", "&amp;'Đăng tin &amp; Quản lý tin'!$B$7:$B$500&amp;", ")),--('Đăng tin &amp; Quản lý tin'!$AT$7:$AT$500="Pass"))+SUMPRODUCT(--ISNUMBER(SEARCH(", "&amp;$B15&amp;", ",", "&amp;'Trust &amp; Safety'!$B$7:$B$500&amp;", ")),--('Trust &amp; Safety'!$AT$7:$AT$500="Pass"))+SUMPRODUCT(--ISNUMBER(SEARCH(", "&amp;$B15&amp;", ",", "&amp;'Tài khoản &amp; Hồ sơ'!$B$7:$B$500&amp;", ")),--('Tài khoản &amp; Hồ sơ'!$AT$7:$AT$500="Pass"))</f>
        <v/>
      </c>
      <c r="H15" s="53">
        <f>SUMPRODUCT(--ISNUMBER(SEARCH(", "&amp;$B15&amp;", ",", "&amp;'Hoạt động (Đơn của tôi)'!$B$7:$B$500&amp;", ")),--('Hoạt động (Đơn của tôi)'!$AT$7:$AT$500="Fail"))+SUMPRODUCT(--ISNUMBER(SEARCH(", "&amp;$B15&amp;", ",", "&amp;'Ghép nối'!$B$7:$B$500&amp;", ")),--('Ghép nối'!$AT$7:$AT$500="Fail"))+SUMPRODUCT(--ISNUMBER(SEARCH(", "&amp;$B15&amp;", ",", "&amp;'Huỷ đơn - Huỷ nhận đơn'!$B$7:$B$500&amp;", ")),--('Huỷ đơn - Huỷ nhận đơn'!$AT$7:$AT$500="Fail"))+SUMPRODUCT(--ISNUMBER(SEARCH(", "&amp;$B15&amp;", ",", "&amp;'Giao nhận &amp; Theo dõi đơn'!$B$7:$B$500&amp;", ")),--('Giao nhận &amp; Theo dõi đơn'!$AT$7:$AT$500="Fail"))+SUMPRODUCT(--ISNUMBER(SEARCH(", "&amp;$B15&amp;", ",", "&amp;'Bảng tin &amp; Chi tiết tin'!$B$7:$B$500&amp;", ")),--('Bảng tin &amp; Chi tiết tin'!$AT$7:$AT$500="Fail"))+SUMPRODUCT(--ISNUMBER(SEARCH(", "&amp;$B15&amp;", ",", "&amp;'Quà cảm ơn'!$B$7:$B$500&amp;", ")),--('Quà cảm ơn'!$AT$7:$AT$500="Fail"))+SUMPRODUCT(--ISNUMBER(SEARCH(", "&amp;$B15&amp;", ",", "&amp;'Trang chủ'!$B$7:$B$500&amp;", ")),--('Trang chủ'!$AT$7:$AT$500="Fail"))+SUMPRODUCT(--ISNUMBER(SEARCH(", "&amp;$B15&amp;", ",", "&amp;'Thông báo'!$B$7:$B$500&amp;", ")),--('Thông báo'!$AT$7:$AT$500="Fail"))+SUMPRODUCT(--ISNUMBER(SEARCH(", "&amp;$B15&amp;", ",", "&amp;'Đăng tin &amp; Quản lý tin'!$B$7:$B$500&amp;", ")),--('Đăng tin &amp; Quản lý tin'!$AT$7:$AT$500="Fail"))+SUMPRODUCT(--ISNUMBER(SEARCH(", "&amp;$B15&amp;", ",", "&amp;'Trust &amp; Safety'!$B$7:$B$500&amp;", ")),--('Trust &amp; Safety'!$AT$7:$AT$500="Fail"))+SUMPRODUCT(--ISNUMBER(SEARCH(", "&amp;$B15&amp;", ",", "&amp;'Tài khoản &amp; Hồ sơ'!$B$7:$B$500&amp;", ")),--('Tài khoản &amp; Hồ sơ'!$AT$7:$AT$500="Fail"))</f>
        <v/>
      </c>
      <c r="I15" s="53">
        <f>SUMPRODUCT(--ISNUMBER(SEARCH(", "&amp;$B15&amp;", ",", "&amp;'Hoạt động (Đơn của tôi)'!$B$7:$B$500&amp;", ")),--('Hoạt động (Đơn của tôi)'!$AT$7:$AT$500="Block"))+SUMPRODUCT(--ISNUMBER(SEARCH(", "&amp;$B15&amp;", ",", "&amp;'Ghép nối'!$B$7:$B$500&amp;", ")),--('Ghép nối'!$AT$7:$AT$500="Block"))+SUMPRODUCT(--ISNUMBER(SEARCH(", "&amp;$B15&amp;", ",", "&amp;'Huỷ đơn - Huỷ nhận đơn'!$B$7:$B$500&amp;", ")),--('Huỷ đơn - Huỷ nhận đơn'!$AT$7:$AT$500="Block"))+SUMPRODUCT(--ISNUMBER(SEARCH(", "&amp;$B15&amp;", ",", "&amp;'Giao nhận &amp; Theo dõi đơn'!$B$7:$B$500&amp;", ")),--('Giao nhận &amp; Theo dõi đơn'!$AT$7:$AT$500="Block"))+SUMPRODUCT(--ISNUMBER(SEARCH(", "&amp;$B15&amp;", ",", "&amp;'Bảng tin &amp; Chi tiết tin'!$B$7:$B$500&amp;", ")),--('Bảng tin &amp; Chi tiết tin'!$AT$7:$AT$500="Block"))+SUMPRODUCT(--ISNUMBER(SEARCH(", "&amp;$B15&amp;", ",", "&amp;'Quà cảm ơn'!$B$7:$B$500&amp;", ")),--('Quà cảm ơn'!$AT$7:$AT$500="Block"))+SUMPRODUCT(--ISNUMBER(SEARCH(", "&amp;$B15&amp;", ",", "&amp;'Trang chủ'!$B$7:$B$500&amp;", ")),--('Trang chủ'!$AT$7:$AT$500="Block"))+SUMPRODUCT(--ISNUMBER(SEARCH(", "&amp;$B15&amp;", ",", "&amp;'Thông báo'!$B$7:$B$500&amp;", ")),--('Thông báo'!$AT$7:$AT$500="Block"))+SUMPRODUCT(--ISNUMBER(SEARCH(", "&amp;$B15&amp;", ",", "&amp;'Đăng tin &amp; Quản lý tin'!$B$7:$B$500&amp;", ")),--('Đăng tin &amp; Quản lý tin'!$AT$7:$AT$500="Block"))+SUMPRODUCT(--ISNUMBER(SEARCH(", "&amp;$B15&amp;", ",", "&amp;'Trust &amp; Safety'!$B$7:$B$500&amp;", ")),--('Trust &amp; Safety'!$AT$7:$AT$500="Block"))+SUMPRODUCT(--ISNUMBER(SEARCH(", "&amp;$B15&amp;", ",", "&amp;'Tài khoản &amp; Hồ sơ'!$B$7:$B$500&amp;", ")),--('Tài khoản &amp; Hồ sơ'!$AT$7:$AT$500="Block"))</f>
        <v/>
      </c>
      <c r="J15" s="53">
        <f>SUMPRODUCT(--ISNUMBER(SEARCH(", "&amp;$B15&amp;", ",", "&amp;'Hoạt động (Đơn của tôi)'!$B$7:$B$500&amp;", ")),--('Hoạt động (Đơn của tôi)'!$AT$7:$AT$500="N/A"))+SUMPRODUCT(--ISNUMBER(SEARCH(", "&amp;$B15&amp;", ",", "&amp;'Ghép nối'!$B$7:$B$500&amp;", ")),--('Ghép nối'!$AT$7:$AT$500="N/A"))+SUMPRODUCT(--ISNUMBER(SEARCH(", "&amp;$B15&amp;", ",", "&amp;'Huỷ đơn - Huỷ nhận đơn'!$B$7:$B$500&amp;", ")),--('Huỷ đơn - Huỷ nhận đơn'!$AT$7:$AT$500="N/A"))+SUMPRODUCT(--ISNUMBER(SEARCH(", "&amp;$B15&amp;", ",", "&amp;'Giao nhận &amp; Theo dõi đơn'!$B$7:$B$500&amp;", ")),--('Giao nhận &amp; Theo dõi đơn'!$AT$7:$AT$500="N/A"))+SUMPRODUCT(--ISNUMBER(SEARCH(", "&amp;$B15&amp;", ",", "&amp;'Bảng tin &amp; Chi tiết tin'!$B$7:$B$500&amp;", ")),--('Bảng tin &amp; Chi tiết tin'!$AT$7:$AT$500="N/A"))+SUMPRODUCT(--ISNUMBER(SEARCH(", "&amp;$B15&amp;", ",", "&amp;'Quà cảm ơn'!$B$7:$B$500&amp;", ")),--('Quà cảm ơn'!$AT$7:$AT$500="N/A"))+SUMPRODUCT(--ISNUMBER(SEARCH(", "&amp;$B15&amp;", ",", "&amp;'Trang chủ'!$B$7:$B$500&amp;", ")),--('Trang chủ'!$AT$7:$AT$500="N/A"))+SUMPRODUCT(--ISNUMBER(SEARCH(", "&amp;$B15&amp;", ",", "&amp;'Thông báo'!$B$7:$B$500&amp;", ")),--('Thông báo'!$AT$7:$AT$500="N/A"))+SUMPRODUCT(--ISNUMBER(SEARCH(", "&amp;$B15&amp;", ",", "&amp;'Đăng tin &amp; Quản lý tin'!$B$7:$B$500&amp;", ")),--('Đăng tin &amp; Quản lý tin'!$AT$7:$AT$500="N/A"))+SUMPRODUCT(--ISNUMBER(SEARCH(", "&amp;$B15&amp;", ",", "&amp;'Trust &amp; Safety'!$B$7:$B$500&amp;", ")),--('Trust &amp; Safety'!$AT$7:$AT$500="N/A"))+SUMPRODUCT(--ISNUMBER(SEARCH(", "&amp;$B15&amp;", ",", "&amp;'Tài khoản &amp; Hồ sơ'!$B$7:$B$500&amp;", ")),--('Tài khoản &amp; Hồ sơ'!$AT$7:$AT$500="N/A"))</f>
        <v/>
      </c>
      <c r="K15" s="54">
        <f>IFERROR(F15/E15,0)</f>
        <v/>
      </c>
      <c r="L15" s="113">
        <f>IF(E15=0,"Chưa có TC (gap)",IF(H15&gt;0,"Có lỗi (Fail)",IF(I15&gt;0,"Bị block",IF(F15&lt;E15,"Đang test",IF(G15=0,"Không áp dụng (N/A)","Đã test xong")))))</f>
        <v/>
      </c>
      <c r="AB15" t="inlineStr">
        <is>
          <t>REQ-ACT</t>
        </is>
      </c>
      <c r="AD15" t="inlineStr">
        <is>
          <t>REQ-TS</t>
        </is>
      </c>
      <c r="AE15">
        <f>SUMIF($AB$6:$AB$143,$AD15,$E$6:$E$143)</f>
        <v/>
      </c>
      <c r="AF15">
        <f>SUMIF($AB$6:$AB$143,$AD15,$F$6:$F$143)</f>
        <v/>
      </c>
    </row>
    <row r="16">
      <c r="A16" s="1" t="n"/>
      <c r="B16" s="112" t="inlineStr">
        <is>
          <t>REQ-ASN-003</t>
        </is>
      </c>
      <c r="C16" s="261" t="inlineStr">
        <is>
          <t>BR03-02 | Ghép ngay khi người vận chuyển bấm nhận — không có bước chủ tin duyệt. Một tin chỉ có một cặp ghép active; ghép cho người bấm đầu tiên, chống double-accept bằng khoá giao dịch." "NFR-06 | Data Integrity | Một tin chỉ tồn tại một cặp ghép active; tỷ lệ ghép trùng = 0% dưới điều kiện 50 request đồng thời trên cùng một tin | Cách đo: Concurrency test trên staging</t>
        </is>
      </c>
      <c r="D16" s="113" t="inlineStr">
        <is>
          <t>DOC-v1.1-01 §8.3 "FR03" BR03-02 · page 37</t>
        </is>
      </c>
      <c r="E16" s="53">
        <f>SUMPRODUCT(--ISNUMBER(SEARCH(", "&amp;$B16&amp;", ",", "&amp;'Hoạt động (Đơn của tôi)'!$B$7:$B$500&amp;", ")))+SUMPRODUCT(--ISNUMBER(SEARCH(", "&amp;$B16&amp;", ",", "&amp;'Ghép nối'!$B$7:$B$500&amp;", ")))+SUMPRODUCT(--ISNUMBER(SEARCH(", "&amp;$B16&amp;", ",", "&amp;'Huỷ đơn - Huỷ nhận đơn'!$B$7:$B$500&amp;", ")))+SUMPRODUCT(--ISNUMBER(SEARCH(", "&amp;$B16&amp;", ",", "&amp;'Giao nhận &amp; Theo dõi đơn'!$B$7:$B$500&amp;", ")))+SUMPRODUCT(--ISNUMBER(SEARCH(", "&amp;$B16&amp;", ",", "&amp;'Bảng tin &amp; Chi tiết tin'!$B$7:$B$500&amp;", ")))+SUMPRODUCT(--ISNUMBER(SEARCH(", "&amp;$B16&amp;", ",", "&amp;'Quà cảm ơn'!$B$7:$B$500&amp;", ")))+SUMPRODUCT(--ISNUMBER(SEARCH(", "&amp;$B16&amp;", ",", "&amp;'Trang chủ'!$B$7:$B$500&amp;", ")))+SUMPRODUCT(--ISNUMBER(SEARCH(", "&amp;$B16&amp;", ",", "&amp;'Thông báo'!$B$7:$B$500&amp;", ")))+SUMPRODUCT(--ISNUMBER(SEARCH(", "&amp;$B16&amp;", ",", "&amp;'Đăng tin &amp; Quản lý tin'!$B$7:$B$500&amp;", ")))+SUMPRODUCT(--ISNUMBER(SEARCH(", "&amp;$B16&amp;", ",", "&amp;'Trust &amp; Safety'!$B$7:$B$500&amp;", ")))+SUMPRODUCT(--ISNUMBER(SEARCH(", "&amp;$B16&amp;", ",", "&amp;'Tài khoản &amp; Hồ sơ'!$B$7:$B$500&amp;", ")))</f>
        <v/>
      </c>
      <c r="F16" s="53">
        <f>SUMPRODUCT(--ISNUMBER(SEARCH(", "&amp;$B16&amp;", ",", "&amp;'Hoạt động (Đơn của tôi)'!$B$7:$B$500&amp;", ")),--('Hoạt động (Đơn của tôi)'!$AT$7:$AT$500&lt;&gt;""))+SUMPRODUCT(--ISNUMBER(SEARCH(", "&amp;$B16&amp;", ",", "&amp;'Ghép nối'!$B$7:$B$500&amp;", ")),--('Ghép nối'!$AT$7:$AT$500&lt;&gt;""))+SUMPRODUCT(--ISNUMBER(SEARCH(", "&amp;$B16&amp;", ",", "&amp;'Huỷ đơn - Huỷ nhận đơn'!$B$7:$B$500&amp;", ")),--('Huỷ đơn - Huỷ nhận đơn'!$AT$7:$AT$500&lt;&gt;""))+SUMPRODUCT(--ISNUMBER(SEARCH(", "&amp;$B16&amp;", ",", "&amp;'Giao nhận &amp; Theo dõi đơn'!$B$7:$B$500&amp;", ")),--('Giao nhận &amp; Theo dõi đơn'!$AT$7:$AT$500&lt;&gt;""))+SUMPRODUCT(--ISNUMBER(SEARCH(", "&amp;$B16&amp;", ",", "&amp;'Bảng tin &amp; Chi tiết tin'!$B$7:$B$500&amp;", ")),--('Bảng tin &amp; Chi tiết tin'!$AT$7:$AT$500&lt;&gt;""))+SUMPRODUCT(--ISNUMBER(SEARCH(", "&amp;$B16&amp;", ",", "&amp;'Quà cảm ơn'!$B$7:$B$500&amp;", ")),--('Quà cảm ơn'!$AT$7:$AT$500&lt;&gt;""))+SUMPRODUCT(--ISNUMBER(SEARCH(", "&amp;$B16&amp;", ",", "&amp;'Trang chủ'!$B$7:$B$500&amp;", ")),--('Trang chủ'!$AT$7:$AT$500&lt;&gt;""))+SUMPRODUCT(--ISNUMBER(SEARCH(", "&amp;$B16&amp;", ",", "&amp;'Thông báo'!$B$7:$B$500&amp;", ")),--('Thông báo'!$AT$7:$AT$500&lt;&gt;""))+SUMPRODUCT(--ISNUMBER(SEARCH(", "&amp;$B16&amp;", ",", "&amp;'Đăng tin &amp; Quản lý tin'!$B$7:$B$500&amp;", ")),--('Đăng tin &amp; Quản lý tin'!$AT$7:$AT$500&lt;&gt;""))+SUMPRODUCT(--ISNUMBER(SEARCH(", "&amp;$B16&amp;", ",", "&amp;'Trust &amp; Safety'!$B$7:$B$500&amp;", ")),--('Trust &amp; Safety'!$AT$7:$AT$500&lt;&gt;""))+SUMPRODUCT(--ISNUMBER(SEARCH(", "&amp;$B16&amp;", ",", "&amp;'Tài khoản &amp; Hồ sơ'!$B$7:$B$500&amp;", ")),--('Tài khoản &amp; Hồ sơ'!$AT$7:$AT$500&lt;&gt;""))</f>
        <v/>
      </c>
      <c r="G16" s="53">
        <f>SUMPRODUCT(--ISNUMBER(SEARCH(", "&amp;$B16&amp;", ",", "&amp;'Hoạt động (Đơn của tôi)'!$B$7:$B$500&amp;", ")),--('Hoạt động (Đơn của tôi)'!$AT$7:$AT$500="Pass"))+SUMPRODUCT(--ISNUMBER(SEARCH(", "&amp;$B16&amp;", ",", "&amp;'Ghép nối'!$B$7:$B$500&amp;", ")),--('Ghép nối'!$AT$7:$AT$500="Pass"))+SUMPRODUCT(--ISNUMBER(SEARCH(", "&amp;$B16&amp;", ",", "&amp;'Huỷ đơn - Huỷ nhận đơn'!$B$7:$B$500&amp;", ")),--('Huỷ đơn - Huỷ nhận đơn'!$AT$7:$AT$500="Pass"))+SUMPRODUCT(--ISNUMBER(SEARCH(", "&amp;$B16&amp;", ",", "&amp;'Giao nhận &amp; Theo dõi đơn'!$B$7:$B$500&amp;", ")),--('Giao nhận &amp; Theo dõi đơn'!$AT$7:$AT$500="Pass"))+SUMPRODUCT(--ISNUMBER(SEARCH(", "&amp;$B16&amp;", ",", "&amp;'Bảng tin &amp; Chi tiết tin'!$B$7:$B$500&amp;", ")),--('Bảng tin &amp; Chi tiết tin'!$AT$7:$AT$500="Pass"))+SUMPRODUCT(--ISNUMBER(SEARCH(", "&amp;$B16&amp;", ",", "&amp;'Quà cảm ơn'!$B$7:$B$500&amp;", ")),--('Quà cảm ơn'!$AT$7:$AT$500="Pass"))+SUMPRODUCT(--ISNUMBER(SEARCH(", "&amp;$B16&amp;", ",", "&amp;'Trang chủ'!$B$7:$B$500&amp;", ")),--('Trang chủ'!$AT$7:$AT$500="Pass"))+SUMPRODUCT(--ISNUMBER(SEARCH(", "&amp;$B16&amp;", ",", "&amp;'Thông báo'!$B$7:$B$500&amp;", ")),--('Thông báo'!$AT$7:$AT$500="Pass"))+SUMPRODUCT(--ISNUMBER(SEARCH(", "&amp;$B16&amp;", ",", "&amp;'Đăng tin &amp; Quản lý tin'!$B$7:$B$500&amp;", ")),--('Đăng tin &amp; Quản lý tin'!$AT$7:$AT$500="Pass"))+SUMPRODUCT(--ISNUMBER(SEARCH(", "&amp;$B16&amp;", ",", "&amp;'Trust &amp; Safety'!$B$7:$B$500&amp;", ")),--('Trust &amp; Safety'!$AT$7:$AT$500="Pass"))+SUMPRODUCT(--ISNUMBER(SEARCH(", "&amp;$B16&amp;", ",", "&amp;'Tài khoản &amp; Hồ sơ'!$B$7:$B$500&amp;", ")),--('Tài khoản &amp; Hồ sơ'!$AT$7:$AT$500="Pass"))</f>
        <v/>
      </c>
      <c r="H16" s="53">
        <f>SUMPRODUCT(--ISNUMBER(SEARCH(", "&amp;$B16&amp;", ",", "&amp;'Hoạt động (Đơn của tôi)'!$B$7:$B$500&amp;", ")),--('Hoạt động (Đơn của tôi)'!$AT$7:$AT$500="Fail"))+SUMPRODUCT(--ISNUMBER(SEARCH(", "&amp;$B16&amp;", ",", "&amp;'Ghép nối'!$B$7:$B$500&amp;", ")),--('Ghép nối'!$AT$7:$AT$500="Fail"))+SUMPRODUCT(--ISNUMBER(SEARCH(", "&amp;$B16&amp;", ",", "&amp;'Huỷ đơn - Huỷ nhận đơn'!$B$7:$B$500&amp;", ")),--('Huỷ đơn - Huỷ nhận đơn'!$AT$7:$AT$500="Fail"))+SUMPRODUCT(--ISNUMBER(SEARCH(", "&amp;$B16&amp;", ",", "&amp;'Giao nhận &amp; Theo dõi đơn'!$B$7:$B$500&amp;", ")),--('Giao nhận &amp; Theo dõi đơn'!$AT$7:$AT$500="Fail"))+SUMPRODUCT(--ISNUMBER(SEARCH(", "&amp;$B16&amp;", ",", "&amp;'Bảng tin &amp; Chi tiết tin'!$B$7:$B$500&amp;", ")),--('Bảng tin &amp; Chi tiết tin'!$AT$7:$AT$500="Fail"))+SUMPRODUCT(--ISNUMBER(SEARCH(", "&amp;$B16&amp;", ",", "&amp;'Quà cảm ơn'!$B$7:$B$500&amp;", ")),--('Quà cảm ơn'!$AT$7:$AT$500="Fail"))+SUMPRODUCT(--ISNUMBER(SEARCH(", "&amp;$B16&amp;", ",", "&amp;'Trang chủ'!$B$7:$B$500&amp;", ")),--('Trang chủ'!$AT$7:$AT$500="Fail"))+SUMPRODUCT(--ISNUMBER(SEARCH(", "&amp;$B16&amp;", ",", "&amp;'Thông báo'!$B$7:$B$500&amp;", ")),--('Thông báo'!$AT$7:$AT$500="Fail"))+SUMPRODUCT(--ISNUMBER(SEARCH(", "&amp;$B16&amp;", ",", "&amp;'Đăng tin &amp; Quản lý tin'!$B$7:$B$500&amp;", ")),--('Đăng tin &amp; Quản lý tin'!$AT$7:$AT$500="Fail"))+SUMPRODUCT(--ISNUMBER(SEARCH(", "&amp;$B16&amp;", ",", "&amp;'Trust &amp; Safety'!$B$7:$B$500&amp;", ")),--('Trust &amp; Safety'!$AT$7:$AT$500="Fail"))+SUMPRODUCT(--ISNUMBER(SEARCH(", "&amp;$B16&amp;", ",", "&amp;'Tài khoản &amp; Hồ sơ'!$B$7:$B$500&amp;", ")),--('Tài khoản &amp; Hồ sơ'!$AT$7:$AT$500="Fail"))</f>
        <v/>
      </c>
      <c r="I16" s="53">
        <f>SUMPRODUCT(--ISNUMBER(SEARCH(", "&amp;$B16&amp;", ",", "&amp;'Hoạt động (Đơn của tôi)'!$B$7:$B$500&amp;", ")),--('Hoạt động (Đơn của tôi)'!$AT$7:$AT$500="Block"))+SUMPRODUCT(--ISNUMBER(SEARCH(", "&amp;$B16&amp;", ",", "&amp;'Ghép nối'!$B$7:$B$500&amp;", ")),--('Ghép nối'!$AT$7:$AT$500="Block"))+SUMPRODUCT(--ISNUMBER(SEARCH(", "&amp;$B16&amp;", ",", "&amp;'Huỷ đơn - Huỷ nhận đơn'!$B$7:$B$500&amp;", ")),--('Huỷ đơn - Huỷ nhận đơn'!$AT$7:$AT$500="Block"))+SUMPRODUCT(--ISNUMBER(SEARCH(", "&amp;$B16&amp;", ",", "&amp;'Giao nhận &amp; Theo dõi đơn'!$B$7:$B$500&amp;", ")),--('Giao nhận &amp; Theo dõi đơn'!$AT$7:$AT$500="Block"))+SUMPRODUCT(--ISNUMBER(SEARCH(", "&amp;$B16&amp;", ",", "&amp;'Bảng tin &amp; Chi tiết tin'!$B$7:$B$500&amp;", ")),--('Bảng tin &amp; Chi tiết tin'!$AT$7:$AT$500="Block"))+SUMPRODUCT(--ISNUMBER(SEARCH(", "&amp;$B16&amp;", ",", "&amp;'Quà cảm ơn'!$B$7:$B$500&amp;", ")),--('Quà cảm ơn'!$AT$7:$AT$500="Block"))+SUMPRODUCT(--ISNUMBER(SEARCH(", "&amp;$B16&amp;", ",", "&amp;'Trang chủ'!$B$7:$B$500&amp;", ")),--('Trang chủ'!$AT$7:$AT$500="Block"))+SUMPRODUCT(--ISNUMBER(SEARCH(", "&amp;$B16&amp;", ",", "&amp;'Thông báo'!$B$7:$B$500&amp;", ")),--('Thông báo'!$AT$7:$AT$500="Block"))+SUMPRODUCT(--ISNUMBER(SEARCH(", "&amp;$B16&amp;", ",", "&amp;'Đăng tin &amp; Quản lý tin'!$B$7:$B$500&amp;", ")),--('Đăng tin &amp; Quản lý tin'!$AT$7:$AT$500="Block"))+SUMPRODUCT(--ISNUMBER(SEARCH(", "&amp;$B16&amp;", ",", "&amp;'Trust &amp; Safety'!$B$7:$B$500&amp;", ")),--('Trust &amp; Safety'!$AT$7:$AT$500="Block"))+SUMPRODUCT(--ISNUMBER(SEARCH(", "&amp;$B16&amp;", ",", "&amp;'Tài khoản &amp; Hồ sơ'!$B$7:$B$500&amp;", ")),--('Tài khoản &amp; Hồ sơ'!$AT$7:$AT$500="Block"))</f>
        <v/>
      </c>
      <c r="J16" s="53">
        <f>SUMPRODUCT(--ISNUMBER(SEARCH(", "&amp;$B16&amp;", ",", "&amp;'Hoạt động (Đơn của tôi)'!$B$7:$B$500&amp;", ")),--('Hoạt động (Đơn của tôi)'!$AT$7:$AT$500="N/A"))+SUMPRODUCT(--ISNUMBER(SEARCH(", "&amp;$B16&amp;", ",", "&amp;'Ghép nối'!$B$7:$B$500&amp;", ")),--('Ghép nối'!$AT$7:$AT$500="N/A"))+SUMPRODUCT(--ISNUMBER(SEARCH(", "&amp;$B16&amp;", ",", "&amp;'Huỷ đơn - Huỷ nhận đơn'!$B$7:$B$500&amp;", ")),--('Huỷ đơn - Huỷ nhận đơn'!$AT$7:$AT$500="N/A"))+SUMPRODUCT(--ISNUMBER(SEARCH(", "&amp;$B16&amp;", ",", "&amp;'Giao nhận &amp; Theo dõi đơn'!$B$7:$B$500&amp;", ")),--('Giao nhận &amp; Theo dõi đơn'!$AT$7:$AT$500="N/A"))+SUMPRODUCT(--ISNUMBER(SEARCH(", "&amp;$B16&amp;", ",", "&amp;'Bảng tin &amp; Chi tiết tin'!$B$7:$B$500&amp;", ")),--('Bảng tin &amp; Chi tiết tin'!$AT$7:$AT$500="N/A"))+SUMPRODUCT(--ISNUMBER(SEARCH(", "&amp;$B16&amp;", ",", "&amp;'Quà cảm ơn'!$B$7:$B$500&amp;", ")),--('Quà cảm ơn'!$AT$7:$AT$500="N/A"))+SUMPRODUCT(--ISNUMBER(SEARCH(", "&amp;$B16&amp;", ",", "&amp;'Trang chủ'!$B$7:$B$500&amp;", ")),--('Trang chủ'!$AT$7:$AT$500="N/A"))+SUMPRODUCT(--ISNUMBER(SEARCH(", "&amp;$B16&amp;", ",", "&amp;'Thông báo'!$B$7:$B$500&amp;", ")),--('Thông báo'!$AT$7:$AT$500="N/A"))+SUMPRODUCT(--ISNUMBER(SEARCH(", "&amp;$B16&amp;", ",", "&amp;'Đăng tin &amp; Quản lý tin'!$B$7:$B$500&amp;", ")),--('Đăng tin &amp; Quản lý tin'!$AT$7:$AT$500="N/A"))+SUMPRODUCT(--ISNUMBER(SEARCH(", "&amp;$B16&amp;", ",", "&amp;'Trust &amp; Safety'!$B$7:$B$500&amp;", ")),--('Trust &amp; Safety'!$AT$7:$AT$500="N/A"))+SUMPRODUCT(--ISNUMBER(SEARCH(", "&amp;$B16&amp;", ",", "&amp;'Tài khoản &amp; Hồ sơ'!$B$7:$B$500&amp;", ")),--('Tài khoản &amp; Hồ sơ'!$AT$7:$AT$500="N/A"))</f>
        <v/>
      </c>
      <c r="K16" s="54">
        <f>IFERROR(F16/E16,0)</f>
        <v/>
      </c>
      <c r="L16" s="113">
        <f>IF(E16=0,"Chưa có TC (gap)",IF(H16&gt;0,"Có lỗi (Fail)",IF(I16&gt;0,"Bị block",IF(F16&lt;E16,"Đang test",IF(G16=0,"Không áp dụng (N/A)","Đã test xong")))))</f>
        <v/>
      </c>
      <c r="AB16" t="inlineStr">
        <is>
          <t>REQ-ASN</t>
        </is>
      </c>
      <c r="AD16" t="inlineStr">
        <is>
          <t>REQ-USR</t>
        </is>
      </c>
      <c r="AE16">
        <f>SUMIF($AB$6:$AB$143,$AD16,$E$6:$E$143)</f>
        <v/>
      </c>
      <c r="AF16">
        <f>SUMIF($AB$6:$AB$143,$AD16,$F$6:$F$143)</f>
        <v/>
      </c>
    </row>
    <row r="17">
      <c r="A17" s="1" t="n"/>
      <c r="B17" s="112" t="inlineStr">
        <is>
          <t>REQ-ASN-005</t>
        </is>
      </c>
      <c r="C17" s="261" t="inlineStr">
        <is>
          <t>NFR-08 | Consistency | Ba vai trò thấy cùng một trạng thái đơn trong ≤ 5 giây sau khi trạng thái đổi | Cách đo: Integration test đa thiết bị</t>
        </is>
      </c>
      <c r="D17" s="113" t="inlineStr">
        <is>
          <t>DOC-v1.1-01 §9 NFR-08 · page 53</t>
        </is>
      </c>
      <c r="E17" s="53">
        <f>SUMPRODUCT(--ISNUMBER(SEARCH(", "&amp;$B17&amp;", ",", "&amp;'Hoạt động (Đơn của tôi)'!$B$7:$B$500&amp;", ")))+SUMPRODUCT(--ISNUMBER(SEARCH(", "&amp;$B17&amp;", ",", "&amp;'Ghép nối'!$B$7:$B$500&amp;", ")))+SUMPRODUCT(--ISNUMBER(SEARCH(", "&amp;$B17&amp;", ",", "&amp;'Huỷ đơn - Huỷ nhận đơn'!$B$7:$B$500&amp;", ")))+SUMPRODUCT(--ISNUMBER(SEARCH(", "&amp;$B17&amp;", ",", "&amp;'Giao nhận &amp; Theo dõi đơn'!$B$7:$B$500&amp;", ")))+SUMPRODUCT(--ISNUMBER(SEARCH(", "&amp;$B17&amp;", ",", "&amp;'Bảng tin &amp; Chi tiết tin'!$B$7:$B$500&amp;", ")))+SUMPRODUCT(--ISNUMBER(SEARCH(", "&amp;$B17&amp;", ",", "&amp;'Quà cảm ơn'!$B$7:$B$500&amp;", ")))+SUMPRODUCT(--ISNUMBER(SEARCH(", "&amp;$B17&amp;", ",", "&amp;'Trang chủ'!$B$7:$B$500&amp;", ")))+SUMPRODUCT(--ISNUMBER(SEARCH(", "&amp;$B17&amp;", ",", "&amp;'Thông báo'!$B$7:$B$500&amp;", ")))+SUMPRODUCT(--ISNUMBER(SEARCH(", "&amp;$B17&amp;", ",", "&amp;'Đăng tin &amp; Quản lý tin'!$B$7:$B$500&amp;", ")))+SUMPRODUCT(--ISNUMBER(SEARCH(", "&amp;$B17&amp;", ",", "&amp;'Trust &amp; Safety'!$B$7:$B$500&amp;", ")))+SUMPRODUCT(--ISNUMBER(SEARCH(", "&amp;$B17&amp;", ",", "&amp;'Tài khoản &amp; Hồ sơ'!$B$7:$B$500&amp;", ")))</f>
        <v/>
      </c>
      <c r="F17" s="53">
        <f>SUMPRODUCT(--ISNUMBER(SEARCH(", "&amp;$B17&amp;", ",", "&amp;'Hoạt động (Đơn của tôi)'!$B$7:$B$500&amp;", ")),--('Hoạt động (Đơn của tôi)'!$AT$7:$AT$500&lt;&gt;""))+SUMPRODUCT(--ISNUMBER(SEARCH(", "&amp;$B17&amp;", ",", "&amp;'Ghép nối'!$B$7:$B$500&amp;", ")),--('Ghép nối'!$AT$7:$AT$500&lt;&gt;""))+SUMPRODUCT(--ISNUMBER(SEARCH(", "&amp;$B17&amp;", ",", "&amp;'Huỷ đơn - Huỷ nhận đơn'!$B$7:$B$500&amp;", ")),--('Huỷ đơn - Huỷ nhận đơn'!$AT$7:$AT$500&lt;&gt;""))+SUMPRODUCT(--ISNUMBER(SEARCH(", "&amp;$B17&amp;", ",", "&amp;'Giao nhận &amp; Theo dõi đơn'!$B$7:$B$500&amp;", ")),--('Giao nhận &amp; Theo dõi đơn'!$AT$7:$AT$500&lt;&gt;""))+SUMPRODUCT(--ISNUMBER(SEARCH(", "&amp;$B17&amp;", ",", "&amp;'Bảng tin &amp; Chi tiết tin'!$B$7:$B$500&amp;", ")),--('Bảng tin &amp; Chi tiết tin'!$AT$7:$AT$500&lt;&gt;""))+SUMPRODUCT(--ISNUMBER(SEARCH(", "&amp;$B17&amp;", ",", "&amp;'Quà cảm ơn'!$B$7:$B$500&amp;", ")),--('Quà cảm ơn'!$AT$7:$AT$500&lt;&gt;""))+SUMPRODUCT(--ISNUMBER(SEARCH(", "&amp;$B17&amp;", ",", "&amp;'Trang chủ'!$B$7:$B$500&amp;", ")),--('Trang chủ'!$AT$7:$AT$500&lt;&gt;""))+SUMPRODUCT(--ISNUMBER(SEARCH(", "&amp;$B17&amp;", ",", "&amp;'Thông báo'!$B$7:$B$500&amp;", ")),--('Thông báo'!$AT$7:$AT$500&lt;&gt;""))+SUMPRODUCT(--ISNUMBER(SEARCH(", "&amp;$B17&amp;", ",", "&amp;'Đăng tin &amp; Quản lý tin'!$B$7:$B$500&amp;", ")),--('Đăng tin &amp; Quản lý tin'!$AT$7:$AT$500&lt;&gt;""))+SUMPRODUCT(--ISNUMBER(SEARCH(", "&amp;$B17&amp;", ",", "&amp;'Trust &amp; Safety'!$B$7:$B$500&amp;", ")),--('Trust &amp; Safety'!$AT$7:$AT$500&lt;&gt;""))+SUMPRODUCT(--ISNUMBER(SEARCH(", "&amp;$B17&amp;", ",", "&amp;'Tài khoản &amp; Hồ sơ'!$B$7:$B$500&amp;", ")),--('Tài khoản &amp; Hồ sơ'!$AT$7:$AT$500&lt;&gt;""))</f>
        <v/>
      </c>
      <c r="G17" s="53">
        <f>SUMPRODUCT(--ISNUMBER(SEARCH(", "&amp;$B17&amp;", ",", "&amp;'Hoạt động (Đơn của tôi)'!$B$7:$B$500&amp;", ")),--('Hoạt động (Đơn của tôi)'!$AT$7:$AT$500="Pass"))+SUMPRODUCT(--ISNUMBER(SEARCH(", "&amp;$B17&amp;", ",", "&amp;'Ghép nối'!$B$7:$B$500&amp;", ")),--('Ghép nối'!$AT$7:$AT$500="Pass"))+SUMPRODUCT(--ISNUMBER(SEARCH(", "&amp;$B17&amp;", ",", "&amp;'Huỷ đơn - Huỷ nhận đơn'!$B$7:$B$500&amp;", ")),--('Huỷ đơn - Huỷ nhận đơn'!$AT$7:$AT$500="Pass"))+SUMPRODUCT(--ISNUMBER(SEARCH(", "&amp;$B17&amp;", ",", "&amp;'Giao nhận &amp; Theo dõi đơn'!$B$7:$B$500&amp;", ")),--('Giao nhận &amp; Theo dõi đơn'!$AT$7:$AT$500="Pass"))+SUMPRODUCT(--ISNUMBER(SEARCH(", "&amp;$B17&amp;", ",", "&amp;'Bảng tin &amp; Chi tiết tin'!$B$7:$B$500&amp;", ")),--('Bảng tin &amp; Chi tiết tin'!$AT$7:$AT$500="Pass"))+SUMPRODUCT(--ISNUMBER(SEARCH(", "&amp;$B17&amp;", ",", "&amp;'Quà cảm ơn'!$B$7:$B$500&amp;", ")),--('Quà cảm ơn'!$AT$7:$AT$500="Pass"))+SUMPRODUCT(--ISNUMBER(SEARCH(", "&amp;$B17&amp;", ",", "&amp;'Trang chủ'!$B$7:$B$500&amp;", ")),--('Trang chủ'!$AT$7:$AT$500="Pass"))+SUMPRODUCT(--ISNUMBER(SEARCH(", "&amp;$B17&amp;", ",", "&amp;'Thông báo'!$B$7:$B$500&amp;", ")),--('Thông báo'!$AT$7:$AT$500="Pass"))+SUMPRODUCT(--ISNUMBER(SEARCH(", "&amp;$B17&amp;", ",", "&amp;'Đăng tin &amp; Quản lý tin'!$B$7:$B$500&amp;", ")),--('Đăng tin &amp; Quản lý tin'!$AT$7:$AT$500="Pass"))+SUMPRODUCT(--ISNUMBER(SEARCH(", "&amp;$B17&amp;", ",", "&amp;'Trust &amp; Safety'!$B$7:$B$500&amp;", ")),--('Trust &amp; Safety'!$AT$7:$AT$500="Pass"))+SUMPRODUCT(--ISNUMBER(SEARCH(", "&amp;$B17&amp;", ",", "&amp;'Tài khoản &amp; Hồ sơ'!$B$7:$B$500&amp;", ")),--('Tài khoản &amp; Hồ sơ'!$AT$7:$AT$500="Pass"))</f>
        <v/>
      </c>
      <c r="H17" s="53">
        <f>SUMPRODUCT(--ISNUMBER(SEARCH(", "&amp;$B17&amp;", ",", "&amp;'Hoạt động (Đơn của tôi)'!$B$7:$B$500&amp;", ")),--('Hoạt động (Đơn của tôi)'!$AT$7:$AT$500="Fail"))+SUMPRODUCT(--ISNUMBER(SEARCH(", "&amp;$B17&amp;", ",", "&amp;'Ghép nối'!$B$7:$B$500&amp;", ")),--('Ghép nối'!$AT$7:$AT$500="Fail"))+SUMPRODUCT(--ISNUMBER(SEARCH(", "&amp;$B17&amp;", ",", "&amp;'Huỷ đơn - Huỷ nhận đơn'!$B$7:$B$500&amp;", ")),--('Huỷ đơn - Huỷ nhận đơn'!$AT$7:$AT$500="Fail"))+SUMPRODUCT(--ISNUMBER(SEARCH(", "&amp;$B17&amp;", ",", "&amp;'Giao nhận &amp; Theo dõi đơn'!$B$7:$B$500&amp;", ")),--('Giao nhận &amp; Theo dõi đơn'!$AT$7:$AT$500="Fail"))+SUMPRODUCT(--ISNUMBER(SEARCH(", "&amp;$B17&amp;", ",", "&amp;'Bảng tin &amp; Chi tiết tin'!$B$7:$B$500&amp;", ")),--('Bảng tin &amp; Chi tiết tin'!$AT$7:$AT$500="Fail"))+SUMPRODUCT(--ISNUMBER(SEARCH(", "&amp;$B17&amp;", ",", "&amp;'Quà cảm ơn'!$B$7:$B$500&amp;", ")),--('Quà cảm ơn'!$AT$7:$AT$500="Fail"))+SUMPRODUCT(--ISNUMBER(SEARCH(", "&amp;$B17&amp;", ",", "&amp;'Trang chủ'!$B$7:$B$500&amp;", ")),--('Trang chủ'!$AT$7:$AT$500="Fail"))+SUMPRODUCT(--ISNUMBER(SEARCH(", "&amp;$B17&amp;", ",", "&amp;'Thông báo'!$B$7:$B$500&amp;", ")),--('Thông báo'!$AT$7:$AT$500="Fail"))+SUMPRODUCT(--ISNUMBER(SEARCH(", "&amp;$B17&amp;", ",", "&amp;'Đăng tin &amp; Quản lý tin'!$B$7:$B$500&amp;", ")),--('Đăng tin &amp; Quản lý tin'!$AT$7:$AT$500="Fail"))+SUMPRODUCT(--ISNUMBER(SEARCH(", "&amp;$B17&amp;", ",", "&amp;'Trust &amp; Safety'!$B$7:$B$500&amp;", ")),--('Trust &amp; Safety'!$AT$7:$AT$500="Fail"))+SUMPRODUCT(--ISNUMBER(SEARCH(", "&amp;$B17&amp;", ",", "&amp;'Tài khoản &amp; Hồ sơ'!$B$7:$B$500&amp;", ")),--('Tài khoản &amp; Hồ sơ'!$AT$7:$AT$500="Fail"))</f>
        <v/>
      </c>
      <c r="I17" s="53">
        <f>SUMPRODUCT(--ISNUMBER(SEARCH(", "&amp;$B17&amp;", ",", "&amp;'Hoạt động (Đơn của tôi)'!$B$7:$B$500&amp;", ")),--('Hoạt động (Đơn của tôi)'!$AT$7:$AT$500="Block"))+SUMPRODUCT(--ISNUMBER(SEARCH(", "&amp;$B17&amp;", ",", "&amp;'Ghép nối'!$B$7:$B$500&amp;", ")),--('Ghép nối'!$AT$7:$AT$500="Block"))+SUMPRODUCT(--ISNUMBER(SEARCH(", "&amp;$B17&amp;", ",", "&amp;'Huỷ đơn - Huỷ nhận đơn'!$B$7:$B$500&amp;", ")),--('Huỷ đơn - Huỷ nhận đơn'!$AT$7:$AT$500="Block"))+SUMPRODUCT(--ISNUMBER(SEARCH(", "&amp;$B17&amp;", ",", "&amp;'Giao nhận &amp; Theo dõi đơn'!$B$7:$B$500&amp;", ")),--('Giao nhận &amp; Theo dõi đơn'!$AT$7:$AT$500="Block"))+SUMPRODUCT(--ISNUMBER(SEARCH(", "&amp;$B17&amp;", ",", "&amp;'Bảng tin &amp; Chi tiết tin'!$B$7:$B$500&amp;", ")),--('Bảng tin &amp; Chi tiết tin'!$AT$7:$AT$500="Block"))+SUMPRODUCT(--ISNUMBER(SEARCH(", "&amp;$B17&amp;", ",", "&amp;'Quà cảm ơn'!$B$7:$B$500&amp;", ")),--('Quà cảm ơn'!$AT$7:$AT$500="Block"))+SUMPRODUCT(--ISNUMBER(SEARCH(", "&amp;$B17&amp;", ",", "&amp;'Trang chủ'!$B$7:$B$500&amp;", ")),--('Trang chủ'!$AT$7:$AT$500="Block"))+SUMPRODUCT(--ISNUMBER(SEARCH(", "&amp;$B17&amp;", ",", "&amp;'Thông báo'!$B$7:$B$500&amp;", ")),--('Thông báo'!$AT$7:$AT$500="Block"))+SUMPRODUCT(--ISNUMBER(SEARCH(", "&amp;$B17&amp;", ",", "&amp;'Đăng tin &amp; Quản lý tin'!$B$7:$B$500&amp;", ")),--('Đăng tin &amp; Quản lý tin'!$AT$7:$AT$500="Block"))+SUMPRODUCT(--ISNUMBER(SEARCH(", "&amp;$B17&amp;", ",", "&amp;'Trust &amp; Safety'!$B$7:$B$500&amp;", ")),--('Trust &amp; Safety'!$AT$7:$AT$500="Block"))+SUMPRODUCT(--ISNUMBER(SEARCH(", "&amp;$B17&amp;", ",", "&amp;'Tài khoản &amp; Hồ sơ'!$B$7:$B$500&amp;", ")),--('Tài khoản &amp; Hồ sơ'!$AT$7:$AT$500="Block"))</f>
        <v/>
      </c>
      <c r="J17" s="53">
        <f>SUMPRODUCT(--ISNUMBER(SEARCH(", "&amp;$B17&amp;", ",", "&amp;'Hoạt động (Đơn của tôi)'!$B$7:$B$500&amp;", ")),--('Hoạt động (Đơn của tôi)'!$AT$7:$AT$500="N/A"))+SUMPRODUCT(--ISNUMBER(SEARCH(", "&amp;$B17&amp;", ",", "&amp;'Ghép nối'!$B$7:$B$500&amp;", ")),--('Ghép nối'!$AT$7:$AT$500="N/A"))+SUMPRODUCT(--ISNUMBER(SEARCH(", "&amp;$B17&amp;", ",", "&amp;'Huỷ đơn - Huỷ nhận đơn'!$B$7:$B$500&amp;", ")),--('Huỷ đơn - Huỷ nhận đơn'!$AT$7:$AT$500="N/A"))+SUMPRODUCT(--ISNUMBER(SEARCH(", "&amp;$B17&amp;", ",", "&amp;'Giao nhận &amp; Theo dõi đơn'!$B$7:$B$500&amp;", ")),--('Giao nhận &amp; Theo dõi đơn'!$AT$7:$AT$500="N/A"))+SUMPRODUCT(--ISNUMBER(SEARCH(", "&amp;$B17&amp;", ",", "&amp;'Bảng tin &amp; Chi tiết tin'!$B$7:$B$500&amp;", ")),--('Bảng tin &amp; Chi tiết tin'!$AT$7:$AT$500="N/A"))+SUMPRODUCT(--ISNUMBER(SEARCH(", "&amp;$B17&amp;", ",", "&amp;'Quà cảm ơn'!$B$7:$B$500&amp;", ")),--('Quà cảm ơn'!$AT$7:$AT$500="N/A"))+SUMPRODUCT(--ISNUMBER(SEARCH(", "&amp;$B17&amp;", ",", "&amp;'Trang chủ'!$B$7:$B$500&amp;", ")),--('Trang chủ'!$AT$7:$AT$500="N/A"))+SUMPRODUCT(--ISNUMBER(SEARCH(", "&amp;$B17&amp;", ",", "&amp;'Thông báo'!$B$7:$B$500&amp;", ")),--('Thông báo'!$AT$7:$AT$500="N/A"))+SUMPRODUCT(--ISNUMBER(SEARCH(", "&amp;$B17&amp;", ",", "&amp;'Đăng tin &amp; Quản lý tin'!$B$7:$B$500&amp;", ")),--('Đăng tin &amp; Quản lý tin'!$AT$7:$AT$500="N/A"))+SUMPRODUCT(--ISNUMBER(SEARCH(", "&amp;$B17&amp;", ",", "&amp;'Trust &amp; Safety'!$B$7:$B$500&amp;", ")),--('Trust &amp; Safety'!$AT$7:$AT$500="N/A"))+SUMPRODUCT(--ISNUMBER(SEARCH(", "&amp;$B17&amp;", ",", "&amp;'Tài khoản &amp; Hồ sơ'!$B$7:$B$500&amp;", ")),--('Tài khoản &amp; Hồ sơ'!$AT$7:$AT$500="N/A"))</f>
        <v/>
      </c>
      <c r="K17" s="54">
        <f>IFERROR(F17/E17,0)</f>
        <v/>
      </c>
      <c r="L17" s="113">
        <f>IF(E17=0,"Chưa có TC (gap)",IF(H17&gt;0,"Có lỗi (Fail)",IF(I17&gt;0,"Bị block",IF(F17&lt;E17,"Đang test",IF(G17=0,"Không áp dụng (N/A)","Đã test xong")))))</f>
        <v/>
      </c>
      <c r="AB17" t="inlineStr">
        <is>
          <t>REQ-ASN</t>
        </is>
      </c>
    </row>
    <row r="18">
      <c r="A18" s="1" t="n"/>
      <c r="B18" s="112" t="inlineStr">
        <is>
          <t>REQ-ASN-007</t>
        </is>
      </c>
      <c r="C18" s="261" t="inlineStr">
        <is>
          <t>Nguồn v1.0 (`DOC-v1.0-06` KP-01 §4 `KB-ASN-04`): "= trùng địa chỉ giao hàng đã chọn + khung giờ phù hợp. KHÔNG dùng bán kính GPS / khoảng cách địa lý." · "🔴 Còn thiếu: "khung giờ phù hợp" là trùng hoàn toàn hay có độ lệch cho phép? Chu kỳ quét khớp?</t>
        </is>
      </c>
      <c r="D18" s="113" t="inlineStr">
        <is>
          <t>DOC-v1.1-01 §8.4 "FR04 — Khớp tuyến OFFER ↔ NEED" · Business Rules · page 38</t>
        </is>
      </c>
      <c r="E18" s="53">
        <f>SUMPRODUCT(--ISNUMBER(SEARCH(", "&amp;$B18&amp;", ",", "&amp;'Hoạt động (Đơn của tôi)'!$B$7:$B$500&amp;", ")))+SUMPRODUCT(--ISNUMBER(SEARCH(", "&amp;$B18&amp;", ",", "&amp;'Ghép nối'!$B$7:$B$500&amp;", ")))+SUMPRODUCT(--ISNUMBER(SEARCH(", "&amp;$B18&amp;", ",", "&amp;'Huỷ đơn - Huỷ nhận đơn'!$B$7:$B$500&amp;", ")))+SUMPRODUCT(--ISNUMBER(SEARCH(", "&amp;$B18&amp;", ",", "&amp;'Giao nhận &amp; Theo dõi đơn'!$B$7:$B$500&amp;", ")))+SUMPRODUCT(--ISNUMBER(SEARCH(", "&amp;$B18&amp;", ",", "&amp;'Bảng tin &amp; Chi tiết tin'!$B$7:$B$500&amp;", ")))+SUMPRODUCT(--ISNUMBER(SEARCH(", "&amp;$B18&amp;", ",", "&amp;'Quà cảm ơn'!$B$7:$B$500&amp;", ")))+SUMPRODUCT(--ISNUMBER(SEARCH(", "&amp;$B18&amp;", ",", "&amp;'Trang chủ'!$B$7:$B$500&amp;", ")))+SUMPRODUCT(--ISNUMBER(SEARCH(", "&amp;$B18&amp;", ",", "&amp;'Thông báo'!$B$7:$B$500&amp;", ")))+SUMPRODUCT(--ISNUMBER(SEARCH(", "&amp;$B18&amp;", ",", "&amp;'Đăng tin &amp; Quản lý tin'!$B$7:$B$500&amp;", ")))+SUMPRODUCT(--ISNUMBER(SEARCH(", "&amp;$B18&amp;", ",", "&amp;'Trust &amp; Safety'!$B$7:$B$500&amp;", ")))+SUMPRODUCT(--ISNUMBER(SEARCH(", "&amp;$B18&amp;", ",", "&amp;'Tài khoản &amp; Hồ sơ'!$B$7:$B$500&amp;", ")))</f>
        <v/>
      </c>
      <c r="F18" s="53">
        <f>SUMPRODUCT(--ISNUMBER(SEARCH(", "&amp;$B18&amp;", ",", "&amp;'Hoạt động (Đơn của tôi)'!$B$7:$B$500&amp;", ")),--('Hoạt động (Đơn của tôi)'!$AT$7:$AT$500&lt;&gt;""))+SUMPRODUCT(--ISNUMBER(SEARCH(", "&amp;$B18&amp;", ",", "&amp;'Ghép nối'!$B$7:$B$500&amp;", ")),--('Ghép nối'!$AT$7:$AT$500&lt;&gt;""))+SUMPRODUCT(--ISNUMBER(SEARCH(", "&amp;$B18&amp;", ",", "&amp;'Huỷ đơn - Huỷ nhận đơn'!$B$7:$B$500&amp;", ")),--('Huỷ đơn - Huỷ nhận đơn'!$AT$7:$AT$500&lt;&gt;""))+SUMPRODUCT(--ISNUMBER(SEARCH(", "&amp;$B18&amp;", ",", "&amp;'Giao nhận &amp; Theo dõi đơn'!$B$7:$B$500&amp;", ")),--('Giao nhận &amp; Theo dõi đơn'!$AT$7:$AT$500&lt;&gt;""))+SUMPRODUCT(--ISNUMBER(SEARCH(", "&amp;$B18&amp;", ",", "&amp;'Bảng tin &amp; Chi tiết tin'!$B$7:$B$500&amp;", ")),--('Bảng tin &amp; Chi tiết tin'!$AT$7:$AT$500&lt;&gt;""))+SUMPRODUCT(--ISNUMBER(SEARCH(", "&amp;$B18&amp;", ",", "&amp;'Quà cảm ơn'!$B$7:$B$500&amp;", ")),--('Quà cảm ơn'!$AT$7:$AT$500&lt;&gt;""))+SUMPRODUCT(--ISNUMBER(SEARCH(", "&amp;$B18&amp;", ",", "&amp;'Trang chủ'!$B$7:$B$500&amp;", ")),--('Trang chủ'!$AT$7:$AT$500&lt;&gt;""))+SUMPRODUCT(--ISNUMBER(SEARCH(", "&amp;$B18&amp;", ",", "&amp;'Thông báo'!$B$7:$B$500&amp;", ")),--('Thông báo'!$AT$7:$AT$500&lt;&gt;""))+SUMPRODUCT(--ISNUMBER(SEARCH(", "&amp;$B18&amp;", ",", "&amp;'Đăng tin &amp; Quản lý tin'!$B$7:$B$500&amp;", ")),--('Đăng tin &amp; Quản lý tin'!$AT$7:$AT$500&lt;&gt;""))+SUMPRODUCT(--ISNUMBER(SEARCH(", "&amp;$B18&amp;", ",", "&amp;'Trust &amp; Safety'!$B$7:$B$500&amp;", ")),--('Trust &amp; Safety'!$AT$7:$AT$500&lt;&gt;""))+SUMPRODUCT(--ISNUMBER(SEARCH(", "&amp;$B18&amp;", ",", "&amp;'Tài khoản &amp; Hồ sơ'!$B$7:$B$500&amp;", ")),--('Tài khoản &amp; Hồ sơ'!$AT$7:$AT$500&lt;&gt;""))</f>
        <v/>
      </c>
      <c r="G18" s="53">
        <f>SUMPRODUCT(--ISNUMBER(SEARCH(", "&amp;$B18&amp;", ",", "&amp;'Hoạt động (Đơn của tôi)'!$B$7:$B$500&amp;", ")),--('Hoạt động (Đơn của tôi)'!$AT$7:$AT$500="Pass"))+SUMPRODUCT(--ISNUMBER(SEARCH(", "&amp;$B18&amp;", ",", "&amp;'Ghép nối'!$B$7:$B$500&amp;", ")),--('Ghép nối'!$AT$7:$AT$500="Pass"))+SUMPRODUCT(--ISNUMBER(SEARCH(", "&amp;$B18&amp;", ",", "&amp;'Huỷ đơn - Huỷ nhận đơn'!$B$7:$B$500&amp;", ")),--('Huỷ đơn - Huỷ nhận đơn'!$AT$7:$AT$500="Pass"))+SUMPRODUCT(--ISNUMBER(SEARCH(", "&amp;$B18&amp;", ",", "&amp;'Giao nhận &amp; Theo dõi đơn'!$B$7:$B$500&amp;", ")),--('Giao nhận &amp; Theo dõi đơn'!$AT$7:$AT$500="Pass"))+SUMPRODUCT(--ISNUMBER(SEARCH(", "&amp;$B18&amp;", ",", "&amp;'Bảng tin &amp; Chi tiết tin'!$B$7:$B$500&amp;", ")),--('Bảng tin &amp; Chi tiết tin'!$AT$7:$AT$500="Pass"))+SUMPRODUCT(--ISNUMBER(SEARCH(", "&amp;$B18&amp;", ",", "&amp;'Quà cảm ơn'!$B$7:$B$500&amp;", ")),--('Quà cảm ơn'!$AT$7:$AT$500="Pass"))+SUMPRODUCT(--ISNUMBER(SEARCH(", "&amp;$B18&amp;", ",", "&amp;'Trang chủ'!$B$7:$B$500&amp;", ")),--('Trang chủ'!$AT$7:$AT$500="Pass"))+SUMPRODUCT(--ISNUMBER(SEARCH(", "&amp;$B18&amp;", ",", "&amp;'Thông báo'!$B$7:$B$500&amp;", ")),--('Thông báo'!$AT$7:$AT$500="Pass"))+SUMPRODUCT(--ISNUMBER(SEARCH(", "&amp;$B18&amp;", ",", "&amp;'Đăng tin &amp; Quản lý tin'!$B$7:$B$500&amp;", ")),--('Đăng tin &amp; Quản lý tin'!$AT$7:$AT$500="Pass"))+SUMPRODUCT(--ISNUMBER(SEARCH(", "&amp;$B18&amp;", ",", "&amp;'Trust &amp; Safety'!$B$7:$B$500&amp;", ")),--('Trust &amp; Safety'!$AT$7:$AT$500="Pass"))+SUMPRODUCT(--ISNUMBER(SEARCH(", "&amp;$B18&amp;", ",", "&amp;'Tài khoản &amp; Hồ sơ'!$B$7:$B$500&amp;", ")),--('Tài khoản &amp; Hồ sơ'!$AT$7:$AT$500="Pass"))</f>
        <v/>
      </c>
      <c r="H18" s="53">
        <f>SUMPRODUCT(--ISNUMBER(SEARCH(", "&amp;$B18&amp;", ",", "&amp;'Hoạt động (Đơn của tôi)'!$B$7:$B$500&amp;", ")),--('Hoạt động (Đơn của tôi)'!$AT$7:$AT$500="Fail"))+SUMPRODUCT(--ISNUMBER(SEARCH(", "&amp;$B18&amp;", ",", "&amp;'Ghép nối'!$B$7:$B$500&amp;", ")),--('Ghép nối'!$AT$7:$AT$500="Fail"))+SUMPRODUCT(--ISNUMBER(SEARCH(", "&amp;$B18&amp;", ",", "&amp;'Huỷ đơn - Huỷ nhận đơn'!$B$7:$B$500&amp;", ")),--('Huỷ đơn - Huỷ nhận đơn'!$AT$7:$AT$500="Fail"))+SUMPRODUCT(--ISNUMBER(SEARCH(", "&amp;$B18&amp;", ",", "&amp;'Giao nhận &amp; Theo dõi đơn'!$B$7:$B$500&amp;", ")),--('Giao nhận &amp; Theo dõi đơn'!$AT$7:$AT$500="Fail"))+SUMPRODUCT(--ISNUMBER(SEARCH(", "&amp;$B18&amp;", ",", "&amp;'Bảng tin &amp; Chi tiết tin'!$B$7:$B$500&amp;", ")),--('Bảng tin &amp; Chi tiết tin'!$AT$7:$AT$500="Fail"))+SUMPRODUCT(--ISNUMBER(SEARCH(", "&amp;$B18&amp;", ",", "&amp;'Quà cảm ơn'!$B$7:$B$500&amp;", ")),--('Quà cảm ơn'!$AT$7:$AT$500="Fail"))+SUMPRODUCT(--ISNUMBER(SEARCH(", "&amp;$B18&amp;", ",", "&amp;'Trang chủ'!$B$7:$B$500&amp;", ")),--('Trang chủ'!$AT$7:$AT$500="Fail"))+SUMPRODUCT(--ISNUMBER(SEARCH(", "&amp;$B18&amp;", ",", "&amp;'Thông báo'!$B$7:$B$500&amp;", ")),--('Thông báo'!$AT$7:$AT$500="Fail"))+SUMPRODUCT(--ISNUMBER(SEARCH(", "&amp;$B18&amp;", ",", "&amp;'Đăng tin &amp; Quản lý tin'!$B$7:$B$500&amp;", ")),--('Đăng tin &amp; Quản lý tin'!$AT$7:$AT$500="Fail"))+SUMPRODUCT(--ISNUMBER(SEARCH(", "&amp;$B18&amp;", ",", "&amp;'Trust &amp; Safety'!$B$7:$B$500&amp;", ")),--('Trust &amp; Safety'!$AT$7:$AT$500="Fail"))+SUMPRODUCT(--ISNUMBER(SEARCH(", "&amp;$B18&amp;", ",", "&amp;'Tài khoản &amp; Hồ sơ'!$B$7:$B$500&amp;", ")),--('Tài khoản &amp; Hồ sơ'!$AT$7:$AT$500="Fail"))</f>
        <v/>
      </c>
      <c r="I18" s="53">
        <f>SUMPRODUCT(--ISNUMBER(SEARCH(", "&amp;$B18&amp;", ",", "&amp;'Hoạt động (Đơn của tôi)'!$B$7:$B$500&amp;", ")),--('Hoạt động (Đơn của tôi)'!$AT$7:$AT$500="Block"))+SUMPRODUCT(--ISNUMBER(SEARCH(", "&amp;$B18&amp;", ",", "&amp;'Ghép nối'!$B$7:$B$500&amp;", ")),--('Ghép nối'!$AT$7:$AT$500="Block"))+SUMPRODUCT(--ISNUMBER(SEARCH(", "&amp;$B18&amp;", ",", "&amp;'Huỷ đơn - Huỷ nhận đơn'!$B$7:$B$500&amp;", ")),--('Huỷ đơn - Huỷ nhận đơn'!$AT$7:$AT$500="Block"))+SUMPRODUCT(--ISNUMBER(SEARCH(", "&amp;$B18&amp;", ",", "&amp;'Giao nhận &amp; Theo dõi đơn'!$B$7:$B$500&amp;", ")),--('Giao nhận &amp; Theo dõi đơn'!$AT$7:$AT$500="Block"))+SUMPRODUCT(--ISNUMBER(SEARCH(", "&amp;$B18&amp;", ",", "&amp;'Bảng tin &amp; Chi tiết tin'!$B$7:$B$500&amp;", ")),--('Bảng tin &amp; Chi tiết tin'!$AT$7:$AT$500="Block"))+SUMPRODUCT(--ISNUMBER(SEARCH(", "&amp;$B18&amp;", ",", "&amp;'Quà cảm ơn'!$B$7:$B$500&amp;", ")),--('Quà cảm ơn'!$AT$7:$AT$500="Block"))+SUMPRODUCT(--ISNUMBER(SEARCH(", "&amp;$B18&amp;", ",", "&amp;'Trang chủ'!$B$7:$B$500&amp;", ")),--('Trang chủ'!$AT$7:$AT$500="Block"))+SUMPRODUCT(--ISNUMBER(SEARCH(", "&amp;$B18&amp;", ",", "&amp;'Thông báo'!$B$7:$B$500&amp;", ")),--('Thông báo'!$AT$7:$AT$500="Block"))+SUMPRODUCT(--ISNUMBER(SEARCH(", "&amp;$B18&amp;", ",", "&amp;'Đăng tin &amp; Quản lý tin'!$B$7:$B$500&amp;", ")),--('Đăng tin &amp; Quản lý tin'!$AT$7:$AT$500="Block"))+SUMPRODUCT(--ISNUMBER(SEARCH(", "&amp;$B18&amp;", ",", "&amp;'Trust &amp; Safety'!$B$7:$B$500&amp;", ")),--('Trust &amp; Safety'!$AT$7:$AT$500="Block"))+SUMPRODUCT(--ISNUMBER(SEARCH(", "&amp;$B18&amp;", ",", "&amp;'Tài khoản &amp; Hồ sơ'!$B$7:$B$500&amp;", ")),--('Tài khoản &amp; Hồ sơ'!$AT$7:$AT$500="Block"))</f>
        <v/>
      </c>
      <c r="J18" s="53">
        <f>SUMPRODUCT(--ISNUMBER(SEARCH(", "&amp;$B18&amp;", ",", "&amp;'Hoạt động (Đơn của tôi)'!$B$7:$B$500&amp;", ")),--('Hoạt động (Đơn của tôi)'!$AT$7:$AT$500="N/A"))+SUMPRODUCT(--ISNUMBER(SEARCH(", "&amp;$B18&amp;", ",", "&amp;'Ghép nối'!$B$7:$B$500&amp;", ")),--('Ghép nối'!$AT$7:$AT$500="N/A"))+SUMPRODUCT(--ISNUMBER(SEARCH(", "&amp;$B18&amp;", ",", "&amp;'Huỷ đơn - Huỷ nhận đơn'!$B$7:$B$500&amp;", ")),--('Huỷ đơn - Huỷ nhận đơn'!$AT$7:$AT$500="N/A"))+SUMPRODUCT(--ISNUMBER(SEARCH(", "&amp;$B18&amp;", ",", "&amp;'Giao nhận &amp; Theo dõi đơn'!$B$7:$B$500&amp;", ")),--('Giao nhận &amp; Theo dõi đơn'!$AT$7:$AT$500="N/A"))+SUMPRODUCT(--ISNUMBER(SEARCH(", "&amp;$B18&amp;", ",", "&amp;'Bảng tin &amp; Chi tiết tin'!$B$7:$B$500&amp;", ")),--('Bảng tin &amp; Chi tiết tin'!$AT$7:$AT$500="N/A"))+SUMPRODUCT(--ISNUMBER(SEARCH(", "&amp;$B18&amp;", ",", "&amp;'Quà cảm ơn'!$B$7:$B$500&amp;", ")),--('Quà cảm ơn'!$AT$7:$AT$500="N/A"))+SUMPRODUCT(--ISNUMBER(SEARCH(", "&amp;$B18&amp;", ",", "&amp;'Trang chủ'!$B$7:$B$500&amp;", ")),--('Trang chủ'!$AT$7:$AT$500="N/A"))+SUMPRODUCT(--ISNUMBER(SEARCH(", "&amp;$B18&amp;", ",", "&amp;'Thông báo'!$B$7:$B$500&amp;", ")),--('Thông báo'!$AT$7:$AT$500="N/A"))+SUMPRODUCT(--ISNUMBER(SEARCH(", "&amp;$B18&amp;", ",", "&amp;'Đăng tin &amp; Quản lý tin'!$B$7:$B$500&amp;", ")),--('Đăng tin &amp; Quản lý tin'!$AT$7:$AT$500="N/A"))+SUMPRODUCT(--ISNUMBER(SEARCH(", "&amp;$B18&amp;", ",", "&amp;'Trust &amp; Safety'!$B$7:$B$500&amp;", ")),--('Trust &amp; Safety'!$AT$7:$AT$500="N/A"))+SUMPRODUCT(--ISNUMBER(SEARCH(", "&amp;$B18&amp;", ",", "&amp;'Tài khoản &amp; Hồ sơ'!$B$7:$B$500&amp;", ")),--('Tài khoản &amp; Hồ sơ'!$AT$7:$AT$500="N/A"))</f>
        <v/>
      </c>
      <c r="K18" s="54">
        <f>IFERROR(F18/E18,0)</f>
        <v/>
      </c>
      <c r="L18" s="113">
        <f>IF(E18=0,"Chưa có TC (gap)",IF(H18&gt;0,"Có lỗi (Fail)",IF(I18&gt;0,"Bị block",IF(F18&lt;E18,"Đang test",IF(G18=0,"Không áp dụng (N/A)","Đã test xong")))))</f>
        <v/>
      </c>
      <c r="AB18" t="inlineStr">
        <is>
          <t>REQ-ASN</t>
        </is>
      </c>
    </row>
    <row r="19">
      <c r="A19" s="1" t="n"/>
      <c r="B19" s="112" t="inlineStr">
        <is>
          <t>REQ-ASN-008</t>
        </is>
      </c>
      <c r="C19" s="261" t="inlineStr">
        <is>
          <t>`DOC-v1.0-06` KP-01 §4 `KB-ASN-03`: "Không phải "5 thông báo/ngày" cộng dồn — tính riêng theo từng tin.</t>
        </is>
      </c>
      <c r="D19" s="113" t="inlineStr">
        <is>
          <t>DOC-v1.1-01 §8.4 "FR04 — Khớp tuyến OFFER ↔ NEED" BR04-04 · page 38</t>
        </is>
      </c>
      <c r="E19" s="53">
        <f>SUMPRODUCT(--ISNUMBER(SEARCH(", "&amp;$B19&amp;", ",", "&amp;'Hoạt động (Đơn của tôi)'!$B$7:$B$500&amp;", ")))+SUMPRODUCT(--ISNUMBER(SEARCH(", "&amp;$B19&amp;", ",", "&amp;'Ghép nối'!$B$7:$B$500&amp;", ")))+SUMPRODUCT(--ISNUMBER(SEARCH(", "&amp;$B19&amp;", ",", "&amp;'Huỷ đơn - Huỷ nhận đơn'!$B$7:$B$500&amp;", ")))+SUMPRODUCT(--ISNUMBER(SEARCH(", "&amp;$B19&amp;", ",", "&amp;'Giao nhận &amp; Theo dõi đơn'!$B$7:$B$500&amp;", ")))+SUMPRODUCT(--ISNUMBER(SEARCH(", "&amp;$B19&amp;", ",", "&amp;'Bảng tin &amp; Chi tiết tin'!$B$7:$B$500&amp;", ")))+SUMPRODUCT(--ISNUMBER(SEARCH(", "&amp;$B19&amp;", ",", "&amp;'Quà cảm ơn'!$B$7:$B$500&amp;", ")))+SUMPRODUCT(--ISNUMBER(SEARCH(", "&amp;$B19&amp;", ",", "&amp;'Trang chủ'!$B$7:$B$500&amp;", ")))+SUMPRODUCT(--ISNUMBER(SEARCH(", "&amp;$B19&amp;", ",", "&amp;'Thông báo'!$B$7:$B$500&amp;", ")))+SUMPRODUCT(--ISNUMBER(SEARCH(", "&amp;$B19&amp;", ",", "&amp;'Đăng tin &amp; Quản lý tin'!$B$7:$B$500&amp;", ")))+SUMPRODUCT(--ISNUMBER(SEARCH(", "&amp;$B19&amp;", ",", "&amp;'Trust &amp; Safety'!$B$7:$B$500&amp;", ")))+SUMPRODUCT(--ISNUMBER(SEARCH(", "&amp;$B19&amp;", ",", "&amp;'Tài khoản &amp; Hồ sơ'!$B$7:$B$500&amp;", ")))</f>
        <v/>
      </c>
      <c r="F19" s="53">
        <f>SUMPRODUCT(--ISNUMBER(SEARCH(", "&amp;$B19&amp;", ",", "&amp;'Hoạt động (Đơn của tôi)'!$B$7:$B$500&amp;", ")),--('Hoạt động (Đơn của tôi)'!$AT$7:$AT$500&lt;&gt;""))+SUMPRODUCT(--ISNUMBER(SEARCH(", "&amp;$B19&amp;", ",", "&amp;'Ghép nối'!$B$7:$B$500&amp;", ")),--('Ghép nối'!$AT$7:$AT$500&lt;&gt;""))+SUMPRODUCT(--ISNUMBER(SEARCH(", "&amp;$B19&amp;", ",", "&amp;'Huỷ đơn - Huỷ nhận đơn'!$B$7:$B$500&amp;", ")),--('Huỷ đơn - Huỷ nhận đơn'!$AT$7:$AT$500&lt;&gt;""))+SUMPRODUCT(--ISNUMBER(SEARCH(", "&amp;$B19&amp;", ",", "&amp;'Giao nhận &amp; Theo dõi đơn'!$B$7:$B$500&amp;", ")),--('Giao nhận &amp; Theo dõi đơn'!$AT$7:$AT$500&lt;&gt;""))+SUMPRODUCT(--ISNUMBER(SEARCH(", "&amp;$B19&amp;", ",", "&amp;'Bảng tin &amp; Chi tiết tin'!$B$7:$B$500&amp;", ")),--('Bảng tin &amp; Chi tiết tin'!$AT$7:$AT$500&lt;&gt;""))+SUMPRODUCT(--ISNUMBER(SEARCH(", "&amp;$B19&amp;", ",", "&amp;'Quà cảm ơn'!$B$7:$B$500&amp;", ")),--('Quà cảm ơn'!$AT$7:$AT$500&lt;&gt;""))+SUMPRODUCT(--ISNUMBER(SEARCH(", "&amp;$B19&amp;", ",", "&amp;'Trang chủ'!$B$7:$B$500&amp;", ")),--('Trang chủ'!$AT$7:$AT$500&lt;&gt;""))+SUMPRODUCT(--ISNUMBER(SEARCH(", "&amp;$B19&amp;", ",", "&amp;'Thông báo'!$B$7:$B$500&amp;", ")),--('Thông báo'!$AT$7:$AT$500&lt;&gt;""))+SUMPRODUCT(--ISNUMBER(SEARCH(", "&amp;$B19&amp;", ",", "&amp;'Đăng tin &amp; Quản lý tin'!$B$7:$B$500&amp;", ")),--('Đăng tin &amp; Quản lý tin'!$AT$7:$AT$500&lt;&gt;""))+SUMPRODUCT(--ISNUMBER(SEARCH(", "&amp;$B19&amp;", ",", "&amp;'Trust &amp; Safety'!$B$7:$B$500&amp;", ")),--('Trust &amp; Safety'!$AT$7:$AT$500&lt;&gt;""))+SUMPRODUCT(--ISNUMBER(SEARCH(", "&amp;$B19&amp;", ",", "&amp;'Tài khoản &amp; Hồ sơ'!$B$7:$B$500&amp;", ")),--('Tài khoản &amp; Hồ sơ'!$AT$7:$AT$500&lt;&gt;""))</f>
        <v/>
      </c>
      <c r="G19" s="53">
        <f>SUMPRODUCT(--ISNUMBER(SEARCH(", "&amp;$B19&amp;", ",", "&amp;'Hoạt động (Đơn của tôi)'!$B$7:$B$500&amp;", ")),--('Hoạt động (Đơn của tôi)'!$AT$7:$AT$500="Pass"))+SUMPRODUCT(--ISNUMBER(SEARCH(", "&amp;$B19&amp;", ",", "&amp;'Ghép nối'!$B$7:$B$500&amp;", ")),--('Ghép nối'!$AT$7:$AT$500="Pass"))+SUMPRODUCT(--ISNUMBER(SEARCH(", "&amp;$B19&amp;", ",", "&amp;'Huỷ đơn - Huỷ nhận đơn'!$B$7:$B$500&amp;", ")),--('Huỷ đơn - Huỷ nhận đơn'!$AT$7:$AT$500="Pass"))+SUMPRODUCT(--ISNUMBER(SEARCH(", "&amp;$B19&amp;", ",", "&amp;'Giao nhận &amp; Theo dõi đơn'!$B$7:$B$500&amp;", ")),--('Giao nhận &amp; Theo dõi đơn'!$AT$7:$AT$500="Pass"))+SUMPRODUCT(--ISNUMBER(SEARCH(", "&amp;$B19&amp;", ",", "&amp;'Bảng tin &amp; Chi tiết tin'!$B$7:$B$500&amp;", ")),--('Bảng tin &amp; Chi tiết tin'!$AT$7:$AT$500="Pass"))+SUMPRODUCT(--ISNUMBER(SEARCH(", "&amp;$B19&amp;", ",", "&amp;'Quà cảm ơn'!$B$7:$B$500&amp;", ")),--('Quà cảm ơn'!$AT$7:$AT$500="Pass"))+SUMPRODUCT(--ISNUMBER(SEARCH(", "&amp;$B19&amp;", ",", "&amp;'Trang chủ'!$B$7:$B$500&amp;", ")),--('Trang chủ'!$AT$7:$AT$500="Pass"))+SUMPRODUCT(--ISNUMBER(SEARCH(", "&amp;$B19&amp;", ",", "&amp;'Thông báo'!$B$7:$B$500&amp;", ")),--('Thông báo'!$AT$7:$AT$500="Pass"))+SUMPRODUCT(--ISNUMBER(SEARCH(", "&amp;$B19&amp;", ",", "&amp;'Đăng tin &amp; Quản lý tin'!$B$7:$B$500&amp;", ")),--('Đăng tin &amp; Quản lý tin'!$AT$7:$AT$500="Pass"))+SUMPRODUCT(--ISNUMBER(SEARCH(", "&amp;$B19&amp;", ",", "&amp;'Trust &amp; Safety'!$B$7:$B$500&amp;", ")),--('Trust &amp; Safety'!$AT$7:$AT$500="Pass"))+SUMPRODUCT(--ISNUMBER(SEARCH(", "&amp;$B19&amp;", ",", "&amp;'Tài khoản &amp; Hồ sơ'!$B$7:$B$500&amp;", ")),--('Tài khoản &amp; Hồ sơ'!$AT$7:$AT$500="Pass"))</f>
        <v/>
      </c>
      <c r="H19" s="53">
        <f>SUMPRODUCT(--ISNUMBER(SEARCH(", "&amp;$B19&amp;", ",", "&amp;'Hoạt động (Đơn của tôi)'!$B$7:$B$500&amp;", ")),--('Hoạt động (Đơn của tôi)'!$AT$7:$AT$500="Fail"))+SUMPRODUCT(--ISNUMBER(SEARCH(", "&amp;$B19&amp;", ",", "&amp;'Ghép nối'!$B$7:$B$500&amp;", ")),--('Ghép nối'!$AT$7:$AT$500="Fail"))+SUMPRODUCT(--ISNUMBER(SEARCH(", "&amp;$B19&amp;", ",", "&amp;'Huỷ đơn - Huỷ nhận đơn'!$B$7:$B$500&amp;", ")),--('Huỷ đơn - Huỷ nhận đơn'!$AT$7:$AT$500="Fail"))+SUMPRODUCT(--ISNUMBER(SEARCH(", "&amp;$B19&amp;", ",", "&amp;'Giao nhận &amp; Theo dõi đơn'!$B$7:$B$500&amp;", ")),--('Giao nhận &amp; Theo dõi đơn'!$AT$7:$AT$500="Fail"))+SUMPRODUCT(--ISNUMBER(SEARCH(", "&amp;$B19&amp;", ",", "&amp;'Bảng tin &amp; Chi tiết tin'!$B$7:$B$500&amp;", ")),--('Bảng tin &amp; Chi tiết tin'!$AT$7:$AT$500="Fail"))+SUMPRODUCT(--ISNUMBER(SEARCH(", "&amp;$B19&amp;", ",", "&amp;'Quà cảm ơn'!$B$7:$B$500&amp;", ")),--('Quà cảm ơn'!$AT$7:$AT$500="Fail"))+SUMPRODUCT(--ISNUMBER(SEARCH(", "&amp;$B19&amp;", ",", "&amp;'Trang chủ'!$B$7:$B$500&amp;", ")),--('Trang chủ'!$AT$7:$AT$500="Fail"))+SUMPRODUCT(--ISNUMBER(SEARCH(", "&amp;$B19&amp;", ",", "&amp;'Thông báo'!$B$7:$B$500&amp;", ")),--('Thông báo'!$AT$7:$AT$500="Fail"))+SUMPRODUCT(--ISNUMBER(SEARCH(", "&amp;$B19&amp;", ",", "&amp;'Đăng tin &amp; Quản lý tin'!$B$7:$B$500&amp;", ")),--('Đăng tin &amp; Quản lý tin'!$AT$7:$AT$500="Fail"))+SUMPRODUCT(--ISNUMBER(SEARCH(", "&amp;$B19&amp;", ",", "&amp;'Trust &amp; Safety'!$B$7:$B$500&amp;", ")),--('Trust &amp; Safety'!$AT$7:$AT$500="Fail"))+SUMPRODUCT(--ISNUMBER(SEARCH(", "&amp;$B19&amp;", ",", "&amp;'Tài khoản &amp; Hồ sơ'!$B$7:$B$500&amp;", ")),--('Tài khoản &amp; Hồ sơ'!$AT$7:$AT$500="Fail"))</f>
        <v/>
      </c>
      <c r="I19" s="53">
        <f>SUMPRODUCT(--ISNUMBER(SEARCH(", "&amp;$B19&amp;", ",", "&amp;'Hoạt động (Đơn của tôi)'!$B$7:$B$500&amp;", ")),--('Hoạt động (Đơn của tôi)'!$AT$7:$AT$500="Block"))+SUMPRODUCT(--ISNUMBER(SEARCH(", "&amp;$B19&amp;", ",", "&amp;'Ghép nối'!$B$7:$B$500&amp;", ")),--('Ghép nối'!$AT$7:$AT$500="Block"))+SUMPRODUCT(--ISNUMBER(SEARCH(", "&amp;$B19&amp;", ",", "&amp;'Huỷ đơn - Huỷ nhận đơn'!$B$7:$B$500&amp;", ")),--('Huỷ đơn - Huỷ nhận đơn'!$AT$7:$AT$500="Block"))+SUMPRODUCT(--ISNUMBER(SEARCH(", "&amp;$B19&amp;", ",", "&amp;'Giao nhận &amp; Theo dõi đơn'!$B$7:$B$500&amp;", ")),--('Giao nhận &amp; Theo dõi đơn'!$AT$7:$AT$500="Block"))+SUMPRODUCT(--ISNUMBER(SEARCH(", "&amp;$B19&amp;", ",", "&amp;'Bảng tin &amp; Chi tiết tin'!$B$7:$B$500&amp;", ")),--('Bảng tin &amp; Chi tiết tin'!$AT$7:$AT$500="Block"))+SUMPRODUCT(--ISNUMBER(SEARCH(", "&amp;$B19&amp;", ",", "&amp;'Quà cảm ơn'!$B$7:$B$500&amp;", ")),--('Quà cảm ơn'!$AT$7:$AT$500="Block"))+SUMPRODUCT(--ISNUMBER(SEARCH(", "&amp;$B19&amp;", ",", "&amp;'Trang chủ'!$B$7:$B$500&amp;", ")),--('Trang chủ'!$AT$7:$AT$500="Block"))+SUMPRODUCT(--ISNUMBER(SEARCH(", "&amp;$B19&amp;", ",", "&amp;'Thông báo'!$B$7:$B$500&amp;", ")),--('Thông báo'!$AT$7:$AT$500="Block"))+SUMPRODUCT(--ISNUMBER(SEARCH(", "&amp;$B19&amp;", ",", "&amp;'Đăng tin &amp; Quản lý tin'!$B$7:$B$500&amp;", ")),--('Đăng tin &amp; Quản lý tin'!$AT$7:$AT$500="Block"))+SUMPRODUCT(--ISNUMBER(SEARCH(", "&amp;$B19&amp;", ",", "&amp;'Trust &amp; Safety'!$B$7:$B$500&amp;", ")),--('Trust &amp; Safety'!$AT$7:$AT$500="Block"))+SUMPRODUCT(--ISNUMBER(SEARCH(", "&amp;$B19&amp;", ",", "&amp;'Tài khoản &amp; Hồ sơ'!$B$7:$B$500&amp;", ")),--('Tài khoản &amp; Hồ sơ'!$AT$7:$AT$500="Block"))</f>
        <v/>
      </c>
      <c r="J19" s="53">
        <f>SUMPRODUCT(--ISNUMBER(SEARCH(", "&amp;$B19&amp;", ",", "&amp;'Hoạt động (Đơn của tôi)'!$B$7:$B$500&amp;", ")),--('Hoạt động (Đơn của tôi)'!$AT$7:$AT$500="N/A"))+SUMPRODUCT(--ISNUMBER(SEARCH(", "&amp;$B19&amp;", ",", "&amp;'Ghép nối'!$B$7:$B$500&amp;", ")),--('Ghép nối'!$AT$7:$AT$500="N/A"))+SUMPRODUCT(--ISNUMBER(SEARCH(", "&amp;$B19&amp;", ",", "&amp;'Huỷ đơn - Huỷ nhận đơn'!$B$7:$B$500&amp;", ")),--('Huỷ đơn - Huỷ nhận đơn'!$AT$7:$AT$500="N/A"))+SUMPRODUCT(--ISNUMBER(SEARCH(", "&amp;$B19&amp;", ",", "&amp;'Giao nhận &amp; Theo dõi đơn'!$B$7:$B$500&amp;", ")),--('Giao nhận &amp; Theo dõi đơn'!$AT$7:$AT$500="N/A"))+SUMPRODUCT(--ISNUMBER(SEARCH(", "&amp;$B19&amp;", ",", "&amp;'Bảng tin &amp; Chi tiết tin'!$B$7:$B$500&amp;", ")),--('Bảng tin &amp; Chi tiết tin'!$AT$7:$AT$500="N/A"))+SUMPRODUCT(--ISNUMBER(SEARCH(", "&amp;$B19&amp;", ",", "&amp;'Quà cảm ơn'!$B$7:$B$500&amp;", ")),--('Quà cảm ơn'!$AT$7:$AT$500="N/A"))+SUMPRODUCT(--ISNUMBER(SEARCH(", "&amp;$B19&amp;", ",", "&amp;'Trang chủ'!$B$7:$B$500&amp;", ")),--('Trang chủ'!$AT$7:$AT$500="N/A"))+SUMPRODUCT(--ISNUMBER(SEARCH(", "&amp;$B19&amp;", ",", "&amp;'Thông báo'!$B$7:$B$500&amp;", ")),--('Thông báo'!$AT$7:$AT$500="N/A"))+SUMPRODUCT(--ISNUMBER(SEARCH(", "&amp;$B19&amp;", ",", "&amp;'Đăng tin &amp; Quản lý tin'!$B$7:$B$500&amp;", ")),--('Đăng tin &amp; Quản lý tin'!$AT$7:$AT$500="N/A"))+SUMPRODUCT(--ISNUMBER(SEARCH(", "&amp;$B19&amp;", ",", "&amp;'Trust &amp; Safety'!$B$7:$B$500&amp;", ")),--('Trust &amp; Safety'!$AT$7:$AT$500="N/A"))+SUMPRODUCT(--ISNUMBER(SEARCH(", "&amp;$B19&amp;", ",", "&amp;'Tài khoản &amp; Hồ sơ'!$B$7:$B$500&amp;", ")),--('Tài khoản &amp; Hồ sơ'!$AT$7:$AT$500="N/A"))</f>
        <v/>
      </c>
      <c r="K19" s="54">
        <f>IFERROR(F19/E19,0)</f>
        <v/>
      </c>
      <c r="L19" s="113">
        <f>IF(E19=0,"Chưa có TC (gap)",IF(H19&gt;0,"Có lỗi (Fail)",IF(I19&gt;0,"Bị block",IF(F19&lt;E19,"Đang test",IF(G19=0,"Không áp dụng (N/A)","Đã test xong")))))</f>
        <v/>
      </c>
      <c r="AB19" t="inlineStr">
        <is>
          <t>REQ-ASN</t>
        </is>
      </c>
    </row>
    <row r="20">
      <c r="A20" s="1" t="n"/>
      <c r="B20" s="112" t="inlineStr">
        <is>
          <t>REQ-ASN-009</t>
        </is>
      </c>
      <c r="C20" s="261" t="inlineStr">
        <is>
          <t>`DOC-v1.0-01` §D7 `OPR-04` L340: "Sắp xếp theo độ gần tuyến → thời gian đăng (mới trước)" — Analyst Note v1.0 kết luận "độ gần tuyến là nhị phân nên không còn thang để sắp xếp ⇒ tiêu chí duy nhất kiểm chứng được là thời gian đăng".</t>
        </is>
      </c>
      <c r="D20" s="113" t="inlineStr">
        <is>
          <t>DOC-v1.1-01 §8.3 "FR03 — Ghép nối &amp; lộ liên hệ" BR03-06 · page 37</t>
        </is>
      </c>
      <c r="E20" s="53">
        <f>SUMPRODUCT(--ISNUMBER(SEARCH(", "&amp;$B20&amp;", ",", "&amp;'Hoạt động (Đơn của tôi)'!$B$7:$B$500&amp;", ")))+SUMPRODUCT(--ISNUMBER(SEARCH(", "&amp;$B20&amp;", ",", "&amp;'Ghép nối'!$B$7:$B$500&amp;", ")))+SUMPRODUCT(--ISNUMBER(SEARCH(", "&amp;$B20&amp;", ",", "&amp;'Huỷ đơn - Huỷ nhận đơn'!$B$7:$B$500&amp;", ")))+SUMPRODUCT(--ISNUMBER(SEARCH(", "&amp;$B20&amp;", ",", "&amp;'Giao nhận &amp; Theo dõi đơn'!$B$7:$B$500&amp;", ")))+SUMPRODUCT(--ISNUMBER(SEARCH(", "&amp;$B20&amp;", ",", "&amp;'Bảng tin &amp; Chi tiết tin'!$B$7:$B$500&amp;", ")))+SUMPRODUCT(--ISNUMBER(SEARCH(", "&amp;$B20&amp;", ",", "&amp;'Quà cảm ơn'!$B$7:$B$500&amp;", ")))+SUMPRODUCT(--ISNUMBER(SEARCH(", "&amp;$B20&amp;", ",", "&amp;'Trang chủ'!$B$7:$B$500&amp;", ")))+SUMPRODUCT(--ISNUMBER(SEARCH(", "&amp;$B20&amp;", ",", "&amp;'Thông báo'!$B$7:$B$500&amp;", ")))+SUMPRODUCT(--ISNUMBER(SEARCH(", "&amp;$B20&amp;", ",", "&amp;'Đăng tin &amp; Quản lý tin'!$B$7:$B$500&amp;", ")))+SUMPRODUCT(--ISNUMBER(SEARCH(", "&amp;$B20&amp;", ",", "&amp;'Trust &amp; Safety'!$B$7:$B$500&amp;", ")))+SUMPRODUCT(--ISNUMBER(SEARCH(", "&amp;$B20&amp;", ",", "&amp;'Tài khoản &amp; Hồ sơ'!$B$7:$B$500&amp;", ")))</f>
        <v/>
      </c>
      <c r="F20" s="53">
        <f>SUMPRODUCT(--ISNUMBER(SEARCH(", "&amp;$B20&amp;", ",", "&amp;'Hoạt động (Đơn của tôi)'!$B$7:$B$500&amp;", ")),--('Hoạt động (Đơn của tôi)'!$AT$7:$AT$500&lt;&gt;""))+SUMPRODUCT(--ISNUMBER(SEARCH(", "&amp;$B20&amp;", ",", "&amp;'Ghép nối'!$B$7:$B$500&amp;", ")),--('Ghép nối'!$AT$7:$AT$500&lt;&gt;""))+SUMPRODUCT(--ISNUMBER(SEARCH(", "&amp;$B20&amp;", ",", "&amp;'Huỷ đơn - Huỷ nhận đơn'!$B$7:$B$500&amp;", ")),--('Huỷ đơn - Huỷ nhận đơn'!$AT$7:$AT$500&lt;&gt;""))+SUMPRODUCT(--ISNUMBER(SEARCH(", "&amp;$B20&amp;", ",", "&amp;'Giao nhận &amp; Theo dõi đơn'!$B$7:$B$500&amp;", ")),--('Giao nhận &amp; Theo dõi đơn'!$AT$7:$AT$500&lt;&gt;""))+SUMPRODUCT(--ISNUMBER(SEARCH(", "&amp;$B20&amp;", ",", "&amp;'Bảng tin &amp; Chi tiết tin'!$B$7:$B$500&amp;", ")),--('Bảng tin &amp; Chi tiết tin'!$AT$7:$AT$500&lt;&gt;""))+SUMPRODUCT(--ISNUMBER(SEARCH(", "&amp;$B20&amp;", ",", "&amp;'Quà cảm ơn'!$B$7:$B$500&amp;", ")),--('Quà cảm ơn'!$AT$7:$AT$500&lt;&gt;""))+SUMPRODUCT(--ISNUMBER(SEARCH(", "&amp;$B20&amp;", ",", "&amp;'Trang chủ'!$B$7:$B$500&amp;", ")),--('Trang chủ'!$AT$7:$AT$500&lt;&gt;""))+SUMPRODUCT(--ISNUMBER(SEARCH(", "&amp;$B20&amp;", ",", "&amp;'Thông báo'!$B$7:$B$500&amp;", ")),--('Thông báo'!$AT$7:$AT$500&lt;&gt;""))+SUMPRODUCT(--ISNUMBER(SEARCH(", "&amp;$B20&amp;", ",", "&amp;'Đăng tin &amp; Quản lý tin'!$B$7:$B$500&amp;", ")),--('Đăng tin &amp; Quản lý tin'!$AT$7:$AT$500&lt;&gt;""))+SUMPRODUCT(--ISNUMBER(SEARCH(", "&amp;$B20&amp;", ",", "&amp;'Trust &amp; Safety'!$B$7:$B$500&amp;", ")),--('Trust &amp; Safety'!$AT$7:$AT$500&lt;&gt;""))+SUMPRODUCT(--ISNUMBER(SEARCH(", "&amp;$B20&amp;", ",", "&amp;'Tài khoản &amp; Hồ sơ'!$B$7:$B$500&amp;", ")),--('Tài khoản &amp; Hồ sơ'!$AT$7:$AT$500&lt;&gt;""))</f>
        <v/>
      </c>
      <c r="G20" s="53">
        <f>SUMPRODUCT(--ISNUMBER(SEARCH(", "&amp;$B20&amp;", ",", "&amp;'Hoạt động (Đơn của tôi)'!$B$7:$B$500&amp;", ")),--('Hoạt động (Đơn của tôi)'!$AT$7:$AT$500="Pass"))+SUMPRODUCT(--ISNUMBER(SEARCH(", "&amp;$B20&amp;", ",", "&amp;'Ghép nối'!$B$7:$B$500&amp;", ")),--('Ghép nối'!$AT$7:$AT$500="Pass"))+SUMPRODUCT(--ISNUMBER(SEARCH(", "&amp;$B20&amp;", ",", "&amp;'Huỷ đơn - Huỷ nhận đơn'!$B$7:$B$500&amp;", ")),--('Huỷ đơn - Huỷ nhận đơn'!$AT$7:$AT$500="Pass"))+SUMPRODUCT(--ISNUMBER(SEARCH(", "&amp;$B20&amp;", ",", "&amp;'Giao nhận &amp; Theo dõi đơn'!$B$7:$B$500&amp;", ")),--('Giao nhận &amp; Theo dõi đơn'!$AT$7:$AT$500="Pass"))+SUMPRODUCT(--ISNUMBER(SEARCH(", "&amp;$B20&amp;", ",", "&amp;'Bảng tin &amp; Chi tiết tin'!$B$7:$B$500&amp;", ")),--('Bảng tin &amp; Chi tiết tin'!$AT$7:$AT$500="Pass"))+SUMPRODUCT(--ISNUMBER(SEARCH(", "&amp;$B20&amp;", ",", "&amp;'Quà cảm ơn'!$B$7:$B$500&amp;", ")),--('Quà cảm ơn'!$AT$7:$AT$500="Pass"))+SUMPRODUCT(--ISNUMBER(SEARCH(", "&amp;$B20&amp;", ",", "&amp;'Trang chủ'!$B$7:$B$500&amp;", ")),--('Trang chủ'!$AT$7:$AT$500="Pass"))+SUMPRODUCT(--ISNUMBER(SEARCH(", "&amp;$B20&amp;", ",", "&amp;'Thông báo'!$B$7:$B$500&amp;", ")),--('Thông báo'!$AT$7:$AT$500="Pass"))+SUMPRODUCT(--ISNUMBER(SEARCH(", "&amp;$B20&amp;", ",", "&amp;'Đăng tin &amp; Quản lý tin'!$B$7:$B$500&amp;", ")),--('Đăng tin &amp; Quản lý tin'!$AT$7:$AT$500="Pass"))+SUMPRODUCT(--ISNUMBER(SEARCH(", "&amp;$B20&amp;", ",", "&amp;'Trust &amp; Safety'!$B$7:$B$500&amp;", ")),--('Trust &amp; Safety'!$AT$7:$AT$500="Pass"))+SUMPRODUCT(--ISNUMBER(SEARCH(", "&amp;$B20&amp;", ",", "&amp;'Tài khoản &amp; Hồ sơ'!$B$7:$B$500&amp;", ")),--('Tài khoản &amp; Hồ sơ'!$AT$7:$AT$500="Pass"))</f>
        <v/>
      </c>
      <c r="H20" s="53">
        <f>SUMPRODUCT(--ISNUMBER(SEARCH(", "&amp;$B20&amp;", ",", "&amp;'Hoạt động (Đơn của tôi)'!$B$7:$B$500&amp;", ")),--('Hoạt động (Đơn của tôi)'!$AT$7:$AT$500="Fail"))+SUMPRODUCT(--ISNUMBER(SEARCH(", "&amp;$B20&amp;", ",", "&amp;'Ghép nối'!$B$7:$B$500&amp;", ")),--('Ghép nối'!$AT$7:$AT$500="Fail"))+SUMPRODUCT(--ISNUMBER(SEARCH(", "&amp;$B20&amp;", ",", "&amp;'Huỷ đơn - Huỷ nhận đơn'!$B$7:$B$500&amp;", ")),--('Huỷ đơn - Huỷ nhận đơn'!$AT$7:$AT$500="Fail"))+SUMPRODUCT(--ISNUMBER(SEARCH(", "&amp;$B20&amp;", ",", "&amp;'Giao nhận &amp; Theo dõi đơn'!$B$7:$B$500&amp;", ")),--('Giao nhận &amp; Theo dõi đơn'!$AT$7:$AT$500="Fail"))+SUMPRODUCT(--ISNUMBER(SEARCH(", "&amp;$B20&amp;", ",", "&amp;'Bảng tin &amp; Chi tiết tin'!$B$7:$B$500&amp;", ")),--('Bảng tin &amp; Chi tiết tin'!$AT$7:$AT$500="Fail"))+SUMPRODUCT(--ISNUMBER(SEARCH(", "&amp;$B20&amp;", ",", "&amp;'Quà cảm ơn'!$B$7:$B$500&amp;", ")),--('Quà cảm ơn'!$AT$7:$AT$500="Fail"))+SUMPRODUCT(--ISNUMBER(SEARCH(", "&amp;$B20&amp;", ",", "&amp;'Trang chủ'!$B$7:$B$500&amp;", ")),--('Trang chủ'!$AT$7:$AT$500="Fail"))+SUMPRODUCT(--ISNUMBER(SEARCH(", "&amp;$B20&amp;", ",", "&amp;'Thông báo'!$B$7:$B$500&amp;", ")),--('Thông báo'!$AT$7:$AT$500="Fail"))+SUMPRODUCT(--ISNUMBER(SEARCH(", "&amp;$B20&amp;", ",", "&amp;'Đăng tin &amp; Quản lý tin'!$B$7:$B$500&amp;", ")),--('Đăng tin &amp; Quản lý tin'!$AT$7:$AT$500="Fail"))+SUMPRODUCT(--ISNUMBER(SEARCH(", "&amp;$B20&amp;", ",", "&amp;'Trust &amp; Safety'!$B$7:$B$500&amp;", ")),--('Trust &amp; Safety'!$AT$7:$AT$500="Fail"))+SUMPRODUCT(--ISNUMBER(SEARCH(", "&amp;$B20&amp;", ",", "&amp;'Tài khoản &amp; Hồ sơ'!$B$7:$B$500&amp;", ")),--('Tài khoản &amp; Hồ sơ'!$AT$7:$AT$500="Fail"))</f>
        <v/>
      </c>
      <c r="I20" s="53">
        <f>SUMPRODUCT(--ISNUMBER(SEARCH(", "&amp;$B20&amp;", ",", "&amp;'Hoạt động (Đơn của tôi)'!$B$7:$B$500&amp;", ")),--('Hoạt động (Đơn của tôi)'!$AT$7:$AT$500="Block"))+SUMPRODUCT(--ISNUMBER(SEARCH(", "&amp;$B20&amp;", ",", "&amp;'Ghép nối'!$B$7:$B$500&amp;", ")),--('Ghép nối'!$AT$7:$AT$500="Block"))+SUMPRODUCT(--ISNUMBER(SEARCH(", "&amp;$B20&amp;", ",", "&amp;'Huỷ đơn - Huỷ nhận đơn'!$B$7:$B$500&amp;", ")),--('Huỷ đơn - Huỷ nhận đơn'!$AT$7:$AT$500="Block"))+SUMPRODUCT(--ISNUMBER(SEARCH(", "&amp;$B20&amp;", ",", "&amp;'Giao nhận &amp; Theo dõi đơn'!$B$7:$B$500&amp;", ")),--('Giao nhận &amp; Theo dõi đơn'!$AT$7:$AT$500="Block"))+SUMPRODUCT(--ISNUMBER(SEARCH(", "&amp;$B20&amp;", ",", "&amp;'Bảng tin &amp; Chi tiết tin'!$B$7:$B$500&amp;", ")),--('Bảng tin &amp; Chi tiết tin'!$AT$7:$AT$500="Block"))+SUMPRODUCT(--ISNUMBER(SEARCH(", "&amp;$B20&amp;", ",", "&amp;'Quà cảm ơn'!$B$7:$B$500&amp;", ")),--('Quà cảm ơn'!$AT$7:$AT$500="Block"))+SUMPRODUCT(--ISNUMBER(SEARCH(", "&amp;$B20&amp;", ",", "&amp;'Trang chủ'!$B$7:$B$500&amp;", ")),--('Trang chủ'!$AT$7:$AT$500="Block"))+SUMPRODUCT(--ISNUMBER(SEARCH(", "&amp;$B20&amp;", ",", "&amp;'Thông báo'!$B$7:$B$500&amp;", ")),--('Thông báo'!$AT$7:$AT$500="Block"))+SUMPRODUCT(--ISNUMBER(SEARCH(", "&amp;$B20&amp;", ",", "&amp;'Đăng tin &amp; Quản lý tin'!$B$7:$B$500&amp;", ")),--('Đăng tin &amp; Quản lý tin'!$AT$7:$AT$500="Block"))+SUMPRODUCT(--ISNUMBER(SEARCH(", "&amp;$B20&amp;", ",", "&amp;'Trust &amp; Safety'!$B$7:$B$500&amp;", ")),--('Trust &amp; Safety'!$AT$7:$AT$500="Block"))+SUMPRODUCT(--ISNUMBER(SEARCH(", "&amp;$B20&amp;", ",", "&amp;'Tài khoản &amp; Hồ sơ'!$B$7:$B$500&amp;", ")),--('Tài khoản &amp; Hồ sơ'!$AT$7:$AT$500="Block"))</f>
        <v/>
      </c>
      <c r="J20" s="53">
        <f>SUMPRODUCT(--ISNUMBER(SEARCH(", "&amp;$B20&amp;", ",", "&amp;'Hoạt động (Đơn của tôi)'!$B$7:$B$500&amp;", ")),--('Hoạt động (Đơn của tôi)'!$AT$7:$AT$500="N/A"))+SUMPRODUCT(--ISNUMBER(SEARCH(", "&amp;$B20&amp;", ",", "&amp;'Ghép nối'!$B$7:$B$500&amp;", ")),--('Ghép nối'!$AT$7:$AT$500="N/A"))+SUMPRODUCT(--ISNUMBER(SEARCH(", "&amp;$B20&amp;", ",", "&amp;'Huỷ đơn - Huỷ nhận đơn'!$B$7:$B$500&amp;", ")),--('Huỷ đơn - Huỷ nhận đơn'!$AT$7:$AT$500="N/A"))+SUMPRODUCT(--ISNUMBER(SEARCH(", "&amp;$B20&amp;", ",", "&amp;'Giao nhận &amp; Theo dõi đơn'!$B$7:$B$500&amp;", ")),--('Giao nhận &amp; Theo dõi đơn'!$AT$7:$AT$500="N/A"))+SUMPRODUCT(--ISNUMBER(SEARCH(", "&amp;$B20&amp;", ",", "&amp;'Bảng tin &amp; Chi tiết tin'!$B$7:$B$500&amp;", ")),--('Bảng tin &amp; Chi tiết tin'!$AT$7:$AT$500="N/A"))+SUMPRODUCT(--ISNUMBER(SEARCH(", "&amp;$B20&amp;", ",", "&amp;'Quà cảm ơn'!$B$7:$B$500&amp;", ")),--('Quà cảm ơn'!$AT$7:$AT$500="N/A"))+SUMPRODUCT(--ISNUMBER(SEARCH(", "&amp;$B20&amp;", ",", "&amp;'Trang chủ'!$B$7:$B$500&amp;", ")),--('Trang chủ'!$AT$7:$AT$500="N/A"))+SUMPRODUCT(--ISNUMBER(SEARCH(", "&amp;$B20&amp;", ",", "&amp;'Thông báo'!$B$7:$B$500&amp;", ")),--('Thông báo'!$AT$7:$AT$500="N/A"))+SUMPRODUCT(--ISNUMBER(SEARCH(", "&amp;$B20&amp;", ",", "&amp;'Đăng tin &amp; Quản lý tin'!$B$7:$B$500&amp;", ")),--('Đăng tin &amp; Quản lý tin'!$AT$7:$AT$500="N/A"))+SUMPRODUCT(--ISNUMBER(SEARCH(", "&amp;$B20&amp;", ",", "&amp;'Trust &amp; Safety'!$B$7:$B$500&amp;", ")),--('Trust &amp; Safety'!$AT$7:$AT$500="N/A"))+SUMPRODUCT(--ISNUMBER(SEARCH(", "&amp;$B20&amp;", ",", "&amp;'Tài khoản &amp; Hồ sơ'!$B$7:$B$500&amp;", ")),--('Tài khoản &amp; Hồ sơ'!$AT$7:$AT$500="N/A"))</f>
        <v/>
      </c>
      <c r="K20" s="54">
        <f>IFERROR(F20/E20,0)</f>
        <v/>
      </c>
      <c r="L20" s="113">
        <f>IF(E20=0,"Chưa có TC (gap)",IF(H20&gt;0,"Có lỗi (Fail)",IF(I20&gt;0,"Bị block",IF(F20&lt;E20,"Đang test",IF(G20=0,"Không áp dụng (N/A)","Đã test xong")))))</f>
        <v/>
      </c>
      <c r="AB20" t="inlineStr">
        <is>
          <t>REQ-ASN</t>
        </is>
      </c>
    </row>
    <row r="21" ht="15.75" customHeight="1" s="216">
      <c r="A21" s="1" t="n"/>
      <c r="B21" s="112" t="inlineStr">
        <is>
          <t>REQ-ASN-013</t>
        </is>
      </c>
      <c r="C21" s="261" t="inlineStr">
        <is>
          <t>NFR-11 | Security | Tin OFFER không truy cập được trực tiếp; mọi request đọc tin OFFER bởi người dùng không phải chủ tin phải bị chặn lỗi và ghi audit log | Cách đo: Security test</t>
        </is>
      </c>
      <c r="D21" s="113" t="inlineStr">
        <is>
          <t>DOC-v1.1-01 §9 NFR-11 · page 54</t>
        </is>
      </c>
      <c r="E21" s="53">
        <f>SUMPRODUCT(--ISNUMBER(SEARCH(", "&amp;$B21&amp;", ",", "&amp;'Hoạt động (Đơn của tôi)'!$B$7:$B$500&amp;", ")))+SUMPRODUCT(--ISNUMBER(SEARCH(", "&amp;$B21&amp;", ",", "&amp;'Ghép nối'!$B$7:$B$500&amp;", ")))+SUMPRODUCT(--ISNUMBER(SEARCH(", "&amp;$B21&amp;", ",", "&amp;'Huỷ đơn - Huỷ nhận đơn'!$B$7:$B$500&amp;", ")))+SUMPRODUCT(--ISNUMBER(SEARCH(", "&amp;$B21&amp;", ",", "&amp;'Giao nhận &amp; Theo dõi đơn'!$B$7:$B$500&amp;", ")))+SUMPRODUCT(--ISNUMBER(SEARCH(", "&amp;$B21&amp;", ",", "&amp;'Bảng tin &amp; Chi tiết tin'!$B$7:$B$500&amp;", ")))+SUMPRODUCT(--ISNUMBER(SEARCH(", "&amp;$B21&amp;", ",", "&amp;'Quà cảm ơn'!$B$7:$B$500&amp;", ")))+SUMPRODUCT(--ISNUMBER(SEARCH(", "&amp;$B21&amp;", ",", "&amp;'Trang chủ'!$B$7:$B$500&amp;", ")))+SUMPRODUCT(--ISNUMBER(SEARCH(", "&amp;$B21&amp;", ",", "&amp;'Thông báo'!$B$7:$B$500&amp;", ")))+SUMPRODUCT(--ISNUMBER(SEARCH(", "&amp;$B21&amp;", ",", "&amp;'Đăng tin &amp; Quản lý tin'!$B$7:$B$500&amp;", ")))+SUMPRODUCT(--ISNUMBER(SEARCH(", "&amp;$B21&amp;", ",", "&amp;'Trust &amp; Safety'!$B$7:$B$500&amp;", ")))+SUMPRODUCT(--ISNUMBER(SEARCH(", "&amp;$B21&amp;", ",", "&amp;'Tài khoản &amp; Hồ sơ'!$B$7:$B$500&amp;", ")))</f>
        <v/>
      </c>
      <c r="F21" s="53">
        <f>SUMPRODUCT(--ISNUMBER(SEARCH(", "&amp;$B21&amp;", ",", "&amp;'Hoạt động (Đơn của tôi)'!$B$7:$B$500&amp;", ")),--('Hoạt động (Đơn của tôi)'!$AT$7:$AT$500&lt;&gt;""))+SUMPRODUCT(--ISNUMBER(SEARCH(", "&amp;$B21&amp;", ",", "&amp;'Ghép nối'!$B$7:$B$500&amp;", ")),--('Ghép nối'!$AT$7:$AT$500&lt;&gt;""))+SUMPRODUCT(--ISNUMBER(SEARCH(", "&amp;$B21&amp;", ",", "&amp;'Huỷ đơn - Huỷ nhận đơn'!$B$7:$B$500&amp;", ")),--('Huỷ đơn - Huỷ nhận đơn'!$AT$7:$AT$500&lt;&gt;""))+SUMPRODUCT(--ISNUMBER(SEARCH(", "&amp;$B21&amp;", ",", "&amp;'Giao nhận &amp; Theo dõi đơn'!$B$7:$B$500&amp;", ")),--('Giao nhận &amp; Theo dõi đơn'!$AT$7:$AT$500&lt;&gt;""))+SUMPRODUCT(--ISNUMBER(SEARCH(", "&amp;$B21&amp;", ",", "&amp;'Bảng tin &amp; Chi tiết tin'!$B$7:$B$500&amp;", ")),--('Bảng tin &amp; Chi tiết tin'!$AT$7:$AT$500&lt;&gt;""))+SUMPRODUCT(--ISNUMBER(SEARCH(", "&amp;$B21&amp;", ",", "&amp;'Quà cảm ơn'!$B$7:$B$500&amp;", ")),--('Quà cảm ơn'!$AT$7:$AT$500&lt;&gt;""))+SUMPRODUCT(--ISNUMBER(SEARCH(", "&amp;$B21&amp;", ",", "&amp;'Trang chủ'!$B$7:$B$500&amp;", ")),--('Trang chủ'!$AT$7:$AT$500&lt;&gt;""))+SUMPRODUCT(--ISNUMBER(SEARCH(", "&amp;$B21&amp;", ",", "&amp;'Thông báo'!$B$7:$B$500&amp;", ")),--('Thông báo'!$AT$7:$AT$500&lt;&gt;""))+SUMPRODUCT(--ISNUMBER(SEARCH(", "&amp;$B21&amp;", ",", "&amp;'Đăng tin &amp; Quản lý tin'!$B$7:$B$500&amp;", ")),--('Đăng tin &amp; Quản lý tin'!$AT$7:$AT$500&lt;&gt;""))+SUMPRODUCT(--ISNUMBER(SEARCH(", "&amp;$B21&amp;", ",", "&amp;'Trust &amp; Safety'!$B$7:$B$500&amp;", ")),--('Trust &amp; Safety'!$AT$7:$AT$500&lt;&gt;""))+SUMPRODUCT(--ISNUMBER(SEARCH(", "&amp;$B21&amp;", ",", "&amp;'Tài khoản &amp; Hồ sơ'!$B$7:$B$500&amp;", ")),--('Tài khoản &amp; Hồ sơ'!$AT$7:$AT$500&lt;&gt;""))</f>
        <v/>
      </c>
      <c r="G21" s="53">
        <f>SUMPRODUCT(--ISNUMBER(SEARCH(", "&amp;$B21&amp;", ",", "&amp;'Hoạt động (Đơn của tôi)'!$B$7:$B$500&amp;", ")),--('Hoạt động (Đơn của tôi)'!$AT$7:$AT$500="Pass"))+SUMPRODUCT(--ISNUMBER(SEARCH(", "&amp;$B21&amp;", ",", "&amp;'Ghép nối'!$B$7:$B$500&amp;", ")),--('Ghép nối'!$AT$7:$AT$500="Pass"))+SUMPRODUCT(--ISNUMBER(SEARCH(", "&amp;$B21&amp;", ",", "&amp;'Huỷ đơn - Huỷ nhận đơn'!$B$7:$B$500&amp;", ")),--('Huỷ đơn - Huỷ nhận đơn'!$AT$7:$AT$500="Pass"))+SUMPRODUCT(--ISNUMBER(SEARCH(", "&amp;$B21&amp;", ",", "&amp;'Giao nhận &amp; Theo dõi đơn'!$B$7:$B$500&amp;", ")),--('Giao nhận &amp; Theo dõi đơn'!$AT$7:$AT$500="Pass"))+SUMPRODUCT(--ISNUMBER(SEARCH(", "&amp;$B21&amp;", ",", "&amp;'Bảng tin &amp; Chi tiết tin'!$B$7:$B$500&amp;", ")),--('Bảng tin &amp; Chi tiết tin'!$AT$7:$AT$500="Pass"))+SUMPRODUCT(--ISNUMBER(SEARCH(", "&amp;$B21&amp;", ",", "&amp;'Quà cảm ơn'!$B$7:$B$500&amp;", ")),--('Quà cảm ơn'!$AT$7:$AT$500="Pass"))+SUMPRODUCT(--ISNUMBER(SEARCH(", "&amp;$B21&amp;", ",", "&amp;'Trang chủ'!$B$7:$B$500&amp;", ")),--('Trang chủ'!$AT$7:$AT$500="Pass"))+SUMPRODUCT(--ISNUMBER(SEARCH(", "&amp;$B21&amp;", ",", "&amp;'Thông báo'!$B$7:$B$500&amp;", ")),--('Thông báo'!$AT$7:$AT$500="Pass"))+SUMPRODUCT(--ISNUMBER(SEARCH(", "&amp;$B21&amp;", ",", "&amp;'Đăng tin &amp; Quản lý tin'!$B$7:$B$500&amp;", ")),--('Đăng tin &amp; Quản lý tin'!$AT$7:$AT$500="Pass"))+SUMPRODUCT(--ISNUMBER(SEARCH(", "&amp;$B21&amp;", ",", "&amp;'Trust &amp; Safety'!$B$7:$B$500&amp;", ")),--('Trust &amp; Safety'!$AT$7:$AT$500="Pass"))+SUMPRODUCT(--ISNUMBER(SEARCH(", "&amp;$B21&amp;", ",", "&amp;'Tài khoản &amp; Hồ sơ'!$B$7:$B$500&amp;", ")),--('Tài khoản &amp; Hồ sơ'!$AT$7:$AT$500="Pass"))</f>
        <v/>
      </c>
      <c r="H21" s="53">
        <f>SUMPRODUCT(--ISNUMBER(SEARCH(", "&amp;$B21&amp;", ",", "&amp;'Hoạt động (Đơn của tôi)'!$B$7:$B$500&amp;", ")),--('Hoạt động (Đơn của tôi)'!$AT$7:$AT$500="Fail"))+SUMPRODUCT(--ISNUMBER(SEARCH(", "&amp;$B21&amp;", ",", "&amp;'Ghép nối'!$B$7:$B$500&amp;", ")),--('Ghép nối'!$AT$7:$AT$500="Fail"))+SUMPRODUCT(--ISNUMBER(SEARCH(", "&amp;$B21&amp;", ",", "&amp;'Huỷ đơn - Huỷ nhận đơn'!$B$7:$B$500&amp;", ")),--('Huỷ đơn - Huỷ nhận đơn'!$AT$7:$AT$500="Fail"))+SUMPRODUCT(--ISNUMBER(SEARCH(", "&amp;$B21&amp;", ",", "&amp;'Giao nhận &amp; Theo dõi đơn'!$B$7:$B$500&amp;", ")),--('Giao nhận &amp; Theo dõi đơn'!$AT$7:$AT$500="Fail"))+SUMPRODUCT(--ISNUMBER(SEARCH(", "&amp;$B21&amp;", ",", "&amp;'Bảng tin &amp; Chi tiết tin'!$B$7:$B$500&amp;", ")),--('Bảng tin &amp; Chi tiết tin'!$AT$7:$AT$500="Fail"))+SUMPRODUCT(--ISNUMBER(SEARCH(", "&amp;$B21&amp;", ",", "&amp;'Quà cảm ơn'!$B$7:$B$500&amp;", ")),--('Quà cảm ơn'!$AT$7:$AT$500="Fail"))+SUMPRODUCT(--ISNUMBER(SEARCH(", "&amp;$B21&amp;", ",", "&amp;'Trang chủ'!$B$7:$B$500&amp;", ")),--('Trang chủ'!$AT$7:$AT$500="Fail"))+SUMPRODUCT(--ISNUMBER(SEARCH(", "&amp;$B21&amp;", ",", "&amp;'Thông báo'!$B$7:$B$500&amp;", ")),--('Thông báo'!$AT$7:$AT$500="Fail"))+SUMPRODUCT(--ISNUMBER(SEARCH(", "&amp;$B21&amp;", ",", "&amp;'Đăng tin &amp; Quản lý tin'!$B$7:$B$500&amp;", ")),--('Đăng tin &amp; Quản lý tin'!$AT$7:$AT$500="Fail"))+SUMPRODUCT(--ISNUMBER(SEARCH(", "&amp;$B21&amp;", ",", "&amp;'Trust &amp; Safety'!$B$7:$B$500&amp;", ")),--('Trust &amp; Safety'!$AT$7:$AT$500="Fail"))+SUMPRODUCT(--ISNUMBER(SEARCH(", "&amp;$B21&amp;", ",", "&amp;'Tài khoản &amp; Hồ sơ'!$B$7:$B$500&amp;", ")),--('Tài khoản &amp; Hồ sơ'!$AT$7:$AT$500="Fail"))</f>
        <v/>
      </c>
      <c r="I21" s="53">
        <f>SUMPRODUCT(--ISNUMBER(SEARCH(", "&amp;$B21&amp;", ",", "&amp;'Hoạt động (Đơn của tôi)'!$B$7:$B$500&amp;", ")),--('Hoạt động (Đơn của tôi)'!$AT$7:$AT$500="Block"))+SUMPRODUCT(--ISNUMBER(SEARCH(", "&amp;$B21&amp;", ",", "&amp;'Ghép nối'!$B$7:$B$500&amp;", ")),--('Ghép nối'!$AT$7:$AT$500="Block"))+SUMPRODUCT(--ISNUMBER(SEARCH(", "&amp;$B21&amp;", ",", "&amp;'Huỷ đơn - Huỷ nhận đơn'!$B$7:$B$500&amp;", ")),--('Huỷ đơn - Huỷ nhận đơn'!$AT$7:$AT$500="Block"))+SUMPRODUCT(--ISNUMBER(SEARCH(", "&amp;$B21&amp;", ",", "&amp;'Giao nhận &amp; Theo dõi đơn'!$B$7:$B$500&amp;", ")),--('Giao nhận &amp; Theo dõi đơn'!$AT$7:$AT$500="Block"))+SUMPRODUCT(--ISNUMBER(SEARCH(", "&amp;$B21&amp;", ",", "&amp;'Bảng tin &amp; Chi tiết tin'!$B$7:$B$500&amp;", ")),--('Bảng tin &amp; Chi tiết tin'!$AT$7:$AT$500="Block"))+SUMPRODUCT(--ISNUMBER(SEARCH(", "&amp;$B21&amp;", ",", "&amp;'Quà cảm ơn'!$B$7:$B$500&amp;", ")),--('Quà cảm ơn'!$AT$7:$AT$500="Block"))+SUMPRODUCT(--ISNUMBER(SEARCH(", "&amp;$B21&amp;", ",", "&amp;'Trang chủ'!$B$7:$B$500&amp;", ")),--('Trang chủ'!$AT$7:$AT$500="Block"))+SUMPRODUCT(--ISNUMBER(SEARCH(", "&amp;$B21&amp;", ",", "&amp;'Thông báo'!$B$7:$B$500&amp;", ")),--('Thông báo'!$AT$7:$AT$500="Block"))+SUMPRODUCT(--ISNUMBER(SEARCH(", "&amp;$B21&amp;", ",", "&amp;'Đăng tin &amp; Quản lý tin'!$B$7:$B$500&amp;", ")),--('Đăng tin &amp; Quản lý tin'!$AT$7:$AT$500="Block"))+SUMPRODUCT(--ISNUMBER(SEARCH(", "&amp;$B21&amp;", ",", "&amp;'Trust &amp; Safety'!$B$7:$B$500&amp;", ")),--('Trust &amp; Safety'!$AT$7:$AT$500="Block"))+SUMPRODUCT(--ISNUMBER(SEARCH(", "&amp;$B21&amp;", ",", "&amp;'Tài khoản &amp; Hồ sơ'!$B$7:$B$500&amp;", ")),--('Tài khoản &amp; Hồ sơ'!$AT$7:$AT$500="Block"))</f>
        <v/>
      </c>
      <c r="J21" s="53">
        <f>SUMPRODUCT(--ISNUMBER(SEARCH(", "&amp;$B21&amp;", ",", "&amp;'Hoạt động (Đơn của tôi)'!$B$7:$B$500&amp;", ")),--('Hoạt động (Đơn của tôi)'!$AT$7:$AT$500="N/A"))+SUMPRODUCT(--ISNUMBER(SEARCH(", "&amp;$B21&amp;", ",", "&amp;'Ghép nối'!$B$7:$B$500&amp;", ")),--('Ghép nối'!$AT$7:$AT$500="N/A"))+SUMPRODUCT(--ISNUMBER(SEARCH(", "&amp;$B21&amp;", ",", "&amp;'Huỷ đơn - Huỷ nhận đơn'!$B$7:$B$500&amp;", ")),--('Huỷ đơn - Huỷ nhận đơn'!$AT$7:$AT$500="N/A"))+SUMPRODUCT(--ISNUMBER(SEARCH(", "&amp;$B21&amp;", ",", "&amp;'Giao nhận &amp; Theo dõi đơn'!$B$7:$B$500&amp;", ")),--('Giao nhận &amp; Theo dõi đơn'!$AT$7:$AT$500="N/A"))+SUMPRODUCT(--ISNUMBER(SEARCH(", "&amp;$B21&amp;", ",", "&amp;'Bảng tin &amp; Chi tiết tin'!$B$7:$B$500&amp;", ")),--('Bảng tin &amp; Chi tiết tin'!$AT$7:$AT$500="N/A"))+SUMPRODUCT(--ISNUMBER(SEARCH(", "&amp;$B21&amp;", ",", "&amp;'Quà cảm ơn'!$B$7:$B$500&amp;", ")),--('Quà cảm ơn'!$AT$7:$AT$500="N/A"))+SUMPRODUCT(--ISNUMBER(SEARCH(", "&amp;$B21&amp;", ",", "&amp;'Trang chủ'!$B$7:$B$500&amp;", ")),--('Trang chủ'!$AT$7:$AT$500="N/A"))+SUMPRODUCT(--ISNUMBER(SEARCH(", "&amp;$B21&amp;", ",", "&amp;'Thông báo'!$B$7:$B$500&amp;", ")),--('Thông báo'!$AT$7:$AT$500="N/A"))+SUMPRODUCT(--ISNUMBER(SEARCH(", "&amp;$B21&amp;", ",", "&amp;'Đăng tin &amp; Quản lý tin'!$B$7:$B$500&amp;", ")),--('Đăng tin &amp; Quản lý tin'!$AT$7:$AT$500="N/A"))+SUMPRODUCT(--ISNUMBER(SEARCH(", "&amp;$B21&amp;", ",", "&amp;'Trust &amp; Safety'!$B$7:$B$500&amp;", ")),--('Trust &amp; Safety'!$AT$7:$AT$500="N/A"))+SUMPRODUCT(--ISNUMBER(SEARCH(", "&amp;$B21&amp;", ",", "&amp;'Tài khoản &amp; Hồ sơ'!$B$7:$B$500&amp;", ")),--('Tài khoản &amp; Hồ sơ'!$AT$7:$AT$500="N/A"))</f>
        <v/>
      </c>
      <c r="K21" s="54">
        <f>IFERROR(F21/E21,0)</f>
        <v/>
      </c>
      <c r="L21" s="113">
        <f>IF(E21=0,"Chưa có TC (gap)",IF(H21&gt;0,"Có lỗi (Fail)",IF(I21&gt;0,"Bị block",IF(F21&lt;E21,"Đang test",IF(G21=0,"Không áp dụng (N/A)","Đã test xong")))))</f>
        <v/>
      </c>
      <c r="AB21" t="inlineStr">
        <is>
          <t>REQ-ASN</t>
        </is>
      </c>
    </row>
    <row r="22" ht="15.75" customHeight="1" s="216">
      <c r="A22" s="1" t="n"/>
      <c r="B22" s="112" t="inlineStr">
        <is>
          <t>REQ-ASN-001</t>
        </is>
      </c>
      <c r="C22" s="261" t="inlineStr"/>
      <c r="D22" s="113" t="inlineStr">
        <is>
          <t>DOC-v1.0-01 · DOC-v1.0-02</t>
        </is>
      </c>
      <c r="E22" s="53">
        <f>SUMPRODUCT(--ISNUMBER(SEARCH(", "&amp;$B22&amp;", ",", "&amp;'Hoạt động (Đơn của tôi)'!$B$7:$B$500&amp;", ")))+SUMPRODUCT(--ISNUMBER(SEARCH(", "&amp;$B22&amp;", ",", "&amp;'Ghép nối'!$B$7:$B$500&amp;", ")))+SUMPRODUCT(--ISNUMBER(SEARCH(", "&amp;$B22&amp;", ",", "&amp;'Huỷ đơn - Huỷ nhận đơn'!$B$7:$B$500&amp;", ")))+SUMPRODUCT(--ISNUMBER(SEARCH(", "&amp;$B22&amp;", ",", "&amp;'Giao nhận &amp; Theo dõi đơn'!$B$7:$B$500&amp;", ")))+SUMPRODUCT(--ISNUMBER(SEARCH(", "&amp;$B22&amp;", ",", "&amp;'Bảng tin &amp; Chi tiết tin'!$B$7:$B$500&amp;", ")))+SUMPRODUCT(--ISNUMBER(SEARCH(", "&amp;$B22&amp;", ",", "&amp;'Quà cảm ơn'!$B$7:$B$500&amp;", ")))+SUMPRODUCT(--ISNUMBER(SEARCH(", "&amp;$B22&amp;", ",", "&amp;'Trang chủ'!$B$7:$B$500&amp;", ")))+SUMPRODUCT(--ISNUMBER(SEARCH(", "&amp;$B22&amp;", ",", "&amp;'Thông báo'!$B$7:$B$500&amp;", ")))+SUMPRODUCT(--ISNUMBER(SEARCH(", "&amp;$B22&amp;", ",", "&amp;'Đăng tin &amp; Quản lý tin'!$B$7:$B$500&amp;", ")))+SUMPRODUCT(--ISNUMBER(SEARCH(", "&amp;$B22&amp;", ",", "&amp;'Trust &amp; Safety'!$B$7:$B$500&amp;", ")))+SUMPRODUCT(--ISNUMBER(SEARCH(", "&amp;$B22&amp;", ",", "&amp;'Tài khoản &amp; Hồ sơ'!$B$7:$B$500&amp;", ")))</f>
        <v/>
      </c>
      <c r="F22" s="53">
        <f>SUMPRODUCT(--ISNUMBER(SEARCH(", "&amp;$B22&amp;", ",", "&amp;'Hoạt động (Đơn của tôi)'!$B$7:$B$500&amp;", ")),--('Hoạt động (Đơn của tôi)'!$AT$7:$AT$500&lt;&gt;""))+SUMPRODUCT(--ISNUMBER(SEARCH(", "&amp;$B22&amp;", ",", "&amp;'Ghép nối'!$B$7:$B$500&amp;", ")),--('Ghép nối'!$AT$7:$AT$500&lt;&gt;""))+SUMPRODUCT(--ISNUMBER(SEARCH(", "&amp;$B22&amp;", ",", "&amp;'Huỷ đơn - Huỷ nhận đơn'!$B$7:$B$500&amp;", ")),--('Huỷ đơn - Huỷ nhận đơn'!$AT$7:$AT$500&lt;&gt;""))+SUMPRODUCT(--ISNUMBER(SEARCH(", "&amp;$B22&amp;", ",", "&amp;'Giao nhận &amp; Theo dõi đơn'!$B$7:$B$500&amp;", ")),--('Giao nhận &amp; Theo dõi đơn'!$AT$7:$AT$500&lt;&gt;""))+SUMPRODUCT(--ISNUMBER(SEARCH(", "&amp;$B22&amp;", ",", "&amp;'Bảng tin &amp; Chi tiết tin'!$B$7:$B$500&amp;", ")),--('Bảng tin &amp; Chi tiết tin'!$AT$7:$AT$500&lt;&gt;""))+SUMPRODUCT(--ISNUMBER(SEARCH(", "&amp;$B22&amp;", ",", "&amp;'Quà cảm ơn'!$B$7:$B$500&amp;", ")),--('Quà cảm ơn'!$AT$7:$AT$500&lt;&gt;""))+SUMPRODUCT(--ISNUMBER(SEARCH(", "&amp;$B22&amp;", ",", "&amp;'Trang chủ'!$B$7:$B$500&amp;", ")),--('Trang chủ'!$AT$7:$AT$500&lt;&gt;""))+SUMPRODUCT(--ISNUMBER(SEARCH(", "&amp;$B22&amp;", ",", "&amp;'Thông báo'!$B$7:$B$500&amp;", ")),--('Thông báo'!$AT$7:$AT$500&lt;&gt;""))+SUMPRODUCT(--ISNUMBER(SEARCH(", "&amp;$B22&amp;", ",", "&amp;'Đăng tin &amp; Quản lý tin'!$B$7:$B$500&amp;", ")),--('Đăng tin &amp; Quản lý tin'!$AT$7:$AT$500&lt;&gt;""))+SUMPRODUCT(--ISNUMBER(SEARCH(", "&amp;$B22&amp;", ",", "&amp;'Trust &amp; Safety'!$B$7:$B$500&amp;", ")),--('Trust &amp; Safety'!$AT$7:$AT$500&lt;&gt;""))+SUMPRODUCT(--ISNUMBER(SEARCH(", "&amp;$B22&amp;", ",", "&amp;'Tài khoản &amp; Hồ sơ'!$B$7:$B$500&amp;", ")),--('Tài khoản &amp; Hồ sơ'!$AT$7:$AT$500&lt;&gt;""))</f>
        <v/>
      </c>
      <c r="G22" s="53">
        <f>SUMPRODUCT(--ISNUMBER(SEARCH(", "&amp;$B22&amp;", ",", "&amp;'Hoạt động (Đơn của tôi)'!$B$7:$B$500&amp;", ")),--('Hoạt động (Đơn của tôi)'!$AT$7:$AT$500="Pass"))+SUMPRODUCT(--ISNUMBER(SEARCH(", "&amp;$B22&amp;", ",", "&amp;'Ghép nối'!$B$7:$B$500&amp;", ")),--('Ghép nối'!$AT$7:$AT$500="Pass"))+SUMPRODUCT(--ISNUMBER(SEARCH(", "&amp;$B22&amp;", ",", "&amp;'Huỷ đơn - Huỷ nhận đơn'!$B$7:$B$500&amp;", ")),--('Huỷ đơn - Huỷ nhận đơn'!$AT$7:$AT$500="Pass"))+SUMPRODUCT(--ISNUMBER(SEARCH(", "&amp;$B22&amp;", ",", "&amp;'Giao nhận &amp; Theo dõi đơn'!$B$7:$B$500&amp;", ")),--('Giao nhận &amp; Theo dõi đơn'!$AT$7:$AT$500="Pass"))+SUMPRODUCT(--ISNUMBER(SEARCH(", "&amp;$B22&amp;", ",", "&amp;'Bảng tin &amp; Chi tiết tin'!$B$7:$B$500&amp;", ")),--('Bảng tin &amp; Chi tiết tin'!$AT$7:$AT$500="Pass"))+SUMPRODUCT(--ISNUMBER(SEARCH(", "&amp;$B22&amp;", ",", "&amp;'Quà cảm ơn'!$B$7:$B$500&amp;", ")),--('Quà cảm ơn'!$AT$7:$AT$500="Pass"))+SUMPRODUCT(--ISNUMBER(SEARCH(", "&amp;$B22&amp;", ",", "&amp;'Trang chủ'!$B$7:$B$500&amp;", ")),--('Trang chủ'!$AT$7:$AT$500="Pass"))+SUMPRODUCT(--ISNUMBER(SEARCH(", "&amp;$B22&amp;", ",", "&amp;'Thông báo'!$B$7:$B$500&amp;", ")),--('Thông báo'!$AT$7:$AT$500="Pass"))+SUMPRODUCT(--ISNUMBER(SEARCH(", "&amp;$B22&amp;", ",", "&amp;'Đăng tin &amp; Quản lý tin'!$B$7:$B$500&amp;", ")),--('Đăng tin &amp; Quản lý tin'!$AT$7:$AT$500="Pass"))+SUMPRODUCT(--ISNUMBER(SEARCH(", "&amp;$B22&amp;", ",", "&amp;'Trust &amp; Safety'!$B$7:$B$500&amp;", ")),--('Trust &amp; Safety'!$AT$7:$AT$500="Pass"))+SUMPRODUCT(--ISNUMBER(SEARCH(", "&amp;$B22&amp;", ",", "&amp;'Tài khoản &amp; Hồ sơ'!$B$7:$B$500&amp;", ")),--('Tài khoản &amp; Hồ sơ'!$AT$7:$AT$500="Pass"))</f>
        <v/>
      </c>
      <c r="H22" s="53">
        <f>SUMPRODUCT(--ISNUMBER(SEARCH(", "&amp;$B22&amp;", ",", "&amp;'Hoạt động (Đơn của tôi)'!$B$7:$B$500&amp;", ")),--('Hoạt động (Đơn của tôi)'!$AT$7:$AT$500="Fail"))+SUMPRODUCT(--ISNUMBER(SEARCH(", "&amp;$B22&amp;", ",", "&amp;'Ghép nối'!$B$7:$B$500&amp;", ")),--('Ghép nối'!$AT$7:$AT$500="Fail"))+SUMPRODUCT(--ISNUMBER(SEARCH(", "&amp;$B22&amp;", ",", "&amp;'Huỷ đơn - Huỷ nhận đơn'!$B$7:$B$500&amp;", ")),--('Huỷ đơn - Huỷ nhận đơn'!$AT$7:$AT$500="Fail"))+SUMPRODUCT(--ISNUMBER(SEARCH(", "&amp;$B22&amp;", ",", "&amp;'Giao nhận &amp; Theo dõi đơn'!$B$7:$B$500&amp;", ")),--('Giao nhận &amp; Theo dõi đơn'!$AT$7:$AT$500="Fail"))+SUMPRODUCT(--ISNUMBER(SEARCH(", "&amp;$B22&amp;", ",", "&amp;'Bảng tin &amp; Chi tiết tin'!$B$7:$B$500&amp;", ")),--('Bảng tin &amp; Chi tiết tin'!$AT$7:$AT$500="Fail"))+SUMPRODUCT(--ISNUMBER(SEARCH(", "&amp;$B22&amp;", ",", "&amp;'Quà cảm ơn'!$B$7:$B$500&amp;", ")),--('Quà cảm ơn'!$AT$7:$AT$500="Fail"))+SUMPRODUCT(--ISNUMBER(SEARCH(", "&amp;$B22&amp;", ",", "&amp;'Trang chủ'!$B$7:$B$500&amp;", ")),--('Trang chủ'!$AT$7:$AT$500="Fail"))+SUMPRODUCT(--ISNUMBER(SEARCH(", "&amp;$B22&amp;", ",", "&amp;'Thông báo'!$B$7:$B$500&amp;", ")),--('Thông báo'!$AT$7:$AT$500="Fail"))+SUMPRODUCT(--ISNUMBER(SEARCH(", "&amp;$B22&amp;", ",", "&amp;'Đăng tin &amp; Quản lý tin'!$B$7:$B$500&amp;", ")),--('Đăng tin &amp; Quản lý tin'!$AT$7:$AT$500="Fail"))+SUMPRODUCT(--ISNUMBER(SEARCH(", "&amp;$B22&amp;", ",", "&amp;'Trust &amp; Safety'!$B$7:$B$500&amp;", ")),--('Trust &amp; Safety'!$AT$7:$AT$500="Fail"))+SUMPRODUCT(--ISNUMBER(SEARCH(", "&amp;$B22&amp;", ",", "&amp;'Tài khoản &amp; Hồ sơ'!$B$7:$B$500&amp;", ")),--('Tài khoản &amp; Hồ sơ'!$AT$7:$AT$500="Fail"))</f>
        <v/>
      </c>
      <c r="I22" s="53">
        <f>SUMPRODUCT(--ISNUMBER(SEARCH(", "&amp;$B22&amp;", ",", "&amp;'Hoạt động (Đơn của tôi)'!$B$7:$B$500&amp;", ")),--('Hoạt động (Đơn của tôi)'!$AT$7:$AT$500="Block"))+SUMPRODUCT(--ISNUMBER(SEARCH(", "&amp;$B22&amp;", ",", "&amp;'Ghép nối'!$B$7:$B$500&amp;", ")),--('Ghép nối'!$AT$7:$AT$500="Block"))+SUMPRODUCT(--ISNUMBER(SEARCH(", "&amp;$B22&amp;", ",", "&amp;'Huỷ đơn - Huỷ nhận đơn'!$B$7:$B$500&amp;", ")),--('Huỷ đơn - Huỷ nhận đơn'!$AT$7:$AT$500="Block"))+SUMPRODUCT(--ISNUMBER(SEARCH(", "&amp;$B22&amp;", ",", "&amp;'Giao nhận &amp; Theo dõi đơn'!$B$7:$B$500&amp;", ")),--('Giao nhận &amp; Theo dõi đơn'!$AT$7:$AT$500="Block"))+SUMPRODUCT(--ISNUMBER(SEARCH(", "&amp;$B22&amp;", ",", "&amp;'Bảng tin &amp; Chi tiết tin'!$B$7:$B$500&amp;", ")),--('Bảng tin &amp; Chi tiết tin'!$AT$7:$AT$500="Block"))+SUMPRODUCT(--ISNUMBER(SEARCH(", "&amp;$B22&amp;", ",", "&amp;'Quà cảm ơn'!$B$7:$B$500&amp;", ")),--('Quà cảm ơn'!$AT$7:$AT$500="Block"))+SUMPRODUCT(--ISNUMBER(SEARCH(", "&amp;$B22&amp;", ",", "&amp;'Trang chủ'!$B$7:$B$500&amp;", ")),--('Trang chủ'!$AT$7:$AT$500="Block"))+SUMPRODUCT(--ISNUMBER(SEARCH(", "&amp;$B22&amp;", ",", "&amp;'Thông báo'!$B$7:$B$500&amp;", ")),--('Thông báo'!$AT$7:$AT$500="Block"))+SUMPRODUCT(--ISNUMBER(SEARCH(", "&amp;$B22&amp;", ",", "&amp;'Đăng tin &amp; Quản lý tin'!$B$7:$B$500&amp;", ")),--('Đăng tin &amp; Quản lý tin'!$AT$7:$AT$500="Block"))+SUMPRODUCT(--ISNUMBER(SEARCH(", "&amp;$B22&amp;", ",", "&amp;'Trust &amp; Safety'!$B$7:$B$500&amp;", ")),--('Trust &amp; Safety'!$AT$7:$AT$500="Block"))+SUMPRODUCT(--ISNUMBER(SEARCH(", "&amp;$B22&amp;", ",", "&amp;'Tài khoản &amp; Hồ sơ'!$B$7:$B$500&amp;", ")),--('Tài khoản &amp; Hồ sơ'!$AT$7:$AT$500="Block"))</f>
        <v/>
      </c>
      <c r="J22" s="53">
        <f>SUMPRODUCT(--ISNUMBER(SEARCH(", "&amp;$B22&amp;", ",", "&amp;'Hoạt động (Đơn của tôi)'!$B$7:$B$500&amp;", ")),--('Hoạt động (Đơn của tôi)'!$AT$7:$AT$500="N/A"))+SUMPRODUCT(--ISNUMBER(SEARCH(", "&amp;$B22&amp;", ",", "&amp;'Ghép nối'!$B$7:$B$500&amp;", ")),--('Ghép nối'!$AT$7:$AT$500="N/A"))+SUMPRODUCT(--ISNUMBER(SEARCH(", "&amp;$B22&amp;", ",", "&amp;'Huỷ đơn - Huỷ nhận đơn'!$B$7:$B$500&amp;", ")),--('Huỷ đơn - Huỷ nhận đơn'!$AT$7:$AT$500="N/A"))+SUMPRODUCT(--ISNUMBER(SEARCH(", "&amp;$B22&amp;", ",", "&amp;'Giao nhận &amp; Theo dõi đơn'!$B$7:$B$500&amp;", ")),--('Giao nhận &amp; Theo dõi đơn'!$AT$7:$AT$500="N/A"))+SUMPRODUCT(--ISNUMBER(SEARCH(", "&amp;$B22&amp;", ",", "&amp;'Bảng tin &amp; Chi tiết tin'!$B$7:$B$500&amp;", ")),--('Bảng tin &amp; Chi tiết tin'!$AT$7:$AT$500="N/A"))+SUMPRODUCT(--ISNUMBER(SEARCH(", "&amp;$B22&amp;", ",", "&amp;'Quà cảm ơn'!$B$7:$B$500&amp;", ")),--('Quà cảm ơn'!$AT$7:$AT$500="N/A"))+SUMPRODUCT(--ISNUMBER(SEARCH(", "&amp;$B22&amp;", ",", "&amp;'Trang chủ'!$B$7:$B$500&amp;", ")),--('Trang chủ'!$AT$7:$AT$500="N/A"))+SUMPRODUCT(--ISNUMBER(SEARCH(", "&amp;$B22&amp;", ",", "&amp;'Thông báo'!$B$7:$B$500&amp;", ")),--('Thông báo'!$AT$7:$AT$500="N/A"))+SUMPRODUCT(--ISNUMBER(SEARCH(", "&amp;$B22&amp;", ",", "&amp;'Đăng tin &amp; Quản lý tin'!$B$7:$B$500&amp;", ")),--('Đăng tin &amp; Quản lý tin'!$AT$7:$AT$500="N/A"))+SUMPRODUCT(--ISNUMBER(SEARCH(", "&amp;$B22&amp;", ",", "&amp;'Trust &amp; Safety'!$B$7:$B$500&amp;", ")),--('Trust &amp; Safety'!$AT$7:$AT$500="N/A"))+SUMPRODUCT(--ISNUMBER(SEARCH(", "&amp;$B22&amp;", ",", "&amp;'Tài khoản &amp; Hồ sơ'!$B$7:$B$500&amp;", ")),--('Tài khoản &amp; Hồ sơ'!$AT$7:$AT$500="N/A"))</f>
        <v/>
      </c>
      <c r="K22" s="54">
        <f>IFERROR(F22/E22,0)</f>
        <v/>
      </c>
      <c r="L22" s="113">
        <f>IF(E22=0,"Chưa có TC (gap)",IF(H22&gt;0,"Có lỗi (Fail)",IF(I22&gt;0,"Bị block",IF(F22&lt;E22,"Đang test",IF(G22=0,"Không áp dụng (N/A)","Đã test xong")))))</f>
        <v/>
      </c>
      <c r="AB22" t="inlineStr">
        <is>
          <t>REQ-ASN</t>
        </is>
      </c>
    </row>
    <row r="23" ht="15.75" customHeight="1" s="216">
      <c r="A23" s="1" t="n"/>
      <c r="B23" s="112" t="inlineStr">
        <is>
          <t>REQ-ASN-002</t>
        </is>
      </c>
      <c r="C23" s="261" t="inlineStr"/>
      <c r="D23" s="113" t="inlineStr">
        <is>
          <t>DOC-v1.0-01</t>
        </is>
      </c>
      <c r="E23" s="53">
        <f>SUMPRODUCT(--ISNUMBER(SEARCH(", "&amp;$B23&amp;", ",", "&amp;'Hoạt động (Đơn của tôi)'!$B$7:$B$500&amp;", ")))+SUMPRODUCT(--ISNUMBER(SEARCH(", "&amp;$B23&amp;", ",", "&amp;'Ghép nối'!$B$7:$B$500&amp;", ")))+SUMPRODUCT(--ISNUMBER(SEARCH(", "&amp;$B23&amp;", ",", "&amp;'Huỷ đơn - Huỷ nhận đơn'!$B$7:$B$500&amp;", ")))+SUMPRODUCT(--ISNUMBER(SEARCH(", "&amp;$B23&amp;", ",", "&amp;'Giao nhận &amp; Theo dõi đơn'!$B$7:$B$500&amp;", ")))+SUMPRODUCT(--ISNUMBER(SEARCH(", "&amp;$B23&amp;", ",", "&amp;'Bảng tin &amp; Chi tiết tin'!$B$7:$B$500&amp;", ")))+SUMPRODUCT(--ISNUMBER(SEARCH(", "&amp;$B23&amp;", ",", "&amp;'Quà cảm ơn'!$B$7:$B$500&amp;", ")))+SUMPRODUCT(--ISNUMBER(SEARCH(", "&amp;$B23&amp;", ",", "&amp;'Trang chủ'!$B$7:$B$500&amp;", ")))+SUMPRODUCT(--ISNUMBER(SEARCH(", "&amp;$B23&amp;", ",", "&amp;'Thông báo'!$B$7:$B$500&amp;", ")))+SUMPRODUCT(--ISNUMBER(SEARCH(", "&amp;$B23&amp;", ",", "&amp;'Đăng tin &amp; Quản lý tin'!$B$7:$B$500&amp;", ")))+SUMPRODUCT(--ISNUMBER(SEARCH(", "&amp;$B23&amp;", ",", "&amp;'Trust &amp; Safety'!$B$7:$B$500&amp;", ")))+SUMPRODUCT(--ISNUMBER(SEARCH(", "&amp;$B23&amp;", ",", "&amp;'Tài khoản &amp; Hồ sơ'!$B$7:$B$500&amp;", ")))</f>
        <v/>
      </c>
      <c r="F23" s="53">
        <f>SUMPRODUCT(--ISNUMBER(SEARCH(", "&amp;$B23&amp;", ",", "&amp;'Hoạt động (Đơn của tôi)'!$B$7:$B$500&amp;", ")),--('Hoạt động (Đơn của tôi)'!$AT$7:$AT$500&lt;&gt;""))+SUMPRODUCT(--ISNUMBER(SEARCH(", "&amp;$B23&amp;", ",", "&amp;'Ghép nối'!$B$7:$B$500&amp;", ")),--('Ghép nối'!$AT$7:$AT$500&lt;&gt;""))+SUMPRODUCT(--ISNUMBER(SEARCH(", "&amp;$B23&amp;", ",", "&amp;'Huỷ đơn - Huỷ nhận đơn'!$B$7:$B$500&amp;", ")),--('Huỷ đơn - Huỷ nhận đơn'!$AT$7:$AT$500&lt;&gt;""))+SUMPRODUCT(--ISNUMBER(SEARCH(", "&amp;$B23&amp;", ",", "&amp;'Giao nhận &amp; Theo dõi đơn'!$B$7:$B$500&amp;", ")),--('Giao nhận &amp; Theo dõi đơn'!$AT$7:$AT$500&lt;&gt;""))+SUMPRODUCT(--ISNUMBER(SEARCH(", "&amp;$B23&amp;", ",", "&amp;'Bảng tin &amp; Chi tiết tin'!$B$7:$B$500&amp;", ")),--('Bảng tin &amp; Chi tiết tin'!$AT$7:$AT$500&lt;&gt;""))+SUMPRODUCT(--ISNUMBER(SEARCH(", "&amp;$B23&amp;", ",", "&amp;'Quà cảm ơn'!$B$7:$B$500&amp;", ")),--('Quà cảm ơn'!$AT$7:$AT$500&lt;&gt;""))+SUMPRODUCT(--ISNUMBER(SEARCH(", "&amp;$B23&amp;", ",", "&amp;'Trang chủ'!$B$7:$B$500&amp;", ")),--('Trang chủ'!$AT$7:$AT$500&lt;&gt;""))+SUMPRODUCT(--ISNUMBER(SEARCH(", "&amp;$B23&amp;", ",", "&amp;'Thông báo'!$B$7:$B$500&amp;", ")),--('Thông báo'!$AT$7:$AT$500&lt;&gt;""))+SUMPRODUCT(--ISNUMBER(SEARCH(", "&amp;$B23&amp;", ",", "&amp;'Đăng tin &amp; Quản lý tin'!$B$7:$B$500&amp;", ")),--('Đăng tin &amp; Quản lý tin'!$AT$7:$AT$500&lt;&gt;""))+SUMPRODUCT(--ISNUMBER(SEARCH(", "&amp;$B23&amp;", ",", "&amp;'Trust &amp; Safety'!$B$7:$B$500&amp;", ")),--('Trust &amp; Safety'!$AT$7:$AT$500&lt;&gt;""))+SUMPRODUCT(--ISNUMBER(SEARCH(", "&amp;$B23&amp;", ",", "&amp;'Tài khoản &amp; Hồ sơ'!$B$7:$B$500&amp;", ")),--('Tài khoản &amp; Hồ sơ'!$AT$7:$AT$500&lt;&gt;""))</f>
        <v/>
      </c>
      <c r="G23" s="53">
        <f>SUMPRODUCT(--ISNUMBER(SEARCH(", "&amp;$B23&amp;", ",", "&amp;'Hoạt động (Đơn của tôi)'!$B$7:$B$500&amp;", ")),--('Hoạt động (Đơn của tôi)'!$AT$7:$AT$500="Pass"))+SUMPRODUCT(--ISNUMBER(SEARCH(", "&amp;$B23&amp;", ",", "&amp;'Ghép nối'!$B$7:$B$500&amp;", ")),--('Ghép nối'!$AT$7:$AT$500="Pass"))+SUMPRODUCT(--ISNUMBER(SEARCH(", "&amp;$B23&amp;", ",", "&amp;'Huỷ đơn - Huỷ nhận đơn'!$B$7:$B$500&amp;", ")),--('Huỷ đơn - Huỷ nhận đơn'!$AT$7:$AT$500="Pass"))+SUMPRODUCT(--ISNUMBER(SEARCH(", "&amp;$B23&amp;", ",", "&amp;'Giao nhận &amp; Theo dõi đơn'!$B$7:$B$500&amp;", ")),--('Giao nhận &amp; Theo dõi đơn'!$AT$7:$AT$500="Pass"))+SUMPRODUCT(--ISNUMBER(SEARCH(", "&amp;$B23&amp;", ",", "&amp;'Bảng tin &amp; Chi tiết tin'!$B$7:$B$500&amp;", ")),--('Bảng tin &amp; Chi tiết tin'!$AT$7:$AT$500="Pass"))+SUMPRODUCT(--ISNUMBER(SEARCH(", "&amp;$B23&amp;", ",", "&amp;'Quà cảm ơn'!$B$7:$B$500&amp;", ")),--('Quà cảm ơn'!$AT$7:$AT$500="Pass"))+SUMPRODUCT(--ISNUMBER(SEARCH(", "&amp;$B23&amp;", ",", "&amp;'Trang chủ'!$B$7:$B$500&amp;", ")),--('Trang chủ'!$AT$7:$AT$500="Pass"))+SUMPRODUCT(--ISNUMBER(SEARCH(", "&amp;$B23&amp;", ",", "&amp;'Thông báo'!$B$7:$B$500&amp;", ")),--('Thông báo'!$AT$7:$AT$500="Pass"))+SUMPRODUCT(--ISNUMBER(SEARCH(", "&amp;$B23&amp;", ",", "&amp;'Đăng tin &amp; Quản lý tin'!$B$7:$B$500&amp;", ")),--('Đăng tin &amp; Quản lý tin'!$AT$7:$AT$500="Pass"))+SUMPRODUCT(--ISNUMBER(SEARCH(", "&amp;$B23&amp;", ",", "&amp;'Trust &amp; Safety'!$B$7:$B$500&amp;", ")),--('Trust &amp; Safety'!$AT$7:$AT$500="Pass"))+SUMPRODUCT(--ISNUMBER(SEARCH(", "&amp;$B23&amp;", ",", "&amp;'Tài khoản &amp; Hồ sơ'!$B$7:$B$500&amp;", ")),--('Tài khoản &amp; Hồ sơ'!$AT$7:$AT$500="Pass"))</f>
        <v/>
      </c>
      <c r="H23" s="53">
        <f>SUMPRODUCT(--ISNUMBER(SEARCH(", "&amp;$B23&amp;", ",", "&amp;'Hoạt động (Đơn của tôi)'!$B$7:$B$500&amp;", ")),--('Hoạt động (Đơn của tôi)'!$AT$7:$AT$500="Fail"))+SUMPRODUCT(--ISNUMBER(SEARCH(", "&amp;$B23&amp;", ",", "&amp;'Ghép nối'!$B$7:$B$500&amp;", ")),--('Ghép nối'!$AT$7:$AT$500="Fail"))+SUMPRODUCT(--ISNUMBER(SEARCH(", "&amp;$B23&amp;", ",", "&amp;'Huỷ đơn - Huỷ nhận đơn'!$B$7:$B$500&amp;", ")),--('Huỷ đơn - Huỷ nhận đơn'!$AT$7:$AT$500="Fail"))+SUMPRODUCT(--ISNUMBER(SEARCH(", "&amp;$B23&amp;", ",", "&amp;'Giao nhận &amp; Theo dõi đơn'!$B$7:$B$500&amp;", ")),--('Giao nhận &amp; Theo dõi đơn'!$AT$7:$AT$500="Fail"))+SUMPRODUCT(--ISNUMBER(SEARCH(", "&amp;$B23&amp;", ",", "&amp;'Bảng tin &amp; Chi tiết tin'!$B$7:$B$500&amp;", ")),--('Bảng tin &amp; Chi tiết tin'!$AT$7:$AT$500="Fail"))+SUMPRODUCT(--ISNUMBER(SEARCH(", "&amp;$B23&amp;", ",", "&amp;'Quà cảm ơn'!$B$7:$B$500&amp;", ")),--('Quà cảm ơn'!$AT$7:$AT$500="Fail"))+SUMPRODUCT(--ISNUMBER(SEARCH(", "&amp;$B23&amp;", ",", "&amp;'Trang chủ'!$B$7:$B$500&amp;", ")),--('Trang chủ'!$AT$7:$AT$500="Fail"))+SUMPRODUCT(--ISNUMBER(SEARCH(", "&amp;$B23&amp;", ",", "&amp;'Thông báo'!$B$7:$B$500&amp;", ")),--('Thông báo'!$AT$7:$AT$500="Fail"))+SUMPRODUCT(--ISNUMBER(SEARCH(", "&amp;$B23&amp;", ",", "&amp;'Đăng tin &amp; Quản lý tin'!$B$7:$B$500&amp;", ")),--('Đăng tin &amp; Quản lý tin'!$AT$7:$AT$500="Fail"))+SUMPRODUCT(--ISNUMBER(SEARCH(", "&amp;$B23&amp;", ",", "&amp;'Trust &amp; Safety'!$B$7:$B$500&amp;", ")),--('Trust &amp; Safety'!$AT$7:$AT$500="Fail"))+SUMPRODUCT(--ISNUMBER(SEARCH(", "&amp;$B23&amp;", ",", "&amp;'Tài khoản &amp; Hồ sơ'!$B$7:$B$500&amp;", ")),--('Tài khoản &amp; Hồ sơ'!$AT$7:$AT$500="Fail"))</f>
        <v/>
      </c>
      <c r="I23" s="53">
        <f>SUMPRODUCT(--ISNUMBER(SEARCH(", "&amp;$B23&amp;", ",", "&amp;'Hoạt động (Đơn của tôi)'!$B$7:$B$500&amp;", ")),--('Hoạt động (Đơn của tôi)'!$AT$7:$AT$500="Block"))+SUMPRODUCT(--ISNUMBER(SEARCH(", "&amp;$B23&amp;", ",", "&amp;'Ghép nối'!$B$7:$B$500&amp;", ")),--('Ghép nối'!$AT$7:$AT$500="Block"))+SUMPRODUCT(--ISNUMBER(SEARCH(", "&amp;$B23&amp;", ",", "&amp;'Huỷ đơn - Huỷ nhận đơn'!$B$7:$B$500&amp;", ")),--('Huỷ đơn - Huỷ nhận đơn'!$AT$7:$AT$500="Block"))+SUMPRODUCT(--ISNUMBER(SEARCH(", "&amp;$B23&amp;", ",", "&amp;'Giao nhận &amp; Theo dõi đơn'!$B$7:$B$500&amp;", ")),--('Giao nhận &amp; Theo dõi đơn'!$AT$7:$AT$500="Block"))+SUMPRODUCT(--ISNUMBER(SEARCH(", "&amp;$B23&amp;", ",", "&amp;'Bảng tin &amp; Chi tiết tin'!$B$7:$B$500&amp;", ")),--('Bảng tin &amp; Chi tiết tin'!$AT$7:$AT$500="Block"))+SUMPRODUCT(--ISNUMBER(SEARCH(", "&amp;$B23&amp;", ",", "&amp;'Quà cảm ơn'!$B$7:$B$500&amp;", ")),--('Quà cảm ơn'!$AT$7:$AT$500="Block"))+SUMPRODUCT(--ISNUMBER(SEARCH(", "&amp;$B23&amp;", ",", "&amp;'Trang chủ'!$B$7:$B$500&amp;", ")),--('Trang chủ'!$AT$7:$AT$500="Block"))+SUMPRODUCT(--ISNUMBER(SEARCH(", "&amp;$B23&amp;", ",", "&amp;'Thông báo'!$B$7:$B$500&amp;", ")),--('Thông báo'!$AT$7:$AT$500="Block"))+SUMPRODUCT(--ISNUMBER(SEARCH(", "&amp;$B23&amp;", ",", "&amp;'Đăng tin &amp; Quản lý tin'!$B$7:$B$500&amp;", ")),--('Đăng tin &amp; Quản lý tin'!$AT$7:$AT$500="Block"))+SUMPRODUCT(--ISNUMBER(SEARCH(", "&amp;$B23&amp;", ",", "&amp;'Trust &amp; Safety'!$B$7:$B$500&amp;", ")),--('Trust &amp; Safety'!$AT$7:$AT$500="Block"))+SUMPRODUCT(--ISNUMBER(SEARCH(", "&amp;$B23&amp;", ",", "&amp;'Tài khoản &amp; Hồ sơ'!$B$7:$B$500&amp;", ")),--('Tài khoản &amp; Hồ sơ'!$AT$7:$AT$500="Block"))</f>
        <v/>
      </c>
      <c r="J23" s="53">
        <f>SUMPRODUCT(--ISNUMBER(SEARCH(", "&amp;$B23&amp;", ",", "&amp;'Hoạt động (Đơn của tôi)'!$B$7:$B$500&amp;", ")),--('Hoạt động (Đơn của tôi)'!$AT$7:$AT$500="N/A"))+SUMPRODUCT(--ISNUMBER(SEARCH(", "&amp;$B23&amp;", ",", "&amp;'Ghép nối'!$B$7:$B$500&amp;", ")),--('Ghép nối'!$AT$7:$AT$500="N/A"))+SUMPRODUCT(--ISNUMBER(SEARCH(", "&amp;$B23&amp;", ",", "&amp;'Huỷ đơn - Huỷ nhận đơn'!$B$7:$B$500&amp;", ")),--('Huỷ đơn - Huỷ nhận đơn'!$AT$7:$AT$500="N/A"))+SUMPRODUCT(--ISNUMBER(SEARCH(", "&amp;$B23&amp;", ",", "&amp;'Giao nhận &amp; Theo dõi đơn'!$B$7:$B$500&amp;", ")),--('Giao nhận &amp; Theo dõi đơn'!$AT$7:$AT$500="N/A"))+SUMPRODUCT(--ISNUMBER(SEARCH(", "&amp;$B23&amp;", ",", "&amp;'Bảng tin &amp; Chi tiết tin'!$B$7:$B$500&amp;", ")),--('Bảng tin &amp; Chi tiết tin'!$AT$7:$AT$500="N/A"))+SUMPRODUCT(--ISNUMBER(SEARCH(", "&amp;$B23&amp;", ",", "&amp;'Quà cảm ơn'!$B$7:$B$500&amp;", ")),--('Quà cảm ơn'!$AT$7:$AT$500="N/A"))+SUMPRODUCT(--ISNUMBER(SEARCH(", "&amp;$B23&amp;", ",", "&amp;'Trang chủ'!$B$7:$B$500&amp;", ")),--('Trang chủ'!$AT$7:$AT$500="N/A"))+SUMPRODUCT(--ISNUMBER(SEARCH(", "&amp;$B23&amp;", ",", "&amp;'Thông báo'!$B$7:$B$500&amp;", ")),--('Thông báo'!$AT$7:$AT$500="N/A"))+SUMPRODUCT(--ISNUMBER(SEARCH(", "&amp;$B23&amp;", ",", "&amp;'Đăng tin &amp; Quản lý tin'!$B$7:$B$500&amp;", ")),--('Đăng tin &amp; Quản lý tin'!$AT$7:$AT$500="N/A"))+SUMPRODUCT(--ISNUMBER(SEARCH(", "&amp;$B23&amp;", ",", "&amp;'Trust &amp; Safety'!$B$7:$B$500&amp;", ")),--('Trust &amp; Safety'!$AT$7:$AT$500="N/A"))+SUMPRODUCT(--ISNUMBER(SEARCH(", "&amp;$B23&amp;", ",", "&amp;'Tài khoản &amp; Hồ sơ'!$B$7:$B$500&amp;", ")),--('Tài khoản &amp; Hồ sơ'!$AT$7:$AT$500="N/A"))</f>
        <v/>
      </c>
      <c r="K23" s="54">
        <f>IFERROR(F23/E23,0)</f>
        <v/>
      </c>
      <c r="L23" s="113">
        <f>IF(E23=0,"Chưa có TC (gap)",IF(H23&gt;0,"Có lỗi (Fail)",IF(I23&gt;0,"Bị block",IF(F23&lt;E23,"Đang test",IF(G23=0,"Không áp dụng (N/A)","Đã test xong")))))</f>
        <v/>
      </c>
      <c r="AB23" t="inlineStr">
        <is>
          <t>REQ-ASN</t>
        </is>
      </c>
    </row>
    <row r="24" ht="15.75" customHeight="1" s="216">
      <c r="A24" s="1" t="n"/>
      <c r="B24" s="112" t="inlineStr">
        <is>
          <t>REQ-ASN-004</t>
        </is>
      </c>
      <c r="C24" s="261" t="inlineStr"/>
      <c r="D24" s="113" t="inlineStr">
        <is>
          <t>DOC-v1.0-01</t>
        </is>
      </c>
      <c r="E24" s="53">
        <f>SUMPRODUCT(--ISNUMBER(SEARCH(", "&amp;$B24&amp;", ",", "&amp;'Hoạt động (Đơn của tôi)'!$B$7:$B$500&amp;", ")))+SUMPRODUCT(--ISNUMBER(SEARCH(", "&amp;$B24&amp;", ",", "&amp;'Ghép nối'!$B$7:$B$500&amp;", ")))+SUMPRODUCT(--ISNUMBER(SEARCH(", "&amp;$B24&amp;", ",", "&amp;'Huỷ đơn - Huỷ nhận đơn'!$B$7:$B$500&amp;", ")))+SUMPRODUCT(--ISNUMBER(SEARCH(", "&amp;$B24&amp;", ",", "&amp;'Giao nhận &amp; Theo dõi đơn'!$B$7:$B$500&amp;", ")))+SUMPRODUCT(--ISNUMBER(SEARCH(", "&amp;$B24&amp;", ",", "&amp;'Bảng tin &amp; Chi tiết tin'!$B$7:$B$500&amp;", ")))+SUMPRODUCT(--ISNUMBER(SEARCH(", "&amp;$B24&amp;", ",", "&amp;'Quà cảm ơn'!$B$7:$B$500&amp;", ")))+SUMPRODUCT(--ISNUMBER(SEARCH(", "&amp;$B24&amp;", ",", "&amp;'Trang chủ'!$B$7:$B$500&amp;", ")))+SUMPRODUCT(--ISNUMBER(SEARCH(", "&amp;$B24&amp;", ",", "&amp;'Thông báo'!$B$7:$B$500&amp;", ")))+SUMPRODUCT(--ISNUMBER(SEARCH(", "&amp;$B24&amp;", ",", "&amp;'Đăng tin &amp; Quản lý tin'!$B$7:$B$500&amp;", ")))+SUMPRODUCT(--ISNUMBER(SEARCH(", "&amp;$B24&amp;", ",", "&amp;'Trust &amp; Safety'!$B$7:$B$500&amp;", ")))+SUMPRODUCT(--ISNUMBER(SEARCH(", "&amp;$B24&amp;", ",", "&amp;'Tài khoản &amp; Hồ sơ'!$B$7:$B$500&amp;", ")))</f>
        <v/>
      </c>
      <c r="F24" s="53">
        <f>SUMPRODUCT(--ISNUMBER(SEARCH(", "&amp;$B24&amp;", ",", "&amp;'Hoạt động (Đơn của tôi)'!$B$7:$B$500&amp;", ")),--('Hoạt động (Đơn của tôi)'!$AT$7:$AT$500&lt;&gt;""))+SUMPRODUCT(--ISNUMBER(SEARCH(", "&amp;$B24&amp;", ",", "&amp;'Ghép nối'!$B$7:$B$500&amp;", ")),--('Ghép nối'!$AT$7:$AT$500&lt;&gt;""))+SUMPRODUCT(--ISNUMBER(SEARCH(", "&amp;$B24&amp;", ",", "&amp;'Huỷ đơn - Huỷ nhận đơn'!$B$7:$B$500&amp;", ")),--('Huỷ đơn - Huỷ nhận đơn'!$AT$7:$AT$500&lt;&gt;""))+SUMPRODUCT(--ISNUMBER(SEARCH(", "&amp;$B24&amp;", ",", "&amp;'Giao nhận &amp; Theo dõi đơn'!$B$7:$B$500&amp;", ")),--('Giao nhận &amp; Theo dõi đơn'!$AT$7:$AT$500&lt;&gt;""))+SUMPRODUCT(--ISNUMBER(SEARCH(", "&amp;$B24&amp;", ",", "&amp;'Bảng tin &amp; Chi tiết tin'!$B$7:$B$500&amp;", ")),--('Bảng tin &amp; Chi tiết tin'!$AT$7:$AT$500&lt;&gt;""))+SUMPRODUCT(--ISNUMBER(SEARCH(", "&amp;$B24&amp;", ",", "&amp;'Quà cảm ơn'!$B$7:$B$500&amp;", ")),--('Quà cảm ơn'!$AT$7:$AT$500&lt;&gt;""))+SUMPRODUCT(--ISNUMBER(SEARCH(", "&amp;$B24&amp;", ",", "&amp;'Trang chủ'!$B$7:$B$500&amp;", ")),--('Trang chủ'!$AT$7:$AT$500&lt;&gt;""))+SUMPRODUCT(--ISNUMBER(SEARCH(", "&amp;$B24&amp;", ",", "&amp;'Thông báo'!$B$7:$B$500&amp;", ")),--('Thông báo'!$AT$7:$AT$500&lt;&gt;""))+SUMPRODUCT(--ISNUMBER(SEARCH(", "&amp;$B24&amp;", ",", "&amp;'Đăng tin &amp; Quản lý tin'!$B$7:$B$500&amp;", ")),--('Đăng tin &amp; Quản lý tin'!$AT$7:$AT$500&lt;&gt;""))+SUMPRODUCT(--ISNUMBER(SEARCH(", "&amp;$B24&amp;", ",", "&amp;'Trust &amp; Safety'!$B$7:$B$500&amp;", ")),--('Trust &amp; Safety'!$AT$7:$AT$500&lt;&gt;""))+SUMPRODUCT(--ISNUMBER(SEARCH(", "&amp;$B24&amp;", ",", "&amp;'Tài khoản &amp; Hồ sơ'!$B$7:$B$500&amp;", ")),--('Tài khoản &amp; Hồ sơ'!$AT$7:$AT$500&lt;&gt;""))</f>
        <v/>
      </c>
      <c r="G24" s="53">
        <f>SUMPRODUCT(--ISNUMBER(SEARCH(", "&amp;$B24&amp;", ",", "&amp;'Hoạt động (Đơn của tôi)'!$B$7:$B$500&amp;", ")),--('Hoạt động (Đơn của tôi)'!$AT$7:$AT$500="Pass"))+SUMPRODUCT(--ISNUMBER(SEARCH(", "&amp;$B24&amp;", ",", "&amp;'Ghép nối'!$B$7:$B$500&amp;", ")),--('Ghép nối'!$AT$7:$AT$500="Pass"))+SUMPRODUCT(--ISNUMBER(SEARCH(", "&amp;$B24&amp;", ",", "&amp;'Huỷ đơn - Huỷ nhận đơn'!$B$7:$B$500&amp;", ")),--('Huỷ đơn - Huỷ nhận đơn'!$AT$7:$AT$500="Pass"))+SUMPRODUCT(--ISNUMBER(SEARCH(", "&amp;$B24&amp;", ",", "&amp;'Giao nhận &amp; Theo dõi đơn'!$B$7:$B$500&amp;", ")),--('Giao nhận &amp; Theo dõi đơn'!$AT$7:$AT$500="Pass"))+SUMPRODUCT(--ISNUMBER(SEARCH(", "&amp;$B24&amp;", ",", "&amp;'Bảng tin &amp; Chi tiết tin'!$B$7:$B$500&amp;", ")),--('Bảng tin &amp; Chi tiết tin'!$AT$7:$AT$500="Pass"))+SUMPRODUCT(--ISNUMBER(SEARCH(", "&amp;$B24&amp;", ",", "&amp;'Quà cảm ơn'!$B$7:$B$500&amp;", ")),--('Quà cảm ơn'!$AT$7:$AT$500="Pass"))+SUMPRODUCT(--ISNUMBER(SEARCH(", "&amp;$B24&amp;", ",", "&amp;'Trang chủ'!$B$7:$B$500&amp;", ")),--('Trang chủ'!$AT$7:$AT$500="Pass"))+SUMPRODUCT(--ISNUMBER(SEARCH(", "&amp;$B24&amp;", ",", "&amp;'Thông báo'!$B$7:$B$500&amp;", ")),--('Thông báo'!$AT$7:$AT$500="Pass"))+SUMPRODUCT(--ISNUMBER(SEARCH(", "&amp;$B24&amp;", ",", "&amp;'Đăng tin &amp; Quản lý tin'!$B$7:$B$500&amp;", ")),--('Đăng tin &amp; Quản lý tin'!$AT$7:$AT$500="Pass"))+SUMPRODUCT(--ISNUMBER(SEARCH(", "&amp;$B24&amp;", ",", "&amp;'Trust &amp; Safety'!$B$7:$B$500&amp;", ")),--('Trust &amp; Safety'!$AT$7:$AT$500="Pass"))+SUMPRODUCT(--ISNUMBER(SEARCH(", "&amp;$B24&amp;", ",", "&amp;'Tài khoản &amp; Hồ sơ'!$B$7:$B$500&amp;", ")),--('Tài khoản &amp; Hồ sơ'!$AT$7:$AT$500="Pass"))</f>
        <v/>
      </c>
      <c r="H24" s="53">
        <f>SUMPRODUCT(--ISNUMBER(SEARCH(", "&amp;$B24&amp;", ",", "&amp;'Hoạt động (Đơn của tôi)'!$B$7:$B$500&amp;", ")),--('Hoạt động (Đơn của tôi)'!$AT$7:$AT$500="Fail"))+SUMPRODUCT(--ISNUMBER(SEARCH(", "&amp;$B24&amp;", ",", "&amp;'Ghép nối'!$B$7:$B$500&amp;", ")),--('Ghép nối'!$AT$7:$AT$500="Fail"))+SUMPRODUCT(--ISNUMBER(SEARCH(", "&amp;$B24&amp;", ",", "&amp;'Huỷ đơn - Huỷ nhận đơn'!$B$7:$B$500&amp;", ")),--('Huỷ đơn - Huỷ nhận đơn'!$AT$7:$AT$500="Fail"))+SUMPRODUCT(--ISNUMBER(SEARCH(", "&amp;$B24&amp;", ",", "&amp;'Giao nhận &amp; Theo dõi đơn'!$B$7:$B$500&amp;", ")),--('Giao nhận &amp; Theo dõi đơn'!$AT$7:$AT$500="Fail"))+SUMPRODUCT(--ISNUMBER(SEARCH(", "&amp;$B24&amp;", ",", "&amp;'Bảng tin &amp; Chi tiết tin'!$B$7:$B$500&amp;", ")),--('Bảng tin &amp; Chi tiết tin'!$AT$7:$AT$500="Fail"))+SUMPRODUCT(--ISNUMBER(SEARCH(", "&amp;$B24&amp;", ",", "&amp;'Quà cảm ơn'!$B$7:$B$500&amp;", ")),--('Quà cảm ơn'!$AT$7:$AT$500="Fail"))+SUMPRODUCT(--ISNUMBER(SEARCH(", "&amp;$B24&amp;", ",", "&amp;'Trang chủ'!$B$7:$B$500&amp;", ")),--('Trang chủ'!$AT$7:$AT$500="Fail"))+SUMPRODUCT(--ISNUMBER(SEARCH(", "&amp;$B24&amp;", ",", "&amp;'Thông báo'!$B$7:$B$500&amp;", ")),--('Thông báo'!$AT$7:$AT$500="Fail"))+SUMPRODUCT(--ISNUMBER(SEARCH(", "&amp;$B24&amp;", ",", "&amp;'Đăng tin &amp; Quản lý tin'!$B$7:$B$500&amp;", ")),--('Đăng tin &amp; Quản lý tin'!$AT$7:$AT$500="Fail"))+SUMPRODUCT(--ISNUMBER(SEARCH(", "&amp;$B24&amp;", ",", "&amp;'Trust &amp; Safety'!$B$7:$B$500&amp;", ")),--('Trust &amp; Safety'!$AT$7:$AT$500="Fail"))+SUMPRODUCT(--ISNUMBER(SEARCH(", "&amp;$B24&amp;", ",", "&amp;'Tài khoản &amp; Hồ sơ'!$B$7:$B$500&amp;", ")),--('Tài khoản &amp; Hồ sơ'!$AT$7:$AT$500="Fail"))</f>
        <v/>
      </c>
      <c r="I24" s="53">
        <f>SUMPRODUCT(--ISNUMBER(SEARCH(", "&amp;$B24&amp;", ",", "&amp;'Hoạt động (Đơn của tôi)'!$B$7:$B$500&amp;", ")),--('Hoạt động (Đơn của tôi)'!$AT$7:$AT$500="Block"))+SUMPRODUCT(--ISNUMBER(SEARCH(", "&amp;$B24&amp;", ",", "&amp;'Ghép nối'!$B$7:$B$500&amp;", ")),--('Ghép nối'!$AT$7:$AT$500="Block"))+SUMPRODUCT(--ISNUMBER(SEARCH(", "&amp;$B24&amp;", ",", "&amp;'Huỷ đơn - Huỷ nhận đơn'!$B$7:$B$500&amp;", ")),--('Huỷ đơn - Huỷ nhận đơn'!$AT$7:$AT$500="Block"))+SUMPRODUCT(--ISNUMBER(SEARCH(", "&amp;$B24&amp;", ",", "&amp;'Giao nhận &amp; Theo dõi đơn'!$B$7:$B$500&amp;", ")),--('Giao nhận &amp; Theo dõi đơn'!$AT$7:$AT$500="Block"))+SUMPRODUCT(--ISNUMBER(SEARCH(", "&amp;$B24&amp;", ",", "&amp;'Bảng tin &amp; Chi tiết tin'!$B$7:$B$500&amp;", ")),--('Bảng tin &amp; Chi tiết tin'!$AT$7:$AT$500="Block"))+SUMPRODUCT(--ISNUMBER(SEARCH(", "&amp;$B24&amp;", ",", "&amp;'Quà cảm ơn'!$B$7:$B$500&amp;", ")),--('Quà cảm ơn'!$AT$7:$AT$500="Block"))+SUMPRODUCT(--ISNUMBER(SEARCH(", "&amp;$B24&amp;", ",", "&amp;'Trang chủ'!$B$7:$B$500&amp;", ")),--('Trang chủ'!$AT$7:$AT$500="Block"))+SUMPRODUCT(--ISNUMBER(SEARCH(", "&amp;$B24&amp;", ",", "&amp;'Thông báo'!$B$7:$B$500&amp;", ")),--('Thông báo'!$AT$7:$AT$500="Block"))+SUMPRODUCT(--ISNUMBER(SEARCH(", "&amp;$B24&amp;", ",", "&amp;'Đăng tin &amp; Quản lý tin'!$B$7:$B$500&amp;", ")),--('Đăng tin &amp; Quản lý tin'!$AT$7:$AT$500="Block"))+SUMPRODUCT(--ISNUMBER(SEARCH(", "&amp;$B24&amp;", ",", "&amp;'Trust &amp; Safety'!$B$7:$B$500&amp;", ")),--('Trust &amp; Safety'!$AT$7:$AT$500="Block"))+SUMPRODUCT(--ISNUMBER(SEARCH(", "&amp;$B24&amp;", ",", "&amp;'Tài khoản &amp; Hồ sơ'!$B$7:$B$500&amp;", ")),--('Tài khoản &amp; Hồ sơ'!$AT$7:$AT$500="Block"))</f>
        <v/>
      </c>
      <c r="J24" s="53">
        <f>SUMPRODUCT(--ISNUMBER(SEARCH(", "&amp;$B24&amp;", ",", "&amp;'Hoạt động (Đơn của tôi)'!$B$7:$B$500&amp;", ")),--('Hoạt động (Đơn của tôi)'!$AT$7:$AT$500="N/A"))+SUMPRODUCT(--ISNUMBER(SEARCH(", "&amp;$B24&amp;", ",", "&amp;'Ghép nối'!$B$7:$B$500&amp;", ")),--('Ghép nối'!$AT$7:$AT$500="N/A"))+SUMPRODUCT(--ISNUMBER(SEARCH(", "&amp;$B24&amp;", ",", "&amp;'Huỷ đơn - Huỷ nhận đơn'!$B$7:$B$500&amp;", ")),--('Huỷ đơn - Huỷ nhận đơn'!$AT$7:$AT$500="N/A"))+SUMPRODUCT(--ISNUMBER(SEARCH(", "&amp;$B24&amp;", ",", "&amp;'Giao nhận &amp; Theo dõi đơn'!$B$7:$B$500&amp;", ")),--('Giao nhận &amp; Theo dõi đơn'!$AT$7:$AT$500="N/A"))+SUMPRODUCT(--ISNUMBER(SEARCH(", "&amp;$B24&amp;", ",", "&amp;'Bảng tin &amp; Chi tiết tin'!$B$7:$B$500&amp;", ")),--('Bảng tin &amp; Chi tiết tin'!$AT$7:$AT$500="N/A"))+SUMPRODUCT(--ISNUMBER(SEARCH(", "&amp;$B24&amp;", ",", "&amp;'Quà cảm ơn'!$B$7:$B$500&amp;", ")),--('Quà cảm ơn'!$AT$7:$AT$500="N/A"))+SUMPRODUCT(--ISNUMBER(SEARCH(", "&amp;$B24&amp;", ",", "&amp;'Trang chủ'!$B$7:$B$500&amp;", ")),--('Trang chủ'!$AT$7:$AT$500="N/A"))+SUMPRODUCT(--ISNUMBER(SEARCH(", "&amp;$B24&amp;", ",", "&amp;'Thông báo'!$B$7:$B$500&amp;", ")),--('Thông báo'!$AT$7:$AT$500="N/A"))+SUMPRODUCT(--ISNUMBER(SEARCH(", "&amp;$B24&amp;", ",", "&amp;'Đăng tin &amp; Quản lý tin'!$B$7:$B$500&amp;", ")),--('Đăng tin &amp; Quản lý tin'!$AT$7:$AT$500="N/A"))+SUMPRODUCT(--ISNUMBER(SEARCH(", "&amp;$B24&amp;", ",", "&amp;'Trust &amp; Safety'!$B$7:$B$500&amp;", ")),--('Trust &amp; Safety'!$AT$7:$AT$500="N/A"))+SUMPRODUCT(--ISNUMBER(SEARCH(", "&amp;$B24&amp;", ",", "&amp;'Tài khoản &amp; Hồ sơ'!$B$7:$B$500&amp;", ")),--('Tài khoản &amp; Hồ sơ'!$AT$7:$AT$500="N/A"))</f>
        <v/>
      </c>
      <c r="K24" s="54">
        <f>IFERROR(F24/E24,0)</f>
        <v/>
      </c>
      <c r="L24" s="113">
        <f>IF(E24=0,"Chưa có TC (gap)",IF(H24&gt;0,"Có lỗi (Fail)",IF(I24&gt;0,"Bị block",IF(F24&lt;E24,"Đang test",IF(G24=0,"Không áp dụng (N/A)","Đã test xong")))))</f>
        <v/>
      </c>
      <c r="AB24" t="inlineStr">
        <is>
          <t>REQ-ASN</t>
        </is>
      </c>
    </row>
    <row r="25" ht="15.75" customHeight="1" s="216">
      <c r="A25" s="1" t="n"/>
      <c r="B25" s="112" t="inlineStr">
        <is>
          <t>REQ-ASN-006</t>
        </is>
      </c>
      <c r="C25" s="261" t="inlineStr"/>
      <c r="D25" s="113" t="inlineStr">
        <is>
          <t>DOC-v1.0-01</t>
        </is>
      </c>
      <c r="E25" s="53">
        <f>SUMPRODUCT(--ISNUMBER(SEARCH(", "&amp;$B25&amp;", ",", "&amp;'Hoạt động (Đơn của tôi)'!$B$7:$B$500&amp;", ")))+SUMPRODUCT(--ISNUMBER(SEARCH(", "&amp;$B25&amp;", ",", "&amp;'Ghép nối'!$B$7:$B$500&amp;", ")))+SUMPRODUCT(--ISNUMBER(SEARCH(", "&amp;$B25&amp;", ",", "&amp;'Huỷ đơn - Huỷ nhận đơn'!$B$7:$B$500&amp;", ")))+SUMPRODUCT(--ISNUMBER(SEARCH(", "&amp;$B25&amp;", ",", "&amp;'Giao nhận &amp; Theo dõi đơn'!$B$7:$B$500&amp;", ")))+SUMPRODUCT(--ISNUMBER(SEARCH(", "&amp;$B25&amp;", ",", "&amp;'Bảng tin &amp; Chi tiết tin'!$B$7:$B$500&amp;", ")))+SUMPRODUCT(--ISNUMBER(SEARCH(", "&amp;$B25&amp;", ",", "&amp;'Quà cảm ơn'!$B$7:$B$500&amp;", ")))+SUMPRODUCT(--ISNUMBER(SEARCH(", "&amp;$B25&amp;", ",", "&amp;'Trang chủ'!$B$7:$B$500&amp;", ")))+SUMPRODUCT(--ISNUMBER(SEARCH(", "&amp;$B25&amp;", ",", "&amp;'Thông báo'!$B$7:$B$500&amp;", ")))+SUMPRODUCT(--ISNUMBER(SEARCH(", "&amp;$B25&amp;", ",", "&amp;'Đăng tin &amp; Quản lý tin'!$B$7:$B$500&amp;", ")))+SUMPRODUCT(--ISNUMBER(SEARCH(", "&amp;$B25&amp;", ",", "&amp;'Trust &amp; Safety'!$B$7:$B$500&amp;", ")))+SUMPRODUCT(--ISNUMBER(SEARCH(", "&amp;$B25&amp;", ",", "&amp;'Tài khoản &amp; Hồ sơ'!$B$7:$B$500&amp;", ")))</f>
        <v/>
      </c>
      <c r="F25" s="53">
        <f>SUMPRODUCT(--ISNUMBER(SEARCH(", "&amp;$B25&amp;", ",", "&amp;'Hoạt động (Đơn của tôi)'!$B$7:$B$500&amp;", ")),--('Hoạt động (Đơn của tôi)'!$AT$7:$AT$500&lt;&gt;""))+SUMPRODUCT(--ISNUMBER(SEARCH(", "&amp;$B25&amp;", ",", "&amp;'Ghép nối'!$B$7:$B$500&amp;", ")),--('Ghép nối'!$AT$7:$AT$500&lt;&gt;""))+SUMPRODUCT(--ISNUMBER(SEARCH(", "&amp;$B25&amp;", ",", "&amp;'Huỷ đơn - Huỷ nhận đơn'!$B$7:$B$500&amp;", ")),--('Huỷ đơn - Huỷ nhận đơn'!$AT$7:$AT$500&lt;&gt;""))+SUMPRODUCT(--ISNUMBER(SEARCH(", "&amp;$B25&amp;", ",", "&amp;'Giao nhận &amp; Theo dõi đơn'!$B$7:$B$500&amp;", ")),--('Giao nhận &amp; Theo dõi đơn'!$AT$7:$AT$500&lt;&gt;""))+SUMPRODUCT(--ISNUMBER(SEARCH(", "&amp;$B25&amp;", ",", "&amp;'Bảng tin &amp; Chi tiết tin'!$B$7:$B$500&amp;", ")),--('Bảng tin &amp; Chi tiết tin'!$AT$7:$AT$500&lt;&gt;""))+SUMPRODUCT(--ISNUMBER(SEARCH(", "&amp;$B25&amp;", ",", "&amp;'Quà cảm ơn'!$B$7:$B$500&amp;", ")),--('Quà cảm ơn'!$AT$7:$AT$500&lt;&gt;""))+SUMPRODUCT(--ISNUMBER(SEARCH(", "&amp;$B25&amp;", ",", "&amp;'Trang chủ'!$B$7:$B$500&amp;", ")),--('Trang chủ'!$AT$7:$AT$500&lt;&gt;""))+SUMPRODUCT(--ISNUMBER(SEARCH(", "&amp;$B25&amp;", ",", "&amp;'Thông báo'!$B$7:$B$500&amp;", ")),--('Thông báo'!$AT$7:$AT$500&lt;&gt;""))+SUMPRODUCT(--ISNUMBER(SEARCH(", "&amp;$B25&amp;", ",", "&amp;'Đăng tin &amp; Quản lý tin'!$B$7:$B$500&amp;", ")),--('Đăng tin &amp; Quản lý tin'!$AT$7:$AT$500&lt;&gt;""))+SUMPRODUCT(--ISNUMBER(SEARCH(", "&amp;$B25&amp;", ",", "&amp;'Trust &amp; Safety'!$B$7:$B$500&amp;", ")),--('Trust &amp; Safety'!$AT$7:$AT$500&lt;&gt;""))+SUMPRODUCT(--ISNUMBER(SEARCH(", "&amp;$B25&amp;", ",", "&amp;'Tài khoản &amp; Hồ sơ'!$B$7:$B$500&amp;", ")),--('Tài khoản &amp; Hồ sơ'!$AT$7:$AT$500&lt;&gt;""))</f>
        <v/>
      </c>
      <c r="G25" s="53">
        <f>SUMPRODUCT(--ISNUMBER(SEARCH(", "&amp;$B25&amp;", ",", "&amp;'Hoạt động (Đơn của tôi)'!$B$7:$B$500&amp;", ")),--('Hoạt động (Đơn của tôi)'!$AT$7:$AT$500="Pass"))+SUMPRODUCT(--ISNUMBER(SEARCH(", "&amp;$B25&amp;", ",", "&amp;'Ghép nối'!$B$7:$B$500&amp;", ")),--('Ghép nối'!$AT$7:$AT$500="Pass"))+SUMPRODUCT(--ISNUMBER(SEARCH(", "&amp;$B25&amp;", ",", "&amp;'Huỷ đơn - Huỷ nhận đơn'!$B$7:$B$500&amp;", ")),--('Huỷ đơn - Huỷ nhận đơn'!$AT$7:$AT$500="Pass"))+SUMPRODUCT(--ISNUMBER(SEARCH(", "&amp;$B25&amp;", ",", "&amp;'Giao nhận &amp; Theo dõi đơn'!$B$7:$B$500&amp;", ")),--('Giao nhận &amp; Theo dõi đơn'!$AT$7:$AT$500="Pass"))+SUMPRODUCT(--ISNUMBER(SEARCH(", "&amp;$B25&amp;", ",", "&amp;'Bảng tin &amp; Chi tiết tin'!$B$7:$B$500&amp;", ")),--('Bảng tin &amp; Chi tiết tin'!$AT$7:$AT$500="Pass"))+SUMPRODUCT(--ISNUMBER(SEARCH(", "&amp;$B25&amp;", ",", "&amp;'Quà cảm ơn'!$B$7:$B$500&amp;", ")),--('Quà cảm ơn'!$AT$7:$AT$500="Pass"))+SUMPRODUCT(--ISNUMBER(SEARCH(", "&amp;$B25&amp;", ",", "&amp;'Trang chủ'!$B$7:$B$500&amp;", ")),--('Trang chủ'!$AT$7:$AT$500="Pass"))+SUMPRODUCT(--ISNUMBER(SEARCH(", "&amp;$B25&amp;", ",", "&amp;'Thông báo'!$B$7:$B$500&amp;", ")),--('Thông báo'!$AT$7:$AT$500="Pass"))+SUMPRODUCT(--ISNUMBER(SEARCH(", "&amp;$B25&amp;", ",", "&amp;'Đăng tin &amp; Quản lý tin'!$B$7:$B$500&amp;", ")),--('Đăng tin &amp; Quản lý tin'!$AT$7:$AT$500="Pass"))+SUMPRODUCT(--ISNUMBER(SEARCH(", "&amp;$B25&amp;", ",", "&amp;'Trust &amp; Safety'!$B$7:$B$500&amp;", ")),--('Trust &amp; Safety'!$AT$7:$AT$500="Pass"))+SUMPRODUCT(--ISNUMBER(SEARCH(", "&amp;$B25&amp;", ",", "&amp;'Tài khoản &amp; Hồ sơ'!$B$7:$B$500&amp;", ")),--('Tài khoản &amp; Hồ sơ'!$AT$7:$AT$500="Pass"))</f>
        <v/>
      </c>
      <c r="H25" s="53">
        <f>SUMPRODUCT(--ISNUMBER(SEARCH(", "&amp;$B25&amp;", ",", "&amp;'Hoạt động (Đơn của tôi)'!$B$7:$B$500&amp;", ")),--('Hoạt động (Đơn của tôi)'!$AT$7:$AT$500="Fail"))+SUMPRODUCT(--ISNUMBER(SEARCH(", "&amp;$B25&amp;", ",", "&amp;'Ghép nối'!$B$7:$B$500&amp;", ")),--('Ghép nối'!$AT$7:$AT$500="Fail"))+SUMPRODUCT(--ISNUMBER(SEARCH(", "&amp;$B25&amp;", ",", "&amp;'Huỷ đơn - Huỷ nhận đơn'!$B$7:$B$500&amp;", ")),--('Huỷ đơn - Huỷ nhận đơn'!$AT$7:$AT$500="Fail"))+SUMPRODUCT(--ISNUMBER(SEARCH(", "&amp;$B25&amp;", ",", "&amp;'Giao nhận &amp; Theo dõi đơn'!$B$7:$B$500&amp;", ")),--('Giao nhận &amp; Theo dõi đơn'!$AT$7:$AT$500="Fail"))+SUMPRODUCT(--ISNUMBER(SEARCH(", "&amp;$B25&amp;", ",", "&amp;'Bảng tin &amp; Chi tiết tin'!$B$7:$B$500&amp;", ")),--('Bảng tin &amp; Chi tiết tin'!$AT$7:$AT$500="Fail"))+SUMPRODUCT(--ISNUMBER(SEARCH(", "&amp;$B25&amp;", ",", "&amp;'Quà cảm ơn'!$B$7:$B$500&amp;", ")),--('Quà cảm ơn'!$AT$7:$AT$500="Fail"))+SUMPRODUCT(--ISNUMBER(SEARCH(", "&amp;$B25&amp;", ",", "&amp;'Trang chủ'!$B$7:$B$500&amp;", ")),--('Trang chủ'!$AT$7:$AT$500="Fail"))+SUMPRODUCT(--ISNUMBER(SEARCH(", "&amp;$B25&amp;", ",", "&amp;'Thông báo'!$B$7:$B$500&amp;", ")),--('Thông báo'!$AT$7:$AT$500="Fail"))+SUMPRODUCT(--ISNUMBER(SEARCH(", "&amp;$B25&amp;", ",", "&amp;'Đăng tin &amp; Quản lý tin'!$B$7:$B$500&amp;", ")),--('Đăng tin &amp; Quản lý tin'!$AT$7:$AT$500="Fail"))+SUMPRODUCT(--ISNUMBER(SEARCH(", "&amp;$B25&amp;", ",", "&amp;'Trust &amp; Safety'!$B$7:$B$500&amp;", ")),--('Trust &amp; Safety'!$AT$7:$AT$500="Fail"))+SUMPRODUCT(--ISNUMBER(SEARCH(", "&amp;$B25&amp;", ",", "&amp;'Tài khoản &amp; Hồ sơ'!$B$7:$B$500&amp;", ")),--('Tài khoản &amp; Hồ sơ'!$AT$7:$AT$500="Fail"))</f>
        <v/>
      </c>
      <c r="I25" s="53">
        <f>SUMPRODUCT(--ISNUMBER(SEARCH(", "&amp;$B25&amp;", ",", "&amp;'Hoạt động (Đơn của tôi)'!$B$7:$B$500&amp;", ")),--('Hoạt động (Đơn của tôi)'!$AT$7:$AT$500="Block"))+SUMPRODUCT(--ISNUMBER(SEARCH(", "&amp;$B25&amp;", ",", "&amp;'Ghép nối'!$B$7:$B$500&amp;", ")),--('Ghép nối'!$AT$7:$AT$500="Block"))+SUMPRODUCT(--ISNUMBER(SEARCH(", "&amp;$B25&amp;", ",", "&amp;'Huỷ đơn - Huỷ nhận đơn'!$B$7:$B$500&amp;", ")),--('Huỷ đơn - Huỷ nhận đơn'!$AT$7:$AT$500="Block"))+SUMPRODUCT(--ISNUMBER(SEARCH(", "&amp;$B25&amp;", ",", "&amp;'Giao nhận &amp; Theo dõi đơn'!$B$7:$B$500&amp;", ")),--('Giao nhận &amp; Theo dõi đơn'!$AT$7:$AT$500="Block"))+SUMPRODUCT(--ISNUMBER(SEARCH(", "&amp;$B25&amp;", ",", "&amp;'Bảng tin &amp; Chi tiết tin'!$B$7:$B$500&amp;", ")),--('Bảng tin &amp; Chi tiết tin'!$AT$7:$AT$500="Block"))+SUMPRODUCT(--ISNUMBER(SEARCH(", "&amp;$B25&amp;", ",", "&amp;'Quà cảm ơn'!$B$7:$B$500&amp;", ")),--('Quà cảm ơn'!$AT$7:$AT$500="Block"))+SUMPRODUCT(--ISNUMBER(SEARCH(", "&amp;$B25&amp;", ",", "&amp;'Trang chủ'!$B$7:$B$500&amp;", ")),--('Trang chủ'!$AT$7:$AT$500="Block"))+SUMPRODUCT(--ISNUMBER(SEARCH(", "&amp;$B25&amp;", ",", "&amp;'Thông báo'!$B$7:$B$500&amp;", ")),--('Thông báo'!$AT$7:$AT$500="Block"))+SUMPRODUCT(--ISNUMBER(SEARCH(", "&amp;$B25&amp;", ",", "&amp;'Đăng tin &amp; Quản lý tin'!$B$7:$B$500&amp;", ")),--('Đăng tin &amp; Quản lý tin'!$AT$7:$AT$500="Block"))+SUMPRODUCT(--ISNUMBER(SEARCH(", "&amp;$B25&amp;", ",", "&amp;'Trust &amp; Safety'!$B$7:$B$500&amp;", ")),--('Trust &amp; Safety'!$AT$7:$AT$500="Block"))+SUMPRODUCT(--ISNUMBER(SEARCH(", "&amp;$B25&amp;", ",", "&amp;'Tài khoản &amp; Hồ sơ'!$B$7:$B$500&amp;", ")),--('Tài khoản &amp; Hồ sơ'!$AT$7:$AT$500="Block"))</f>
        <v/>
      </c>
      <c r="J25" s="53">
        <f>SUMPRODUCT(--ISNUMBER(SEARCH(", "&amp;$B25&amp;", ",", "&amp;'Hoạt động (Đơn của tôi)'!$B$7:$B$500&amp;", ")),--('Hoạt động (Đơn của tôi)'!$AT$7:$AT$500="N/A"))+SUMPRODUCT(--ISNUMBER(SEARCH(", "&amp;$B25&amp;", ",", "&amp;'Ghép nối'!$B$7:$B$500&amp;", ")),--('Ghép nối'!$AT$7:$AT$500="N/A"))+SUMPRODUCT(--ISNUMBER(SEARCH(", "&amp;$B25&amp;", ",", "&amp;'Huỷ đơn - Huỷ nhận đơn'!$B$7:$B$500&amp;", ")),--('Huỷ đơn - Huỷ nhận đơn'!$AT$7:$AT$500="N/A"))+SUMPRODUCT(--ISNUMBER(SEARCH(", "&amp;$B25&amp;", ",", "&amp;'Giao nhận &amp; Theo dõi đơn'!$B$7:$B$500&amp;", ")),--('Giao nhận &amp; Theo dõi đơn'!$AT$7:$AT$500="N/A"))+SUMPRODUCT(--ISNUMBER(SEARCH(", "&amp;$B25&amp;", ",", "&amp;'Bảng tin &amp; Chi tiết tin'!$B$7:$B$500&amp;", ")),--('Bảng tin &amp; Chi tiết tin'!$AT$7:$AT$500="N/A"))+SUMPRODUCT(--ISNUMBER(SEARCH(", "&amp;$B25&amp;", ",", "&amp;'Quà cảm ơn'!$B$7:$B$500&amp;", ")),--('Quà cảm ơn'!$AT$7:$AT$500="N/A"))+SUMPRODUCT(--ISNUMBER(SEARCH(", "&amp;$B25&amp;", ",", "&amp;'Trang chủ'!$B$7:$B$500&amp;", ")),--('Trang chủ'!$AT$7:$AT$500="N/A"))+SUMPRODUCT(--ISNUMBER(SEARCH(", "&amp;$B25&amp;", ",", "&amp;'Thông báo'!$B$7:$B$500&amp;", ")),--('Thông báo'!$AT$7:$AT$500="N/A"))+SUMPRODUCT(--ISNUMBER(SEARCH(", "&amp;$B25&amp;", ",", "&amp;'Đăng tin &amp; Quản lý tin'!$B$7:$B$500&amp;", ")),--('Đăng tin &amp; Quản lý tin'!$AT$7:$AT$500="N/A"))+SUMPRODUCT(--ISNUMBER(SEARCH(", "&amp;$B25&amp;", ",", "&amp;'Trust &amp; Safety'!$B$7:$B$500&amp;", ")),--('Trust &amp; Safety'!$AT$7:$AT$500="N/A"))+SUMPRODUCT(--ISNUMBER(SEARCH(", "&amp;$B25&amp;", ",", "&amp;'Tài khoản &amp; Hồ sơ'!$B$7:$B$500&amp;", ")),--('Tài khoản &amp; Hồ sơ'!$AT$7:$AT$500="N/A"))</f>
        <v/>
      </c>
      <c r="K25" s="54">
        <f>IFERROR(F25/E25,0)</f>
        <v/>
      </c>
      <c r="L25" s="113">
        <f>IF(E25=0,"Chưa có TC (gap)",IF(H25&gt;0,"Có lỗi (Fail)",IF(I25&gt;0,"Bị block",IF(F25&lt;E25,"Đang test",IF(G25=0,"Không áp dụng (N/A)","Đã test xong")))))</f>
        <v/>
      </c>
      <c r="AB25" t="inlineStr">
        <is>
          <t>REQ-ASN</t>
        </is>
      </c>
    </row>
    <row r="26" ht="15.75" customHeight="1" s="216">
      <c r="A26" s="1" t="n"/>
      <c r="B26" s="112" t="inlineStr">
        <is>
          <t>REQ-ASN-010</t>
        </is>
      </c>
      <c r="C26" s="261" t="inlineStr"/>
      <c r="D26" s="113" t="inlineStr">
        <is>
          <t>DOC-v1.0-01</t>
        </is>
      </c>
      <c r="E26" s="53">
        <f>SUMPRODUCT(--ISNUMBER(SEARCH(", "&amp;$B26&amp;", ",", "&amp;'Hoạt động (Đơn của tôi)'!$B$7:$B$500&amp;", ")))+SUMPRODUCT(--ISNUMBER(SEARCH(", "&amp;$B26&amp;", ",", "&amp;'Ghép nối'!$B$7:$B$500&amp;", ")))+SUMPRODUCT(--ISNUMBER(SEARCH(", "&amp;$B26&amp;", ",", "&amp;'Huỷ đơn - Huỷ nhận đơn'!$B$7:$B$500&amp;", ")))+SUMPRODUCT(--ISNUMBER(SEARCH(", "&amp;$B26&amp;", ",", "&amp;'Giao nhận &amp; Theo dõi đơn'!$B$7:$B$500&amp;", ")))+SUMPRODUCT(--ISNUMBER(SEARCH(", "&amp;$B26&amp;", ",", "&amp;'Bảng tin &amp; Chi tiết tin'!$B$7:$B$500&amp;", ")))+SUMPRODUCT(--ISNUMBER(SEARCH(", "&amp;$B26&amp;", ",", "&amp;'Quà cảm ơn'!$B$7:$B$500&amp;", ")))+SUMPRODUCT(--ISNUMBER(SEARCH(", "&amp;$B26&amp;", ",", "&amp;'Trang chủ'!$B$7:$B$500&amp;", ")))+SUMPRODUCT(--ISNUMBER(SEARCH(", "&amp;$B26&amp;", ",", "&amp;'Thông báo'!$B$7:$B$500&amp;", ")))+SUMPRODUCT(--ISNUMBER(SEARCH(", "&amp;$B26&amp;", ",", "&amp;'Đăng tin &amp; Quản lý tin'!$B$7:$B$500&amp;", ")))+SUMPRODUCT(--ISNUMBER(SEARCH(", "&amp;$B26&amp;", ",", "&amp;'Trust &amp; Safety'!$B$7:$B$500&amp;", ")))+SUMPRODUCT(--ISNUMBER(SEARCH(", "&amp;$B26&amp;", ",", "&amp;'Tài khoản &amp; Hồ sơ'!$B$7:$B$500&amp;", ")))</f>
        <v/>
      </c>
      <c r="F26" s="53">
        <f>SUMPRODUCT(--ISNUMBER(SEARCH(", "&amp;$B26&amp;", ",", "&amp;'Hoạt động (Đơn của tôi)'!$B$7:$B$500&amp;", ")),--('Hoạt động (Đơn của tôi)'!$AT$7:$AT$500&lt;&gt;""))+SUMPRODUCT(--ISNUMBER(SEARCH(", "&amp;$B26&amp;", ",", "&amp;'Ghép nối'!$B$7:$B$500&amp;", ")),--('Ghép nối'!$AT$7:$AT$500&lt;&gt;""))+SUMPRODUCT(--ISNUMBER(SEARCH(", "&amp;$B26&amp;", ",", "&amp;'Huỷ đơn - Huỷ nhận đơn'!$B$7:$B$500&amp;", ")),--('Huỷ đơn - Huỷ nhận đơn'!$AT$7:$AT$500&lt;&gt;""))+SUMPRODUCT(--ISNUMBER(SEARCH(", "&amp;$B26&amp;", ",", "&amp;'Giao nhận &amp; Theo dõi đơn'!$B$7:$B$500&amp;", ")),--('Giao nhận &amp; Theo dõi đơn'!$AT$7:$AT$500&lt;&gt;""))+SUMPRODUCT(--ISNUMBER(SEARCH(", "&amp;$B26&amp;", ",", "&amp;'Bảng tin &amp; Chi tiết tin'!$B$7:$B$500&amp;", ")),--('Bảng tin &amp; Chi tiết tin'!$AT$7:$AT$500&lt;&gt;""))+SUMPRODUCT(--ISNUMBER(SEARCH(", "&amp;$B26&amp;", ",", "&amp;'Quà cảm ơn'!$B$7:$B$500&amp;", ")),--('Quà cảm ơn'!$AT$7:$AT$500&lt;&gt;""))+SUMPRODUCT(--ISNUMBER(SEARCH(", "&amp;$B26&amp;", ",", "&amp;'Trang chủ'!$B$7:$B$500&amp;", ")),--('Trang chủ'!$AT$7:$AT$500&lt;&gt;""))+SUMPRODUCT(--ISNUMBER(SEARCH(", "&amp;$B26&amp;", ",", "&amp;'Thông báo'!$B$7:$B$500&amp;", ")),--('Thông báo'!$AT$7:$AT$500&lt;&gt;""))+SUMPRODUCT(--ISNUMBER(SEARCH(", "&amp;$B26&amp;", ",", "&amp;'Đăng tin &amp; Quản lý tin'!$B$7:$B$500&amp;", ")),--('Đăng tin &amp; Quản lý tin'!$AT$7:$AT$500&lt;&gt;""))+SUMPRODUCT(--ISNUMBER(SEARCH(", "&amp;$B26&amp;", ",", "&amp;'Trust &amp; Safety'!$B$7:$B$500&amp;", ")),--('Trust &amp; Safety'!$AT$7:$AT$500&lt;&gt;""))+SUMPRODUCT(--ISNUMBER(SEARCH(", "&amp;$B26&amp;", ",", "&amp;'Tài khoản &amp; Hồ sơ'!$B$7:$B$500&amp;", ")),--('Tài khoản &amp; Hồ sơ'!$AT$7:$AT$500&lt;&gt;""))</f>
        <v/>
      </c>
      <c r="G26" s="53">
        <f>SUMPRODUCT(--ISNUMBER(SEARCH(", "&amp;$B26&amp;", ",", "&amp;'Hoạt động (Đơn của tôi)'!$B$7:$B$500&amp;", ")),--('Hoạt động (Đơn của tôi)'!$AT$7:$AT$500="Pass"))+SUMPRODUCT(--ISNUMBER(SEARCH(", "&amp;$B26&amp;", ",", "&amp;'Ghép nối'!$B$7:$B$500&amp;", ")),--('Ghép nối'!$AT$7:$AT$500="Pass"))+SUMPRODUCT(--ISNUMBER(SEARCH(", "&amp;$B26&amp;", ",", "&amp;'Huỷ đơn - Huỷ nhận đơn'!$B$7:$B$500&amp;", ")),--('Huỷ đơn - Huỷ nhận đơn'!$AT$7:$AT$500="Pass"))+SUMPRODUCT(--ISNUMBER(SEARCH(", "&amp;$B26&amp;", ",", "&amp;'Giao nhận &amp; Theo dõi đơn'!$B$7:$B$500&amp;", ")),--('Giao nhận &amp; Theo dõi đơn'!$AT$7:$AT$500="Pass"))+SUMPRODUCT(--ISNUMBER(SEARCH(", "&amp;$B26&amp;", ",", "&amp;'Bảng tin &amp; Chi tiết tin'!$B$7:$B$500&amp;", ")),--('Bảng tin &amp; Chi tiết tin'!$AT$7:$AT$500="Pass"))+SUMPRODUCT(--ISNUMBER(SEARCH(", "&amp;$B26&amp;", ",", "&amp;'Quà cảm ơn'!$B$7:$B$500&amp;", ")),--('Quà cảm ơn'!$AT$7:$AT$500="Pass"))+SUMPRODUCT(--ISNUMBER(SEARCH(", "&amp;$B26&amp;", ",", "&amp;'Trang chủ'!$B$7:$B$500&amp;", ")),--('Trang chủ'!$AT$7:$AT$500="Pass"))+SUMPRODUCT(--ISNUMBER(SEARCH(", "&amp;$B26&amp;", ",", "&amp;'Thông báo'!$B$7:$B$500&amp;", ")),--('Thông báo'!$AT$7:$AT$500="Pass"))+SUMPRODUCT(--ISNUMBER(SEARCH(", "&amp;$B26&amp;", ",", "&amp;'Đăng tin &amp; Quản lý tin'!$B$7:$B$500&amp;", ")),--('Đăng tin &amp; Quản lý tin'!$AT$7:$AT$500="Pass"))+SUMPRODUCT(--ISNUMBER(SEARCH(", "&amp;$B26&amp;", ",", "&amp;'Trust &amp; Safety'!$B$7:$B$500&amp;", ")),--('Trust &amp; Safety'!$AT$7:$AT$500="Pass"))+SUMPRODUCT(--ISNUMBER(SEARCH(", "&amp;$B26&amp;", ",", "&amp;'Tài khoản &amp; Hồ sơ'!$B$7:$B$500&amp;", ")),--('Tài khoản &amp; Hồ sơ'!$AT$7:$AT$500="Pass"))</f>
        <v/>
      </c>
      <c r="H26" s="53">
        <f>SUMPRODUCT(--ISNUMBER(SEARCH(", "&amp;$B26&amp;", ",", "&amp;'Hoạt động (Đơn của tôi)'!$B$7:$B$500&amp;", ")),--('Hoạt động (Đơn của tôi)'!$AT$7:$AT$500="Fail"))+SUMPRODUCT(--ISNUMBER(SEARCH(", "&amp;$B26&amp;", ",", "&amp;'Ghép nối'!$B$7:$B$500&amp;", ")),--('Ghép nối'!$AT$7:$AT$500="Fail"))+SUMPRODUCT(--ISNUMBER(SEARCH(", "&amp;$B26&amp;", ",", "&amp;'Huỷ đơn - Huỷ nhận đơn'!$B$7:$B$500&amp;", ")),--('Huỷ đơn - Huỷ nhận đơn'!$AT$7:$AT$500="Fail"))+SUMPRODUCT(--ISNUMBER(SEARCH(", "&amp;$B26&amp;", ",", "&amp;'Giao nhận &amp; Theo dõi đơn'!$B$7:$B$500&amp;", ")),--('Giao nhận &amp; Theo dõi đơn'!$AT$7:$AT$500="Fail"))+SUMPRODUCT(--ISNUMBER(SEARCH(", "&amp;$B26&amp;", ",", "&amp;'Bảng tin &amp; Chi tiết tin'!$B$7:$B$500&amp;", ")),--('Bảng tin &amp; Chi tiết tin'!$AT$7:$AT$500="Fail"))+SUMPRODUCT(--ISNUMBER(SEARCH(", "&amp;$B26&amp;", ",", "&amp;'Quà cảm ơn'!$B$7:$B$500&amp;", ")),--('Quà cảm ơn'!$AT$7:$AT$500="Fail"))+SUMPRODUCT(--ISNUMBER(SEARCH(", "&amp;$B26&amp;", ",", "&amp;'Trang chủ'!$B$7:$B$500&amp;", ")),--('Trang chủ'!$AT$7:$AT$500="Fail"))+SUMPRODUCT(--ISNUMBER(SEARCH(", "&amp;$B26&amp;", ",", "&amp;'Thông báo'!$B$7:$B$500&amp;", ")),--('Thông báo'!$AT$7:$AT$500="Fail"))+SUMPRODUCT(--ISNUMBER(SEARCH(", "&amp;$B26&amp;", ",", "&amp;'Đăng tin &amp; Quản lý tin'!$B$7:$B$500&amp;", ")),--('Đăng tin &amp; Quản lý tin'!$AT$7:$AT$500="Fail"))+SUMPRODUCT(--ISNUMBER(SEARCH(", "&amp;$B26&amp;", ",", "&amp;'Trust &amp; Safety'!$B$7:$B$500&amp;", ")),--('Trust &amp; Safety'!$AT$7:$AT$500="Fail"))+SUMPRODUCT(--ISNUMBER(SEARCH(", "&amp;$B26&amp;", ",", "&amp;'Tài khoản &amp; Hồ sơ'!$B$7:$B$500&amp;", ")),--('Tài khoản &amp; Hồ sơ'!$AT$7:$AT$500="Fail"))</f>
        <v/>
      </c>
      <c r="I26" s="53">
        <f>SUMPRODUCT(--ISNUMBER(SEARCH(", "&amp;$B26&amp;", ",", "&amp;'Hoạt động (Đơn của tôi)'!$B$7:$B$500&amp;", ")),--('Hoạt động (Đơn của tôi)'!$AT$7:$AT$500="Block"))+SUMPRODUCT(--ISNUMBER(SEARCH(", "&amp;$B26&amp;", ",", "&amp;'Ghép nối'!$B$7:$B$500&amp;", ")),--('Ghép nối'!$AT$7:$AT$500="Block"))+SUMPRODUCT(--ISNUMBER(SEARCH(", "&amp;$B26&amp;", ",", "&amp;'Huỷ đơn - Huỷ nhận đơn'!$B$7:$B$500&amp;", ")),--('Huỷ đơn - Huỷ nhận đơn'!$AT$7:$AT$500="Block"))+SUMPRODUCT(--ISNUMBER(SEARCH(", "&amp;$B26&amp;", ",", "&amp;'Giao nhận &amp; Theo dõi đơn'!$B$7:$B$500&amp;", ")),--('Giao nhận &amp; Theo dõi đơn'!$AT$7:$AT$500="Block"))+SUMPRODUCT(--ISNUMBER(SEARCH(", "&amp;$B26&amp;", ",", "&amp;'Bảng tin &amp; Chi tiết tin'!$B$7:$B$500&amp;", ")),--('Bảng tin &amp; Chi tiết tin'!$AT$7:$AT$500="Block"))+SUMPRODUCT(--ISNUMBER(SEARCH(", "&amp;$B26&amp;", ",", "&amp;'Quà cảm ơn'!$B$7:$B$500&amp;", ")),--('Quà cảm ơn'!$AT$7:$AT$500="Block"))+SUMPRODUCT(--ISNUMBER(SEARCH(", "&amp;$B26&amp;", ",", "&amp;'Trang chủ'!$B$7:$B$500&amp;", ")),--('Trang chủ'!$AT$7:$AT$500="Block"))+SUMPRODUCT(--ISNUMBER(SEARCH(", "&amp;$B26&amp;", ",", "&amp;'Thông báo'!$B$7:$B$500&amp;", ")),--('Thông báo'!$AT$7:$AT$500="Block"))+SUMPRODUCT(--ISNUMBER(SEARCH(", "&amp;$B26&amp;", ",", "&amp;'Đăng tin &amp; Quản lý tin'!$B$7:$B$500&amp;", ")),--('Đăng tin &amp; Quản lý tin'!$AT$7:$AT$500="Block"))+SUMPRODUCT(--ISNUMBER(SEARCH(", "&amp;$B26&amp;", ",", "&amp;'Trust &amp; Safety'!$B$7:$B$500&amp;", ")),--('Trust &amp; Safety'!$AT$7:$AT$500="Block"))+SUMPRODUCT(--ISNUMBER(SEARCH(", "&amp;$B26&amp;", ",", "&amp;'Tài khoản &amp; Hồ sơ'!$B$7:$B$500&amp;", ")),--('Tài khoản &amp; Hồ sơ'!$AT$7:$AT$500="Block"))</f>
        <v/>
      </c>
      <c r="J26" s="53">
        <f>SUMPRODUCT(--ISNUMBER(SEARCH(", "&amp;$B26&amp;", ",", "&amp;'Hoạt động (Đơn của tôi)'!$B$7:$B$500&amp;", ")),--('Hoạt động (Đơn của tôi)'!$AT$7:$AT$500="N/A"))+SUMPRODUCT(--ISNUMBER(SEARCH(", "&amp;$B26&amp;", ",", "&amp;'Ghép nối'!$B$7:$B$500&amp;", ")),--('Ghép nối'!$AT$7:$AT$500="N/A"))+SUMPRODUCT(--ISNUMBER(SEARCH(", "&amp;$B26&amp;", ",", "&amp;'Huỷ đơn - Huỷ nhận đơn'!$B$7:$B$500&amp;", ")),--('Huỷ đơn - Huỷ nhận đơn'!$AT$7:$AT$500="N/A"))+SUMPRODUCT(--ISNUMBER(SEARCH(", "&amp;$B26&amp;", ",", "&amp;'Giao nhận &amp; Theo dõi đơn'!$B$7:$B$500&amp;", ")),--('Giao nhận &amp; Theo dõi đơn'!$AT$7:$AT$500="N/A"))+SUMPRODUCT(--ISNUMBER(SEARCH(", "&amp;$B26&amp;", ",", "&amp;'Bảng tin &amp; Chi tiết tin'!$B$7:$B$500&amp;", ")),--('Bảng tin &amp; Chi tiết tin'!$AT$7:$AT$500="N/A"))+SUMPRODUCT(--ISNUMBER(SEARCH(", "&amp;$B26&amp;", ",", "&amp;'Quà cảm ơn'!$B$7:$B$500&amp;", ")),--('Quà cảm ơn'!$AT$7:$AT$500="N/A"))+SUMPRODUCT(--ISNUMBER(SEARCH(", "&amp;$B26&amp;", ",", "&amp;'Trang chủ'!$B$7:$B$500&amp;", ")),--('Trang chủ'!$AT$7:$AT$500="N/A"))+SUMPRODUCT(--ISNUMBER(SEARCH(", "&amp;$B26&amp;", ",", "&amp;'Thông báo'!$B$7:$B$500&amp;", ")),--('Thông báo'!$AT$7:$AT$500="N/A"))+SUMPRODUCT(--ISNUMBER(SEARCH(", "&amp;$B26&amp;", ",", "&amp;'Đăng tin &amp; Quản lý tin'!$B$7:$B$500&amp;", ")),--('Đăng tin &amp; Quản lý tin'!$AT$7:$AT$500="N/A"))+SUMPRODUCT(--ISNUMBER(SEARCH(", "&amp;$B26&amp;", ",", "&amp;'Trust &amp; Safety'!$B$7:$B$500&amp;", ")),--('Trust &amp; Safety'!$AT$7:$AT$500="N/A"))+SUMPRODUCT(--ISNUMBER(SEARCH(", "&amp;$B26&amp;", ",", "&amp;'Tài khoản &amp; Hồ sơ'!$B$7:$B$500&amp;", ")),--('Tài khoản &amp; Hồ sơ'!$AT$7:$AT$500="N/A"))</f>
        <v/>
      </c>
      <c r="K26" s="54">
        <f>IFERROR(F26/E26,0)</f>
        <v/>
      </c>
      <c r="L26" s="113">
        <f>IF(E26=0,"Chưa có TC (gap)",IF(H26&gt;0,"Có lỗi (Fail)",IF(I26&gt;0,"Bị block",IF(F26&lt;E26,"Đang test",IF(G26=0,"Không áp dụng (N/A)","Đã test xong")))))</f>
        <v/>
      </c>
      <c r="AB26" t="inlineStr">
        <is>
          <t>REQ-ASN</t>
        </is>
      </c>
    </row>
    <row r="27" ht="15.75" customHeight="1" s="216">
      <c r="A27" s="1" t="n"/>
      <c r="B27" s="112" t="inlineStr">
        <is>
          <t>REQ-ASN-011</t>
        </is>
      </c>
      <c r="C27" s="261" t="inlineStr"/>
      <c r="D27" s="113" t="inlineStr">
        <is>
          <t>DOC-v1.0-01</t>
        </is>
      </c>
      <c r="E27" s="53">
        <f>SUMPRODUCT(--ISNUMBER(SEARCH(", "&amp;$B27&amp;", ",", "&amp;'Hoạt động (Đơn của tôi)'!$B$7:$B$500&amp;", ")))+SUMPRODUCT(--ISNUMBER(SEARCH(", "&amp;$B27&amp;", ",", "&amp;'Ghép nối'!$B$7:$B$500&amp;", ")))+SUMPRODUCT(--ISNUMBER(SEARCH(", "&amp;$B27&amp;", ",", "&amp;'Huỷ đơn - Huỷ nhận đơn'!$B$7:$B$500&amp;", ")))+SUMPRODUCT(--ISNUMBER(SEARCH(", "&amp;$B27&amp;", ",", "&amp;'Giao nhận &amp; Theo dõi đơn'!$B$7:$B$500&amp;", ")))+SUMPRODUCT(--ISNUMBER(SEARCH(", "&amp;$B27&amp;", ",", "&amp;'Bảng tin &amp; Chi tiết tin'!$B$7:$B$500&amp;", ")))+SUMPRODUCT(--ISNUMBER(SEARCH(", "&amp;$B27&amp;", ",", "&amp;'Quà cảm ơn'!$B$7:$B$500&amp;", ")))+SUMPRODUCT(--ISNUMBER(SEARCH(", "&amp;$B27&amp;", ",", "&amp;'Trang chủ'!$B$7:$B$500&amp;", ")))+SUMPRODUCT(--ISNUMBER(SEARCH(", "&amp;$B27&amp;", ",", "&amp;'Thông báo'!$B$7:$B$500&amp;", ")))+SUMPRODUCT(--ISNUMBER(SEARCH(", "&amp;$B27&amp;", ",", "&amp;'Đăng tin &amp; Quản lý tin'!$B$7:$B$500&amp;", ")))+SUMPRODUCT(--ISNUMBER(SEARCH(", "&amp;$B27&amp;", ",", "&amp;'Trust &amp; Safety'!$B$7:$B$500&amp;", ")))+SUMPRODUCT(--ISNUMBER(SEARCH(", "&amp;$B27&amp;", ",", "&amp;'Tài khoản &amp; Hồ sơ'!$B$7:$B$500&amp;", ")))</f>
        <v/>
      </c>
      <c r="F27" s="53">
        <f>SUMPRODUCT(--ISNUMBER(SEARCH(", "&amp;$B27&amp;", ",", "&amp;'Hoạt động (Đơn của tôi)'!$B$7:$B$500&amp;", ")),--('Hoạt động (Đơn của tôi)'!$AT$7:$AT$500&lt;&gt;""))+SUMPRODUCT(--ISNUMBER(SEARCH(", "&amp;$B27&amp;", ",", "&amp;'Ghép nối'!$B$7:$B$500&amp;", ")),--('Ghép nối'!$AT$7:$AT$500&lt;&gt;""))+SUMPRODUCT(--ISNUMBER(SEARCH(", "&amp;$B27&amp;", ",", "&amp;'Huỷ đơn - Huỷ nhận đơn'!$B$7:$B$500&amp;", ")),--('Huỷ đơn - Huỷ nhận đơn'!$AT$7:$AT$500&lt;&gt;""))+SUMPRODUCT(--ISNUMBER(SEARCH(", "&amp;$B27&amp;", ",", "&amp;'Giao nhận &amp; Theo dõi đơn'!$B$7:$B$500&amp;", ")),--('Giao nhận &amp; Theo dõi đơn'!$AT$7:$AT$500&lt;&gt;""))+SUMPRODUCT(--ISNUMBER(SEARCH(", "&amp;$B27&amp;", ",", "&amp;'Bảng tin &amp; Chi tiết tin'!$B$7:$B$500&amp;", ")),--('Bảng tin &amp; Chi tiết tin'!$AT$7:$AT$500&lt;&gt;""))+SUMPRODUCT(--ISNUMBER(SEARCH(", "&amp;$B27&amp;", ",", "&amp;'Quà cảm ơn'!$B$7:$B$500&amp;", ")),--('Quà cảm ơn'!$AT$7:$AT$500&lt;&gt;""))+SUMPRODUCT(--ISNUMBER(SEARCH(", "&amp;$B27&amp;", ",", "&amp;'Trang chủ'!$B$7:$B$500&amp;", ")),--('Trang chủ'!$AT$7:$AT$500&lt;&gt;""))+SUMPRODUCT(--ISNUMBER(SEARCH(", "&amp;$B27&amp;", ",", "&amp;'Thông báo'!$B$7:$B$500&amp;", ")),--('Thông báo'!$AT$7:$AT$500&lt;&gt;""))+SUMPRODUCT(--ISNUMBER(SEARCH(", "&amp;$B27&amp;", ",", "&amp;'Đăng tin &amp; Quản lý tin'!$B$7:$B$500&amp;", ")),--('Đăng tin &amp; Quản lý tin'!$AT$7:$AT$500&lt;&gt;""))+SUMPRODUCT(--ISNUMBER(SEARCH(", "&amp;$B27&amp;", ",", "&amp;'Trust &amp; Safety'!$B$7:$B$500&amp;", ")),--('Trust &amp; Safety'!$AT$7:$AT$500&lt;&gt;""))+SUMPRODUCT(--ISNUMBER(SEARCH(", "&amp;$B27&amp;", ",", "&amp;'Tài khoản &amp; Hồ sơ'!$B$7:$B$500&amp;", ")),--('Tài khoản &amp; Hồ sơ'!$AT$7:$AT$500&lt;&gt;""))</f>
        <v/>
      </c>
      <c r="G27" s="53">
        <f>SUMPRODUCT(--ISNUMBER(SEARCH(", "&amp;$B27&amp;", ",", "&amp;'Hoạt động (Đơn của tôi)'!$B$7:$B$500&amp;", ")),--('Hoạt động (Đơn của tôi)'!$AT$7:$AT$500="Pass"))+SUMPRODUCT(--ISNUMBER(SEARCH(", "&amp;$B27&amp;", ",", "&amp;'Ghép nối'!$B$7:$B$500&amp;", ")),--('Ghép nối'!$AT$7:$AT$500="Pass"))+SUMPRODUCT(--ISNUMBER(SEARCH(", "&amp;$B27&amp;", ",", "&amp;'Huỷ đơn - Huỷ nhận đơn'!$B$7:$B$500&amp;", ")),--('Huỷ đơn - Huỷ nhận đơn'!$AT$7:$AT$500="Pass"))+SUMPRODUCT(--ISNUMBER(SEARCH(", "&amp;$B27&amp;", ",", "&amp;'Giao nhận &amp; Theo dõi đơn'!$B$7:$B$500&amp;", ")),--('Giao nhận &amp; Theo dõi đơn'!$AT$7:$AT$500="Pass"))+SUMPRODUCT(--ISNUMBER(SEARCH(", "&amp;$B27&amp;", ",", "&amp;'Bảng tin &amp; Chi tiết tin'!$B$7:$B$500&amp;", ")),--('Bảng tin &amp; Chi tiết tin'!$AT$7:$AT$500="Pass"))+SUMPRODUCT(--ISNUMBER(SEARCH(", "&amp;$B27&amp;", ",", "&amp;'Quà cảm ơn'!$B$7:$B$500&amp;", ")),--('Quà cảm ơn'!$AT$7:$AT$500="Pass"))+SUMPRODUCT(--ISNUMBER(SEARCH(", "&amp;$B27&amp;", ",", "&amp;'Trang chủ'!$B$7:$B$500&amp;", ")),--('Trang chủ'!$AT$7:$AT$500="Pass"))+SUMPRODUCT(--ISNUMBER(SEARCH(", "&amp;$B27&amp;", ",", "&amp;'Thông báo'!$B$7:$B$500&amp;", ")),--('Thông báo'!$AT$7:$AT$500="Pass"))+SUMPRODUCT(--ISNUMBER(SEARCH(", "&amp;$B27&amp;", ",", "&amp;'Đăng tin &amp; Quản lý tin'!$B$7:$B$500&amp;", ")),--('Đăng tin &amp; Quản lý tin'!$AT$7:$AT$500="Pass"))+SUMPRODUCT(--ISNUMBER(SEARCH(", "&amp;$B27&amp;", ",", "&amp;'Trust &amp; Safety'!$B$7:$B$500&amp;", ")),--('Trust &amp; Safety'!$AT$7:$AT$500="Pass"))+SUMPRODUCT(--ISNUMBER(SEARCH(", "&amp;$B27&amp;", ",", "&amp;'Tài khoản &amp; Hồ sơ'!$B$7:$B$500&amp;", ")),--('Tài khoản &amp; Hồ sơ'!$AT$7:$AT$500="Pass"))</f>
        <v/>
      </c>
      <c r="H27" s="53">
        <f>SUMPRODUCT(--ISNUMBER(SEARCH(", "&amp;$B27&amp;", ",", "&amp;'Hoạt động (Đơn của tôi)'!$B$7:$B$500&amp;", ")),--('Hoạt động (Đơn của tôi)'!$AT$7:$AT$500="Fail"))+SUMPRODUCT(--ISNUMBER(SEARCH(", "&amp;$B27&amp;", ",", "&amp;'Ghép nối'!$B$7:$B$500&amp;", ")),--('Ghép nối'!$AT$7:$AT$500="Fail"))+SUMPRODUCT(--ISNUMBER(SEARCH(", "&amp;$B27&amp;", ",", "&amp;'Huỷ đơn - Huỷ nhận đơn'!$B$7:$B$500&amp;", ")),--('Huỷ đơn - Huỷ nhận đơn'!$AT$7:$AT$500="Fail"))+SUMPRODUCT(--ISNUMBER(SEARCH(", "&amp;$B27&amp;", ",", "&amp;'Giao nhận &amp; Theo dõi đơn'!$B$7:$B$500&amp;", ")),--('Giao nhận &amp; Theo dõi đơn'!$AT$7:$AT$500="Fail"))+SUMPRODUCT(--ISNUMBER(SEARCH(", "&amp;$B27&amp;", ",", "&amp;'Bảng tin &amp; Chi tiết tin'!$B$7:$B$500&amp;", ")),--('Bảng tin &amp; Chi tiết tin'!$AT$7:$AT$500="Fail"))+SUMPRODUCT(--ISNUMBER(SEARCH(", "&amp;$B27&amp;", ",", "&amp;'Quà cảm ơn'!$B$7:$B$500&amp;", ")),--('Quà cảm ơn'!$AT$7:$AT$500="Fail"))+SUMPRODUCT(--ISNUMBER(SEARCH(", "&amp;$B27&amp;", ",", "&amp;'Trang chủ'!$B$7:$B$500&amp;", ")),--('Trang chủ'!$AT$7:$AT$500="Fail"))+SUMPRODUCT(--ISNUMBER(SEARCH(", "&amp;$B27&amp;", ",", "&amp;'Thông báo'!$B$7:$B$500&amp;", ")),--('Thông báo'!$AT$7:$AT$500="Fail"))+SUMPRODUCT(--ISNUMBER(SEARCH(", "&amp;$B27&amp;", ",", "&amp;'Đăng tin &amp; Quản lý tin'!$B$7:$B$500&amp;", ")),--('Đăng tin &amp; Quản lý tin'!$AT$7:$AT$500="Fail"))+SUMPRODUCT(--ISNUMBER(SEARCH(", "&amp;$B27&amp;", ",", "&amp;'Trust &amp; Safety'!$B$7:$B$500&amp;", ")),--('Trust &amp; Safety'!$AT$7:$AT$500="Fail"))+SUMPRODUCT(--ISNUMBER(SEARCH(", "&amp;$B27&amp;", ",", "&amp;'Tài khoản &amp; Hồ sơ'!$B$7:$B$500&amp;", ")),--('Tài khoản &amp; Hồ sơ'!$AT$7:$AT$500="Fail"))</f>
        <v/>
      </c>
      <c r="I27" s="53">
        <f>SUMPRODUCT(--ISNUMBER(SEARCH(", "&amp;$B27&amp;", ",", "&amp;'Hoạt động (Đơn của tôi)'!$B$7:$B$500&amp;", ")),--('Hoạt động (Đơn của tôi)'!$AT$7:$AT$500="Block"))+SUMPRODUCT(--ISNUMBER(SEARCH(", "&amp;$B27&amp;", ",", "&amp;'Ghép nối'!$B$7:$B$500&amp;", ")),--('Ghép nối'!$AT$7:$AT$500="Block"))+SUMPRODUCT(--ISNUMBER(SEARCH(", "&amp;$B27&amp;", ",", "&amp;'Huỷ đơn - Huỷ nhận đơn'!$B$7:$B$500&amp;", ")),--('Huỷ đơn - Huỷ nhận đơn'!$AT$7:$AT$500="Block"))+SUMPRODUCT(--ISNUMBER(SEARCH(", "&amp;$B27&amp;", ",", "&amp;'Giao nhận &amp; Theo dõi đơn'!$B$7:$B$500&amp;", ")),--('Giao nhận &amp; Theo dõi đơn'!$AT$7:$AT$500="Block"))+SUMPRODUCT(--ISNUMBER(SEARCH(", "&amp;$B27&amp;", ",", "&amp;'Bảng tin &amp; Chi tiết tin'!$B$7:$B$500&amp;", ")),--('Bảng tin &amp; Chi tiết tin'!$AT$7:$AT$500="Block"))+SUMPRODUCT(--ISNUMBER(SEARCH(", "&amp;$B27&amp;", ",", "&amp;'Quà cảm ơn'!$B$7:$B$500&amp;", ")),--('Quà cảm ơn'!$AT$7:$AT$500="Block"))+SUMPRODUCT(--ISNUMBER(SEARCH(", "&amp;$B27&amp;", ",", "&amp;'Trang chủ'!$B$7:$B$500&amp;", ")),--('Trang chủ'!$AT$7:$AT$500="Block"))+SUMPRODUCT(--ISNUMBER(SEARCH(", "&amp;$B27&amp;", ",", "&amp;'Thông báo'!$B$7:$B$500&amp;", ")),--('Thông báo'!$AT$7:$AT$500="Block"))+SUMPRODUCT(--ISNUMBER(SEARCH(", "&amp;$B27&amp;", ",", "&amp;'Đăng tin &amp; Quản lý tin'!$B$7:$B$500&amp;", ")),--('Đăng tin &amp; Quản lý tin'!$AT$7:$AT$500="Block"))+SUMPRODUCT(--ISNUMBER(SEARCH(", "&amp;$B27&amp;", ",", "&amp;'Trust &amp; Safety'!$B$7:$B$500&amp;", ")),--('Trust &amp; Safety'!$AT$7:$AT$500="Block"))+SUMPRODUCT(--ISNUMBER(SEARCH(", "&amp;$B27&amp;", ",", "&amp;'Tài khoản &amp; Hồ sơ'!$B$7:$B$500&amp;", ")),--('Tài khoản &amp; Hồ sơ'!$AT$7:$AT$500="Block"))</f>
        <v/>
      </c>
      <c r="J27" s="53">
        <f>SUMPRODUCT(--ISNUMBER(SEARCH(", "&amp;$B27&amp;", ",", "&amp;'Hoạt động (Đơn của tôi)'!$B$7:$B$500&amp;", ")),--('Hoạt động (Đơn của tôi)'!$AT$7:$AT$500="N/A"))+SUMPRODUCT(--ISNUMBER(SEARCH(", "&amp;$B27&amp;", ",", "&amp;'Ghép nối'!$B$7:$B$500&amp;", ")),--('Ghép nối'!$AT$7:$AT$500="N/A"))+SUMPRODUCT(--ISNUMBER(SEARCH(", "&amp;$B27&amp;", ",", "&amp;'Huỷ đơn - Huỷ nhận đơn'!$B$7:$B$500&amp;", ")),--('Huỷ đơn - Huỷ nhận đơn'!$AT$7:$AT$500="N/A"))+SUMPRODUCT(--ISNUMBER(SEARCH(", "&amp;$B27&amp;", ",", "&amp;'Giao nhận &amp; Theo dõi đơn'!$B$7:$B$500&amp;", ")),--('Giao nhận &amp; Theo dõi đơn'!$AT$7:$AT$500="N/A"))+SUMPRODUCT(--ISNUMBER(SEARCH(", "&amp;$B27&amp;", ",", "&amp;'Bảng tin &amp; Chi tiết tin'!$B$7:$B$500&amp;", ")),--('Bảng tin &amp; Chi tiết tin'!$AT$7:$AT$500="N/A"))+SUMPRODUCT(--ISNUMBER(SEARCH(", "&amp;$B27&amp;", ",", "&amp;'Quà cảm ơn'!$B$7:$B$500&amp;", ")),--('Quà cảm ơn'!$AT$7:$AT$500="N/A"))+SUMPRODUCT(--ISNUMBER(SEARCH(", "&amp;$B27&amp;", ",", "&amp;'Trang chủ'!$B$7:$B$500&amp;", ")),--('Trang chủ'!$AT$7:$AT$500="N/A"))+SUMPRODUCT(--ISNUMBER(SEARCH(", "&amp;$B27&amp;", ",", "&amp;'Thông báo'!$B$7:$B$500&amp;", ")),--('Thông báo'!$AT$7:$AT$500="N/A"))+SUMPRODUCT(--ISNUMBER(SEARCH(", "&amp;$B27&amp;", ",", "&amp;'Đăng tin &amp; Quản lý tin'!$B$7:$B$500&amp;", ")),--('Đăng tin &amp; Quản lý tin'!$AT$7:$AT$500="N/A"))+SUMPRODUCT(--ISNUMBER(SEARCH(", "&amp;$B27&amp;", ",", "&amp;'Trust &amp; Safety'!$B$7:$B$500&amp;", ")),--('Trust &amp; Safety'!$AT$7:$AT$500="N/A"))+SUMPRODUCT(--ISNUMBER(SEARCH(", "&amp;$B27&amp;", ",", "&amp;'Tài khoản &amp; Hồ sơ'!$B$7:$B$500&amp;", ")),--('Tài khoản &amp; Hồ sơ'!$AT$7:$AT$500="N/A"))</f>
        <v/>
      </c>
      <c r="K27" s="54">
        <f>IFERROR(F27/E27,0)</f>
        <v/>
      </c>
      <c r="L27" s="113">
        <f>IF(E27=0,"Chưa có TC (gap)",IF(H27&gt;0,"Có lỗi (Fail)",IF(I27&gt;0,"Bị block",IF(F27&lt;E27,"Đang test",IF(G27=0,"Không áp dụng (N/A)","Đã test xong")))))</f>
        <v/>
      </c>
      <c r="AB27" t="inlineStr">
        <is>
          <t>REQ-ASN</t>
        </is>
      </c>
    </row>
    <row r="28" ht="15.75" customHeight="1" s="216">
      <c r="A28" s="1" t="n"/>
      <c r="B28" s="112" t="inlineStr">
        <is>
          <t>REQ-ASN-012</t>
        </is>
      </c>
      <c r="C28" s="261" t="inlineStr"/>
      <c r="D28" s="113" t="inlineStr">
        <is>
          <t>DOC-v1.0-06</t>
        </is>
      </c>
      <c r="E28" s="53">
        <f>SUMPRODUCT(--ISNUMBER(SEARCH(", "&amp;$B28&amp;", ",", "&amp;'Hoạt động (Đơn của tôi)'!$B$7:$B$500&amp;", ")))+SUMPRODUCT(--ISNUMBER(SEARCH(", "&amp;$B28&amp;", ",", "&amp;'Ghép nối'!$B$7:$B$500&amp;", ")))+SUMPRODUCT(--ISNUMBER(SEARCH(", "&amp;$B28&amp;", ",", "&amp;'Huỷ đơn - Huỷ nhận đơn'!$B$7:$B$500&amp;", ")))+SUMPRODUCT(--ISNUMBER(SEARCH(", "&amp;$B28&amp;", ",", "&amp;'Giao nhận &amp; Theo dõi đơn'!$B$7:$B$500&amp;", ")))+SUMPRODUCT(--ISNUMBER(SEARCH(", "&amp;$B28&amp;", ",", "&amp;'Bảng tin &amp; Chi tiết tin'!$B$7:$B$500&amp;", ")))+SUMPRODUCT(--ISNUMBER(SEARCH(", "&amp;$B28&amp;", ",", "&amp;'Quà cảm ơn'!$B$7:$B$500&amp;", ")))+SUMPRODUCT(--ISNUMBER(SEARCH(", "&amp;$B28&amp;", ",", "&amp;'Trang chủ'!$B$7:$B$500&amp;", ")))+SUMPRODUCT(--ISNUMBER(SEARCH(", "&amp;$B28&amp;", ",", "&amp;'Thông báo'!$B$7:$B$500&amp;", ")))+SUMPRODUCT(--ISNUMBER(SEARCH(", "&amp;$B28&amp;", ",", "&amp;'Đăng tin &amp; Quản lý tin'!$B$7:$B$500&amp;", ")))+SUMPRODUCT(--ISNUMBER(SEARCH(", "&amp;$B28&amp;", ",", "&amp;'Trust &amp; Safety'!$B$7:$B$500&amp;", ")))+SUMPRODUCT(--ISNUMBER(SEARCH(", "&amp;$B28&amp;", ",", "&amp;'Tài khoản &amp; Hồ sơ'!$B$7:$B$500&amp;", ")))</f>
        <v/>
      </c>
      <c r="F28" s="53">
        <f>SUMPRODUCT(--ISNUMBER(SEARCH(", "&amp;$B28&amp;", ",", "&amp;'Hoạt động (Đơn của tôi)'!$B$7:$B$500&amp;", ")),--('Hoạt động (Đơn của tôi)'!$AT$7:$AT$500&lt;&gt;""))+SUMPRODUCT(--ISNUMBER(SEARCH(", "&amp;$B28&amp;", ",", "&amp;'Ghép nối'!$B$7:$B$500&amp;", ")),--('Ghép nối'!$AT$7:$AT$500&lt;&gt;""))+SUMPRODUCT(--ISNUMBER(SEARCH(", "&amp;$B28&amp;", ",", "&amp;'Huỷ đơn - Huỷ nhận đơn'!$B$7:$B$500&amp;", ")),--('Huỷ đơn - Huỷ nhận đơn'!$AT$7:$AT$500&lt;&gt;""))+SUMPRODUCT(--ISNUMBER(SEARCH(", "&amp;$B28&amp;", ",", "&amp;'Giao nhận &amp; Theo dõi đơn'!$B$7:$B$500&amp;", ")),--('Giao nhận &amp; Theo dõi đơn'!$AT$7:$AT$500&lt;&gt;""))+SUMPRODUCT(--ISNUMBER(SEARCH(", "&amp;$B28&amp;", ",", "&amp;'Bảng tin &amp; Chi tiết tin'!$B$7:$B$500&amp;", ")),--('Bảng tin &amp; Chi tiết tin'!$AT$7:$AT$500&lt;&gt;""))+SUMPRODUCT(--ISNUMBER(SEARCH(", "&amp;$B28&amp;", ",", "&amp;'Quà cảm ơn'!$B$7:$B$500&amp;", ")),--('Quà cảm ơn'!$AT$7:$AT$500&lt;&gt;""))+SUMPRODUCT(--ISNUMBER(SEARCH(", "&amp;$B28&amp;", ",", "&amp;'Trang chủ'!$B$7:$B$500&amp;", ")),--('Trang chủ'!$AT$7:$AT$500&lt;&gt;""))+SUMPRODUCT(--ISNUMBER(SEARCH(", "&amp;$B28&amp;", ",", "&amp;'Thông báo'!$B$7:$B$500&amp;", ")),--('Thông báo'!$AT$7:$AT$500&lt;&gt;""))+SUMPRODUCT(--ISNUMBER(SEARCH(", "&amp;$B28&amp;", ",", "&amp;'Đăng tin &amp; Quản lý tin'!$B$7:$B$500&amp;", ")),--('Đăng tin &amp; Quản lý tin'!$AT$7:$AT$500&lt;&gt;""))+SUMPRODUCT(--ISNUMBER(SEARCH(", "&amp;$B28&amp;", ",", "&amp;'Trust &amp; Safety'!$B$7:$B$500&amp;", ")),--('Trust &amp; Safety'!$AT$7:$AT$500&lt;&gt;""))+SUMPRODUCT(--ISNUMBER(SEARCH(", "&amp;$B28&amp;", ",", "&amp;'Tài khoản &amp; Hồ sơ'!$B$7:$B$500&amp;", ")),--('Tài khoản &amp; Hồ sơ'!$AT$7:$AT$500&lt;&gt;""))</f>
        <v/>
      </c>
      <c r="G28" s="53">
        <f>SUMPRODUCT(--ISNUMBER(SEARCH(", "&amp;$B28&amp;", ",", "&amp;'Hoạt động (Đơn của tôi)'!$B$7:$B$500&amp;", ")),--('Hoạt động (Đơn của tôi)'!$AT$7:$AT$500="Pass"))+SUMPRODUCT(--ISNUMBER(SEARCH(", "&amp;$B28&amp;", ",", "&amp;'Ghép nối'!$B$7:$B$500&amp;", ")),--('Ghép nối'!$AT$7:$AT$500="Pass"))+SUMPRODUCT(--ISNUMBER(SEARCH(", "&amp;$B28&amp;", ",", "&amp;'Huỷ đơn - Huỷ nhận đơn'!$B$7:$B$500&amp;", ")),--('Huỷ đơn - Huỷ nhận đơn'!$AT$7:$AT$500="Pass"))+SUMPRODUCT(--ISNUMBER(SEARCH(", "&amp;$B28&amp;", ",", "&amp;'Giao nhận &amp; Theo dõi đơn'!$B$7:$B$500&amp;", ")),--('Giao nhận &amp; Theo dõi đơn'!$AT$7:$AT$500="Pass"))+SUMPRODUCT(--ISNUMBER(SEARCH(", "&amp;$B28&amp;", ",", "&amp;'Bảng tin &amp; Chi tiết tin'!$B$7:$B$500&amp;", ")),--('Bảng tin &amp; Chi tiết tin'!$AT$7:$AT$500="Pass"))+SUMPRODUCT(--ISNUMBER(SEARCH(", "&amp;$B28&amp;", ",", "&amp;'Quà cảm ơn'!$B$7:$B$500&amp;", ")),--('Quà cảm ơn'!$AT$7:$AT$500="Pass"))+SUMPRODUCT(--ISNUMBER(SEARCH(", "&amp;$B28&amp;", ",", "&amp;'Trang chủ'!$B$7:$B$500&amp;", ")),--('Trang chủ'!$AT$7:$AT$500="Pass"))+SUMPRODUCT(--ISNUMBER(SEARCH(", "&amp;$B28&amp;", ",", "&amp;'Thông báo'!$B$7:$B$500&amp;", ")),--('Thông báo'!$AT$7:$AT$500="Pass"))+SUMPRODUCT(--ISNUMBER(SEARCH(", "&amp;$B28&amp;", ",", "&amp;'Đăng tin &amp; Quản lý tin'!$B$7:$B$500&amp;", ")),--('Đăng tin &amp; Quản lý tin'!$AT$7:$AT$500="Pass"))+SUMPRODUCT(--ISNUMBER(SEARCH(", "&amp;$B28&amp;", ",", "&amp;'Trust &amp; Safety'!$B$7:$B$500&amp;", ")),--('Trust &amp; Safety'!$AT$7:$AT$500="Pass"))+SUMPRODUCT(--ISNUMBER(SEARCH(", "&amp;$B28&amp;", ",", "&amp;'Tài khoản &amp; Hồ sơ'!$B$7:$B$500&amp;", ")),--('Tài khoản &amp; Hồ sơ'!$AT$7:$AT$500="Pass"))</f>
        <v/>
      </c>
      <c r="H28" s="53">
        <f>SUMPRODUCT(--ISNUMBER(SEARCH(", "&amp;$B28&amp;", ",", "&amp;'Hoạt động (Đơn của tôi)'!$B$7:$B$500&amp;", ")),--('Hoạt động (Đơn của tôi)'!$AT$7:$AT$500="Fail"))+SUMPRODUCT(--ISNUMBER(SEARCH(", "&amp;$B28&amp;", ",", "&amp;'Ghép nối'!$B$7:$B$500&amp;", ")),--('Ghép nối'!$AT$7:$AT$500="Fail"))+SUMPRODUCT(--ISNUMBER(SEARCH(", "&amp;$B28&amp;", ",", "&amp;'Huỷ đơn - Huỷ nhận đơn'!$B$7:$B$500&amp;", ")),--('Huỷ đơn - Huỷ nhận đơn'!$AT$7:$AT$500="Fail"))+SUMPRODUCT(--ISNUMBER(SEARCH(", "&amp;$B28&amp;", ",", "&amp;'Giao nhận &amp; Theo dõi đơn'!$B$7:$B$500&amp;", ")),--('Giao nhận &amp; Theo dõi đơn'!$AT$7:$AT$500="Fail"))+SUMPRODUCT(--ISNUMBER(SEARCH(", "&amp;$B28&amp;", ",", "&amp;'Bảng tin &amp; Chi tiết tin'!$B$7:$B$500&amp;", ")),--('Bảng tin &amp; Chi tiết tin'!$AT$7:$AT$500="Fail"))+SUMPRODUCT(--ISNUMBER(SEARCH(", "&amp;$B28&amp;", ",", "&amp;'Quà cảm ơn'!$B$7:$B$500&amp;", ")),--('Quà cảm ơn'!$AT$7:$AT$500="Fail"))+SUMPRODUCT(--ISNUMBER(SEARCH(", "&amp;$B28&amp;", ",", "&amp;'Trang chủ'!$B$7:$B$500&amp;", ")),--('Trang chủ'!$AT$7:$AT$500="Fail"))+SUMPRODUCT(--ISNUMBER(SEARCH(", "&amp;$B28&amp;", ",", "&amp;'Thông báo'!$B$7:$B$500&amp;", ")),--('Thông báo'!$AT$7:$AT$500="Fail"))+SUMPRODUCT(--ISNUMBER(SEARCH(", "&amp;$B28&amp;", ",", "&amp;'Đăng tin &amp; Quản lý tin'!$B$7:$B$500&amp;", ")),--('Đăng tin &amp; Quản lý tin'!$AT$7:$AT$500="Fail"))+SUMPRODUCT(--ISNUMBER(SEARCH(", "&amp;$B28&amp;", ",", "&amp;'Trust &amp; Safety'!$B$7:$B$500&amp;", ")),--('Trust &amp; Safety'!$AT$7:$AT$500="Fail"))+SUMPRODUCT(--ISNUMBER(SEARCH(", "&amp;$B28&amp;", ",", "&amp;'Tài khoản &amp; Hồ sơ'!$B$7:$B$500&amp;", ")),--('Tài khoản &amp; Hồ sơ'!$AT$7:$AT$500="Fail"))</f>
        <v/>
      </c>
      <c r="I28" s="53">
        <f>SUMPRODUCT(--ISNUMBER(SEARCH(", "&amp;$B28&amp;", ",", "&amp;'Hoạt động (Đơn của tôi)'!$B$7:$B$500&amp;", ")),--('Hoạt động (Đơn của tôi)'!$AT$7:$AT$500="Block"))+SUMPRODUCT(--ISNUMBER(SEARCH(", "&amp;$B28&amp;", ",", "&amp;'Ghép nối'!$B$7:$B$500&amp;", ")),--('Ghép nối'!$AT$7:$AT$500="Block"))+SUMPRODUCT(--ISNUMBER(SEARCH(", "&amp;$B28&amp;", ",", "&amp;'Huỷ đơn - Huỷ nhận đơn'!$B$7:$B$500&amp;", ")),--('Huỷ đơn - Huỷ nhận đơn'!$AT$7:$AT$500="Block"))+SUMPRODUCT(--ISNUMBER(SEARCH(", "&amp;$B28&amp;", ",", "&amp;'Giao nhận &amp; Theo dõi đơn'!$B$7:$B$500&amp;", ")),--('Giao nhận &amp; Theo dõi đơn'!$AT$7:$AT$500="Block"))+SUMPRODUCT(--ISNUMBER(SEARCH(", "&amp;$B28&amp;", ",", "&amp;'Bảng tin &amp; Chi tiết tin'!$B$7:$B$500&amp;", ")),--('Bảng tin &amp; Chi tiết tin'!$AT$7:$AT$500="Block"))+SUMPRODUCT(--ISNUMBER(SEARCH(", "&amp;$B28&amp;", ",", "&amp;'Quà cảm ơn'!$B$7:$B$500&amp;", ")),--('Quà cảm ơn'!$AT$7:$AT$500="Block"))+SUMPRODUCT(--ISNUMBER(SEARCH(", "&amp;$B28&amp;", ",", "&amp;'Trang chủ'!$B$7:$B$500&amp;", ")),--('Trang chủ'!$AT$7:$AT$500="Block"))+SUMPRODUCT(--ISNUMBER(SEARCH(", "&amp;$B28&amp;", ",", "&amp;'Thông báo'!$B$7:$B$500&amp;", ")),--('Thông báo'!$AT$7:$AT$500="Block"))+SUMPRODUCT(--ISNUMBER(SEARCH(", "&amp;$B28&amp;", ",", "&amp;'Đăng tin &amp; Quản lý tin'!$B$7:$B$500&amp;", ")),--('Đăng tin &amp; Quản lý tin'!$AT$7:$AT$500="Block"))+SUMPRODUCT(--ISNUMBER(SEARCH(", "&amp;$B28&amp;", ",", "&amp;'Trust &amp; Safety'!$B$7:$B$500&amp;", ")),--('Trust &amp; Safety'!$AT$7:$AT$500="Block"))+SUMPRODUCT(--ISNUMBER(SEARCH(", "&amp;$B28&amp;", ",", "&amp;'Tài khoản &amp; Hồ sơ'!$B$7:$B$500&amp;", ")),--('Tài khoản &amp; Hồ sơ'!$AT$7:$AT$500="Block"))</f>
        <v/>
      </c>
      <c r="J28" s="53">
        <f>SUMPRODUCT(--ISNUMBER(SEARCH(", "&amp;$B28&amp;", ",", "&amp;'Hoạt động (Đơn của tôi)'!$B$7:$B$500&amp;", ")),--('Hoạt động (Đơn của tôi)'!$AT$7:$AT$500="N/A"))+SUMPRODUCT(--ISNUMBER(SEARCH(", "&amp;$B28&amp;", ",", "&amp;'Ghép nối'!$B$7:$B$500&amp;", ")),--('Ghép nối'!$AT$7:$AT$500="N/A"))+SUMPRODUCT(--ISNUMBER(SEARCH(", "&amp;$B28&amp;", ",", "&amp;'Huỷ đơn - Huỷ nhận đơn'!$B$7:$B$500&amp;", ")),--('Huỷ đơn - Huỷ nhận đơn'!$AT$7:$AT$500="N/A"))+SUMPRODUCT(--ISNUMBER(SEARCH(", "&amp;$B28&amp;", ",", "&amp;'Giao nhận &amp; Theo dõi đơn'!$B$7:$B$500&amp;", ")),--('Giao nhận &amp; Theo dõi đơn'!$AT$7:$AT$500="N/A"))+SUMPRODUCT(--ISNUMBER(SEARCH(", "&amp;$B28&amp;", ",", "&amp;'Bảng tin &amp; Chi tiết tin'!$B$7:$B$500&amp;", ")),--('Bảng tin &amp; Chi tiết tin'!$AT$7:$AT$500="N/A"))+SUMPRODUCT(--ISNUMBER(SEARCH(", "&amp;$B28&amp;", ",", "&amp;'Quà cảm ơn'!$B$7:$B$500&amp;", ")),--('Quà cảm ơn'!$AT$7:$AT$500="N/A"))+SUMPRODUCT(--ISNUMBER(SEARCH(", "&amp;$B28&amp;", ",", "&amp;'Trang chủ'!$B$7:$B$500&amp;", ")),--('Trang chủ'!$AT$7:$AT$500="N/A"))+SUMPRODUCT(--ISNUMBER(SEARCH(", "&amp;$B28&amp;", ",", "&amp;'Thông báo'!$B$7:$B$500&amp;", ")),--('Thông báo'!$AT$7:$AT$500="N/A"))+SUMPRODUCT(--ISNUMBER(SEARCH(", "&amp;$B28&amp;", ",", "&amp;'Đăng tin &amp; Quản lý tin'!$B$7:$B$500&amp;", ")),--('Đăng tin &amp; Quản lý tin'!$AT$7:$AT$500="N/A"))+SUMPRODUCT(--ISNUMBER(SEARCH(", "&amp;$B28&amp;", ",", "&amp;'Trust &amp; Safety'!$B$7:$B$500&amp;", ")),--('Trust &amp; Safety'!$AT$7:$AT$500="N/A"))+SUMPRODUCT(--ISNUMBER(SEARCH(", "&amp;$B28&amp;", ",", "&amp;'Tài khoản &amp; Hồ sơ'!$B$7:$B$500&amp;", ")),--('Tài khoản &amp; Hồ sơ'!$AT$7:$AT$500="N/A"))</f>
        <v/>
      </c>
      <c r="K28" s="54">
        <f>IFERROR(F28/E28,0)</f>
        <v/>
      </c>
      <c r="L28" s="113">
        <f>IF(E28=0,"Chưa có TC (gap)",IF(H28&gt;0,"Có lỗi (Fail)",IF(I28&gt;0,"Bị block",IF(F28&lt;E28,"Đang test",IF(G28=0,"Không áp dụng (N/A)","Đã test xong")))))</f>
        <v/>
      </c>
      <c r="AB28" t="inlineStr">
        <is>
          <t>REQ-ASN</t>
        </is>
      </c>
    </row>
    <row r="29" ht="15.75" customHeight="1" s="216">
      <c r="A29" s="1" t="n"/>
      <c r="B29" s="112" t="inlineStr">
        <is>
          <t>REQ-CNL-002</t>
        </is>
      </c>
      <c r="C29" s="261" t="inlineStr">
        <is>
          <t>Nguồn (v1.0) — `DOC-v1.0-01 §D8.3 VAL-04 · L395`: "Huỷ đơn: bắt buộc lý do ≥ 5 ký tự mới bật nút xác nhận.</t>
        </is>
      </c>
      <c r="D29" s="113" t="inlineStr">
        <is>
          <t>DOC-v1.1-01 §8.18.2 VAL-03/VAL-04 · trang 52</t>
        </is>
      </c>
      <c r="E29" s="53">
        <f>SUMPRODUCT(--ISNUMBER(SEARCH(", "&amp;$B29&amp;", ",", "&amp;'Hoạt động (Đơn của tôi)'!$B$7:$B$500&amp;", ")))+SUMPRODUCT(--ISNUMBER(SEARCH(", "&amp;$B29&amp;", ",", "&amp;'Ghép nối'!$B$7:$B$500&amp;", ")))+SUMPRODUCT(--ISNUMBER(SEARCH(", "&amp;$B29&amp;", ",", "&amp;'Huỷ đơn - Huỷ nhận đơn'!$B$7:$B$500&amp;", ")))+SUMPRODUCT(--ISNUMBER(SEARCH(", "&amp;$B29&amp;", ",", "&amp;'Giao nhận &amp; Theo dõi đơn'!$B$7:$B$500&amp;", ")))+SUMPRODUCT(--ISNUMBER(SEARCH(", "&amp;$B29&amp;", ",", "&amp;'Bảng tin &amp; Chi tiết tin'!$B$7:$B$500&amp;", ")))+SUMPRODUCT(--ISNUMBER(SEARCH(", "&amp;$B29&amp;", ",", "&amp;'Quà cảm ơn'!$B$7:$B$500&amp;", ")))+SUMPRODUCT(--ISNUMBER(SEARCH(", "&amp;$B29&amp;", ",", "&amp;'Trang chủ'!$B$7:$B$500&amp;", ")))+SUMPRODUCT(--ISNUMBER(SEARCH(", "&amp;$B29&amp;", ",", "&amp;'Thông báo'!$B$7:$B$500&amp;", ")))+SUMPRODUCT(--ISNUMBER(SEARCH(", "&amp;$B29&amp;", ",", "&amp;'Đăng tin &amp; Quản lý tin'!$B$7:$B$500&amp;", ")))+SUMPRODUCT(--ISNUMBER(SEARCH(", "&amp;$B29&amp;", ",", "&amp;'Trust &amp; Safety'!$B$7:$B$500&amp;", ")))+SUMPRODUCT(--ISNUMBER(SEARCH(", "&amp;$B29&amp;", ",", "&amp;'Tài khoản &amp; Hồ sơ'!$B$7:$B$500&amp;", ")))</f>
        <v/>
      </c>
      <c r="F29" s="53">
        <f>SUMPRODUCT(--ISNUMBER(SEARCH(", "&amp;$B29&amp;", ",", "&amp;'Hoạt động (Đơn của tôi)'!$B$7:$B$500&amp;", ")),--('Hoạt động (Đơn của tôi)'!$AT$7:$AT$500&lt;&gt;""))+SUMPRODUCT(--ISNUMBER(SEARCH(", "&amp;$B29&amp;", ",", "&amp;'Ghép nối'!$B$7:$B$500&amp;", ")),--('Ghép nối'!$AT$7:$AT$500&lt;&gt;""))+SUMPRODUCT(--ISNUMBER(SEARCH(", "&amp;$B29&amp;", ",", "&amp;'Huỷ đơn - Huỷ nhận đơn'!$B$7:$B$500&amp;", ")),--('Huỷ đơn - Huỷ nhận đơn'!$AT$7:$AT$500&lt;&gt;""))+SUMPRODUCT(--ISNUMBER(SEARCH(", "&amp;$B29&amp;", ",", "&amp;'Giao nhận &amp; Theo dõi đơn'!$B$7:$B$500&amp;", ")),--('Giao nhận &amp; Theo dõi đơn'!$AT$7:$AT$500&lt;&gt;""))+SUMPRODUCT(--ISNUMBER(SEARCH(", "&amp;$B29&amp;", ",", "&amp;'Bảng tin &amp; Chi tiết tin'!$B$7:$B$500&amp;", ")),--('Bảng tin &amp; Chi tiết tin'!$AT$7:$AT$500&lt;&gt;""))+SUMPRODUCT(--ISNUMBER(SEARCH(", "&amp;$B29&amp;", ",", "&amp;'Quà cảm ơn'!$B$7:$B$500&amp;", ")),--('Quà cảm ơn'!$AT$7:$AT$500&lt;&gt;""))+SUMPRODUCT(--ISNUMBER(SEARCH(", "&amp;$B29&amp;", ",", "&amp;'Trang chủ'!$B$7:$B$500&amp;", ")),--('Trang chủ'!$AT$7:$AT$500&lt;&gt;""))+SUMPRODUCT(--ISNUMBER(SEARCH(", "&amp;$B29&amp;", ",", "&amp;'Thông báo'!$B$7:$B$500&amp;", ")),--('Thông báo'!$AT$7:$AT$500&lt;&gt;""))+SUMPRODUCT(--ISNUMBER(SEARCH(", "&amp;$B29&amp;", ",", "&amp;'Đăng tin &amp; Quản lý tin'!$B$7:$B$500&amp;", ")),--('Đăng tin &amp; Quản lý tin'!$AT$7:$AT$500&lt;&gt;""))+SUMPRODUCT(--ISNUMBER(SEARCH(", "&amp;$B29&amp;", ",", "&amp;'Trust &amp; Safety'!$B$7:$B$500&amp;", ")),--('Trust &amp; Safety'!$AT$7:$AT$500&lt;&gt;""))+SUMPRODUCT(--ISNUMBER(SEARCH(", "&amp;$B29&amp;", ",", "&amp;'Tài khoản &amp; Hồ sơ'!$B$7:$B$500&amp;", ")),--('Tài khoản &amp; Hồ sơ'!$AT$7:$AT$500&lt;&gt;""))</f>
        <v/>
      </c>
      <c r="G29" s="53">
        <f>SUMPRODUCT(--ISNUMBER(SEARCH(", "&amp;$B29&amp;", ",", "&amp;'Hoạt động (Đơn của tôi)'!$B$7:$B$500&amp;", ")),--('Hoạt động (Đơn của tôi)'!$AT$7:$AT$500="Pass"))+SUMPRODUCT(--ISNUMBER(SEARCH(", "&amp;$B29&amp;", ",", "&amp;'Ghép nối'!$B$7:$B$500&amp;", ")),--('Ghép nối'!$AT$7:$AT$500="Pass"))+SUMPRODUCT(--ISNUMBER(SEARCH(", "&amp;$B29&amp;", ",", "&amp;'Huỷ đơn - Huỷ nhận đơn'!$B$7:$B$500&amp;", ")),--('Huỷ đơn - Huỷ nhận đơn'!$AT$7:$AT$500="Pass"))+SUMPRODUCT(--ISNUMBER(SEARCH(", "&amp;$B29&amp;", ",", "&amp;'Giao nhận &amp; Theo dõi đơn'!$B$7:$B$500&amp;", ")),--('Giao nhận &amp; Theo dõi đơn'!$AT$7:$AT$500="Pass"))+SUMPRODUCT(--ISNUMBER(SEARCH(", "&amp;$B29&amp;", ",", "&amp;'Bảng tin &amp; Chi tiết tin'!$B$7:$B$500&amp;", ")),--('Bảng tin &amp; Chi tiết tin'!$AT$7:$AT$500="Pass"))+SUMPRODUCT(--ISNUMBER(SEARCH(", "&amp;$B29&amp;", ",", "&amp;'Quà cảm ơn'!$B$7:$B$500&amp;", ")),--('Quà cảm ơn'!$AT$7:$AT$500="Pass"))+SUMPRODUCT(--ISNUMBER(SEARCH(", "&amp;$B29&amp;", ",", "&amp;'Trang chủ'!$B$7:$B$500&amp;", ")),--('Trang chủ'!$AT$7:$AT$500="Pass"))+SUMPRODUCT(--ISNUMBER(SEARCH(", "&amp;$B29&amp;", ",", "&amp;'Thông báo'!$B$7:$B$500&amp;", ")),--('Thông báo'!$AT$7:$AT$500="Pass"))+SUMPRODUCT(--ISNUMBER(SEARCH(", "&amp;$B29&amp;", ",", "&amp;'Đăng tin &amp; Quản lý tin'!$B$7:$B$500&amp;", ")),--('Đăng tin &amp; Quản lý tin'!$AT$7:$AT$500="Pass"))+SUMPRODUCT(--ISNUMBER(SEARCH(", "&amp;$B29&amp;", ",", "&amp;'Trust &amp; Safety'!$B$7:$B$500&amp;", ")),--('Trust &amp; Safety'!$AT$7:$AT$500="Pass"))+SUMPRODUCT(--ISNUMBER(SEARCH(", "&amp;$B29&amp;", ",", "&amp;'Tài khoản &amp; Hồ sơ'!$B$7:$B$500&amp;", ")),--('Tài khoản &amp; Hồ sơ'!$AT$7:$AT$500="Pass"))</f>
        <v/>
      </c>
      <c r="H29" s="53">
        <f>SUMPRODUCT(--ISNUMBER(SEARCH(", "&amp;$B29&amp;", ",", "&amp;'Hoạt động (Đơn của tôi)'!$B$7:$B$500&amp;", ")),--('Hoạt động (Đơn của tôi)'!$AT$7:$AT$500="Fail"))+SUMPRODUCT(--ISNUMBER(SEARCH(", "&amp;$B29&amp;", ",", "&amp;'Ghép nối'!$B$7:$B$500&amp;", ")),--('Ghép nối'!$AT$7:$AT$500="Fail"))+SUMPRODUCT(--ISNUMBER(SEARCH(", "&amp;$B29&amp;", ",", "&amp;'Huỷ đơn - Huỷ nhận đơn'!$B$7:$B$500&amp;", ")),--('Huỷ đơn - Huỷ nhận đơn'!$AT$7:$AT$500="Fail"))+SUMPRODUCT(--ISNUMBER(SEARCH(", "&amp;$B29&amp;", ",", "&amp;'Giao nhận &amp; Theo dõi đơn'!$B$7:$B$500&amp;", ")),--('Giao nhận &amp; Theo dõi đơn'!$AT$7:$AT$500="Fail"))+SUMPRODUCT(--ISNUMBER(SEARCH(", "&amp;$B29&amp;", ",", "&amp;'Bảng tin &amp; Chi tiết tin'!$B$7:$B$500&amp;", ")),--('Bảng tin &amp; Chi tiết tin'!$AT$7:$AT$500="Fail"))+SUMPRODUCT(--ISNUMBER(SEARCH(", "&amp;$B29&amp;", ",", "&amp;'Quà cảm ơn'!$B$7:$B$500&amp;", ")),--('Quà cảm ơn'!$AT$7:$AT$500="Fail"))+SUMPRODUCT(--ISNUMBER(SEARCH(", "&amp;$B29&amp;", ",", "&amp;'Trang chủ'!$B$7:$B$500&amp;", ")),--('Trang chủ'!$AT$7:$AT$500="Fail"))+SUMPRODUCT(--ISNUMBER(SEARCH(", "&amp;$B29&amp;", ",", "&amp;'Thông báo'!$B$7:$B$500&amp;", ")),--('Thông báo'!$AT$7:$AT$500="Fail"))+SUMPRODUCT(--ISNUMBER(SEARCH(", "&amp;$B29&amp;", ",", "&amp;'Đăng tin &amp; Quản lý tin'!$B$7:$B$500&amp;", ")),--('Đăng tin &amp; Quản lý tin'!$AT$7:$AT$500="Fail"))+SUMPRODUCT(--ISNUMBER(SEARCH(", "&amp;$B29&amp;", ",", "&amp;'Trust &amp; Safety'!$B$7:$B$500&amp;", ")),--('Trust &amp; Safety'!$AT$7:$AT$500="Fail"))+SUMPRODUCT(--ISNUMBER(SEARCH(", "&amp;$B29&amp;", ",", "&amp;'Tài khoản &amp; Hồ sơ'!$B$7:$B$500&amp;", ")),--('Tài khoản &amp; Hồ sơ'!$AT$7:$AT$500="Fail"))</f>
        <v/>
      </c>
      <c r="I29" s="53">
        <f>SUMPRODUCT(--ISNUMBER(SEARCH(", "&amp;$B29&amp;", ",", "&amp;'Hoạt động (Đơn của tôi)'!$B$7:$B$500&amp;", ")),--('Hoạt động (Đơn của tôi)'!$AT$7:$AT$500="Block"))+SUMPRODUCT(--ISNUMBER(SEARCH(", "&amp;$B29&amp;", ",", "&amp;'Ghép nối'!$B$7:$B$500&amp;", ")),--('Ghép nối'!$AT$7:$AT$500="Block"))+SUMPRODUCT(--ISNUMBER(SEARCH(", "&amp;$B29&amp;", ",", "&amp;'Huỷ đơn - Huỷ nhận đơn'!$B$7:$B$500&amp;", ")),--('Huỷ đơn - Huỷ nhận đơn'!$AT$7:$AT$500="Block"))+SUMPRODUCT(--ISNUMBER(SEARCH(", "&amp;$B29&amp;", ",", "&amp;'Giao nhận &amp; Theo dõi đơn'!$B$7:$B$500&amp;", ")),--('Giao nhận &amp; Theo dõi đơn'!$AT$7:$AT$500="Block"))+SUMPRODUCT(--ISNUMBER(SEARCH(", "&amp;$B29&amp;", ",", "&amp;'Bảng tin &amp; Chi tiết tin'!$B$7:$B$500&amp;", ")),--('Bảng tin &amp; Chi tiết tin'!$AT$7:$AT$500="Block"))+SUMPRODUCT(--ISNUMBER(SEARCH(", "&amp;$B29&amp;", ",", "&amp;'Quà cảm ơn'!$B$7:$B$500&amp;", ")),--('Quà cảm ơn'!$AT$7:$AT$500="Block"))+SUMPRODUCT(--ISNUMBER(SEARCH(", "&amp;$B29&amp;", ",", "&amp;'Trang chủ'!$B$7:$B$500&amp;", ")),--('Trang chủ'!$AT$7:$AT$500="Block"))+SUMPRODUCT(--ISNUMBER(SEARCH(", "&amp;$B29&amp;", ",", "&amp;'Thông báo'!$B$7:$B$500&amp;", ")),--('Thông báo'!$AT$7:$AT$500="Block"))+SUMPRODUCT(--ISNUMBER(SEARCH(", "&amp;$B29&amp;", ",", "&amp;'Đăng tin &amp; Quản lý tin'!$B$7:$B$500&amp;", ")),--('Đăng tin &amp; Quản lý tin'!$AT$7:$AT$500="Block"))+SUMPRODUCT(--ISNUMBER(SEARCH(", "&amp;$B29&amp;", ",", "&amp;'Trust &amp; Safety'!$B$7:$B$500&amp;", ")),--('Trust &amp; Safety'!$AT$7:$AT$500="Block"))+SUMPRODUCT(--ISNUMBER(SEARCH(", "&amp;$B29&amp;", ",", "&amp;'Tài khoản &amp; Hồ sơ'!$B$7:$B$500&amp;", ")),--('Tài khoản &amp; Hồ sơ'!$AT$7:$AT$500="Block"))</f>
        <v/>
      </c>
      <c r="J29" s="53">
        <f>SUMPRODUCT(--ISNUMBER(SEARCH(", "&amp;$B29&amp;", ",", "&amp;'Hoạt động (Đơn của tôi)'!$B$7:$B$500&amp;", ")),--('Hoạt động (Đơn của tôi)'!$AT$7:$AT$500="N/A"))+SUMPRODUCT(--ISNUMBER(SEARCH(", "&amp;$B29&amp;", ",", "&amp;'Ghép nối'!$B$7:$B$500&amp;", ")),--('Ghép nối'!$AT$7:$AT$500="N/A"))+SUMPRODUCT(--ISNUMBER(SEARCH(", "&amp;$B29&amp;", ",", "&amp;'Huỷ đơn - Huỷ nhận đơn'!$B$7:$B$500&amp;", ")),--('Huỷ đơn - Huỷ nhận đơn'!$AT$7:$AT$500="N/A"))+SUMPRODUCT(--ISNUMBER(SEARCH(", "&amp;$B29&amp;", ",", "&amp;'Giao nhận &amp; Theo dõi đơn'!$B$7:$B$500&amp;", ")),--('Giao nhận &amp; Theo dõi đơn'!$AT$7:$AT$500="N/A"))+SUMPRODUCT(--ISNUMBER(SEARCH(", "&amp;$B29&amp;", ",", "&amp;'Bảng tin &amp; Chi tiết tin'!$B$7:$B$500&amp;", ")),--('Bảng tin &amp; Chi tiết tin'!$AT$7:$AT$500="N/A"))+SUMPRODUCT(--ISNUMBER(SEARCH(", "&amp;$B29&amp;", ",", "&amp;'Quà cảm ơn'!$B$7:$B$500&amp;", ")),--('Quà cảm ơn'!$AT$7:$AT$500="N/A"))+SUMPRODUCT(--ISNUMBER(SEARCH(", "&amp;$B29&amp;", ",", "&amp;'Trang chủ'!$B$7:$B$500&amp;", ")),--('Trang chủ'!$AT$7:$AT$500="N/A"))+SUMPRODUCT(--ISNUMBER(SEARCH(", "&amp;$B29&amp;", ",", "&amp;'Thông báo'!$B$7:$B$500&amp;", ")),--('Thông báo'!$AT$7:$AT$500="N/A"))+SUMPRODUCT(--ISNUMBER(SEARCH(", "&amp;$B29&amp;", ",", "&amp;'Đăng tin &amp; Quản lý tin'!$B$7:$B$500&amp;", ")),--('Đăng tin &amp; Quản lý tin'!$AT$7:$AT$500="N/A"))+SUMPRODUCT(--ISNUMBER(SEARCH(", "&amp;$B29&amp;", ",", "&amp;'Trust &amp; Safety'!$B$7:$B$500&amp;", ")),--('Trust &amp; Safety'!$AT$7:$AT$500="N/A"))+SUMPRODUCT(--ISNUMBER(SEARCH(", "&amp;$B29&amp;", ",", "&amp;'Tài khoản &amp; Hồ sơ'!$B$7:$B$500&amp;", ")),--('Tài khoản &amp; Hồ sơ'!$AT$7:$AT$500="N/A"))</f>
        <v/>
      </c>
      <c r="K29" s="54">
        <f>IFERROR(F29/E29,0)</f>
        <v/>
      </c>
      <c r="L29" s="113">
        <f>IF(E29=0,"Chưa có TC (gap)",IF(H29&gt;0,"Có lỗi (Fail)",IF(I29&gt;0,"Bị block",IF(F29&lt;E29,"Đang test",IF(G29=0,"Không áp dụng (N/A)","Đã test xong")))))</f>
        <v/>
      </c>
      <c r="AB29" t="inlineStr">
        <is>
          <t>REQ-CNL</t>
        </is>
      </c>
    </row>
    <row r="30" ht="15.75" customHeight="1" s="216">
      <c r="A30" s="1" t="n"/>
      <c r="B30" s="112" t="inlineStr">
        <is>
          <t>REQ-CNL-003</t>
        </is>
      </c>
      <c r="C30" s="261" t="inlineStr">
        <is>
          <t>Nguồn (v1.0) — `DOC-v1.0-01 §D7 OPR-11 · L347`: "Sau khi người vận chuyển đã nhận hàng (IN_TRANSIT) thì KHÔNG ai được huỷ đơn thường.</t>
        </is>
      </c>
      <c r="D30" s="113" t="inlineStr">
        <is>
          <t>DOC-v1.1-01 §8.11 dòng Pre-Conditions · trang 44</t>
        </is>
      </c>
      <c r="E30" s="53">
        <f>SUMPRODUCT(--ISNUMBER(SEARCH(", "&amp;$B30&amp;", ",", "&amp;'Hoạt động (Đơn của tôi)'!$B$7:$B$500&amp;", ")))+SUMPRODUCT(--ISNUMBER(SEARCH(", "&amp;$B30&amp;", ",", "&amp;'Ghép nối'!$B$7:$B$500&amp;", ")))+SUMPRODUCT(--ISNUMBER(SEARCH(", "&amp;$B30&amp;", ",", "&amp;'Huỷ đơn - Huỷ nhận đơn'!$B$7:$B$500&amp;", ")))+SUMPRODUCT(--ISNUMBER(SEARCH(", "&amp;$B30&amp;", ",", "&amp;'Giao nhận &amp; Theo dõi đơn'!$B$7:$B$500&amp;", ")))+SUMPRODUCT(--ISNUMBER(SEARCH(", "&amp;$B30&amp;", ",", "&amp;'Bảng tin &amp; Chi tiết tin'!$B$7:$B$500&amp;", ")))+SUMPRODUCT(--ISNUMBER(SEARCH(", "&amp;$B30&amp;", ",", "&amp;'Quà cảm ơn'!$B$7:$B$500&amp;", ")))+SUMPRODUCT(--ISNUMBER(SEARCH(", "&amp;$B30&amp;", ",", "&amp;'Trang chủ'!$B$7:$B$500&amp;", ")))+SUMPRODUCT(--ISNUMBER(SEARCH(", "&amp;$B30&amp;", ",", "&amp;'Thông báo'!$B$7:$B$500&amp;", ")))+SUMPRODUCT(--ISNUMBER(SEARCH(", "&amp;$B30&amp;", ",", "&amp;'Đăng tin &amp; Quản lý tin'!$B$7:$B$500&amp;", ")))+SUMPRODUCT(--ISNUMBER(SEARCH(", "&amp;$B30&amp;", ",", "&amp;'Trust &amp; Safety'!$B$7:$B$500&amp;", ")))+SUMPRODUCT(--ISNUMBER(SEARCH(", "&amp;$B30&amp;", ",", "&amp;'Tài khoản &amp; Hồ sơ'!$B$7:$B$500&amp;", ")))</f>
        <v/>
      </c>
      <c r="F30" s="53">
        <f>SUMPRODUCT(--ISNUMBER(SEARCH(", "&amp;$B30&amp;", ",", "&amp;'Hoạt động (Đơn của tôi)'!$B$7:$B$500&amp;", ")),--('Hoạt động (Đơn của tôi)'!$AT$7:$AT$500&lt;&gt;""))+SUMPRODUCT(--ISNUMBER(SEARCH(", "&amp;$B30&amp;", ",", "&amp;'Ghép nối'!$B$7:$B$500&amp;", ")),--('Ghép nối'!$AT$7:$AT$500&lt;&gt;""))+SUMPRODUCT(--ISNUMBER(SEARCH(", "&amp;$B30&amp;", ",", "&amp;'Huỷ đơn - Huỷ nhận đơn'!$B$7:$B$500&amp;", ")),--('Huỷ đơn - Huỷ nhận đơn'!$AT$7:$AT$500&lt;&gt;""))+SUMPRODUCT(--ISNUMBER(SEARCH(", "&amp;$B30&amp;", ",", "&amp;'Giao nhận &amp; Theo dõi đơn'!$B$7:$B$500&amp;", ")),--('Giao nhận &amp; Theo dõi đơn'!$AT$7:$AT$500&lt;&gt;""))+SUMPRODUCT(--ISNUMBER(SEARCH(", "&amp;$B30&amp;", ",", "&amp;'Bảng tin &amp; Chi tiết tin'!$B$7:$B$500&amp;", ")),--('Bảng tin &amp; Chi tiết tin'!$AT$7:$AT$500&lt;&gt;""))+SUMPRODUCT(--ISNUMBER(SEARCH(", "&amp;$B30&amp;", ",", "&amp;'Quà cảm ơn'!$B$7:$B$500&amp;", ")),--('Quà cảm ơn'!$AT$7:$AT$500&lt;&gt;""))+SUMPRODUCT(--ISNUMBER(SEARCH(", "&amp;$B30&amp;", ",", "&amp;'Trang chủ'!$B$7:$B$500&amp;", ")),--('Trang chủ'!$AT$7:$AT$500&lt;&gt;""))+SUMPRODUCT(--ISNUMBER(SEARCH(", "&amp;$B30&amp;", ",", "&amp;'Thông báo'!$B$7:$B$500&amp;", ")),--('Thông báo'!$AT$7:$AT$500&lt;&gt;""))+SUMPRODUCT(--ISNUMBER(SEARCH(", "&amp;$B30&amp;", ",", "&amp;'Đăng tin &amp; Quản lý tin'!$B$7:$B$500&amp;", ")),--('Đăng tin &amp; Quản lý tin'!$AT$7:$AT$500&lt;&gt;""))+SUMPRODUCT(--ISNUMBER(SEARCH(", "&amp;$B30&amp;", ",", "&amp;'Trust &amp; Safety'!$B$7:$B$500&amp;", ")),--('Trust &amp; Safety'!$AT$7:$AT$500&lt;&gt;""))+SUMPRODUCT(--ISNUMBER(SEARCH(", "&amp;$B30&amp;", ",", "&amp;'Tài khoản &amp; Hồ sơ'!$B$7:$B$500&amp;", ")),--('Tài khoản &amp; Hồ sơ'!$AT$7:$AT$500&lt;&gt;""))</f>
        <v/>
      </c>
      <c r="G30" s="53">
        <f>SUMPRODUCT(--ISNUMBER(SEARCH(", "&amp;$B30&amp;", ",", "&amp;'Hoạt động (Đơn của tôi)'!$B$7:$B$500&amp;", ")),--('Hoạt động (Đơn của tôi)'!$AT$7:$AT$500="Pass"))+SUMPRODUCT(--ISNUMBER(SEARCH(", "&amp;$B30&amp;", ",", "&amp;'Ghép nối'!$B$7:$B$500&amp;", ")),--('Ghép nối'!$AT$7:$AT$500="Pass"))+SUMPRODUCT(--ISNUMBER(SEARCH(", "&amp;$B30&amp;", ",", "&amp;'Huỷ đơn - Huỷ nhận đơn'!$B$7:$B$500&amp;", ")),--('Huỷ đơn - Huỷ nhận đơn'!$AT$7:$AT$500="Pass"))+SUMPRODUCT(--ISNUMBER(SEARCH(", "&amp;$B30&amp;", ",", "&amp;'Giao nhận &amp; Theo dõi đơn'!$B$7:$B$500&amp;", ")),--('Giao nhận &amp; Theo dõi đơn'!$AT$7:$AT$500="Pass"))+SUMPRODUCT(--ISNUMBER(SEARCH(", "&amp;$B30&amp;", ",", "&amp;'Bảng tin &amp; Chi tiết tin'!$B$7:$B$500&amp;", ")),--('Bảng tin &amp; Chi tiết tin'!$AT$7:$AT$500="Pass"))+SUMPRODUCT(--ISNUMBER(SEARCH(", "&amp;$B30&amp;", ",", "&amp;'Quà cảm ơn'!$B$7:$B$500&amp;", ")),--('Quà cảm ơn'!$AT$7:$AT$500="Pass"))+SUMPRODUCT(--ISNUMBER(SEARCH(", "&amp;$B30&amp;", ",", "&amp;'Trang chủ'!$B$7:$B$500&amp;", ")),--('Trang chủ'!$AT$7:$AT$500="Pass"))+SUMPRODUCT(--ISNUMBER(SEARCH(", "&amp;$B30&amp;", ",", "&amp;'Thông báo'!$B$7:$B$500&amp;", ")),--('Thông báo'!$AT$7:$AT$500="Pass"))+SUMPRODUCT(--ISNUMBER(SEARCH(", "&amp;$B30&amp;", ",", "&amp;'Đăng tin &amp; Quản lý tin'!$B$7:$B$500&amp;", ")),--('Đăng tin &amp; Quản lý tin'!$AT$7:$AT$500="Pass"))+SUMPRODUCT(--ISNUMBER(SEARCH(", "&amp;$B30&amp;", ",", "&amp;'Trust &amp; Safety'!$B$7:$B$500&amp;", ")),--('Trust &amp; Safety'!$AT$7:$AT$500="Pass"))+SUMPRODUCT(--ISNUMBER(SEARCH(", "&amp;$B30&amp;", ",", "&amp;'Tài khoản &amp; Hồ sơ'!$B$7:$B$500&amp;", ")),--('Tài khoản &amp; Hồ sơ'!$AT$7:$AT$500="Pass"))</f>
        <v/>
      </c>
      <c r="H30" s="53">
        <f>SUMPRODUCT(--ISNUMBER(SEARCH(", "&amp;$B30&amp;", ",", "&amp;'Hoạt động (Đơn của tôi)'!$B$7:$B$500&amp;", ")),--('Hoạt động (Đơn của tôi)'!$AT$7:$AT$500="Fail"))+SUMPRODUCT(--ISNUMBER(SEARCH(", "&amp;$B30&amp;", ",", "&amp;'Ghép nối'!$B$7:$B$500&amp;", ")),--('Ghép nối'!$AT$7:$AT$500="Fail"))+SUMPRODUCT(--ISNUMBER(SEARCH(", "&amp;$B30&amp;", ",", "&amp;'Huỷ đơn - Huỷ nhận đơn'!$B$7:$B$500&amp;", ")),--('Huỷ đơn - Huỷ nhận đơn'!$AT$7:$AT$500="Fail"))+SUMPRODUCT(--ISNUMBER(SEARCH(", "&amp;$B30&amp;", ",", "&amp;'Giao nhận &amp; Theo dõi đơn'!$B$7:$B$500&amp;", ")),--('Giao nhận &amp; Theo dõi đơn'!$AT$7:$AT$500="Fail"))+SUMPRODUCT(--ISNUMBER(SEARCH(", "&amp;$B30&amp;", ",", "&amp;'Bảng tin &amp; Chi tiết tin'!$B$7:$B$500&amp;", ")),--('Bảng tin &amp; Chi tiết tin'!$AT$7:$AT$500="Fail"))+SUMPRODUCT(--ISNUMBER(SEARCH(", "&amp;$B30&amp;", ",", "&amp;'Quà cảm ơn'!$B$7:$B$500&amp;", ")),--('Quà cảm ơn'!$AT$7:$AT$500="Fail"))+SUMPRODUCT(--ISNUMBER(SEARCH(", "&amp;$B30&amp;", ",", "&amp;'Trang chủ'!$B$7:$B$500&amp;", ")),--('Trang chủ'!$AT$7:$AT$500="Fail"))+SUMPRODUCT(--ISNUMBER(SEARCH(", "&amp;$B30&amp;", ",", "&amp;'Thông báo'!$B$7:$B$500&amp;", ")),--('Thông báo'!$AT$7:$AT$500="Fail"))+SUMPRODUCT(--ISNUMBER(SEARCH(", "&amp;$B30&amp;", ",", "&amp;'Đăng tin &amp; Quản lý tin'!$B$7:$B$500&amp;", ")),--('Đăng tin &amp; Quản lý tin'!$AT$7:$AT$500="Fail"))+SUMPRODUCT(--ISNUMBER(SEARCH(", "&amp;$B30&amp;", ",", "&amp;'Trust &amp; Safety'!$B$7:$B$500&amp;", ")),--('Trust &amp; Safety'!$AT$7:$AT$500="Fail"))+SUMPRODUCT(--ISNUMBER(SEARCH(", "&amp;$B30&amp;", ",", "&amp;'Tài khoản &amp; Hồ sơ'!$B$7:$B$500&amp;", ")),--('Tài khoản &amp; Hồ sơ'!$AT$7:$AT$500="Fail"))</f>
        <v/>
      </c>
      <c r="I30" s="53">
        <f>SUMPRODUCT(--ISNUMBER(SEARCH(", "&amp;$B30&amp;", ",", "&amp;'Hoạt động (Đơn của tôi)'!$B$7:$B$500&amp;", ")),--('Hoạt động (Đơn của tôi)'!$AT$7:$AT$500="Block"))+SUMPRODUCT(--ISNUMBER(SEARCH(", "&amp;$B30&amp;", ",", "&amp;'Ghép nối'!$B$7:$B$500&amp;", ")),--('Ghép nối'!$AT$7:$AT$500="Block"))+SUMPRODUCT(--ISNUMBER(SEARCH(", "&amp;$B30&amp;", ",", "&amp;'Huỷ đơn - Huỷ nhận đơn'!$B$7:$B$500&amp;", ")),--('Huỷ đơn - Huỷ nhận đơn'!$AT$7:$AT$500="Block"))+SUMPRODUCT(--ISNUMBER(SEARCH(", "&amp;$B30&amp;", ",", "&amp;'Giao nhận &amp; Theo dõi đơn'!$B$7:$B$500&amp;", ")),--('Giao nhận &amp; Theo dõi đơn'!$AT$7:$AT$500="Block"))+SUMPRODUCT(--ISNUMBER(SEARCH(", "&amp;$B30&amp;", ",", "&amp;'Bảng tin &amp; Chi tiết tin'!$B$7:$B$500&amp;", ")),--('Bảng tin &amp; Chi tiết tin'!$AT$7:$AT$500="Block"))+SUMPRODUCT(--ISNUMBER(SEARCH(", "&amp;$B30&amp;", ",", "&amp;'Quà cảm ơn'!$B$7:$B$500&amp;", ")),--('Quà cảm ơn'!$AT$7:$AT$500="Block"))+SUMPRODUCT(--ISNUMBER(SEARCH(", "&amp;$B30&amp;", ",", "&amp;'Trang chủ'!$B$7:$B$500&amp;", ")),--('Trang chủ'!$AT$7:$AT$500="Block"))+SUMPRODUCT(--ISNUMBER(SEARCH(", "&amp;$B30&amp;", ",", "&amp;'Thông báo'!$B$7:$B$500&amp;", ")),--('Thông báo'!$AT$7:$AT$500="Block"))+SUMPRODUCT(--ISNUMBER(SEARCH(", "&amp;$B30&amp;", ",", "&amp;'Đăng tin &amp; Quản lý tin'!$B$7:$B$500&amp;", ")),--('Đăng tin &amp; Quản lý tin'!$AT$7:$AT$500="Block"))+SUMPRODUCT(--ISNUMBER(SEARCH(", "&amp;$B30&amp;", ",", "&amp;'Trust &amp; Safety'!$B$7:$B$500&amp;", ")),--('Trust &amp; Safety'!$AT$7:$AT$500="Block"))+SUMPRODUCT(--ISNUMBER(SEARCH(", "&amp;$B30&amp;", ",", "&amp;'Tài khoản &amp; Hồ sơ'!$B$7:$B$500&amp;", ")),--('Tài khoản &amp; Hồ sơ'!$AT$7:$AT$500="Block"))</f>
        <v/>
      </c>
      <c r="J30" s="53">
        <f>SUMPRODUCT(--ISNUMBER(SEARCH(", "&amp;$B30&amp;", ",", "&amp;'Hoạt động (Đơn của tôi)'!$B$7:$B$500&amp;", ")),--('Hoạt động (Đơn của tôi)'!$AT$7:$AT$500="N/A"))+SUMPRODUCT(--ISNUMBER(SEARCH(", "&amp;$B30&amp;", ",", "&amp;'Ghép nối'!$B$7:$B$500&amp;", ")),--('Ghép nối'!$AT$7:$AT$500="N/A"))+SUMPRODUCT(--ISNUMBER(SEARCH(", "&amp;$B30&amp;", ",", "&amp;'Huỷ đơn - Huỷ nhận đơn'!$B$7:$B$500&amp;", ")),--('Huỷ đơn - Huỷ nhận đơn'!$AT$7:$AT$500="N/A"))+SUMPRODUCT(--ISNUMBER(SEARCH(", "&amp;$B30&amp;", ",", "&amp;'Giao nhận &amp; Theo dõi đơn'!$B$7:$B$500&amp;", ")),--('Giao nhận &amp; Theo dõi đơn'!$AT$7:$AT$500="N/A"))+SUMPRODUCT(--ISNUMBER(SEARCH(", "&amp;$B30&amp;", ",", "&amp;'Bảng tin &amp; Chi tiết tin'!$B$7:$B$500&amp;", ")),--('Bảng tin &amp; Chi tiết tin'!$AT$7:$AT$500="N/A"))+SUMPRODUCT(--ISNUMBER(SEARCH(", "&amp;$B30&amp;", ",", "&amp;'Quà cảm ơn'!$B$7:$B$500&amp;", ")),--('Quà cảm ơn'!$AT$7:$AT$500="N/A"))+SUMPRODUCT(--ISNUMBER(SEARCH(", "&amp;$B30&amp;", ",", "&amp;'Trang chủ'!$B$7:$B$500&amp;", ")),--('Trang chủ'!$AT$7:$AT$500="N/A"))+SUMPRODUCT(--ISNUMBER(SEARCH(", "&amp;$B30&amp;", ",", "&amp;'Thông báo'!$B$7:$B$500&amp;", ")),--('Thông báo'!$AT$7:$AT$500="N/A"))+SUMPRODUCT(--ISNUMBER(SEARCH(", "&amp;$B30&amp;", ",", "&amp;'Đăng tin &amp; Quản lý tin'!$B$7:$B$500&amp;", ")),--('Đăng tin &amp; Quản lý tin'!$AT$7:$AT$500="N/A"))+SUMPRODUCT(--ISNUMBER(SEARCH(", "&amp;$B30&amp;", ",", "&amp;'Trust &amp; Safety'!$B$7:$B$500&amp;", ")),--('Trust &amp; Safety'!$AT$7:$AT$500="N/A"))+SUMPRODUCT(--ISNUMBER(SEARCH(", "&amp;$B30&amp;", ",", "&amp;'Tài khoản &amp; Hồ sơ'!$B$7:$B$500&amp;", ")),--('Tài khoản &amp; Hồ sơ'!$AT$7:$AT$500="N/A"))</f>
        <v/>
      </c>
      <c r="K30" s="54">
        <f>IFERROR(F30/E30,0)</f>
        <v/>
      </c>
      <c r="L30" s="113">
        <f>IF(E30=0,"Chưa có TC (gap)",IF(H30&gt;0,"Có lỗi (Fail)",IF(I30&gt;0,"Bị block",IF(F30&lt;E30,"Đang test",IF(G30=0,"Không áp dụng (N/A)","Đã test xong")))))</f>
        <v/>
      </c>
      <c r="AB30" t="inlineStr">
        <is>
          <t>REQ-CNL</t>
        </is>
      </c>
    </row>
    <row r="31" ht="15.75" customHeight="1" s="216">
      <c r="A31" s="1" t="n"/>
      <c r="B31" s="112" t="inlineStr">
        <is>
          <t>REQ-CNL-007</t>
        </is>
      </c>
      <c r="C31" s="261" t="inlineStr">
        <is>
          <t>Nguồn (v1.0) — `DOC-v1.0-01 §D2 · L233` (`[INCIDENT]` có tên trong sơ đồ vòng đời nhưng không mô tả field/màn) ⇒ `C-CNL-01` Resolved: *"Out of scope v1.0 (chưa có đặc tả field)"*.</t>
        </is>
      </c>
      <c r="D31" s="113" t="inlineStr">
        <is>
          <t>DOC-v1.1-01 §8.16 "FR16 — Báo cáo sự cố &amp; hỗ trợ" · trang 50</t>
        </is>
      </c>
      <c r="E31" s="53">
        <f>SUMPRODUCT(--ISNUMBER(SEARCH(", "&amp;$B31&amp;", ",", "&amp;'Hoạt động (Đơn của tôi)'!$B$7:$B$500&amp;", ")))+SUMPRODUCT(--ISNUMBER(SEARCH(", "&amp;$B31&amp;", ",", "&amp;'Ghép nối'!$B$7:$B$500&amp;", ")))+SUMPRODUCT(--ISNUMBER(SEARCH(", "&amp;$B31&amp;", ",", "&amp;'Huỷ đơn - Huỷ nhận đơn'!$B$7:$B$500&amp;", ")))+SUMPRODUCT(--ISNUMBER(SEARCH(", "&amp;$B31&amp;", ",", "&amp;'Giao nhận &amp; Theo dõi đơn'!$B$7:$B$500&amp;", ")))+SUMPRODUCT(--ISNUMBER(SEARCH(", "&amp;$B31&amp;", ",", "&amp;'Bảng tin &amp; Chi tiết tin'!$B$7:$B$500&amp;", ")))+SUMPRODUCT(--ISNUMBER(SEARCH(", "&amp;$B31&amp;", ",", "&amp;'Quà cảm ơn'!$B$7:$B$500&amp;", ")))+SUMPRODUCT(--ISNUMBER(SEARCH(", "&amp;$B31&amp;", ",", "&amp;'Trang chủ'!$B$7:$B$500&amp;", ")))+SUMPRODUCT(--ISNUMBER(SEARCH(", "&amp;$B31&amp;", ",", "&amp;'Thông báo'!$B$7:$B$500&amp;", ")))+SUMPRODUCT(--ISNUMBER(SEARCH(", "&amp;$B31&amp;", ",", "&amp;'Đăng tin &amp; Quản lý tin'!$B$7:$B$500&amp;", ")))+SUMPRODUCT(--ISNUMBER(SEARCH(", "&amp;$B31&amp;", ",", "&amp;'Trust &amp; Safety'!$B$7:$B$500&amp;", ")))+SUMPRODUCT(--ISNUMBER(SEARCH(", "&amp;$B31&amp;", ",", "&amp;'Tài khoản &amp; Hồ sơ'!$B$7:$B$500&amp;", ")))</f>
        <v/>
      </c>
      <c r="F31" s="53">
        <f>SUMPRODUCT(--ISNUMBER(SEARCH(", "&amp;$B31&amp;", ",", "&amp;'Hoạt động (Đơn của tôi)'!$B$7:$B$500&amp;", ")),--('Hoạt động (Đơn của tôi)'!$AT$7:$AT$500&lt;&gt;""))+SUMPRODUCT(--ISNUMBER(SEARCH(", "&amp;$B31&amp;", ",", "&amp;'Ghép nối'!$B$7:$B$500&amp;", ")),--('Ghép nối'!$AT$7:$AT$500&lt;&gt;""))+SUMPRODUCT(--ISNUMBER(SEARCH(", "&amp;$B31&amp;", ",", "&amp;'Huỷ đơn - Huỷ nhận đơn'!$B$7:$B$500&amp;", ")),--('Huỷ đơn - Huỷ nhận đơn'!$AT$7:$AT$500&lt;&gt;""))+SUMPRODUCT(--ISNUMBER(SEARCH(", "&amp;$B31&amp;", ",", "&amp;'Giao nhận &amp; Theo dõi đơn'!$B$7:$B$500&amp;", ")),--('Giao nhận &amp; Theo dõi đơn'!$AT$7:$AT$500&lt;&gt;""))+SUMPRODUCT(--ISNUMBER(SEARCH(", "&amp;$B31&amp;", ",", "&amp;'Bảng tin &amp; Chi tiết tin'!$B$7:$B$500&amp;", ")),--('Bảng tin &amp; Chi tiết tin'!$AT$7:$AT$500&lt;&gt;""))+SUMPRODUCT(--ISNUMBER(SEARCH(", "&amp;$B31&amp;", ",", "&amp;'Quà cảm ơn'!$B$7:$B$500&amp;", ")),--('Quà cảm ơn'!$AT$7:$AT$500&lt;&gt;""))+SUMPRODUCT(--ISNUMBER(SEARCH(", "&amp;$B31&amp;", ",", "&amp;'Trang chủ'!$B$7:$B$500&amp;", ")),--('Trang chủ'!$AT$7:$AT$500&lt;&gt;""))+SUMPRODUCT(--ISNUMBER(SEARCH(", "&amp;$B31&amp;", ",", "&amp;'Thông báo'!$B$7:$B$500&amp;", ")),--('Thông báo'!$AT$7:$AT$500&lt;&gt;""))+SUMPRODUCT(--ISNUMBER(SEARCH(", "&amp;$B31&amp;", ",", "&amp;'Đăng tin &amp; Quản lý tin'!$B$7:$B$500&amp;", ")),--('Đăng tin &amp; Quản lý tin'!$AT$7:$AT$500&lt;&gt;""))+SUMPRODUCT(--ISNUMBER(SEARCH(", "&amp;$B31&amp;", ",", "&amp;'Trust &amp; Safety'!$B$7:$B$500&amp;", ")),--('Trust &amp; Safety'!$AT$7:$AT$500&lt;&gt;""))+SUMPRODUCT(--ISNUMBER(SEARCH(", "&amp;$B31&amp;", ",", "&amp;'Tài khoản &amp; Hồ sơ'!$B$7:$B$500&amp;", ")),--('Tài khoản &amp; Hồ sơ'!$AT$7:$AT$500&lt;&gt;""))</f>
        <v/>
      </c>
      <c r="G31" s="53">
        <f>SUMPRODUCT(--ISNUMBER(SEARCH(", "&amp;$B31&amp;", ",", "&amp;'Hoạt động (Đơn của tôi)'!$B$7:$B$500&amp;", ")),--('Hoạt động (Đơn của tôi)'!$AT$7:$AT$500="Pass"))+SUMPRODUCT(--ISNUMBER(SEARCH(", "&amp;$B31&amp;", ",", "&amp;'Ghép nối'!$B$7:$B$500&amp;", ")),--('Ghép nối'!$AT$7:$AT$500="Pass"))+SUMPRODUCT(--ISNUMBER(SEARCH(", "&amp;$B31&amp;", ",", "&amp;'Huỷ đơn - Huỷ nhận đơn'!$B$7:$B$500&amp;", ")),--('Huỷ đơn - Huỷ nhận đơn'!$AT$7:$AT$500="Pass"))+SUMPRODUCT(--ISNUMBER(SEARCH(", "&amp;$B31&amp;", ",", "&amp;'Giao nhận &amp; Theo dõi đơn'!$B$7:$B$500&amp;", ")),--('Giao nhận &amp; Theo dõi đơn'!$AT$7:$AT$500="Pass"))+SUMPRODUCT(--ISNUMBER(SEARCH(", "&amp;$B31&amp;", ",", "&amp;'Bảng tin &amp; Chi tiết tin'!$B$7:$B$500&amp;", ")),--('Bảng tin &amp; Chi tiết tin'!$AT$7:$AT$500="Pass"))+SUMPRODUCT(--ISNUMBER(SEARCH(", "&amp;$B31&amp;", ",", "&amp;'Quà cảm ơn'!$B$7:$B$500&amp;", ")),--('Quà cảm ơn'!$AT$7:$AT$500="Pass"))+SUMPRODUCT(--ISNUMBER(SEARCH(", "&amp;$B31&amp;", ",", "&amp;'Trang chủ'!$B$7:$B$500&amp;", ")),--('Trang chủ'!$AT$7:$AT$500="Pass"))+SUMPRODUCT(--ISNUMBER(SEARCH(", "&amp;$B31&amp;", ",", "&amp;'Thông báo'!$B$7:$B$500&amp;", ")),--('Thông báo'!$AT$7:$AT$500="Pass"))+SUMPRODUCT(--ISNUMBER(SEARCH(", "&amp;$B31&amp;", ",", "&amp;'Đăng tin &amp; Quản lý tin'!$B$7:$B$500&amp;", ")),--('Đăng tin &amp; Quản lý tin'!$AT$7:$AT$500="Pass"))+SUMPRODUCT(--ISNUMBER(SEARCH(", "&amp;$B31&amp;", ",", "&amp;'Trust &amp; Safety'!$B$7:$B$500&amp;", ")),--('Trust &amp; Safety'!$AT$7:$AT$500="Pass"))+SUMPRODUCT(--ISNUMBER(SEARCH(", "&amp;$B31&amp;", ",", "&amp;'Tài khoản &amp; Hồ sơ'!$B$7:$B$500&amp;", ")),--('Tài khoản &amp; Hồ sơ'!$AT$7:$AT$500="Pass"))</f>
        <v/>
      </c>
      <c r="H31" s="53">
        <f>SUMPRODUCT(--ISNUMBER(SEARCH(", "&amp;$B31&amp;", ",", "&amp;'Hoạt động (Đơn của tôi)'!$B$7:$B$500&amp;", ")),--('Hoạt động (Đơn của tôi)'!$AT$7:$AT$500="Fail"))+SUMPRODUCT(--ISNUMBER(SEARCH(", "&amp;$B31&amp;", ",", "&amp;'Ghép nối'!$B$7:$B$500&amp;", ")),--('Ghép nối'!$AT$7:$AT$500="Fail"))+SUMPRODUCT(--ISNUMBER(SEARCH(", "&amp;$B31&amp;", ",", "&amp;'Huỷ đơn - Huỷ nhận đơn'!$B$7:$B$500&amp;", ")),--('Huỷ đơn - Huỷ nhận đơn'!$AT$7:$AT$500="Fail"))+SUMPRODUCT(--ISNUMBER(SEARCH(", "&amp;$B31&amp;", ",", "&amp;'Giao nhận &amp; Theo dõi đơn'!$B$7:$B$500&amp;", ")),--('Giao nhận &amp; Theo dõi đơn'!$AT$7:$AT$500="Fail"))+SUMPRODUCT(--ISNUMBER(SEARCH(", "&amp;$B31&amp;", ",", "&amp;'Bảng tin &amp; Chi tiết tin'!$B$7:$B$500&amp;", ")),--('Bảng tin &amp; Chi tiết tin'!$AT$7:$AT$500="Fail"))+SUMPRODUCT(--ISNUMBER(SEARCH(", "&amp;$B31&amp;", ",", "&amp;'Quà cảm ơn'!$B$7:$B$500&amp;", ")),--('Quà cảm ơn'!$AT$7:$AT$500="Fail"))+SUMPRODUCT(--ISNUMBER(SEARCH(", "&amp;$B31&amp;", ",", "&amp;'Trang chủ'!$B$7:$B$500&amp;", ")),--('Trang chủ'!$AT$7:$AT$500="Fail"))+SUMPRODUCT(--ISNUMBER(SEARCH(", "&amp;$B31&amp;", ",", "&amp;'Thông báo'!$B$7:$B$500&amp;", ")),--('Thông báo'!$AT$7:$AT$500="Fail"))+SUMPRODUCT(--ISNUMBER(SEARCH(", "&amp;$B31&amp;", ",", "&amp;'Đăng tin &amp; Quản lý tin'!$B$7:$B$500&amp;", ")),--('Đăng tin &amp; Quản lý tin'!$AT$7:$AT$500="Fail"))+SUMPRODUCT(--ISNUMBER(SEARCH(", "&amp;$B31&amp;", ",", "&amp;'Trust &amp; Safety'!$B$7:$B$500&amp;", ")),--('Trust &amp; Safety'!$AT$7:$AT$500="Fail"))+SUMPRODUCT(--ISNUMBER(SEARCH(", "&amp;$B31&amp;", ",", "&amp;'Tài khoản &amp; Hồ sơ'!$B$7:$B$500&amp;", ")),--('Tài khoản &amp; Hồ sơ'!$AT$7:$AT$500="Fail"))</f>
        <v/>
      </c>
      <c r="I31" s="53">
        <f>SUMPRODUCT(--ISNUMBER(SEARCH(", "&amp;$B31&amp;", ",", "&amp;'Hoạt động (Đơn của tôi)'!$B$7:$B$500&amp;", ")),--('Hoạt động (Đơn của tôi)'!$AT$7:$AT$500="Block"))+SUMPRODUCT(--ISNUMBER(SEARCH(", "&amp;$B31&amp;", ",", "&amp;'Ghép nối'!$B$7:$B$500&amp;", ")),--('Ghép nối'!$AT$7:$AT$500="Block"))+SUMPRODUCT(--ISNUMBER(SEARCH(", "&amp;$B31&amp;", ",", "&amp;'Huỷ đơn - Huỷ nhận đơn'!$B$7:$B$500&amp;", ")),--('Huỷ đơn - Huỷ nhận đơn'!$AT$7:$AT$500="Block"))+SUMPRODUCT(--ISNUMBER(SEARCH(", "&amp;$B31&amp;", ",", "&amp;'Giao nhận &amp; Theo dõi đơn'!$B$7:$B$500&amp;", ")),--('Giao nhận &amp; Theo dõi đơn'!$AT$7:$AT$500="Block"))+SUMPRODUCT(--ISNUMBER(SEARCH(", "&amp;$B31&amp;", ",", "&amp;'Bảng tin &amp; Chi tiết tin'!$B$7:$B$500&amp;", ")),--('Bảng tin &amp; Chi tiết tin'!$AT$7:$AT$500="Block"))+SUMPRODUCT(--ISNUMBER(SEARCH(", "&amp;$B31&amp;", ",", "&amp;'Quà cảm ơn'!$B$7:$B$500&amp;", ")),--('Quà cảm ơn'!$AT$7:$AT$500="Block"))+SUMPRODUCT(--ISNUMBER(SEARCH(", "&amp;$B31&amp;", ",", "&amp;'Trang chủ'!$B$7:$B$500&amp;", ")),--('Trang chủ'!$AT$7:$AT$500="Block"))+SUMPRODUCT(--ISNUMBER(SEARCH(", "&amp;$B31&amp;", ",", "&amp;'Thông báo'!$B$7:$B$500&amp;", ")),--('Thông báo'!$AT$7:$AT$500="Block"))+SUMPRODUCT(--ISNUMBER(SEARCH(", "&amp;$B31&amp;", ",", "&amp;'Đăng tin &amp; Quản lý tin'!$B$7:$B$500&amp;", ")),--('Đăng tin &amp; Quản lý tin'!$AT$7:$AT$500="Block"))+SUMPRODUCT(--ISNUMBER(SEARCH(", "&amp;$B31&amp;", ",", "&amp;'Trust &amp; Safety'!$B$7:$B$500&amp;", ")),--('Trust &amp; Safety'!$AT$7:$AT$500="Block"))+SUMPRODUCT(--ISNUMBER(SEARCH(", "&amp;$B31&amp;", ",", "&amp;'Tài khoản &amp; Hồ sơ'!$B$7:$B$500&amp;", ")),--('Tài khoản &amp; Hồ sơ'!$AT$7:$AT$500="Block"))</f>
        <v/>
      </c>
      <c r="J31" s="53">
        <f>SUMPRODUCT(--ISNUMBER(SEARCH(", "&amp;$B31&amp;", ",", "&amp;'Hoạt động (Đơn của tôi)'!$B$7:$B$500&amp;", ")),--('Hoạt động (Đơn của tôi)'!$AT$7:$AT$500="N/A"))+SUMPRODUCT(--ISNUMBER(SEARCH(", "&amp;$B31&amp;", ",", "&amp;'Ghép nối'!$B$7:$B$500&amp;", ")),--('Ghép nối'!$AT$7:$AT$500="N/A"))+SUMPRODUCT(--ISNUMBER(SEARCH(", "&amp;$B31&amp;", ",", "&amp;'Huỷ đơn - Huỷ nhận đơn'!$B$7:$B$500&amp;", ")),--('Huỷ đơn - Huỷ nhận đơn'!$AT$7:$AT$500="N/A"))+SUMPRODUCT(--ISNUMBER(SEARCH(", "&amp;$B31&amp;", ",", "&amp;'Giao nhận &amp; Theo dõi đơn'!$B$7:$B$500&amp;", ")),--('Giao nhận &amp; Theo dõi đơn'!$AT$7:$AT$500="N/A"))+SUMPRODUCT(--ISNUMBER(SEARCH(", "&amp;$B31&amp;", ",", "&amp;'Bảng tin &amp; Chi tiết tin'!$B$7:$B$500&amp;", ")),--('Bảng tin &amp; Chi tiết tin'!$AT$7:$AT$500="N/A"))+SUMPRODUCT(--ISNUMBER(SEARCH(", "&amp;$B31&amp;", ",", "&amp;'Quà cảm ơn'!$B$7:$B$500&amp;", ")),--('Quà cảm ơn'!$AT$7:$AT$500="N/A"))+SUMPRODUCT(--ISNUMBER(SEARCH(", "&amp;$B31&amp;", ",", "&amp;'Trang chủ'!$B$7:$B$500&amp;", ")),--('Trang chủ'!$AT$7:$AT$500="N/A"))+SUMPRODUCT(--ISNUMBER(SEARCH(", "&amp;$B31&amp;", ",", "&amp;'Thông báo'!$B$7:$B$500&amp;", ")),--('Thông báo'!$AT$7:$AT$500="N/A"))+SUMPRODUCT(--ISNUMBER(SEARCH(", "&amp;$B31&amp;", ",", "&amp;'Đăng tin &amp; Quản lý tin'!$B$7:$B$500&amp;", ")),--('Đăng tin &amp; Quản lý tin'!$AT$7:$AT$500="N/A"))+SUMPRODUCT(--ISNUMBER(SEARCH(", "&amp;$B31&amp;", ",", "&amp;'Trust &amp; Safety'!$B$7:$B$500&amp;", ")),--('Trust &amp; Safety'!$AT$7:$AT$500="N/A"))+SUMPRODUCT(--ISNUMBER(SEARCH(", "&amp;$B31&amp;", ",", "&amp;'Tài khoản &amp; Hồ sơ'!$B$7:$B$500&amp;", ")),--('Tài khoản &amp; Hồ sơ'!$AT$7:$AT$500="N/A"))</f>
        <v/>
      </c>
      <c r="K31" s="54">
        <f>IFERROR(F31/E31,0)</f>
        <v/>
      </c>
      <c r="L31" s="113">
        <f>IF(E31=0,"Chưa có TC (gap)",IF(H31&gt;0,"Có lỗi (Fail)",IF(I31&gt;0,"Bị block",IF(F31&lt;E31,"Đang test",IF(G31=0,"Không áp dụng (N/A)","Đã test xong")))))</f>
        <v/>
      </c>
      <c r="AB31" t="inlineStr">
        <is>
          <t>REQ-CNL</t>
        </is>
      </c>
    </row>
    <row r="32" ht="15.75" customHeight="1" s="216">
      <c r="A32" s="1" t="n"/>
      <c r="B32" s="112" t="inlineStr">
        <is>
          <t>REQ-CNL-006</t>
        </is>
      </c>
      <c r="C32" s="261" t="inlineStr">
        <is>
          <t>Nguồn (v1.0) — `DOC-v1.0-06 KP-01 §7 KB-CNL-01` (live-verify 2026-07-29) + `C-CNL-02` Resolved-override 2026-07-30: "Huỷ đơn không ghi log nào, chỉ hiện banner đỏ. Huỷ nhận đơn XOÁ dòng 'Ghép thành công' khỏi LỊCH SỬ.</t>
        </is>
      </c>
      <c r="D32" s="113" t="inlineStr">
        <is>
          <t>DOC-v1.1-01 §8.11.1 BR11-02 / BR11-03 · trang 44</t>
        </is>
      </c>
      <c r="E32" s="53">
        <f>SUMPRODUCT(--ISNUMBER(SEARCH(", "&amp;$B32&amp;", ",", "&amp;'Hoạt động (Đơn của tôi)'!$B$7:$B$500&amp;", ")))+SUMPRODUCT(--ISNUMBER(SEARCH(", "&amp;$B32&amp;", ",", "&amp;'Ghép nối'!$B$7:$B$500&amp;", ")))+SUMPRODUCT(--ISNUMBER(SEARCH(", "&amp;$B32&amp;", ",", "&amp;'Huỷ đơn - Huỷ nhận đơn'!$B$7:$B$500&amp;", ")))+SUMPRODUCT(--ISNUMBER(SEARCH(", "&amp;$B32&amp;", ",", "&amp;'Giao nhận &amp; Theo dõi đơn'!$B$7:$B$500&amp;", ")))+SUMPRODUCT(--ISNUMBER(SEARCH(", "&amp;$B32&amp;", ",", "&amp;'Bảng tin &amp; Chi tiết tin'!$B$7:$B$500&amp;", ")))+SUMPRODUCT(--ISNUMBER(SEARCH(", "&amp;$B32&amp;", ",", "&amp;'Quà cảm ơn'!$B$7:$B$500&amp;", ")))+SUMPRODUCT(--ISNUMBER(SEARCH(", "&amp;$B32&amp;", ",", "&amp;'Trang chủ'!$B$7:$B$500&amp;", ")))+SUMPRODUCT(--ISNUMBER(SEARCH(", "&amp;$B32&amp;", ",", "&amp;'Thông báo'!$B$7:$B$500&amp;", ")))+SUMPRODUCT(--ISNUMBER(SEARCH(", "&amp;$B32&amp;", ",", "&amp;'Đăng tin &amp; Quản lý tin'!$B$7:$B$500&amp;", ")))+SUMPRODUCT(--ISNUMBER(SEARCH(", "&amp;$B32&amp;", ",", "&amp;'Trust &amp; Safety'!$B$7:$B$500&amp;", ")))+SUMPRODUCT(--ISNUMBER(SEARCH(", "&amp;$B32&amp;", ",", "&amp;'Tài khoản &amp; Hồ sơ'!$B$7:$B$500&amp;", ")))</f>
        <v/>
      </c>
      <c r="F32" s="53">
        <f>SUMPRODUCT(--ISNUMBER(SEARCH(", "&amp;$B32&amp;", ",", "&amp;'Hoạt động (Đơn của tôi)'!$B$7:$B$500&amp;", ")),--('Hoạt động (Đơn của tôi)'!$AT$7:$AT$500&lt;&gt;""))+SUMPRODUCT(--ISNUMBER(SEARCH(", "&amp;$B32&amp;", ",", "&amp;'Ghép nối'!$B$7:$B$500&amp;", ")),--('Ghép nối'!$AT$7:$AT$500&lt;&gt;""))+SUMPRODUCT(--ISNUMBER(SEARCH(", "&amp;$B32&amp;", ",", "&amp;'Huỷ đơn - Huỷ nhận đơn'!$B$7:$B$500&amp;", ")),--('Huỷ đơn - Huỷ nhận đơn'!$AT$7:$AT$500&lt;&gt;""))+SUMPRODUCT(--ISNUMBER(SEARCH(", "&amp;$B32&amp;", ",", "&amp;'Giao nhận &amp; Theo dõi đơn'!$B$7:$B$500&amp;", ")),--('Giao nhận &amp; Theo dõi đơn'!$AT$7:$AT$500&lt;&gt;""))+SUMPRODUCT(--ISNUMBER(SEARCH(", "&amp;$B32&amp;", ",", "&amp;'Bảng tin &amp; Chi tiết tin'!$B$7:$B$500&amp;", ")),--('Bảng tin &amp; Chi tiết tin'!$AT$7:$AT$500&lt;&gt;""))+SUMPRODUCT(--ISNUMBER(SEARCH(", "&amp;$B32&amp;", ",", "&amp;'Quà cảm ơn'!$B$7:$B$500&amp;", ")),--('Quà cảm ơn'!$AT$7:$AT$500&lt;&gt;""))+SUMPRODUCT(--ISNUMBER(SEARCH(", "&amp;$B32&amp;", ",", "&amp;'Trang chủ'!$B$7:$B$500&amp;", ")),--('Trang chủ'!$AT$7:$AT$500&lt;&gt;""))+SUMPRODUCT(--ISNUMBER(SEARCH(", "&amp;$B32&amp;", ",", "&amp;'Thông báo'!$B$7:$B$500&amp;", ")),--('Thông báo'!$AT$7:$AT$500&lt;&gt;""))+SUMPRODUCT(--ISNUMBER(SEARCH(", "&amp;$B32&amp;", ",", "&amp;'Đăng tin &amp; Quản lý tin'!$B$7:$B$500&amp;", ")),--('Đăng tin &amp; Quản lý tin'!$AT$7:$AT$500&lt;&gt;""))+SUMPRODUCT(--ISNUMBER(SEARCH(", "&amp;$B32&amp;", ",", "&amp;'Trust &amp; Safety'!$B$7:$B$500&amp;", ")),--('Trust &amp; Safety'!$AT$7:$AT$500&lt;&gt;""))+SUMPRODUCT(--ISNUMBER(SEARCH(", "&amp;$B32&amp;", ",", "&amp;'Tài khoản &amp; Hồ sơ'!$B$7:$B$500&amp;", ")),--('Tài khoản &amp; Hồ sơ'!$AT$7:$AT$500&lt;&gt;""))</f>
        <v/>
      </c>
      <c r="G32" s="53">
        <f>SUMPRODUCT(--ISNUMBER(SEARCH(", "&amp;$B32&amp;", ",", "&amp;'Hoạt động (Đơn của tôi)'!$B$7:$B$500&amp;", ")),--('Hoạt động (Đơn của tôi)'!$AT$7:$AT$500="Pass"))+SUMPRODUCT(--ISNUMBER(SEARCH(", "&amp;$B32&amp;", ",", "&amp;'Ghép nối'!$B$7:$B$500&amp;", ")),--('Ghép nối'!$AT$7:$AT$500="Pass"))+SUMPRODUCT(--ISNUMBER(SEARCH(", "&amp;$B32&amp;", ",", "&amp;'Huỷ đơn - Huỷ nhận đơn'!$B$7:$B$500&amp;", ")),--('Huỷ đơn - Huỷ nhận đơn'!$AT$7:$AT$500="Pass"))+SUMPRODUCT(--ISNUMBER(SEARCH(", "&amp;$B32&amp;", ",", "&amp;'Giao nhận &amp; Theo dõi đơn'!$B$7:$B$500&amp;", ")),--('Giao nhận &amp; Theo dõi đơn'!$AT$7:$AT$500="Pass"))+SUMPRODUCT(--ISNUMBER(SEARCH(", "&amp;$B32&amp;", ",", "&amp;'Bảng tin &amp; Chi tiết tin'!$B$7:$B$500&amp;", ")),--('Bảng tin &amp; Chi tiết tin'!$AT$7:$AT$500="Pass"))+SUMPRODUCT(--ISNUMBER(SEARCH(", "&amp;$B32&amp;", ",", "&amp;'Quà cảm ơn'!$B$7:$B$500&amp;", ")),--('Quà cảm ơn'!$AT$7:$AT$500="Pass"))+SUMPRODUCT(--ISNUMBER(SEARCH(", "&amp;$B32&amp;", ",", "&amp;'Trang chủ'!$B$7:$B$500&amp;", ")),--('Trang chủ'!$AT$7:$AT$500="Pass"))+SUMPRODUCT(--ISNUMBER(SEARCH(", "&amp;$B32&amp;", ",", "&amp;'Thông báo'!$B$7:$B$500&amp;", ")),--('Thông báo'!$AT$7:$AT$500="Pass"))+SUMPRODUCT(--ISNUMBER(SEARCH(", "&amp;$B32&amp;", ",", "&amp;'Đăng tin &amp; Quản lý tin'!$B$7:$B$500&amp;", ")),--('Đăng tin &amp; Quản lý tin'!$AT$7:$AT$500="Pass"))+SUMPRODUCT(--ISNUMBER(SEARCH(", "&amp;$B32&amp;", ",", "&amp;'Trust &amp; Safety'!$B$7:$B$500&amp;", ")),--('Trust &amp; Safety'!$AT$7:$AT$500="Pass"))+SUMPRODUCT(--ISNUMBER(SEARCH(", "&amp;$B32&amp;", ",", "&amp;'Tài khoản &amp; Hồ sơ'!$B$7:$B$500&amp;", ")),--('Tài khoản &amp; Hồ sơ'!$AT$7:$AT$500="Pass"))</f>
        <v/>
      </c>
      <c r="H32" s="53">
        <f>SUMPRODUCT(--ISNUMBER(SEARCH(", "&amp;$B32&amp;", ",", "&amp;'Hoạt động (Đơn của tôi)'!$B$7:$B$500&amp;", ")),--('Hoạt động (Đơn của tôi)'!$AT$7:$AT$500="Fail"))+SUMPRODUCT(--ISNUMBER(SEARCH(", "&amp;$B32&amp;", ",", "&amp;'Ghép nối'!$B$7:$B$500&amp;", ")),--('Ghép nối'!$AT$7:$AT$500="Fail"))+SUMPRODUCT(--ISNUMBER(SEARCH(", "&amp;$B32&amp;", ",", "&amp;'Huỷ đơn - Huỷ nhận đơn'!$B$7:$B$500&amp;", ")),--('Huỷ đơn - Huỷ nhận đơn'!$AT$7:$AT$500="Fail"))+SUMPRODUCT(--ISNUMBER(SEARCH(", "&amp;$B32&amp;", ",", "&amp;'Giao nhận &amp; Theo dõi đơn'!$B$7:$B$500&amp;", ")),--('Giao nhận &amp; Theo dõi đơn'!$AT$7:$AT$500="Fail"))+SUMPRODUCT(--ISNUMBER(SEARCH(", "&amp;$B32&amp;", ",", "&amp;'Bảng tin &amp; Chi tiết tin'!$B$7:$B$500&amp;", ")),--('Bảng tin &amp; Chi tiết tin'!$AT$7:$AT$500="Fail"))+SUMPRODUCT(--ISNUMBER(SEARCH(", "&amp;$B32&amp;", ",", "&amp;'Quà cảm ơn'!$B$7:$B$500&amp;", ")),--('Quà cảm ơn'!$AT$7:$AT$500="Fail"))+SUMPRODUCT(--ISNUMBER(SEARCH(", "&amp;$B32&amp;", ",", "&amp;'Trang chủ'!$B$7:$B$500&amp;", ")),--('Trang chủ'!$AT$7:$AT$500="Fail"))+SUMPRODUCT(--ISNUMBER(SEARCH(", "&amp;$B32&amp;", ",", "&amp;'Thông báo'!$B$7:$B$500&amp;", ")),--('Thông báo'!$AT$7:$AT$500="Fail"))+SUMPRODUCT(--ISNUMBER(SEARCH(", "&amp;$B32&amp;", ",", "&amp;'Đăng tin &amp; Quản lý tin'!$B$7:$B$500&amp;", ")),--('Đăng tin &amp; Quản lý tin'!$AT$7:$AT$500="Fail"))+SUMPRODUCT(--ISNUMBER(SEARCH(", "&amp;$B32&amp;", ",", "&amp;'Trust &amp; Safety'!$B$7:$B$500&amp;", ")),--('Trust &amp; Safety'!$AT$7:$AT$500="Fail"))+SUMPRODUCT(--ISNUMBER(SEARCH(", "&amp;$B32&amp;", ",", "&amp;'Tài khoản &amp; Hồ sơ'!$B$7:$B$500&amp;", ")),--('Tài khoản &amp; Hồ sơ'!$AT$7:$AT$500="Fail"))</f>
        <v/>
      </c>
      <c r="I32" s="53">
        <f>SUMPRODUCT(--ISNUMBER(SEARCH(", "&amp;$B32&amp;", ",", "&amp;'Hoạt động (Đơn của tôi)'!$B$7:$B$500&amp;", ")),--('Hoạt động (Đơn của tôi)'!$AT$7:$AT$500="Block"))+SUMPRODUCT(--ISNUMBER(SEARCH(", "&amp;$B32&amp;", ",", "&amp;'Ghép nối'!$B$7:$B$500&amp;", ")),--('Ghép nối'!$AT$7:$AT$500="Block"))+SUMPRODUCT(--ISNUMBER(SEARCH(", "&amp;$B32&amp;", ",", "&amp;'Huỷ đơn - Huỷ nhận đơn'!$B$7:$B$500&amp;", ")),--('Huỷ đơn - Huỷ nhận đơn'!$AT$7:$AT$500="Block"))+SUMPRODUCT(--ISNUMBER(SEARCH(", "&amp;$B32&amp;", ",", "&amp;'Giao nhận &amp; Theo dõi đơn'!$B$7:$B$500&amp;", ")),--('Giao nhận &amp; Theo dõi đơn'!$AT$7:$AT$500="Block"))+SUMPRODUCT(--ISNUMBER(SEARCH(", "&amp;$B32&amp;", ",", "&amp;'Bảng tin &amp; Chi tiết tin'!$B$7:$B$500&amp;", ")),--('Bảng tin &amp; Chi tiết tin'!$AT$7:$AT$500="Block"))+SUMPRODUCT(--ISNUMBER(SEARCH(", "&amp;$B32&amp;", ",", "&amp;'Quà cảm ơn'!$B$7:$B$500&amp;", ")),--('Quà cảm ơn'!$AT$7:$AT$500="Block"))+SUMPRODUCT(--ISNUMBER(SEARCH(", "&amp;$B32&amp;", ",", "&amp;'Trang chủ'!$B$7:$B$500&amp;", ")),--('Trang chủ'!$AT$7:$AT$500="Block"))+SUMPRODUCT(--ISNUMBER(SEARCH(", "&amp;$B32&amp;", ",", "&amp;'Thông báo'!$B$7:$B$500&amp;", ")),--('Thông báo'!$AT$7:$AT$500="Block"))+SUMPRODUCT(--ISNUMBER(SEARCH(", "&amp;$B32&amp;", ",", "&amp;'Đăng tin &amp; Quản lý tin'!$B$7:$B$500&amp;", ")),--('Đăng tin &amp; Quản lý tin'!$AT$7:$AT$500="Block"))+SUMPRODUCT(--ISNUMBER(SEARCH(", "&amp;$B32&amp;", ",", "&amp;'Trust &amp; Safety'!$B$7:$B$500&amp;", ")),--('Trust &amp; Safety'!$AT$7:$AT$500="Block"))+SUMPRODUCT(--ISNUMBER(SEARCH(", "&amp;$B32&amp;", ",", "&amp;'Tài khoản &amp; Hồ sơ'!$B$7:$B$500&amp;", ")),--('Tài khoản &amp; Hồ sơ'!$AT$7:$AT$500="Block"))</f>
        <v/>
      </c>
      <c r="J32" s="53">
        <f>SUMPRODUCT(--ISNUMBER(SEARCH(", "&amp;$B32&amp;", ",", "&amp;'Hoạt động (Đơn của tôi)'!$B$7:$B$500&amp;", ")),--('Hoạt động (Đơn của tôi)'!$AT$7:$AT$500="N/A"))+SUMPRODUCT(--ISNUMBER(SEARCH(", "&amp;$B32&amp;", ",", "&amp;'Ghép nối'!$B$7:$B$500&amp;", ")),--('Ghép nối'!$AT$7:$AT$500="N/A"))+SUMPRODUCT(--ISNUMBER(SEARCH(", "&amp;$B32&amp;", ",", "&amp;'Huỷ đơn - Huỷ nhận đơn'!$B$7:$B$500&amp;", ")),--('Huỷ đơn - Huỷ nhận đơn'!$AT$7:$AT$500="N/A"))+SUMPRODUCT(--ISNUMBER(SEARCH(", "&amp;$B32&amp;", ",", "&amp;'Giao nhận &amp; Theo dõi đơn'!$B$7:$B$500&amp;", ")),--('Giao nhận &amp; Theo dõi đơn'!$AT$7:$AT$500="N/A"))+SUMPRODUCT(--ISNUMBER(SEARCH(", "&amp;$B32&amp;", ",", "&amp;'Bảng tin &amp; Chi tiết tin'!$B$7:$B$500&amp;", ")),--('Bảng tin &amp; Chi tiết tin'!$AT$7:$AT$500="N/A"))+SUMPRODUCT(--ISNUMBER(SEARCH(", "&amp;$B32&amp;", ",", "&amp;'Quà cảm ơn'!$B$7:$B$500&amp;", ")),--('Quà cảm ơn'!$AT$7:$AT$500="N/A"))+SUMPRODUCT(--ISNUMBER(SEARCH(", "&amp;$B32&amp;", ",", "&amp;'Trang chủ'!$B$7:$B$500&amp;", ")),--('Trang chủ'!$AT$7:$AT$500="N/A"))+SUMPRODUCT(--ISNUMBER(SEARCH(", "&amp;$B32&amp;", ",", "&amp;'Thông báo'!$B$7:$B$500&amp;", ")),--('Thông báo'!$AT$7:$AT$500="N/A"))+SUMPRODUCT(--ISNUMBER(SEARCH(", "&amp;$B32&amp;", ",", "&amp;'Đăng tin &amp; Quản lý tin'!$B$7:$B$500&amp;", ")),--('Đăng tin &amp; Quản lý tin'!$AT$7:$AT$500="N/A"))+SUMPRODUCT(--ISNUMBER(SEARCH(", "&amp;$B32&amp;", ",", "&amp;'Trust &amp; Safety'!$B$7:$B$500&amp;", ")),--('Trust &amp; Safety'!$AT$7:$AT$500="N/A"))+SUMPRODUCT(--ISNUMBER(SEARCH(", "&amp;$B32&amp;", ",", "&amp;'Tài khoản &amp; Hồ sơ'!$B$7:$B$500&amp;", ")),--('Tài khoản &amp; Hồ sơ'!$AT$7:$AT$500="N/A"))</f>
        <v/>
      </c>
      <c r="K32" s="54">
        <f>IFERROR(F32/E32,0)</f>
        <v/>
      </c>
      <c r="L32" s="113">
        <f>IF(E32=0,"Chưa có TC (gap)",IF(H32&gt;0,"Có lỗi (Fail)",IF(I32&gt;0,"Bị block",IF(F32&lt;E32,"Đang test",IF(G32=0,"Không áp dụng (N/A)","Đã test xong")))))</f>
        <v/>
      </c>
      <c r="AB32" t="inlineStr">
        <is>
          <t>REQ-CNL</t>
        </is>
      </c>
    </row>
    <row r="33" ht="15.75" customHeight="1" s="216">
      <c r="A33" s="1" t="n"/>
      <c r="B33" s="112" t="inlineStr">
        <is>
          <t>REQ-CNL-008</t>
        </is>
      </c>
      <c r="C33" s="261" t="inlineStr">
        <is>
          <t>Nguồn #1 — AC-25.2.01 (§6.2, trang 26): "Given: Đơn ở IN_TRANSIT hoặc muộn hơn. When: Bất kỳ vai trò nào mở màn theo dõi đơn. Then: Không còn thao tác huỷ đơn thường cho bất kỳ ai. Chỉ còn hai đường: hoàn hàng (RETURNING) hoặc báo sự cố (INCIDENT). Đơn ở INCIDENT không tự về COMPLETED, phải qua admin hỗ trợ.</t>
        </is>
      </c>
      <c r="D33" s="113" t="inlineStr">
        <is>
          <t>DOC-v1.1-01 §6.2 AC-25.2.01 "Sau khi hàng đã lên đường" · trang 26</t>
        </is>
      </c>
      <c r="E33" s="53">
        <f>SUMPRODUCT(--ISNUMBER(SEARCH(", "&amp;$B33&amp;", ",", "&amp;'Hoạt động (Đơn của tôi)'!$B$7:$B$500&amp;", ")))+SUMPRODUCT(--ISNUMBER(SEARCH(", "&amp;$B33&amp;", ",", "&amp;'Ghép nối'!$B$7:$B$500&amp;", ")))+SUMPRODUCT(--ISNUMBER(SEARCH(", "&amp;$B33&amp;", ",", "&amp;'Huỷ đơn - Huỷ nhận đơn'!$B$7:$B$500&amp;", ")))+SUMPRODUCT(--ISNUMBER(SEARCH(", "&amp;$B33&amp;", ",", "&amp;'Giao nhận &amp; Theo dõi đơn'!$B$7:$B$500&amp;", ")))+SUMPRODUCT(--ISNUMBER(SEARCH(", "&amp;$B33&amp;", ",", "&amp;'Bảng tin &amp; Chi tiết tin'!$B$7:$B$500&amp;", ")))+SUMPRODUCT(--ISNUMBER(SEARCH(", "&amp;$B33&amp;", ",", "&amp;'Quà cảm ơn'!$B$7:$B$500&amp;", ")))+SUMPRODUCT(--ISNUMBER(SEARCH(", "&amp;$B33&amp;", ",", "&amp;'Trang chủ'!$B$7:$B$500&amp;", ")))+SUMPRODUCT(--ISNUMBER(SEARCH(", "&amp;$B33&amp;", ",", "&amp;'Thông báo'!$B$7:$B$500&amp;", ")))+SUMPRODUCT(--ISNUMBER(SEARCH(", "&amp;$B33&amp;", ",", "&amp;'Đăng tin &amp; Quản lý tin'!$B$7:$B$500&amp;", ")))+SUMPRODUCT(--ISNUMBER(SEARCH(", "&amp;$B33&amp;", ",", "&amp;'Trust &amp; Safety'!$B$7:$B$500&amp;", ")))+SUMPRODUCT(--ISNUMBER(SEARCH(", "&amp;$B33&amp;", ",", "&amp;'Tài khoản &amp; Hồ sơ'!$B$7:$B$500&amp;", ")))</f>
        <v/>
      </c>
      <c r="F33" s="53">
        <f>SUMPRODUCT(--ISNUMBER(SEARCH(", "&amp;$B33&amp;", ",", "&amp;'Hoạt động (Đơn của tôi)'!$B$7:$B$500&amp;", ")),--('Hoạt động (Đơn của tôi)'!$AT$7:$AT$500&lt;&gt;""))+SUMPRODUCT(--ISNUMBER(SEARCH(", "&amp;$B33&amp;", ",", "&amp;'Ghép nối'!$B$7:$B$500&amp;", ")),--('Ghép nối'!$AT$7:$AT$500&lt;&gt;""))+SUMPRODUCT(--ISNUMBER(SEARCH(", "&amp;$B33&amp;", ",", "&amp;'Huỷ đơn - Huỷ nhận đơn'!$B$7:$B$500&amp;", ")),--('Huỷ đơn - Huỷ nhận đơn'!$AT$7:$AT$500&lt;&gt;""))+SUMPRODUCT(--ISNUMBER(SEARCH(", "&amp;$B33&amp;", ",", "&amp;'Giao nhận &amp; Theo dõi đơn'!$B$7:$B$500&amp;", ")),--('Giao nhận &amp; Theo dõi đơn'!$AT$7:$AT$500&lt;&gt;""))+SUMPRODUCT(--ISNUMBER(SEARCH(", "&amp;$B33&amp;", ",", "&amp;'Bảng tin &amp; Chi tiết tin'!$B$7:$B$500&amp;", ")),--('Bảng tin &amp; Chi tiết tin'!$AT$7:$AT$500&lt;&gt;""))+SUMPRODUCT(--ISNUMBER(SEARCH(", "&amp;$B33&amp;", ",", "&amp;'Quà cảm ơn'!$B$7:$B$500&amp;", ")),--('Quà cảm ơn'!$AT$7:$AT$500&lt;&gt;""))+SUMPRODUCT(--ISNUMBER(SEARCH(", "&amp;$B33&amp;", ",", "&amp;'Trang chủ'!$B$7:$B$500&amp;", ")),--('Trang chủ'!$AT$7:$AT$500&lt;&gt;""))+SUMPRODUCT(--ISNUMBER(SEARCH(", "&amp;$B33&amp;", ",", "&amp;'Thông báo'!$B$7:$B$500&amp;", ")),--('Thông báo'!$AT$7:$AT$500&lt;&gt;""))+SUMPRODUCT(--ISNUMBER(SEARCH(", "&amp;$B33&amp;", ",", "&amp;'Đăng tin &amp; Quản lý tin'!$B$7:$B$500&amp;", ")),--('Đăng tin &amp; Quản lý tin'!$AT$7:$AT$500&lt;&gt;""))+SUMPRODUCT(--ISNUMBER(SEARCH(", "&amp;$B33&amp;", ",", "&amp;'Trust &amp; Safety'!$B$7:$B$500&amp;", ")),--('Trust &amp; Safety'!$AT$7:$AT$500&lt;&gt;""))+SUMPRODUCT(--ISNUMBER(SEARCH(", "&amp;$B33&amp;", ",", "&amp;'Tài khoản &amp; Hồ sơ'!$B$7:$B$500&amp;", ")),--('Tài khoản &amp; Hồ sơ'!$AT$7:$AT$500&lt;&gt;""))</f>
        <v/>
      </c>
      <c r="G33" s="53">
        <f>SUMPRODUCT(--ISNUMBER(SEARCH(", "&amp;$B33&amp;", ",", "&amp;'Hoạt động (Đơn của tôi)'!$B$7:$B$500&amp;", ")),--('Hoạt động (Đơn của tôi)'!$AT$7:$AT$500="Pass"))+SUMPRODUCT(--ISNUMBER(SEARCH(", "&amp;$B33&amp;", ",", "&amp;'Ghép nối'!$B$7:$B$500&amp;", ")),--('Ghép nối'!$AT$7:$AT$500="Pass"))+SUMPRODUCT(--ISNUMBER(SEARCH(", "&amp;$B33&amp;", ",", "&amp;'Huỷ đơn - Huỷ nhận đơn'!$B$7:$B$500&amp;", ")),--('Huỷ đơn - Huỷ nhận đơn'!$AT$7:$AT$500="Pass"))+SUMPRODUCT(--ISNUMBER(SEARCH(", "&amp;$B33&amp;", ",", "&amp;'Giao nhận &amp; Theo dõi đơn'!$B$7:$B$500&amp;", ")),--('Giao nhận &amp; Theo dõi đơn'!$AT$7:$AT$500="Pass"))+SUMPRODUCT(--ISNUMBER(SEARCH(", "&amp;$B33&amp;", ",", "&amp;'Bảng tin &amp; Chi tiết tin'!$B$7:$B$500&amp;", ")),--('Bảng tin &amp; Chi tiết tin'!$AT$7:$AT$500="Pass"))+SUMPRODUCT(--ISNUMBER(SEARCH(", "&amp;$B33&amp;", ",", "&amp;'Quà cảm ơn'!$B$7:$B$500&amp;", ")),--('Quà cảm ơn'!$AT$7:$AT$500="Pass"))+SUMPRODUCT(--ISNUMBER(SEARCH(", "&amp;$B33&amp;", ",", "&amp;'Trang chủ'!$B$7:$B$500&amp;", ")),--('Trang chủ'!$AT$7:$AT$500="Pass"))+SUMPRODUCT(--ISNUMBER(SEARCH(", "&amp;$B33&amp;", ",", "&amp;'Thông báo'!$B$7:$B$500&amp;", ")),--('Thông báo'!$AT$7:$AT$500="Pass"))+SUMPRODUCT(--ISNUMBER(SEARCH(", "&amp;$B33&amp;", ",", "&amp;'Đăng tin &amp; Quản lý tin'!$B$7:$B$500&amp;", ")),--('Đăng tin &amp; Quản lý tin'!$AT$7:$AT$500="Pass"))+SUMPRODUCT(--ISNUMBER(SEARCH(", "&amp;$B33&amp;", ",", "&amp;'Trust &amp; Safety'!$B$7:$B$500&amp;", ")),--('Trust &amp; Safety'!$AT$7:$AT$500="Pass"))+SUMPRODUCT(--ISNUMBER(SEARCH(", "&amp;$B33&amp;", ",", "&amp;'Tài khoản &amp; Hồ sơ'!$B$7:$B$500&amp;", ")),--('Tài khoản &amp; Hồ sơ'!$AT$7:$AT$500="Pass"))</f>
        <v/>
      </c>
      <c r="H33" s="53">
        <f>SUMPRODUCT(--ISNUMBER(SEARCH(", "&amp;$B33&amp;", ",", "&amp;'Hoạt động (Đơn của tôi)'!$B$7:$B$500&amp;", ")),--('Hoạt động (Đơn của tôi)'!$AT$7:$AT$500="Fail"))+SUMPRODUCT(--ISNUMBER(SEARCH(", "&amp;$B33&amp;", ",", "&amp;'Ghép nối'!$B$7:$B$500&amp;", ")),--('Ghép nối'!$AT$7:$AT$500="Fail"))+SUMPRODUCT(--ISNUMBER(SEARCH(", "&amp;$B33&amp;", ",", "&amp;'Huỷ đơn - Huỷ nhận đơn'!$B$7:$B$500&amp;", ")),--('Huỷ đơn - Huỷ nhận đơn'!$AT$7:$AT$500="Fail"))+SUMPRODUCT(--ISNUMBER(SEARCH(", "&amp;$B33&amp;", ",", "&amp;'Giao nhận &amp; Theo dõi đơn'!$B$7:$B$500&amp;", ")),--('Giao nhận &amp; Theo dõi đơn'!$AT$7:$AT$500="Fail"))+SUMPRODUCT(--ISNUMBER(SEARCH(", "&amp;$B33&amp;", ",", "&amp;'Bảng tin &amp; Chi tiết tin'!$B$7:$B$500&amp;", ")),--('Bảng tin &amp; Chi tiết tin'!$AT$7:$AT$500="Fail"))+SUMPRODUCT(--ISNUMBER(SEARCH(", "&amp;$B33&amp;", ",", "&amp;'Quà cảm ơn'!$B$7:$B$500&amp;", ")),--('Quà cảm ơn'!$AT$7:$AT$500="Fail"))+SUMPRODUCT(--ISNUMBER(SEARCH(", "&amp;$B33&amp;", ",", "&amp;'Trang chủ'!$B$7:$B$500&amp;", ")),--('Trang chủ'!$AT$7:$AT$500="Fail"))+SUMPRODUCT(--ISNUMBER(SEARCH(", "&amp;$B33&amp;", ",", "&amp;'Thông báo'!$B$7:$B$500&amp;", ")),--('Thông báo'!$AT$7:$AT$500="Fail"))+SUMPRODUCT(--ISNUMBER(SEARCH(", "&amp;$B33&amp;", ",", "&amp;'Đăng tin &amp; Quản lý tin'!$B$7:$B$500&amp;", ")),--('Đăng tin &amp; Quản lý tin'!$AT$7:$AT$500="Fail"))+SUMPRODUCT(--ISNUMBER(SEARCH(", "&amp;$B33&amp;", ",", "&amp;'Trust &amp; Safety'!$B$7:$B$500&amp;", ")),--('Trust &amp; Safety'!$AT$7:$AT$500="Fail"))+SUMPRODUCT(--ISNUMBER(SEARCH(", "&amp;$B33&amp;", ",", "&amp;'Tài khoản &amp; Hồ sơ'!$B$7:$B$500&amp;", ")),--('Tài khoản &amp; Hồ sơ'!$AT$7:$AT$500="Fail"))</f>
        <v/>
      </c>
      <c r="I33" s="53">
        <f>SUMPRODUCT(--ISNUMBER(SEARCH(", "&amp;$B33&amp;", ",", "&amp;'Hoạt động (Đơn của tôi)'!$B$7:$B$500&amp;", ")),--('Hoạt động (Đơn của tôi)'!$AT$7:$AT$500="Block"))+SUMPRODUCT(--ISNUMBER(SEARCH(", "&amp;$B33&amp;", ",", "&amp;'Ghép nối'!$B$7:$B$500&amp;", ")),--('Ghép nối'!$AT$7:$AT$500="Block"))+SUMPRODUCT(--ISNUMBER(SEARCH(", "&amp;$B33&amp;", ",", "&amp;'Huỷ đơn - Huỷ nhận đơn'!$B$7:$B$500&amp;", ")),--('Huỷ đơn - Huỷ nhận đơn'!$AT$7:$AT$500="Block"))+SUMPRODUCT(--ISNUMBER(SEARCH(", "&amp;$B33&amp;", ",", "&amp;'Giao nhận &amp; Theo dõi đơn'!$B$7:$B$500&amp;", ")),--('Giao nhận &amp; Theo dõi đơn'!$AT$7:$AT$500="Block"))+SUMPRODUCT(--ISNUMBER(SEARCH(", "&amp;$B33&amp;", ",", "&amp;'Bảng tin &amp; Chi tiết tin'!$B$7:$B$500&amp;", ")),--('Bảng tin &amp; Chi tiết tin'!$AT$7:$AT$500="Block"))+SUMPRODUCT(--ISNUMBER(SEARCH(", "&amp;$B33&amp;", ",", "&amp;'Quà cảm ơn'!$B$7:$B$500&amp;", ")),--('Quà cảm ơn'!$AT$7:$AT$500="Block"))+SUMPRODUCT(--ISNUMBER(SEARCH(", "&amp;$B33&amp;", ",", "&amp;'Trang chủ'!$B$7:$B$500&amp;", ")),--('Trang chủ'!$AT$7:$AT$500="Block"))+SUMPRODUCT(--ISNUMBER(SEARCH(", "&amp;$B33&amp;", ",", "&amp;'Thông báo'!$B$7:$B$500&amp;", ")),--('Thông báo'!$AT$7:$AT$500="Block"))+SUMPRODUCT(--ISNUMBER(SEARCH(", "&amp;$B33&amp;", ",", "&amp;'Đăng tin &amp; Quản lý tin'!$B$7:$B$500&amp;", ")),--('Đăng tin &amp; Quản lý tin'!$AT$7:$AT$500="Block"))+SUMPRODUCT(--ISNUMBER(SEARCH(", "&amp;$B33&amp;", ",", "&amp;'Trust &amp; Safety'!$B$7:$B$500&amp;", ")),--('Trust &amp; Safety'!$AT$7:$AT$500="Block"))+SUMPRODUCT(--ISNUMBER(SEARCH(", "&amp;$B33&amp;", ",", "&amp;'Tài khoản &amp; Hồ sơ'!$B$7:$B$500&amp;", ")),--('Tài khoản &amp; Hồ sơ'!$AT$7:$AT$500="Block"))</f>
        <v/>
      </c>
      <c r="J33" s="53">
        <f>SUMPRODUCT(--ISNUMBER(SEARCH(", "&amp;$B33&amp;", ",", "&amp;'Hoạt động (Đơn của tôi)'!$B$7:$B$500&amp;", ")),--('Hoạt động (Đơn của tôi)'!$AT$7:$AT$500="N/A"))+SUMPRODUCT(--ISNUMBER(SEARCH(", "&amp;$B33&amp;", ",", "&amp;'Ghép nối'!$B$7:$B$500&amp;", ")),--('Ghép nối'!$AT$7:$AT$500="N/A"))+SUMPRODUCT(--ISNUMBER(SEARCH(", "&amp;$B33&amp;", ",", "&amp;'Huỷ đơn - Huỷ nhận đơn'!$B$7:$B$500&amp;", ")),--('Huỷ đơn - Huỷ nhận đơn'!$AT$7:$AT$500="N/A"))+SUMPRODUCT(--ISNUMBER(SEARCH(", "&amp;$B33&amp;", ",", "&amp;'Giao nhận &amp; Theo dõi đơn'!$B$7:$B$500&amp;", ")),--('Giao nhận &amp; Theo dõi đơn'!$AT$7:$AT$500="N/A"))+SUMPRODUCT(--ISNUMBER(SEARCH(", "&amp;$B33&amp;", ",", "&amp;'Bảng tin &amp; Chi tiết tin'!$B$7:$B$500&amp;", ")),--('Bảng tin &amp; Chi tiết tin'!$AT$7:$AT$500="N/A"))+SUMPRODUCT(--ISNUMBER(SEARCH(", "&amp;$B33&amp;", ",", "&amp;'Quà cảm ơn'!$B$7:$B$500&amp;", ")),--('Quà cảm ơn'!$AT$7:$AT$500="N/A"))+SUMPRODUCT(--ISNUMBER(SEARCH(", "&amp;$B33&amp;", ",", "&amp;'Trang chủ'!$B$7:$B$500&amp;", ")),--('Trang chủ'!$AT$7:$AT$500="N/A"))+SUMPRODUCT(--ISNUMBER(SEARCH(", "&amp;$B33&amp;", ",", "&amp;'Thông báo'!$B$7:$B$500&amp;", ")),--('Thông báo'!$AT$7:$AT$500="N/A"))+SUMPRODUCT(--ISNUMBER(SEARCH(", "&amp;$B33&amp;", ",", "&amp;'Đăng tin &amp; Quản lý tin'!$B$7:$B$500&amp;", ")),--('Đăng tin &amp; Quản lý tin'!$AT$7:$AT$500="N/A"))+SUMPRODUCT(--ISNUMBER(SEARCH(", "&amp;$B33&amp;", ",", "&amp;'Trust &amp; Safety'!$B$7:$B$500&amp;", ")),--('Trust &amp; Safety'!$AT$7:$AT$500="N/A"))+SUMPRODUCT(--ISNUMBER(SEARCH(", "&amp;$B33&amp;", ",", "&amp;'Tài khoản &amp; Hồ sơ'!$B$7:$B$500&amp;", ")),--('Tài khoản &amp; Hồ sơ'!$AT$7:$AT$500="N/A"))</f>
        <v/>
      </c>
      <c r="K33" s="54">
        <f>IFERROR(F33/E33,0)</f>
        <v/>
      </c>
      <c r="L33" s="113">
        <f>IF(E33=0,"Chưa có TC (gap)",IF(H33&gt;0,"Có lỗi (Fail)",IF(I33&gt;0,"Bị block",IF(F33&lt;E33,"Đang test",IF(G33=0,"Không áp dụng (N/A)","Đã test xong")))))</f>
        <v/>
      </c>
      <c r="AB33" t="inlineStr">
        <is>
          <t>REQ-CNL</t>
        </is>
      </c>
    </row>
    <row r="34" ht="15.75" customHeight="1" s="216">
      <c r="A34" s="1" t="n"/>
      <c r="B34" s="112" t="inlineStr">
        <is>
          <t>REQ-CNL-009</t>
        </is>
      </c>
      <c r="C34" s="261" t="inlineStr">
        <is>
          <t>Nguồn — FR11 Actor (§8.11, trang 44): "Người gửi · Người vận chuyển · Người nhận · Admin vận hành</t>
        </is>
      </c>
      <c r="D34" s="113" t="inlineStr">
        <is>
          <t>DOC-v1.1-01 §8.11 dòng Actor · trang 44</t>
        </is>
      </c>
      <c r="E34" s="53">
        <f>SUMPRODUCT(--ISNUMBER(SEARCH(", "&amp;$B34&amp;", ",", "&amp;'Hoạt động (Đơn của tôi)'!$B$7:$B$500&amp;", ")))+SUMPRODUCT(--ISNUMBER(SEARCH(", "&amp;$B34&amp;", ",", "&amp;'Ghép nối'!$B$7:$B$500&amp;", ")))+SUMPRODUCT(--ISNUMBER(SEARCH(", "&amp;$B34&amp;", ",", "&amp;'Huỷ đơn - Huỷ nhận đơn'!$B$7:$B$500&amp;", ")))+SUMPRODUCT(--ISNUMBER(SEARCH(", "&amp;$B34&amp;", ",", "&amp;'Giao nhận &amp; Theo dõi đơn'!$B$7:$B$500&amp;", ")))+SUMPRODUCT(--ISNUMBER(SEARCH(", "&amp;$B34&amp;", ",", "&amp;'Bảng tin &amp; Chi tiết tin'!$B$7:$B$500&amp;", ")))+SUMPRODUCT(--ISNUMBER(SEARCH(", "&amp;$B34&amp;", ",", "&amp;'Quà cảm ơn'!$B$7:$B$500&amp;", ")))+SUMPRODUCT(--ISNUMBER(SEARCH(", "&amp;$B34&amp;", ",", "&amp;'Trang chủ'!$B$7:$B$500&amp;", ")))+SUMPRODUCT(--ISNUMBER(SEARCH(", "&amp;$B34&amp;", ",", "&amp;'Thông báo'!$B$7:$B$500&amp;", ")))+SUMPRODUCT(--ISNUMBER(SEARCH(", "&amp;$B34&amp;", ",", "&amp;'Đăng tin &amp; Quản lý tin'!$B$7:$B$500&amp;", ")))+SUMPRODUCT(--ISNUMBER(SEARCH(", "&amp;$B34&amp;", ",", "&amp;'Trust &amp; Safety'!$B$7:$B$500&amp;", ")))+SUMPRODUCT(--ISNUMBER(SEARCH(", "&amp;$B34&amp;", ",", "&amp;'Tài khoản &amp; Hồ sơ'!$B$7:$B$500&amp;", ")))</f>
        <v/>
      </c>
      <c r="F34" s="53">
        <f>SUMPRODUCT(--ISNUMBER(SEARCH(", "&amp;$B34&amp;", ",", "&amp;'Hoạt động (Đơn của tôi)'!$B$7:$B$500&amp;", ")),--('Hoạt động (Đơn của tôi)'!$AT$7:$AT$500&lt;&gt;""))+SUMPRODUCT(--ISNUMBER(SEARCH(", "&amp;$B34&amp;", ",", "&amp;'Ghép nối'!$B$7:$B$500&amp;", ")),--('Ghép nối'!$AT$7:$AT$500&lt;&gt;""))+SUMPRODUCT(--ISNUMBER(SEARCH(", "&amp;$B34&amp;", ",", "&amp;'Huỷ đơn - Huỷ nhận đơn'!$B$7:$B$500&amp;", ")),--('Huỷ đơn - Huỷ nhận đơn'!$AT$7:$AT$500&lt;&gt;""))+SUMPRODUCT(--ISNUMBER(SEARCH(", "&amp;$B34&amp;", ",", "&amp;'Giao nhận &amp; Theo dõi đơn'!$B$7:$B$500&amp;", ")),--('Giao nhận &amp; Theo dõi đơn'!$AT$7:$AT$500&lt;&gt;""))+SUMPRODUCT(--ISNUMBER(SEARCH(", "&amp;$B34&amp;", ",", "&amp;'Bảng tin &amp; Chi tiết tin'!$B$7:$B$500&amp;", ")),--('Bảng tin &amp; Chi tiết tin'!$AT$7:$AT$500&lt;&gt;""))+SUMPRODUCT(--ISNUMBER(SEARCH(", "&amp;$B34&amp;", ",", "&amp;'Quà cảm ơn'!$B$7:$B$500&amp;", ")),--('Quà cảm ơn'!$AT$7:$AT$500&lt;&gt;""))+SUMPRODUCT(--ISNUMBER(SEARCH(", "&amp;$B34&amp;", ",", "&amp;'Trang chủ'!$B$7:$B$500&amp;", ")),--('Trang chủ'!$AT$7:$AT$500&lt;&gt;""))+SUMPRODUCT(--ISNUMBER(SEARCH(", "&amp;$B34&amp;", ",", "&amp;'Thông báo'!$B$7:$B$500&amp;", ")),--('Thông báo'!$AT$7:$AT$500&lt;&gt;""))+SUMPRODUCT(--ISNUMBER(SEARCH(", "&amp;$B34&amp;", ",", "&amp;'Đăng tin &amp; Quản lý tin'!$B$7:$B$500&amp;", ")),--('Đăng tin &amp; Quản lý tin'!$AT$7:$AT$500&lt;&gt;""))+SUMPRODUCT(--ISNUMBER(SEARCH(", "&amp;$B34&amp;", ",", "&amp;'Trust &amp; Safety'!$B$7:$B$500&amp;", ")),--('Trust &amp; Safety'!$AT$7:$AT$500&lt;&gt;""))+SUMPRODUCT(--ISNUMBER(SEARCH(", "&amp;$B34&amp;", ",", "&amp;'Tài khoản &amp; Hồ sơ'!$B$7:$B$500&amp;", ")),--('Tài khoản &amp; Hồ sơ'!$AT$7:$AT$500&lt;&gt;""))</f>
        <v/>
      </c>
      <c r="G34" s="53">
        <f>SUMPRODUCT(--ISNUMBER(SEARCH(", "&amp;$B34&amp;", ",", "&amp;'Hoạt động (Đơn của tôi)'!$B$7:$B$500&amp;", ")),--('Hoạt động (Đơn của tôi)'!$AT$7:$AT$500="Pass"))+SUMPRODUCT(--ISNUMBER(SEARCH(", "&amp;$B34&amp;", ",", "&amp;'Ghép nối'!$B$7:$B$500&amp;", ")),--('Ghép nối'!$AT$7:$AT$500="Pass"))+SUMPRODUCT(--ISNUMBER(SEARCH(", "&amp;$B34&amp;", ",", "&amp;'Huỷ đơn - Huỷ nhận đơn'!$B$7:$B$500&amp;", ")),--('Huỷ đơn - Huỷ nhận đơn'!$AT$7:$AT$500="Pass"))+SUMPRODUCT(--ISNUMBER(SEARCH(", "&amp;$B34&amp;", ",", "&amp;'Giao nhận &amp; Theo dõi đơn'!$B$7:$B$500&amp;", ")),--('Giao nhận &amp; Theo dõi đơn'!$AT$7:$AT$500="Pass"))+SUMPRODUCT(--ISNUMBER(SEARCH(", "&amp;$B34&amp;", ",", "&amp;'Bảng tin &amp; Chi tiết tin'!$B$7:$B$500&amp;", ")),--('Bảng tin &amp; Chi tiết tin'!$AT$7:$AT$500="Pass"))+SUMPRODUCT(--ISNUMBER(SEARCH(", "&amp;$B34&amp;", ",", "&amp;'Quà cảm ơn'!$B$7:$B$500&amp;", ")),--('Quà cảm ơn'!$AT$7:$AT$500="Pass"))+SUMPRODUCT(--ISNUMBER(SEARCH(", "&amp;$B34&amp;", ",", "&amp;'Trang chủ'!$B$7:$B$500&amp;", ")),--('Trang chủ'!$AT$7:$AT$500="Pass"))+SUMPRODUCT(--ISNUMBER(SEARCH(", "&amp;$B34&amp;", ",", "&amp;'Thông báo'!$B$7:$B$500&amp;", ")),--('Thông báo'!$AT$7:$AT$500="Pass"))+SUMPRODUCT(--ISNUMBER(SEARCH(", "&amp;$B34&amp;", ",", "&amp;'Đăng tin &amp; Quản lý tin'!$B$7:$B$500&amp;", ")),--('Đăng tin &amp; Quản lý tin'!$AT$7:$AT$500="Pass"))+SUMPRODUCT(--ISNUMBER(SEARCH(", "&amp;$B34&amp;", ",", "&amp;'Trust &amp; Safety'!$B$7:$B$500&amp;", ")),--('Trust &amp; Safety'!$AT$7:$AT$500="Pass"))+SUMPRODUCT(--ISNUMBER(SEARCH(", "&amp;$B34&amp;", ",", "&amp;'Tài khoản &amp; Hồ sơ'!$B$7:$B$500&amp;", ")),--('Tài khoản &amp; Hồ sơ'!$AT$7:$AT$500="Pass"))</f>
        <v/>
      </c>
      <c r="H34" s="53">
        <f>SUMPRODUCT(--ISNUMBER(SEARCH(", "&amp;$B34&amp;", ",", "&amp;'Hoạt động (Đơn của tôi)'!$B$7:$B$500&amp;", ")),--('Hoạt động (Đơn của tôi)'!$AT$7:$AT$500="Fail"))+SUMPRODUCT(--ISNUMBER(SEARCH(", "&amp;$B34&amp;", ",", "&amp;'Ghép nối'!$B$7:$B$500&amp;", ")),--('Ghép nối'!$AT$7:$AT$500="Fail"))+SUMPRODUCT(--ISNUMBER(SEARCH(", "&amp;$B34&amp;", ",", "&amp;'Huỷ đơn - Huỷ nhận đơn'!$B$7:$B$500&amp;", ")),--('Huỷ đơn - Huỷ nhận đơn'!$AT$7:$AT$500="Fail"))+SUMPRODUCT(--ISNUMBER(SEARCH(", "&amp;$B34&amp;", ",", "&amp;'Giao nhận &amp; Theo dõi đơn'!$B$7:$B$500&amp;", ")),--('Giao nhận &amp; Theo dõi đơn'!$AT$7:$AT$500="Fail"))+SUMPRODUCT(--ISNUMBER(SEARCH(", "&amp;$B34&amp;", ",", "&amp;'Bảng tin &amp; Chi tiết tin'!$B$7:$B$500&amp;", ")),--('Bảng tin &amp; Chi tiết tin'!$AT$7:$AT$500="Fail"))+SUMPRODUCT(--ISNUMBER(SEARCH(", "&amp;$B34&amp;", ",", "&amp;'Quà cảm ơn'!$B$7:$B$500&amp;", ")),--('Quà cảm ơn'!$AT$7:$AT$500="Fail"))+SUMPRODUCT(--ISNUMBER(SEARCH(", "&amp;$B34&amp;", ",", "&amp;'Trang chủ'!$B$7:$B$500&amp;", ")),--('Trang chủ'!$AT$7:$AT$500="Fail"))+SUMPRODUCT(--ISNUMBER(SEARCH(", "&amp;$B34&amp;", ",", "&amp;'Thông báo'!$B$7:$B$500&amp;", ")),--('Thông báo'!$AT$7:$AT$500="Fail"))+SUMPRODUCT(--ISNUMBER(SEARCH(", "&amp;$B34&amp;", ",", "&amp;'Đăng tin &amp; Quản lý tin'!$B$7:$B$500&amp;", ")),--('Đăng tin &amp; Quản lý tin'!$AT$7:$AT$500="Fail"))+SUMPRODUCT(--ISNUMBER(SEARCH(", "&amp;$B34&amp;", ",", "&amp;'Trust &amp; Safety'!$B$7:$B$500&amp;", ")),--('Trust &amp; Safety'!$AT$7:$AT$500="Fail"))+SUMPRODUCT(--ISNUMBER(SEARCH(", "&amp;$B34&amp;", ",", "&amp;'Tài khoản &amp; Hồ sơ'!$B$7:$B$500&amp;", ")),--('Tài khoản &amp; Hồ sơ'!$AT$7:$AT$500="Fail"))</f>
        <v/>
      </c>
      <c r="I34" s="53">
        <f>SUMPRODUCT(--ISNUMBER(SEARCH(", "&amp;$B34&amp;", ",", "&amp;'Hoạt động (Đơn của tôi)'!$B$7:$B$500&amp;", ")),--('Hoạt động (Đơn của tôi)'!$AT$7:$AT$500="Block"))+SUMPRODUCT(--ISNUMBER(SEARCH(", "&amp;$B34&amp;", ",", "&amp;'Ghép nối'!$B$7:$B$500&amp;", ")),--('Ghép nối'!$AT$7:$AT$500="Block"))+SUMPRODUCT(--ISNUMBER(SEARCH(", "&amp;$B34&amp;", ",", "&amp;'Huỷ đơn - Huỷ nhận đơn'!$B$7:$B$500&amp;", ")),--('Huỷ đơn - Huỷ nhận đơn'!$AT$7:$AT$500="Block"))+SUMPRODUCT(--ISNUMBER(SEARCH(", "&amp;$B34&amp;", ",", "&amp;'Giao nhận &amp; Theo dõi đơn'!$B$7:$B$500&amp;", ")),--('Giao nhận &amp; Theo dõi đơn'!$AT$7:$AT$500="Block"))+SUMPRODUCT(--ISNUMBER(SEARCH(", "&amp;$B34&amp;", ",", "&amp;'Bảng tin &amp; Chi tiết tin'!$B$7:$B$500&amp;", ")),--('Bảng tin &amp; Chi tiết tin'!$AT$7:$AT$500="Block"))+SUMPRODUCT(--ISNUMBER(SEARCH(", "&amp;$B34&amp;", ",", "&amp;'Quà cảm ơn'!$B$7:$B$500&amp;", ")),--('Quà cảm ơn'!$AT$7:$AT$500="Block"))+SUMPRODUCT(--ISNUMBER(SEARCH(", "&amp;$B34&amp;", ",", "&amp;'Trang chủ'!$B$7:$B$500&amp;", ")),--('Trang chủ'!$AT$7:$AT$500="Block"))+SUMPRODUCT(--ISNUMBER(SEARCH(", "&amp;$B34&amp;", ",", "&amp;'Thông báo'!$B$7:$B$500&amp;", ")),--('Thông báo'!$AT$7:$AT$500="Block"))+SUMPRODUCT(--ISNUMBER(SEARCH(", "&amp;$B34&amp;", ",", "&amp;'Đăng tin &amp; Quản lý tin'!$B$7:$B$500&amp;", ")),--('Đăng tin &amp; Quản lý tin'!$AT$7:$AT$500="Block"))+SUMPRODUCT(--ISNUMBER(SEARCH(", "&amp;$B34&amp;", ",", "&amp;'Trust &amp; Safety'!$B$7:$B$500&amp;", ")),--('Trust &amp; Safety'!$AT$7:$AT$500="Block"))+SUMPRODUCT(--ISNUMBER(SEARCH(", "&amp;$B34&amp;", ",", "&amp;'Tài khoản &amp; Hồ sơ'!$B$7:$B$500&amp;", ")),--('Tài khoản &amp; Hồ sơ'!$AT$7:$AT$500="Block"))</f>
        <v/>
      </c>
      <c r="J34" s="53">
        <f>SUMPRODUCT(--ISNUMBER(SEARCH(", "&amp;$B34&amp;", ",", "&amp;'Hoạt động (Đơn của tôi)'!$B$7:$B$500&amp;", ")),--('Hoạt động (Đơn của tôi)'!$AT$7:$AT$500="N/A"))+SUMPRODUCT(--ISNUMBER(SEARCH(", "&amp;$B34&amp;", ",", "&amp;'Ghép nối'!$B$7:$B$500&amp;", ")),--('Ghép nối'!$AT$7:$AT$500="N/A"))+SUMPRODUCT(--ISNUMBER(SEARCH(", "&amp;$B34&amp;", ",", "&amp;'Huỷ đơn - Huỷ nhận đơn'!$B$7:$B$500&amp;", ")),--('Huỷ đơn - Huỷ nhận đơn'!$AT$7:$AT$500="N/A"))+SUMPRODUCT(--ISNUMBER(SEARCH(", "&amp;$B34&amp;", ",", "&amp;'Giao nhận &amp; Theo dõi đơn'!$B$7:$B$500&amp;", ")),--('Giao nhận &amp; Theo dõi đơn'!$AT$7:$AT$500="N/A"))+SUMPRODUCT(--ISNUMBER(SEARCH(", "&amp;$B34&amp;", ",", "&amp;'Bảng tin &amp; Chi tiết tin'!$B$7:$B$500&amp;", ")),--('Bảng tin &amp; Chi tiết tin'!$AT$7:$AT$500="N/A"))+SUMPRODUCT(--ISNUMBER(SEARCH(", "&amp;$B34&amp;", ",", "&amp;'Quà cảm ơn'!$B$7:$B$500&amp;", ")),--('Quà cảm ơn'!$AT$7:$AT$500="N/A"))+SUMPRODUCT(--ISNUMBER(SEARCH(", "&amp;$B34&amp;", ",", "&amp;'Trang chủ'!$B$7:$B$500&amp;", ")),--('Trang chủ'!$AT$7:$AT$500="N/A"))+SUMPRODUCT(--ISNUMBER(SEARCH(", "&amp;$B34&amp;", ",", "&amp;'Thông báo'!$B$7:$B$500&amp;", ")),--('Thông báo'!$AT$7:$AT$500="N/A"))+SUMPRODUCT(--ISNUMBER(SEARCH(", "&amp;$B34&amp;", ",", "&amp;'Đăng tin &amp; Quản lý tin'!$B$7:$B$500&amp;", ")),--('Đăng tin &amp; Quản lý tin'!$AT$7:$AT$500="N/A"))+SUMPRODUCT(--ISNUMBER(SEARCH(", "&amp;$B34&amp;", ",", "&amp;'Trust &amp; Safety'!$B$7:$B$500&amp;", ")),--('Trust &amp; Safety'!$AT$7:$AT$500="N/A"))+SUMPRODUCT(--ISNUMBER(SEARCH(", "&amp;$B34&amp;", ",", "&amp;'Tài khoản &amp; Hồ sơ'!$B$7:$B$500&amp;", ")),--('Tài khoản &amp; Hồ sơ'!$AT$7:$AT$500="N/A"))</f>
        <v/>
      </c>
      <c r="K34" s="54">
        <f>IFERROR(F34/E34,0)</f>
        <v/>
      </c>
      <c r="L34" s="113">
        <f>IF(E34=0,"Chưa có TC (gap)",IF(H34&gt;0,"Có lỗi (Fail)",IF(I34&gt;0,"Bị block",IF(F34&lt;E34,"Đang test",IF(G34=0,"Không áp dụng (N/A)","Đã test xong")))))</f>
        <v/>
      </c>
      <c r="AB34" t="inlineStr">
        <is>
          <t>REQ-CNL</t>
        </is>
      </c>
    </row>
    <row r="35" ht="15.75" customHeight="1" s="216">
      <c r="A35" s="1" t="n"/>
      <c r="B35" s="112" t="inlineStr">
        <is>
          <t>REQ-CNL-001</t>
        </is>
      </c>
      <c r="C35" s="261" t="inlineStr"/>
      <c r="D35" s="113" t="inlineStr">
        <is>
          <t>DOC-v1.0-01</t>
        </is>
      </c>
      <c r="E35" s="53">
        <f>SUMPRODUCT(--ISNUMBER(SEARCH(", "&amp;$B35&amp;", ",", "&amp;'Hoạt động (Đơn của tôi)'!$B$7:$B$500&amp;", ")))+SUMPRODUCT(--ISNUMBER(SEARCH(", "&amp;$B35&amp;", ",", "&amp;'Ghép nối'!$B$7:$B$500&amp;", ")))+SUMPRODUCT(--ISNUMBER(SEARCH(", "&amp;$B35&amp;", ",", "&amp;'Huỷ đơn - Huỷ nhận đơn'!$B$7:$B$500&amp;", ")))+SUMPRODUCT(--ISNUMBER(SEARCH(", "&amp;$B35&amp;", ",", "&amp;'Giao nhận &amp; Theo dõi đơn'!$B$7:$B$500&amp;", ")))+SUMPRODUCT(--ISNUMBER(SEARCH(", "&amp;$B35&amp;", ",", "&amp;'Bảng tin &amp; Chi tiết tin'!$B$7:$B$500&amp;", ")))+SUMPRODUCT(--ISNUMBER(SEARCH(", "&amp;$B35&amp;", ",", "&amp;'Quà cảm ơn'!$B$7:$B$500&amp;", ")))+SUMPRODUCT(--ISNUMBER(SEARCH(", "&amp;$B35&amp;", ",", "&amp;'Trang chủ'!$B$7:$B$500&amp;", ")))+SUMPRODUCT(--ISNUMBER(SEARCH(", "&amp;$B35&amp;", ",", "&amp;'Thông báo'!$B$7:$B$500&amp;", ")))+SUMPRODUCT(--ISNUMBER(SEARCH(", "&amp;$B35&amp;", ",", "&amp;'Đăng tin &amp; Quản lý tin'!$B$7:$B$500&amp;", ")))+SUMPRODUCT(--ISNUMBER(SEARCH(", "&amp;$B35&amp;", ",", "&amp;'Trust &amp; Safety'!$B$7:$B$500&amp;", ")))+SUMPRODUCT(--ISNUMBER(SEARCH(", "&amp;$B35&amp;", ",", "&amp;'Tài khoản &amp; Hồ sơ'!$B$7:$B$500&amp;", ")))</f>
        <v/>
      </c>
      <c r="F35" s="53">
        <f>SUMPRODUCT(--ISNUMBER(SEARCH(", "&amp;$B35&amp;", ",", "&amp;'Hoạt động (Đơn của tôi)'!$B$7:$B$500&amp;", ")),--('Hoạt động (Đơn của tôi)'!$AT$7:$AT$500&lt;&gt;""))+SUMPRODUCT(--ISNUMBER(SEARCH(", "&amp;$B35&amp;", ",", "&amp;'Ghép nối'!$B$7:$B$500&amp;", ")),--('Ghép nối'!$AT$7:$AT$500&lt;&gt;""))+SUMPRODUCT(--ISNUMBER(SEARCH(", "&amp;$B35&amp;", ",", "&amp;'Huỷ đơn - Huỷ nhận đơn'!$B$7:$B$500&amp;", ")),--('Huỷ đơn - Huỷ nhận đơn'!$AT$7:$AT$500&lt;&gt;""))+SUMPRODUCT(--ISNUMBER(SEARCH(", "&amp;$B35&amp;", ",", "&amp;'Giao nhận &amp; Theo dõi đơn'!$B$7:$B$500&amp;", ")),--('Giao nhận &amp; Theo dõi đơn'!$AT$7:$AT$500&lt;&gt;""))+SUMPRODUCT(--ISNUMBER(SEARCH(", "&amp;$B35&amp;", ",", "&amp;'Bảng tin &amp; Chi tiết tin'!$B$7:$B$500&amp;", ")),--('Bảng tin &amp; Chi tiết tin'!$AT$7:$AT$500&lt;&gt;""))+SUMPRODUCT(--ISNUMBER(SEARCH(", "&amp;$B35&amp;", ",", "&amp;'Quà cảm ơn'!$B$7:$B$500&amp;", ")),--('Quà cảm ơn'!$AT$7:$AT$500&lt;&gt;""))+SUMPRODUCT(--ISNUMBER(SEARCH(", "&amp;$B35&amp;", ",", "&amp;'Trang chủ'!$B$7:$B$500&amp;", ")),--('Trang chủ'!$AT$7:$AT$500&lt;&gt;""))+SUMPRODUCT(--ISNUMBER(SEARCH(", "&amp;$B35&amp;", ",", "&amp;'Thông báo'!$B$7:$B$500&amp;", ")),--('Thông báo'!$AT$7:$AT$500&lt;&gt;""))+SUMPRODUCT(--ISNUMBER(SEARCH(", "&amp;$B35&amp;", ",", "&amp;'Đăng tin &amp; Quản lý tin'!$B$7:$B$500&amp;", ")),--('Đăng tin &amp; Quản lý tin'!$AT$7:$AT$500&lt;&gt;""))+SUMPRODUCT(--ISNUMBER(SEARCH(", "&amp;$B35&amp;", ",", "&amp;'Trust &amp; Safety'!$B$7:$B$500&amp;", ")),--('Trust &amp; Safety'!$AT$7:$AT$500&lt;&gt;""))+SUMPRODUCT(--ISNUMBER(SEARCH(", "&amp;$B35&amp;", ",", "&amp;'Tài khoản &amp; Hồ sơ'!$B$7:$B$500&amp;", ")),--('Tài khoản &amp; Hồ sơ'!$AT$7:$AT$500&lt;&gt;""))</f>
        <v/>
      </c>
      <c r="G35" s="53">
        <f>SUMPRODUCT(--ISNUMBER(SEARCH(", "&amp;$B35&amp;", ",", "&amp;'Hoạt động (Đơn của tôi)'!$B$7:$B$500&amp;", ")),--('Hoạt động (Đơn của tôi)'!$AT$7:$AT$500="Pass"))+SUMPRODUCT(--ISNUMBER(SEARCH(", "&amp;$B35&amp;", ",", "&amp;'Ghép nối'!$B$7:$B$500&amp;", ")),--('Ghép nối'!$AT$7:$AT$500="Pass"))+SUMPRODUCT(--ISNUMBER(SEARCH(", "&amp;$B35&amp;", ",", "&amp;'Huỷ đơn - Huỷ nhận đơn'!$B$7:$B$500&amp;", ")),--('Huỷ đơn - Huỷ nhận đơn'!$AT$7:$AT$500="Pass"))+SUMPRODUCT(--ISNUMBER(SEARCH(", "&amp;$B35&amp;", ",", "&amp;'Giao nhận &amp; Theo dõi đơn'!$B$7:$B$500&amp;", ")),--('Giao nhận &amp; Theo dõi đơn'!$AT$7:$AT$500="Pass"))+SUMPRODUCT(--ISNUMBER(SEARCH(", "&amp;$B35&amp;", ",", "&amp;'Bảng tin &amp; Chi tiết tin'!$B$7:$B$500&amp;", ")),--('Bảng tin &amp; Chi tiết tin'!$AT$7:$AT$500="Pass"))+SUMPRODUCT(--ISNUMBER(SEARCH(", "&amp;$B35&amp;", ",", "&amp;'Quà cảm ơn'!$B$7:$B$500&amp;", ")),--('Quà cảm ơn'!$AT$7:$AT$500="Pass"))+SUMPRODUCT(--ISNUMBER(SEARCH(", "&amp;$B35&amp;", ",", "&amp;'Trang chủ'!$B$7:$B$500&amp;", ")),--('Trang chủ'!$AT$7:$AT$500="Pass"))+SUMPRODUCT(--ISNUMBER(SEARCH(", "&amp;$B35&amp;", ",", "&amp;'Thông báo'!$B$7:$B$500&amp;", ")),--('Thông báo'!$AT$7:$AT$500="Pass"))+SUMPRODUCT(--ISNUMBER(SEARCH(", "&amp;$B35&amp;", ",", "&amp;'Đăng tin &amp; Quản lý tin'!$B$7:$B$500&amp;", ")),--('Đăng tin &amp; Quản lý tin'!$AT$7:$AT$500="Pass"))+SUMPRODUCT(--ISNUMBER(SEARCH(", "&amp;$B35&amp;", ",", "&amp;'Trust &amp; Safety'!$B$7:$B$500&amp;", ")),--('Trust &amp; Safety'!$AT$7:$AT$500="Pass"))+SUMPRODUCT(--ISNUMBER(SEARCH(", "&amp;$B35&amp;", ",", "&amp;'Tài khoản &amp; Hồ sơ'!$B$7:$B$500&amp;", ")),--('Tài khoản &amp; Hồ sơ'!$AT$7:$AT$500="Pass"))</f>
        <v/>
      </c>
      <c r="H35" s="53">
        <f>SUMPRODUCT(--ISNUMBER(SEARCH(", "&amp;$B35&amp;", ",", "&amp;'Hoạt động (Đơn của tôi)'!$B$7:$B$500&amp;", ")),--('Hoạt động (Đơn của tôi)'!$AT$7:$AT$500="Fail"))+SUMPRODUCT(--ISNUMBER(SEARCH(", "&amp;$B35&amp;", ",", "&amp;'Ghép nối'!$B$7:$B$500&amp;", ")),--('Ghép nối'!$AT$7:$AT$500="Fail"))+SUMPRODUCT(--ISNUMBER(SEARCH(", "&amp;$B35&amp;", ",", "&amp;'Huỷ đơn - Huỷ nhận đơn'!$B$7:$B$500&amp;", ")),--('Huỷ đơn - Huỷ nhận đơn'!$AT$7:$AT$500="Fail"))+SUMPRODUCT(--ISNUMBER(SEARCH(", "&amp;$B35&amp;", ",", "&amp;'Giao nhận &amp; Theo dõi đơn'!$B$7:$B$500&amp;", ")),--('Giao nhận &amp; Theo dõi đơn'!$AT$7:$AT$500="Fail"))+SUMPRODUCT(--ISNUMBER(SEARCH(", "&amp;$B35&amp;", ",", "&amp;'Bảng tin &amp; Chi tiết tin'!$B$7:$B$500&amp;", ")),--('Bảng tin &amp; Chi tiết tin'!$AT$7:$AT$500="Fail"))+SUMPRODUCT(--ISNUMBER(SEARCH(", "&amp;$B35&amp;", ",", "&amp;'Quà cảm ơn'!$B$7:$B$500&amp;", ")),--('Quà cảm ơn'!$AT$7:$AT$500="Fail"))+SUMPRODUCT(--ISNUMBER(SEARCH(", "&amp;$B35&amp;", ",", "&amp;'Trang chủ'!$B$7:$B$500&amp;", ")),--('Trang chủ'!$AT$7:$AT$500="Fail"))+SUMPRODUCT(--ISNUMBER(SEARCH(", "&amp;$B35&amp;", ",", "&amp;'Thông báo'!$B$7:$B$500&amp;", ")),--('Thông báo'!$AT$7:$AT$500="Fail"))+SUMPRODUCT(--ISNUMBER(SEARCH(", "&amp;$B35&amp;", ",", "&amp;'Đăng tin &amp; Quản lý tin'!$B$7:$B$500&amp;", ")),--('Đăng tin &amp; Quản lý tin'!$AT$7:$AT$500="Fail"))+SUMPRODUCT(--ISNUMBER(SEARCH(", "&amp;$B35&amp;", ",", "&amp;'Trust &amp; Safety'!$B$7:$B$500&amp;", ")),--('Trust &amp; Safety'!$AT$7:$AT$500="Fail"))+SUMPRODUCT(--ISNUMBER(SEARCH(", "&amp;$B35&amp;", ",", "&amp;'Tài khoản &amp; Hồ sơ'!$B$7:$B$500&amp;", ")),--('Tài khoản &amp; Hồ sơ'!$AT$7:$AT$500="Fail"))</f>
        <v/>
      </c>
      <c r="I35" s="53">
        <f>SUMPRODUCT(--ISNUMBER(SEARCH(", "&amp;$B35&amp;", ",", "&amp;'Hoạt động (Đơn của tôi)'!$B$7:$B$500&amp;", ")),--('Hoạt động (Đơn của tôi)'!$AT$7:$AT$500="Block"))+SUMPRODUCT(--ISNUMBER(SEARCH(", "&amp;$B35&amp;", ",", "&amp;'Ghép nối'!$B$7:$B$500&amp;", ")),--('Ghép nối'!$AT$7:$AT$500="Block"))+SUMPRODUCT(--ISNUMBER(SEARCH(", "&amp;$B35&amp;", ",", "&amp;'Huỷ đơn - Huỷ nhận đơn'!$B$7:$B$500&amp;", ")),--('Huỷ đơn - Huỷ nhận đơn'!$AT$7:$AT$500="Block"))+SUMPRODUCT(--ISNUMBER(SEARCH(", "&amp;$B35&amp;", ",", "&amp;'Giao nhận &amp; Theo dõi đơn'!$B$7:$B$500&amp;", ")),--('Giao nhận &amp; Theo dõi đơn'!$AT$7:$AT$500="Block"))+SUMPRODUCT(--ISNUMBER(SEARCH(", "&amp;$B35&amp;", ",", "&amp;'Bảng tin &amp; Chi tiết tin'!$B$7:$B$500&amp;", ")),--('Bảng tin &amp; Chi tiết tin'!$AT$7:$AT$500="Block"))+SUMPRODUCT(--ISNUMBER(SEARCH(", "&amp;$B35&amp;", ",", "&amp;'Quà cảm ơn'!$B$7:$B$500&amp;", ")),--('Quà cảm ơn'!$AT$7:$AT$500="Block"))+SUMPRODUCT(--ISNUMBER(SEARCH(", "&amp;$B35&amp;", ",", "&amp;'Trang chủ'!$B$7:$B$500&amp;", ")),--('Trang chủ'!$AT$7:$AT$500="Block"))+SUMPRODUCT(--ISNUMBER(SEARCH(", "&amp;$B35&amp;", ",", "&amp;'Thông báo'!$B$7:$B$500&amp;", ")),--('Thông báo'!$AT$7:$AT$500="Block"))+SUMPRODUCT(--ISNUMBER(SEARCH(", "&amp;$B35&amp;", ",", "&amp;'Đăng tin &amp; Quản lý tin'!$B$7:$B$500&amp;", ")),--('Đăng tin &amp; Quản lý tin'!$AT$7:$AT$500="Block"))+SUMPRODUCT(--ISNUMBER(SEARCH(", "&amp;$B35&amp;", ",", "&amp;'Trust &amp; Safety'!$B$7:$B$500&amp;", ")),--('Trust &amp; Safety'!$AT$7:$AT$500="Block"))+SUMPRODUCT(--ISNUMBER(SEARCH(", "&amp;$B35&amp;", ",", "&amp;'Tài khoản &amp; Hồ sơ'!$B$7:$B$500&amp;", ")),--('Tài khoản &amp; Hồ sơ'!$AT$7:$AT$500="Block"))</f>
        <v/>
      </c>
      <c r="J35" s="53">
        <f>SUMPRODUCT(--ISNUMBER(SEARCH(", "&amp;$B35&amp;", ",", "&amp;'Hoạt động (Đơn của tôi)'!$B$7:$B$500&amp;", ")),--('Hoạt động (Đơn của tôi)'!$AT$7:$AT$500="N/A"))+SUMPRODUCT(--ISNUMBER(SEARCH(", "&amp;$B35&amp;", ",", "&amp;'Ghép nối'!$B$7:$B$500&amp;", ")),--('Ghép nối'!$AT$7:$AT$500="N/A"))+SUMPRODUCT(--ISNUMBER(SEARCH(", "&amp;$B35&amp;", ",", "&amp;'Huỷ đơn - Huỷ nhận đơn'!$B$7:$B$500&amp;", ")),--('Huỷ đơn - Huỷ nhận đơn'!$AT$7:$AT$500="N/A"))+SUMPRODUCT(--ISNUMBER(SEARCH(", "&amp;$B35&amp;", ",", "&amp;'Giao nhận &amp; Theo dõi đơn'!$B$7:$B$500&amp;", ")),--('Giao nhận &amp; Theo dõi đơn'!$AT$7:$AT$500="N/A"))+SUMPRODUCT(--ISNUMBER(SEARCH(", "&amp;$B35&amp;", ",", "&amp;'Bảng tin &amp; Chi tiết tin'!$B$7:$B$500&amp;", ")),--('Bảng tin &amp; Chi tiết tin'!$AT$7:$AT$500="N/A"))+SUMPRODUCT(--ISNUMBER(SEARCH(", "&amp;$B35&amp;", ",", "&amp;'Quà cảm ơn'!$B$7:$B$500&amp;", ")),--('Quà cảm ơn'!$AT$7:$AT$500="N/A"))+SUMPRODUCT(--ISNUMBER(SEARCH(", "&amp;$B35&amp;", ",", "&amp;'Trang chủ'!$B$7:$B$500&amp;", ")),--('Trang chủ'!$AT$7:$AT$500="N/A"))+SUMPRODUCT(--ISNUMBER(SEARCH(", "&amp;$B35&amp;", ",", "&amp;'Thông báo'!$B$7:$B$500&amp;", ")),--('Thông báo'!$AT$7:$AT$500="N/A"))+SUMPRODUCT(--ISNUMBER(SEARCH(", "&amp;$B35&amp;", ",", "&amp;'Đăng tin &amp; Quản lý tin'!$B$7:$B$500&amp;", ")),--('Đăng tin &amp; Quản lý tin'!$AT$7:$AT$500="N/A"))+SUMPRODUCT(--ISNUMBER(SEARCH(", "&amp;$B35&amp;", ",", "&amp;'Trust &amp; Safety'!$B$7:$B$500&amp;", ")),--('Trust &amp; Safety'!$AT$7:$AT$500="N/A"))+SUMPRODUCT(--ISNUMBER(SEARCH(", "&amp;$B35&amp;", ",", "&amp;'Tài khoản &amp; Hồ sơ'!$B$7:$B$500&amp;", ")),--('Tài khoản &amp; Hồ sơ'!$AT$7:$AT$500="N/A"))</f>
        <v/>
      </c>
      <c r="K35" s="54">
        <f>IFERROR(F35/E35,0)</f>
        <v/>
      </c>
      <c r="L35" s="113">
        <f>IF(E35=0,"Chưa có TC (gap)",IF(H35&gt;0,"Có lỗi (Fail)",IF(I35&gt;0,"Bị block",IF(F35&lt;E35,"Đang test",IF(G35=0,"Không áp dụng (N/A)","Đã test xong")))))</f>
        <v/>
      </c>
      <c r="AB35" t="inlineStr">
        <is>
          <t>REQ-CNL</t>
        </is>
      </c>
    </row>
    <row r="36" ht="15.75" customHeight="1" s="216">
      <c r="A36" s="1" t="n"/>
      <c r="B36" s="112" t="inlineStr">
        <is>
          <t>REQ-CNL-004</t>
        </is>
      </c>
      <c r="C36" s="261" t="inlineStr"/>
      <c r="D36" s="113" t="inlineStr">
        <is>
          <t>DOC-v1.0-01</t>
        </is>
      </c>
      <c r="E36" s="53">
        <f>SUMPRODUCT(--ISNUMBER(SEARCH(", "&amp;$B36&amp;", ",", "&amp;'Hoạt động (Đơn của tôi)'!$B$7:$B$500&amp;", ")))+SUMPRODUCT(--ISNUMBER(SEARCH(", "&amp;$B36&amp;", ",", "&amp;'Ghép nối'!$B$7:$B$500&amp;", ")))+SUMPRODUCT(--ISNUMBER(SEARCH(", "&amp;$B36&amp;", ",", "&amp;'Huỷ đơn - Huỷ nhận đơn'!$B$7:$B$500&amp;", ")))+SUMPRODUCT(--ISNUMBER(SEARCH(", "&amp;$B36&amp;", ",", "&amp;'Giao nhận &amp; Theo dõi đơn'!$B$7:$B$500&amp;", ")))+SUMPRODUCT(--ISNUMBER(SEARCH(", "&amp;$B36&amp;", ",", "&amp;'Bảng tin &amp; Chi tiết tin'!$B$7:$B$500&amp;", ")))+SUMPRODUCT(--ISNUMBER(SEARCH(", "&amp;$B36&amp;", ",", "&amp;'Quà cảm ơn'!$B$7:$B$500&amp;", ")))+SUMPRODUCT(--ISNUMBER(SEARCH(", "&amp;$B36&amp;", ",", "&amp;'Trang chủ'!$B$7:$B$500&amp;", ")))+SUMPRODUCT(--ISNUMBER(SEARCH(", "&amp;$B36&amp;", ",", "&amp;'Thông báo'!$B$7:$B$500&amp;", ")))+SUMPRODUCT(--ISNUMBER(SEARCH(", "&amp;$B36&amp;", ",", "&amp;'Đăng tin &amp; Quản lý tin'!$B$7:$B$500&amp;", ")))+SUMPRODUCT(--ISNUMBER(SEARCH(", "&amp;$B36&amp;", ",", "&amp;'Trust &amp; Safety'!$B$7:$B$500&amp;", ")))+SUMPRODUCT(--ISNUMBER(SEARCH(", "&amp;$B36&amp;", ",", "&amp;'Tài khoản &amp; Hồ sơ'!$B$7:$B$500&amp;", ")))</f>
        <v/>
      </c>
      <c r="F36" s="53">
        <f>SUMPRODUCT(--ISNUMBER(SEARCH(", "&amp;$B36&amp;", ",", "&amp;'Hoạt động (Đơn của tôi)'!$B$7:$B$500&amp;", ")),--('Hoạt động (Đơn của tôi)'!$AT$7:$AT$500&lt;&gt;""))+SUMPRODUCT(--ISNUMBER(SEARCH(", "&amp;$B36&amp;", ",", "&amp;'Ghép nối'!$B$7:$B$500&amp;", ")),--('Ghép nối'!$AT$7:$AT$500&lt;&gt;""))+SUMPRODUCT(--ISNUMBER(SEARCH(", "&amp;$B36&amp;", ",", "&amp;'Huỷ đơn - Huỷ nhận đơn'!$B$7:$B$500&amp;", ")),--('Huỷ đơn - Huỷ nhận đơn'!$AT$7:$AT$500&lt;&gt;""))+SUMPRODUCT(--ISNUMBER(SEARCH(", "&amp;$B36&amp;", ",", "&amp;'Giao nhận &amp; Theo dõi đơn'!$B$7:$B$500&amp;", ")),--('Giao nhận &amp; Theo dõi đơn'!$AT$7:$AT$500&lt;&gt;""))+SUMPRODUCT(--ISNUMBER(SEARCH(", "&amp;$B36&amp;", ",", "&amp;'Bảng tin &amp; Chi tiết tin'!$B$7:$B$500&amp;", ")),--('Bảng tin &amp; Chi tiết tin'!$AT$7:$AT$500&lt;&gt;""))+SUMPRODUCT(--ISNUMBER(SEARCH(", "&amp;$B36&amp;", ",", "&amp;'Quà cảm ơn'!$B$7:$B$500&amp;", ")),--('Quà cảm ơn'!$AT$7:$AT$500&lt;&gt;""))+SUMPRODUCT(--ISNUMBER(SEARCH(", "&amp;$B36&amp;", ",", "&amp;'Trang chủ'!$B$7:$B$500&amp;", ")),--('Trang chủ'!$AT$7:$AT$500&lt;&gt;""))+SUMPRODUCT(--ISNUMBER(SEARCH(", "&amp;$B36&amp;", ",", "&amp;'Thông báo'!$B$7:$B$500&amp;", ")),--('Thông báo'!$AT$7:$AT$500&lt;&gt;""))+SUMPRODUCT(--ISNUMBER(SEARCH(", "&amp;$B36&amp;", ",", "&amp;'Đăng tin &amp; Quản lý tin'!$B$7:$B$500&amp;", ")),--('Đăng tin &amp; Quản lý tin'!$AT$7:$AT$500&lt;&gt;""))+SUMPRODUCT(--ISNUMBER(SEARCH(", "&amp;$B36&amp;", ",", "&amp;'Trust &amp; Safety'!$B$7:$B$500&amp;", ")),--('Trust &amp; Safety'!$AT$7:$AT$500&lt;&gt;""))+SUMPRODUCT(--ISNUMBER(SEARCH(", "&amp;$B36&amp;", ",", "&amp;'Tài khoản &amp; Hồ sơ'!$B$7:$B$500&amp;", ")),--('Tài khoản &amp; Hồ sơ'!$AT$7:$AT$500&lt;&gt;""))</f>
        <v/>
      </c>
      <c r="G36" s="53">
        <f>SUMPRODUCT(--ISNUMBER(SEARCH(", "&amp;$B36&amp;", ",", "&amp;'Hoạt động (Đơn của tôi)'!$B$7:$B$500&amp;", ")),--('Hoạt động (Đơn của tôi)'!$AT$7:$AT$500="Pass"))+SUMPRODUCT(--ISNUMBER(SEARCH(", "&amp;$B36&amp;", ",", "&amp;'Ghép nối'!$B$7:$B$500&amp;", ")),--('Ghép nối'!$AT$7:$AT$500="Pass"))+SUMPRODUCT(--ISNUMBER(SEARCH(", "&amp;$B36&amp;", ",", "&amp;'Huỷ đơn - Huỷ nhận đơn'!$B$7:$B$500&amp;", ")),--('Huỷ đơn - Huỷ nhận đơn'!$AT$7:$AT$500="Pass"))+SUMPRODUCT(--ISNUMBER(SEARCH(", "&amp;$B36&amp;", ",", "&amp;'Giao nhận &amp; Theo dõi đơn'!$B$7:$B$500&amp;", ")),--('Giao nhận &amp; Theo dõi đơn'!$AT$7:$AT$500="Pass"))+SUMPRODUCT(--ISNUMBER(SEARCH(", "&amp;$B36&amp;", ",", "&amp;'Bảng tin &amp; Chi tiết tin'!$B$7:$B$500&amp;", ")),--('Bảng tin &amp; Chi tiết tin'!$AT$7:$AT$500="Pass"))+SUMPRODUCT(--ISNUMBER(SEARCH(", "&amp;$B36&amp;", ",", "&amp;'Quà cảm ơn'!$B$7:$B$500&amp;", ")),--('Quà cảm ơn'!$AT$7:$AT$500="Pass"))+SUMPRODUCT(--ISNUMBER(SEARCH(", "&amp;$B36&amp;", ",", "&amp;'Trang chủ'!$B$7:$B$500&amp;", ")),--('Trang chủ'!$AT$7:$AT$500="Pass"))+SUMPRODUCT(--ISNUMBER(SEARCH(", "&amp;$B36&amp;", ",", "&amp;'Thông báo'!$B$7:$B$500&amp;", ")),--('Thông báo'!$AT$7:$AT$500="Pass"))+SUMPRODUCT(--ISNUMBER(SEARCH(", "&amp;$B36&amp;", ",", "&amp;'Đăng tin &amp; Quản lý tin'!$B$7:$B$500&amp;", ")),--('Đăng tin &amp; Quản lý tin'!$AT$7:$AT$500="Pass"))+SUMPRODUCT(--ISNUMBER(SEARCH(", "&amp;$B36&amp;", ",", "&amp;'Trust &amp; Safety'!$B$7:$B$500&amp;", ")),--('Trust &amp; Safety'!$AT$7:$AT$500="Pass"))+SUMPRODUCT(--ISNUMBER(SEARCH(", "&amp;$B36&amp;", ",", "&amp;'Tài khoản &amp; Hồ sơ'!$B$7:$B$500&amp;", ")),--('Tài khoản &amp; Hồ sơ'!$AT$7:$AT$500="Pass"))</f>
        <v/>
      </c>
      <c r="H36" s="53">
        <f>SUMPRODUCT(--ISNUMBER(SEARCH(", "&amp;$B36&amp;", ",", "&amp;'Hoạt động (Đơn của tôi)'!$B$7:$B$500&amp;", ")),--('Hoạt động (Đơn của tôi)'!$AT$7:$AT$500="Fail"))+SUMPRODUCT(--ISNUMBER(SEARCH(", "&amp;$B36&amp;", ",", "&amp;'Ghép nối'!$B$7:$B$500&amp;", ")),--('Ghép nối'!$AT$7:$AT$500="Fail"))+SUMPRODUCT(--ISNUMBER(SEARCH(", "&amp;$B36&amp;", ",", "&amp;'Huỷ đơn - Huỷ nhận đơn'!$B$7:$B$500&amp;", ")),--('Huỷ đơn - Huỷ nhận đơn'!$AT$7:$AT$500="Fail"))+SUMPRODUCT(--ISNUMBER(SEARCH(", "&amp;$B36&amp;", ",", "&amp;'Giao nhận &amp; Theo dõi đơn'!$B$7:$B$500&amp;", ")),--('Giao nhận &amp; Theo dõi đơn'!$AT$7:$AT$500="Fail"))+SUMPRODUCT(--ISNUMBER(SEARCH(", "&amp;$B36&amp;", ",", "&amp;'Bảng tin &amp; Chi tiết tin'!$B$7:$B$500&amp;", ")),--('Bảng tin &amp; Chi tiết tin'!$AT$7:$AT$500="Fail"))+SUMPRODUCT(--ISNUMBER(SEARCH(", "&amp;$B36&amp;", ",", "&amp;'Quà cảm ơn'!$B$7:$B$500&amp;", ")),--('Quà cảm ơn'!$AT$7:$AT$500="Fail"))+SUMPRODUCT(--ISNUMBER(SEARCH(", "&amp;$B36&amp;", ",", "&amp;'Trang chủ'!$B$7:$B$500&amp;", ")),--('Trang chủ'!$AT$7:$AT$500="Fail"))+SUMPRODUCT(--ISNUMBER(SEARCH(", "&amp;$B36&amp;", ",", "&amp;'Thông báo'!$B$7:$B$500&amp;", ")),--('Thông báo'!$AT$7:$AT$500="Fail"))+SUMPRODUCT(--ISNUMBER(SEARCH(", "&amp;$B36&amp;", ",", "&amp;'Đăng tin &amp; Quản lý tin'!$B$7:$B$500&amp;", ")),--('Đăng tin &amp; Quản lý tin'!$AT$7:$AT$500="Fail"))+SUMPRODUCT(--ISNUMBER(SEARCH(", "&amp;$B36&amp;", ",", "&amp;'Trust &amp; Safety'!$B$7:$B$500&amp;", ")),--('Trust &amp; Safety'!$AT$7:$AT$500="Fail"))+SUMPRODUCT(--ISNUMBER(SEARCH(", "&amp;$B36&amp;", ",", "&amp;'Tài khoản &amp; Hồ sơ'!$B$7:$B$500&amp;", ")),--('Tài khoản &amp; Hồ sơ'!$AT$7:$AT$500="Fail"))</f>
        <v/>
      </c>
      <c r="I36" s="53">
        <f>SUMPRODUCT(--ISNUMBER(SEARCH(", "&amp;$B36&amp;", ",", "&amp;'Hoạt động (Đơn của tôi)'!$B$7:$B$500&amp;", ")),--('Hoạt động (Đơn của tôi)'!$AT$7:$AT$500="Block"))+SUMPRODUCT(--ISNUMBER(SEARCH(", "&amp;$B36&amp;", ",", "&amp;'Ghép nối'!$B$7:$B$500&amp;", ")),--('Ghép nối'!$AT$7:$AT$500="Block"))+SUMPRODUCT(--ISNUMBER(SEARCH(", "&amp;$B36&amp;", ",", "&amp;'Huỷ đơn - Huỷ nhận đơn'!$B$7:$B$500&amp;", ")),--('Huỷ đơn - Huỷ nhận đơn'!$AT$7:$AT$500="Block"))+SUMPRODUCT(--ISNUMBER(SEARCH(", "&amp;$B36&amp;", ",", "&amp;'Giao nhận &amp; Theo dõi đơn'!$B$7:$B$500&amp;", ")),--('Giao nhận &amp; Theo dõi đơn'!$AT$7:$AT$500="Block"))+SUMPRODUCT(--ISNUMBER(SEARCH(", "&amp;$B36&amp;", ",", "&amp;'Bảng tin &amp; Chi tiết tin'!$B$7:$B$500&amp;", ")),--('Bảng tin &amp; Chi tiết tin'!$AT$7:$AT$500="Block"))+SUMPRODUCT(--ISNUMBER(SEARCH(", "&amp;$B36&amp;", ",", "&amp;'Quà cảm ơn'!$B$7:$B$500&amp;", ")),--('Quà cảm ơn'!$AT$7:$AT$500="Block"))+SUMPRODUCT(--ISNUMBER(SEARCH(", "&amp;$B36&amp;", ",", "&amp;'Trang chủ'!$B$7:$B$500&amp;", ")),--('Trang chủ'!$AT$7:$AT$500="Block"))+SUMPRODUCT(--ISNUMBER(SEARCH(", "&amp;$B36&amp;", ",", "&amp;'Thông báo'!$B$7:$B$500&amp;", ")),--('Thông báo'!$AT$7:$AT$500="Block"))+SUMPRODUCT(--ISNUMBER(SEARCH(", "&amp;$B36&amp;", ",", "&amp;'Đăng tin &amp; Quản lý tin'!$B$7:$B$500&amp;", ")),--('Đăng tin &amp; Quản lý tin'!$AT$7:$AT$500="Block"))+SUMPRODUCT(--ISNUMBER(SEARCH(", "&amp;$B36&amp;", ",", "&amp;'Trust &amp; Safety'!$B$7:$B$500&amp;", ")),--('Trust &amp; Safety'!$AT$7:$AT$500="Block"))+SUMPRODUCT(--ISNUMBER(SEARCH(", "&amp;$B36&amp;", ",", "&amp;'Tài khoản &amp; Hồ sơ'!$B$7:$B$500&amp;", ")),--('Tài khoản &amp; Hồ sơ'!$AT$7:$AT$500="Block"))</f>
        <v/>
      </c>
      <c r="J36" s="53">
        <f>SUMPRODUCT(--ISNUMBER(SEARCH(", "&amp;$B36&amp;", ",", "&amp;'Hoạt động (Đơn của tôi)'!$B$7:$B$500&amp;", ")),--('Hoạt động (Đơn của tôi)'!$AT$7:$AT$500="N/A"))+SUMPRODUCT(--ISNUMBER(SEARCH(", "&amp;$B36&amp;", ",", "&amp;'Ghép nối'!$B$7:$B$500&amp;", ")),--('Ghép nối'!$AT$7:$AT$500="N/A"))+SUMPRODUCT(--ISNUMBER(SEARCH(", "&amp;$B36&amp;", ",", "&amp;'Huỷ đơn - Huỷ nhận đơn'!$B$7:$B$500&amp;", ")),--('Huỷ đơn - Huỷ nhận đơn'!$AT$7:$AT$500="N/A"))+SUMPRODUCT(--ISNUMBER(SEARCH(", "&amp;$B36&amp;", ",", "&amp;'Giao nhận &amp; Theo dõi đơn'!$B$7:$B$500&amp;", ")),--('Giao nhận &amp; Theo dõi đơn'!$AT$7:$AT$500="N/A"))+SUMPRODUCT(--ISNUMBER(SEARCH(", "&amp;$B36&amp;", ",", "&amp;'Bảng tin &amp; Chi tiết tin'!$B$7:$B$500&amp;", ")),--('Bảng tin &amp; Chi tiết tin'!$AT$7:$AT$500="N/A"))+SUMPRODUCT(--ISNUMBER(SEARCH(", "&amp;$B36&amp;", ",", "&amp;'Quà cảm ơn'!$B$7:$B$500&amp;", ")),--('Quà cảm ơn'!$AT$7:$AT$500="N/A"))+SUMPRODUCT(--ISNUMBER(SEARCH(", "&amp;$B36&amp;", ",", "&amp;'Trang chủ'!$B$7:$B$500&amp;", ")),--('Trang chủ'!$AT$7:$AT$500="N/A"))+SUMPRODUCT(--ISNUMBER(SEARCH(", "&amp;$B36&amp;", ",", "&amp;'Thông báo'!$B$7:$B$500&amp;", ")),--('Thông báo'!$AT$7:$AT$500="N/A"))+SUMPRODUCT(--ISNUMBER(SEARCH(", "&amp;$B36&amp;", ",", "&amp;'Đăng tin &amp; Quản lý tin'!$B$7:$B$500&amp;", ")),--('Đăng tin &amp; Quản lý tin'!$AT$7:$AT$500="N/A"))+SUMPRODUCT(--ISNUMBER(SEARCH(", "&amp;$B36&amp;", ",", "&amp;'Trust &amp; Safety'!$B$7:$B$500&amp;", ")),--('Trust &amp; Safety'!$AT$7:$AT$500="N/A"))+SUMPRODUCT(--ISNUMBER(SEARCH(", "&amp;$B36&amp;", ",", "&amp;'Tài khoản &amp; Hồ sơ'!$B$7:$B$500&amp;", ")),--('Tài khoản &amp; Hồ sơ'!$AT$7:$AT$500="N/A"))</f>
        <v/>
      </c>
      <c r="K36" s="54">
        <f>IFERROR(F36/E36,0)</f>
        <v/>
      </c>
      <c r="L36" s="113">
        <f>IF(E36=0,"Chưa có TC (gap)",IF(H36&gt;0,"Có lỗi (Fail)",IF(I36&gt;0,"Bị block",IF(F36&lt;E36,"Đang test",IF(G36=0,"Không áp dụng (N/A)","Đã test xong")))))</f>
        <v/>
      </c>
      <c r="AB36" t="inlineStr">
        <is>
          <t>REQ-CNL</t>
        </is>
      </c>
    </row>
    <row r="37" ht="15.75" customHeight="1" s="216">
      <c r="A37" s="1" t="n"/>
      <c r="B37" s="112" t="inlineStr">
        <is>
          <t>REQ-CNL-005</t>
        </is>
      </c>
      <c r="C37" s="261" t="inlineStr"/>
      <c r="D37" s="113" t="inlineStr">
        <is>
          <t>DOC-v1.0-01</t>
        </is>
      </c>
      <c r="E37" s="53">
        <f>SUMPRODUCT(--ISNUMBER(SEARCH(", "&amp;$B37&amp;", ",", "&amp;'Hoạt động (Đơn của tôi)'!$B$7:$B$500&amp;", ")))+SUMPRODUCT(--ISNUMBER(SEARCH(", "&amp;$B37&amp;", ",", "&amp;'Ghép nối'!$B$7:$B$500&amp;", ")))+SUMPRODUCT(--ISNUMBER(SEARCH(", "&amp;$B37&amp;", ",", "&amp;'Huỷ đơn - Huỷ nhận đơn'!$B$7:$B$500&amp;", ")))+SUMPRODUCT(--ISNUMBER(SEARCH(", "&amp;$B37&amp;", ",", "&amp;'Giao nhận &amp; Theo dõi đơn'!$B$7:$B$500&amp;", ")))+SUMPRODUCT(--ISNUMBER(SEARCH(", "&amp;$B37&amp;", ",", "&amp;'Bảng tin &amp; Chi tiết tin'!$B$7:$B$500&amp;", ")))+SUMPRODUCT(--ISNUMBER(SEARCH(", "&amp;$B37&amp;", ",", "&amp;'Quà cảm ơn'!$B$7:$B$500&amp;", ")))+SUMPRODUCT(--ISNUMBER(SEARCH(", "&amp;$B37&amp;", ",", "&amp;'Trang chủ'!$B$7:$B$500&amp;", ")))+SUMPRODUCT(--ISNUMBER(SEARCH(", "&amp;$B37&amp;", ",", "&amp;'Thông báo'!$B$7:$B$500&amp;", ")))+SUMPRODUCT(--ISNUMBER(SEARCH(", "&amp;$B37&amp;", ",", "&amp;'Đăng tin &amp; Quản lý tin'!$B$7:$B$500&amp;", ")))+SUMPRODUCT(--ISNUMBER(SEARCH(", "&amp;$B37&amp;", ",", "&amp;'Trust &amp; Safety'!$B$7:$B$500&amp;", ")))+SUMPRODUCT(--ISNUMBER(SEARCH(", "&amp;$B37&amp;", ",", "&amp;'Tài khoản &amp; Hồ sơ'!$B$7:$B$500&amp;", ")))</f>
        <v/>
      </c>
      <c r="F37" s="53">
        <f>SUMPRODUCT(--ISNUMBER(SEARCH(", "&amp;$B37&amp;", ",", "&amp;'Hoạt động (Đơn của tôi)'!$B$7:$B$500&amp;", ")),--('Hoạt động (Đơn của tôi)'!$AT$7:$AT$500&lt;&gt;""))+SUMPRODUCT(--ISNUMBER(SEARCH(", "&amp;$B37&amp;", ",", "&amp;'Ghép nối'!$B$7:$B$500&amp;", ")),--('Ghép nối'!$AT$7:$AT$500&lt;&gt;""))+SUMPRODUCT(--ISNUMBER(SEARCH(", "&amp;$B37&amp;", ",", "&amp;'Huỷ đơn - Huỷ nhận đơn'!$B$7:$B$500&amp;", ")),--('Huỷ đơn - Huỷ nhận đơn'!$AT$7:$AT$500&lt;&gt;""))+SUMPRODUCT(--ISNUMBER(SEARCH(", "&amp;$B37&amp;", ",", "&amp;'Giao nhận &amp; Theo dõi đơn'!$B$7:$B$500&amp;", ")),--('Giao nhận &amp; Theo dõi đơn'!$AT$7:$AT$500&lt;&gt;""))+SUMPRODUCT(--ISNUMBER(SEARCH(", "&amp;$B37&amp;", ",", "&amp;'Bảng tin &amp; Chi tiết tin'!$B$7:$B$500&amp;", ")),--('Bảng tin &amp; Chi tiết tin'!$AT$7:$AT$500&lt;&gt;""))+SUMPRODUCT(--ISNUMBER(SEARCH(", "&amp;$B37&amp;", ",", "&amp;'Quà cảm ơn'!$B$7:$B$500&amp;", ")),--('Quà cảm ơn'!$AT$7:$AT$500&lt;&gt;""))+SUMPRODUCT(--ISNUMBER(SEARCH(", "&amp;$B37&amp;", ",", "&amp;'Trang chủ'!$B$7:$B$500&amp;", ")),--('Trang chủ'!$AT$7:$AT$500&lt;&gt;""))+SUMPRODUCT(--ISNUMBER(SEARCH(", "&amp;$B37&amp;", ",", "&amp;'Thông báo'!$B$7:$B$500&amp;", ")),--('Thông báo'!$AT$7:$AT$500&lt;&gt;""))+SUMPRODUCT(--ISNUMBER(SEARCH(", "&amp;$B37&amp;", ",", "&amp;'Đăng tin &amp; Quản lý tin'!$B$7:$B$500&amp;", ")),--('Đăng tin &amp; Quản lý tin'!$AT$7:$AT$500&lt;&gt;""))+SUMPRODUCT(--ISNUMBER(SEARCH(", "&amp;$B37&amp;", ",", "&amp;'Trust &amp; Safety'!$B$7:$B$500&amp;", ")),--('Trust &amp; Safety'!$AT$7:$AT$500&lt;&gt;""))+SUMPRODUCT(--ISNUMBER(SEARCH(", "&amp;$B37&amp;", ",", "&amp;'Tài khoản &amp; Hồ sơ'!$B$7:$B$500&amp;", ")),--('Tài khoản &amp; Hồ sơ'!$AT$7:$AT$500&lt;&gt;""))</f>
        <v/>
      </c>
      <c r="G37" s="53">
        <f>SUMPRODUCT(--ISNUMBER(SEARCH(", "&amp;$B37&amp;", ",", "&amp;'Hoạt động (Đơn của tôi)'!$B$7:$B$500&amp;", ")),--('Hoạt động (Đơn của tôi)'!$AT$7:$AT$500="Pass"))+SUMPRODUCT(--ISNUMBER(SEARCH(", "&amp;$B37&amp;", ",", "&amp;'Ghép nối'!$B$7:$B$500&amp;", ")),--('Ghép nối'!$AT$7:$AT$500="Pass"))+SUMPRODUCT(--ISNUMBER(SEARCH(", "&amp;$B37&amp;", ",", "&amp;'Huỷ đơn - Huỷ nhận đơn'!$B$7:$B$500&amp;", ")),--('Huỷ đơn - Huỷ nhận đơn'!$AT$7:$AT$500="Pass"))+SUMPRODUCT(--ISNUMBER(SEARCH(", "&amp;$B37&amp;", ",", "&amp;'Giao nhận &amp; Theo dõi đơn'!$B$7:$B$500&amp;", ")),--('Giao nhận &amp; Theo dõi đơn'!$AT$7:$AT$500="Pass"))+SUMPRODUCT(--ISNUMBER(SEARCH(", "&amp;$B37&amp;", ",", "&amp;'Bảng tin &amp; Chi tiết tin'!$B$7:$B$500&amp;", ")),--('Bảng tin &amp; Chi tiết tin'!$AT$7:$AT$500="Pass"))+SUMPRODUCT(--ISNUMBER(SEARCH(", "&amp;$B37&amp;", ",", "&amp;'Quà cảm ơn'!$B$7:$B$500&amp;", ")),--('Quà cảm ơn'!$AT$7:$AT$500="Pass"))+SUMPRODUCT(--ISNUMBER(SEARCH(", "&amp;$B37&amp;", ",", "&amp;'Trang chủ'!$B$7:$B$500&amp;", ")),--('Trang chủ'!$AT$7:$AT$500="Pass"))+SUMPRODUCT(--ISNUMBER(SEARCH(", "&amp;$B37&amp;", ",", "&amp;'Thông báo'!$B$7:$B$500&amp;", ")),--('Thông báo'!$AT$7:$AT$500="Pass"))+SUMPRODUCT(--ISNUMBER(SEARCH(", "&amp;$B37&amp;", ",", "&amp;'Đăng tin &amp; Quản lý tin'!$B$7:$B$500&amp;", ")),--('Đăng tin &amp; Quản lý tin'!$AT$7:$AT$500="Pass"))+SUMPRODUCT(--ISNUMBER(SEARCH(", "&amp;$B37&amp;", ",", "&amp;'Trust &amp; Safety'!$B$7:$B$500&amp;", ")),--('Trust &amp; Safety'!$AT$7:$AT$500="Pass"))+SUMPRODUCT(--ISNUMBER(SEARCH(", "&amp;$B37&amp;", ",", "&amp;'Tài khoản &amp; Hồ sơ'!$B$7:$B$500&amp;", ")),--('Tài khoản &amp; Hồ sơ'!$AT$7:$AT$500="Pass"))</f>
        <v/>
      </c>
      <c r="H37" s="53">
        <f>SUMPRODUCT(--ISNUMBER(SEARCH(", "&amp;$B37&amp;", ",", "&amp;'Hoạt động (Đơn của tôi)'!$B$7:$B$500&amp;", ")),--('Hoạt động (Đơn của tôi)'!$AT$7:$AT$500="Fail"))+SUMPRODUCT(--ISNUMBER(SEARCH(", "&amp;$B37&amp;", ",", "&amp;'Ghép nối'!$B$7:$B$500&amp;", ")),--('Ghép nối'!$AT$7:$AT$500="Fail"))+SUMPRODUCT(--ISNUMBER(SEARCH(", "&amp;$B37&amp;", ",", "&amp;'Huỷ đơn - Huỷ nhận đơn'!$B$7:$B$500&amp;", ")),--('Huỷ đơn - Huỷ nhận đơn'!$AT$7:$AT$500="Fail"))+SUMPRODUCT(--ISNUMBER(SEARCH(", "&amp;$B37&amp;", ",", "&amp;'Giao nhận &amp; Theo dõi đơn'!$B$7:$B$500&amp;", ")),--('Giao nhận &amp; Theo dõi đơn'!$AT$7:$AT$500="Fail"))+SUMPRODUCT(--ISNUMBER(SEARCH(", "&amp;$B37&amp;", ",", "&amp;'Bảng tin &amp; Chi tiết tin'!$B$7:$B$500&amp;", ")),--('Bảng tin &amp; Chi tiết tin'!$AT$7:$AT$500="Fail"))+SUMPRODUCT(--ISNUMBER(SEARCH(", "&amp;$B37&amp;", ",", "&amp;'Quà cảm ơn'!$B$7:$B$500&amp;", ")),--('Quà cảm ơn'!$AT$7:$AT$500="Fail"))+SUMPRODUCT(--ISNUMBER(SEARCH(", "&amp;$B37&amp;", ",", "&amp;'Trang chủ'!$B$7:$B$500&amp;", ")),--('Trang chủ'!$AT$7:$AT$500="Fail"))+SUMPRODUCT(--ISNUMBER(SEARCH(", "&amp;$B37&amp;", ",", "&amp;'Thông báo'!$B$7:$B$500&amp;", ")),--('Thông báo'!$AT$7:$AT$500="Fail"))+SUMPRODUCT(--ISNUMBER(SEARCH(", "&amp;$B37&amp;", ",", "&amp;'Đăng tin &amp; Quản lý tin'!$B$7:$B$500&amp;", ")),--('Đăng tin &amp; Quản lý tin'!$AT$7:$AT$500="Fail"))+SUMPRODUCT(--ISNUMBER(SEARCH(", "&amp;$B37&amp;", ",", "&amp;'Trust &amp; Safety'!$B$7:$B$500&amp;", ")),--('Trust &amp; Safety'!$AT$7:$AT$500="Fail"))+SUMPRODUCT(--ISNUMBER(SEARCH(", "&amp;$B37&amp;", ",", "&amp;'Tài khoản &amp; Hồ sơ'!$B$7:$B$500&amp;", ")),--('Tài khoản &amp; Hồ sơ'!$AT$7:$AT$500="Fail"))</f>
        <v/>
      </c>
      <c r="I37" s="53">
        <f>SUMPRODUCT(--ISNUMBER(SEARCH(", "&amp;$B37&amp;", ",", "&amp;'Hoạt động (Đơn của tôi)'!$B$7:$B$500&amp;", ")),--('Hoạt động (Đơn của tôi)'!$AT$7:$AT$500="Block"))+SUMPRODUCT(--ISNUMBER(SEARCH(", "&amp;$B37&amp;", ",", "&amp;'Ghép nối'!$B$7:$B$500&amp;", ")),--('Ghép nối'!$AT$7:$AT$500="Block"))+SUMPRODUCT(--ISNUMBER(SEARCH(", "&amp;$B37&amp;", ",", "&amp;'Huỷ đơn - Huỷ nhận đơn'!$B$7:$B$500&amp;", ")),--('Huỷ đơn - Huỷ nhận đơn'!$AT$7:$AT$500="Block"))+SUMPRODUCT(--ISNUMBER(SEARCH(", "&amp;$B37&amp;", ",", "&amp;'Giao nhận &amp; Theo dõi đơn'!$B$7:$B$500&amp;", ")),--('Giao nhận &amp; Theo dõi đơn'!$AT$7:$AT$500="Block"))+SUMPRODUCT(--ISNUMBER(SEARCH(", "&amp;$B37&amp;", ",", "&amp;'Bảng tin &amp; Chi tiết tin'!$B$7:$B$500&amp;", ")),--('Bảng tin &amp; Chi tiết tin'!$AT$7:$AT$500="Block"))+SUMPRODUCT(--ISNUMBER(SEARCH(", "&amp;$B37&amp;", ",", "&amp;'Quà cảm ơn'!$B$7:$B$500&amp;", ")),--('Quà cảm ơn'!$AT$7:$AT$500="Block"))+SUMPRODUCT(--ISNUMBER(SEARCH(", "&amp;$B37&amp;", ",", "&amp;'Trang chủ'!$B$7:$B$500&amp;", ")),--('Trang chủ'!$AT$7:$AT$500="Block"))+SUMPRODUCT(--ISNUMBER(SEARCH(", "&amp;$B37&amp;", ",", "&amp;'Thông báo'!$B$7:$B$500&amp;", ")),--('Thông báo'!$AT$7:$AT$500="Block"))+SUMPRODUCT(--ISNUMBER(SEARCH(", "&amp;$B37&amp;", ",", "&amp;'Đăng tin &amp; Quản lý tin'!$B$7:$B$500&amp;", ")),--('Đăng tin &amp; Quản lý tin'!$AT$7:$AT$500="Block"))+SUMPRODUCT(--ISNUMBER(SEARCH(", "&amp;$B37&amp;", ",", "&amp;'Trust &amp; Safety'!$B$7:$B$500&amp;", ")),--('Trust &amp; Safety'!$AT$7:$AT$500="Block"))+SUMPRODUCT(--ISNUMBER(SEARCH(", "&amp;$B37&amp;", ",", "&amp;'Tài khoản &amp; Hồ sơ'!$B$7:$B$500&amp;", ")),--('Tài khoản &amp; Hồ sơ'!$AT$7:$AT$500="Block"))</f>
        <v/>
      </c>
      <c r="J37" s="53">
        <f>SUMPRODUCT(--ISNUMBER(SEARCH(", "&amp;$B37&amp;", ",", "&amp;'Hoạt động (Đơn của tôi)'!$B$7:$B$500&amp;", ")),--('Hoạt động (Đơn của tôi)'!$AT$7:$AT$500="N/A"))+SUMPRODUCT(--ISNUMBER(SEARCH(", "&amp;$B37&amp;", ",", "&amp;'Ghép nối'!$B$7:$B$500&amp;", ")),--('Ghép nối'!$AT$7:$AT$500="N/A"))+SUMPRODUCT(--ISNUMBER(SEARCH(", "&amp;$B37&amp;", ",", "&amp;'Huỷ đơn - Huỷ nhận đơn'!$B$7:$B$500&amp;", ")),--('Huỷ đơn - Huỷ nhận đơn'!$AT$7:$AT$500="N/A"))+SUMPRODUCT(--ISNUMBER(SEARCH(", "&amp;$B37&amp;", ",", "&amp;'Giao nhận &amp; Theo dõi đơn'!$B$7:$B$500&amp;", ")),--('Giao nhận &amp; Theo dõi đơn'!$AT$7:$AT$500="N/A"))+SUMPRODUCT(--ISNUMBER(SEARCH(", "&amp;$B37&amp;", ",", "&amp;'Bảng tin &amp; Chi tiết tin'!$B$7:$B$500&amp;", ")),--('Bảng tin &amp; Chi tiết tin'!$AT$7:$AT$500="N/A"))+SUMPRODUCT(--ISNUMBER(SEARCH(", "&amp;$B37&amp;", ",", "&amp;'Quà cảm ơn'!$B$7:$B$500&amp;", ")),--('Quà cảm ơn'!$AT$7:$AT$500="N/A"))+SUMPRODUCT(--ISNUMBER(SEARCH(", "&amp;$B37&amp;", ",", "&amp;'Trang chủ'!$B$7:$B$500&amp;", ")),--('Trang chủ'!$AT$7:$AT$500="N/A"))+SUMPRODUCT(--ISNUMBER(SEARCH(", "&amp;$B37&amp;", ",", "&amp;'Thông báo'!$B$7:$B$500&amp;", ")),--('Thông báo'!$AT$7:$AT$500="N/A"))+SUMPRODUCT(--ISNUMBER(SEARCH(", "&amp;$B37&amp;", ",", "&amp;'Đăng tin &amp; Quản lý tin'!$B$7:$B$500&amp;", ")),--('Đăng tin &amp; Quản lý tin'!$AT$7:$AT$500="N/A"))+SUMPRODUCT(--ISNUMBER(SEARCH(", "&amp;$B37&amp;", ",", "&amp;'Trust &amp; Safety'!$B$7:$B$500&amp;", ")),--('Trust &amp; Safety'!$AT$7:$AT$500="N/A"))+SUMPRODUCT(--ISNUMBER(SEARCH(", "&amp;$B37&amp;", ",", "&amp;'Tài khoản &amp; Hồ sơ'!$B$7:$B$500&amp;", ")),--('Tài khoản &amp; Hồ sơ'!$AT$7:$AT$500="N/A"))</f>
        <v/>
      </c>
      <c r="K37" s="54">
        <f>IFERROR(F37/E37,0)</f>
        <v/>
      </c>
      <c r="L37" s="113">
        <f>IF(E37=0,"Chưa có TC (gap)",IF(H37&gt;0,"Có lỗi (Fail)",IF(I37&gt;0,"Bị block",IF(F37&lt;E37,"Đang test",IF(G37=0,"Không áp dụng (N/A)","Đã test xong")))))</f>
        <v/>
      </c>
      <c r="AB37" t="inlineStr">
        <is>
          <t>REQ-CNL</t>
        </is>
      </c>
    </row>
    <row r="38" ht="15.75" customHeight="1" s="216">
      <c r="A38" s="1" t="n"/>
      <c r="B38" s="112" t="inlineStr">
        <is>
          <t>REQ-DLV-002</t>
        </is>
      </c>
      <c r="C38" s="261" t="inlineStr">
        <is>
          <t>RESCHEDULED | Xem lịch hẹn giao lại | Giao lại theo lịch (mở lại màn giao hàng) | Xem lịch hẹn" "RETURNING | 'Xác nhận đã nhận lại hàng' · xem lịch hẹn | Xem lịch hẹn trả hàng | Xem lý do hoàn hàng" "RETURNED · CANCELLED · EXPIRED | Xem lý do · đăng lại | Xem lý do | Xem lý do</t>
        </is>
      </c>
      <c r="D38" s="113" t="inlineStr">
        <is>
          <t>DOC-v1.1-01 §8.12.3 "Hành động khả dụng theo trạng thái" · trang 45-46</t>
        </is>
      </c>
      <c r="E38" s="53">
        <f>SUMPRODUCT(--ISNUMBER(SEARCH(", "&amp;$B38&amp;", ",", "&amp;'Hoạt động (Đơn của tôi)'!$B$7:$B$500&amp;", ")))+SUMPRODUCT(--ISNUMBER(SEARCH(", "&amp;$B38&amp;", ",", "&amp;'Ghép nối'!$B$7:$B$500&amp;", ")))+SUMPRODUCT(--ISNUMBER(SEARCH(", "&amp;$B38&amp;", ",", "&amp;'Huỷ đơn - Huỷ nhận đơn'!$B$7:$B$500&amp;", ")))+SUMPRODUCT(--ISNUMBER(SEARCH(", "&amp;$B38&amp;", ",", "&amp;'Giao nhận &amp; Theo dõi đơn'!$B$7:$B$500&amp;", ")))+SUMPRODUCT(--ISNUMBER(SEARCH(", "&amp;$B38&amp;", ",", "&amp;'Bảng tin &amp; Chi tiết tin'!$B$7:$B$500&amp;", ")))+SUMPRODUCT(--ISNUMBER(SEARCH(", "&amp;$B38&amp;", ",", "&amp;'Quà cảm ơn'!$B$7:$B$500&amp;", ")))+SUMPRODUCT(--ISNUMBER(SEARCH(", "&amp;$B38&amp;", ",", "&amp;'Trang chủ'!$B$7:$B$500&amp;", ")))+SUMPRODUCT(--ISNUMBER(SEARCH(", "&amp;$B38&amp;", ",", "&amp;'Thông báo'!$B$7:$B$500&amp;", ")))+SUMPRODUCT(--ISNUMBER(SEARCH(", "&amp;$B38&amp;", ",", "&amp;'Đăng tin &amp; Quản lý tin'!$B$7:$B$500&amp;", ")))+SUMPRODUCT(--ISNUMBER(SEARCH(", "&amp;$B38&amp;", ",", "&amp;'Trust &amp; Safety'!$B$7:$B$500&amp;", ")))+SUMPRODUCT(--ISNUMBER(SEARCH(", "&amp;$B38&amp;", ",", "&amp;'Tài khoản &amp; Hồ sơ'!$B$7:$B$500&amp;", ")))</f>
        <v/>
      </c>
      <c r="F38" s="53">
        <f>SUMPRODUCT(--ISNUMBER(SEARCH(", "&amp;$B38&amp;", ",", "&amp;'Hoạt động (Đơn của tôi)'!$B$7:$B$500&amp;", ")),--('Hoạt động (Đơn của tôi)'!$AT$7:$AT$500&lt;&gt;""))+SUMPRODUCT(--ISNUMBER(SEARCH(", "&amp;$B38&amp;", ",", "&amp;'Ghép nối'!$B$7:$B$500&amp;", ")),--('Ghép nối'!$AT$7:$AT$500&lt;&gt;""))+SUMPRODUCT(--ISNUMBER(SEARCH(", "&amp;$B38&amp;", ",", "&amp;'Huỷ đơn - Huỷ nhận đơn'!$B$7:$B$500&amp;", ")),--('Huỷ đơn - Huỷ nhận đơn'!$AT$7:$AT$500&lt;&gt;""))+SUMPRODUCT(--ISNUMBER(SEARCH(", "&amp;$B38&amp;", ",", "&amp;'Giao nhận &amp; Theo dõi đơn'!$B$7:$B$500&amp;", ")),--('Giao nhận &amp; Theo dõi đơn'!$AT$7:$AT$500&lt;&gt;""))+SUMPRODUCT(--ISNUMBER(SEARCH(", "&amp;$B38&amp;", ",", "&amp;'Bảng tin &amp; Chi tiết tin'!$B$7:$B$500&amp;", ")),--('Bảng tin &amp; Chi tiết tin'!$AT$7:$AT$500&lt;&gt;""))+SUMPRODUCT(--ISNUMBER(SEARCH(", "&amp;$B38&amp;", ",", "&amp;'Quà cảm ơn'!$B$7:$B$500&amp;", ")),--('Quà cảm ơn'!$AT$7:$AT$500&lt;&gt;""))+SUMPRODUCT(--ISNUMBER(SEARCH(", "&amp;$B38&amp;", ",", "&amp;'Trang chủ'!$B$7:$B$500&amp;", ")),--('Trang chủ'!$AT$7:$AT$500&lt;&gt;""))+SUMPRODUCT(--ISNUMBER(SEARCH(", "&amp;$B38&amp;", ",", "&amp;'Thông báo'!$B$7:$B$500&amp;", ")),--('Thông báo'!$AT$7:$AT$500&lt;&gt;""))+SUMPRODUCT(--ISNUMBER(SEARCH(", "&amp;$B38&amp;", ",", "&amp;'Đăng tin &amp; Quản lý tin'!$B$7:$B$500&amp;", ")),--('Đăng tin &amp; Quản lý tin'!$AT$7:$AT$500&lt;&gt;""))+SUMPRODUCT(--ISNUMBER(SEARCH(", "&amp;$B38&amp;", ",", "&amp;'Trust &amp; Safety'!$B$7:$B$500&amp;", ")),--('Trust &amp; Safety'!$AT$7:$AT$500&lt;&gt;""))+SUMPRODUCT(--ISNUMBER(SEARCH(", "&amp;$B38&amp;", ",", "&amp;'Tài khoản &amp; Hồ sơ'!$B$7:$B$500&amp;", ")),--('Tài khoản &amp; Hồ sơ'!$AT$7:$AT$500&lt;&gt;""))</f>
        <v/>
      </c>
      <c r="G38" s="53">
        <f>SUMPRODUCT(--ISNUMBER(SEARCH(", "&amp;$B38&amp;", ",", "&amp;'Hoạt động (Đơn của tôi)'!$B$7:$B$500&amp;", ")),--('Hoạt động (Đơn của tôi)'!$AT$7:$AT$500="Pass"))+SUMPRODUCT(--ISNUMBER(SEARCH(", "&amp;$B38&amp;", ",", "&amp;'Ghép nối'!$B$7:$B$500&amp;", ")),--('Ghép nối'!$AT$7:$AT$500="Pass"))+SUMPRODUCT(--ISNUMBER(SEARCH(", "&amp;$B38&amp;", ",", "&amp;'Huỷ đơn - Huỷ nhận đơn'!$B$7:$B$500&amp;", ")),--('Huỷ đơn - Huỷ nhận đơn'!$AT$7:$AT$500="Pass"))+SUMPRODUCT(--ISNUMBER(SEARCH(", "&amp;$B38&amp;", ",", "&amp;'Giao nhận &amp; Theo dõi đơn'!$B$7:$B$500&amp;", ")),--('Giao nhận &amp; Theo dõi đơn'!$AT$7:$AT$500="Pass"))+SUMPRODUCT(--ISNUMBER(SEARCH(", "&amp;$B38&amp;", ",", "&amp;'Bảng tin &amp; Chi tiết tin'!$B$7:$B$500&amp;", ")),--('Bảng tin &amp; Chi tiết tin'!$AT$7:$AT$500="Pass"))+SUMPRODUCT(--ISNUMBER(SEARCH(", "&amp;$B38&amp;", ",", "&amp;'Quà cảm ơn'!$B$7:$B$500&amp;", ")),--('Quà cảm ơn'!$AT$7:$AT$500="Pass"))+SUMPRODUCT(--ISNUMBER(SEARCH(", "&amp;$B38&amp;", ",", "&amp;'Trang chủ'!$B$7:$B$500&amp;", ")),--('Trang chủ'!$AT$7:$AT$500="Pass"))+SUMPRODUCT(--ISNUMBER(SEARCH(", "&amp;$B38&amp;", ",", "&amp;'Thông báo'!$B$7:$B$500&amp;", ")),--('Thông báo'!$AT$7:$AT$500="Pass"))+SUMPRODUCT(--ISNUMBER(SEARCH(", "&amp;$B38&amp;", ",", "&amp;'Đăng tin &amp; Quản lý tin'!$B$7:$B$500&amp;", ")),--('Đăng tin &amp; Quản lý tin'!$AT$7:$AT$500="Pass"))+SUMPRODUCT(--ISNUMBER(SEARCH(", "&amp;$B38&amp;", ",", "&amp;'Trust &amp; Safety'!$B$7:$B$500&amp;", ")),--('Trust &amp; Safety'!$AT$7:$AT$500="Pass"))+SUMPRODUCT(--ISNUMBER(SEARCH(", "&amp;$B38&amp;", ",", "&amp;'Tài khoản &amp; Hồ sơ'!$B$7:$B$500&amp;", ")),--('Tài khoản &amp; Hồ sơ'!$AT$7:$AT$500="Pass"))</f>
        <v/>
      </c>
      <c r="H38" s="53">
        <f>SUMPRODUCT(--ISNUMBER(SEARCH(", "&amp;$B38&amp;", ",", "&amp;'Hoạt động (Đơn của tôi)'!$B$7:$B$500&amp;", ")),--('Hoạt động (Đơn của tôi)'!$AT$7:$AT$500="Fail"))+SUMPRODUCT(--ISNUMBER(SEARCH(", "&amp;$B38&amp;", ",", "&amp;'Ghép nối'!$B$7:$B$500&amp;", ")),--('Ghép nối'!$AT$7:$AT$500="Fail"))+SUMPRODUCT(--ISNUMBER(SEARCH(", "&amp;$B38&amp;", ",", "&amp;'Huỷ đơn - Huỷ nhận đơn'!$B$7:$B$500&amp;", ")),--('Huỷ đơn - Huỷ nhận đơn'!$AT$7:$AT$500="Fail"))+SUMPRODUCT(--ISNUMBER(SEARCH(", "&amp;$B38&amp;", ",", "&amp;'Giao nhận &amp; Theo dõi đơn'!$B$7:$B$500&amp;", ")),--('Giao nhận &amp; Theo dõi đơn'!$AT$7:$AT$500="Fail"))+SUMPRODUCT(--ISNUMBER(SEARCH(", "&amp;$B38&amp;", ",", "&amp;'Bảng tin &amp; Chi tiết tin'!$B$7:$B$500&amp;", ")),--('Bảng tin &amp; Chi tiết tin'!$AT$7:$AT$500="Fail"))+SUMPRODUCT(--ISNUMBER(SEARCH(", "&amp;$B38&amp;", ",", "&amp;'Quà cảm ơn'!$B$7:$B$500&amp;", ")),--('Quà cảm ơn'!$AT$7:$AT$500="Fail"))+SUMPRODUCT(--ISNUMBER(SEARCH(", "&amp;$B38&amp;", ",", "&amp;'Trang chủ'!$B$7:$B$500&amp;", ")),--('Trang chủ'!$AT$7:$AT$500="Fail"))+SUMPRODUCT(--ISNUMBER(SEARCH(", "&amp;$B38&amp;", ",", "&amp;'Thông báo'!$B$7:$B$500&amp;", ")),--('Thông báo'!$AT$7:$AT$500="Fail"))+SUMPRODUCT(--ISNUMBER(SEARCH(", "&amp;$B38&amp;", ",", "&amp;'Đăng tin &amp; Quản lý tin'!$B$7:$B$500&amp;", ")),--('Đăng tin &amp; Quản lý tin'!$AT$7:$AT$500="Fail"))+SUMPRODUCT(--ISNUMBER(SEARCH(", "&amp;$B38&amp;", ",", "&amp;'Trust &amp; Safety'!$B$7:$B$500&amp;", ")),--('Trust &amp; Safety'!$AT$7:$AT$500="Fail"))+SUMPRODUCT(--ISNUMBER(SEARCH(", "&amp;$B38&amp;", ",", "&amp;'Tài khoản &amp; Hồ sơ'!$B$7:$B$500&amp;", ")),--('Tài khoản &amp; Hồ sơ'!$AT$7:$AT$500="Fail"))</f>
        <v/>
      </c>
      <c r="I38" s="53">
        <f>SUMPRODUCT(--ISNUMBER(SEARCH(", "&amp;$B38&amp;", ",", "&amp;'Hoạt động (Đơn của tôi)'!$B$7:$B$500&amp;", ")),--('Hoạt động (Đơn của tôi)'!$AT$7:$AT$500="Block"))+SUMPRODUCT(--ISNUMBER(SEARCH(", "&amp;$B38&amp;", ",", "&amp;'Ghép nối'!$B$7:$B$500&amp;", ")),--('Ghép nối'!$AT$7:$AT$500="Block"))+SUMPRODUCT(--ISNUMBER(SEARCH(", "&amp;$B38&amp;", ",", "&amp;'Huỷ đơn - Huỷ nhận đơn'!$B$7:$B$500&amp;", ")),--('Huỷ đơn - Huỷ nhận đơn'!$AT$7:$AT$500="Block"))+SUMPRODUCT(--ISNUMBER(SEARCH(", "&amp;$B38&amp;", ",", "&amp;'Giao nhận &amp; Theo dõi đơn'!$B$7:$B$500&amp;", ")),--('Giao nhận &amp; Theo dõi đơn'!$AT$7:$AT$500="Block"))+SUMPRODUCT(--ISNUMBER(SEARCH(", "&amp;$B38&amp;", ",", "&amp;'Bảng tin &amp; Chi tiết tin'!$B$7:$B$500&amp;", ")),--('Bảng tin &amp; Chi tiết tin'!$AT$7:$AT$500="Block"))+SUMPRODUCT(--ISNUMBER(SEARCH(", "&amp;$B38&amp;", ",", "&amp;'Quà cảm ơn'!$B$7:$B$500&amp;", ")),--('Quà cảm ơn'!$AT$7:$AT$500="Block"))+SUMPRODUCT(--ISNUMBER(SEARCH(", "&amp;$B38&amp;", ",", "&amp;'Trang chủ'!$B$7:$B$500&amp;", ")),--('Trang chủ'!$AT$7:$AT$500="Block"))+SUMPRODUCT(--ISNUMBER(SEARCH(", "&amp;$B38&amp;", ",", "&amp;'Thông báo'!$B$7:$B$500&amp;", ")),--('Thông báo'!$AT$7:$AT$500="Block"))+SUMPRODUCT(--ISNUMBER(SEARCH(", "&amp;$B38&amp;", ",", "&amp;'Đăng tin &amp; Quản lý tin'!$B$7:$B$500&amp;", ")),--('Đăng tin &amp; Quản lý tin'!$AT$7:$AT$500="Block"))+SUMPRODUCT(--ISNUMBER(SEARCH(", "&amp;$B38&amp;", ",", "&amp;'Trust &amp; Safety'!$B$7:$B$500&amp;", ")),--('Trust &amp; Safety'!$AT$7:$AT$500="Block"))+SUMPRODUCT(--ISNUMBER(SEARCH(", "&amp;$B38&amp;", ",", "&amp;'Tài khoản &amp; Hồ sơ'!$B$7:$B$500&amp;", ")),--('Tài khoản &amp; Hồ sơ'!$AT$7:$AT$500="Block"))</f>
        <v/>
      </c>
      <c r="J38" s="53">
        <f>SUMPRODUCT(--ISNUMBER(SEARCH(", "&amp;$B38&amp;", ",", "&amp;'Hoạt động (Đơn của tôi)'!$B$7:$B$500&amp;", ")),--('Hoạt động (Đơn của tôi)'!$AT$7:$AT$500="N/A"))+SUMPRODUCT(--ISNUMBER(SEARCH(", "&amp;$B38&amp;", ",", "&amp;'Ghép nối'!$B$7:$B$500&amp;", ")),--('Ghép nối'!$AT$7:$AT$500="N/A"))+SUMPRODUCT(--ISNUMBER(SEARCH(", "&amp;$B38&amp;", ",", "&amp;'Huỷ đơn - Huỷ nhận đơn'!$B$7:$B$500&amp;", ")),--('Huỷ đơn - Huỷ nhận đơn'!$AT$7:$AT$500="N/A"))+SUMPRODUCT(--ISNUMBER(SEARCH(", "&amp;$B38&amp;", ",", "&amp;'Giao nhận &amp; Theo dõi đơn'!$B$7:$B$500&amp;", ")),--('Giao nhận &amp; Theo dõi đơn'!$AT$7:$AT$500="N/A"))+SUMPRODUCT(--ISNUMBER(SEARCH(", "&amp;$B38&amp;", ",", "&amp;'Bảng tin &amp; Chi tiết tin'!$B$7:$B$500&amp;", ")),--('Bảng tin &amp; Chi tiết tin'!$AT$7:$AT$500="N/A"))+SUMPRODUCT(--ISNUMBER(SEARCH(", "&amp;$B38&amp;", ",", "&amp;'Quà cảm ơn'!$B$7:$B$500&amp;", ")),--('Quà cảm ơn'!$AT$7:$AT$500="N/A"))+SUMPRODUCT(--ISNUMBER(SEARCH(", "&amp;$B38&amp;", ",", "&amp;'Trang chủ'!$B$7:$B$500&amp;", ")),--('Trang chủ'!$AT$7:$AT$500="N/A"))+SUMPRODUCT(--ISNUMBER(SEARCH(", "&amp;$B38&amp;", ",", "&amp;'Thông báo'!$B$7:$B$500&amp;", ")),--('Thông báo'!$AT$7:$AT$500="N/A"))+SUMPRODUCT(--ISNUMBER(SEARCH(", "&amp;$B38&amp;", ",", "&amp;'Đăng tin &amp; Quản lý tin'!$B$7:$B$500&amp;", ")),--('Đăng tin &amp; Quản lý tin'!$AT$7:$AT$500="N/A"))+SUMPRODUCT(--ISNUMBER(SEARCH(", "&amp;$B38&amp;", ",", "&amp;'Trust &amp; Safety'!$B$7:$B$500&amp;", ")),--('Trust &amp; Safety'!$AT$7:$AT$500="N/A"))+SUMPRODUCT(--ISNUMBER(SEARCH(", "&amp;$B38&amp;", ",", "&amp;'Tài khoản &amp; Hồ sơ'!$B$7:$B$500&amp;", ")),--('Tài khoản &amp; Hồ sơ'!$AT$7:$AT$500="N/A"))</f>
        <v/>
      </c>
      <c r="K38" s="54">
        <f>IFERROR(F38/E38,0)</f>
        <v/>
      </c>
      <c r="L38" s="113">
        <f>IF(E38=0,"Chưa có TC (gap)",IF(H38&gt;0,"Có lỗi (Fail)",IF(I38&gt;0,"Bị block",IF(F38&lt;E38,"Đang test",IF(G38=0,"Không áp dụng (N/A)","Đã test xong")))))</f>
        <v/>
      </c>
      <c r="AB38" t="inlineStr">
        <is>
          <t>REQ-DLV</t>
        </is>
      </c>
    </row>
    <row r="39" ht="15.75" customHeight="1" s="216">
      <c r="A39" s="1" t="n"/>
      <c r="B39" s="112" t="inlineStr">
        <is>
          <t>REQ-DLV-007</t>
        </is>
      </c>
      <c r="C39" s="261" t="inlineStr">
        <is>
          <t>BR10-04 | Đơn có báo cáo sự cố (INCIDENT) không tự chuyển về COMPLETED — phải qua admin hỗ trợ dựa trên nhật ký và ảnh.</t>
        </is>
      </c>
      <c r="D39" s="113" t="inlineStr">
        <is>
          <t>DOC-v1.1-01 §8.10.1 "FR10" BR10-04 · trang 43</t>
        </is>
      </c>
      <c r="E39" s="53">
        <f>SUMPRODUCT(--ISNUMBER(SEARCH(", "&amp;$B39&amp;", ",", "&amp;'Hoạt động (Đơn của tôi)'!$B$7:$B$500&amp;", ")))+SUMPRODUCT(--ISNUMBER(SEARCH(", "&amp;$B39&amp;", ",", "&amp;'Ghép nối'!$B$7:$B$500&amp;", ")))+SUMPRODUCT(--ISNUMBER(SEARCH(", "&amp;$B39&amp;", ",", "&amp;'Huỷ đơn - Huỷ nhận đơn'!$B$7:$B$500&amp;", ")))+SUMPRODUCT(--ISNUMBER(SEARCH(", "&amp;$B39&amp;", ",", "&amp;'Giao nhận &amp; Theo dõi đơn'!$B$7:$B$500&amp;", ")))+SUMPRODUCT(--ISNUMBER(SEARCH(", "&amp;$B39&amp;", ",", "&amp;'Bảng tin &amp; Chi tiết tin'!$B$7:$B$500&amp;", ")))+SUMPRODUCT(--ISNUMBER(SEARCH(", "&amp;$B39&amp;", ",", "&amp;'Quà cảm ơn'!$B$7:$B$500&amp;", ")))+SUMPRODUCT(--ISNUMBER(SEARCH(", "&amp;$B39&amp;", ",", "&amp;'Trang chủ'!$B$7:$B$500&amp;", ")))+SUMPRODUCT(--ISNUMBER(SEARCH(", "&amp;$B39&amp;", ",", "&amp;'Thông báo'!$B$7:$B$500&amp;", ")))+SUMPRODUCT(--ISNUMBER(SEARCH(", "&amp;$B39&amp;", ",", "&amp;'Đăng tin &amp; Quản lý tin'!$B$7:$B$500&amp;", ")))+SUMPRODUCT(--ISNUMBER(SEARCH(", "&amp;$B39&amp;", ",", "&amp;'Trust &amp; Safety'!$B$7:$B$500&amp;", ")))+SUMPRODUCT(--ISNUMBER(SEARCH(", "&amp;$B39&amp;", ",", "&amp;'Tài khoản &amp; Hồ sơ'!$B$7:$B$500&amp;", ")))</f>
        <v/>
      </c>
      <c r="F39" s="53">
        <f>SUMPRODUCT(--ISNUMBER(SEARCH(", "&amp;$B39&amp;", ",", "&amp;'Hoạt động (Đơn của tôi)'!$B$7:$B$500&amp;", ")),--('Hoạt động (Đơn của tôi)'!$AT$7:$AT$500&lt;&gt;""))+SUMPRODUCT(--ISNUMBER(SEARCH(", "&amp;$B39&amp;", ",", "&amp;'Ghép nối'!$B$7:$B$500&amp;", ")),--('Ghép nối'!$AT$7:$AT$500&lt;&gt;""))+SUMPRODUCT(--ISNUMBER(SEARCH(", "&amp;$B39&amp;", ",", "&amp;'Huỷ đơn - Huỷ nhận đơn'!$B$7:$B$500&amp;", ")),--('Huỷ đơn - Huỷ nhận đơn'!$AT$7:$AT$500&lt;&gt;""))+SUMPRODUCT(--ISNUMBER(SEARCH(", "&amp;$B39&amp;", ",", "&amp;'Giao nhận &amp; Theo dõi đơn'!$B$7:$B$500&amp;", ")),--('Giao nhận &amp; Theo dõi đơn'!$AT$7:$AT$500&lt;&gt;""))+SUMPRODUCT(--ISNUMBER(SEARCH(", "&amp;$B39&amp;", ",", "&amp;'Bảng tin &amp; Chi tiết tin'!$B$7:$B$500&amp;", ")),--('Bảng tin &amp; Chi tiết tin'!$AT$7:$AT$500&lt;&gt;""))+SUMPRODUCT(--ISNUMBER(SEARCH(", "&amp;$B39&amp;", ",", "&amp;'Quà cảm ơn'!$B$7:$B$500&amp;", ")),--('Quà cảm ơn'!$AT$7:$AT$500&lt;&gt;""))+SUMPRODUCT(--ISNUMBER(SEARCH(", "&amp;$B39&amp;", ",", "&amp;'Trang chủ'!$B$7:$B$500&amp;", ")),--('Trang chủ'!$AT$7:$AT$500&lt;&gt;""))+SUMPRODUCT(--ISNUMBER(SEARCH(", "&amp;$B39&amp;", ",", "&amp;'Thông báo'!$B$7:$B$500&amp;", ")),--('Thông báo'!$AT$7:$AT$500&lt;&gt;""))+SUMPRODUCT(--ISNUMBER(SEARCH(", "&amp;$B39&amp;", ",", "&amp;'Đăng tin &amp; Quản lý tin'!$B$7:$B$500&amp;", ")),--('Đăng tin &amp; Quản lý tin'!$AT$7:$AT$500&lt;&gt;""))+SUMPRODUCT(--ISNUMBER(SEARCH(", "&amp;$B39&amp;", ",", "&amp;'Trust &amp; Safety'!$B$7:$B$500&amp;", ")),--('Trust &amp; Safety'!$AT$7:$AT$500&lt;&gt;""))+SUMPRODUCT(--ISNUMBER(SEARCH(", "&amp;$B39&amp;", ",", "&amp;'Tài khoản &amp; Hồ sơ'!$B$7:$B$500&amp;", ")),--('Tài khoản &amp; Hồ sơ'!$AT$7:$AT$500&lt;&gt;""))</f>
        <v/>
      </c>
      <c r="G39" s="53">
        <f>SUMPRODUCT(--ISNUMBER(SEARCH(", "&amp;$B39&amp;", ",", "&amp;'Hoạt động (Đơn của tôi)'!$B$7:$B$500&amp;", ")),--('Hoạt động (Đơn của tôi)'!$AT$7:$AT$500="Pass"))+SUMPRODUCT(--ISNUMBER(SEARCH(", "&amp;$B39&amp;", ",", "&amp;'Ghép nối'!$B$7:$B$500&amp;", ")),--('Ghép nối'!$AT$7:$AT$500="Pass"))+SUMPRODUCT(--ISNUMBER(SEARCH(", "&amp;$B39&amp;", ",", "&amp;'Huỷ đơn - Huỷ nhận đơn'!$B$7:$B$500&amp;", ")),--('Huỷ đơn - Huỷ nhận đơn'!$AT$7:$AT$500="Pass"))+SUMPRODUCT(--ISNUMBER(SEARCH(", "&amp;$B39&amp;", ",", "&amp;'Giao nhận &amp; Theo dõi đơn'!$B$7:$B$500&amp;", ")),--('Giao nhận &amp; Theo dõi đơn'!$AT$7:$AT$500="Pass"))+SUMPRODUCT(--ISNUMBER(SEARCH(", "&amp;$B39&amp;", ",", "&amp;'Bảng tin &amp; Chi tiết tin'!$B$7:$B$500&amp;", ")),--('Bảng tin &amp; Chi tiết tin'!$AT$7:$AT$500="Pass"))+SUMPRODUCT(--ISNUMBER(SEARCH(", "&amp;$B39&amp;", ",", "&amp;'Quà cảm ơn'!$B$7:$B$500&amp;", ")),--('Quà cảm ơn'!$AT$7:$AT$500="Pass"))+SUMPRODUCT(--ISNUMBER(SEARCH(", "&amp;$B39&amp;", ",", "&amp;'Trang chủ'!$B$7:$B$500&amp;", ")),--('Trang chủ'!$AT$7:$AT$500="Pass"))+SUMPRODUCT(--ISNUMBER(SEARCH(", "&amp;$B39&amp;", ",", "&amp;'Thông báo'!$B$7:$B$500&amp;", ")),--('Thông báo'!$AT$7:$AT$500="Pass"))+SUMPRODUCT(--ISNUMBER(SEARCH(", "&amp;$B39&amp;", ",", "&amp;'Đăng tin &amp; Quản lý tin'!$B$7:$B$500&amp;", ")),--('Đăng tin &amp; Quản lý tin'!$AT$7:$AT$500="Pass"))+SUMPRODUCT(--ISNUMBER(SEARCH(", "&amp;$B39&amp;", ",", "&amp;'Trust &amp; Safety'!$B$7:$B$500&amp;", ")),--('Trust &amp; Safety'!$AT$7:$AT$500="Pass"))+SUMPRODUCT(--ISNUMBER(SEARCH(", "&amp;$B39&amp;", ",", "&amp;'Tài khoản &amp; Hồ sơ'!$B$7:$B$500&amp;", ")),--('Tài khoản &amp; Hồ sơ'!$AT$7:$AT$500="Pass"))</f>
        <v/>
      </c>
      <c r="H39" s="53">
        <f>SUMPRODUCT(--ISNUMBER(SEARCH(", "&amp;$B39&amp;", ",", "&amp;'Hoạt động (Đơn của tôi)'!$B$7:$B$500&amp;", ")),--('Hoạt động (Đơn của tôi)'!$AT$7:$AT$500="Fail"))+SUMPRODUCT(--ISNUMBER(SEARCH(", "&amp;$B39&amp;", ",", "&amp;'Ghép nối'!$B$7:$B$500&amp;", ")),--('Ghép nối'!$AT$7:$AT$500="Fail"))+SUMPRODUCT(--ISNUMBER(SEARCH(", "&amp;$B39&amp;", ",", "&amp;'Huỷ đơn - Huỷ nhận đơn'!$B$7:$B$500&amp;", ")),--('Huỷ đơn - Huỷ nhận đơn'!$AT$7:$AT$500="Fail"))+SUMPRODUCT(--ISNUMBER(SEARCH(", "&amp;$B39&amp;", ",", "&amp;'Giao nhận &amp; Theo dõi đơn'!$B$7:$B$500&amp;", ")),--('Giao nhận &amp; Theo dõi đơn'!$AT$7:$AT$500="Fail"))+SUMPRODUCT(--ISNUMBER(SEARCH(", "&amp;$B39&amp;", ",", "&amp;'Bảng tin &amp; Chi tiết tin'!$B$7:$B$500&amp;", ")),--('Bảng tin &amp; Chi tiết tin'!$AT$7:$AT$500="Fail"))+SUMPRODUCT(--ISNUMBER(SEARCH(", "&amp;$B39&amp;", ",", "&amp;'Quà cảm ơn'!$B$7:$B$500&amp;", ")),--('Quà cảm ơn'!$AT$7:$AT$500="Fail"))+SUMPRODUCT(--ISNUMBER(SEARCH(", "&amp;$B39&amp;", ",", "&amp;'Trang chủ'!$B$7:$B$500&amp;", ")),--('Trang chủ'!$AT$7:$AT$500="Fail"))+SUMPRODUCT(--ISNUMBER(SEARCH(", "&amp;$B39&amp;", ",", "&amp;'Thông báo'!$B$7:$B$500&amp;", ")),--('Thông báo'!$AT$7:$AT$500="Fail"))+SUMPRODUCT(--ISNUMBER(SEARCH(", "&amp;$B39&amp;", ",", "&amp;'Đăng tin &amp; Quản lý tin'!$B$7:$B$500&amp;", ")),--('Đăng tin &amp; Quản lý tin'!$AT$7:$AT$500="Fail"))+SUMPRODUCT(--ISNUMBER(SEARCH(", "&amp;$B39&amp;", ",", "&amp;'Trust &amp; Safety'!$B$7:$B$500&amp;", ")),--('Trust &amp; Safety'!$AT$7:$AT$500="Fail"))+SUMPRODUCT(--ISNUMBER(SEARCH(", "&amp;$B39&amp;", ",", "&amp;'Tài khoản &amp; Hồ sơ'!$B$7:$B$500&amp;", ")),--('Tài khoản &amp; Hồ sơ'!$AT$7:$AT$500="Fail"))</f>
        <v/>
      </c>
      <c r="I39" s="53">
        <f>SUMPRODUCT(--ISNUMBER(SEARCH(", "&amp;$B39&amp;", ",", "&amp;'Hoạt động (Đơn của tôi)'!$B$7:$B$500&amp;", ")),--('Hoạt động (Đơn của tôi)'!$AT$7:$AT$500="Block"))+SUMPRODUCT(--ISNUMBER(SEARCH(", "&amp;$B39&amp;", ",", "&amp;'Ghép nối'!$B$7:$B$500&amp;", ")),--('Ghép nối'!$AT$7:$AT$500="Block"))+SUMPRODUCT(--ISNUMBER(SEARCH(", "&amp;$B39&amp;", ",", "&amp;'Huỷ đơn - Huỷ nhận đơn'!$B$7:$B$500&amp;", ")),--('Huỷ đơn - Huỷ nhận đơn'!$AT$7:$AT$500="Block"))+SUMPRODUCT(--ISNUMBER(SEARCH(", "&amp;$B39&amp;", ",", "&amp;'Giao nhận &amp; Theo dõi đơn'!$B$7:$B$500&amp;", ")),--('Giao nhận &amp; Theo dõi đơn'!$AT$7:$AT$500="Block"))+SUMPRODUCT(--ISNUMBER(SEARCH(", "&amp;$B39&amp;", ",", "&amp;'Bảng tin &amp; Chi tiết tin'!$B$7:$B$500&amp;", ")),--('Bảng tin &amp; Chi tiết tin'!$AT$7:$AT$500="Block"))+SUMPRODUCT(--ISNUMBER(SEARCH(", "&amp;$B39&amp;", ",", "&amp;'Quà cảm ơn'!$B$7:$B$500&amp;", ")),--('Quà cảm ơn'!$AT$7:$AT$500="Block"))+SUMPRODUCT(--ISNUMBER(SEARCH(", "&amp;$B39&amp;", ",", "&amp;'Trang chủ'!$B$7:$B$500&amp;", ")),--('Trang chủ'!$AT$7:$AT$500="Block"))+SUMPRODUCT(--ISNUMBER(SEARCH(", "&amp;$B39&amp;", ",", "&amp;'Thông báo'!$B$7:$B$500&amp;", ")),--('Thông báo'!$AT$7:$AT$500="Block"))+SUMPRODUCT(--ISNUMBER(SEARCH(", "&amp;$B39&amp;", ",", "&amp;'Đăng tin &amp; Quản lý tin'!$B$7:$B$500&amp;", ")),--('Đăng tin &amp; Quản lý tin'!$AT$7:$AT$500="Block"))+SUMPRODUCT(--ISNUMBER(SEARCH(", "&amp;$B39&amp;", ",", "&amp;'Trust &amp; Safety'!$B$7:$B$500&amp;", ")),--('Trust &amp; Safety'!$AT$7:$AT$500="Block"))+SUMPRODUCT(--ISNUMBER(SEARCH(", "&amp;$B39&amp;", ",", "&amp;'Tài khoản &amp; Hồ sơ'!$B$7:$B$500&amp;", ")),--('Tài khoản &amp; Hồ sơ'!$AT$7:$AT$500="Block"))</f>
        <v/>
      </c>
      <c r="J39" s="53">
        <f>SUMPRODUCT(--ISNUMBER(SEARCH(", "&amp;$B39&amp;", ",", "&amp;'Hoạt động (Đơn của tôi)'!$B$7:$B$500&amp;", ")),--('Hoạt động (Đơn của tôi)'!$AT$7:$AT$500="N/A"))+SUMPRODUCT(--ISNUMBER(SEARCH(", "&amp;$B39&amp;", ",", "&amp;'Ghép nối'!$B$7:$B$500&amp;", ")),--('Ghép nối'!$AT$7:$AT$500="N/A"))+SUMPRODUCT(--ISNUMBER(SEARCH(", "&amp;$B39&amp;", ",", "&amp;'Huỷ đơn - Huỷ nhận đơn'!$B$7:$B$500&amp;", ")),--('Huỷ đơn - Huỷ nhận đơn'!$AT$7:$AT$500="N/A"))+SUMPRODUCT(--ISNUMBER(SEARCH(", "&amp;$B39&amp;", ",", "&amp;'Giao nhận &amp; Theo dõi đơn'!$B$7:$B$500&amp;", ")),--('Giao nhận &amp; Theo dõi đơn'!$AT$7:$AT$500="N/A"))+SUMPRODUCT(--ISNUMBER(SEARCH(", "&amp;$B39&amp;", ",", "&amp;'Bảng tin &amp; Chi tiết tin'!$B$7:$B$500&amp;", ")),--('Bảng tin &amp; Chi tiết tin'!$AT$7:$AT$500="N/A"))+SUMPRODUCT(--ISNUMBER(SEARCH(", "&amp;$B39&amp;", ",", "&amp;'Quà cảm ơn'!$B$7:$B$500&amp;", ")),--('Quà cảm ơn'!$AT$7:$AT$500="N/A"))+SUMPRODUCT(--ISNUMBER(SEARCH(", "&amp;$B39&amp;", ",", "&amp;'Trang chủ'!$B$7:$B$500&amp;", ")),--('Trang chủ'!$AT$7:$AT$500="N/A"))+SUMPRODUCT(--ISNUMBER(SEARCH(", "&amp;$B39&amp;", ",", "&amp;'Thông báo'!$B$7:$B$500&amp;", ")),--('Thông báo'!$AT$7:$AT$500="N/A"))+SUMPRODUCT(--ISNUMBER(SEARCH(", "&amp;$B39&amp;", ",", "&amp;'Đăng tin &amp; Quản lý tin'!$B$7:$B$500&amp;", ")),--('Đăng tin &amp; Quản lý tin'!$AT$7:$AT$500="N/A"))+SUMPRODUCT(--ISNUMBER(SEARCH(", "&amp;$B39&amp;", ",", "&amp;'Trust &amp; Safety'!$B$7:$B$500&amp;", ")),--('Trust &amp; Safety'!$AT$7:$AT$500="N/A"))+SUMPRODUCT(--ISNUMBER(SEARCH(", "&amp;$B39&amp;", ",", "&amp;'Tài khoản &amp; Hồ sơ'!$B$7:$B$500&amp;", ")),--('Tài khoản &amp; Hồ sơ'!$AT$7:$AT$500="N/A"))</f>
        <v/>
      </c>
      <c r="K39" s="54">
        <f>IFERROR(F39/E39,0)</f>
        <v/>
      </c>
      <c r="L39" s="113">
        <f>IF(E39=0,"Chưa có TC (gap)",IF(H39&gt;0,"Có lỗi (Fail)",IF(I39&gt;0,"Bị block",IF(F39&lt;E39,"Đang test",IF(G39=0,"Không áp dụng (N/A)","Đã test xong")))))</f>
        <v/>
      </c>
      <c r="AB39" t="inlineStr">
        <is>
          <t>REQ-DLV</t>
        </is>
      </c>
    </row>
    <row r="40" ht="15.75" customHeight="1" s="216">
      <c r="A40" s="1" t="n"/>
      <c r="B40" s="112" t="inlineStr">
        <is>
          <t>REQ-DLV-012</t>
        </is>
      </c>
      <c r="C40" s="261" t="inlineStr">
        <is>
          <t>BR06-01 | Ảnh lúc lấy hàng là tuỳ chọn nhưng được khuyến nghị mạnh; tối đa 5 ảnh.</t>
        </is>
      </c>
      <c r="D40" s="113" t="inlineStr">
        <is>
          <t>DOC-v1.1-01 §8.6.1 "FR06" BR06-01 · trang 38</t>
        </is>
      </c>
      <c r="E40" s="53">
        <f>SUMPRODUCT(--ISNUMBER(SEARCH(", "&amp;$B40&amp;", ",", "&amp;'Hoạt động (Đơn của tôi)'!$B$7:$B$500&amp;", ")))+SUMPRODUCT(--ISNUMBER(SEARCH(", "&amp;$B40&amp;", ",", "&amp;'Ghép nối'!$B$7:$B$500&amp;", ")))+SUMPRODUCT(--ISNUMBER(SEARCH(", "&amp;$B40&amp;", ",", "&amp;'Huỷ đơn - Huỷ nhận đơn'!$B$7:$B$500&amp;", ")))+SUMPRODUCT(--ISNUMBER(SEARCH(", "&amp;$B40&amp;", ",", "&amp;'Giao nhận &amp; Theo dõi đơn'!$B$7:$B$500&amp;", ")))+SUMPRODUCT(--ISNUMBER(SEARCH(", "&amp;$B40&amp;", ",", "&amp;'Bảng tin &amp; Chi tiết tin'!$B$7:$B$500&amp;", ")))+SUMPRODUCT(--ISNUMBER(SEARCH(", "&amp;$B40&amp;", ",", "&amp;'Quà cảm ơn'!$B$7:$B$500&amp;", ")))+SUMPRODUCT(--ISNUMBER(SEARCH(", "&amp;$B40&amp;", ",", "&amp;'Trang chủ'!$B$7:$B$500&amp;", ")))+SUMPRODUCT(--ISNUMBER(SEARCH(", "&amp;$B40&amp;", ",", "&amp;'Thông báo'!$B$7:$B$500&amp;", ")))+SUMPRODUCT(--ISNUMBER(SEARCH(", "&amp;$B40&amp;", ",", "&amp;'Đăng tin &amp; Quản lý tin'!$B$7:$B$500&amp;", ")))+SUMPRODUCT(--ISNUMBER(SEARCH(", "&amp;$B40&amp;", ",", "&amp;'Trust &amp; Safety'!$B$7:$B$500&amp;", ")))+SUMPRODUCT(--ISNUMBER(SEARCH(", "&amp;$B40&amp;", ",", "&amp;'Tài khoản &amp; Hồ sơ'!$B$7:$B$500&amp;", ")))</f>
        <v/>
      </c>
      <c r="F40" s="53">
        <f>SUMPRODUCT(--ISNUMBER(SEARCH(", "&amp;$B40&amp;", ",", "&amp;'Hoạt động (Đơn của tôi)'!$B$7:$B$500&amp;", ")),--('Hoạt động (Đơn của tôi)'!$AT$7:$AT$500&lt;&gt;""))+SUMPRODUCT(--ISNUMBER(SEARCH(", "&amp;$B40&amp;", ",", "&amp;'Ghép nối'!$B$7:$B$500&amp;", ")),--('Ghép nối'!$AT$7:$AT$500&lt;&gt;""))+SUMPRODUCT(--ISNUMBER(SEARCH(", "&amp;$B40&amp;", ",", "&amp;'Huỷ đơn - Huỷ nhận đơn'!$B$7:$B$500&amp;", ")),--('Huỷ đơn - Huỷ nhận đơn'!$AT$7:$AT$500&lt;&gt;""))+SUMPRODUCT(--ISNUMBER(SEARCH(", "&amp;$B40&amp;", ",", "&amp;'Giao nhận &amp; Theo dõi đơn'!$B$7:$B$500&amp;", ")),--('Giao nhận &amp; Theo dõi đơn'!$AT$7:$AT$500&lt;&gt;""))+SUMPRODUCT(--ISNUMBER(SEARCH(", "&amp;$B40&amp;", ",", "&amp;'Bảng tin &amp; Chi tiết tin'!$B$7:$B$500&amp;", ")),--('Bảng tin &amp; Chi tiết tin'!$AT$7:$AT$500&lt;&gt;""))+SUMPRODUCT(--ISNUMBER(SEARCH(", "&amp;$B40&amp;", ",", "&amp;'Quà cảm ơn'!$B$7:$B$500&amp;", ")),--('Quà cảm ơn'!$AT$7:$AT$500&lt;&gt;""))+SUMPRODUCT(--ISNUMBER(SEARCH(", "&amp;$B40&amp;", ",", "&amp;'Trang chủ'!$B$7:$B$500&amp;", ")),--('Trang chủ'!$AT$7:$AT$500&lt;&gt;""))+SUMPRODUCT(--ISNUMBER(SEARCH(", "&amp;$B40&amp;", ",", "&amp;'Thông báo'!$B$7:$B$500&amp;", ")),--('Thông báo'!$AT$7:$AT$500&lt;&gt;""))+SUMPRODUCT(--ISNUMBER(SEARCH(", "&amp;$B40&amp;", ",", "&amp;'Đăng tin &amp; Quản lý tin'!$B$7:$B$500&amp;", ")),--('Đăng tin &amp; Quản lý tin'!$AT$7:$AT$500&lt;&gt;""))+SUMPRODUCT(--ISNUMBER(SEARCH(", "&amp;$B40&amp;", ",", "&amp;'Trust &amp; Safety'!$B$7:$B$500&amp;", ")),--('Trust &amp; Safety'!$AT$7:$AT$500&lt;&gt;""))+SUMPRODUCT(--ISNUMBER(SEARCH(", "&amp;$B40&amp;", ",", "&amp;'Tài khoản &amp; Hồ sơ'!$B$7:$B$500&amp;", ")),--('Tài khoản &amp; Hồ sơ'!$AT$7:$AT$500&lt;&gt;""))</f>
        <v/>
      </c>
      <c r="G40" s="53">
        <f>SUMPRODUCT(--ISNUMBER(SEARCH(", "&amp;$B40&amp;", ",", "&amp;'Hoạt động (Đơn của tôi)'!$B$7:$B$500&amp;", ")),--('Hoạt động (Đơn của tôi)'!$AT$7:$AT$500="Pass"))+SUMPRODUCT(--ISNUMBER(SEARCH(", "&amp;$B40&amp;", ",", "&amp;'Ghép nối'!$B$7:$B$500&amp;", ")),--('Ghép nối'!$AT$7:$AT$500="Pass"))+SUMPRODUCT(--ISNUMBER(SEARCH(", "&amp;$B40&amp;", ",", "&amp;'Huỷ đơn - Huỷ nhận đơn'!$B$7:$B$500&amp;", ")),--('Huỷ đơn - Huỷ nhận đơn'!$AT$7:$AT$500="Pass"))+SUMPRODUCT(--ISNUMBER(SEARCH(", "&amp;$B40&amp;", ",", "&amp;'Giao nhận &amp; Theo dõi đơn'!$B$7:$B$500&amp;", ")),--('Giao nhận &amp; Theo dõi đơn'!$AT$7:$AT$500="Pass"))+SUMPRODUCT(--ISNUMBER(SEARCH(", "&amp;$B40&amp;", ",", "&amp;'Bảng tin &amp; Chi tiết tin'!$B$7:$B$500&amp;", ")),--('Bảng tin &amp; Chi tiết tin'!$AT$7:$AT$500="Pass"))+SUMPRODUCT(--ISNUMBER(SEARCH(", "&amp;$B40&amp;", ",", "&amp;'Quà cảm ơn'!$B$7:$B$500&amp;", ")),--('Quà cảm ơn'!$AT$7:$AT$500="Pass"))+SUMPRODUCT(--ISNUMBER(SEARCH(", "&amp;$B40&amp;", ",", "&amp;'Trang chủ'!$B$7:$B$500&amp;", ")),--('Trang chủ'!$AT$7:$AT$500="Pass"))+SUMPRODUCT(--ISNUMBER(SEARCH(", "&amp;$B40&amp;", ",", "&amp;'Thông báo'!$B$7:$B$500&amp;", ")),--('Thông báo'!$AT$7:$AT$500="Pass"))+SUMPRODUCT(--ISNUMBER(SEARCH(", "&amp;$B40&amp;", ",", "&amp;'Đăng tin &amp; Quản lý tin'!$B$7:$B$500&amp;", ")),--('Đăng tin &amp; Quản lý tin'!$AT$7:$AT$500="Pass"))+SUMPRODUCT(--ISNUMBER(SEARCH(", "&amp;$B40&amp;", ",", "&amp;'Trust &amp; Safety'!$B$7:$B$500&amp;", ")),--('Trust &amp; Safety'!$AT$7:$AT$500="Pass"))+SUMPRODUCT(--ISNUMBER(SEARCH(", "&amp;$B40&amp;", ",", "&amp;'Tài khoản &amp; Hồ sơ'!$B$7:$B$500&amp;", ")),--('Tài khoản &amp; Hồ sơ'!$AT$7:$AT$500="Pass"))</f>
        <v/>
      </c>
      <c r="H40" s="53">
        <f>SUMPRODUCT(--ISNUMBER(SEARCH(", "&amp;$B40&amp;", ",", "&amp;'Hoạt động (Đơn của tôi)'!$B$7:$B$500&amp;", ")),--('Hoạt động (Đơn của tôi)'!$AT$7:$AT$500="Fail"))+SUMPRODUCT(--ISNUMBER(SEARCH(", "&amp;$B40&amp;", ",", "&amp;'Ghép nối'!$B$7:$B$500&amp;", ")),--('Ghép nối'!$AT$7:$AT$500="Fail"))+SUMPRODUCT(--ISNUMBER(SEARCH(", "&amp;$B40&amp;", ",", "&amp;'Huỷ đơn - Huỷ nhận đơn'!$B$7:$B$500&amp;", ")),--('Huỷ đơn - Huỷ nhận đơn'!$AT$7:$AT$500="Fail"))+SUMPRODUCT(--ISNUMBER(SEARCH(", "&amp;$B40&amp;", ",", "&amp;'Giao nhận &amp; Theo dõi đơn'!$B$7:$B$500&amp;", ")),--('Giao nhận &amp; Theo dõi đơn'!$AT$7:$AT$500="Fail"))+SUMPRODUCT(--ISNUMBER(SEARCH(", "&amp;$B40&amp;", ",", "&amp;'Bảng tin &amp; Chi tiết tin'!$B$7:$B$500&amp;", ")),--('Bảng tin &amp; Chi tiết tin'!$AT$7:$AT$500="Fail"))+SUMPRODUCT(--ISNUMBER(SEARCH(", "&amp;$B40&amp;", ",", "&amp;'Quà cảm ơn'!$B$7:$B$500&amp;", ")),--('Quà cảm ơn'!$AT$7:$AT$500="Fail"))+SUMPRODUCT(--ISNUMBER(SEARCH(", "&amp;$B40&amp;", ",", "&amp;'Trang chủ'!$B$7:$B$500&amp;", ")),--('Trang chủ'!$AT$7:$AT$500="Fail"))+SUMPRODUCT(--ISNUMBER(SEARCH(", "&amp;$B40&amp;", ",", "&amp;'Thông báo'!$B$7:$B$500&amp;", ")),--('Thông báo'!$AT$7:$AT$500="Fail"))+SUMPRODUCT(--ISNUMBER(SEARCH(", "&amp;$B40&amp;", ",", "&amp;'Đăng tin &amp; Quản lý tin'!$B$7:$B$500&amp;", ")),--('Đăng tin &amp; Quản lý tin'!$AT$7:$AT$500="Fail"))+SUMPRODUCT(--ISNUMBER(SEARCH(", "&amp;$B40&amp;", ",", "&amp;'Trust &amp; Safety'!$B$7:$B$500&amp;", ")),--('Trust &amp; Safety'!$AT$7:$AT$500="Fail"))+SUMPRODUCT(--ISNUMBER(SEARCH(", "&amp;$B40&amp;", ",", "&amp;'Tài khoản &amp; Hồ sơ'!$B$7:$B$500&amp;", ")),--('Tài khoản &amp; Hồ sơ'!$AT$7:$AT$500="Fail"))</f>
        <v/>
      </c>
      <c r="I40" s="53">
        <f>SUMPRODUCT(--ISNUMBER(SEARCH(", "&amp;$B40&amp;", ",", "&amp;'Hoạt động (Đơn của tôi)'!$B$7:$B$500&amp;", ")),--('Hoạt động (Đơn của tôi)'!$AT$7:$AT$500="Block"))+SUMPRODUCT(--ISNUMBER(SEARCH(", "&amp;$B40&amp;", ",", "&amp;'Ghép nối'!$B$7:$B$500&amp;", ")),--('Ghép nối'!$AT$7:$AT$500="Block"))+SUMPRODUCT(--ISNUMBER(SEARCH(", "&amp;$B40&amp;", ",", "&amp;'Huỷ đơn - Huỷ nhận đơn'!$B$7:$B$500&amp;", ")),--('Huỷ đơn - Huỷ nhận đơn'!$AT$7:$AT$500="Block"))+SUMPRODUCT(--ISNUMBER(SEARCH(", "&amp;$B40&amp;", ",", "&amp;'Giao nhận &amp; Theo dõi đơn'!$B$7:$B$500&amp;", ")),--('Giao nhận &amp; Theo dõi đơn'!$AT$7:$AT$500="Block"))+SUMPRODUCT(--ISNUMBER(SEARCH(", "&amp;$B40&amp;", ",", "&amp;'Bảng tin &amp; Chi tiết tin'!$B$7:$B$500&amp;", ")),--('Bảng tin &amp; Chi tiết tin'!$AT$7:$AT$500="Block"))+SUMPRODUCT(--ISNUMBER(SEARCH(", "&amp;$B40&amp;", ",", "&amp;'Quà cảm ơn'!$B$7:$B$500&amp;", ")),--('Quà cảm ơn'!$AT$7:$AT$500="Block"))+SUMPRODUCT(--ISNUMBER(SEARCH(", "&amp;$B40&amp;", ",", "&amp;'Trang chủ'!$B$7:$B$500&amp;", ")),--('Trang chủ'!$AT$7:$AT$500="Block"))+SUMPRODUCT(--ISNUMBER(SEARCH(", "&amp;$B40&amp;", ",", "&amp;'Thông báo'!$B$7:$B$500&amp;", ")),--('Thông báo'!$AT$7:$AT$500="Block"))+SUMPRODUCT(--ISNUMBER(SEARCH(", "&amp;$B40&amp;", ",", "&amp;'Đăng tin &amp; Quản lý tin'!$B$7:$B$500&amp;", ")),--('Đăng tin &amp; Quản lý tin'!$AT$7:$AT$500="Block"))+SUMPRODUCT(--ISNUMBER(SEARCH(", "&amp;$B40&amp;", ",", "&amp;'Trust &amp; Safety'!$B$7:$B$500&amp;", ")),--('Trust &amp; Safety'!$AT$7:$AT$500="Block"))+SUMPRODUCT(--ISNUMBER(SEARCH(", "&amp;$B40&amp;", ",", "&amp;'Tài khoản &amp; Hồ sơ'!$B$7:$B$500&amp;", ")),--('Tài khoản &amp; Hồ sơ'!$AT$7:$AT$500="Block"))</f>
        <v/>
      </c>
      <c r="J40" s="53">
        <f>SUMPRODUCT(--ISNUMBER(SEARCH(", "&amp;$B40&amp;", ",", "&amp;'Hoạt động (Đơn của tôi)'!$B$7:$B$500&amp;", ")),--('Hoạt động (Đơn của tôi)'!$AT$7:$AT$500="N/A"))+SUMPRODUCT(--ISNUMBER(SEARCH(", "&amp;$B40&amp;", ",", "&amp;'Ghép nối'!$B$7:$B$500&amp;", ")),--('Ghép nối'!$AT$7:$AT$500="N/A"))+SUMPRODUCT(--ISNUMBER(SEARCH(", "&amp;$B40&amp;", ",", "&amp;'Huỷ đơn - Huỷ nhận đơn'!$B$7:$B$500&amp;", ")),--('Huỷ đơn - Huỷ nhận đơn'!$AT$7:$AT$500="N/A"))+SUMPRODUCT(--ISNUMBER(SEARCH(", "&amp;$B40&amp;", ",", "&amp;'Giao nhận &amp; Theo dõi đơn'!$B$7:$B$500&amp;", ")),--('Giao nhận &amp; Theo dõi đơn'!$AT$7:$AT$500="N/A"))+SUMPRODUCT(--ISNUMBER(SEARCH(", "&amp;$B40&amp;", ",", "&amp;'Bảng tin &amp; Chi tiết tin'!$B$7:$B$500&amp;", ")),--('Bảng tin &amp; Chi tiết tin'!$AT$7:$AT$500="N/A"))+SUMPRODUCT(--ISNUMBER(SEARCH(", "&amp;$B40&amp;", ",", "&amp;'Quà cảm ơn'!$B$7:$B$500&amp;", ")),--('Quà cảm ơn'!$AT$7:$AT$500="N/A"))+SUMPRODUCT(--ISNUMBER(SEARCH(", "&amp;$B40&amp;", ",", "&amp;'Trang chủ'!$B$7:$B$500&amp;", ")),--('Trang chủ'!$AT$7:$AT$500="N/A"))+SUMPRODUCT(--ISNUMBER(SEARCH(", "&amp;$B40&amp;", ",", "&amp;'Thông báo'!$B$7:$B$500&amp;", ")),--('Thông báo'!$AT$7:$AT$500="N/A"))+SUMPRODUCT(--ISNUMBER(SEARCH(", "&amp;$B40&amp;", ",", "&amp;'Đăng tin &amp; Quản lý tin'!$B$7:$B$500&amp;", ")),--('Đăng tin &amp; Quản lý tin'!$AT$7:$AT$500="N/A"))+SUMPRODUCT(--ISNUMBER(SEARCH(", "&amp;$B40&amp;", ",", "&amp;'Trust &amp; Safety'!$B$7:$B$500&amp;", ")),--('Trust &amp; Safety'!$AT$7:$AT$500="N/A"))+SUMPRODUCT(--ISNUMBER(SEARCH(", "&amp;$B40&amp;", ",", "&amp;'Tài khoản &amp; Hồ sơ'!$B$7:$B$500&amp;", ")),--('Tài khoản &amp; Hồ sơ'!$AT$7:$AT$500="N/A"))</f>
        <v/>
      </c>
      <c r="K40" s="54">
        <f>IFERROR(F40/E40,0)</f>
        <v/>
      </c>
      <c r="L40" s="113">
        <f>IF(E40=0,"Chưa có TC (gap)",IF(H40&gt;0,"Có lỗi (Fail)",IF(I40&gt;0,"Bị block",IF(F40&lt;E40,"Đang test",IF(G40=0,"Không áp dụng (N/A)","Đã test xong")))))</f>
        <v/>
      </c>
      <c r="AB40" t="inlineStr">
        <is>
          <t>REQ-DLV</t>
        </is>
      </c>
    </row>
    <row r="41" ht="15.75" customHeight="1" s="216">
      <c r="A41" s="1" t="n"/>
      <c r="B41" s="112" t="inlineStr">
        <is>
          <t>REQ-DLV-017</t>
        </is>
      </c>
      <c r="C41" s="261" t="inlineStr">
        <is>
          <t>Description (§8.7): "Ghi nhận việc bàn giao hàng với đối tượng nhận rõ ràng và bằng chứng ảnh bắt buộc, phục vụ truy vết và xử lý tranh chấp."  BR07-01: "Bắt buộc chọn 1 trong 4 đối tượng nhận: Người nhận · Người được uỷ quyền · Quầy lễ tân · Quầy bảo vệ." BR07-02: "Ảnh khi giao là bắt buộc ≥ 1 (tối đa 5) cho mọi kết cục giao; nút xác nhận vô hiệu hoá đến khi đủ ảnh." BR07-03: "Với ba lựa chọn khác 'Người nhận': tên người nhận thay là bắt buộc (2–60 ký tự), số điện thoại là khuyến nghị. Quầy lễ tân/bảo vệ vẫn phải nhập tên người trực — không cho ghi chung chung." BR07-04: "Người nhận uỷ quyền do người gửi chỉ định lúc đăng tin, hoặc do người nhận / người gửi chỉ định tại hiện trường; ứng dụng luôn ghi rõ ai uỷ quyền. Người vận chuyển không tự chọn người nhận thay." BR07-05: "Trường 'Uỷ quyền bởi' tự sinh: 'Người nhận' khi đến từ màn Xác nhận giao hàng, 'Người gửi' khi đến từ màn Liên hệ người gửi. Chỉ đọc." BR07-06: "Mọi thao tác ghi mốc không thể hoàn tác đều qua popup xác nhận nêu rõ hệ quả trước khi ghi." BR07-07: "Ảnh bằng chứng không xoá được sau khi đơn đã ghi mốc (phục vụ truy vết).</t>
        </is>
      </c>
      <c r="D41" s="113" t="inlineStr">
        <is>
          <t>DOC-v1.1-01 §8.7 "FR07", §8.7.1 BR07-01..07, §8.7.3 UI/Field Spec · trang 39-41</t>
        </is>
      </c>
      <c r="E41" s="53">
        <f>SUMPRODUCT(--ISNUMBER(SEARCH(", "&amp;$B41&amp;", ",", "&amp;'Hoạt động (Đơn của tôi)'!$B$7:$B$500&amp;", ")))+SUMPRODUCT(--ISNUMBER(SEARCH(", "&amp;$B41&amp;", ",", "&amp;'Ghép nối'!$B$7:$B$500&amp;", ")))+SUMPRODUCT(--ISNUMBER(SEARCH(", "&amp;$B41&amp;", ",", "&amp;'Huỷ đơn - Huỷ nhận đơn'!$B$7:$B$500&amp;", ")))+SUMPRODUCT(--ISNUMBER(SEARCH(", "&amp;$B41&amp;", ",", "&amp;'Giao nhận &amp; Theo dõi đơn'!$B$7:$B$500&amp;", ")))+SUMPRODUCT(--ISNUMBER(SEARCH(", "&amp;$B41&amp;", ",", "&amp;'Bảng tin &amp; Chi tiết tin'!$B$7:$B$500&amp;", ")))+SUMPRODUCT(--ISNUMBER(SEARCH(", "&amp;$B41&amp;", ",", "&amp;'Quà cảm ơn'!$B$7:$B$500&amp;", ")))+SUMPRODUCT(--ISNUMBER(SEARCH(", "&amp;$B41&amp;", ",", "&amp;'Trang chủ'!$B$7:$B$500&amp;", ")))+SUMPRODUCT(--ISNUMBER(SEARCH(", "&amp;$B41&amp;", ",", "&amp;'Thông báo'!$B$7:$B$500&amp;", ")))+SUMPRODUCT(--ISNUMBER(SEARCH(", "&amp;$B41&amp;", ",", "&amp;'Đăng tin &amp; Quản lý tin'!$B$7:$B$500&amp;", ")))+SUMPRODUCT(--ISNUMBER(SEARCH(", "&amp;$B41&amp;", ",", "&amp;'Trust &amp; Safety'!$B$7:$B$500&amp;", ")))+SUMPRODUCT(--ISNUMBER(SEARCH(", "&amp;$B41&amp;", ",", "&amp;'Tài khoản &amp; Hồ sơ'!$B$7:$B$500&amp;", ")))</f>
        <v/>
      </c>
      <c r="F41" s="53">
        <f>SUMPRODUCT(--ISNUMBER(SEARCH(", "&amp;$B41&amp;", ",", "&amp;'Hoạt động (Đơn của tôi)'!$B$7:$B$500&amp;", ")),--('Hoạt động (Đơn của tôi)'!$AT$7:$AT$500&lt;&gt;""))+SUMPRODUCT(--ISNUMBER(SEARCH(", "&amp;$B41&amp;", ",", "&amp;'Ghép nối'!$B$7:$B$500&amp;", ")),--('Ghép nối'!$AT$7:$AT$500&lt;&gt;""))+SUMPRODUCT(--ISNUMBER(SEARCH(", "&amp;$B41&amp;", ",", "&amp;'Huỷ đơn - Huỷ nhận đơn'!$B$7:$B$500&amp;", ")),--('Huỷ đơn - Huỷ nhận đơn'!$AT$7:$AT$500&lt;&gt;""))+SUMPRODUCT(--ISNUMBER(SEARCH(", "&amp;$B41&amp;", ",", "&amp;'Giao nhận &amp; Theo dõi đơn'!$B$7:$B$500&amp;", ")),--('Giao nhận &amp; Theo dõi đơn'!$AT$7:$AT$500&lt;&gt;""))+SUMPRODUCT(--ISNUMBER(SEARCH(", "&amp;$B41&amp;", ",", "&amp;'Bảng tin &amp; Chi tiết tin'!$B$7:$B$500&amp;", ")),--('Bảng tin &amp; Chi tiết tin'!$AT$7:$AT$500&lt;&gt;""))+SUMPRODUCT(--ISNUMBER(SEARCH(", "&amp;$B41&amp;", ",", "&amp;'Quà cảm ơn'!$B$7:$B$500&amp;", ")),--('Quà cảm ơn'!$AT$7:$AT$500&lt;&gt;""))+SUMPRODUCT(--ISNUMBER(SEARCH(", "&amp;$B41&amp;", ",", "&amp;'Trang chủ'!$B$7:$B$500&amp;", ")),--('Trang chủ'!$AT$7:$AT$500&lt;&gt;""))+SUMPRODUCT(--ISNUMBER(SEARCH(", "&amp;$B41&amp;", ",", "&amp;'Thông báo'!$B$7:$B$500&amp;", ")),--('Thông báo'!$AT$7:$AT$500&lt;&gt;""))+SUMPRODUCT(--ISNUMBER(SEARCH(", "&amp;$B41&amp;", ",", "&amp;'Đăng tin &amp; Quản lý tin'!$B$7:$B$500&amp;", ")),--('Đăng tin &amp; Quản lý tin'!$AT$7:$AT$500&lt;&gt;""))+SUMPRODUCT(--ISNUMBER(SEARCH(", "&amp;$B41&amp;", ",", "&amp;'Trust &amp; Safety'!$B$7:$B$500&amp;", ")),--('Trust &amp; Safety'!$AT$7:$AT$500&lt;&gt;""))+SUMPRODUCT(--ISNUMBER(SEARCH(", "&amp;$B41&amp;", ",", "&amp;'Tài khoản &amp; Hồ sơ'!$B$7:$B$500&amp;", ")),--('Tài khoản &amp; Hồ sơ'!$AT$7:$AT$500&lt;&gt;""))</f>
        <v/>
      </c>
      <c r="G41" s="53">
        <f>SUMPRODUCT(--ISNUMBER(SEARCH(", "&amp;$B41&amp;", ",", "&amp;'Hoạt động (Đơn của tôi)'!$B$7:$B$500&amp;", ")),--('Hoạt động (Đơn của tôi)'!$AT$7:$AT$500="Pass"))+SUMPRODUCT(--ISNUMBER(SEARCH(", "&amp;$B41&amp;", ",", "&amp;'Ghép nối'!$B$7:$B$500&amp;", ")),--('Ghép nối'!$AT$7:$AT$500="Pass"))+SUMPRODUCT(--ISNUMBER(SEARCH(", "&amp;$B41&amp;", ",", "&amp;'Huỷ đơn - Huỷ nhận đơn'!$B$7:$B$500&amp;", ")),--('Huỷ đơn - Huỷ nhận đơn'!$AT$7:$AT$500="Pass"))+SUMPRODUCT(--ISNUMBER(SEARCH(", "&amp;$B41&amp;", ",", "&amp;'Giao nhận &amp; Theo dõi đơn'!$B$7:$B$500&amp;", ")),--('Giao nhận &amp; Theo dõi đơn'!$AT$7:$AT$500="Pass"))+SUMPRODUCT(--ISNUMBER(SEARCH(", "&amp;$B41&amp;", ",", "&amp;'Bảng tin &amp; Chi tiết tin'!$B$7:$B$500&amp;", ")),--('Bảng tin &amp; Chi tiết tin'!$AT$7:$AT$500="Pass"))+SUMPRODUCT(--ISNUMBER(SEARCH(", "&amp;$B41&amp;", ",", "&amp;'Quà cảm ơn'!$B$7:$B$500&amp;", ")),--('Quà cảm ơn'!$AT$7:$AT$500="Pass"))+SUMPRODUCT(--ISNUMBER(SEARCH(", "&amp;$B41&amp;", ",", "&amp;'Trang chủ'!$B$7:$B$500&amp;", ")),--('Trang chủ'!$AT$7:$AT$500="Pass"))+SUMPRODUCT(--ISNUMBER(SEARCH(", "&amp;$B41&amp;", ",", "&amp;'Thông báo'!$B$7:$B$500&amp;", ")),--('Thông báo'!$AT$7:$AT$500="Pass"))+SUMPRODUCT(--ISNUMBER(SEARCH(", "&amp;$B41&amp;", ",", "&amp;'Đăng tin &amp; Quản lý tin'!$B$7:$B$500&amp;", ")),--('Đăng tin &amp; Quản lý tin'!$AT$7:$AT$500="Pass"))+SUMPRODUCT(--ISNUMBER(SEARCH(", "&amp;$B41&amp;", ",", "&amp;'Trust &amp; Safety'!$B$7:$B$500&amp;", ")),--('Trust &amp; Safety'!$AT$7:$AT$500="Pass"))+SUMPRODUCT(--ISNUMBER(SEARCH(", "&amp;$B41&amp;", ",", "&amp;'Tài khoản &amp; Hồ sơ'!$B$7:$B$500&amp;", ")),--('Tài khoản &amp; Hồ sơ'!$AT$7:$AT$500="Pass"))</f>
        <v/>
      </c>
      <c r="H41" s="53">
        <f>SUMPRODUCT(--ISNUMBER(SEARCH(", "&amp;$B41&amp;", ",", "&amp;'Hoạt động (Đơn của tôi)'!$B$7:$B$500&amp;", ")),--('Hoạt động (Đơn của tôi)'!$AT$7:$AT$500="Fail"))+SUMPRODUCT(--ISNUMBER(SEARCH(", "&amp;$B41&amp;", ",", "&amp;'Ghép nối'!$B$7:$B$500&amp;", ")),--('Ghép nối'!$AT$7:$AT$500="Fail"))+SUMPRODUCT(--ISNUMBER(SEARCH(", "&amp;$B41&amp;", ",", "&amp;'Huỷ đơn - Huỷ nhận đơn'!$B$7:$B$500&amp;", ")),--('Huỷ đơn - Huỷ nhận đơn'!$AT$7:$AT$500="Fail"))+SUMPRODUCT(--ISNUMBER(SEARCH(", "&amp;$B41&amp;", ",", "&amp;'Giao nhận &amp; Theo dõi đơn'!$B$7:$B$500&amp;", ")),--('Giao nhận &amp; Theo dõi đơn'!$AT$7:$AT$500="Fail"))+SUMPRODUCT(--ISNUMBER(SEARCH(", "&amp;$B41&amp;", ",", "&amp;'Bảng tin &amp; Chi tiết tin'!$B$7:$B$500&amp;", ")),--('Bảng tin &amp; Chi tiết tin'!$AT$7:$AT$500="Fail"))+SUMPRODUCT(--ISNUMBER(SEARCH(", "&amp;$B41&amp;", ",", "&amp;'Quà cảm ơn'!$B$7:$B$500&amp;", ")),--('Quà cảm ơn'!$AT$7:$AT$500="Fail"))+SUMPRODUCT(--ISNUMBER(SEARCH(", "&amp;$B41&amp;", ",", "&amp;'Trang chủ'!$B$7:$B$500&amp;", ")),--('Trang chủ'!$AT$7:$AT$500="Fail"))+SUMPRODUCT(--ISNUMBER(SEARCH(", "&amp;$B41&amp;", ",", "&amp;'Thông báo'!$B$7:$B$500&amp;", ")),--('Thông báo'!$AT$7:$AT$500="Fail"))+SUMPRODUCT(--ISNUMBER(SEARCH(", "&amp;$B41&amp;", ",", "&amp;'Đăng tin &amp; Quản lý tin'!$B$7:$B$500&amp;", ")),--('Đăng tin &amp; Quản lý tin'!$AT$7:$AT$500="Fail"))+SUMPRODUCT(--ISNUMBER(SEARCH(", "&amp;$B41&amp;", ",", "&amp;'Trust &amp; Safety'!$B$7:$B$500&amp;", ")),--('Trust &amp; Safety'!$AT$7:$AT$500="Fail"))+SUMPRODUCT(--ISNUMBER(SEARCH(", "&amp;$B41&amp;", ",", "&amp;'Tài khoản &amp; Hồ sơ'!$B$7:$B$500&amp;", ")),--('Tài khoản &amp; Hồ sơ'!$AT$7:$AT$500="Fail"))</f>
        <v/>
      </c>
      <c r="I41" s="53">
        <f>SUMPRODUCT(--ISNUMBER(SEARCH(", "&amp;$B41&amp;", ",", "&amp;'Hoạt động (Đơn của tôi)'!$B$7:$B$500&amp;", ")),--('Hoạt động (Đơn của tôi)'!$AT$7:$AT$500="Block"))+SUMPRODUCT(--ISNUMBER(SEARCH(", "&amp;$B41&amp;", ",", "&amp;'Ghép nối'!$B$7:$B$500&amp;", ")),--('Ghép nối'!$AT$7:$AT$500="Block"))+SUMPRODUCT(--ISNUMBER(SEARCH(", "&amp;$B41&amp;", ",", "&amp;'Huỷ đơn - Huỷ nhận đơn'!$B$7:$B$500&amp;", ")),--('Huỷ đơn - Huỷ nhận đơn'!$AT$7:$AT$500="Block"))+SUMPRODUCT(--ISNUMBER(SEARCH(", "&amp;$B41&amp;", ",", "&amp;'Giao nhận &amp; Theo dõi đơn'!$B$7:$B$500&amp;", ")),--('Giao nhận &amp; Theo dõi đơn'!$AT$7:$AT$500="Block"))+SUMPRODUCT(--ISNUMBER(SEARCH(", "&amp;$B41&amp;", ",", "&amp;'Bảng tin &amp; Chi tiết tin'!$B$7:$B$500&amp;", ")),--('Bảng tin &amp; Chi tiết tin'!$AT$7:$AT$500="Block"))+SUMPRODUCT(--ISNUMBER(SEARCH(", "&amp;$B41&amp;", ",", "&amp;'Quà cảm ơn'!$B$7:$B$500&amp;", ")),--('Quà cảm ơn'!$AT$7:$AT$500="Block"))+SUMPRODUCT(--ISNUMBER(SEARCH(", "&amp;$B41&amp;", ",", "&amp;'Trang chủ'!$B$7:$B$500&amp;", ")),--('Trang chủ'!$AT$7:$AT$500="Block"))+SUMPRODUCT(--ISNUMBER(SEARCH(", "&amp;$B41&amp;", ",", "&amp;'Thông báo'!$B$7:$B$500&amp;", ")),--('Thông báo'!$AT$7:$AT$500="Block"))+SUMPRODUCT(--ISNUMBER(SEARCH(", "&amp;$B41&amp;", ",", "&amp;'Đăng tin &amp; Quản lý tin'!$B$7:$B$500&amp;", ")),--('Đăng tin &amp; Quản lý tin'!$AT$7:$AT$500="Block"))+SUMPRODUCT(--ISNUMBER(SEARCH(", "&amp;$B41&amp;", ",", "&amp;'Trust &amp; Safety'!$B$7:$B$500&amp;", ")),--('Trust &amp; Safety'!$AT$7:$AT$500="Block"))+SUMPRODUCT(--ISNUMBER(SEARCH(", "&amp;$B41&amp;", ",", "&amp;'Tài khoản &amp; Hồ sơ'!$B$7:$B$500&amp;", ")),--('Tài khoản &amp; Hồ sơ'!$AT$7:$AT$500="Block"))</f>
        <v/>
      </c>
      <c r="J41" s="53">
        <f>SUMPRODUCT(--ISNUMBER(SEARCH(", "&amp;$B41&amp;", ",", "&amp;'Hoạt động (Đơn của tôi)'!$B$7:$B$500&amp;", ")),--('Hoạt động (Đơn của tôi)'!$AT$7:$AT$500="N/A"))+SUMPRODUCT(--ISNUMBER(SEARCH(", "&amp;$B41&amp;", ",", "&amp;'Ghép nối'!$B$7:$B$500&amp;", ")),--('Ghép nối'!$AT$7:$AT$500="N/A"))+SUMPRODUCT(--ISNUMBER(SEARCH(", "&amp;$B41&amp;", ",", "&amp;'Huỷ đơn - Huỷ nhận đơn'!$B$7:$B$500&amp;", ")),--('Huỷ đơn - Huỷ nhận đơn'!$AT$7:$AT$500="N/A"))+SUMPRODUCT(--ISNUMBER(SEARCH(", "&amp;$B41&amp;", ",", "&amp;'Giao nhận &amp; Theo dõi đơn'!$B$7:$B$500&amp;", ")),--('Giao nhận &amp; Theo dõi đơn'!$AT$7:$AT$500="N/A"))+SUMPRODUCT(--ISNUMBER(SEARCH(", "&amp;$B41&amp;", ",", "&amp;'Bảng tin &amp; Chi tiết tin'!$B$7:$B$500&amp;", ")),--('Bảng tin &amp; Chi tiết tin'!$AT$7:$AT$500="N/A"))+SUMPRODUCT(--ISNUMBER(SEARCH(", "&amp;$B41&amp;", ",", "&amp;'Quà cảm ơn'!$B$7:$B$500&amp;", ")),--('Quà cảm ơn'!$AT$7:$AT$500="N/A"))+SUMPRODUCT(--ISNUMBER(SEARCH(", "&amp;$B41&amp;", ",", "&amp;'Trang chủ'!$B$7:$B$500&amp;", ")),--('Trang chủ'!$AT$7:$AT$500="N/A"))+SUMPRODUCT(--ISNUMBER(SEARCH(", "&amp;$B41&amp;", ",", "&amp;'Thông báo'!$B$7:$B$500&amp;", ")),--('Thông báo'!$AT$7:$AT$500="N/A"))+SUMPRODUCT(--ISNUMBER(SEARCH(", "&amp;$B41&amp;", ",", "&amp;'Đăng tin &amp; Quản lý tin'!$B$7:$B$500&amp;", ")),--('Đăng tin &amp; Quản lý tin'!$AT$7:$AT$500="N/A"))+SUMPRODUCT(--ISNUMBER(SEARCH(", "&amp;$B41&amp;", ",", "&amp;'Trust &amp; Safety'!$B$7:$B$500&amp;", ")),--('Trust &amp; Safety'!$AT$7:$AT$500="N/A"))+SUMPRODUCT(--ISNUMBER(SEARCH(", "&amp;$B41&amp;", ",", "&amp;'Tài khoản &amp; Hồ sơ'!$B$7:$B$500&amp;", ")),--('Tài khoản &amp; Hồ sơ'!$AT$7:$AT$500="N/A"))</f>
        <v/>
      </c>
      <c r="K41" s="54">
        <f>IFERROR(F41/E41,0)</f>
        <v/>
      </c>
      <c r="L41" s="113">
        <f>IF(E41=0,"Chưa có TC (gap)",IF(H41&gt;0,"Có lỗi (Fail)",IF(I41&gt;0,"Bị block",IF(F41&lt;E41,"Đang test",IF(G41=0,"Không áp dụng (N/A)","Đã test xong")))))</f>
        <v/>
      </c>
      <c r="AB41" t="inlineStr">
        <is>
          <t>REQ-DLV</t>
        </is>
      </c>
    </row>
    <row r="42" ht="15.75" customHeight="1" s="216">
      <c r="A42" s="1" t="n"/>
      <c r="B42" s="112" t="inlineStr">
        <is>
          <t>REQ-DLV-018</t>
        </is>
      </c>
      <c r="C42" s="261" t="inlineStr">
        <is>
          <t>Description: "Cung cấp đường xử lý chuẩn khi người vận chuyển tới nơi mà không liên lạc được người nhận, thay vì để họ tự quyết định."  BR08-01: "Người vận chuyển không được tự ý để hàng ở nơi khác mà không đi qua luồng này." BR08-02: "Thứ tự ưu tiên xử lý (màn hình sắp xếp đúng thứ tự này): (1) giao cho người uỷ quyền người gửi đã khai sẵn → (2) liên hệ người gửi xin uỷ quyền người khác → (3) gửi quầy lễ tân/chốt bảo vệ → (4) cầm hàng về." BR08-03: "Màn 'Liên hệ người gửi': ô tên và số điện thoại người nhận thay để trống (không prefill), dòng 'Uỷ quyền bởi: Người gửi', ảnh bắt buộc; hiển thị số điện thoại người gửi có thể bấm gọi." BR08-04: "Hai phương án gửi quầy: bắt buộc ≥ 1 ảnh và tên người trực quầy, ghi chú tuỳ chọn, có popup xác nhận trước khi ghi." BR08-05: "Đơn có cờ không liên lạc được người nhận thì hiện cảnh báo trong nhật ký cho cả ba bên." BR08-06: "Thời hạn giữ hàng tại quầy: nhắc người nhận sau 4 giờ và cuối ngày; sau 24 giờ chưa xác nhận thì chuyển admin hỗ trợ." BR08-07: "Nếu không có ai ở quầy để ghi tên thì không xác nhận được — buộc chuyển sang 'Cầm hàng về'.</t>
        </is>
      </c>
      <c r="D42" s="113" t="inlineStr">
        <is>
          <t>DOC-v1.1-01 §8.8 "FR08", §8.8.1 BR08-01..07, §8.8.2 UI/Field Spec · trang 41-42</t>
        </is>
      </c>
      <c r="E42" s="53">
        <f>SUMPRODUCT(--ISNUMBER(SEARCH(", "&amp;$B42&amp;", ",", "&amp;'Hoạt động (Đơn của tôi)'!$B$7:$B$500&amp;", ")))+SUMPRODUCT(--ISNUMBER(SEARCH(", "&amp;$B42&amp;", ",", "&amp;'Ghép nối'!$B$7:$B$500&amp;", ")))+SUMPRODUCT(--ISNUMBER(SEARCH(", "&amp;$B42&amp;", ",", "&amp;'Huỷ đơn - Huỷ nhận đơn'!$B$7:$B$500&amp;", ")))+SUMPRODUCT(--ISNUMBER(SEARCH(", "&amp;$B42&amp;", ",", "&amp;'Giao nhận &amp; Theo dõi đơn'!$B$7:$B$500&amp;", ")))+SUMPRODUCT(--ISNUMBER(SEARCH(", "&amp;$B42&amp;", ",", "&amp;'Bảng tin &amp; Chi tiết tin'!$B$7:$B$500&amp;", ")))+SUMPRODUCT(--ISNUMBER(SEARCH(", "&amp;$B42&amp;", ",", "&amp;'Quà cảm ơn'!$B$7:$B$500&amp;", ")))+SUMPRODUCT(--ISNUMBER(SEARCH(", "&amp;$B42&amp;", ",", "&amp;'Trang chủ'!$B$7:$B$500&amp;", ")))+SUMPRODUCT(--ISNUMBER(SEARCH(", "&amp;$B42&amp;", ",", "&amp;'Thông báo'!$B$7:$B$500&amp;", ")))+SUMPRODUCT(--ISNUMBER(SEARCH(", "&amp;$B42&amp;", ",", "&amp;'Đăng tin &amp; Quản lý tin'!$B$7:$B$500&amp;", ")))+SUMPRODUCT(--ISNUMBER(SEARCH(", "&amp;$B42&amp;", ",", "&amp;'Trust &amp; Safety'!$B$7:$B$500&amp;", ")))+SUMPRODUCT(--ISNUMBER(SEARCH(", "&amp;$B42&amp;", ",", "&amp;'Tài khoản &amp; Hồ sơ'!$B$7:$B$500&amp;", ")))</f>
        <v/>
      </c>
      <c r="F42" s="53">
        <f>SUMPRODUCT(--ISNUMBER(SEARCH(", "&amp;$B42&amp;", ",", "&amp;'Hoạt động (Đơn của tôi)'!$B$7:$B$500&amp;", ")),--('Hoạt động (Đơn của tôi)'!$AT$7:$AT$500&lt;&gt;""))+SUMPRODUCT(--ISNUMBER(SEARCH(", "&amp;$B42&amp;", ",", "&amp;'Ghép nối'!$B$7:$B$500&amp;", ")),--('Ghép nối'!$AT$7:$AT$500&lt;&gt;""))+SUMPRODUCT(--ISNUMBER(SEARCH(", "&amp;$B42&amp;", ",", "&amp;'Huỷ đơn - Huỷ nhận đơn'!$B$7:$B$500&amp;", ")),--('Huỷ đơn - Huỷ nhận đơn'!$AT$7:$AT$500&lt;&gt;""))+SUMPRODUCT(--ISNUMBER(SEARCH(", "&amp;$B42&amp;", ",", "&amp;'Giao nhận &amp; Theo dõi đơn'!$B$7:$B$500&amp;", ")),--('Giao nhận &amp; Theo dõi đơn'!$AT$7:$AT$500&lt;&gt;""))+SUMPRODUCT(--ISNUMBER(SEARCH(", "&amp;$B42&amp;", ",", "&amp;'Bảng tin &amp; Chi tiết tin'!$B$7:$B$500&amp;", ")),--('Bảng tin &amp; Chi tiết tin'!$AT$7:$AT$500&lt;&gt;""))+SUMPRODUCT(--ISNUMBER(SEARCH(", "&amp;$B42&amp;", ",", "&amp;'Quà cảm ơn'!$B$7:$B$500&amp;", ")),--('Quà cảm ơn'!$AT$7:$AT$500&lt;&gt;""))+SUMPRODUCT(--ISNUMBER(SEARCH(", "&amp;$B42&amp;", ",", "&amp;'Trang chủ'!$B$7:$B$500&amp;", ")),--('Trang chủ'!$AT$7:$AT$500&lt;&gt;""))+SUMPRODUCT(--ISNUMBER(SEARCH(", "&amp;$B42&amp;", ",", "&amp;'Thông báo'!$B$7:$B$500&amp;", ")),--('Thông báo'!$AT$7:$AT$500&lt;&gt;""))+SUMPRODUCT(--ISNUMBER(SEARCH(", "&amp;$B42&amp;", ",", "&amp;'Đăng tin &amp; Quản lý tin'!$B$7:$B$500&amp;", ")),--('Đăng tin &amp; Quản lý tin'!$AT$7:$AT$500&lt;&gt;""))+SUMPRODUCT(--ISNUMBER(SEARCH(", "&amp;$B42&amp;", ",", "&amp;'Trust &amp; Safety'!$B$7:$B$500&amp;", ")),--('Trust &amp; Safety'!$AT$7:$AT$500&lt;&gt;""))+SUMPRODUCT(--ISNUMBER(SEARCH(", "&amp;$B42&amp;", ",", "&amp;'Tài khoản &amp; Hồ sơ'!$B$7:$B$500&amp;", ")),--('Tài khoản &amp; Hồ sơ'!$AT$7:$AT$500&lt;&gt;""))</f>
        <v/>
      </c>
      <c r="G42" s="53">
        <f>SUMPRODUCT(--ISNUMBER(SEARCH(", "&amp;$B42&amp;", ",", "&amp;'Hoạt động (Đơn của tôi)'!$B$7:$B$500&amp;", ")),--('Hoạt động (Đơn của tôi)'!$AT$7:$AT$500="Pass"))+SUMPRODUCT(--ISNUMBER(SEARCH(", "&amp;$B42&amp;", ",", "&amp;'Ghép nối'!$B$7:$B$500&amp;", ")),--('Ghép nối'!$AT$7:$AT$500="Pass"))+SUMPRODUCT(--ISNUMBER(SEARCH(", "&amp;$B42&amp;", ",", "&amp;'Huỷ đơn - Huỷ nhận đơn'!$B$7:$B$500&amp;", ")),--('Huỷ đơn - Huỷ nhận đơn'!$AT$7:$AT$500="Pass"))+SUMPRODUCT(--ISNUMBER(SEARCH(", "&amp;$B42&amp;", ",", "&amp;'Giao nhận &amp; Theo dõi đơn'!$B$7:$B$500&amp;", ")),--('Giao nhận &amp; Theo dõi đơn'!$AT$7:$AT$500="Pass"))+SUMPRODUCT(--ISNUMBER(SEARCH(", "&amp;$B42&amp;", ",", "&amp;'Bảng tin &amp; Chi tiết tin'!$B$7:$B$500&amp;", ")),--('Bảng tin &amp; Chi tiết tin'!$AT$7:$AT$500="Pass"))+SUMPRODUCT(--ISNUMBER(SEARCH(", "&amp;$B42&amp;", ",", "&amp;'Quà cảm ơn'!$B$7:$B$500&amp;", ")),--('Quà cảm ơn'!$AT$7:$AT$500="Pass"))+SUMPRODUCT(--ISNUMBER(SEARCH(", "&amp;$B42&amp;", ",", "&amp;'Trang chủ'!$B$7:$B$500&amp;", ")),--('Trang chủ'!$AT$7:$AT$500="Pass"))+SUMPRODUCT(--ISNUMBER(SEARCH(", "&amp;$B42&amp;", ",", "&amp;'Thông báo'!$B$7:$B$500&amp;", ")),--('Thông báo'!$AT$7:$AT$500="Pass"))+SUMPRODUCT(--ISNUMBER(SEARCH(", "&amp;$B42&amp;", ",", "&amp;'Đăng tin &amp; Quản lý tin'!$B$7:$B$500&amp;", ")),--('Đăng tin &amp; Quản lý tin'!$AT$7:$AT$500="Pass"))+SUMPRODUCT(--ISNUMBER(SEARCH(", "&amp;$B42&amp;", ",", "&amp;'Trust &amp; Safety'!$B$7:$B$500&amp;", ")),--('Trust &amp; Safety'!$AT$7:$AT$500="Pass"))+SUMPRODUCT(--ISNUMBER(SEARCH(", "&amp;$B42&amp;", ",", "&amp;'Tài khoản &amp; Hồ sơ'!$B$7:$B$500&amp;", ")),--('Tài khoản &amp; Hồ sơ'!$AT$7:$AT$500="Pass"))</f>
        <v/>
      </c>
      <c r="H42" s="53">
        <f>SUMPRODUCT(--ISNUMBER(SEARCH(", "&amp;$B42&amp;", ",", "&amp;'Hoạt động (Đơn của tôi)'!$B$7:$B$500&amp;", ")),--('Hoạt động (Đơn của tôi)'!$AT$7:$AT$500="Fail"))+SUMPRODUCT(--ISNUMBER(SEARCH(", "&amp;$B42&amp;", ",", "&amp;'Ghép nối'!$B$7:$B$500&amp;", ")),--('Ghép nối'!$AT$7:$AT$500="Fail"))+SUMPRODUCT(--ISNUMBER(SEARCH(", "&amp;$B42&amp;", ",", "&amp;'Huỷ đơn - Huỷ nhận đơn'!$B$7:$B$500&amp;", ")),--('Huỷ đơn - Huỷ nhận đơn'!$AT$7:$AT$500="Fail"))+SUMPRODUCT(--ISNUMBER(SEARCH(", "&amp;$B42&amp;", ",", "&amp;'Giao nhận &amp; Theo dõi đơn'!$B$7:$B$500&amp;", ")),--('Giao nhận &amp; Theo dõi đơn'!$AT$7:$AT$500="Fail"))+SUMPRODUCT(--ISNUMBER(SEARCH(", "&amp;$B42&amp;", ",", "&amp;'Bảng tin &amp; Chi tiết tin'!$B$7:$B$500&amp;", ")),--('Bảng tin &amp; Chi tiết tin'!$AT$7:$AT$500="Fail"))+SUMPRODUCT(--ISNUMBER(SEARCH(", "&amp;$B42&amp;", ",", "&amp;'Quà cảm ơn'!$B$7:$B$500&amp;", ")),--('Quà cảm ơn'!$AT$7:$AT$500="Fail"))+SUMPRODUCT(--ISNUMBER(SEARCH(", "&amp;$B42&amp;", ",", "&amp;'Trang chủ'!$B$7:$B$500&amp;", ")),--('Trang chủ'!$AT$7:$AT$500="Fail"))+SUMPRODUCT(--ISNUMBER(SEARCH(", "&amp;$B42&amp;", ",", "&amp;'Thông báo'!$B$7:$B$500&amp;", ")),--('Thông báo'!$AT$7:$AT$500="Fail"))+SUMPRODUCT(--ISNUMBER(SEARCH(", "&amp;$B42&amp;", ",", "&amp;'Đăng tin &amp; Quản lý tin'!$B$7:$B$500&amp;", ")),--('Đăng tin &amp; Quản lý tin'!$AT$7:$AT$500="Fail"))+SUMPRODUCT(--ISNUMBER(SEARCH(", "&amp;$B42&amp;", ",", "&amp;'Trust &amp; Safety'!$B$7:$B$500&amp;", ")),--('Trust &amp; Safety'!$AT$7:$AT$500="Fail"))+SUMPRODUCT(--ISNUMBER(SEARCH(", "&amp;$B42&amp;", ",", "&amp;'Tài khoản &amp; Hồ sơ'!$B$7:$B$500&amp;", ")),--('Tài khoản &amp; Hồ sơ'!$AT$7:$AT$500="Fail"))</f>
        <v/>
      </c>
      <c r="I42" s="53">
        <f>SUMPRODUCT(--ISNUMBER(SEARCH(", "&amp;$B42&amp;", ",", "&amp;'Hoạt động (Đơn của tôi)'!$B$7:$B$500&amp;", ")),--('Hoạt động (Đơn của tôi)'!$AT$7:$AT$500="Block"))+SUMPRODUCT(--ISNUMBER(SEARCH(", "&amp;$B42&amp;", ",", "&amp;'Ghép nối'!$B$7:$B$500&amp;", ")),--('Ghép nối'!$AT$7:$AT$500="Block"))+SUMPRODUCT(--ISNUMBER(SEARCH(", "&amp;$B42&amp;", ",", "&amp;'Huỷ đơn - Huỷ nhận đơn'!$B$7:$B$500&amp;", ")),--('Huỷ đơn - Huỷ nhận đơn'!$AT$7:$AT$500="Block"))+SUMPRODUCT(--ISNUMBER(SEARCH(", "&amp;$B42&amp;", ",", "&amp;'Giao nhận &amp; Theo dõi đơn'!$B$7:$B$500&amp;", ")),--('Giao nhận &amp; Theo dõi đơn'!$AT$7:$AT$500="Block"))+SUMPRODUCT(--ISNUMBER(SEARCH(", "&amp;$B42&amp;", ",", "&amp;'Bảng tin &amp; Chi tiết tin'!$B$7:$B$500&amp;", ")),--('Bảng tin &amp; Chi tiết tin'!$AT$7:$AT$500="Block"))+SUMPRODUCT(--ISNUMBER(SEARCH(", "&amp;$B42&amp;", ",", "&amp;'Quà cảm ơn'!$B$7:$B$500&amp;", ")),--('Quà cảm ơn'!$AT$7:$AT$500="Block"))+SUMPRODUCT(--ISNUMBER(SEARCH(", "&amp;$B42&amp;", ",", "&amp;'Trang chủ'!$B$7:$B$500&amp;", ")),--('Trang chủ'!$AT$7:$AT$500="Block"))+SUMPRODUCT(--ISNUMBER(SEARCH(", "&amp;$B42&amp;", ",", "&amp;'Thông báo'!$B$7:$B$500&amp;", ")),--('Thông báo'!$AT$7:$AT$500="Block"))+SUMPRODUCT(--ISNUMBER(SEARCH(", "&amp;$B42&amp;", ",", "&amp;'Đăng tin &amp; Quản lý tin'!$B$7:$B$500&amp;", ")),--('Đăng tin &amp; Quản lý tin'!$AT$7:$AT$500="Block"))+SUMPRODUCT(--ISNUMBER(SEARCH(", "&amp;$B42&amp;", ",", "&amp;'Trust &amp; Safety'!$B$7:$B$500&amp;", ")),--('Trust &amp; Safety'!$AT$7:$AT$500="Block"))+SUMPRODUCT(--ISNUMBER(SEARCH(", "&amp;$B42&amp;", ",", "&amp;'Tài khoản &amp; Hồ sơ'!$B$7:$B$500&amp;", ")),--('Tài khoản &amp; Hồ sơ'!$AT$7:$AT$500="Block"))</f>
        <v/>
      </c>
      <c r="J42" s="53">
        <f>SUMPRODUCT(--ISNUMBER(SEARCH(", "&amp;$B42&amp;", ",", "&amp;'Hoạt động (Đơn của tôi)'!$B$7:$B$500&amp;", ")),--('Hoạt động (Đơn của tôi)'!$AT$7:$AT$500="N/A"))+SUMPRODUCT(--ISNUMBER(SEARCH(", "&amp;$B42&amp;", ",", "&amp;'Ghép nối'!$B$7:$B$500&amp;", ")),--('Ghép nối'!$AT$7:$AT$500="N/A"))+SUMPRODUCT(--ISNUMBER(SEARCH(", "&amp;$B42&amp;", ",", "&amp;'Huỷ đơn - Huỷ nhận đơn'!$B$7:$B$500&amp;", ")),--('Huỷ đơn - Huỷ nhận đơn'!$AT$7:$AT$500="N/A"))+SUMPRODUCT(--ISNUMBER(SEARCH(", "&amp;$B42&amp;", ",", "&amp;'Giao nhận &amp; Theo dõi đơn'!$B$7:$B$500&amp;", ")),--('Giao nhận &amp; Theo dõi đơn'!$AT$7:$AT$500="N/A"))+SUMPRODUCT(--ISNUMBER(SEARCH(", "&amp;$B42&amp;", ",", "&amp;'Bảng tin &amp; Chi tiết tin'!$B$7:$B$500&amp;", ")),--('Bảng tin &amp; Chi tiết tin'!$AT$7:$AT$500="N/A"))+SUMPRODUCT(--ISNUMBER(SEARCH(", "&amp;$B42&amp;", ",", "&amp;'Quà cảm ơn'!$B$7:$B$500&amp;", ")),--('Quà cảm ơn'!$AT$7:$AT$500="N/A"))+SUMPRODUCT(--ISNUMBER(SEARCH(", "&amp;$B42&amp;", ",", "&amp;'Trang chủ'!$B$7:$B$500&amp;", ")),--('Trang chủ'!$AT$7:$AT$500="N/A"))+SUMPRODUCT(--ISNUMBER(SEARCH(", "&amp;$B42&amp;", ",", "&amp;'Thông báo'!$B$7:$B$500&amp;", ")),--('Thông báo'!$AT$7:$AT$500="N/A"))+SUMPRODUCT(--ISNUMBER(SEARCH(", "&amp;$B42&amp;", ",", "&amp;'Đăng tin &amp; Quản lý tin'!$B$7:$B$500&amp;", ")),--('Đăng tin &amp; Quản lý tin'!$AT$7:$AT$500="N/A"))+SUMPRODUCT(--ISNUMBER(SEARCH(", "&amp;$B42&amp;", ",", "&amp;'Trust &amp; Safety'!$B$7:$B$500&amp;", ")),--('Trust &amp; Safety'!$AT$7:$AT$500="N/A"))+SUMPRODUCT(--ISNUMBER(SEARCH(", "&amp;$B42&amp;", ",", "&amp;'Tài khoản &amp; Hồ sơ'!$B$7:$B$500&amp;", ")),--('Tài khoản &amp; Hồ sơ'!$AT$7:$AT$500="N/A"))</f>
        <v/>
      </c>
      <c r="K42" s="54">
        <f>IFERROR(F42/E42,0)</f>
        <v/>
      </c>
      <c r="L42" s="113">
        <f>IF(E42=0,"Chưa có TC (gap)",IF(H42&gt;0,"Có lỗi (Fail)",IF(I42&gt;0,"Bị block",IF(F42&lt;E42,"Đang test",IF(G42=0,"Không áp dụng (N/A)","Đã test xong")))))</f>
        <v/>
      </c>
      <c r="AB42" t="inlineStr">
        <is>
          <t>REQ-DLV</t>
        </is>
      </c>
    </row>
    <row r="43" ht="15.75" customHeight="1" s="216">
      <c r="A43" s="1" t="n"/>
      <c r="B43" s="112" t="inlineStr">
        <is>
          <t>REQ-DLV-019</t>
        </is>
      </c>
      <c r="C43" s="261" t="inlineStr">
        <is>
          <t>Description: "Khi không giao được, người vận chuyển cầm hàng về và hẹn lịch rõ ràng: giao lại sau, hoặc trả hàng về cho người gửi. Đơn không bị huỷ."  BR09-01: "'Cầm hàng về' không phải huỷ đơn — đơn vẫn sống ở RESCHEDULED/RETURNING và bắt buộc có lịch hẹn." BR09-02: "Bắt buộc chọn chế độ: giao lại sau (`retry`) hoặc trả về người gửi (`return`)." BR09-03: "Lịch hẹn dùng giờ chính xác (không dùng buổi)... giờ đến &gt; giờ từ, tối thiểu 30 phút." BR09-04: "Lịch hẹn phải trong vòng 7 ngày kể từ ngày cầm hàng về; quá lịch hẹn 24 giờ mà đơn chưa đóng thì chuyển admin hỗ trợ." BR09-05: "Chế độ `retry`: theo lịch hẹn, đơn quay lại IN_TRANSIT và người vận chuyển giao lại theo FR07." BR09-06: "Chế độ `return`: người gửi bấm 'Xác nhận đã nhận lại hàng' → RETURNED. Đơn RETURNED không mở bước tặng quà và không cộng vào 'Đơn đã giúp' của người vận chuyển, nhưng vẫn nằm trong lịch sử đơn." BR09-07: "Người nhận từ chối nhận hàng: người vận chuyển chọn chế độ `return`, ghi lý do vào ghi chú.</t>
        </is>
      </c>
      <c r="D43" s="113" t="inlineStr">
        <is>
          <t>DOC-v1.1-01 §8.9 "FR09", §8.9.1 BR09-01..07, §8.9.2 UI/Field Spec · trang 42-43</t>
        </is>
      </c>
      <c r="E43" s="53">
        <f>SUMPRODUCT(--ISNUMBER(SEARCH(", "&amp;$B43&amp;", ",", "&amp;'Hoạt động (Đơn của tôi)'!$B$7:$B$500&amp;", ")))+SUMPRODUCT(--ISNUMBER(SEARCH(", "&amp;$B43&amp;", ",", "&amp;'Ghép nối'!$B$7:$B$500&amp;", ")))+SUMPRODUCT(--ISNUMBER(SEARCH(", "&amp;$B43&amp;", ",", "&amp;'Huỷ đơn - Huỷ nhận đơn'!$B$7:$B$500&amp;", ")))+SUMPRODUCT(--ISNUMBER(SEARCH(", "&amp;$B43&amp;", ",", "&amp;'Giao nhận &amp; Theo dõi đơn'!$B$7:$B$500&amp;", ")))+SUMPRODUCT(--ISNUMBER(SEARCH(", "&amp;$B43&amp;", ",", "&amp;'Bảng tin &amp; Chi tiết tin'!$B$7:$B$500&amp;", ")))+SUMPRODUCT(--ISNUMBER(SEARCH(", "&amp;$B43&amp;", ",", "&amp;'Quà cảm ơn'!$B$7:$B$500&amp;", ")))+SUMPRODUCT(--ISNUMBER(SEARCH(", "&amp;$B43&amp;", ",", "&amp;'Trang chủ'!$B$7:$B$500&amp;", ")))+SUMPRODUCT(--ISNUMBER(SEARCH(", "&amp;$B43&amp;", ",", "&amp;'Thông báo'!$B$7:$B$500&amp;", ")))+SUMPRODUCT(--ISNUMBER(SEARCH(", "&amp;$B43&amp;", ",", "&amp;'Đăng tin &amp; Quản lý tin'!$B$7:$B$500&amp;", ")))+SUMPRODUCT(--ISNUMBER(SEARCH(", "&amp;$B43&amp;", ",", "&amp;'Trust &amp; Safety'!$B$7:$B$500&amp;", ")))+SUMPRODUCT(--ISNUMBER(SEARCH(", "&amp;$B43&amp;", ",", "&amp;'Tài khoản &amp; Hồ sơ'!$B$7:$B$500&amp;", ")))</f>
        <v/>
      </c>
      <c r="F43" s="53">
        <f>SUMPRODUCT(--ISNUMBER(SEARCH(", "&amp;$B43&amp;", ",", "&amp;'Hoạt động (Đơn của tôi)'!$B$7:$B$500&amp;", ")),--('Hoạt động (Đơn của tôi)'!$AT$7:$AT$500&lt;&gt;""))+SUMPRODUCT(--ISNUMBER(SEARCH(", "&amp;$B43&amp;", ",", "&amp;'Ghép nối'!$B$7:$B$500&amp;", ")),--('Ghép nối'!$AT$7:$AT$500&lt;&gt;""))+SUMPRODUCT(--ISNUMBER(SEARCH(", "&amp;$B43&amp;", ",", "&amp;'Huỷ đơn - Huỷ nhận đơn'!$B$7:$B$500&amp;", ")),--('Huỷ đơn - Huỷ nhận đơn'!$AT$7:$AT$500&lt;&gt;""))+SUMPRODUCT(--ISNUMBER(SEARCH(", "&amp;$B43&amp;", ",", "&amp;'Giao nhận &amp; Theo dõi đơn'!$B$7:$B$500&amp;", ")),--('Giao nhận &amp; Theo dõi đơn'!$AT$7:$AT$500&lt;&gt;""))+SUMPRODUCT(--ISNUMBER(SEARCH(", "&amp;$B43&amp;", ",", "&amp;'Bảng tin &amp; Chi tiết tin'!$B$7:$B$500&amp;", ")),--('Bảng tin &amp; Chi tiết tin'!$AT$7:$AT$500&lt;&gt;""))+SUMPRODUCT(--ISNUMBER(SEARCH(", "&amp;$B43&amp;", ",", "&amp;'Quà cảm ơn'!$B$7:$B$500&amp;", ")),--('Quà cảm ơn'!$AT$7:$AT$500&lt;&gt;""))+SUMPRODUCT(--ISNUMBER(SEARCH(", "&amp;$B43&amp;", ",", "&amp;'Trang chủ'!$B$7:$B$500&amp;", ")),--('Trang chủ'!$AT$7:$AT$500&lt;&gt;""))+SUMPRODUCT(--ISNUMBER(SEARCH(", "&amp;$B43&amp;", ",", "&amp;'Thông báo'!$B$7:$B$500&amp;", ")),--('Thông báo'!$AT$7:$AT$500&lt;&gt;""))+SUMPRODUCT(--ISNUMBER(SEARCH(", "&amp;$B43&amp;", ",", "&amp;'Đăng tin &amp; Quản lý tin'!$B$7:$B$500&amp;", ")),--('Đăng tin &amp; Quản lý tin'!$AT$7:$AT$500&lt;&gt;""))+SUMPRODUCT(--ISNUMBER(SEARCH(", "&amp;$B43&amp;", ",", "&amp;'Trust &amp; Safety'!$B$7:$B$500&amp;", ")),--('Trust &amp; Safety'!$AT$7:$AT$500&lt;&gt;""))+SUMPRODUCT(--ISNUMBER(SEARCH(", "&amp;$B43&amp;", ",", "&amp;'Tài khoản &amp; Hồ sơ'!$B$7:$B$500&amp;", ")),--('Tài khoản &amp; Hồ sơ'!$AT$7:$AT$500&lt;&gt;""))</f>
        <v/>
      </c>
      <c r="G43" s="53">
        <f>SUMPRODUCT(--ISNUMBER(SEARCH(", "&amp;$B43&amp;", ",", "&amp;'Hoạt động (Đơn của tôi)'!$B$7:$B$500&amp;", ")),--('Hoạt động (Đơn của tôi)'!$AT$7:$AT$500="Pass"))+SUMPRODUCT(--ISNUMBER(SEARCH(", "&amp;$B43&amp;", ",", "&amp;'Ghép nối'!$B$7:$B$500&amp;", ")),--('Ghép nối'!$AT$7:$AT$500="Pass"))+SUMPRODUCT(--ISNUMBER(SEARCH(", "&amp;$B43&amp;", ",", "&amp;'Huỷ đơn - Huỷ nhận đơn'!$B$7:$B$500&amp;", ")),--('Huỷ đơn - Huỷ nhận đơn'!$AT$7:$AT$500="Pass"))+SUMPRODUCT(--ISNUMBER(SEARCH(", "&amp;$B43&amp;", ",", "&amp;'Giao nhận &amp; Theo dõi đơn'!$B$7:$B$500&amp;", ")),--('Giao nhận &amp; Theo dõi đơn'!$AT$7:$AT$500="Pass"))+SUMPRODUCT(--ISNUMBER(SEARCH(", "&amp;$B43&amp;", ",", "&amp;'Bảng tin &amp; Chi tiết tin'!$B$7:$B$500&amp;", ")),--('Bảng tin &amp; Chi tiết tin'!$AT$7:$AT$500="Pass"))+SUMPRODUCT(--ISNUMBER(SEARCH(", "&amp;$B43&amp;", ",", "&amp;'Quà cảm ơn'!$B$7:$B$500&amp;", ")),--('Quà cảm ơn'!$AT$7:$AT$500="Pass"))+SUMPRODUCT(--ISNUMBER(SEARCH(", "&amp;$B43&amp;", ",", "&amp;'Trang chủ'!$B$7:$B$500&amp;", ")),--('Trang chủ'!$AT$7:$AT$500="Pass"))+SUMPRODUCT(--ISNUMBER(SEARCH(", "&amp;$B43&amp;", ",", "&amp;'Thông báo'!$B$7:$B$500&amp;", ")),--('Thông báo'!$AT$7:$AT$500="Pass"))+SUMPRODUCT(--ISNUMBER(SEARCH(", "&amp;$B43&amp;", ",", "&amp;'Đăng tin &amp; Quản lý tin'!$B$7:$B$500&amp;", ")),--('Đăng tin &amp; Quản lý tin'!$AT$7:$AT$500="Pass"))+SUMPRODUCT(--ISNUMBER(SEARCH(", "&amp;$B43&amp;", ",", "&amp;'Trust &amp; Safety'!$B$7:$B$500&amp;", ")),--('Trust &amp; Safety'!$AT$7:$AT$500="Pass"))+SUMPRODUCT(--ISNUMBER(SEARCH(", "&amp;$B43&amp;", ",", "&amp;'Tài khoản &amp; Hồ sơ'!$B$7:$B$500&amp;", ")),--('Tài khoản &amp; Hồ sơ'!$AT$7:$AT$500="Pass"))</f>
        <v/>
      </c>
      <c r="H43" s="53">
        <f>SUMPRODUCT(--ISNUMBER(SEARCH(", "&amp;$B43&amp;", ",", "&amp;'Hoạt động (Đơn của tôi)'!$B$7:$B$500&amp;", ")),--('Hoạt động (Đơn của tôi)'!$AT$7:$AT$500="Fail"))+SUMPRODUCT(--ISNUMBER(SEARCH(", "&amp;$B43&amp;", ",", "&amp;'Ghép nối'!$B$7:$B$500&amp;", ")),--('Ghép nối'!$AT$7:$AT$500="Fail"))+SUMPRODUCT(--ISNUMBER(SEARCH(", "&amp;$B43&amp;", ",", "&amp;'Huỷ đơn - Huỷ nhận đơn'!$B$7:$B$500&amp;", ")),--('Huỷ đơn - Huỷ nhận đơn'!$AT$7:$AT$500="Fail"))+SUMPRODUCT(--ISNUMBER(SEARCH(", "&amp;$B43&amp;", ",", "&amp;'Giao nhận &amp; Theo dõi đơn'!$B$7:$B$500&amp;", ")),--('Giao nhận &amp; Theo dõi đơn'!$AT$7:$AT$500="Fail"))+SUMPRODUCT(--ISNUMBER(SEARCH(", "&amp;$B43&amp;", ",", "&amp;'Bảng tin &amp; Chi tiết tin'!$B$7:$B$500&amp;", ")),--('Bảng tin &amp; Chi tiết tin'!$AT$7:$AT$500="Fail"))+SUMPRODUCT(--ISNUMBER(SEARCH(", "&amp;$B43&amp;", ",", "&amp;'Quà cảm ơn'!$B$7:$B$500&amp;", ")),--('Quà cảm ơn'!$AT$7:$AT$500="Fail"))+SUMPRODUCT(--ISNUMBER(SEARCH(", "&amp;$B43&amp;", ",", "&amp;'Trang chủ'!$B$7:$B$500&amp;", ")),--('Trang chủ'!$AT$7:$AT$500="Fail"))+SUMPRODUCT(--ISNUMBER(SEARCH(", "&amp;$B43&amp;", ",", "&amp;'Thông báo'!$B$7:$B$500&amp;", ")),--('Thông báo'!$AT$7:$AT$500="Fail"))+SUMPRODUCT(--ISNUMBER(SEARCH(", "&amp;$B43&amp;", ",", "&amp;'Đăng tin &amp; Quản lý tin'!$B$7:$B$500&amp;", ")),--('Đăng tin &amp; Quản lý tin'!$AT$7:$AT$500="Fail"))+SUMPRODUCT(--ISNUMBER(SEARCH(", "&amp;$B43&amp;", ",", "&amp;'Trust &amp; Safety'!$B$7:$B$500&amp;", ")),--('Trust &amp; Safety'!$AT$7:$AT$500="Fail"))+SUMPRODUCT(--ISNUMBER(SEARCH(", "&amp;$B43&amp;", ",", "&amp;'Tài khoản &amp; Hồ sơ'!$B$7:$B$500&amp;", ")),--('Tài khoản &amp; Hồ sơ'!$AT$7:$AT$500="Fail"))</f>
        <v/>
      </c>
      <c r="I43" s="53">
        <f>SUMPRODUCT(--ISNUMBER(SEARCH(", "&amp;$B43&amp;", ",", "&amp;'Hoạt động (Đơn của tôi)'!$B$7:$B$500&amp;", ")),--('Hoạt động (Đơn của tôi)'!$AT$7:$AT$500="Block"))+SUMPRODUCT(--ISNUMBER(SEARCH(", "&amp;$B43&amp;", ",", "&amp;'Ghép nối'!$B$7:$B$500&amp;", ")),--('Ghép nối'!$AT$7:$AT$500="Block"))+SUMPRODUCT(--ISNUMBER(SEARCH(", "&amp;$B43&amp;", ",", "&amp;'Huỷ đơn - Huỷ nhận đơn'!$B$7:$B$500&amp;", ")),--('Huỷ đơn - Huỷ nhận đơn'!$AT$7:$AT$500="Block"))+SUMPRODUCT(--ISNUMBER(SEARCH(", "&amp;$B43&amp;", ",", "&amp;'Giao nhận &amp; Theo dõi đơn'!$B$7:$B$500&amp;", ")),--('Giao nhận &amp; Theo dõi đơn'!$AT$7:$AT$500="Block"))+SUMPRODUCT(--ISNUMBER(SEARCH(", "&amp;$B43&amp;", ",", "&amp;'Bảng tin &amp; Chi tiết tin'!$B$7:$B$500&amp;", ")),--('Bảng tin &amp; Chi tiết tin'!$AT$7:$AT$500="Block"))+SUMPRODUCT(--ISNUMBER(SEARCH(", "&amp;$B43&amp;", ",", "&amp;'Quà cảm ơn'!$B$7:$B$500&amp;", ")),--('Quà cảm ơn'!$AT$7:$AT$500="Block"))+SUMPRODUCT(--ISNUMBER(SEARCH(", "&amp;$B43&amp;", ",", "&amp;'Trang chủ'!$B$7:$B$500&amp;", ")),--('Trang chủ'!$AT$7:$AT$500="Block"))+SUMPRODUCT(--ISNUMBER(SEARCH(", "&amp;$B43&amp;", ",", "&amp;'Thông báo'!$B$7:$B$500&amp;", ")),--('Thông báo'!$AT$7:$AT$500="Block"))+SUMPRODUCT(--ISNUMBER(SEARCH(", "&amp;$B43&amp;", ",", "&amp;'Đăng tin &amp; Quản lý tin'!$B$7:$B$500&amp;", ")),--('Đăng tin &amp; Quản lý tin'!$AT$7:$AT$500="Block"))+SUMPRODUCT(--ISNUMBER(SEARCH(", "&amp;$B43&amp;", ",", "&amp;'Trust &amp; Safety'!$B$7:$B$500&amp;", ")),--('Trust &amp; Safety'!$AT$7:$AT$500="Block"))+SUMPRODUCT(--ISNUMBER(SEARCH(", "&amp;$B43&amp;", ",", "&amp;'Tài khoản &amp; Hồ sơ'!$B$7:$B$500&amp;", ")),--('Tài khoản &amp; Hồ sơ'!$AT$7:$AT$500="Block"))</f>
        <v/>
      </c>
      <c r="J43" s="53">
        <f>SUMPRODUCT(--ISNUMBER(SEARCH(", "&amp;$B43&amp;", ",", "&amp;'Hoạt động (Đơn của tôi)'!$B$7:$B$500&amp;", ")),--('Hoạt động (Đơn của tôi)'!$AT$7:$AT$500="N/A"))+SUMPRODUCT(--ISNUMBER(SEARCH(", "&amp;$B43&amp;", ",", "&amp;'Ghép nối'!$B$7:$B$500&amp;", ")),--('Ghép nối'!$AT$7:$AT$500="N/A"))+SUMPRODUCT(--ISNUMBER(SEARCH(", "&amp;$B43&amp;", ",", "&amp;'Huỷ đơn - Huỷ nhận đơn'!$B$7:$B$500&amp;", ")),--('Huỷ đơn - Huỷ nhận đơn'!$AT$7:$AT$500="N/A"))+SUMPRODUCT(--ISNUMBER(SEARCH(", "&amp;$B43&amp;", ",", "&amp;'Giao nhận &amp; Theo dõi đơn'!$B$7:$B$500&amp;", ")),--('Giao nhận &amp; Theo dõi đơn'!$AT$7:$AT$500="N/A"))+SUMPRODUCT(--ISNUMBER(SEARCH(", "&amp;$B43&amp;", ",", "&amp;'Bảng tin &amp; Chi tiết tin'!$B$7:$B$500&amp;", ")),--('Bảng tin &amp; Chi tiết tin'!$AT$7:$AT$500="N/A"))+SUMPRODUCT(--ISNUMBER(SEARCH(", "&amp;$B43&amp;", ",", "&amp;'Quà cảm ơn'!$B$7:$B$500&amp;", ")),--('Quà cảm ơn'!$AT$7:$AT$500="N/A"))+SUMPRODUCT(--ISNUMBER(SEARCH(", "&amp;$B43&amp;", ",", "&amp;'Trang chủ'!$B$7:$B$500&amp;", ")),--('Trang chủ'!$AT$7:$AT$500="N/A"))+SUMPRODUCT(--ISNUMBER(SEARCH(", "&amp;$B43&amp;", ",", "&amp;'Thông báo'!$B$7:$B$500&amp;", ")),--('Thông báo'!$AT$7:$AT$500="N/A"))+SUMPRODUCT(--ISNUMBER(SEARCH(", "&amp;$B43&amp;", ",", "&amp;'Đăng tin &amp; Quản lý tin'!$B$7:$B$500&amp;", ")),--('Đăng tin &amp; Quản lý tin'!$AT$7:$AT$500="N/A"))+SUMPRODUCT(--ISNUMBER(SEARCH(", "&amp;$B43&amp;", ",", "&amp;'Trust &amp; Safety'!$B$7:$B$500&amp;", ")),--('Trust &amp; Safety'!$AT$7:$AT$500="N/A"))+SUMPRODUCT(--ISNUMBER(SEARCH(", "&amp;$B43&amp;", ",", "&amp;'Tài khoản &amp; Hồ sơ'!$B$7:$B$500&amp;", ")),--('Tài khoản &amp; Hồ sơ'!$AT$7:$AT$500="N/A"))</f>
        <v/>
      </c>
      <c r="K43" s="54">
        <f>IFERROR(F43/E43,0)</f>
        <v/>
      </c>
      <c r="L43" s="113">
        <f>IF(E43=0,"Chưa có TC (gap)",IF(H43&gt;0,"Có lỗi (Fail)",IF(I43&gt;0,"Bị block",IF(F43&lt;E43,"Đang test",IF(G43=0,"Không áp dụng (N/A)","Đã test xong")))))</f>
        <v/>
      </c>
      <c r="AB43" t="inlineStr">
        <is>
          <t>REQ-DLV</t>
        </is>
      </c>
    </row>
    <row r="44" ht="15.75" customHeight="1" s="216">
      <c r="A44" s="1" t="n"/>
      <c r="B44" s="112" t="inlineStr">
        <is>
          <t>REQ-DLV-020</t>
        </is>
      </c>
      <c r="C44" s="261" t="inlineStr">
        <is>
          <t>Giao tận tay người nhận → 'Đã giao tận tay người nhận'" "Giao cho người được uỷ quyền → 'Đã giao cho người được uỷ quyền — {tên · SĐT} — uỷ quyền bởi {người gửi/người nhận}'" "Gửi quầy lễ tân → 'Đã gửi tại quầy lễ tân — {tên người trực quầy}'" "Gửi quầy/chốt bảo vệ → 'Đã gửi tại quầy bảo vệ — {tên người trực}'" "Cầm hàng về, hẹn giao lại → 'Cầm hàng về — hẹn giao lại {ngày · giờ · nơi hẹn}'" "Trả về người gửi → 'Đã trả lại người gửi'" "Mọi dòng | Kèm thời điểm, cờ 'không liên lạc được người nhận' (nếu có) và dấu hiệu 'có ảnh bằng chứng'.</t>
        </is>
      </c>
      <c r="D44" s="113" t="inlineStr">
        <is>
          <t>DOC-v1.1-01 §8.12.4 "Nội dung dòng nhật ký theo kết cục giao" · trang 46</t>
        </is>
      </c>
      <c r="E44" s="53">
        <f>SUMPRODUCT(--ISNUMBER(SEARCH(", "&amp;$B44&amp;", ",", "&amp;'Hoạt động (Đơn của tôi)'!$B$7:$B$500&amp;", ")))+SUMPRODUCT(--ISNUMBER(SEARCH(", "&amp;$B44&amp;", ",", "&amp;'Ghép nối'!$B$7:$B$500&amp;", ")))+SUMPRODUCT(--ISNUMBER(SEARCH(", "&amp;$B44&amp;", ",", "&amp;'Huỷ đơn - Huỷ nhận đơn'!$B$7:$B$500&amp;", ")))+SUMPRODUCT(--ISNUMBER(SEARCH(", "&amp;$B44&amp;", ",", "&amp;'Giao nhận &amp; Theo dõi đơn'!$B$7:$B$500&amp;", ")))+SUMPRODUCT(--ISNUMBER(SEARCH(", "&amp;$B44&amp;", ",", "&amp;'Bảng tin &amp; Chi tiết tin'!$B$7:$B$500&amp;", ")))+SUMPRODUCT(--ISNUMBER(SEARCH(", "&amp;$B44&amp;", ",", "&amp;'Quà cảm ơn'!$B$7:$B$500&amp;", ")))+SUMPRODUCT(--ISNUMBER(SEARCH(", "&amp;$B44&amp;", ",", "&amp;'Trang chủ'!$B$7:$B$500&amp;", ")))+SUMPRODUCT(--ISNUMBER(SEARCH(", "&amp;$B44&amp;", ",", "&amp;'Thông báo'!$B$7:$B$500&amp;", ")))+SUMPRODUCT(--ISNUMBER(SEARCH(", "&amp;$B44&amp;", ",", "&amp;'Đăng tin &amp; Quản lý tin'!$B$7:$B$500&amp;", ")))+SUMPRODUCT(--ISNUMBER(SEARCH(", "&amp;$B44&amp;", ",", "&amp;'Trust &amp; Safety'!$B$7:$B$500&amp;", ")))+SUMPRODUCT(--ISNUMBER(SEARCH(", "&amp;$B44&amp;", ",", "&amp;'Tài khoản &amp; Hồ sơ'!$B$7:$B$500&amp;", ")))</f>
        <v/>
      </c>
      <c r="F44" s="53">
        <f>SUMPRODUCT(--ISNUMBER(SEARCH(", "&amp;$B44&amp;", ",", "&amp;'Hoạt động (Đơn của tôi)'!$B$7:$B$500&amp;", ")),--('Hoạt động (Đơn của tôi)'!$AT$7:$AT$500&lt;&gt;""))+SUMPRODUCT(--ISNUMBER(SEARCH(", "&amp;$B44&amp;", ",", "&amp;'Ghép nối'!$B$7:$B$500&amp;", ")),--('Ghép nối'!$AT$7:$AT$500&lt;&gt;""))+SUMPRODUCT(--ISNUMBER(SEARCH(", "&amp;$B44&amp;", ",", "&amp;'Huỷ đơn - Huỷ nhận đơn'!$B$7:$B$500&amp;", ")),--('Huỷ đơn - Huỷ nhận đơn'!$AT$7:$AT$500&lt;&gt;""))+SUMPRODUCT(--ISNUMBER(SEARCH(", "&amp;$B44&amp;", ",", "&amp;'Giao nhận &amp; Theo dõi đơn'!$B$7:$B$500&amp;", ")),--('Giao nhận &amp; Theo dõi đơn'!$AT$7:$AT$500&lt;&gt;""))+SUMPRODUCT(--ISNUMBER(SEARCH(", "&amp;$B44&amp;", ",", "&amp;'Bảng tin &amp; Chi tiết tin'!$B$7:$B$500&amp;", ")),--('Bảng tin &amp; Chi tiết tin'!$AT$7:$AT$500&lt;&gt;""))+SUMPRODUCT(--ISNUMBER(SEARCH(", "&amp;$B44&amp;", ",", "&amp;'Quà cảm ơn'!$B$7:$B$500&amp;", ")),--('Quà cảm ơn'!$AT$7:$AT$500&lt;&gt;""))+SUMPRODUCT(--ISNUMBER(SEARCH(", "&amp;$B44&amp;", ",", "&amp;'Trang chủ'!$B$7:$B$500&amp;", ")),--('Trang chủ'!$AT$7:$AT$500&lt;&gt;""))+SUMPRODUCT(--ISNUMBER(SEARCH(", "&amp;$B44&amp;", ",", "&amp;'Thông báo'!$B$7:$B$500&amp;", ")),--('Thông báo'!$AT$7:$AT$500&lt;&gt;""))+SUMPRODUCT(--ISNUMBER(SEARCH(", "&amp;$B44&amp;", ",", "&amp;'Đăng tin &amp; Quản lý tin'!$B$7:$B$500&amp;", ")),--('Đăng tin &amp; Quản lý tin'!$AT$7:$AT$500&lt;&gt;""))+SUMPRODUCT(--ISNUMBER(SEARCH(", "&amp;$B44&amp;", ",", "&amp;'Trust &amp; Safety'!$B$7:$B$500&amp;", ")),--('Trust &amp; Safety'!$AT$7:$AT$500&lt;&gt;""))+SUMPRODUCT(--ISNUMBER(SEARCH(", "&amp;$B44&amp;", ",", "&amp;'Tài khoản &amp; Hồ sơ'!$B$7:$B$500&amp;", ")),--('Tài khoản &amp; Hồ sơ'!$AT$7:$AT$500&lt;&gt;""))</f>
        <v/>
      </c>
      <c r="G44" s="53">
        <f>SUMPRODUCT(--ISNUMBER(SEARCH(", "&amp;$B44&amp;", ",", "&amp;'Hoạt động (Đơn của tôi)'!$B$7:$B$500&amp;", ")),--('Hoạt động (Đơn của tôi)'!$AT$7:$AT$500="Pass"))+SUMPRODUCT(--ISNUMBER(SEARCH(", "&amp;$B44&amp;", ",", "&amp;'Ghép nối'!$B$7:$B$500&amp;", ")),--('Ghép nối'!$AT$7:$AT$500="Pass"))+SUMPRODUCT(--ISNUMBER(SEARCH(", "&amp;$B44&amp;", ",", "&amp;'Huỷ đơn - Huỷ nhận đơn'!$B$7:$B$500&amp;", ")),--('Huỷ đơn - Huỷ nhận đơn'!$AT$7:$AT$500="Pass"))+SUMPRODUCT(--ISNUMBER(SEARCH(", "&amp;$B44&amp;", ",", "&amp;'Giao nhận &amp; Theo dõi đơn'!$B$7:$B$500&amp;", ")),--('Giao nhận &amp; Theo dõi đơn'!$AT$7:$AT$500="Pass"))+SUMPRODUCT(--ISNUMBER(SEARCH(", "&amp;$B44&amp;", ",", "&amp;'Bảng tin &amp; Chi tiết tin'!$B$7:$B$500&amp;", ")),--('Bảng tin &amp; Chi tiết tin'!$AT$7:$AT$500="Pass"))+SUMPRODUCT(--ISNUMBER(SEARCH(", "&amp;$B44&amp;", ",", "&amp;'Quà cảm ơn'!$B$7:$B$500&amp;", ")),--('Quà cảm ơn'!$AT$7:$AT$500="Pass"))+SUMPRODUCT(--ISNUMBER(SEARCH(", "&amp;$B44&amp;", ",", "&amp;'Trang chủ'!$B$7:$B$500&amp;", ")),--('Trang chủ'!$AT$7:$AT$500="Pass"))+SUMPRODUCT(--ISNUMBER(SEARCH(", "&amp;$B44&amp;", ",", "&amp;'Thông báo'!$B$7:$B$500&amp;", ")),--('Thông báo'!$AT$7:$AT$500="Pass"))+SUMPRODUCT(--ISNUMBER(SEARCH(", "&amp;$B44&amp;", ",", "&amp;'Đăng tin &amp; Quản lý tin'!$B$7:$B$500&amp;", ")),--('Đăng tin &amp; Quản lý tin'!$AT$7:$AT$500="Pass"))+SUMPRODUCT(--ISNUMBER(SEARCH(", "&amp;$B44&amp;", ",", "&amp;'Trust &amp; Safety'!$B$7:$B$500&amp;", ")),--('Trust &amp; Safety'!$AT$7:$AT$500="Pass"))+SUMPRODUCT(--ISNUMBER(SEARCH(", "&amp;$B44&amp;", ",", "&amp;'Tài khoản &amp; Hồ sơ'!$B$7:$B$500&amp;", ")),--('Tài khoản &amp; Hồ sơ'!$AT$7:$AT$500="Pass"))</f>
        <v/>
      </c>
      <c r="H44" s="53">
        <f>SUMPRODUCT(--ISNUMBER(SEARCH(", "&amp;$B44&amp;", ",", "&amp;'Hoạt động (Đơn của tôi)'!$B$7:$B$500&amp;", ")),--('Hoạt động (Đơn của tôi)'!$AT$7:$AT$500="Fail"))+SUMPRODUCT(--ISNUMBER(SEARCH(", "&amp;$B44&amp;", ",", "&amp;'Ghép nối'!$B$7:$B$500&amp;", ")),--('Ghép nối'!$AT$7:$AT$500="Fail"))+SUMPRODUCT(--ISNUMBER(SEARCH(", "&amp;$B44&amp;", ",", "&amp;'Huỷ đơn - Huỷ nhận đơn'!$B$7:$B$500&amp;", ")),--('Huỷ đơn - Huỷ nhận đơn'!$AT$7:$AT$500="Fail"))+SUMPRODUCT(--ISNUMBER(SEARCH(", "&amp;$B44&amp;", ",", "&amp;'Giao nhận &amp; Theo dõi đơn'!$B$7:$B$500&amp;", ")),--('Giao nhận &amp; Theo dõi đơn'!$AT$7:$AT$500="Fail"))+SUMPRODUCT(--ISNUMBER(SEARCH(", "&amp;$B44&amp;", ",", "&amp;'Bảng tin &amp; Chi tiết tin'!$B$7:$B$500&amp;", ")),--('Bảng tin &amp; Chi tiết tin'!$AT$7:$AT$500="Fail"))+SUMPRODUCT(--ISNUMBER(SEARCH(", "&amp;$B44&amp;", ",", "&amp;'Quà cảm ơn'!$B$7:$B$500&amp;", ")),--('Quà cảm ơn'!$AT$7:$AT$500="Fail"))+SUMPRODUCT(--ISNUMBER(SEARCH(", "&amp;$B44&amp;", ",", "&amp;'Trang chủ'!$B$7:$B$500&amp;", ")),--('Trang chủ'!$AT$7:$AT$500="Fail"))+SUMPRODUCT(--ISNUMBER(SEARCH(", "&amp;$B44&amp;", ",", "&amp;'Thông báo'!$B$7:$B$500&amp;", ")),--('Thông báo'!$AT$7:$AT$500="Fail"))+SUMPRODUCT(--ISNUMBER(SEARCH(", "&amp;$B44&amp;", ",", "&amp;'Đăng tin &amp; Quản lý tin'!$B$7:$B$500&amp;", ")),--('Đăng tin &amp; Quản lý tin'!$AT$7:$AT$500="Fail"))+SUMPRODUCT(--ISNUMBER(SEARCH(", "&amp;$B44&amp;", ",", "&amp;'Trust &amp; Safety'!$B$7:$B$500&amp;", ")),--('Trust &amp; Safety'!$AT$7:$AT$500="Fail"))+SUMPRODUCT(--ISNUMBER(SEARCH(", "&amp;$B44&amp;", ",", "&amp;'Tài khoản &amp; Hồ sơ'!$B$7:$B$500&amp;", ")),--('Tài khoản &amp; Hồ sơ'!$AT$7:$AT$500="Fail"))</f>
        <v/>
      </c>
      <c r="I44" s="53">
        <f>SUMPRODUCT(--ISNUMBER(SEARCH(", "&amp;$B44&amp;", ",", "&amp;'Hoạt động (Đơn của tôi)'!$B$7:$B$500&amp;", ")),--('Hoạt động (Đơn của tôi)'!$AT$7:$AT$500="Block"))+SUMPRODUCT(--ISNUMBER(SEARCH(", "&amp;$B44&amp;", ",", "&amp;'Ghép nối'!$B$7:$B$500&amp;", ")),--('Ghép nối'!$AT$7:$AT$500="Block"))+SUMPRODUCT(--ISNUMBER(SEARCH(", "&amp;$B44&amp;", ",", "&amp;'Huỷ đơn - Huỷ nhận đơn'!$B$7:$B$500&amp;", ")),--('Huỷ đơn - Huỷ nhận đơn'!$AT$7:$AT$500="Block"))+SUMPRODUCT(--ISNUMBER(SEARCH(", "&amp;$B44&amp;", ",", "&amp;'Giao nhận &amp; Theo dõi đơn'!$B$7:$B$500&amp;", ")),--('Giao nhận &amp; Theo dõi đơn'!$AT$7:$AT$500="Block"))+SUMPRODUCT(--ISNUMBER(SEARCH(", "&amp;$B44&amp;", ",", "&amp;'Bảng tin &amp; Chi tiết tin'!$B$7:$B$500&amp;", ")),--('Bảng tin &amp; Chi tiết tin'!$AT$7:$AT$500="Block"))+SUMPRODUCT(--ISNUMBER(SEARCH(", "&amp;$B44&amp;", ",", "&amp;'Quà cảm ơn'!$B$7:$B$500&amp;", ")),--('Quà cảm ơn'!$AT$7:$AT$500="Block"))+SUMPRODUCT(--ISNUMBER(SEARCH(", "&amp;$B44&amp;", ",", "&amp;'Trang chủ'!$B$7:$B$500&amp;", ")),--('Trang chủ'!$AT$7:$AT$500="Block"))+SUMPRODUCT(--ISNUMBER(SEARCH(", "&amp;$B44&amp;", ",", "&amp;'Thông báo'!$B$7:$B$500&amp;", ")),--('Thông báo'!$AT$7:$AT$500="Block"))+SUMPRODUCT(--ISNUMBER(SEARCH(", "&amp;$B44&amp;", ",", "&amp;'Đăng tin &amp; Quản lý tin'!$B$7:$B$500&amp;", ")),--('Đăng tin &amp; Quản lý tin'!$AT$7:$AT$500="Block"))+SUMPRODUCT(--ISNUMBER(SEARCH(", "&amp;$B44&amp;", ",", "&amp;'Trust &amp; Safety'!$B$7:$B$500&amp;", ")),--('Trust &amp; Safety'!$AT$7:$AT$500="Block"))+SUMPRODUCT(--ISNUMBER(SEARCH(", "&amp;$B44&amp;", ",", "&amp;'Tài khoản &amp; Hồ sơ'!$B$7:$B$500&amp;", ")),--('Tài khoản &amp; Hồ sơ'!$AT$7:$AT$500="Block"))</f>
        <v/>
      </c>
      <c r="J44" s="53">
        <f>SUMPRODUCT(--ISNUMBER(SEARCH(", "&amp;$B44&amp;", ",", "&amp;'Hoạt động (Đơn của tôi)'!$B$7:$B$500&amp;", ")),--('Hoạt động (Đơn của tôi)'!$AT$7:$AT$500="N/A"))+SUMPRODUCT(--ISNUMBER(SEARCH(", "&amp;$B44&amp;", ",", "&amp;'Ghép nối'!$B$7:$B$500&amp;", ")),--('Ghép nối'!$AT$7:$AT$500="N/A"))+SUMPRODUCT(--ISNUMBER(SEARCH(", "&amp;$B44&amp;", ",", "&amp;'Huỷ đơn - Huỷ nhận đơn'!$B$7:$B$500&amp;", ")),--('Huỷ đơn - Huỷ nhận đơn'!$AT$7:$AT$500="N/A"))+SUMPRODUCT(--ISNUMBER(SEARCH(", "&amp;$B44&amp;", ",", "&amp;'Giao nhận &amp; Theo dõi đơn'!$B$7:$B$500&amp;", ")),--('Giao nhận &amp; Theo dõi đơn'!$AT$7:$AT$500="N/A"))+SUMPRODUCT(--ISNUMBER(SEARCH(", "&amp;$B44&amp;", ",", "&amp;'Bảng tin &amp; Chi tiết tin'!$B$7:$B$500&amp;", ")),--('Bảng tin &amp; Chi tiết tin'!$AT$7:$AT$500="N/A"))+SUMPRODUCT(--ISNUMBER(SEARCH(", "&amp;$B44&amp;", ",", "&amp;'Quà cảm ơn'!$B$7:$B$500&amp;", ")),--('Quà cảm ơn'!$AT$7:$AT$500="N/A"))+SUMPRODUCT(--ISNUMBER(SEARCH(", "&amp;$B44&amp;", ",", "&amp;'Trang chủ'!$B$7:$B$500&amp;", ")),--('Trang chủ'!$AT$7:$AT$500="N/A"))+SUMPRODUCT(--ISNUMBER(SEARCH(", "&amp;$B44&amp;", ",", "&amp;'Thông báo'!$B$7:$B$500&amp;", ")),--('Thông báo'!$AT$7:$AT$500="N/A"))+SUMPRODUCT(--ISNUMBER(SEARCH(", "&amp;$B44&amp;", ",", "&amp;'Đăng tin &amp; Quản lý tin'!$B$7:$B$500&amp;", ")),--('Đăng tin &amp; Quản lý tin'!$AT$7:$AT$500="N/A"))+SUMPRODUCT(--ISNUMBER(SEARCH(", "&amp;$B44&amp;", ",", "&amp;'Trust &amp; Safety'!$B$7:$B$500&amp;", ")),--('Trust &amp; Safety'!$AT$7:$AT$500="N/A"))+SUMPRODUCT(--ISNUMBER(SEARCH(", "&amp;$B44&amp;", ",", "&amp;'Tài khoản &amp; Hồ sơ'!$B$7:$B$500&amp;", ")),--('Tài khoản &amp; Hồ sơ'!$AT$7:$AT$500="N/A"))</f>
        <v/>
      </c>
      <c r="K44" s="54">
        <f>IFERROR(F44/E44,0)</f>
        <v/>
      </c>
      <c r="L44" s="113">
        <f>IF(E44=0,"Chưa có TC (gap)",IF(H44&gt;0,"Có lỗi (Fail)",IF(I44&gt;0,"Bị block",IF(F44&lt;E44,"Đang test",IF(G44=0,"Không áp dụng (N/A)","Đã test xong")))))</f>
        <v/>
      </c>
      <c r="AB44" t="inlineStr">
        <is>
          <t>REQ-DLV</t>
        </is>
      </c>
    </row>
    <row r="45" ht="15.75" customHeight="1" s="216">
      <c r="A45" s="1" t="n"/>
      <c r="B45" s="112" t="inlineStr">
        <is>
          <t>REQ-DLV-021</t>
        </is>
      </c>
      <c r="C45" s="261" t="inlineStr">
        <is>
          <t>BR12-01: "Chỉ được đi theo chuyển tiếp hợp lệ ở bảng 8.12.2 — mọi request sai trạng thái bị từ chối và không ghi mốc." BR12-02: "Không nhảy bậc: không DELIVERED khi chưa IN_TRANSIT, không COMPLETED khi chưa DELIVERED." BR12-03: "Mỗi lần đổi trạng thái ghi: trạng thái cũ → mới, actor, thời điểm, ảnh kèm — không sửa, không xoá được." BR12-07: "Admin có quyền can thiệp hỗ trợ dựa trên nhật ký; mọi can thiệp cũng được ghi nhật ký.</t>
        </is>
      </c>
      <c r="D45" s="113" t="inlineStr">
        <is>
          <t>DOC-v1.1-01 §8.12.1 "FR12" BR12-01, BR12-02, BR12-03, BR12-07 · trang 44-45</t>
        </is>
      </c>
      <c r="E45" s="53">
        <f>SUMPRODUCT(--ISNUMBER(SEARCH(", "&amp;$B45&amp;", ",", "&amp;'Hoạt động (Đơn của tôi)'!$B$7:$B$500&amp;", ")))+SUMPRODUCT(--ISNUMBER(SEARCH(", "&amp;$B45&amp;", ",", "&amp;'Ghép nối'!$B$7:$B$500&amp;", ")))+SUMPRODUCT(--ISNUMBER(SEARCH(", "&amp;$B45&amp;", ",", "&amp;'Huỷ đơn - Huỷ nhận đơn'!$B$7:$B$500&amp;", ")))+SUMPRODUCT(--ISNUMBER(SEARCH(", "&amp;$B45&amp;", ",", "&amp;'Giao nhận &amp; Theo dõi đơn'!$B$7:$B$500&amp;", ")))+SUMPRODUCT(--ISNUMBER(SEARCH(", "&amp;$B45&amp;", ",", "&amp;'Bảng tin &amp; Chi tiết tin'!$B$7:$B$500&amp;", ")))+SUMPRODUCT(--ISNUMBER(SEARCH(", "&amp;$B45&amp;", ",", "&amp;'Quà cảm ơn'!$B$7:$B$500&amp;", ")))+SUMPRODUCT(--ISNUMBER(SEARCH(", "&amp;$B45&amp;", ",", "&amp;'Trang chủ'!$B$7:$B$500&amp;", ")))+SUMPRODUCT(--ISNUMBER(SEARCH(", "&amp;$B45&amp;", ",", "&amp;'Thông báo'!$B$7:$B$500&amp;", ")))+SUMPRODUCT(--ISNUMBER(SEARCH(", "&amp;$B45&amp;", ",", "&amp;'Đăng tin &amp; Quản lý tin'!$B$7:$B$500&amp;", ")))+SUMPRODUCT(--ISNUMBER(SEARCH(", "&amp;$B45&amp;", ",", "&amp;'Trust &amp; Safety'!$B$7:$B$500&amp;", ")))+SUMPRODUCT(--ISNUMBER(SEARCH(", "&amp;$B45&amp;", ",", "&amp;'Tài khoản &amp; Hồ sơ'!$B$7:$B$500&amp;", ")))</f>
        <v/>
      </c>
      <c r="F45" s="53">
        <f>SUMPRODUCT(--ISNUMBER(SEARCH(", "&amp;$B45&amp;", ",", "&amp;'Hoạt động (Đơn của tôi)'!$B$7:$B$500&amp;", ")),--('Hoạt động (Đơn của tôi)'!$AT$7:$AT$500&lt;&gt;""))+SUMPRODUCT(--ISNUMBER(SEARCH(", "&amp;$B45&amp;", ",", "&amp;'Ghép nối'!$B$7:$B$500&amp;", ")),--('Ghép nối'!$AT$7:$AT$500&lt;&gt;""))+SUMPRODUCT(--ISNUMBER(SEARCH(", "&amp;$B45&amp;", ",", "&amp;'Huỷ đơn - Huỷ nhận đơn'!$B$7:$B$500&amp;", ")),--('Huỷ đơn - Huỷ nhận đơn'!$AT$7:$AT$500&lt;&gt;""))+SUMPRODUCT(--ISNUMBER(SEARCH(", "&amp;$B45&amp;", ",", "&amp;'Giao nhận &amp; Theo dõi đơn'!$B$7:$B$500&amp;", ")),--('Giao nhận &amp; Theo dõi đơn'!$AT$7:$AT$500&lt;&gt;""))+SUMPRODUCT(--ISNUMBER(SEARCH(", "&amp;$B45&amp;", ",", "&amp;'Bảng tin &amp; Chi tiết tin'!$B$7:$B$500&amp;", ")),--('Bảng tin &amp; Chi tiết tin'!$AT$7:$AT$500&lt;&gt;""))+SUMPRODUCT(--ISNUMBER(SEARCH(", "&amp;$B45&amp;", ",", "&amp;'Quà cảm ơn'!$B$7:$B$500&amp;", ")),--('Quà cảm ơn'!$AT$7:$AT$500&lt;&gt;""))+SUMPRODUCT(--ISNUMBER(SEARCH(", "&amp;$B45&amp;", ",", "&amp;'Trang chủ'!$B$7:$B$500&amp;", ")),--('Trang chủ'!$AT$7:$AT$500&lt;&gt;""))+SUMPRODUCT(--ISNUMBER(SEARCH(", "&amp;$B45&amp;", ",", "&amp;'Thông báo'!$B$7:$B$500&amp;", ")),--('Thông báo'!$AT$7:$AT$500&lt;&gt;""))+SUMPRODUCT(--ISNUMBER(SEARCH(", "&amp;$B45&amp;", ",", "&amp;'Đăng tin &amp; Quản lý tin'!$B$7:$B$500&amp;", ")),--('Đăng tin &amp; Quản lý tin'!$AT$7:$AT$500&lt;&gt;""))+SUMPRODUCT(--ISNUMBER(SEARCH(", "&amp;$B45&amp;", ",", "&amp;'Trust &amp; Safety'!$B$7:$B$500&amp;", ")),--('Trust &amp; Safety'!$AT$7:$AT$500&lt;&gt;""))+SUMPRODUCT(--ISNUMBER(SEARCH(", "&amp;$B45&amp;", ",", "&amp;'Tài khoản &amp; Hồ sơ'!$B$7:$B$500&amp;", ")),--('Tài khoản &amp; Hồ sơ'!$AT$7:$AT$500&lt;&gt;""))</f>
        <v/>
      </c>
      <c r="G45" s="53">
        <f>SUMPRODUCT(--ISNUMBER(SEARCH(", "&amp;$B45&amp;", ",", "&amp;'Hoạt động (Đơn của tôi)'!$B$7:$B$500&amp;", ")),--('Hoạt động (Đơn của tôi)'!$AT$7:$AT$500="Pass"))+SUMPRODUCT(--ISNUMBER(SEARCH(", "&amp;$B45&amp;", ",", "&amp;'Ghép nối'!$B$7:$B$500&amp;", ")),--('Ghép nối'!$AT$7:$AT$500="Pass"))+SUMPRODUCT(--ISNUMBER(SEARCH(", "&amp;$B45&amp;", ",", "&amp;'Huỷ đơn - Huỷ nhận đơn'!$B$7:$B$500&amp;", ")),--('Huỷ đơn - Huỷ nhận đơn'!$AT$7:$AT$500="Pass"))+SUMPRODUCT(--ISNUMBER(SEARCH(", "&amp;$B45&amp;", ",", "&amp;'Giao nhận &amp; Theo dõi đơn'!$B$7:$B$500&amp;", ")),--('Giao nhận &amp; Theo dõi đơn'!$AT$7:$AT$500="Pass"))+SUMPRODUCT(--ISNUMBER(SEARCH(", "&amp;$B45&amp;", ",", "&amp;'Bảng tin &amp; Chi tiết tin'!$B$7:$B$500&amp;", ")),--('Bảng tin &amp; Chi tiết tin'!$AT$7:$AT$500="Pass"))+SUMPRODUCT(--ISNUMBER(SEARCH(", "&amp;$B45&amp;", ",", "&amp;'Quà cảm ơn'!$B$7:$B$500&amp;", ")),--('Quà cảm ơn'!$AT$7:$AT$500="Pass"))+SUMPRODUCT(--ISNUMBER(SEARCH(", "&amp;$B45&amp;", ",", "&amp;'Trang chủ'!$B$7:$B$500&amp;", ")),--('Trang chủ'!$AT$7:$AT$500="Pass"))+SUMPRODUCT(--ISNUMBER(SEARCH(", "&amp;$B45&amp;", ",", "&amp;'Thông báo'!$B$7:$B$500&amp;", ")),--('Thông báo'!$AT$7:$AT$500="Pass"))+SUMPRODUCT(--ISNUMBER(SEARCH(", "&amp;$B45&amp;", ",", "&amp;'Đăng tin &amp; Quản lý tin'!$B$7:$B$500&amp;", ")),--('Đăng tin &amp; Quản lý tin'!$AT$7:$AT$500="Pass"))+SUMPRODUCT(--ISNUMBER(SEARCH(", "&amp;$B45&amp;", ",", "&amp;'Trust &amp; Safety'!$B$7:$B$500&amp;", ")),--('Trust &amp; Safety'!$AT$7:$AT$500="Pass"))+SUMPRODUCT(--ISNUMBER(SEARCH(", "&amp;$B45&amp;", ",", "&amp;'Tài khoản &amp; Hồ sơ'!$B$7:$B$500&amp;", ")),--('Tài khoản &amp; Hồ sơ'!$AT$7:$AT$500="Pass"))</f>
        <v/>
      </c>
      <c r="H45" s="53">
        <f>SUMPRODUCT(--ISNUMBER(SEARCH(", "&amp;$B45&amp;", ",", "&amp;'Hoạt động (Đơn của tôi)'!$B$7:$B$500&amp;", ")),--('Hoạt động (Đơn của tôi)'!$AT$7:$AT$500="Fail"))+SUMPRODUCT(--ISNUMBER(SEARCH(", "&amp;$B45&amp;", ",", "&amp;'Ghép nối'!$B$7:$B$500&amp;", ")),--('Ghép nối'!$AT$7:$AT$500="Fail"))+SUMPRODUCT(--ISNUMBER(SEARCH(", "&amp;$B45&amp;", ",", "&amp;'Huỷ đơn - Huỷ nhận đơn'!$B$7:$B$500&amp;", ")),--('Huỷ đơn - Huỷ nhận đơn'!$AT$7:$AT$500="Fail"))+SUMPRODUCT(--ISNUMBER(SEARCH(", "&amp;$B45&amp;", ",", "&amp;'Giao nhận &amp; Theo dõi đơn'!$B$7:$B$500&amp;", ")),--('Giao nhận &amp; Theo dõi đơn'!$AT$7:$AT$500="Fail"))+SUMPRODUCT(--ISNUMBER(SEARCH(", "&amp;$B45&amp;", ",", "&amp;'Bảng tin &amp; Chi tiết tin'!$B$7:$B$500&amp;", ")),--('Bảng tin &amp; Chi tiết tin'!$AT$7:$AT$500="Fail"))+SUMPRODUCT(--ISNUMBER(SEARCH(", "&amp;$B45&amp;", ",", "&amp;'Quà cảm ơn'!$B$7:$B$500&amp;", ")),--('Quà cảm ơn'!$AT$7:$AT$500="Fail"))+SUMPRODUCT(--ISNUMBER(SEARCH(", "&amp;$B45&amp;", ",", "&amp;'Trang chủ'!$B$7:$B$500&amp;", ")),--('Trang chủ'!$AT$7:$AT$500="Fail"))+SUMPRODUCT(--ISNUMBER(SEARCH(", "&amp;$B45&amp;", ",", "&amp;'Thông báo'!$B$7:$B$500&amp;", ")),--('Thông báo'!$AT$7:$AT$500="Fail"))+SUMPRODUCT(--ISNUMBER(SEARCH(", "&amp;$B45&amp;", ",", "&amp;'Đăng tin &amp; Quản lý tin'!$B$7:$B$500&amp;", ")),--('Đăng tin &amp; Quản lý tin'!$AT$7:$AT$500="Fail"))+SUMPRODUCT(--ISNUMBER(SEARCH(", "&amp;$B45&amp;", ",", "&amp;'Trust &amp; Safety'!$B$7:$B$500&amp;", ")),--('Trust &amp; Safety'!$AT$7:$AT$500="Fail"))+SUMPRODUCT(--ISNUMBER(SEARCH(", "&amp;$B45&amp;", ",", "&amp;'Tài khoản &amp; Hồ sơ'!$B$7:$B$500&amp;", ")),--('Tài khoản &amp; Hồ sơ'!$AT$7:$AT$500="Fail"))</f>
        <v/>
      </c>
      <c r="I45" s="53">
        <f>SUMPRODUCT(--ISNUMBER(SEARCH(", "&amp;$B45&amp;", ",", "&amp;'Hoạt động (Đơn của tôi)'!$B$7:$B$500&amp;", ")),--('Hoạt động (Đơn của tôi)'!$AT$7:$AT$500="Block"))+SUMPRODUCT(--ISNUMBER(SEARCH(", "&amp;$B45&amp;", ",", "&amp;'Ghép nối'!$B$7:$B$500&amp;", ")),--('Ghép nối'!$AT$7:$AT$500="Block"))+SUMPRODUCT(--ISNUMBER(SEARCH(", "&amp;$B45&amp;", ",", "&amp;'Huỷ đơn - Huỷ nhận đơn'!$B$7:$B$500&amp;", ")),--('Huỷ đơn - Huỷ nhận đơn'!$AT$7:$AT$500="Block"))+SUMPRODUCT(--ISNUMBER(SEARCH(", "&amp;$B45&amp;", ",", "&amp;'Giao nhận &amp; Theo dõi đơn'!$B$7:$B$500&amp;", ")),--('Giao nhận &amp; Theo dõi đơn'!$AT$7:$AT$500="Block"))+SUMPRODUCT(--ISNUMBER(SEARCH(", "&amp;$B45&amp;", ",", "&amp;'Bảng tin &amp; Chi tiết tin'!$B$7:$B$500&amp;", ")),--('Bảng tin &amp; Chi tiết tin'!$AT$7:$AT$500="Block"))+SUMPRODUCT(--ISNUMBER(SEARCH(", "&amp;$B45&amp;", ",", "&amp;'Quà cảm ơn'!$B$7:$B$500&amp;", ")),--('Quà cảm ơn'!$AT$7:$AT$500="Block"))+SUMPRODUCT(--ISNUMBER(SEARCH(", "&amp;$B45&amp;", ",", "&amp;'Trang chủ'!$B$7:$B$500&amp;", ")),--('Trang chủ'!$AT$7:$AT$500="Block"))+SUMPRODUCT(--ISNUMBER(SEARCH(", "&amp;$B45&amp;", ",", "&amp;'Thông báo'!$B$7:$B$500&amp;", ")),--('Thông báo'!$AT$7:$AT$500="Block"))+SUMPRODUCT(--ISNUMBER(SEARCH(", "&amp;$B45&amp;", ",", "&amp;'Đăng tin &amp; Quản lý tin'!$B$7:$B$500&amp;", ")),--('Đăng tin &amp; Quản lý tin'!$AT$7:$AT$500="Block"))+SUMPRODUCT(--ISNUMBER(SEARCH(", "&amp;$B45&amp;", ",", "&amp;'Trust &amp; Safety'!$B$7:$B$500&amp;", ")),--('Trust &amp; Safety'!$AT$7:$AT$500="Block"))+SUMPRODUCT(--ISNUMBER(SEARCH(", "&amp;$B45&amp;", ",", "&amp;'Tài khoản &amp; Hồ sơ'!$B$7:$B$500&amp;", ")),--('Tài khoản &amp; Hồ sơ'!$AT$7:$AT$500="Block"))</f>
        <v/>
      </c>
      <c r="J45" s="53">
        <f>SUMPRODUCT(--ISNUMBER(SEARCH(", "&amp;$B45&amp;", ",", "&amp;'Hoạt động (Đơn của tôi)'!$B$7:$B$500&amp;", ")),--('Hoạt động (Đơn của tôi)'!$AT$7:$AT$500="N/A"))+SUMPRODUCT(--ISNUMBER(SEARCH(", "&amp;$B45&amp;", ",", "&amp;'Ghép nối'!$B$7:$B$500&amp;", ")),--('Ghép nối'!$AT$7:$AT$500="N/A"))+SUMPRODUCT(--ISNUMBER(SEARCH(", "&amp;$B45&amp;", ",", "&amp;'Huỷ đơn - Huỷ nhận đơn'!$B$7:$B$500&amp;", ")),--('Huỷ đơn - Huỷ nhận đơn'!$AT$7:$AT$500="N/A"))+SUMPRODUCT(--ISNUMBER(SEARCH(", "&amp;$B45&amp;", ",", "&amp;'Giao nhận &amp; Theo dõi đơn'!$B$7:$B$500&amp;", ")),--('Giao nhận &amp; Theo dõi đơn'!$AT$7:$AT$500="N/A"))+SUMPRODUCT(--ISNUMBER(SEARCH(", "&amp;$B45&amp;", ",", "&amp;'Bảng tin &amp; Chi tiết tin'!$B$7:$B$500&amp;", ")),--('Bảng tin &amp; Chi tiết tin'!$AT$7:$AT$500="N/A"))+SUMPRODUCT(--ISNUMBER(SEARCH(", "&amp;$B45&amp;", ",", "&amp;'Quà cảm ơn'!$B$7:$B$500&amp;", ")),--('Quà cảm ơn'!$AT$7:$AT$500="N/A"))+SUMPRODUCT(--ISNUMBER(SEARCH(", "&amp;$B45&amp;", ",", "&amp;'Trang chủ'!$B$7:$B$500&amp;", ")),--('Trang chủ'!$AT$7:$AT$500="N/A"))+SUMPRODUCT(--ISNUMBER(SEARCH(", "&amp;$B45&amp;", ",", "&amp;'Thông báo'!$B$7:$B$500&amp;", ")),--('Thông báo'!$AT$7:$AT$500="N/A"))+SUMPRODUCT(--ISNUMBER(SEARCH(", "&amp;$B45&amp;", ",", "&amp;'Đăng tin &amp; Quản lý tin'!$B$7:$B$500&amp;", ")),--('Đăng tin &amp; Quản lý tin'!$AT$7:$AT$500="N/A"))+SUMPRODUCT(--ISNUMBER(SEARCH(", "&amp;$B45&amp;", ",", "&amp;'Trust &amp; Safety'!$B$7:$B$500&amp;", ")),--('Trust &amp; Safety'!$AT$7:$AT$500="N/A"))+SUMPRODUCT(--ISNUMBER(SEARCH(", "&amp;$B45&amp;", ",", "&amp;'Tài khoản &amp; Hồ sơ'!$B$7:$B$500&amp;", ")),--('Tài khoản &amp; Hồ sơ'!$AT$7:$AT$500="N/A"))</f>
        <v/>
      </c>
      <c r="K45" s="54">
        <f>IFERROR(F45/E45,0)</f>
        <v/>
      </c>
      <c r="L45" s="113">
        <f>IF(E45=0,"Chưa có TC (gap)",IF(H45&gt;0,"Có lỗi (Fail)",IF(I45&gt;0,"Bị block",IF(F45&lt;E45,"Đang test",IF(G45=0,"Không áp dụng (N/A)","Đã test xong")))))</f>
        <v/>
      </c>
      <c r="AB45" t="inlineStr">
        <is>
          <t>REQ-DLV</t>
        </is>
      </c>
    </row>
    <row r="46" ht="15.75" customHeight="1" s="216">
      <c r="A46" s="1" t="n"/>
      <c r="B46" s="112" t="inlineStr">
        <is>
          <t>REQ-DLV-022</t>
        </is>
      </c>
      <c r="C46" s="261" t="inlineStr">
        <is>
          <t>NFR-03 | Performance | "Tải 5 ảnh bằng chứng (mỗi ảnh ≤ 5MB) hoàn tất &lt; 15 giây (p95) trên 4G; có chỉ báo tiến trình và cho phép thử lại từng ảnh." | Cách đo: "Test trên thiết bị thật + APM." NFR-07 | Data Integrity | "Bản ghi nhật ký đơn là chỉ-thêm (append-only): không API nào cho phép sửa hoặc xoá bản ghi và ảnh bằng chứng đã ghi." | Cách đo: "Code review + security test." NFR-12 | Privacy | "Dữ liệu người nhận thay (tên · số điện thoại) chỉ dùng làm bằng chứng bàn giao; không xuất hiện ở bất kỳ báo cáo/thống kê nào ngoài nhật ký đơn." | Cách đo: "Code review + kiểm tra báo cáo.</t>
        </is>
      </c>
      <c r="D46" s="113" t="inlineStr">
        <is>
          <t>DOC-v1.1-01 §9 "Non-Functional Requirements" · NFR-03, NFR-07, NFR-12 · trang 53-54</t>
        </is>
      </c>
      <c r="E46" s="53">
        <f>SUMPRODUCT(--ISNUMBER(SEARCH(", "&amp;$B46&amp;", ",", "&amp;'Hoạt động (Đơn của tôi)'!$B$7:$B$500&amp;", ")))+SUMPRODUCT(--ISNUMBER(SEARCH(", "&amp;$B46&amp;", ",", "&amp;'Ghép nối'!$B$7:$B$500&amp;", ")))+SUMPRODUCT(--ISNUMBER(SEARCH(", "&amp;$B46&amp;", ",", "&amp;'Huỷ đơn - Huỷ nhận đơn'!$B$7:$B$500&amp;", ")))+SUMPRODUCT(--ISNUMBER(SEARCH(", "&amp;$B46&amp;", ",", "&amp;'Giao nhận &amp; Theo dõi đơn'!$B$7:$B$500&amp;", ")))+SUMPRODUCT(--ISNUMBER(SEARCH(", "&amp;$B46&amp;", ",", "&amp;'Bảng tin &amp; Chi tiết tin'!$B$7:$B$500&amp;", ")))+SUMPRODUCT(--ISNUMBER(SEARCH(", "&amp;$B46&amp;", ",", "&amp;'Quà cảm ơn'!$B$7:$B$500&amp;", ")))+SUMPRODUCT(--ISNUMBER(SEARCH(", "&amp;$B46&amp;", ",", "&amp;'Trang chủ'!$B$7:$B$500&amp;", ")))+SUMPRODUCT(--ISNUMBER(SEARCH(", "&amp;$B46&amp;", ",", "&amp;'Thông báo'!$B$7:$B$500&amp;", ")))+SUMPRODUCT(--ISNUMBER(SEARCH(", "&amp;$B46&amp;", ",", "&amp;'Đăng tin &amp; Quản lý tin'!$B$7:$B$500&amp;", ")))+SUMPRODUCT(--ISNUMBER(SEARCH(", "&amp;$B46&amp;", ",", "&amp;'Trust &amp; Safety'!$B$7:$B$500&amp;", ")))+SUMPRODUCT(--ISNUMBER(SEARCH(", "&amp;$B46&amp;", ",", "&amp;'Tài khoản &amp; Hồ sơ'!$B$7:$B$500&amp;", ")))</f>
        <v/>
      </c>
      <c r="F46" s="53">
        <f>SUMPRODUCT(--ISNUMBER(SEARCH(", "&amp;$B46&amp;", ",", "&amp;'Hoạt động (Đơn của tôi)'!$B$7:$B$500&amp;", ")),--('Hoạt động (Đơn của tôi)'!$AT$7:$AT$500&lt;&gt;""))+SUMPRODUCT(--ISNUMBER(SEARCH(", "&amp;$B46&amp;", ",", "&amp;'Ghép nối'!$B$7:$B$500&amp;", ")),--('Ghép nối'!$AT$7:$AT$500&lt;&gt;""))+SUMPRODUCT(--ISNUMBER(SEARCH(", "&amp;$B46&amp;", ",", "&amp;'Huỷ đơn - Huỷ nhận đơn'!$B$7:$B$500&amp;", ")),--('Huỷ đơn - Huỷ nhận đơn'!$AT$7:$AT$500&lt;&gt;""))+SUMPRODUCT(--ISNUMBER(SEARCH(", "&amp;$B46&amp;", ",", "&amp;'Giao nhận &amp; Theo dõi đơn'!$B$7:$B$500&amp;", ")),--('Giao nhận &amp; Theo dõi đơn'!$AT$7:$AT$500&lt;&gt;""))+SUMPRODUCT(--ISNUMBER(SEARCH(", "&amp;$B46&amp;", ",", "&amp;'Bảng tin &amp; Chi tiết tin'!$B$7:$B$500&amp;", ")),--('Bảng tin &amp; Chi tiết tin'!$AT$7:$AT$500&lt;&gt;""))+SUMPRODUCT(--ISNUMBER(SEARCH(", "&amp;$B46&amp;", ",", "&amp;'Quà cảm ơn'!$B$7:$B$500&amp;", ")),--('Quà cảm ơn'!$AT$7:$AT$500&lt;&gt;""))+SUMPRODUCT(--ISNUMBER(SEARCH(", "&amp;$B46&amp;", ",", "&amp;'Trang chủ'!$B$7:$B$500&amp;", ")),--('Trang chủ'!$AT$7:$AT$500&lt;&gt;""))+SUMPRODUCT(--ISNUMBER(SEARCH(", "&amp;$B46&amp;", ",", "&amp;'Thông báo'!$B$7:$B$500&amp;", ")),--('Thông báo'!$AT$7:$AT$500&lt;&gt;""))+SUMPRODUCT(--ISNUMBER(SEARCH(", "&amp;$B46&amp;", ",", "&amp;'Đăng tin &amp; Quản lý tin'!$B$7:$B$500&amp;", ")),--('Đăng tin &amp; Quản lý tin'!$AT$7:$AT$500&lt;&gt;""))+SUMPRODUCT(--ISNUMBER(SEARCH(", "&amp;$B46&amp;", ",", "&amp;'Trust &amp; Safety'!$B$7:$B$500&amp;", ")),--('Trust &amp; Safety'!$AT$7:$AT$500&lt;&gt;""))+SUMPRODUCT(--ISNUMBER(SEARCH(", "&amp;$B46&amp;", ",", "&amp;'Tài khoản &amp; Hồ sơ'!$B$7:$B$500&amp;", ")),--('Tài khoản &amp; Hồ sơ'!$AT$7:$AT$500&lt;&gt;""))</f>
        <v/>
      </c>
      <c r="G46" s="53">
        <f>SUMPRODUCT(--ISNUMBER(SEARCH(", "&amp;$B46&amp;", ",", "&amp;'Hoạt động (Đơn của tôi)'!$B$7:$B$500&amp;", ")),--('Hoạt động (Đơn của tôi)'!$AT$7:$AT$500="Pass"))+SUMPRODUCT(--ISNUMBER(SEARCH(", "&amp;$B46&amp;", ",", "&amp;'Ghép nối'!$B$7:$B$500&amp;", ")),--('Ghép nối'!$AT$7:$AT$500="Pass"))+SUMPRODUCT(--ISNUMBER(SEARCH(", "&amp;$B46&amp;", ",", "&amp;'Huỷ đơn - Huỷ nhận đơn'!$B$7:$B$500&amp;", ")),--('Huỷ đơn - Huỷ nhận đơn'!$AT$7:$AT$500="Pass"))+SUMPRODUCT(--ISNUMBER(SEARCH(", "&amp;$B46&amp;", ",", "&amp;'Giao nhận &amp; Theo dõi đơn'!$B$7:$B$500&amp;", ")),--('Giao nhận &amp; Theo dõi đơn'!$AT$7:$AT$500="Pass"))+SUMPRODUCT(--ISNUMBER(SEARCH(", "&amp;$B46&amp;", ",", "&amp;'Bảng tin &amp; Chi tiết tin'!$B$7:$B$500&amp;", ")),--('Bảng tin &amp; Chi tiết tin'!$AT$7:$AT$500="Pass"))+SUMPRODUCT(--ISNUMBER(SEARCH(", "&amp;$B46&amp;", ",", "&amp;'Quà cảm ơn'!$B$7:$B$500&amp;", ")),--('Quà cảm ơn'!$AT$7:$AT$500="Pass"))+SUMPRODUCT(--ISNUMBER(SEARCH(", "&amp;$B46&amp;", ",", "&amp;'Trang chủ'!$B$7:$B$500&amp;", ")),--('Trang chủ'!$AT$7:$AT$500="Pass"))+SUMPRODUCT(--ISNUMBER(SEARCH(", "&amp;$B46&amp;", ",", "&amp;'Thông báo'!$B$7:$B$500&amp;", ")),--('Thông báo'!$AT$7:$AT$500="Pass"))+SUMPRODUCT(--ISNUMBER(SEARCH(", "&amp;$B46&amp;", ",", "&amp;'Đăng tin &amp; Quản lý tin'!$B$7:$B$500&amp;", ")),--('Đăng tin &amp; Quản lý tin'!$AT$7:$AT$500="Pass"))+SUMPRODUCT(--ISNUMBER(SEARCH(", "&amp;$B46&amp;", ",", "&amp;'Trust &amp; Safety'!$B$7:$B$500&amp;", ")),--('Trust &amp; Safety'!$AT$7:$AT$500="Pass"))+SUMPRODUCT(--ISNUMBER(SEARCH(", "&amp;$B46&amp;", ",", "&amp;'Tài khoản &amp; Hồ sơ'!$B$7:$B$500&amp;", ")),--('Tài khoản &amp; Hồ sơ'!$AT$7:$AT$500="Pass"))</f>
        <v/>
      </c>
      <c r="H46" s="53">
        <f>SUMPRODUCT(--ISNUMBER(SEARCH(", "&amp;$B46&amp;", ",", "&amp;'Hoạt động (Đơn của tôi)'!$B$7:$B$500&amp;", ")),--('Hoạt động (Đơn của tôi)'!$AT$7:$AT$500="Fail"))+SUMPRODUCT(--ISNUMBER(SEARCH(", "&amp;$B46&amp;", ",", "&amp;'Ghép nối'!$B$7:$B$500&amp;", ")),--('Ghép nối'!$AT$7:$AT$500="Fail"))+SUMPRODUCT(--ISNUMBER(SEARCH(", "&amp;$B46&amp;", ",", "&amp;'Huỷ đơn - Huỷ nhận đơn'!$B$7:$B$500&amp;", ")),--('Huỷ đơn - Huỷ nhận đơn'!$AT$7:$AT$500="Fail"))+SUMPRODUCT(--ISNUMBER(SEARCH(", "&amp;$B46&amp;", ",", "&amp;'Giao nhận &amp; Theo dõi đơn'!$B$7:$B$500&amp;", ")),--('Giao nhận &amp; Theo dõi đơn'!$AT$7:$AT$500="Fail"))+SUMPRODUCT(--ISNUMBER(SEARCH(", "&amp;$B46&amp;", ",", "&amp;'Bảng tin &amp; Chi tiết tin'!$B$7:$B$500&amp;", ")),--('Bảng tin &amp; Chi tiết tin'!$AT$7:$AT$500="Fail"))+SUMPRODUCT(--ISNUMBER(SEARCH(", "&amp;$B46&amp;", ",", "&amp;'Quà cảm ơn'!$B$7:$B$500&amp;", ")),--('Quà cảm ơn'!$AT$7:$AT$500="Fail"))+SUMPRODUCT(--ISNUMBER(SEARCH(", "&amp;$B46&amp;", ",", "&amp;'Trang chủ'!$B$7:$B$500&amp;", ")),--('Trang chủ'!$AT$7:$AT$500="Fail"))+SUMPRODUCT(--ISNUMBER(SEARCH(", "&amp;$B46&amp;", ",", "&amp;'Thông báo'!$B$7:$B$500&amp;", ")),--('Thông báo'!$AT$7:$AT$500="Fail"))+SUMPRODUCT(--ISNUMBER(SEARCH(", "&amp;$B46&amp;", ",", "&amp;'Đăng tin &amp; Quản lý tin'!$B$7:$B$500&amp;", ")),--('Đăng tin &amp; Quản lý tin'!$AT$7:$AT$500="Fail"))+SUMPRODUCT(--ISNUMBER(SEARCH(", "&amp;$B46&amp;", ",", "&amp;'Trust &amp; Safety'!$B$7:$B$500&amp;", ")),--('Trust &amp; Safety'!$AT$7:$AT$500="Fail"))+SUMPRODUCT(--ISNUMBER(SEARCH(", "&amp;$B46&amp;", ",", "&amp;'Tài khoản &amp; Hồ sơ'!$B$7:$B$500&amp;", ")),--('Tài khoản &amp; Hồ sơ'!$AT$7:$AT$500="Fail"))</f>
        <v/>
      </c>
      <c r="I46" s="53">
        <f>SUMPRODUCT(--ISNUMBER(SEARCH(", "&amp;$B46&amp;", ",", "&amp;'Hoạt động (Đơn của tôi)'!$B$7:$B$500&amp;", ")),--('Hoạt động (Đơn của tôi)'!$AT$7:$AT$500="Block"))+SUMPRODUCT(--ISNUMBER(SEARCH(", "&amp;$B46&amp;", ",", "&amp;'Ghép nối'!$B$7:$B$500&amp;", ")),--('Ghép nối'!$AT$7:$AT$500="Block"))+SUMPRODUCT(--ISNUMBER(SEARCH(", "&amp;$B46&amp;", ",", "&amp;'Huỷ đơn - Huỷ nhận đơn'!$B$7:$B$500&amp;", ")),--('Huỷ đơn - Huỷ nhận đơn'!$AT$7:$AT$500="Block"))+SUMPRODUCT(--ISNUMBER(SEARCH(", "&amp;$B46&amp;", ",", "&amp;'Giao nhận &amp; Theo dõi đơn'!$B$7:$B$500&amp;", ")),--('Giao nhận &amp; Theo dõi đơn'!$AT$7:$AT$500="Block"))+SUMPRODUCT(--ISNUMBER(SEARCH(", "&amp;$B46&amp;", ",", "&amp;'Bảng tin &amp; Chi tiết tin'!$B$7:$B$500&amp;", ")),--('Bảng tin &amp; Chi tiết tin'!$AT$7:$AT$500="Block"))+SUMPRODUCT(--ISNUMBER(SEARCH(", "&amp;$B46&amp;", ",", "&amp;'Quà cảm ơn'!$B$7:$B$500&amp;", ")),--('Quà cảm ơn'!$AT$7:$AT$500="Block"))+SUMPRODUCT(--ISNUMBER(SEARCH(", "&amp;$B46&amp;", ",", "&amp;'Trang chủ'!$B$7:$B$500&amp;", ")),--('Trang chủ'!$AT$7:$AT$500="Block"))+SUMPRODUCT(--ISNUMBER(SEARCH(", "&amp;$B46&amp;", ",", "&amp;'Thông báo'!$B$7:$B$500&amp;", ")),--('Thông báo'!$AT$7:$AT$500="Block"))+SUMPRODUCT(--ISNUMBER(SEARCH(", "&amp;$B46&amp;", ",", "&amp;'Đăng tin &amp; Quản lý tin'!$B$7:$B$500&amp;", ")),--('Đăng tin &amp; Quản lý tin'!$AT$7:$AT$500="Block"))+SUMPRODUCT(--ISNUMBER(SEARCH(", "&amp;$B46&amp;", ",", "&amp;'Trust &amp; Safety'!$B$7:$B$500&amp;", ")),--('Trust &amp; Safety'!$AT$7:$AT$500="Block"))+SUMPRODUCT(--ISNUMBER(SEARCH(", "&amp;$B46&amp;", ",", "&amp;'Tài khoản &amp; Hồ sơ'!$B$7:$B$500&amp;", ")),--('Tài khoản &amp; Hồ sơ'!$AT$7:$AT$500="Block"))</f>
        <v/>
      </c>
      <c r="J46" s="53">
        <f>SUMPRODUCT(--ISNUMBER(SEARCH(", "&amp;$B46&amp;", ",", "&amp;'Hoạt động (Đơn của tôi)'!$B$7:$B$500&amp;", ")),--('Hoạt động (Đơn của tôi)'!$AT$7:$AT$500="N/A"))+SUMPRODUCT(--ISNUMBER(SEARCH(", "&amp;$B46&amp;", ",", "&amp;'Ghép nối'!$B$7:$B$500&amp;", ")),--('Ghép nối'!$AT$7:$AT$500="N/A"))+SUMPRODUCT(--ISNUMBER(SEARCH(", "&amp;$B46&amp;", ",", "&amp;'Huỷ đơn - Huỷ nhận đơn'!$B$7:$B$500&amp;", ")),--('Huỷ đơn - Huỷ nhận đơn'!$AT$7:$AT$500="N/A"))+SUMPRODUCT(--ISNUMBER(SEARCH(", "&amp;$B46&amp;", ",", "&amp;'Giao nhận &amp; Theo dõi đơn'!$B$7:$B$500&amp;", ")),--('Giao nhận &amp; Theo dõi đơn'!$AT$7:$AT$500="N/A"))+SUMPRODUCT(--ISNUMBER(SEARCH(", "&amp;$B46&amp;", ",", "&amp;'Bảng tin &amp; Chi tiết tin'!$B$7:$B$500&amp;", ")),--('Bảng tin &amp; Chi tiết tin'!$AT$7:$AT$500="N/A"))+SUMPRODUCT(--ISNUMBER(SEARCH(", "&amp;$B46&amp;", ",", "&amp;'Quà cảm ơn'!$B$7:$B$500&amp;", ")),--('Quà cảm ơn'!$AT$7:$AT$500="N/A"))+SUMPRODUCT(--ISNUMBER(SEARCH(", "&amp;$B46&amp;", ",", "&amp;'Trang chủ'!$B$7:$B$500&amp;", ")),--('Trang chủ'!$AT$7:$AT$500="N/A"))+SUMPRODUCT(--ISNUMBER(SEARCH(", "&amp;$B46&amp;", ",", "&amp;'Thông báo'!$B$7:$B$500&amp;", ")),--('Thông báo'!$AT$7:$AT$500="N/A"))+SUMPRODUCT(--ISNUMBER(SEARCH(", "&amp;$B46&amp;", ",", "&amp;'Đăng tin &amp; Quản lý tin'!$B$7:$B$500&amp;", ")),--('Đăng tin &amp; Quản lý tin'!$AT$7:$AT$500="N/A"))+SUMPRODUCT(--ISNUMBER(SEARCH(", "&amp;$B46&amp;", ",", "&amp;'Trust &amp; Safety'!$B$7:$B$500&amp;", ")),--('Trust &amp; Safety'!$AT$7:$AT$500="N/A"))+SUMPRODUCT(--ISNUMBER(SEARCH(", "&amp;$B46&amp;", ",", "&amp;'Tài khoản &amp; Hồ sơ'!$B$7:$B$500&amp;", ")),--('Tài khoản &amp; Hồ sơ'!$AT$7:$AT$500="N/A"))</f>
        <v/>
      </c>
      <c r="K46" s="54">
        <f>IFERROR(F46/E46,0)</f>
        <v/>
      </c>
      <c r="L46" s="113">
        <f>IF(E46=0,"Chưa có TC (gap)",IF(H46&gt;0,"Có lỗi (Fail)",IF(I46&gt;0,"Bị block",IF(F46&lt;E46,"Đang test",IF(G46=0,"Không áp dụng (N/A)","Đã test xong")))))</f>
        <v/>
      </c>
      <c r="AB46" t="inlineStr">
        <is>
          <t>REQ-DLV</t>
        </is>
      </c>
    </row>
    <row r="47" ht="15.75" customHeight="1" s="216">
      <c r="A47" s="1" t="n"/>
      <c r="B47" s="112" t="inlineStr">
        <is>
          <t>REQ-DLV-023</t>
        </is>
      </c>
      <c r="C47" s="261" t="inlineStr">
        <is>
          <t>↪ *Quote `BR18-04` (icon copy) — home ở `../ORD-dang-tin/requirement_traceability.md` (không chép lại — tránh lặp home, health-check G-03 2026-09-17)*</t>
        </is>
      </c>
      <c r="D47" s="113" t="inlineStr">
        <is>
          <t>DOC-v1.1-01 §8.18.1 "FR18" BR18-04 · trang 52</t>
        </is>
      </c>
      <c r="E47" s="53">
        <f>SUMPRODUCT(--ISNUMBER(SEARCH(", "&amp;$B47&amp;", ",", "&amp;'Hoạt động (Đơn của tôi)'!$B$7:$B$500&amp;", ")))+SUMPRODUCT(--ISNUMBER(SEARCH(", "&amp;$B47&amp;", ",", "&amp;'Ghép nối'!$B$7:$B$500&amp;", ")))+SUMPRODUCT(--ISNUMBER(SEARCH(", "&amp;$B47&amp;", ",", "&amp;'Huỷ đơn - Huỷ nhận đơn'!$B$7:$B$500&amp;", ")))+SUMPRODUCT(--ISNUMBER(SEARCH(", "&amp;$B47&amp;", ",", "&amp;'Giao nhận &amp; Theo dõi đơn'!$B$7:$B$500&amp;", ")))+SUMPRODUCT(--ISNUMBER(SEARCH(", "&amp;$B47&amp;", ",", "&amp;'Bảng tin &amp; Chi tiết tin'!$B$7:$B$500&amp;", ")))+SUMPRODUCT(--ISNUMBER(SEARCH(", "&amp;$B47&amp;", ",", "&amp;'Quà cảm ơn'!$B$7:$B$500&amp;", ")))+SUMPRODUCT(--ISNUMBER(SEARCH(", "&amp;$B47&amp;", ",", "&amp;'Trang chủ'!$B$7:$B$500&amp;", ")))+SUMPRODUCT(--ISNUMBER(SEARCH(", "&amp;$B47&amp;", ",", "&amp;'Thông báo'!$B$7:$B$500&amp;", ")))+SUMPRODUCT(--ISNUMBER(SEARCH(", "&amp;$B47&amp;", ",", "&amp;'Đăng tin &amp; Quản lý tin'!$B$7:$B$500&amp;", ")))+SUMPRODUCT(--ISNUMBER(SEARCH(", "&amp;$B47&amp;", ",", "&amp;'Trust &amp; Safety'!$B$7:$B$500&amp;", ")))+SUMPRODUCT(--ISNUMBER(SEARCH(", "&amp;$B47&amp;", ",", "&amp;'Tài khoản &amp; Hồ sơ'!$B$7:$B$500&amp;", ")))</f>
        <v/>
      </c>
      <c r="F47" s="53">
        <f>SUMPRODUCT(--ISNUMBER(SEARCH(", "&amp;$B47&amp;", ",", "&amp;'Hoạt động (Đơn của tôi)'!$B$7:$B$500&amp;", ")),--('Hoạt động (Đơn của tôi)'!$AT$7:$AT$500&lt;&gt;""))+SUMPRODUCT(--ISNUMBER(SEARCH(", "&amp;$B47&amp;", ",", "&amp;'Ghép nối'!$B$7:$B$500&amp;", ")),--('Ghép nối'!$AT$7:$AT$500&lt;&gt;""))+SUMPRODUCT(--ISNUMBER(SEARCH(", "&amp;$B47&amp;", ",", "&amp;'Huỷ đơn - Huỷ nhận đơn'!$B$7:$B$500&amp;", ")),--('Huỷ đơn - Huỷ nhận đơn'!$AT$7:$AT$500&lt;&gt;""))+SUMPRODUCT(--ISNUMBER(SEARCH(", "&amp;$B47&amp;", ",", "&amp;'Giao nhận &amp; Theo dõi đơn'!$B$7:$B$500&amp;", ")),--('Giao nhận &amp; Theo dõi đơn'!$AT$7:$AT$500&lt;&gt;""))+SUMPRODUCT(--ISNUMBER(SEARCH(", "&amp;$B47&amp;", ",", "&amp;'Bảng tin &amp; Chi tiết tin'!$B$7:$B$500&amp;", ")),--('Bảng tin &amp; Chi tiết tin'!$AT$7:$AT$500&lt;&gt;""))+SUMPRODUCT(--ISNUMBER(SEARCH(", "&amp;$B47&amp;", ",", "&amp;'Quà cảm ơn'!$B$7:$B$500&amp;", ")),--('Quà cảm ơn'!$AT$7:$AT$500&lt;&gt;""))+SUMPRODUCT(--ISNUMBER(SEARCH(", "&amp;$B47&amp;", ",", "&amp;'Trang chủ'!$B$7:$B$500&amp;", ")),--('Trang chủ'!$AT$7:$AT$500&lt;&gt;""))+SUMPRODUCT(--ISNUMBER(SEARCH(", "&amp;$B47&amp;", ",", "&amp;'Thông báo'!$B$7:$B$500&amp;", ")),--('Thông báo'!$AT$7:$AT$500&lt;&gt;""))+SUMPRODUCT(--ISNUMBER(SEARCH(", "&amp;$B47&amp;", ",", "&amp;'Đăng tin &amp; Quản lý tin'!$B$7:$B$500&amp;", ")),--('Đăng tin &amp; Quản lý tin'!$AT$7:$AT$500&lt;&gt;""))+SUMPRODUCT(--ISNUMBER(SEARCH(", "&amp;$B47&amp;", ",", "&amp;'Trust &amp; Safety'!$B$7:$B$500&amp;", ")),--('Trust &amp; Safety'!$AT$7:$AT$500&lt;&gt;""))+SUMPRODUCT(--ISNUMBER(SEARCH(", "&amp;$B47&amp;", ",", "&amp;'Tài khoản &amp; Hồ sơ'!$B$7:$B$500&amp;", ")),--('Tài khoản &amp; Hồ sơ'!$AT$7:$AT$500&lt;&gt;""))</f>
        <v/>
      </c>
      <c r="G47" s="53">
        <f>SUMPRODUCT(--ISNUMBER(SEARCH(", "&amp;$B47&amp;", ",", "&amp;'Hoạt động (Đơn của tôi)'!$B$7:$B$500&amp;", ")),--('Hoạt động (Đơn của tôi)'!$AT$7:$AT$500="Pass"))+SUMPRODUCT(--ISNUMBER(SEARCH(", "&amp;$B47&amp;", ",", "&amp;'Ghép nối'!$B$7:$B$500&amp;", ")),--('Ghép nối'!$AT$7:$AT$500="Pass"))+SUMPRODUCT(--ISNUMBER(SEARCH(", "&amp;$B47&amp;", ",", "&amp;'Huỷ đơn - Huỷ nhận đơn'!$B$7:$B$500&amp;", ")),--('Huỷ đơn - Huỷ nhận đơn'!$AT$7:$AT$500="Pass"))+SUMPRODUCT(--ISNUMBER(SEARCH(", "&amp;$B47&amp;", ",", "&amp;'Giao nhận &amp; Theo dõi đơn'!$B$7:$B$500&amp;", ")),--('Giao nhận &amp; Theo dõi đơn'!$AT$7:$AT$500="Pass"))+SUMPRODUCT(--ISNUMBER(SEARCH(", "&amp;$B47&amp;", ",", "&amp;'Bảng tin &amp; Chi tiết tin'!$B$7:$B$500&amp;", ")),--('Bảng tin &amp; Chi tiết tin'!$AT$7:$AT$500="Pass"))+SUMPRODUCT(--ISNUMBER(SEARCH(", "&amp;$B47&amp;", ",", "&amp;'Quà cảm ơn'!$B$7:$B$500&amp;", ")),--('Quà cảm ơn'!$AT$7:$AT$500="Pass"))+SUMPRODUCT(--ISNUMBER(SEARCH(", "&amp;$B47&amp;", ",", "&amp;'Trang chủ'!$B$7:$B$500&amp;", ")),--('Trang chủ'!$AT$7:$AT$500="Pass"))+SUMPRODUCT(--ISNUMBER(SEARCH(", "&amp;$B47&amp;", ",", "&amp;'Thông báo'!$B$7:$B$500&amp;", ")),--('Thông báo'!$AT$7:$AT$500="Pass"))+SUMPRODUCT(--ISNUMBER(SEARCH(", "&amp;$B47&amp;", ",", "&amp;'Đăng tin &amp; Quản lý tin'!$B$7:$B$500&amp;", ")),--('Đăng tin &amp; Quản lý tin'!$AT$7:$AT$500="Pass"))+SUMPRODUCT(--ISNUMBER(SEARCH(", "&amp;$B47&amp;", ",", "&amp;'Trust &amp; Safety'!$B$7:$B$500&amp;", ")),--('Trust &amp; Safety'!$AT$7:$AT$500="Pass"))+SUMPRODUCT(--ISNUMBER(SEARCH(", "&amp;$B47&amp;", ",", "&amp;'Tài khoản &amp; Hồ sơ'!$B$7:$B$500&amp;", ")),--('Tài khoản &amp; Hồ sơ'!$AT$7:$AT$500="Pass"))</f>
        <v/>
      </c>
      <c r="H47" s="53">
        <f>SUMPRODUCT(--ISNUMBER(SEARCH(", "&amp;$B47&amp;", ",", "&amp;'Hoạt động (Đơn của tôi)'!$B$7:$B$500&amp;", ")),--('Hoạt động (Đơn của tôi)'!$AT$7:$AT$500="Fail"))+SUMPRODUCT(--ISNUMBER(SEARCH(", "&amp;$B47&amp;", ",", "&amp;'Ghép nối'!$B$7:$B$500&amp;", ")),--('Ghép nối'!$AT$7:$AT$500="Fail"))+SUMPRODUCT(--ISNUMBER(SEARCH(", "&amp;$B47&amp;", ",", "&amp;'Huỷ đơn - Huỷ nhận đơn'!$B$7:$B$500&amp;", ")),--('Huỷ đơn - Huỷ nhận đơn'!$AT$7:$AT$500="Fail"))+SUMPRODUCT(--ISNUMBER(SEARCH(", "&amp;$B47&amp;", ",", "&amp;'Giao nhận &amp; Theo dõi đơn'!$B$7:$B$500&amp;", ")),--('Giao nhận &amp; Theo dõi đơn'!$AT$7:$AT$500="Fail"))+SUMPRODUCT(--ISNUMBER(SEARCH(", "&amp;$B47&amp;", ",", "&amp;'Bảng tin &amp; Chi tiết tin'!$B$7:$B$500&amp;", ")),--('Bảng tin &amp; Chi tiết tin'!$AT$7:$AT$500="Fail"))+SUMPRODUCT(--ISNUMBER(SEARCH(", "&amp;$B47&amp;", ",", "&amp;'Quà cảm ơn'!$B$7:$B$500&amp;", ")),--('Quà cảm ơn'!$AT$7:$AT$500="Fail"))+SUMPRODUCT(--ISNUMBER(SEARCH(", "&amp;$B47&amp;", ",", "&amp;'Trang chủ'!$B$7:$B$500&amp;", ")),--('Trang chủ'!$AT$7:$AT$500="Fail"))+SUMPRODUCT(--ISNUMBER(SEARCH(", "&amp;$B47&amp;", ",", "&amp;'Thông báo'!$B$7:$B$500&amp;", ")),--('Thông báo'!$AT$7:$AT$500="Fail"))+SUMPRODUCT(--ISNUMBER(SEARCH(", "&amp;$B47&amp;", ",", "&amp;'Đăng tin &amp; Quản lý tin'!$B$7:$B$500&amp;", ")),--('Đăng tin &amp; Quản lý tin'!$AT$7:$AT$500="Fail"))+SUMPRODUCT(--ISNUMBER(SEARCH(", "&amp;$B47&amp;", ",", "&amp;'Trust &amp; Safety'!$B$7:$B$500&amp;", ")),--('Trust &amp; Safety'!$AT$7:$AT$500="Fail"))+SUMPRODUCT(--ISNUMBER(SEARCH(", "&amp;$B47&amp;", ",", "&amp;'Tài khoản &amp; Hồ sơ'!$B$7:$B$500&amp;", ")),--('Tài khoản &amp; Hồ sơ'!$AT$7:$AT$500="Fail"))</f>
        <v/>
      </c>
      <c r="I47" s="53">
        <f>SUMPRODUCT(--ISNUMBER(SEARCH(", "&amp;$B47&amp;", ",", "&amp;'Hoạt động (Đơn của tôi)'!$B$7:$B$500&amp;", ")),--('Hoạt động (Đơn của tôi)'!$AT$7:$AT$500="Block"))+SUMPRODUCT(--ISNUMBER(SEARCH(", "&amp;$B47&amp;", ",", "&amp;'Ghép nối'!$B$7:$B$500&amp;", ")),--('Ghép nối'!$AT$7:$AT$500="Block"))+SUMPRODUCT(--ISNUMBER(SEARCH(", "&amp;$B47&amp;", ",", "&amp;'Huỷ đơn - Huỷ nhận đơn'!$B$7:$B$500&amp;", ")),--('Huỷ đơn - Huỷ nhận đơn'!$AT$7:$AT$500="Block"))+SUMPRODUCT(--ISNUMBER(SEARCH(", "&amp;$B47&amp;", ",", "&amp;'Giao nhận &amp; Theo dõi đơn'!$B$7:$B$500&amp;", ")),--('Giao nhận &amp; Theo dõi đơn'!$AT$7:$AT$500="Block"))+SUMPRODUCT(--ISNUMBER(SEARCH(", "&amp;$B47&amp;", ",", "&amp;'Bảng tin &amp; Chi tiết tin'!$B$7:$B$500&amp;", ")),--('Bảng tin &amp; Chi tiết tin'!$AT$7:$AT$500="Block"))+SUMPRODUCT(--ISNUMBER(SEARCH(", "&amp;$B47&amp;", ",", "&amp;'Quà cảm ơn'!$B$7:$B$500&amp;", ")),--('Quà cảm ơn'!$AT$7:$AT$500="Block"))+SUMPRODUCT(--ISNUMBER(SEARCH(", "&amp;$B47&amp;", ",", "&amp;'Trang chủ'!$B$7:$B$500&amp;", ")),--('Trang chủ'!$AT$7:$AT$500="Block"))+SUMPRODUCT(--ISNUMBER(SEARCH(", "&amp;$B47&amp;", ",", "&amp;'Thông báo'!$B$7:$B$500&amp;", ")),--('Thông báo'!$AT$7:$AT$500="Block"))+SUMPRODUCT(--ISNUMBER(SEARCH(", "&amp;$B47&amp;", ",", "&amp;'Đăng tin &amp; Quản lý tin'!$B$7:$B$500&amp;", ")),--('Đăng tin &amp; Quản lý tin'!$AT$7:$AT$500="Block"))+SUMPRODUCT(--ISNUMBER(SEARCH(", "&amp;$B47&amp;", ",", "&amp;'Trust &amp; Safety'!$B$7:$B$500&amp;", ")),--('Trust &amp; Safety'!$AT$7:$AT$500="Block"))+SUMPRODUCT(--ISNUMBER(SEARCH(", "&amp;$B47&amp;", ",", "&amp;'Tài khoản &amp; Hồ sơ'!$B$7:$B$500&amp;", ")),--('Tài khoản &amp; Hồ sơ'!$AT$7:$AT$500="Block"))</f>
        <v/>
      </c>
      <c r="J47" s="53">
        <f>SUMPRODUCT(--ISNUMBER(SEARCH(", "&amp;$B47&amp;", ",", "&amp;'Hoạt động (Đơn của tôi)'!$B$7:$B$500&amp;", ")),--('Hoạt động (Đơn của tôi)'!$AT$7:$AT$500="N/A"))+SUMPRODUCT(--ISNUMBER(SEARCH(", "&amp;$B47&amp;", ",", "&amp;'Ghép nối'!$B$7:$B$500&amp;", ")),--('Ghép nối'!$AT$7:$AT$500="N/A"))+SUMPRODUCT(--ISNUMBER(SEARCH(", "&amp;$B47&amp;", ",", "&amp;'Huỷ đơn - Huỷ nhận đơn'!$B$7:$B$500&amp;", ")),--('Huỷ đơn - Huỷ nhận đơn'!$AT$7:$AT$500="N/A"))+SUMPRODUCT(--ISNUMBER(SEARCH(", "&amp;$B47&amp;", ",", "&amp;'Giao nhận &amp; Theo dõi đơn'!$B$7:$B$500&amp;", ")),--('Giao nhận &amp; Theo dõi đơn'!$AT$7:$AT$500="N/A"))+SUMPRODUCT(--ISNUMBER(SEARCH(", "&amp;$B47&amp;", ",", "&amp;'Bảng tin &amp; Chi tiết tin'!$B$7:$B$500&amp;", ")),--('Bảng tin &amp; Chi tiết tin'!$AT$7:$AT$500="N/A"))+SUMPRODUCT(--ISNUMBER(SEARCH(", "&amp;$B47&amp;", ",", "&amp;'Quà cảm ơn'!$B$7:$B$500&amp;", ")),--('Quà cảm ơn'!$AT$7:$AT$500="N/A"))+SUMPRODUCT(--ISNUMBER(SEARCH(", "&amp;$B47&amp;", ",", "&amp;'Trang chủ'!$B$7:$B$500&amp;", ")),--('Trang chủ'!$AT$7:$AT$500="N/A"))+SUMPRODUCT(--ISNUMBER(SEARCH(", "&amp;$B47&amp;", ",", "&amp;'Thông báo'!$B$7:$B$500&amp;", ")),--('Thông báo'!$AT$7:$AT$500="N/A"))+SUMPRODUCT(--ISNUMBER(SEARCH(", "&amp;$B47&amp;", ",", "&amp;'Đăng tin &amp; Quản lý tin'!$B$7:$B$500&amp;", ")),--('Đăng tin &amp; Quản lý tin'!$AT$7:$AT$500="N/A"))+SUMPRODUCT(--ISNUMBER(SEARCH(", "&amp;$B47&amp;", ",", "&amp;'Trust &amp; Safety'!$B$7:$B$500&amp;", ")),--('Trust &amp; Safety'!$AT$7:$AT$500="N/A"))+SUMPRODUCT(--ISNUMBER(SEARCH(", "&amp;$B47&amp;", ",", "&amp;'Tài khoản &amp; Hồ sơ'!$B$7:$B$500&amp;", ")),--('Tài khoản &amp; Hồ sơ'!$AT$7:$AT$500="N/A"))</f>
        <v/>
      </c>
      <c r="K47" s="54">
        <f>IFERROR(F47/E47,0)</f>
        <v/>
      </c>
      <c r="L47" s="113">
        <f>IF(E47=0,"Chưa có TC (gap)",IF(H47&gt;0,"Có lỗi (Fail)",IF(I47&gt;0,"Bị block",IF(F47&lt;E47,"Đang test",IF(G47=0,"Không áp dụng (N/A)","Đã test xong")))))</f>
        <v/>
      </c>
      <c r="AB47" t="inlineStr">
        <is>
          <t>REQ-DLV</t>
        </is>
      </c>
    </row>
    <row r="48" ht="15.75" customHeight="1" s="216">
      <c r="A48" s="1" t="n"/>
      <c r="B48" s="112" t="inlineStr">
        <is>
          <t>REQ-DLV-001</t>
        </is>
      </c>
      <c r="C48" s="261" t="inlineStr"/>
      <c r="D48" s="113" t="inlineStr">
        <is>
          <t>DOC-v1.0-01 · DOC-v1.0-02</t>
        </is>
      </c>
      <c r="E48" s="53">
        <f>SUMPRODUCT(--ISNUMBER(SEARCH(", "&amp;$B48&amp;", ",", "&amp;'Hoạt động (Đơn của tôi)'!$B$7:$B$500&amp;", ")))+SUMPRODUCT(--ISNUMBER(SEARCH(", "&amp;$B48&amp;", ",", "&amp;'Ghép nối'!$B$7:$B$500&amp;", ")))+SUMPRODUCT(--ISNUMBER(SEARCH(", "&amp;$B48&amp;", ",", "&amp;'Huỷ đơn - Huỷ nhận đơn'!$B$7:$B$500&amp;", ")))+SUMPRODUCT(--ISNUMBER(SEARCH(", "&amp;$B48&amp;", ",", "&amp;'Giao nhận &amp; Theo dõi đơn'!$B$7:$B$500&amp;", ")))+SUMPRODUCT(--ISNUMBER(SEARCH(", "&amp;$B48&amp;", ",", "&amp;'Bảng tin &amp; Chi tiết tin'!$B$7:$B$500&amp;", ")))+SUMPRODUCT(--ISNUMBER(SEARCH(", "&amp;$B48&amp;", ",", "&amp;'Quà cảm ơn'!$B$7:$B$500&amp;", ")))+SUMPRODUCT(--ISNUMBER(SEARCH(", "&amp;$B48&amp;", ",", "&amp;'Trang chủ'!$B$7:$B$500&amp;", ")))+SUMPRODUCT(--ISNUMBER(SEARCH(", "&amp;$B48&amp;", ",", "&amp;'Thông báo'!$B$7:$B$500&amp;", ")))+SUMPRODUCT(--ISNUMBER(SEARCH(", "&amp;$B48&amp;", ",", "&amp;'Đăng tin &amp; Quản lý tin'!$B$7:$B$500&amp;", ")))+SUMPRODUCT(--ISNUMBER(SEARCH(", "&amp;$B48&amp;", ",", "&amp;'Trust &amp; Safety'!$B$7:$B$500&amp;", ")))+SUMPRODUCT(--ISNUMBER(SEARCH(", "&amp;$B48&amp;", ",", "&amp;'Tài khoản &amp; Hồ sơ'!$B$7:$B$500&amp;", ")))</f>
        <v/>
      </c>
      <c r="F48" s="53">
        <f>SUMPRODUCT(--ISNUMBER(SEARCH(", "&amp;$B48&amp;", ",", "&amp;'Hoạt động (Đơn của tôi)'!$B$7:$B$500&amp;", ")),--('Hoạt động (Đơn của tôi)'!$AT$7:$AT$500&lt;&gt;""))+SUMPRODUCT(--ISNUMBER(SEARCH(", "&amp;$B48&amp;", ",", "&amp;'Ghép nối'!$B$7:$B$500&amp;", ")),--('Ghép nối'!$AT$7:$AT$500&lt;&gt;""))+SUMPRODUCT(--ISNUMBER(SEARCH(", "&amp;$B48&amp;", ",", "&amp;'Huỷ đơn - Huỷ nhận đơn'!$B$7:$B$500&amp;", ")),--('Huỷ đơn - Huỷ nhận đơn'!$AT$7:$AT$500&lt;&gt;""))+SUMPRODUCT(--ISNUMBER(SEARCH(", "&amp;$B48&amp;", ",", "&amp;'Giao nhận &amp; Theo dõi đơn'!$B$7:$B$500&amp;", ")),--('Giao nhận &amp; Theo dõi đơn'!$AT$7:$AT$500&lt;&gt;""))+SUMPRODUCT(--ISNUMBER(SEARCH(", "&amp;$B48&amp;", ",", "&amp;'Bảng tin &amp; Chi tiết tin'!$B$7:$B$500&amp;", ")),--('Bảng tin &amp; Chi tiết tin'!$AT$7:$AT$500&lt;&gt;""))+SUMPRODUCT(--ISNUMBER(SEARCH(", "&amp;$B48&amp;", ",", "&amp;'Quà cảm ơn'!$B$7:$B$500&amp;", ")),--('Quà cảm ơn'!$AT$7:$AT$500&lt;&gt;""))+SUMPRODUCT(--ISNUMBER(SEARCH(", "&amp;$B48&amp;", ",", "&amp;'Trang chủ'!$B$7:$B$500&amp;", ")),--('Trang chủ'!$AT$7:$AT$500&lt;&gt;""))+SUMPRODUCT(--ISNUMBER(SEARCH(", "&amp;$B48&amp;", ",", "&amp;'Thông báo'!$B$7:$B$500&amp;", ")),--('Thông báo'!$AT$7:$AT$500&lt;&gt;""))+SUMPRODUCT(--ISNUMBER(SEARCH(", "&amp;$B48&amp;", ",", "&amp;'Đăng tin &amp; Quản lý tin'!$B$7:$B$500&amp;", ")),--('Đăng tin &amp; Quản lý tin'!$AT$7:$AT$500&lt;&gt;""))+SUMPRODUCT(--ISNUMBER(SEARCH(", "&amp;$B48&amp;", ",", "&amp;'Trust &amp; Safety'!$B$7:$B$500&amp;", ")),--('Trust &amp; Safety'!$AT$7:$AT$500&lt;&gt;""))+SUMPRODUCT(--ISNUMBER(SEARCH(", "&amp;$B48&amp;", ",", "&amp;'Tài khoản &amp; Hồ sơ'!$B$7:$B$500&amp;", ")),--('Tài khoản &amp; Hồ sơ'!$AT$7:$AT$500&lt;&gt;""))</f>
        <v/>
      </c>
      <c r="G48" s="53">
        <f>SUMPRODUCT(--ISNUMBER(SEARCH(", "&amp;$B48&amp;", ",", "&amp;'Hoạt động (Đơn của tôi)'!$B$7:$B$500&amp;", ")),--('Hoạt động (Đơn của tôi)'!$AT$7:$AT$500="Pass"))+SUMPRODUCT(--ISNUMBER(SEARCH(", "&amp;$B48&amp;", ",", "&amp;'Ghép nối'!$B$7:$B$500&amp;", ")),--('Ghép nối'!$AT$7:$AT$500="Pass"))+SUMPRODUCT(--ISNUMBER(SEARCH(", "&amp;$B48&amp;", ",", "&amp;'Huỷ đơn - Huỷ nhận đơn'!$B$7:$B$500&amp;", ")),--('Huỷ đơn - Huỷ nhận đơn'!$AT$7:$AT$500="Pass"))+SUMPRODUCT(--ISNUMBER(SEARCH(", "&amp;$B48&amp;", ",", "&amp;'Giao nhận &amp; Theo dõi đơn'!$B$7:$B$500&amp;", ")),--('Giao nhận &amp; Theo dõi đơn'!$AT$7:$AT$500="Pass"))+SUMPRODUCT(--ISNUMBER(SEARCH(", "&amp;$B48&amp;", ",", "&amp;'Bảng tin &amp; Chi tiết tin'!$B$7:$B$500&amp;", ")),--('Bảng tin &amp; Chi tiết tin'!$AT$7:$AT$500="Pass"))+SUMPRODUCT(--ISNUMBER(SEARCH(", "&amp;$B48&amp;", ",", "&amp;'Quà cảm ơn'!$B$7:$B$500&amp;", ")),--('Quà cảm ơn'!$AT$7:$AT$500="Pass"))+SUMPRODUCT(--ISNUMBER(SEARCH(", "&amp;$B48&amp;", ",", "&amp;'Trang chủ'!$B$7:$B$500&amp;", ")),--('Trang chủ'!$AT$7:$AT$500="Pass"))+SUMPRODUCT(--ISNUMBER(SEARCH(", "&amp;$B48&amp;", ",", "&amp;'Thông báo'!$B$7:$B$500&amp;", ")),--('Thông báo'!$AT$7:$AT$500="Pass"))+SUMPRODUCT(--ISNUMBER(SEARCH(", "&amp;$B48&amp;", ",", "&amp;'Đăng tin &amp; Quản lý tin'!$B$7:$B$500&amp;", ")),--('Đăng tin &amp; Quản lý tin'!$AT$7:$AT$500="Pass"))+SUMPRODUCT(--ISNUMBER(SEARCH(", "&amp;$B48&amp;", ",", "&amp;'Trust &amp; Safety'!$B$7:$B$500&amp;", ")),--('Trust &amp; Safety'!$AT$7:$AT$500="Pass"))+SUMPRODUCT(--ISNUMBER(SEARCH(", "&amp;$B48&amp;", ",", "&amp;'Tài khoản &amp; Hồ sơ'!$B$7:$B$500&amp;", ")),--('Tài khoản &amp; Hồ sơ'!$AT$7:$AT$500="Pass"))</f>
        <v/>
      </c>
      <c r="H48" s="53">
        <f>SUMPRODUCT(--ISNUMBER(SEARCH(", "&amp;$B48&amp;", ",", "&amp;'Hoạt động (Đơn của tôi)'!$B$7:$B$500&amp;", ")),--('Hoạt động (Đơn của tôi)'!$AT$7:$AT$500="Fail"))+SUMPRODUCT(--ISNUMBER(SEARCH(", "&amp;$B48&amp;", ",", "&amp;'Ghép nối'!$B$7:$B$500&amp;", ")),--('Ghép nối'!$AT$7:$AT$500="Fail"))+SUMPRODUCT(--ISNUMBER(SEARCH(", "&amp;$B48&amp;", ",", "&amp;'Huỷ đơn - Huỷ nhận đơn'!$B$7:$B$500&amp;", ")),--('Huỷ đơn - Huỷ nhận đơn'!$AT$7:$AT$500="Fail"))+SUMPRODUCT(--ISNUMBER(SEARCH(", "&amp;$B48&amp;", ",", "&amp;'Giao nhận &amp; Theo dõi đơn'!$B$7:$B$500&amp;", ")),--('Giao nhận &amp; Theo dõi đơn'!$AT$7:$AT$500="Fail"))+SUMPRODUCT(--ISNUMBER(SEARCH(", "&amp;$B48&amp;", ",", "&amp;'Bảng tin &amp; Chi tiết tin'!$B$7:$B$500&amp;", ")),--('Bảng tin &amp; Chi tiết tin'!$AT$7:$AT$500="Fail"))+SUMPRODUCT(--ISNUMBER(SEARCH(", "&amp;$B48&amp;", ",", "&amp;'Quà cảm ơn'!$B$7:$B$500&amp;", ")),--('Quà cảm ơn'!$AT$7:$AT$500="Fail"))+SUMPRODUCT(--ISNUMBER(SEARCH(", "&amp;$B48&amp;", ",", "&amp;'Trang chủ'!$B$7:$B$500&amp;", ")),--('Trang chủ'!$AT$7:$AT$500="Fail"))+SUMPRODUCT(--ISNUMBER(SEARCH(", "&amp;$B48&amp;", ",", "&amp;'Thông báo'!$B$7:$B$500&amp;", ")),--('Thông báo'!$AT$7:$AT$500="Fail"))+SUMPRODUCT(--ISNUMBER(SEARCH(", "&amp;$B48&amp;", ",", "&amp;'Đăng tin &amp; Quản lý tin'!$B$7:$B$500&amp;", ")),--('Đăng tin &amp; Quản lý tin'!$AT$7:$AT$500="Fail"))+SUMPRODUCT(--ISNUMBER(SEARCH(", "&amp;$B48&amp;", ",", "&amp;'Trust &amp; Safety'!$B$7:$B$500&amp;", ")),--('Trust &amp; Safety'!$AT$7:$AT$500="Fail"))+SUMPRODUCT(--ISNUMBER(SEARCH(", "&amp;$B48&amp;", ",", "&amp;'Tài khoản &amp; Hồ sơ'!$B$7:$B$500&amp;", ")),--('Tài khoản &amp; Hồ sơ'!$AT$7:$AT$500="Fail"))</f>
        <v/>
      </c>
      <c r="I48" s="53">
        <f>SUMPRODUCT(--ISNUMBER(SEARCH(", "&amp;$B48&amp;", ",", "&amp;'Hoạt động (Đơn của tôi)'!$B$7:$B$500&amp;", ")),--('Hoạt động (Đơn của tôi)'!$AT$7:$AT$500="Block"))+SUMPRODUCT(--ISNUMBER(SEARCH(", "&amp;$B48&amp;", ",", "&amp;'Ghép nối'!$B$7:$B$500&amp;", ")),--('Ghép nối'!$AT$7:$AT$500="Block"))+SUMPRODUCT(--ISNUMBER(SEARCH(", "&amp;$B48&amp;", ",", "&amp;'Huỷ đơn - Huỷ nhận đơn'!$B$7:$B$500&amp;", ")),--('Huỷ đơn - Huỷ nhận đơn'!$AT$7:$AT$500="Block"))+SUMPRODUCT(--ISNUMBER(SEARCH(", "&amp;$B48&amp;", ",", "&amp;'Giao nhận &amp; Theo dõi đơn'!$B$7:$B$500&amp;", ")),--('Giao nhận &amp; Theo dõi đơn'!$AT$7:$AT$500="Block"))+SUMPRODUCT(--ISNUMBER(SEARCH(", "&amp;$B48&amp;", ",", "&amp;'Bảng tin &amp; Chi tiết tin'!$B$7:$B$500&amp;", ")),--('Bảng tin &amp; Chi tiết tin'!$AT$7:$AT$500="Block"))+SUMPRODUCT(--ISNUMBER(SEARCH(", "&amp;$B48&amp;", ",", "&amp;'Quà cảm ơn'!$B$7:$B$500&amp;", ")),--('Quà cảm ơn'!$AT$7:$AT$500="Block"))+SUMPRODUCT(--ISNUMBER(SEARCH(", "&amp;$B48&amp;", ",", "&amp;'Trang chủ'!$B$7:$B$500&amp;", ")),--('Trang chủ'!$AT$7:$AT$500="Block"))+SUMPRODUCT(--ISNUMBER(SEARCH(", "&amp;$B48&amp;", ",", "&amp;'Thông báo'!$B$7:$B$500&amp;", ")),--('Thông báo'!$AT$7:$AT$500="Block"))+SUMPRODUCT(--ISNUMBER(SEARCH(", "&amp;$B48&amp;", ",", "&amp;'Đăng tin &amp; Quản lý tin'!$B$7:$B$500&amp;", ")),--('Đăng tin &amp; Quản lý tin'!$AT$7:$AT$500="Block"))+SUMPRODUCT(--ISNUMBER(SEARCH(", "&amp;$B48&amp;", ",", "&amp;'Trust &amp; Safety'!$B$7:$B$500&amp;", ")),--('Trust &amp; Safety'!$AT$7:$AT$500="Block"))+SUMPRODUCT(--ISNUMBER(SEARCH(", "&amp;$B48&amp;", ",", "&amp;'Tài khoản &amp; Hồ sơ'!$B$7:$B$500&amp;", ")),--('Tài khoản &amp; Hồ sơ'!$AT$7:$AT$500="Block"))</f>
        <v/>
      </c>
      <c r="J48" s="53">
        <f>SUMPRODUCT(--ISNUMBER(SEARCH(", "&amp;$B48&amp;", ",", "&amp;'Hoạt động (Đơn của tôi)'!$B$7:$B$500&amp;", ")),--('Hoạt động (Đơn của tôi)'!$AT$7:$AT$500="N/A"))+SUMPRODUCT(--ISNUMBER(SEARCH(", "&amp;$B48&amp;", ",", "&amp;'Ghép nối'!$B$7:$B$500&amp;", ")),--('Ghép nối'!$AT$7:$AT$500="N/A"))+SUMPRODUCT(--ISNUMBER(SEARCH(", "&amp;$B48&amp;", ",", "&amp;'Huỷ đơn - Huỷ nhận đơn'!$B$7:$B$500&amp;", ")),--('Huỷ đơn - Huỷ nhận đơn'!$AT$7:$AT$500="N/A"))+SUMPRODUCT(--ISNUMBER(SEARCH(", "&amp;$B48&amp;", ",", "&amp;'Giao nhận &amp; Theo dõi đơn'!$B$7:$B$500&amp;", ")),--('Giao nhận &amp; Theo dõi đơn'!$AT$7:$AT$500="N/A"))+SUMPRODUCT(--ISNUMBER(SEARCH(", "&amp;$B48&amp;", ",", "&amp;'Bảng tin &amp; Chi tiết tin'!$B$7:$B$500&amp;", ")),--('Bảng tin &amp; Chi tiết tin'!$AT$7:$AT$500="N/A"))+SUMPRODUCT(--ISNUMBER(SEARCH(", "&amp;$B48&amp;", ",", "&amp;'Quà cảm ơn'!$B$7:$B$500&amp;", ")),--('Quà cảm ơn'!$AT$7:$AT$500="N/A"))+SUMPRODUCT(--ISNUMBER(SEARCH(", "&amp;$B48&amp;", ",", "&amp;'Trang chủ'!$B$7:$B$500&amp;", ")),--('Trang chủ'!$AT$7:$AT$500="N/A"))+SUMPRODUCT(--ISNUMBER(SEARCH(", "&amp;$B48&amp;", ",", "&amp;'Thông báo'!$B$7:$B$500&amp;", ")),--('Thông báo'!$AT$7:$AT$500="N/A"))+SUMPRODUCT(--ISNUMBER(SEARCH(", "&amp;$B48&amp;", ",", "&amp;'Đăng tin &amp; Quản lý tin'!$B$7:$B$500&amp;", ")),--('Đăng tin &amp; Quản lý tin'!$AT$7:$AT$500="N/A"))+SUMPRODUCT(--ISNUMBER(SEARCH(", "&amp;$B48&amp;", ",", "&amp;'Trust &amp; Safety'!$B$7:$B$500&amp;", ")),--('Trust &amp; Safety'!$AT$7:$AT$500="N/A"))+SUMPRODUCT(--ISNUMBER(SEARCH(", "&amp;$B48&amp;", ",", "&amp;'Tài khoản &amp; Hồ sơ'!$B$7:$B$500&amp;", ")),--('Tài khoản &amp; Hồ sơ'!$AT$7:$AT$500="N/A"))</f>
        <v/>
      </c>
      <c r="K48" s="54">
        <f>IFERROR(F48/E48,0)</f>
        <v/>
      </c>
      <c r="L48" s="113">
        <f>IF(E48=0,"Chưa có TC (gap)",IF(H48&gt;0,"Có lỗi (Fail)",IF(I48&gt;0,"Bị block",IF(F48&lt;E48,"Đang test",IF(G48=0,"Không áp dụng (N/A)","Đã test xong")))))</f>
        <v/>
      </c>
      <c r="AB48" t="inlineStr">
        <is>
          <t>REQ-DLV</t>
        </is>
      </c>
    </row>
    <row r="49" ht="15.75" customHeight="1" s="216">
      <c r="A49" s="1" t="n"/>
      <c r="B49" s="112" t="inlineStr">
        <is>
          <t>REQ-DLV-003</t>
        </is>
      </c>
      <c r="C49" s="261" t="inlineStr"/>
      <c r="D49" s="113" t="inlineStr">
        <is>
          <t>DOC-v1.0-06</t>
        </is>
      </c>
      <c r="E49" s="53">
        <f>SUMPRODUCT(--ISNUMBER(SEARCH(", "&amp;$B49&amp;", ",", "&amp;'Hoạt động (Đơn của tôi)'!$B$7:$B$500&amp;", ")))+SUMPRODUCT(--ISNUMBER(SEARCH(", "&amp;$B49&amp;", ",", "&amp;'Ghép nối'!$B$7:$B$500&amp;", ")))+SUMPRODUCT(--ISNUMBER(SEARCH(", "&amp;$B49&amp;", ",", "&amp;'Huỷ đơn - Huỷ nhận đơn'!$B$7:$B$500&amp;", ")))+SUMPRODUCT(--ISNUMBER(SEARCH(", "&amp;$B49&amp;", ",", "&amp;'Giao nhận &amp; Theo dõi đơn'!$B$7:$B$500&amp;", ")))+SUMPRODUCT(--ISNUMBER(SEARCH(", "&amp;$B49&amp;", ",", "&amp;'Bảng tin &amp; Chi tiết tin'!$B$7:$B$500&amp;", ")))+SUMPRODUCT(--ISNUMBER(SEARCH(", "&amp;$B49&amp;", ",", "&amp;'Quà cảm ơn'!$B$7:$B$500&amp;", ")))+SUMPRODUCT(--ISNUMBER(SEARCH(", "&amp;$B49&amp;", ",", "&amp;'Trang chủ'!$B$7:$B$500&amp;", ")))+SUMPRODUCT(--ISNUMBER(SEARCH(", "&amp;$B49&amp;", ",", "&amp;'Thông báo'!$B$7:$B$500&amp;", ")))+SUMPRODUCT(--ISNUMBER(SEARCH(", "&amp;$B49&amp;", ",", "&amp;'Đăng tin &amp; Quản lý tin'!$B$7:$B$500&amp;", ")))+SUMPRODUCT(--ISNUMBER(SEARCH(", "&amp;$B49&amp;", ",", "&amp;'Trust &amp; Safety'!$B$7:$B$500&amp;", ")))+SUMPRODUCT(--ISNUMBER(SEARCH(", "&amp;$B49&amp;", ",", "&amp;'Tài khoản &amp; Hồ sơ'!$B$7:$B$500&amp;", ")))</f>
        <v/>
      </c>
      <c r="F49" s="53">
        <f>SUMPRODUCT(--ISNUMBER(SEARCH(", "&amp;$B49&amp;", ",", "&amp;'Hoạt động (Đơn của tôi)'!$B$7:$B$500&amp;", ")),--('Hoạt động (Đơn của tôi)'!$AT$7:$AT$500&lt;&gt;""))+SUMPRODUCT(--ISNUMBER(SEARCH(", "&amp;$B49&amp;", ",", "&amp;'Ghép nối'!$B$7:$B$500&amp;", ")),--('Ghép nối'!$AT$7:$AT$500&lt;&gt;""))+SUMPRODUCT(--ISNUMBER(SEARCH(", "&amp;$B49&amp;", ",", "&amp;'Huỷ đơn - Huỷ nhận đơn'!$B$7:$B$500&amp;", ")),--('Huỷ đơn - Huỷ nhận đơn'!$AT$7:$AT$500&lt;&gt;""))+SUMPRODUCT(--ISNUMBER(SEARCH(", "&amp;$B49&amp;", ",", "&amp;'Giao nhận &amp; Theo dõi đơn'!$B$7:$B$500&amp;", ")),--('Giao nhận &amp; Theo dõi đơn'!$AT$7:$AT$500&lt;&gt;""))+SUMPRODUCT(--ISNUMBER(SEARCH(", "&amp;$B49&amp;", ",", "&amp;'Bảng tin &amp; Chi tiết tin'!$B$7:$B$500&amp;", ")),--('Bảng tin &amp; Chi tiết tin'!$AT$7:$AT$500&lt;&gt;""))+SUMPRODUCT(--ISNUMBER(SEARCH(", "&amp;$B49&amp;", ",", "&amp;'Quà cảm ơn'!$B$7:$B$500&amp;", ")),--('Quà cảm ơn'!$AT$7:$AT$500&lt;&gt;""))+SUMPRODUCT(--ISNUMBER(SEARCH(", "&amp;$B49&amp;", ",", "&amp;'Trang chủ'!$B$7:$B$500&amp;", ")),--('Trang chủ'!$AT$7:$AT$500&lt;&gt;""))+SUMPRODUCT(--ISNUMBER(SEARCH(", "&amp;$B49&amp;", ",", "&amp;'Thông báo'!$B$7:$B$500&amp;", ")),--('Thông báo'!$AT$7:$AT$500&lt;&gt;""))+SUMPRODUCT(--ISNUMBER(SEARCH(", "&amp;$B49&amp;", ",", "&amp;'Đăng tin &amp; Quản lý tin'!$B$7:$B$500&amp;", ")),--('Đăng tin &amp; Quản lý tin'!$AT$7:$AT$500&lt;&gt;""))+SUMPRODUCT(--ISNUMBER(SEARCH(", "&amp;$B49&amp;", ",", "&amp;'Trust &amp; Safety'!$B$7:$B$500&amp;", ")),--('Trust &amp; Safety'!$AT$7:$AT$500&lt;&gt;""))+SUMPRODUCT(--ISNUMBER(SEARCH(", "&amp;$B49&amp;", ",", "&amp;'Tài khoản &amp; Hồ sơ'!$B$7:$B$500&amp;", ")),--('Tài khoản &amp; Hồ sơ'!$AT$7:$AT$500&lt;&gt;""))</f>
        <v/>
      </c>
      <c r="G49" s="53">
        <f>SUMPRODUCT(--ISNUMBER(SEARCH(", "&amp;$B49&amp;", ",", "&amp;'Hoạt động (Đơn của tôi)'!$B$7:$B$500&amp;", ")),--('Hoạt động (Đơn của tôi)'!$AT$7:$AT$500="Pass"))+SUMPRODUCT(--ISNUMBER(SEARCH(", "&amp;$B49&amp;", ",", "&amp;'Ghép nối'!$B$7:$B$500&amp;", ")),--('Ghép nối'!$AT$7:$AT$500="Pass"))+SUMPRODUCT(--ISNUMBER(SEARCH(", "&amp;$B49&amp;", ",", "&amp;'Huỷ đơn - Huỷ nhận đơn'!$B$7:$B$500&amp;", ")),--('Huỷ đơn - Huỷ nhận đơn'!$AT$7:$AT$500="Pass"))+SUMPRODUCT(--ISNUMBER(SEARCH(", "&amp;$B49&amp;", ",", "&amp;'Giao nhận &amp; Theo dõi đơn'!$B$7:$B$500&amp;", ")),--('Giao nhận &amp; Theo dõi đơn'!$AT$7:$AT$500="Pass"))+SUMPRODUCT(--ISNUMBER(SEARCH(", "&amp;$B49&amp;", ",", "&amp;'Bảng tin &amp; Chi tiết tin'!$B$7:$B$500&amp;", ")),--('Bảng tin &amp; Chi tiết tin'!$AT$7:$AT$500="Pass"))+SUMPRODUCT(--ISNUMBER(SEARCH(", "&amp;$B49&amp;", ",", "&amp;'Quà cảm ơn'!$B$7:$B$500&amp;", ")),--('Quà cảm ơn'!$AT$7:$AT$500="Pass"))+SUMPRODUCT(--ISNUMBER(SEARCH(", "&amp;$B49&amp;", ",", "&amp;'Trang chủ'!$B$7:$B$500&amp;", ")),--('Trang chủ'!$AT$7:$AT$500="Pass"))+SUMPRODUCT(--ISNUMBER(SEARCH(", "&amp;$B49&amp;", ",", "&amp;'Thông báo'!$B$7:$B$500&amp;", ")),--('Thông báo'!$AT$7:$AT$500="Pass"))+SUMPRODUCT(--ISNUMBER(SEARCH(", "&amp;$B49&amp;", ",", "&amp;'Đăng tin &amp; Quản lý tin'!$B$7:$B$500&amp;", ")),--('Đăng tin &amp; Quản lý tin'!$AT$7:$AT$500="Pass"))+SUMPRODUCT(--ISNUMBER(SEARCH(", "&amp;$B49&amp;", ",", "&amp;'Trust &amp; Safety'!$B$7:$B$500&amp;", ")),--('Trust &amp; Safety'!$AT$7:$AT$500="Pass"))+SUMPRODUCT(--ISNUMBER(SEARCH(", "&amp;$B49&amp;", ",", "&amp;'Tài khoản &amp; Hồ sơ'!$B$7:$B$500&amp;", ")),--('Tài khoản &amp; Hồ sơ'!$AT$7:$AT$500="Pass"))</f>
        <v/>
      </c>
      <c r="H49" s="53">
        <f>SUMPRODUCT(--ISNUMBER(SEARCH(", "&amp;$B49&amp;", ",", "&amp;'Hoạt động (Đơn của tôi)'!$B$7:$B$500&amp;", ")),--('Hoạt động (Đơn của tôi)'!$AT$7:$AT$500="Fail"))+SUMPRODUCT(--ISNUMBER(SEARCH(", "&amp;$B49&amp;", ",", "&amp;'Ghép nối'!$B$7:$B$500&amp;", ")),--('Ghép nối'!$AT$7:$AT$500="Fail"))+SUMPRODUCT(--ISNUMBER(SEARCH(", "&amp;$B49&amp;", ",", "&amp;'Huỷ đơn - Huỷ nhận đơn'!$B$7:$B$500&amp;", ")),--('Huỷ đơn - Huỷ nhận đơn'!$AT$7:$AT$500="Fail"))+SUMPRODUCT(--ISNUMBER(SEARCH(", "&amp;$B49&amp;", ",", "&amp;'Giao nhận &amp; Theo dõi đơn'!$B$7:$B$500&amp;", ")),--('Giao nhận &amp; Theo dõi đơn'!$AT$7:$AT$500="Fail"))+SUMPRODUCT(--ISNUMBER(SEARCH(", "&amp;$B49&amp;", ",", "&amp;'Bảng tin &amp; Chi tiết tin'!$B$7:$B$500&amp;", ")),--('Bảng tin &amp; Chi tiết tin'!$AT$7:$AT$500="Fail"))+SUMPRODUCT(--ISNUMBER(SEARCH(", "&amp;$B49&amp;", ",", "&amp;'Quà cảm ơn'!$B$7:$B$500&amp;", ")),--('Quà cảm ơn'!$AT$7:$AT$500="Fail"))+SUMPRODUCT(--ISNUMBER(SEARCH(", "&amp;$B49&amp;", ",", "&amp;'Trang chủ'!$B$7:$B$500&amp;", ")),--('Trang chủ'!$AT$7:$AT$500="Fail"))+SUMPRODUCT(--ISNUMBER(SEARCH(", "&amp;$B49&amp;", ",", "&amp;'Thông báo'!$B$7:$B$500&amp;", ")),--('Thông báo'!$AT$7:$AT$500="Fail"))+SUMPRODUCT(--ISNUMBER(SEARCH(", "&amp;$B49&amp;", ",", "&amp;'Đăng tin &amp; Quản lý tin'!$B$7:$B$500&amp;", ")),--('Đăng tin &amp; Quản lý tin'!$AT$7:$AT$500="Fail"))+SUMPRODUCT(--ISNUMBER(SEARCH(", "&amp;$B49&amp;", ",", "&amp;'Trust &amp; Safety'!$B$7:$B$500&amp;", ")),--('Trust &amp; Safety'!$AT$7:$AT$500="Fail"))+SUMPRODUCT(--ISNUMBER(SEARCH(", "&amp;$B49&amp;", ",", "&amp;'Tài khoản &amp; Hồ sơ'!$B$7:$B$500&amp;", ")),--('Tài khoản &amp; Hồ sơ'!$AT$7:$AT$500="Fail"))</f>
        <v/>
      </c>
      <c r="I49" s="53">
        <f>SUMPRODUCT(--ISNUMBER(SEARCH(", "&amp;$B49&amp;", ",", "&amp;'Hoạt động (Đơn của tôi)'!$B$7:$B$500&amp;", ")),--('Hoạt động (Đơn của tôi)'!$AT$7:$AT$500="Block"))+SUMPRODUCT(--ISNUMBER(SEARCH(", "&amp;$B49&amp;", ",", "&amp;'Ghép nối'!$B$7:$B$500&amp;", ")),--('Ghép nối'!$AT$7:$AT$500="Block"))+SUMPRODUCT(--ISNUMBER(SEARCH(", "&amp;$B49&amp;", ",", "&amp;'Huỷ đơn - Huỷ nhận đơn'!$B$7:$B$500&amp;", ")),--('Huỷ đơn - Huỷ nhận đơn'!$AT$7:$AT$500="Block"))+SUMPRODUCT(--ISNUMBER(SEARCH(", "&amp;$B49&amp;", ",", "&amp;'Giao nhận &amp; Theo dõi đơn'!$B$7:$B$500&amp;", ")),--('Giao nhận &amp; Theo dõi đơn'!$AT$7:$AT$500="Block"))+SUMPRODUCT(--ISNUMBER(SEARCH(", "&amp;$B49&amp;", ",", "&amp;'Bảng tin &amp; Chi tiết tin'!$B$7:$B$500&amp;", ")),--('Bảng tin &amp; Chi tiết tin'!$AT$7:$AT$500="Block"))+SUMPRODUCT(--ISNUMBER(SEARCH(", "&amp;$B49&amp;", ",", "&amp;'Quà cảm ơn'!$B$7:$B$500&amp;", ")),--('Quà cảm ơn'!$AT$7:$AT$500="Block"))+SUMPRODUCT(--ISNUMBER(SEARCH(", "&amp;$B49&amp;", ",", "&amp;'Trang chủ'!$B$7:$B$500&amp;", ")),--('Trang chủ'!$AT$7:$AT$500="Block"))+SUMPRODUCT(--ISNUMBER(SEARCH(", "&amp;$B49&amp;", ",", "&amp;'Thông báo'!$B$7:$B$500&amp;", ")),--('Thông báo'!$AT$7:$AT$500="Block"))+SUMPRODUCT(--ISNUMBER(SEARCH(", "&amp;$B49&amp;", ",", "&amp;'Đăng tin &amp; Quản lý tin'!$B$7:$B$500&amp;", ")),--('Đăng tin &amp; Quản lý tin'!$AT$7:$AT$500="Block"))+SUMPRODUCT(--ISNUMBER(SEARCH(", "&amp;$B49&amp;", ",", "&amp;'Trust &amp; Safety'!$B$7:$B$500&amp;", ")),--('Trust &amp; Safety'!$AT$7:$AT$500="Block"))+SUMPRODUCT(--ISNUMBER(SEARCH(", "&amp;$B49&amp;", ",", "&amp;'Tài khoản &amp; Hồ sơ'!$B$7:$B$500&amp;", ")),--('Tài khoản &amp; Hồ sơ'!$AT$7:$AT$500="Block"))</f>
        <v/>
      </c>
      <c r="J49" s="53">
        <f>SUMPRODUCT(--ISNUMBER(SEARCH(", "&amp;$B49&amp;", ",", "&amp;'Hoạt động (Đơn của tôi)'!$B$7:$B$500&amp;", ")),--('Hoạt động (Đơn của tôi)'!$AT$7:$AT$500="N/A"))+SUMPRODUCT(--ISNUMBER(SEARCH(", "&amp;$B49&amp;", ",", "&amp;'Ghép nối'!$B$7:$B$500&amp;", ")),--('Ghép nối'!$AT$7:$AT$500="N/A"))+SUMPRODUCT(--ISNUMBER(SEARCH(", "&amp;$B49&amp;", ",", "&amp;'Huỷ đơn - Huỷ nhận đơn'!$B$7:$B$500&amp;", ")),--('Huỷ đơn - Huỷ nhận đơn'!$AT$7:$AT$500="N/A"))+SUMPRODUCT(--ISNUMBER(SEARCH(", "&amp;$B49&amp;", ",", "&amp;'Giao nhận &amp; Theo dõi đơn'!$B$7:$B$500&amp;", ")),--('Giao nhận &amp; Theo dõi đơn'!$AT$7:$AT$500="N/A"))+SUMPRODUCT(--ISNUMBER(SEARCH(", "&amp;$B49&amp;", ",", "&amp;'Bảng tin &amp; Chi tiết tin'!$B$7:$B$500&amp;", ")),--('Bảng tin &amp; Chi tiết tin'!$AT$7:$AT$500="N/A"))+SUMPRODUCT(--ISNUMBER(SEARCH(", "&amp;$B49&amp;", ",", "&amp;'Quà cảm ơn'!$B$7:$B$500&amp;", ")),--('Quà cảm ơn'!$AT$7:$AT$500="N/A"))+SUMPRODUCT(--ISNUMBER(SEARCH(", "&amp;$B49&amp;", ",", "&amp;'Trang chủ'!$B$7:$B$500&amp;", ")),--('Trang chủ'!$AT$7:$AT$500="N/A"))+SUMPRODUCT(--ISNUMBER(SEARCH(", "&amp;$B49&amp;", ",", "&amp;'Thông báo'!$B$7:$B$500&amp;", ")),--('Thông báo'!$AT$7:$AT$500="N/A"))+SUMPRODUCT(--ISNUMBER(SEARCH(", "&amp;$B49&amp;", ",", "&amp;'Đăng tin &amp; Quản lý tin'!$B$7:$B$500&amp;", ")),--('Đăng tin &amp; Quản lý tin'!$AT$7:$AT$500="N/A"))+SUMPRODUCT(--ISNUMBER(SEARCH(", "&amp;$B49&amp;", ",", "&amp;'Trust &amp; Safety'!$B$7:$B$500&amp;", ")),--('Trust &amp; Safety'!$AT$7:$AT$500="N/A"))+SUMPRODUCT(--ISNUMBER(SEARCH(", "&amp;$B49&amp;", ",", "&amp;'Tài khoản &amp; Hồ sơ'!$B$7:$B$500&amp;", ")),--('Tài khoản &amp; Hồ sơ'!$AT$7:$AT$500="N/A"))</f>
        <v/>
      </c>
      <c r="K49" s="54">
        <f>IFERROR(F49/E49,0)</f>
        <v/>
      </c>
      <c r="L49" s="113">
        <f>IF(E49=0,"Chưa có TC (gap)",IF(H49&gt;0,"Có lỗi (Fail)",IF(I49&gt;0,"Bị block",IF(F49&lt;E49,"Đang test",IF(G49=0,"Không áp dụng (N/A)","Đã test xong")))))</f>
        <v/>
      </c>
      <c r="AB49" t="inlineStr">
        <is>
          <t>REQ-DLV</t>
        </is>
      </c>
    </row>
    <row r="50" ht="15.75" customHeight="1" s="216">
      <c r="A50" s="1" t="n"/>
      <c r="B50" s="112" t="inlineStr">
        <is>
          <t>REQ-DLV-004</t>
        </is>
      </c>
      <c r="C50" s="261" t="inlineStr"/>
      <c r="D50" s="113" t="inlineStr">
        <is>
          <t>DOC-v1.0-01</t>
        </is>
      </c>
      <c r="E50" s="53">
        <f>SUMPRODUCT(--ISNUMBER(SEARCH(", "&amp;$B50&amp;", ",", "&amp;'Hoạt động (Đơn của tôi)'!$B$7:$B$500&amp;", ")))+SUMPRODUCT(--ISNUMBER(SEARCH(", "&amp;$B50&amp;", ",", "&amp;'Ghép nối'!$B$7:$B$500&amp;", ")))+SUMPRODUCT(--ISNUMBER(SEARCH(", "&amp;$B50&amp;", ",", "&amp;'Huỷ đơn - Huỷ nhận đơn'!$B$7:$B$500&amp;", ")))+SUMPRODUCT(--ISNUMBER(SEARCH(", "&amp;$B50&amp;", ",", "&amp;'Giao nhận &amp; Theo dõi đơn'!$B$7:$B$500&amp;", ")))+SUMPRODUCT(--ISNUMBER(SEARCH(", "&amp;$B50&amp;", ",", "&amp;'Bảng tin &amp; Chi tiết tin'!$B$7:$B$500&amp;", ")))+SUMPRODUCT(--ISNUMBER(SEARCH(", "&amp;$B50&amp;", ",", "&amp;'Quà cảm ơn'!$B$7:$B$500&amp;", ")))+SUMPRODUCT(--ISNUMBER(SEARCH(", "&amp;$B50&amp;", ",", "&amp;'Trang chủ'!$B$7:$B$500&amp;", ")))+SUMPRODUCT(--ISNUMBER(SEARCH(", "&amp;$B50&amp;", ",", "&amp;'Thông báo'!$B$7:$B$500&amp;", ")))+SUMPRODUCT(--ISNUMBER(SEARCH(", "&amp;$B50&amp;", ",", "&amp;'Đăng tin &amp; Quản lý tin'!$B$7:$B$500&amp;", ")))+SUMPRODUCT(--ISNUMBER(SEARCH(", "&amp;$B50&amp;", ",", "&amp;'Trust &amp; Safety'!$B$7:$B$500&amp;", ")))+SUMPRODUCT(--ISNUMBER(SEARCH(", "&amp;$B50&amp;", ",", "&amp;'Tài khoản &amp; Hồ sơ'!$B$7:$B$500&amp;", ")))</f>
        <v/>
      </c>
      <c r="F50" s="53">
        <f>SUMPRODUCT(--ISNUMBER(SEARCH(", "&amp;$B50&amp;", ",", "&amp;'Hoạt động (Đơn của tôi)'!$B$7:$B$500&amp;", ")),--('Hoạt động (Đơn của tôi)'!$AT$7:$AT$500&lt;&gt;""))+SUMPRODUCT(--ISNUMBER(SEARCH(", "&amp;$B50&amp;", ",", "&amp;'Ghép nối'!$B$7:$B$500&amp;", ")),--('Ghép nối'!$AT$7:$AT$500&lt;&gt;""))+SUMPRODUCT(--ISNUMBER(SEARCH(", "&amp;$B50&amp;", ",", "&amp;'Huỷ đơn - Huỷ nhận đơn'!$B$7:$B$500&amp;", ")),--('Huỷ đơn - Huỷ nhận đơn'!$AT$7:$AT$500&lt;&gt;""))+SUMPRODUCT(--ISNUMBER(SEARCH(", "&amp;$B50&amp;", ",", "&amp;'Giao nhận &amp; Theo dõi đơn'!$B$7:$B$500&amp;", ")),--('Giao nhận &amp; Theo dõi đơn'!$AT$7:$AT$500&lt;&gt;""))+SUMPRODUCT(--ISNUMBER(SEARCH(", "&amp;$B50&amp;", ",", "&amp;'Bảng tin &amp; Chi tiết tin'!$B$7:$B$500&amp;", ")),--('Bảng tin &amp; Chi tiết tin'!$AT$7:$AT$500&lt;&gt;""))+SUMPRODUCT(--ISNUMBER(SEARCH(", "&amp;$B50&amp;", ",", "&amp;'Quà cảm ơn'!$B$7:$B$500&amp;", ")),--('Quà cảm ơn'!$AT$7:$AT$500&lt;&gt;""))+SUMPRODUCT(--ISNUMBER(SEARCH(", "&amp;$B50&amp;", ",", "&amp;'Trang chủ'!$B$7:$B$500&amp;", ")),--('Trang chủ'!$AT$7:$AT$500&lt;&gt;""))+SUMPRODUCT(--ISNUMBER(SEARCH(", "&amp;$B50&amp;", ",", "&amp;'Thông báo'!$B$7:$B$500&amp;", ")),--('Thông báo'!$AT$7:$AT$500&lt;&gt;""))+SUMPRODUCT(--ISNUMBER(SEARCH(", "&amp;$B50&amp;", ",", "&amp;'Đăng tin &amp; Quản lý tin'!$B$7:$B$500&amp;", ")),--('Đăng tin &amp; Quản lý tin'!$AT$7:$AT$500&lt;&gt;""))+SUMPRODUCT(--ISNUMBER(SEARCH(", "&amp;$B50&amp;", ",", "&amp;'Trust &amp; Safety'!$B$7:$B$500&amp;", ")),--('Trust &amp; Safety'!$AT$7:$AT$500&lt;&gt;""))+SUMPRODUCT(--ISNUMBER(SEARCH(", "&amp;$B50&amp;", ",", "&amp;'Tài khoản &amp; Hồ sơ'!$B$7:$B$500&amp;", ")),--('Tài khoản &amp; Hồ sơ'!$AT$7:$AT$500&lt;&gt;""))</f>
        <v/>
      </c>
      <c r="G50" s="53">
        <f>SUMPRODUCT(--ISNUMBER(SEARCH(", "&amp;$B50&amp;", ",", "&amp;'Hoạt động (Đơn của tôi)'!$B$7:$B$500&amp;", ")),--('Hoạt động (Đơn của tôi)'!$AT$7:$AT$500="Pass"))+SUMPRODUCT(--ISNUMBER(SEARCH(", "&amp;$B50&amp;", ",", "&amp;'Ghép nối'!$B$7:$B$500&amp;", ")),--('Ghép nối'!$AT$7:$AT$500="Pass"))+SUMPRODUCT(--ISNUMBER(SEARCH(", "&amp;$B50&amp;", ",", "&amp;'Huỷ đơn - Huỷ nhận đơn'!$B$7:$B$500&amp;", ")),--('Huỷ đơn - Huỷ nhận đơn'!$AT$7:$AT$500="Pass"))+SUMPRODUCT(--ISNUMBER(SEARCH(", "&amp;$B50&amp;", ",", "&amp;'Giao nhận &amp; Theo dõi đơn'!$B$7:$B$500&amp;", ")),--('Giao nhận &amp; Theo dõi đơn'!$AT$7:$AT$500="Pass"))+SUMPRODUCT(--ISNUMBER(SEARCH(", "&amp;$B50&amp;", ",", "&amp;'Bảng tin &amp; Chi tiết tin'!$B$7:$B$500&amp;", ")),--('Bảng tin &amp; Chi tiết tin'!$AT$7:$AT$500="Pass"))+SUMPRODUCT(--ISNUMBER(SEARCH(", "&amp;$B50&amp;", ",", "&amp;'Quà cảm ơn'!$B$7:$B$500&amp;", ")),--('Quà cảm ơn'!$AT$7:$AT$500="Pass"))+SUMPRODUCT(--ISNUMBER(SEARCH(", "&amp;$B50&amp;", ",", "&amp;'Trang chủ'!$B$7:$B$500&amp;", ")),--('Trang chủ'!$AT$7:$AT$500="Pass"))+SUMPRODUCT(--ISNUMBER(SEARCH(", "&amp;$B50&amp;", ",", "&amp;'Thông báo'!$B$7:$B$500&amp;", ")),--('Thông báo'!$AT$7:$AT$500="Pass"))+SUMPRODUCT(--ISNUMBER(SEARCH(", "&amp;$B50&amp;", ",", "&amp;'Đăng tin &amp; Quản lý tin'!$B$7:$B$500&amp;", ")),--('Đăng tin &amp; Quản lý tin'!$AT$7:$AT$500="Pass"))+SUMPRODUCT(--ISNUMBER(SEARCH(", "&amp;$B50&amp;", ",", "&amp;'Trust &amp; Safety'!$B$7:$B$500&amp;", ")),--('Trust &amp; Safety'!$AT$7:$AT$500="Pass"))+SUMPRODUCT(--ISNUMBER(SEARCH(", "&amp;$B50&amp;", ",", "&amp;'Tài khoản &amp; Hồ sơ'!$B$7:$B$500&amp;", ")),--('Tài khoản &amp; Hồ sơ'!$AT$7:$AT$500="Pass"))</f>
        <v/>
      </c>
      <c r="H50" s="53">
        <f>SUMPRODUCT(--ISNUMBER(SEARCH(", "&amp;$B50&amp;", ",", "&amp;'Hoạt động (Đơn của tôi)'!$B$7:$B$500&amp;", ")),--('Hoạt động (Đơn của tôi)'!$AT$7:$AT$500="Fail"))+SUMPRODUCT(--ISNUMBER(SEARCH(", "&amp;$B50&amp;", ",", "&amp;'Ghép nối'!$B$7:$B$500&amp;", ")),--('Ghép nối'!$AT$7:$AT$500="Fail"))+SUMPRODUCT(--ISNUMBER(SEARCH(", "&amp;$B50&amp;", ",", "&amp;'Huỷ đơn - Huỷ nhận đơn'!$B$7:$B$500&amp;", ")),--('Huỷ đơn - Huỷ nhận đơn'!$AT$7:$AT$500="Fail"))+SUMPRODUCT(--ISNUMBER(SEARCH(", "&amp;$B50&amp;", ",", "&amp;'Giao nhận &amp; Theo dõi đơn'!$B$7:$B$500&amp;", ")),--('Giao nhận &amp; Theo dõi đơn'!$AT$7:$AT$500="Fail"))+SUMPRODUCT(--ISNUMBER(SEARCH(", "&amp;$B50&amp;", ",", "&amp;'Bảng tin &amp; Chi tiết tin'!$B$7:$B$500&amp;", ")),--('Bảng tin &amp; Chi tiết tin'!$AT$7:$AT$500="Fail"))+SUMPRODUCT(--ISNUMBER(SEARCH(", "&amp;$B50&amp;", ",", "&amp;'Quà cảm ơn'!$B$7:$B$500&amp;", ")),--('Quà cảm ơn'!$AT$7:$AT$500="Fail"))+SUMPRODUCT(--ISNUMBER(SEARCH(", "&amp;$B50&amp;", ",", "&amp;'Trang chủ'!$B$7:$B$500&amp;", ")),--('Trang chủ'!$AT$7:$AT$500="Fail"))+SUMPRODUCT(--ISNUMBER(SEARCH(", "&amp;$B50&amp;", ",", "&amp;'Thông báo'!$B$7:$B$500&amp;", ")),--('Thông báo'!$AT$7:$AT$500="Fail"))+SUMPRODUCT(--ISNUMBER(SEARCH(", "&amp;$B50&amp;", ",", "&amp;'Đăng tin &amp; Quản lý tin'!$B$7:$B$500&amp;", ")),--('Đăng tin &amp; Quản lý tin'!$AT$7:$AT$500="Fail"))+SUMPRODUCT(--ISNUMBER(SEARCH(", "&amp;$B50&amp;", ",", "&amp;'Trust &amp; Safety'!$B$7:$B$500&amp;", ")),--('Trust &amp; Safety'!$AT$7:$AT$500="Fail"))+SUMPRODUCT(--ISNUMBER(SEARCH(", "&amp;$B50&amp;", ",", "&amp;'Tài khoản &amp; Hồ sơ'!$B$7:$B$500&amp;", ")),--('Tài khoản &amp; Hồ sơ'!$AT$7:$AT$500="Fail"))</f>
        <v/>
      </c>
      <c r="I50" s="53">
        <f>SUMPRODUCT(--ISNUMBER(SEARCH(", "&amp;$B50&amp;", ",", "&amp;'Hoạt động (Đơn của tôi)'!$B$7:$B$500&amp;", ")),--('Hoạt động (Đơn của tôi)'!$AT$7:$AT$500="Block"))+SUMPRODUCT(--ISNUMBER(SEARCH(", "&amp;$B50&amp;", ",", "&amp;'Ghép nối'!$B$7:$B$500&amp;", ")),--('Ghép nối'!$AT$7:$AT$500="Block"))+SUMPRODUCT(--ISNUMBER(SEARCH(", "&amp;$B50&amp;", ",", "&amp;'Huỷ đơn - Huỷ nhận đơn'!$B$7:$B$500&amp;", ")),--('Huỷ đơn - Huỷ nhận đơn'!$AT$7:$AT$500="Block"))+SUMPRODUCT(--ISNUMBER(SEARCH(", "&amp;$B50&amp;", ",", "&amp;'Giao nhận &amp; Theo dõi đơn'!$B$7:$B$500&amp;", ")),--('Giao nhận &amp; Theo dõi đơn'!$AT$7:$AT$500="Block"))+SUMPRODUCT(--ISNUMBER(SEARCH(", "&amp;$B50&amp;", ",", "&amp;'Bảng tin &amp; Chi tiết tin'!$B$7:$B$500&amp;", ")),--('Bảng tin &amp; Chi tiết tin'!$AT$7:$AT$500="Block"))+SUMPRODUCT(--ISNUMBER(SEARCH(", "&amp;$B50&amp;", ",", "&amp;'Quà cảm ơn'!$B$7:$B$500&amp;", ")),--('Quà cảm ơn'!$AT$7:$AT$500="Block"))+SUMPRODUCT(--ISNUMBER(SEARCH(", "&amp;$B50&amp;", ",", "&amp;'Trang chủ'!$B$7:$B$500&amp;", ")),--('Trang chủ'!$AT$7:$AT$500="Block"))+SUMPRODUCT(--ISNUMBER(SEARCH(", "&amp;$B50&amp;", ",", "&amp;'Thông báo'!$B$7:$B$500&amp;", ")),--('Thông báo'!$AT$7:$AT$500="Block"))+SUMPRODUCT(--ISNUMBER(SEARCH(", "&amp;$B50&amp;", ",", "&amp;'Đăng tin &amp; Quản lý tin'!$B$7:$B$500&amp;", ")),--('Đăng tin &amp; Quản lý tin'!$AT$7:$AT$500="Block"))+SUMPRODUCT(--ISNUMBER(SEARCH(", "&amp;$B50&amp;", ",", "&amp;'Trust &amp; Safety'!$B$7:$B$500&amp;", ")),--('Trust &amp; Safety'!$AT$7:$AT$500="Block"))+SUMPRODUCT(--ISNUMBER(SEARCH(", "&amp;$B50&amp;", ",", "&amp;'Tài khoản &amp; Hồ sơ'!$B$7:$B$500&amp;", ")),--('Tài khoản &amp; Hồ sơ'!$AT$7:$AT$500="Block"))</f>
        <v/>
      </c>
      <c r="J50" s="53">
        <f>SUMPRODUCT(--ISNUMBER(SEARCH(", "&amp;$B50&amp;", ",", "&amp;'Hoạt động (Đơn của tôi)'!$B$7:$B$500&amp;", ")),--('Hoạt động (Đơn của tôi)'!$AT$7:$AT$500="N/A"))+SUMPRODUCT(--ISNUMBER(SEARCH(", "&amp;$B50&amp;", ",", "&amp;'Ghép nối'!$B$7:$B$500&amp;", ")),--('Ghép nối'!$AT$7:$AT$500="N/A"))+SUMPRODUCT(--ISNUMBER(SEARCH(", "&amp;$B50&amp;", ",", "&amp;'Huỷ đơn - Huỷ nhận đơn'!$B$7:$B$500&amp;", ")),--('Huỷ đơn - Huỷ nhận đơn'!$AT$7:$AT$500="N/A"))+SUMPRODUCT(--ISNUMBER(SEARCH(", "&amp;$B50&amp;", ",", "&amp;'Giao nhận &amp; Theo dõi đơn'!$B$7:$B$500&amp;", ")),--('Giao nhận &amp; Theo dõi đơn'!$AT$7:$AT$500="N/A"))+SUMPRODUCT(--ISNUMBER(SEARCH(", "&amp;$B50&amp;", ",", "&amp;'Bảng tin &amp; Chi tiết tin'!$B$7:$B$500&amp;", ")),--('Bảng tin &amp; Chi tiết tin'!$AT$7:$AT$500="N/A"))+SUMPRODUCT(--ISNUMBER(SEARCH(", "&amp;$B50&amp;", ",", "&amp;'Quà cảm ơn'!$B$7:$B$500&amp;", ")),--('Quà cảm ơn'!$AT$7:$AT$500="N/A"))+SUMPRODUCT(--ISNUMBER(SEARCH(", "&amp;$B50&amp;", ",", "&amp;'Trang chủ'!$B$7:$B$500&amp;", ")),--('Trang chủ'!$AT$7:$AT$500="N/A"))+SUMPRODUCT(--ISNUMBER(SEARCH(", "&amp;$B50&amp;", ",", "&amp;'Thông báo'!$B$7:$B$500&amp;", ")),--('Thông báo'!$AT$7:$AT$500="N/A"))+SUMPRODUCT(--ISNUMBER(SEARCH(", "&amp;$B50&amp;", ",", "&amp;'Đăng tin &amp; Quản lý tin'!$B$7:$B$500&amp;", ")),--('Đăng tin &amp; Quản lý tin'!$AT$7:$AT$500="N/A"))+SUMPRODUCT(--ISNUMBER(SEARCH(", "&amp;$B50&amp;", ",", "&amp;'Trust &amp; Safety'!$B$7:$B$500&amp;", ")),--('Trust &amp; Safety'!$AT$7:$AT$500="N/A"))+SUMPRODUCT(--ISNUMBER(SEARCH(", "&amp;$B50&amp;", ",", "&amp;'Tài khoản &amp; Hồ sơ'!$B$7:$B$500&amp;", ")),--('Tài khoản &amp; Hồ sơ'!$AT$7:$AT$500="N/A"))</f>
        <v/>
      </c>
      <c r="K50" s="54">
        <f>IFERROR(F50/E50,0)</f>
        <v/>
      </c>
      <c r="L50" s="113">
        <f>IF(E50=0,"Chưa có TC (gap)",IF(H50&gt;0,"Có lỗi (Fail)",IF(I50&gt;0,"Bị block",IF(F50&lt;E50,"Đang test",IF(G50=0,"Không áp dụng (N/A)","Đã test xong")))))</f>
        <v/>
      </c>
      <c r="AB50" t="inlineStr">
        <is>
          <t>REQ-DLV</t>
        </is>
      </c>
    </row>
    <row r="51" ht="15.75" customHeight="1" s="216">
      <c r="A51" s="1" t="n"/>
      <c r="B51" s="112" t="inlineStr">
        <is>
          <t>REQ-DLV-005</t>
        </is>
      </c>
      <c r="C51" s="261" t="inlineStr"/>
      <c r="D51" s="113" t="inlineStr">
        <is>
          <t>DOC-v1.0-01 · DOC-v1.0-02</t>
        </is>
      </c>
      <c r="E51" s="53">
        <f>SUMPRODUCT(--ISNUMBER(SEARCH(", "&amp;$B51&amp;", ",", "&amp;'Hoạt động (Đơn của tôi)'!$B$7:$B$500&amp;", ")))+SUMPRODUCT(--ISNUMBER(SEARCH(", "&amp;$B51&amp;", ",", "&amp;'Ghép nối'!$B$7:$B$500&amp;", ")))+SUMPRODUCT(--ISNUMBER(SEARCH(", "&amp;$B51&amp;", ",", "&amp;'Huỷ đơn - Huỷ nhận đơn'!$B$7:$B$500&amp;", ")))+SUMPRODUCT(--ISNUMBER(SEARCH(", "&amp;$B51&amp;", ",", "&amp;'Giao nhận &amp; Theo dõi đơn'!$B$7:$B$500&amp;", ")))+SUMPRODUCT(--ISNUMBER(SEARCH(", "&amp;$B51&amp;", ",", "&amp;'Bảng tin &amp; Chi tiết tin'!$B$7:$B$500&amp;", ")))+SUMPRODUCT(--ISNUMBER(SEARCH(", "&amp;$B51&amp;", ",", "&amp;'Quà cảm ơn'!$B$7:$B$500&amp;", ")))+SUMPRODUCT(--ISNUMBER(SEARCH(", "&amp;$B51&amp;", ",", "&amp;'Trang chủ'!$B$7:$B$500&amp;", ")))+SUMPRODUCT(--ISNUMBER(SEARCH(", "&amp;$B51&amp;", ",", "&amp;'Thông báo'!$B$7:$B$500&amp;", ")))+SUMPRODUCT(--ISNUMBER(SEARCH(", "&amp;$B51&amp;", ",", "&amp;'Đăng tin &amp; Quản lý tin'!$B$7:$B$500&amp;", ")))+SUMPRODUCT(--ISNUMBER(SEARCH(", "&amp;$B51&amp;", ",", "&amp;'Trust &amp; Safety'!$B$7:$B$500&amp;", ")))+SUMPRODUCT(--ISNUMBER(SEARCH(", "&amp;$B51&amp;", ",", "&amp;'Tài khoản &amp; Hồ sơ'!$B$7:$B$500&amp;", ")))</f>
        <v/>
      </c>
      <c r="F51" s="53">
        <f>SUMPRODUCT(--ISNUMBER(SEARCH(", "&amp;$B51&amp;", ",", "&amp;'Hoạt động (Đơn của tôi)'!$B$7:$B$500&amp;", ")),--('Hoạt động (Đơn của tôi)'!$AT$7:$AT$500&lt;&gt;""))+SUMPRODUCT(--ISNUMBER(SEARCH(", "&amp;$B51&amp;", ",", "&amp;'Ghép nối'!$B$7:$B$500&amp;", ")),--('Ghép nối'!$AT$7:$AT$500&lt;&gt;""))+SUMPRODUCT(--ISNUMBER(SEARCH(", "&amp;$B51&amp;", ",", "&amp;'Huỷ đơn - Huỷ nhận đơn'!$B$7:$B$500&amp;", ")),--('Huỷ đơn - Huỷ nhận đơn'!$AT$7:$AT$500&lt;&gt;""))+SUMPRODUCT(--ISNUMBER(SEARCH(", "&amp;$B51&amp;", ",", "&amp;'Giao nhận &amp; Theo dõi đơn'!$B$7:$B$500&amp;", ")),--('Giao nhận &amp; Theo dõi đơn'!$AT$7:$AT$500&lt;&gt;""))+SUMPRODUCT(--ISNUMBER(SEARCH(", "&amp;$B51&amp;", ",", "&amp;'Bảng tin &amp; Chi tiết tin'!$B$7:$B$500&amp;", ")),--('Bảng tin &amp; Chi tiết tin'!$AT$7:$AT$500&lt;&gt;""))+SUMPRODUCT(--ISNUMBER(SEARCH(", "&amp;$B51&amp;", ",", "&amp;'Quà cảm ơn'!$B$7:$B$500&amp;", ")),--('Quà cảm ơn'!$AT$7:$AT$500&lt;&gt;""))+SUMPRODUCT(--ISNUMBER(SEARCH(", "&amp;$B51&amp;", ",", "&amp;'Trang chủ'!$B$7:$B$500&amp;", ")),--('Trang chủ'!$AT$7:$AT$500&lt;&gt;""))+SUMPRODUCT(--ISNUMBER(SEARCH(", "&amp;$B51&amp;", ",", "&amp;'Thông báo'!$B$7:$B$500&amp;", ")),--('Thông báo'!$AT$7:$AT$500&lt;&gt;""))+SUMPRODUCT(--ISNUMBER(SEARCH(", "&amp;$B51&amp;", ",", "&amp;'Đăng tin &amp; Quản lý tin'!$B$7:$B$500&amp;", ")),--('Đăng tin &amp; Quản lý tin'!$AT$7:$AT$500&lt;&gt;""))+SUMPRODUCT(--ISNUMBER(SEARCH(", "&amp;$B51&amp;", ",", "&amp;'Trust &amp; Safety'!$B$7:$B$500&amp;", ")),--('Trust &amp; Safety'!$AT$7:$AT$500&lt;&gt;""))+SUMPRODUCT(--ISNUMBER(SEARCH(", "&amp;$B51&amp;", ",", "&amp;'Tài khoản &amp; Hồ sơ'!$B$7:$B$500&amp;", ")),--('Tài khoản &amp; Hồ sơ'!$AT$7:$AT$500&lt;&gt;""))</f>
        <v/>
      </c>
      <c r="G51" s="53">
        <f>SUMPRODUCT(--ISNUMBER(SEARCH(", "&amp;$B51&amp;", ",", "&amp;'Hoạt động (Đơn của tôi)'!$B$7:$B$500&amp;", ")),--('Hoạt động (Đơn của tôi)'!$AT$7:$AT$500="Pass"))+SUMPRODUCT(--ISNUMBER(SEARCH(", "&amp;$B51&amp;", ",", "&amp;'Ghép nối'!$B$7:$B$500&amp;", ")),--('Ghép nối'!$AT$7:$AT$500="Pass"))+SUMPRODUCT(--ISNUMBER(SEARCH(", "&amp;$B51&amp;", ",", "&amp;'Huỷ đơn - Huỷ nhận đơn'!$B$7:$B$500&amp;", ")),--('Huỷ đơn - Huỷ nhận đơn'!$AT$7:$AT$500="Pass"))+SUMPRODUCT(--ISNUMBER(SEARCH(", "&amp;$B51&amp;", ",", "&amp;'Giao nhận &amp; Theo dõi đơn'!$B$7:$B$500&amp;", ")),--('Giao nhận &amp; Theo dõi đơn'!$AT$7:$AT$500="Pass"))+SUMPRODUCT(--ISNUMBER(SEARCH(", "&amp;$B51&amp;", ",", "&amp;'Bảng tin &amp; Chi tiết tin'!$B$7:$B$500&amp;", ")),--('Bảng tin &amp; Chi tiết tin'!$AT$7:$AT$500="Pass"))+SUMPRODUCT(--ISNUMBER(SEARCH(", "&amp;$B51&amp;", ",", "&amp;'Quà cảm ơn'!$B$7:$B$500&amp;", ")),--('Quà cảm ơn'!$AT$7:$AT$500="Pass"))+SUMPRODUCT(--ISNUMBER(SEARCH(", "&amp;$B51&amp;", ",", "&amp;'Trang chủ'!$B$7:$B$500&amp;", ")),--('Trang chủ'!$AT$7:$AT$500="Pass"))+SUMPRODUCT(--ISNUMBER(SEARCH(", "&amp;$B51&amp;", ",", "&amp;'Thông báo'!$B$7:$B$500&amp;", ")),--('Thông báo'!$AT$7:$AT$500="Pass"))+SUMPRODUCT(--ISNUMBER(SEARCH(", "&amp;$B51&amp;", ",", "&amp;'Đăng tin &amp; Quản lý tin'!$B$7:$B$500&amp;", ")),--('Đăng tin &amp; Quản lý tin'!$AT$7:$AT$500="Pass"))+SUMPRODUCT(--ISNUMBER(SEARCH(", "&amp;$B51&amp;", ",", "&amp;'Trust &amp; Safety'!$B$7:$B$500&amp;", ")),--('Trust &amp; Safety'!$AT$7:$AT$500="Pass"))+SUMPRODUCT(--ISNUMBER(SEARCH(", "&amp;$B51&amp;", ",", "&amp;'Tài khoản &amp; Hồ sơ'!$B$7:$B$500&amp;", ")),--('Tài khoản &amp; Hồ sơ'!$AT$7:$AT$500="Pass"))</f>
        <v/>
      </c>
      <c r="H51" s="53">
        <f>SUMPRODUCT(--ISNUMBER(SEARCH(", "&amp;$B51&amp;", ",", "&amp;'Hoạt động (Đơn của tôi)'!$B$7:$B$500&amp;", ")),--('Hoạt động (Đơn của tôi)'!$AT$7:$AT$500="Fail"))+SUMPRODUCT(--ISNUMBER(SEARCH(", "&amp;$B51&amp;", ",", "&amp;'Ghép nối'!$B$7:$B$500&amp;", ")),--('Ghép nối'!$AT$7:$AT$500="Fail"))+SUMPRODUCT(--ISNUMBER(SEARCH(", "&amp;$B51&amp;", ",", "&amp;'Huỷ đơn - Huỷ nhận đơn'!$B$7:$B$500&amp;", ")),--('Huỷ đơn - Huỷ nhận đơn'!$AT$7:$AT$500="Fail"))+SUMPRODUCT(--ISNUMBER(SEARCH(", "&amp;$B51&amp;", ",", "&amp;'Giao nhận &amp; Theo dõi đơn'!$B$7:$B$500&amp;", ")),--('Giao nhận &amp; Theo dõi đơn'!$AT$7:$AT$500="Fail"))+SUMPRODUCT(--ISNUMBER(SEARCH(", "&amp;$B51&amp;", ",", "&amp;'Bảng tin &amp; Chi tiết tin'!$B$7:$B$500&amp;", ")),--('Bảng tin &amp; Chi tiết tin'!$AT$7:$AT$500="Fail"))+SUMPRODUCT(--ISNUMBER(SEARCH(", "&amp;$B51&amp;", ",", "&amp;'Quà cảm ơn'!$B$7:$B$500&amp;", ")),--('Quà cảm ơn'!$AT$7:$AT$500="Fail"))+SUMPRODUCT(--ISNUMBER(SEARCH(", "&amp;$B51&amp;", ",", "&amp;'Trang chủ'!$B$7:$B$500&amp;", ")),--('Trang chủ'!$AT$7:$AT$500="Fail"))+SUMPRODUCT(--ISNUMBER(SEARCH(", "&amp;$B51&amp;", ",", "&amp;'Thông báo'!$B$7:$B$500&amp;", ")),--('Thông báo'!$AT$7:$AT$500="Fail"))+SUMPRODUCT(--ISNUMBER(SEARCH(", "&amp;$B51&amp;", ",", "&amp;'Đăng tin &amp; Quản lý tin'!$B$7:$B$500&amp;", ")),--('Đăng tin &amp; Quản lý tin'!$AT$7:$AT$500="Fail"))+SUMPRODUCT(--ISNUMBER(SEARCH(", "&amp;$B51&amp;", ",", "&amp;'Trust &amp; Safety'!$B$7:$B$500&amp;", ")),--('Trust &amp; Safety'!$AT$7:$AT$500="Fail"))+SUMPRODUCT(--ISNUMBER(SEARCH(", "&amp;$B51&amp;", ",", "&amp;'Tài khoản &amp; Hồ sơ'!$B$7:$B$500&amp;", ")),--('Tài khoản &amp; Hồ sơ'!$AT$7:$AT$500="Fail"))</f>
        <v/>
      </c>
      <c r="I51" s="53">
        <f>SUMPRODUCT(--ISNUMBER(SEARCH(", "&amp;$B51&amp;", ",", "&amp;'Hoạt động (Đơn của tôi)'!$B$7:$B$500&amp;", ")),--('Hoạt động (Đơn của tôi)'!$AT$7:$AT$500="Block"))+SUMPRODUCT(--ISNUMBER(SEARCH(", "&amp;$B51&amp;", ",", "&amp;'Ghép nối'!$B$7:$B$500&amp;", ")),--('Ghép nối'!$AT$7:$AT$500="Block"))+SUMPRODUCT(--ISNUMBER(SEARCH(", "&amp;$B51&amp;", ",", "&amp;'Huỷ đơn - Huỷ nhận đơn'!$B$7:$B$500&amp;", ")),--('Huỷ đơn - Huỷ nhận đơn'!$AT$7:$AT$500="Block"))+SUMPRODUCT(--ISNUMBER(SEARCH(", "&amp;$B51&amp;", ",", "&amp;'Giao nhận &amp; Theo dõi đơn'!$B$7:$B$500&amp;", ")),--('Giao nhận &amp; Theo dõi đơn'!$AT$7:$AT$500="Block"))+SUMPRODUCT(--ISNUMBER(SEARCH(", "&amp;$B51&amp;", ",", "&amp;'Bảng tin &amp; Chi tiết tin'!$B$7:$B$500&amp;", ")),--('Bảng tin &amp; Chi tiết tin'!$AT$7:$AT$500="Block"))+SUMPRODUCT(--ISNUMBER(SEARCH(", "&amp;$B51&amp;", ",", "&amp;'Quà cảm ơn'!$B$7:$B$500&amp;", ")),--('Quà cảm ơn'!$AT$7:$AT$500="Block"))+SUMPRODUCT(--ISNUMBER(SEARCH(", "&amp;$B51&amp;", ",", "&amp;'Trang chủ'!$B$7:$B$500&amp;", ")),--('Trang chủ'!$AT$7:$AT$500="Block"))+SUMPRODUCT(--ISNUMBER(SEARCH(", "&amp;$B51&amp;", ",", "&amp;'Thông báo'!$B$7:$B$500&amp;", ")),--('Thông báo'!$AT$7:$AT$500="Block"))+SUMPRODUCT(--ISNUMBER(SEARCH(", "&amp;$B51&amp;", ",", "&amp;'Đăng tin &amp; Quản lý tin'!$B$7:$B$500&amp;", ")),--('Đăng tin &amp; Quản lý tin'!$AT$7:$AT$500="Block"))+SUMPRODUCT(--ISNUMBER(SEARCH(", "&amp;$B51&amp;", ",", "&amp;'Trust &amp; Safety'!$B$7:$B$500&amp;", ")),--('Trust &amp; Safety'!$AT$7:$AT$500="Block"))+SUMPRODUCT(--ISNUMBER(SEARCH(", "&amp;$B51&amp;", ",", "&amp;'Tài khoản &amp; Hồ sơ'!$B$7:$B$500&amp;", ")),--('Tài khoản &amp; Hồ sơ'!$AT$7:$AT$500="Block"))</f>
        <v/>
      </c>
      <c r="J51" s="53">
        <f>SUMPRODUCT(--ISNUMBER(SEARCH(", "&amp;$B51&amp;", ",", "&amp;'Hoạt động (Đơn của tôi)'!$B$7:$B$500&amp;", ")),--('Hoạt động (Đơn của tôi)'!$AT$7:$AT$500="N/A"))+SUMPRODUCT(--ISNUMBER(SEARCH(", "&amp;$B51&amp;", ",", "&amp;'Ghép nối'!$B$7:$B$500&amp;", ")),--('Ghép nối'!$AT$7:$AT$500="N/A"))+SUMPRODUCT(--ISNUMBER(SEARCH(", "&amp;$B51&amp;", ",", "&amp;'Huỷ đơn - Huỷ nhận đơn'!$B$7:$B$500&amp;", ")),--('Huỷ đơn - Huỷ nhận đơn'!$AT$7:$AT$500="N/A"))+SUMPRODUCT(--ISNUMBER(SEARCH(", "&amp;$B51&amp;", ",", "&amp;'Giao nhận &amp; Theo dõi đơn'!$B$7:$B$500&amp;", ")),--('Giao nhận &amp; Theo dõi đơn'!$AT$7:$AT$500="N/A"))+SUMPRODUCT(--ISNUMBER(SEARCH(", "&amp;$B51&amp;", ",", "&amp;'Bảng tin &amp; Chi tiết tin'!$B$7:$B$500&amp;", ")),--('Bảng tin &amp; Chi tiết tin'!$AT$7:$AT$500="N/A"))+SUMPRODUCT(--ISNUMBER(SEARCH(", "&amp;$B51&amp;", ",", "&amp;'Quà cảm ơn'!$B$7:$B$500&amp;", ")),--('Quà cảm ơn'!$AT$7:$AT$500="N/A"))+SUMPRODUCT(--ISNUMBER(SEARCH(", "&amp;$B51&amp;", ",", "&amp;'Trang chủ'!$B$7:$B$500&amp;", ")),--('Trang chủ'!$AT$7:$AT$500="N/A"))+SUMPRODUCT(--ISNUMBER(SEARCH(", "&amp;$B51&amp;", ",", "&amp;'Thông báo'!$B$7:$B$500&amp;", ")),--('Thông báo'!$AT$7:$AT$500="N/A"))+SUMPRODUCT(--ISNUMBER(SEARCH(", "&amp;$B51&amp;", ",", "&amp;'Đăng tin &amp; Quản lý tin'!$B$7:$B$500&amp;", ")),--('Đăng tin &amp; Quản lý tin'!$AT$7:$AT$500="N/A"))+SUMPRODUCT(--ISNUMBER(SEARCH(", "&amp;$B51&amp;", ",", "&amp;'Trust &amp; Safety'!$B$7:$B$500&amp;", ")),--('Trust &amp; Safety'!$AT$7:$AT$500="N/A"))+SUMPRODUCT(--ISNUMBER(SEARCH(", "&amp;$B51&amp;", ",", "&amp;'Tài khoản &amp; Hồ sơ'!$B$7:$B$500&amp;", ")),--('Tài khoản &amp; Hồ sơ'!$AT$7:$AT$500="N/A"))</f>
        <v/>
      </c>
      <c r="K51" s="54">
        <f>IFERROR(F51/E51,0)</f>
        <v/>
      </c>
      <c r="L51" s="113">
        <f>IF(E51=0,"Chưa có TC (gap)",IF(H51&gt;0,"Có lỗi (Fail)",IF(I51&gt;0,"Bị block",IF(F51&lt;E51,"Đang test",IF(G51=0,"Không áp dụng (N/A)","Đã test xong")))))</f>
        <v/>
      </c>
      <c r="AB51" t="inlineStr">
        <is>
          <t>REQ-DLV</t>
        </is>
      </c>
    </row>
    <row r="52" ht="15.75" customHeight="1" s="216">
      <c r="A52" s="1" t="n"/>
      <c r="B52" s="112" t="inlineStr">
        <is>
          <t>REQ-DLV-006</t>
        </is>
      </c>
      <c r="C52" s="261" t="inlineStr"/>
      <c r="D52" s="113" t="inlineStr">
        <is>
          <t>DOC-v1.0-02</t>
        </is>
      </c>
      <c r="E52" s="53">
        <f>SUMPRODUCT(--ISNUMBER(SEARCH(", "&amp;$B52&amp;", ",", "&amp;'Hoạt động (Đơn của tôi)'!$B$7:$B$500&amp;", ")))+SUMPRODUCT(--ISNUMBER(SEARCH(", "&amp;$B52&amp;", ",", "&amp;'Ghép nối'!$B$7:$B$500&amp;", ")))+SUMPRODUCT(--ISNUMBER(SEARCH(", "&amp;$B52&amp;", ",", "&amp;'Huỷ đơn - Huỷ nhận đơn'!$B$7:$B$500&amp;", ")))+SUMPRODUCT(--ISNUMBER(SEARCH(", "&amp;$B52&amp;", ",", "&amp;'Giao nhận &amp; Theo dõi đơn'!$B$7:$B$500&amp;", ")))+SUMPRODUCT(--ISNUMBER(SEARCH(", "&amp;$B52&amp;", ",", "&amp;'Bảng tin &amp; Chi tiết tin'!$B$7:$B$500&amp;", ")))+SUMPRODUCT(--ISNUMBER(SEARCH(", "&amp;$B52&amp;", ",", "&amp;'Quà cảm ơn'!$B$7:$B$500&amp;", ")))+SUMPRODUCT(--ISNUMBER(SEARCH(", "&amp;$B52&amp;", ",", "&amp;'Trang chủ'!$B$7:$B$500&amp;", ")))+SUMPRODUCT(--ISNUMBER(SEARCH(", "&amp;$B52&amp;", ",", "&amp;'Thông báo'!$B$7:$B$500&amp;", ")))+SUMPRODUCT(--ISNUMBER(SEARCH(", "&amp;$B52&amp;", ",", "&amp;'Đăng tin &amp; Quản lý tin'!$B$7:$B$500&amp;", ")))+SUMPRODUCT(--ISNUMBER(SEARCH(", "&amp;$B52&amp;", ",", "&amp;'Trust &amp; Safety'!$B$7:$B$500&amp;", ")))+SUMPRODUCT(--ISNUMBER(SEARCH(", "&amp;$B52&amp;", ",", "&amp;'Tài khoản &amp; Hồ sơ'!$B$7:$B$500&amp;", ")))</f>
        <v/>
      </c>
      <c r="F52" s="53">
        <f>SUMPRODUCT(--ISNUMBER(SEARCH(", "&amp;$B52&amp;", ",", "&amp;'Hoạt động (Đơn của tôi)'!$B$7:$B$500&amp;", ")),--('Hoạt động (Đơn của tôi)'!$AT$7:$AT$500&lt;&gt;""))+SUMPRODUCT(--ISNUMBER(SEARCH(", "&amp;$B52&amp;", ",", "&amp;'Ghép nối'!$B$7:$B$500&amp;", ")),--('Ghép nối'!$AT$7:$AT$500&lt;&gt;""))+SUMPRODUCT(--ISNUMBER(SEARCH(", "&amp;$B52&amp;", ",", "&amp;'Huỷ đơn - Huỷ nhận đơn'!$B$7:$B$500&amp;", ")),--('Huỷ đơn - Huỷ nhận đơn'!$AT$7:$AT$500&lt;&gt;""))+SUMPRODUCT(--ISNUMBER(SEARCH(", "&amp;$B52&amp;", ",", "&amp;'Giao nhận &amp; Theo dõi đơn'!$B$7:$B$500&amp;", ")),--('Giao nhận &amp; Theo dõi đơn'!$AT$7:$AT$500&lt;&gt;""))+SUMPRODUCT(--ISNUMBER(SEARCH(", "&amp;$B52&amp;", ",", "&amp;'Bảng tin &amp; Chi tiết tin'!$B$7:$B$500&amp;", ")),--('Bảng tin &amp; Chi tiết tin'!$AT$7:$AT$500&lt;&gt;""))+SUMPRODUCT(--ISNUMBER(SEARCH(", "&amp;$B52&amp;", ",", "&amp;'Quà cảm ơn'!$B$7:$B$500&amp;", ")),--('Quà cảm ơn'!$AT$7:$AT$500&lt;&gt;""))+SUMPRODUCT(--ISNUMBER(SEARCH(", "&amp;$B52&amp;", ",", "&amp;'Trang chủ'!$B$7:$B$500&amp;", ")),--('Trang chủ'!$AT$7:$AT$500&lt;&gt;""))+SUMPRODUCT(--ISNUMBER(SEARCH(", "&amp;$B52&amp;", ",", "&amp;'Thông báo'!$B$7:$B$500&amp;", ")),--('Thông báo'!$AT$7:$AT$500&lt;&gt;""))+SUMPRODUCT(--ISNUMBER(SEARCH(", "&amp;$B52&amp;", ",", "&amp;'Đăng tin &amp; Quản lý tin'!$B$7:$B$500&amp;", ")),--('Đăng tin &amp; Quản lý tin'!$AT$7:$AT$500&lt;&gt;""))+SUMPRODUCT(--ISNUMBER(SEARCH(", "&amp;$B52&amp;", ",", "&amp;'Trust &amp; Safety'!$B$7:$B$500&amp;", ")),--('Trust &amp; Safety'!$AT$7:$AT$500&lt;&gt;""))+SUMPRODUCT(--ISNUMBER(SEARCH(", "&amp;$B52&amp;", ",", "&amp;'Tài khoản &amp; Hồ sơ'!$B$7:$B$500&amp;", ")),--('Tài khoản &amp; Hồ sơ'!$AT$7:$AT$500&lt;&gt;""))</f>
        <v/>
      </c>
      <c r="G52" s="53">
        <f>SUMPRODUCT(--ISNUMBER(SEARCH(", "&amp;$B52&amp;", ",", "&amp;'Hoạt động (Đơn của tôi)'!$B$7:$B$500&amp;", ")),--('Hoạt động (Đơn của tôi)'!$AT$7:$AT$500="Pass"))+SUMPRODUCT(--ISNUMBER(SEARCH(", "&amp;$B52&amp;", ",", "&amp;'Ghép nối'!$B$7:$B$500&amp;", ")),--('Ghép nối'!$AT$7:$AT$500="Pass"))+SUMPRODUCT(--ISNUMBER(SEARCH(", "&amp;$B52&amp;", ",", "&amp;'Huỷ đơn - Huỷ nhận đơn'!$B$7:$B$500&amp;", ")),--('Huỷ đơn - Huỷ nhận đơn'!$AT$7:$AT$500="Pass"))+SUMPRODUCT(--ISNUMBER(SEARCH(", "&amp;$B52&amp;", ",", "&amp;'Giao nhận &amp; Theo dõi đơn'!$B$7:$B$500&amp;", ")),--('Giao nhận &amp; Theo dõi đơn'!$AT$7:$AT$500="Pass"))+SUMPRODUCT(--ISNUMBER(SEARCH(", "&amp;$B52&amp;", ",", "&amp;'Bảng tin &amp; Chi tiết tin'!$B$7:$B$500&amp;", ")),--('Bảng tin &amp; Chi tiết tin'!$AT$7:$AT$500="Pass"))+SUMPRODUCT(--ISNUMBER(SEARCH(", "&amp;$B52&amp;", ",", "&amp;'Quà cảm ơn'!$B$7:$B$500&amp;", ")),--('Quà cảm ơn'!$AT$7:$AT$500="Pass"))+SUMPRODUCT(--ISNUMBER(SEARCH(", "&amp;$B52&amp;", ",", "&amp;'Trang chủ'!$B$7:$B$500&amp;", ")),--('Trang chủ'!$AT$7:$AT$500="Pass"))+SUMPRODUCT(--ISNUMBER(SEARCH(", "&amp;$B52&amp;", ",", "&amp;'Thông báo'!$B$7:$B$500&amp;", ")),--('Thông báo'!$AT$7:$AT$500="Pass"))+SUMPRODUCT(--ISNUMBER(SEARCH(", "&amp;$B52&amp;", ",", "&amp;'Đăng tin &amp; Quản lý tin'!$B$7:$B$500&amp;", ")),--('Đăng tin &amp; Quản lý tin'!$AT$7:$AT$500="Pass"))+SUMPRODUCT(--ISNUMBER(SEARCH(", "&amp;$B52&amp;", ",", "&amp;'Trust &amp; Safety'!$B$7:$B$500&amp;", ")),--('Trust &amp; Safety'!$AT$7:$AT$500="Pass"))+SUMPRODUCT(--ISNUMBER(SEARCH(", "&amp;$B52&amp;", ",", "&amp;'Tài khoản &amp; Hồ sơ'!$B$7:$B$500&amp;", ")),--('Tài khoản &amp; Hồ sơ'!$AT$7:$AT$500="Pass"))</f>
        <v/>
      </c>
      <c r="H52" s="53">
        <f>SUMPRODUCT(--ISNUMBER(SEARCH(", "&amp;$B52&amp;", ",", "&amp;'Hoạt động (Đơn của tôi)'!$B$7:$B$500&amp;", ")),--('Hoạt động (Đơn của tôi)'!$AT$7:$AT$500="Fail"))+SUMPRODUCT(--ISNUMBER(SEARCH(", "&amp;$B52&amp;", ",", "&amp;'Ghép nối'!$B$7:$B$500&amp;", ")),--('Ghép nối'!$AT$7:$AT$500="Fail"))+SUMPRODUCT(--ISNUMBER(SEARCH(", "&amp;$B52&amp;", ",", "&amp;'Huỷ đơn - Huỷ nhận đơn'!$B$7:$B$500&amp;", ")),--('Huỷ đơn - Huỷ nhận đơn'!$AT$7:$AT$500="Fail"))+SUMPRODUCT(--ISNUMBER(SEARCH(", "&amp;$B52&amp;", ",", "&amp;'Giao nhận &amp; Theo dõi đơn'!$B$7:$B$500&amp;", ")),--('Giao nhận &amp; Theo dõi đơn'!$AT$7:$AT$500="Fail"))+SUMPRODUCT(--ISNUMBER(SEARCH(", "&amp;$B52&amp;", ",", "&amp;'Bảng tin &amp; Chi tiết tin'!$B$7:$B$500&amp;", ")),--('Bảng tin &amp; Chi tiết tin'!$AT$7:$AT$500="Fail"))+SUMPRODUCT(--ISNUMBER(SEARCH(", "&amp;$B52&amp;", ",", "&amp;'Quà cảm ơn'!$B$7:$B$500&amp;", ")),--('Quà cảm ơn'!$AT$7:$AT$500="Fail"))+SUMPRODUCT(--ISNUMBER(SEARCH(", "&amp;$B52&amp;", ",", "&amp;'Trang chủ'!$B$7:$B$500&amp;", ")),--('Trang chủ'!$AT$7:$AT$500="Fail"))+SUMPRODUCT(--ISNUMBER(SEARCH(", "&amp;$B52&amp;", ",", "&amp;'Thông báo'!$B$7:$B$500&amp;", ")),--('Thông báo'!$AT$7:$AT$500="Fail"))+SUMPRODUCT(--ISNUMBER(SEARCH(", "&amp;$B52&amp;", ",", "&amp;'Đăng tin &amp; Quản lý tin'!$B$7:$B$500&amp;", ")),--('Đăng tin &amp; Quản lý tin'!$AT$7:$AT$500="Fail"))+SUMPRODUCT(--ISNUMBER(SEARCH(", "&amp;$B52&amp;", ",", "&amp;'Trust &amp; Safety'!$B$7:$B$500&amp;", ")),--('Trust &amp; Safety'!$AT$7:$AT$500="Fail"))+SUMPRODUCT(--ISNUMBER(SEARCH(", "&amp;$B52&amp;", ",", "&amp;'Tài khoản &amp; Hồ sơ'!$B$7:$B$500&amp;", ")),--('Tài khoản &amp; Hồ sơ'!$AT$7:$AT$500="Fail"))</f>
        <v/>
      </c>
      <c r="I52" s="53">
        <f>SUMPRODUCT(--ISNUMBER(SEARCH(", "&amp;$B52&amp;", ",", "&amp;'Hoạt động (Đơn của tôi)'!$B$7:$B$500&amp;", ")),--('Hoạt động (Đơn của tôi)'!$AT$7:$AT$500="Block"))+SUMPRODUCT(--ISNUMBER(SEARCH(", "&amp;$B52&amp;", ",", "&amp;'Ghép nối'!$B$7:$B$500&amp;", ")),--('Ghép nối'!$AT$7:$AT$500="Block"))+SUMPRODUCT(--ISNUMBER(SEARCH(", "&amp;$B52&amp;", ",", "&amp;'Huỷ đơn - Huỷ nhận đơn'!$B$7:$B$500&amp;", ")),--('Huỷ đơn - Huỷ nhận đơn'!$AT$7:$AT$500="Block"))+SUMPRODUCT(--ISNUMBER(SEARCH(", "&amp;$B52&amp;", ",", "&amp;'Giao nhận &amp; Theo dõi đơn'!$B$7:$B$500&amp;", ")),--('Giao nhận &amp; Theo dõi đơn'!$AT$7:$AT$500="Block"))+SUMPRODUCT(--ISNUMBER(SEARCH(", "&amp;$B52&amp;", ",", "&amp;'Bảng tin &amp; Chi tiết tin'!$B$7:$B$500&amp;", ")),--('Bảng tin &amp; Chi tiết tin'!$AT$7:$AT$500="Block"))+SUMPRODUCT(--ISNUMBER(SEARCH(", "&amp;$B52&amp;", ",", "&amp;'Quà cảm ơn'!$B$7:$B$500&amp;", ")),--('Quà cảm ơn'!$AT$7:$AT$500="Block"))+SUMPRODUCT(--ISNUMBER(SEARCH(", "&amp;$B52&amp;", ",", "&amp;'Trang chủ'!$B$7:$B$500&amp;", ")),--('Trang chủ'!$AT$7:$AT$500="Block"))+SUMPRODUCT(--ISNUMBER(SEARCH(", "&amp;$B52&amp;", ",", "&amp;'Thông báo'!$B$7:$B$500&amp;", ")),--('Thông báo'!$AT$7:$AT$500="Block"))+SUMPRODUCT(--ISNUMBER(SEARCH(", "&amp;$B52&amp;", ",", "&amp;'Đăng tin &amp; Quản lý tin'!$B$7:$B$500&amp;", ")),--('Đăng tin &amp; Quản lý tin'!$AT$7:$AT$500="Block"))+SUMPRODUCT(--ISNUMBER(SEARCH(", "&amp;$B52&amp;", ",", "&amp;'Trust &amp; Safety'!$B$7:$B$500&amp;", ")),--('Trust &amp; Safety'!$AT$7:$AT$500="Block"))+SUMPRODUCT(--ISNUMBER(SEARCH(", "&amp;$B52&amp;", ",", "&amp;'Tài khoản &amp; Hồ sơ'!$B$7:$B$500&amp;", ")),--('Tài khoản &amp; Hồ sơ'!$AT$7:$AT$500="Block"))</f>
        <v/>
      </c>
      <c r="J52" s="53">
        <f>SUMPRODUCT(--ISNUMBER(SEARCH(", "&amp;$B52&amp;", ",", "&amp;'Hoạt động (Đơn của tôi)'!$B$7:$B$500&amp;", ")),--('Hoạt động (Đơn của tôi)'!$AT$7:$AT$500="N/A"))+SUMPRODUCT(--ISNUMBER(SEARCH(", "&amp;$B52&amp;", ",", "&amp;'Ghép nối'!$B$7:$B$500&amp;", ")),--('Ghép nối'!$AT$7:$AT$500="N/A"))+SUMPRODUCT(--ISNUMBER(SEARCH(", "&amp;$B52&amp;", ",", "&amp;'Huỷ đơn - Huỷ nhận đơn'!$B$7:$B$500&amp;", ")),--('Huỷ đơn - Huỷ nhận đơn'!$AT$7:$AT$500="N/A"))+SUMPRODUCT(--ISNUMBER(SEARCH(", "&amp;$B52&amp;", ",", "&amp;'Giao nhận &amp; Theo dõi đơn'!$B$7:$B$500&amp;", ")),--('Giao nhận &amp; Theo dõi đơn'!$AT$7:$AT$500="N/A"))+SUMPRODUCT(--ISNUMBER(SEARCH(", "&amp;$B52&amp;", ",", "&amp;'Bảng tin &amp; Chi tiết tin'!$B$7:$B$500&amp;", ")),--('Bảng tin &amp; Chi tiết tin'!$AT$7:$AT$500="N/A"))+SUMPRODUCT(--ISNUMBER(SEARCH(", "&amp;$B52&amp;", ",", "&amp;'Quà cảm ơn'!$B$7:$B$500&amp;", ")),--('Quà cảm ơn'!$AT$7:$AT$500="N/A"))+SUMPRODUCT(--ISNUMBER(SEARCH(", "&amp;$B52&amp;", ",", "&amp;'Trang chủ'!$B$7:$B$500&amp;", ")),--('Trang chủ'!$AT$7:$AT$500="N/A"))+SUMPRODUCT(--ISNUMBER(SEARCH(", "&amp;$B52&amp;", ",", "&amp;'Thông báo'!$B$7:$B$500&amp;", ")),--('Thông báo'!$AT$7:$AT$500="N/A"))+SUMPRODUCT(--ISNUMBER(SEARCH(", "&amp;$B52&amp;", ",", "&amp;'Đăng tin &amp; Quản lý tin'!$B$7:$B$500&amp;", ")),--('Đăng tin &amp; Quản lý tin'!$AT$7:$AT$500="N/A"))+SUMPRODUCT(--ISNUMBER(SEARCH(", "&amp;$B52&amp;", ",", "&amp;'Trust &amp; Safety'!$B$7:$B$500&amp;", ")),--('Trust &amp; Safety'!$AT$7:$AT$500="N/A"))+SUMPRODUCT(--ISNUMBER(SEARCH(", "&amp;$B52&amp;", ",", "&amp;'Tài khoản &amp; Hồ sơ'!$B$7:$B$500&amp;", ")),--('Tài khoản &amp; Hồ sơ'!$AT$7:$AT$500="N/A"))</f>
        <v/>
      </c>
      <c r="K52" s="54">
        <f>IFERROR(F52/E52,0)</f>
        <v/>
      </c>
      <c r="L52" s="113">
        <f>IF(E52=0,"Chưa có TC (gap)",IF(H52&gt;0,"Có lỗi (Fail)",IF(I52&gt;0,"Bị block",IF(F52&lt;E52,"Đang test",IF(G52=0,"Không áp dụng (N/A)","Đã test xong")))))</f>
        <v/>
      </c>
      <c r="AB52" t="inlineStr">
        <is>
          <t>REQ-DLV</t>
        </is>
      </c>
    </row>
    <row r="53" ht="15.75" customHeight="1" s="216">
      <c r="A53" s="1" t="n"/>
      <c r="B53" s="112" t="inlineStr">
        <is>
          <t>REQ-DLV-008</t>
        </is>
      </c>
      <c r="C53" s="261" t="inlineStr"/>
      <c r="D53" s="113" t="inlineStr">
        <is>
          <t>DOC-v1.0-02 · DOC-v1.0-06</t>
        </is>
      </c>
      <c r="E53" s="53">
        <f>SUMPRODUCT(--ISNUMBER(SEARCH(", "&amp;$B53&amp;", ",", "&amp;'Hoạt động (Đơn của tôi)'!$B$7:$B$500&amp;", ")))+SUMPRODUCT(--ISNUMBER(SEARCH(", "&amp;$B53&amp;", ",", "&amp;'Ghép nối'!$B$7:$B$500&amp;", ")))+SUMPRODUCT(--ISNUMBER(SEARCH(", "&amp;$B53&amp;", ",", "&amp;'Huỷ đơn - Huỷ nhận đơn'!$B$7:$B$500&amp;", ")))+SUMPRODUCT(--ISNUMBER(SEARCH(", "&amp;$B53&amp;", ",", "&amp;'Giao nhận &amp; Theo dõi đơn'!$B$7:$B$500&amp;", ")))+SUMPRODUCT(--ISNUMBER(SEARCH(", "&amp;$B53&amp;", ",", "&amp;'Bảng tin &amp; Chi tiết tin'!$B$7:$B$500&amp;", ")))+SUMPRODUCT(--ISNUMBER(SEARCH(", "&amp;$B53&amp;", ",", "&amp;'Quà cảm ơn'!$B$7:$B$500&amp;", ")))+SUMPRODUCT(--ISNUMBER(SEARCH(", "&amp;$B53&amp;", ",", "&amp;'Trang chủ'!$B$7:$B$500&amp;", ")))+SUMPRODUCT(--ISNUMBER(SEARCH(", "&amp;$B53&amp;", ",", "&amp;'Thông báo'!$B$7:$B$500&amp;", ")))+SUMPRODUCT(--ISNUMBER(SEARCH(", "&amp;$B53&amp;", ",", "&amp;'Đăng tin &amp; Quản lý tin'!$B$7:$B$500&amp;", ")))+SUMPRODUCT(--ISNUMBER(SEARCH(", "&amp;$B53&amp;", ",", "&amp;'Trust &amp; Safety'!$B$7:$B$500&amp;", ")))+SUMPRODUCT(--ISNUMBER(SEARCH(", "&amp;$B53&amp;", ",", "&amp;'Tài khoản &amp; Hồ sơ'!$B$7:$B$500&amp;", ")))</f>
        <v/>
      </c>
      <c r="F53" s="53">
        <f>SUMPRODUCT(--ISNUMBER(SEARCH(", "&amp;$B53&amp;", ",", "&amp;'Hoạt động (Đơn của tôi)'!$B$7:$B$500&amp;", ")),--('Hoạt động (Đơn của tôi)'!$AT$7:$AT$500&lt;&gt;""))+SUMPRODUCT(--ISNUMBER(SEARCH(", "&amp;$B53&amp;", ",", "&amp;'Ghép nối'!$B$7:$B$500&amp;", ")),--('Ghép nối'!$AT$7:$AT$500&lt;&gt;""))+SUMPRODUCT(--ISNUMBER(SEARCH(", "&amp;$B53&amp;", ",", "&amp;'Huỷ đơn - Huỷ nhận đơn'!$B$7:$B$500&amp;", ")),--('Huỷ đơn - Huỷ nhận đơn'!$AT$7:$AT$500&lt;&gt;""))+SUMPRODUCT(--ISNUMBER(SEARCH(", "&amp;$B53&amp;", ",", "&amp;'Giao nhận &amp; Theo dõi đơn'!$B$7:$B$500&amp;", ")),--('Giao nhận &amp; Theo dõi đơn'!$AT$7:$AT$500&lt;&gt;""))+SUMPRODUCT(--ISNUMBER(SEARCH(", "&amp;$B53&amp;", ",", "&amp;'Bảng tin &amp; Chi tiết tin'!$B$7:$B$500&amp;", ")),--('Bảng tin &amp; Chi tiết tin'!$AT$7:$AT$500&lt;&gt;""))+SUMPRODUCT(--ISNUMBER(SEARCH(", "&amp;$B53&amp;", ",", "&amp;'Quà cảm ơn'!$B$7:$B$500&amp;", ")),--('Quà cảm ơn'!$AT$7:$AT$500&lt;&gt;""))+SUMPRODUCT(--ISNUMBER(SEARCH(", "&amp;$B53&amp;", ",", "&amp;'Trang chủ'!$B$7:$B$500&amp;", ")),--('Trang chủ'!$AT$7:$AT$500&lt;&gt;""))+SUMPRODUCT(--ISNUMBER(SEARCH(", "&amp;$B53&amp;", ",", "&amp;'Thông báo'!$B$7:$B$500&amp;", ")),--('Thông báo'!$AT$7:$AT$500&lt;&gt;""))+SUMPRODUCT(--ISNUMBER(SEARCH(", "&amp;$B53&amp;", ",", "&amp;'Đăng tin &amp; Quản lý tin'!$B$7:$B$500&amp;", ")),--('Đăng tin &amp; Quản lý tin'!$AT$7:$AT$500&lt;&gt;""))+SUMPRODUCT(--ISNUMBER(SEARCH(", "&amp;$B53&amp;", ",", "&amp;'Trust &amp; Safety'!$B$7:$B$500&amp;", ")),--('Trust &amp; Safety'!$AT$7:$AT$500&lt;&gt;""))+SUMPRODUCT(--ISNUMBER(SEARCH(", "&amp;$B53&amp;", ",", "&amp;'Tài khoản &amp; Hồ sơ'!$B$7:$B$500&amp;", ")),--('Tài khoản &amp; Hồ sơ'!$AT$7:$AT$500&lt;&gt;""))</f>
        <v/>
      </c>
      <c r="G53" s="53">
        <f>SUMPRODUCT(--ISNUMBER(SEARCH(", "&amp;$B53&amp;", ",", "&amp;'Hoạt động (Đơn của tôi)'!$B$7:$B$500&amp;", ")),--('Hoạt động (Đơn của tôi)'!$AT$7:$AT$500="Pass"))+SUMPRODUCT(--ISNUMBER(SEARCH(", "&amp;$B53&amp;", ",", "&amp;'Ghép nối'!$B$7:$B$500&amp;", ")),--('Ghép nối'!$AT$7:$AT$500="Pass"))+SUMPRODUCT(--ISNUMBER(SEARCH(", "&amp;$B53&amp;", ",", "&amp;'Huỷ đơn - Huỷ nhận đơn'!$B$7:$B$500&amp;", ")),--('Huỷ đơn - Huỷ nhận đơn'!$AT$7:$AT$500="Pass"))+SUMPRODUCT(--ISNUMBER(SEARCH(", "&amp;$B53&amp;", ",", "&amp;'Giao nhận &amp; Theo dõi đơn'!$B$7:$B$500&amp;", ")),--('Giao nhận &amp; Theo dõi đơn'!$AT$7:$AT$500="Pass"))+SUMPRODUCT(--ISNUMBER(SEARCH(", "&amp;$B53&amp;", ",", "&amp;'Bảng tin &amp; Chi tiết tin'!$B$7:$B$500&amp;", ")),--('Bảng tin &amp; Chi tiết tin'!$AT$7:$AT$500="Pass"))+SUMPRODUCT(--ISNUMBER(SEARCH(", "&amp;$B53&amp;", ",", "&amp;'Quà cảm ơn'!$B$7:$B$500&amp;", ")),--('Quà cảm ơn'!$AT$7:$AT$500="Pass"))+SUMPRODUCT(--ISNUMBER(SEARCH(", "&amp;$B53&amp;", ",", "&amp;'Trang chủ'!$B$7:$B$500&amp;", ")),--('Trang chủ'!$AT$7:$AT$500="Pass"))+SUMPRODUCT(--ISNUMBER(SEARCH(", "&amp;$B53&amp;", ",", "&amp;'Thông báo'!$B$7:$B$500&amp;", ")),--('Thông báo'!$AT$7:$AT$500="Pass"))+SUMPRODUCT(--ISNUMBER(SEARCH(", "&amp;$B53&amp;", ",", "&amp;'Đăng tin &amp; Quản lý tin'!$B$7:$B$500&amp;", ")),--('Đăng tin &amp; Quản lý tin'!$AT$7:$AT$500="Pass"))+SUMPRODUCT(--ISNUMBER(SEARCH(", "&amp;$B53&amp;", ",", "&amp;'Trust &amp; Safety'!$B$7:$B$500&amp;", ")),--('Trust &amp; Safety'!$AT$7:$AT$500="Pass"))+SUMPRODUCT(--ISNUMBER(SEARCH(", "&amp;$B53&amp;", ",", "&amp;'Tài khoản &amp; Hồ sơ'!$B$7:$B$500&amp;", ")),--('Tài khoản &amp; Hồ sơ'!$AT$7:$AT$500="Pass"))</f>
        <v/>
      </c>
      <c r="H53" s="53">
        <f>SUMPRODUCT(--ISNUMBER(SEARCH(", "&amp;$B53&amp;", ",", "&amp;'Hoạt động (Đơn của tôi)'!$B$7:$B$500&amp;", ")),--('Hoạt động (Đơn của tôi)'!$AT$7:$AT$500="Fail"))+SUMPRODUCT(--ISNUMBER(SEARCH(", "&amp;$B53&amp;", ",", "&amp;'Ghép nối'!$B$7:$B$500&amp;", ")),--('Ghép nối'!$AT$7:$AT$500="Fail"))+SUMPRODUCT(--ISNUMBER(SEARCH(", "&amp;$B53&amp;", ",", "&amp;'Huỷ đơn - Huỷ nhận đơn'!$B$7:$B$500&amp;", ")),--('Huỷ đơn - Huỷ nhận đơn'!$AT$7:$AT$500="Fail"))+SUMPRODUCT(--ISNUMBER(SEARCH(", "&amp;$B53&amp;", ",", "&amp;'Giao nhận &amp; Theo dõi đơn'!$B$7:$B$500&amp;", ")),--('Giao nhận &amp; Theo dõi đơn'!$AT$7:$AT$500="Fail"))+SUMPRODUCT(--ISNUMBER(SEARCH(", "&amp;$B53&amp;", ",", "&amp;'Bảng tin &amp; Chi tiết tin'!$B$7:$B$500&amp;", ")),--('Bảng tin &amp; Chi tiết tin'!$AT$7:$AT$500="Fail"))+SUMPRODUCT(--ISNUMBER(SEARCH(", "&amp;$B53&amp;", ",", "&amp;'Quà cảm ơn'!$B$7:$B$500&amp;", ")),--('Quà cảm ơn'!$AT$7:$AT$500="Fail"))+SUMPRODUCT(--ISNUMBER(SEARCH(", "&amp;$B53&amp;", ",", "&amp;'Trang chủ'!$B$7:$B$500&amp;", ")),--('Trang chủ'!$AT$7:$AT$500="Fail"))+SUMPRODUCT(--ISNUMBER(SEARCH(", "&amp;$B53&amp;", ",", "&amp;'Thông báo'!$B$7:$B$500&amp;", ")),--('Thông báo'!$AT$7:$AT$500="Fail"))+SUMPRODUCT(--ISNUMBER(SEARCH(", "&amp;$B53&amp;", ",", "&amp;'Đăng tin &amp; Quản lý tin'!$B$7:$B$500&amp;", ")),--('Đăng tin &amp; Quản lý tin'!$AT$7:$AT$500="Fail"))+SUMPRODUCT(--ISNUMBER(SEARCH(", "&amp;$B53&amp;", ",", "&amp;'Trust &amp; Safety'!$B$7:$B$500&amp;", ")),--('Trust &amp; Safety'!$AT$7:$AT$500="Fail"))+SUMPRODUCT(--ISNUMBER(SEARCH(", "&amp;$B53&amp;", ",", "&amp;'Tài khoản &amp; Hồ sơ'!$B$7:$B$500&amp;", ")),--('Tài khoản &amp; Hồ sơ'!$AT$7:$AT$500="Fail"))</f>
        <v/>
      </c>
      <c r="I53" s="53">
        <f>SUMPRODUCT(--ISNUMBER(SEARCH(", "&amp;$B53&amp;", ",", "&amp;'Hoạt động (Đơn của tôi)'!$B$7:$B$500&amp;", ")),--('Hoạt động (Đơn của tôi)'!$AT$7:$AT$500="Block"))+SUMPRODUCT(--ISNUMBER(SEARCH(", "&amp;$B53&amp;", ",", "&amp;'Ghép nối'!$B$7:$B$500&amp;", ")),--('Ghép nối'!$AT$7:$AT$500="Block"))+SUMPRODUCT(--ISNUMBER(SEARCH(", "&amp;$B53&amp;", ",", "&amp;'Huỷ đơn - Huỷ nhận đơn'!$B$7:$B$500&amp;", ")),--('Huỷ đơn - Huỷ nhận đơn'!$AT$7:$AT$500="Block"))+SUMPRODUCT(--ISNUMBER(SEARCH(", "&amp;$B53&amp;", ",", "&amp;'Giao nhận &amp; Theo dõi đơn'!$B$7:$B$500&amp;", ")),--('Giao nhận &amp; Theo dõi đơn'!$AT$7:$AT$500="Block"))+SUMPRODUCT(--ISNUMBER(SEARCH(", "&amp;$B53&amp;", ",", "&amp;'Bảng tin &amp; Chi tiết tin'!$B$7:$B$500&amp;", ")),--('Bảng tin &amp; Chi tiết tin'!$AT$7:$AT$500="Block"))+SUMPRODUCT(--ISNUMBER(SEARCH(", "&amp;$B53&amp;", ",", "&amp;'Quà cảm ơn'!$B$7:$B$500&amp;", ")),--('Quà cảm ơn'!$AT$7:$AT$500="Block"))+SUMPRODUCT(--ISNUMBER(SEARCH(", "&amp;$B53&amp;", ",", "&amp;'Trang chủ'!$B$7:$B$500&amp;", ")),--('Trang chủ'!$AT$7:$AT$500="Block"))+SUMPRODUCT(--ISNUMBER(SEARCH(", "&amp;$B53&amp;", ",", "&amp;'Thông báo'!$B$7:$B$500&amp;", ")),--('Thông báo'!$AT$7:$AT$500="Block"))+SUMPRODUCT(--ISNUMBER(SEARCH(", "&amp;$B53&amp;", ",", "&amp;'Đăng tin &amp; Quản lý tin'!$B$7:$B$500&amp;", ")),--('Đăng tin &amp; Quản lý tin'!$AT$7:$AT$500="Block"))+SUMPRODUCT(--ISNUMBER(SEARCH(", "&amp;$B53&amp;", ",", "&amp;'Trust &amp; Safety'!$B$7:$B$500&amp;", ")),--('Trust &amp; Safety'!$AT$7:$AT$500="Block"))+SUMPRODUCT(--ISNUMBER(SEARCH(", "&amp;$B53&amp;", ",", "&amp;'Tài khoản &amp; Hồ sơ'!$B$7:$B$500&amp;", ")),--('Tài khoản &amp; Hồ sơ'!$AT$7:$AT$500="Block"))</f>
        <v/>
      </c>
      <c r="J53" s="53">
        <f>SUMPRODUCT(--ISNUMBER(SEARCH(", "&amp;$B53&amp;", ",", "&amp;'Hoạt động (Đơn của tôi)'!$B$7:$B$500&amp;", ")),--('Hoạt động (Đơn của tôi)'!$AT$7:$AT$500="N/A"))+SUMPRODUCT(--ISNUMBER(SEARCH(", "&amp;$B53&amp;", ",", "&amp;'Ghép nối'!$B$7:$B$500&amp;", ")),--('Ghép nối'!$AT$7:$AT$500="N/A"))+SUMPRODUCT(--ISNUMBER(SEARCH(", "&amp;$B53&amp;", ",", "&amp;'Huỷ đơn - Huỷ nhận đơn'!$B$7:$B$500&amp;", ")),--('Huỷ đơn - Huỷ nhận đơn'!$AT$7:$AT$500="N/A"))+SUMPRODUCT(--ISNUMBER(SEARCH(", "&amp;$B53&amp;", ",", "&amp;'Giao nhận &amp; Theo dõi đơn'!$B$7:$B$500&amp;", ")),--('Giao nhận &amp; Theo dõi đơn'!$AT$7:$AT$500="N/A"))+SUMPRODUCT(--ISNUMBER(SEARCH(", "&amp;$B53&amp;", ",", "&amp;'Bảng tin &amp; Chi tiết tin'!$B$7:$B$500&amp;", ")),--('Bảng tin &amp; Chi tiết tin'!$AT$7:$AT$500="N/A"))+SUMPRODUCT(--ISNUMBER(SEARCH(", "&amp;$B53&amp;", ",", "&amp;'Quà cảm ơn'!$B$7:$B$500&amp;", ")),--('Quà cảm ơn'!$AT$7:$AT$500="N/A"))+SUMPRODUCT(--ISNUMBER(SEARCH(", "&amp;$B53&amp;", ",", "&amp;'Trang chủ'!$B$7:$B$500&amp;", ")),--('Trang chủ'!$AT$7:$AT$500="N/A"))+SUMPRODUCT(--ISNUMBER(SEARCH(", "&amp;$B53&amp;", ",", "&amp;'Thông báo'!$B$7:$B$500&amp;", ")),--('Thông báo'!$AT$7:$AT$500="N/A"))+SUMPRODUCT(--ISNUMBER(SEARCH(", "&amp;$B53&amp;", ",", "&amp;'Đăng tin &amp; Quản lý tin'!$B$7:$B$500&amp;", ")),--('Đăng tin &amp; Quản lý tin'!$AT$7:$AT$500="N/A"))+SUMPRODUCT(--ISNUMBER(SEARCH(", "&amp;$B53&amp;", ",", "&amp;'Trust &amp; Safety'!$B$7:$B$500&amp;", ")),--('Trust &amp; Safety'!$AT$7:$AT$500="N/A"))+SUMPRODUCT(--ISNUMBER(SEARCH(", "&amp;$B53&amp;", ",", "&amp;'Tài khoản &amp; Hồ sơ'!$B$7:$B$500&amp;", ")),--('Tài khoản &amp; Hồ sơ'!$AT$7:$AT$500="N/A"))</f>
        <v/>
      </c>
      <c r="K53" s="54">
        <f>IFERROR(F53/E53,0)</f>
        <v/>
      </c>
      <c r="L53" s="113">
        <f>IF(E53=0,"Chưa có TC (gap)",IF(H53&gt;0,"Có lỗi (Fail)",IF(I53&gt;0,"Bị block",IF(F53&lt;E53,"Đang test",IF(G53=0,"Không áp dụng (N/A)","Đã test xong")))))</f>
        <v/>
      </c>
      <c r="AB53" t="inlineStr">
        <is>
          <t>REQ-DLV</t>
        </is>
      </c>
    </row>
    <row r="54" ht="15.75" customHeight="1" s="216">
      <c r="A54" s="1" t="n"/>
      <c r="B54" s="112" t="inlineStr">
        <is>
          <t>REQ-DLV-009</t>
        </is>
      </c>
      <c r="C54" s="261" t="inlineStr"/>
      <c r="D54" s="113" t="inlineStr">
        <is>
          <t>DOC-v1.0-02</t>
        </is>
      </c>
      <c r="E54" s="53">
        <f>SUMPRODUCT(--ISNUMBER(SEARCH(", "&amp;$B54&amp;", ",", "&amp;'Hoạt động (Đơn của tôi)'!$B$7:$B$500&amp;", ")))+SUMPRODUCT(--ISNUMBER(SEARCH(", "&amp;$B54&amp;", ",", "&amp;'Ghép nối'!$B$7:$B$500&amp;", ")))+SUMPRODUCT(--ISNUMBER(SEARCH(", "&amp;$B54&amp;", ",", "&amp;'Huỷ đơn - Huỷ nhận đơn'!$B$7:$B$500&amp;", ")))+SUMPRODUCT(--ISNUMBER(SEARCH(", "&amp;$B54&amp;", ",", "&amp;'Giao nhận &amp; Theo dõi đơn'!$B$7:$B$500&amp;", ")))+SUMPRODUCT(--ISNUMBER(SEARCH(", "&amp;$B54&amp;", ",", "&amp;'Bảng tin &amp; Chi tiết tin'!$B$7:$B$500&amp;", ")))+SUMPRODUCT(--ISNUMBER(SEARCH(", "&amp;$B54&amp;", ",", "&amp;'Quà cảm ơn'!$B$7:$B$500&amp;", ")))+SUMPRODUCT(--ISNUMBER(SEARCH(", "&amp;$B54&amp;", ",", "&amp;'Trang chủ'!$B$7:$B$500&amp;", ")))+SUMPRODUCT(--ISNUMBER(SEARCH(", "&amp;$B54&amp;", ",", "&amp;'Thông báo'!$B$7:$B$500&amp;", ")))+SUMPRODUCT(--ISNUMBER(SEARCH(", "&amp;$B54&amp;", ",", "&amp;'Đăng tin &amp; Quản lý tin'!$B$7:$B$500&amp;", ")))+SUMPRODUCT(--ISNUMBER(SEARCH(", "&amp;$B54&amp;", ",", "&amp;'Trust &amp; Safety'!$B$7:$B$500&amp;", ")))+SUMPRODUCT(--ISNUMBER(SEARCH(", "&amp;$B54&amp;", ",", "&amp;'Tài khoản &amp; Hồ sơ'!$B$7:$B$500&amp;", ")))</f>
        <v/>
      </c>
      <c r="F54" s="53">
        <f>SUMPRODUCT(--ISNUMBER(SEARCH(", "&amp;$B54&amp;", ",", "&amp;'Hoạt động (Đơn của tôi)'!$B$7:$B$500&amp;", ")),--('Hoạt động (Đơn của tôi)'!$AT$7:$AT$500&lt;&gt;""))+SUMPRODUCT(--ISNUMBER(SEARCH(", "&amp;$B54&amp;", ",", "&amp;'Ghép nối'!$B$7:$B$500&amp;", ")),--('Ghép nối'!$AT$7:$AT$500&lt;&gt;""))+SUMPRODUCT(--ISNUMBER(SEARCH(", "&amp;$B54&amp;", ",", "&amp;'Huỷ đơn - Huỷ nhận đơn'!$B$7:$B$500&amp;", ")),--('Huỷ đơn - Huỷ nhận đơn'!$AT$7:$AT$500&lt;&gt;""))+SUMPRODUCT(--ISNUMBER(SEARCH(", "&amp;$B54&amp;", ",", "&amp;'Giao nhận &amp; Theo dõi đơn'!$B$7:$B$500&amp;", ")),--('Giao nhận &amp; Theo dõi đơn'!$AT$7:$AT$500&lt;&gt;""))+SUMPRODUCT(--ISNUMBER(SEARCH(", "&amp;$B54&amp;", ",", "&amp;'Bảng tin &amp; Chi tiết tin'!$B$7:$B$500&amp;", ")),--('Bảng tin &amp; Chi tiết tin'!$AT$7:$AT$500&lt;&gt;""))+SUMPRODUCT(--ISNUMBER(SEARCH(", "&amp;$B54&amp;", ",", "&amp;'Quà cảm ơn'!$B$7:$B$500&amp;", ")),--('Quà cảm ơn'!$AT$7:$AT$500&lt;&gt;""))+SUMPRODUCT(--ISNUMBER(SEARCH(", "&amp;$B54&amp;", ",", "&amp;'Trang chủ'!$B$7:$B$500&amp;", ")),--('Trang chủ'!$AT$7:$AT$500&lt;&gt;""))+SUMPRODUCT(--ISNUMBER(SEARCH(", "&amp;$B54&amp;", ",", "&amp;'Thông báo'!$B$7:$B$500&amp;", ")),--('Thông báo'!$AT$7:$AT$500&lt;&gt;""))+SUMPRODUCT(--ISNUMBER(SEARCH(", "&amp;$B54&amp;", ",", "&amp;'Đăng tin &amp; Quản lý tin'!$B$7:$B$500&amp;", ")),--('Đăng tin &amp; Quản lý tin'!$AT$7:$AT$500&lt;&gt;""))+SUMPRODUCT(--ISNUMBER(SEARCH(", "&amp;$B54&amp;", ",", "&amp;'Trust &amp; Safety'!$B$7:$B$500&amp;", ")),--('Trust &amp; Safety'!$AT$7:$AT$500&lt;&gt;""))+SUMPRODUCT(--ISNUMBER(SEARCH(", "&amp;$B54&amp;", ",", "&amp;'Tài khoản &amp; Hồ sơ'!$B$7:$B$500&amp;", ")),--('Tài khoản &amp; Hồ sơ'!$AT$7:$AT$500&lt;&gt;""))</f>
        <v/>
      </c>
      <c r="G54" s="53">
        <f>SUMPRODUCT(--ISNUMBER(SEARCH(", "&amp;$B54&amp;", ",", "&amp;'Hoạt động (Đơn của tôi)'!$B$7:$B$500&amp;", ")),--('Hoạt động (Đơn của tôi)'!$AT$7:$AT$500="Pass"))+SUMPRODUCT(--ISNUMBER(SEARCH(", "&amp;$B54&amp;", ",", "&amp;'Ghép nối'!$B$7:$B$500&amp;", ")),--('Ghép nối'!$AT$7:$AT$500="Pass"))+SUMPRODUCT(--ISNUMBER(SEARCH(", "&amp;$B54&amp;", ",", "&amp;'Huỷ đơn - Huỷ nhận đơn'!$B$7:$B$500&amp;", ")),--('Huỷ đơn - Huỷ nhận đơn'!$AT$7:$AT$500="Pass"))+SUMPRODUCT(--ISNUMBER(SEARCH(", "&amp;$B54&amp;", ",", "&amp;'Giao nhận &amp; Theo dõi đơn'!$B$7:$B$500&amp;", ")),--('Giao nhận &amp; Theo dõi đơn'!$AT$7:$AT$500="Pass"))+SUMPRODUCT(--ISNUMBER(SEARCH(", "&amp;$B54&amp;", ",", "&amp;'Bảng tin &amp; Chi tiết tin'!$B$7:$B$500&amp;", ")),--('Bảng tin &amp; Chi tiết tin'!$AT$7:$AT$500="Pass"))+SUMPRODUCT(--ISNUMBER(SEARCH(", "&amp;$B54&amp;", ",", "&amp;'Quà cảm ơn'!$B$7:$B$500&amp;", ")),--('Quà cảm ơn'!$AT$7:$AT$500="Pass"))+SUMPRODUCT(--ISNUMBER(SEARCH(", "&amp;$B54&amp;", ",", "&amp;'Trang chủ'!$B$7:$B$500&amp;", ")),--('Trang chủ'!$AT$7:$AT$500="Pass"))+SUMPRODUCT(--ISNUMBER(SEARCH(", "&amp;$B54&amp;", ",", "&amp;'Thông báo'!$B$7:$B$500&amp;", ")),--('Thông báo'!$AT$7:$AT$500="Pass"))+SUMPRODUCT(--ISNUMBER(SEARCH(", "&amp;$B54&amp;", ",", "&amp;'Đăng tin &amp; Quản lý tin'!$B$7:$B$500&amp;", ")),--('Đăng tin &amp; Quản lý tin'!$AT$7:$AT$500="Pass"))+SUMPRODUCT(--ISNUMBER(SEARCH(", "&amp;$B54&amp;", ",", "&amp;'Trust &amp; Safety'!$B$7:$B$500&amp;", ")),--('Trust &amp; Safety'!$AT$7:$AT$500="Pass"))+SUMPRODUCT(--ISNUMBER(SEARCH(", "&amp;$B54&amp;", ",", "&amp;'Tài khoản &amp; Hồ sơ'!$B$7:$B$500&amp;", ")),--('Tài khoản &amp; Hồ sơ'!$AT$7:$AT$500="Pass"))</f>
        <v/>
      </c>
      <c r="H54" s="53">
        <f>SUMPRODUCT(--ISNUMBER(SEARCH(", "&amp;$B54&amp;", ",", "&amp;'Hoạt động (Đơn của tôi)'!$B$7:$B$500&amp;", ")),--('Hoạt động (Đơn của tôi)'!$AT$7:$AT$500="Fail"))+SUMPRODUCT(--ISNUMBER(SEARCH(", "&amp;$B54&amp;", ",", "&amp;'Ghép nối'!$B$7:$B$500&amp;", ")),--('Ghép nối'!$AT$7:$AT$500="Fail"))+SUMPRODUCT(--ISNUMBER(SEARCH(", "&amp;$B54&amp;", ",", "&amp;'Huỷ đơn - Huỷ nhận đơn'!$B$7:$B$500&amp;", ")),--('Huỷ đơn - Huỷ nhận đơn'!$AT$7:$AT$500="Fail"))+SUMPRODUCT(--ISNUMBER(SEARCH(", "&amp;$B54&amp;", ",", "&amp;'Giao nhận &amp; Theo dõi đơn'!$B$7:$B$500&amp;", ")),--('Giao nhận &amp; Theo dõi đơn'!$AT$7:$AT$500="Fail"))+SUMPRODUCT(--ISNUMBER(SEARCH(", "&amp;$B54&amp;", ",", "&amp;'Bảng tin &amp; Chi tiết tin'!$B$7:$B$500&amp;", ")),--('Bảng tin &amp; Chi tiết tin'!$AT$7:$AT$500="Fail"))+SUMPRODUCT(--ISNUMBER(SEARCH(", "&amp;$B54&amp;", ",", "&amp;'Quà cảm ơn'!$B$7:$B$500&amp;", ")),--('Quà cảm ơn'!$AT$7:$AT$500="Fail"))+SUMPRODUCT(--ISNUMBER(SEARCH(", "&amp;$B54&amp;", ",", "&amp;'Trang chủ'!$B$7:$B$500&amp;", ")),--('Trang chủ'!$AT$7:$AT$500="Fail"))+SUMPRODUCT(--ISNUMBER(SEARCH(", "&amp;$B54&amp;", ",", "&amp;'Thông báo'!$B$7:$B$500&amp;", ")),--('Thông báo'!$AT$7:$AT$500="Fail"))+SUMPRODUCT(--ISNUMBER(SEARCH(", "&amp;$B54&amp;", ",", "&amp;'Đăng tin &amp; Quản lý tin'!$B$7:$B$500&amp;", ")),--('Đăng tin &amp; Quản lý tin'!$AT$7:$AT$500="Fail"))+SUMPRODUCT(--ISNUMBER(SEARCH(", "&amp;$B54&amp;", ",", "&amp;'Trust &amp; Safety'!$B$7:$B$500&amp;", ")),--('Trust &amp; Safety'!$AT$7:$AT$500="Fail"))+SUMPRODUCT(--ISNUMBER(SEARCH(", "&amp;$B54&amp;", ",", "&amp;'Tài khoản &amp; Hồ sơ'!$B$7:$B$500&amp;", ")),--('Tài khoản &amp; Hồ sơ'!$AT$7:$AT$500="Fail"))</f>
        <v/>
      </c>
      <c r="I54" s="53">
        <f>SUMPRODUCT(--ISNUMBER(SEARCH(", "&amp;$B54&amp;", ",", "&amp;'Hoạt động (Đơn của tôi)'!$B$7:$B$500&amp;", ")),--('Hoạt động (Đơn của tôi)'!$AT$7:$AT$500="Block"))+SUMPRODUCT(--ISNUMBER(SEARCH(", "&amp;$B54&amp;", ",", "&amp;'Ghép nối'!$B$7:$B$500&amp;", ")),--('Ghép nối'!$AT$7:$AT$500="Block"))+SUMPRODUCT(--ISNUMBER(SEARCH(", "&amp;$B54&amp;", ",", "&amp;'Huỷ đơn - Huỷ nhận đơn'!$B$7:$B$500&amp;", ")),--('Huỷ đơn - Huỷ nhận đơn'!$AT$7:$AT$500="Block"))+SUMPRODUCT(--ISNUMBER(SEARCH(", "&amp;$B54&amp;", ",", "&amp;'Giao nhận &amp; Theo dõi đơn'!$B$7:$B$500&amp;", ")),--('Giao nhận &amp; Theo dõi đơn'!$AT$7:$AT$500="Block"))+SUMPRODUCT(--ISNUMBER(SEARCH(", "&amp;$B54&amp;", ",", "&amp;'Bảng tin &amp; Chi tiết tin'!$B$7:$B$500&amp;", ")),--('Bảng tin &amp; Chi tiết tin'!$AT$7:$AT$500="Block"))+SUMPRODUCT(--ISNUMBER(SEARCH(", "&amp;$B54&amp;", ",", "&amp;'Quà cảm ơn'!$B$7:$B$500&amp;", ")),--('Quà cảm ơn'!$AT$7:$AT$500="Block"))+SUMPRODUCT(--ISNUMBER(SEARCH(", "&amp;$B54&amp;", ",", "&amp;'Trang chủ'!$B$7:$B$500&amp;", ")),--('Trang chủ'!$AT$7:$AT$500="Block"))+SUMPRODUCT(--ISNUMBER(SEARCH(", "&amp;$B54&amp;", ",", "&amp;'Thông báo'!$B$7:$B$500&amp;", ")),--('Thông báo'!$AT$7:$AT$500="Block"))+SUMPRODUCT(--ISNUMBER(SEARCH(", "&amp;$B54&amp;", ",", "&amp;'Đăng tin &amp; Quản lý tin'!$B$7:$B$500&amp;", ")),--('Đăng tin &amp; Quản lý tin'!$AT$7:$AT$500="Block"))+SUMPRODUCT(--ISNUMBER(SEARCH(", "&amp;$B54&amp;", ",", "&amp;'Trust &amp; Safety'!$B$7:$B$500&amp;", ")),--('Trust &amp; Safety'!$AT$7:$AT$500="Block"))+SUMPRODUCT(--ISNUMBER(SEARCH(", "&amp;$B54&amp;", ",", "&amp;'Tài khoản &amp; Hồ sơ'!$B$7:$B$500&amp;", ")),--('Tài khoản &amp; Hồ sơ'!$AT$7:$AT$500="Block"))</f>
        <v/>
      </c>
      <c r="J54" s="53">
        <f>SUMPRODUCT(--ISNUMBER(SEARCH(", "&amp;$B54&amp;", ",", "&amp;'Hoạt động (Đơn của tôi)'!$B$7:$B$500&amp;", ")),--('Hoạt động (Đơn của tôi)'!$AT$7:$AT$500="N/A"))+SUMPRODUCT(--ISNUMBER(SEARCH(", "&amp;$B54&amp;", ",", "&amp;'Ghép nối'!$B$7:$B$500&amp;", ")),--('Ghép nối'!$AT$7:$AT$500="N/A"))+SUMPRODUCT(--ISNUMBER(SEARCH(", "&amp;$B54&amp;", ",", "&amp;'Huỷ đơn - Huỷ nhận đơn'!$B$7:$B$500&amp;", ")),--('Huỷ đơn - Huỷ nhận đơn'!$AT$7:$AT$500="N/A"))+SUMPRODUCT(--ISNUMBER(SEARCH(", "&amp;$B54&amp;", ",", "&amp;'Giao nhận &amp; Theo dõi đơn'!$B$7:$B$500&amp;", ")),--('Giao nhận &amp; Theo dõi đơn'!$AT$7:$AT$500="N/A"))+SUMPRODUCT(--ISNUMBER(SEARCH(", "&amp;$B54&amp;", ",", "&amp;'Bảng tin &amp; Chi tiết tin'!$B$7:$B$500&amp;", ")),--('Bảng tin &amp; Chi tiết tin'!$AT$7:$AT$500="N/A"))+SUMPRODUCT(--ISNUMBER(SEARCH(", "&amp;$B54&amp;", ",", "&amp;'Quà cảm ơn'!$B$7:$B$500&amp;", ")),--('Quà cảm ơn'!$AT$7:$AT$500="N/A"))+SUMPRODUCT(--ISNUMBER(SEARCH(", "&amp;$B54&amp;", ",", "&amp;'Trang chủ'!$B$7:$B$500&amp;", ")),--('Trang chủ'!$AT$7:$AT$500="N/A"))+SUMPRODUCT(--ISNUMBER(SEARCH(", "&amp;$B54&amp;", ",", "&amp;'Thông báo'!$B$7:$B$500&amp;", ")),--('Thông báo'!$AT$7:$AT$500="N/A"))+SUMPRODUCT(--ISNUMBER(SEARCH(", "&amp;$B54&amp;", ",", "&amp;'Đăng tin &amp; Quản lý tin'!$B$7:$B$500&amp;", ")),--('Đăng tin &amp; Quản lý tin'!$AT$7:$AT$500="N/A"))+SUMPRODUCT(--ISNUMBER(SEARCH(", "&amp;$B54&amp;", ",", "&amp;'Trust &amp; Safety'!$B$7:$B$500&amp;", ")),--('Trust &amp; Safety'!$AT$7:$AT$500="N/A"))+SUMPRODUCT(--ISNUMBER(SEARCH(", "&amp;$B54&amp;", ",", "&amp;'Tài khoản &amp; Hồ sơ'!$B$7:$B$500&amp;", ")),--('Tài khoản &amp; Hồ sơ'!$AT$7:$AT$500="N/A"))</f>
        <v/>
      </c>
      <c r="K54" s="54">
        <f>IFERROR(F54/E54,0)</f>
        <v/>
      </c>
      <c r="L54" s="113">
        <f>IF(E54=0,"Chưa có TC (gap)",IF(H54&gt;0,"Có lỗi (Fail)",IF(I54&gt;0,"Bị block",IF(F54&lt;E54,"Đang test",IF(G54=0,"Không áp dụng (N/A)","Đã test xong")))))</f>
        <v/>
      </c>
      <c r="AB54" t="inlineStr">
        <is>
          <t>REQ-DLV</t>
        </is>
      </c>
    </row>
    <row r="55" ht="15.75" customHeight="1" s="216">
      <c r="A55" s="1" t="n"/>
      <c r="B55" s="112" t="inlineStr">
        <is>
          <t>REQ-DLV-010</t>
        </is>
      </c>
      <c r="C55" s="261" t="inlineStr"/>
      <c r="D55" s="113" t="inlineStr">
        <is>
          <t>DOC-v1.0-02 · DOC-v1.0-01</t>
        </is>
      </c>
      <c r="E55" s="53">
        <f>SUMPRODUCT(--ISNUMBER(SEARCH(", "&amp;$B55&amp;", ",", "&amp;'Hoạt động (Đơn của tôi)'!$B$7:$B$500&amp;", ")))+SUMPRODUCT(--ISNUMBER(SEARCH(", "&amp;$B55&amp;", ",", "&amp;'Ghép nối'!$B$7:$B$500&amp;", ")))+SUMPRODUCT(--ISNUMBER(SEARCH(", "&amp;$B55&amp;", ",", "&amp;'Huỷ đơn - Huỷ nhận đơn'!$B$7:$B$500&amp;", ")))+SUMPRODUCT(--ISNUMBER(SEARCH(", "&amp;$B55&amp;", ",", "&amp;'Giao nhận &amp; Theo dõi đơn'!$B$7:$B$500&amp;", ")))+SUMPRODUCT(--ISNUMBER(SEARCH(", "&amp;$B55&amp;", ",", "&amp;'Bảng tin &amp; Chi tiết tin'!$B$7:$B$500&amp;", ")))+SUMPRODUCT(--ISNUMBER(SEARCH(", "&amp;$B55&amp;", ",", "&amp;'Quà cảm ơn'!$B$7:$B$500&amp;", ")))+SUMPRODUCT(--ISNUMBER(SEARCH(", "&amp;$B55&amp;", ",", "&amp;'Trang chủ'!$B$7:$B$500&amp;", ")))+SUMPRODUCT(--ISNUMBER(SEARCH(", "&amp;$B55&amp;", ",", "&amp;'Thông báo'!$B$7:$B$500&amp;", ")))+SUMPRODUCT(--ISNUMBER(SEARCH(", "&amp;$B55&amp;", ",", "&amp;'Đăng tin &amp; Quản lý tin'!$B$7:$B$500&amp;", ")))+SUMPRODUCT(--ISNUMBER(SEARCH(", "&amp;$B55&amp;", ",", "&amp;'Trust &amp; Safety'!$B$7:$B$500&amp;", ")))+SUMPRODUCT(--ISNUMBER(SEARCH(", "&amp;$B55&amp;", ",", "&amp;'Tài khoản &amp; Hồ sơ'!$B$7:$B$500&amp;", ")))</f>
        <v/>
      </c>
      <c r="F55" s="53">
        <f>SUMPRODUCT(--ISNUMBER(SEARCH(", "&amp;$B55&amp;", ",", "&amp;'Hoạt động (Đơn của tôi)'!$B$7:$B$500&amp;", ")),--('Hoạt động (Đơn của tôi)'!$AT$7:$AT$500&lt;&gt;""))+SUMPRODUCT(--ISNUMBER(SEARCH(", "&amp;$B55&amp;", ",", "&amp;'Ghép nối'!$B$7:$B$500&amp;", ")),--('Ghép nối'!$AT$7:$AT$500&lt;&gt;""))+SUMPRODUCT(--ISNUMBER(SEARCH(", "&amp;$B55&amp;", ",", "&amp;'Huỷ đơn - Huỷ nhận đơn'!$B$7:$B$500&amp;", ")),--('Huỷ đơn - Huỷ nhận đơn'!$AT$7:$AT$500&lt;&gt;""))+SUMPRODUCT(--ISNUMBER(SEARCH(", "&amp;$B55&amp;", ",", "&amp;'Giao nhận &amp; Theo dõi đơn'!$B$7:$B$500&amp;", ")),--('Giao nhận &amp; Theo dõi đơn'!$AT$7:$AT$500&lt;&gt;""))+SUMPRODUCT(--ISNUMBER(SEARCH(", "&amp;$B55&amp;", ",", "&amp;'Bảng tin &amp; Chi tiết tin'!$B$7:$B$500&amp;", ")),--('Bảng tin &amp; Chi tiết tin'!$AT$7:$AT$500&lt;&gt;""))+SUMPRODUCT(--ISNUMBER(SEARCH(", "&amp;$B55&amp;", ",", "&amp;'Quà cảm ơn'!$B$7:$B$500&amp;", ")),--('Quà cảm ơn'!$AT$7:$AT$500&lt;&gt;""))+SUMPRODUCT(--ISNUMBER(SEARCH(", "&amp;$B55&amp;", ",", "&amp;'Trang chủ'!$B$7:$B$500&amp;", ")),--('Trang chủ'!$AT$7:$AT$500&lt;&gt;""))+SUMPRODUCT(--ISNUMBER(SEARCH(", "&amp;$B55&amp;", ",", "&amp;'Thông báo'!$B$7:$B$500&amp;", ")),--('Thông báo'!$AT$7:$AT$500&lt;&gt;""))+SUMPRODUCT(--ISNUMBER(SEARCH(", "&amp;$B55&amp;", ",", "&amp;'Đăng tin &amp; Quản lý tin'!$B$7:$B$500&amp;", ")),--('Đăng tin &amp; Quản lý tin'!$AT$7:$AT$500&lt;&gt;""))+SUMPRODUCT(--ISNUMBER(SEARCH(", "&amp;$B55&amp;", ",", "&amp;'Trust &amp; Safety'!$B$7:$B$500&amp;", ")),--('Trust &amp; Safety'!$AT$7:$AT$500&lt;&gt;""))+SUMPRODUCT(--ISNUMBER(SEARCH(", "&amp;$B55&amp;", ",", "&amp;'Tài khoản &amp; Hồ sơ'!$B$7:$B$500&amp;", ")),--('Tài khoản &amp; Hồ sơ'!$AT$7:$AT$500&lt;&gt;""))</f>
        <v/>
      </c>
      <c r="G55" s="53">
        <f>SUMPRODUCT(--ISNUMBER(SEARCH(", "&amp;$B55&amp;", ",", "&amp;'Hoạt động (Đơn của tôi)'!$B$7:$B$500&amp;", ")),--('Hoạt động (Đơn của tôi)'!$AT$7:$AT$500="Pass"))+SUMPRODUCT(--ISNUMBER(SEARCH(", "&amp;$B55&amp;", ",", "&amp;'Ghép nối'!$B$7:$B$500&amp;", ")),--('Ghép nối'!$AT$7:$AT$500="Pass"))+SUMPRODUCT(--ISNUMBER(SEARCH(", "&amp;$B55&amp;", ",", "&amp;'Huỷ đơn - Huỷ nhận đơn'!$B$7:$B$500&amp;", ")),--('Huỷ đơn - Huỷ nhận đơn'!$AT$7:$AT$500="Pass"))+SUMPRODUCT(--ISNUMBER(SEARCH(", "&amp;$B55&amp;", ",", "&amp;'Giao nhận &amp; Theo dõi đơn'!$B$7:$B$500&amp;", ")),--('Giao nhận &amp; Theo dõi đơn'!$AT$7:$AT$500="Pass"))+SUMPRODUCT(--ISNUMBER(SEARCH(", "&amp;$B55&amp;", ",", "&amp;'Bảng tin &amp; Chi tiết tin'!$B$7:$B$500&amp;", ")),--('Bảng tin &amp; Chi tiết tin'!$AT$7:$AT$500="Pass"))+SUMPRODUCT(--ISNUMBER(SEARCH(", "&amp;$B55&amp;", ",", "&amp;'Quà cảm ơn'!$B$7:$B$500&amp;", ")),--('Quà cảm ơn'!$AT$7:$AT$500="Pass"))+SUMPRODUCT(--ISNUMBER(SEARCH(", "&amp;$B55&amp;", ",", "&amp;'Trang chủ'!$B$7:$B$500&amp;", ")),--('Trang chủ'!$AT$7:$AT$500="Pass"))+SUMPRODUCT(--ISNUMBER(SEARCH(", "&amp;$B55&amp;", ",", "&amp;'Thông báo'!$B$7:$B$500&amp;", ")),--('Thông báo'!$AT$7:$AT$500="Pass"))+SUMPRODUCT(--ISNUMBER(SEARCH(", "&amp;$B55&amp;", ",", "&amp;'Đăng tin &amp; Quản lý tin'!$B$7:$B$500&amp;", ")),--('Đăng tin &amp; Quản lý tin'!$AT$7:$AT$500="Pass"))+SUMPRODUCT(--ISNUMBER(SEARCH(", "&amp;$B55&amp;", ",", "&amp;'Trust &amp; Safety'!$B$7:$B$500&amp;", ")),--('Trust &amp; Safety'!$AT$7:$AT$500="Pass"))+SUMPRODUCT(--ISNUMBER(SEARCH(", "&amp;$B55&amp;", ",", "&amp;'Tài khoản &amp; Hồ sơ'!$B$7:$B$500&amp;", ")),--('Tài khoản &amp; Hồ sơ'!$AT$7:$AT$500="Pass"))</f>
        <v/>
      </c>
      <c r="H55" s="53">
        <f>SUMPRODUCT(--ISNUMBER(SEARCH(", "&amp;$B55&amp;", ",", "&amp;'Hoạt động (Đơn của tôi)'!$B$7:$B$500&amp;", ")),--('Hoạt động (Đơn của tôi)'!$AT$7:$AT$500="Fail"))+SUMPRODUCT(--ISNUMBER(SEARCH(", "&amp;$B55&amp;", ",", "&amp;'Ghép nối'!$B$7:$B$500&amp;", ")),--('Ghép nối'!$AT$7:$AT$500="Fail"))+SUMPRODUCT(--ISNUMBER(SEARCH(", "&amp;$B55&amp;", ",", "&amp;'Huỷ đơn - Huỷ nhận đơn'!$B$7:$B$500&amp;", ")),--('Huỷ đơn - Huỷ nhận đơn'!$AT$7:$AT$500="Fail"))+SUMPRODUCT(--ISNUMBER(SEARCH(", "&amp;$B55&amp;", ",", "&amp;'Giao nhận &amp; Theo dõi đơn'!$B$7:$B$500&amp;", ")),--('Giao nhận &amp; Theo dõi đơn'!$AT$7:$AT$500="Fail"))+SUMPRODUCT(--ISNUMBER(SEARCH(", "&amp;$B55&amp;", ",", "&amp;'Bảng tin &amp; Chi tiết tin'!$B$7:$B$500&amp;", ")),--('Bảng tin &amp; Chi tiết tin'!$AT$7:$AT$500="Fail"))+SUMPRODUCT(--ISNUMBER(SEARCH(", "&amp;$B55&amp;", ",", "&amp;'Quà cảm ơn'!$B$7:$B$500&amp;", ")),--('Quà cảm ơn'!$AT$7:$AT$500="Fail"))+SUMPRODUCT(--ISNUMBER(SEARCH(", "&amp;$B55&amp;", ",", "&amp;'Trang chủ'!$B$7:$B$500&amp;", ")),--('Trang chủ'!$AT$7:$AT$500="Fail"))+SUMPRODUCT(--ISNUMBER(SEARCH(", "&amp;$B55&amp;", ",", "&amp;'Thông báo'!$B$7:$B$500&amp;", ")),--('Thông báo'!$AT$7:$AT$500="Fail"))+SUMPRODUCT(--ISNUMBER(SEARCH(", "&amp;$B55&amp;", ",", "&amp;'Đăng tin &amp; Quản lý tin'!$B$7:$B$500&amp;", ")),--('Đăng tin &amp; Quản lý tin'!$AT$7:$AT$500="Fail"))+SUMPRODUCT(--ISNUMBER(SEARCH(", "&amp;$B55&amp;", ",", "&amp;'Trust &amp; Safety'!$B$7:$B$500&amp;", ")),--('Trust &amp; Safety'!$AT$7:$AT$500="Fail"))+SUMPRODUCT(--ISNUMBER(SEARCH(", "&amp;$B55&amp;", ",", "&amp;'Tài khoản &amp; Hồ sơ'!$B$7:$B$500&amp;", ")),--('Tài khoản &amp; Hồ sơ'!$AT$7:$AT$500="Fail"))</f>
        <v/>
      </c>
      <c r="I55" s="53">
        <f>SUMPRODUCT(--ISNUMBER(SEARCH(", "&amp;$B55&amp;", ",", "&amp;'Hoạt động (Đơn của tôi)'!$B$7:$B$500&amp;", ")),--('Hoạt động (Đơn của tôi)'!$AT$7:$AT$500="Block"))+SUMPRODUCT(--ISNUMBER(SEARCH(", "&amp;$B55&amp;", ",", "&amp;'Ghép nối'!$B$7:$B$500&amp;", ")),--('Ghép nối'!$AT$7:$AT$500="Block"))+SUMPRODUCT(--ISNUMBER(SEARCH(", "&amp;$B55&amp;", ",", "&amp;'Huỷ đơn - Huỷ nhận đơn'!$B$7:$B$500&amp;", ")),--('Huỷ đơn - Huỷ nhận đơn'!$AT$7:$AT$500="Block"))+SUMPRODUCT(--ISNUMBER(SEARCH(", "&amp;$B55&amp;", ",", "&amp;'Giao nhận &amp; Theo dõi đơn'!$B$7:$B$500&amp;", ")),--('Giao nhận &amp; Theo dõi đơn'!$AT$7:$AT$500="Block"))+SUMPRODUCT(--ISNUMBER(SEARCH(", "&amp;$B55&amp;", ",", "&amp;'Bảng tin &amp; Chi tiết tin'!$B$7:$B$500&amp;", ")),--('Bảng tin &amp; Chi tiết tin'!$AT$7:$AT$500="Block"))+SUMPRODUCT(--ISNUMBER(SEARCH(", "&amp;$B55&amp;", ",", "&amp;'Quà cảm ơn'!$B$7:$B$500&amp;", ")),--('Quà cảm ơn'!$AT$7:$AT$500="Block"))+SUMPRODUCT(--ISNUMBER(SEARCH(", "&amp;$B55&amp;", ",", "&amp;'Trang chủ'!$B$7:$B$500&amp;", ")),--('Trang chủ'!$AT$7:$AT$500="Block"))+SUMPRODUCT(--ISNUMBER(SEARCH(", "&amp;$B55&amp;", ",", "&amp;'Thông báo'!$B$7:$B$500&amp;", ")),--('Thông báo'!$AT$7:$AT$500="Block"))+SUMPRODUCT(--ISNUMBER(SEARCH(", "&amp;$B55&amp;", ",", "&amp;'Đăng tin &amp; Quản lý tin'!$B$7:$B$500&amp;", ")),--('Đăng tin &amp; Quản lý tin'!$AT$7:$AT$500="Block"))+SUMPRODUCT(--ISNUMBER(SEARCH(", "&amp;$B55&amp;", ",", "&amp;'Trust &amp; Safety'!$B$7:$B$500&amp;", ")),--('Trust &amp; Safety'!$AT$7:$AT$500="Block"))+SUMPRODUCT(--ISNUMBER(SEARCH(", "&amp;$B55&amp;", ",", "&amp;'Tài khoản &amp; Hồ sơ'!$B$7:$B$500&amp;", ")),--('Tài khoản &amp; Hồ sơ'!$AT$7:$AT$500="Block"))</f>
        <v/>
      </c>
      <c r="J55" s="53">
        <f>SUMPRODUCT(--ISNUMBER(SEARCH(", "&amp;$B55&amp;", ",", "&amp;'Hoạt động (Đơn của tôi)'!$B$7:$B$500&amp;", ")),--('Hoạt động (Đơn của tôi)'!$AT$7:$AT$500="N/A"))+SUMPRODUCT(--ISNUMBER(SEARCH(", "&amp;$B55&amp;", ",", "&amp;'Ghép nối'!$B$7:$B$500&amp;", ")),--('Ghép nối'!$AT$7:$AT$500="N/A"))+SUMPRODUCT(--ISNUMBER(SEARCH(", "&amp;$B55&amp;", ",", "&amp;'Huỷ đơn - Huỷ nhận đơn'!$B$7:$B$500&amp;", ")),--('Huỷ đơn - Huỷ nhận đơn'!$AT$7:$AT$500="N/A"))+SUMPRODUCT(--ISNUMBER(SEARCH(", "&amp;$B55&amp;", ",", "&amp;'Giao nhận &amp; Theo dõi đơn'!$B$7:$B$500&amp;", ")),--('Giao nhận &amp; Theo dõi đơn'!$AT$7:$AT$500="N/A"))+SUMPRODUCT(--ISNUMBER(SEARCH(", "&amp;$B55&amp;", ",", "&amp;'Bảng tin &amp; Chi tiết tin'!$B$7:$B$500&amp;", ")),--('Bảng tin &amp; Chi tiết tin'!$AT$7:$AT$500="N/A"))+SUMPRODUCT(--ISNUMBER(SEARCH(", "&amp;$B55&amp;", ",", "&amp;'Quà cảm ơn'!$B$7:$B$500&amp;", ")),--('Quà cảm ơn'!$AT$7:$AT$500="N/A"))+SUMPRODUCT(--ISNUMBER(SEARCH(", "&amp;$B55&amp;", ",", "&amp;'Trang chủ'!$B$7:$B$500&amp;", ")),--('Trang chủ'!$AT$7:$AT$500="N/A"))+SUMPRODUCT(--ISNUMBER(SEARCH(", "&amp;$B55&amp;", ",", "&amp;'Thông báo'!$B$7:$B$500&amp;", ")),--('Thông báo'!$AT$7:$AT$500="N/A"))+SUMPRODUCT(--ISNUMBER(SEARCH(", "&amp;$B55&amp;", ",", "&amp;'Đăng tin &amp; Quản lý tin'!$B$7:$B$500&amp;", ")),--('Đăng tin &amp; Quản lý tin'!$AT$7:$AT$500="N/A"))+SUMPRODUCT(--ISNUMBER(SEARCH(", "&amp;$B55&amp;", ",", "&amp;'Trust &amp; Safety'!$B$7:$B$500&amp;", ")),--('Trust &amp; Safety'!$AT$7:$AT$500="N/A"))+SUMPRODUCT(--ISNUMBER(SEARCH(", "&amp;$B55&amp;", ",", "&amp;'Tài khoản &amp; Hồ sơ'!$B$7:$B$500&amp;", ")),--('Tài khoản &amp; Hồ sơ'!$AT$7:$AT$500="N/A"))</f>
        <v/>
      </c>
      <c r="K55" s="54">
        <f>IFERROR(F55/E55,0)</f>
        <v/>
      </c>
      <c r="L55" s="113">
        <f>IF(E55=0,"Chưa có TC (gap)",IF(H55&gt;0,"Có lỗi (Fail)",IF(I55&gt;0,"Bị block",IF(F55&lt;E55,"Đang test",IF(G55=0,"Không áp dụng (N/A)","Đã test xong")))))</f>
        <v/>
      </c>
      <c r="AB55" t="inlineStr">
        <is>
          <t>REQ-DLV</t>
        </is>
      </c>
    </row>
    <row r="56" ht="15.75" customHeight="1" s="216">
      <c r="A56" s="1" t="n"/>
      <c r="B56" s="112" t="inlineStr">
        <is>
          <t>REQ-DLV-016</t>
        </is>
      </c>
      <c r="C56" s="261" t="inlineStr"/>
      <c r="D56" s="113" t="inlineStr">
        <is>
          <t>DOC-v1.0-02</t>
        </is>
      </c>
      <c r="E56" s="53">
        <f>SUMPRODUCT(--ISNUMBER(SEARCH(", "&amp;$B56&amp;", ",", "&amp;'Hoạt động (Đơn của tôi)'!$B$7:$B$500&amp;", ")))+SUMPRODUCT(--ISNUMBER(SEARCH(", "&amp;$B56&amp;", ",", "&amp;'Ghép nối'!$B$7:$B$500&amp;", ")))+SUMPRODUCT(--ISNUMBER(SEARCH(", "&amp;$B56&amp;", ",", "&amp;'Huỷ đơn - Huỷ nhận đơn'!$B$7:$B$500&amp;", ")))+SUMPRODUCT(--ISNUMBER(SEARCH(", "&amp;$B56&amp;", ",", "&amp;'Giao nhận &amp; Theo dõi đơn'!$B$7:$B$500&amp;", ")))+SUMPRODUCT(--ISNUMBER(SEARCH(", "&amp;$B56&amp;", ",", "&amp;'Bảng tin &amp; Chi tiết tin'!$B$7:$B$500&amp;", ")))+SUMPRODUCT(--ISNUMBER(SEARCH(", "&amp;$B56&amp;", ",", "&amp;'Quà cảm ơn'!$B$7:$B$500&amp;", ")))+SUMPRODUCT(--ISNUMBER(SEARCH(", "&amp;$B56&amp;", ",", "&amp;'Trang chủ'!$B$7:$B$500&amp;", ")))+SUMPRODUCT(--ISNUMBER(SEARCH(", "&amp;$B56&amp;", ",", "&amp;'Thông báo'!$B$7:$B$500&amp;", ")))+SUMPRODUCT(--ISNUMBER(SEARCH(", "&amp;$B56&amp;", ",", "&amp;'Đăng tin &amp; Quản lý tin'!$B$7:$B$500&amp;", ")))+SUMPRODUCT(--ISNUMBER(SEARCH(", "&amp;$B56&amp;", ",", "&amp;'Trust &amp; Safety'!$B$7:$B$500&amp;", ")))+SUMPRODUCT(--ISNUMBER(SEARCH(", "&amp;$B56&amp;", ",", "&amp;'Tài khoản &amp; Hồ sơ'!$B$7:$B$500&amp;", ")))</f>
        <v/>
      </c>
      <c r="F56" s="53">
        <f>SUMPRODUCT(--ISNUMBER(SEARCH(", "&amp;$B56&amp;", ",", "&amp;'Hoạt động (Đơn của tôi)'!$B$7:$B$500&amp;", ")),--('Hoạt động (Đơn của tôi)'!$AT$7:$AT$500&lt;&gt;""))+SUMPRODUCT(--ISNUMBER(SEARCH(", "&amp;$B56&amp;", ",", "&amp;'Ghép nối'!$B$7:$B$500&amp;", ")),--('Ghép nối'!$AT$7:$AT$500&lt;&gt;""))+SUMPRODUCT(--ISNUMBER(SEARCH(", "&amp;$B56&amp;", ",", "&amp;'Huỷ đơn - Huỷ nhận đơn'!$B$7:$B$500&amp;", ")),--('Huỷ đơn - Huỷ nhận đơn'!$AT$7:$AT$500&lt;&gt;""))+SUMPRODUCT(--ISNUMBER(SEARCH(", "&amp;$B56&amp;", ",", "&amp;'Giao nhận &amp; Theo dõi đơn'!$B$7:$B$500&amp;", ")),--('Giao nhận &amp; Theo dõi đơn'!$AT$7:$AT$500&lt;&gt;""))+SUMPRODUCT(--ISNUMBER(SEARCH(", "&amp;$B56&amp;", ",", "&amp;'Bảng tin &amp; Chi tiết tin'!$B$7:$B$500&amp;", ")),--('Bảng tin &amp; Chi tiết tin'!$AT$7:$AT$500&lt;&gt;""))+SUMPRODUCT(--ISNUMBER(SEARCH(", "&amp;$B56&amp;", ",", "&amp;'Quà cảm ơn'!$B$7:$B$500&amp;", ")),--('Quà cảm ơn'!$AT$7:$AT$500&lt;&gt;""))+SUMPRODUCT(--ISNUMBER(SEARCH(", "&amp;$B56&amp;", ",", "&amp;'Trang chủ'!$B$7:$B$500&amp;", ")),--('Trang chủ'!$AT$7:$AT$500&lt;&gt;""))+SUMPRODUCT(--ISNUMBER(SEARCH(", "&amp;$B56&amp;", ",", "&amp;'Thông báo'!$B$7:$B$500&amp;", ")),--('Thông báo'!$AT$7:$AT$500&lt;&gt;""))+SUMPRODUCT(--ISNUMBER(SEARCH(", "&amp;$B56&amp;", ",", "&amp;'Đăng tin &amp; Quản lý tin'!$B$7:$B$500&amp;", ")),--('Đăng tin &amp; Quản lý tin'!$AT$7:$AT$500&lt;&gt;""))+SUMPRODUCT(--ISNUMBER(SEARCH(", "&amp;$B56&amp;", ",", "&amp;'Trust &amp; Safety'!$B$7:$B$500&amp;", ")),--('Trust &amp; Safety'!$AT$7:$AT$500&lt;&gt;""))+SUMPRODUCT(--ISNUMBER(SEARCH(", "&amp;$B56&amp;", ",", "&amp;'Tài khoản &amp; Hồ sơ'!$B$7:$B$500&amp;", ")),--('Tài khoản &amp; Hồ sơ'!$AT$7:$AT$500&lt;&gt;""))</f>
        <v/>
      </c>
      <c r="G56" s="53">
        <f>SUMPRODUCT(--ISNUMBER(SEARCH(", "&amp;$B56&amp;", ",", "&amp;'Hoạt động (Đơn của tôi)'!$B$7:$B$500&amp;", ")),--('Hoạt động (Đơn của tôi)'!$AT$7:$AT$500="Pass"))+SUMPRODUCT(--ISNUMBER(SEARCH(", "&amp;$B56&amp;", ",", "&amp;'Ghép nối'!$B$7:$B$500&amp;", ")),--('Ghép nối'!$AT$7:$AT$500="Pass"))+SUMPRODUCT(--ISNUMBER(SEARCH(", "&amp;$B56&amp;", ",", "&amp;'Huỷ đơn - Huỷ nhận đơn'!$B$7:$B$500&amp;", ")),--('Huỷ đơn - Huỷ nhận đơn'!$AT$7:$AT$500="Pass"))+SUMPRODUCT(--ISNUMBER(SEARCH(", "&amp;$B56&amp;", ",", "&amp;'Giao nhận &amp; Theo dõi đơn'!$B$7:$B$500&amp;", ")),--('Giao nhận &amp; Theo dõi đơn'!$AT$7:$AT$500="Pass"))+SUMPRODUCT(--ISNUMBER(SEARCH(", "&amp;$B56&amp;", ",", "&amp;'Bảng tin &amp; Chi tiết tin'!$B$7:$B$500&amp;", ")),--('Bảng tin &amp; Chi tiết tin'!$AT$7:$AT$500="Pass"))+SUMPRODUCT(--ISNUMBER(SEARCH(", "&amp;$B56&amp;", ",", "&amp;'Quà cảm ơn'!$B$7:$B$500&amp;", ")),--('Quà cảm ơn'!$AT$7:$AT$500="Pass"))+SUMPRODUCT(--ISNUMBER(SEARCH(", "&amp;$B56&amp;", ",", "&amp;'Trang chủ'!$B$7:$B$500&amp;", ")),--('Trang chủ'!$AT$7:$AT$500="Pass"))+SUMPRODUCT(--ISNUMBER(SEARCH(", "&amp;$B56&amp;", ",", "&amp;'Thông báo'!$B$7:$B$500&amp;", ")),--('Thông báo'!$AT$7:$AT$500="Pass"))+SUMPRODUCT(--ISNUMBER(SEARCH(", "&amp;$B56&amp;", ",", "&amp;'Đăng tin &amp; Quản lý tin'!$B$7:$B$500&amp;", ")),--('Đăng tin &amp; Quản lý tin'!$AT$7:$AT$500="Pass"))+SUMPRODUCT(--ISNUMBER(SEARCH(", "&amp;$B56&amp;", ",", "&amp;'Trust &amp; Safety'!$B$7:$B$500&amp;", ")),--('Trust &amp; Safety'!$AT$7:$AT$500="Pass"))+SUMPRODUCT(--ISNUMBER(SEARCH(", "&amp;$B56&amp;", ",", "&amp;'Tài khoản &amp; Hồ sơ'!$B$7:$B$500&amp;", ")),--('Tài khoản &amp; Hồ sơ'!$AT$7:$AT$500="Pass"))</f>
        <v/>
      </c>
      <c r="H56" s="53">
        <f>SUMPRODUCT(--ISNUMBER(SEARCH(", "&amp;$B56&amp;", ",", "&amp;'Hoạt động (Đơn của tôi)'!$B$7:$B$500&amp;", ")),--('Hoạt động (Đơn của tôi)'!$AT$7:$AT$500="Fail"))+SUMPRODUCT(--ISNUMBER(SEARCH(", "&amp;$B56&amp;", ",", "&amp;'Ghép nối'!$B$7:$B$500&amp;", ")),--('Ghép nối'!$AT$7:$AT$500="Fail"))+SUMPRODUCT(--ISNUMBER(SEARCH(", "&amp;$B56&amp;", ",", "&amp;'Huỷ đơn - Huỷ nhận đơn'!$B$7:$B$500&amp;", ")),--('Huỷ đơn - Huỷ nhận đơn'!$AT$7:$AT$500="Fail"))+SUMPRODUCT(--ISNUMBER(SEARCH(", "&amp;$B56&amp;", ",", "&amp;'Giao nhận &amp; Theo dõi đơn'!$B$7:$B$500&amp;", ")),--('Giao nhận &amp; Theo dõi đơn'!$AT$7:$AT$500="Fail"))+SUMPRODUCT(--ISNUMBER(SEARCH(", "&amp;$B56&amp;", ",", "&amp;'Bảng tin &amp; Chi tiết tin'!$B$7:$B$500&amp;", ")),--('Bảng tin &amp; Chi tiết tin'!$AT$7:$AT$500="Fail"))+SUMPRODUCT(--ISNUMBER(SEARCH(", "&amp;$B56&amp;", ",", "&amp;'Quà cảm ơn'!$B$7:$B$500&amp;", ")),--('Quà cảm ơn'!$AT$7:$AT$500="Fail"))+SUMPRODUCT(--ISNUMBER(SEARCH(", "&amp;$B56&amp;", ",", "&amp;'Trang chủ'!$B$7:$B$500&amp;", ")),--('Trang chủ'!$AT$7:$AT$500="Fail"))+SUMPRODUCT(--ISNUMBER(SEARCH(", "&amp;$B56&amp;", ",", "&amp;'Thông báo'!$B$7:$B$500&amp;", ")),--('Thông báo'!$AT$7:$AT$500="Fail"))+SUMPRODUCT(--ISNUMBER(SEARCH(", "&amp;$B56&amp;", ",", "&amp;'Đăng tin &amp; Quản lý tin'!$B$7:$B$500&amp;", ")),--('Đăng tin &amp; Quản lý tin'!$AT$7:$AT$500="Fail"))+SUMPRODUCT(--ISNUMBER(SEARCH(", "&amp;$B56&amp;", ",", "&amp;'Trust &amp; Safety'!$B$7:$B$500&amp;", ")),--('Trust &amp; Safety'!$AT$7:$AT$500="Fail"))+SUMPRODUCT(--ISNUMBER(SEARCH(", "&amp;$B56&amp;", ",", "&amp;'Tài khoản &amp; Hồ sơ'!$B$7:$B$500&amp;", ")),--('Tài khoản &amp; Hồ sơ'!$AT$7:$AT$500="Fail"))</f>
        <v/>
      </c>
      <c r="I56" s="53">
        <f>SUMPRODUCT(--ISNUMBER(SEARCH(", "&amp;$B56&amp;", ",", "&amp;'Hoạt động (Đơn của tôi)'!$B$7:$B$500&amp;", ")),--('Hoạt động (Đơn của tôi)'!$AT$7:$AT$500="Block"))+SUMPRODUCT(--ISNUMBER(SEARCH(", "&amp;$B56&amp;", ",", "&amp;'Ghép nối'!$B$7:$B$500&amp;", ")),--('Ghép nối'!$AT$7:$AT$500="Block"))+SUMPRODUCT(--ISNUMBER(SEARCH(", "&amp;$B56&amp;", ",", "&amp;'Huỷ đơn - Huỷ nhận đơn'!$B$7:$B$500&amp;", ")),--('Huỷ đơn - Huỷ nhận đơn'!$AT$7:$AT$500="Block"))+SUMPRODUCT(--ISNUMBER(SEARCH(", "&amp;$B56&amp;", ",", "&amp;'Giao nhận &amp; Theo dõi đơn'!$B$7:$B$500&amp;", ")),--('Giao nhận &amp; Theo dõi đơn'!$AT$7:$AT$500="Block"))+SUMPRODUCT(--ISNUMBER(SEARCH(", "&amp;$B56&amp;", ",", "&amp;'Bảng tin &amp; Chi tiết tin'!$B$7:$B$500&amp;", ")),--('Bảng tin &amp; Chi tiết tin'!$AT$7:$AT$500="Block"))+SUMPRODUCT(--ISNUMBER(SEARCH(", "&amp;$B56&amp;", ",", "&amp;'Quà cảm ơn'!$B$7:$B$500&amp;", ")),--('Quà cảm ơn'!$AT$7:$AT$500="Block"))+SUMPRODUCT(--ISNUMBER(SEARCH(", "&amp;$B56&amp;", ",", "&amp;'Trang chủ'!$B$7:$B$500&amp;", ")),--('Trang chủ'!$AT$7:$AT$500="Block"))+SUMPRODUCT(--ISNUMBER(SEARCH(", "&amp;$B56&amp;", ",", "&amp;'Thông báo'!$B$7:$B$500&amp;", ")),--('Thông báo'!$AT$7:$AT$500="Block"))+SUMPRODUCT(--ISNUMBER(SEARCH(", "&amp;$B56&amp;", ",", "&amp;'Đăng tin &amp; Quản lý tin'!$B$7:$B$500&amp;", ")),--('Đăng tin &amp; Quản lý tin'!$AT$7:$AT$500="Block"))+SUMPRODUCT(--ISNUMBER(SEARCH(", "&amp;$B56&amp;", ",", "&amp;'Trust &amp; Safety'!$B$7:$B$500&amp;", ")),--('Trust &amp; Safety'!$AT$7:$AT$500="Block"))+SUMPRODUCT(--ISNUMBER(SEARCH(", "&amp;$B56&amp;", ",", "&amp;'Tài khoản &amp; Hồ sơ'!$B$7:$B$500&amp;", ")),--('Tài khoản &amp; Hồ sơ'!$AT$7:$AT$500="Block"))</f>
        <v/>
      </c>
      <c r="J56" s="53">
        <f>SUMPRODUCT(--ISNUMBER(SEARCH(", "&amp;$B56&amp;", ",", "&amp;'Hoạt động (Đơn của tôi)'!$B$7:$B$500&amp;", ")),--('Hoạt động (Đơn của tôi)'!$AT$7:$AT$500="N/A"))+SUMPRODUCT(--ISNUMBER(SEARCH(", "&amp;$B56&amp;", ",", "&amp;'Ghép nối'!$B$7:$B$500&amp;", ")),--('Ghép nối'!$AT$7:$AT$500="N/A"))+SUMPRODUCT(--ISNUMBER(SEARCH(", "&amp;$B56&amp;", ",", "&amp;'Huỷ đơn - Huỷ nhận đơn'!$B$7:$B$500&amp;", ")),--('Huỷ đơn - Huỷ nhận đơn'!$AT$7:$AT$500="N/A"))+SUMPRODUCT(--ISNUMBER(SEARCH(", "&amp;$B56&amp;", ",", "&amp;'Giao nhận &amp; Theo dõi đơn'!$B$7:$B$500&amp;", ")),--('Giao nhận &amp; Theo dõi đơn'!$AT$7:$AT$500="N/A"))+SUMPRODUCT(--ISNUMBER(SEARCH(", "&amp;$B56&amp;", ",", "&amp;'Bảng tin &amp; Chi tiết tin'!$B$7:$B$500&amp;", ")),--('Bảng tin &amp; Chi tiết tin'!$AT$7:$AT$500="N/A"))+SUMPRODUCT(--ISNUMBER(SEARCH(", "&amp;$B56&amp;", ",", "&amp;'Quà cảm ơn'!$B$7:$B$500&amp;", ")),--('Quà cảm ơn'!$AT$7:$AT$500="N/A"))+SUMPRODUCT(--ISNUMBER(SEARCH(", "&amp;$B56&amp;", ",", "&amp;'Trang chủ'!$B$7:$B$500&amp;", ")),--('Trang chủ'!$AT$7:$AT$500="N/A"))+SUMPRODUCT(--ISNUMBER(SEARCH(", "&amp;$B56&amp;", ",", "&amp;'Thông báo'!$B$7:$B$500&amp;", ")),--('Thông báo'!$AT$7:$AT$500="N/A"))+SUMPRODUCT(--ISNUMBER(SEARCH(", "&amp;$B56&amp;", ",", "&amp;'Đăng tin &amp; Quản lý tin'!$B$7:$B$500&amp;", ")),--('Đăng tin &amp; Quản lý tin'!$AT$7:$AT$500="N/A"))+SUMPRODUCT(--ISNUMBER(SEARCH(", "&amp;$B56&amp;", ",", "&amp;'Trust &amp; Safety'!$B$7:$B$500&amp;", ")),--('Trust &amp; Safety'!$AT$7:$AT$500="N/A"))+SUMPRODUCT(--ISNUMBER(SEARCH(", "&amp;$B56&amp;", ",", "&amp;'Tài khoản &amp; Hồ sơ'!$B$7:$B$500&amp;", ")),--('Tài khoản &amp; Hồ sơ'!$AT$7:$AT$500="N/A"))</f>
        <v/>
      </c>
      <c r="K56" s="54">
        <f>IFERROR(F56/E56,0)</f>
        <v/>
      </c>
      <c r="L56" s="113">
        <f>IF(E56=0,"Chưa có TC (gap)",IF(H56&gt;0,"Có lỗi (Fail)",IF(I56&gt;0,"Bị block",IF(F56&lt;E56,"Đang test",IF(G56=0,"Không áp dụng (N/A)","Đã test xong")))))</f>
        <v/>
      </c>
      <c r="AB56" t="inlineStr">
        <is>
          <t>REQ-DLV</t>
        </is>
      </c>
    </row>
    <row r="57" ht="15.75" customHeight="1" s="216">
      <c r="A57" s="1" t="n"/>
      <c r="B57" s="112" t="inlineStr">
        <is>
          <t>REQ-FEED-001</t>
        </is>
      </c>
      <c r="C57" s="261" t="inlineStr"/>
      <c r="D57" s="113" t="inlineStr">
        <is>
          <t>DOC-v1.0-02</t>
        </is>
      </c>
      <c r="E57" s="53">
        <f>SUMPRODUCT(--ISNUMBER(SEARCH(", "&amp;$B57&amp;", ",", "&amp;'Hoạt động (Đơn của tôi)'!$B$7:$B$500&amp;", ")))+SUMPRODUCT(--ISNUMBER(SEARCH(", "&amp;$B57&amp;", ",", "&amp;'Ghép nối'!$B$7:$B$500&amp;", ")))+SUMPRODUCT(--ISNUMBER(SEARCH(", "&amp;$B57&amp;", ",", "&amp;'Huỷ đơn - Huỷ nhận đơn'!$B$7:$B$500&amp;", ")))+SUMPRODUCT(--ISNUMBER(SEARCH(", "&amp;$B57&amp;", ",", "&amp;'Giao nhận &amp; Theo dõi đơn'!$B$7:$B$500&amp;", ")))+SUMPRODUCT(--ISNUMBER(SEARCH(", "&amp;$B57&amp;", ",", "&amp;'Bảng tin &amp; Chi tiết tin'!$B$7:$B$500&amp;", ")))+SUMPRODUCT(--ISNUMBER(SEARCH(", "&amp;$B57&amp;", ",", "&amp;'Quà cảm ơn'!$B$7:$B$500&amp;", ")))+SUMPRODUCT(--ISNUMBER(SEARCH(", "&amp;$B57&amp;", ",", "&amp;'Trang chủ'!$B$7:$B$500&amp;", ")))+SUMPRODUCT(--ISNUMBER(SEARCH(", "&amp;$B57&amp;", ",", "&amp;'Thông báo'!$B$7:$B$500&amp;", ")))+SUMPRODUCT(--ISNUMBER(SEARCH(", "&amp;$B57&amp;", ",", "&amp;'Đăng tin &amp; Quản lý tin'!$B$7:$B$500&amp;", ")))+SUMPRODUCT(--ISNUMBER(SEARCH(", "&amp;$B57&amp;", ",", "&amp;'Trust &amp; Safety'!$B$7:$B$500&amp;", ")))+SUMPRODUCT(--ISNUMBER(SEARCH(", "&amp;$B57&amp;", ",", "&amp;'Tài khoản &amp; Hồ sơ'!$B$7:$B$500&amp;", ")))</f>
        <v/>
      </c>
      <c r="F57" s="53">
        <f>SUMPRODUCT(--ISNUMBER(SEARCH(", "&amp;$B57&amp;", ",", "&amp;'Hoạt động (Đơn của tôi)'!$B$7:$B$500&amp;", ")),--('Hoạt động (Đơn của tôi)'!$AT$7:$AT$500&lt;&gt;""))+SUMPRODUCT(--ISNUMBER(SEARCH(", "&amp;$B57&amp;", ",", "&amp;'Ghép nối'!$B$7:$B$500&amp;", ")),--('Ghép nối'!$AT$7:$AT$500&lt;&gt;""))+SUMPRODUCT(--ISNUMBER(SEARCH(", "&amp;$B57&amp;", ",", "&amp;'Huỷ đơn - Huỷ nhận đơn'!$B$7:$B$500&amp;", ")),--('Huỷ đơn - Huỷ nhận đơn'!$AT$7:$AT$500&lt;&gt;""))+SUMPRODUCT(--ISNUMBER(SEARCH(", "&amp;$B57&amp;", ",", "&amp;'Giao nhận &amp; Theo dõi đơn'!$B$7:$B$500&amp;", ")),--('Giao nhận &amp; Theo dõi đơn'!$AT$7:$AT$500&lt;&gt;""))+SUMPRODUCT(--ISNUMBER(SEARCH(", "&amp;$B57&amp;", ",", "&amp;'Bảng tin &amp; Chi tiết tin'!$B$7:$B$500&amp;", ")),--('Bảng tin &amp; Chi tiết tin'!$AT$7:$AT$500&lt;&gt;""))+SUMPRODUCT(--ISNUMBER(SEARCH(", "&amp;$B57&amp;", ",", "&amp;'Quà cảm ơn'!$B$7:$B$500&amp;", ")),--('Quà cảm ơn'!$AT$7:$AT$500&lt;&gt;""))+SUMPRODUCT(--ISNUMBER(SEARCH(", "&amp;$B57&amp;", ",", "&amp;'Trang chủ'!$B$7:$B$500&amp;", ")),--('Trang chủ'!$AT$7:$AT$500&lt;&gt;""))+SUMPRODUCT(--ISNUMBER(SEARCH(", "&amp;$B57&amp;", ",", "&amp;'Thông báo'!$B$7:$B$500&amp;", ")),--('Thông báo'!$AT$7:$AT$500&lt;&gt;""))+SUMPRODUCT(--ISNUMBER(SEARCH(", "&amp;$B57&amp;", ",", "&amp;'Đăng tin &amp; Quản lý tin'!$B$7:$B$500&amp;", ")),--('Đăng tin &amp; Quản lý tin'!$AT$7:$AT$500&lt;&gt;""))+SUMPRODUCT(--ISNUMBER(SEARCH(", "&amp;$B57&amp;", ",", "&amp;'Trust &amp; Safety'!$B$7:$B$500&amp;", ")),--('Trust &amp; Safety'!$AT$7:$AT$500&lt;&gt;""))+SUMPRODUCT(--ISNUMBER(SEARCH(", "&amp;$B57&amp;", ",", "&amp;'Tài khoản &amp; Hồ sơ'!$B$7:$B$500&amp;", ")),--('Tài khoản &amp; Hồ sơ'!$AT$7:$AT$500&lt;&gt;""))</f>
        <v/>
      </c>
      <c r="G57" s="53">
        <f>SUMPRODUCT(--ISNUMBER(SEARCH(", "&amp;$B57&amp;", ",", "&amp;'Hoạt động (Đơn của tôi)'!$B$7:$B$500&amp;", ")),--('Hoạt động (Đơn của tôi)'!$AT$7:$AT$500="Pass"))+SUMPRODUCT(--ISNUMBER(SEARCH(", "&amp;$B57&amp;", ",", "&amp;'Ghép nối'!$B$7:$B$500&amp;", ")),--('Ghép nối'!$AT$7:$AT$500="Pass"))+SUMPRODUCT(--ISNUMBER(SEARCH(", "&amp;$B57&amp;", ",", "&amp;'Huỷ đơn - Huỷ nhận đơn'!$B$7:$B$500&amp;", ")),--('Huỷ đơn - Huỷ nhận đơn'!$AT$7:$AT$500="Pass"))+SUMPRODUCT(--ISNUMBER(SEARCH(", "&amp;$B57&amp;", ",", "&amp;'Giao nhận &amp; Theo dõi đơn'!$B$7:$B$500&amp;", ")),--('Giao nhận &amp; Theo dõi đơn'!$AT$7:$AT$500="Pass"))+SUMPRODUCT(--ISNUMBER(SEARCH(", "&amp;$B57&amp;", ",", "&amp;'Bảng tin &amp; Chi tiết tin'!$B$7:$B$500&amp;", ")),--('Bảng tin &amp; Chi tiết tin'!$AT$7:$AT$500="Pass"))+SUMPRODUCT(--ISNUMBER(SEARCH(", "&amp;$B57&amp;", ",", "&amp;'Quà cảm ơn'!$B$7:$B$500&amp;", ")),--('Quà cảm ơn'!$AT$7:$AT$500="Pass"))+SUMPRODUCT(--ISNUMBER(SEARCH(", "&amp;$B57&amp;", ",", "&amp;'Trang chủ'!$B$7:$B$500&amp;", ")),--('Trang chủ'!$AT$7:$AT$500="Pass"))+SUMPRODUCT(--ISNUMBER(SEARCH(", "&amp;$B57&amp;", ",", "&amp;'Thông báo'!$B$7:$B$500&amp;", ")),--('Thông báo'!$AT$7:$AT$500="Pass"))+SUMPRODUCT(--ISNUMBER(SEARCH(", "&amp;$B57&amp;", ",", "&amp;'Đăng tin &amp; Quản lý tin'!$B$7:$B$500&amp;", ")),--('Đăng tin &amp; Quản lý tin'!$AT$7:$AT$500="Pass"))+SUMPRODUCT(--ISNUMBER(SEARCH(", "&amp;$B57&amp;", ",", "&amp;'Trust &amp; Safety'!$B$7:$B$500&amp;", ")),--('Trust &amp; Safety'!$AT$7:$AT$500="Pass"))+SUMPRODUCT(--ISNUMBER(SEARCH(", "&amp;$B57&amp;", ",", "&amp;'Tài khoản &amp; Hồ sơ'!$B$7:$B$500&amp;", ")),--('Tài khoản &amp; Hồ sơ'!$AT$7:$AT$500="Pass"))</f>
        <v/>
      </c>
      <c r="H57" s="53">
        <f>SUMPRODUCT(--ISNUMBER(SEARCH(", "&amp;$B57&amp;", ",", "&amp;'Hoạt động (Đơn của tôi)'!$B$7:$B$500&amp;", ")),--('Hoạt động (Đơn của tôi)'!$AT$7:$AT$500="Fail"))+SUMPRODUCT(--ISNUMBER(SEARCH(", "&amp;$B57&amp;", ",", "&amp;'Ghép nối'!$B$7:$B$500&amp;", ")),--('Ghép nối'!$AT$7:$AT$500="Fail"))+SUMPRODUCT(--ISNUMBER(SEARCH(", "&amp;$B57&amp;", ",", "&amp;'Huỷ đơn - Huỷ nhận đơn'!$B$7:$B$500&amp;", ")),--('Huỷ đơn - Huỷ nhận đơn'!$AT$7:$AT$500="Fail"))+SUMPRODUCT(--ISNUMBER(SEARCH(", "&amp;$B57&amp;", ",", "&amp;'Giao nhận &amp; Theo dõi đơn'!$B$7:$B$500&amp;", ")),--('Giao nhận &amp; Theo dõi đơn'!$AT$7:$AT$500="Fail"))+SUMPRODUCT(--ISNUMBER(SEARCH(", "&amp;$B57&amp;", ",", "&amp;'Bảng tin &amp; Chi tiết tin'!$B$7:$B$500&amp;", ")),--('Bảng tin &amp; Chi tiết tin'!$AT$7:$AT$500="Fail"))+SUMPRODUCT(--ISNUMBER(SEARCH(", "&amp;$B57&amp;", ",", "&amp;'Quà cảm ơn'!$B$7:$B$500&amp;", ")),--('Quà cảm ơn'!$AT$7:$AT$500="Fail"))+SUMPRODUCT(--ISNUMBER(SEARCH(", "&amp;$B57&amp;", ",", "&amp;'Trang chủ'!$B$7:$B$500&amp;", ")),--('Trang chủ'!$AT$7:$AT$500="Fail"))+SUMPRODUCT(--ISNUMBER(SEARCH(", "&amp;$B57&amp;", ",", "&amp;'Thông báo'!$B$7:$B$500&amp;", ")),--('Thông báo'!$AT$7:$AT$500="Fail"))+SUMPRODUCT(--ISNUMBER(SEARCH(", "&amp;$B57&amp;", ",", "&amp;'Đăng tin &amp; Quản lý tin'!$B$7:$B$500&amp;", ")),--('Đăng tin &amp; Quản lý tin'!$AT$7:$AT$500="Fail"))+SUMPRODUCT(--ISNUMBER(SEARCH(", "&amp;$B57&amp;", ",", "&amp;'Trust &amp; Safety'!$B$7:$B$500&amp;", ")),--('Trust &amp; Safety'!$AT$7:$AT$500="Fail"))+SUMPRODUCT(--ISNUMBER(SEARCH(", "&amp;$B57&amp;", ",", "&amp;'Tài khoản &amp; Hồ sơ'!$B$7:$B$500&amp;", ")),--('Tài khoản &amp; Hồ sơ'!$AT$7:$AT$500="Fail"))</f>
        <v/>
      </c>
      <c r="I57" s="53">
        <f>SUMPRODUCT(--ISNUMBER(SEARCH(", "&amp;$B57&amp;", ",", "&amp;'Hoạt động (Đơn của tôi)'!$B$7:$B$500&amp;", ")),--('Hoạt động (Đơn của tôi)'!$AT$7:$AT$500="Block"))+SUMPRODUCT(--ISNUMBER(SEARCH(", "&amp;$B57&amp;", ",", "&amp;'Ghép nối'!$B$7:$B$500&amp;", ")),--('Ghép nối'!$AT$7:$AT$500="Block"))+SUMPRODUCT(--ISNUMBER(SEARCH(", "&amp;$B57&amp;", ",", "&amp;'Huỷ đơn - Huỷ nhận đơn'!$B$7:$B$500&amp;", ")),--('Huỷ đơn - Huỷ nhận đơn'!$AT$7:$AT$500="Block"))+SUMPRODUCT(--ISNUMBER(SEARCH(", "&amp;$B57&amp;", ",", "&amp;'Giao nhận &amp; Theo dõi đơn'!$B$7:$B$500&amp;", ")),--('Giao nhận &amp; Theo dõi đơn'!$AT$7:$AT$500="Block"))+SUMPRODUCT(--ISNUMBER(SEARCH(", "&amp;$B57&amp;", ",", "&amp;'Bảng tin &amp; Chi tiết tin'!$B$7:$B$500&amp;", ")),--('Bảng tin &amp; Chi tiết tin'!$AT$7:$AT$500="Block"))+SUMPRODUCT(--ISNUMBER(SEARCH(", "&amp;$B57&amp;", ",", "&amp;'Quà cảm ơn'!$B$7:$B$500&amp;", ")),--('Quà cảm ơn'!$AT$7:$AT$500="Block"))+SUMPRODUCT(--ISNUMBER(SEARCH(", "&amp;$B57&amp;", ",", "&amp;'Trang chủ'!$B$7:$B$500&amp;", ")),--('Trang chủ'!$AT$7:$AT$500="Block"))+SUMPRODUCT(--ISNUMBER(SEARCH(", "&amp;$B57&amp;", ",", "&amp;'Thông báo'!$B$7:$B$500&amp;", ")),--('Thông báo'!$AT$7:$AT$500="Block"))+SUMPRODUCT(--ISNUMBER(SEARCH(", "&amp;$B57&amp;", ",", "&amp;'Đăng tin &amp; Quản lý tin'!$B$7:$B$500&amp;", ")),--('Đăng tin &amp; Quản lý tin'!$AT$7:$AT$500="Block"))+SUMPRODUCT(--ISNUMBER(SEARCH(", "&amp;$B57&amp;", ",", "&amp;'Trust &amp; Safety'!$B$7:$B$500&amp;", ")),--('Trust &amp; Safety'!$AT$7:$AT$500="Block"))+SUMPRODUCT(--ISNUMBER(SEARCH(", "&amp;$B57&amp;", ",", "&amp;'Tài khoản &amp; Hồ sơ'!$B$7:$B$500&amp;", ")),--('Tài khoản &amp; Hồ sơ'!$AT$7:$AT$500="Block"))</f>
        <v/>
      </c>
      <c r="J57" s="53">
        <f>SUMPRODUCT(--ISNUMBER(SEARCH(", "&amp;$B57&amp;", ",", "&amp;'Hoạt động (Đơn của tôi)'!$B$7:$B$500&amp;", ")),--('Hoạt động (Đơn của tôi)'!$AT$7:$AT$500="N/A"))+SUMPRODUCT(--ISNUMBER(SEARCH(", "&amp;$B57&amp;", ",", "&amp;'Ghép nối'!$B$7:$B$500&amp;", ")),--('Ghép nối'!$AT$7:$AT$500="N/A"))+SUMPRODUCT(--ISNUMBER(SEARCH(", "&amp;$B57&amp;", ",", "&amp;'Huỷ đơn - Huỷ nhận đơn'!$B$7:$B$500&amp;", ")),--('Huỷ đơn - Huỷ nhận đơn'!$AT$7:$AT$500="N/A"))+SUMPRODUCT(--ISNUMBER(SEARCH(", "&amp;$B57&amp;", ",", "&amp;'Giao nhận &amp; Theo dõi đơn'!$B$7:$B$500&amp;", ")),--('Giao nhận &amp; Theo dõi đơn'!$AT$7:$AT$500="N/A"))+SUMPRODUCT(--ISNUMBER(SEARCH(", "&amp;$B57&amp;", ",", "&amp;'Bảng tin &amp; Chi tiết tin'!$B$7:$B$500&amp;", ")),--('Bảng tin &amp; Chi tiết tin'!$AT$7:$AT$500="N/A"))+SUMPRODUCT(--ISNUMBER(SEARCH(", "&amp;$B57&amp;", ",", "&amp;'Quà cảm ơn'!$B$7:$B$500&amp;", ")),--('Quà cảm ơn'!$AT$7:$AT$500="N/A"))+SUMPRODUCT(--ISNUMBER(SEARCH(", "&amp;$B57&amp;", ",", "&amp;'Trang chủ'!$B$7:$B$500&amp;", ")),--('Trang chủ'!$AT$7:$AT$500="N/A"))+SUMPRODUCT(--ISNUMBER(SEARCH(", "&amp;$B57&amp;", ",", "&amp;'Thông báo'!$B$7:$B$500&amp;", ")),--('Thông báo'!$AT$7:$AT$500="N/A"))+SUMPRODUCT(--ISNUMBER(SEARCH(", "&amp;$B57&amp;", ",", "&amp;'Đăng tin &amp; Quản lý tin'!$B$7:$B$500&amp;", ")),--('Đăng tin &amp; Quản lý tin'!$AT$7:$AT$500="N/A"))+SUMPRODUCT(--ISNUMBER(SEARCH(", "&amp;$B57&amp;", ",", "&amp;'Trust &amp; Safety'!$B$7:$B$500&amp;", ")),--('Trust &amp; Safety'!$AT$7:$AT$500="N/A"))+SUMPRODUCT(--ISNUMBER(SEARCH(", "&amp;$B57&amp;", ",", "&amp;'Tài khoản &amp; Hồ sơ'!$B$7:$B$500&amp;", ")),--('Tài khoản &amp; Hồ sơ'!$AT$7:$AT$500="N/A"))</f>
        <v/>
      </c>
      <c r="K57" s="54">
        <f>IFERROR(F57/E57,0)</f>
        <v/>
      </c>
      <c r="L57" s="113">
        <f>IF(E57=0,"Chưa có TC (gap)",IF(H57&gt;0,"Có lỗi (Fail)",IF(I57&gt;0,"Bị block",IF(F57&lt;E57,"Đang test",IF(G57=0,"Không áp dụng (N/A)","Đã test xong")))))</f>
        <v/>
      </c>
      <c r="AB57" t="inlineStr">
        <is>
          <t>REQ-FEED</t>
        </is>
      </c>
    </row>
    <row r="58" ht="15.75" customHeight="1" s="216">
      <c r="A58" s="1" t="n"/>
      <c r="B58" s="112" t="inlineStr">
        <is>
          <t>REQ-FEED-004</t>
        </is>
      </c>
      <c r="C58" s="261" t="inlineStr"/>
      <c r="D58" s="113" t="inlineStr">
        <is>
          <t>DOC-v1.0-01 · DOC-v1.0-02</t>
        </is>
      </c>
      <c r="E58" s="53">
        <f>SUMPRODUCT(--ISNUMBER(SEARCH(", "&amp;$B58&amp;", ",", "&amp;'Hoạt động (Đơn của tôi)'!$B$7:$B$500&amp;", ")))+SUMPRODUCT(--ISNUMBER(SEARCH(", "&amp;$B58&amp;", ",", "&amp;'Ghép nối'!$B$7:$B$500&amp;", ")))+SUMPRODUCT(--ISNUMBER(SEARCH(", "&amp;$B58&amp;", ",", "&amp;'Huỷ đơn - Huỷ nhận đơn'!$B$7:$B$500&amp;", ")))+SUMPRODUCT(--ISNUMBER(SEARCH(", "&amp;$B58&amp;", ",", "&amp;'Giao nhận &amp; Theo dõi đơn'!$B$7:$B$500&amp;", ")))+SUMPRODUCT(--ISNUMBER(SEARCH(", "&amp;$B58&amp;", ",", "&amp;'Bảng tin &amp; Chi tiết tin'!$B$7:$B$500&amp;", ")))+SUMPRODUCT(--ISNUMBER(SEARCH(", "&amp;$B58&amp;", ",", "&amp;'Quà cảm ơn'!$B$7:$B$500&amp;", ")))+SUMPRODUCT(--ISNUMBER(SEARCH(", "&amp;$B58&amp;", ",", "&amp;'Trang chủ'!$B$7:$B$500&amp;", ")))+SUMPRODUCT(--ISNUMBER(SEARCH(", "&amp;$B58&amp;", ",", "&amp;'Thông báo'!$B$7:$B$500&amp;", ")))+SUMPRODUCT(--ISNUMBER(SEARCH(", "&amp;$B58&amp;", ",", "&amp;'Đăng tin &amp; Quản lý tin'!$B$7:$B$500&amp;", ")))+SUMPRODUCT(--ISNUMBER(SEARCH(", "&amp;$B58&amp;", ",", "&amp;'Trust &amp; Safety'!$B$7:$B$500&amp;", ")))+SUMPRODUCT(--ISNUMBER(SEARCH(", "&amp;$B58&amp;", ",", "&amp;'Tài khoản &amp; Hồ sơ'!$B$7:$B$500&amp;", ")))</f>
        <v/>
      </c>
      <c r="F58" s="53">
        <f>SUMPRODUCT(--ISNUMBER(SEARCH(", "&amp;$B58&amp;", ",", "&amp;'Hoạt động (Đơn của tôi)'!$B$7:$B$500&amp;", ")),--('Hoạt động (Đơn của tôi)'!$AT$7:$AT$500&lt;&gt;""))+SUMPRODUCT(--ISNUMBER(SEARCH(", "&amp;$B58&amp;", ",", "&amp;'Ghép nối'!$B$7:$B$500&amp;", ")),--('Ghép nối'!$AT$7:$AT$500&lt;&gt;""))+SUMPRODUCT(--ISNUMBER(SEARCH(", "&amp;$B58&amp;", ",", "&amp;'Huỷ đơn - Huỷ nhận đơn'!$B$7:$B$500&amp;", ")),--('Huỷ đơn - Huỷ nhận đơn'!$AT$7:$AT$500&lt;&gt;""))+SUMPRODUCT(--ISNUMBER(SEARCH(", "&amp;$B58&amp;", ",", "&amp;'Giao nhận &amp; Theo dõi đơn'!$B$7:$B$500&amp;", ")),--('Giao nhận &amp; Theo dõi đơn'!$AT$7:$AT$500&lt;&gt;""))+SUMPRODUCT(--ISNUMBER(SEARCH(", "&amp;$B58&amp;", ",", "&amp;'Bảng tin &amp; Chi tiết tin'!$B$7:$B$500&amp;", ")),--('Bảng tin &amp; Chi tiết tin'!$AT$7:$AT$500&lt;&gt;""))+SUMPRODUCT(--ISNUMBER(SEARCH(", "&amp;$B58&amp;", ",", "&amp;'Quà cảm ơn'!$B$7:$B$500&amp;", ")),--('Quà cảm ơn'!$AT$7:$AT$500&lt;&gt;""))+SUMPRODUCT(--ISNUMBER(SEARCH(", "&amp;$B58&amp;", ",", "&amp;'Trang chủ'!$B$7:$B$500&amp;", ")),--('Trang chủ'!$AT$7:$AT$500&lt;&gt;""))+SUMPRODUCT(--ISNUMBER(SEARCH(", "&amp;$B58&amp;", ",", "&amp;'Thông báo'!$B$7:$B$500&amp;", ")),--('Thông báo'!$AT$7:$AT$500&lt;&gt;""))+SUMPRODUCT(--ISNUMBER(SEARCH(", "&amp;$B58&amp;", ",", "&amp;'Đăng tin &amp; Quản lý tin'!$B$7:$B$500&amp;", ")),--('Đăng tin &amp; Quản lý tin'!$AT$7:$AT$500&lt;&gt;""))+SUMPRODUCT(--ISNUMBER(SEARCH(", "&amp;$B58&amp;", ",", "&amp;'Trust &amp; Safety'!$B$7:$B$500&amp;", ")),--('Trust &amp; Safety'!$AT$7:$AT$500&lt;&gt;""))+SUMPRODUCT(--ISNUMBER(SEARCH(", "&amp;$B58&amp;", ",", "&amp;'Tài khoản &amp; Hồ sơ'!$B$7:$B$500&amp;", ")),--('Tài khoản &amp; Hồ sơ'!$AT$7:$AT$500&lt;&gt;""))</f>
        <v/>
      </c>
      <c r="G58" s="53">
        <f>SUMPRODUCT(--ISNUMBER(SEARCH(", "&amp;$B58&amp;", ",", "&amp;'Hoạt động (Đơn của tôi)'!$B$7:$B$500&amp;", ")),--('Hoạt động (Đơn của tôi)'!$AT$7:$AT$500="Pass"))+SUMPRODUCT(--ISNUMBER(SEARCH(", "&amp;$B58&amp;", ",", "&amp;'Ghép nối'!$B$7:$B$500&amp;", ")),--('Ghép nối'!$AT$7:$AT$500="Pass"))+SUMPRODUCT(--ISNUMBER(SEARCH(", "&amp;$B58&amp;", ",", "&amp;'Huỷ đơn - Huỷ nhận đơn'!$B$7:$B$500&amp;", ")),--('Huỷ đơn - Huỷ nhận đơn'!$AT$7:$AT$500="Pass"))+SUMPRODUCT(--ISNUMBER(SEARCH(", "&amp;$B58&amp;", ",", "&amp;'Giao nhận &amp; Theo dõi đơn'!$B$7:$B$500&amp;", ")),--('Giao nhận &amp; Theo dõi đơn'!$AT$7:$AT$500="Pass"))+SUMPRODUCT(--ISNUMBER(SEARCH(", "&amp;$B58&amp;", ",", "&amp;'Bảng tin &amp; Chi tiết tin'!$B$7:$B$500&amp;", ")),--('Bảng tin &amp; Chi tiết tin'!$AT$7:$AT$500="Pass"))+SUMPRODUCT(--ISNUMBER(SEARCH(", "&amp;$B58&amp;", ",", "&amp;'Quà cảm ơn'!$B$7:$B$500&amp;", ")),--('Quà cảm ơn'!$AT$7:$AT$500="Pass"))+SUMPRODUCT(--ISNUMBER(SEARCH(", "&amp;$B58&amp;", ",", "&amp;'Trang chủ'!$B$7:$B$500&amp;", ")),--('Trang chủ'!$AT$7:$AT$500="Pass"))+SUMPRODUCT(--ISNUMBER(SEARCH(", "&amp;$B58&amp;", ",", "&amp;'Thông báo'!$B$7:$B$500&amp;", ")),--('Thông báo'!$AT$7:$AT$500="Pass"))+SUMPRODUCT(--ISNUMBER(SEARCH(", "&amp;$B58&amp;", ",", "&amp;'Đăng tin &amp; Quản lý tin'!$B$7:$B$500&amp;", ")),--('Đăng tin &amp; Quản lý tin'!$AT$7:$AT$500="Pass"))+SUMPRODUCT(--ISNUMBER(SEARCH(", "&amp;$B58&amp;", ",", "&amp;'Trust &amp; Safety'!$B$7:$B$500&amp;", ")),--('Trust &amp; Safety'!$AT$7:$AT$500="Pass"))+SUMPRODUCT(--ISNUMBER(SEARCH(", "&amp;$B58&amp;", ",", "&amp;'Tài khoản &amp; Hồ sơ'!$B$7:$B$500&amp;", ")),--('Tài khoản &amp; Hồ sơ'!$AT$7:$AT$500="Pass"))</f>
        <v/>
      </c>
      <c r="H58" s="53">
        <f>SUMPRODUCT(--ISNUMBER(SEARCH(", "&amp;$B58&amp;", ",", "&amp;'Hoạt động (Đơn của tôi)'!$B$7:$B$500&amp;", ")),--('Hoạt động (Đơn của tôi)'!$AT$7:$AT$500="Fail"))+SUMPRODUCT(--ISNUMBER(SEARCH(", "&amp;$B58&amp;", ",", "&amp;'Ghép nối'!$B$7:$B$500&amp;", ")),--('Ghép nối'!$AT$7:$AT$500="Fail"))+SUMPRODUCT(--ISNUMBER(SEARCH(", "&amp;$B58&amp;", ",", "&amp;'Huỷ đơn - Huỷ nhận đơn'!$B$7:$B$500&amp;", ")),--('Huỷ đơn - Huỷ nhận đơn'!$AT$7:$AT$500="Fail"))+SUMPRODUCT(--ISNUMBER(SEARCH(", "&amp;$B58&amp;", ",", "&amp;'Giao nhận &amp; Theo dõi đơn'!$B$7:$B$500&amp;", ")),--('Giao nhận &amp; Theo dõi đơn'!$AT$7:$AT$500="Fail"))+SUMPRODUCT(--ISNUMBER(SEARCH(", "&amp;$B58&amp;", ",", "&amp;'Bảng tin &amp; Chi tiết tin'!$B$7:$B$500&amp;", ")),--('Bảng tin &amp; Chi tiết tin'!$AT$7:$AT$500="Fail"))+SUMPRODUCT(--ISNUMBER(SEARCH(", "&amp;$B58&amp;", ",", "&amp;'Quà cảm ơn'!$B$7:$B$500&amp;", ")),--('Quà cảm ơn'!$AT$7:$AT$500="Fail"))+SUMPRODUCT(--ISNUMBER(SEARCH(", "&amp;$B58&amp;", ",", "&amp;'Trang chủ'!$B$7:$B$500&amp;", ")),--('Trang chủ'!$AT$7:$AT$500="Fail"))+SUMPRODUCT(--ISNUMBER(SEARCH(", "&amp;$B58&amp;", ",", "&amp;'Thông báo'!$B$7:$B$500&amp;", ")),--('Thông báo'!$AT$7:$AT$500="Fail"))+SUMPRODUCT(--ISNUMBER(SEARCH(", "&amp;$B58&amp;", ",", "&amp;'Đăng tin &amp; Quản lý tin'!$B$7:$B$500&amp;", ")),--('Đăng tin &amp; Quản lý tin'!$AT$7:$AT$500="Fail"))+SUMPRODUCT(--ISNUMBER(SEARCH(", "&amp;$B58&amp;", ",", "&amp;'Trust &amp; Safety'!$B$7:$B$500&amp;", ")),--('Trust &amp; Safety'!$AT$7:$AT$500="Fail"))+SUMPRODUCT(--ISNUMBER(SEARCH(", "&amp;$B58&amp;", ",", "&amp;'Tài khoản &amp; Hồ sơ'!$B$7:$B$500&amp;", ")),--('Tài khoản &amp; Hồ sơ'!$AT$7:$AT$500="Fail"))</f>
        <v/>
      </c>
      <c r="I58" s="53">
        <f>SUMPRODUCT(--ISNUMBER(SEARCH(", "&amp;$B58&amp;", ",", "&amp;'Hoạt động (Đơn của tôi)'!$B$7:$B$500&amp;", ")),--('Hoạt động (Đơn của tôi)'!$AT$7:$AT$500="Block"))+SUMPRODUCT(--ISNUMBER(SEARCH(", "&amp;$B58&amp;", ",", "&amp;'Ghép nối'!$B$7:$B$500&amp;", ")),--('Ghép nối'!$AT$7:$AT$500="Block"))+SUMPRODUCT(--ISNUMBER(SEARCH(", "&amp;$B58&amp;", ",", "&amp;'Huỷ đơn - Huỷ nhận đơn'!$B$7:$B$500&amp;", ")),--('Huỷ đơn - Huỷ nhận đơn'!$AT$7:$AT$500="Block"))+SUMPRODUCT(--ISNUMBER(SEARCH(", "&amp;$B58&amp;", ",", "&amp;'Giao nhận &amp; Theo dõi đơn'!$B$7:$B$500&amp;", ")),--('Giao nhận &amp; Theo dõi đơn'!$AT$7:$AT$500="Block"))+SUMPRODUCT(--ISNUMBER(SEARCH(", "&amp;$B58&amp;", ",", "&amp;'Bảng tin &amp; Chi tiết tin'!$B$7:$B$500&amp;", ")),--('Bảng tin &amp; Chi tiết tin'!$AT$7:$AT$500="Block"))+SUMPRODUCT(--ISNUMBER(SEARCH(", "&amp;$B58&amp;", ",", "&amp;'Quà cảm ơn'!$B$7:$B$500&amp;", ")),--('Quà cảm ơn'!$AT$7:$AT$500="Block"))+SUMPRODUCT(--ISNUMBER(SEARCH(", "&amp;$B58&amp;", ",", "&amp;'Trang chủ'!$B$7:$B$500&amp;", ")),--('Trang chủ'!$AT$7:$AT$500="Block"))+SUMPRODUCT(--ISNUMBER(SEARCH(", "&amp;$B58&amp;", ",", "&amp;'Thông báo'!$B$7:$B$500&amp;", ")),--('Thông báo'!$AT$7:$AT$500="Block"))+SUMPRODUCT(--ISNUMBER(SEARCH(", "&amp;$B58&amp;", ",", "&amp;'Đăng tin &amp; Quản lý tin'!$B$7:$B$500&amp;", ")),--('Đăng tin &amp; Quản lý tin'!$AT$7:$AT$500="Block"))+SUMPRODUCT(--ISNUMBER(SEARCH(", "&amp;$B58&amp;", ",", "&amp;'Trust &amp; Safety'!$B$7:$B$500&amp;", ")),--('Trust &amp; Safety'!$AT$7:$AT$500="Block"))+SUMPRODUCT(--ISNUMBER(SEARCH(", "&amp;$B58&amp;", ",", "&amp;'Tài khoản &amp; Hồ sơ'!$B$7:$B$500&amp;", ")),--('Tài khoản &amp; Hồ sơ'!$AT$7:$AT$500="Block"))</f>
        <v/>
      </c>
      <c r="J58" s="53">
        <f>SUMPRODUCT(--ISNUMBER(SEARCH(", "&amp;$B58&amp;", ",", "&amp;'Hoạt động (Đơn của tôi)'!$B$7:$B$500&amp;", ")),--('Hoạt động (Đơn của tôi)'!$AT$7:$AT$500="N/A"))+SUMPRODUCT(--ISNUMBER(SEARCH(", "&amp;$B58&amp;", ",", "&amp;'Ghép nối'!$B$7:$B$500&amp;", ")),--('Ghép nối'!$AT$7:$AT$500="N/A"))+SUMPRODUCT(--ISNUMBER(SEARCH(", "&amp;$B58&amp;", ",", "&amp;'Huỷ đơn - Huỷ nhận đơn'!$B$7:$B$500&amp;", ")),--('Huỷ đơn - Huỷ nhận đơn'!$AT$7:$AT$500="N/A"))+SUMPRODUCT(--ISNUMBER(SEARCH(", "&amp;$B58&amp;", ",", "&amp;'Giao nhận &amp; Theo dõi đơn'!$B$7:$B$500&amp;", ")),--('Giao nhận &amp; Theo dõi đơn'!$AT$7:$AT$500="N/A"))+SUMPRODUCT(--ISNUMBER(SEARCH(", "&amp;$B58&amp;", ",", "&amp;'Bảng tin &amp; Chi tiết tin'!$B$7:$B$500&amp;", ")),--('Bảng tin &amp; Chi tiết tin'!$AT$7:$AT$500="N/A"))+SUMPRODUCT(--ISNUMBER(SEARCH(", "&amp;$B58&amp;", ",", "&amp;'Quà cảm ơn'!$B$7:$B$500&amp;", ")),--('Quà cảm ơn'!$AT$7:$AT$500="N/A"))+SUMPRODUCT(--ISNUMBER(SEARCH(", "&amp;$B58&amp;", ",", "&amp;'Trang chủ'!$B$7:$B$500&amp;", ")),--('Trang chủ'!$AT$7:$AT$500="N/A"))+SUMPRODUCT(--ISNUMBER(SEARCH(", "&amp;$B58&amp;", ",", "&amp;'Thông báo'!$B$7:$B$500&amp;", ")),--('Thông báo'!$AT$7:$AT$500="N/A"))+SUMPRODUCT(--ISNUMBER(SEARCH(", "&amp;$B58&amp;", ",", "&amp;'Đăng tin &amp; Quản lý tin'!$B$7:$B$500&amp;", ")),--('Đăng tin &amp; Quản lý tin'!$AT$7:$AT$500="N/A"))+SUMPRODUCT(--ISNUMBER(SEARCH(", "&amp;$B58&amp;", ",", "&amp;'Trust &amp; Safety'!$B$7:$B$500&amp;", ")),--('Trust &amp; Safety'!$AT$7:$AT$500="N/A"))+SUMPRODUCT(--ISNUMBER(SEARCH(", "&amp;$B58&amp;", ",", "&amp;'Tài khoản &amp; Hồ sơ'!$B$7:$B$500&amp;", ")),--('Tài khoản &amp; Hồ sơ'!$AT$7:$AT$500="N/A"))</f>
        <v/>
      </c>
      <c r="K58" s="54">
        <f>IFERROR(F58/E58,0)</f>
        <v/>
      </c>
      <c r="L58" s="113">
        <f>IF(E58=0,"Chưa có TC (gap)",IF(H58&gt;0,"Có lỗi (Fail)",IF(I58&gt;0,"Bị block",IF(F58&lt;E58,"Đang test",IF(G58=0,"Không áp dụng (N/A)","Đã test xong")))))</f>
        <v/>
      </c>
      <c r="AB58" t="inlineStr">
        <is>
          <t>REQ-FEED</t>
        </is>
      </c>
    </row>
    <row r="59" ht="15.75" customHeight="1" s="216">
      <c r="A59" s="1" t="n"/>
      <c r="B59" s="112" t="inlineStr">
        <is>
          <t>REQ-FEED-005</t>
        </is>
      </c>
      <c r="C59" s="261" t="inlineStr"/>
      <c r="D59" s="113" t="inlineStr">
        <is>
          <t>DOC-v1.0-02</t>
        </is>
      </c>
      <c r="E59" s="53">
        <f>SUMPRODUCT(--ISNUMBER(SEARCH(", "&amp;$B59&amp;", ",", "&amp;'Hoạt động (Đơn của tôi)'!$B$7:$B$500&amp;", ")))+SUMPRODUCT(--ISNUMBER(SEARCH(", "&amp;$B59&amp;", ",", "&amp;'Ghép nối'!$B$7:$B$500&amp;", ")))+SUMPRODUCT(--ISNUMBER(SEARCH(", "&amp;$B59&amp;", ",", "&amp;'Huỷ đơn - Huỷ nhận đơn'!$B$7:$B$500&amp;", ")))+SUMPRODUCT(--ISNUMBER(SEARCH(", "&amp;$B59&amp;", ",", "&amp;'Giao nhận &amp; Theo dõi đơn'!$B$7:$B$500&amp;", ")))+SUMPRODUCT(--ISNUMBER(SEARCH(", "&amp;$B59&amp;", ",", "&amp;'Bảng tin &amp; Chi tiết tin'!$B$7:$B$500&amp;", ")))+SUMPRODUCT(--ISNUMBER(SEARCH(", "&amp;$B59&amp;", ",", "&amp;'Quà cảm ơn'!$B$7:$B$500&amp;", ")))+SUMPRODUCT(--ISNUMBER(SEARCH(", "&amp;$B59&amp;", ",", "&amp;'Trang chủ'!$B$7:$B$500&amp;", ")))+SUMPRODUCT(--ISNUMBER(SEARCH(", "&amp;$B59&amp;", ",", "&amp;'Thông báo'!$B$7:$B$500&amp;", ")))+SUMPRODUCT(--ISNUMBER(SEARCH(", "&amp;$B59&amp;", ",", "&amp;'Đăng tin &amp; Quản lý tin'!$B$7:$B$500&amp;", ")))+SUMPRODUCT(--ISNUMBER(SEARCH(", "&amp;$B59&amp;", ",", "&amp;'Trust &amp; Safety'!$B$7:$B$500&amp;", ")))+SUMPRODUCT(--ISNUMBER(SEARCH(", "&amp;$B59&amp;", ",", "&amp;'Tài khoản &amp; Hồ sơ'!$B$7:$B$500&amp;", ")))</f>
        <v/>
      </c>
      <c r="F59" s="53">
        <f>SUMPRODUCT(--ISNUMBER(SEARCH(", "&amp;$B59&amp;", ",", "&amp;'Hoạt động (Đơn của tôi)'!$B$7:$B$500&amp;", ")),--('Hoạt động (Đơn của tôi)'!$AT$7:$AT$500&lt;&gt;""))+SUMPRODUCT(--ISNUMBER(SEARCH(", "&amp;$B59&amp;", ",", "&amp;'Ghép nối'!$B$7:$B$500&amp;", ")),--('Ghép nối'!$AT$7:$AT$500&lt;&gt;""))+SUMPRODUCT(--ISNUMBER(SEARCH(", "&amp;$B59&amp;", ",", "&amp;'Huỷ đơn - Huỷ nhận đơn'!$B$7:$B$500&amp;", ")),--('Huỷ đơn - Huỷ nhận đơn'!$AT$7:$AT$500&lt;&gt;""))+SUMPRODUCT(--ISNUMBER(SEARCH(", "&amp;$B59&amp;", ",", "&amp;'Giao nhận &amp; Theo dõi đơn'!$B$7:$B$500&amp;", ")),--('Giao nhận &amp; Theo dõi đơn'!$AT$7:$AT$500&lt;&gt;""))+SUMPRODUCT(--ISNUMBER(SEARCH(", "&amp;$B59&amp;", ",", "&amp;'Bảng tin &amp; Chi tiết tin'!$B$7:$B$500&amp;", ")),--('Bảng tin &amp; Chi tiết tin'!$AT$7:$AT$500&lt;&gt;""))+SUMPRODUCT(--ISNUMBER(SEARCH(", "&amp;$B59&amp;", ",", "&amp;'Quà cảm ơn'!$B$7:$B$500&amp;", ")),--('Quà cảm ơn'!$AT$7:$AT$500&lt;&gt;""))+SUMPRODUCT(--ISNUMBER(SEARCH(", "&amp;$B59&amp;", ",", "&amp;'Trang chủ'!$B$7:$B$500&amp;", ")),--('Trang chủ'!$AT$7:$AT$500&lt;&gt;""))+SUMPRODUCT(--ISNUMBER(SEARCH(", "&amp;$B59&amp;", ",", "&amp;'Thông báo'!$B$7:$B$500&amp;", ")),--('Thông báo'!$AT$7:$AT$500&lt;&gt;""))+SUMPRODUCT(--ISNUMBER(SEARCH(", "&amp;$B59&amp;", ",", "&amp;'Đăng tin &amp; Quản lý tin'!$B$7:$B$500&amp;", ")),--('Đăng tin &amp; Quản lý tin'!$AT$7:$AT$500&lt;&gt;""))+SUMPRODUCT(--ISNUMBER(SEARCH(", "&amp;$B59&amp;", ",", "&amp;'Trust &amp; Safety'!$B$7:$B$500&amp;", ")),--('Trust &amp; Safety'!$AT$7:$AT$500&lt;&gt;""))+SUMPRODUCT(--ISNUMBER(SEARCH(", "&amp;$B59&amp;", ",", "&amp;'Tài khoản &amp; Hồ sơ'!$B$7:$B$500&amp;", ")),--('Tài khoản &amp; Hồ sơ'!$AT$7:$AT$500&lt;&gt;""))</f>
        <v/>
      </c>
      <c r="G59" s="53">
        <f>SUMPRODUCT(--ISNUMBER(SEARCH(", "&amp;$B59&amp;", ",", "&amp;'Hoạt động (Đơn của tôi)'!$B$7:$B$500&amp;", ")),--('Hoạt động (Đơn của tôi)'!$AT$7:$AT$500="Pass"))+SUMPRODUCT(--ISNUMBER(SEARCH(", "&amp;$B59&amp;", ",", "&amp;'Ghép nối'!$B$7:$B$500&amp;", ")),--('Ghép nối'!$AT$7:$AT$500="Pass"))+SUMPRODUCT(--ISNUMBER(SEARCH(", "&amp;$B59&amp;", ",", "&amp;'Huỷ đơn - Huỷ nhận đơn'!$B$7:$B$500&amp;", ")),--('Huỷ đơn - Huỷ nhận đơn'!$AT$7:$AT$500="Pass"))+SUMPRODUCT(--ISNUMBER(SEARCH(", "&amp;$B59&amp;", ",", "&amp;'Giao nhận &amp; Theo dõi đơn'!$B$7:$B$500&amp;", ")),--('Giao nhận &amp; Theo dõi đơn'!$AT$7:$AT$500="Pass"))+SUMPRODUCT(--ISNUMBER(SEARCH(", "&amp;$B59&amp;", ",", "&amp;'Bảng tin &amp; Chi tiết tin'!$B$7:$B$500&amp;", ")),--('Bảng tin &amp; Chi tiết tin'!$AT$7:$AT$500="Pass"))+SUMPRODUCT(--ISNUMBER(SEARCH(", "&amp;$B59&amp;", ",", "&amp;'Quà cảm ơn'!$B$7:$B$500&amp;", ")),--('Quà cảm ơn'!$AT$7:$AT$500="Pass"))+SUMPRODUCT(--ISNUMBER(SEARCH(", "&amp;$B59&amp;", ",", "&amp;'Trang chủ'!$B$7:$B$500&amp;", ")),--('Trang chủ'!$AT$7:$AT$500="Pass"))+SUMPRODUCT(--ISNUMBER(SEARCH(", "&amp;$B59&amp;", ",", "&amp;'Thông báo'!$B$7:$B$500&amp;", ")),--('Thông báo'!$AT$7:$AT$500="Pass"))+SUMPRODUCT(--ISNUMBER(SEARCH(", "&amp;$B59&amp;", ",", "&amp;'Đăng tin &amp; Quản lý tin'!$B$7:$B$500&amp;", ")),--('Đăng tin &amp; Quản lý tin'!$AT$7:$AT$500="Pass"))+SUMPRODUCT(--ISNUMBER(SEARCH(", "&amp;$B59&amp;", ",", "&amp;'Trust &amp; Safety'!$B$7:$B$500&amp;", ")),--('Trust &amp; Safety'!$AT$7:$AT$500="Pass"))+SUMPRODUCT(--ISNUMBER(SEARCH(", "&amp;$B59&amp;", ",", "&amp;'Tài khoản &amp; Hồ sơ'!$B$7:$B$500&amp;", ")),--('Tài khoản &amp; Hồ sơ'!$AT$7:$AT$500="Pass"))</f>
        <v/>
      </c>
      <c r="H59" s="53">
        <f>SUMPRODUCT(--ISNUMBER(SEARCH(", "&amp;$B59&amp;", ",", "&amp;'Hoạt động (Đơn của tôi)'!$B$7:$B$500&amp;", ")),--('Hoạt động (Đơn của tôi)'!$AT$7:$AT$500="Fail"))+SUMPRODUCT(--ISNUMBER(SEARCH(", "&amp;$B59&amp;", ",", "&amp;'Ghép nối'!$B$7:$B$500&amp;", ")),--('Ghép nối'!$AT$7:$AT$500="Fail"))+SUMPRODUCT(--ISNUMBER(SEARCH(", "&amp;$B59&amp;", ",", "&amp;'Huỷ đơn - Huỷ nhận đơn'!$B$7:$B$500&amp;", ")),--('Huỷ đơn - Huỷ nhận đơn'!$AT$7:$AT$500="Fail"))+SUMPRODUCT(--ISNUMBER(SEARCH(", "&amp;$B59&amp;", ",", "&amp;'Giao nhận &amp; Theo dõi đơn'!$B$7:$B$500&amp;", ")),--('Giao nhận &amp; Theo dõi đơn'!$AT$7:$AT$500="Fail"))+SUMPRODUCT(--ISNUMBER(SEARCH(", "&amp;$B59&amp;", ",", "&amp;'Bảng tin &amp; Chi tiết tin'!$B$7:$B$500&amp;", ")),--('Bảng tin &amp; Chi tiết tin'!$AT$7:$AT$500="Fail"))+SUMPRODUCT(--ISNUMBER(SEARCH(", "&amp;$B59&amp;", ",", "&amp;'Quà cảm ơn'!$B$7:$B$500&amp;", ")),--('Quà cảm ơn'!$AT$7:$AT$500="Fail"))+SUMPRODUCT(--ISNUMBER(SEARCH(", "&amp;$B59&amp;", ",", "&amp;'Trang chủ'!$B$7:$B$500&amp;", ")),--('Trang chủ'!$AT$7:$AT$500="Fail"))+SUMPRODUCT(--ISNUMBER(SEARCH(", "&amp;$B59&amp;", ",", "&amp;'Thông báo'!$B$7:$B$500&amp;", ")),--('Thông báo'!$AT$7:$AT$500="Fail"))+SUMPRODUCT(--ISNUMBER(SEARCH(", "&amp;$B59&amp;", ",", "&amp;'Đăng tin &amp; Quản lý tin'!$B$7:$B$500&amp;", ")),--('Đăng tin &amp; Quản lý tin'!$AT$7:$AT$500="Fail"))+SUMPRODUCT(--ISNUMBER(SEARCH(", "&amp;$B59&amp;", ",", "&amp;'Trust &amp; Safety'!$B$7:$B$500&amp;", ")),--('Trust &amp; Safety'!$AT$7:$AT$500="Fail"))+SUMPRODUCT(--ISNUMBER(SEARCH(", "&amp;$B59&amp;", ",", "&amp;'Tài khoản &amp; Hồ sơ'!$B$7:$B$500&amp;", ")),--('Tài khoản &amp; Hồ sơ'!$AT$7:$AT$500="Fail"))</f>
        <v/>
      </c>
      <c r="I59" s="53">
        <f>SUMPRODUCT(--ISNUMBER(SEARCH(", "&amp;$B59&amp;", ",", "&amp;'Hoạt động (Đơn của tôi)'!$B$7:$B$500&amp;", ")),--('Hoạt động (Đơn của tôi)'!$AT$7:$AT$500="Block"))+SUMPRODUCT(--ISNUMBER(SEARCH(", "&amp;$B59&amp;", ",", "&amp;'Ghép nối'!$B$7:$B$500&amp;", ")),--('Ghép nối'!$AT$7:$AT$500="Block"))+SUMPRODUCT(--ISNUMBER(SEARCH(", "&amp;$B59&amp;", ",", "&amp;'Huỷ đơn - Huỷ nhận đơn'!$B$7:$B$500&amp;", ")),--('Huỷ đơn - Huỷ nhận đơn'!$AT$7:$AT$500="Block"))+SUMPRODUCT(--ISNUMBER(SEARCH(", "&amp;$B59&amp;", ",", "&amp;'Giao nhận &amp; Theo dõi đơn'!$B$7:$B$500&amp;", ")),--('Giao nhận &amp; Theo dõi đơn'!$AT$7:$AT$500="Block"))+SUMPRODUCT(--ISNUMBER(SEARCH(", "&amp;$B59&amp;", ",", "&amp;'Bảng tin &amp; Chi tiết tin'!$B$7:$B$500&amp;", ")),--('Bảng tin &amp; Chi tiết tin'!$AT$7:$AT$500="Block"))+SUMPRODUCT(--ISNUMBER(SEARCH(", "&amp;$B59&amp;", ",", "&amp;'Quà cảm ơn'!$B$7:$B$500&amp;", ")),--('Quà cảm ơn'!$AT$7:$AT$500="Block"))+SUMPRODUCT(--ISNUMBER(SEARCH(", "&amp;$B59&amp;", ",", "&amp;'Trang chủ'!$B$7:$B$500&amp;", ")),--('Trang chủ'!$AT$7:$AT$500="Block"))+SUMPRODUCT(--ISNUMBER(SEARCH(", "&amp;$B59&amp;", ",", "&amp;'Thông báo'!$B$7:$B$500&amp;", ")),--('Thông báo'!$AT$7:$AT$500="Block"))+SUMPRODUCT(--ISNUMBER(SEARCH(", "&amp;$B59&amp;", ",", "&amp;'Đăng tin &amp; Quản lý tin'!$B$7:$B$500&amp;", ")),--('Đăng tin &amp; Quản lý tin'!$AT$7:$AT$500="Block"))+SUMPRODUCT(--ISNUMBER(SEARCH(", "&amp;$B59&amp;", ",", "&amp;'Trust &amp; Safety'!$B$7:$B$500&amp;", ")),--('Trust &amp; Safety'!$AT$7:$AT$500="Block"))+SUMPRODUCT(--ISNUMBER(SEARCH(", "&amp;$B59&amp;", ",", "&amp;'Tài khoản &amp; Hồ sơ'!$B$7:$B$500&amp;", ")),--('Tài khoản &amp; Hồ sơ'!$AT$7:$AT$500="Block"))</f>
        <v/>
      </c>
      <c r="J59" s="53">
        <f>SUMPRODUCT(--ISNUMBER(SEARCH(", "&amp;$B59&amp;", ",", "&amp;'Hoạt động (Đơn của tôi)'!$B$7:$B$500&amp;", ")),--('Hoạt động (Đơn của tôi)'!$AT$7:$AT$500="N/A"))+SUMPRODUCT(--ISNUMBER(SEARCH(", "&amp;$B59&amp;", ",", "&amp;'Ghép nối'!$B$7:$B$500&amp;", ")),--('Ghép nối'!$AT$7:$AT$500="N/A"))+SUMPRODUCT(--ISNUMBER(SEARCH(", "&amp;$B59&amp;", ",", "&amp;'Huỷ đơn - Huỷ nhận đơn'!$B$7:$B$500&amp;", ")),--('Huỷ đơn - Huỷ nhận đơn'!$AT$7:$AT$500="N/A"))+SUMPRODUCT(--ISNUMBER(SEARCH(", "&amp;$B59&amp;", ",", "&amp;'Giao nhận &amp; Theo dõi đơn'!$B$7:$B$500&amp;", ")),--('Giao nhận &amp; Theo dõi đơn'!$AT$7:$AT$500="N/A"))+SUMPRODUCT(--ISNUMBER(SEARCH(", "&amp;$B59&amp;", ",", "&amp;'Bảng tin &amp; Chi tiết tin'!$B$7:$B$500&amp;", ")),--('Bảng tin &amp; Chi tiết tin'!$AT$7:$AT$500="N/A"))+SUMPRODUCT(--ISNUMBER(SEARCH(", "&amp;$B59&amp;", ",", "&amp;'Quà cảm ơn'!$B$7:$B$500&amp;", ")),--('Quà cảm ơn'!$AT$7:$AT$500="N/A"))+SUMPRODUCT(--ISNUMBER(SEARCH(", "&amp;$B59&amp;", ",", "&amp;'Trang chủ'!$B$7:$B$500&amp;", ")),--('Trang chủ'!$AT$7:$AT$500="N/A"))+SUMPRODUCT(--ISNUMBER(SEARCH(", "&amp;$B59&amp;", ",", "&amp;'Thông báo'!$B$7:$B$500&amp;", ")),--('Thông báo'!$AT$7:$AT$500="N/A"))+SUMPRODUCT(--ISNUMBER(SEARCH(", "&amp;$B59&amp;", ",", "&amp;'Đăng tin &amp; Quản lý tin'!$B$7:$B$500&amp;", ")),--('Đăng tin &amp; Quản lý tin'!$AT$7:$AT$500="N/A"))+SUMPRODUCT(--ISNUMBER(SEARCH(", "&amp;$B59&amp;", ",", "&amp;'Trust &amp; Safety'!$B$7:$B$500&amp;", ")),--('Trust &amp; Safety'!$AT$7:$AT$500="N/A"))+SUMPRODUCT(--ISNUMBER(SEARCH(", "&amp;$B59&amp;", ",", "&amp;'Tài khoản &amp; Hồ sơ'!$B$7:$B$500&amp;", ")),--('Tài khoản &amp; Hồ sơ'!$AT$7:$AT$500="N/A"))</f>
        <v/>
      </c>
      <c r="K59" s="54">
        <f>IFERROR(F59/E59,0)</f>
        <v/>
      </c>
      <c r="L59" s="113">
        <f>IF(E59=0,"Chưa có TC (gap)",IF(H59&gt;0,"Có lỗi (Fail)",IF(I59&gt;0,"Bị block",IF(F59&lt;E59,"Đang test",IF(G59=0,"Không áp dụng (N/A)","Đã test xong")))))</f>
        <v/>
      </c>
      <c r="AB59" t="inlineStr">
        <is>
          <t>REQ-FEED</t>
        </is>
      </c>
    </row>
    <row r="60" ht="15.75" customHeight="1" s="216">
      <c r="A60" s="1" t="n"/>
      <c r="B60" s="112" t="inlineStr">
        <is>
          <t>REQ-FEED-009</t>
        </is>
      </c>
      <c r="C60" s="261" t="inlineStr"/>
      <c r="D60" s="113" t="inlineStr">
        <is>
          <t>DOC-v1.1-01 · DOC-v1.0-06</t>
        </is>
      </c>
      <c r="E60" s="53">
        <f>SUMPRODUCT(--ISNUMBER(SEARCH(", "&amp;$B60&amp;", ",", "&amp;'Hoạt động (Đơn của tôi)'!$B$7:$B$500&amp;", ")))+SUMPRODUCT(--ISNUMBER(SEARCH(", "&amp;$B60&amp;", ",", "&amp;'Ghép nối'!$B$7:$B$500&amp;", ")))+SUMPRODUCT(--ISNUMBER(SEARCH(", "&amp;$B60&amp;", ",", "&amp;'Huỷ đơn - Huỷ nhận đơn'!$B$7:$B$500&amp;", ")))+SUMPRODUCT(--ISNUMBER(SEARCH(", "&amp;$B60&amp;", ",", "&amp;'Giao nhận &amp; Theo dõi đơn'!$B$7:$B$500&amp;", ")))+SUMPRODUCT(--ISNUMBER(SEARCH(", "&amp;$B60&amp;", ",", "&amp;'Bảng tin &amp; Chi tiết tin'!$B$7:$B$500&amp;", ")))+SUMPRODUCT(--ISNUMBER(SEARCH(", "&amp;$B60&amp;", ",", "&amp;'Quà cảm ơn'!$B$7:$B$500&amp;", ")))+SUMPRODUCT(--ISNUMBER(SEARCH(", "&amp;$B60&amp;", ",", "&amp;'Trang chủ'!$B$7:$B$500&amp;", ")))+SUMPRODUCT(--ISNUMBER(SEARCH(", "&amp;$B60&amp;", ",", "&amp;'Thông báo'!$B$7:$B$500&amp;", ")))+SUMPRODUCT(--ISNUMBER(SEARCH(", "&amp;$B60&amp;", ",", "&amp;'Đăng tin &amp; Quản lý tin'!$B$7:$B$500&amp;", ")))+SUMPRODUCT(--ISNUMBER(SEARCH(", "&amp;$B60&amp;", ",", "&amp;'Trust &amp; Safety'!$B$7:$B$500&amp;", ")))+SUMPRODUCT(--ISNUMBER(SEARCH(", "&amp;$B60&amp;", ",", "&amp;'Tài khoản &amp; Hồ sơ'!$B$7:$B$500&amp;", ")))</f>
        <v/>
      </c>
      <c r="F60" s="53">
        <f>SUMPRODUCT(--ISNUMBER(SEARCH(", "&amp;$B60&amp;", ",", "&amp;'Hoạt động (Đơn của tôi)'!$B$7:$B$500&amp;", ")),--('Hoạt động (Đơn của tôi)'!$AT$7:$AT$500&lt;&gt;""))+SUMPRODUCT(--ISNUMBER(SEARCH(", "&amp;$B60&amp;", ",", "&amp;'Ghép nối'!$B$7:$B$500&amp;", ")),--('Ghép nối'!$AT$7:$AT$500&lt;&gt;""))+SUMPRODUCT(--ISNUMBER(SEARCH(", "&amp;$B60&amp;", ",", "&amp;'Huỷ đơn - Huỷ nhận đơn'!$B$7:$B$500&amp;", ")),--('Huỷ đơn - Huỷ nhận đơn'!$AT$7:$AT$500&lt;&gt;""))+SUMPRODUCT(--ISNUMBER(SEARCH(", "&amp;$B60&amp;", ",", "&amp;'Giao nhận &amp; Theo dõi đơn'!$B$7:$B$500&amp;", ")),--('Giao nhận &amp; Theo dõi đơn'!$AT$7:$AT$500&lt;&gt;""))+SUMPRODUCT(--ISNUMBER(SEARCH(", "&amp;$B60&amp;", ",", "&amp;'Bảng tin &amp; Chi tiết tin'!$B$7:$B$500&amp;", ")),--('Bảng tin &amp; Chi tiết tin'!$AT$7:$AT$500&lt;&gt;""))+SUMPRODUCT(--ISNUMBER(SEARCH(", "&amp;$B60&amp;", ",", "&amp;'Quà cảm ơn'!$B$7:$B$500&amp;", ")),--('Quà cảm ơn'!$AT$7:$AT$500&lt;&gt;""))+SUMPRODUCT(--ISNUMBER(SEARCH(", "&amp;$B60&amp;", ",", "&amp;'Trang chủ'!$B$7:$B$500&amp;", ")),--('Trang chủ'!$AT$7:$AT$500&lt;&gt;""))+SUMPRODUCT(--ISNUMBER(SEARCH(", "&amp;$B60&amp;", ",", "&amp;'Thông báo'!$B$7:$B$500&amp;", ")),--('Thông báo'!$AT$7:$AT$500&lt;&gt;""))+SUMPRODUCT(--ISNUMBER(SEARCH(", "&amp;$B60&amp;", ",", "&amp;'Đăng tin &amp; Quản lý tin'!$B$7:$B$500&amp;", ")),--('Đăng tin &amp; Quản lý tin'!$AT$7:$AT$500&lt;&gt;""))+SUMPRODUCT(--ISNUMBER(SEARCH(", "&amp;$B60&amp;", ",", "&amp;'Trust &amp; Safety'!$B$7:$B$500&amp;", ")),--('Trust &amp; Safety'!$AT$7:$AT$500&lt;&gt;""))+SUMPRODUCT(--ISNUMBER(SEARCH(", "&amp;$B60&amp;", ",", "&amp;'Tài khoản &amp; Hồ sơ'!$B$7:$B$500&amp;", ")),--('Tài khoản &amp; Hồ sơ'!$AT$7:$AT$500&lt;&gt;""))</f>
        <v/>
      </c>
      <c r="G60" s="53">
        <f>SUMPRODUCT(--ISNUMBER(SEARCH(", "&amp;$B60&amp;", ",", "&amp;'Hoạt động (Đơn của tôi)'!$B$7:$B$500&amp;", ")),--('Hoạt động (Đơn của tôi)'!$AT$7:$AT$500="Pass"))+SUMPRODUCT(--ISNUMBER(SEARCH(", "&amp;$B60&amp;", ",", "&amp;'Ghép nối'!$B$7:$B$500&amp;", ")),--('Ghép nối'!$AT$7:$AT$500="Pass"))+SUMPRODUCT(--ISNUMBER(SEARCH(", "&amp;$B60&amp;", ",", "&amp;'Huỷ đơn - Huỷ nhận đơn'!$B$7:$B$500&amp;", ")),--('Huỷ đơn - Huỷ nhận đơn'!$AT$7:$AT$500="Pass"))+SUMPRODUCT(--ISNUMBER(SEARCH(", "&amp;$B60&amp;", ",", "&amp;'Giao nhận &amp; Theo dõi đơn'!$B$7:$B$500&amp;", ")),--('Giao nhận &amp; Theo dõi đơn'!$AT$7:$AT$500="Pass"))+SUMPRODUCT(--ISNUMBER(SEARCH(", "&amp;$B60&amp;", ",", "&amp;'Bảng tin &amp; Chi tiết tin'!$B$7:$B$500&amp;", ")),--('Bảng tin &amp; Chi tiết tin'!$AT$7:$AT$500="Pass"))+SUMPRODUCT(--ISNUMBER(SEARCH(", "&amp;$B60&amp;", ",", "&amp;'Quà cảm ơn'!$B$7:$B$500&amp;", ")),--('Quà cảm ơn'!$AT$7:$AT$500="Pass"))+SUMPRODUCT(--ISNUMBER(SEARCH(", "&amp;$B60&amp;", ",", "&amp;'Trang chủ'!$B$7:$B$500&amp;", ")),--('Trang chủ'!$AT$7:$AT$500="Pass"))+SUMPRODUCT(--ISNUMBER(SEARCH(", "&amp;$B60&amp;", ",", "&amp;'Thông báo'!$B$7:$B$500&amp;", ")),--('Thông báo'!$AT$7:$AT$500="Pass"))+SUMPRODUCT(--ISNUMBER(SEARCH(", "&amp;$B60&amp;", ",", "&amp;'Đăng tin &amp; Quản lý tin'!$B$7:$B$500&amp;", ")),--('Đăng tin &amp; Quản lý tin'!$AT$7:$AT$500="Pass"))+SUMPRODUCT(--ISNUMBER(SEARCH(", "&amp;$B60&amp;", ",", "&amp;'Trust &amp; Safety'!$B$7:$B$500&amp;", ")),--('Trust &amp; Safety'!$AT$7:$AT$500="Pass"))+SUMPRODUCT(--ISNUMBER(SEARCH(", "&amp;$B60&amp;", ",", "&amp;'Tài khoản &amp; Hồ sơ'!$B$7:$B$500&amp;", ")),--('Tài khoản &amp; Hồ sơ'!$AT$7:$AT$500="Pass"))</f>
        <v/>
      </c>
      <c r="H60" s="53">
        <f>SUMPRODUCT(--ISNUMBER(SEARCH(", "&amp;$B60&amp;", ",", "&amp;'Hoạt động (Đơn của tôi)'!$B$7:$B$500&amp;", ")),--('Hoạt động (Đơn của tôi)'!$AT$7:$AT$500="Fail"))+SUMPRODUCT(--ISNUMBER(SEARCH(", "&amp;$B60&amp;", ",", "&amp;'Ghép nối'!$B$7:$B$500&amp;", ")),--('Ghép nối'!$AT$7:$AT$500="Fail"))+SUMPRODUCT(--ISNUMBER(SEARCH(", "&amp;$B60&amp;", ",", "&amp;'Huỷ đơn - Huỷ nhận đơn'!$B$7:$B$500&amp;", ")),--('Huỷ đơn - Huỷ nhận đơn'!$AT$7:$AT$500="Fail"))+SUMPRODUCT(--ISNUMBER(SEARCH(", "&amp;$B60&amp;", ",", "&amp;'Giao nhận &amp; Theo dõi đơn'!$B$7:$B$500&amp;", ")),--('Giao nhận &amp; Theo dõi đơn'!$AT$7:$AT$500="Fail"))+SUMPRODUCT(--ISNUMBER(SEARCH(", "&amp;$B60&amp;", ",", "&amp;'Bảng tin &amp; Chi tiết tin'!$B$7:$B$500&amp;", ")),--('Bảng tin &amp; Chi tiết tin'!$AT$7:$AT$500="Fail"))+SUMPRODUCT(--ISNUMBER(SEARCH(", "&amp;$B60&amp;", ",", "&amp;'Quà cảm ơn'!$B$7:$B$500&amp;", ")),--('Quà cảm ơn'!$AT$7:$AT$500="Fail"))+SUMPRODUCT(--ISNUMBER(SEARCH(", "&amp;$B60&amp;", ",", "&amp;'Trang chủ'!$B$7:$B$500&amp;", ")),--('Trang chủ'!$AT$7:$AT$500="Fail"))+SUMPRODUCT(--ISNUMBER(SEARCH(", "&amp;$B60&amp;", ",", "&amp;'Thông báo'!$B$7:$B$500&amp;", ")),--('Thông báo'!$AT$7:$AT$500="Fail"))+SUMPRODUCT(--ISNUMBER(SEARCH(", "&amp;$B60&amp;", ",", "&amp;'Đăng tin &amp; Quản lý tin'!$B$7:$B$500&amp;", ")),--('Đăng tin &amp; Quản lý tin'!$AT$7:$AT$500="Fail"))+SUMPRODUCT(--ISNUMBER(SEARCH(", "&amp;$B60&amp;", ",", "&amp;'Trust &amp; Safety'!$B$7:$B$500&amp;", ")),--('Trust &amp; Safety'!$AT$7:$AT$500="Fail"))+SUMPRODUCT(--ISNUMBER(SEARCH(", "&amp;$B60&amp;", ",", "&amp;'Tài khoản &amp; Hồ sơ'!$B$7:$B$500&amp;", ")),--('Tài khoản &amp; Hồ sơ'!$AT$7:$AT$500="Fail"))</f>
        <v/>
      </c>
      <c r="I60" s="53">
        <f>SUMPRODUCT(--ISNUMBER(SEARCH(", "&amp;$B60&amp;", ",", "&amp;'Hoạt động (Đơn của tôi)'!$B$7:$B$500&amp;", ")),--('Hoạt động (Đơn của tôi)'!$AT$7:$AT$500="Block"))+SUMPRODUCT(--ISNUMBER(SEARCH(", "&amp;$B60&amp;", ",", "&amp;'Ghép nối'!$B$7:$B$500&amp;", ")),--('Ghép nối'!$AT$7:$AT$500="Block"))+SUMPRODUCT(--ISNUMBER(SEARCH(", "&amp;$B60&amp;", ",", "&amp;'Huỷ đơn - Huỷ nhận đơn'!$B$7:$B$500&amp;", ")),--('Huỷ đơn - Huỷ nhận đơn'!$AT$7:$AT$500="Block"))+SUMPRODUCT(--ISNUMBER(SEARCH(", "&amp;$B60&amp;", ",", "&amp;'Giao nhận &amp; Theo dõi đơn'!$B$7:$B$500&amp;", ")),--('Giao nhận &amp; Theo dõi đơn'!$AT$7:$AT$500="Block"))+SUMPRODUCT(--ISNUMBER(SEARCH(", "&amp;$B60&amp;", ",", "&amp;'Bảng tin &amp; Chi tiết tin'!$B$7:$B$500&amp;", ")),--('Bảng tin &amp; Chi tiết tin'!$AT$7:$AT$500="Block"))+SUMPRODUCT(--ISNUMBER(SEARCH(", "&amp;$B60&amp;", ",", "&amp;'Quà cảm ơn'!$B$7:$B$500&amp;", ")),--('Quà cảm ơn'!$AT$7:$AT$500="Block"))+SUMPRODUCT(--ISNUMBER(SEARCH(", "&amp;$B60&amp;", ",", "&amp;'Trang chủ'!$B$7:$B$500&amp;", ")),--('Trang chủ'!$AT$7:$AT$500="Block"))+SUMPRODUCT(--ISNUMBER(SEARCH(", "&amp;$B60&amp;", ",", "&amp;'Thông báo'!$B$7:$B$500&amp;", ")),--('Thông báo'!$AT$7:$AT$500="Block"))+SUMPRODUCT(--ISNUMBER(SEARCH(", "&amp;$B60&amp;", ",", "&amp;'Đăng tin &amp; Quản lý tin'!$B$7:$B$500&amp;", ")),--('Đăng tin &amp; Quản lý tin'!$AT$7:$AT$500="Block"))+SUMPRODUCT(--ISNUMBER(SEARCH(", "&amp;$B60&amp;", ",", "&amp;'Trust &amp; Safety'!$B$7:$B$500&amp;", ")),--('Trust &amp; Safety'!$AT$7:$AT$500="Block"))+SUMPRODUCT(--ISNUMBER(SEARCH(", "&amp;$B60&amp;", ",", "&amp;'Tài khoản &amp; Hồ sơ'!$B$7:$B$500&amp;", ")),--('Tài khoản &amp; Hồ sơ'!$AT$7:$AT$500="Block"))</f>
        <v/>
      </c>
      <c r="J60" s="53">
        <f>SUMPRODUCT(--ISNUMBER(SEARCH(", "&amp;$B60&amp;", ",", "&amp;'Hoạt động (Đơn của tôi)'!$B$7:$B$500&amp;", ")),--('Hoạt động (Đơn của tôi)'!$AT$7:$AT$500="N/A"))+SUMPRODUCT(--ISNUMBER(SEARCH(", "&amp;$B60&amp;", ",", "&amp;'Ghép nối'!$B$7:$B$500&amp;", ")),--('Ghép nối'!$AT$7:$AT$500="N/A"))+SUMPRODUCT(--ISNUMBER(SEARCH(", "&amp;$B60&amp;", ",", "&amp;'Huỷ đơn - Huỷ nhận đơn'!$B$7:$B$500&amp;", ")),--('Huỷ đơn - Huỷ nhận đơn'!$AT$7:$AT$500="N/A"))+SUMPRODUCT(--ISNUMBER(SEARCH(", "&amp;$B60&amp;", ",", "&amp;'Giao nhận &amp; Theo dõi đơn'!$B$7:$B$500&amp;", ")),--('Giao nhận &amp; Theo dõi đơn'!$AT$7:$AT$500="N/A"))+SUMPRODUCT(--ISNUMBER(SEARCH(", "&amp;$B60&amp;", ",", "&amp;'Bảng tin &amp; Chi tiết tin'!$B$7:$B$500&amp;", ")),--('Bảng tin &amp; Chi tiết tin'!$AT$7:$AT$500="N/A"))+SUMPRODUCT(--ISNUMBER(SEARCH(", "&amp;$B60&amp;", ",", "&amp;'Quà cảm ơn'!$B$7:$B$500&amp;", ")),--('Quà cảm ơn'!$AT$7:$AT$500="N/A"))+SUMPRODUCT(--ISNUMBER(SEARCH(", "&amp;$B60&amp;", ",", "&amp;'Trang chủ'!$B$7:$B$500&amp;", ")),--('Trang chủ'!$AT$7:$AT$500="N/A"))+SUMPRODUCT(--ISNUMBER(SEARCH(", "&amp;$B60&amp;", ",", "&amp;'Thông báo'!$B$7:$B$500&amp;", ")),--('Thông báo'!$AT$7:$AT$500="N/A"))+SUMPRODUCT(--ISNUMBER(SEARCH(", "&amp;$B60&amp;", ",", "&amp;'Đăng tin &amp; Quản lý tin'!$B$7:$B$500&amp;", ")),--('Đăng tin &amp; Quản lý tin'!$AT$7:$AT$500="N/A"))+SUMPRODUCT(--ISNUMBER(SEARCH(", "&amp;$B60&amp;", ",", "&amp;'Trust &amp; Safety'!$B$7:$B$500&amp;", ")),--('Trust &amp; Safety'!$AT$7:$AT$500="N/A"))+SUMPRODUCT(--ISNUMBER(SEARCH(", "&amp;$B60&amp;", ",", "&amp;'Tài khoản &amp; Hồ sơ'!$B$7:$B$500&amp;", ")),--('Tài khoản &amp; Hồ sơ'!$AT$7:$AT$500="N/A"))</f>
        <v/>
      </c>
      <c r="K60" s="54">
        <f>IFERROR(F60/E60,0)</f>
        <v/>
      </c>
      <c r="L60" s="113">
        <f>IF(E60=0,"Chưa có TC (gap)",IF(H60&gt;0,"Có lỗi (Fail)",IF(I60&gt;0,"Bị block",IF(F60&lt;E60,"Đang test",IF(G60=0,"Không áp dụng (N/A)","Đã test xong")))))</f>
        <v/>
      </c>
      <c r="AB60" t="inlineStr">
        <is>
          <t>REQ-FEED</t>
        </is>
      </c>
    </row>
    <row r="61" ht="15.75" customHeight="1" s="216">
      <c r="A61" s="1" t="n"/>
      <c r="B61" s="112" t="inlineStr">
        <is>
          <t>REQ-FEED-002</t>
        </is>
      </c>
      <c r="C61" s="261" t="inlineStr"/>
      <c r="D61" s="113" t="inlineStr">
        <is>
          <t>DOC-v1.0-02</t>
        </is>
      </c>
      <c r="E61" s="53">
        <f>SUMPRODUCT(--ISNUMBER(SEARCH(", "&amp;$B61&amp;", ",", "&amp;'Hoạt động (Đơn của tôi)'!$B$7:$B$500&amp;", ")))+SUMPRODUCT(--ISNUMBER(SEARCH(", "&amp;$B61&amp;", ",", "&amp;'Ghép nối'!$B$7:$B$500&amp;", ")))+SUMPRODUCT(--ISNUMBER(SEARCH(", "&amp;$B61&amp;", ",", "&amp;'Huỷ đơn - Huỷ nhận đơn'!$B$7:$B$500&amp;", ")))+SUMPRODUCT(--ISNUMBER(SEARCH(", "&amp;$B61&amp;", ",", "&amp;'Giao nhận &amp; Theo dõi đơn'!$B$7:$B$500&amp;", ")))+SUMPRODUCT(--ISNUMBER(SEARCH(", "&amp;$B61&amp;", ",", "&amp;'Bảng tin &amp; Chi tiết tin'!$B$7:$B$500&amp;", ")))+SUMPRODUCT(--ISNUMBER(SEARCH(", "&amp;$B61&amp;", ",", "&amp;'Quà cảm ơn'!$B$7:$B$500&amp;", ")))+SUMPRODUCT(--ISNUMBER(SEARCH(", "&amp;$B61&amp;", ",", "&amp;'Trang chủ'!$B$7:$B$500&amp;", ")))+SUMPRODUCT(--ISNUMBER(SEARCH(", "&amp;$B61&amp;", ",", "&amp;'Thông báo'!$B$7:$B$500&amp;", ")))+SUMPRODUCT(--ISNUMBER(SEARCH(", "&amp;$B61&amp;", ",", "&amp;'Đăng tin &amp; Quản lý tin'!$B$7:$B$500&amp;", ")))+SUMPRODUCT(--ISNUMBER(SEARCH(", "&amp;$B61&amp;", ",", "&amp;'Trust &amp; Safety'!$B$7:$B$500&amp;", ")))+SUMPRODUCT(--ISNUMBER(SEARCH(", "&amp;$B61&amp;", ",", "&amp;'Tài khoản &amp; Hồ sơ'!$B$7:$B$500&amp;", ")))</f>
        <v/>
      </c>
      <c r="F61" s="53">
        <f>SUMPRODUCT(--ISNUMBER(SEARCH(", "&amp;$B61&amp;", ",", "&amp;'Hoạt động (Đơn của tôi)'!$B$7:$B$500&amp;", ")),--('Hoạt động (Đơn của tôi)'!$AT$7:$AT$500&lt;&gt;""))+SUMPRODUCT(--ISNUMBER(SEARCH(", "&amp;$B61&amp;", ",", "&amp;'Ghép nối'!$B$7:$B$500&amp;", ")),--('Ghép nối'!$AT$7:$AT$500&lt;&gt;""))+SUMPRODUCT(--ISNUMBER(SEARCH(", "&amp;$B61&amp;", ",", "&amp;'Huỷ đơn - Huỷ nhận đơn'!$B$7:$B$500&amp;", ")),--('Huỷ đơn - Huỷ nhận đơn'!$AT$7:$AT$500&lt;&gt;""))+SUMPRODUCT(--ISNUMBER(SEARCH(", "&amp;$B61&amp;", ",", "&amp;'Giao nhận &amp; Theo dõi đơn'!$B$7:$B$500&amp;", ")),--('Giao nhận &amp; Theo dõi đơn'!$AT$7:$AT$500&lt;&gt;""))+SUMPRODUCT(--ISNUMBER(SEARCH(", "&amp;$B61&amp;", ",", "&amp;'Bảng tin &amp; Chi tiết tin'!$B$7:$B$500&amp;", ")),--('Bảng tin &amp; Chi tiết tin'!$AT$7:$AT$500&lt;&gt;""))+SUMPRODUCT(--ISNUMBER(SEARCH(", "&amp;$B61&amp;", ",", "&amp;'Quà cảm ơn'!$B$7:$B$500&amp;", ")),--('Quà cảm ơn'!$AT$7:$AT$500&lt;&gt;""))+SUMPRODUCT(--ISNUMBER(SEARCH(", "&amp;$B61&amp;", ",", "&amp;'Trang chủ'!$B$7:$B$500&amp;", ")),--('Trang chủ'!$AT$7:$AT$500&lt;&gt;""))+SUMPRODUCT(--ISNUMBER(SEARCH(", "&amp;$B61&amp;", ",", "&amp;'Thông báo'!$B$7:$B$500&amp;", ")),--('Thông báo'!$AT$7:$AT$500&lt;&gt;""))+SUMPRODUCT(--ISNUMBER(SEARCH(", "&amp;$B61&amp;", ",", "&amp;'Đăng tin &amp; Quản lý tin'!$B$7:$B$500&amp;", ")),--('Đăng tin &amp; Quản lý tin'!$AT$7:$AT$500&lt;&gt;""))+SUMPRODUCT(--ISNUMBER(SEARCH(", "&amp;$B61&amp;", ",", "&amp;'Trust &amp; Safety'!$B$7:$B$500&amp;", ")),--('Trust &amp; Safety'!$AT$7:$AT$500&lt;&gt;""))+SUMPRODUCT(--ISNUMBER(SEARCH(", "&amp;$B61&amp;", ",", "&amp;'Tài khoản &amp; Hồ sơ'!$B$7:$B$500&amp;", ")),--('Tài khoản &amp; Hồ sơ'!$AT$7:$AT$500&lt;&gt;""))</f>
        <v/>
      </c>
      <c r="G61" s="53">
        <f>SUMPRODUCT(--ISNUMBER(SEARCH(", "&amp;$B61&amp;", ",", "&amp;'Hoạt động (Đơn của tôi)'!$B$7:$B$500&amp;", ")),--('Hoạt động (Đơn của tôi)'!$AT$7:$AT$500="Pass"))+SUMPRODUCT(--ISNUMBER(SEARCH(", "&amp;$B61&amp;", ",", "&amp;'Ghép nối'!$B$7:$B$500&amp;", ")),--('Ghép nối'!$AT$7:$AT$500="Pass"))+SUMPRODUCT(--ISNUMBER(SEARCH(", "&amp;$B61&amp;", ",", "&amp;'Huỷ đơn - Huỷ nhận đơn'!$B$7:$B$500&amp;", ")),--('Huỷ đơn - Huỷ nhận đơn'!$AT$7:$AT$500="Pass"))+SUMPRODUCT(--ISNUMBER(SEARCH(", "&amp;$B61&amp;", ",", "&amp;'Giao nhận &amp; Theo dõi đơn'!$B$7:$B$500&amp;", ")),--('Giao nhận &amp; Theo dõi đơn'!$AT$7:$AT$500="Pass"))+SUMPRODUCT(--ISNUMBER(SEARCH(", "&amp;$B61&amp;", ",", "&amp;'Bảng tin &amp; Chi tiết tin'!$B$7:$B$500&amp;", ")),--('Bảng tin &amp; Chi tiết tin'!$AT$7:$AT$500="Pass"))+SUMPRODUCT(--ISNUMBER(SEARCH(", "&amp;$B61&amp;", ",", "&amp;'Quà cảm ơn'!$B$7:$B$500&amp;", ")),--('Quà cảm ơn'!$AT$7:$AT$500="Pass"))+SUMPRODUCT(--ISNUMBER(SEARCH(", "&amp;$B61&amp;", ",", "&amp;'Trang chủ'!$B$7:$B$500&amp;", ")),--('Trang chủ'!$AT$7:$AT$500="Pass"))+SUMPRODUCT(--ISNUMBER(SEARCH(", "&amp;$B61&amp;", ",", "&amp;'Thông báo'!$B$7:$B$500&amp;", ")),--('Thông báo'!$AT$7:$AT$500="Pass"))+SUMPRODUCT(--ISNUMBER(SEARCH(", "&amp;$B61&amp;", ",", "&amp;'Đăng tin &amp; Quản lý tin'!$B$7:$B$500&amp;", ")),--('Đăng tin &amp; Quản lý tin'!$AT$7:$AT$500="Pass"))+SUMPRODUCT(--ISNUMBER(SEARCH(", "&amp;$B61&amp;", ",", "&amp;'Trust &amp; Safety'!$B$7:$B$500&amp;", ")),--('Trust &amp; Safety'!$AT$7:$AT$500="Pass"))+SUMPRODUCT(--ISNUMBER(SEARCH(", "&amp;$B61&amp;", ",", "&amp;'Tài khoản &amp; Hồ sơ'!$B$7:$B$500&amp;", ")),--('Tài khoản &amp; Hồ sơ'!$AT$7:$AT$500="Pass"))</f>
        <v/>
      </c>
      <c r="H61" s="53">
        <f>SUMPRODUCT(--ISNUMBER(SEARCH(", "&amp;$B61&amp;", ",", "&amp;'Hoạt động (Đơn của tôi)'!$B$7:$B$500&amp;", ")),--('Hoạt động (Đơn của tôi)'!$AT$7:$AT$500="Fail"))+SUMPRODUCT(--ISNUMBER(SEARCH(", "&amp;$B61&amp;", ",", "&amp;'Ghép nối'!$B$7:$B$500&amp;", ")),--('Ghép nối'!$AT$7:$AT$500="Fail"))+SUMPRODUCT(--ISNUMBER(SEARCH(", "&amp;$B61&amp;", ",", "&amp;'Huỷ đơn - Huỷ nhận đơn'!$B$7:$B$500&amp;", ")),--('Huỷ đơn - Huỷ nhận đơn'!$AT$7:$AT$500="Fail"))+SUMPRODUCT(--ISNUMBER(SEARCH(", "&amp;$B61&amp;", ",", "&amp;'Giao nhận &amp; Theo dõi đơn'!$B$7:$B$500&amp;", ")),--('Giao nhận &amp; Theo dõi đơn'!$AT$7:$AT$500="Fail"))+SUMPRODUCT(--ISNUMBER(SEARCH(", "&amp;$B61&amp;", ",", "&amp;'Bảng tin &amp; Chi tiết tin'!$B$7:$B$500&amp;", ")),--('Bảng tin &amp; Chi tiết tin'!$AT$7:$AT$500="Fail"))+SUMPRODUCT(--ISNUMBER(SEARCH(", "&amp;$B61&amp;", ",", "&amp;'Quà cảm ơn'!$B$7:$B$500&amp;", ")),--('Quà cảm ơn'!$AT$7:$AT$500="Fail"))+SUMPRODUCT(--ISNUMBER(SEARCH(", "&amp;$B61&amp;", ",", "&amp;'Trang chủ'!$B$7:$B$500&amp;", ")),--('Trang chủ'!$AT$7:$AT$500="Fail"))+SUMPRODUCT(--ISNUMBER(SEARCH(", "&amp;$B61&amp;", ",", "&amp;'Thông báo'!$B$7:$B$500&amp;", ")),--('Thông báo'!$AT$7:$AT$500="Fail"))+SUMPRODUCT(--ISNUMBER(SEARCH(", "&amp;$B61&amp;", ",", "&amp;'Đăng tin &amp; Quản lý tin'!$B$7:$B$500&amp;", ")),--('Đăng tin &amp; Quản lý tin'!$AT$7:$AT$500="Fail"))+SUMPRODUCT(--ISNUMBER(SEARCH(", "&amp;$B61&amp;", ",", "&amp;'Trust &amp; Safety'!$B$7:$B$500&amp;", ")),--('Trust &amp; Safety'!$AT$7:$AT$500="Fail"))+SUMPRODUCT(--ISNUMBER(SEARCH(", "&amp;$B61&amp;", ",", "&amp;'Tài khoản &amp; Hồ sơ'!$B$7:$B$500&amp;", ")),--('Tài khoản &amp; Hồ sơ'!$AT$7:$AT$500="Fail"))</f>
        <v/>
      </c>
      <c r="I61" s="53">
        <f>SUMPRODUCT(--ISNUMBER(SEARCH(", "&amp;$B61&amp;", ",", "&amp;'Hoạt động (Đơn của tôi)'!$B$7:$B$500&amp;", ")),--('Hoạt động (Đơn của tôi)'!$AT$7:$AT$500="Block"))+SUMPRODUCT(--ISNUMBER(SEARCH(", "&amp;$B61&amp;", ",", "&amp;'Ghép nối'!$B$7:$B$500&amp;", ")),--('Ghép nối'!$AT$7:$AT$500="Block"))+SUMPRODUCT(--ISNUMBER(SEARCH(", "&amp;$B61&amp;", ",", "&amp;'Huỷ đơn - Huỷ nhận đơn'!$B$7:$B$500&amp;", ")),--('Huỷ đơn - Huỷ nhận đơn'!$AT$7:$AT$500="Block"))+SUMPRODUCT(--ISNUMBER(SEARCH(", "&amp;$B61&amp;", ",", "&amp;'Giao nhận &amp; Theo dõi đơn'!$B$7:$B$500&amp;", ")),--('Giao nhận &amp; Theo dõi đơn'!$AT$7:$AT$500="Block"))+SUMPRODUCT(--ISNUMBER(SEARCH(", "&amp;$B61&amp;", ",", "&amp;'Bảng tin &amp; Chi tiết tin'!$B$7:$B$500&amp;", ")),--('Bảng tin &amp; Chi tiết tin'!$AT$7:$AT$500="Block"))+SUMPRODUCT(--ISNUMBER(SEARCH(", "&amp;$B61&amp;", ",", "&amp;'Quà cảm ơn'!$B$7:$B$500&amp;", ")),--('Quà cảm ơn'!$AT$7:$AT$500="Block"))+SUMPRODUCT(--ISNUMBER(SEARCH(", "&amp;$B61&amp;", ",", "&amp;'Trang chủ'!$B$7:$B$500&amp;", ")),--('Trang chủ'!$AT$7:$AT$500="Block"))+SUMPRODUCT(--ISNUMBER(SEARCH(", "&amp;$B61&amp;", ",", "&amp;'Thông báo'!$B$7:$B$500&amp;", ")),--('Thông báo'!$AT$7:$AT$500="Block"))+SUMPRODUCT(--ISNUMBER(SEARCH(", "&amp;$B61&amp;", ",", "&amp;'Đăng tin &amp; Quản lý tin'!$B$7:$B$500&amp;", ")),--('Đăng tin &amp; Quản lý tin'!$AT$7:$AT$500="Block"))+SUMPRODUCT(--ISNUMBER(SEARCH(", "&amp;$B61&amp;", ",", "&amp;'Trust &amp; Safety'!$B$7:$B$500&amp;", ")),--('Trust &amp; Safety'!$AT$7:$AT$500="Block"))+SUMPRODUCT(--ISNUMBER(SEARCH(", "&amp;$B61&amp;", ",", "&amp;'Tài khoản &amp; Hồ sơ'!$B$7:$B$500&amp;", ")),--('Tài khoản &amp; Hồ sơ'!$AT$7:$AT$500="Block"))</f>
        <v/>
      </c>
      <c r="J61" s="53">
        <f>SUMPRODUCT(--ISNUMBER(SEARCH(", "&amp;$B61&amp;", ",", "&amp;'Hoạt động (Đơn của tôi)'!$B$7:$B$500&amp;", ")),--('Hoạt động (Đơn của tôi)'!$AT$7:$AT$500="N/A"))+SUMPRODUCT(--ISNUMBER(SEARCH(", "&amp;$B61&amp;", ",", "&amp;'Ghép nối'!$B$7:$B$500&amp;", ")),--('Ghép nối'!$AT$7:$AT$500="N/A"))+SUMPRODUCT(--ISNUMBER(SEARCH(", "&amp;$B61&amp;", ",", "&amp;'Huỷ đơn - Huỷ nhận đơn'!$B$7:$B$500&amp;", ")),--('Huỷ đơn - Huỷ nhận đơn'!$AT$7:$AT$500="N/A"))+SUMPRODUCT(--ISNUMBER(SEARCH(", "&amp;$B61&amp;", ",", "&amp;'Giao nhận &amp; Theo dõi đơn'!$B$7:$B$500&amp;", ")),--('Giao nhận &amp; Theo dõi đơn'!$AT$7:$AT$500="N/A"))+SUMPRODUCT(--ISNUMBER(SEARCH(", "&amp;$B61&amp;", ",", "&amp;'Bảng tin &amp; Chi tiết tin'!$B$7:$B$500&amp;", ")),--('Bảng tin &amp; Chi tiết tin'!$AT$7:$AT$500="N/A"))+SUMPRODUCT(--ISNUMBER(SEARCH(", "&amp;$B61&amp;", ",", "&amp;'Quà cảm ơn'!$B$7:$B$500&amp;", ")),--('Quà cảm ơn'!$AT$7:$AT$500="N/A"))+SUMPRODUCT(--ISNUMBER(SEARCH(", "&amp;$B61&amp;", ",", "&amp;'Trang chủ'!$B$7:$B$500&amp;", ")),--('Trang chủ'!$AT$7:$AT$500="N/A"))+SUMPRODUCT(--ISNUMBER(SEARCH(", "&amp;$B61&amp;", ",", "&amp;'Thông báo'!$B$7:$B$500&amp;", ")),--('Thông báo'!$AT$7:$AT$500="N/A"))+SUMPRODUCT(--ISNUMBER(SEARCH(", "&amp;$B61&amp;", ",", "&amp;'Đăng tin &amp; Quản lý tin'!$B$7:$B$500&amp;", ")),--('Đăng tin &amp; Quản lý tin'!$AT$7:$AT$500="N/A"))+SUMPRODUCT(--ISNUMBER(SEARCH(", "&amp;$B61&amp;", ",", "&amp;'Trust &amp; Safety'!$B$7:$B$500&amp;", ")),--('Trust &amp; Safety'!$AT$7:$AT$500="N/A"))+SUMPRODUCT(--ISNUMBER(SEARCH(", "&amp;$B61&amp;", ",", "&amp;'Tài khoản &amp; Hồ sơ'!$B$7:$B$500&amp;", ")),--('Tài khoản &amp; Hồ sơ'!$AT$7:$AT$500="N/A"))</f>
        <v/>
      </c>
      <c r="K61" s="54">
        <f>IFERROR(F61/E61,0)</f>
        <v/>
      </c>
      <c r="L61" s="113">
        <f>IF(E61=0,"Chưa có TC (gap)",IF(H61&gt;0,"Có lỗi (Fail)",IF(I61&gt;0,"Bị block",IF(F61&lt;E61,"Đang test",IF(G61=0,"Không áp dụng (N/A)","Đã test xong")))))</f>
        <v/>
      </c>
      <c r="AB61" t="inlineStr">
        <is>
          <t>REQ-FEED</t>
        </is>
      </c>
    </row>
    <row r="62" ht="15.75" customHeight="1" s="216">
      <c r="A62" s="1" t="n"/>
      <c r="B62" s="112" t="inlineStr">
        <is>
          <t>REQ-FEED-003</t>
        </is>
      </c>
      <c r="C62" s="261" t="inlineStr"/>
      <c r="D62" s="113" t="inlineStr">
        <is>
          <t>DOC-v1.0-02</t>
        </is>
      </c>
      <c r="E62" s="53">
        <f>SUMPRODUCT(--ISNUMBER(SEARCH(", "&amp;$B62&amp;", ",", "&amp;'Hoạt động (Đơn của tôi)'!$B$7:$B$500&amp;", ")))+SUMPRODUCT(--ISNUMBER(SEARCH(", "&amp;$B62&amp;", ",", "&amp;'Ghép nối'!$B$7:$B$500&amp;", ")))+SUMPRODUCT(--ISNUMBER(SEARCH(", "&amp;$B62&amp;", ",", "&amp;'Huỷ đơn - Huỷ nhận đơn'!$B$7:$B$500&amp;", ")))+SUMPRODUCT(--ISNUMBER(SEARCH(", "&amp;$B62&amp;", ",", "&amp;'Giao nhận &amp; Theo dõi đơn'!$B$7:$B$500&amp;", ")))+SUMPRODUCT(--ISNUMBER(SEARCH(", "&amp;$B62&amp;", ",", "&amp;'Bảng tin &amp; Chi tiết tin'!$B$7:$B$500&amp;", ")))+SUMPRODUCT(--ISNUMBER(SEARCH(", "&amp;$B62&amp;", ",", "&amp;'Quà cảm ơn'!$B$7:$B$500&amp;", ")))+SUMPRODUCT(--ISNUMBER(SEARCH(", "&amp;$B62&amp;", ",", "&amp;'Trang chủ'!$B$7:$B$500&amp;", ")))+SUMPRODUCT(--ISNUMBER(SEARCH(", "&amp;$B62&amp;", ",", "&amp;'Thông báo'!$B$7:$B$500&amp;", ")))+SUMPRODUCT(--ISNUMBER(SEARCH(", "&amp;$B62&amp;", ",", "&amp;'Đăng tin &amp; Quản lý tin'!$B$7:$B$500&amp;", ")))+SUMPRODUCT(--ISNUMBER(SEARCH(", "&amp;$B62&amp;", ",", "&amp;'Trust &amp; Safety'!$B$7:$B$500&amp;", ")))+SUMPRODUCT(--ISNUMBER(SEARCH(", "&amp;$B62&amp;", ",", "&amp;'Tài khoản &amp; Hồ sơ'!$B$7:$B$500&amp;", ")))</f>
        <v/>
      </c>
      <c r="F62" s="53">
        <f>SUMPRODUCT(--ISNUMBER(SEARCH(", "&amp;$B62&amp;", ",", "&amp;'Hoạt động (Đơn của tôi)'!$B$7:$B$500&amp;", ")),--('Hoạt động (Đơn của tôi)'!$AT$7:$AT$500&lt;&gt;""))+SUMPRODUCT(--ISNUMBER(SEARCH(", "&amp;$B62&amp;", ",", "&amp;'Ghép nối'!$B$7:$B$500&amp;", ")),--('Ghép nối'!$AT$7:$AT$500&lt;&gt;""))+SUMPRODUCT(--ISNUMBER(SEARCH(", "&amp;$B62&amp;", ",", "&amp;'Huỷ đơn - Huỷ nhận đơn'!$B$7:$B$500&amp;", ")),--('Huỷ đơn - Huỷ nhận đơn'!$AT$7:$AT$500&lt;&gt;""))+SUMPRODUCT(--ISNUMBER(SEARCH(", "&amp;$B62&amp;", ",", "&amp;'Giao nhận &amp; Theo dõi đơn'!$B$7:$B$500&amp;", ")),--('Giao nhận &amp; Theo dõi đơn'!$AT$7:$AT$500&lt;&gt;""))+SUMPRODUCT(--ISNUMBER(SEARCH(", "&amp;$B62&amp;", ",", "&amp;'Bảng tin &amp; Chi tiết tin'!$B$7:$B$500&amp;", ")),--('Bảng tin &amp; Chi tiết tin'!$AT$7:$AT$500&lt;&gt;""))+SUMPRODUCT(--ISNUMBER(SEARCH(", "&amp;$B62&amp;", ",", "&amp;'Quà cảm ơn'!$B$7:$B$500&amp;", ")),--('Quà cảm ơn'!$AT$7:$AT$500&lt;&gt;""))+SUMPRODUCT(--ISNUMBER(SEARCH(", "&amp;$B62&amp;", ",", "&amp;'Trang chủ'!$B$7:$B$500&amp;", ")),--('Trang chủ'!$AT$7:$AT$500&lt;&gt;""))+SUMPRODUCT(--ISNUMBER(SEARCH(", "&amp;$B62&amp;", ",", "&amp;'Thông báo'!$B$7:$B$500&amp;", ")),--('Thông báo'!$AT$7:$AT$500&lt;&gt;""))+SUMPRODUCT(--ISNUMBER(SEARCH(", "&amp;$B62&amp;", ",", "&amp;'Đăng tin &amp; Quản lý tin'!$B$7:$B$500&amp;", ")),--('Đăng tin &amp; Quản lý tin'!$AT$7:$AT$500&lt;&gt;""))+SUMPRODUCT(--ISNUMBER(SEARCH(", "&amp;$B62&amp;", ",", "&amp;'Trust &amp; Safety'!$B$7:$B$500&amp;", ")),--('Trust &amp; Safety'!$AT$7:$AT$500&lt;&gt;""))+SUMPRODUCT(--ISNUMBER(SEARCH(", "&amp;$B62&amp;", ",", "&amp;'Tài khoản &amp; Hồ sơ'!$B$7:$B$500&amp;", ")),--('Tài khoản &amp; Hồ sơ'!$AT$7:$AT$500&lt;&gt;""))</f>
        <v/>
      </c>
      <c r="G62" s="53">
        <f>SUMPRODUCT(--ISNUMBER(SEARCH(", "&amp;$B62&amp;", ",", "&amp;'Hoạt động (Đơn của tôi)'!$B$7:$B$500&amp;", ")),--('Hoạt động (Đơn của tôi)'!$AT$7:$AT$500="Pass"))+SUMPRODUCT(--ISNUMBER(SEARCH(", "&amp;$B62&amp;", ",", "&amp;'Ghép nối'!$B$7:$B$500&amp;", ")),--('Ghép nối'!$AT$7:$AT$500="Pass"))+SUMPRODUCT(--ISNUMBER(SEARCH(", "&amp;$B62&amp;", ",", "&amp;'Huỷ đơn - Huỷ nhận đơn'!$B$7:$B$500&amp;", ")),--('Huỷ đơn - Huỷ nhận đơn'!$AT$7:$AT$500="Pass"))+SUMPRODUCT(--ISNUMBER(SEARCH(", "&amp;$B62&amp;", ",", "&amp;'Giao nhận &amp; Theo dõi đơn'!$B$7:$B$500&amp;", ")),--('Giao nhận &amp; Theo dõi đơn'!$AT$7:$AT$500="Pass"))+SUMPRODUCT(--ISNUMBER(SEARCH(", "&amp;$B62&amp;", ",", "&amp;'Bảng tin &amp; Chi tiết tin'!$B$7:$B$500&amp;", ")),--('Bảng tin &amp; Chi tiết tin'!$AT$7:$AT$500="Pass"))+SUMPRODUCT(--ISNUMBER(SEARCH(", "&amp;$B62&amp;", ",", "&amp;'Quà cảm ơn'!$B$7:$B$500&amp;", ")),--('Quà cảm ơn'!$AT$7:$AT$500="Pass"))+SUMPRODUCT(--ISNUMBER(SEARCH(", "&amp;$B62&amp;", ",", "&amp;'Trang chủ'!$B$7:$B$500&amp;", ")),--('Trang chủ'!$AT$7:$AT$500="Pass"))+SUMPRODUCT(--ISNUMBER(SEARCH(", "&amp;$B62&amp;", ",", "&amp;'Thông báo'!$B$7:$B$500&amp;", ")),--('Thông báo'!$AT$7:$AT$500="Pass"))+SUMPRODUCT(--ISNUMBER(SEARCH(", "&amp;$B62&amp;", ",", "&amp;'Đăng tin &amp; Quản lý tin'!$B$7:$B$500&amp;", ")),--('Đăng tin &amp; Quản lý tin'!$AT$7:$AT$500="Pass"))+SUMPRODUCT(--ISNUMBER(SEARCH(", "&amp;$B62&amp;", ",", "&amp;'Trust &amp; Safety'!$B$7:$B$500&amp;", ")),--('Trust &amp; Safety'!$AT$7:$AT$500="Pass"))+SUMPRODUCT(--ISNUMBER(SEARCH(", "&amp;$B62&amp;", ",", "&amp;'Tài khoản &amp; Hồ sơ'!$B$7:$B$500&amp;", ")),--('Tài khoản &amp; Hồ sơ'!$AT$7:$AT$500="Pass"))</f>
        <v/>
      </c>
      <c r="H62" s="53">
        <f>SUMPRODUCT(--ISNUMBER(SEARCH(", "&amp;$B62&amp;", ",", "&amp;'Hoạt động (Đơn của tôi)'!$B$7:$B$500&amp;", ")),--('Hoạt động (Đơn của tôi)'!$AT$7:$AT$500="Fail"))+SUMPRODUCT(--ISNUMBER(SEARCH(", "&amp;$B62&amp;", ",", "&amp;'Ghép nối'!$B$7:$B$500&amp;", ")),--('Ghép nối'!$AT$7:$AT$500="Fail"))+SUMPRODUCT(--ISNUMBER(SEARCH(", "&amp;$B62&amp;", ",", "&amp;'Huỷ đơn - Huỷ nhận đơn'!$B$7:$B$500&amp;", ")),--('Huỷ đơn - Huỷ nhận đơn'!$AT$7:$AT$500="Fail"))+SUMPRODUCT(--ISNUMBER(SEARCH(", "&amp;$B62&amp;", ",", "&amp;'Giao nhận &amp; Theo dõi đơn'!$B$7:$B$500&amp;", ")),--('Giao nhận &amp; Theo dõi đơn'!$AT$7:$AT$500="Fail"))+SUMPRODUCT(--ISNUMBER(SEARCH(", "&amp;$B62&amp;", ",", "&amp;'Bảng tin &amp; Chi tiết tin'!$B$7:$B$500&amp;", ")),--('Bảng tin &amp; Chi tiết tin'!$AT$7:$AT$500="Fail"))+SUMPRODUCT(--ISNUMBER(SEARCH(", "&amp;$B62&amp;", ",", "&amp;'Quà cảm ơn'!$B$7:$B$500&amp;", ")),--('Quà cảm ơn'!$AT$7:$AT$500="Fail"))+SUMPRODUCT(--ISNUMBER(SEARCH(", "&amp;$B62&amp;", ",", "&amp;'Trang chủ'!$B$7:$B$500&amp;", ")),--('Trang chủ'!$AT$7:$AT$500="Fail"))+SUMPRODUCT(--ISNUMBER(SEARCH(", "&amp;$B62&amp;", ",", "&amp;'Thông báo'!$B$7:$B$500&amp;", ")),--('Thông báo'!$AT$7:$AT$500="Fail"))+SUMPRODUCT(--ISNUMBER(SEARCH(", "&amp;$B62&amp;", ",", "&amp;'Đăng tin &amp; Quản lý tin'!$B$7:$B$500&amp;", ")),--('Đăng tin &amp; Quản lý tin'!$AT$7:$AT$500="Fail"))+SUMPRODUCT(--ISNUMBER(SEARCH(", "&amp;$B62&amp;", ",", "&amp;'Trust &amp; Safety'!$B$7:$B$500&amp;", ")),--('Trust &amp; Safety'!$AT$7:$AT$500="Fail"))+SUMPRODUCT(--ISNUMBER(SEARCH(", "&amp;$B62&amp;", ",", "&amp;'Tài khoản &amp; Hồ sơ'!$B$7:$B$500&amp;", ")),--('Tài khoản &amp; Hồ sơ'!$AT$7:$AT$500="Fail"))</f>
        <v/>
      </c>
      <c r="I62" s="53">
        <f>SUMPRODUCT(--ISNUMBER(SEARCH(", "&amp;$B62&amp;", ",", "&amp;'Hoạt động (Đơn của tôi)'!$B$7:$B$500&amp;", ")),--('Hoạt động (Đơn của tôi)'!$AT$7:$AT$500="Block"))+SUMPRODUCT(--ISNUMBER(SEARCH(", "&amp;$B62&amp;", ",", "&amp;'Ghép nối'!$B$7:$B$500&amp;", ")),--('Ghép nối'!$AT$7:$AT$500="Block"))+SUMPRODUCT(--ISNUMBER(SEARCH(", "&amp;$B62&amp;", ",", "&amp;'Huỷ đơn - Huỷ nhận đơn'!$B$7:$B$500&amp;", ")),--('Huỷ đơn - Huỷ nhận đơn'!$AT$7:$AT$500="Block"))+SUMPRODUCT(--ISNUMBER(SEARCH(", "&amp;$B62&amp;", ",", "&amp;'Giao nhận &amp; Theo dõi đơn'!$B$7:$B$500&amp;", ")),--('Giao nhận &amp; Theo dõi đơn'!$AT$7:$AT$500="Block"))+SUMPRODUCT(--ISNUMBER(SEARCH(", "&amp;$B62&amp;", ",", "&amp;'Bảng tin &amp; Chi tiết tin'!$B$7:$B$500&amp;", ")),--('Bảng tin &amp; Chi tiết tin'!$AT$7:$AT$500="Block"))+SUMPRODUCT(--ISNUMBER(SEARCH(", "&amp;$B62&amp;", ",", "&amp;'Quà cảm ơn'!$B$7:$B$500&amp;", ")),--('Quà cảm ơn'!$AT$7:$AT$500="Block"))+SUMPRODUCT(--ISNUMBER(SEARCH(", "&amp;$B62&amp;", ",", "&amp;'Trang chủ'!$B$7:$B$500&amp;", ")),--('Trang chủ'!$AT$7:$AT$500="Block"))+SUMPRODUCT(--ISNUMBER(SEARCH(", "&amp;$B62&amp;", ",", "&amp;'Thông báo'!$B$7:$B$500&amp;", ")),--('Thông báo'!$AT$7:$AT$500="Block"))+SUMPRODUCT(--ISNUMBER(SEARCH(", "&amp;$B62&amp;", ",", "&amp;'Đăng tin &amp; Quản lý tin'!$B$7:$B$500&amp;", ")),--('Đăng tin &amp; Quản lý tin'!$AT$7:$AT$500="Block"))+SUMPRODUCT(--ISNUMBER(SEARCH(", "&amp;$B62&amp;", ",", "&amp;'Trust &amp; Safety'!$B$7:$B$500&amp;", ")),--('Trust &amp; Safety'!$AT$7:$AT$500="Block"))+SUMPRODUCT(--ISNUMBER(SEARCH(", "&amp;$B62&amp;", ",", "&amp;'Tài khoản &amp; Hồ sơ'!$B$7:$B$500&amp;", ")),--('Tài khoản &amp; Hồ sơ'!$AT$7:$AT$500="Block"))</f>
        <v/>
      </c>
      <c r="J62" s="53">
        <f>SUMPRODUCT(--ISNUMBER(SEARCH(", "&amp;$B62&amp;", ",", "&amp;'Hoạt động (Đơn của tôi)'!$B$7:$B$500&amp;", ")),--('Hoạt động (Đơn của tôi)'!$AT$7:$AT$500="N/A"))+SUMPRODUCT(--ISNUMBER(SEARCH(", "&amp;$B62&amp;", ",", "&amp;'Ghép nối'!$B$7:$B$500&amp;", ")),--('Ghép nối'!$AT$7:$AT$500="N/A"))+SUMPRODUCT(--ISNUMBER(SEARCH(", "&amp;$B62&amp;", ",", "&amp;'Huỷ đơn - Huỷ nhận đơn'!$B$7:$B$500&amp;", ")),--('Huỷ đơn - Huỷ nhận đơn'!$AT$7:$AT$500="N/A"))+SUMPRODUCT(--ISNUMBER(SEARCH(", "&amp;$B62&amp;", ",", "&amp;'Giao nhận &amp; Theo dõi đơn'!$B$7:$B$500&amp;", ")),--('Giao nhận &amp; Theo dõi đơn'!$AT$7:$AT$500="N/A"))+SUMPRODUCT(--ISNUMBER(SEARCH(", "&amp;$B62&amp;", ",", "&amp;'Bảng tin &amp; Chi tiết tin'!$B$7:$B$500&amp;", ")),--('Bảng tin &amp; Chi tiết tin'!$AT$7:$AT$500="N/A"))+SUMPRODUCT(--ISNUMBER(SEARCH(", "&amp;$B62&amp;", ",", "&amp;'Quà cảm ơn'!$B$7:$B$500&amp;", ")),--('Quà cảm ơn'!$AT$7:$AT$500="N/A"))+SUMPRODUCT(--ISNUMBER(SEARCH(", "&amp;$B62&amp;", ",", "&amp;'Trang chủ'!$B$7:$B$500&amp;", ")),--('Trang chủ'!$AT$7:$AT$500="N/A"))+SUMPRODUCT(--ISNUMBER(SEARCH(", "&amp;$B62&amp;", ",", "&amp;'Thông báo'!$B$7:$B$500&amp;", ")),--('Thông báo'!$AT$7:$AT$500="N/A"))+SUMPRODUCT(--ISNUMBER(SEARCH(", "&amp;$B62&amp;", ",", "&amp;'Đăng tin &amp; Quản lý tin'!$B$7:$B$500&amp;", ")),--('Đăng tin &amp; Quản lý tin'!$AT$7:$AT$500="N/A"))+SUMPRODUCT(--ISNUMBER(SEARCH(", "&amp;$B62&amp;", ",", "&amp;'Trust &amp; Safety'!$B$7:$B$500&amp;", ")),--('Trust &amp; Safety'!$AT$7:$AT$500="N/A"))+SUMPRODUCT(--ISNUMBER(SEARCH(", "&amp;$B62&amp;", ",", "&amp;'Tài khoản &amp; Hồ sơ'!$B$7:$B$500&amp;", ")),--('Tài khoản &amp; Hồ sơ'!$AT$7:$AT$500="N/A"))</f>
        <v/>
      </c>
      <c r="K62" s="54">
        <f>IFERROR(F62/E62,0)</f>
        <v/>
      </c>
      <c r="L62" s="113">
        <f>IF(E62=0,"Chưa có TC (gap)",IF(H62&gt;0,"Có lỗi (Fail)",IF(I62&gt;0,"Bị block",IF(F62&lt;E62,"Đang test",IF(G62=0,"Không áp dụng (N/A)","Đã test xong")))))</f>
        <v/>
      </c>
      <c r="AB62" t="inlineStr">
        <is>
          <t>REQ-FEED</t>
        </is>
      </c>
    </row>
    <row r="63" ht="15.75" customHeight="1" s="216">
      <c r="A63" s="1" t="n"/>
      <c r="B63" s="112" t="inlineStr">
        <is>
          <t>REQ-FEED-008</t>
        </is>
      </c>
      <c r="C63" s="261" t="inlineStr"/>
      <c r="D63" s="113" t="inlineStr">
        <is>
          <t>DOC-v1.0-02</t>
        </is>
      </c>
      <c r="E63" s="53">
        <f>SUMPRODUCT(--ISNUMBER(SEARCH(", "&amp;$B63&amp;", ",", "&amp;'Hoạt động (Đơn của tôi)'!$B$7:$B$500&amp;", ")))+SUMPRODUCT(--ISNUMBER(SEARCH(", "&amp;$B63&amp;", ",", "&amp;'Ghép nối'!$B$7:$B$500&amp;", ")))+SUMPRODUCT(--ISNUMBER(SEARCH(", "&amp;$B63&amp;", ",", "&amp;'Huỷ đơn - Huỷ nhận đơn'!$B$7:$B$500&amp;", ")))+SUMPRODUCT(--ISNUMBER(SEARCH(", "&amp;$B63&amp;", ",", "&amp;'Giao nhận &amp; Theo dõi đơn'!$B$7:$B$500&amp;", ")))+SUMPRODUCT(--ISNUMBER(SEARCH(", "&amp;$B63&amp;", ",", "&amp;'Bảng tin &amp; Chi tiết tin'!$B$7:$B$500&amp;", ")))+SUMPRODUCT(--ISNUMBER(SEARCH(", "&amp;$B63&amp;", ",", "&amp;'Quà cảm ơn'!$B$7:$B$500&amp;", ")))+SUMPRODUCT(--ISNUMBER(SEARCH(", "&amp;$B63&amp;", ",", "&amp;'Trang chủ'!$B$7:$B$500&amp;", ")))+SUMPRODUCT(--ISNUMBER(SEARCH(", "&amp;$B63&amp;", ",", "&amp;'Thông báo'!$B$7:$B$500&amp;", ")))+SUMPRODUCT(--ISNUMBER(SEARCH(", "&amp;$B63&amp;", ",", "&amp;'Đăng tin &amp; Quản lý tin'!$B$7:$B$500&amp;", ")))+SUMPRODUCT(--ISNUMBER(SEARCH(", "&amp;$B63&amp;", ",", "&amp;'Trust &amp; Safety'!$B$7:$B$500&amp;", ")))+SUMPRODUCT(--ISNUMBER(SEARCH(", "&amp;$B63&amp;", ",", "&amp;'Tài khoản &amp; Hồ sơ'!$B$7:$B$500&amp;", ")))</f>
        <v/>
      </c>
      <c r="F63" s="53">
        <f>SUMPRODUCT(--ISNUMBER(SEARCH(", "&amp;$B63&amp;", ",", "&amp;'Hoạt động (Đơn của tôi)'!$B$7:$B$500&amp;", ")),--('Hoạt động (Đơn của tôi)'!$AT$7:$AT$500&lt;&gt;""))+SUMPRODUCT(--ISNUMBER(SEARCH(", "&amp;$B63&amp;", ",", "&amp;'Ghép nối'!$B$7:$B$500&amp;", ")),--('Ghép nối'!$AT$7:$AT$500&lt;&gt;""))+SUMPRODUCT(--ISNUMBER(SEARCH(", "&amp;$B63&amp;", ",", "&amp;'Huỷ đơn - Huỷ nhận đơn'!$B$7:$B$500&amp;", ")),--('Huỷ đơn - Huỷ nhận đơn'!$AT$7:$AT$500&lt;&gt;""))+SUMPRODUCT(--ISNUMBER(SEARCH(", "&amp;$B63&amp;", ",", "&amp;'Giao nhận &amp; Theo dõi đơn'!$B$7:$B$500&amp;", ")),--('Giao nhận &amp; Theo dõi đơn'!$AT$7:$AT$500&lt;&gt;""))+SUMPRODUCT(--ISNUMBER(SEARCH(", "&amp;$B63&amp;", ",", "&amp;'Bảng tin &amp; Chi tiết tin'!$B$7:$B$500&amp;", ")),--('Bảng tin &amp; Chi tiết tin'!$AT$7:$AT$500&lt;&gt;""))+SUMPRODUCT(--ISNUMBER(SEARCH(", "&amp;$B63&amp;", ",", "&amp;'Quà cảm ơn'!$B$7:$B$500&amp;", ")),--('Quà cảm ơn'!$AT$7:$AT$500&lt;&gt;""))+SUMPRODUCT(--ISNUMBER(SEARCH(", "&amp;$B63&amp;", ",", "&amp;'Trang chủ'!$B$7:$B$500&amp;", ")),--('Trang chủ'!$AT$7:$AT$500&lt;&gt;""))+SUMPRODUCT(--ISNUMBER(SEARCH(", "&amp;$B63&amp;", ",", "&amp;'Thông báo'!$B$7:$B$500&amp;", ")),--('Thông báo'!$AT$7:$AT$500&lt;&gt;""))+SUMPRODUCT(--ISNUMBER(SEARCH(", "&amp;$B63&amp;", ",", "&amp;'Đăng tin &amp; Quản lý tin'!$B$7:$B$500&amp;", ")),--('Đăng tin &amp; Quản lý tin'!$AT$7:$AT$500&lt;&gt;""))+SUMPRODUCT(--ISNUMBER(SEARCH(", "&amp;$B63&amp;", ",", "&amp;'Trust &amp; Safety'!$B$7:$B$500&amp;", ")),--('Trust &amp; Safety'!$AT$7:$AT$500&lt;&gt;""))+SUMPRODUCT(--ISNUMBER(SEARCH(", "&amp;$B63&amp;", ",", "&amp;'Tài khoản &amp; Hồ sơ'!$B$7:$B$500&amp;", ")),--('Tài khoản &amp; Hồ sơ'!$AT$7:$AT$500&lt;&gt;""))</f>
        <v/>
      </c>
      <c r="G63" s="53">
        <f>SUMPRODUCT(--ISNUMBER(SEARCH(", "&amp;$B63&amp;", ",", "&amp;'Hoạt động (Đơn của tôi)'!$B$7:$B$500&amp;", ")),--('Hoạt động (Đơn của tôi)'!$AT$7:$AT$500="Pass"))+SUMPRODUCT(--ISNUMBER(SEARCH(", "&amp;$B63&amp;", ",", "&amp;'Ghép nối'!$B$7:$B$500&amp;", ")),--('Ghép nối'!$AT$7:$AT$500="Pass"))+SUMPRODUCT(--ISNUMBER(SEARCH(", "&amp;$B63&amp;", ",", "&amp;'Huỷ đơn - Huỷ nhận đơn'!$B$7:$B$500&amp;", ")),--('Huỷ đơn - Huỷ nhận đơn'!$AT$7:$AT$500="Pass"))+SUMPRODUCT(--ISNUMBER(SEARCH(", "&amp;$B63&amp;", ",", "&amp;'Giao nhận &amp; Theo dõi đơn'!$B$7:$B$500&amp;", ")),--('Giao nhận &amp; Theo dõi đơn'!$AT$7:$AT$500="Pass"))+SUMPRODUCT(--ISNUMBER(SEARCH(", "&amp;$B63&amp;", ",", "&amp;'Bảng tin &amp; Chi tiết tin'!$B$7:$B$500&amp;", ")),--('Bảng tin &amp; Chi tiết tin'!$AT$7:$AT$500="Pass"))+SUMPRODUCT(--ISNUMBER(SEARCH(", "&amp;$B63&amp;", ",", "&amp;'Quà cảm ơn'!$B$7:$B$500&amp;", ")),--('Quà cảm ơn'!$AT$7:$AT$500="Pass"))+SUMPRODUCT(--ISNUMBER(SEARCH(", "&amp;$B63&amp;", ",", "&amp;'Trang chủ'!$B$7:$B$500&amp;", ")),--('Trang chủ'!$AT$7:$AT$500="Pass"))+SUMPRODUCT(--ISNUMBER(SEARCH(", "&amp;$B63&amp;", ",", "&amp;'Thông báo'!$B$7:$B$500&amp;", ")),--('Thông báo'!$AT$7:$AT$500="Pass"))+SUMPRODUCT(--ISNUMBER(SEARCH(", "&amp;$B63&amp;", ",", "&amp;'Đăng tin &amp; Quản lý tin'!$B$7:$B$500&amp;", ")),--('Đăng tin &amp; Quản lý tin'!$AT$7:$AT$500="Pass"))+SUMPRODUCT(--ISNUMBER(SEARCH(", "&amp;$B63&amp;", ",", "&amp;'Trust &amp; Safety'!$B$7:$B$500&amp;", ")),--('Trust &amp; Safety'!$AT$7:$AT$500="Pass"))+SUMPRODUCT(--ISNUMBER(SEARCH(", "&amp;$B63&amp;", ",", "&amp;'Tài khoản &amp; Hồ sơ'!$B$7:$B$500&amp;", ")),--('Tài khoản &amp; Hồ sơ'!$AT$7:$AT$500="Pass"))</f>
        <v/>
      </c>
      <c r="H63" s="53">
        <f>SUMPRODUCT(--ISNUMBER(SEARCH(", "&amp;$B63&amp;", ",", "&amp;'Hoạt động (Đơn của tôi)'!$B$7:$B$500&amp;", ")),--('Hoạt động (Đơn của tôi)'!$AT$7:$AT$500="Fail"))+SUMPRODUCT(--ISNUMBER(SEARCH(", "&amp;$B63&amp;", ",", "&amp;'Ghép nối'!$B$7:$B$500&amp;", ")),--('Ghép nối'!$AT$7:$AT$500="Fail"))+SUMPRODUCT(--ISNUMBER(SEARCH(", "&amp;$B63&amp;", ",", "&amp;'Huỷ đơn - Huỷ nhận đơn'!$B$7:$B$500&amp;", ")),--('Huỷ đơn - Huỷ nhận đơn'!$AT$7:$AT$500="Fail"))+SUMPRODUCT(--ISNUMBER(SEARCH(", "&amp;$B63&amp;", ",", "&amp;'Giao nhận &amp; Theo dõi đơn'!$B$7:$B$500&amp;", ")),--('Giao nhận &amp; Theo dõi đơn'!$AT$7:$AT$500="Fail"))+SUMPRODUCT(--ISNUMBER(SEARCH(", "&amp;$B63&amp;", ",", "&amp;'Bảng tin &amp; Chi tiết tin'!$B$7:$B$500&amp;", ")),--('Bảng tin &amp; Chi tiết tin'!$AT$7:$AT$500="Fail"))+SUMPRODUCT(--ISNUMBER(SEARCH(", "&amp;$B63&amp;", ",", "&amp;'Quà cảm ơn'!$B$7:$B$500&amp;", ")),--('Quà cảm ơn'!$AT$7:$AT$500="Fail"))+SUMPRODUCT(--ISNUMBER(SEARCH(", "&amp;$B63&amp;", ",", "&amp;'Trang chủ'!$B$7:$B$500&amp;", ")),--('Trang chủ'!$AT$7:$AT$500="Fail"))+SUMPRODUCT(--ISNUMBER(SEARCH(", "&amp;$B63&amp;", ",", "&amp;'Thông báo'!$B$7:$B$500&amp;", ")),--('Thông báo'!$AT$7:$AT$500="Fail"))+SUMPRODUCT(--ISNUMBER(SEARCH(", "&amp;$B63&amp;", ",", "&amp;'Đăng tin &amp; Quản lý tin'!$B$7:$B$500&amp;", ")),--('Đăng tin &amp; Quản lý tin'!$AT$7:$AT$500="Fail"))+SUMPRODUCT(--ISNUMBER(SEARCH(", "&amp;$B63&amp;", ",", "&amp;'Trust &amp; Safety'!$B$7:$B$500&amp;", ")),--('Trust &amp; Safety'!$AT$7:$AT$500="Fail"))+SUMPRODUCT(--ISNUMBER(SEARCH(", "&amp;$B63&amp;", ",", "&amp;'Tài khoản &amp; Hồ sơ'!$B$7:$B$500&amp;", ")),--('Tài khoản &amp; Hồ sơ'!$AT$7:$AT$500="Fail"))</f>
        <v/>
      </c>
      <c r="I63" s="53">
        <f>SUMPRODUCT(--ISNUMBER(SEARCH(", "&amp;$B63&amp;", ",", "&amp;'Hoạt động (Đơn của tôi)'!$B$7:$B$500&amp;", ")),--('Hoạt động (Đơn của tôi)'!$AT$7:$AT$500="Block"))+SUMPRODUCT(--ISNUMBER(SEARCH(", "&amp;$B63&amp;", ",", "&amp;'Ghép nối'!$B$7:$B$500&amp;", ")),--('Ghép nối'!$AT$7:$AT$500="Block"))+SUMPRODUCT(--ISNUMBER(SEARCH(", "&amp;$B63&amp;", ",", "&amp;'Huỷ đơn - Huỷ nhận đơn'!$B$7:$B$500&amp;", ")),--('Huỷ đơn - Huỷ nhận đơn'!$AT$7:$AT$500="Block"))+SUMPRODUCT(--ISNUMBER(SEARCH(", "&amp;$B63&amp;", ",", "&amp;'Giao nhận &amp; Theo dõi đơn'!$B$7:$B$500&amp;", ")),--('Giao nhận &amp; Theo dõi đơn'!$AT$7:$AT$500="Block"))+SUMPRODUCT(--ISNUMBER(SEARCH(", "&amp;$B63&amp;", ",", "&amp;'Bảng tin &amp; Chi tiết tin'!$B$7:$B$500&amp;", ")),--('Bảng tin &amp; Chi tiết tin'!$AT$7:$AT$500="Block"))+SUMPRODUCT(--ISNUMBER(SEARCH(", "&amp;$B63&amp;", ",", "&amp;'Quà cảm ơn'!$B$7:$B$500&amp;", ")),--('Quà cảm ơn'!$AT$7:$AT$500="Block"))+SUMPRODUCT(--ISNUMBER(SEARCH(", "&amp;$B63&amp;", ",", "&amp;'Trang chủ'!$B$7:$B$500&amp;", ")),--('Trang chủ'!$AT$7:$AT$500="Block"))+SUMPRODUCT(--ISNUMBER(SEARCH(", "&amp;$B63&amp;", ",", "&amp;'Thông báo'!$B$7:$B$500&amp;", ")),--('Thông báo'!$AT$7:$AT$500="Block"))+SUMPRODUCT(--ISNUMBER(SEARCH(", "&amp;$B63&amp;", ",", "&amp;'Đăng tin &amp; Quản lý tin'!$B$7:$B$500&amp;", ")),--('Đăng tin &amp; Quản lý tin'!$AT$7:$AT$500="Block"))+SUMPRODUCT(--ISNUMBER(SEARCH(", "&amp;$B63&amp;", ",", "&amp;'Trust &amp; Safety'!$B$7:$B$500&amp;", ")),--('Trust &amp; Safety'!$AT$7:$AT$500="Block"))+SUMPRODUCT(--ISNUMBER(SEARCH(", "&amp;$B63&amp;", ",", "&amp;'Tài khoản &amp; Hồ sơ'!$B$7:$B$500&amp;", ")),--('Tài khoản &amp; Hồ sơ'!$AT$7:$AT$500="Block"))</f>
        <v/>
      </c>
      <c r="J63" s="53">
        <f>SUMPRODUCT(--ISNUMBER(SEARCH(", "&amp;$B63&amp;", ",", "&amp;'Hoạt động (Đơn của tôi)'!$B$7:$B$500&amp;", ")),--('Hoạt động (Đơn của tôi)'!$AT$7:$AT$500="N/A"))+SUMPRODUCT(--ISNUMBER(SEARCH(", "&amp;$B63&amp;", ",", "&amp;'Ghép nối'!$B$7:$B$500&amp;", ")),--('Ghép nối'!$AT$7:$AT$500="N/A"))+SUMPRODUCT(--ISNUMBER(SEARCH(", "&amp;$B63&amp;", ",", "&amp;'Huỷ đơn - Huỷ nhận đơn'!$B$7:$B$500&amp;", ")),--('Huỷ đơn - Huỷ nhận đơn'!$AT$7:$AT$500="N/A"))+SUMPRODUCT(--ISNUMBER(SEARCH(", "&amp;$B63&amp;", ",", "&amp;'Giao nhận &amp; Theo dõi đơn'!$B$7:$B$500&amp;", ")),--('Giao nhận &amp; Theo dõi đơn'!$AT$7:$AT$500="N/A"))+SUMPRODUCT(--ISNUMBER(SEARCH(", "&amp;$B63&amp;", ",", "&amp;'Bảng tin &amp; Chi tiết tin'!$B$7:$B$500&amp;", ")),--('Bảng tin &amp; Chi tiết tin'!$AT$7:$AT$500="N/A"))+SUMPRODUCT(--ISNUMBER(SEARCH(", "&amp;$B63&amp;", ",", "&amp;'Quà cảm ơn'!$B$7:$B$500&amp;", ")),--('Quà cảm ơn'!$AT$7:$AT$500="N/A"))+SUMPRODUCT(--ISNUMBER(SEARCH(", "&amp;$B63&amp;", ",", "&amp;'Trang chủ'!$B$7:$B$500&amp;", ")),--('Trang chủ'!$AT$7:$AT$500="N/A"))+SUMPRODUCT(--ISNUMBER(SEARCH(", "&amp;$B63&amp;", ",", "&amp;'Thông báo'!$B$7:$B$500&amp;", ")),--('Thông báo'!$AT$7:$AT$500="N/A"))+SUMPRODUCT(--ISNUMBER(SEARCH(", "&amp;$B63&amp;", ",", "&amp;'Đăng tin &amp; Quản lý tin'!$B$7:$B$500&amp;", ")),--('Đăng tin &amp; Quản lý tin'!$AT$7:$AT$500="N/A"))+SUMPRODUCT(--ISNUMBER(SEARCH(", "&amp;$B63&amp;", ",", "&amp;'Trust &amp; Safety'!$B$7:$B$500&amp;", ")),--('Trust &amp; Safety'!$AT$7:$AT$500="N/A"))+SUMPRODUCT(--ISNUMBER(SEARCH(", "&amp;$B63&amp;", ",", "&amp;'Tài khoản &amp; Hồ sơ'!$B$7:$B$500&amp;", ")),--('Tài khoản &amp; Hồ sơ'!$AT$7:$AT$500="N/A"))</f>
        <v/>
      </c>
      <c r="K63" s="54">
        <f>IFERROR(F63/E63,0)</f>
        <v/>
      </c>
      <c r="L63" s="113">
        <f>IF(E63=0,"Chưa có TC (gap)",IF(H63&gt;0,"Có lỗi (Fail)",IF(I63&gt;0,"Bị block",IF(F63&lt;E63,"Đang test",IF(G63=0,"Không áp dụng (N/A)","Đã test xong")))))</f>
        <v/>
      </c>
      <c r="AB63" t="inlineStr">
        <is>
          <t>REQ-FEED</t>
        </is>
      </c>
    </row>
    <row r="64" ht="15.75" customHeight="1" s="216">
      <c r="A64" s="1" t="n"/>
      <c r="B64" s="112" t="inlineStr">
        <is>
          <t>REQ-FEED-006</t>
        </is>
      </c>
      <c r="C64" s="261" t="inlineStr"/>
      <c r="D64" s="113" t="inlineStr">
        <is>
          <t>DOC-v1.0-01</t>
        </is>
      </c>
      <c r="E64" s="53">
        <f>SUMPRODUCT(--ISNUMBER(SEARCH(", "&amp;$B64&amp;", ",", "&amp;'Hoạt động (Đơn của tôi)'!$B$7:$B$500&amp;", ")))+SUMPRODUCT(--ISNUMBER(SEARCH(", "&amp;$B64&amp;", ",", "&amp;'Ghép nối'!$B$7:$B$500&amp;", ")))+SUMPRODUCT(--ISNUMBER(SEARCH(", "&amp;$B64&amp;", ",", "&amp;'Huỷ đơn - Huỷ nhận đơn'!$B$7:$B$500&amp;", ")))+SUMPRODUCT(--ISNUMBER(SEARCH(", "&amp;$B64&amp;", ",", "&amp;'Giao nhận &amp; Theo dõi đơn'!$B$7:$B$500&amp;", ")))+SUMPRODUCT(--ISNUMBER(SEARCH(", "&amp;$B64&amp;", ",", "&amp;'Bảng tin &amp; Chi tiết tin'!$B$7:$B$500&amp;", ")))+SUMPRODUCT(--ISNUMBER(SEARCH(", "&amp;$B64&amp;", ",", "&amp;'Quà cảm ơn'!$B$7:$B$500&amp;", ")))+SUMPRODUCT(--ISNUMBER(SEARCH(", "&amp;$B64&amp;", ",", "&amp;'Trang chủ'!$B$7:$B$500&amp;", ")))+SUMPRODUCT(--ISNUMBER(SEARCH(", "&amp;$B64&amp;", ",", "&amp;'Thông báo'!$B$7:$B$500&amp;", ")))+SUMPRODUCT(--ISNUMBER(SEARCH(", "&amp;$B64&amp;", ",", "&amp;'Đăng tin &amp; Quản lý tin'!$B$7:$B$500&amp;", ")))+SUMPRODUCT(--ISNUMBER(SEARCH(", "&amp;$B64&amp;", ",", "&amp;'Trust &amp; Safety'!$B$7:$B$500&amp;", ")))+SUMPRODUCT(--ISNUMBER(SEARCH(", "&amp;$B64&amp;", ",", "&amp;'Tài khoản &amp; Hồ sơ'!$B$7:$B$500&amp;", ")))</f>
        <v/>
      </c>
      <c r="F64" s="53">
        <f>SUMPRODUCT(--ISNUMBER(SEARCH(", "&amp;$B64&amp;", ",", "&amp;'Hoạt động (Đơn của tôi)'!$B$7:$B$500&amp;", ")),--('Hoạt động (Đơn của tôi)'!$AT$7:$AT$500&lt;&gt;""))+SUMPRODUCT(--ISNUMBER(SEARCH(", "&amp;$B64&amp;", ",", "&amp;'Ghép nối'!$B$7:$B$500&amp;", ")),--('Ghép nối'!$AT$7:$AT$500&lt;&gt;""))+SUMPRODUCT(--ISNUMBER(SEARCH(", "&amp;$B64&amp;", ",", "&amp;'Huỷ đơn - Huỷ nhận đơn'!$B$7:$B$500&amp;", ")),--('Huỷ đơn - Huỷ nhận đơn'!$AT$7:$AT$500&lt;&gt;""))+SUMPRODUCT(--ISNUMBER(SEARCH(", "&amp;$B64&amp;", ",", "&amp;'Giao nhận &amp; Theo dõi đơn'!$B$7:$B$500&amp;", ")),--('Giao nhận &amp; Theo dõi đơn'!$AT$7:$AT$500&lt;&gt;""))+SUMPRODUCT(--ISNUMBER(SEARCH(", "&amp;$B64&amp;", ",", "&amp;'Bảng tin &amp; Chi tiết tin'!$B$7:$B$500&amp;", ")),--('Bảng tin &amp; Chi tiết tin'!$AT$7:$AT$500&lt;&gt;""))+SUMPRODUCT(--ISNUMBER(SEARCH(", "&amp;$B64&amp;", ",", "&amp;'Quà cảm ơn'!$B$7:$B$500&amp;", ")),--('Quà cảm ơn'!$AT$7:$AT$500&lt;&gt;""))+SUMPRODUCT(--ISNUMBER(SEARCH(", "&amp;$B64&amp;", ",", "&amp;'Trang chủ'!$B$7:$B$500&amp;", ")),--('Trang chủ'!$AT$7:$AT$500&lt;&gt;""))+SUMPRODUCT(--ISNUMBER(SEARCH(", "&amp;$B64&amp;", ",", "&amp;'Thông báo'!$B$7:$B$500&amp;", ")),--('Thông báo'!$AT$7:$AT$500&lt;&gt;""))+SUMPRODUCT(--ISNUMBER(SEARCH(", "&amp;$B64&amp;", ",", "&amp;'Đăng tin &amp; Quản lý tin'!$B$7:$B$500&amp;", ")),--('Đăng tin &amp; Quản lý tin'!$AT$7:$AT$500&lt;&gt;""))+SUMPRODUCT(--ISNUMBER(SEARCH(", "&amp;$B64&amp;", ",", "&amp;'Trust &amp; Safety'!$B$7:$B$500&amp;", ")),--('Trust &amp; Safety'!$AT$7:$AT$500&lt;&gt;""))+SUMPRODUCT(--ISNUMBER(SEARCH(", "&amp;$B64&amp;", ",", "&amp;'Tài khoản &amp; Hồ sơ'!$B$7:$B$500&amp;", ")),--('Tài khoản &amp; Hồ sơ'!$AT$7:$AT$500&lt;&gt;""))</f>
        <v/>
      </c>
      <c r="G64" s="53">
        <f>SUMPRODUCT(--ISNUMBER(SEARCH(", "&amp;$B64&amp;", ",", "&amp;'Hoạt động (Đơn của tôi)'!$B$7:$B$500&amp;", ")),--('Hoạt động (Đơn của tôi)'!$AT$7:$AT$500="Pass"))+SUMPRODUCT(--ISNUMBER(SEARCH(", "&amp;$B64&amp;", ",", "&amp;'Ghép nối'!$B$7:$B$500&amp;", ")),--('Ghép nối'!$AT$7:$AT$500="Pass"))+SUMPRODUCT(--ISNUMBER(SEARCH(", "&amp;$B64&amp;", ",", "&amp;'Huỷ đơn - Huỷ nhận đơn'!$B$7:$B$500&amp;", ")),--('Huỷ đơn - Huỷ nhận đơn'!$AT$7:$AT$500="Pass"))+SUMPRODUCT(--ISNUMBER(SEARCH(", "&amp;$B64&amp;", ",", "&amp;'Giao nhận &amp; Theo dõi đơn'!$B$7:$B$500&amp;", ")),--('Giao nhận &amp; Theo dõi đơn'!$AT$7:$AT$500="Pass"))+SUMPRODUCT(--ISNUMBER(SEARCH(", "&amp;$B64&amp;", ",", "&amp;'Bảng tin &amp; Chi tiết tin'!$B$7:$B$500&amp;", ")),--('Bảng tin &amp; Chi tiết tin'!$AT$7:$AT$500="Pass"))+SUMPRODUCT(--ISNUMBER(SEARCH(", "&amp;$B64&amp;", ",", "&amp;'Quà cảm ơn'!$B$7:$B$500&amp;", ")),--('Quà cảm ơn'!$AT$7:$AT$500="Pass"))+SUMPRODUCT(--ISNUMBER(SEARCH(", "&amp;$B64&amp;", ",", "&amp;'Trang chủ'!$B$7:$B$500&amp;", ")),--('Trang chủ'!$AT$7:$AT$500="Pass"))+SUMPRODUCT(--ISNUMBER(SEARCH(", "&amp;$B64&amp;", ",", "&amp;'Thông báo'!$B$7:$B$500&amp;", ")),--('Thông báo'!$AT$7:$AT$500="Pass"))+SUMPRODUCT(--ISNUMBER(SEARCH(", "&amp;$B64&amp;", ",", "&amp;'Đăng tin &amp; Quản lý tin'!$B$7:$B$500&amp;", ")),--('Đăng tin &amp; Quản lý tin'!$AT$7:$AT$500="Pass"))+SUMPRODUCT(--ISNUMBER(SEARCH(", "&amp;$B64&amp;", ",", "&amp;'Trust &amp; Safety'!$B$7:$B$500&amp;", ")),--('Trust &amp; Safety'!$AT$7:$AT$500="Pass"))+SUMPRODUCT(--ISNUMBER(SEARCH(", "&amp;$B64&amp;", ",", "&amp;'Tài khoản &amp; Hồ sơ'!$B$7:$B$500&amp;", ")),--('Tài khoản &amp; Hồ sơ'!$AT$7:$AT$500="Pass"))</f>
        <v/>
      </c>
      <c r="H64" s="53">
        <f>SUMPRODUCT(--ISNUMBER(SEARCH(", "&amp;$B64&amp;", ",", "&amp;'Hoạt động (Đơn của tôi)'!$B$7:$B$500&amp;", ")),--('Hoạt động (Đơn của tôi)'!$AT$7:$AT$500="Fail"))+SUMPRODUCT(--ISNUMBER(SEARCH(", "&amp;$B64&amp;", ",", "&amp;'Ghép nối'!$B$7:$B$500&amp;", ")),--('Ghép nối'!$AT$7:$AT$500="Fail"))+SUMPRODUCT(--ISNUMBER(SEARCH(", "&amp;$B64&amp;", ",", "&amp;'Huỷ đơn - Huỷ nhận đơn'!$B$7:$B$500&amp;", ")),--('Huỷ đơn - Huỷ nhận đơn'!$AT$7:$AT$500="Fail"))+SUMPRODUCT(--ISNUMBER(SEARCH(", "&amp;$B64&amp;", ",", "&amp;'Giao nhận &amp; Theo dõi đơn'!$B$7:$B$500&amp;", ")),--('Giao nhận &amp; Theo dõi đơn'!$AT$7:$AT$500="Fail"))+SUMPRODUCT(--ISNUMBER(SEARCH(", "&amp;$B64&amp;", ",", "&amp;'Bảng tin &amp; Chi tiết tin'!$B$7:$B$500&amp;", ")),--('Bảng tin &amp; Chi tiết tin'!$AT$7:$AT$500="Fail"))+SUMPRODUCT(--ISNUMBER(SEARCH(", "&amp;$B64&amp;", ",", "&amp;'Quà cảm ơn'!$B$7:$B$500&amp;", ")),--('Quà cảm ơn'!$AT$7:$AT$500="Fail"))+SUMPRODUCT(--ISNUMBER(SEARCH(", "&amp;$B64&amp;", ",", "&amp;'Trang chủ'!$B$7:$B$500&amp;", ")),--('Trang chủ'!$AT$7:$AT$500="Fail"))+SUMPRODUCT(--ISNUMBER(SEARCH(", "&amp;$B64&amp;", ",", "&amp;'Thông báo'!$B$7:$B$500&amp;", ")),--('Thông báo'!$AT$7:$AT$500="Fail"))+SUMPRODUCT(--ISNUMBER(SEARCH(", "&amp;$B64&amp;", ",", "&amp;'Đăng tin &amp; Quản lý tin'!$B$7:$B$500&amp;", ")),--('Đăng tin &amp; Quản lý tin'!$AT$7:$AT$500="Fail"))+SUMPRODUCT(--ISNUMBER(SEARCH(", "&amp;$B64&amp;", ",", "&amp;'Trust &amp; Safety'!$B$7:$B$500&amp;", ")),--('Trust &amp; Safety'!$AT$7:$AT$500="Fail"))+SUMPRODUCT(--ISNUMBER(SEARCH(", "&amp;$B64&amp;", ",", "&amp;'Tài khoản &amp; Hồ sơ'!$B$7:$B$500&amp;", ")),--('Tài khoản &amp; Hồ sơ'!$AT$7:$AT$500="Fail"))</f>
        <v/>
      </c>
      <c r="I64" s="53">
        <f>SUMPRODUCT(--ISNUMBER(SEARCH(", "&amp;$B64&amp;", ",", "&amp;'Hoạt động (Đơn của tôi)'!$B$7:$B$500&amp;", ")),--('Hoạt động (Đơn của tôi)'!$AT$7:$AT$500="Block"))+SUMPRODUCT(--ISNUMBER(SEARCH(", "&amp;$B64&amp;", ",", "&amp;'Ghép nối'!$B$7:$B$500&amp;", ")),--('Ghép nối'!$AT$7:$AT$500="Block"))+SUMPRODUCT(--ISNUMBER(SEARCH(", "&amp;$B64&amp;", ",", "&amp;'Huỷ đơn - Huỷ nhận đơn'!$B$7:$B$500&amp;", ")),--('Huỷ đơn - Huỷ nhận đơn'!$AT$7:$AT$500="Block"))+SUMPRODUCT(--ISNUMBER(SEARCH(", "&amp;$B64&amp;", ",", "&amp;'Giao nhận &amp; Theo dõi đơn'!$B$7:$B$500&amp;", ")),--('Giao nhận &amp; Theo dõi đơn'!$AT$7:$AT$500="Block"))+SUMPRODUCT(--ISNUMBER(SEARCH(", "&amp;$B64&amp;", ",", "&amp;'Bảng tin &amp; Chi tiết tin'!$B$7:$B$500&amp;", ")),--('Bảng tin &amp; Chi tiết tin'!$AT$7:$AT$500="Block"))+SUMPRODUCT(--ISNUMBER(SEARCH(", "&amp;$B64&amp;", ",", "&amp;'Quà cảm ơn'!$B$7:$B$500&amp;", ")),--('Quà cảm ơn'!$AT$7:$AT$500="Block"))+SUMPRODUCT(--ISNUMBER(SEARCH(", "&amp;$B64&amp;", ",", "&amp;'Trang chủ'!$B$7:$B$500&amp;", ")),--('Trang chủ'!$AT$7:$AT$500="Block"))+SUMPRODUCT(--ISNUMBER(SEARCH(", "&amp;$B64&amp;", ",", "&amp;'Thông báo'!$B$7:$B$500&amp;", ")),--('Thông báo'!$AT$7:$AT$500="Block"))+SUMPRODUCT(--ISNUMBER(SEARCH(", "&amp;$B64&amp;", ",", "&amp;'Đăng tin &amp; Quản lý tin'!$B$7:$B$500&amp;", ")),--('Đăng tin &amp; Quản lý tin'!$AT$7:$AT$500="Block"))+SUMPRODUCT(--ISNUMBER(SEARCH(", "&amp;$B64&amp;", ",", "&amp;'Trust &amp; Safety'!$B$7:$B$500&amp;", ")),--('Trust &amp; Safety'!$AT$7:$AT$500="Block"))+SUMPRODUCT(--ISNUMBER(SEARCH(", "&amp;$B64&amp;", ",", "&amp;'Tài khoản &amp; Hồ sơ'!$B$7:$B$500&amp;", ")),--('Tài khoản &amp; Hồ sơ'!$AT$7:$AT$500="Block"))</f>
        <v/>
      </c>
      <c r="J64" s="53">
        <f>SUMPRODUCT(--ISNUMBER(SEARCH(", "&amp;$B64&amp;", ",", "&amp;'Hoạt động (Đơn của tôi)'!$B$7:$B$500&amp;", ")),--('Hoạt động (Đơn của tôi)'!$AT$7:$AT$500="N/A"))+SUMPRODUCT(--ISNUMBER(SEARCH(", "&amp;$B64&amp;", ",", "&amp;'Ghép nối'!$B$7:$B$500&amp;", ")),--('Ghép nối'!$AT$7:$AT$500="N/A"))+SUMPRODUCT(--ISNUMBER(SEARCH(", "&amp;$B64&amp;", ",", "&amp;'Huỷ đơn - Huỷ nhận đơn'!$B$7:$B$500&amp;", ")),--('Huỷ đơn - Huỷ nhận đơn'!$AT$7:$AT$500="N/A"))+SUMPRODUCT(--ISNUMBER(SEARCH(", "&amp;$B64&amp;", ",", "&amp;'Giao nhận &amp; Theo dõi đơn'!$B$7:$B$500&amp;", ")),--('Giao nhận &amp; Theo dõi đơn'!$AT$7:$AT$500="N/A"))+SUMPRODUCT(--ISNUMBER(SEARCH(", "&amp;$B64&amp;", ",", "&amp;'Bảng tin &amp; Chi tiết tin'!$B$7:$B$500&amp;", ")),--('Bảng tin &amp; Chi tiết tin'!$AT$7:$AT$500="N/A"))+SUMPRODUCT(--ISNUMBER(SEARCH(", "&amp;$B64&amp;", ",", "&amp;'Quà cảm ơn'!$B$7:$B$500&amp;", ")),--('Quà cảm ơn'!$AT$7:$AT$500="N/A"))+SUMPRODUCT(--ISNUMBER(SEARCH(", "&amp;$B64&amp;", ",", "&amp;'Trang chủ'!$B$7:$B$500&amp;", ")),--('Trang chủ'!$AT$7:$AT$500="N/A"))+SUMPRODUCT(--ISNUMBER(SEARCH(", "&amp;$B64&amp;", ",", "&amp;'Thông báo'!$B$7:$B$500&amp;", ")),--('Thông báo'!$AT$7:$AT$500="N/A"))+SUMPRODUCT(--ISNUMBER(SEARCH(", "&amp;$B64&amp;", ",", "&amp;'Đăng tin &amp; Quản lý tin'!$B$7:$B$500&amp;", ")),--('Đăng tin &amp; Quản lý tin'!$AT$7:$AT$500="N/A"))+SUMPRODUCT(--ISNUMBER(SEARCH(", "&amp;$B64&amp;", ",", "&amp;'Trust &amp; Safety'!$B$7:$B$500&amp;", ")),--('Trust &amp; Safety'!$AT$7:$AT$500="N/A"))+SUMPRODUCT(--ISNUMBER(SEARCH(", "&amp;$B64&amp;", ",", "&amp;'Tài khoản &amp; Hồ sơ'!$B$7:$B$500&amp;", ")),--('Tài khoản &amp; Hồ sơ'!$AT$7:$AT$500="N/A"))</f>
        <v/>
      </c>
      <c r="K64" s="54">
        <f>IFERROR(F64/E64,0)</f>
        <v/>
      </c>
      <c r="L64" s="113">
        <f>IF(E64=0,"Chưa có TC (gap)",IF(H64&gt;0,"Có lỗi (Fail)",IF(I64&gt;0,"Bị block",IF(F64&lt;E64,"Đang test",IF(G64=0,"Không áp dụng (N/A)","Đã test xong")))))</f>
        <v/>
      </c>
      <c r="AB64" t="inlineStr">
        <is>
          <t>REQ-FEED</t>
        </is>
      </c>
    </row>
    <row r="65" ht="15.75" customHeight="1" s="216">
      <c r="A65" s="1" t="n"/>
      <c r="B65" s="112" t="inlineStr">
        <is>
          <t>REQ-FEED-007</t>
        </is>
      </c>
      <c r="C65" s="261" t="inlineStr"/>
      <c r="D65" s="113" t="inlineStr">
        <is>
          <t>DOC-v1.0-01 · DOC-v1.0-02</t>
        </is>
      </c>
      <c r="E65" s="53">
        <f>SUMPRODUCT(--ISNUMBER(SEARCH(", "&amp;$B65&amp;", ",", "&amp;'Hoạt động (Đơn của tôi)'!$B$7:$B$500&amp;", ")))+SUMPRODUCT(--ISNUMBER(SEARCH(", "&amp;$B65&amp;", ",", "&amp;'Ghép nối'!$B$7:$B$500&amp;", ")))+SUMPRODUCT(--ISNUMBER(SEARCH(", "&amp;$B65&amp;", ",", "&amp;'Huỷ đơn - Huỷ nhận đơn'!$B$7:$B$500&amp;", ")))+SUMPRODUCT(--ISNUMBER(SEARCH(", "&amp;$B65&amp;", ",", "&amp;'Giao nhận &amp; Theo dõi đơn'!$B$7:$B$500&amp;", ")))+SUMPRODUCT(--ISNUMBER(SEARCH(", "&amp;$B65&amp;", ",", "&amp;'Bảng tin &amp; Chi tiết tin'!$B$7:$B$500&amp;", ")))+SUMPRODUCT(--ISNUMBER(SEARCH(", "&amp;$B65&amp;", ",", "&amp;'Quà cảm ơn'!$B$7:$B$500&amp;", ")))+SUMPRODUCT(--ISNUMBER(SEARCH(", "&amp;$B65&amp;", ",", "&amp;'Trang chủ'!$B$7:$B$500&amp;", ")))+SUMPRODUCT(--ISNUMBER(SEARCH(", "&amp;$B65&amp;", ",", "&amp;'Thông báo'!$B$7:$B$500&amp;", ")))+SUMPRODUCT(--ISNUMBER(SEARCH(", "&amp;$B65&amp;", ",", "&amp;'Đăng tin &amp; Quản lý tin'!$B$7:$B$500&amp;", ")))+SUMPRODUCT(--ISNUMBER(SEARCH(", "&amp;$B65&amp;", ",", "&amp;'Trust &amp; Safety'!$B$7:$B$500&amp;", ")))+SUMPRODUCT(--ISNUMBER(SEARCH(", "&amp;$B65&amp;", ",", "&amp;'Tài khoản &amp; Hồ sơ'!$B$7:$B$500&amp;", ")))</f>
        <v/>
      </c>
      <c r="F65" s="53">
        <f>SUMPRODUCT(--ISNUMBER(SEARCH(", "&amp;$B65&amp;", ",", "&amp;'Hoạt động (Đơn của tôi)'!$B$7:$B$500&amp;", ")),--('Hoạt động (Đơn của tôi)'!$AT$7:$AT$500&lt;&gt;""))+SUMPRODUCT(--ISNUMBER(SEARCH(", "&amp;$B65&amp;", ",", "&amp;'Ghép nối'!$B$7:$B$500&amp;", ")),--('Ghép nối'!$AT$7:$AT$500&lt;&gt;""))+SUMPRODUCT(--ISNUMBER(SEARCH(", "&amp;$B65&amp;", ",", "&amp;'Huỷ đơn - Huỷ nhận đơn'!$B$7:$B$500&amp;", ")),--('Huỷ đơn - Huỷ nhận đơn'!$AT$7:$AT$500&lt;&gt;""))+SUMPRODUCT(--ISNUMBER(SEARCH(", "&amp;$B65&amp;", ",", "&amp;'Giao nhận &amp; Theo dõi đơn'!$B$7:$B$500&amp;", ")),--('Giao nhận &amp; Theo dõi đơn'!$AT$7:$AT$500&lt;&gt;""))+SUMPRODUCT(--ISNUMBER(SEARCH(", "&amp;$B65&amp;", ",", "&amp;'Bảng tin &amp; Chi tiết tin'!$B$7:$B$500&amp;", ")),--('Bảng tin &amp; Chi tiết tin'!$AT$7:$AT$500&lt;&gt;""))+SUMPRODUCT(--ISNUMBER(SEARCH(", "&amp;$B65&amp;", ",", "&amp;'Quà cảm ơn'!$B$7:$B$500&amp;", ")),--('Quà cảm ơn'!$AT$7:$AT$500&lt;&gt;""))+SUMPRODUCT(--ISNUMBER(SEARCH(", "&amp;$B65&amp;", ",", "&amp;'Trang chủ'!$B$7:$B$500&amp;", ")),--('Trang chủ'!$AT$7:$AT$500&lt;&gt;""))+SUMPRODUCT(--ISNUMBER(SEARCH(", "&amp;$B65&amp;", ",", "&amp;'Thông báo'!$B$7:$B$500&amp;", ")),--('Thông báo'!$AT$7:$AT$500&lt;&gt;""))+SUMPRODUCT(--ISNUMBER(SEARCH(", "&amp;$B65&amp;", ",", "&amp;'Đăng tin &amp; Quản lý tin'!$B$7:$B$500&amp;", ")),--('Đăng tin &amp; Quản lý tin'!$AT$7:$AT$500&lt;&gt;""))+SUMPRODUCT(--ISNUMBER(SEARCH(", "&amp;$B65&amp;", ",", "&amp;'Trust &amp; Safety'!$B$7:$B$500&amp;", ")),--('Trust &amp; Safety'!$AT$7:$AT$500&lt;&gt;""))+SUMPRODUCT(--ISNUMBER(SEARCH(", "&amp;$B65&amp;", ",", "&amp;'Tài khoản &amp; Hồ sơ'!$B$7:$B$500&amp;", ")),--('Tài khoản &amp; Hồ sơ'!$AT$7:$AT$500&lt;&gt;""))</f>
        <v/>
      </c>
      <c r="G65" s="53">
        <f>SUMPRODUCT(--ISNUMBER(SEARCH(", "&amp;$B65&amp;", ",", "&amp;'Hoạt động (Đơn của tôi)'!$B$7:$B$500&amp;", ")),--('Hoạt động (Đơn của tôi)'!$AT$7:$AT$500="Pass"))+SUMPRODUCT(--ISNUMBER(SEARCH(", "&amp;$B65&amp;", ",", "&amp;'Ghép nối'!$B$7:$B$500&amp;", ")),--('Ghép nối'!$AT$7:$AT$500="Pass"))+SUMPRODUCT(--ISNUMBER(SEARCH(", "&amp;$B65&amp;", ",", "&amp;'Huỷ đơn - Huỷ nhận đơn'!$B$7:$B$500&amp;", ")),--('Huỷ đơn - Huỷ nhận đơn'!$AT$7:$AT$500="Pass"))+SUMPRODUCT(--ISNUMBER(SEARCH(", "&amp;$B65&amp;", ",", "&amp;'Giao nhận &amp; Theo dõi đơn'!$B$7:$B$500&amp;", ")),--('Giao nhận &amp; Theo dõi đơn'!$AT$7:$AT$500="Pass"))+SUMPRODUCT(--ISNUMBER(SEARCH(", "&amp;$B65&amp;", ",", "&amp;'Bảng tin &amp; Chi tiết tin'!$B$7:$B$500&amp;", ")),--('Bảng tin &amp; Chi tiết tin'!$AT$7:$AT$500="Pass"))+SUMPRODUCT(--ISNUMBER(SEARCH(", "&amp;$B65&amp;", ",", "&amp;'Quà cảm ơn'!$B$7:$B$500&amp;", ")),--('Quà cảm ơn'!$AT$7:$AT$500="Pass"))+SUMPRODUCT(--ISNUMBER(SEARCH(", "&amp;$B65&amp;", ",", "&amp;'Trang chủ'!$B$7:$B$500&amp;", ")),--('Trang chủ'!$AT$7:$AT$500="Pass"))+SUMPRODUCT(--ISNUMBER(SEARCH(", "&amp;$B65&amp;", ",", "&amp;'Thông báo'!$B$7:$B$500&amp;", ")),--('Thông báo'!$AT$7:$AT$500="Pass"))+SUMPRODUCT(--ISNUMBER(SEARCH(", "&amp;$B65&amp;", ",", "&amp;'Đăng tin &amp; Quản lý tin'!$B$7:$B$500&amp;", ")),--('Đăng tin &amp; Quản lý tin'!$AT$7:$AT$500="Pass"))+SUMPRODUCT(--ISNUMBER(SEARCH(", "&amp;$B65&amp;", ",", "&amp;'Trust &amp; Safety'!$B$7:$B$500&amp;", ")),--('Trust &amp; Safety'!$AT$7:$AT$500="Pass"))+SUMPRODUCT(--ISNUMBER(SEARCH(", "&amp;$B65&amp;", ",", "&amp;'Tài khoản &amp; Hồ sơ'!$B$7:$B$500&amp;", ")),--('Tài khoản &amp; Hồ sơ'!$AT$7:$AT$500="Pass"))</f>
        <v/>
      </c>
      <c r="H65" s="53">
        <f>SUMPRODUCT(--ISNUMBER(SEARCH(", "&amp;$B65&amp;", ",", "&amp;'Hoạt động (Đơn của tôi)'!$B$7:$B$500&amp;", ")),--('Hoạt động (Đơn của tôi)'!$AT$7:$AT$500="Fail"))+SUMPRODUCT(--ISNUMBER(SEARCH(", "&amp;$B65&amp;", ",", "&amp;'Ghép nối'!$B$7:$B$500&amp;", ")),--('Ghép nối'!$AT$7:$AT$500="Fail"))+SUMPRODUCT(--ISNUMBER(SEARCH(", "&amp;$B65&amp;", ",", "&amp;'Huỷ đơn - Huỷ nhận đơn'!$B$7:$B$500&amp;", ")),--('Huỷ đơn - Huỷ nhận đơn'!$AT$7:$AT$500="Fail"))+SUMPRODUCT(--ISNUMBER(SEARCH(", "&amp;$B65&amp;", ",", "&amp;'Giao nhận &amp; Theo dõi đơn'!$B$7:$B$500&amp;", ")),--('Giao nhận &amp; Theo dõi đơn'!$AT$7:$AT$500="Fail"))+SUMPRODUCT(--ISNUMBER(SEARCH(", "&amp;$B65&amp;", ",", "&amp;'Bảng tin &amp; Chi tiết tin'!$B$7:$B$500&amp;", ")),--('Bảng tin &amp; Chi tiết tin'!$AT$7:$AT$500="Fail"))+SUMPRODUCT(--ISNUMBER(SEARCH(", "&amp;$B65&amp;", ",", "&amp;'Quà cảm ơn'!$B$7:$B$500&amp;", ")),--('Quà cảm ơn'!$AT$7:$AT$500="Fail"))+SUMPRODUCT(--ISNUMBER(SEARCH(", "&amp;$B65&amp;", ",", "&amp;'Trang chủ'!$B$7:$B$500&amp;", ")),--('Trang chủ'!$AT$7:$AT$500="Fail"))+SUMPRODUCT(--ISNUMBER(SEARCH(", "&amp;$B65&amp;", ",", "&amp;'Thông báo'!$B$7:$B$500&amp;", ")),--('Thông báo'!$AT$7:$AT$500="Fail"))+SUMPRODUCT(--ISNUMBER(SEARCH(", "&amp;$B65&amp;", ",", "&amp;'Đăng tin &amp; Quản lý tin'!$B$7:$B$500&amp;", ")),--('Đăng tin &amp; Quản lý tin'!$AT$7:$AT$500="Fail"))+SUMPRODUCT(--ISNUMBER(SEARCH(", "&amp;$B65&amp;", ",", "&amp;'Trust &amp; Safety'!$B$7:$B$500&amp;", ")),--('Trust &amp; Safety'!$AT$7:$AT$500="Fail"))+SUMPRODUCT(--ISNUMBER(SEARCH(", "&amp;$B65&amp;", ",", "&amp;'Tài khoản &amp; Hồ sơ'!$B$7:$B$500&amp;", ")),--('Tài khoản &amp; Hồ sơ'!$AT$7:$AT$500="Fail"))</f>
        <v/>
      </c>
      <c r="I65" s="53">
        <f>SUMPRODUCT(--ISNUMBER(SEARCH(", "&amp;$B65&amp;", ",", "&amp;'Hoạt động (Đơn của tôi)'!$B$7:$B$500&amp;", ")),--('Hoạt động (Đơn của tôi)'!$AT$7:$AT$500="Block"))+SUMPRODUCT(--ISNUMBER(SEARCH(", "&amp;$B65&amp;", ",", "&amp;'Ghép nối'!$B$7:$B$500&amp;", ")),--('Ghép nối'!$AT$7:$AT$500="Block"))+SUMPRODUCT(--ISNUMBER(SEARCH(", "&amp;$B65&amp;", ",", "&amp;'Huỷ đơn - Huỷ nhận đơn'!$B$7:$B$500&amp;", ")),--('Huỷ đơn - Huỷ nhận đơn'!$AT$7:$AT$500="Block"))+SUMPRODUCT(--ISNUMBER(SEARCH(", "&amp;$B65&amp;", ",", "&amp;'Giao nhận &amp; Theo dõi đơn'!$B$7:$B$500&amp;", ")),--('Giao nhận &amp; Theo dõi đơn'!$AT$7:$AT$500="Block"))+SUMPRODUCT(--ISNUMBER(SEARCH(", "&amp;$B65&amp;", ",", "&amp;'Bảng tin &amp; Chi tiết tin'!$B$7:$B$500&amp;", ")),--('Bảng tin &amp; Chi tiết tin'!$AT$7:$AT$500="Block"))+SUMPRODUCT(--ISNUMBER(SEARCH(", "&amp;$B65&amp;", ",", "&amp;'Quà cảm ơn'!$B$7:$B$500&amp;", ")),--('Quà cảm ơn'!$AT$7:$AT$500="Block"))+SUMPRODUCT(--ISNUMBER(SEARCH(", "&amp;$B65&amp;", ",", "&amp;'Trang chủ'!$B$7:$B$500&amp;", ")),--('Trang chủ'!$AT$7:$AT$500="Block"))+SUMPRODUCT(--ISNUMBER(SEARCH(", "&amp;$B65&amp;", ",", "&amp;'Thông báo'!$B$7:$B$500&amp;", ")),--('Thông báo'!$AT$7:$AT$500="Block"))+SUMPRODUCT(--ISNUMBER(SEARCH(", "&amp;$B65&amp;", ",", "&amp;'Đăng tin &amp; Quản lý tin'!$B$7:$B$500&amp;", ")),--('Đăng tin &amp; Quản lý tin'!$AT$7:$AT$500="Block"))+SUMPRODUCT(--ISNUMBER(SEARCH(", "&amp;$B65&amp;", ",", "&amp;'Trust &amp; Safety'!$B$7:$B$500&amp;", ")),--('Trust &amp; Safety'!$AT$7:$AT$500="Block"))+SUMPRODUCT(--ISNUMBER(SEARCH(", "&amp;$B65&amp;", ",", "&amp;'Tài khoản &amp; Hồ sơ'!$B$7:$B$500&amp;", ")),--('Tài khoản &amp; Hồ sơ'!$AT$7:$AT$500="Block"))</f>
        <v/>
      </c>
      <c r="J65" s="53">
        <f>SUMPRODUCT(--ISNUMBER(SEARCH(", "&amp;$B65&amp;", ",", "&amp;'Hoạt động (Đơn của tôi)'!$B$7:$B$500&amp;", ")),--('Hoạt động (Đơn của tôi)'!$AT$7:$AT$500="N/A"))+SUMPRODUCT(--ISNUMBER(SEARCH(", "&amp;$B65&amp;", ",", "&amp;'Ghép nối'!$B$7:$B$500&amp;", ")),--('Ghép nối'!$AT$7:$AT$500="N/A"))+SUMPRODUCT(--ISNUMBER(SEARCH(", "&amp;$B65&amp;", ",", "&amp;'Huỷ đơn - Huỷ nhận đơn'!$B$7:$B$500&amp;", ")),--('Huỷ đơn - Huỷ nhận đơn'!$AT$7:$AT$500="N/A"))+SUMPRODUCT(--ISNUMBER(SEARCH(", "&amp;$B65&amp;", ",", "&amp;'Giao nhận &amp; Theo dõi đơn'!$B$7:$B$500&amp;", ")),--('Giao nhận &amp; Theo dõi đơn'!$AT$7:$AT$500="N/A"))+SUMPRODUCT(--ISNUMBER(SEARCH(", "&amp;$B65&amp;", ",", "&amp;'Bảng tin &amp; Chi tiết tin'!$B$7:$B$500&amp;", ")),--('Bảng tin &amp; Chi tiết tin'!$AT$7:$AT$500="N/A"))+SUMPRODUCT(--ISNUMBER(SEARCH(", "&amp;$B65&amp;", ",", "&amp;'Quà cảm ơn'!$B$7:$B$500&amp;", ")),--('Quà cảm ơn'!$AT$7:$AT$500="N/A"))+SUMPRODUCT(--ISNUMBER(SEARCH(", "&amp;$B65&amp;", ",", "&amp;'Trang chủ'!$B$7:$B$500&amp;", ")),--('Trang chủ'!$AT$7:$AT$500="N/A"))+SUMPRODUCT(--ISNUMBER(SEARCH(", "&amp;$B65&amp;", ",", "&amp;'Thông báo'!$B$7:$B$500&amp;", ")),--('Thông báo'!$AT$7:$AT$500="N/A"))+SUMPRODUCT(--ISNUMBER(SEARCH(", "&amp;$B65&amp;", ",", "&amp;'Đăng tin &amp; Quản lý tin'!$B$7:$B$500&amp;", ")),--('Đăng tin &amp; Quản lý tin'!$AT$7:$AT$500="N/A"))+SUMPRODUCT(--ISNUMBER(SEARCH(", "&amp;$B65&amp;", ",", "&amp;'Trust &amp; Safety'!$B$7:$B$500&amp;", ")),--('Trust &amp; Safety'!$AT$7:$AT$500="N/A"))+SUMPRODUCT(--ISNUMBER(SEARCH(", "&amp;$B65&amp;", ",", "&amp;'Tài khoản &amp; Hồ sơ'!$B$7:$B$500&amp;", ")),--('Tài khoản &amp; Hồ sơ'!$AT$7:$AT$500="N/A"))</f>
        <v/>
      </c>
      <c r="K65" s="54">
        <f>IFERROR(F65/E65,0)</f>
        <v/>
      </c>
      <c r="L65" s="113">
        <f>IF(E65=0,"Chưa có TC (gap)",IF(H65&gt;0,"Có lỗi (Fail)",IF(I65&gt;0,"Bị block",IF(F65&lt;E65,"Đang test",IF(G65=0,"Không áp dụng (N/A)","Đã test xong")))))</f>
        <v/>
      </c>
      <c r="AB65" t="inlineStr">
        <is>
          <t>REQ-FEED</t>
        </is>
      </c>
    </row>
    <row r="66" ht="15.75" customHeight="1" s="216">
      <c r="A66" s="1" t="n"/>
      <c r="B66" s="112" t="inlineStr">
        <is>
          <t>REQ-GIFT-001</t>
        </is>
      </c>
      <c r="C66" s="261" t="inlineStr">
        <is>
          <t>Nguồn (v1.0) — `DOC-v1.0-01 §D3 GIFT-01 · L258` + `§A7 L107-108`: "Người gửi tặng quà ảo cảm ơn người vận chuyển sau khi đơn hoàn thành. 4 loại quà phi vật chất.</t>
        </is>
      </c>
      <c r="D66" s="113" t="inlineStr">
        <is>
          <t>DOC-v1.1-01 §8.14.1 BR14-01 · trang 49</t>
        </is>
      </c>
      <c r="E66" s="53">
        <f>SUMPRODUCT(--ISNUMBER(SEARCH(", "&amp;$B66&amp;", ",", "&amp;'Hoạt động (Đơn của tôi)'!$B$7:$B$500&amp;", ")))+SUMPRODUCT(--ISNUMBER(SEARCH(", "&amp;$B66&amp;", ",", "&amp;'Ghép nối'!$B$7:$B$500&amp;", ")))+SUMPRODUCT(--ISNUMBER(SEARCH(", "&amp;$B66&amp;", ",", "&amp;'Huỷ đơn - Huỷ nhận đơn'!$B$7:$B$500&amp;", ")))+SUMPRODUCT(--ISNUMBER(SEARCH(", "&amp;$B66&amp;", ",", "&amp;'Giao nhận &amp; Theo dõi đơn'!$B$7:$B$500&amp;", ")))+SUMPRODUCT(--ISNUMBER(SEARCH(", "&amp;$B66&amp;", ",", "&amp;'Bảng tin &amp; Chi tiết tin'!$B$7:$B$500&amp;", ")))+SUMPRODUCT(--ISNUMBER(SEARCH(", "&amp;$B66&amp;", ",", "&amp;'Quà cảm ơn'!$B$7:$B$500&amp;", ")))+SUMPRODUCT(--ISNUMBER(SEARCH(", "&amp;$B66&amp;", ",", "&amp;'Trang chủ'!$B$7:$B$500&amp;", ")))+SUMPRODUCT(--ISNUMBER(SEARCH(", "&amp;$B66&amp;", ",", "&amp;'Thông báo'!$B$7:$B$500&amp;", ")))+SUMPRODUCT(--ISNUMBER(SEARCH(", "&amp;$B66&amp;", ",", "&amp;'Đăng tin &amp; Quản lý tin'!$B$7:$B$500&amp;", ")))+SUMPRODUCT(--ISNUMBER(SEARCH(", "&amp;$B66&amp;", ",", "&amp;'Trust &amp; Safety'!$B$7:$B$500&amp;", ")))+SUMPRODUCT(--ISNUMBER(SEARCH(", "&amp;$B66&amp;", ",", "&amp;'Tài khoản &amp; Hồ sơ'!$B$7:$B$500&amp;", ")))</f>
        <v/>
      </c>
      <c r="F66" s="53">
        <f>SUMPRODUCT(--ISNUMBER(SEARCH(", "&amp;$B66&amp;", ",", "&amp;'Hoạt động (Đơn của tôi)'!$B$7:$B$500&amp;", ")),--('Hoạt động (Đơn của tôi)'!$AT$7:$AT$500&lt;&gt;""))+SUMPRODUCT(--ISNUMBER(SEARCH(", "&amp;$B66&amp;", ",", "&amp;'Ghép nối'!$B$7:$B$500&amp;", ")),--('Ghép nối'!$AT$7:$AT$500&lt;&gt;""))+SUMPRODUCT(--ISNUMBER(SEARCH(", "&amp;$B66&amp;", ",", "&amp;'Huỷ đơn - Huỷ nhận đơn'!$B$7:$B$500&amp;", ")),--('Huỷ đơn - Huỷ nhận đơn'!$AT$7:$AT$500&lt;&gt;""))+SUMPRODUCT(--ISNUMBER(SEARCH(", "&amp;$B66&amp;", ",", "&amp;'Giao nhận &amp; Theo dõi đơn'!$B$7:$B$500&amp;", ")),--('Giao nhận &amp; Theo dõi đơn'!$AT$7:$AT$500&lt;&gt;""))+SUMPRODUCT(--ISNUMBER(SEARCH(", "&amp;$B66&amp;", ",", "&amp;'Bảng tin &amp; Chi tiết tin'!$B$7:$B$500&amp;", ")),--('Bảng tin &amp; Chi tiết tin'!$AT$7:$AT$500&lt;&gt;""))+SUMPRODUCT(--ISNUMBER(SEARCH(", "&amp;$B66&amp;", ",", "&amp;'Quà cảm ơn'!$B$7:$B$500&amp;", ")),--('Quà cảm ơn'!$AT$7:$AT$500&lt;&gt;""))+SUMPRODUCT(--ISNUMBER(SEARCH(", "&amp;$B66&amp;", ",", "&amp;'Trang chủ'!$B$7:$B$500&amp;", ")),--('Trang chủ'!$AT$7:$AT$500&lt;&gt;""))+SUMPRODUCT(--ISNUMBER(SEARCH(", "&amp;$B66&amp;", ",", "&amp;'Thông báo'!$B$7:$B$500&amp;", ")),--('Thông báo'!$AT$7:$AT$500&lt;&gt;""))+SUMPRODUCT(--ISNUMBER(SEARCH(", "&amp;$B66&amp;", ",", "&amp;'Đăng tin &amp; Quản lý tin'!$B$7:$B$500&amp;", ")),--('Đăng tin &amp; Quản lý tin'!$AT$7:$AT$500&lt;&gt;""))+SUMPRODUCT(--ISNUMBER(SEARCH(", "&amp;$B66&amp;", ",", "&amp;'Trust &amp; Safety'!$B$7:$B$500&amp;", ")),--('Trust &amp; Safety'!$AT$7:$AT$500&lt;&gt;""))+SUMPRODUCT(--ISNUMBER(SEARCH(", "&amp;$B66&amp;", ",", "&amp;'Tài khoản &amp; Hồ sơ'!$B$7:$B$500&amp;", ")),--('Tài khoản &amp; Hồ sơ'!$AT$7:$AT$500&lt;&gt;""))</f>
        <v/>
      </c>
      <c r="G66" s="53">
        <f>SUMPRODUCT(--ISNUMBER(SEARCH(", "&amp;$B66&amp;", ",", "&amp;'Hoạt động (Đơn của tôi)'!$B$7:$B$500&amp;", ")),--('Hoạt động (Đơn của tôi)'!$AT$7:$AT$500="Pass"))+SUMPRODUCT(--ISNUMBER(SEARCH(", "&amp;$B66&amp;", ",", "&amp;'Ghép nối'!$B$7:$B$500&amp;", ")),--('Ghép nối'!$AT$7:$AT$500="Pass"))+SUMPRODUCT(--ISNUMBER(SEARCH(", "&amp;$B66&amp;", ",", "&amp;'Huỷ đơn - Huỷ nhận đơn'!$B$7:$B$500&amp;", ")),--('Huỷ đơn - Huỷ nhận đơn'!$AT$7:$AT$500="Pass"))+SUMPRODUCT(--ISNUMBER(SEARCH(", "&amp;$B66&amp;", ",", "&amp;'Giao nhận &amp; Theo dõi đơn'!$B$7:$B$500&amp;", ")),--('Giao nhận &amp; Theo dõi đơn'!$AT$7:$AT$500="Pass"))+SUMPRODUCT(--ISNUMBER(SEARCH(", "&amp;$B66&amp;", ",", "&amp;'Bảng tin &amp; Chi tiết tin'!$B$7:$B$500&amp;", ")),--('Bảng tin &amp; Chi tiết tin'!$AT$7:$AT$500="Pass"))+SUMPRODUCT(--ISNUMBER(SEARCH(", "&amp;$B66&amp;", ",", "&amp;'Quà cảm ơn'!$B$7:$B$500&amp;", ")),--('Quà cảm ơn'!$AT$7:$AT$500="Pass"))+SUMPRODUCT(--ISNUMBER(SEARCH(", "&amp;$B66&amp;", ",", "&amp;'Trang chủ'!$B$7:$B$500&amp;", ")),--('Trang chủ'!$AT$7:$AT$500="Pass"))+SUMPRODUCT(--ISNUMBER(SEARCH(", "&amp;$B66&amp;", ",", "&amp;'Thông báo'!$B$7:$B$500&amp;", ")),--('Thông báo'!$AT$7:$AT$500="Pass"))+SUMPRODUCT(--ISNUMBER(SEARCH(", "&amp;$B66&amp;", ",", "&amp;'Đăng tin &amp; Quản lý tin'!$B$7:$B$500&amp;", ")),--('Đăng tin &amp; Quản lý tin'!$AT$7:$AT$500="Pass"))+SUMPRODUCT(--ISNUMBER(SEARCH(", "&amp;$B66&amp;", ",", "&amp;'Trust &amp; Safety'!$B$7:$B$500&amp;", ")),--('Trust &amp; Safety'!$AT$7:$AT$500="Pass"))+SUMPRODUCT(--ISNUMBER(SEARCH(", "&amp;$B66&amp;", ",", "&amp;'Tài khoản &amp; Hồ sơ'!$B$7:$B$500&amp;", ")),--('Tài khoản &amp; Hồ sơ'!$AT$7:$AT$500="Pass"))</f>
        <v/>
      </c>
      <c r="H66" s="53">
        <f>SUMPRODUCT(--ISNUMBER(SEARCH(", "&amp;$B66&amp;", ",", "&amp;'Hoạt động (Đơn của tôi)'!$B$7:$B$500&amp;", ")),--('Hoạt động (Đơn của tôi)'!$AT$7:$AT$500="Fail"))+SUMPRODUCT(--ISNUMBER(SEARCH(", "&amp;$B66&amp;", ",", "&amp;'Ghép nối'!$B$7:$B$500&amp;", ")),--('Ghép nối'!$AT$7:$AT$500="Fail"))+SUMPRODUCT(--ISNUMBER(SEARCH(", "&amp;$B66&amp;", ",", "&amp;'Huỷ đơn - Huỷ nhận đơn'!$B$7:$B$500&amp;", ")),--('Huỷ đơn - Huỷ nhận đơn'!$AT$7:$AT$500="Fail"))+SUMPRODUCT(--ISNUMBER(SEARCH(", "&amp;$B66&amp;", ",", "&amp;'Giao nhận &amp; Theo dõi đơn'!$B$7:$B$500&amp;", ")),--('Giao nhận &amp; Theo dõi đơn'!$AT$7:$AT$500="Fail"))+SUMPRODUCT(--ISNUMBER(SEARCH(", "&amp;$B66&amp;", ",", "&amp;'Bảng tin &amp; Chi tiết tin'!$B$7:$B$500&amp;", ")),--('Bảng tin &amp; Chi tiết tin'!$AT$7:$AT$500="Fail"))+SUMPRODUCT(--ISNUMBER(SEARCH(", "&amp;$B66&amp;", ",", "&amp;'Quà cảm ơn'!$B$7:$B$500&amp;", ")),--('Quà cảm ơn'!$AT$7:$AT$500="Fail"))+SUMPRODUCT(--ISNUMBER(SEARCH(", "&amp;$B66&amp;", ",", "&amp;'Trang chủ'!$B$7:$B$500&amp;", ")),--('Trang chủ'!$AT$7:$AT$500="Fail"))+SUMPRODUCT(--ISNUMBER(SEARCH(", "&amp;$B66&amp;", ",", "&amp;'Thông báo'!$B$7:$B$500&amp;", ")),--('Thông báo'!$AT$7:$AT$500="Fail"))+SUMPRODUCT(--ISNUMBER(SEARCH(", "&amp;$B66&amp;", ",", "&amp;'Đăng tin &amp; Quản lý tin'!$B$7:$B$500&amp;", ")),--('Đăng tin &amp; Quản lý tin'!$AT$7:$AT$500="Fail"))+SUMPRODUCT(--ISNUMBER(SEARCH(", "&amp;$B66&amp;", ",", "&amp;'Trust &amp; Safety'!$B$7:$B$500&amp;", ")),--('Trust &amp; Safety'!$AT$7:$AT$500="Fail"))+SUMPRODUCT(--ISNUMBER(SEARCH(", "&amp;$B66&amp;", ",", "&amp;'Tài khoản &amp; Hồ sơ'!$B$7:$B$500&amp;", ")),--('Tài khoản &amp; Hồ sơ'!$AT$7:$AT$500="Fail"))</f>
        <v/>
      </c>
      <c r="I66" s="53">
        <f>SUMPRODUCT(--ISNUMBER(SEARCH(", "&amp;$B66&amp;", ",", "&amp;'Hoạt động (Đơn của tôi)'!$B$7:$B$500&amp;", ")),--('Hoạt động (Đơn của tôi)'!$AT$7:$AT$500="Block"))+SUMPRODUCT(--ISNUMBER(SEARCH(", "&amp;$B66&amp;", ",", "&amp;'Ghép nối'!$B$7:$B$500&amp;", ")),--('Ghép nối'!$AT$7:$AT$500="Block"))+SUMPRODUCT(--ISNUMBER(SEARCH(", "&amp;$B66&amp;", ",", "&amp;'Huỷ đơn - Huỷ nhận đơn'!$B$7:$B$500&amp;", ")),--('Huỷ đơn - Huỷ nhận đơn'!$AT$7:$AT$500="Block"))+SUMPRODUCT(--ISNUMBER(SEARCH(", "&amp;$B66&amp;", ",", "&amp;'Giao nhận &amp; Theo dõi đơn'!$B$7:$B$500&amp;", ")),--('Giao nhận &amp; Theo dõi đơn'!$AT$7:$AT$500="Block"))+SUMPRODUCT(--ISNUMBER(SEARCH(", "&amp;$B66&amp;", ",", "&amp;'Bảng tin &amp; Chi tiết tin'!$B$7:$B$500&amp;", ")),--('Bảng tin &amp; Chi tiết tin'!$AT$7:$AT$500="Block"))+SUMPRODUCT(--ISNUMBER(SEARCH(", "&amp;$B66&amp;", ",", "&amp;'Quà cảm ơn'!$B$7:$B$500&amp;", ")),--('Quà cảm ơn'!$AT$7:$AT$500="Block"))+SUMPRODUCT(--ISNUMBER(SEARCH(", "&amp;$B66&amp;", ",", "&amp;'Trang chủ'!$B$7:$B$500&amp;", ")),--('Trang chủ'!$AT$7:$AT$500="Block"))+SUMPRODUCT(--ISNUMBER(SEARCH(", "&amp;$B66&amp;", ",", "&amp;'Thông báo'!$B$7:$B$500&amp;", ")),--('Thông báo'!$AT$7:$AT$500="Block"))+SUMPRODUCT(--ISNUMBER(SEARCH(", "&amp;$B66&amp;", ",", "&amp;'Đăng tin &amp; Quản lý tin'!$B$7:$B$500&amp;", ")),--('Đăng tin &amp; Quản lý tin'!$AT$7:$AT$500="Block"))+SUMPRODUCT(--ISNUMBER(SEARCH(", "&amp;$B66&amp;", ",", "&amp;'Trust &amp; Safety'!$B$7:$B$500&amp;", ")),--('Trust &amp; Safety'!$AT$7:$AT$500="Block"))+SUMPRODUCT(--ISNUMBER(SEARCH(", "&amp;$B66&amp;", ",", "&amp;'Tài khoản &amp; Hồ sơ'!$B$7:$B$500&amp;", ")),--('Tài khoản &amp; Hồ sơ'!$AT$7:$AT$500="Block"))</f>
        <v/>
      </c>
      <c r="J66" s="53">
        <f>SUMPRODUCT(--ISNUMBER(SEARCH(", "&amp;$B66&amp;", ",", "&amp;'Hoạt động (Đơn của tôi)'!$B$7:$B$500&amp;", ")),--('Hoạt động (Đơn của tôi)'!$AT$7:$AT$500="N/A"))+SUMPRODUCT(--ISNUMBER(SEARCH(", "&amp;$B66&amp;", ",", "&amp;'Ghép nối'!$B$7:$B$500&amp;", ")),--('Ghép nối'!$AT$7:$AT$500="N/A"))+SUMPRODUCT(--ISNUMBER(SEARCH(", "&amp;$B66&amp;", ",", "&amp;'Huỷ đơn - Huỷ nhận đơn'!$B$7:$B$500&amp;", ")),--('Huỷ đơn - Huỷ nhận đơn'!$AT$7:$AT$500="N/A"))+SUMPRODUCT(--ISNUMBER(SEARCH(", "&amp;$B66&amp;", ",", "&amp;'Giao nhận &amp; Theo dõi đơn'!$B$7:$B$500&amp;", ")),--('Giao nhận &amp; Theo dõi đơn'!$AT$7:$AT$500="N/A"))+SUMPRODUCT(--ISNUMBER(SEARCH(", "&amp;$B66&amp;", ",", "&amp;'Bảng tin &amp; Chi tiết tin'!$B$7:$B$500&amp;", ")),--('Bảng tin &amp; Chi tiết tin'!$AT$7:$AT$500="N/A"))+SUMPRODUCT(--ISNUMBER(SEARCH(", "&amp;$B66&amp;", ",", "&amp;'Quà cảm ơn'!$B$7:$B$500&amp;", ")),--('Quà cảm ơn'!$AT$7:$AT$500="N/A"))+SUMPRODUCT(--ISNUMBER(SEARCH(", "&amp;$B66&amp;", ",", "&amp;'Trang chủ'!$B$7:$B$500&amp;", ")),--('Trang chủ'!$AT$7:$AT$500="N/A"))+SUMPRODUCT(--ISNUMBER(SEARCH(", "&amp;$B66&amp;", ",", "&amp;'Thông báo'!$B$7:$B$500&amp;", ")),--('Thông báo'!$AT$7:$AT$500="N/A"))+SUMPRODUCT(--ISNUMBER(SEARCH(", "&amp;$B66&amp;", ",", "&amp;'Đăng tin &amp; Quản lý tin'!$B$7:$B$500&amp;", ")),--('Đăng tin &amp; Quản lý tin'!$AT$7:$AT$500="N/A"))+SUMPRODUCT(--ISNUMBER(SEARCH(", "&amp;$B66&amp;", ",", "&amp;'Trust &amp; Safety'!$B$7:$B$500&amp;", ")),--('Trust &amp; Safety'!$AT$7:$AT$500="N/A"))+SUMPRODUCT(--ISNUMBER(SEARCH(", "&amp;$B66&amp;", ",", "&amp;'Tài khoản &amp; Hồ sơ'!$B$7:$B$500&amp;", ")),--('Tài khoản &amp; Hồ sơ'!$AT$7:$AT$500="N/A"))</f>
        <v/>
      </c>
      <c r="K66" s="54">
        <f>IFERROR(F66/E66,0)</f>
        <v/>
      </c>
      <c r="L66" s="113">
        <f>IF(E66=0,"Chưa có TC (gap)",IF(H66&gt;0,"Có lỗi (Fail)",IF(I66&gt;0,"Bị block",IF(F66&lt;E66,"Đang test",IF(G66=0,"Không áp dụng (N/A)","Đã test xong")))))</f>
        <v/>
      </c>
      <c r="AB66" t="inlineStr">
        <is>
          <t>REQ-GIFT</t>
        </is>
      </c>
    </row>
    <row r="67" ht="15.75" customHeight="1" s="216">
      <c r="A67" s="1" t="n"/>
      <c r="B67" s="112" t="inlineStr">
        <is>
          <t>REQ-GIFT-002</t>
        </is>
      </c>
      <c r="C67" s="261" t="inlineStr">
        <is>
          <t>Nguồn (v1.0) — `DOC-v1.0-01 §D4 BR-GIFT-01 · L271`: "Quà gửi một chiều, không cần người nhận xác nhận.</t>
        </is>
      </c>
      <c r="D67" s="113" t="inlineStr">
        <is>
          <t>DOC-v1.1-01 §8.14.1 BR14-02 · trang 49</t>
        </is>
      </c>
      <c r="E67" s="53">
        <f>SUMPRODUCT(--ISNUMBER(SEARCH(", "&amp;$B67&amp;", ",", "&amp;'Hoạt động (Đơn của tôi)'!$B$7:$B$500&amp;", ")))+SUMPRODUCT(--ISNUMBER(SEARCH(", "&amp;$B67&amp;", ",", "&amp;'Ghép nối'!$B$7:$B$500&amp;", ")))+SUMPRODUCT(--ISNUMBER(SEARCH(", "&amp;$B67&amp;", ",", "&amp;'Huỷ đơn - Huỷ nhận đơn'!$B$7:$B$500&amp;", ")))+SUMPRODUCT(--ISNUMBER(SEARCH(", "&amp;$B67&amp;", ",", "&amp;'Giao nhận &amp; Theo dõi đơn'!$B$7:$B$500&amp;", ")))+SUMPRODUCT(--ISNUMBER(SEARCH(", "&amp;$B67&amp;", ",", "&amp;'Bảng tin &amp; Chi tiết tin'!$B$7:$B$500&amp;", ")))+SUMPRODUCT(--ISNUMBER(SEARCH(", "&amp;$B67&amp;", ",", "&amp;'Quà cảm ơn'!$B$7:$B$500&amp;", ")))+SUMPRODUCT(--ISNUMBER(SEARCH(", "&amp;$B67&amp;", ",", "&amp;'Trang chủ'!$B$7:$B$500&amp;", ")))+SUMPRODUCT(--ISNUMBER(SEARCH(", "&amp;$B67&amp;", ",", "&amp;'Thông báo'!$B$7:$B$500&amp;", ")))+SUMPRODUCT(--ISNUMBER(SEARCH(", "&amp;$B67&amp;", ",", "&amp;'Đăng tin &amp; Quản lý tin'!$B$7:$B$500&amp;", ")))+SUMPRODUCT(--ISNUMBER(SEARCH(", "&amp;$B67&amp;", ",", "&amp;'Trust &amp; Safety'!$B$7:$B$500&amp;", ")))+SUMPRODUCT(--ISNUMBER(SEARCH(", "&amp;$B67&amp;", ",", "&amp;'Tài khoản &amp; Hồ sơ'!$B$7:$B$500&amp;", ")))</f>
        <v/>
      </c>
      <c r="F67" s="53">
        <f>SUMPRODUCT(--ISNUMBER(SEARCH(", "&amp;$B67&amp;", ",", "&amp;'Hoạt động (Đơn của tôi)'!$B$7:$B$500&amp;", ")),--('Hoạt động (Đơn của tôi)'!$AT$7:$AT$500&lt;&gt;""))+SUMPRODUCT(--ISNUMBER(SEARCH(", "&amp;$B67&amp;", ",", "&amp;'Ghép nối'!$B$7:$B$500&amp;", ")),--('Ghép nối'!$AT$7:$AT$500&lt;&gt;""))+SUMPRODUCT(--ISNUMBER(SEARCH(", "&amp;$B67&amp;", ",", "&amp;'Huỷ đơn - Huỷ nhận đơn'!$B$7:$B$500&amp;", ")),--('Huỷ đơn - Huỷ nhận đơn'!$AT$7:$AT$500&lt;&gt;""))+SUMPRODUCT(--ISNUMBER(SEARCH(", "&amp;$B67&amp;", ",", "&amp;'Giao nhận &amp; Theo dõi đơn'!$B$7:$B$500&amp;", ")),--('Giao nhận &amp; Theo dõi đơn'!$AT$7:$AT$500&lt;&gt;""))+SUMPRODUCT(--ISNUMBER(SEARCH(", "&amp;$B67&amp;", ",", "&amp;'Bảng tin &amp; Chi tiết tin'!$B$7:$B$500&amp;", ")),--('Bảng tin &amp; Chi tiết tin'!$AT$7:$AT$500&lt;&gt;""))+SUMPRODUCT(--ISNUMBER(SEARCH(", "&amp;$B67&amp;", ",", "&amp;'Quà cảm ơn'!$B$7:$B$500&amp;", ")),--('Quà cảm ơn'!$AT$7:$AT$500&lt;&gt;""))+SUMPRODUCT(--ISNUMBER(SEARCH(", "&amp;$B67&amp;", ",", "&amp;'Trang chủ'!$B$7:$B$500&amp;", ")),--('Trang chủ'!$AT$7:$AT$500&lt;&gt;""))+SUMPRODUCT(--ISNUMBER(SEARCH(", "&amp;$B67&amp;", ",", "&amp;'Thông báo'!$B$7:$B$500&amp;", ")),--('Thông báo'!$AT$7:$AT$500&lt;&gt;""))+SUMPRODUCT(--ISNUMBER(SEARCH(", "&amp;$B67&amp;", ",", "&amp;'Đăng tin &amp; Quản lý tin'!$B$7:$B$500&amp;", ")),--('Đăng tin &amp; Quản lý tin'!$AT$7:$AT$500&lt;&gt;""))+SUMPRODUCT(--ISNUMBER(SEARCH(", "&amp;$B67&amp;", ",", "&amp;'Trust &amp; Safety'!$B$7:$B$500&amp;", ")),--('Trust &amp; Safety'!$AT$7:$AT$500&lt;&gt;""))+SUMPRODUCT(--ISNUMBER(SEARCH(", "&amp;$B67&amp;", ",", "&amp;'Tài khoản &amp; Hồ sơ'!$B$7:$B$500&amp;", ")),--('Tài khoản &amp; Hồ sơ'!$AT$7:$AT$500&lt;&gt;""))</f>
        <v/>
      </c>
      <c r="G67" s="53">
        <f>SUMPRODUCT(--ISNUMBER(SEARCH(", "&amp;$B67&amp;", ",", "&amp;'Hoạt động (Đơn của tôi)'!$B$7:$B$500&amp;", ")),--('Hoạt động (Đơn của tôi)'!$AT$7:$AT$500="Pass"))+SUMPRODUCT(--ISNUMBER(SEARCH(", "&amp;$B67&amp;", ",", "&amp;'Ghép nối'!$B$7:$B$500&amp;", ")),--('Ghép nối'!$AT$7:$AT$500="Pass"))+SUMPRODUCT(--ISNUMBER(SEARCH(", "&amp;$B67&amp;", ",", "&amp;'Huỷ đơn - Huỷ nhận đơn'!$B$7:$B$500&amp;", ")),--('Huỷ đơn - Huỷ nhận đơn'!$AT$7:$AT$500="Pass"))+SUMPRODUCT(--ISNUMBER(SEARCH(", "&amp;$B67&amp;", ",", "&amp;'Giao nhận &amp; Theo dõi đơn'!$B$7:$B$500&amp;", ")),--('Giao nhận &amp; Theo dõi đơn'!$AT$7:$AT$500="Pass"))+SUMPRODUCT(--ISNUMBER(SEARCH(", "&amp;$B67&amp;", ",", "&amp;'Bảng tin &amp; Chi tiết tin'!$B$7:$B$500&amp;", ")),--('Bảng tin &amp; Chi tiết tin'!$AT$7:$AT$500="Pass"))+SUMPRODUCT(--ISNUMBER(SEARCH(", "&amp;$B67&amp;", ",", "&amp;'Quà cảm ơn'!$B$7:$B$500&amp;", ")),--('Quà cảm ơn'!$AT$7:$AT$500="Pass"))+SUMPRODUCT(--ISNUMBER(SEARCH(", "&amp;$B67&amp;", ",", "&amp;'Trang chủ'!$B$7:$B$500&amp;", ")),--('Trang chủ'!$AT$7:$AT$500="Pass"))+SUMPRODUCT(--ISNUMBER(SEARCH(", "&amp;$B67&amp;", ",", "&amp;'Thông báo'!$B$7:$B$500&amp;", ")),--('Thông báo'!$AT$7:$AT$500="Pass"))+SUMPRODUCT(--ISNUMBER(SEARCH(", "&amp;$B67&amp;", ",", "&amp;'Đăng tin &amp; Quản lý tin'!$B$7:$B$500&amp;", ")),--('Đăng tin &amp; Quản lý tin'!$AT$7:$AT$500="Pass"))+SUMPRODUCT(--ISNUMBER(SEARCH(", "&amp;$B67&amp;", ",", "&amp;'Trust &amp; Safety'!$B$7:$B$500&amp;", ")),--('Trust &amp; Safety'!$AT$7:$AT$500="Pass"))+SUMPRODUCT(--ISNUMBER(SEARCH(", "&amp;$B67&amp;", ",", "&amp;'Tài khoản &amp; Hồ sơ'!$B$7:$B$500&amp;", ")),--('Tài khoản &amp; Hồ sơ'!$AT$7:$AT$500="Pass"))</f>
        <v/>
      </c>
      <c r="H67" s="53">
        <f>SUMPRODUCT(--ISNUMBER(SEARCH(", "&amp;$B67&amp;", ",", "&amp;'Hoạt động (Đơn của tôi)'!$B$7:$B$500&amp;", ")),--('Hoạt động (Đơn của tôi)'!$AT$7:$AT$500="Fail"))+SUMPRODUCT(--ISNUMBER(SEARCH(", "&amp;$B67&amp;", ",", "&amp;'Ghép nối'!$B$7:$B$500&amp;", ")),--('Ghép nối'!$AT$7:$AT$500="Fail"))+SUMPRODUCT(--ISNUMBER(SEARCH(", "&amp;$B67&amp;", ",", "&amp;'Huỷ đơn - Huỷ nhận đơn'!$B$7:$B$500&amp;", ")),--('Huỷ đơn - Huỷ nhận đơn'!$AT$7:$AT$500="Fail"))+SUMPRODUCT(--ISNUMBER(SEARCH(", "&amp;$B67&amp;", ",", "&amp;'Giao nhận &amp; Theo dõi đơn'!$B$7:$B$500&amp;", ")),--('Giao nhận &amp; Theo dõi đơn'!$AT$7:$AT$500="Fail"))+SUMPRODUCT(--ISNUMBER(SEARCH(", "&amp;$B67&amp;", ",", "&amp;'Bảng tin &amp; Chi tiết tin'!$B$7:$B$500&amp;", ")),--('Bảng tin &amp; Chi tiết tin'!$AT$7:$AT$500="Fail"))+SUMPRODUCT(--ISNUMBER(SEARCH(", "&amp;$B67&amp;", ",", "&amp;'Quà cảm ơn'!$B$7:$B$500&amp;", ")),--('Quà cảm ơn'!$AT$7:$AT$500="Fail"))+SUMPRODUCT(--ISNUMBER(SEARCH(", "&amp;$B67&amp;", ",", "&amp;'Trang chủ'!$B$7:$B$500&amp;", ")),--('Trang chủ'!$AT$7:$AT$500="Fail"))+SUMPRODUCT(--ISNUMBER(SEARCH(", "&amp;$B67&amp;", ",", "&amp;'Thông báo'!$B$7:$B$500&amp;", ")),--('Thông báo'!$AT$7:$AT$500="Fail"))+SUMPRODUCT(--ISNUMBER(SEARCH(", "&amp;$B67&amp;", ",", "&amp;'Đăng tin &amp; Quản lý tin'!$B$7:$B$500&amp;", ")),--('Đăng tin &amp; Quản lý tin'!$AT$7:$AT$500="Fail"))+SUMPRODUCT(--ISNUMBER(SEARCH(", "&amp;$B67&amp;", ",", "&amp;'Trust &amp; Safety'!$B$7:$B$500&amp;", ")),--('Trust &amp; Safety'!$AT$7:$AT$500="Fail"))+SUMPRODUCT(--ISNUMBER(SEARCH(", "&amp;$B67&amp;", ",", "&amp;'Tài khoản &amp; Hồ sơ'!$B$7:$B$500&amp;", ")),--('Tài khoản &amp; Hồ sơ'!$AT$7:$AT$500="Fail"))</f>
        <v/>
      </c>
      <c r="I67" s="53">
        <f>SUMPRODUCT(--ISNUMBER(SEARCH(", "&amp;$B67&amp;", ",", "&amp;'Hoạt động (Đơn của tôi)'!$B$7:$B$500&amp;", ")),--('Hoạt động (Đơn của tôi)'!$AT$7:$AT$500="Block"))+SUMPRODUCT(--ISNUMBER(SEARCH(", "&amp;$B67&amp;", ",", "&amp;'Ghép nối'!$B$7:$B$500&amp;", ")),--('Ghép nối'!$AT$7:$AT$500="Block"))+SUMPRODUCT(--ISNUMBER(SEARCH(", "&amp;$B67&amp;", ",", "&amp;'Huỷ đơn - Huỷ nhận đơn'!$B$7:$B$500&amp;", ")),--('Huỷ đơn - Huỷ nhận đơn'!$AT$7:$AT$500="Block"))+SUMPRODUCT(--ISNUMBER(SEARCH(", "&amp;$B67&amp;", ",", "&amp;'Giao nhận &amp; Theo dõi đơn'!$B$7:$B$500&amp;", ")),--('Giao nhận &amp; Theo dõi đơn'!$AT$7:$AT$500="Block"))+SUMPRODUCT(--ISNUMBER(SEARCH(", "&amp;$B67&amp;", ",", "&amp;'Bảng tin &amp; Chi tiết tin'!$B$7:$B$500&amp;", ")),--('Bảng tin &amp; Chi tiết tin'!$AT$7:$AT$500="Block"))+SUMPRODUCT(--ISNUMBER(SEARCH(", "&amp;$B67&amp;", ",", "&amp;'Quà cảm ơn'!$B$7:$B$500&amp;", ")),--('Quà cảm ơn'!$AT$7:$AT$500="Block"))+SUMPRODUCT(--ISNUMBER(SEARCH(", "&amp;$B67&amp;", ",", "&amp;'Trang chủ'!$B$7:$B$500&amp;", ")),--('Trang chủ'!$AT$7:$AT$500="Block"))+SUMPRODUCT(--ISNUMBER(SEARCH(", "&amp;$B67&amp;", ",", "&amp;'Thông báo'!$B$7:$B$500&amp;", ")),--('Thông báo'!$AT$7:$AT$500="Block"))+SUMPRODUCT(--ISNUMBER(SEARCH(", "&amp;$B67&amp;", ",", "&amp;'Đăng tin &amp; Quản lý tin'!$B$7:$B$500&amp;", ")),--('Đăng tin &amp; Quản lý tin'!$AT$7:$AT$500="Block"))+SUMPRODUCT(--ISNUMBER(SEARCH(", "&amp;$B67&amp;", ",", "&amp;'Trust &amp; Safety'!$B$7:$B$500&amp;", ")),--('Trust &amp; Safety'!$AT$7:$AT$500="Block"))+SUMPRODUCT(--ISNUMBER(SEARCH(", "&amp;$B67&amp;", ",", "&amp;'Tài khoản &amp; Hồ sơ'!$B$7:$B$500&amp;", ")),--('Tài khoản &amp; Hồ sơ'!$AT$7:$AT$500="Block"))</f>
        <v/>
      </c>
      <c r="J67" s="53">
        <f>SUMPRODUCT(--ISNUMBER(SEARCH(", "&amp;$B67&amp;", ",", "&amp;'Hoạt động (Đơn của tôi)'!$B$7:$B$500&amp;", ")),--('Hoạt động (Đơn của tôi)'!$AT$7:$AT$500="N/A"))+SUMPRODUCT(--ISNUMBER(SEARCH(", "&amp;$B67&amp;", ",", "&amp;'Ghép nối'!$B$7:$B$500&amp;", ")),--('Ghép nối'!$AT$7:$AT$500="N/A"))+SUMPRODUCT(--ISNUMBER(SEARCH(", "&amp;$B67&amp;", ",", "&amp;'Huỷ đơn - Huỷ nhận đơn'!$B$7:$B$500&amp;", ")),--('Huỷ đơn - Huỷ nhận đơn'!$AT$7:$AT$500="N/A"))+SUMPRODUCT(--ISNUMBER(SEARCH(", "&amp;$B67&amp;", ",", "&amp;'Giao nhận &amp; Theo dõi đơn'!$B$7:$B$500&amp;", ")),--('Giao nhận &amp; Theo dõi đơn'!$AT$7:$AT$500="N/A"))+SUMPRODUCT(--ISNUMBER(SEARCH(", "&amp;$B67&amp;", ",", "&amp;'Bảng tin &amp; Chi tiết tin'!$B$7:$B$500&amp;", ")),--('Bảng tin &amp; Chi tiết tin'!$AT$7:$AT$500="N/A"))+SUMPRODUCT(--ISNUMBER(SEARCH(", "&amp;$B67&amp;", ",", "&amp;'Quà cảm ơn'!$B$7:$B$500&amp;", ")),--('Quà cảm ơn'!$AT$7:$AT$500="N/A"))+SUMPRODUCT(--ISNUMBER(SEARCH(", "&amp;$B67&amp;", ",", "&amp;'Trang chủ'!$B$7:$B$500&amp;", ")),--('Trang chủ'!$AT$7:$AT$500="N/A"))+SUMPRODUCT(--ISNUMBER(SEARCH(", "&amp;$B67&amp;", ",", "&amp;'Thông báo'!$B$7:$B$500&amp;", ")),--('Thông báo'!$AT$7:$AT$500="N/A"))+SUMPRODUCT(--ISNUMBER(SEARCH(", "&amp;$B67&amp;", ",", "&amp;'Đăng tin &amp; Quản lý tin'!$B$7:$B$500&amp;", ")),--('Đăng tin &amp; Quản lý tin'!$AT$7:$AT$500="N/A"))+SUMPRODUCT(--ISNUMBER(SEARCH(", "&amp;$B67&amp;", ",", "&amp;'Trust &amp; Safety'!$B$7:$B$500&amp;", ")),--('Trust &amp; Safety'!$AT$7:$AT$500="N/A"))+SUMPRODUCT(--ISNUMBER(SEARCH(", "&amp;$B67&amp;", ",", "&amp;'Tài khoản &amp; Hồ sơ'!$B$7:$B$500&amp;", ")),--('Tài khoản &amp; Hồ sơ'!$AT$7:$AT$500="N/A"))</f>
        <v/>
      </c>
      <c r="K67" s="54">
        <f>IFERROR(F67/E67,0)</f>
        <v/>
      </c>
      <c r="L67" s="113">
        <f>IF(E67=0,"Chưa có TC (gap)",IF(H67&gt;0,"Có lỗi (Fail)",IF(I67&gt;0,"Bị block",IF(F67&lt;E67,"Đang test",IF(G67=0,"Không áp dụng (N/A)","Đã test xong")))))</f>
        <v/>
      </c>
      <c r="AB67" t="inlineStr">
        <is>
          <t>REQ-GIFT</t>
        </is>
      </c>
    </row>
    <row r="68" ht="15.75" customHeight="1" s="216">
      <c r="A68" s="1" t="n"/>
      <c r="B68" s="112" t="inlineStr">
        <is>
          <t>REQ-GIFT-004</t>
        </is>
      </c>
      <c r="C68" s="261" t="inlineStr">
        <is>
          <t>Nguồn (v1.0) — `DOC-v1.0-01 §D1b US-D20 · L196` + `KP-01 §6 KB-GIFT-03`: "Người vận chuyển xem 'Quà đã nhận'. (Có danh sách lịch sử hay chỉ card đếm — chưa rõ.)</t>
        </is>
      </c>
      <c r="D68" s="113" t="inlineStr">
        <is>
          <t>DOC-v1.1-01 §6.2 AC-26.1.01 · trang 27</t>
        </is>
      </c>
      <c r="E68" s="53">
        <f>SUMPRODUCT(--ISNUMBER(SEARCH(", "&amp;$B68&amp;", ",", "&amp;'Hoạt động (Đơn của tôi)'!$B$7:$B$500&amp;", ")))+SUMPRODUCT(--ISNUMBER(SEARCH(", "&amp;$B68&amp;", ",", "&amp;'Ghép nối'!$B$7:$B$500&amp;", ")))+SUMPRODUCT(--ISNUMBER(SEARCH(", "&amp;$B68&amp;", ",", "&amp;'Huỷ đơn - Huỷ nhận đơn'!$B$7:$B$500&amp;", ")))+SUMPRODUCT(--ISNUMBER(SEARCH(", "&amp;$B68&amp;", ",", "&amp;'Giao nhận &amp; Theo dõi đơn'!$B$7:$B$500&amp;", ")))+SUMPRODUCT(--ISNUMBER(SEARCH(", "&amp;$B68&amp;", ",", "&amp;'Bảng tin &amp; Chi tiết tin'!$B$7:$B$500&amp;", ")))+SUMPRODUCT(--ISNUMBER(SEARCH(", "&amp;$B68&amp;", ",", "&amp;'Quà cảm ơn'!$B$7:$B$500&amp;", ")))+SUMPRODUCT(--ISNUMBER(SEARCH(", "&amp;$B68&amp;", ",", "&amp;'Trang chủ'!$B$7:$B$500&amp;", ")))+SUMPRODUCT(--ISNUMBER(SEARCH(", "&amp;$B68&amp;", ",", "&amp;'Thông báo'!$B$7:$B$500&amp;", ")))+SUMPRODUCT(--ISNUMBER(SEARCH(", "&amp;$B68&amp;", ",", "&amp;'Đăng tin &amp; Quản lý tin'!$B$7:$B$500&amp;", ")))+SUMPRODUCT(--ISNUMBER(SEARCH(", "&amp;$B68&amp;", ",", "&amp;'Trust &amp; Safety'!$B$7:$B$500&amp;", ")))+SUMPRODUCT(--ISNUMBER(SEARCH(", "&amp;$B68&amp;", ",", "&amp;'Tài khoản &amp; Hồ sơ'!$B$7:$B$500&amp;", ")))</f>
        <v/>
      </c>
      <c r="F68" s="53">
        <f>SUMPRODUCT(--ISNUMBER(SEARCH(", "&amp;$B68&amp;", ",", "&amp;'Hoạt động (Đơn của tôi)'!$B$7:$B$500&amp;", ")),--('Hoạt động (Đơn của tôi)'!$AT$7:$AT$500&lt;&gt;""))+SUMPRODUCT(--ISNUMBER(SEARCH(", "&amp;$B68&amp;", ",", "&amp;'Ghép nối'!$B$7:$B$500&amp;", ")),--('Ghép nối'!$AT$7:$AT$500&lt;&gt;""))+SUMPRODUCT(--ISNUMBER(SEARCH(", "&amp;$B68&amp;", ",", "&amp;'Huỷ đơn - Huỷ nhận đơn'!$B$7:$B$500&amp;", ")),--('Huỷ đơn - Huỷ nhận đơn'!$AT$7:$AT$500&lt;&gt;""))+SUMPRODUCT(--ISNUMBER(SEARCH(", "&amp;$B68&amp;", ",", "&amp;'Giao nhận &amp; Theo dõi đơn'!$B$7:$B$500&amp;", ")),--('Giao nhận &amp; Theo dõi đơn'!$AT$7:$AT$500&lt;&gt;""))+SUMPRODUCT(--ISNUMBER(SEARCH(", "&amp;$B68&amp;", ",", "&amp;'Bảng tin &amp; Chi tiết tin'!$B$7:$B$500&amp;", ")),--('Bảng tin &amp; Chi tiết tin'!$AT$7:$AT$500&lt;&gt;""))+SUMPRODUCT(--ISNUMBER(SEARCH(", "&amp;$B68&amp;", ",", "&amp;'Quà cảm ơn'!$B$7:$B$500&amp;", ")),--('Quà cảm ơn'!$AT$7:$AT$500&lt;&gt;""))+SUMPRODUCT(--ISNUMBER(SEARCH(", "&amp;$B68&amp;", ",", "&amp;'Trang chủ'!$B$7:$B$500&amp;", ")),--('Trang chủ'!$AT$7:$AT$500&lt;&gt;""))+SUMPRODUCT(--ISNUMBER(SEARCH(", "&amp;$B68&amp;", ",", "&amp;'Thông báo'!$B$7:$B$500&amp;", ")),--('Thông báo'!$AT$7:$AT$500&lt;&gt;""))+SUMPRODUCT(--ISNUMBER(SEARCH(", "&amp;$B68&amp;", ",", "&amp;'Đăng tin &amp; Quản lý tin'!$B$7:$B$500&amp;", ")),--('Đăng tin &amp; Quản lý tin'!$AT$7:$AT$500&lt;&gt;""))+SUMPRODUCT(--ISNUMBER(SEARCH(", "&amp;$B68&amp;", ",", "&amp;'Trust &amp; Safety'!$B$7:$B$500&amp;", ")),--('Trust &amp; Safety'!$AT$7:$AT$500&lt;&gt;""))+SUMPRODUCT(--ISNUMBER(SEARCH(", "&amp;$B68&amp;", ",", "&amp;'Tài khoản &amp; Hồ sơ'!$B$7:$B$500&amp;", ")),--('Tài khoản &amp; Hồ sơ'!$AT$7:$AT$500&lt;&gt;""))</f>
        <v/>
      </c>
      <c r="G68" s="53">
        <f>SUMPRODUCT(--ISNUMBER(SEARCH(", "&amp;$B68&amp;", ",", "&amp;'Hoạt động (Đơn của tôi)'!$B$7:$B$500&amp;", ")),--('Hoạt động (Đơn của tôi)'!$AT$7:$AT$500="Pass"))+SUMPRODUCT(--ISNUMBER(SEARCH(", "&amp;$B68&amp;", ",", "&amp;'Ghép nối'!$B$7:$B$500&amp;", ")),--('Ghép nối'!$AT$7:$AT$500="Pass"))+SUMPRODUCT(--ISNUMBER(SEARCH(", "&amp;$B68&amp;", ",", "&amp;'Huỷ đơn - Huỷ nhận đơn'!$B$7:$B$500&amp;", ")),--('Huỷ đơn - Huỷ nhận đơn'!$AT$7:$AT$500="Pass"))+SUMPRODUCT(--ISNUMBER(SEARCH(", "&amp;$B68&amp;", ",", "&amp;'Giao nhận &amp; Theo dõi đơn'!$B$7:$B$500&amp;", ")),--('Giao nhận &amp; Theo dõi đơn'!$AT$7:$AT$500="Pass"))+SUMPRODUCT(--ISNUMBER(SEARCH(", "&amp;$B68&amp;", ",", "&amp;'Bảng tin &amp; Chi tiết tin'!$B$7:$B$500&amp;", ")),--('Bảng tin &amp; Chi tiết tin'!$AT$7:$AT$500="Pass"))+SUMPRODUCT(--ISNUMBER(SEARCH(", "&amp;$B68&amp;", ",", "&amp;'Quà cảm ơn'!$B$7:$B$500&amp;", ")),--('Quà cảm ơn'!$AT$7:$AT$500="Pass"))+SUMPRODUCT(--ISNUMBER(SEARCH(", "&amp;$B68&amp;", ",", "&amp;'Trang chủ'!$B$7:$B$500&amp;", ")),--('Trang chủ'!$AT$7:$AT$500="Pass"))+SUMPRODUCT(--ISNUMBER(SEARCH(", "&amp;$B68&amp;", ",", "&amp;'Thông báo'!$B$7:$B$500&amp;", ")),--('Thông báo'!$AT$7:$AT$500="Pass"))+SUMPRODUCT(--ISNUMBER(SEARCH(", "&amp;$B68&amp;", ",", "&amp;'Đăng tin &amp; Quản lý tin'!$B$7:$B$500&amp;", ")),--('Đăng tin &amp; Quản lý tin'!$AT$7:$AT$500="Pass"))+SUMPRODUCT(--ISNUMBER(SEARCH(", "&amp;$B68&amp;", ",", "&amp;'Trust &amp; Safety'!$B$7:$B$500&amp;", ")),--('Trust &amp; Safety'!$AT$7:$AT$500="Pass"))+SUMPRODUCT(--ISNUMBER(SEARCH(", "&amp;$B68&amp;", ",", "&amp;'Tài khoản &amp; Hồ sơ'!$B$7:$B$500&amp;", ")),--('Tài khoản &amp; Hồ sơ'!$AT$7:$AT$500="Pass"))</f>
        <v/>
      </c>
      <c r="H68" s="53">
        <f>SUMPRODUCT(--ISNUMBER(SEARCH(", "&amp;$B68&amp;", ",", "&amp;'Hoạt động (Đơn của tôi)'!$B$7:$B$500&amp;", ")),--('Hoạt động (Đơn của tôi)'!$AT$7:$AT$500="Fail"))+SUMPRODUCT(--ISNUMBER(SEARCH(", "&amp;$B68&amp;", ",", "&amp;'Ghép nối'!$B$7:$B$500&amp;", ")),--('Ghép nối'!$AT$7:$AT$500="Fail"))+SUMPRODUCT(--ISNUMBER(SEARCH(", "&amp;$B68&amp;", ",", "&amp;'Huỷ đơn - Huỷ nhận đơn'!$B$7:$B$500&amp;", ")),--('Huỷ đơn - Huỷ nhận đơn'!$AT$7:$AT$500="Fail"))+SUMPRODUCT(--ISNUMBER(SEARCH(", "&amp;$B68&amp;", ",", "&amp;'Giao nhận &amp; Theo dõi đơn'!$B$7:$B$500&amp;", ")),--('Giao nhận &amp; Theo dõi đơn'!$AT$7:$AT$500="Fail"))+SUMPRODUCT(--ISNUMBER(SEARCH(", "&amp;$B68&amp;", ",", "&amp;'Bảng tin &amp; Chi tiết tin'!$B$7:$B$500&amp;", ")),--('Bảng tin &amp; Chi tiết tin'!$AT$7:$AT$500="Fail"))+SUMPRODUCT(--ISNUMBER(SEARCH(", "&amp;$B68&amp;", ",", "&amp;'Quà cảm ơn'!$B$7:$B$500&amp;", ")),--('Quà cảm ơn'!$AT$7:$AT$500="Fail"))+SUMPRODUCT(--ISNUMBER(SEARCH(", "&amp;$B68&amp;", ",", "&amp;'Trang chủ'!$B$7:$B$500&amp;", ")),--('Trang chủ'!$AT$7:$AT$500="Fail"))+SUMPRODUCT(--ISNUMBER(SEARCH(", "&amp;$B68&amp;", ",", "&amp;'Thông báo'!$B$7:$B$500&amp;", ")),--('Thông báo'!$AT$7:$AT$500="Fail"))+SUMPRODUCT(--ISNUMBER(SEARCH(", "&amp;$B68&amp;", ",", "&amp;'Đăng tin &amp; Quản lý tin'!$B$7:$B$500&amp;", ")),--('Đăng tin &amp; Quản lý tin'!$AT$7:$AT$500="Fail"))+SUMPRODUCT(--ISNUMBER(SEARCH(", "&amp;$B68&amp;", ",", "&amp;'Trust &amp; Safety'!$B$7:$B$500&amp;", ")),--('Trust &amp; Safety'!$AT$7:$AT$500="Fail"))+SUMPRODUCT(--ISNUMBER(SEARCH(", "&amp;$B68&amp;", ",", "&amp;'Tài khoản &amp; Hồ sơ'!$B$7:$B$500&amp;", ")),--('Tài khoản &amp; Hồ sơ'!$AT$7:$AT$500="Fail"))</f>
        <v/>
      </c>
      <c r="I68" s="53">
        <f>SUMPRODUCT(--ISNUMBER(SEARCH(", "&amp;$B68&amp;", ",", "&amp;'Hoạt động (Đơn của tôi)'!$B$7:$B$500&amp;", ")),--('Hoạt động (Đơn của tôi)'!$AT$7:$AT$500="Block"))+SUMPRODUCT(--ISNUMBER(SEARCH(", "&amp;$B68&amp;", ",", "&amp;'Ghép nối'!$B$7:$B$500&amp;", ")),--('Ghép nối'!$AT$7:$AT$500="Block"))+SUMPRODUCT(--ISNUMBER(SEARCH(", "&amp;$B68&amp;", ",", "&amp;'Huỷ đơn - Huỷ nhận đơn'!$B$7:$B$500&amp;", ")),--('Huỷ đơn - Huỷ nhận đơn'!$AT$7:$AT$500="Block"))+SUMPRODUCT(--ISNUMBER(SEARCH(", "&amp;$B68&amp;", ",", "&amp;'Giao nhận &amp; Theo dõi đơn'!$B$7:$B$500&amp;", ")),--('Giao nhận &amp; Theo dõi đơn'!$AT$7:$AT$500="Block"))+SUMPRODUCT(--ISNUMBER(SEARCH(", "&amp;$B68&amp;", ",", "&amp;'Bảng tin &amp; Chi tiết tin'!$B$7:$B$500&amp;", ")),--('Bảng tin &amp; Chi tiết tin'!$AT$7:$AT$500="Block"))+SUMPRODUCT(--ISNUMBER(SEARCH(", "&amp;$B68&amp;", ",", "&amp;'Quà cảm ơn'!$B$7:$B$500&amp;", ")),--('Quà cảm ơn'!$AT$7:$AT$500="Block"))+SUMPRODUCT(--ISNUMBER(SEARCH(", "&amp;$B68&amp;", ",", "&amp;'Trang chủ'!$B$7:$B$500&amp;", ")),--('Trang chủ'!$AT$7:$AT$500="Block"))+SUMPRODUCT(--ISNUMBER(SEARCH(", "&amp;$B68&amp;", ",", "&amp;'Thông báo'!$B$7:$B$500&amp;", ")),--('Thông báo'!$AT$7:$AT$500="Block"))+SUMPRODUCT(--ISNUMBER(SEARCH(", "&amp;$B68&amp;", ",", "&amp;'Đăng tin &amp; Quản lý tin'!$B$7:$B$500&amp;", ")),--('Đăng tin &amp; Quản lý tin'!$AT$7:$AT$500="Block"))+SUMPRODUCT(--ISNUMBER(SEARCH(", "&amp;$B68&amp;", ",", "&amp;'Trust &amp; Safety'!$B$7:$B$500&amp;", ")),--('Trust &amp; Safety'!$AT$7:$AT$500="Block"))+SUMPRODUCT(--ISNUMBER(SEARCH(", "&amp;$B68&amp;", ",", "&amp;'Tài khoản &amp; Hồ sơ'!$B$7:$B$500&amp;", ")),--('Tài khoản &amp; Hồ sơ'!$AT$7:$AT$500="Block"))</f>
        <v/>
      </c>
      <c r="J68" s="53">
        <f>SUMPRODUCT(--ISNUMBER(SEARCH(", "&amp;$B68&amp;", ",", "&amp;'Hoạt động (Đơn của tôi)'!$B$7:$B$500&amp;", ")),--('Hoạt động (Đơn của tôi)'!$AT$7:$AT$500="N/A"))+SUMPRODUCT(--ISNUMBER(SEARCH(", "&amp;$B68&amp;", ",", "&amp;'Ghép nối'!$B$7:$B$500&amp;", ")),--('Ghép nối'!$AT$7:$AT$500="N/A"))+SUMPRODUCT(--ISNUMBER(SEARCH(", "&amp;$B68&amp;", ",", "&amp;'Huỷ đơn - Huỷ nhận đơn'!$B$7:$B$500&amp;", ")),--('Huỷ đơn - Huỷ nhận đơn'!$AT$7:$AT$500="N/A"))+SUMPRODUCT(--ISNUMBER(SEARCH(", "&amp;$B68&amp;", ",", "&amp;'Giao nhận &amp; Theo dõi đơn'!$B$7:$B$500&amp;", ")),--('Giao nhận &amp; Theo dõi đơn'!$AT$7:$AT$500="N/A"))+SUMPRODUCT(--ISNUMBER(SEARCH(", "&amp;$B68&amp;", ",", "&amp;'Bảng tin &amp; Chi tiết tin'!$B$7:$B$500&amp;", ")),--('Bảng tin &amp; Chi tiết tin'!$AT$7:$AT$500="N/A"))+SUMPRODUCT(--ISNUMBER(SEARCH(", "&amp;$B68&amp;", ",", "&amp;'Quà cảm ơn'!$B$7:$B$500&amp;", ")),--('Quà cảm ơn'!$AT$7:$AT$500="N/A"))+SUMPRODUCT(--ISNUMBER(SEARCH(", "&amp;$B68&amp;", ",", "&amp;'Trang chủ'!$B$7:$B$500&amp;", ")),--('Trang chủ'!$AT$7:$AT$500="N/A"))+SUMPRODUCT(--ISNUMBER(SEARCH(", "&amp;$B68&amp;", ",", "&amp;'Thông báo'!$B$7:$B$500&amp;", ")),--('Thông báo'!$AT$7:$AT$500="N/A"))+SUMPRODUCT(--ISNUMBER(SEARCH(", "&amp;$B68&amp;", ",", "&amp;'Đăng tin &amp; Quản lý tin'!$B$7:$B$500&amp;", ")),--('Đăng tin &amp; Quản lý tin'!$AT$7:$AT$500="N/A"))+SUMPRODUCT(--ISNUMBER(SEARCH(", "&amp;$B68&amp;", ",", "&amp;'Trust &amp; Safety'!$B$7:$B$500&amp;", ")),--('Trust &amp; Safety'!$AT$7:$AT$500="N/A"))+SUMPRODUCT(--ISNUMBER(SEARCH(", "&amp;$B68&amp;", ",", "&amp;'Tài khoản &amp; Hồ sơ'!$B$7:$B$500&amp;", ")),--('Tài khoản &amp; Hồ sơ'!$AT$7:$AT$500="N/A"))</f>
        <v/>
      </c>
      <c r="K68" s="54">
        <f>IFERROR(F68/E68,0)</f>
        <v/>
      </c>
      <c r="L68" s="113">
        <f>IF(E68=0,"Chưa có TC (gap)",IF(H68&gt;0,"Có lỗi (Fail)",IF(I68&gt;0,"Bị block",IF(F68&lt;E68,"Đang test",IF(G68=0,"Không áp dụng (N/A)","Đã test xong")))))</f>
        <v/>
      </c>
      <c r="AB68" t="inlineStr">
        <is>
          <t>REQ-GIFT</t>
        </is>
      </c>
    </row>
    <row r="69" ht="15.75" customHeight="1" s="216">
      <c r="A69" s="1" t="n"/>
      <c r="B69" s="112" t="inlineStr">
        <is>
          <t>REQ-GIFT-007</t>
        </is>
      </c>
      <c r="C69" s="261" t="inlineStr">
        <is>
          <t>Nguồn (v1.0) — `DOC-v1.0-06 KP-02 §5 dòng C-ORD-06` ⇒ text empty state **chưa chốt** (từng Resolved 2026-07-28 rồi **REVERT** 2026-07-29 vì chốt không kèm bằng chứng).</t>
        </is>
      </c>
      <c r="D69" s="113" t="inlineStr">
        <is>
          <t>DOC-v1.1-01 §8.17.1 EMP-08 · trang 51</t>
        </is>
      </c>
      <c r="E69" s="53">
        <f>SUMPRODUCT(--ISNUMBER(SEARCH(", "&amp;$B69&amp;", ",", "&amp;'Hoạt động (Đơn của tôi)'!$B$7:$B$500&amp;", ")))+SUMPRODUCT(--ISNUMBER(SEARCH(", "&amp;$B69&amp;", ",", "&amp;'Ghép nối'!$B$7:$B$500&amp;", ")))+SUMPRODUCT(--ISNUMBER(SEARCH(", "&amp;$B69&amp;", ",", "&amp;'Huỷ đơn - Huỷ nhận đơn'!$B$7:$B$500&amp;", ")))+SUMPRODUCT(--ISNUMBER(SEARCH(", "&amp;$B69&amp;", ",", "&amp;'Giao nhận &amp; Theo dõi đơn'!$B$7:$B$500&amp;", ")))+SUMPRODUCT(--ISNUMBER(SEARCH(", "&amp;$B69&amp;", ",", "&amp;'Bảng tin &amp; Chi tiết tin'!$B$7:$B$500&amp;", ")))+SUMPRODUCT(--ISNUMBER(SEARCH(", "&amp;$B69&amp;", ",", "&amp;'Quà cảm ơn'!$B$7:$B$500&amp;", ")))+SUMPRODUCT(--ISNUMBER(SEARCH(", "&amp;$B69&amp;", ",", "&amp;'Trang chủ'!$B$7:$B$500&amp;", ")))+SUMPRODUCT(--ISNUMBER(SEARCH(", "&amp;$B69&amp;", ",", "&amp;'Thông báo'!$B$7:$B$500&amp;", ")))+SUMPRODUCT(--ISNUMBER(SEARCH(", "&amp;$B69&amp;", ",", "&amp;'Đăng tin &amp; Quản lý tin'!$B$7:$B$500&amp;", ")))+SUMPRODUCT(--ISNUMBER(SEARCH(", "&amp;$B69&amp;", ",", "&amp;'Trust &amp; Safety'!$B$7:$B$500&amp;", ")))+SUMPRODUCT(--ISNUMBER(SEARCH(", "&amp;$B69&amp;", ",", "&amp;'Tài khoản &amp; Hồ sơ'!$B$7:$B$500&amp;", ")))</f>
        <v/>
      </c>
      <c r="F69" s="53">
        <f>SUMPRODUCT(--ISNUMBER(SEARCH(", "&amp;$B69&amp;", ",", "&amp;'Hoạt động (Đơn của tôi)'!$B$7:$B$500&amp;", ")),--('Hoạt động (Đơn của tôi)'!$AT$7:$AT$500&lt;&gt;""))+SUMPRODUCT(--ISNUMBER(SEARCH(", "&amp;$B69&amp;", ",", "&amp;'Ghép nối'!$B$7:$B$500&amp;", ")),--('Ghép nối'!$AT$7:$AT$500&lt;&gt;""))+SUMPRODUCT(--ISNUMBER(SEARCH(", "&amp;$B69&amp;", ",", "&amp;'Huỷ đơn - Huỷ nhận đơn'!$B$7:$B$500&amp;", ")),--('Huỷ đơn - Huỷ nhận đơn'!$AT$7:$AT$500&lt;&gt;""))+SUMPRODUCT(--ISNUMBER(SEARCH(", "&amp;$B69&amp;", ",", "&amp;'Giao nhận &amp; Theo dõi đơn'!$B$7:$B$500&amp;", ")),--('Giao nhận &amp; Theo dõi đơn'!$AT$7:$AT$500&lt;&gt;""))+SUMPRODUCT(--ISNUMBER(SEARCH(", "&amp;$B69&amp;", ",", "&amp;'Bảng tin &amp; Chi tiết tin'!$B$7:$B$500&amp;", ")),--('Bảng tin &amp; Chi tiết tin'!$AT$7:$AT$500&lt;&gt;""))+SUMPRODUCT(--ISNUMBER(SEARCH(", "&amp;$B69&amp;", ",", "&amp;'Quà cảm ơn'!$B$7:$B$500&amp;", ")),--('Quà cảm ơn'!$AT$7:$AT$500&lt;&gt;""))+SUMPRODUCT(--ISNUMBER(SEARCH(", "&amp;$B69&amp;", ",", "&amp;'Trang chủ'!$B$7:$B$500&amp;", ")),--('Trang chủ'!$AT$7:$AT$500&lt;&gt;""))+SUMPRODUCT(--ISNUMBER(SEARCH(", "&amp;$B69&amp;", ",", "&amp;'Thông báo'!$B$7:$B$500&amp;", ")),--('Thông báo'!$AT$7:$AT$500&lt;&gt;""))+SUMPRODUCT(--ISNUMBER(SEARCH(", "&amp;$B69&amp;", ",", "&amp;'Đăng tin &amp; Quản lý tin'!$B$7:$B$500&amp;", ")),--('Đăng tin &amp; Quản lý tin'!$AT$7:$AT$500&lt;&gt;""))+SUMPRODUCT(--ISNUMBER(SEARCH(", "&amp;$B69&amp;", ",", "&amp;'Trust &amp; Safety'!$B$7:$B$500&amp;", ")),--('Trust &amp; Safety'!$AT$7:$AT$500&lt;&gt;""))+SUMPRODUCT(--ISNUMBER(SEARCH(", "&amp;$B69&amp;", ",", "&amp;'Tài khoản &amp; Hồ sơ'!$B$7:$B$500&amp;", ")),--('Tài khoản &amp; Hồ sơ'!$AT$7:$AT$500&lt;&gt;""))</f>
        <v/>
      </c>
      <c r="G69" s="53">
        <f>SUMPRODUCT(--ISNUMBER(SEARCH(", "&amp;$B69&amp;", ",", "&amp;'Hoạt động (Đơn của tôi)'!$B$7:$B$500&amp;", ")),--('Hoạt động (Đơn của tôi)'!$AT$7:$AT$500="Pass"))+SUMPRODUCT(--ISNUMBER(SEARCH(", "&amp;$B69&amp;", ",", "&amp;'Ghép nối'!$B$7:$B$500&amp;", ")),--('Ghép nối'!$AT$7:$AT$500="Pass"))+SUMPRODUCT(--ISNUMBER(SEARCH(", "&amp;$B69&amp;", ",", "&amp;'Huỷ đơn - Huỷ nhận đơn'!$B$7:$B$500&amp;", ")),--('Huỷ đơn - Huỷ nhận đơn'!$AT$7:$AT$500="Pass"))+SUMPRODUCT(--ISNUMBER(SEARCH(", "&amp;$B69&amp;", ",", "&amp;'Giao nhận &amp; Theo dõi đơn'!$B$7:$B$500&amp;", ")),--('Giao nhận &amp; Theo dõi đơn'!$AT$7:$AT$500="Pass"))+SUMPRODUCT(--ISNUMBER(SEARCH(", "&amp;$B69&amp;", ",", "&amp;'Bảng tin &amp; Chi tiết tin'!$B$7:$B$500&amp;", ")),--('Bảng tin &amp; Chi tiết tin'!$AT$7:$AT$500="Pass"))+SUMPRODUCT(--ISNUMBER(SEARCH(", "&amp;$B69&amp;", ",", "&amp;'Quà cảm ơn'!$B$7:$B$500&amp;", ")),--('Quà cảm ơn'!$AT$7:$AT$500="Pass"))+SUMPRODUCT(--ISNUMBER(SEARCH(", "&amp;$B69&amp;", ",", "&amp;'Trang chủ'!$B$7:$B$500&amp;", ")),--('Trang chủ'!$AT$7:$AT$500="Pass"))+SUMPRODUCT(--ISNUMBER(SEARCH(", "&amp;$B69&amp;", ",", "&amp;'Thông báo'!$B$7:$B$500&amp;", ")),--('Thông báo'!$AT$7:$AT$500="Pass"))+SUMPRODUCT(--ISNUMBER(SEARCH(", "&amp;$B69&amp;", ",", "&amp;'Đăng tin &amp; Quản lý tin'!$B$7:$B$500&amp;", ")),--('Đăng tin &amp; Quản lý tin'!$AT$7:$AT$500="Pass"))+SUMPRODUCT(--ISNUMBER(SEARCH(", "&amp;$B69&amp;", ",", "&amp;'Trust &amp; Safety'!$B$7:$B$500&amp;", ")),--('Trust &amp; Safety'!$AT$7:$AT$500="Pass"))+SUMPRODUCT(--ISNUMBER(SEARCH(", "&amp;$B69&amp;", ",", "&amp;'Tài khoản &amp; Hồ sơ'!$B$7:$B$500&amp;", ")),--('Tài khoản &amp; Hồ sơ'!$AT$7:$AT$500="Pass"))</f>
        <v/>
      </c>
      <c r="H69" s="53">
        <f>SUMPRODUCT(--ISNUMBER(SEARCH(", "&amp;$B69&amp;", ",", "&amp;'Hoạt động (Đơn của tôi)'!$B$7:$B$500&amp;", ")),--('Hoạt động (Đơn của tôi)'!$AT$7:$AT$500="Fail"))+SUMPRODUCT(--ISNUMBER(SEARCH(", "&amp;$B69&amp;", ",", "&amp;'Ghép nối'!$B$7:$B$500&amp;", ")),--('Ghép nối'!$AT$7:$AT$500="Fail"))+SUMPRODUCT(--ISNUMBER(SEARCH(", "&amp;$B69&amp;", ",", "&amp;'Huỷ đơn - Huỷ nhận đơn'!$B$7:$B$500&amp;", ")),--('Huỷ đơn - Huỷ nhận đơn'!$AT$7:$AT$500="Fail"))+SUMPRODUCT(--ISNUMBER(SEARCH(", "&amp;$B69&amp;", ",", "&amp;'Giao nhận &amp; Theo dõi đơn'!$B$7:$B$500&amp;", ")),--('Giao nhận &amp; Theo dõi đơn'!$AT$7:$AT$500="Fail"))+SUMPRODUCT(--ISNUMBER(SEARCH(", "&amp;$B69&amp;", ",", "&amp;'Bảng tin &amp; Chi tiết tin'!$B$7:$B$500&amp;", ")),--('Bảng tin &amp; Chi tiết tin'!$AT$7:$AT$500="Fail"))+SUMPRODUCT(--ISNUMBER(SEARCH(", "&amp;$B69&amp;", ",", "&amp;'Quà cảm ơn'!$B$7:$B$500&amp;", ")),--('Quà cảm ơn'!$AT$7:$AT$500="Fail"))+SUMPRODUCT(--ISNUMBER(SEARCH(", "&amp;$B69&amp;", ",", "&amp;'Trang chủ'!$B$7:$B$500&amp;", ")),--('Trang chủ'!$AT$7:$AT$500="Fail"))+SUMPRODUCT(--ISNUMBER(SEARCH(", "&amp;$B69&amp;", ",", "&amp;'Thông báo'!$B$7:$B$500&amp;", ")),--('Thông báo'!$AT$7:$AT$500="Fail"))+SUMPRODUCT(--ISNUMBER(SEARCH(", "&amp;$B69&amp;", ",", "&amp;'Đăng tin &amp; Quản lý tin'!$B$7:$B$500&amp;", ")),--('Đăng tin &amp; Quản lý tin'!$AT$7:$AT$500="Fail"))+SUMPRODUCT(--ISNUMBER(SEARCH(", "&amp;$B69&amp;", ",", "&amp;'Trust &amp; Safety'!$B$7:$B$500&amp;", ")),--('Trust &amp; Safety'!$AT$7:$AT$500="Fail"))+SUMPRODUCT(--ISNUMBER(SEARCH(", "&amp;$B69&amp;", ",", "&amp;'Tài khoản &amp; Hồ sơ'!$B$7:$B$500&amp;", ")),--('Tài khoản &amp; Hồ sơ'!$AT$7:$AT$500="Fail"))</f>
        <v/>
      </c>
      <c r="I69" s="53">
        <f>SUMPRODUCT(--ISNUMBER(SEARCH(", "&amp;$B69&amp;", ",", "&amp;'Hoạt động (Đơn của tôi)'!$B$7:$B$500&amp;", ")),--('Hoạt động (Đơn của tôi)'!$AT$7:$AT$500="Block"))+SUMPRODUCT(--ISNUMBER(SEARCH(", "&amp;$B69&amp;", ",", "&amp;'Ghép nối'!$B$7:$B$500&amp;", ")),--('Ghép nối'!$AT$7:$AT$500="Block"))+SUMPRODUCT(--ISNUMBER(SEARCH(", "&amp;$B69&amp;", ",", "&amp;'Huỷ đơn - Huỷ nhận đơn'!$B$7:$B$500&amp;", ")),--('Huỷ đơn - Huỷ nhận đơn'!$AT$7:$AT$500="Block"))+SUMPRODUCT(--ISNUMBER(SEARCH(", "&amp;$B69&amp;", ",", "&amp;'Giao nhận &amp; Theo dõi đơn'!$B$7:$B$500&amp;", ")),--('Giao nhận &amp; Theo dõi đơn'!$AT$7:$AT$500="Block"))+SUMPRODUCT(--ISNUMBER(SEARCH(", "&amp;$B69&amp;", ",", "&amp;'Bảng tin &amp; Chi tiết tin'!$B$7:$B$500&amp;", ")),--('Bảng tin &amp; Chi tiết tin'!$AT$7:$AT$500="Block"))+SUMPRODUCT(--ISNUMBER(SEARCH(", "&amp;$B69&amp;", ",", "&amp;'Quà cảm ơn'!$B$7:$B$500&amp;", ")),--('Quà cảm ơn'!$AT$7:$AT$500="Block"))+SUMPRODUCT(--ISNUMBER(SEARCH(", "&amp;$B69&amp;", ",", "&amp;'Trang chủ'!$B$7:$B$500&amp;", ")),--('Trang chủ'!$AT$7:$AT$500="Block"))+SUMPRODUCT(--ISNUMBER(SEARCH(", "&amp;$B69&amp;", ",", "&amp;'Thông báo'!$B$7:$B$500&amp;", ")),--('Thông báo'!$AT$7:$AT$500="Block"))+SUMPRODUCT(--ISNUMBER(SEARCH(", "&amp;$B69&amp;", ",", "&amp;'Đăng tin &amp; Quản lý tin'!$B$7:$B$500&amp;", ")),--('Đăng tin &amp; Quản lý tin'!$AT$7:$AT$500="Block"))+SUMPRODUCT(--ISNUMBER(SEARCH(", "&amp;$B69&amp;", ",", "&amp;'Trust &amp; Safety'!$B$7:$B$500&amp;", ")),--('Trust &amp; Safety'!$AT$7:$AT$500="Block"))+SUMPRODUCT(--ISNUMBER(SEARCH(", "&amp;$B69&amp;", ",", "&amp;'Tài khoản &amp; Hồ sơ'!$B$7:$B$500&amp;", ")),--('Tài khoản &amp; Hồ sơ'!$AT$7:$AT$500="Block"))</f>
        <v/>
      </c>
      <c r="J69" s="53">
        <f>SUMPRODUCT(--ISNUMBER(SEARCH(", "&amp;$B69&amp;", ",", "&amp;'Hoạt động (Đơn của tôi)'!$B$7:$B$500&amp;", ")),--('Hoạt động (Đơn của tôi)'!$AT$7:$AT$500="N/A"))+SUMPRODUCT(--ISNUMBER(SEARCH(", "&amp;$B69&amp;", ",", "&amp;'Ghép nối'!$B$7:$B$500&amp;", ")),--('Ghép nối'!$AT$7:$AT$500="N/A"))+SUMPRODUCT(--ISNUMBER(SEARCH(", "&amp;$B69&amp;", ",", "&amp;'Huỷ đơn - Huỷ nhận đơn'!$B$7:$B$500&amp;", ")),--('Huỷ đơn - Huỷ nhận đơn'!$AT$7:$AT$500="N/A"))+SUMPRODUCT(--ISNUMBER(SEARCH(", "&amp;$B69&amp;", ",", "&amp;'Giao nhận &amp; Theo dõi đơn'!$B$7:$B$500&amp;", ")),--('Giao nhận &amp; Theo dõi đơn'!$AT$7:$AT$500="N/A"))+SUMPRODUCT(--ISNUMBER(SEARCH(", "&amp;$B69&amp;", ",", "&amp;'Bảng tin &amp; Chi tiết tin'!$B$7:$B$500&amp;", ")),--('Bảng tin &amp; Chi tiết tin'!$AT$7:$AT$500="N/A"))+SUMPRODUCT(--ISNUMBER(SEARCH(", "&amp;$B69&amp;", ",", "&amp;'Quà cảm ơn'!$B$7:$B$500&amp;", ")),--('Quà cảm ơn'!$AT$7:$AT$500="N/A"))+SUMPRODUCT(--ISNUMBER(SEARCH(", "&amp;$B69&amp;", ",", "&amp;'Trang chủ'!$B$7:$B$500&amp;", ")),--('Trang chủ'!$AT$7:$AT$500="N/A"))+SUMPRODUCT(--ISNUMBER(SEARCH(", "&amp;$B69&amp;", ",", "&amp;'Thông báo'!$B$7:$B$500&amp;", ")),--('Thông báo'!$AT$7:$AT$500="N/A"))+SUMPRODUCT(--ISNUMBER(SEARCH(", "&amp;$B69&amp;", ",", "&amp;'Đăng tin &amp; Quản lý tin'!$B$7:$B$500&amp;", ")),--('Đăng tin &amp; Quản lý tin'!$AT$7:$AT$500="N/A"))+SUMPRODUCT(--ISNUMBER(SEARCH(", "&amp;$B69&amp;", ",", "&amp;'Trust &amp; Safety'!$B$7:$B$500&amp;", ")),--('Trust &amp; Safety'!$AT$7:$AT$500="N/A"))+SUMPRODUCT(--ISNUMBER(SEARCH(", "&amp;$B69&amp;", ",", "&amp;'Tài khoản &amp; Hồ sơ'!$B$7:$B$500&amp;", ")),--('Tài khoản &amp; Hồ sơ'!$AT$7:$AT$500="N/A"))</f>
        <v/>
      </c>
      <c r="K69" s="54">
        <f>IFERROR(F69/E69,0)</f>
        <v/>
      </c>
      <c r="L69" s="113">
        <f>IF(E69=0,"Chưa có TC (gap)",IF(H69&gt;0,"Có lỗi (Fail)",IF(I69&gt;0,"Bị block",IF(F69&lt;E69,"Đang test",IF(G69=0,"Không áp dụng (N/A)","Đã test xong")))))</f>
        <v/>
      </c>
      <c r="AB69" t="inlineStr">
        <is>
          <t>REQ-GIFT</t>
        </is>
      </c>
    </row>
    <row r="70" ht="15.75" customHeight="1" s="216">
      <c r="A70" s="1" t="n"/>
      <c r="B70" s="112" t="inlineStr">
        <is>
          <t>REQ-GIFT-005</t>
        </is>
      </c>
      <c r="C70" s="261" t="inlineStr">
        <is>
          <t>Nguồn (v1.0) — `DOC-v1.0-01 §D3 RAT-01/02 · L256` ⇒ `C-GIFT-01` Resolved: *"Out of scope **v1.0**; v1.0 chỉ có Quà ảo"*.</t>
        </is>
      </c>
      <c r="D70" s="113" t="inlineStr">
        <is>
          <t>DOC-v1.1-01 §8.14.1 BR14-03 · trang 49</t>
        </is>
      </c>
      <c r="E70" s="53">
        <f>SUMPRODUCT(--ISNUMBER(SEARCH(", "&amp;$B70&amp;", ",", "&amp;'Hoạt động (Đơn của tôi)'!$B$7:$B$500&amp;", ")))+SUMPRODUCT(--ISNUMBER(SEARCH(", "&amp;$B70&amp;", ",", "&amp;'Ghép nối'!$B$7:$B$500&amp;", ")))+SUMPRODUCT(--ISNUMBER(SEARCH(", "&amp;$B70&amp;", ",", "&amp;'Huỷ đơn - Huỷ nhận đơn'!$B$7:$B$500&amp;", ")))+SUMPRODUCT(--ISNUMBER(SEARCH(", "&amp;$B70&amp;", ",", "&amp;'Giao nhận &amp; Theo dõi đơn'!$B$7:$B$500&amp;", ")))+SUMPRODUCT(--ISNUMBER(SEARCH(", "&amp;$B70&amp;", ",", "&amp;'Bảng tin &amp; Chi tiết tin'!$B$7:$B$500&amp;", ")))+SUMPRODUCT(--ISNUMBER(SEARCH(", "&amp;$B70&amp;", ",", "&amp;'Quà cảm ơn'!$B$7:$B$500&amp;", ")))+SUMPRODUCT(--ISNUMBER(SEARCH(", "&amp;$B70&amp;", ",", "&amp;'Trang chủ'!$B$7:$B$500&amp;", ")))+SUMPRODUCT(--ISNUMBER(SEARCH(", "&amp;$B70&amp;", ",", "&amp;'Thông báo'!$B$7:$B$500&amp;", ")))+SUMPRODUCT(--ISNUMBER(SEARCH(", "&amp;$B70&amp;", ",", "&amp;'Đăng tin &amp; Quản lý tin'!$B$7:$B$500&amp;", ")))+SUMPRODUCT(--ISNUMBER(SEARCH(", "&amp;$B70&amp;", ",", "&amp;'Trust &amp; Safety'!$B$7:$B$500&amp;", ")))+SUMPRODUCT(--ISNUMBER(SEARCH(", "&amp;$B70&amp;", ",", "&amp;'Tài khoản &amp; Hồ sơ'!$B$7:$B$500&amp;", ")))</f>
        <v/>
      </c>
      <c r="F70" s="53">
        <f>SUMPRODUCT(--ISNUMBER(SEARCH(", "&amp;$B70&amp;", ",", "&amp;'Hoạt động (Đơn của tôi)'!$B$7:$B$500&amp;", ")),--('Hoạt động (Đơn của tôi)'!$AT$7:$AT$500&lt;&gt;""))+SUMPRODUCT(--ISNUMBER(SEARCH(", "&amp;$B70&amp;", ",", "&amp;'Ghép nối'!$B$7:$B$500&amp;", ")),--('Ghép nối'!$AT$7:$AT$500&lt;&gt;""))+SUMPRODUCT(--ISNUMBER(SEARCH(", "&amp;$B70&amp;", ",", "&amp;'Huỷ đơn - Huỷ nhận đơn'!$B$7:$B$500&amp;", ")),--('Huỷ đơn - Huỷ nhận đơn'!$AT$7:$AT$500&lt;&gt;""))+SUMPRODUCT(--ISNUMBER(SEARCH(", "&amp;$B70&amp;", ",", "&amp;'Giao nhận &amp; Theo dõi đơn'!$B$7:$B$500&amp;", ")),--('Giao nhận &amp; Theo dõi đơn'!$AT$7:$AT$500&lt;&gt;""))+SUMPRODUCT(--ISNUMBER(SEARCH(", "&amp;$B70&amp;", ",", "&amp;'Bảng tin &amp; Chi tiết tin'!$B$7:$B$500&amp;", ")),--('Bảng tin &amp; Chi tiết tin'!$AT$7:$AT$500&lt;&gt;""))+SUMPRODUCT(--ISNUMBER(SEARCH(", "&amp;$B70&amp;", ",", "&amp;'Quà cảm ơn'!$B$7:$B$500&amp;", ")),--('Quà cảm ơn'!$AT$7:$AT$500&lt;&gt;""))+SUMPRODUCT(--ISNUMBER(SEARCH(", "&amp;$B70&amp;", ",", "&amp;'Trang chủ'!$B$7:$B$500&amp;", ")),--('Trang chủ'!$AT$7:$AT$500&lt;&gt;""))+SUMPRODUCT(--ISNUMBER(SEARCH(", "&amp;$B70&amp;", ",", "&amp;'Thông báo'!$B$7:$B$500&amp;", ")),--('Thông báo'!$AT$7:$AT$500&lt;&gt;""))+SUMPRODUCT(--ISNUMBER(SEARCH(", "&amp;$B70&amp;", ",", "&amp;'Đăng tin &amp; Quản lý tin'!$B$7:$B$500&amp;", ")),--('Đăng tin &amp; Quản lý tin'!$AT$7:$AT$500&lt;&gt;""))+SUMPRODUCT(--ISNUMBER(SEARCH(", "&amp;$B70&amp;", ",", "&amp;'Trust &amp; Safety'!$B$7:$B$500&amp;", ")),--('Trust &amp; Safety'!$AT$7:$AT$500&lt;&gt;""))+SUMPRODUCT(--ISNUMBER(SEARCH(", "&amp;$B70&amp;", ",", "&amp;'Tài khoản &amp; Hồ sơ'!$B$7:$B$500&amp;", ")),--('Tài khoản &amp; Hồ sơ'!$AT$7:$AT$500&lt;&gt;""))</f>
        <v/>
      </c>
      <c r="G70" s="53">
        <f>SUMPRODUCT(--ISNUMBER(SEARCH(", "&amp;$B70&amp;", ",", "&amp;'Hoạt động (Đơn của tôi)'!$B$7:$B$500&amp;", ")),--('Hoạt động (Đơn của tôi)'!$AT$7:$AT$500="Pass"))+SUMPRODUCT(--ISNUMBER(SEARCH(", "&amp;$B70&amp;", ",", "&amp;'Ghép nối'!$B$7:$B$500&amp;", ")),--('Ghép nối'!$AT$7:$AT$500="Pass"))+SUMPRODUCT(--ISNUMBER(SEARCH(", "&amp;$B70&amp;", ",", "&amp;'Huỷ đơn - Huỷ nhận đơn'!$B$7:$B$500&amp;", ")),--('Huỷ đơn - Huỷ nhận đơn'!$AT$7:$AT$500="Pass"))+SUMPRODUCT(--ISNUMBER(SEARCH(", "&amp;$B70&amp;", ",", "&amp;'Giao nhận &amp; Theo dõi đơn'!$B$7:$B$500&amp;", ")),--('Giao nhận &amp; Theo dõi đơn'!$AT$7:$AT$500="Pass"))+SUMPRODUCT(--ISNUMBER(SEARCH(", "&amp;$B70&amp;", ",", "&amp;'Bảng tin &amp; Chi tiết tin'!$B$7:$B$500&amp;", ")),--('Bảng tin &amp; Chi tiết tin'!$AT$7:$AT$500="Pass"))+SUMPRODUCT(--ISNUMBER(SEARCH(", "&amp;$B70&amp;", ",", "&amp;'Quà cảm ơn'!$B$7:$B$500&amp;", ")),--('Quà cảm ơn'!$AT$7:$AT$500="Pass"))+SUMPRODUCT(--ISNUMBER(SEARCH(", "&amp;$B70&amp;", ",", "&amp;'Trang chủ'!$B$7:$B$500&amp;", ")),--('Trang chủ'!$AT$7:$AT$500="Pass"))+SUMPRODUCT(--ISNUMBER(SEARCH(", "&amp;$B70&amp;", ",", "&amp;'Thông báo'!$B$7:$B$500&amp;", ")),--('Thông báo'!$AT$7:$AT$500="Pass"))+SUMPRODUCT(--ISNUMBER(SEARCH(", "&amp;$B70&amp;", ",", "&amp;'Đăng tin &amp; Quản lý tin'!$B$7:$B$500&amp;", ")),--('Đăng tin &amp; Quản lý tin'!$AT$7:$AT$500="Pass"))+SUMPRODUCT(--ISNUMBER(SEARCH(", "&amp;$B70&amp;", ",", "&amp;'Trust &amp; Safety'!$B$7:$B$500&amp;", ")),--('Trust &amp; Safety'!$AT$7:$AT$500="Pass"))+SUMPRODUCT(--ISNUMBER(SEARCH(", "&amp;$B70&amp;", ",", "&amp;'Tài khoản &amp; Hồ sơ'!$B$7:$B$500&amp;", ")),--('Tài khoản &amp; Hồ sơ'!$AT$7:$AT$500="Pass"))</f>
        <v/>
      </c>
      <c r="H70" s="53">
        <f>SUMPRODUCT(--ISNUMBER(SEARCH(", "&amp;$B70&amp;", ",", "&amp;'Hoạt động (Đơn của tôi)'!$B$7:$B$500&amp;", ")),--('Hoạt động (Đơn của tôi)'!$AT$7:$AT$500="Fail"))+SUMPRODUCT(--ISNUMBER(SEARCH(", "&amp;$B70&amp;", ",", "&amp;'Ghép nối'!$B$7:$B$500&amp;", ")),--('Ghép nối'!$AT$7:$AT$500="Fail"))+SUMPRODUCT(--ISNUMBER(SEARCH(", "&amp;$B70&amp;", ",", "&amp;'Huỷ đơn - Huỷ nhận đơn'!$B$7:$B$500&amp;", ")),--('Huỷ đơn - Huỷ nhận đơn'!$AT$7:$AT$500="Fail"))+SUMPRODUCT(--ISNUMBER(SEARCH(", "&amp;$B70&amp;", ",", "&amp;'Giao nhận &amp; Theo dõi đơn'!$B$7:$B$500&amp;", ")),--('Giao nhận &amp; Theo dõi đơn'!$AT$7:$AT$500="Fail"))+SUMPRODUCT(--ISNUMBER(SEARCH(", "&amp;$B70&amp;", ",", "&amp;'Bảng tin &amp; Chi tiết tin'!$B$7:$B$500&amp;", ")),--('Bảng tin &amp; Chi tiết tin'!$AT$7:$AT$500="Fail"))+SUMPRODUCT(--ISNUMBER(SEARCH(", "&amp;$B70&amp;", ",", "&amp;'Quà cảm ơn'!$B$7:$B$500&amp;", ")),--('Quà cảm ơn'!$AT$7:$AT$500="Fail"))+SUMPRODUCT(--ISNUMBER(SEARCH(", "&amp;$B70&amp;", ",", "&amp;'Trang chủ'!$B$7:$B$500&amp;", ")),--('Trang chủ'!$AT$7:$AT$500="Fail"))+SUMPRODUCT(--ISNUMBER(SEARCH(", "&amp;$B70&amp;", ",", "&amp;'Thông báo'!$B$7:$B$500&amp;", ")),--('Thông báo'!$AT$7:$AT$500="Fail"))+SUMPRODUCT(--ISNUMBER(SEARCH(", "&amp;$B70&amp;", ",", "&amp;'Đăng tin &amp; Quản lý tin'!$B$7:$B$500&amp;", ")),--('Đăng tin &amp; Quản lý tin'!$AT$7:$AT$500="Fail"))+SUMPRODUCT(--ISNUMBER(SEARCH(", "&amp;$B70&amp;", ",", "&amp;'Trust &amp; Safety'!$B$7:$B$500&amp;", ")),--('Trust &amp; Safety'!$AT$7:$AT$500="Fail"))+SUMPRODUCT(--ISNUMBER(SEARCH(", "&amp;$B70&amp;", ",", "&amp;'Tài khoản &amp; Hồ sơ'!$B$7:$B$500&amp;", ")),--('Tài khoản &amp; Hồ sơ'!$AT$7:$AT$500="Fail"))</f>
        <v/>
      </c>
      <c r="I70" s="53">
        <f>SUMPRODUCT(--ISNUMBER(SEARCH(", "&amp;$B70&amp;", ",", "&amp;'Hoạt động (Đơn của tôi)'!$B$7:$B$500&amp;", ")),--('Hoạt động (Đơn của tôi)'!$AT$7:$AT$500="Block"))+SUMPRODUCT(--ISNUMBER(SEARCH(", "&amp;$B70&amp;", ",", "&amp;'Ghép nối'!$B$7:$B$500&amp;", ")),--('Ghép nối'!$AT$7:$AT$500="Block"))+SUMPRODUCT(--ISNUMBER(SEARCH(", "&amp;$B70&amp;", ",", "&amp;'Huỷ đơn - Huỷ nhận đơn'!$B$7:$B$500&amp;", ")),--('Huỷ đơn - Huỷ nhận đơn'!$AT$7:$AT$500="Block"))+SUMPRODUCT(--ISNUMBER(SEARCH(", "&amp;$B70&amp;", ",", "&amp;'Giao nhận &amp; Theo dõi đơn'!$B$7:$B$500&amp;", ")),--('Giao nhận &amp; Theo dõi đơn'!$AT$7:$AT$500="Block"))+SUMPRODUCT(--ISNUMBER(SEARCH(", "&amp;$B70&amp;", ",", "&amp;'Bảng tin &amp; Chi tiết tin'!$B$7:$B$500&amp;", ")),--('Bảng tin &amp; Chi tiết tin'!$AT$7:$AT$500="Block"))+SUMPRODUCT(--ISNUMBER(SEARCH(", "&amp;$B70&amp;", ",", "&amp;'Quà cảm ơn'!$B$7:$B$500&amp;", ")),--('Quà cảm ơn'!$AT$7:$AT$500="Block"))+SUMPRODUCT(--ISNUMBER(SEARCH(", "&amp;$B70&amp;", ",", "&amp;'Trang chủ'!$B$7:$B$500&amp;", ")),--('Trang chủ'!$AT$7:$AT$500="Block"))+SUMPRODUCT(--ISNUMBER(SEARCH(", "&amp;$B70&amp;", ",", "&amp;'Thông báo'!$B$7:$B$500&amp;", ")),--('Thông báo'!$AT$7:$AT$500="Block"))+SUMPRODUCT(--ISNUMBER(SEARCH(", "&amp;$B70&amp;", ",", "&amp;'Đăng tin &amp; Quản lý tin'!$B$7:$B$500&amp;", ")),--('Đăng tin &amp; Quản lý tin'!$AT$7:$AT$500="Block"))+SUMPRODUCT(--ISNUMBER(SEARCH(", "&amp;$B70&amp;", ",", "&amp;'Trust &amp; Safety'!$B$7:$B$500&amp;", ")),--('Trust &amp; Safety'!$AT$7:$AT$500="Block"))+SUMPRODUCT(--ISNUMBER(SEARCH(", "&amp;$B70&amp;", ",", "&amp;'Tài khoản &amp; Hồ sơ'!$B$7:$B$500&amp;", ")),--('Tài khoản &amp; Hồ sơ'!$AT$7:$AT$500="Block"))</f>
        <v/>
      </c>
      <c r="J70" s="53">
        <f>SUMPRODUCT(--ISNUMBER(SEARCH(", "&amp;$B70&amp;", ",", "&amp;'Hoạt động (Đơn của tôi)'!$B$7:$B$500&amp;", ")),--('Hoạt động (Đơn của tôi)'!$AT$7:$AT$500="N/A"))+SUMPRODUCT(--ISNUMBER(SEARCH(", "&amp;$B70&amp;", ",", "&amp;'Ghép nối'!$B$7:$B$500&amp;", ")),--('Ghép nối'!$AT$7:$AT$500="N/A"))+SUMPRODUCT(--ISNUMBER(SEARCH(", "&amp;$B70&amp;", ",", "&amp;'Huỷ đơn - Huỷ nhận đơn'!$B$7:$B$500&amp;", ")),--('Huỷ đơn - Huỷ nhận đơn'!$AT$7:$AT$500="N/A"))+SUMPRODUCT(--ISNUMBER(SEARCH(", "&amp;$B70&amp;", ",", "&amp;'Giao nhận &amp; Theo dõi đơn'!$B$7:$B$500&amp;", ")),--('Giao nhận &amp; Theo dõi đơn'!$AT$7:$AT$500="N/A"))+SUMPRODUCT(--ISNUMBER(SEARCH(", "&amp;$B70&amp;", ",", "&amp;'Bảng tin &amp; Chi tiết tin'!$B$7:$B$500&amp;", ")),--('Bảng tin &amp; Chi tiết tin'!$AT$7:$AT$500="N/A"))+SUMPRODUCT(--ISNUMBER(SEARCH(", "&amp;$B70&amp;", ",", "&amp;'Quà cảm ơn'!$B$7:$B$500&amp;", ")),--('Quà cảm ơn'!$AT$7:$AT$500="N/A"))+SUMPRODUCT(--ISNUMBER(SEARCH(", "&amp;$B70&amp;", ",", "&amp;'Trang chủ'!$B$7:$B$500&amp;", ")),--('Trang chủ'!$AT$7:$AT$500="N/A"))+SUMPRODUCT(--ISNUMBER(SEARCH(", "&amp;$B70&amp;", ",", "&amp;'Thông báo'!$B$7:$B$500&amp;", ")),--('Thông báo'!$AT$7:$AT$500="N/A"))+SUMPRODUCT(--ISNUMBER(SEARCH(", "&amp;$B70&amp;", ",", "&amp;'Đăng tin &amp; Quản lý tin'!$B$7:$B$500&amp;", ")),--('Đăng tin &amp; Quản lý tin'!$AT$7:$AT$500="N/A"))+SUMPRODUCT(--ISNUMBER(SEARCH(", "&amp;$B70&amp;", ",", "&amp;'Trust &amp; Safety'!$B$7:$B$500&amp;", ")),--('Trust &amp; Safety'!$AT$7:$AT$500="N/A"))+SUMPRODUCT(--ISNUMBER(SEARCH(", "&amp;$B70&amp;", ",", "&amp;'Tài khoản &amp; Hồ sơ'!$B$7:$B$500&amp;", ")),--('Tài khoản &amp; Hồ sơ'!$AT$7:$AT$500="N/A"))</f>
        <v/>
      </c>
      <c r="K70" s="54">
        <f>IFERROR(F70/E70,0)</f>
        <v/>
      </c>
      <c r="L70" s="113">
        <f>IF(E70=0,"Chưa có TC (gap)",IF(H70&gt;0,"Có lỗi (Fail)",IF(I70&gt;0,"Bị block",IF(F70&lt;E70,"Đang test",IF(G70=0,"Không áp dụng (N/A)","Đã test xong")))))</f>
        <v/>
      </c>
      <c r="AB70" t="inlineStr">
        <is>
          <t>REQ-GIFT</t>
        </is>
      </c>
    </row>
    <row r="71" ht="15.75" customHeight="1" s="216">
      <c r="A71" s="1" t="n"/>
      <c r="B71" s="112" t="inlineStr">
        <is>
          <t>REQ-GIFT-009</t>
        </is>
      </c>
      <c r="C71" s="261" t="inlineStr">
        <is>
          <t>Nguồn #1 — FR14 Pre-Conditions (§8.14): "Đơn ở COMPLETED (đơn RETURNED không mở bước này)</t>
        </is>
      </c>
      <c r="D71" s="113" t="inlineStr">
        <is>
          <t>DOC-v1.1-01 §8.14 dòng Pre-Conditions · trang 48-49</t>
        </is>
      </c>
      <c r="E71" s="53">
        <f>SUMPRODUCT(--ISNUMBER(SEARCH(", "&amp;$B71&amp;", ",", "&amp;'Hoạt động (Đơn của tôi)'!$B$7:$B$500&amp;", ")))+SUMPRODUCT(--ISNUMBER(SEARCH(", "&amp;$B71&amp;", ",", "&amp;'Ghép nối'!$B$7:$B$500&amp;", ")))+SUMPRODUCT(--ISNUMBER(SEARCH(", "&amp;$B71&amp;", ",", "&amp;'Huỷ đơn - Huỷ nhận đơn'!$B$7:$B$500&amp;", ")))+SUMPRODUCT(--ISNUMBER(SEARCH(", "&amp;$B71&amp;", ",", "&amp;'Giao nhận &amp; Theo dõi đơn'!$B$7:$B$500&amp;", ")))+SUMPRODUCT(--ISNUMBER(SEARCH(", "&amp;$B71&amp;", ",", "&amp;'Bảng tin &amp; Chi tiết tin'!$B$7:$B$500&amp;", ")))+SUMPRODUCT(--ISNUMBER(SEARCH(", "&amp;$B71&amp;", ",", "&amp;'Quà cảm ơn'!$B$7:$B$500&amp;", ")))+SUMPRODUCT(--ISNUMBER(SEARCH(", "&amp;$B71&amp;", ",", "&amp;'Trang chủ'!$B$7:$B$500&amp;", ")))+SUMPRODUCT(--ISNUMBER(SEARCH(", "&amp;$B71&amp;", ",", "&amp;'Thông báo'!$B$7:$B$500&amp;", ")))+SUMPRODUCT(--ISNUMBER(SEARCH(", "&amp;$B71&amp;", ",", "&amp;'Đăng tin &amp; Quản lý tin'!$B$7:$B$500&amp;", ")))+SUMPRODUCT(--ISNUMBER(SEARCH(", "&amp;$B71&amp;", ",", "&amp;'Trust &amp; Safety'!$B$7:$B$500&amp;", ")))+SUMPRODUCT(--ISNUMBER(SEARCH(", "&amp;$B71&amp;", ",", "&amp;'Tài khoản &amp; Hồ sơ'!$B$7:$B$500&amp;", ")))</f>
        <v/>
      </c>
      <c r="F71" s="53">
        <f>SUMPRODUCT(--ISNUMBER(SEARCH(", "&amp;$B71&amp;", ",", "&amp;'Hoạt động (Đơn của tôi)'!$B$7:$B$500&amp;", ")),--('Hoạt động (Đơn của tôi)'!$AT$7:$AT$500&lt;&gt;""))+SUMPRODUCT(--ISNUMBER(SEARCH(", "&amp;$B71&amp;", ",", "&amp;'Ghép nối'!$B$7:$B$500&amp;", ")),--('Ghép nối'!$AT$7:$AT$500&lt;&gt;""))+SUMPRODUCT(--ISNUMBER(SEARCH(", "&amp;$B71&amp;", ",", "&amp;'Huỷ đơn - Huỷ nhận đơn'!$B$7:$B$500&amp;", ")),--('Huỷ đơn - Huỷ nhận đơn'!$AT$7:$AT$500&lt;&gt;""))+SUMPRODUCT(--ISNUMBER(SEARCH(", "&amp;$B71&amp;", ",", "&amp;'Giao nhận &amp; Theo dõi đơn'!$B$7:$B$500&amp;", ")),--('Giao nhận &amp; Theo dõi đơn'!$AT$7:$AT$500&lt;&gt;""))+SUMPRODUCT(--ISNUMBER(SEARCH(", "&amp;$B71&amp;", ",", "&amp;'Bảng tin &amp; Chi tiết tin'!$B$7:$B$500&amp;", ")),--('Bảng tin &amp; Chi tiết tin'!$AT$7:$AT$500&lt;&gt;""))+SUMPRODUCT(--ISNUMBER(SEARCH(", "&amp;$B71&amp;", ",", "&amp;'Quà cảm ơn'!$B$7:$B$500&amp;", ")),--('Quà cảm ơn'!$AT$7:$AT$500&lt;&gt;""))+SUMPRODUCT(--ISNUMBER(SEARCH(", "&amp;$B71&amp;", ",", "&amp;'Trang chủ'!$B$7:$B$500&amp;", ")),--('Trang chủ'!$AT$7:$AT$500&lt;&gt;""))+SUMPRODUCT(--ISNUMBER(SEARCH(", "&amp;$B71&amp;", ",", "&amp;'Thông báo'!$B$7:$B$500&amp;", ")),--('Thông báo'!$AT$7:$AT$500&lt;&gt;""))+SUMPRODUCT(--ISNUMBER(SEARCH(", "&amp;$B71&amp;", ",", "&amp;'Đăng tin &amp; Quản lý tin'!$B$7:$B$500&amp;", ")),--('Đăng tin &amp; Quản lý tin'!$AT$7:$AT$500&lt;&gt;""))+SUMPRODUCT(--ISNUMBER(SEARCH(", "&amp;$B71&amp;", ",", "&amp;'Trust &amp; Safety'!$B$7:$B$500&amp;", ")),--('Trust &amp; Safety'!$AT$7:$AT$500&lt;&gt;""))+SUMPRODUCT(--ISNUMBER(SEARCH(", "&amp;$B71&amp;", ",", "&amp;'Tài khoản &amp; Hồ sơ'!$B$7:$B$500&amp;", ")),--('Tài khoản &amp; Hồ sơ'!$AT$7:$AT$500&lt;&gt;""))</f>
        <v/>
      </c>
      <c r="G71" s="53">
        <f>SUMPRODUCT(--ISNUMBER(SEARCH(", "&amp;$B71&amp;", ",", "&amp;'Hoạt động (Đơn của tôi)'!$B$7:$B$500&amp;", ")),--('Hoạt động (Đơn của tôi)'!$AT$7:$AT$500="Pass"))+SUMPRODUCT(--ISNUMBER(SEARCH(", "&amp;$B71&amp;", ",", "&amp;'Ghép nối'!$B$7:$B$500&amp;", ")),--('Ghép nối'!$AT$7:$AT$500="Pass"))+SUMPRODUCT(--ISNUMBER(SEARCH(", "&amp;$B71&amp;", ",", "&amp;'Huỷ đơn - Huỷ nhận đơn'!$B$7:$B$500&amp;", ")),--('Huỷ đơn - Huỷ nhận đơn'!$AT$7:$AT$500="Pass"))+SUMPRODUCT(--ISNUMBER(SEARCH(", "&amp;$B71&amp;", ",", "&amp;'Giao nhận &amp; Theo dõi đơn'!$B$7:$B$500&amp;", ")),--('Giao nhận &amp; Theo dõi đơn'!$AT$7:$AT$500="Pass"))+SUMPRODUCT(--ISNUMBER(SEARCH(", "&amp;$B71&amp;", ",", "&amp;'Bảng tin &amp; Chi tiết tin'!$B$7:$B$500&amp;", ")),--('Bảng tin &amp; Chi tiết tin'!$AT$7:$AT$500="Pass"))+SUMPRODUCT(--ISNUMBER(SEARCH(", "&amp;$B71&amp;", ",", "&amp;'Quà cảm ơn'!$B$7:$B$500&amp;", ")),--('Quà cảm ơn'!$AT$7:$AT$500="Pass"))+SUMPRODUCT(--ISNUMBER(SEARCH(", "&amp;$B71&amp;", ",", "&amp;'Trang chủ'!$B$7:$B$500&amp;", ")),--('Trang chủ'!$AT$7:$AT$500="Pass"))+SUMPRODUCT(--ISNUMBER(SEARCH(", "&amp;$B71&amp;", ",", "&amp;'Thông báo'!$B$7:$B$500&amp;", ")),--('Thông báo'!$AT$7:$AT$500="Pass"))+SUMPRODUCT(--ISNUMBER(SEARCH(", "&amp;$B71&amp;", ",", "&amp;'Đăng tin &amp; Quản lý tin'!$B$7:$B$500&amp;", ")),--('Đăng tin &amp; Quản lý tin'!$AT$7:$AT$500="Pass"))+SUMPRODUCT(--ISNUMBER(SEARCH(", "&amp;$B71&amp;", ",", "&amp;'Trust &amp; Safety'!$B$7:$B$500&amp;", ")),--('Trust &amp; Safety'!$AT$7:$AT$500="Pass"))+SUMPRODUCT(--ISNUMBER(SEARCH(", "&amp;$B71&amp;", ",", "&amp;'Tài khoản &amp; Hồ sơ'!$B$7:$B$500&amp;", ")),--('Tài khoản &amp; Hồ sơ'!$AT$7:$AT$500="Pass"))</f>
        <v/>
      </c>
      <c r="H71" s="53">
        <f>SUMPRODUCT(--ISNUMBER(SEARCH(", "&amp;$B71&amp;", ",", "&amp;'Hoạt động (Đơn của tôi)'!$B$7:$B$500&amp;", ")),--('Hoạt động (Đơn của tôi)'!$AT$7:$AT$500="Fail"))+SUMPRODUCT(--ISNUMBER(SEARCH(", "&amp;$B71&amp;", ",", "&amp;'Ghép nối'!$B$7:$B$500&amp;", ")),--('Ghép nối'!$AT$7:$AT$500="Fail"))+SUMPRODUCT(--ISNUMBER(SEARCH(", "&amp;$B71&amp;", ",", "&amp;'Huỷ đơn - Huỷ nhận đơn'!$B$7:$B$500&amp;", ")),--('Huỷ đơn - Huỷ nhận đơn'!$AT$7:$AT$500="Fail"))+SUMPRODUCT(--ISNUMBER(SEARCH(", "&amp;$B71&amp;", ",", "&amp;'Giao nhận &amp; Theo dõi đơn'!$B$7:$B$500&amp;", ")),--('Giao nhận &amp; Theo dõi đơn'!$AT$7:$AT$500="Fail"))+SUMPRODUCT(--ISNUMBER(SEARCH(", "&amp;$B71&amp;", ",", "&amp;'Bảng tin &amp; Chi tiết tin'!$B$7:$B$500&amp;", ")),--('Bảng tin &amp; Chi tiết tin'!$AT$7:$AT$500="Fail"))+SUMPRODUCT(--ISNUMBER(SEARCH(", "&amp;$B71&amp;", ",", "&amp;'Quà cảm ơn'!$B$7:$B$500&amp;", ")),--('Quà cảm ơn'!$AT$7:$AT$500="Fail"))+SUMPRODUCT(--ISNUMBER(SEARCH(", "&amp;$B71&amp;", ",", "&amp;'Trang chủ'!$B$7:$B$500&amp;", ")),--('Trang chủ'!$AT$7:$AT$500="Fail"))+SUMPRODUCT(--ISNUMBER(SEARCH(", "&amp;$B71&amp;", ",", "&amp;'Thông báo'!$B$7:$B$500&amp;", ")),--('Thông báo'!$AT$7:$AT$500="Fail"))+SUMPRODUCT(--ISNUMBER(SEARCH(", "&amp;$B71&amp;", ",", "&amp;'Đăng tin &amp; Quản lý tin'!$B$7:$B$500&amp;", ")),--('Đăng tin &amp; Quản lý tin'!$AT$7:$AT$500="Fail"))+SUMPRODUCT(--ISNUMBER(SEARCH(", "&amp;$B71&amp;", ",", "&amp;'Trust &amp; Safety'!$B$7:$B$500&amp;", ")),--('Trust &amp; Safety'!$AT$7:$AT$500="Fail"))+SUMPRODUCT(--ISNUMBER(SEARCH(", "&amp;$B71&amp;", ",", "&amp;'Tài khoản &amp; Hồ sơ'!$B$7:$B$500&amp;", ")),--('Tài khoản &amp; Hồ sơ'!$AT$7:$AT$500="Fail"))</f>
        <v/>
      </c>
      <c r="I71" s="53">
        <f>SUMPRODUCT(--ISNUMBER(SEARCH(", "&amp;$B71&amp;", ",", "&amp;'Hoạt động (Đơn của tôi)'!$B$7:$B$500&amp;", ")),--('Hoạt động (Đơn của tôi)'!$AT$7:$AT$500="Block"))+SUMPRODUCT(--ISNUMBER(SEARCH(", "&amp;$B71&amp;", ",", "&amp;'Ghép nối'!$B$7:$B$500&amp;", ")),--('Ghép nối'!$AT$7:$AT$500="Block"))+SUMPRODUCT(--ISNUMBER(SEARCH(", "&amp;$B71&amp;", ",", "&amp;'Huỷ đơn - Huỷ nhận đơn'!$B$7:$B$500&amp;", ")),--('Huỷ đơn - Huỷ nhận đơn'!$AT$7:$AT$500="Block"))+SUMPRODUCT(--ISNUMBER(SEARCH(", "&amp;$B71&amp;", ",", "&amp;'Giao nhận &amp; Theo dõi đơn'!$B$7:$B$500&amp;", ")),--('Giao nhận &amp; Theo dõi đơn'!$AT$7:$AT$500="Block"))+SUMPRODUCT(--ISNUMBER(SEARCH(", "&amp;$B71&amp;", ",", "&amp;'Bảng tin &amp; Chi tiết tin'!$B$7:$B$500&amp;", ")),--('Bảng tin &amp; Chi tiết tin'!$AT$7:$AT$500="Block"))+SUMPRODUCT(--ISNUMBER(SEARCH(", "&amp;$B71&amp;", ",", "&amp;'Quà cảm ơn'!$B$7:$B$500&amp;", ")),--('Quà cảm ơn'!$AT$7:$AT$500="Block"))+SUMPRODUCT(--ISNUMBER(SEARCH(", "&amp;$B71&amp;", ",", "&amp;'Trang chủ'!$B$7:$B$500&amp;", ")),--('Trang chủ'!$AT$7:$AT$500="Block"))+SUMPRODUCT(--ISNUMBER(SEARCH(", "&amp;$B71&amp;", ",", "&amp;'Thông báo'!$B$7:$B$500&amp;", ")),--('Thông báo'!$AT$7:$AT$500="Block"))+SUMPRODUCT(--ISNUMBER(SEARCH(", "&amp;$B71&amp;", ",", "&amp;'Đăng tin &amp; Quản lý tin'!$B$7:$B$500&amp;", ")),--('Đăng tin &amp; Quản lý tin'!$AT$7:$AT$500="Block"))+SUMPRODUCT(--ISNUMBER(SEARCH(", "&amp;$B71&amp;", ",", "&amp;'Trust &amp; Safety'!$B$7:$B$500&amp;", ")),--('Trust &amp; Safety'!$AT$7:$AT$500="Block"))+SUMPRODUCT(--ISNUMBER(SEARCH(", "&amp;$B71&amp;", ",", "&amp;'Tài khoản &amp; Hồ sơ'!$B$7:$B$500&amp;", ")),--('Tài khoản &amp; Hồ sơ'!$AT$7:$AT$500="Block"))</f>
        <v/>
      </c>
      <c r="J71" s="53">
        <f>SUMPRODUCT(--ISNUMBER(SEARCH(", "&amp;$B71&amp;", ",", "&amp;'Hoạt động (Đơn của tôi)'!$B$7:$B$500&amp;", ")),--('Hoạt động (Đơn của tôi)'!$AT$7:$AT$500="N/A"))+SUMPRODUCT(--ISNUMBER(SEARCH(", "&amp;$B71&amp;", ",", "&amp;'Ghép nối'!$B$7:$B$500&amp;", ")),--('Ghép nối'!$AT$7:$AT$500="N/A"))+SUMPRODUCT(--ISNUMBER(SEARCH(", "&amp;$B71&amp;", ",", "&amp;'Huỷ đơn - Huỷ nhận đơn'!$B$7:$B$500&amp;", ")),--('Huỷ đơn - Huỷ nhận đơn'!$AT$7:$AT$500="N/A"))+SUMPRODUCT(--ISNUMBER(SEARCH(", "&amp;$B71&amp;", ",", "&amp;'Giao nhận &amp; Theo dõi đơn'!$B$7:$B$500&amp;", ")),--('Giao nhận &amp; Theo dõi đơn'!$AT$7:$AT$500="N/A"))+SUMPRODUCT(--ISNUMBER(SEARCH(", "&amp;$B71&amp;", ",", "&amp;'Bảng tin &amp; Chi tiết tin'!$B$7:$B$500&amp;", ")),--('Bảng tin &amp; Chi tiết tin'!$AT$7:$AT$500="N/A"))+SUMPRODUCT(--ISNUMBER(SEARCH(", "&amp;$B71&amp;", ",", "&amp;'Quà cảm ơn'!$B$7:$B$500&amp;", ")),--('Quà cảm ơn'!$AT$7:$AT$500="N/A"))+SUMPRODUCT(--ISNUMBER(SEARCH(", "&amp;$B71&amp;", ",", "&amp;'Trang chủ'!$B$7:$B$500&amp;", ")),--('Trang chủ'!$AT$7:$AT$500="N/A"))+SUMPRODUCT(--ISNUMBER(SEARCH(", "&amp;$B71&amp;", ",", "&amp;'Thông báo'!$B$7:$B$500&amp;", ")),--('Thông báo'!$AT$7:$AT$500="N/A"))+SUMPRODUCT(--ISNUMBER(SEARCH(", "&amp;$B71&amp;", ",", "&amp;'Đăng tin &amp; Quản lý tin'!$B$7:$B$500&amp;", ")),--('Đăng tin &amp; Quản lý tin'!$AT$7:$AT$500="N/A"))+SUMPRODUCT(--ISNUMBER(SEARCH(", "&amp;$B71&amp;", ",", "&amp;'Trust &amp; Safety'!$B$7:$B$500&amp;", ")),--('Trust &amp; Safety'!$AT$7:$AT$500="N/A"))+SUMPRODUCT(--ISNUMBER(SEARCH(", "&amp;$B71&amp;", ",", "&amp;'Tài khoản &amp; Hồ sơ'!$B$7:$B$500&amp;", ")),--('Tài khoản &amp; Hồ sơ'!$AT$7:$AT$500="N/A"))</f>
        <v/>
      </c>
      <c r="K71" s="54">
        <f>IFERROR(F71/E71,0)</f>
        <v/>
      </c>
      <c r="L71" s="113">
        <f>IF(E71=0,"Chưa có TC (gap)",IF(H71&gt;0,"Có lỗi (Fail)",IF(I71&gt;0,"Bị block",IF(F71&lt;E71,"Đang test",IF(G71=0,"Không áp dụng (N/A)","Đã test xong")))))</f>
        <v/>
      </c>
      <c r="AB71" t="inlineStr">
        <is>
          <t>REQ-GIFT</t>
        </is>
      </c>
    </row>
    <row r="72" ht="15.75" customHeight="1" s="216">
      <c r="A72" s="1" t="n"/>
      <c r="B72" s="112" t="inlineStr">
        <is>
          <t>REQ-GIFT-003</t>
        </is>
      </c>
      <c r="C72" s="261" t="inlineStr"/>
      <c r="D72" s="113" t="inlineStr">
        <is>
          <t>DOC-v1.0-06</t>
        </is>
      </c>
      <c r="E72" s="53">
        <f>SUMPRODUCT(--ISNUMBER(SEARCH(", "&amp;$B72&amp;", ",", "&amp;'Hoạt động (Đơn của tôi)'!$B$7:$B$500&amp;", ")))+SUMPRODUCT(--ISNUMBER(SEARCH(", "&amp;$B72&amp;", ",", "&amp;'Ghép nối'!$B$7:$B$500&amp;", ")))+SUMPRODUCT(--ISNUMBER(SEARCH(", "&amp;$B72&amp;", ",", "&amp;'Huỷ đơn - Huỷ nhận đơn'!$B$7:$B$500&amp;", ")))+SUMPRODUCT(--ISNUMBER(SEARCH(", "&amp;$B72&amp;", ",", "&amp;'Giao nhận &amp; Theo dõi đơn'!$B$7:$B$500&amp;", ")))+SUMPRODUCT(--ISNUMBER(SEARCH(", "&amp;$B72&amp;", ",", "&amp;'Bảng tin &amp; Chi tiết tin'!$B$7:$B$500&amp;", ")))+SUMPRODUCT(--ISNUMBER(SEARCH(", "&amp;$B72&amp;", ",", "&amp;'Quà cảm ơn'!$B$7:$B$500&amp;", ")))+SUMPRODUCT(--ISNUMBER(SEARCH(", "&amp;$B72&amp;", ",", "&amp;'Trang chủ'!$B$7:$B$500&amp;", ")))+SUMPRODUCT(--ISNUMBER(SEARCH(", "&amp;$B72&amp;", ",", "&amp;'Thông báo'!$B$7:$B$500&amp;", ")))+SUMPRODUCT(--ISNUMBER(SEARCH(", "&amp;$B72&amp;", ",", "&amp;'Đăng tin &amp; Quản lý tin'!$B$7:$B$500&amp;", ")))+SUMPRODUCT(--ISNUMBER(SEARCH(", "&amp;$B72&amp;", ",", "&amp;'Trust &amp; Safety'!$B$7:$B$500&amp;", ")))+SUMPRODUCT(--ISNUMBER(SEARCH(", "&amp;$B72&amp;", ",", "&amp;'Tài khoản &amp; Hồ sơ'!$B$7:$B$500&amp;", ")))</f>
        <v/>
      </c>
      <c r="F72" s="53">
        <f>SUMPRODUCT(--ISNUMBER(SEARCH(", "&amp;$B72&amp;", ",", "&amp;'Hoạt động (Đơn của tôi)'!$B$7:$B$500&amp;", ")),--('Hoạt động (Đơn của tôi)'!$AT$7:$AT$500&lt;&gt;""))+SUMPRODUCT(--ISNUMBER(SEARCH(", "&amp;$B72&amp;", ",", "&amp;'Ghép nối'!$B$7:$B$500&amp;", ")),--('Ghép nối'!$AT$7:$AT$500&lt;&gt;""))+SUMPRODUCT(--ISNUMBER(SEARCH(", "&amp;$B72&amp;", ",", "&amp;'Huỷ đơn - Huỷ nhận đơn'!$B$7:$B$500&amp;", ")),--('Huỷ đơn - Huỷ nhận đơn'!$AT$7:$AT$500&lt;&gt;""))+SUMPRODUCT(--ISNUMBER(SEARCH(", "&amp;$B72&amp;", ",", "&amp;'Giao nhận &amp; Theo dõi đơn'!$B$7:$B$500&amp;", ")),--('Giao nhận &amp; Theo dõi đơn'!$AT$7:$AT$500&lt;&gt;""))+SUMPRODUCT(--ISNUMBER(SEARCH(", "&amp;$B72&amp;", ",", "&amp;'Bảng tin &amp; Chi tiết tin'!$B$7:$B$500&amp;", ")),--('Bảng tin &amp; Chi tiết tin'!$AT$7:$AT$500&lt;&gt;""))+SUMPRODUCT(--ISNUMBER(SEARCH(", "&amp;$B72&amp;", ",", "&amp;'Quà cảm ơn'!$B$7:$B$500&amp;", ")),--('Quà cảm ơn'!$AT$7:$AT$500&lt;&gt;""))+SUMPRODUCT(--ISNUMBER(SEARCH(", "&amp;$B72&amp;", ",", "&amp;'Trang chủ'!$B$7:$B$500&amp;", ")),--('Trang chủ'!$AT$7:$AT$500&lt;&gt;""))+SUMPRODUCT(--ISNUMBER(SEARCH(", "&amp;$B72&amp;", ",", "&amp;'Thông báo'!$B$7:$B$500&amp;", ")),--('Thông báo'!$AT$7:$AT$500&lt;&gt;""))+SUMPRODUCT(--ISNUMBER(SEARCH(", "&amp;$B72&amp;", ",", "&amp;'Đăng tin &amp; Quản lý tin'!$B$7:$B$500&amp;", ")),--('Đăng tin &amp; Quản lý tin'!$AT$7:$AT$500&lt;&gt;""))+SUMPRODUCT(--ISNUMBER(SEARCH(", "&amp;$B72&amp;", ",", "&amp;'Trust &amp; Safety'!$B$7:$B$500&amp;", ")),--('Trust &amp; Safety'!$AT$7:$AT$500&lt;&gt;""))+SUMPRODUCT(--ISNUMBER(SEARCH(", "&amp;$B72&amp;", ",", "&amp;'Tài khoản &amp; Hồ sơ'!$B$7:$B$500&amp;", ")),--('Tài khoản &amp; Hồ sơ'!$AT$7:$AT$500&lt;&gt;""))</f>
        <v/>
      </c>
      <c r="G72" s="53">
        <f>SUMPRODUCT(--ISNUMBER(SEARCH(", "&amp;$B72&amp;", ",", "&amp;'Hoạt động (Đơn của tôi)'!$B$7:$B$500&amp;", ")),--('Hoạt động (Đơn của tôi)'!$AT$7:$AT$500="Pass"))+SUMPRODUCT(--ISNUMBER(SEARCH(", "&amp;$B72&amp;", ",", "&amp;'Ghép nối'!$B$7:$B$500&amp;", ")),--('Ghép nối'!$AT$7:$AT$500="Pass"))+SUMPRODUCT(--ISNUMBER(SEARCH(", "&amp;$B72&amp;", ",", "&amp;'Huỷ đơn - Huỷ nhận đơn'!$B$7:$B$500&amp;", ")),--('Huỷ đơn - Huỷ nhận đơn'!$AT$7:$AT$500="Pass"))+SUMPRODUCT(--ISNUMBER(SEARCH(", "&amp;$B72&amp;", ",", "&amp;'Giao nhận &amp; Theo dõi đơn'!$B$7:$B$500&amp;", ")),--('Giao nhận &amp; Theo dõi đơn'!$AT$7:$AT$500="Pass"))+SUMPRODUCT(--ISNUMBER(SEARCH(", "&amp;$B72&amp;", ",", "&amp;'Bảng tin &amp; Chi tiết tin'!$B$7:$B$500&amp;", ")),--('Bảng tin &amp; Chi tiết tin'!$AT$7:$AT$500="Pass"))+SUMPRODUCT(--ISNUMBER(SEARCH(", "&amp;$B72&amp;", ",", "&amp;'Quà cảm ơn'!$B$7:$B$500&amp;", ")),--('Quà cảm ơn'!$AT$7:$AT$500="Pass"))+SUMPRODUCT(--ISNUMBER(SEARCH(", "&amp;$B72&amp;", ",", "&amp;'Trang chủ'!$B$7:$B$500&amp;", ")),--('Trang chủ'!$AT$7:$AT$500="Pass"))+SUMPRODUCT(--ISNUMBER(SEARCH(", "&amp;$B72&amp;", ",", "&amp;'Thông báo'!$B$7:$B$500&amp;", ")),--('Thông báo'!$AT$7:$AT$500="Pass"))+SUMPRODUCT(--ISNUMBER(SEARCH(", "&amp;$B72&amp;", ",", "&amp;'Đăng tin &amp; Quản lý tin'!$B$7:$B$500&amp;", ")),--('Đăng tin &amp; Quản lý tin'!$AT$7:$AT$500="Pass"))+SUMPRODUCT(--ISNUMBER(SEARCH(", "&amp;$B72&amp;", ",", "&amp;'Trust &amp; Safety'!$B$7:$B$500&amp;", ")),--('Trust &amp; Safety'!$AT$7:$AT$500="Pass"))+SUMPRODUCT(--ISNUMBER(SEARCH(", "&amp;$B72&amp;", ",", "&amp;'Tài khoản &amp; Hồ sơ'!$B$7:$B$500&amp;", ")),--('Tài khoản &amp; Hồ sơ'!$AT$7:$AT$500="Pass"))</f>
        <v/>
      </c>
      <c r="H72" s="53">
        <f>SUMPRODUCT(--ISNUMBER(SEARCH(", "&amp;$B72&amp;", ",", "&amp;'Hoạt động (Đơn của tôi)'!$B$7:$B$500&amp;", ")),--('Hoạt động (Đơn của tôi)'!$AT$7:$AT$500="Fail"))+SUMPRODUCT(--ISNUMBER(SEARCH(", "&amp;$B72&amp;", ",", "&amp;'Ghép nối'!$B$7:$B$500&amp;", ")),--('Ghép nối'!$AT$7:$AT$500="Fail"))+SUMPRODUCT(--ISNUMBER(SEARCH(", "&amp;$B72&amp;", ",", "&amp;'Huỷ đơn - Huỷ nhận đơn'!$B$7:$B$500&amp;", ")),--('Huỷ đơn - Huỷ nhận đơn'!$AT$7:$AT$500="Fail"))+SUMPRODUCT(--ISNUMBER(SEARCH(", "&amp;$B72&amp;", ",", "&amp;'Giao nhận &amp; Theo dõi đơn'!$B$7:$B$500&amp;", ")),--('Giao nhận &amp; Theo dõi đơn'!$AT$7:$AT$500="Fail"))+SUMPRODUCT(--ISNUMBER(SEARCH(", "&amp;$B72&amp;", ",", "&amp;'Bảng tin &amp; Chi tiết tin'!$B$7:$B$500&amp;", ")),--('Bảng tin &amp; Chi tiết tin'!$AT$7:$AT$500="Fail"))+SUMPRODUCT(--ISNUMBER(SEARCH(", "&amp;$B72&amp;", ",", "&amp;'Quà cảm ơn'!$B$7:$B$500&amp;", ")),--('Quà cảm ơn'!$AT$7:$AT$500="Fail"))+SUMPRODUCT(--ISNUMBER(SEARCH(", "&amp;$B72&amp;", ",", "&amp;'Trang chủ'!$B$7:$B$500&amp;", ")),--('Trang chủ'!$AT$7:$AT$500="Fail"))+SUMPRODUCT(--ISNUMBER(SEARCH(", "&amp;$B72&amp;", ",", "&amp;'Thông báo'!$B$7:$B$500&amp;", ")),--('Thông báo'!$AT$7:$AT$500="Fail"))+SUMPRODUCT(--ISNUMBER(SEARCH(", "&amp;$B72&amp;", ",", "&amp;'Đăng tin &amp; Quản lý tin'!$B$7:$B$500&amp;", ")),--('Đăng tin &amp; Quản lý tin'!$AT$7:$AT$500="Fail"))+SUMPRODUCT(--ISNUMBER(SEARCH(", "&amp;$B72&amp;", ",", "&amp;'Trust &amp; Safety'!$B$7:$B$500&amp;", ")),--('Trust &amp; Safety'!$AT$7:$AT$500="Fail"))+SUMPRODUCT(--ISNUMBER(SEARCH(", "&amp;$B72&amp;", ",", "&amp;'Tài khoản &amp; Hồ sơ'!$B$7:$B$500&amp;", ")),--('Tài khoản &amp; Hồ sơ'!$AT$7:$AT$500="Fail"))</f>
        <v/>
      </c>
      <c r="I72" s="53">
        <f>SUMPRODUCT(--ISNUMBER(SEARCH(", "&amp;$B72&amp;", ",", "&amp;'Hoạt động (Đơn của tôi)'!$B$7:$B$500&amp;", ")),--('Hoạt động (Đơn của tôi)'!$AT$7:$AT$500="Block"))+SUMPRODUCT(--ISNUMBER(SEARCH(", "&amp;$B72&amp;", ",", "&amp;'Ghép nối'!$B$7:$B$500&amp;", ")),--('Ghép nối'!$AT$7:$AT$500="Block"))+SUMPRODUCT(--ISNUMBER(SEARCH(", "&amp;$B72&amp;", ",", "&amp;'Huỷ đơn - Huỷ nhận đơn'!$B$7:$B$500&amp;", ")),--('Huỷ đơn - Huỷ nhận đơn'!$AT$7:$AT$500="Block"))+SUMPRODUCT(--ISNUMBER(SEARCH(", "&amp;$B72&amp;", ",", "&amp;'Giao nhận &amp; Theo dõi đơn'!$B$7:$B$500&amp;", ")),--('Giao nhận &amp; Theo dõi đơn'!$AT$7:$AT$500="Block"))+SUMPRODUCT(--ISNUMBER(SEARCH(", "&amp;$B72&amp;", ",", "&amp;'Bảng tin &amp; Chi tiết tin'!$B$7:$B$500&amp;", ")),--('Bảng tin &amp; Chi tiết tin'!$AT$7:$AT$500="Block"))+SUMPRODUCT(--ISNUMBER(SEARCH(", "&amp;$B72&amp;", ",", "&amp;'Quà cảm ơn'!$B$7:$B$500&amp;", ")),--('Quà cảm ơn'!$AT$7:$AT$500="Block"))+SUMPRODUCT(--ISNUMBER(SEARCH(", "&amp;$B72&amp;", ",", "&amp;'Trang chủ'!$B$7:$B$500&amp;", ")),--('Trang chủ'!$AT$7:$AT$500="Block"))+SUMPRODUCT(--ISNUMBER(SEARCH(", "&amp;$B72&amp;", ",", "&amp;'Thông báo'!$B$7:$B$500&amp;", ")),--('Thông báo'!$AT$7:$AT$500="Block"))+SUMPRODUCT(--ISNUMBER(SEARCH(", "&amp;$B72&amp;", ",", "&amp;'Đăng tin &amp; Quản lý tin'!$B$7:$B$500&amp;", ")),--('Đăng tin &amp; Quản lý tin'!$AT$7:$AT$500="Block"))+SUMPRODUCT(--ISNUMBER(SEARCH(", "&amp;$B72&amp;", ",", "&amp;'Trust &amp; Safety'!$B$7:$B$500&amp;", ")),--('Trust &amp; Safety'!$AT$7:$AT$500="Block"))+SUMPRODUCT(--ISNUMBER(SEARCH(", "&amp;$B72&amp;", ",", "&amp;'Tài khoản &amp; Hồ sơ'!$B$7:$B$500&amp;", ")),--('Tài khoản &amp; Hồ sơ'!$AT$7:$AT$500="Block"))</f>
        <v/>
      </c>
      <c r="J72" s="53">
        <f>SUMPRODUCT(--ISNUMBER(SEARCH(", "&amp;$B72&amp;", ",", "&amp;'Hoạt động (Đơn của tôi)'!$B$7:$B$500&amp;", ")),--('Hoạt động (Đơn của tôi)'!$AT$7:$AT$500="N/A"))+SUMPRODUCT(--ISNUMBER(SEARCH(", "&amp;$B72&amp;", ",", "&amp;'Ghép nối'!$B$7:$B$500&amp;", ")),--('Ghép nối'!$AT$7:$AT$500="N/A"))+SUMPRODUCT(--ISNUMBER(SEARCH(", "&amp;$B72&amp;", ",", "&amp;'Huỷ đơn - Huỷ nhận đơn'!$B$7:$B$500&amp;", ")),--('Huỷ đơn - Huỷ nhận đơn'!$AT$7:$AT$500="N/A"))+SUMPRODUCT(--ISNUMBER(SEARCH(", "&amp;$B72&amp;", ",", "&amp;'Giao nhận &amp; Theo dõi đơn'!$B$7:$B$500&amp;", ")),--('Giao nhận &amp; Theo dõi đơn'!$AT$7:$AT$500="N/A"))+SUMPRODUCT(--ISNUMBER(SEARCH(", "&amp;$B72&amp;", ",", "&amp;'Bảng tin &amp; Chi tiết tin'!$B$7:$B$500&amp;", ")),--('Bảng tin &amp; Chi tiết tin'!$AT$7:$AT$500="N/A"))+SUMPRODUCT(--ISNUMBER(SEARCH(", "&amp;$B72&amp;", ",", "&amp;'Quà cảm ơn'!$B$7:$B$500&amp;", ")),--('Quà cảm ơn'!$AT$7:$AT$500="N/A"))+SUMPRODUCT(--ISNUMBER(SEARCH(", "&amp;$B72&amp;", ",", "&amp;'Trang chủ'!$B$7:$B$500&amp;", ")),--('Trang chủ'!$AT$7:$AT$500="N/A"))+SUMPRODUCT(--ISNUMBER(SEARCH(", "&amp;$B72&amp;", ",", "&amp;'Thông báo'!$B$7:$B$500&amp;", ")),--('Thông báo'!$AT$7:$AT$500="N/A"))+SUMPRODUCT(--ISNUMBER(SEARCH(", "&amp;$B72&amp;", ",", "&amp;'Đăng tin &amp; Quản lý tin'!$B$7:$B$500&amp;", ")),--('Đăng tin &amp; Quản lý tin'!$AT$7:$AT$500="N/A"))+SUMPRODUCT(--ISNUMBER(SEARCH(", "&amp;$B72&amp;", ",", "&amp;'Trust &amp; Safety'!$B$7:$B$500&amp;", ")),--('Trust &amp; Safety'!$AT$7:$AT$500="N/A"))+SUMPRODUCT(--ISNUMBER(SEARCH(", "&amp;$B72&amp;", ",", "&amp;'Tài khoản &amp; Hồ sơ'!$B$7:$B$500&amp;", ")),--('Tài khoản &amp; Hồ sơ'!$AT$7:$AT$500="N/A"))</f>
        <v/>
      </c>
      <c r="K72" s="54">
        <f>IFERROR(F72/E72,0)</f>
        <v/>
      </c>
      <c r="L72" s="113">
        <f>IF(E72=0,"Chưa có TC (gap)",IF(H72&gt;0,"Có lỗi (Fail)",IF(I72&gt;0,"Bị block",IF(F72&lt;E72,"Đang test",IF(G72=0,"Không áp dụng (N/A)","Đã test xong")))))</f>
        <v/>
      </c>
      <c r="AB72" t="inlineStr">
        <is>
          <t>REQ-GIFT</t>
        </is>
      </c>
    </row>
    <row r="73" ht="15.75" customHeight="1" s="216">
      <c r="A73" s="1" t="n"/>
      <c r="B73" s="112" t="inlineStr">
        <is>
          <t>REQ-GIFT-006</t>
        </is>
      </c>
      <c r="C73" s="261" t="inlineStr"/>
      <c r="D73" s="113" t="inlineStr">
        <is>
          <t>DOC-v1.0-06</t>
        </is>
      </c>
      <c r="E73" s="53">
        <f>SUMPRODUCT(--ISNUMBER(SEARCH(", "&amp;$B73&amp;", ",", "&amp;'Hoạt động (Đơn của tôi)'!$B$7:$B$500&amp;", ")))+SUMPRODUCT(--ISNUMBER(SEARCH(", "&amp;$B73&amp;", ",", "&amp;'Ghép nối'!$B$7:$B$500&amp;", ")))+SUMPRODUCT(--ISNUMBER(SEARCH(", "&amp;$B73&amp;", ",", "&amp;'Huỷ đơn - Huỷ nhận đơn'!$B$7:$B$500&amp;", ")))+SUMPRODUCT(--ISNUMBER(SEARCH(", "&amp;$B73&amp;", ",", "&amp;'Giao nhận &amp; Theo dõi đơn'!$B$7:$B$500&amp;", ")))+SUMPRODUCT(--ISNUMBER(SEARCH(", "&amp;$B73&amp;", ",", "&amp;'Bảng tin &amp; Chi tiết tin'!$B$7:$B$500&amp;", ")))+SUMPRODUCT(--ISNUMBER(SEARCH(", "&amp;$B73&amp;", ",", "&amp;'Quà cảm ơn'!$B$7:$B$500&amp;", ")))+SUMPRODUCT(--ISNUMBER(SEARCH(", "&amp;$B73&amp;", ",", "&amp;'Trang chủ'!$B$7:$B$500&amp;", ")))+SUMPRODUCT(--ISNUMBER(SEARCH(", "&amp;$B73&amp;", ",", "&amp;'Thông báo'!$B$7:$B$500&amp;", ")))+SUMPRODUCT(--ISNUMBER(SEARCH(", "&amp;$B73&amp;", ",", "&amp;'Đăng tin &amp; Quản lý tin'!$B$7:$B$500&amp;", ")))+SUMPRODUCT(--ISNUMBER(SEARCH(", "&amp;$B73&amp;", ",", "&amp;'Trust &amp; Safety'!$B$7:$B$500&amp;", ")))+SUMPRODUCT(--ISNUMBER(SEARCH(", "&amp;$B73&amp;", ",", "&amp;'Tài khoản &amp; Hồ sơ'!$B$7:$B$500&amp;", ")))</f>
        <v/>
      </c>
      <c r="F73" s="53">
        <f>SUMPRODUCT(--ISNUMBER(SEARCH(", "&amp;$B73&amp;", ",", "&amp;'Hoạt động (Đơn của tôi)'!$B$7:$B$500&amp;", ")),--('Hoạt động (Đơn của tôi)'!$AT$7:$AT$500&lt;&gt;""))+SUMPRODUCT(--ISNUMBER(SEARCH(", "&amp;$B73&amp;", ",", "&amp;'Ghép nối'!$B$7:$B$500&amp;", ")),--('Ghép nối'!$AT$7:$AT$500&lt;&gt;""))+SUMPRODUCT(--ISNUMBER(SEARCH(", "&amp;$B73&amp;", ",", "&amp;'Huỷ đơn - Huỷ nhận đơn'!$B$7:$B$500&amp;", ")),--('Huỷ đơn - Huỷ nhận đơn'!$AT$7:$AT$500&lt;&gt;""))+SUMPRODUCT(--ISNUMBER(SEARCH(", "&amp;$B73&amp;", ",", "&amp;'Giao nhận &amp; Theo dõi đơn'!$B$7:$B$500&amp;", ")),--('Giao nhận &amp; Theo dõi đơn'!$AT$7:$AT$500&lt;&gt;""))+SUMPRODUCT(--ISNUMBER(SEARCH(", "&amp;$B73&amp;", ",", "&amp;'Bảng tin &amp; Chi tiết tin'!$B$7:$B$500&amp;", ")),--('Bảng tin &amp; Chi tiết tin'!$AT$7:$AT$500&lt;&gt;""))+SUMPRODUCT(--ISNUMBER(SEARCH(", "&amp;$B73&amp;", ",", "&amp;'Quà cảm ơn'!$B$7:$B$500&amp;", ")),--('Quà cảm ơn'!$AT$7:$AT$500&lt;&gt;""))+SUMPRODUCT(--ISNUMBER(SEARCH(", "&amp;$B73&amp;", ",", "&amp;'Trang chủ'!$B$7:$B$500&amp;", ")),--('Trang chủ'!$AT$7:$AT$500&lt;&gt;""))+SUMPRODUCT(--ISNUMBER(SEARCH(", "&amp;$B73&amp;", ",", "&amp;'Thông báo'!$B$7:$B$500&amp;", ")),--('Thông báo'!$AT$7:$AT$500&lt;&gt;""))+SUMPRODUCT(--ISNUMBER(SEARCH(", "&amp;$B73&amp;", ",", "&amp;'Đăng tin &amp; Quản lý tin'!$B$7:$B$500&amp;", ")),--('Đăng tin &amp; Quản lý tin'!$AT$7:$AT$500&lt;&gt;""))+SUMPRODUCT(--ISNUMBER(SEARCH(", "&amp;$B73&amp;", ",", "&amp;'Trust &amp; Safety'!$B$7:$B$500&amp;", ")),--('Trust &amp; Safety'!$AT$7:$AT$500&lt;&gt;""))+SUMPRODUCT(--ISNUMBER(SEARCH(", "&amp;$B73&amp;", ",", "&amp;'Tài khoản &amp; Hồ sơ'!$B$7:$B$500&amp;", ")),--('Tài khoản &amp; Hồ sơ'!$AT$7:$AT$500&lt;&gt;""))</f>
        <v/>
      </c>
      <c r="G73" s="53">
        <f>SUMPRODUCT(--ISNUMBER(SEARCH(", "&amp;$B73&amp;", ",", "&amp;'Hoạt động (Đơn của tôi)'!$B$7:$B$500&amp;", ")),--('Hoạt động (Đơn của tôi)'!$AT$7:$AT$500="Pass"))+SUMPRODUCT(--ISNUMBER(SEARCH(", "&amp;$B73&amp;", ",", "&amp;'Ghép nối'!$B$7:$B$500&amp;", ")),--('Ghép nối'!$AT$7:$AT$500="Pass"))+SUMPRODUCT(--ISNUMBER(SEARCH(", "&amp;$B73&amp;", ",", "&amp;'Huỷ đơn - Huỷ nhận đơn'!$B$7:$B$500&amp;", ")),--('Huỷ đơn - Huỷ nhận đơn'!$AT$7:$AT$500="Pass"))+SUMPRODUCT(--ISNUMBER(SEARCH(", "&amp;$B73&amp;", ",", "&amp;'Giao nhận &amp; Theo dõi đơn'!$B$7:$B$500&amp;", ")),--('Giao nhận &amp; Theo dõi đơn'!$AT$7:$AT$500="Pass"))+SUMPRODUCT(--ISNUMBER(SEARCH(", "&amp;$B73&amp;", ",", "&amp;'Bảng tin &amp; Chi tiết tin'!$B$7:$B$500&amp;", ")),--('Bảng tin &amp; Chi tiết tin'!$AT$7:$AT$500="Pass"))+SUMPRODUCT(--ISNUMBER(SEARCH(", "&amp;$B73&amp;", ",", "&amp;'Quà cảm ơn'!$B$7:$B$500&amp;", ")),--('Quà cảm ơn'!$AT$7:$AT$500="Pass"))+SUMPRODUCT(--ISNUMBER(SEARCH(", "&amp;$B73&amp;", ",", "&amp;'Trang chủ'!$B$7:$B$500&amp;", ")),--('Trang chủ'!$AT$7:$AT$500="Pass"))+SUMPRODUCT(--ISNUMBER(SEARCH(", "&amp;$B73&amp;", ",", "&amp;'Thông báo'!$B$7:$B$500&amp;", ")),--('Thông báo'!$AT$7:$AT$500="Pass"))+SUMPRODUCT(--ISNUMBER(SEARCH(", "&amp;$B73&amp;", ",", "&amp;'Đăng tin &amp; Quản lý tin'!$B$7:$B$500&amp;", ")),--('Đăng tin &amp; Quản lý tin'!$AT$7:$AT$500="Pass"))+SUMPRODUCT(--ISNUMBER(SEARCH(", "&amp;$B73&amp;", ",", "&amp;'Trust &amp; Safety'!$B$7:$B$500&amp;", ")),--('Trust &amp; Safety'!$AT$7:$AT$500="Pass"))+SUMPRODUCT(--ISNUMBER(SEARCH(", "&amp;$B73&amp;", ",", "&amp;'Tài khoản &amp; Hồ sơ'!$B$7:$B$500&amp;", ")),--('Tài khoản &amp; Hồ sơ'!$AT$7:$AT$500="Pass"))</f>
        <v/>
      </c>
      <c r="H73" s="53">
        <f>SUMPRODUCT(--ISNUMBER(SEARCH(", "&amp;$B73&amp;", ",", "&amp;'Hoạt động (Đơn của tôi)'!$B$7:$B$500&amp;", ")),--('Hoạt động (Đơn của tôi)'!$AT$7:$AT$500="Fail"))+SUMPRODUCT(--ISNUMBER(SEARCH(", "&amp;$B73&amp;", ",", "&amp;'Ghép nối'!$B$7:$B$500&amp;", ")),--('Ghép nối'!$AT$7:$AT$500="Fail"))+SUMPRODUCT(--ISNUMBER(SEARCH(", "&amp;$B73&amp;", ",", "&amp;'Huỷ đơn - Huỷ nhận đơn'!$B$7:$B$500&amp;", ")),--('Huỷ đơn - Huỷ nhận đơn'!$AT$7:$AT$500="Fail"))+SUMPRODUCT(--ISNUMBER(SEARCH(", "&amp;$B73&amp;", ",", "&amp;'Giao nhận &amp; Theo dõi đơn'!$B$7:$B$500&amp;", ")),--('Giao nhận &amp; Theo dõi đơn'!$AT$7:$AT$500="Fail"))+SUMPRODUCT(--ISNUMBER(SEARCH(", "&amp;$B73&amp;", ",", "&amp;'Bảng tin &amp; Chi tiết tin'!$B$7:$B$500&amp;", ")),--('Bảng tin &amp; Chi tiết tin'!$AT$7:$AT$500="Fail"))+SUMPRODUCT(--ISNUMBER(SEARCH(", "&amp;$B73&amp;", ",", "&amp;'Quà cảm ơn'!$B$7:$B$500&amp;", ")),--('Quà cảm ơn'!$AT$7:$AT$500="Fail"))+SUMPRODUCT(--ISNUMBER(SEARCH(", "&amp;$B73&amp;", ",", "&amp;'Trang chủ'!$B$7:$B$500&amp;", ")),--('Trang chủ'!$AT$7:$AT$500="Fail"))+SUMPRODUCT(--ISNUMBER(SEARCH(", "&amp;$B73&amp;", ",", "&amp;'Thông báo'!$B$7:$B$500&amp;", ")),--('Thông báo'!$AT$7:$AT$500="Fail"))+SUMPRODUCT(--ISNUMBER(SEARCH(", "&amp;$B73&amp;", ",", "&amp;'Đăng tin &amp; Quản lý tin'!$B$7:$B$500&amp;", ")),--('Đăng tin &amp; Quản lý tin'!$AT$7:$AT$500="Fail"))+SUMPRODUCT(--ISNUMBER(SEARCH(", "&amp;$B73&amp;", ",", "&amp;'Trust &amp; Safety'!$B$7:$B$500&amp;", ")),--('Trust &amp; Safety'!$AT$7:$AT$500="Fail"))+SUMPRODUCT(--ISNUMBER(SEARCH(", "&amp;$B73&amp;", ",", "&amp;'Tài khoản &amp; Hồ sơ'!$B$7:$B$500&amp;", ")),--('Tài khoản &amp; Hồ sơ'!$AT$7:$AT$500="Fail"))</f>
        <v/>
      </c>
      <c r="I73" s="53">
        <f>SUMPRODUCT(--ISNUMBER(SEARCH(", "&amp;$B73&amp;", ",", "&amp;'Hoạt động (Đơn của tôi)'!$B$7:$B$500&amp;", ")),--('Hoạt động (Đơn của tôi)'!$AT$7:$AT$500="Block"))+SUMPRODUCT(--ISNUMBER(SEARCH(", "&amp;$B73&amp;", ",", "&amp;'Ghép nối'!$B$7:$B$500&amp;", ")),--('Ghép nối'!$AT$7:$AT$500="Block"))+SUMPRODUCT(--ISNUMBER(SEARCH(", "&amp;$B73&amp;", ",", "&amp;'Huỷ đơn - Huỷ nhận đơn'!$B$7:$B$500&amp;", ")),--('Huỷ đơn - Huỷ nhận đơn'!$AT$7:$AT$500="Block"))+SUMPRODUCT(--ISNUMBER(SEARCH(", "&amp;$B73&amp;", ",", "&amp;'Giao nhận &amp; Theo dõi đơn'!$B$7:$B$500&amp;", ")),--('Giao nhận &amp; Theo dõi đơn'!$AT$7:$AT$500="Block"))+SUMPRODUCT(--ISNUMBER(SEARCH(", "&amp;$B73&amp;", ",", "&amp;'Bảng tin &amp; Chi tiết tin'!$B$7:$B$500&amp;", ")),--('Bảng tin &amp; Chi tiết tin'!$AT$7:$AT$500="Block"))+SUMPRODUCT(--ISNUMBER(SEARCH(", "&amp;$B73&amp;", ",", "&amp;'Quà cảm ơn'!$B$7:$B$500&amp;", ")),--('Quà cảm ơn'!$AT$7:$AT$500="Block"))+SUMPRODUCT(--ISNUMBER(SEARCH(", "&amp;$B73&amp;", ",", "&amp;'Trang chủ'!$B$7:$B$500&amp;", ")),--('Trang chủ'!$AT$7:$AT$500="Block"))+SUMPRODUCT(--ISNUMBER(SEARCH(", "&amp;$B73&amp;", ",", "&amp;'Thông báo'!$B$7:$B$500&amp;", ")),--('Thông báo'!$AT$7:$AT$500="Block"))+SUMPRODUCT(--ISNUMBER(SEARCH(", "&amp;$B73&amp;", ",", "&amp;'Đăng tin &amp; Quản lý tin'!$B$7:$B$500&amp;", ")),--('Đăng tin &amp; Quản lý tin'!$AT$7:$AT$500="Block"))+SUMPRODUCT(--ISNUMBER(SEARCH(", "&amp;$B73&amp;", ",", "&amp;'Trust &amp; Safety'!$B$7:$B$500&amp;", ")),--('Trust &amp; Safety'!$AT$7:$AT$500="Block"))+SUMPRODUCT(--ISNUMBER(SEARCH(", "&amp;$B73&amp;", ",", "&amp;'Tài khoản &amp; Hồ sơ'!$B$7:$B$500&amp;", ")),--('Tài khoản &amp; Hồ sơ'!$AT$7:$AT$500="Block"))</f>
        <v/>
      </c>
      <c r="J73" s="53">
        <f>SUMPRODUCT(--ISNUMBER(SEARCH(", "&amp;$B73&amp;", ",", "&amp;'Hoạt động (Đơn của tôi)'!$B$7:$B$500&amp;", ")),--('Hoạt động (Đơn của tôi)'!$AT$7:$AT$500="N/A"))+SUMPRODUCT(--ISNUMBER(SEARCH(", "&amp;$B73&amp;", ",", "&amp;'Ghép nối'!$B$7:$B$500&amp;", ")),--('Ghép nối'!$AT$7:$AT$500="N/A"))+SUMPRODUCT(--ISNUMBER(SEARCH(", "&amp;$B73&amp;", ",", "&amp;'Huỷ đơn - Huỷ nhận đơn'!$B$7:$B$500&amp;", ")),--('Huỷ đơn - Huỷ nhận đơn'!$AT$7:$AT$500="N/A"))+SUMPRODUCT(--ISNUMBER(SEARCH(", "&amp;$B73&amp;", ",", "&amp;'Giao nhận &amp; Theo dõi đơn'!$B$7:$B$500&amp;", ")),--('Giao nhận &amp; Theo dõi đơn'!$AT$7:$AT$500="N/A"))+SUMPRODUCT(--ISNUMBER(SEARCH(", "&amp;$B73&amp;", ",", "&amp;'Bảng tin &amp; Chi tiết tin'!$B$7:$B$500&amp;", ")),--('Bảng tin &amp; Chi tiết tin'!$AT$7:$AT$500="N/A"))+SUMPRODUCT(--ISNUMBER(SEARCH(", "&amp;$B73&amp;", ",", "&amp;'Quà cảm ơn'!$B$7:$B$500&amp;", ")),--('Quà cảm ơn'!$AT$7:$AT$500="N/A"))+SUMPRODUCT(--ISNUMBER(SEARCH(", "&amp;$B73&amp;", ",", "&amp;'Trang chủ'!$B$7:$B$500&amp;", ")),--('Trang chủ'!$AT$7:$AT$500="N/A"))+SUMPRODUCT(--ISNUMBER(SEARCH(", "&amp;$B73&amp;", ",", "&amp;'Thông báo'!$B$7:$B$500&amp;", ")),--('Thông báo'!$AT$7:$AT$500="N/A"))+SUMPRODUCT(--ISNUMBER(SEARCH(", "&amp;$B73&amp;", ",", "&amp;'Đăng tin &amp; Quản lý tin'!$B$7:$B$500&amp;", ")),--('Đăng tin &amp; Quản lý tin'!$AT$7:$AT$500="N/A"))+SUMPRODUCT(--ISNUMBER(SEARCH(", "&amp;$B73&amp;", ",", "&amp;'Trust &amp; Safety'!$B$7:$B$500&amp;", ")),--('Trust &amp; Safety'!$AT$7:$AT$500="N/A"))+SUMPRODUCT(--ISNUMBER(SEARCH(", "&amp;$B73&amp;", ",", "&amp;'Tài khoản &amp; Hồ sơ'!$B$7:$B$500&amp;", ")),--('Tài khoản &amp; Hồ sơ'!$AT$7:$AT$500="N/A"))</f>
        <v/>
      </c>
      <c r="K73" s="54">
        <f>IFERROR(F73/E73,0)</f>
        <v/>
      </c>
      <c r="L73" s="113">
        <f>IF(E73=0,"Chưa có TC (gap)",IF(H73&gt;0,"Có lỗi (Fail)",IF(I73&gt;0,"Bị block",IF(F73&lt;E73,"Đang test",IF(G73=0,"Không áp dụng (N/A)","Đã test xong")))))</f>
        <v/>
      </c>
      <c r="AB73" t="inlineStr">
        <is>
          <t>REQ-GIFT</t>
        </is>
      </c>
    </row>
    <row r="74" ht="15.75" customHeight="1" s="216">
      <c r="A74" s="1" t="n"/>
      <c r="B74" s="112" t="inlineStr">
        <is>
          <t>REQ-GIFT-008</t>
        </is>
      </c>
      <c r="C74" s="261" t="inlineStr"/>
      <c r="D74" s="113" t="inlineStr">
        <is>
          <t>DOC-v1.0-01</t>
        </is>
      </c>
      <c r="E74" s="53">
        <f>SUMPRODUCT(--ISNUMBER(SEARCH(", "&amp;$B74&amp;", ",", "&amp;'Hoạt động (Đơn của tôi)'!$B$7:$B$500&amp;", ")))+SUMPRODUCT(--ISNUMBER(SEARCH(", "&amp;$B74&amp;", ",", "&amp;'Ghép nối'!$B$7:$B$500&amp;", ")))+SUMPRODUCT(--ISNUMBER(SEARCH(", "&amp;$B74&amp;", ",", "&amp;'Huỷ đơn - Huỷ nhận đơn'!$B$7:$B$500&amp;", ")))+SUMPRODUCT(--ISNUMBER(SEARCH(", "&amp;$B74&amp;", ",", "&amp;'Giao nhận &amp; Theo dõi đơn'!$B$7:$B$500&amp;", ")))+SUMPRODUCT(--ISNUMBER(SEARCH(", "&amp;$B74&amp;", ",", "&amp;'Bảng tin &amp; Chi tiết tin'!$B$7:$B$500&amp;", ")))+SUMPRODUCT(--ISNUMBER(SEARCH(", "&amp;$B74&amp;", ",", "&amp;'Quà cảm ơn'!$B$7:$B$500&amp;", ")))+SUMPRODUCT(--ISNUMBER(SEARCH(", "&amp;$B74&amp;", ",", "&amp;'Trang chủ'!$B$7:$B$500&amp;", ")))+SUMPRODUCT(--ISNUMBER(SEARCH(", "&amp;$B74&amp;", ",", "&amp;'Thông báo'!$B$7:$B$500&amp;", ")))+SUMPRODUCT(--ISNUMBER(SEARCH(", "&amp;$B74&amp;", ",", "&amp;'Đăng tin &amp; Quản lý tin'!$B$7:$B$500&amp;", ")))+SUMPRODUCT(--ISNUMBER(SEARCH(", "&amp;$B74&amp;", ",", "&amp;'Trust &amp; Safety'!$B$7:$B$500&amp;", ")))+SUMPRODUCT(--ISNUMBER(SEARCH(", "&amp;$B74&amp;", ",", "&amp;'Tài khoản &amp; Hồ sơ'!$B$7:$B$500&amp;", ")))</f>
        <v/>
      </c>
      <c r="F74" s="53">
        <f>SUMPRODUCT(--ISNUMBER(SEARCH(", "&amp;$B74&amp;", ",", "&amp;'Hoạt động (Đơn của tôi)'!$B$7:$B$500&amp;", ")),--('Hoạt động (Đơn của tôi)'!$AT$7:$AT$500&lt;&gt;""))+SUMPRODUCT(--ISNUMBER(SEARCH(", "&amp;$B74&amp;", ",", "&amp;'Ghép nối'!$B$7:$B$500&amp;", ")),--('Ghép nối'!$AT$7:$AT$500&lt;&gt;""))+SUMPRODUCT(--ISNUMBER(SEARCH(", "&amp;$B74&amp;", ",", "&amp;'Huỷ đơn - Huỷ nhận đơn'!$B$7:$B$500&amp;", ")),--('Huỷ đơn - Huỷ nhận đơn'!$AT$7:$AT$500&lt;&gt;""))+SUMPRODUCT(--ISNUMBER(SEARCH(", "&amp;$B74&amp;", ",", "&amp;'Giao nhận &amp; Theo dõi đơn'!$B$7:$B$500&amp;", ")),--('Giao nhận &amp; Theo dõi đơn'!$AT$7:$AT$500&lt;&gt;""))+SUMPRODUCT(--ISNUMBER(SEARCH(", "&amp;$B74&amp;", ",", "&amp;'Bảng tin &amp; Chi tiết tin'!$B$7:$B$500&amp;", ")),--('Bảng tin &amp; Chi tiết tin'!$AT$7:$AT$500&lt;&gt;""))+SUMPRODUCT(--ISNUMBER(SEARCH(", "&amp;$B74&amp;", ",", "&amp;'Quà cảm ơn'!$B$7:$B$500&amp;", ")),--('Quà cảm ơn'!$AT$7:$AT$500&lt;&gt;""))+SUMPRODUCT(--ISNUMBER(SEARCH(", "&amp;$B74&amp;", ",", "&amp;'Trang chủ'!$B$7:$B$500&amp;", ")),--('Trang chủ'!$AT$7:$AT$500&lt;&gt;""))+SUMPRODUCT(--ISNUMBER(SEARCH(", "&amp;$B74&amp;", ",", "&amp;'Thông báo'!$B$7:$B$500&amp;", ")),--('Thông báo'!$AT$7:$AT$500&lt;&gt;""))+SUMPRODUCT(--ISNUMBER(SEARCH(", "&amp;$B74&amp;", ",", "&amp;'Đăng tin &amp; Quản lý tin'!$B$7:$B$500&amp;", ")),--('Đăng tin &amp; Quản lý tin'!$AT$7:$AT$500&lt;&gt;""))+SUMPRODUCT(--ISNUMBER(SEARCH(", "&amp;$B74&amp;", ",", "&amp;'Trust &amp; Safety'!$B$7:$B$500&amp;", ")),--('Trust &amp; Safety'!$AT$7:$AT$500&lt;&gt;""))+SUMPRODUCT(--ISNUMBER(SEARCH(", "&amp;$B74&amp;", ",", "&amp;'Tài khoản &amp; Hồ sơ'!$B$7:$B$500&amp;", ")),--('Tài khoản &amp; Hồ sơ'!$AT$7:$AT$500&lt;&gt;""))</f>
        <v/>
      </c>
      <c r="G74" s="53">
        <f>SUMPRODUCT(--ISNUMBER(SEARCH(", "&amp;$B74&amp;", ",", "&amp;'Hoạt động (Đơn của tôi)'!$B$7:$B$500&amp;", ")),--('Hoạt động (Đơn của tôi)'!$AT$7:$AT$500="Pass"))+SUMPRODUCT(--ISNUMBER(SEARCH(", "&amp;$B74&amp;", ",", "&amp;'Ghép nối'!$B$7:$B$500&amp;", ")),--('Ghép nối'!$AT$7:$AT$500="Pass"))+SUMPRODUCT(--ISNUMBER(SEARCH(", "&amp;$B74&amp;", ",", "&amp;'Huỷ đơn - Huỷ nhận đơn'!$B$7:$B$500&amp;", ")),--('Huỷ đơn - Huỷ nhận đơn'!$AT$7:$AT$500="Pass"))+SUMPRODUCT(--ISNUMBER(SEARCH(", "&amp;$B74&amp;", ",", "&amp;'Giao nhận &amp; Theo dõi đơn'!$B$7:$B$500&amp;", ")),--('Giao nhận &amp; Theo dõi đơn'!$AT$7:$AT$500="Pass"))+SUMPRODUCT(--ISNUMBER(SEARCH(", "&amp;$B74&amp;", ",", "&amp;'Bảng tin &amp; Chi tiết tin'!$B$7:$B$500&amp;", ")),--('Bảng tin &amp; Chi tiết tin'!$AT$7:$AT$500="Pass"))+SUMPRODUCT(--ISNUMBER(SEARCH(", "&amp;$B74&amp;", ",", "&amp;'Quà cảm ơn'!$B$7:$B$500&amp;", ")),--('Quà cảm ơn'!$AT$7:$AT$500="Pass"))+SUMPRODUCT(--ISNUMBER(SEARCH(", "&amp;$B74&amp;", ",", "&amp;'Trang chủ'!$B$7:$B$500&amp;", ")),--('Trang chủ'!$AT$7:$AT$500="Pass"))+SUMPRODUCT(--ISNUMBER(SEARCH(", "&amp;$B74&amp;", ",", "&amp;'Thông báo'!$B$7:$B$500&amp;", ")),--('Thông báo'!$AT$7:$AT$500="Pass"))+SUMPRODUCT(--ISNUMBER(SEARCH(", "&amp;$B74&amp;", ",", "&amp;'Đăng tin &amp; Quản lý tin'!$B$7:$B$500&amp;", ")),--('Đăng tin &amp; Quản lý tin'!$AT$7:$AT$500="Pass"))+SUMPRODUCT(--ISNUMBER(SEARCH(", "&amp;$B74&amp;", ",", "&amp;'Trust &amp; Safety'!$B$7:$B$500&amp;", ")),--('Trust &amp; Safety'!$AT$7:$AT$500="Pass"))+SUMPRODUCT(--ISNUMBER(SEARCH(", "&amp;$B74&amp;", ",", "&amp;'Tài khoản &amp; Hồ sơ'!$B$7:$B$500&amp;", ")),--('Tài khoản &amp; Hồ sơ'!$AT$7:$AT$500="Pass"))</f>
        <v/>
      </c>
      <c r="H74" s="53">
        <f>SUMPRODUCT(--ISNUMBER(SEARCH(", "&amp;$B74&amp;", ",", "&amp;'Hoạt động (Đơn của tôi)'!$B$7:$B$500&amp;", ")),--('Hoạt động (Đơn của tôi)'!$AT$7:$AT$500="Fail"))+SUMPRODUCT(--ISNUMBER(SEARCH(", "&amp;$B74&amp;", ",", "&amp;'Ghép nối'!$B$7:$B$500&amp;", ")),--('Ghép nối'!$AT$7:$AT$500="Fail"))+SUMPRODUCT(--ISNUMBER(SEARCH(", "&amp;$B74&amp;", ",", "&amp;'Huỷ đơn - Huỷ nhận đơn'!$B$7:$B$500&amp;", ")),--('Huỷ đơn - Huỷ nhận đơn'!$AT$7:$AT$500="Fail"))+SUMPRODUCT(--ISNUMBER(SEARCH(", "&amp;$B74&amp;", ",", "&amp;'Giao nhận &amp; Theo dõi đơn'!$B$7:$B$500&amp;", ")),--('Giao nhận &amp; Theo dõi đơn'!$AT$7:$AT$500="Fail"))+SUMPRODUCT(--ISNUMBER(SEARCH(", "&amp;$B74&amp;", ",", "&amp;'Bảng tin &amp; Chi tiết tin'!$B$7:$B$500&amp;", ")),--('Bảng tin &amp; Chi tiết tin'!$AT$7:$AT$500="Fail"))+SUMPRODUCT(--ISNUMBER(SEARCH(", "&amp;$B74&amp;", ",", "&amp;'Quà cảm ơn'!$B$7:$B$500&amp;", ")),--('Quà cảm ơn'!$AT$7:$AT$500="Fail"))+SUMPRODUCT(--ISNUMBER(SEARCH(", "&amp;$B74&amp;", ",", "&amp;'Trang chủ'!$B$7:$B$500&amp;", ")),--('Trang chủ'!$AT$7:$AT$500="Fail"))+SUMPRODUCT(--ISNUMBER(SEARCH(", "&amp;$B74&amp;", ",", "&amp;'Thông báo'!$B$7:$B$500&amp;", ")),--('Thông báo'!$AT$7:$AT$500="Fail"))+SUMPRODUCT(--ISNUMBER(SEARCH(", "&amp;$B74&amp;", ",", "&amp;'Đăng tin &amp; Quản lý tin'!$B$7:$B$500&amp;", ")),--('Đăng tin &amp; Quản lý tin'!$AT$7:$AT$500="Fail"))+SUMPRODUCT(--ISNUMBER(SEARCH(", "&amp;$B74&amp;", ",", "&amp;'Trust &amp; Safety'!$B$7:$B$500&amp;", ")),--('Trust &amp; Safety'!$AT$7:$AT$500="Fail"))+SUMPRODUCT(--ISNUMBER(SEARCH(", "&amp;$B74&amp;", ",", "&amp;'Tài khoản &amp; Hồ sơ'!$B$7:$B$500&amp;", ")),--('Tài khoản &amp; Hồ sơ'!$AT$7:$AT$500="Fail"))</f>
        <v/>
      </c>
      <c r="I74" s="53">
        <f>SUMPRODUCT(--ISNUMBER(SEARCH(", "&amp;$B74&amp;", ",", "&amp;'Hoạt động (Đơn của tôi)'!$B$7:$B$500&amp;", ")),--('Hoạt động (Đơn của tôi)'!$AT$7:$AT$500="Block"))+SUMPRODUCT(--ISNUMBER(SEARCH(", "&amp;$B74&amp;", ",", "&amp;'Ghép nối'!$B$7:$B$500&amp;", ")),--('Ghép nối'!$AT$7:$AT$500="Block"))+SUMPRODUCT(--ISNUMBER(SEARCH(", "&amp;$B74&amp;", ",", "&amp;'Huỷ đơn - Huỷ nhận đơn'!$B$7:$B$500&amp;", ")),--('Huỷ đơn - Huỷ nhận đơn'!$AT$7:$AT$500="Block"))+SUMPRODUCT(--ISNUMBER(SEARCH(", "&amp;$B74&amp;", ",", "&amp;'Giao nhận &amp; Theo dõi đơn'!$B$7:$B$500&amp;", ")),--('Giao nhận &amp; Theo dõi đơn'!$AT$7:$AT$500="Block"))+SUMPRODUCT(--ISNUMBER(SEARCH(", "&amp;$B74&amp;", ",", "&amp;'Bảng tin &amp; Chi tiết tin'!$B$7:$B$500&amp;", ")),--('Bảng tin &amp; Chi tiết tin'!$AT$7:$AT$500="Block"))+SUMPRODUCT(--ISNUMBER(SEARCH(", "&amp;$B74&amp;", ",", "&amp;'Quà cảm ơn'!$B$7:$B$500&amp;", ")),--('Quà cảm ơn'!$AT$7:$AT$500="Block"))+SUMPRODUCT(--ISNUMBER(SEARCH(", "&amp;$B74&amp;", ",", "&amp;'Trang chủ'!$B$7:$B$500&amp;", ")),--('Trang chủ'!$AT$7:$AT$500="Block"))+SUMPRODUCT(--ISNUMBER(SEARCH(", "&amp;$B74&amp;", ",", "&amp;'Thông báo'!$B$7:$B$500&amp;", ")),--('Thông báo'!$AT$7:$AT$500="Block"))+SUMPRODUCT(--ISNUMBER(SEARCH(", "&amp;$B74&amp;", ",", "&amp;'Đăng tin &amp; Quản lý tin'!$B$7:$B$500&amp;", ")),--('Đăng tin &amp; Quản lý tin'!$AT$7:$AT$500="Block"))+SUMPRODUCT(--ISNUMBER(SEARCH(", "&amp;$B74&amp;", ",", "&amp;'Trust &amp; Safety'!$B$7:$B$500&amp;", ")),--('Trust &amp; Safety'!$AT$7:$AT$500="Block"))+SUMPRODUCT(--ISNUMBER(SEARCH(", "&amp;$B74&amp;", ",", "&amp;'Tài khoản &amp; Hồ sơ'!$B$7:$B$500&amp;", ")),--('Tài khoản &amp; Hồ sơ'!$AT$7:$AT$500="Block"))</f>
        <v/>
      </c>
      <c r="J74" s="53">
        <f>SUMPRODUCT(--ISNUMBER(SEARCH(", "&amp;$B74&amp;", ",", "&amp;'Hoạt động (Đơn của tôi)'!$B$7:$B$500&amp;", ")),--('Hoạt động (Đơn của tôi)'!$AT$7:$AT$500="N/A"))+SUMPRODUCT(--ISNUMBER(SEARCH(", "&amp;$B74&amp;", ",", "&amp;'Ghép nối'!$B$7:$B$500&amp;", ")),--('Ghép nối'!$AT$7:$AT$500="N/A"))+SUMPRODUCT(--ISNUMBER(SEARCH(", "&amp;$B74&amp;", ",", "&amp;'Huỷ đơn - Huỷ nhận đơn'!$B$7:$B$500&amp;", ")),--('Huỷ đơn - Huỷ nhận đơn'!$AT$7:$AT$500="N/A"))+SUMPRODUCT(--ISNUMBER(SEARCH(", "&amp;$B74&amp;", ",", "&amp;'Giao nhận &amp; Theo dõi đơn'!$B$7:$B$500&amp;", ")),--('Giao nhận &amp; Theo dõi đơn'!$AT$7:$AT$500="N/A"))+SUMPRODUCT(--ISNUMBER(SEARCH(", "&amp;$B74&amp;", ",", "&amp;'Bảng tin &amp; Chi tiết tin'!$B$7:$B$500&amp;", ")),--('Bảng tin &amp; Chi tiết tin'!$AT$7:$AT$500="N/A"))+SUMPRODUCT(--ISNUMBER(SEARCH(", "&amp;$B74&amp;", ",", "&amp;'Quà cảm ơn'!$B$7:$B$500&amp;", ")),--('Quà cảm ơn'!$AT$7:$AT$500="N/A"))+SUMPRODUCT(--ISNUMBER(SEARCH(", "&amp;$B74&amp;", ",", "&amp;'Trang chủ'!$B$7:$B$500&amp;", ")),--('Trang chủ'!$AT$7:$AT$500="N/A"))+SUMPRODUCT(--ISNUMBER(SEARCH(", "&amp;$B74&amp;", ",", "&amp;'Thông báo'!$B$7:$B$500&amp;", ")),--('Thông báo'!$AT$7:$AT$500="N/A"))+SUMPRODUCT(--ISNUMBER(SEARCH(", "&amp;$B74&amp;", ",", "&amp;'Đăng tin &amp; Quản lý tin'!$B$7:$B$500&amp;", ")),--('Đăng tin &amp; Quản lý tin'!$AT$7:$AT$500="N/A"))+SUMPRODUCT(--ISNUMBER(SEARCH(", "&amp;$B74&amp;", ",", "&amp;'Trust &amp; Safety'!$B$7:$B$500&amp;", ")),--('Trust &amp; Safety'!$AT$7:$AT$500="N/A"))+SUMPRODUCT(--ISNUMBER(SEARCH(", "&amp;$B74&amp;", ",", "&amp;'Tài khoản &amp; Hồ sơ'!$B$7:$B$500&amp;", ")),--('Tài khoản &amp; Hồ sơ'!$AT$7:$AT$500="N/A"))</f>
        <v/>
      </c>
      <c r="K74" s="54">
        <f>IFERROR(F74/E74,0)</f>
        <v/>
      </c>
      <c r="L74" s="113">
        <f>IF(E74=0,"Chưa có TC (gap)",IF(H74&gt;0,"Có lỗi (Fail)",IF(I74&gt;0,"Bị block",IF(F74&lt;E74,"Đang test",IF(G74=0,"Không áp dụng (N/A)","Đã test xong")))))</f>
        <v/>
      </c>
      <c r="AB74" t="inlineStr">
        <is>
          <t>REQ-GIFT</t>
        </is>
      </c>
    </row>
    <row r="75" ht="15.75" customHeight="1" s="216">
      <c r="A75" s="1" t="n"/>
      <c r="B75" s="112" t="inlineStr">
        <is>
          <t>REQ-HOME-004</t>
        </is>
      </c>
      <c r="C75" s="261" t="inlineStr">
        <is>
          <t>[qua SC-HOME-008] `C-HOME-06` — "a. 0 / b. toàn hệ thống, người tham gia / c. realtime" (`CL-hoi-BA-v1.1.xlsx` sheet `HOME`)</t>
        </is>
      </c>
      <c r="D75" s="113" t="inlineStr">
        <is>
          <t>DOC-v1.1-01</t>
        </is>
      </c>
      <c r="E75" s="53">
        <f>SUMPRODUCT(--ISNUMBER(SEARCH(", "&amp;$B75&amp;", ",", "&amp;'Hoạt động (Đơn của tôi)'!$B$7:$B$500&amp;", ")))+SUMPRODUCT(--ISNUMBER(SEARCH(", "&amp;$B75&amp;", ",", "&amp;'Ghép nối'!$B$7:$B$500&amp;", ")))+SUMPRODUCT(--ISNUMBER(SEARCH(", "&amp;$B75&amp;", ",", "&amp;'Huỷ đơn - Huỷ nhận đơn'!$B$7:$B$500&amp;", ")))+SUMPRODUCT(--ISNUMBER(SEARCH(", "&amp;$B75&amp;", ",", "&amp;'Giao nhận &amp; Theo dõi đơn'!$B$7:$B$500&amp;", ")))+SUMPRODUCT(--ISNUMBER(SEARCH(", "&amp;$B75&amp;", ",", "&amp;'Bảng tin &amp; Chi tiết tin'!$B$7:$B$500&amp;", ")))+SUMPRODUCT(--ISNUMBER(SEARCH(", "&amp;$B75&amp;", ",", "&amp;'Quà cảm ơn'!$B$7:$B$500&amp;", ")))+SUMPRODUCT(--ISNUMBER(SEARCH(", "&amp;$B75&amp;", ",", "&amp;'Trang chủ'!$B$7:$B$500&amp;", ")))+SUMPRODUCT(--ISNUMBER(SEARCH(", "&amp;$B75&amp;", ",", "&amp;'Thông báo'!$B$7:$B$500&amp;", ")))+SUMPRODUCT(--ISNUMBER(SEARCH(", "&amp;$B75&amp;", ",", "&amp;'Đăng tin &amp; Quản lý tin'!$B$7:$B$500&amp;", ")))+SUMPRODUCT(--ISNUMBER(SEARCH(", "&amp;$B75&amp;", ",", "&amp;'Trust &amp; Safety'!$B$7:$B$500&amp;", ")))+SUMPRODUCT(--ISNUMBER(SEARCH(", "&amp;$B75&amp;", ",", "&amp;'Tài khoản &amp; Hồ sơ'!$B$7:$B$500&amp;", ")))</f>
        <v/>
      </c>
      <c r="F75" s="53">
        <f>SUMPRODUCT(--ISNUMBER(SEARCH(", "&amp;$B75&amp;", ",", "&amp;'Hoạt động (Đơn của tôi)'!$B$7:$B$500&amp;", ")),--('Hoạt động (Đơn của tôi)'!$AT$7:$AT$500&lt;&gt;""))+SUMPRODUCT(--ISNUMBER(SEARCH(", "&amp;$B75&amp;", ",", "&amp;'Ghép nối'!$B$7:$B$500&amp;", ")),--('Ghép nối'!$AT$7:$AT$500&lt;&gt;""))+SUMPRODUCT(--ISNUMBER(SEARCH(", "&amp;$B75&amp;", ",", "&amp;'Huỷ đơn - Huỷ nhận đơn'!$B$7:$B$500&amp;", ")),--('Huỷ đơn - Huỷ nhận đơn'!$AT$7:$AT$500&lt;&gt;""))+SUMPRODUCT(--ISNUMBER(SEARCH(", "&amp;$B75&amp;", ",", "&amp;'Giao nhận &amp; Theo dõi đơn'!$B$7:$B$500&amp;", ")),--('Giao nhận &amp; Theo dõi đơn'!$AT$7:$AT$500&lt;&gt;""))+SUMPRODUCT(--ISNUMBER(SEARCH(", "&amp;$B75&amp;", ",", "&amp;'Bảng tin &amp; Chi tiết tin'!$B$7:$B$500&amp;", ")),--('Bảng tin &amp; Chi tiết tin'!$AT$7:$AT$500&lt;&gt;""))+SUMPRODUCT(--ISNUMBER(SEARCH(", "&amp;$B75&amp;", ",", "&amp;'Quà cảm ơn'!$B$7:$B$500&amp;", ")),--('Quà cảm ơn'!$AT$7:$AT$500&lt;&gt;""))+SUMPRODUCT(--ISNUMBER(SEARCH(", "&amp;$B75&amp;", ",", "&amp;'Trang chủ'!$B$7:$B$500&amp;", ")),--('Trang chủ'!$AT$7:$AT$500&lt;&gt;""))+SUMPRODUCT(--ISNUMBER(SEARCH(", "&amp;$B75&amp;", ",", "&amp;'Thông báo'!$B$7:$B$500&amp;", ")),--('Thông báo'!$AT$7:$AT$500&lt;&gt;""))+SUMPRODUCT(--ISNUMBER(SEARCH(", "&amp;$B75&amp;", ",", "&amp;'Đăng tin &amp; Quản lý tin'!$B$7:$B$500&amp;", ")),--('Đăng tin &amp; Quản lý tin'!$AT$7:$AT$500&lt;&gt;""))+SUMPRODUCT(--ISNUMBER(SEARCH(", "&amp;$B75&amp;", ",", "&amp;'Trust &amp; Safety'!$B$7:$B$500&amp;", ")),--('Trust &amp; Safety'!$AT$7:$AT$500&lt;&gt;""))+SUMPRODUCT(--ISNUMBER(SEARCH(", "&amp;$B75&amp;", ",", "&amp;'Tài khoản &amp; Hồ sơ'!$B$7:$B$500&amp;", ")),--('Tài khoản &amp; Hồ sơ'!$AT$7:$AT$500&lt;&gt;""))</f>
        <v/>
      </c>
      <c r="G75" s="53">
        <f>SUMPRODUCT(--ISNUMBER(SEARCH(", "&amp;$B75&amp;", ",", "&amp;'Hoạt động (Đơn của tôi)'!$B$7:$B$500&amp;", ")),--('Hoạt động (Đơn của tôi)'!$AT$7:$AT$500="Pass"))+SUMPRODUCT(--ISNUMBER(SEARCH(", "&amp;$B75&amp;", ",", "&amp;'Ghép nối'!$B$7:$B$500&amp;", ")),--('Ghép nối'!$AT$7:$AT$500="Pass"))+SUMPRODUCT(--ISNUMBER(SEARCH(", "&amp;$B75&amp;", ",", "&amp;'Huỷ đơn - Huỷ nhận đơn'!$B$7:$B$500&amp;", ")),--('Huỷ đơn - Huỷ nhận đơn'!$AT$7:$AT$500="Pass"))+SUMPRODUCT(--ISNUMBER(SEARCH(", "&amp;$B75&amp;", ",", "&amp;'Giao nhận &amp; Theo dõi đơn'!$B$7:$B$500&amp;", ")),--('Giao nhận &amp; Theo dõi đơn'!$AT$7:$AT$500="Pass"))+SUMPRODUCT(--ISNUMBER(SEARCH(", "&amp;$B75&amp;", ",", "&amp;'Bảng tin &amp; Chi tiết tin'!$B$7:$B$500&amp;", ")),--('Bảng tin &amp; Chi tiết tin'!$AT$7:$AT$500="Pass"))+SUMPRODUCT(--ISNUMBER(SEARCH(", "&amp;$B75&amp;", ",", "&amp;'Quà cảm ơn'!$B$7:$B$500&amp;", ")),--('Quà cảm ơn'!$AT$7:$AT$500="Pass"))+SUMPRODUCT(--ISNUMBER(SEARCH(", "&amp;$B75&amp;", ",", "&amp;'Trang chủ'!$B$7:$B$500&amp;", ")),--('Trang chủ'!$AT$7:$AT$500="Pass"))+SUMPRODUCT(--ISNUMBER(SEARCH(", "&amp;$B75&amp;", ",", "&amp;'Thông báo'!$B$7:$B$500&amp;", ")),--('Thông báo'!$AT$7:$AT$500="Pass"))+SUMPRODUCT(--ISNUMBER(SEARCH(", "&amp;$B75&amp;", ",", "&amp;'Đăng tin &amp; Quản lý tin'!$B$7:$B$500&amp;", ")),--('Đăng tin &amp; Quản lý tin'!$AT$7:$AT$500="Pass"))+SUMPRODUCT(--ISNUMBER(SEARCH(", "&amp;$B75&amp;", ",", "&amp;'Trust &amp; Safety'!$B$7:$B$500&amp;", ")),--('Trust &amp; Safety'!$AT$7:$AT$500="Pass"))+SUMPRODUCT(--ISNUMBER(SEARCH(", "&amp;$B75&amp;", ",", "&amp;'Tài khoản &amp; Hồ sơ'!$B$7:$B$500&amp;", ")),--('Tài khoản &amp; Hồ sơ'!$AT$7:$AT$500="Pass"))</f>
        <v/>
      </c>
      <c r="H75" s="53">
        <f>SUMPRODUCT(--ISNUMBER(SEARCH(", "&amp;$B75&amp;", ",", "&amp;'Hoạt động (Đơn của tôi)'!$B$7:$B$500&amp;", ")),--('Hoạt động (Đơn của tôi)'!$AT$7:$AT$500="Fail"))+SUMPRODUCT(--ISNUMBER(SEARCH(", "&amp;$B75&amp;", ",", "&amp;'Ghép nối'!$B$7:$B$500&amp;", ")),--('Ghép nối'!$AT$7:$AT$500="Fail"))+SUMPRODUCT(--ISNUMBER(SEARCH(", "&amp;$B75&amp;", ",", "&amp;'Huỷ đơn - Huỷ nhận đơn'!$B$7:$B$500&amp;", ")),--('Huỷ đơn - Huỷ nhận đơn'!$AT$7:$AT$500="Fail"))+SUMPRODUCT(--ISNUMBER(SEARCH(", "&amp;$B75&amp;", ",", "&amp;'Giao nhận &amp; Theo dõi đơn'!$B$7:$B$500&amp;", ")),--('Giao nhận &amp; Theo dõi đơn'!$AT$7:$AT$500="Fail"))+SUMPRODUCT(--ISNUMBER(SEARCH(", "&amp;$B75&amp;", ",", "&amp;'Bảng tin &amp; Chi tiết tin'!$B$7:$B$500&amp;", ")),--('Bảng tin &amp; Chi tiết tin'!$AT$7:$AT$500="Fail"))+SUMPRODUCT(--ISNUMBER(SEARCH(", "&amp;$B75&amp;", ",", "&amp;'Quà cảm ơn'!$B$7:$B$500&amp;", ")),--('Quà cảm ơn'!$AT$7:$AT$500="Fail"))+SUMPRODUCT(--ISNUMBER(SEARCH(", "&amp;$B75&amp;", ",", "&amp;'Trang chủ'!$B$7:$B$500&amp;", ")),--('Trang chủ'!$AT$7:$AT$500="Fail"))+SUMPRODUCT(--ISNUMBER(SEARCH(", "&amp;$B75&amp;", ",", "&amp;'Thông báo'!$B$7:$B$500&amp;", ")),--('Thông báo'!$AT$7:$AT$500="Fail"))+SUMPRODUCT(--ISNUMBER(SEARCH(", "&amp;$B75&amp;", ",", "&amp;'Đăng tin &amp; Quản lý tin'!$B$7:$B$500&amp;", ")),--('Đăng tin &amp; Quản lý tin'!$AT$7:$AT$500="Fail"))+SUMPRODUCT(--ISNUMBER(SEARCH(", "&amp;$B75&amp;", ",", "&amp;'Trust &amp; Safety'!$B$7:$B$500&amp;", ")),--('Trust &amp; Safety'!$AT$7:$AT$500="Fail"))+SUMPRODUCT(--ISNUMBER(SEARCH(", "&amp;$B75&amp;", ",", "&amp;'Tài khoản &amp; Hồ sơ'!$B$7:$B$500&amp;", ")),--('Tài khoản &amp; Hồ sơ'!$AT$7:$AT$500="Fail"))</f>
        <v/>
      </c>
      <c r="I75" s="53">
        <f>SUMPRODUCT(--ISNUMBER(SEARCH(", "&amp;$B75&amp;", ",", "&amp;'Hoạt động (Đơn của tôi)'!$B$7:$B$500&amp;", ")),--('Hoạt động (Đơn của tôi)'!$AT$7:$AT$500="Block"))+SUMPRODUCT(--ISNUMBER(SEARCH(", "&amp;$B75&amp;", ",", "&amp;'Ghép nối'!$B$7:$B$500&amp;", ")),--('Ghép nối'!$AT$7:$AT$500="Block"))+SUMPRODUCT(--ISNUMBER(SEARCH(", "&amp;$B75&amp;", ",", "&amp;'Huỷ đơn - Huỷ nhận đơn'!$B$7:$B$500&amp;", ")),--('Huỷ đơn - Huỷ nhận đơn'!$AT$7:$AT$500="Block"))+SUMPRODUCT(--ISNUMBER(SEARCH(", "&amp;$B75&amp;", ",", "&amp;'Giao nhận &amp; Theo dõi đơn'!$B$7:$B$500&amp;", ")),--('Giao nhận &amp; Theo dõi đơn'!$AT$7:$AT$500="Block"))+SUMPRODUCT(--ISNUMBER(SEARCH(", "&amp;$B75&amp;", ",", "&amp;'Bảng tin &amp; Chi tiết tin'!$B$7:$B$500&amp;", ")),--('Bảng tin &amp; Chi tiết tin'!$AT$7:$AT$500="Block"))+SUMPRODUCT(--ISNUMBER(SEARCH(", "&amp;$B75&amp;", ",", "&amp;'Quà cảm ơn'!$B$7:$B$500&amp;", ")),--('Quà cảm ơn'!$AT$7:$AT$500="Block"))+SUMPRODUCT(--ISNUMBER(SEARCH(", "&amp;$B75&amp;", ",", "&amp;'Trang chủ'!$B$7:$B$500&amp;", ")),--('Trang chủ'!$AT$7:$AT$500="Block"))+SUMPRODUCT(--ISNUMBER(SEARCH(", "&amp;$B75&amp;", ",", "&amp;'Thông báo'!$B$7:$B$500&amp;", ")),--('Thông báo'!$AT$7:$AT$500="Block"))+SUMPRODUCT(--ISNUMBER(SEARCH(", "&amp;$B75&amp;", ",", "&amp;'Đăng tin &amp; Quản lý tin'!$B$7:$B$500&amp;", ")),--('Đăng tin &amp; Quản lý tin'!$AT$7:$AT$500="Block"))+SUMPRODUCT(--ISNUMBER(SEARCH(", "&amp;$B75&amp;", ",", "&amp;'Trust &amp; Safety'!$B$7:$B$500&amp;", ")),--('Trust &amp; Safety'!$AT$7:$AT$500="Block"))+SUMPRODUCT(--ISNUMBER(SEARCH(", "&amp;$B75&amp;", ",", "&amp;'Tài khoản &amp; Hồ sơ'!$B$7:$B$500&amp;", ")),--('Tài khoản &amp; Hồ sơ'!$AT$7:$AT$500="Block"))</f>
        <v/>
      </c>
      <c r="J75" s="53">
        <f>SUMPRODUCT(--ISNUMBER(SEARCH(", "&amp;$B75&amp;", ",", "&amp;'Hoạt động (Đơn của tôi)'!$B$7:$B$500&amp;", ")),--('Hoạt động (Đơn của tôi)'!$AT$7:$AT$500="N/A"))+SUMPRODUCT(--ISNUMBER(SEARCH(", "&amp;$B75&amp;", ",", "&amp;'Ghép nối'!$B$7:$B$500&amp;", ")),--('Ghép nối'!$AT$7:$AT$500="N/A"))+SUMPRODUCT(--ISNUMBER(SEARCH(", "&amp;$B75&amp;", ",", "&amp;'Huỷ đơn - Huỷ nhận đơn'!$B$7:$B$500&amp;", ")),--('Huỷ đơn - Huỷ nhận đơn'!$AT$7:$AT$500="N/A"))+SUMPRODUCT(--ISNUMBER(SEARCH(", "&amp;$B75&amp;", ",", "&amp;'Giao nhận &amp; Theo dõi đơn'!$B$7:$B$500&amp;", ")),--('Giao nhận &amp; Theo dõi đơn'!$AT$7:$AT$500="N/A"))+SUMPRODUCT(--ISNUMBER(SEARCH(", "&amp;$B75&amp;", ",", "&amp;'Bảng tin &amp; Chi tiết tin'!$B$7:$B$500&amp;", ")),--('Bảng tin &amp; Chi tiết tin'!$AT$7:$AT$500="N/A"))+SUMPRODUCT(--ISNUMBER(SEARCH(", "&amp;$B75&amp;", ",", "&amp;'Quà cảm ơn'!$B$7:$B$500&amp;", ")),--('Quà cảm ơn'!$AT$7:$AT$500="N/A"))+SUMPRODUCT(--ISNUMBER(SEARCH(", "&amp;$B75&amp;", ",", "&amp;'Trang chủ'!$B$7:$B$500&amp;", ")),--('Trang chủ'!$AT$7:$AT$500="N/A"))+SUMPRODUCT(--ISNUMBER(SEARCH(", "&amp;$B75&amp;", ",", "&amp;'Thông báo'!$B$7:$B$500&amp;", ")),--('Thông báo'!$AT$7:$AT$500="N/A"))+SUMPRODUCT(--ISNUMBER(SEARCH(", "&amp;$B75&amp;", ",", "&amp;'Đăng tin &amp; Quản lý tin'!$B$7:$B$500&amp;", ")),--('Đăng tin &amp; Quản lý tin'!$AT$7:$AT$500="N/A"))+SUMPRODUCT(--ISNUMBER(SEARCH(", "&amp;$B75&amp;", ",", "&amp;'Trust &amp; Safety'!$B$7:$B$500&amp;", ")),--('Trust &amp; Safety'!$AT$7:$AT$500="N/A"))+SUMPRODUCT(--ISNUMBER(SEARCH(", "&amp;$B75&amp;", ",", "&amp;'Tài khoản &amp; Hồ sơ'!$B$7:$B$500&amp;", ")),--('Tài khoản &amp; Hồ sơ'!$AT$7:$AT$500="N/A"))</f>
        <v/>
      </c>
      <c r="K75" s="54">
        <f>IFERROR(F75/E75,0)</f>
        <v/>
      </c>
      <c r="L75" s="113">
        <f>IF(E75=0,"Chưa có TC (gap)",IF(H75&gt;0,"Có lỗi (Fail)",IF(I75&gt;0,"Bị block",IF(F75&lt;E75,"Đang test",IF(G75=0,"Không áp dụng (N/A)","Đã test xong")))))</f>
        <v/>
      </c>
      <c r="AB75" t="inlineStr">
        <is>
          <t>REQ-HOME</t>
        </is>
      </c>
    </row>
    <row r="76" ht="15.75" customHeight="1" s="216">
      <c r="A76" s="1" t="n"/>
      <c r="B76" s="112" t="inlineStr">
        <is>
          <t>REQ-HOME-011</t>
        </is>
      </c>
      <c r="C76" s="261" t="inlineStr">
        <is>
          <t>US11: "Là Người vận chuyển, tôi muốn xem tối đa 5 tin cần gửi mới nhất trên trang chủ, để nhanh chóng thấy tin thuận tuyến mà không phải tìm."  AC-11.1.01 — Given: "Trong khu vực của người dùng có 12 tin NEED đang ở POSTED." — When: "Mở trang chủ." — Then: "Khối 'Tin mới' hiển thị đúng 5 tin mới nhất. Có nút 'Xem thêm trên Bảng tin'. Tin đã MATCHED, EXPIRED hoặc tin của chính người dùng không nằm trong danh sách gợi ý."  AC-11.2.01 — Given: "Không có tin NEED nào ở POSTED trong khu vực của người dùng." — When: "Mở trang chủ." — Then: "Khối 'Tin mới' hiển thị empty state: icon nét mảnh + 'Chưa có tin nào trong khu vực của bạn' + một dòng giải thích + đúng một CTA 'Đăng tin ngay'. Không hiện skeleton kéo dài; phân biệt rõ đang tải và không có dữ liệu.</t>
        </is>
      </c>
      <c r="D76" s="113" t="inlineStr">
        <is>
          <t>DOC-v1.1-01 §6.1 "Danh sách User Story" · US11 · trang 12</t>
        </is>
      </c>
      <c r="E76" s="53">
        <f>SUMPRODUCT(--ISNUMBER(SEARCH(", "&amp;$B76&amp;", ",", "&amp;'Hoạt động (Đơn của tôi)'!$B$7:$B$500&amp;", ")))+SUMPRODUCT(--ISNUMBER(SEARCH(", "&amp;$B76&amp;", ",", "&amp;'Ghép nối'!$B$7:$B$500&amp;", ")))+SUMPRODUCT(--ISNUMBER(SEARCH(", "&amp;$B76&amp;", ",", "&amp;'Huỷ đơn - Huỷ nhận đơn'!$B$7:$B$500&amp;", ")))+SUMPRODUCT(--ISNUMBER(SEARCH(", "&amp;$B76&amp;", ",", "&amp;'Giao nhận &amp; Theo dõi đơn'!$B$7:$B$500&amp;", ")))+SUMPRODUCT(--ISNUMBER(SEARCH(", "&amp;$B76&amp;", ",", "&amp;'Bảng tin &amp; Chi tiết tin'!$B$7:$B$500&amp;", ")))+SUMPRODUCT(--ISNUMBER(SEARCH(", "&amp;$B76&amp;", ",", "&amp;'Quà cảm ơn'!$B$7:$B$500&amp;", ")))+SUMPRODUCT(--ISNUMBER(SEARCH(", "&amp;$B76&amp;", ",", "&amp;'Trang chủ'!$B$7:$B$500&amp;", ")))+SUMPRODUCT(--ISNUMBER(SEARCH(", "&amp;$B76&amp;", ",", "&amp;'Thông báo'!$B$7:$B$500&amp;", ")))+SUMPRODUCT(--ISNUMBER(SEARCH(", "&amp;$B76&amp;", ",", "&amp;'Đăng tin &amp; Quản lý tin'!$B$7:$B$500&amp;", ")))+SUMPRODUCT(--ISNUMBER(SEARCH(", "&amp;$B76&amp;", ",", "&amp;'Trust &amp; Safety'!$B$7:$B$500&amp;", ")))+SUMPRODUCT(--ISNUMBER(SEARCH(", "&amp;$B76&amp;", ",", "&amp;'Tài khoản &amp; Hồ sơ'!$B$7:$B$500&amp;", ")))</f>
        <v/>
      </c>
      <c r="F76" s="53">
        <f>SUMPRODUCT(--ISNUMBER(SEARCH(", "&amp;$B76&amp;", ",", "&amp;'Hoạt động (Đơn của tôi)'!$B$7:$B$500&amp;", ")),--('Hoạt động (Đơn của tôi)'!$AT$7:$AT$500&lt;&gt;""))+SUMPRODUCT(--ISNUMBER(SEARCH(", "&amp;$B76&amp;", ",", "&amp;'Ghép nối'!$B$7:$B$500&amp;", ")),--('Ghép nối'!$AT$7:$AT$500&lt;&gt;""))+SUMPRODUCT(--ISNUMBER(SEARCH(", "&amp;$B76&amp;", ",", "&amp;'Huỷ đơn - Huỷ nhận đơn'!$B$7:$B$500&amp;", ")),--('Huỷ đơn - Huỷ nhận đơn'!$AT$7:$AT$500&lt;&gt;""))+SUMPRODUCT(--ISNUMBER(SEARCH(", "&amp;$B76&amp;", ",", "&amp;'Giao nhận &amp; Theo dõi đơn'!$B$7:$B$500&amp;", ")),--('Giao nhận &amp; Theo dõi đơn'!$AT$7:$AT$500&lt;&gt;""))+SUMPRODUCT(--ISNUMBER(SEARCH(", "&amp;$B76&amp;", ",", "&amp;'Bảng tin &amp; Chi tiết tin'!$B$7:$B$500&amp;", ")),--('Bảng tin &amp; Chi tiết tin'!$AT$7:$AT$500&lt;&gt;""))+SUMPRODUCT(--ISNUMBER(SEARCH(", "&amp;$B76&amp;", ",", "&amp;'Quà cảm ơn'!$B$7:$B$500&amp;", ")),--('Quà cảm ơn'!$AT$7:$AT$500&lt;&gt;""))+SUMPRODUCT(--ISNUMBER(SEARCH(", "&amp;$B76&amp;", ",", "&amp;'Trang chủ'!$B$7:$B$500&amp;", ")),--('Trang chủ'!$AT$7:$AT$500&lt;&gt;""))+SUMPRODUCT(--ISNUMBER(SEARCH(", "&amp;$B76&amp;", ",", "&amp;'Thông báo'!$B$7:$B$500&amp;", ")),--('Thông báo'!$AT$7:$AT$500&lt;&gt;""))+SUMPRODUCT(--ISNUMBER(SEARCH(", "&amp;$B76&amp;", ",", "&amp;'Đăng tin &amp; Quản lý tin'!$B$7:$B$500&amp;", ")),--('Đăng tin &amp; Quản lý tin'!$AT$7:$AT$500&lt;&gt;""))+SUMPRODUCT(--ISNUMBER(SEARCH(", "&amp;$B76&amp;", ",", "&amp;'Trust &amp; Safety'!$B$7:$B$500&amp;", ")),--('Trust &amp; Safety'!$AT$7:$AT$500&lt;&gt;""))+SUMPRODUCT(--ISNUMBER(SEARCH(", "&amp;$B76&amp;", ",", "&amp;'Tài khoản &amp; Hồ sơ'!$B$7:$B$500&amp;", ")),--('Tài khoản &amp; Hồ sơ'!$AT$7:$AT$500&lt;&gt;""))</f>
        <v/>
      </c>
      <c r="G76" s="53">
        <f>SUMPRODUCT(--ISNUMBER(SEARCH(", "&amp;$B76&amp;", ",", "&amp;'Hoạt động (Đơn của tôi)'!$B$7:$B$500&amp;", ")),--('Hoạt động (Đơn của tôi)'!$AT$7:$AT$500="Pass"))+SUMPRODUCT(--ISNUMBER(SEARCH(", "&amp;$B76&amp;", ",", "&amp;'Ghép nối'!$B$7:$B$500&amp;", ")),--('Ghép nối'!$AT$7:$AT$500="Pass"))+SUMPRODUCT(--ISNUMBER(SEARCH(", "&amp;$B76&amp;", ",", "&amp;'Huỷ đơn - Huỷ nhận đơn'!$B$7:$B$500&amp;", ")),--('Huỷ đơn - Huỷ nhận đơn'!$AT$7:$AT$500="Pass"))+SUMPRODUCT(--ISNUMBER(SEARCH(", "&amp;$B76&amp;", ",", "&amp;'Giao nhận &amp; Theo dõi đơn'!$B$7:$B$500&amp;", ")),--('Giao nhận &amp; Theo dõi đơn'!$AT$7:$AT$500="Pass"))+SUMPRODUCT(--ISNUMBER(SEARCH(", "&amp;$B76&amp;", ",", "&amp;'Bảng tin &amp; Chi tiết tin'!$B$7:$B$500&amp;", ")),--('Bảng tin &amp; Chi tiết tin'!$AT$7:$AT$500="Pass"))+SUMPRODUCT(--ISNUMBER(SEARCH(", "&amp;$B76&amp;", ",", "&amp;'Quà cảm ơn'!$B$7:$B$500&amp;", ")),--('Quà cảm ơn'!$AT$7:$AT$500="Pass"))+SUMPRODUCT(--ISNUMBER(SEARCH(", "&amp;$B76&amp;", ",", "&amp;'Trang chủ'!$B$7:$B$500&amp;", ")),--('Trang chủ'!$AT$7:$AT$500="Pass"))+SUMPRODUCT(--ISNUMBER(SEARCH(", "&amp;$B76&amp;", ",", "&amp;'Thông báo'!$B$7:$B$500&amp;", ")),--('Thông báo'!$AT$7:$AT$500="Pass"))+SUMPRODUCT(--ISNUMBER(SEARCH(", "&amp;$B76&amp;", ",", "&amp;'Đăng tin &amp; Quản lý tin'!$B$7:$B$500&amp;", ")),--('Đăng tin &amp; Quản lý tin'!$AT$7:$AT$500="Pass"))+SUMPRODUCT(--ISNUMBER(SEARCH(", "&amp;$B76&amp;", ",", "&amp;'Trust &amp; Safety'!$B$7:$B$500&amp;", ")),--('Trust &amp; Safety'!$AT$7:$AT$500="Pass"))+SUMPRODUCT(--ISNUMBER(SEARCH(", "&amp;$B76&amp;", ",", "&amp;'Tài khoản &amp; Hồ sơ'!$B$7:$B$500&amp;", ")),--('Tài khoản &amp; Hồ sơ'!$AT$7:$AT$500="Pass"))</f>
        <v/>
      </c>
      <c r="H76" s="53">
        <f>SUMPRODUCT(--ISNUMBER(SEARCH(", "&amp;$B76&amp;", ",", "&amp;'Hoạt động (Đơn của tôi)'!$B$7:$B$500&amp;", ")),--('Hoạt động (Đơn của tôi)'!$AT$7:$AT$500="Fail"))+SUMPRODUCT(--ISNUMBER(SEARCH(", "&amp;$B76&amp;", ",", "&amp;'Ghép nối'!$B$7:$B$500&amp;", ")),--('Ghép nối'!$AT$7:$AT$500="Fail"))+SUMPRODUCT(--ISNUMBER(SEARCH(", "&amp;$B76&amp;", ",", "&amp;'Huỷ đơn - Huỷ nhận đơn'!$B$7:$B$500&amp;", ")),--('Huỷ đơn - Huỷ nhận đơn'!$AT$7:$AT$500="Fail"))+SUMPRODUCT(--ISNUMBER(SEARCH(", "&amp;$B76&amp;", ",", "&amp;'Giao nhận &amp; Theo dõi đơn'!$B$7:$B$500&amp;", ")),--('Giao nhận &amp; Theo dõi đơn'!$AT$7:$AT$500="Fail"))+SUMPRODUCT(--ISNUMBER(SEARCH(", "&amp;$B76&amp;", ",", "&amp;'Bảng tin &amp; Chi tiết tin'!$B$7:$B$500&amp;", ")),--('Bảng tin &amp; Chi tiết tin'!$AT$7:$AT$500="Fail"))+SUMPRODUCT(--ISNUMBER(SEARCH(", "&amp;$B76&amp;", ",", "&amp;'Quà cảm ơn'!$B$7:$B$500&amp;", ")),--('Quà cảm ơn'!$AT$7:$AT$500="Fail"))+SUMPRODUCT(--ISNUMBER(SEARCH(", "&amp;$B76&amp;", ",", "&amp;'Trang chủ'!$B$7:$B$500&amp;", ")),--('Trang chủ'!$AT$7:$AT$500="Fail"))+SUMPRODUCT(--ISNUMBER(SEARCH(", "&amp;$B76&amp;", ",", "&amp;'Thông báo'!$B$7:$B$500&amp;", ")),--('Thông báo'!$AT$7:$AT$500="Fail"))+SUMPRODUCT(--ISNUMBER(SEARCH(", "&amp;$B76&amp;", ",", "&amp;'Đăng tin &amp; Quản lý tin'!$B$7:$B$500&amp;", ")),--('Đăng tin &amp; Quản lý tin'!$AT$7:$AT$500="Fail"))+SUMPRODUCT(--ISNUMBER(SEARCH(", "&amp;$B76&amp;", ",", "&amp;'Trust &amp; Safety'!$B$7:$B$500&amp;", ")),--('Trust &amp; Safety'!$AT$7:$AT$500="Fail"))+SUMPRODUCT(--ISNUMBER(SEARCH(", "&amp;$B76&amp;", ",", "&amp;'Tài khoản &amp; Hồ sơ'!$B$7:$B$500&amp;", ")),--('Tài khoản &amp; Hồ sơ'!$AT$7:$AT$500="Fail"))</f>
        <v/>
      </c>
      <c r="I76" s="53">
        <f>SUMPRODUCT(--ISNUMBER(SEARCH(", "&amp;$B76&amp;", ",", "&amp;'Hoạt động (Đơn của tôi)'!$B$7:$B$500&amp;", ")),--('Hoạt động (Đơn của tôi)'!$AT$7:$AT$500="Block"))+SUMPRODUCT(--ISNUMBER(SEARCH(", "&amp;$B76&amp;", ",", "&amp;'Ghép nối'!$B$7:$B$500&amp;", ")),--('Ghép nối'!$AT$7:$AT$500="Block"))+SUMPRODUCT(--ISNUMBER(SEARCH(", "&amp;$B76&amp;", ",", "&amp;'Huỷ đơn - Huỷ nhận đơn'!$B$7:$B$500&amp;", ")),--('Huỷ đơn - Huỷ nhận đơn'!$AT$7:$AT$500="Block"))+SUMPRODUCT(--ISNUMBER(SEARCH(", "&amp;$B76&amp;", ",", "&amp;'Giao nhận &amp; Theo dõi đơn'!$B$7:$B$500&amp;", ")),--('Giao nhận &amp; Theo dõi đơn'!$AT$7:$AT$500="Block"))+SUMPRODUCT(--ISNUMBER(SEARCH(", "&amp;$B76&amp;", ",", "&amp;'Bảng tin &amp; Chi tiết tin'!$B$7:$B$500&amp;", ")),--('Bảng tin &amp; Chi tiết tin'!$AT$7:$AT$500="Block"))+SUMPRODUCT(--ISNUMBER(SEARCH(", "&amp;$B76&amp;", ",", "&amp;'Quà cảm ơn'!$B$7:$B$500&amp;", ")),--('Quà cảm ơn'!$AT$7:$AT$500="Block"))+SUMPRODUCT(--ISNUMBER(SEARCH(", "&amp;$B76&amp;", ",", "&amp;'Trang chủ'!$B$7:$B$500&amp;", ")),--('Trang chủ'!$AT$7:$AT$500="Block"))+SUMPRODUCT(--ISNUMBER(SEARCH(", "&amp;$B76&amp;", ",", "&amp;'Thông báo'!$B$7:$B$500&amp;", ")),--('Thông báo'!$AT$7:$AT$500="Block"))+SUMPRODUCT(--ISNUMBER(SEARCH(", "&amp;$B76&amp;", ",", "&amp;'Đăng tin &amp; Quản lý tin'!$B$7:$B$500&amp;", ")),--('Đăng tin &amp; Quản lý tin'!$AT$7:$AT$500="Block"))+SUMPRODUCT(--ISNUMBER(SEARCH(", "&amp;$B76&amp;", ",", "&amp;'Trust &amp; Safety'!$B$7:$B$500&amp;", ")),--('Trust &amp; Safety'!$AT$7:$AT$500="Block"))+SUMPRODUCT(--ISNUMBER(SEARCH(", "&amp;$B76&amp;", ",", "&amp;'Tài khoản &amp; Hồ sơ'!$B$7:$B$500&amp;", ")),--('Tài khoản &amp; Hồ sơ'!$AT$7:$AT$500="Block"))</f>
        <v/>
      </c>
      <c r="J76" s="53">
        <f>SUMPRODUCT(--ISNUMBER(SEARCH(", "&amp;$B76&amp;", ",", "&amp;'Hoạt động (Đơn của tôi)'!$B$7:$B$500&amp;", ")),--('Hoạt động (Đơn của tôi)'!$AT$7:$AT$500="N/A"))+SUMPRODUCT(--ISNUMBER(SEARCH(", "&amp;$B76&amp;", ",", "&amp;'Ghép nối'!$B$7:$B$500&amp;", ")),--('Ghép nối'!$AT$7:$AT$500="N/A"))+SUMPRODUCT(--ISNUMBER(SEARCH(", "&amp;$B76&amp;", ",", "&amp;'Huỷ đơn - Huỷ nhận đơn'!$B$7:$B$500&amp;", ")),--('Huỷ đơn - Huỷ nhận đơn'!$AT$7:$AT$500="N/A"))+SUMPRODUCT(--ISNUMBER(SEARCH(", "&amp;$B76&amp;", ",", "&amp;'Giao nhận &amp; Theo dõi đơn'!$B$7:$B$500&amp;", ")),--('Giao nhận &amp; Theo dõi đơn'!$AT$7:$AT$500="N/A"))+SUMPRODUCT(--ISNUMBER(SEARCH(", "&amp;$B76&amp;", ",", "&amp;'Bảng tin &amp; Chi tiết tin'!$B$7:$B$500&amp;", ")),--('Bảng tin &amp; Chi tiết tin'!$AT$7:$AT$500="N/A"))+SUMPRODUCT(--ISNUMBER(SEARCH(", "&amp;$B76&amp;", ",", "&amp;'Quà cảm ơn'!$B$7:$B$500&amp;", ")),--('Quà cảm ơn'!$AT$7:$AT$500="N/A"))+SUMPRODUCT(--ISNUMBER(SEARCH(", "&amp;$B76&amp;", ",", "&amp;'Trang chủ'!$B$7:$B$500&amp;", ")),--('Trang chủ'!$AT$7:$AT$500="N/A"))+SUMPRODUCT(--ISNUMBER(SEARCH(", "&amp;$B76&amp;", ",", "&amp;'Thông báo'!$B$7:$B$500&amp;", ")),--('Thông báo'!$AT$7:$AT$500="N/A"))+SUMPRODUCT(--ISNUMBER(SEARCH(", "&amp;$B76&amp;", ",", "&amp;'Đăng tin &amp; Quản lý tin'!$B$7:$B$500&amp;", ")),--('Đăng tin &amp; Quản lý tin'!$AT$7:$AT$500="N/A"))+SUMPRODUCT(--ISNUMBER(SEARCH(", "&amp;$B76&amp;", ",", "&amp;'Trust &amp; Safety'!$B$7:$B$500&amp;", ")),--('Trust &amp; Safety'!$AT$7:$AT$500="N/A"))+SUMPRODUCT(--ISNUMBER(SEARCH(", "&amp;$B76&amp;", ",", "&amp;'Tài khoản &amp; Hồ sơ'!$B$7:$B$500&amp;", ")),--('Tài khoản &amp; Hồ sơ'!$AT$7:$AT$500="N/A"))</f>
        <v/>
      </c>
      <c r="K76" s="54">
        <f>IFERROR(F76/E76,0)</f>
        <v/>
      </c>
      <c r="L76" s="113">
        <f>IF(E76=0,"Chưa có TC (gap)",IF(H76&gt;0,"Có lỗi (Fail)",IF(I76&gt;0,"Bị block",IF(F76&lt;E76,"Đang test",IF(G76=0,"Không áp dụng (N/A)","Đã test xong")))))</f>
        <v/>
      </c>
      <c r="AB76" t="inlineStr">
        <is>
          <t>REQ-HOME</t>
        </is>
      </c>
    </row>
    <row r="77" ht="15.75" customHeight="1" s="216">
      <c r="A77" s="1" t="n"/>
      <c r="B77" s="112" t="inlineStr">
        <is>
          <t>REQ-HOME-012</t>
        </is>
      </c>
      <c r="C77" s="261" t="inlineStr">
        <is>
          <t>Description: "Đặc tả nội dung hiển thị khi chưa có dữ liệu, để người dùng mới hiểu cần làm gì thay vì tưởng ứng dụng bị lỗi."  §8.17.1 (bảng, 3 dòng liên quan Trang chủ): EMP-01 | Trang chủ — Tin mới | "Chưa có tin nào trong khu vực của bạn" + "Đăng tin để đồng nghiệp nhìn thấy nhu cầu của bạn" | CTA "Đăng tin ngay" EMP-02 | Trang chủ — Đơn của tôi | "Bạn chưa có đơn nào đang chạy" | CTA "Tạo đơn gửi hàng" EMP-03 | Trang chủ — Hero &amp; cộng đồng | Hero hiện "0 · Chưa có đóng góp nào"; cụm cộng đồng hiện "0 đơn · 0 người" | CTA "—"  BR17-01: "Mỗi empty state gồm: icon nét mảnh màu neutral + một dòng tiêu đề + một dòng giải thích + tối đa một CTA." BR17-02: "Không dùng ảnh minh hoạ nặng; không hiện skeleton vô hạn — phân biệt rõ đang tải và không có dữ liệu." BR17-03: "Empty state không được che thanh tab dưới và vẫn cuộn được.</t>
        </is>
      </c>
      <c r="D77" s="113" t="inlineStr">
        <is>
          <t>DOC-v1.1-01 §8.17 "FR17 — Trạng thái trống (Empty state)" · §8.17.1 "Danh mục empty state" · trang 51</t>
        </is>
      </c>
      <c r="E77" s="53">
        <f>SUMPRODUCT(--ISNUMBER(SEARCH(", "&amp;$B77&amp;", ",", "&amp;'Hoạt động (Đơn của tôi)'!$B$7:$B$500&amp;", ")))+SUMPRODUCT(--ISNUMBER(SEARCH(", "&amp;$B77&amp;", ",", "&amp;'Ghép nối'!$B$7:$B$500&amp;", ")))+SUMPRODUCT(--ISNUMBER(SEARCH(", "&amp;$B77&amp;", ",", "&amp;'Huỷ đơn - Huỷ nhận đơn'!$B$7:$B$500&amp;", ")))+SUMPRODUCT(--ISNUMBER(SEARCH(", "&amp;$B77&amp;", ",", "&amp;'Giao nhận &amp; Theo dõi đơn'!$B$7:$B$500&amp;", ")))+SUMPRODUCT(--ISNUMBER(SEARCH(", "&amp;$B77&amp;", ",", "&amp;'Bảng tin &amp; Chi tiết tin'!$B$7:$B$500&amp;", ")))+SUMPRODUCT(--ISNUMBER(SEARCH(", "&amp;$B77&amp;", ",", "&amp;'Quà cảm ơn'!$B$7:$B$500&amp;", ")))+SUMPRODUCT(--ISNUMBER(SEARCH(", "&amp;$B77&amp;", ",", "&amp;'Trang chủ'!$B$7:$B$500&amp;", ")))+SUMPRODUCT(--ISNUMBER(SEARCH(", "&amp;$B77&amp;", ",", "&amp;'Thông báo'!$B$7:$B$500&amp;", ")))+SUMPRODUCT(--ISNUMBER(SEARCH(", "&amp;$B77&amp;", ",", "&amp;'Đăng tin &amp; Quản lý tin'!$B$7:$B$500&amp;", ")))+SUMPRODUCT(--ISNUMBER(SEARCH(", "&amp;$B77&amp;", ",", "&amp;'Trust &amp; Safety'!$B$7:$B$500&amp;", ")))+SUMPRODUCT(--ISNUMBER(SEARCH(", "&amp;$B77&amp;", ",", "&amp;'Tài khoản &amp; Hồ sơ'!$B$7:$B$500&amp;", ")))</f>
        <v/>
      </c>
      <c r="F77" s="53">
        <f>SUMPRODUCT(--ISNUMBER(SEARCH(", "&amp;$B77&amp;", ",", "&amp;'Hoạt động (Đơn của tôi)'!$B$7:$B$500&amp;", ")),--('Hoạt động (Đơn của tôi)'!$AT$7:$AT$500&lt;&gt;""))+SUMPRODUCT(--ISNUMBER(SEARCH(", "&amp;$B77&amp;", ",", "&amp;'Ghép nối'!$B$7:$B$500&amp;", ")),--('Ghép nối'!$AT$7:$AT$500&lt;&gt;""))+SUMPRODUCT(--ISNUMBER(SEARCH(", "&amp;$B77&amp;", ",", "&amp;'Huỷ đơn - Huỷ nhận đơn'!$B$7:$B$500&amp;", ")),--('Huỷ đơn - Huỷ nhận đơn'!$AT$7:$AT$500&lt;&gt;""))+SUMPRODUCT(--ISNUMBER(SEARCH(", "&amp;$B77&amp;", ",", "&amp;'Giao nhận &amp; Theo dõi đơn'!$B$7:$B$500&amp;", ")),--('Giao nhận &amp; Theo dõi đơn'!$AT$7:$AT$500&lt;&gt;""))+SUMPRODUCT(--ISNUMBER(SEARCH(", "&amp;$B77&amp;", ",", "&amp;'Bảng tin &amp; Chi tiết tin'!$B$7:$B$500&amp;", ")),--('Bảng tin &amp; Chi tiết tin'!$AT$7:$AT$500&lt;&gt;""))+SUMPRODUCT(--ISNUMBER(SEARCH(", "&amp;$B77&amp;", ",", "&amp;'Quà cảm ơn'!$B$7:$B$500&amp;", ")),--('Quà cảm ơn'!$AT$7:$AT$500&lt;&gt;""))+SUMPRODUCT(--ISNUMBER(SEARCH(", "&amp;$B77&amp;", ",", "&amp;'Trang chủ'!$B$7:$B$500&amp;", ")),--('Trang chủ'!$AT$7:$AT$500&lt;&gt;""))+SUMPRODUCT(--ISNUMBER(SEARCH(", "&amp;$B77&amp;", ",", "&amp;'Thông báo'!$B$7:$B$500&amp;", ")),--('Thông báo'!$AT$7:$AT$500&lt;&gt;""))+SUMPRODUCT(--ISNUMBER(SEARCH(", "&amp;$B77&amp;", ",", "&amp;'Đăng tin &amp; Quản lý tin'!$B$7:$B$500&amp;", ")),--('Đăng tin &amp; Quản lý tin'!$AT$7:$AT$500&lt;&gt;""))+SUMPRODUCT(--ISNUMBER(SEARCH(", "&amp;$B77&amp;", ",", "&amp;'Trust &amp; Safety'!$B$7:$B$500&amp;", ")),--('Trust &amp; Safety'!$AT$7:$AT$500&lt;&gt;""))+SUMPRODUCT(--ISNUMBER(SEARCH(", "&amp;$B77&amp;", ",", "&amp;'Tài khoản &amp; Hồ sơ'!$B$7:$B$500&amp;", ")),--('Tài khoản &amp; Hồ sơ'!$AT$7:$AT$500&lt;&gt;""))</f>
        <v/>
      </c>
      <c r="G77" s="53">
        <f>SUMPRODUCT(--ISNUMBER(SEARCH(", "&amp;$B77&amp;", ",", "&amp;'Hoạt động (Đơn của tôi)'!$B$7:$B$500&amp;", ")),--('Hoạt động (Đơn của tôi)'!$AT$7:$AT$500="Pass"))+SUMPRODUCT(--ISNUMBER(SEARCH(", "&amp;$B77&amp;", ",", "&amp;'Ghép nối'!$B$7:$B$500&amp;", ")),--('Ghép nối'!$AT$7:$AT$500="Pass"))+SUMPRODUCT(--ISNUMBER(SEARCH(", "&amp;$B77&amp;", ",", "&amp;'Huỷ đơn - Huỷ nhận đơn'!$B$7:$B$500&amp;", ")),--('Huỷ đơn - Huỷ nhận đơn'!$AT$7:$AT$500="Pass"))+SUMPRODUCT(--ISNUMBER(SEARCH(", "&amp;$B77&amp;", ",", "&amp;'Giao nhận &amp; Theo dõi đơn'!$B$7:$B$500&amp;", ")),--('Giao nhận &amp; Theo dõi đơn'!$AT$7:$AT$500="Pass"))+SUMPRODUCT(--ISNUMBER(SEARCH(", "&amp;$B77&amp;", ",", "&amp;'Bảng tin &amp; Chi tiết tin'!$B$7:$B$500&amp;", ")),--('Bảng tin &amp; Chi tiết tin'!$AT$7:$AT$500="Pass"))+SUMPRODUCT(--ISNUMBER(SEARCH(", "&amp;$B77&amp;", ",", "&amp;'Quà cảm ơn'!$B$7:$B$500&amp;", ")),--('Quà cảm ơn'!$AT$7:$AT$500="Pass"))+SUMPRODUCT(--ISNUMBER(SEARCH(", "&amp;$B77&amp;", ",", "&amp;'Trang chủ'!$B$7:$B$500&amp;", ")),--('Trang chủ'!$AT$7:$AT$500="Pass"))+SUMPRODUCT(--ISNUMBER(SEARCH(", "&amp;$B77&amp;", ",", "&amp;'Thông báo'!$B$7:$B$500&amp;", ")),--('Thông báo'!$AT$7:$AT$500="Pass"))+SUMPRODUCT(--ISNUMBER(SEARCH(", "&amp;$B77&amp;", ",", "&amp;'Đăng tin &amp; Quản lý tin'!$B$7:$B$500&amp;", ")),--('Đăng tin &amp; Quản lý tin'!$AT$7:$AT$500="Pass"))+SUMPRODUCT(--ISNUMBER(SEARCH(", "&amp;$B77&amp;", ",", "&amp;'Trust &amp; Safety'!$B$7:$B$500&amp;", ")),--('Trust &amp; Safety'!$AT$7:$AT$500="Pass"))+SUMPRODUCT(--ISNUMBER(SEARCH(", "&amp;$B77&amp;", ",", "&amp;'Tài khoản &amp; Hồ sơ'!$B$7:$B$500&amp;", ")),--('Tài khoản &amp; Hồ sơ'!$AT$7:$AT$500="Pass"))</f>
        <v/>
      </c>
      <c r="H77" s="53">
        <f>SUMPRODUCT(--ISNUMBER(SEARCH(", "&amp;$B77&amp;", ",", "&amp;'Hoạt động (Đơn của tôi)'!$B$7:$B$500&amp;", ")),--('Hoạt động (Đơn của tôi)'!$AT$7:$AT$500="Fail"))+SUMPRODUCT(--ISNUMBER(SEARCH(", "&amp;$B77&amp;", ",", "&amp;'Ghép nối'!$B$7:$B$500&amp;", ")),--('Ghép nối'!$AT$7:$AT$500="Fail"))+SUMPRODUCT(--ISNUMBER(SEARCH(", "&amp;$B77&amp;", ",", "&amp;'Huỷ đơn - Huỷ nhận đơn'!$B$7:$B$500&amp;", ")),--('Huỷ đơn - Huỷ nhận đơn'!$AT$7:$AT$500="Fail"))+SUMPRODUCT(--ISNUMBER(SEARCH(", "&amp;$B77&amp;", ",", "&amp;'Giao nhận &amp; Theo dõi đơn'!$B$7:$B$500&amp;", ")),--('Giao nhận &amp; Theo dõi đơn'!$AT$7:$AT$500="Fail"))+SUMPRODUCT(--ISNUMBER(SEARCH(", "&amp;$B77&amp;", ",", "&amp;'Bảng tin &amp; Chi tiết tin'!$B$7:$B$500&amp;", ")),--('Bảng tin &amp; Chi tiết tin'!$AT$7:$AT$500="Fail"))+SUMPRODUCT(--ISNUMBER(SEARCH(", "&amp;$B77&amp;", ",", "&amp;'Quà cảm ơn'!$B$7:$B$500&amp;", ")),--('Quà cảm ơn'!$AT$7:$AT$500="Fail"))+SUMPRODUCT(--ISNUMBER(SEARCH(", "&amp;$B77&amp;", ",", "&amp;'Trang chủ'!$B$7:$B$500&amp;", ")),--('Trang chủ'!$AT$7:$AT$500="Fail"))+SUMPRODUCT(--ISNUMBER(SEARCH(", "&amp;$B77&amp;", ",", "&amp;'Thông báo'!$B$7:$B$500&amp;", ")),--('Thông báo'!$AT$7:$AT$500="Fail"))+SUMPRODUCT(--ISNUMBER(SEARCH(", "&amp;$B77&amp;", ",", "&amp;'Đăng tin &amp; Quản lý tin'!$B$7:$B$500&amp;", ")),--('Đăng tin &amp; Quản lý tin'!$AT$7:$AT$500="Fail"))+SUMPRODUCT(--ISNUMBER(SEARCH(", "&amp;$B77&amp;", ",", "&amp;'Trust &amp; Safety'!$B$7:$B$500&amp;", ")),--('Trust &amp; Safety'!$AT$7:$AT$500="Fail"))+SUMPRODUCT(--ISNUMBER(SEARCH(", "&amp;$B77&amp;", ",", "&amp;'Tài khoản &amp; Hồ sơ'!$B$7:$B$500&amp;", ")),--('Tài khoản &amp; Hồ sơ'!$AT$7:$AT$500="Fail"))</f>
        <v/>
      </c>
      <c r="I77" s="53">
        <f>SUMPRODUCT(--ISNUMBER(SEARCH(", "&amp;$B77&amp;", ",", "&amp;'Hoạt động (Đơn của tôi)'!$B$7:$B$500&amp;", ")),--('Hoạt động (Đơn của tôi)'!$AT$7:$AT$500="Block"))+SUMPRODUCT(--ISNUMBER(SEARCH(", "&amp;$B77&amp;", ",", "&amp;'Ghép nối'!$B$7:$B$500&amp;", ")),--('Ghép nối'!$AT$7:$AT$500="Block"))+SUMPRODUCT(--ISNUMBER(SEARCH(", "&amp;$B77&amp;", ",", "&amp;'Huỷ đơn - Huỷ nhận đơn'!$B$7:$B$500&amp;", ")),--('Huỷ đơn - Huỷ nhận đơn'!$AT$7:$AT$500="Block"))+SUMPRODUCT(--ISNUMBER(SEARCH(", "&amp;$B77&amp;", ",", "&amp;'Giao nhận &amp; Theo dõi đơn'!$B$7:$B$500&amp;", ")),--('Giao nhận &amp; Theo dõi đơn'!$AT$7:$AT$500="Block"))+SUMPRODUCT(--ISNUMBER(SEARCH(", "&amp;$B77&amp;", ",", "&amp;'Bảng tin &amp; Chi tiết tin'!$B$7:$B$500&amp;", ")),--('Bảng tin &amp; Chi tiết tin'!$AT$7:$AT$500="Block"))+SUMPRODUCT(--ISNUMBER(SEARCH(", "&amp;$B77&amp;", ",", "&amp;'Quà cảm ơn'!$B$7:$B$500&amp;", ")),--('Quà cảm ơn'!$AT$7:$AT$500="Block"))+SUMPRODUCT(--ISNUMBER(SEARCH(", "&amp;$B77&amp;", ",", "&amp;'Trang chủ'!$B$7:$B$500&amp;", ")),--('Trang chủ'!$AT$7:$AT$500="Block"))+SUMPRODUCT(--ISNUMBER(SEARCH(", "&amp;$B77&amp;", ",", "&amp;'Thông báo'!$B$7:$B$500&amp;", ")),--('Thông báo'!$AT$7:$AT$500="Block"))+SUMPRODUCT(--ISNUMBER(SEARCH(", "&amp;$B77&amp;", ",", "&amp;'Đăng tin &amp; Quản lý tin'!$B$7:$B$500&amp;", ")),--('Đăng tin &amp; Quản lý tin'!$AT$7:$AT$500="Block"))+SUMPRODUCT(--ISNUMBER(SEARCH(", "&amp;$B77&amp;", ",", "&amp;'Trust &amp; Safety'!$B$7:$B$500&amp;", ")),--('Trust &amp; Safety'!$AT$7:$AT$500="Block"))+SUMPRODUCT(--ISNUMBER(SEARCH(", "&amp;$B77&amp;", ",", "&amp;'Tài khoản &amp; Hồ sơ'!$B$7:$B$500&amp;", ")),--('Tài khoản &amp; Hồ sơ'!$AT$7:$AT$500="Block"))</f>
        <v/>
      </c>
      <c r="J77" s="53">
        <f>SUMPRODUCT(--ISNUMBER(SEARCH(", "&amp;$B77&amp;", ",", "&amp;'Hoạt động (Đơn của tôi)'!$B$7:$B$500&amp;", ")),--('Hoạt động (Đơn của tôi)'!$AT$7:$AT$500="N/A"))+SUMPRODUCT(--ISNUMBER(SEARCH(", "&amp;$B77&amp;", ",", "&amp;'Ghép nối'!$B$7:$B$500&amp;", ")),--('Ghép nối'!$AT$7:$AT$500="N/A"))+SUMPRODUCT(--ISNUMBER(SEARCH(", "&amp;$B77&amp;", ",", "&amp;'Huỷ đơn - Huỷ nhận đơn'!$B$7:$B$500&amp;", ")),--('Huỷ đơn - Huỷ nhận đơn'!$AT$7:$AT$500="N/A"))+SUMPRODUCT(--ISNUMBER(SEARCH(", "&amp;$B77&amp;", ",", "&amp;'Giao nhận &amp; Theo dõi đơn'!$B$7:$B$500&amp;", ")),--('Giao nhận &amp; Theo dõi đơn'!$AT$7:$AT$500="N/A"))+SUMPRODUCT(--ISNUMBER(SEARCH(", "&amp;$B77&amp;", ",", "&amp;'Bảng tin &amp; Chi tiết tin'!$B$7:$B$500&amp;", ")),--('Bảng tin &amp; Chi tiết tin'!$AT$7:$AT$500="N/A"))+SUMPRODUCT(--ISNUMBER(SEARCH(", "&amp;$B77&amp;", ",", "&amp;'Quà cảm ơn'!$B$7:$B$500&amp;", ")),--('Quà cảm ơn'!$AT$7:$AT$500="N/A"))+SUMPRODUCT(--ISNUMBER(SEARCH(", "&amp;$B77&amp;", ",", "&amp;'Trang chủ'!$B$7:$B$500&amp;", ")),--('Trang chủ'!$AT$7:$AT$500="N/A"))+SUMPRODUCT(--ISNUMBER(SEARCH(", "&amp;$B77&amp;", ",", "&amp;'Thông báo'!$B$7:$B$500&amp;", ")),--('Thông báo'!$AT$7:$AT$500="N/A"))+SUMPRODUCT(--ISNUMBER(SEARCH(", "&amp;$B77&amp;", ",", "&amp;'Đăng tin &amp; Quản lý tin'!$B$7:$B$500&amp;", ")),--('Đăng tin &amp; Quản lý tin'!$AT$7:$AT$500="N/A"))+SUMPRODUCT(--ISNUMBER(SEARCH(", "&amp;$B77&amp;", ",", "&amp;'Trust &amp; Safety'!$B$7:$B$500&amp;", ")),--('Trust &amp; Safety'!$AT$7:$AT$500="N/A"))+SUMPRODUCT(--ISNUMBER(SEARCH(", "&amp;$B77&amp;", ",", "&amp;'Tài khoản &amp; Hồ sơ'!$B$7:$B$500&amp;", ")),--('Tài khoản &amp; Hồ sơ'!$AT$7:$AT$500="N/A"))</f>
        <v/>
      </c>
      <c r="K77" s="54">
        <f>IFERROR(F77/E77,0)</f>
        <v/>
      </c>
      <c r="L77" s="113">
        <f>IF(E77=0,"Chưa có TC (gap)",IF(H77&gt;0,"Có lỗi (Fail)",IF(I77&gt;0,"Bị block",IF(F77&lt;E77,"Đang test",IF(G77=0,"Không áp dụng (N/A)","Đã test xong")))))</f>
        <v/>
      </c>
      <c r="AB77" t="inlineStr">
        <is>
          <t>REQ-HOME</t>
        </is>
      </c>
    </row>
    <row r="78" ht="15.75" customHeight="1" s="216">
      <c r="A78" s="1" t="n"/>
      <c r="B78" s="112" t="inlineStr">
        <is>
          <t>REQ-HOME-013</t>
        </is>
      </c>
      <c r="C78" s="261" t="inlineStr">
        <is>
          <t>NFR01 | Performance | "Bảng tin và trang chủ hiển thị nội dung đầu tiên &lt; 2 giây (p95) trên mạng 4G với 1.000 người dùng đồng thời." | Cách đo: "Load test trước go-live.</t>
        </is>
      </c>
      <c r="D78" s="113" t="inlineStr">
        <is>
          <t>DOC-v1.1-01 §9 "Non-Functional Requirements" · NFR01 · trang 53</t>
        </is>
      </c>
      <c r="E78" s="53">
        <f>SUMPRODUCT(--ISNUMBER(SEARCH(", "&amp;$B78&amp;", ",", "&amp;'Hoạt động (Đơn của tôi)'!$B$7:$B$500&amp;", ")))+SUMPRODUCT(--ISNUMBER(SEARCH(", "&amp;$B78&amp;", ",", "&amp;'Ghép nối'!$B$7:$B$500&amp;", ")))+SUMPRODUCT(--ISNUMBER(SEARCH(", "&amp;$B78&amp;", ",", "&amp;'Huỷ đơn - Huỷ nhận đơn'!$B$7:$B$500&amp;", ")))+SUMPRODUCT(--ISNUMBER(SEARCH(", "&amp;$B78&amp;", ",", "&amp;'Giao nhận &amp; Theo dõi đơn'!$B$7:$B$500&amp;", ")))+SUMPRODUCT(--ISNUMBER(SEARCH(", "&amp;$B78&amp;", ",", "&amp;'Bảng tin &amp; Chi tiết tin'!$B$7:$B$500&amp;", ")))+SUMPRODUCT(--ISNUMBER(SEARCH(", "&amp;$B78&amp;", ",", "&amp;'Quà cảm ơn'!$B$7:$B$500&amp;", ")))+SUMPRODUCT(--ISNUMBER(SEARCH(", "&amp;$B78&amp;", ",", "&amp;'Trang chủ'!$B$7:$B$500&amp;", ")))+SUMPRODUCT(--ISNUMBER(SEARCH(", "&amp;$B78&amp;", ",", "&amp;'Thông báo'!$B$7:$B$500&amp;", ")))+SUMPRODUCT(--ISNUMBER(SEARCH(", "&amp;$B78&amp;", ",", "&amp;'Đăng tin &amp; Quản lý tin'!$B$7:$B$500&amp;", ")))+SUMPRODUCT(--ISNUMBER(SEARCH(", "&amp;$B78&amp;", ",", "&amp;'Trust &amp; Safety'!$B$7:$B$500&amp;", ")))+SUMPRODUCT(--ISNUMBER(SEARCH(", "&amp;$B78&amp;", ",", "&amp;'Tài khoản &amp; Hồ sơ'!$B$7:$B$500&amp;", ")))</f>
        <v/>
      </c>
      <c r="F78" s="53">
        <f>SUMPRODUCT(--ISNUMBER(SEARCH(", "&amp;$B78&amp;", ",", "&amp;'Hoạt động (Đơn của tôi)'!$B$7:$B$500&amp;", ")),--('Hoạt động (Đơn của tôi)'!$AT$7:$AT$500&lt;&gt;""))+SUMPRODUCT(--ISNUMBER(SEARCH(", "&amp;$B78&amp;", ",", "&amp;'Ghép nối'!$B$7:$B$500&amp;", ")),--('Ghép nối'!$AT$7:$AT$500&lt;&gt;""))+SUMPRODUCT(--ISNUMBER(SEARCH(", "&amp;$B78&amp;", ",", "&amp;'Huỷ đơn - Huỷ nhận đơn'!$B$7:$B$500&amp;", ")),--('Huỷ đơn - Huỷ nhận đơn'!$AT$7:$AT$500&lt;&gt;""))+SUMPRODUCT(--ISNUMBER(SEARCH(", "&amp;$B78&amp;", ",", "&amp;'Giao nhận &amp; Theo dõi đơn'!$B$7:$B$500&amp;", ")),--('Giao nhận &amp; Theo dõi đơn'!$AT$7:$AT$500&lt;&gt;""))+SUMPRODUCT(--ISNUMBER(SEARCH(", "&amp;$B78&amp;", ",", "&amp;'Bảng tin &amp; Chi tiết tin'!$B$7:$B$500&amp;", ")),--('Bảng tin &amp; Chi tiết tin'!$AT$7:$AT$500&lt;&gt;""))+SUMPRODUCT(--ISNUMBER(SEARCH(", "&amp;$B78&amp;", ",", "&amp;'Quà cảm ơn'!$B$7:$B$500&amp;", ")),--('Quà cảm ơn'!$AT$7:$AT$500&lt;&gt;""))+SUMPRODUCT(--ISNUMBER(SEARCH(", "&amp;$B78&amp;", ",", "&amp;'Trang chủ'!$B$7:$B$500&amp;", ")),--('Trang chủ'!$AT$7:$AT$500&lt;&gt;""))+SUMPRODUCT(--ISNUMBER(SEARCH(", "&amp;$B78&amp;", ",", "&amp;'Thông báo'!$B$7:$B$500&amp;", ")),--('Thông báo'!$AT$7:$AT$500&lt;&gt;""))+SUMPRODUCT(--ISNUMBER(SEARCH(", "&amp;$B78&amp;", ",", "&amp;'Đăng tin &amp; Quản lý tin'!$B$7:$B$500&amp;", ")),--('Đăng tin &amp; Quản lý tin'!$AT$7:$AT$500&lt;&gt;""))+SUMPRODUCT(--ISNUMBER(SEARCH(", "&amp;$B78&amp;", ",", "&amp;'Trust &amp; Safety'!$B$7:$B$500&amp;", ")),--('Trust &amp; Safety'!$AT$7:$AT$500&lt;&gt;""))+SUMPRODUCT(--ISNUMBER(SEARCH(", "&amp;$B78&amp;", ",", "&amp;'Tài khoản &amp; Hồ sơ'!$B$7:$B$500&amp;", ")),--('Tài khoản &amp; Hồ sơ'!$AT$7:$AT$500&lt;&gt;""))</f>
        <v/>
      </c>
      <c r="G78" s="53">
        <f>SUMPRODUCT(--ISNUMBER(SEARCH(", "&amp;$B78&amp;", ",", "&amp;'Hoạt động (Đơn của tôi)'!$B$7:$B$500&amp;", ")),--('Hoạt động (Đơn của tôi)'!$AT$7:$AT$500="Pass"))+SUMPRODUCT(--ISNUMBER(SEARCH(", "&amp;$B78&amp;", ",", "&amp;'Ghép nối'!$B$7:$B$500&amp;", ")),--('Ghép nối'!$AT$7:$AT$500="Pass"))+SUMPRODUCT(--ISNUMBER(SEARCH(", "&amp;$B78&amp;", ",", "&amp;'Huỷ đơn - Huỷ nhận đơn'!$B$7:$B$500&amp;", ")),--('Huỷ đơn - Huỷ nhận đơn'!$AT$7:$AT$500="Pass"))+SUMPRODUCT(--ISNUMBER(SEARCH(", "&amp;$B78&amp;", ",", "&amp;'Giao nhận &amp; Theo dõi đơn'!$B$7:$B$500&amp;", ")),--('Giao nhận &amp; Theo dõi đơn'!$AT$7:$AT$500="Pass"))+SUMPRODUCT(--ISNUMBER(SEARCH(", "&amp;$B78&amp;", ",", "&amp;'Bảng tin &amp; Chi tiết tin'!$B$7:$B$500&amp;", ")),--('Bảng tin &amp; Chi tiết tin'!$AT$7:$AT$500="Pass"))+SUMPRODUCT(--ISNUMBER(SEARCH(", "&amp;$B78&amp;", ",", "&amp;'Quà cảm ơn'!$B$7:$B$500&amp;", ")),--('Quà cảm ơn'!$AT$7:$AT$500="Pass"))+SUMPRODUCT(--ISNUMBER(SEARCH(", "&amp;$B78&amp;", ",", "&amp;'Trang chủ'!$B$7:$B$500&amp;", ")),--('Trang chủ'!$AT$7:$AT$500="Pass"))+SUMPRODUCT(--ISNUMBER(SEARCH(", "&amp;$B78&amp;", ",", "&amp;'Thông báo'!$B$7:$B$500&amp;", ")),--('Thông báo'!$AT$7:$AT$500="Pass"))+SUMPRODUCT(--ISNUMBER(SEARCH(", "&amp;$B78&amp;", ",", "&amp;'Đăng tin &amp; Quản lý tin'!$B$7:$B$500&amp;", ")),--('Đăng tin &amp; Quản lý tin'!$AT$7:$AT$500="Pass"))+SUMPRODUCT(--ISNUMBER(SEARCH(", "&amp;$B78&amp;", ",", "&amp;'Trust &amp; Safety'!$B$7:$B$500&amp;", ")),--('Trust &amp; Safety'!$AT$7:$AT$500="Pass"))+SUMPRODUCT(--ISNUMBER(SEARCH(", "&amp;$B78&amp;", ",", "&amp;'Tài khoản &amp; Hồ sơ'!$B$7:$B$500&amp;", ")),--('Tài khoản &amp; Hồ sơ'!$AT$7:$AT$500="Pass"))</f>
        <v/>
      </c>
      <c r="H78" s="53">
        <f>SUMPRODUCT(--ISNUMBER(SEARCH(", "&amp;$B78&amp;", ",", "&amp;'Hoạt động (Đơn của tôi)'!$B$7:$B$500&amp;", ")),--('Hoạt động (Đơn của tôi)'!$AT$7:$AT$500="Fail"))+SUMPRODUCT(--ISNUMBER(SEARCH(", "&amp;$B78&amp;", ",", "&amp;'Ghép nối'!$B$7:$B$500&amp;", ")),--('Ghép nối'!$AT$7:$AT$500="Fail"))+SUMPRODUCT(--ISNUMBER(SEARCH(", "&amp;$B78&amp;", ",", "&amp;'Huỷ đơn - Huỷ nhận đơn'!$B$7:$B$500&amp;", ")),--('Huỷ đơn - Huỷ nhận đơn'!$AT$7:$AT$500="Fail"))+SUMPRODUCT(--ISNUMBER(SEARCH(", "&amp;$B78&amp;", ",", "&amp;'Giao nhận &amp; Theo dõi đơn'!$B$7:$B$500&amp;", ")),--('Giao nhận &amp; Theo dõi đơn'!$AT$7:$AT$500="Fail"))+SUMPRODUCT(--ISNUMBER(SEARCH(", "&amp;$B78&amp;", ",", "&amp;'Bảng tin &amp; Chi tiết tin'!$B$7:$B$500&amp;", ")),--('Bảng tin &amp; Chi tiết tin'!$AT$7:$AT$500="Fail"))+SUMPRODUCT(--ISNUMBER(SEARCH(", "&amp;$B78&amp;", ",", "&amp;'Quà cảm ơn'!$B$7:$B$500&amp;", ")),--('Quà cảm ơn'!$AT$7:$AT$500="Fail"))+SUMPRODUCT(--ISNUMBER(SEARCH(", "&amp;$B78&amp;", ",", "&amp;'Trang chủ'!$B$7:$B$500&amp;", ")),--('Trang chủ'!$AT$7:$AT$500="Fail"))+SUMPRODUCT(--ISNUMBER(SEARCH(", "&amp;$B78&amp;", ",", "&amp;'Thông báo'!$B$7:$B$500&amp;", ")),--('Thông báo'!$AT$7:$AT$500="Fail"))+SUMPRODUCT(--ISNUMBER(SEARCH(", "&amp;$B78&amp;", ",", "&amp;'Đăng tin &amp; Quản lý tin'!$B$7:$B$500&amp;", ")),--('Đăng tin &amp; Quản lý tin'!$AT$7:$AT$500="Fail"))+SUMPRODUCT(--ISNUMBER(SEARCH(", "&amp;$B78&amp;", ",", "&amp;'Trust &amp; Safety'!$B$7:$B$500&amp;", ")),--('Trust &amp; Safety'!$AT$7:$AT$500="Fail"))+SUMPRODUCT(--ISNUMBER(SEARCH(", "&amp;$B78&amp;", ",", "&amp;'Tài khoản &amp; Hồ sơ'!$B$7:$B$500&amp;", ")),--('Tài khoản &amp; Hồ sơ'!$AT$7:$AT$500="Fail"))</f>
        <v/>
      </c>
      <c r="I78" s="53">
        <f>SUMPRODUCT(--ISNUMBER(SEARCH(", "&amp;$B78&amp;", ",", "&amp;'Hoạt động (Đơn của tôi)'!$B$7:$B$500&amp;", ")),--('Hoạt động (Đơn của tôi)'!$AT$7:$AT$500="Block"))+SUMPRODUCT(--ISNUMBER(SEARCH(", "&amp;$B78&amp;", ",", "&amp;'Ghép nối'!$B$7:$B$500&amp;", ")),--('Ghép nối'!$AT$7:$AT$500="Block"))+SUMPRODUCT(--ISNUMBER(SEARCH(", "&amp;$B78&amp;", ",", "&amp;'Huỷ đơn - Huỷ nhận đơn'!$B$7:$B$500&amp;", ")),--('Huỷ đơn - Huỷ nhận đơn'!$AT$7:$AT$500="Block"))+SUMPRODUCT(--ISNUMBER(SEARCH(", "&amp;$B78&amp;", ",", "&amp;'Giao nhận &amp; Theo dõi đơn'!$B$7:$B$500&amp;", ")),--('Giao nhận &amp; Theo dõi đơn'!$AT$7:$AT$500="Block"))+SUMPRODUCT(--ISNUMBER(SEARCH(", "&amp;$B78&amp;", ",", "&amp;'Bảng tin &amp; Chi tiết tin'!$B$7:$B$500&amp;", ")),--('Bảng tin &amp; Chi tiết tin'!$AT$7:$AT$500="Block"))+SUMPRODUCT(--ISNUMBER(SEARCH(", "&amp;$B78&amp;", ",", "&amp;'Quà cảm ơn'!$B$7:$B$500&amp;", ")),--('Quà cảm ơn'!$AT$7:$AT$500="Block"))+SUMPRODUCT(--ISNUMBER(SEARCH(", "&amp;$B78&amp;", ",", "&amp;'Trang chủ'!$B$7:$B$500&amp;", ")),--('Trang chủ'!$AT$7:$AT$500="Block"))+SUMPRODUCT(--ISNUMBER(SEARCH(", "&amp;$B78&amp;", ",", "&amp;'Thông báo'!$B$7:$B$500&amp;", ")),--('Thông báo'!$AT$7:$AT$500="Block"))+SUMPRODUCT(--ISNUMBER(SEARCH(", "&amp;$B78&amp;", ",", "&amp;'Đăng tin &amp; Quản lý tin'!$B$7:$B$500&amp;", ")),--('Đăng tin &amp; Quản lý tin'!$AT$7:$AT$500="Block"))+SUMPRODUCT(--ISNUMBER(SEARCH(", "&amp;$B78&amp;", ",", "&amp;'Trust &amp; Safety'!$B$7:$B$500&amp;", ")),--('Trust &amp; Safety'!$AT$7:$AT$500="Block"))+SUMPRODUCT(--ISNUMBER(SEARCH(", "&amp;$B78&amp;", ",", "&amp;'Tài khoản &amp; Hồ sơ'!$B$7:$B$500&amp;", ")),--('Tài khoản &amp; Hồ sơ'!$AT$7:$AT$500="Block"))</f>
        <v/>
      </c>
      <c r="J78" s="53">
        <f>SUMPRODUCT(--ISNUMBER(SEARCH(", "&amp;$B78&amp;", ",", "&amp;'Hoạt động (Đơn của tôi)'!$B$7:$B$500&amp;", ")),--('Hoạt động (Đơn của tôi)'!$AT$7:$AT$500="N/A"))+SUMPRODUCT(--ISNUMBER(SEARCH(", "&amp;$B78&amp;", ",", "&amp;'Ghép nối'!$B$7:$B$500&amp;", ")),--('Ghép nối'!$AT$7:$AT$500="N/A"))+SUMPRODUCT(--ISNUMBER(SEARCH(", "&amp;$B78&amp;", ",", "&amp;'Huỷ đơn - Huỷ nhận đơn'!$B$7:$B$500&amp;", ")),--('Huỷ đơn - Huỷ nhận đơn'!$AT$7:$AT$500="N/A"))+SUMPRODUCT(--ISNUMBER(SEARCH(", "&amp;$B78&amp;", ",", "&amp;'Giao nhận &amp; Theo dõi đơn'!$B$7:$B$500&amp;", ")),--('Giao nhận &amp; Theo dõi đơn'!$AT$7:$AT$500="N/A"))+SUMPRODUCT(--ISNUMBER(SEARCH(", "&amp;$B78&amp;", ",", "&amp;'Bảng tin &amp; Chi tiết tin'!$B$7:$B$500&amp;", ")),--('Bảng tin &amp; Chi tiết tin'!$AT$7:$AT$500="N/A"))+SUMPRODUCT(--ISNUMBER(SEARCH(", "&amp;$B78&amp;", ",", "&amp;'Quà cảm ơn'!$B$7:$B$500&amp;", ")),--('Quà cảm ơn'!$AT$7:$AT$500="N/A"))+SUMPRODUCT(--ISNUMBER(SEARCH(", "&amp;$B78&amp;", ",", "&amp;'Trang chủ'!$B$7:$B$500&amp;", ")),--('Trang chủ'!$AT$7:$AT$500="N/A"))+SUMPRODUCT(--ISNUMBER(SEARCH(", "&amp;$B78&amp;", ",", "&amp;'Thông báo'!$B$7:$B$500&amp;", ")),--('Thông báo'!$AT$7:$AT$500="N/A"))+SUMPRODUCT(--ISNUMBER(SEARCH(", "&amp;$B78&amp;", ",", "&amp;'Đăng tin &amp; Quản lý tin'!$B$7:$B$500&amp;", ")),--('Đăng tin &amp; Quản lý tin'!$AT$7:$AT$500="N/A"))+SUMPRODUCT(--ISNUMBER(SEARCH(", "&amp;$B78&amp;", ",", "&amp;'Trust &amp; Safety'!$B$7:$B$500&amp;", ")),--('Trust &amp; Safety'!$AT$7:$AT$500="N/A"))+SUMPRODUCT(--ISNUMBER(SEARCH(", "&amp;$B78&amp;", ",", "&amp;'Tài khoản &amp; Hồ sơ'!$B$7:$B$500&amp;", ")),--('Tài khoản &amp; Hồ sơ'!$AT$7:$AT$500="N/A"))</f>
        <v/>
      </c>
      <c r="K78" s="54">
        <f>IFERROR(F78/E78,0)</f>
        <v/>
      </c>
      <c r="L78" s="113">
        <f>IF(E78=0,"Chưa có TC (gap)",IF(H78&gt;0,"Có lỗi (Fail)",IF(I78&gt;0,"Bị block",IF(F78&lt;E78,"Đang test",IF(G78=0,"Không áp dụng (N/A)","Đã test xong")))))</f>
        <v/>
      </c>
      <c r="AB78" t="inlineStr">
        <is>
          <t>REQ-HOME</t>
        </is>
      </c>
    </row>
    <row r="79" ht="15.75" customHeight="1" s="216">
      <c r="A79" s="1" t="n"/>
      <c r="B79" s="112" t="inlineStr">
        <is>
          <t>REQ-HOME-001</t>
        </is>
      </c>
      <c r="C79" s="261" t="inlineStr"/>
      <c r="D79" s="113" t="inlineStr">
        <is>
          <t>DOC-v1.0-02</t>
        </is>
      </c>
      <c r="E79" s="53">
        <f>SUMPRODUCT(--ISNUMBER(SEARCH(", "&amp;$B79&amp;", ",", "&amp;'Hoạt động (Đơn của tôi)'!$B$7:$B$500&amp;", ")))+SUMPRODUCT(--ISNUMBER(SEARCH(", "&amp;$B79&amp;", ",", "&amp;'Ghép nối'!$B$7:$B$500&amp;", ")))+SUMPRODUCT(--ISNUMBER(SEARCH(", "&amp;$B79&amp;", ",", "&amp;'Huỷ đơn - Huỷ nhận đơn'!$B$7:$B$500&amp;", ")))+SUMPRODUCT(--ISNUMBER(SEARCH(", "&amp;$B79&amp;", ",", "&amp;'Giao nhận &amp; Theo dõi đơn'!$B$7:$B$500&amp;", ")))+SUMPRODUCT(--ISNUMBER(SEARCH(", "&amp;$B79&amp;", ",", "&amp;'Bảng tin &amp; Chi tiết tin'!$B$7:$B$500&amp;", ")))+SUMPRODUCT(--ISNUMBER(SEARCH(", "&amp;$B79&amp;", ",", "&amp;'Quà cảm ơn'!$B$7:$B$500&amp;", ")))+SUMPRODUCT(--ISNUMBER(SEARCH(", "&amp;$B79&amp;", ",", "&amp;'Trang chủ'!$B$7:$B$500&amp;", ")))+SUMPRODUCT(--ISNUMBER(SEARCH(", "&amp;$B79&amp;", ",", "&amp;'Thông báo'!$B$7:$B$500&amp;", ")))+SUMPRODUCT(--ISNUMBER(SEARCH(", "&amp;$B79&amp;", ",", "&amp;'Đăng tin &amp; Quản lý tin'!$B$7:$B$500&amp;", ")))+SUMPRODUCT(--ISNUMBER(SEARCH(", "&amp;$B79&amp;", ",", "&amp;'Trust &amp; Safety'!$B$7:$B$500&amp;", ")))+SUMPRODUCT(--ISNUMBER(SEARCH(", "&amp;$B79&amp;", ",", "&amp;'Tài khoản &amp; Hồ sơ'!$B$7:$B$500&amp;", ")))</f>
        <v/>
      </c>
      <c r="F79" s="53">
        <f>SUMPRODUCT(--ISNUMBER(SEARCH(", "&amp;$B79&amp;", ",", "&amp;'Hoạt động (Đơn của tôi)'!$B$7:$B$500&amp;", ")),--('Hoạt động (Đơn của tôi)'!$AT$7:$AT$500&lt;&gt;""))+SUMPRODUCT(--ISNUMBER(SEARCH(", "&amp;$B79&amp;", ",", "&amp;'Ghép nối'!$B$7:$B$500&amp;", ")),--('Ghép nối'!$AT$7:$AT$500&lt;&gt;""))+SUMPRODUCT(--ISNUMBER(SEARCH(", "&amp;$B79&amp;", ",", "&amp;'Huỷ đơn - Huỷ nhận đơn'!$B$7:$B$500&amp;", ")),--('Huỷ đơn - Huỷ nhận đơn'!$AT$7:$AT$500&lt;&gt;""))+SUMPRODUCT(--ISNUMBER(SEARCH(", "&amp;$B79&amp;", ",", "&amp;'Giao nhận &amp; Theo dõi đơn'!$B$7:$B$500&amp;", ")),--('Giao nhận &amp; Theo dõi đơn'!$AT$7:$AT$500&lt;&gt;""))+SUMPRODUCT(--ISNUMBER(SEARCH(", "&amp;$B79&amp;", ",", "&amp;'Bảng tin &amp; Chi tiết tin'!$B$7:$B$500&amp;", ")),--('Bảng tin &amp; Chi tiết tin'!$AT$7:$AT$500&lt;&gt;""))+SUMPRODUCT(--ISNUMBER(SEARCH(", "&amp;$B79&amp;", ",", "&amp;'Quà cảm ơn'!$B$7:$B$500&amp;", ")),--('Quà cảm ơn'!$AT$7:$AT$500&lt;&gt;""))+SUMPRODUCT(--ISNUMBER(SEARCH(", "&amp;$B79&amp;", ",", "&amp;'Trang chủ'!$B$7:$B$500&amp;", ")),--('Trang chủ'!$AT$7:$AT$500&lt;&gt;""))+SUMPRODUCT(--ISNUMBER(SEARCH(", "&amp;$B79&amp;", ",", "&amp;'Thông báo'!$B$7:$B$500&amp;", ")),--('Thông báo'!$AT$7:$AT$500&lt;&gt;""))+SUMPRODUCT(--ISNUMBER(SEARCH(", "&amp;$B79&amp;", ",", "&amp;'Đăng tin &amp; Quản lý tin'!$B$7:$B$500&amp;", ")),--('Đăng tin &amp; Quản lý tin'!$AT$7:$AT$500&lt;&gt;""))+SUMPRODUCT(--ISNUMBER(SEARCH(", "&amp;$B79&amp;", ",", "&amp;'Trust &amp; Safety'!$B$7:$B$500&amp;", ")),--('Trust &amp; Safety'!$AT$7:$AT$500&lt;&gt;""))+SUMPRODUCT(--ISNUMBER(SEARCH(", "&amp;$B79&amp;", ",", "&amp;'Tài khoản &amp; Hồ sơ'!$B$7:$B$500&amp;", ")),--('Tài khoản &amp; Hồ sơ'!$AT$7:$AT$500&lt;&gt;""))</f>
        <v/>
      </c>
      <c r="G79" s="53">
        <f>SUMPRODUCT(--ISNUMBER(SEARCH(", "&amp;$B79&amp;", ",", "&amp;'Hoạt động (Đơn của tôi)'!$B$7:$B$500&amp;", ")),--('Hoạt động (Đơn của tôi)'!$AT$7:$AT$500="Pass"))+SUMPRODUCT(--ISNUMBER(SEARCH(", "&amp;$B79&amp;", ",", "&amp;'Ghép nối'!$B$7:$B$500&amp;", ")),--('Ghép nối'!$AT$7:$AT$500="Pass"))+SUMPRODUCT(--ISNUMBER(SEARCH(", "&amp;$B79&amp;", ",", "&amp;'Huỷ đơn - Huỷ nhận đơn'!$B$7:$B$500&amp;", ")),--('Huỷ đơn - Huỷ nhận đơn'!$AT$7:$AT$500="Pass"))+SUMPRODUCT(--ISNUMBER(SEARCH(", "&amp;$B79&amp;", ",", "&amp;'Giao nhận &amp; Theo dõi đơn'!$B$7:$B$500&amp;", ")),--('Giao nhận &amp; Theo dõi đơn'!$AT$7:$AT$500="Pass"))+SUMPRODUCT(--ISNUMBER(SEARCH(", "&amp;$B79&amp;", ",", "&amp;'Bảng tin &amp; Chi tiết tin'!$B$7:$B$500&amp;", ")),--('Bảng tin &amp; Chi tiết tin'!$AT$7:$AT$500="Pass"))+SUMPRODUCT(--ISNUMBER(SEARCH(", "&amp;$B79&amp;", ",", "&amp;'Quà cảm ơn'!$B$7:$B$500&amp;", ")),--('Quà cảm ơn'!$AT$7:$AT$500="Pass"))+SUMPRODUCT(--ISNUMBER(SEARCH(", "&amp;$B79&amp;", ",", "&amp;'Trang chủ'!$B$7:$B$500&amp;", ")),--('Trang chủ'!$AT$7:$AT$500="Pass"))+SUMPRODUCT(--ISNUMBER(SEARCH(", "&amp;$B79&amp;", ",", "&amp;'Thông báo'!$B$7:$B$500&amp;", ")),--('Thông báo'!$AT$7:$AT$500="Pass"))+SUMPRODUCT(--ISNUMBER(SEARCH(", "&amp;$B79&amp;", ",", "&amp;'Đăng tin &amp; Quản lý tin'!$B$7:$B$500&amp;", ")),--('Đăng tin &amp; Quản lý tin'!$AT$7:$AT$500="Pass"))+SUMPRODUCT(--ISNUMBER(SEARCH(", "&amp;$B79&amp;", ",", "&amp;'Trust &amp; Safety'!$B$7:$B$500&amp;", ")),--('Trust &amp; Safety'!$AT$7:$AT$500="Pass"))+SUMPRODUCT(--ISNUMBER(SEARCH(", "&amp;$B79&amp;", ",", "&amp;'Tài khoản &amp; Hồ sơ'!$B$7:$B$500&amp;", ")),--('Tài khoản &amp; Hồ sơ'!$AT$7:$AT$500="Pass"))</f>
        <v/>
      </c>
      <c r="H79" s="53">
        <f>SUMPRODUCT(--ISNUMBER(SEARCH(", "&amp;$B79&amp;", ",", "&amp;'Hoạt động (Đơn của tôi)'!$B$7:$B$500&amp;", ")),--('Hoạt động (Đơn của tôi)'!$AT$7:$AT$500="Fail"))+SUMPRODUCT(--ISNUMBER(SEARCH(", "&amp;$B79&amp;", ",", "&amp;'Ghép nối'!$B$7:$B$500&amp;", ")),--('Ghép nối'!$AT$7:$AT$500="Fail"))+SUMPRODUCT(--ISNUMBER(SEARCH(", "&amp;$B79&amp;", ",", "&amp;'Huỷ đơn - Huỷ nhận đơn'!$B$7:$B$500&amp;", ")),--('Huỷ đơn - Huỷ nhận đơn'!$AT$7:$AT$500="Fail"))+SUMPRODUCT(--ISNUMBER(SEARCH(", "&amp;$B79&amp;", ",", "&amp;'Giao nhận &amp; Theo dõi đơn'!$B$7:$B$500&amp;", ")),--('Giao nhận &amp; Theo dõi đơn'!$AT$7:$AT$500="Fail"))+SUMPRODUCT(--ISNUMBER(SEARCH(", "&amp;$B79&amp;", ",", "&amp;'Bảng tin &amp; Chi tiết tin'!$B$7:$B$500&amp;", ")),--('Bảng tin &amp; Chi tiết tin'!$AT$7:$AT$500="Fail"))+SUMPRODUCT(--ISNUMBER(SEARCH(", "&amp;$B79&amp;", ",", "&amp;'Quà cảm ơn'!$B$7:$B$500&amp;", ")),--('Quà cảm ơn'!$AT$7:$AT$500="Fail"))+SUMPRODUCT(--ISNUMBER(SEARCH(", "&amp;$B79&amp;", ",", "&amp;'Trang chủ'!$B$7:$B$500&amp;", ")),--('Trang chủ'!$AT$7:$AT$500="Fail"))+SUMPRODUCT(--ISNUMBER(SEARCH(", "&amp;$B79&amp;", ",", "&amp;'Thông báo'!$B$7:$B$500&amp;", ")),--('Thông báo'!$AT$7:$AT$500="Fail"))+SUMPRODUCT(--ISNUMBER(SEARCH(", "&amp;$B79&amp;", ",", "&amp;'Đăng tin &amp; Quản lý tin'!$B$7:$B$500&amp;", ")),--('Đăng tin &amp; Quản lý tin'!$AT$7:$AT$500="Fail"))+SUMPRODUCT(--ISNUMBER(SEARCH(", "&amp;$B79&amp;", ",", "&amp;'Trust &amp; Safety'!$B$7:$B$500&amp;", ")),--('Trust &amp; Safety'!$AT$7:$AT$500="Fail"))+SUMPRODUCT(--ISNUMBER(SEARCH(", "&amp;$B79&amp;", ",", "&amp;'Tài khoản &amp; Hồ sơ'!$B$7:$B$500&amp;", ")),--('Tài khoản &amp; Hồ sơ'!$AT$7:$AT$500="Fail"))</f>
        <v/>
      </c>
      <c r="I79" s="53">
        <f>SUMPRODUCT(--ISNUMBER(SEARCH(", "&amp;$B79&amp;", ",", "&amp;'Hoạt động (Đơn của tôi)'!$B$7:$B$500&amp;", ")),--('Hoạt động (Đơn của tôi)'!$AT$7:$AT$500="Block"))+SUMPRODUCT(--ISNUMBER(SEARCH(", "&amp;$B79&amp;", ",", "&amp;'Ghép nối'!$B$7:$B$500&amp;", ")),--('Ghép nối'!$AT$7:$AT$500="Block"))+SUMPRODUCT(--ISNUMBER(SEARCH(", "&amp;$B79&amp;", ",", "&amp;'Huỷ đơn - Huỷ nhận đơn'!$B$7:$B$500&amp;", ")),--('Huỷ đơn - Huỷ nhận đơn'!$AT$7:$AT$500="Block"))+SUMPRODUCT(--ISNUMBER(SEARCH(", "&amp;$B79&amp;", ",", "&amp;'Giao nhận &amp; Theo dõi đơn'!$B$7:$B$500&amp;", ")),--('Giao nhận &amp; Theo dõi đơn'!$AT$7:$AT$500="Block"))+SUMPRODUCT(--ISNUMBER(SEARCH(", "&amp;$B79&amp;", ",", "&amp;'Bảng tin &amp; Chi tiết tin'!$B$7:$B$500&amp;", ")),--('Bảng tin &amp; Chi tiết tin'!$AT$7:$AT$500="Block"))+SUMPRODUCT(--ISNUMBER(SEARCH(", "&amp;$B79&amp;", ",", "&amp;'Quà cảm ơn'!$B$7:$B$500&amp;", ")),--('Quà cảm ơn'!$AT$7:$AT$500="Block"))+SUMPRODUCT(--ISNUMBER(SEARCH(", "&amp;$B79&amp;", ",", "&amp;'Trang chủ'!$B$7:$B$500&amp;", ")),--('Trang chủ'!$AT$7:$AT$500="Block"))+SUMPRODUCT(--ISNUMBER(SEARCH(", "&amp;$B79&amp;", ",", "&amp;'Thông báo'!$B$7:$B$500&amp;", ")),--('Thông báo'!$AT$7:$AT$500="Block"))+SUMPRODUCT(--ISNUMBER(SEARCH(", "&amp;$B79&amp;", ",", "&amp;'Đăng tin &amp; Quản lý tin'!$B$7:$B$500&amp;", ")),--('Đăng tin &amp; Quản lý tin'!$AT$7:$AT$500="Block"))+SUMPRODUCT(--ISNUMBER(SEARCH(", "&amp;$B79&amp;", ",", "&amp;'Trust &amp; Safety'!$B$7:$B$500&amp;", ")),--('Trust &amp; Safety'!$AT$7:$AT$500="Block"))+SUMPRODUCT(--ISNUMBER(SEARCH(", "&amp;$B79&amp;", ",", "&amp;'Tài khoản &amp; Hồ sơ'!$B$7:$B$500&amp;", ")),--('Tài khoản &amp; Hồ sơ'!$AT$7:$AT$500="Block"))</f>
        <v/>
      </c>
      <c r="J79" s="53">
        <f>SUMPRODUCT(--ISNUMBER(SEARCH(", "&amp;$B79&amp;", ",", "&amp;'Hoạt động (Đơn của tôi)'!$B$7:$B$500&amp;", ")),--('Hoạt động (Đơn của tôi)'!$AT$7:$AT$500="N/A"))+SUMPRODUCT(--ISNUMBER(SEARCH(", "&amp;$B79&amp;", ",", "&amp;'Ghép nối'!$B$7:$B$500&amp;", ")),--('Ghép nối'!$AT$7:$AT$500="N/A"))+SUMPRODUCT(--ISNUMBER(SEARCH(", "&amp;$B79&amp;", ",", "&amp;'Huỷ đơn - Huỷ nhận đơn'!$B$7:$B$500&amp;", ")),--('Huỷ đơn - Huỷ nhận đơn'!$AT$7:$AT$500="N/A"))+SUMPRODUCT(--ISNUMBER(SEARCH(", "&amp;$B79&amp;", ",", "&amp;'Giao nhận &amp; Theo dõi đơn'!$B$7:$B$500&amp;", ")),--('Giao nhận &amp; Theo dõi đơn'!$AT$7:$AT$500="N/A"))+SUMPRODUCT(--ISNUMBER(SEARCH(", "&amp;$B79&amp;", ",", "&amp;'Bảng tin &amp; Chi tiết tin'!$B$7:$B$500&amp;", ")),--('Bảng tin &amp; Chi tiết tin'!$AT$7:$AT$500="N/A"))+SUMPRODUCT(--ISNUMBER(SEARCH(", "&amp;$B79&amp;", ",", "&amp;'Quà cảm ơn'!$B$7:$B$500&amp;", ")),--('Quà cảm ơn'!$AT$7:$AT$500="N/A"))+SUMPRODUCT(--ISNUMBER(SEARCH(", "&amp;$B79&amp;", ",", "&amp;'Trang chủ'!$B$7:$B$500&amp;", ")),--('Trang chủ'!$AT$7:$AT$500="N/A"))+SUMPRODUCT(--ISNUMBER(SEARCH(", "&amp;$B79&amp;", ",", "&amp;'Thông báo'!$B$7:$B$500&amp;", ")),--('Thông báo'!$AT$7:$AT$500="N/A"))+SUMPRODUCT(--ISNUMBER(SEARCH(", "&amp;$B79&amp;", ",", "&amp;'Đăng tin &amp; Quản lý tin'!$B$7:$B$500&amp;", ")),--('Đăng tin &amp; Quản lý tin'!$AT$7:$AT$500="N/A"))+SUMPRODUCT(--ISNUMBER(SEARCH(", "&amp;$B79&amp;", ",", "&amp;'Trust &amp; Safety'!$B$7:$B$500&amp;", ")),--('Trust &amp; Safety'!$AT$7:$AT$500="N/A"))+SUMPRODUCT(--ISNUMBER(SEARCH(", "&amp;$B79&amp;", ",", "&amp;'Tài khoản &amp; Hồ sơ'!$B$7:$B$500&amp;", ")),--('Tài khoản &amp; Hồ sơ'!$AT$7:$AT$500="N/A"))</f>
        <v/>
      </c>
      <c r="K79" s="54">
        <f>IFERROR(F79/E79,0)</f>
        <v/>
      </c>
      <c r="L79" s="113">
        <f>IF(E79=0,"Chưa có TC (gap)",IF(H79&gt;0,"Có lỗi (Fail)",IF(I79&gt;0,"Bị block",IF(F79&lt;E79,"Đang test",IF(G79=0,"Không áp dụng (N/A)","Đã test xong")))))</f>
        <v/>
      </c>
      <c r="AB79" t="inlineStr">
        <is>
          <t>REQ-HOME</t>
        </is>
      </c>
    </row>
    <row r="80" ht="15.75" customHeight="1" s="216">
      <c r="A80" s="1" t="n"/>
      <c r="B80" s="112" t="inlineStr">
        <is>
          <t>REQ-HOME-002</t>
        </is>
      </c>
      <c r="C80" s="261" t="inlineStr"/>
      <c r="D80" s="113" t="inlineStr">
        <is>
          <t>DOC-v1.0-02</t>
        </is>
      </c>
      <c r="E80" s="53">
        <f>SUMPRODUCT(--ISNUMBER(SEARCH(", "&amp;$B80&amp;", ",", "&amp;'Hoạt động (Đơn của tôi)'!$B$7:$B$500&amp;", ")))+SUMPRODUCT(--ISNUMBER(SEARCH(", "&amp;$B80&amp;", ",", "&amp;'Ghép nối'!$B$7:$B$500&amp;", ")))+SUMPRODUCT(--ISNUMBER(SEARCH(", "&amp;$B80&amp;", ",", "&amp;'Huỷ đơn - Huỷ nhận đơn'!$B$7:$B$500&amp;", ")))+SUMPRODUCT(--ISNUMBER(SEARCH(", "&amp;$B80&amp;", ",", "&amp;'Giao nhận &amp; Theo dõi đơn'!$B$7:$B$500&amp;", ")))+SUMPRODUCT(--ISNUMBER(SEARCH(", "&amp;$B80&amp;", ",", "&amp;'Bảng tin &amp; Chi tiết tin'!$B$7:$B$500&amp;", ")))+SUMPRODUCT(--ISNUMBER(SEARCH(", "&amp;$B80&amp;", ",", "&amp;'Quà cảm ơn'!$B$7:$B$500&amp;", ")))+SUMPRODUCT(--ISNUMBER(SEARCH(", "&amp;$B80&amp;", ",", "&amp;'Trang chủ'!$B$7:$B$500&amp;", ")))+SUMPRODUCT(--ISNUMBER(SEARCH(", "&amp;$B80&amp;", ",", "&amp;'Thông báo'!$B$7:$B$500&amp;", ")))+SUMPRODUCT(--ISNUMBER(SEARCH(", "&amp;$B80&amp;", ",", "&amp;'Đăng tin &amp; Quản lý tin'!$B$7:$B$500&amp;", ")))+SUMPRODUCT(--ISNUMBER(SEARCH(", "&amp;$B80&amp;", ",", "&amp;'Trust &amp; Safety'!$B$7:$B$500&amp;", ")))+SUMPRODUCT(--ISNUMBER(SEARCH(", "&amp;$B80&amp;", ",", "&amp;'Tài khoản &amp; Hồ sơ'!$B$7:$B$500&amp;", ")))</f>
        <v/>
      </c>
      <c r="F80" s="53">
        <f>SUMPRODUCT(--ISNUMBER(SEARCH(", "&amp;$B80&amp;", ",", "&amp;'Hoạt động (Đơn của tôi)'!$B$7:$B$500&amp;", ")),--('Hoạt động (Đơn của tôi)'!$AT$7:$AT$500&lt;&gt;""))+SUMPRODUCT(--ISNUMBER(SEARCH(", "&amp;$B80&amp;", ",", "&amp;'Ghép nối'!$B$7:$B$500&amp;", ")),--('Ghép nối'!$AT$7:$AT$500&lt;&gt;""))+SUMPRODUCT(--ISNUMBER(SEARCH(", "&amp;$B80&amp;", ",", "&amp;'Huỷ đơn - Huỷ nhận đơn'!$B$7:$B$500&amp;", ")),--('Huỷ đơn - Huỷ nhận đơn'!$AT$7:$AT$500&lt;&gt;""))+SUMPRODUCT(--ISNUMBER(SEARCH(", "&amp;$B80&amp;", ",", "&amp;'Giao nhận &amp; Theo dõi đơn'!$B$7:$B$500&amp;", ")),--('Giao nhận &amp; Theo dõi đơn'!$AT$7:$AT$500&lt;&gt;""))+SUMPRODUCT(--ISNUMBER(SEARCH(", "&amp;$B80&amp;", ",", "&amp;'Bảng tin &amp; Chi tiết tin'!$B$7:$B$500&amp;", ")),--('Bảng tin &amp; Chi tiết tin'!$AT$7:$AT$500&lt;&gt;""))+SUMPRODUCT(--ISNUMBER(SEARCH(", "&amp;$B80&amp;", ",", "&amp;'Quà cảm ơn'!$B$7:$B$500&amp;", ")),--('Quà cảm ơn'!$AT$7:$AT$500&lt;&gt;""))+SUMPRODUCT(--ISNUMBER(SEARCH(", "&amp;$B80&amp;", ",", "&amp;'Trang chủ'!$B$7:$B$500&amp;", ")),--('Trang chủ'!$AT$7:$AT$500&lt;&gt;""))+SUMPRODUCT(--ISNUMBER(SEARCH(", "&amp;$B80&amp;", ",", "&amp;'Thông báo'!$B$7:$B$500&amp;", ")),--('Thông báo'!$AT$7:$AT$500&lt;&gt;""))+SUMPRODUCT(--ISNUMBER(SEARCH(", "&amp;$B80&amp;", ",", "&amp;'Đăng tin &amp; Quản lý tin'!$B$7:$B$500&amp;", ")),--('Đăng tin &amp; Quản lý tin'!$AT$7:$AT$500&lt;&gt;""))+SUMPRODUCT(--ISNUMBER(SEARCH(", "&amp;$B80&amp;", ",", "&amp;'Trust &amp; Safety'!$B$7:$B$500&amp;", ")),--('Trust &amp; Safety'!$AT$7:$AT$500&lt;&gt;""))+SUMPRODUCT(--ISNUMBER(SEARCH(", "&amp;$B80&amp;", ",", "&amp;'Tài khoản &amp; Hồ sơ'!$B$7:$B$500&amp;", ")),--('Tài khoản &amp; Hồ sơ'!$AT$7:$AT$500&lt;&gt;""))</f>
        <v/>
      </c>
      <c r="G80" s="53">
        <f>SUMPRODUCT(--ISNUMBER(SEARCH(", "&amp;$B80&amp;", ",", "&amp;'Hoạt động (Đơn của tôi)'!$B$7:$B$500&amp;", ")),--('Hoạt động (Đơn của tôi)'!$AT$7:$AT$500="Pass"))+SUMPRODUCT(--ISNUMBER(SEARCH(", "&amp;$B80&amp;", ",", "&amp;'Ghép nối'!$B$7:$B$500&amp;", ")),--('Ghép nối'!$AT$7:$AT$500="Pass"))+SUMPRODUCT(--ISNUMBER(SEARCH(", "&amp;$B80&amp;", ",", "&amp;'Huỷ đơn - Huỷ nhận đơn'!$B$7:$B$500&amp;", ")),--('Huỷ đơn - Huỷ nhận đơn'!$AT$7:$AT$500="Pass"))+SUMPRODUCT(--ISNUMBER(SEARCH(", "&amp;$B80&amp;", ",", "&amp;'Giao nhận &amp; Theo dõi đơn'!$B$7:$B$500&amp;", ")),--('Giao nhận &amp; Theo dõi đơn'!$AT$7:$AT$500="Pass"))+SUMPRODUCT(--ISNUMBER(SEARCH(", "&amp;$B80&amp;", ",", "&amp;'Bảng tin &amp; Chi tiết tin'!$B$7:$B$500&amp;", ")),--('Bảng tin &amp; Chi tiết tin'!$AT$7:$AT$500="Pass"))+SUMPRODUCT(--ISNUMBER(SEARCH(", "&amp;$B80&amp;", ",", "&amp;'Quà cảm ơn'!$B$7:$B$500&amp;", ")),--('Quà cảm ơn'!$AT$7:$AT$500="Pass"))+SUMPRODUCT(--ISNUMBER(SEARCH(", "&amp;$B80&amp;", ",", "&amp;'Trang chủ'!$B$7:$B$500&amp;", ")),--('Trang chủ'!$AT$7:$AT$500="Pass"))+SUMPRODUCT(--ISNUMBER(SEARCH(", "&amp;$B80&amp;", ",", "&amp;'Thông báo'!$B$7:$B$500&amp;", ")),--('Thông báo'!$AT$7:$AT$500="Pass"))+SUMPRODUCT(--ISNUMBER(SEARCH(", "&amp;$B80&amp;", ",", "&amp;'Đăng tin &amp; Quản lý tin'!$B$7:$B$500&amp;", ")),--('Đăng tin &amp; Quản lý tin'!$AT$7:$AT$500="Pass"))+SUMPRODUCT(--ISNUMBER(SEARCH(", "&amp;$B80&amp;", ",", "&amp;'Trust &amp; Safety'!$B$7:$B$500&amp;", ")),--('Trust &amp; Safety'!$AT$7:$AT$500="Pass"))+SUMPRODUCT(--ISNUMBER(SEARCH(", "&amp;$B80&amp;", ",", "&amp;'Tài khoản &amp; Hồ sơ'!$B$7:$B$500&amp;", ")),--('Tài khoản &amp; Hồ sơ'!$AT$7:$AT$500="Pass"))</f>
        <v/>
      </c>
      <c r="H80" s="53">
        <f>SUMPRODUCT(--ISNUMBER(SEARCH(", "&amp;$B80&amp;", ",", "&amp;'Hoạt động (Đơn của tôi)'!$B$7:$B$500&amp;", ")),--('Hoạt động (Đơn của tôi)'!$AT$7:$AT$500="Fail"))+SUMPRODUCT(--ISNUMBER(SEARCH(", "&amp;$B80&amp;", ",", "&amp;'Ghép nối'!$B$7:$B$500&amp;", ")),--('Ghép nối'!$AT$7:$AT$500="Fail"))+SUMPRODUCT(--ISNUMBER(SEARCH(", "&amp;$B80&amp;", ",", "&amp;'Huỷ đơn - Huỷ nhận đơn'!$B$7:$B$500&amp;", ")),--('Huỷ đơn - Huỷ nhận đơn'!$AT$7:$AT$500="Fail"))+SUMPRODUCT(--ISNUMBER(SEARCH(", "&amp;$B80&amp;", ",", "&amp;'Giao nhận &amp; Theo dõi đơn'!$B$7:$B$500&amp;", ")),--('Giao nhận &amp; Theo dõi đơn'!$AT$7:$AT$500="Fail"))+SUMPRODUCT(--ISNUMBER(SEARCH(", "&amp;$B80&amp;", ",", "&amp;'Bảng tin &amp; Chi tiết tin'!$B$7:$B$500&amp;", ")),--('Bảng tin &amp; Chi tiết tin'!$AT$7:$AT$500="Fail"))+SUMPRODUCT(--ISNUMBER(SEARCH(", "&amp;$B80&amp;", ",", "&amp;'Quà cảm ơn'!$B$7:$B$500&amp;", ")),--('Quà cảm ơn'!$AT$7:$AT$500="Fail"))+SUMPRODUCT(--ISNUMBER(SEARCH(", "&amp;$B80&amp;", ",", "&amp;'Trang chủ'!$B$7:$B$500&amp;", ")),--('Trang chủ'!$AT$7:$AT$500="Fail"))+SUMPRODUCT(--ISNUMBER(SEARCH(", "&amp;$B80&amp;", ",", "&amp;'Thông báo'!$B$7:$B$500&amp;", ")),--('Thông báo'!$AT$7:$AT$500="Fail"))+SUMPRODUCT(--ISNUMBER(SEARCH(", "&amp;$B80&amp;", ",", "&amp;'Đăng tin &amp; Quản lý tin'!$B$7:$B$500&amp;", ")),--('Đăng tin &amp; Quản lý tin'!$AT$7:$AT$500="Fail"))+SUMPRODUCT(--ISNUMBER(SEARCH(", "&amp;$B80&amp;", ",", "&amp;'Trust &amp; Safety'!$B$7:$B$500&amp;", ")),--('Trust &amp; Safety'!$AT$7:$AT$500="Fail"))+SUMPRODUCT(--ISNUMBER(SEARCH(", "&amp;$B80&amp;", ",", "&amp;'Tài khoản &amp; Hồ sơ'!$B$7:$B$500&amp;", ")),--('Tài khoản &amp; Hồ sơ'!$AT$7:$AT$500="Fail"))</f>
        <v/>
      </c>
      <c r="I80" s="53">
        <f>SUMPRODUCT(--ISNUMBER(SEARCH(", "&amp;$B80&amp;", ",", "&amp;'Hoạt động (Đơn của tôi)'!$B$7:$B$500&amp;", ")),--('Hoạt động (Đơn của tôi)'!$AT$7:$AT$500="Block"))+SUMPRODUCT(--ISNUMBER(SEARCH(", "&amp;$B80&amp;", ",", "&amp;'Ghép nối'!$B$7:$B$500&amp;", ")),--('Ghép nối'!$AT$7:$AT$500="Block"))+SUMPRODUCT(--ISNUMBER(SEARCH(", "&amp;$B80&amp;", ",", "&amp;'Huỷ đơn - Huỷ nhận đơn'!$B$7:$B$500&amp;", ")),--('Huỷ đơn - Huỷ nhận đơn'!$AT$7:$AT$500="Block"))+SUMPRODUCT(--ISNUMBER(SEARCH(", "&amp;$B80&amp;", ",", "&amp;'Giao nhận &amp; Theo dõi đơn'!$B$7:$B$500&amp;", ")),--('Giao nhận &amp; Theo dõi đơn'!$AT$7:$AT$500="Block"))+SUMPRODUCT(--ISNUMBER(SEARCH(", "&amp;$B80&amp;", ",", "&amp;'Bảng tin &amp; Chi tiết tin'!$B$7:$B$500&amp;", ")),--('Bảng tin &amp; Chi tiết tin'!$AT$7:$AT$500="Block"))+SUMPRODUCT(--ISNUMBER(SEARCH(", "&amp;$B80&amp;", ",", "&amp;'Quà cảm ơn'!$B$7:$B$500&amp;", ")),--('Quà cảm ơn'!$AT$7:$AT$500="Block"))+SUMPRODUCT(--ISNUMBER(SEARCH(", "&amp;$B80&amp;", ",", "&amp;'Trang chủ'!$B$7:$B$500&amp;", ")),--('Trang chủ'!$AT$7:$AT$500="Block"))+SUMPRODUCT(--ISNUMBER(SEARCH(", "&amp;$B80&amp;", ",", "&amp;'Thông báo'!$B$7:$B$500&amp;", ")),--('Thông báo'!$AT$7:$AT$500="Block"))+SUMPRODUCT(--ISNUMBER(SEARCH(", "&amp;$B80&amp;", ",", "&amp;'Đăng tin &amp; Quản lý tin'!$B$7:$B$500&amp;", ")),--('Đăng tin &amp; Quản lý tin'!$AT$7:$AT$500="Block"))+SUMPRODUCT(--ISNUMBER(SEARCH(", "&amp;$B80&amp;", ",", "&amp;'Trust &amp; Safety'!$B$7:$B$500&amp;", ")),--('Trust &amp; Safety'!$AT$7:$AT$500="Block"))+SUMPRODUCT(--ISNUMBER(SEARCH(", "&amp;$B80&amp;", ",", "&amp;'Tài khoản &amp; Hồ sơ'!$B$7:$B$500&amp;", ")),--('Tài khoản &amp; Hồ sơ'!$AT$7:$AT$500="Block"))</f>
        <v/>
      </c>
      <c r="J80" s="53">
        <f>SUMPRODUCT(--ISNUMBER(SEARCH(", "&amp;$B80&amp;", ",", "&amp;'Hoạt động (Đơn của tôi)'!$B$7:$B$500&amp;", ")),--('Hoạt động (Đơn của tôi)'!$AT$7:$AT$500="N/A"))+SUMPRODUCT(--ISNUMBER(SEARCH(", "&amp;$B80&amp;", ",", "&amp;'Ghép nối'!$B$7:$B$500&amp;", ")),--('Ghép nối'!$AT$7:$AT$500="N/A"))+SUMPRODUCT(--ISNUMBER(SEARCH(", "&amp;$B80&amp;", ",", "&amp;'Huỷ đơn - Huỷ nhận đơn'!$B$7:$B$500&amp;", ")),--('Huỷ đơn - Huỷ nhận đơn'!$AT$7:$AT$500="N/A"))+SUMPRODUCT(--ISNUMBER(SEARCH(", "&amp;$B80&amp;", ",", "&amp;'Giao nhận &amp; Theo dõi đơn'!$B$7:$B$500&amp;", ")),--('Giao nhận &amp; Theo dõi đơn'!$AT$7:$AT$500="N/A"))+SUMPRODUCT(--ISNUMBER(SEARCH(", "&amp;$B80&amp;", ",", "&amp;'Bảng tin &amp; Chi tiết tin'!$B$7:$B$500&amp;", ")),--('Bảng tin &amp; Chi tiết tin'!$AT$7:$AT$500="N/A"))+SUMPRODUCT(--ISNUMBER(SEARCH(", "&amp;$B80&amp;", ",", "&amp;'Quà cảm ơn'!$B$7:$B$500&amp;", ")),--('Quà cảm ơn'!$AT$7:$AT$500="N/A"))+SUMPRODUCT(--ISNUMBER(SEARCH(", "&amp;$B80&amp;", ",", "&amp;'Trang chủ'!$B$7:$B$500&amp;", ")),--('Trang chủ'!$AT$7:$AT$500="N/A"))+SUMPRODUCT(--ISNUMBER(SEARCH(", "&amp;$B80&amp;", ",", "&amp;'Thông báo'!$B$7:$B$500&amp;", ")),--('Thông báo'!$AT$7:$AT$500="N/A"))+SUMPRODUCT(--ISNUMBER(SEARCH(", "&amp;$B80&amp;", ",", "&amp;'Đăng tin &amp; Quản lý tin'!$B$7:$B$500&amp;", ")),--('Đăng tin &amp; Quản lý tin'!$AT$7:$AT$500="N/A"))+SUMPRODUCT(--ISNUMBER(SEARCH(", "&amp;$B80&amp;", ",", "&amp;'Trust &amp; Safety'!$B$7:$B$500&amp;", ")),--('Trust &amp; Safety'!$AT$7:$AT$500="N/A"))+SUMPRODUCT(--ISNUMBER(SEARCH(", "&amp;$B80&amp;", ",", "&amp;'Tài khoản &amp; Hồ sơ'!$B$7:$B$500&amp;", ")),--('Tài khoản &amp; Hồ sơ'!$AT$7:$AT$500="N/A"))</f>
        <v/>
      </c>
      <c r="K80" s="54">
        <f>IFERROR(F80/E80,0)</f>
        <v/>
      </c>
      <c r="L80" s="113">
        <f>IF(E80=0,"Chưa có TC (gap)",IF(H80&gt;0,"Có lỗi (Fail)",IF(I80&gt;0,"Bị block",IF(F80&lt;E80,"Đang test",IF(G80=0,"Không áp dụng (N/A)","Đã test xong")))))</f>
        <v/>
      </c>
      <c r="AB80" t="inlineStr">
        <is>
          <t>REQ-HOME</t>
        </is>
      </c>
    </row>
    <row r="81" ht="15.75" customHeight="1" s="216">
      <c r="A81" s="1" t="n"/>
      <c r="B81" s="112" t="inlineStr">
        <is>
          <t>REQ-HOME-003</t>
        </is>
      </c>
      <c r="C81" s="261" t="inlineStr"/>
      <c r="D81" s="113" t="inlineStr">
        <is>
          <t>DOC-v1.0-01 · DOC-v1.0-02</t>
        </is>
      </c>
      <c r="E81" s="53">
        <f>SUMPRODUCT(--ISNUMBER(SEARCH(", "&amp;$B81&amp;", ",", "&amp;'Hoạt động (Đơn của tôi)'!$B$7:$B$500&amp;", ")))+SUMPRODUCT(--ISNUMBER(SEARCH(", "&amp;$B81&amp;", ",", "&amp;'Ghép nối'!$B$7:$B$500&amp;", ")))+SUMPRODUCT(--ISNUMBER(SEARCH(", "&amp;$B81&amp;", ",", "&amp;'Huỷ đơn - Huỷ nhận đơn'!$B$7:$B$500&amp;", ")))+SUMPRODUCT(--ISNUMBER(SEARCH(", "&amp;$B81&amp;", ",", "&amp;'Giao nhận &amp; Theo dõi đơn'!$B$7:$B$500&amp;", ")))+SUMPRODUCT(--ISNUMBER(SEARCH(", "&amp;$B81&amp;", ",", "&amp;'Bảng tin &amp; Chi tiết tin'!$B$7:$B$500&amp;", ")))+SUMPRODUCT(--ISNUMBER(SEARCH(", "&amp;$B81&amp;", ",", "&amp;'Quà cảm ơn'!$B$7:$B$500&amp;", ")))+SUMPRODUCT(--ISNUMBER(SEARCH(", "&amp;$B81&amp;", ",", "&amp;'Trang chủ'!$B$7:$B$500&amp;", ")))+SUMPRODUCT(--ISNUMBER(SEARCH(", "&amp;$B81&amp;", ",", "&amp;'Thông báo'!$B$7:$B$500&amp;", ")))+SUMPRODUCT(--ISNUMBER(SEARCH(", "&amp;$B81&amp;", ",", "&amp;'Đăng tin &amp; Quản lý tin'!$B$7:$B$500&amp;", ")))+SUMPRODUCT(--ISNUMBER(SEARCH(", "&amp;$B81&amp;", ",", "&amp;'Trust &amp; Safety'!$B$7:$B$500&amp;", ")))+SUMPRODUCT(--ISNUMBER(SEARCH(", "&amp;$B81&amp;", ",", "&amp;'Tài khoản &amp; Hồ sơ'!$B$7:$B$500&amp;", ")))</f>
        <v/>
      </c>
      <c r="F81" s="53">
        <f>SUMPRODUCT(--ISNUMBER(SEARCH(", "&amp;$B81&amp;", ",", "&amp;'Hoạt động (Đơn của tôi)'!$B$7:$B$500&amp;", ")),--('Hoạt động (Đơn của tôi)'!$AT$7:$AT$500&lt;&gt;""))+SUMPRODUCT(--ISNUMBER(SEARCH(", "&amp;$B81&amp;", ",", "&amp;'Ghép nối'!$B$7:$B$500&amp;", ")),--('Ghép nối'!$AT$7:$AT$500&lt;&gt;""))+SUMPRODUCT(--ISNUMBER(SEARCH(", "&amp;$B81&amp;", ",", "&amp;'Huỷ đơn - Huỷ nhận đơn'!$B$7:$B$500&amp;", ")),--('Huỷ đơn - Huỷ nhận đơn'!$AT$7:$AT$500&lt;&gt;""))+SUMPRODUCT(--ISNUMBER(SEARCH(", "&amp;$B81&amp;", ",", "&amp;'Giao nhận &amp; Theo dõi đơn'!$B$7:$B$500&amp;", ")),--('Giao nhận &amp; Theo dõi đơn'!$AT$7:$AT$500&lt;&gt;""))+SUMPRODUCT(--ISNUMBER(SEARCH(", "&amp;$B81&amp;", ",", "&amp;'Bảng tin &amp; Chi tiết tin'!$B$7:$B$500&amp;", ")),--('Bảng tin &amp; Chi tiết tin'!$AT$7:$AT$500&lt;&gt;""))+SUMPRODUCT(--ISNUMBER(SEARCH(", "&amp;$B81&amp;", ",", "&amp;'Quà cảm ơn'!$B$7:$B$500&amp;", ")),--('Quà cảm ơn'!$AT$7:$AT$500&lt;&gt;""))+SUMPRODUCT(--ISNUMBER(SEARCH(", "&amp;$B81&amp;", ",", "&amp;'Trang chủ'!$B$7:$B$500&amp;", ")),--('Trang chủ'!$AT$7:$AT$500&lt;&gt;""))+SUMPRODUCT(--ISNUMBER(SEARCH(", "&amp;$B81&amp;", ",", "&amp;'Thông báo'!$B$7:$B$500&amp;", ")),--('Thông báo'!$AT$7:$AT$500&lt;&gt;""))+SUMPRODUCT(--ISNUMBER(SEARCH(", "&amp;$B81&amp;", ",", "&amp;'Đăng tin &amp; Quản lý tin'!$B$7:$B$500&amp;", ")),--('Đăng tin &amp; Quản lý tin'!$AT$7:$AT$500&lt;&gt;""))+SUMPRODUCT(--ISNUMBER(SEARCH(", "&amp;$B81&amp;", ",", "&amp;'Trust &amp; Safety'!$B$7:$B$500&amp;", ")),--('Trust &amp; Safety'!$AT$7:$AT$500&lt;&gt;""))+SUMPRODUCT(--ISNUMBER(SEARCH(", "&amp;$B81&amp;", ",", "&amp;'Tài khoản &amp; Hồ sơ'!$B$7:$B$500&amp;", ")),--('Tài khoản &amp; Hồ sơ'!$AT$7:$AT$500&lt;&gt;""))</f>
        <v/>
      </c>
      <c r="G81" s="53">
        <f>SUMPRODUCT(--ISNUMBER(SEARCH(", "&amp;$B81&amp;", ",", "&amp;'Hoạt động (Đơn của tôi)'!$B$7:$B$500&amp;", ")),--('Hoạt động (Đơn của tôi)'!$AT$7:$AT$500="Pass"))+SUMPRODUCT(--ISNUMBER(SEARCH(", "&amp;$B81&amp;", ",", "&amp;'Ghép nối'!$B$7:$B$500&amp;", ")),--('Ghép nối'!$AT$7:$AT$500="Pass"))+SUMPRODUCT(--ISNUMBER(SEARCH(", "&amp;$B81&amp;", ",", "&amp;'Huỷ đơn - Huỷ nhận đơn'!$B$7:$B$500&amp;", ")),--('Huỷ đơn - Huỷ nhận đơn'!$AT$7:$AT$500="Pass"))+SUMPRODUCT(--ISNUMBER(SEARCH(", "&amp;$B81&amp;", ",", "&amp;'Giao nhận &amp; Theo dõi đơn'!$B$7:$B$500&amp;", ")),--('Giao nhận &amp; Theo dõi đơn'!$AT$7:$AT$500="Pass"))+SUMPRODUCT(--ISNUMBER(SEARCH(", "&amp;$B81&amp;", ",", "&amp;'Bảng tin &amp; Chi tiết tin'!$B$7:$B$500&amp;", ")),--('Bảng tin &amp; Chi tiết tin'!$AT$7:$AT$500="Pass"))+SUMPRODUCT(--ISNUMBER(SEARCH(", "&amp;$B81&amp;", ",", "&amp;'Quà cảm ơn'!$B$7:$B$500&amp;", ")),--('Quà cảm ơn'!$AT$7:$AT$500="Pass"))+SUMPRODUCT(--ISNUMBER(SEARCH(", "&amp;$B81&amp;", ",", "&amp;'Trang chủ'!$B$7:$B$500&amp;", ")),--('Trang chủ'!$AT$7:$AT$500="Pass"))+SUMPRODUCT(--ISNUMBER(SEARCH(", "&amp;$B81&amp;", ",", "&amp;'Thông báo'!$B$7:$B$500&amp;", ")),--('Thông báo'!$AT$7:$AT$500="Pass"))+SUMPRODUCT(--ISNUMBER(SEARCH(", "&amp;$B81&amp;", ",", "&amp;'Đăng tin &amp; Quản lý tin'!$B$7:$B$500&amp;", ")),--('Đăng tin &amp; Quản lý tin'!$AT$7:$AT$500="Pass"))+SUMPRODUCT(--ISNUMBER(SEARCH(", "&amp;$B81&amp;", ",", "&amp;'Trust &amp; Safety'!$B$7:$B$500&amp;", ")),--('Trust &amp; Safety'!$AT$7:$AT$500="Pass"))+SUMPRODUCT(--ISNUMBER(SEARCH(", "&amp;$B81&amp;", ",", "&amp;'Tài khoản &amp; Hồ sơ'!$B$7:$B$500&amp;", ")),--('Tài khoản &amp; Hồ sơ'!$AT$7:$AT$500="Pass"))</f>
        <v/>
      </c>
      <c r="H81" s="53">
        <f>SUMPRODUCT(--ISNUMBER(SEARCH(", "&amp;$B81&amp;", ",", "&amp;'Hoạt động (Đơn của tôi)'!$B$7:$B$500&amp;", ")),--('Hoạt động (Đơn của tôi)'!$AT$7:$AT$500="Fail"))+SUMPRODUCT(--ISNUMBER(SEARCH(", "&amp;$B81&amp;", ",", "&amp;'Ghép nối'!$B$7:$B$500&amp;", ")),--('Ghép nối'!$AT$7:$AT$500="Fail"))+SUMPRODUCT(--ISNUMBER(SEARCH(", "&amp;$B81&amp;", ",", "&amp;'Huỷ đơn - Huỷ nhận đơn'!$B$7:$B$500&amp;", ")),--('Huỷ đơn - Huỷ nhận đơn'!$AT$7:$AT$500="Fail"))+SUMPRODUCT(--ISNUMBER(SEARCH(", "&amp;$B81&amp;", ",", "&amp;'Giao nhận &amp; Theo dõi đơn'!$B$7:$B$500&amp;", ")),--('Giao nhận &amp; Theo dõi đơn'!$AT$7:$AT$500="Fail"))+SUMPRODUCT(--ISNUMBER(SEARCH(", "&amp;$B81&amp;", ",", "&amp;'Bảng tin &amp; Chi tiết tin'!$B$7:$B$500&amp;", ")),--('Bảng tin &amp; Chi tiết tin'!$AT$7:$AT$500="Fail"))+SUMPRODUCT(--ISNUMBER(SEARCH(", "&amp;$B81&amp;", ",", "&amp;'Quà cảm ơn'!$B$7:$B$500&amp;", ")),--('Quà cảm ơn'!$AT$7:$AT$500="Fail"))+SUMPRODUCT(--ISNUMBER(SEARCH(", "&amp;$B81&amp;", ",", "&amp;'Trang chủ'!$B$7:$B$500&amp;", ")),--('Trang chủ'!$AT$7:$AT$500="Fail"))+SUMPRODUCT(--ISNUMBER(SEARCH(", "&amp;$B81&amp;", ",", "&amp;'Thông báo'!$B$7:$B$500&amp;", ")),--('Thông báo'!$AT$7:$AT$500="Fail"))+SUMPRODUCT(--ISNUMBER(SEARCH(", "&amp;$B81&amp;", ",", "&amp;'Đăng tin &amp; Quản lý tin'!$B$7:$B$500&amp;", ")),--('Đăng tin &amp; Quản lý tin'!$AT$7:$AT$500="Fail"))+SUMPRODUCT(--ISNUMBER(SEARCH(", "&amp;$B81&amp;", ",", "&amp;'Trust &amp; Safety'!$B$7:$B$500&amp;", ")),--('Trust &amp; Safety'!$AT$7:$AT$500="Fail"))+SUMPRODUCT(--ISNUMBER(SEARCH(", "&amp;$B81&amp;", ",", "&amp;'Tài khoản &amp; Hồ sơ'!$B$7:$B$500&amp;", ")),--('Tài khoản &amp; Hồ sơ'!$AT$7:$AT$500="Fail"))</f>
        <v/>
      </c>
      <c r="I81" s="53">
        <f>SUMPRODUCT(--ISNUMBER(SEARCH(", "&amp;$B81&amp;", ",", "&amp;'Hoạt động (Đơn của tôi)'!$B$7:$B$500&amp;", ")),--('Hoạt động (Đơn của tôi)'!$AT$7:$AT$500="Block"))+SUMPRODUCT(--ISNUMBER(SEARCH(", "&amp;$B81&amp;", ",", "&amp;'Ghép nối'!$B$7:$B$500&amp;", ")),--('Ghép nối'!$AT$7:$AT$500="Block"))+SUMPRODUCT(--ISNUMBER(SEARCH(", "&amp;$B81&amp;", ",", "&amp;'Huỷ đơn - Huỷ nhận đơn'!$B$7:$B$500&amp;", ")),--('Huỷ đơn - Huỷ nhận đơn'!$AT$7:$AT$500="Block"))+SUMPRODUCT(--ISNUMBER(SEARCH(", "&amp;$B81&amp;", ",", "&amp;'Giao nhận &amp; Theo dõi đơn'!$B$7:$B$500&amp;", ")),--('Giao nhận &amp; Theo dõi đơn'!$AT$7:$AT$500="Block"))+SUMPRODUCT(--ISNUMBER(SEARCH(", "&amp;$B81&amp;", ",", "&amp;'Bảng tin &amp; Chi tiết tin'!$B$7:$B$500&amp;", ")),--('Bảng tin &amp; Chi tiết tin'!$AT$7:$AT$500="Block"))+SUMPRODUCT(--ISNUMBER(SEARCH(", "&amp;$B81&amp;", ",", "&amp;'Quà cảm ơn'!$B$7:$B$500&amp;", ")),--('Quà cảm ơn'!$AT$7:$AT$500="Block"))+SUMPRODUCT(--ISNUMBER(SEARCH(", "&amp;$B81&amp;", ",", "&amp;'Trang chủ'!$B$7:$B$500&amp;", ")),--('Trang chủ'!$AT$7:$AT$500="Block"))+SUMPRODUCT(--ISNUMBER(SEARCH(", "&amp;$B81&amp;", ",", "&amp;'Thông báo'!$B$7:$B$500&amp;", ")),--('Thông báo'!$AT$7:$AT$500="Block"))+SUMPRODUCT(--ISNUMBER(SEARCH(", "&amp;$B81&amp;", ",", "&amp;'Đăng tin &amp; Quản lý tin'!$B$7:$B$500&amp;", ")),--('Đăng tin &amp; Quản lý tin'!$AT$7:$AT$500="Block"))+SUMPRODUCT(--ISNUMBER(SEARCH(", "&amp;$B81&amp;", ",", "&amp;'Trust &amp; Safety'!$B$7:$B$500&amp;", ")),--('Trust &amp; Safety'!$AT$7:$AT$500="Block"))+SUMPRODUCT(--ISNUMBER(SEARCH(", "&amp;$B81&amp;", ",", "&amp;'Tài khoản &amp; Hồ sơ'!$B$7:$B$500&amp;", ")),--('Tài khoản &amp; Hồ sơ'!$AT$7:$AT$500="Block"))</f>
        <v/>
      </c>
      <c r="J81" s="53">
        <f>SUMPRODUCT(--ISNUMBER(SEARCH(", "&amp;$B81&amp;", ",", "&amp;'Hoạt động (Đơn của tôi)'!$B$7:$B$500&amp;", ")),--('Hoạt động (Đơn của tôi)'!$AT$7:$AT$500="N/A"))+SUMPRODUCT(--ISNUMBER(SEARCH(", "&amp;$B81&amp;", ",", "&amp;'Ghép nối'!$B$7:$B$500&amp;", ")),--('Ghép nối'!$AT$7:$AT$500="N/A"))+SUMPRODUCT(--ISNUMBER(SEARCH(", "&amp;$B81&amp;", ",", "&amp;'Huỷ đơn - Huỷ nhận đơn'!$B$7:$B$500&amp;", ")),--('Huỷ đơn - Huỷ nhận đơn'!$AT$7:$AT$500="N/A"))+SUMPRODUCT(--ISNUMBER(SEARCH(", "&amp;$B81&amp;", ",", "&amp;'Giao nhận &amp; Theo dõi đơn'!$B$7:$B$500&amp;", ")),--('Giao nhận &amp; Theo dõi đơn'!$AT$7:$AT$500="N/A"))+SUMPRODUCT(--ISNUMBER(SEARCH(", "&amp;$B81&amp;", ",", "&amp;'Bảng tin &amp; Chi tiết tin'!$B$7:$B$500&amp;", ")),--('Bảng tin &amp; Chi tiết tin'!$AT$7:$AT$500="N/A"))+SUMPRODUCT(--ISNUMBER(SEARCH(", "&amp;$B81&amp;", ",", "&amp;'Quà cảm ơn'!$B$7:$B$500&amp;", ")),--('Quà cảm ơn'!$AT$7:$AT$500="N/A"))+SUMPRODUCT(--ISNUMBER(SEARCH(", "&amp;$B81&amp;", ",", "&amp;'Trang chủ'!$B$7:$B$500&amp;", ")),--('Trang chủ'!$AT$7:$AT$500="N/A"))+SUMPRODUCT(--ISNUMBER(SEARCH(", "&amp;$B81&amp;", ",", "&amp;'Thông báo'!$B$7:$B$500&amp;", ")),--('Thông báo'!$AT$7:$AT$500="N/A"))+SUMPRODUCT(--ISNUMBER(SEARCH(", "&amp;$B81&amp;", ",", "&amp;'Đăng tin &amp; Quản lý tin'!$B$7:$B$500&amp;", ")),--('Đăng tin &amp; Quản lý tin'!$AT$7:$AT$500="N/A"))+SUMPRODUCT(--ISNUMBER(SEARCH(", "&amp;$B81&amp;", ",", "&amp;'Trust &amp; Safety'!$B$7:$B$500&amp;", ")),--('Trust &amp; Safety'!$AT$7:$AT$500="N/A"))+SUMPRODUCT(--ISNUMBER(SEARCH(", "&amp;$B81&amp;", ",", "&amp;'Tài khoản &amp; Hồ sơ'!$B$7:$B$500&amp;", ")),--('Tài khoản &amp; Hồ sơ'!$AT$7:$AT$500="N/A"))</f>
        <v/>
      </c>
      <c r="K81" s="54">
        <f>IFERROR(F81/E81,0)</f>
        <v/>
      </c>
      <c r="L81" s="113">
        <f>IF(E81=0,"Chưa có TC (gap)",IF(H81&gt;0,"Có lỗi (Fail)",IF(I81&gt;0,"Bị block",IF(F81&lt;E81,"Đang test",IF(G81=0,"Không áp dụng (N/A)","Đã test xong")))))</f>
        <v/>
      </c>
      <c r="AB81" t="inlineStr">
        <is>
          <t>REQ-HOME</t>
        </is>
      </c>
    </row>
    <row r="82" ht="15.75" customHeight="1" s="216">
      <c r="A82" s="1" t="n"/>
      <c r="B82" s="112" t="inlineStr">
        <is>
          <t>REQ-HOME-005</t>
        </is>
      </c>
      <c r="C82" s="261" t="inlineStr"/>
      <c r="D82" s="113" t="inlineStr">
        <is>
          <t>DOC-v1.0-02</t>
        </is>
      </c>
      <c r="E82" s="53">
        <f>SUMPRODUCT(--ISNUMBER(SEARCH(", "&amp;$B82&amp;", ",", "&amp;'Hoạt động (Đơn của tôi)'!$B$7:$B$500&amp;", ")))+SUMPRODUCT(--ISNUMBER(SEARCH(", "&amp;$B82&amp;", ",", "&amp;'Ghép nối'!$B$7:$B$500&amp;", ")))+SUMPRODUCT(--ISNUMBER(SEARCH(", "&amp;$B82&amp;", ",", "&amp;'Huỷ đơn - Huỷ nhận đơn'!$B$7:$B$500&amp;", ")))+SUMPRODUCT(--ISNUMBER(SEARCH(", "&amp;$B82&amp;", ",", "&amp;'Giao nhận &amp; Theo dõi đơn'!$B$7:$B$500&amp;", ")))+SUMPRODUCT(--ISNUMBER(SEARCH(", "&amp;$B82&amp;", ",", "&amp;'Bảng tin &amp; Chi tiết tin'!$B$7:$B$500&amp;", ")))+SUMPRODUCT(--ISNUMBER(SEARCH(", "&amp;$B82&amp;", ",", "&amp;'Quà cảm ơn'!$B$7:$B$500&amp;", ")))+SUMPRODUCT(--ISNUMBER(SEARCH(", "&amp;$B82&amp;", ",", "&amp;'Trang chủ'!$B$7:$B$500&amp;", ")))+SUMPRODUCT(--ISNUMBER(SEARCH(", "&amp;$B82&amp;", ",", "&amp;'Thông báo'!$B$7:$B$500&amp;", ")))+SUMPRODUCT(--ISNUMBER(SEARCH(", "&amp;$B82&amp;", ",", "&amp;'Đăng tin &amp; Quản lý tin'!$B$7:$B$500&amp;", ")))+SUMPRODUCT(--ISNUMBER(SEARCH(", "&amp;$B82&amp;", ",", "&amp;'Trust &amp; Safety'!$B$7:$B$500&amp;", ")))+SUMPRODUCT(--ISNUMBER(SEARCH(", "&amp;$B82&amp;", ",", "&amp;'Tài khoản &amp; Hồ sơ'!$B$7:$B$500&amp;", ")))</f>
        <v/>
      </c>
      <c r="F82" s="53">
        <f>SUMPRODUCT(--ISNUMBER(SEARCH(", "&amp;$B82&amp;", ",", "&amp;'Hoạt động (Đơn của tôi)'!$B$7:$B$500&amp;", ")),--('Hoạt động (Đơn của tôi)'!$AT$7:$AT$500&lt;&gt;""))+SUMPRODUCT(--ISNUMBER(SEARCH(", "&amp;$B82&amp;", ",", "&amp;'Ghép nối'!$B$7:$B$500&amp;", ")),--('Ghép nối'!$AT$7:$AT$500&lt;&gt;""))+SUMPRODUCT(--ISNUMBER(SEARCH(", "&amp;$B82&amp;", ",", "&amp;'Huỷ đơn - Huỷ nhận đơn'!$B$7:$B$500&amp;", ")),--('Huỷ đơn - Huỷ nhận đơn'!$AT$7:$AT$500&lt;&gt;""))+SUMPRODUCT(--ISNUMBER(SEARCH(", "&amp;$B82&amp;", ",", "&amp;'Giao nhận &amp; Theo dõi đơn'!$B$7:$B$500&amp;", ")),--('Giao nhận &amp; Theo dõi đơn'!$AT$7:$AT$500&lt;&gt;""))+SUMPRODUCT(--ISNUMBER(SEARCH(", "&amp;$B82&amp;", ",", "&amp;'Bảng tin &amp; Chi tiết tin'!$B$7:$B$500&amp;", ")),--('Bảng tin &amp; Chi tiết tin'!$AT$7:$AT$500&lt;&gt;""))+SUMPRODUCT(--ISNUMBER(SEARCH(", "&amp;$B82&amp;", ",", "&amp;'Quà cảm ơn'!$B$7:$B$500&amp;", ")),--('Quà cảm ơn'!$AT$7:$AT$500&lt;&gt;""))+SUMPRODUCT(--ISNUMBER(SEARCH(", "&amp;$B82&amp;", ",", "&amp;'Trang chủ'!$B$7:$B$500&amp;", ")),--('Trang chủ'!$AT$7:$AT$500&lt;&gt;""))+SUMPRODUCT(--ISNUMBER(SEARCH(", "&amp;$B82&amp;", ",", "&amp;'Thông báo'!$B$7:$B$500&amp;", ")),--('Thông báo'!$AT$7:$AT$500&lt;&gt;""))+SUMPRODUCT(--ISNUMBER(SEARCH(", "&amp;$B82&amp;", ",", "&amp;'Đăng tin &amp; Quản lý tin'!$B$7:$B$500&amp;", ")),--('Đăng tin &amp; Quản lý tin'!$AT$7:$AT$500&lt;&gt;""))+SUMPRODUCT(--ISNUMBER(SEARCH(", "&amp;$B82&amp;", ",", "&amp;'Trust &amp; Safety'!$B$7:$B$500&amp;", ")),--('Trust &amp; Safety'!$AT$7:$AT$500&lt;&gt;""))+SUMPRODUCT(--ISNUMBER(SEARCH(", "&amp;$B82&amp;", ",", "&amp;'Tài khoản &amp; Hồ sơ'!$B$7:$B$500&amp;", ")),--('Tài khoản &amp; Hồ sơ'!$AT$7:$AT$500&lt;&gt;""))</f>
        <v/>
      </c>
      <c r="G82" s="53">
        <f>SUMPRODUCT(--ISNUMBER(SEARCH(", "&amp;$B82&amp;", ",", "&amp;'Hoạt động (Đơn của tôi)'!$B$7:$B$500&amp;", ")),--('Hoạt động (Đơn của tôi)'!$AT$7:$AT$500="Pass"))+SUMPRODUCT(--ISNUMBER(SEARCH(", "&amp;$B82&amp;", ",", "&amp;'Ghép nối'!$B$7:$B$500&amp;", ")),--('Ghép nối'!$AT$7:$AT$500="Pass"))+SUMPRODUCT(--ISNUMBER(SEARCH(", "&amp;$B82&amp;", ",", "&amp;'Huỷ đơn - Huỷ nhận đơn'!$B$7:$B$500&amp;", ")),--('Huỷ đơn - Huỷ nhận đơn'!$AT$7:$AT$500="Pass"))+SUMPRODUCT(--ISNUMBER(SEARCH(", "&amp;$B82&amp;", ",", "&amp;'Giao nhận &amp; Theo dõi đơn'!$B$7:$B$500&amp;", ")),--('Giao nhận &amp; Theo dõi đơn'!$AT$7:$AT$500="Pass"))+SUMPRODUCT(--ISNUMBER(SEARCH(", "&amp;$B82&amp;", ",", "&amp;'Bảng tin &amp; Chi tiết tin'!$B$7:$B$500&amp;", ")),--('Bảng tin &amp; Chi tiết tin'!$AT$7:$AT$500="Pass"))+SUMPRODUCT(--ISNUMBER(SEARCH(", "&amp;$B82&amp;", ",", "&amp;'Quà cảm ơn'!$B$7:$B$500&amp;", ")),--('Quà cảm ơn'!$AT$7:$AT$500="Pass"))+SUMPRODUCT(--ISNUMBER(SEARCH(", "&amp;$B82&amp;", ",", "&amp;'Trang chủ'!$B$7:$B$500&amp;", ")),--('Trang chủ'!$AT$7:$AT$500="Pass"))+SUMPRODUCT(--ISNUMBER(SEARCH(", "&amp;$B82&amp;", ",", "&amp;'Thông báo'!$B$7:$B$500&amp;", ")),--('Thông báo'!$AT$7:$AT$500="Pass"))+SUMPRODUCT(--ISNUMBER(SEARCH(", "&amp;$B82&amp;", ",", "&amp;'Đăng tin &amp; Quản lý tin'!$B$7:$B$500&amp;", ")),--('Đăng tin &amp; Quản lý tin'!$AT$7:$AT$500="Pass"))+SUMPRODUCT(--ISNUMBER(SEARCH(", "&amp;$B82&amp;", ",", "&amp;'Trust &amp; Safety'!$B$7:$B$500&amp;", ")),--('Trust &amp; Safety'!$AT$7:$AT$500="Pass"))+SUMPRODUCT(--ISNUMBER(SEARCH(", "&amp;$B82&amp;", ",", "&amp;'Tài khoản &amp; Hồ sơ'!$B$7:$B$500&amp;", ")),--('Tài khoản &amp; Hồ sơ'!$AT$7:$AT$500="Pass"))</f>
        <v/>
      </c>
      <c r="H82" s="53">
        <f>SUMPRODUCT(--ISNUMBER(SEARCH(", "&amp;$B82&amp;", ",", "&amp;'Hoạt động (Đơn của tôi)'!$B$7:$B$500&amp;", ")),--('Hoạt động (Đơn của tôi)'!$AT$7:$AT$500="Fail"))+SUMPRODUCT(--ISNUMBER(SEARCH(", "&amp;$B82&amp;", ",", "&amp;'Ghép nối'!$B$7:$B$500&amp;", ")),--('Ghép nối'!$AT$7:$AT$500="Fail"))+SUMPRODUCT(--ISNUMBER(SEARCH(", "&amp;$B82&amp;", ",", "&amp;'Huỷ đơn - Huỷ nhận đơn'!$B$7:$B$500&amp;", ")),--('Huỷ đơn - Huỷ nhận đơn'!$AT$7:$AT$500="Fail"))+SUMPRODUCT(--ISNUMBER(SEARCH(", "&amp;$B82&amp;", ",", "&amp;'Giao nhận &amp; Theo dõi đơn'!$B$7:$B$500&amp;", ")),--('Giao nhận &amp; Theo dõi đơn'!$AT$7:$AT$500="Fail"))+SUMPRODUCT(--ISNUMBER(SEARCH(", "&amp;$B82&amp;", ",", "&amp;'Bảng tin &amp; Chi tiết tin'!$B$7:$B$500&amp;", ")),--('Bảng tin &amp; Chi tiết tin'!$AT$7:$AT$500="Fail"))+SUMPRODUCT(--ISNUMBER(SEARCH(", "&amp;$B82&amp;", ",", "&amp;'Quà cảm ơn'!$B$7:$B$500&amp;", ")),--('Quà cảm ơn'!$AT$7:$AT$500="Fail"))+SUMPRODUCT(--ISNUMBER(SEARCH(", "&amp;$B82&amp;", ",", "&amp;'Trang chủ'!$B$7:$B$500&amp;", ")),--('Trang chủ'!$AT$7:$AT$500="Fail"))+SUMPRODUCT(--ISNUMBER(SEARCH(", "&amp;$B82&amp;", ",", "&amp;'Thông báo'!$B$7:$B$500&amp;", ")),--('Thông báo'!$AT$7:$AT$500="Fail"))+SUMPRODUCT(--ISNUMBER(SEARCH(", "&amp;$B82&amp;", ",", "&amp;'Đăng tin &amp; Quản lý tin'!$B$7:$B$500&amp;", ")),--('Đăng tin &amp; Quản lý tin'!$AT$7:$AT$500="Fail"))+SUMPRODUCT(--ISNUMBER(SEARCH(", "&amp;$B82&amp;", ",", "&amp;'Trust &amp; Safety'!$B$7:$B$500&amp;", ")),--('Trust &amp; Safety'!$AT$7:$AT$500="Fail"))+SUMPRODUCT(--ISNUMBER(SEARCH(", "&amp;$B82&amp;", ",", "&amp;'Tài khoản &amp; Hồ sơ'!$B$7:$B$500&amp;", ")),--('Tài khoản &amp; Hồ sơ'!$AT$7:$AT$500="Fail"))</f>
        <v/>
      </c>
      <c r="I82" s="53">
        <f>SUMPRODUCT(--ISNUMBER(SEARCH(", "&amp;$B82&amp;", ",", "&amp;'Hoạt động (Đơn của tôi)'!$B$7:$B$500&amp;", ")),--('Hoạt động (Đơn của tôi)'!$AT$7:$AT$500="Block"))+SUMPRODUCT(--ISNUMBER(SEARCH(", "&amp;$B82&amp;", ",", "&amp;'Ghép nối'!$B$7:$B$500&amp;", ")),--('Ghép nối'!$AT$7:$AT$500="Block"))+SUMPRODUCT(--ISNUMBER(SEARCH(", "&amp;$B82&amp;", ",", "&amp;'Huỷ đơn - Huỷ nhận đơn'!$B$7:$B$500&amp;", ")),--('Huỷ đơn - Huỷ nhận đơn'!$AT$7:$AT$500="Block"))+SUMPRODUCT(--ISNUMBER(SEARCH(", "&amp;$B82&amp;", ",", "&amp;'Giao nhận &amp; Theo dõi đơn'!$B$7:$B$500&amp;", ")),--('Giao nhận &amp; Theo dõi đơn'!$AT$7:$AT$500="Block"))+SUMPRODUCT(--ISNUMBER(SEARCH(", "&amp;$B82&amp;", ",", "&amp;'Bảng tin &amp; Chi tiết tin'!$B$7:$B$500&amp;", ")),--('Bảng tin &amp; Chi tiết tin'!$AT$7:$AT$500="Block"))+SUMPRODUCT(--ISNUMBER(SEARCH(", "&amp;$B82&amp;", ",", "&amp;'Quà cảm ơn'!$B$7:$B$500&amp;", ")),--('Quà cảm ơn'!$AT$7:$AT$500="Block"))+SUMPRODUCT(--ISNUMBER(SEARCH(", "&amp;$B82&amp;", ",", "&amp;'Trang chủ'!$B$7:$B$500&amp;", ")),--('Trang chủ'!$AT$7:$AT$500="Block"))+SUMPRODUCT(--ISNUMBER(SEARCH(", "&amp;$B82&amp;", ",", "&amp;'Thông báo'!$B$7:$B$500&amp;", ")),--('Thông báo'!$AT$7:$AT$500="Block"))+SUMPRODUCT(--ISNUMBER(SEARCH(", "&amp;$B82&amp;", ",", "&amp;'Đăng tin &amp; Quản lý tin'!$B$7:$B$500&amp;", ")),--('Đăng tin &amp; Quản lý tin'!$AT$7:$AT$500="Block"))+SUMPRODUCT(--ISNUMBER(SEARCH(", "&amp;$B82&amp;", ",", "&amp;'Trust &amp; Safety'!$B$7:$B$500&amp;", ")),--('Trust &amp; Safety'!$AT$7:$AT$500="Block"))+SUMPRODUCT(--ISNUMBER(SEARCH(", "&amp;$B82&amp;", ",", "&amp;'Tài khoản &amp; Hồ sơ'!$B$7:$B$500&amp;", ")),--('Tài khoản &amp; Hồ sơ'!$AT$7:$AT$500="Block"))</f>
        <v/>
      </c>
      <c r="J82" s="53">
        <f>SUMPRODUCT(--ISNUMBER(SEARCH(", "&amp;$B82&amp;", ",", "&amp;'Hoạt động (Đơn của tôi)'!$B$7:$B$500&amp;", ")),--('Hoạt động (Đơn của tôi)'!$AT$7:$AT$500="N/A"))+SUMPRODUCT(--ISNUMBER(SEARCH(", "&amp;$B82&amp;", ",", "&amp;'Ghép nối'!$B$7:$B$500&amp;", ")),--('Ghép nối'!$AT$7:$AT$500="N/A"))+SUMPRODUCT(--ISNUMBER(SEARCH(", "&amp;$B82&amp;", ",", "&amp;'Huỷ đơn - Huỷ nhận đơn'!$B$7:$B$500&amp;", ")),--('Huỷ đơn - Huỷ nhận đơn'!$AT$7:$AT$500="N/A"))+SUMPRODUCT(--ISNUMBER(SEARCH(", "&amp;$B82&amp;", ",", "&amp;'Giao nhận &amp; Theo dõi đơn'!$B$7:$B$500&amp;", ")),--('Giao nhận &amp; Theo dõi đơn'!$AT$7:$AT$500="N/A"))+SUMPRODUCT(--ISNUMBER(SEARCH(", "&amp;$B82&amp;", ",", "&amp;'Bảng tin &amp; Chi tiết tin'!$B$7:$B$500&amp;", ")),--('Bảng tin &amp; Chi tiết tin'!$AT$7:$AT$500="N/A"))+SUMPRODUCT(--ISNUMBER(SEARCH(", "&amp;$B82&amp;", ",", "&amp;'Quà cảm ơn'!$B$7:$B$500&amp;", ")),--('Quà cảm ơn'!$AT$7:$AT$500="N/A"))+SUMPRODUCT(--ISNUMBER(SEARCH(", "&amp;$B82&amp;", ",", "&amp;'Trang chủ'!$B$7:$B$500&amp;", ")),--('Trang chủ'!$AT$7:$AT$500="N/A"))+SUMPRODUCT(--ISNUMBER(SEARCH(", "&amp;$B82&amp;", ",", "&amp;'Thông báo'!$B$7:$B$500&amp;", ")),--('Thông báo'!$AT$7:$AT$500="N/A"))+SUMPRODUCT(--ISNUMBER(SEARCH(", "&amp;$B82&amp;", ",", "&amp;'Đăng tin &amp; Quản lý tin'!$B$7:$B$500&amp;", ")),--('Đăng tin &amp; Quản lý tin'!$AT$7:$AT$500="N/A"))+SUMPRODUCT(--ISNUMBER(SEARCH(", "&amp;$B82&amp;", ",", "&amp;'Trust &amp; Safety'!$B$7:$B$500&amp;", ")),--('Trust &amp; Safety'!$AT$7:$AT$500="N/A"))+SUMPRODUCT(--ISNUMBER(SEARCH(", "&amp;$B82&amp;", ",", "&amp;'Tài khoản &amp; Hồ sơ'!$B$7:$B$500&amp;", ")),--('Tài khoản &amp; Hồ sơ'!$AT$7:$AT$500="N/A"))</f>
        <v/>
      </c>
      <c r="K82" s="54">
        <f>IFERROR(F82/E82,0)</f>
        <v/>
      </c>
      <c r="L82" s="113">
        <f>IF(E82=0,"Chưa có TC (gap)",IF(H82&gt;0,"Có lỗi (Fail)",IF(I82&gt;0,"Bị block",IF(F82&lt;E82,"Đang test",IF(G82=0,"Không áp dụng (N/A)","Đã test xong")))))</f>
        <v/>
      </c>
      <c r="AB82" t="inlineStr">
        <is>
          <t>REQ-HOME</t>
        </is>
      </c>
    </row>
    <row r="83" ht="15.75" customHeight="1" s="216">
      <c r="A83" s="1" t="n"/>
      <c r="B83" s="112" t="inlineStr">
        <is>
          <t>REQ-HOME-006</t>
        </is>
      </c>
      <c r="C83" s="261" t="inlineStr"/>
      <c r="D83" s="113" t="inlineStr">
        <is>
          <t>DOC-v1.0-02</t>
        </is>
      </c>
      <c r="E83" s="53">
        <f>SUMPRODUCT(--ISNUMBER(SEARCH(", "&amp;$B83&amp;", ",", "&amp;'Hoạt động (Đơn của tôi)'!$B$7:$B$500&amp;", ")))+SUMPRODUCT(--ISNUMBER(SEARCH(", "&amp;$B83&amp;", ",", "&amp;'Ghép nối'!$B$7:$B$500&amp;", ")))+SUMPRODUCT(--ISNUMBER(SEARCH(", "&amp;$B83&amp;", ",", "&amp;'Huỷ đơn - Huỷ nhận đơn'!$B$7:$B$500&amp;", ")))+SUMPRODUCT(--ISNUMBER(SEARCH(", "&amp;$B83&amp;", ",", "&amp;'Giao nhận &amp; Theo dõi đơn'!$B$7:$B$500&amp;", ")))+SUMPRODUCT(--ISNUMBER(SEARCH(", "&amp;$B83&amp;", ",", "&amp;'Bảng tin &amp; Chi tiết tin'!$B$7:$B$500&amp;", ")))+SUMPRODUCT(--ISNUMBER(SEARCH(", "&amp;$B83&amp;", ",", "&amp;'Quà cảm ơn'!$B$7:$B$500&amp;", ")))+SUMPRODUCT(--ISNUMBER(SEARCH(", "&amp;$B83&amp;", ",", "&amp;'Trang chủ'!$B$7:$B$500&amp;", ")))+SUMPRODUCT(--ISNUMBER(SEARCH(", "&amp;$B83&amp;", ",", "&amp;'Thông báo'!$B$7:$B$500&amp;", ")))+SUMPRODUCT(--ISNUMBER(SEARCH(", "&amp;$B83&amp;", ",", "&amp;'Đăng tin &amp; Quản lý tin'!$B$7:$B$500&amp;", ")))+SUMPRODUCT(--ISNUMBER(SEARCH(", "&amp;$B83&amp;", ",", "&amp;'Trust &amp; Safety'!$B$7:$B$500&amp;", ")))+SUMPRODUCT(--ISNUMBER(SEARCH(", "&amp;$B83&amp;", ",", "&amp;'Tài khoản &amp; Hồ sơ'!$B$7:$B$500&amp;", ")))</f>
        <v/>
      </c>
      <c r="F83" s="53">
        <f>SUMPRODUCT(--ISNUMBER(SEARCH(", "&amp;$B83&amp;", ",", "&amp;'Hoạt động (Đơn của tôi)'!$B$7:$B$500&amp;", ")),--('Hoạt động (Đơn của tôi)'!$AT$7:$AT$500&lt;&gt;""))+SUMPRODUCT(--ISNUMBER(SEARCH(", "&amp;$B83&amp;", ",", "&amp;'Ghép nối'!$B$7:$B$500&amp;", ")),--('Ghép nối'!$AT$7:$AT$500&lt;&gt;""))+SUMPRODUCT(--ISNUMBER(SEARCH(", "&amp;$B83&amp;", ",", "&amp;'Huỷ đơn - Huỷ nhận đơn'!$B$7:$B$500&amp;", ")),--('Huỷ đơn - Huỷ nhận đơn'!$AT$7:$AT$500&lt;&gt;""))+SUMPRODUCT(--ISNUMBER(SEARCH(", "&amp;$B83&amp;", ",", "&amp;'Giao nhận &amp; Theo dõi đơn'!$B$7:$B$500&amp;", ")),--('Giao nhận &amp; Theo dõi đơn'!$AT$7:$AT$500&lt;&gt;""))+SUMPRODUCT(--ISNUMBER(SEARCH(", "&amp;$B83&amp;", ",", "&amp;'Bảng tin &amp; Chi tiết tin'!$B$7:$B$500&amp;", ")),--('Bảng tin &amp; Chi tiết tin'!$AT$7:$AT$500&lt;&gt;""))+SUMPRODUCT(--ISNUMBER(SEARCH(", "&amp;$B83&amp;", ",", "&amp;'Quà cảm ơn'!$B$7:$B$500&amp;", ")),--('Quà cảm ơn'!$AT$7:$AT$500&lt;&gt;""))+SUMPRODUCT(--ISNUMBER(SEARCH(", "&amp;$B83&amp;", ",", "&amp;'Trang chủ'!$B$7:$B$500&amp;", ")),--('Trang chủ'!$AT$7:$AT$500&lt;&gt;""))+SUMPRODUCT(--ISNUMBER(SEARCH(", "&amp;$B83&amp;", ",", "&amp;'Thông báo'!$B$7:$B$500&amp;", ")),--('Thông báo'!$AT$7:$AT$500&lt;&gt;""))+SUMPRODUCT(--ISNUMBER(SEARCH(", "&amp;$B83&amp;", ",", "&amp;'Đăng tin &amp; Quản lý tin'!$B$7:$B$500&amp;", ")),--('Đăng tin &amp; Quản lý tin'!$AT$7:$AT$500&lt;&gt;""))+SUMPRODUCT(--ISNUMBER(SEARCH(", "&amp;$B83&amp;", ",", "&amp;'Trust &amp; Safety'!$B$7:$B$500&amp;", ")),--('Trust &amp; Safety'!$AT$7:$AT$500&lt;&gt;""))+SUMPRODUCT(--ISNUMBER(SEARCH(", "&amp;$B83&amp;", ",", "&amp;'Tài khoản &amp; Hồ sơ'!$B$7:$B$500&amp;", ")),--('Tài khoản &amp; Hồ sơ'!$AT$7:$AT$500&lt;&gt;""))</f>
        <v/>
      </c>
      <c r="G83" s="53">
        <f>SUMPRODUCT(--ISNUMBER(SEARCH(", "&amp;$B83&amp;", ",", "&amp;'Hoạt động (Đơn của tôi)'!$B$7:$B$500&amp;", ")),--('Hoạt động (Đơn của tôi)'!$AT$7:$AT$500="Pass"))+SUMPRODUCT(--ISNUMBER(SEARCH(", "&amp;$B83&amp;", ",", "&amp;'Ghép nối'!$B$7:$B$500&amp;", ")),--('Ghép nối'!$AT$7:$AT$500="Pass"))+SUMPRODUCT(--ISNUMBER(SEARCH(", "&amp;$B83&amp;", ",", "&amp;'Huỷ đơn - Huỷ nhận đơn'!$B$7:$B$500&amp;", ")),--('Huỷ đơn - Huỷ nhận đơn'!$AT$7:$AT$500="Pass"))+SUMPRODUCT(--ISNUMBER(SEARCH(", "&amp;$B83&amp;", ",", "&amp;'Giao nhận &amp; Theo dõi đơn'!$B$7:$B$500&amp;", ")),--('Giao nhận &amp; Theo dõi đơn'!$AT$7:$AT$500="Pass"))+SUMPRODUCT(--ISNUMBER(SEARCH(", "&amp;$B83&amp;", ",", "&amp;'Bảng tin &amp; Chi tiết tin'!$B$7:$B$500&amp;", ")),--('Bảng tin &amp; Chi tiết tin'!$AT$7:$AT$500="Pass"))+SUMPRODUCT(--ISNUMBER(SEARCH(", "&amp;$B83&amp;", ",", "&amp;'Quà cảm ơn'!$B$7:$B$500&amp;", ")),--('Quà cảm ơn'!$AT$7:$AT$500="Pass"))+SUMPRODUCT(--ISNUMBER(SEARCH(", "&amp;$B83&amp;", ",", "&amp;'Trang chủ'!$B$7:$B$500&amp;", ")),--('Trang chủ'!$AT$7:$AT$500="Pass"))+SUMPRODUCT(--ISNUMBER(SEARCH(", "&amp;$B83&amp;", ",", "&amp;'Thông báo'!$B$7:$B$500&amp;", ")),--('Thông báo'!$AT$7:$AT$500="Pass"))+SUMPRODUCT(--ISNUMBER(SEARCH(", "&amp;$B83&amp;", ",", "&amp;'Đăng tin &amp; Quản lý tin'!$B$7:$B$500&amp;", ")),--('Đăng tin &amp; Quản lý tin'!$AT$7:$AT$500="Pass"))+SUMPRODUCT(--ISNUMBER(SEARCH(", "&amp;$B83&amp;", ",", "&amp;'Trust &amp; Safety'!$B$7:$B$500&amp;", ")),--('Trust &amp; Safety'!$AT$7:$AT$500="Pass"))+SUMPRODUCT(--ISNUMBER(SEARCH(", "&amp;$B83&amp;", ",", "&amp;'Tài khoản &amp; Hồ sơ'!$B$7:$B$500&amp;", ")),--('Tài khoản &amp; Hồ sơ'!$AT$7:$AT$500="Pass"))</f>
        <v/>
      </c>
      <c r="H83" s="53">
        <f>SUMPRODUCT(--ISNUMBER(SEARCH(", "&amp;$B83&amp;", ",", "&amp;'Hoạt động (Đơn của tôi)'!$B$7:$B$500&amp;", ")),--('Hoạt động (Đơn của tôi)'!$AT$7:$AT$500="Fail"))+SUMPRODUCT(--ISNUMBER(SEARCH(", "&amp;$B83&amp;", ",", "&amp;'Ghép nối'!$B$7:$B$500&amp;", ")),--('Ghép nối'!$AT$7:$AT$500="Fail"))+SUMPRODUCT(--ISNUMBER(SEARCH(", "&amp;$B83&amp;", ",", "&amp;'Huỷ đơn - Huỷ nhận đơn'!$B$7:$B$500&amp;", ")),--('Huỷ đơn - Huỷ nhận đơn'!$AT$7:$AT$500="Fail"))+SUMPRODUCT(--ISNUMBER(SEARCH(", "&amp;$B83&amp;", ",", "&amp;'Giao nhận &amp; Theo dõi đơn'!$B$7:$B$500&amp;", ")),--('Giao nhận &amp; Theo dõi đơn'!$AT$7:$AT$500="Fail"))+SUMPRODUCT(--ISNUMBER(SEARCH(", "&amp;$B83&amp;", ",", "&amp;'Bảng tin &amp; Chi tiết tin'!$B$7:$B$500&amp;", ")),--('Bảng tin &amp; Chi tiết tin'!$AT$7:$AT$500="Fail"))+SUMPRODUCT(--ISNUMBER(SEARCH(", "&amp;$B83&amp;", ",", "&amp;'Quà cảm ơn'!$B$7:$B$500&amp;", ")),--('Quà cảm ơn'!$AT$7:$AT$500="Fail"))+SUMPRODUCT(--ISNUMBER(SEARCH(", "&amp;$B83&amp;", ",", "&amp;'Trang chủ'!$B$7:$B$500&amp;", ")),--('Trang chủ'!$AT$7:$AT$500="Fail"))+SUMPRODUCT(--ISNUMBER(SEARCH(", "&amp;$B83&amp;", ",", "&amp;'Thông báo'!$B$7:$B$500&amp;", ")),--('Thông báo'!$AT$7:$AT$500="Fail"))+SUMPRODUCT(--ISNUMBER(SEARCH(", "&amp;$B83&amp;", ",", "&amp;'Đăng tin &amp; Quản lý tin'!$B$7:$B$500&amp;", ")),--('Đăng tin &amp; Quản lý tin'!$AT$7:$AT$500="Fail"))+SUMPRODUCT(--ISNUMBER(SEARCH(", "&amp;$B83&amp;", ",", "&amp;'Trust &amp; Safety'!$B$7:$B$500&amp;", ")),--('Trust &amp; Safety'!$AT$7:$AT$500="Fail"))+SUMPRODUCT(--ISNUMBER(SEARCH(", "&amp;$B83&amp;", ",", "&amp;'Tài khoản &amp; Hồ sơ'!$B$7:$B$500&amp;", ")),--('Tài khoản &amp; Hồ sơ'!$AT$7:$AT$500="Fail"))</f>
        <v/>
      </c>
      <c r="I83" s="53">
        <f>SUMPRODUCT(--ISNUMBER(SEARCH(", "&amp;$B83&amp;", ",", "&amp;'Hoạt động (Đơn của tôi)'!$B$7:$B$500&amp;", ")),--('Hoạt động (Đơn của tôi)'!$AT$7:$AT$500="Block"))+SUMPRODUCT(--ISNUMBER(SEARCH(", "&amp;$B83&amp;", ",", "&amp;'Ghép nối'!$B$7:$B$500&amp;", ")),--('Ghép nối'!$AT$7:$AT$500="Block"))+SUMPRODUCT(--ISNUMBER(SEARCH(", "&amp;$B83&amp;", ",", "&amp;'Huỷ đơn - Huỷ nhận đơn'!$B$7:$B$500&amp;", ")),--('Huỷ đơn - Huỷ nhận đơn'!$AT$7:$AT$500="Block"))+SUMPRODUCT(--ISNUMBER(SEARCH(", "&amp;$B83&amp;", ",", "&amp;'Giao nhận &amp; Theo dõi đơn'!$B$7:$B$500&amp;", ")),--('Giao nhận &amp; Theo dõi đơn'!$AT$7:$AT$500="Block"))+SUMPRODUCT(--ISNUMBER(SEARCH(", "&amp;$B83&amp;", ",", "&amp;'Bảng tin &amp; Chi tiết tin'!$B$7:$B$500&amp;", ")),--('Bảng tin &amp; Chi tiết tin'!$AT$7:$AT$500="Block"))+SUMPRODUCT(--ISNUMBER(SEARCH(", "&amp;$B83&amp;", ",", "&amp;'Quà cảm ơn'!$B$7:$B$500&amp;", ")),--('Quà cảm ơn'!$AT$7:$AT$500="Block"))+SUMPRODUCT(--ISNUMBER(SEARCH(", "&amp;$B83&amp;", ",", "&amp;'Trang chủ'!$B$7:$B$500&amp;", ")),--('Trang chủ'!$AT$7:$AT$500="Block"))+SUMPRODUCT(--ISNUMBER(SEARCH(", "&amp;$B83&amp;", ",", "&amp;'Thông báo'!$B$7:$B$500&amp;", ")),--('Thông báo'!$AT$7:$AT$500="Block"))+SUMPRODUCT(--ISNUMBER(SEARCH(", "&amp;$B83&amp;", ",", "&amp;'Đăng tin &amp; Quản lý tin'!$B$7:$B$500&amp;", ")),--('Đăng tin &amp; Quản lý tin'!$AT$7:$AT$500="Block"))+SUMPRODUCT(--ISNUMBER(SEARCH(", "&amp;$B83&amp;", ",", "&amp;'Trust &amp; Safety'!$B$7:$B$500&amp;", ")),--('Trust &amp; Safety'!$AT$7:$AT$500="Block"))+SUMPRODUCT(--ISNUMBER(SEARCH(", "&amp;$B83&amp;", ",", "&amp;'Tài khoản &amp; Hồ sơ'!$B$7:$B$500&amp;", ")),--('Tài khoản &amp; Hồ sơ'!$AT$7:$AT$500="Block"))</f>
        <v/>
      </c>
      <c r="J83" s="53">
        <f>SUMPRODUCT(--ISNUMBER(SEARCH(", "&amp;$B83&amp;", ",", "&amp;'Hoạt động (Đơn của tôi)'!$B$7:$B$500&amp;", ")),--('Hoạt động (Đơn của tôi)'!$AT$7:$AT$500="N/A"))+SUMPRODUCT(--ISNUMBER(SEARCH(", "&amp;$B83&amp;", ",", "&amp;'Ghép nối'!$B$7:$B$500&amp;", ")),--('Ghép nối'!$AT$7:$AT$500="N/A"))+SUMPRODUCT(--ISNUMBER(SEARCH(", "&amp;$B83&amp;", ",", "&amp;'Huỷ đơn - Huỷ nhận đơn'!$B$7:$B$500&amp;", ")),--('Huỷ đơn - Huỷ nhận đơn'!$AT$7:$AT$500="N/A"))+SUMPRODUCT(--ISNUMBER(SEARCH(", "&amp;$B83&amp;", ",", "&amp;'Giao nhận &amp; Theo dõi đơn'!$B$7:$B$500&amp;", ")),--('Giao nhận &amp; Theo dõi đơn'!$AT$7:$AT$500="N/A"))+SUMPRODUCT(--ISNUMBER(SEARCH(", "&amp;$B83&amp;", ",", "&amp;'Bảng tin &amp; Chi tiết tin'!$B$7:$B$500&amp;", ")),--('Bảng tin &amp; Chi tiết tin'!$AT$7:$AT$500="N/A"))+SUMPRODUCT(--ISNUMBER(SEARCH(", "&amp;$B83&amp;", ",", "&amp;'Quà cảm ơn'!$B$7:$B$500&amp;", ")),--('Quà cảm ơn'!$AT$7:$AT$500="N/A"))+SUMPRODUCT(--ISNUMBER(SEARCH(", "&amp;$B83&amp;", ",", "&amp;'Trang chủ'!$B$7:$B$500&amp;", ")),--('Trang chủ'!$AT$7:$AT$500="N/A"))+SUMPRODUCT(--ISNUMBER(SEARCH(", "&amp;$B83&amp;", ",", "&amp;'Thông báo'!$B$7:$B$500&amp;", ")),--('Thông báo'!$AT$7:$AT$500="N/A"))+SUMPRODUCT(--ISNUMBER(SEARCH(", "&amp;$B83&amp;", ",", "&amp;'Đăng tin &amp; Quản lý tin'!$B$7:$B$500&amp;", ")),--('Đăng tin &amp; Quản lý tin'!$AT$7:$AT$500="N/A"))+SUMPRODUCT(--ISNUMBER(SEARCH(", "&amp;$B83&amp;", ",", "&amp;'Trust &amp; Safety'!$B$7:$B$500&amp;", ")),--('Trust &amp; Safety'!$AT$7:$AT$500="N/A"))+SUMPRODUCT(--ISNUMBER(SEARCH(", "&amp;$B83&amp;", ",", "&amp;'Tài khoản &amp; Hồ sơ'!$B$7:$B$500&amp;", ")),--('Tài khoản &amp; Hồ sơ'!$AT$7:$AT$500="N/A"))</f>
        <v/>
      </c>
      <c r="K83" s="54">
        <f>IFERROR(F83/E83,0)</f>
        <v/>
      </c>
      <c r="L83" s="113">
        <f>IF(E83=0,"Chưa có TC (gap)",IF(H83&gt;0,"Có lỗi (Fail)",IF(I83&gt;0,"Bị block",IF(F83&lt;E83,"Đang test",IF(G83=0,"Không áp dụng (N/A)","Đã test xong")))))</f>
        <v/>
      </c>
      <c r="AB83" t="inlineStr">
        <is>
          <t>REQ-HOME</t>
        </is>
      </c>
    </row>
    <row r="84" ht="15.75" customHeight="1" s="216">
      <c r="A84" s="1" t="n"/>
      <c r="B84" s="112" t="inlineStr">
        <is>
          <t>REQ-HOME-007</t>
        </is>
      </c>
      <c r="C84" s="261" t="inlineStr"/>
      <c r="D84" s="113" t="inlineStr">
        <is>
          <t>DOC-v1.0-06</t>
        </is>
      </c>
      <c r="E84" s="53">
        <f>SUMPRODUCT(--ISNUMBER(SEARCH(", "&amp;$B84&amp;", ",", "&amp;'Hoạt động (Đơn của tôi)'!$B$7:$B$500&amp;", ")))+SUMPRODUCT(--ISNUMBER(SEARCH(", "&amp;$B84&amp;", ",", "&amp;'Ghép nối'!$B$7:$B$500&amp;", ")))+SUMPRODUCT(--ISNUMBER(SEARCH(", "&amp;$B84&amp;", ",", "&amp;'Huỷ đơn - Huỷ nhận đơn'!$B$7:$B$500&amp;", ")))+SUMPRODUCT(--ISNUMBER(SEARCH(", "&amp;$B84&amp;", ",", "&amp;'Giao nhận &amp; Theo dõi đơn'!$B$7:$B$500&amp;", ")))+SUMPRODUCT(--ISNUMBER(SEARCH(", "&amp;$B84&amp;", ",", "&amp;'Bảng tin &amp; Chi tiết tin'!$B$7:$B$500&amp;", ")))+SUMPRODUCT(--ISNUMBER(SEARCH(", "&amp;$B84&amp;", ",", "&amp;'Quà cảm ơn'!$B$7:$B$500&amp;", ")))+SUMPRODUCT(--ISNUMBER(SEARCH(", "&amp;$B84&amp;", ",", "&amp;'Trang chủ'!$B$7:$B$500&amp;", ")))+SUMPRODUCT(--ISNUMBER(SEARCH(", "&amp;$B84&amp;", ",", "&amp;'Thông báo'!$B$7:$B$500&amp;", ")))+SUMPRODUCT(--ISNUMBER(SEARCH(", "&amp;$B84&amp;", ",", "&amp;'Đăng tin &amp; Quản lý tin'!$B$7:$B$500&amp;", ")))+SUMPRODUCT(--ISNUMBER(SEARCH(", "&amp;$B84&amp;", ",", "&amp;'Trust &amp; Safety'!$B$7:$B$500&amp;", ")))+SUMPRODUCT(--ISNUMBER(SEARCH(", "&amp;$B84&amp;", ",", "&amp;'Tài khoản &amp; Hồ sơ'!$B$7:$B$500&amp;", ")))</f>
        <v/>
      </c>
      <c r="F84" s="53">
        <f>SUMPRODUCT(--ISNUMBER(SEARCH(", "&amp;$B84&amp;", ",", "&amp;'Hoạt động (Đơn của tôi)'!$B$7:$B$500&amp;", ")),--('Hoạt động (Đơn của tôi)'!$AT$7:$AT$500&lt;&gt;""))+SUMPRODUCT(--ISNUMBER(SEARCH(", "&amp;$B84&amp;", ",", "&amp;'Ghép nối'!$B$7:$B$500&amp;", ")),--('Ghép nối'!$AT$7:$AT$500&lt;&gt;""))+SUMPRODUCT(--ISNUMBER(SEARCH(", "&amp;$B84&amp;", ",", "&amp;'Huỷ đơn - Huỷ nhận đơn'!$B$7:$B$500&amp;", ")),--('Huỷ đơn - Huỷ nhận đơn'!$AT$7:$AT$500&lt;&gt;""))+SUMPRODUCT(--ISNUMBER(SEARCH(", "&amp;$B84&amp;", ",", "&amp;'Giao nhận &amp; Theo dõi đơn'!$B$7:$B$500&amp;", ")),--('Giao nhận &amp; Theo dõi đơn'!$AT$7:$AT$500&lt;&gt;""))+SUMPRODUCT(--ISNUMBER(SEARCH(", "&amp;$B84&amp;", ",", "&amp;'Bảng tin &amp; Chi tiết tin'!$B$7:$B$500&amp;", ")),--('Bảng tin &amp; Chi tiết tin'!$AT$7:$AT$500&lt;&gt;""))+SUMPRODUCT(--ISNUMBER(SEARCH(", "&amp;$B84&amp;", ",", "&amp;'Quà cảm ơn'!$B$7:$B$500&amp;", ")),--('Quà cảm ơn'!$AT$7:$AT$500&lt;&gt;""))+SUMPRODUCT(--ISNUMBER(SEARCH(", "&amp;$B84&amp;", ",", "&amp;'Trang chủ'!$B$7:$B$500&amp;", ")),--('Trang chủ'!$AT$7:$AT$500&lt;&gt;""))+SUMPRODUCT(--ISNUMBER(SEARCH(", "&amp;$B84&amp;", ",", "&amp;'Thông báo'!$B$7:$B$500&amp;", ")),--('Thông báo'!$AT$7:$AT$500&lt;&gt;""))+SUMPRODUCT(--ISNUMBER(SEARCH(", "&amp;$B84&amp;", ",", "&amp;'Đăng tin &amp; Quản lý tin'!$B$7:$B$500&amp;", ")),--('Đăng tin &amp; Quản lý tin'!$AT$7:$AT$500&lt;&gt;""))+SUMPRODUCT(--ISNUMBER(SEARCH(", "&amp;$B84&amp;", ",", "&amp;'Trust &amp; Safety'!$B$7:$B$500&amp;", ")),--('Trust &amp; Safety'!$AT$7:$AT$500&lt;&gt;""))+SUMPRODUCT(--ISNUMBER(SEARCH(", "&amp;$B84&amp;", ",", "&amp;'Tài khoản &amp; Hồ sơ'!$B$7:$B$500&amp;", ")),--('Tài khoản &amp; Hồ sơ'!$AT$7:$AT$500&lt;&gt;""))</f>
        <v/>
      </c>
      <c r="G84" s="53">
        <f>SUMPRODUCT(--ISNUMBER(SEARCH(", "&amp;$B84&amp;", ",", "&amp;'Hoạt động (Đơn của tôi)'!$B$7:$B$500&amp;", ")),--('Hoạt động (Đơn của tôi)'!$AT$7:$AT$500="Pass"))+SUMPRODUCT(--ISNUMBER(SEARCH(", "&amp;$B84&amp;", ",", "&amp;'Ghép nối'!$B$7:$B$500&amp;", ")),--('Ghép nối'!$AT$7:$AT$500="Pass"))+SUMPRODUCT(--ISNUMBER(SEARCH(", "&amp;$B84&amp;", ",", "&amp;'Huỷ đơn - Huỷ nhận đơn'!$B$7:$B$500&amp;", ")),--('Huỷ đơn - Huỷ nhận đơn'!$AT$7:$AT$500="Pass"))+SUMPRODUCT(--ISNUMBER(SEARCH(", "&amp;$B84&amp;", ",", "&amp;'Giao nhận &amp; Theo dõi đơn'!$B$7:$B$500&amp;", ")),--('Giao nhận &amp; Theo dõi đơn'!$AT$7:$AT$500="Pass"))+SUMPRODUCT(--ISNUMBER(SEARCH(", "&amp;$B84&amp;", ",", "&amp;'Bảng tin &amp; Chi tiết tin'!$B$7:$B$500&amp;", ")),--('Bảng tin &amp; Chi tiết tin'!$AT$7:$AT$500="Pass"))+SUMPRODUCT(--ISNUMBER(SEARCH(", "&amp;$B84&amp;", ",", "&amp;'Quà cảm ơn'!$B$7:$B$500&amp;", ")),--('Quà cảm ơn'!$AT$7:$AT$500="Pass"))+SUMPRODUCT(--ISNUMBER(SEARCH(", "&amp;$B84&amp;", ",", "&amp;'Trang chủ'!$B$7:$B$500&amp;", ")),--('Trang chủ'!$AT$7:$AT$500="Pass"))+SUMPRODUCT(--ISNUMBER(SEARCH(", "&amp;$B84&amp;", ",", "&amp;'Thông báo'!$B$7:$B$500&amp;", ")),--('Thông báo'!$AT$7:$AT$500="Pass"))+SUMPRODUCT(--ISNUMBER(SEARCH(", "&amp;$B84&amp;", ",", "&amp;'Đăng tin &amp; Quản lý tin'!$B$7:$B$500&amp;", ")),--('Đăng tin &amp; Quản lý tin'!$AT$7:$AT$500="Pass"))+SUMPRODUCT(--ISNUMBER(SEARCH(", "&amp;$B84&amp;", ",", "&amp;'Trust &amp; Safety'!$B$7:$B$500&amp;", ")),--('Trust &amp; Safety'!$AT$7:$AT$500="Pass"))+SUMPRODUCT(--ISNUMBER(SEARCH(", "&amp;$B84&amp;", ",", "&amp;'Tài khoản &amp; Hồ sơ'!$B$7:$B$500&amp;", ")),--('Tài khoản &amp; Hồ sơ'!$AT$7:$AT$500="Pass"))</f>
        <v/>
      </c>
      <c r="H84" s="53">
        <f>SUMPRODUCT(--ISNUMBER(SEARCH(", "&amp;$B84&amp;", ",", "&amp;'Hoạt động (Đơn của tôi)'!$B$7:$B$500&amp;", ")),--('Hoạt động (Đơn của tôi)'!$AT$7:$AT$500="Fail"))+SUMPRODUCT(--ISNUMBER(SEARCH(", "&amp;$B84&amp;", ",", "&amp;'Ghép nối'!$B$7:$B$500&amp;", ")),--('Ghép nối'!$AT$7:$AT$500="Fail"))+SUMPRODUCT(--ISNUMBER(SEARCH(", "&amp;$B84&amp;", ",", "&amp;'Huỷ đơn - Huỷ nhận đơn'!$B$7:$B$500&amp;", ")),--('Huỷ đơn - Huỷ nhận đơn'!$AT$7:$AT$500="Fail"))+SUMPRODUCT(--ISNUMBER(SEARCH(", "&amp;$B84&amp;", ",", "&amp;'Giao nhận &amp; Theo dõi đơn'!$B$7:$B$500&amp;", ")),--('Giao nhận &amp; Theo dõi đơn'!$AT$7:$AT$500="Fail"))+SUMPRODUCT(--ISNUMBER(SEARCH(", "&amp;$B84&amp;", ",", "&amp;'Bảng tin &amp; Chi tiết tin'!$B$7:$B$500&amp;", ")),--('Bảng tin &amp; Chi tiết tin'!$AT$7:$AT$500="Fail"))+SUMPRODUCT(--ISNUMBER(SEARCH(", "&amp;$B84&amp;", ",", "&amp;'Quà cảm ơn'!$B$7:$B$500&amp;", ")),--('Quà cảm ơn'!$AT$7:$AT$500="Fail"))+SUMPRODUCT(--ISNUMBER(SEARCH(", "&amp;$B84&amp;", ",", "&amp;'Trang chủ'!$B$7:$B$500&amp;", ")),--('Trang chủ'!$AT$7:$AT$500="Fail"))+SUMPRODUCT(--ISNUMBER(SEARCH(", "&amp;$B84&amp;", ",", "&amp;'Thông báo'!$B$7:$B$500&amp;", ")),--('Thông báo'!$AT$7:$AT$500="Fail"))+SUMPRODUCT(--ISNUMBER(SEARCH(", "&amp;$B84&amp;", ",", "&amp;'Đăng tin &amp; Quản lý tin'!$B$7:$B$500&amp;", ")),--('Đăng tin &amp; Quản lý tin'!$AT$7:$AT$500="Fail"))+SUMPRODUCT(--ISNUMBER(SEARCH(", "&amp;$B84&amp;", ",", "&amp;'Trust &amp; Safety'!$B$7:$B$500&amp;", ")),--('Trust &amp; Safety'!$AT$7:$AT$500="Fail"))+SUMPRODUCT(--ISNUMBER(SEARCH(", "&amp;$B84&amp;", ",", "&amp;'Tài khoản &amp; Hồ sơ'!$B$7:$B$500&amp;", ")),--('Tài khoản &amp; Hồ sơ'!$AT$7:$AT$500="Fail"))</f>
        <v/>
      </c>
      <c r="I84" s="53">
        <f>SUMPRODUCT(--ISNUMBER(SEARCH(", "&amp;$B84&amp;", ",", "&amp;'Hoạt động (Đơn của tôi)'!$B$7:$B$500&amp;", ")),--('Hoạt động (Đơn của tôi)'!$AT$7:$AT$500="Block"))+SUMPRODUCT(--ISNUMBER(SEARCH(", "&amp;$B84&amp;", ",", "&amp;'Ghép nối'!$B$7:$B$500&amp;", ")),--('Ghép nối'!$AT$7:$AT$500="Block"))+SUMPRODUCT(--ISNUMBER(SEARCH(", "&amp;$B84&amp;", ",", "&amp;'Huỷ đơn - Huỷ nhận đơn'!$B$7:$B$500&amp;", ")),--('Huỷ đơn - Huỷ nhận đơn'!$AT$7:$AT$500="Block"))+SUMPRODUCT(--ISNUMBER(SEARCH(", "&amp;$B84&amp;", ",", "&amp;'Giao nhận &amp; Theo dõi đơn'!$B$7:$B$500&amp;", ")),--('Giao nhận &amp; Theo dõi đơn'!$AT$7:$AT$500="Block"))+SUMPRODUCT(--ISNUMBER(SEARCH(", "&amp;$B84&amp;", ",", "&amp;'Bảng tin &amp; Chi tiết tin'!$B$7:$B$500&amp;", ")),--('Bảng tin &amp; Chi tiết tin'!$AT$7:$AT$500="Block"))+SUMPRODUCT(--ISNUMBER(SEARCH(", "&amp;$B84&amp;", ",", "&amp;'Quà cảm ơn'!$B$7:$B$500&amp;", ")),--('Quà cảm ơn'!$AT$7:$AT$500="Block"))+SUMPRODUCT(--ISNUMBER(SEARCH(", "&amp;$B84&amp;", ",", "&amp;'Trang chủ'!$B$7:$B$500&amp;", ")),--('Trang chủ'!$AT$7:$AT$500="Block"))+SUMPRODUCT(--ISNUMBER(SEARCH(", "&amp;$B84&amp;", ",", "&amp;'Thông báo'!$B$7:$B$500&amp;", ")),--('Thông báo'!$AT$7:$AT$500="Block"))+SUMPRODUCT(--ISNUMBER(SEARCH(", "&amp;$B84&amp;", ",", "&amp;'Đăng tin &amp; Quản lý tin'!$B$7:$B$500&amp;", ")),--('Đăng tin &amp; Quản lý tin'!$AT$7:$AT$500="Block"))+SUMPRODUCT(--ISNUMBER(SEARCH(", "&amp;$B84&amp;", ",", "&amp;'Trust &amp; Safety'!$B$7:$B$500&amp;", ")),--('Trust &amp; Safety'!$AT$7:$AT$500="Block"))+SUMPRODUCT(--ISNUMBER(SEARCH(", "&amp;$B84&amp;", ",", "&amp;'Tài khoản &amp; Hồ sơ'!$B$7:$B$500&amp;", ")),--('Tài khoản &amp; Hồ sơ'!$AT$7:$AT$500="Block"))</f>
        <v/>
      </c>
      <c r="J84" s="53">
        <f>SUMPRODUCT(--ISNUMBER(SEARCH(", "&amp;$B84&amp;", ",", "&amp;'Hoạt động (Đơn của tôi)'!$B$7:$B$500&amp;", ")),--('Hoạt động (Đơn của tôi)'!$AT$7:$AT$500="N/A"))+SUMPRODUCT(--ISNUMBER(SEARCH(", "&amp;$B84&amp;", ",", "&amp;'Ghép nối'!$B$7:$B$500&amp;", ")),--('Ghép nối'!$AT$7:$AT$500="N/A"))+SUMPRODUCT(--ISNUMBER(SEARCH(", "&amp;$B84&amp;", ",", "&amp;'Huỷ đơn - Huỷ nhận đơn'!$B$7:$B$500&amp;", ")),--('Huỷ đơn - Huỷ nhận đơn'!$AT$7:$AT$500="N/A"))+SUMPRODUCT(--ISNUMBER(SEARCH(", "&amp;$B84&amp;", ",", "&amp;'Giao nhận &amp; Theo dõi đơn'!$B$7:$B$500&amp;", ")),--('Giao nhận &amp; Theo dõi đơn'!$AT$7:$AT$500="N/A"))+SUMPRODUCT(--ISNUMBER(SEARCH(", "&amp;$B84&amp;", ",", "&amp;'Bảng tin &amp; Chi tiết tin'!$B$7:$B$500&amp;", ")),--('Bảng tin &amp; Chi tiết tin'!$AT$7:$AT$500="N/A"))+SUMPRODUCT(--ISNUMBER(SEARCH(", "&amp;$B84&amp;", ",", "&amp;'Quà cảm ơn'!$B$7:$B$500&amp;", ")),--('Quà cảm ơn'!$AT$7:$AT$500="N/A"))+SUMPRODUCT(--ISNUMBER(SEARCH(", "&amp;$B84&amp;", ",", "&amp;'Trang chủ'!$B$7:$B$500&amp;", ")),--('Trang chủ'!$AT$7:$AT$500="N/A"))+SUMPRODUCT(--ISNUMBER(SEARCH(", "&amp;$B84&amp;", ",", "&amp;'Thông báo'!$B$7:$B$500&amp;", ")),--('Thông báo'!$AT$7:$AT$500="N/A"))+SUMPRODUCT(--ISNUMBER(SEARCH(", "&amp;$B84&amp;", ",", "&amp;'Đăng tin &amp; Quản lý tin'!$B$7:$B$500&amp;", ")),--('Đăng tin &amp; Quản lý tin'!$AT$7:$AT$500="N/A"))+SUMPRODUCT(--ISNUMBER(SEARCH(", "&amp;$B84&amp;", ",", "&amp;'Trust &amp; Safety'!$B$7:$B$500&amp;", ")),--('Trust &amp; Safety'!$AT$7:$AT$500="N/A"))+SUMPRODUCT(--ISNUMBER(SEARCH(", "&amp;$B84&amp;", ",", "&amp;'Tài khoản &amp; Hồ sơ'!$B$7:$B$500&amp;", ")),--('Tài khoản &amp; Hồ sơ'!$AT$7:$AT$500="N/A"))</f>
        <v/>
      </c>
      <c r="K84" s="54">
        <f>IFERROR(F84/E84,0)</f>
        <v/>
      </c>
      <c r="L84" s="113">
        <f>IF(E84=0,"Chưa có TC (gap)",IF(H84&gt;0,"Có lỗi (Fail)",IF(I84&gt;0,"Bị block",IF(F84&lt;E84,"Đang test",IF(G84=0,"Không áp dụng (N/A)","Đã test xong")))))</f>
        <v/>
      </c>
      <c r="AB84" t="inlineStr">
        <is>
          <t>REQ-HOME</t>
        </is>
      </c>
    </row>
    <row r="85" ht="15.75" customHeight="1" s="216">
      <c r="A85" s="1" t="n"/>
      <c r="B85" s="112" t="inlineStr">
        <is>
          <t>REQ-HOME-008</t>
        </is>
      </c>
      <c r="C85" s="261" t="inlineStr"/>
      <c r="D85" s="113" t="inlineStr">
        <is>
          <t>DOC-v1.0-02</t>
        </is>
      </c>
      <c r="E85" s="53">
        <f>SUMPRODUCT(--ISNUMBER(SEARCH(", "&amp;$B85&amp;", ",", "&amp;'Hoạt động (Đơn của tôi)'!$B$7:$B$500&amp;", ")))+SUMPRODUCT(--ISNUMBER(SEARCH(", "&amp;$B85&amp;", ",", "&amp;'Ghép nối'!$B$7:$B$500&amp;", ")))+SUMPRODUCT(--ISNUMBER(SEARCH(", "&amp;$B85&amp;", ",", "&amp;'Huỷ đơn - Huỷ nhận đơn'!$B$7:$B$500&amp;", ")))+SUMPRODUCT(--ISNUMBER(SEARCH(", "&amp;$B85&amp;", ",", "&amp;'Giao nhận &amp; Theo dõi đơn'!$B$7:$B$500&amp;", ")))+SUMPRODUCT(--ISNUMBER(SEARCH(", "&amp;$B85&amp;", ",", "&amp;'Bảng tin &amp; Chi tiết tin'!$B$7:$B$500&amp;", ")))+SUMPRODUCT(--ISNUMBER(SEARCH(", "&amp;$B85&amp;", ",", "&amp;'Quà cảm ơn'!$B$7:$B$500&amp;", ")))+SUMPRODUCT(--ISNUMBER(SEARCH(", "&amp;$B85&amp;", ",", "&amp;'Trang chủ'!$B$7:$B$500&amp;", ")))+SUMPRODUCT(--ISNUMBER(SEARCH(", "&amp;$B85&amp;", ",", "&amp;'Thông báo'!$B$7:$B$500&amp;", ")))+SUMPRODUCT(--ISNUMBER(SEARCH(", "&amp;$B85&amp;", ",", "&amp;'Đăng tin &amp; Quản lý tin'!$B$7:$B$500&amp;", ")))+SUMPRODUCT(--ISNUMBER(SEARCH(", "&amp;$B85&amp;", ",", "&amp;'Trust &amp; Safety'!$B$7:$B$500&amp;", ")))+SUMPRODUCT(--ISNUMBER(SEARCH(", "&amp;$B85&amp;", ",", "&amp;'Tài khoản &amp; Hồ sơ'!$B$7:$B$500&amp;", ")))</f>
        <v/>
      </c>
      <c r="F85" s="53">
        <f>SUMPRODUCT(--ISNUMBER(SEARCH(", "&amp;$B85&amp;", ",", "&amp;'Hoạt động (Đơn của tôi)'!$B$7:$B$500&amp;", ")),--('Hoạt động (Đơn của tôi)'!$AT$7:$AT$500&lt;&gt;""))+SUMPRODUCT(--ISNUMBER(SEARCH(", "&amp;$B85&amp;", ",", "&amp;'Ghép nối'!$B$7:$B$500&amp;", ")),--('Ghép nối'!$AT$7:$AT$500&lt;&gt;""))+SUMPRODUCT(--ISNUMBER(SEARCH(", "&amp;$B85&amp;", ",", "&amp;'Huỷ đơn - Huỷ nhận đơn'!$B$7:$B$500&amp;", ")),--('Huỷ đơn - Huỷ nhận đơn'!$AT$7:$AT$500&lt;&gt;""))+SUMPRODUCT(--ISNUMBER(SEARCH(", "&amp;$B85&amp;", ",", "&amp;'Giao nhận &amp; Theo dõi đơn'!$B$7:$B$500&amp;", ")),--('Giao nhận &amp; Theo dõi đơn'!$AT$7:$AT$500&lt;&gt;""))+SUMPRODUCT(--ISNUMBER(SEARCH(", "&amp;$B85&amp;", ",", "&amp;'Bảng tin &amp; Chi tiết tin'!$B$7:$B$500&amp;", ")),--('Bảng tin &amp; Chi tiết tin'!$AT$7:$AT$500&lt;&gt;""))+SUMPRODUCT(--ISNUMBER(SEARCH(", "&amp;$B85&amp;", ",", "&amp;'Quà cảm ơn'!$B$7:$B$500&amp;", ")),--('Quà cảm ơn'!$AT$7:$AT$500&lt;&gt;""))+SUMPRODUCT(--ISNUMBER(SEARCH(", "&amp;$B85&amp;", ",", "&amp;'Trang chủ'!$B$7:$B$500&amp;", ")),--('Trang chủ'!$AT$7:$AT$500&lt;&gt;""))+SUMPRODUCT(--ISNUMBER(SEARCH(", "&amp;$B85&amp;", ",", "&amp;'Thông báo'!$B$7:$B$500&amp;", ")),--('Thông báo'!$AT$7:$AT$500&lt;&gt;""))+SUMPRODUCT(--ISNUMBER(SEARCH(", "&amp;$B85&amp;", ",", "&amp;'Đăng tin &amp; Quản lý tin'!$B$7:$B$500&amp;", ")),--('Đăng tin &amp; Quản lý tin'!$AT$7:$AT$500&lt;&gt;""))+SUMPRODUCT(--ISNUMBER(SEARCH(", "&amp;$B85&amp;", ",", "&amp;'Trust &amp; Safety'!$B$7:$B$500&amp;", ")),--('Trust &amp; Safety'!$AT$7:$AT$500&lt;&gt;""))+SUMPRODUCT(--ISNUMBER(SEARCH(", "&amp;$B85&amp;", ",", "&amp;'Tài khoản &amp; Hồ sơ'!$B$7:$B$500&amp;", ")),--('Tài khoản &amp; Hồ sơ'!$AT$7:$AT$500&lt;&gt;""))</f>
        <v/>
      </c>
      <c r="G85" s="53">
        <f>SUMPRODUCT(--ISNUMBER(SEARCH(", "&amp;$B85&amp;", ",", "&amp;'Hoạt động (Đơn của tôi)'!$B$7:$B$500&amp;", ")),--('Hoạt động (Đơn của tôi)'!$AT$7:$AT$500="Pass"))+SUMPRODUCT(--ISNUMBER(SEARCH(", "&amp;$B85&amp;", ",", "&amp;'Ghép nối'!$B$7:$B$500&amp;", ")),--('Ghép nối'!$AT$7:$AT$500="Pass"))+SUMPRODUCT(--ISNUMBER(SEARCH(", "&amp;$B85&amp;", ",", "&amp;'Huỷ đơn - Huỷ nhận đơn'!$B$7:$B$500&amp;", ")),--('Huỷ đơn - Huỷ nhận đơn'!$AT$7:$AT$500="Pass"))+SUMPRODUCT(--ISNUMBER(SEARCH(", "&amp;$B85&amp;", ",", "&amp;'Giao nhận &amp; Theo dõi đơn'!$B$7:$B$500&amp;", ")),--('Giao nhận &amp; Theo dõi đơn'!$AT$7:$AT$500="Pass"))+SUMPRODUCT(--ISNUMBER(SEARCH(", "&amp;$B85&amp;", ",", "&amp;'Bảng tin &amp; Chi tiết tin'!$B$7:$B$500&amp;", ")),--('Bảng tin &amp; Chi tiết tin'!$AT$7:$AT$500="Pass"))+SUMPRODUCT(--ISNUMBER(SEARCH(", "&amp;$B85&amp;", ",", "&amp;'Quà cảm ơn'!$B$7:$B$500&amp;", ")),--('Quà cảm ơn'!$AT$7:$AT$500="Pass"))+SUMPRODUCT(--ISNUMBER(SEARCH(", "&amp;$B85&amp;", ",", "&amp;'Trang chủ'!$B$7:$B$500&amp;", ")),--('Trang chủ'!$AT$7:$AT$500="Pass"))+SUMPRODUCT(--ISNUMBER(SEARCH(", "&amp;$B85&amp;", ",", "&amp;'Thông báo'!$B$7:$B$500&amp;", ")),--('Thông báo'!$AT$7:$AT$500="Pass"))+SUMPRODUCT(--ISNUMBER(SEARCH(", "&amp;$B85&amp;", ",", "&amp;'Đăng tin &amp; Quản lý tin'!$B$7:$B$500&amp;", ")),--('Đăng tin &amp; Quản lý tin'!$AT$7:$AT$500="Pass"))+SUMPRODUCT(--ISNUMBER(SEARCH(", "&amp;$B85&amp;", ",", "&amp;'Trust &amp; Safety'!$B$7:$B$500&amp;", ")),--('Trust &amp; Safety'!$AT$7:$AT$500="Pass"))+SUMPRODUCT(--ISNUMBER(SEARCH(", "&amp;$B85&amp;", ",", "&amp;'Tài khoản &amp; Hồ sơ'!$B$7:$B$500&amp;", ")),--('Tài khoản &amp; Hồ sơ'!$AT$7:$AT$500="Pass"))</f>
        <v/>
      </c>
      <c r="H85" s="53">
        <f>SUMPRODUCT(--ISNUMBER(SEARCH(", "&amp;$B85&amp;", ",", "&amp;'Hoạt động (Đơn của tôi)'!$B$7:$B$500&amp;", ")),--('Hoạt động (Đơn của tôi)'!$AT$7:$AT$500="Fail"))+SUMPRODUCT(--ISNUMBER(SEARCH(", "&amp;$B85&amp;", ",", "&amp;'Ghép nối'!$B$7:$B$500&amp;", ")),--('Ghép nối'!$AT$7:$AT$500="Fail"))+SUMPRODUCT(--ISNUMBER(SEARCH(", "&amp;$B85&amp;", ",", "&amp;'Huỷ đơn - Huỷ nhận đơn'!$B$7:$B$500&amp;", ")),--('Huỷ đơn - Huỷ nhận đơn'!$AT$7:$AT$500="Fail"))+SUMPRODUCT(--ISNUMBER(SEARCH(", "&amp;$B85&amp;", ",", "&amp;'Giao nhận &amp; Theo dõi đơn'!$B$7:$B$500&amp;", ")),--('Giao nhận &amp; Theo dõi đơn'!$AT$7:$AT$500="Fail"))+SUMPRODUCT(--ISNUMBER(SEARCH(", "&amp;$B85&amp;", ",", "&amp;'Bảng tin &amp; Chi tiết tin'!$B$7:$B$500&amp;", ")),--('Bảng tin &amp; Chi tiết tin'!$AT$7:$AT$500="Fail"))+SUMPRODUCT(--ISNUMBER(SEARCH(", "&amp;$B85&amp;", ",", "&amp;'Quà cảm ơn'!$B$7:$B$500&amp;", ")),--('Quà cảm ơn'!$AT$7:$AT$500="Fail"))+SUMPRODUCT(--ISNUMBER(SEARCH(", "&amp;$B85&amp;", ",", "&amp;'Trang chủ'!$B$7:$B$500&amp;", ")),--('Trang chủ'!$AT$7:$AT$500="Fail"))+SUMPRODUCT(--ISNUMBER(SEARCH(", "&amp;$B85&amp;", ",", "&amp;'Thông báo'!$B$7:$B$500&amp;", ")),--('Thông báo'!$AT$7:$AT$500="Fail"))+SUMPRODUCT(--ISNUMBER(SEARCH(", "&amp;$B85&amp;", ",", "&amp;'Đăng tin &amp; Quản lý tin'!$B$7:$B$500&amp;", ")),--('Đăng tin &amp; Quản lý tin'!$AT$7:$AT$500="Fail"))+SUMPRODUCT(--ISNUMBER(SEARCH(", "&amp;$B85&amp;", ",", "&amp;'Trust &amp; Safety'!$B$7:$B$500&amp;", ")),--('Trust &amp; Safety'!$AT$7:$AT$500="Fail"))+SUMPRODUCT(--ISNUMBER(SEARCH(", "&amp;$B85&amp;", ",", "&amp;'Tài khoản &amp; Hồ sơ'!$B$7:$B$500&amp;", ")),--('Tài khoản &amp; Hồ sơ'!$AT$7:$AT$500="Fail"))</f>
        <v/>
      </c>
      <c r="I85" s="53">
        <f>SUMPRODUCT(--ISNUMBER(SEARCH(", "&amp;$B85&amp;", ",", "&amp;'Hoạt động (Đơn của tôi)'!$B$7:$B$500&amp;", ")),--('Hoạt động (Đơn của tôi)'!$AT$7:$AT$500="Block"))+SUMPRODUCT(--ISNUMBER(SEARCH(", "&amp;$B85&amp;", ",", "&amp;'Ghép nối'!$B$7:$B$500&amp;", ")),--('Ghép nối'!$AT$7:$AT$500="Block"))+SUMPRODUCT(--ISNUMBER(SEARCH(", "&amp;$B85&amp;", ",", "&amp;'Huỷ đơn - Huỷ nhận đơn'!$B$7:$B$500&amp;", ")),--('Huỷ đơn - Huỷ nhận đơn'!$AT$7:$AT$500="Block"))+SUMPRODUCT(--ISNUMBER(SEARCH(", "&amp;$B85&amp;", ",", "&amp;'Giao nhận &amp; Theo dõi đơn'!$B$7:$B$500&amp;", ")),--('Giao nhận &amp; Theo dõi đơn'!$AT$7:$AT$500="Block"))+SUMPRODUCT(--ISNUMBER(SEARCH(", "&amp;$B85&amp;", ",", "&amp;'Bảng tin &amp; Chi tiết tin'!$B$7:$B$500&amp;", ")),--('Bảng tin &amp; Chi tiết tin'!$AT$7:$AT$500="Block"))+SUMPRODUCT(--ISNUMBER(SEARCH(", "&amp;$B85&amp;", ",", "&amp;'Quà cảm ơn'!$B$7:$B$500&amp;", ")),--('Quà cảm ơn'!$AT$7:$AT$500="Block"))+SUMPRODUCT(--ISNUMBER(SEARCH(", "&amp;$B85&amp;", ",", "&amp;'Trang chủ'!$B$7:$B$500&amp;", ")),--('Trang chủ'!$AT$7:$AT$500="Block"))+SUMPRODUCT(--ISNUMBER(SEARCH(", "&amp;$B85&amp;", ",", "&amp;'Thông báo'!$B$7:$B$500&amp;", ")),--('Thông báo'!$AT$7:$AT$500="Block"))+SUMPRODUCT(--ISNUMBER(SEARCH(", "&amp;$B85&amp;", ",", "&amp;'Đăng tin &amp; Quản lý tin'!$B$7:$B$500&amp;", ")),--('Đăng tin &amp; Quản lý tin'!$AT$7:$AT$500="Block"))+SUMPRODUCT(--ISNUMBER(SEARCH(", "&amp;$B85&amp;", ",", "&amp;'Trust &amp; Safety'!$B$7:$B$500&amp;", ")),--('Trust &amp; Safety'!$AT$7:$AT$500="Block"))+SUMPRODUCT(--ISNUMBER(SEARCH(", "&amp;$B85&amp;", ",", "&amp;'Tài khoản &amp; Hồ sơ'!$B$7:$B$500&amp;", ")),--('Tài khoản &amp; Hồ sơ'!$AT$7:$AT$500="Block"))</f>
        <v/>
      </c>
      <c r="J85" s="53">
        <f>SUMPRODUCT(--ISNUMBER(SEARCH(", "&amp;$B85&amp;", ",", "&amp;'Hoạt động (Đơn của tôi)'!$B$7:$B$500&amp;", ")),--('Hoạt động (Đơn của tôi)'!$AT$7:$AT$500="N/A"))+SUMPRODUCT(--ISNUMBER(SEARCH(", "&amp;$B85&amp;", ",", "&amp;'Ghép nối'!$B$7:$B$500&amp;", ")),--('Ghép nối'!$AT$7:$AT$500="N/A"))+SUMPRODUCT(--ISNUMBER(SEARCH(", "&amp;$B85&amp;", ",", "&amp;'Huỷ đơn - Huỷ nhận đơn'!$B$7:$B$500&amp;", ")),--('Huỷ đơn - Huỷ nhận đơn'!$AT$7:$AT$500="N/A"))+SUMPRODUCT(--ISNUMBER(SEARCH(", "&amp;$B85&amp;", ",", "&amp;'Giao nhận &amp; Theo dõi đơn'!$B$7:$B$500&amp;", ")),--('Giao nhận &amp; Theo dõi đơn'!$AT$7:$AT$500="N/A"))+SUMPRODUCT(--ISNUMBER(SEARCH(", "&amp;$B85&amp;", ",", "&amp;'Bảng tin &amp; Chi tiết tin'!$B$7:$B$500&amp;", ")),--('Bảng tin &amp; Chi tiết tin'!$AT$7:$AT$500="N/A"))+SUMPRODUCT(--ISNUMBER(SEARCH(", "&amp;$B85&amp;", ",", "&amp;'Quà cảm ơn'!$B$7:$B$500&amp;", ")),--('Quà cảm ơn'!$AT$7:$AT$500="N/A"))+SUMPRODUCT(--ISNUMBER(SEARCH(", "&amp;$B85&amp;", ",", "&amp;'Trang chủ'!$B$7:$B$500&amp;", ")),--('Trang chủ'!$AT$7:$AT$500="N/A"))+SUMPRODUCT(--ISNUMBER(SEARCH(", "&amp;$B85&amp;", ",", "&amp;'Thông báo'!$B$7:$B$500&amp;", ")),--('Thông báo'!$AT$7:$AT$500="N/A"))+SUMPRODUCT(--ISNUMBER(SEARCH(", "&amp;$B85&amp;", ",", "&amp;'Đăng tin &amp; Quản lý tin'!$B$7:$B$500&amp;", ")),--('Đăng tin &amp; Quản lý tin'!$AT$7:$AT$500="N/A"))+SUMPRODUCT(--ISNUMBER(SEARCH(", "&amp;$B85&amp;", ",", "&amp;'Trust &amp; Safety'!$B$7:$B$500&amp;", ")),--('Trust &amp; Safety'!$AT$7:$AT$500="N/A"))+SUMPRODUCT(--ISNUMBER(SEARCH(", "&amp;$B85&amp;", ",", "&amp;'Tài khoản &amp; Hồ sơ'!$B$7:$B$500&amp;", ")),--('Tài khoản &amp; Hồ sơ'!$AT$7:$AT$500="N/A"))</f>
        <v/>
      </c>
      <c r="K85" s="54">
        <f>IFERROR(F85/E85,0)</f>
        <v/>
      </c>
      <c r="L85" s="113">
        <f>IF(E85=0,"Chưa có TC (gap)",IF(H85&gt;0,"Có lỗi (Fail)",IF(I85&gt;0,"Bị block",IF(F85&lt;E85,"Đang test",IF(G85=0,"Không áp dụng (N/A)","Đã test xong")))))</f>
        <v/>
      </c>
      <c r="AB85" t="inlineStr">
        <is>
          <t>REQ-HOME</t>
        </is>
      </c>
    </row>
    <row r="86" ht="15.75" customHeight="1" s="216">
      <c r="A86" s="1" t="n"/>
      <c r="B86" s="112" t="inlineStr">
        <is>
          <t>REQ-HOME-009</t>
        </is>
      </c>
      <c r="C86" s="261" t="inlineStr"/>
      <c r="D86" s="113" t="inlineStr">
        <is>
          <t>DOC-v1.0-02</t>
        </is>
      </c>
      <c r="E86" s="53">
        <f>SUMPRODUCT(--ISNUMBER(SEARCH(", "&amp;$B86&amp;", ",", "&amp;'Hoạt động (Đơn của tôi)'!$B$7:$B$500&amp;", ")))+SUMPRODUCT(--ISNUMBER(SEARCH(", "&amp;$B86&amp;", ",", "&amp;'Ghép nối'!$B$7:$B$500&amp;", ")))+SUMPRODUCT(--ISNUMBER(SEARCH(", "&amp;$B86&amp;", ",", "&amp;'Huỷ đơn - Huỷ nhận đơn'!$B$7:$B$500&amp;", ")))+SUMPRODUCT(--ISNUMBER(SEARCH(", "&amp;$B86&amp;", ",", "&amp;'Giao nhận &amp; Theo dõi đơn'!$B$7:$B$500&amp;", ")))+SUMPRODUCT(--ISNUMBER(SEARCH(", "&amp;$B86&amp;", ",", "&amp;'Bảng tin &amp; Chi tiết tin'!$B$7:$B$500&amp;", ")))+SUMPRODUCT(--ISNUMBER(SEARCH(", "&amp;$B86&amp;", ",", "&amp;'Quà cảm ơn'!$B$7:$B$500&amp;", ")))+SUMPRODUCT(--ISNUMBER(SEARCH(", "&amp;$B86&amp;", ",", "&amp;'Trang chủ'!$B$7:$B$500&amp;", ")))+SUMPRODUCT(--ISNUMBER(SEARCH(", "&amp;$B86&amp;", ",", "&amp;'Thông báo'!$B$7:$B$500&amp;", ")))+SUMPRODUCT(--ISNUMBER(SEARCH(", "&amp;$B86&amp;", ",", "&amp;'Đăng tin &amp; Quản lý tin'!$B$7:$B$500&amp;", ")))+SUMPRODUCT(--ISNUMBER(SEARCH(", "&amp;$B86&amp;", ",", "&amp;'Trust &amp; Safety'!$B$7:$B$500&amp;", ")))+SUMPRODUCT(--ISNUMBER(SEARCH(", "&amp;$B86&amp;", ",", "&amp;'Tài khoản &amp; Hồ sơ'!$B$7:$B$500&amp;", ")))</f>
        <v/>
      </c>
      <c r="F86" s="53">
        <f>SUMPRODUCT(--ISNUMBER(SEARCH(", "&amp;$B86&amp;", ",", "&amp;'Hoạt động (Đơn của tôi)'!$B$7:$B$500&amp;", ")),--('Hoạt động (Đơn của tôi)'!$AT$7:$AT$500&lt;&gt;""))+SUMPRODUCT(--ISNUMBER(SEARCH(", "&amp;$B86&amp;", ",", "&amp;'Ghép nối'!$B$7:$B$500&amp;", ")),--('Ghép nối'!$AT$7:$AT$500&lt;&gt;""))+SUMPRODUCT(--ISNUMBER(SEARCH(", "&amp;$B86&amp;", ",", "&amp;'Huỷ đơn - Huỷ nhận đơn'!$B$7:$B$500&amp;", ")),--('Huỷ đơn - Huỷ nhận đơn'!$AT$7:$AT$500&lt;&gt;""))+SUMPRODUCT(--ISNUMBER(SEARCH(", "&amp;$B86&amp;", ",", "&amp;'Giao nhận &amp; Theo dõi đơn'!$B$7:$B$500&amp;", ")),--('Giao nhận &amp; Theo dõi đơn'!$AT$7:$AT$500&lt;&gt;""))+SUMPRODUCT(--ISNUMBER(SEARCH(", "&amp;$B86&amp;", ",", "&amp;'Bảng tin &amp; Chi tiết tin'!$B$7:$B$500&amp;", ")),--('Bảng tin &amp; Chi tiết tin'!$AT$7:$AT$500&lt;&gt;""))+SUMPRODUCT(--ISNUMBER(SEARCH(", "&amp;$B86&amp;", ",", "&amp;'Quà cảm ơn'!$B$7:$B$500&amp;", ")),--('Quà cảm ơn'!$AT$7:$AT$500&lt;&gt;""))+SUMPRODUCT(--ISNUMBER(SEARCH(", "&amp;$B86&amp;", ",", "&amp;'Trang chủ'!$B$7:$B$500&amp;", ")),--('Trang chủ'!$AT$7:$AT$500&lt;&gt;""))+SUMPRODUCT(--ISNUMBER(SEARCH(", "&amp;$B86&amp;", ",", "&amp;'Thông báo'!$B$7:$B$500&amp;", ")),--('Thông báo'!$AT$7:$AT$500&lt;&gt;""))+SUMPRODUCT(--ISNUMBER(SEARCH(", "&amp;$B86&amp;", ",", "&amp;'Đăng tin &amp; Quản lý tin'!$B$7:$B$500&amp;", ")),--('Đăng tin &amp; Quản lý tin'!$AT$7:$AT$500&lt;&gt;""))+SUMPRODUCT(--ISNUMBER(SEARCH(", "&amp;$B86&amp;", ",", "&amp;'Trust &amp; Safety'!$B$7:$B$500&amp;", ")),--('Trust &amp; Safety'!$AT$7:$AT$500&lt;&gt;""))+SUMPRODUCT(--ISNUMBER(SEARCH(", "&amp;$B86&amp;", ",", "&amp;'Tài khoản &amp; Hồ sơ'!$B$7:$B$500&amp;", ")),--('Tài khoản &amp; Hồ sơ'!$AT$7:$AT$500&lt;&gt;""))</f>
        <v/>
      </c>
      <c r="G86" s="53">
        <f>SUMPRODUCT(--ISNUMBER(SEARCH(", "&amp;$B86&amp;", ",", "&amp;'Hoạt động (Đơn của tôi)'!$B$7:$B$500&amp;", ")),--('Hoạt động (Đơn của tôi)'!$AT$7:$AT$500="Pass"))+SUMPRODUCT(--ISNUMBER(SEARCH(", "&amp;$B86&amp;", ",", "&amp;'Ghép nối'!$B$7:$B$500&amp;", ")),--('Ghép nối'!$AT$7:$AT$500="Pass"))+SUMPRODUCT(--ISNUMBER(SEARCH(", "&amp;$B86&amp;", ",", "&amp;'Huỷ đơn - Huỷ nhận đơn'!$B$7:$B$500&amp;", ")),--('Huỷ đơn - Huỷ nhận đơn'!$AT$7:$AT$500="Pass"))+SUMPRODUCT(--ISNUMBER(SEARCH(", "&amp;$B86&amp;", ",", "&amp;'Giao nhận &amp; Theo dõi đơn'!$B$7:$B$500&amp;", ")),--('Giao nhận &amp; Theo dõi đơn'!$AT$7:$AT$500="Pass"))+SUMPRODUCT(--ISNUMBER(SEARCH(", "&amp;$B86&amp;", ",", "&amp;'Bảng tin &amp; Chi tiết tin'!$B$7:$B$500&amp;", ")),--('Bảng tin &amp; Chi tiết tin'!$AT$7:$AT$500="Pass"))+SUMPRODUCT(--ISNUMBER(SEARCH(", "&amp;$B86&amp;", ",", "&amp;'Quà cảm ơn'!$B$7:$B$500&amp;", ")),--('Quà cảm ơn'!$AT$7:$AT$500="Pass"))+SUMPRODUCT(--ISNUMBER(SEARCH(", "&amp;$B86&amp;", ",", "&amp;'Trang chủ'!$B$7:$B$500&amp;", ")),--('Trang chủ'!$AT$7:$AT$500="Pass"))+SUMPRODUCT(--ISNUMBER(SEARCH(", "&amp;$B86&amp;", ",", "&amp;'Thông báo'!$B$7:$B$500&amp;", ")),--('Thông báo'!$AT$7:$AT$500="Pass"))+SUMPRODUCT(--ISNUMBER(SEARCH(", "&amp;$B86&amp;", ",", "&amp;'Đăng tin &amp; Quản lý tin'!$B$7:$B$500&amp;", ")),--('Đăng tin &amp; Quản lý tin'!$AT$7:$AT$500="Pass"))+SUMPRODUCT(--ISNUMBER(SEARCH(", "&amp;$B86&amp;", ",", "&amp;'Trust &amp; Safety'!$B$7:$B$500&amp;", ")),--('Trust &amp; Safety'!$AT$7:$AT$500="Pass"))+SUMPRODUCT(--ISNUMBER(SEARCH(", "&amp;$B86&amp;", ",", "&amp;'Tài khoản &amp; Hồ sơ'!$B$7:$B$500&amp;", ")),--('Tài khoản &amp; Hồ sơ'!$AT$7:$AT$500="Pass"))</f>
        <v/>
      </c>
      <c r="H86" s="53">
        <f>SUMPRODUCT(--ISNUMBER(SEARCH(", "&amp;$B86&amp;", ",", "&amp;'Hoạt động (Đơn của tôi)'!$B$7:$B$500&amp;", ")),--('Hoạt động (Đơn của tôi)'!$AT$7:$AT$500="Fail"))+SUMPRODUCT(--ISNUMBER(SEARCH(", "&amp;$B86&amp;", ",", "&amp;'Ghép nối'!$B$7:$B$500&amp;", ")),--('Ghép nối'!$AT$7:$AT$500="Fail"))+SUMPRODUCT(--ISNUMBER(SEARCH(", "&amp;$B86&amp;", ",", "&amp;'Huỷ đơn - Huỷ nhận đơn'!$B$7:$B$500&amp;", ")),--('Huỷ đơn - Huỷ nhận đơn'!$AT$7:$AT$500="Fail"))+SUMPRODUCT(--ISNUMBER(SEARCH(", "&amp;$B86&amp;", ",", "&amp;'Giao nhận &amp; Theo dõi đơn'!$B$7:$B$500&amp;", ")),--('Giao nhận &amp; Theo dõi đơn'!$AT$7:$AT$500="Fail"))+SUMPRODUCT(--ISNUMBER(SEARCH(", "&amp;$B86&amp;", ",", "&amp;'Bảng tin &amp; Chi tiết tin'!$B$7:$B$500&amp;", ")),--('Bảng tin &amp; Chi tiết tin'!$AT$7:$AT$500="Fail"))+SUMPRODUCT(--ISNUMBER(SEARCH(", "&amp;$B86&amp;", ",", "&amp;'Quà cảm ơn'!$B$7:$B$500&amp;", ")),--('Quà cảm ơn'!$AT$7:$AT$500="Fail"))+SUMPRODUCT(--ISNUMBER(SEARCH(", "&amp;$B86&amp;", ",", "&amp;'Trang chủ'!$B$7:$B$500&amp;", ")),--('Trang chủ'!$AT$7:$AT$500="Fail"))+SUMPRODUCT(--ISNUMBER(SEARCH(", "&amp;$B86&amp;", ",", "&amp;'Thông báo'!$B$7:$B$500&amp;", ")),--('Thông báo'!$AT$7:$AT$500="Fail"))+SUMPRODUCT(--ISNUMBER(SEARCH(", "&amp;$B86&amp;", ",", "&amp;'Đăng tin &amp; Quản lý tin'!$B$7:$B$500&amp;", ")),--('Đăng tin &amp; Quản lý tin'!$AT$7:$AT$500="Fail"))+SUMPRODUCT(--ISNUMBER(SEARCH(", "&amp;$B86&amp;", ",", "&amp;'Trust &amp; Safety'!$B$7:$B$500&amp;", ")),--('Trust &amp; Safety'!$AT$7:$AT$500="Fail"))+SUMPRODUCT(--ISNUMBER(SEARCH(", "&amp;$B86&amp;", ",", "&amp;'Tài khoản &amp; Hồ sơ'!$B$7:$B$500&amp;", ")),--('Tài khoản &amp; Hồ sơ'!$AT$7:$AT$500="Fail"))</f>
        <v/>
      </c>
      <c r="I86" s="53">
        <f>SUMPRODUCT(--ISNUMBER(SEARCH(", "&amp;$B86&amp;", ",", "&amp;'Hoạt động (Đơn của tôi)'!$B$7:$B$500&amp;", ")),--('Hoạt động (Đơn của tôi)'!$AT$7:$AT$500="Block"))+SUMPRODUCT(--ISNUMBER(SEARCH(", "&amp;$B86&amp;", ",", "&amp;'Ghép nối'!$B$7:$B$500&amp;", ")),--('Ghép nối'!$AT$7:$AT$500="Block"))+SUMPRODUCT(--ISNUMBER(SEARCH(", "&amp;$B86&amp;", ",", "&amp;'Huỷ đơn - Huỷ nhận đơn'!$B$7:$B$500&amp;", ")),--('Huỷ đơn - Huỷ nhận đơn'!$AT$7:$AT$500="Block"))+SUMPRODUCT(--ISNUMBER(SEARCH(", "&amp;$B86&amp;", ",", "&amp;'Giao nhận &amp; Theo dõi đơn'!$B$7:$B$500&amp;", ")),--('Giao nhận &amp; Theo dõi đơn'!$AT$7:$AT$500="Block"))+SUMPRODUCT(--ISNUMBER(SEARCH(", "&amp;$B86&amp;", ",", "&amp;'Bảng tin &amp; Chi tiết tin'!$B$7:$B$500&amp;", ")),--('Bảng tin &amp; Chi tiết tin'!$AT$7:$AT$500="Block"))+SUMPRODUCT(--ISNUMBER(SEARCH(", "&amp;$B86&amp;", ",", "&amp;'Quà cảm ơn'!$B$7:$B$500&amp;", ")),--('Quà cảm ơn'!$AT$7:$AT$500="Block"))+SUMPRODUCT(--ISNUMBER(SEARCH(", "&amp;$B86&amp;", ",", "&amp;'Trang chủ'!$B$7:$B$500&amp;", ")),--('Trang chủ'!$AT$7:$AT$500="Block"))+SUMPRODUCT(--ISNUMBER(SEARCH(", "&amp;$B86&amp;", ",", "&amp;'Thông báo'!$B$7:$B$500&amp;", ")),--('Thông báo'!$AT$7:$AT$500="Block"))+SUMPRODUCT(--ISNUMBER(SEARCH(", "&amp;$B86&amp;", ",", "&amp;'Đăng tin &amp; Quản lý tin'!$B$7:$B$500&amp;", ")),--('Đăng tin &amp; Quản lý tin'!$AT$7:$AT$500="Block"))+SUMPRODUCT(--ISNUMBER(SEARCH(", "&amp;$B86&amp;", ",", "&amp;'Trust &amp; Safety'!$B$7:$B$500&amp;", ")),--('Trust &amp; Safety'!$AT$7:$AT$500="Block"))+SUMPRODUCT(--ISNUMBER(SEARCH(", "&amp;$B86&amp;", ",", "&amp;'Tài khoản &amp; Hồ sơ'!$B$7:$B$500&amp;", ")),--('Tài khoản &amp; Hồ sơ'!$AT$7:$AT$500="Block"))</f>
        <v/>
      </c>
      <c r="J86" s="53">
        <f>SUMPRODUCT(--ISNUMBER(SEARCH(", "&amp;$B86&amp;", ",", "&amp;'Hoạt động (Đơn của tôi)'!$B$7:$B$500&amp;", ")),--('Hoạt động (Đơn của tôi)'!$AT$7:$AT$500="N/A"))+SUMPRODUCT(--ISNUMBER(SEARCH(", "&amp;$B86&amp;", ",", "&amp;'Ghép nối'!$B$7:$B$500&amp;", ")),--('Ghép nối'!$AT$7:$AT$500="N/A"))+SUMPRODUCT(--ISNUMBER(SEARCH(", "&amp;$B86&amp;", ",", "&amp;'Huỷ đơn - Huỷ nhận đơn'!$B$7:$B$500&amp;", ")),--('Huỷ đơn - Huỷ nhận đơn'!$AT$7:$AT$500="N/A"))+SUMPRODUCT(--ISNUMBER(SEARCH(", "&amp;$B86&amp;", ",", "&amp;'Giao nhận &amp; Theo dõi đơn'!$B$7:$B$500&amp;", ")),--('Giao nhận &amp; Theo dõi đơn'!$AT$7:$AT$500="N/A"))+SUMPRODUCT(--ISNUMBER(SEARCH(", "&amp;$B86&amp;", ",", "&amp;'Bảng tin &amp; Chi tiết tin'!$B$7:$B$500&amp;", ")),--('Bảng tin &amp; Chi tiết tin'!$AT$7:$AT$500="N/A"))+SUMPRODUCT(--ISNUMBER(SEARCH(", "&amp;$B86&amp;", ",", "&amp;'Quà cảm ơn'!$B$7:$B$500&amp;", ")),--('Quà cảm ơn'!$AT$7:$AT$500="N/A"))+SUMPRODUCT(--ISNUMBER(SEARCH(", "&amp;$B86&amp;", ",", "&amp;'Trang chủ'!$B$7:$B$500&amp;", ")),--('Trang chủ'!$AT$7:$AT$500="N/A"))+SUMPRODUCT(--ISNUMBER(SEARCH(", "&amp;$B86&amp;", ",", "&amp;'Thông báo'!$B$7:$B$500&amp;", ")),--('Thông báo'!$AT$7:$AT$500="N/A"))+SUMPRODUCT(--ISNUMBER(SEARCH(", "&amp;$B86&amp;", ",", "&amp;'Đăng tin &amp; Quản lý tin'!$B$7:$B$500&amp;", ")),--('Đăng tin &amp; Quản lý tin'!$AT$7:$AT$500="N/A"))+SUMPRODUCT(--ISNUMBER(SEARCH(", "&amp;$B86&amp;", ",", "&amp;'Trust &amp; Safety'!$B$7:$B$500&amp;", ")),--('Trust &amp; Safety'!$AT$7:$AT$500="N/A"))+SUMPRODUCT(--ISNUMBER(SEARCH(", "&amp;$B86&amp;", ",", "&amp;'Tài khoản &amp; Hồ sơ'!$B$7:$B$500&amp;", ")),--('Tài khoản &amp; Hồ sơ'!$AT$7:$AT$500="N/A"))</f>
        <v/>
      </c>
      <c r="K86" s="54">
        <f>IFERROR(F86/E86,0)</f>
        <v/>
      </c>
      <c r="L86" s="113">
        <f>IF(E86=0,"Chưa có TC (gap)",IF(H86&gt;0,"Có lỗi (Fail)",IF(I86&gt;0,"Bị block",IF(F86&lt;E86,"Đang test",IF(G86=0,"Không áp dụng (N/A)","Đã test xong")))))</f>
        <v/>
      </c>
      <c r="AB86" t="inlineStr">
        <is>
          <t>REQ-HOME</t>
        </is>
      </c>
    </row>
    <row r="87" ht="15.75" customHeight="1" s="216">
      <c r="A87" s="1" t="n"/>
      <c r="B87" s="112" t="inlineStr">
        <is>
          <t>REQ-HOME-010</t>
        </is>
      </c>
      <c r="C87" s="261" t="inlineStr"/>
      <c r="D87" s="113" t="inlineStr">
        <is>
          <t>DOC-v1.0-06</t>
        </is>
      </c>
      <c r="E87" s="53">
        <f>SUMPRODUCT(--ISNUMBER(SEARCH(", "&amp;$B87&amp;", ",", "&amp;'Hoạt động (Đơn của tôi)'!$B$7:$B$500&amp;", ")))+SUMPRODUCT(--ISNUMBER(SEARCH(", "&amp;$B87&amp;", ",", "&amp;'Ghép nối'!$B$7:$B$500&amp;", ")))+SUMPRODUCT(--ISNUMBER(SEARCH(", "&amp;$B87&amp;", ",", "&amp;'Huỷ đơn - Huỷ nhận đơn'!$B$7:$B$500&amp;", ")))+SUMPRODUCT(--ISNUMBER(SEARCH(", "&amp;$B87&amp;", ",", "&amp;'Giao nhận &amp; Theo dõi đơn'!$B$7:$B$500&amp;", ")))+SUMPRODUCT(--ISNUMBER(SEARCH(", "&amp;$B87&amp;", ",", "&amp;'Bảng tin &amp; Chi tiết tin'!$B$7:$B$500&amp;", ")))+SUMPRODUCT(--ISNUMBER(SEARCH(", "&amp;$B87&amp;", ",", "&amp;'Quà cảm ơn'!$B$7:$B$500&amp;", ")))+SUMPRODUCT(--ISNUMBER(SEARCH(", "&amp;$B87&amp;", ",", "&amp;'Trang chủ'!$B$7:$B$500&amp;", ")))+SUMPRODUCT(--ISNUMBER(SEARCH(", "&amp;$B87&amp;", ",", "&amp;'Thông báo'!$B$7:$B$500&amp;", ")))+SUMPRODUCT(--ISNUMBER(SEARCH(", "&amp;$B87&amp;", ",", "&amp;'Đăng tin &amp; Quản lý tin'!$B$7:$B$500&amp;", ")))+SUMPRODUCT(--ISNUMBER(SEARCH(", "&amp;$B87&amp;", ",", "&amp;'Trust &amp; Safety'!$B$7:$B$500&amp;", ")))+SUMPRODUCT(--ISNUMBER(SEARCH(", "&amp;$B87&amp;", ",", "&amp;'Tài khoản &amp; Hồ sơ'!$B$7:$B$500&amp;", ")))</f>
        <v/>
      </c>
      <c r="F87" s="53">
        <f>SUMPRODUCT(--ISNUMBER(SEARCH(", "&amp;$B87&amp;", ",", "&amp;'Hoạt động (Đơn của tôi)'!$B$7:$B$500&amp;", ")),--('Hoạt động (Đơn của tôi)'!$AT$7:$AT$500&lt;&gt;""))+SUMPRODUCT(--ISNUMBER(SEARCH(", "&amp;$B87&amp;", ",", "&amp;'Ghép nối'!$B$7:$B$500&amp;", ")),--('Ghép nối'!$AT$7:$AT$500&lt;&gt;""))+SUMPRODUCT(--ISNUMBER(SEARCH(", "&amp;$B87&amp;", ",", "&amp;'Huỷ đơn - Huỷ nhận đơn'!$B$7:$B$500&amp;", ")),--('Huỷ đơn - Huỷ nhận đơn'!$AT$7:$AT$500&lt;&gt;""))+SUMPRODUCT(--ISNUMBER(SEARCH(", "&amp;$B87&amp;", ",", "&amp;'Giao nhận &amp; Theo dõi đơn'!$B$7:$B$500&amp;", ")),--('Giao nhận &amp; Theo dõi đơn'!$AT$7:$AT$500&lt;&gt;""))+SUMPRODUCT(--ISNUMBER(SEARCH(", "&amp;$B87&amp;", ",", "&amp;'Bảng tin &amp; Chi tiết tin'!$B$7:$B$500&amp;", ")),--('Bảng tin &amp; Chi tiết tin'!$AT$7:$AT$500&lt;&gt;""))+SUMPRODUCT(--ISNUMBER(SEARCH(", "&amp;$B87&amp;", ",", "&amp;'Quà cảm ơn'!$B$7:$B$500&amp;", ")),--('Quà cảm ơn'!$AT$7:$AT$500&lt;&gt;""))+SUMPRODUCT(--ISNUMBER(SEARCH(", "&amp;$B87&amp;", ",", "&amp;'Trang chủ'!$B$7:$B$500&amp;", ")),--('Trang chủ'!$AT$7:$AT$500&lt;&gt;""))+SUMPRODUCT(--ISNUMBER(SEARCH(", "&amp;$B87&amp;", ",", "&amp;'Thông báo'!$B$7:$B$500&amp;", ")),--('Thông báo'!$AT$7:$AT$500&lt;&gt;""))+SUMPRODUCT(--ISNUMBER(SEARCH(", "&amp;$B87&amp;", ",", "&amp;'Đăng tin &amp; Quản lý tin'!$B$7:$B$500&amp;", ")),--('Đăng tin &amp; Quản lý tin'!$AT$7:$AT$500&lt;&gt;""))+SUMPRODUCT(--ISNUMBER(SEARCH(", "&amp;$B87&amp;", ",", "&amp;'Trust &amp; Safety'!$B$7:$B$500&amp;", ")),--('Trust &amp; Safety'!$AT$7:$AT$500&lt;&gt;""))+SUMPRODUCT(--ISNUMBER(SEARCH(", "&amp;$B87&amp;", ",", "&amp;'Tài khoản &amp; Hồ sơ'!$B$7:$B$500&amp;", ")),--('Tài khoản &amp; Hồ sơ'!$AT$7:$AT$500&lt;&gt;""))</f>
        <v/>
      </c>
      <c r="G87" s="53">
        <f>SUMPRODUCT(--ISNUMBER(SEARCH(", "&amp;$B87&amp;", ",", "&amp;'Hoạt động (Đơn của tôi)'!$B$7:$B$500&amp;", ")),--('Hoạt động (Đơn của tôi)'!$AT$7:$AT$500="Pass"))+SUMPRODUCT(--ISNUMBER(SEARCH(", "&amp;$B87&amp;", ",", "&amp;'Ghép nối'!$B$7:$B$500&amp;", ")),--('Ghép nối'!$AT$7:$AT$500="Pass"))+SUMPRODUCT(--ISNUMBER(SEARCH(", "&amp;$B87&amp;", ",", "&amp;'Huỷ đơn - Huỷ nhận đơn'!$B$7:$B$500&amp;", ")),--('Huỷ đơn - Huỷ nhận đơn'!$AT$7:$AT$500="Pass"))+SUMPRODUCT(--ISNUMBER(SEARCH(", "&amp;$B87&amp;", ",", "&amp;'Giao nhận &amp; Theo dõi đơn'!$B$7:$B$500&amp;", ")),--('Giao nhận &amp; Theo dõi đơn'!$AT$7:$AT$500="Pass"))+SUMPRODUCT(--ISNUMBER(SEARCH(", "&amp;$B87&amp;", ",", "&amp;'Bảng tin &amp; Chi tiết tin'!$B$7:$B$500&amp;", ")),--('Bảng tin &amp; Chi tiết tin'!$AT$7:$AT$500="Pass"))+SUMPRODUCT(--ISNUMBER(SEARCH(", "&amp;$B87&amp;", ",", "&amp;'Quà cảm ơn'!$B$7:$B$500&amp;", ")),--('Quà cảm ơn'!$AT$7:$AT$500="Pass"))+SUMPRODUCT(--ISNUMBER(SEARCH(", "&amp;$B87&amp;", ",", "&amp;'Trang chủ'!$B$7:$B$500&amp;", ")),--('Trang chủ'!$AT$7:$AT$500="Pass"))+SUMPRODUCT(--ISNUMBER(SEARCH(", "&amp;$B87&amp;", ",", "&amp;'Thông báo'!$B$7:$B$500&amp;", ")),--('Thông báo'!$AT$7:$AT$500="Pass"))+SUMPRODUCT(--ISNUMBER(SEARCH(", "&amp;$B87&amp;", ",", "&amp;'Đăng tin &amp; Quản lý tin'!$B$7:$B$500&amp;", ")),--('Đăng tin &amp; Quản lý tin'!$AT$7:$AT$500="Pass"))+SUMPRODUCT(--ISNUMBER(SEARCH(", "&amp;$B87&amp;", ",", "&amp;'Trust &amp; Safety'!$B$7:$B$500&amp;", ")),--('Trust &amp; Safety'!$AT$7:$AT$500="Pass"))+SUMPRODUCT(--ISNUMBER(SEARCH(", "&amp;$B87&amp;", ",", "&amp;'Tài khoản &amp; Hồ sơ'!$B$7:$B$500&amp;", ")),--('Tài khoản &amp; Hồ sơ'!$AT$7:$AT$500="Pass"))</f>
        <v/>
      </c>
      <c r="H87" s="53">
        <f>SUMPRODUCT(--ISNUMBER(SEARCH(", "&amp;$B87&amp;", ",", "&amp;'Hoạt động (Đơn của tôi)'!$B$7:$B$500&amp;", ")),--('Hoạt động (Đơn của tôi)'!$AT$7:$AT$500="Fail"))+SUMPRODUCT(--ISNUMBER(SEARCH(", "&amp;$B87&amp;", ",", "&amp;'Ghép nối'!$B$7:$B$500&amp;", ")),--('Ghép nối'!$AT$7:$AT$500="Fail"))+SUMPRODUCT(--ISNUMBER(SEARCH(", "&amp;$B87&amp;", ",", "&amp;'Huỷ đơn - Huỷ nhận đơn'!$B$7:$B$500&amp;", ")),--('Huỷ đơn - Huỷ nhận đơn'!$AT$7:$AT$500="Fail"))+SUMPRODUCT(--ISNUMBER(SEARCH(", "&amp;$B87&amp;", ",", "&amp;'Giao nhận &amp; Theo dõi đơn'!$B$7:$B$500&amp;", ")),--('Giao nhận &amp; Theo dõi đơn'!$AT$7:$AT$500="Fail"))+SUMPRODUCT(--ISNUMBER(SEARCH(", "&amp;$B87&amp;", ",", "&amp;'Bảng tin &amp; Chi tiết tin'!$B$7:$B$500&amp;", ")),--('Bảng tin &amp; Chi tiết tin'!$AT$7:$AT$500="Fail"))+SUMPRODUCT(--ISNUMBER(SEARCH(", "&amp;$B87&amp;", ",", "&amp;'Quà cảm ơn'!$B$7:$B$500&amp;", ")),--('Quà cảm ơn'!$AT$7:$AT$500="Fail"))+SUMPRODUCT(--ISNUMBER(SEARCH(", "&amp;$B87&amp;", ",", "&amp;'Trang chủ'!$B$7:$B$500&amp;", ")),--('Trang chủ'!$AT$7:$AT$500="Fail"))+SUMPRODUCT(--ISNUMBER(SEARCH(", "&amp;$B87&amp;", ",", "&amp;'Thông báo'!$B$7:$B$500&amp;", ")),--('Thông báo'!$AT$7:$AT$500="Fail"))+SUMPRODUCT(--ISNUMBER(SEARCH(", "&amp;$B87&amp;", ",", "&amp;'Đăng tin &amp; Quản lý tin'!$B$7:$B$500&amp;", ")),--('Đăng tin &amp; Quản lý tin'!$AT$7:$AT$500="Fail"))+SUMPRODUCT(--ISNUMBER(SEARCH(", "&amp;$B87&amp;", ",", "&amp;'Trust &amp; Safety'!$B$7:$B$500&amp;", ")),--('Trust &amp; Safety'!$AT$7:$AT$500="Fail"))+SUMPRODUCT(--ISNUMBER(SEARCH(", "&amp;$B87&amp;", ",", "&amp;'Tài khoản &amp; Hồ sơ'!$B$7:$B$500&amp;", ")),--('Tài khoản &amp; Hồ sơ'!$AT$7:$AT$500="Fail"))</f>
        <v/>
      </c>
      <c r="I87" s="53">
        <f>SUMPRODUCT(--ISNUMBER(SEARCH(", "&amp;$B87&amp;", ",", "&amp;'Hoạt động (Đơn của tôi)'!$B$7:$B$500&amp;", ")),--('Hoạt động (Đơn của tôi)'!$AT$7:$AT$500="Block"))+SUMPRODUCT(--ISNUMBER(SEARCH(", "&amp;$B87&amp;", ",", "&amp;'Ghép nối'!$B$7:$B$500&amp;", ")),--('Ghép nối'!$AT$7:$AT$500="Block"))+SUMPRODUCT(--ISNUMBER(SEARCH(", "&amp;$B87&amp;", ",", "&amp;'Huỷ đơn - Huỷ nhận đơn'!$B$7:$B$500&amp;", ")),--('Huỷ đơn - Huỷ nhận đơn'!$AT$7:$AT$500="Block"))+SUMPRODUCT(--ISNUMBER(SEARCH(", "&amp;$B87&amp;", ",", "&amp;'Giao nhận &amp; Theo dõi đơn'!$B$7:$B$500&amp;", ")),--('Giao nhận &amp; Theo dõi đơn'!$AT$7:$AT$500="Block"))+SUMPRODUCT(--ISNUMBER(SEARCH(", "&amp;$B87&amp;", ",", "&amp;'Bảng tin &amp; Chi tiết tin'!$B$7:$B$500&amp;", ")),--('Bảng tin &amp; Chi tiết tin'!$AT$7:$AT$500="Block"))+SUMPRODUCT(--ISNUMBER(SEARCH(", "&amp;$B87&amp;", ",", "&amp;'Quà cảm ơn'!$B$7:$B$500&amp;", ")),--('Quà cảm ơn'!$AT$7:$AT$500="Block"))+SUMPRODUCT(--ISNUMBER(SEARCH(", "&amp;$B87&amp;", ",", "&amp;'Trang chủ'!$B$7:$B$500&amp;", ")),--('Trang chủ'!$AT$7:$AT$500="Block"))+SUMPRODUCT(--ISNUMBER(SEARCH(", "&amp;$B87&amp;", ",", "&amp;'Thông báo'!$B$7:$B$500&amp;", ")),--('Thông báo'!$AT$7:$AT$500="Block"))+SUMPRODUCT(--ISNUMBER(SEARCH(", "&amp;$B87&amp;", ",", "&amp;'Đăng tin &amp; Quản lý tin'!$B$7:$B$500&amp;", ")),--('Đăng tin &amp; Quản lý tin'!$AT$7:$AT$500="Block"))+SUMPRODUCT(--ISNUMBER(SEARCH(", "&amp;$B87&amp;", ",", "&amp;'Trust &amp; Safety'!$B$7:$B$500&amp;", ")),--('Trust &amp; Safety'!$AT$7:$AT$500="Block"))+SUMPRODUCT(--ISNUMBER(SEARCH(", "&amp;$B87&amp;", ",", "&amp;'Tài khoản &amp; Hồ sơ'!$B$7:$B$500&amp;", ")),--('Tài khoản &amp; Hồ sơ'!$AT$7:$AT$500="Block"))</f>
        <v/>
      </c>
      <c r="J87" s="53">
        <f>SUMPRODUCT(--ISNUMBER(SEARCH(", "&amp;$B87&amp;", ",", "&amp;'Hoạt động (Đơn của tôi)'!$B$7:$B$500&amp;", ")),--('Hoạt động (Đơn của tôi)'!$AT$7:$AT$500="N/A"))+SUMPRODUCT(--ISNUMBER(SEARCH(", "&amp;$B87&amp;", ",", "&amp;'Ghép nối'!$B$7:$B$500&amp;", ")),--('Ghép nối'!$AT$7:$AT$500="N/A"))+SUMPRODUCT(--ISNUMBER(SEARCH(", "&amp;$B87&amp;", ",", "&amp;'Huỷ đơn - Huỷ nhận đơn'!$B$7:$B$500&amp;", ")),--('Huỷ đơn - Huỷ nhận đơn'!$AT$7:$AT$500="N/A"))+SUMPRODUCT(--ISNUMBER(SEARCH(", "&amp;$B87&amp;", ",", "&amp;'Giao nhận &amp; Theo dõi đơn'!$B$7:$B$500&amp;", ")),--('Giao nhận &amp; Theo dõi đơn'!$AT$7:$AT$500="N/A"))+SUMPRODUCT(--ISNUMBER(SEARCH(", "&amp;$B87&amp;", ",", "&amp;'Bảng tin &amp; Chi tiết tin'!$B$7:$B$500&amp;", ")),--('Bảng tin &amp; Chi tiết tin'!$AT$7:$AT$500="N/A"))+SUMPRODUCT(--ISNUMBER(SEARCH(", "&amp;$B87&amp;", ",", "&amp;'Quà cảm ơn'!$B$7:$B$500&amp;", ")),--('Quà cảm ơn'!$AT$7:$AT$500="N/A"))+SUMPRODUCT(--ISNUMBER(SEARCH(", "&amp;$B87&amp;", ",", "&amp;'Trang chủ'!$B$7:$B$500&amp;", ")),--('Trang chủ'!$AT$7:$AT$500="N/A"))+SUMPRODUCT(--ISNUMBER(SEARCH(", "&amp;$B87&amp;", ",", "&amp;'Thông báo'!$B$7:$B$500&amp;", ")),--('Thông báo'!$AT$7:$AT$500="N/A"))+SUMPRODUCT(--ISNUMBER(SEARCH(", "&amp;$B87&amp;", ",", "&amp;'Đăng tin &amp; Quản lý tin'!$B$7:$B$500&amp;", ")),--('Đăng tin &amp; Quản lý tin'!$AT$7:$AT$500="N/A"))+SUMPRODUCT(--ISNUMBER(SEARCH(", "&amp;$B87&amp;", ",", "&amp;'Trust &amp; Safety'!$B$7:$B$500&amp;", ")),--('Trust &amp; Safety'!$AT$7:$AT$500="N/A"))+SUMPRODUCT(--ISNUMBER(SEARCH(", "&amp;$B87&amp;", ",", "&amp;'Tài khoản &amp; Hồ sơ'!$B$7:$B$500&amp;", ")),--('Tài khoản &amp; Hồ sơ'!$AT$7:$AT$500="N/A"))</f>
        <v/>
      </c>
      <c r="K87" s="54">
        <f>IFERROR(F87/E87,0)</f>
        <v/>
      </c>
      <c r="L87" s="113">
        <f>IF(E87=0,"Chưa có TC (gap)",IF(H87&gt;0,"Có lỗi (Fail)",IF(I87&gt;0,"Bị block",IF(F87&lt;E87,"Đang test",IF(G87=0,"Không áp dụng (N/A)","Đã test xong")))))</f>
        <v/>
      </c>
      <c r="AB87" t="inlineStr">
        <is>
          <t>REQ-HOME</t>
        </is>
      </c>
    </row>
    <row r="88" ht="15.75" customHeight="1" s="216">
      <c r="A88" s="1" t="n"/>
      <c r="B88" s="112" t="inlineStr">
        <is>
          <t>REQ-NTF-003</t>
        </is>
      </c>
      <c r="C88" s="261" t="inlineStr">
        <is>
          <t>NTF-06 | Người nhận "Xác nhận đã nhận hàng" (COMPLETED) | Người gửi · Người vận chuyển | "Đơn đã hoàn tất — cảm ơn bạn!"" (mâu thuẫn với `DOC-v1.0-06 KP-07` hàng #6 — Figma/PRD-demo ghi *"Đơn đã hoàn thành — đánh giá ngay"*)</t>
        </is>
      </c>
      <c r="D88" s="113" t="inlineStr">
        <is>
          <t>DOC-v1.1-01 §8.13.1 · page 48</t>
        </is>
      </c>
      <c r="E88" s="53">
        <f>SUMPRODUCT(--ISNUMBER(SEARCH(", "&amp;$B88&amp;", ",", "&amp;'Hoạt động (Đơn của tôi)'!$B$7:$B$500&amp;", ")))+SUMPRODUCT(--ISNUMBER(SEARCH(", "&amp;$B88&amp;", ",", "&amp;'Ghép nối'!$B$7:$B$500&amp;", ")))+SUMPRODUCT(--ISNUMBER(SEARCH(", "&amp;$B88&amp;", ",", "&amp;'Huỷ đơn - Huỷ nhận đơn'!$B$7:$B$500&amp;", ")))+SUMPRODUCT(--ISNUMBER(SEARCH(", "&amp;$B88&amp;", ",", "&amp;'Giao nhận &amp; Theo dõi đơn'!$B$7:$B$500&amp;", ")))+SUMPRODUCT(--ISNUMBER(SEARCH(", "&amp;$B88&amp;", ",", "&amp;'Bảng tin &amp; Chi tiết tin'!$B$7:$B$500&amp;", ")))+SUMPRODUCT(--ISNUMBER(SEARCH(", "&amp;$B88&amp;", ",", "&amp;'Quà cảm ơn'!$B$7:$B$500&amp;", ")))+SUMPRODUCT(--ISNUMBER(SEARCH(", "&amp;$B88&amp;", ",", "&amp;'Trang chủ'!$B$7:$B$500&amp;", ")))+SUMPRODUCT(--ISNUMBER(SEARCH(", "&amp;$B88&amp;", ",", "&amp;'Thông báo'!$B$7:$B$500&amp;", ")))+SUMPRODUCT(--ISNUMBER(SEARCH(", "&amp;$B88&amp;", ",", "&amp;'Đăng tin &amp; Quản lý tin'!$B$7:$B$500&amp;", ")))+SUMPRODUCT(--ISNUMBER(SEARCH(", "&amp;$B88&amp;", ",", "&amp;'Trust &amp; Safety'!$B$7:$B$500&amp;", ")))+SUMPRODUCT(--ISNUMBER(SEARCH(", "&amp;$B88&amp;", ",", "&amp;'Tài khoản &amp; Hồ sơ'!$B$7:$B$500&amp;", ")))</f>
        <v/>
      </c>
      <c r="F88" s="53">
        <f>SUMPRODUCT(--ISNUMBER(SEARCH(", "&amp;$B88&amp;", ",", "&amp;'Hoạt động (Đơn của tôi)'!$B$7:$B$500&amp;", ")),--('Hoạt động (Đơn của tôi)'!$AT$7:$AT$500&lt;&gt;""))+SUMPRODUCT(--ISNUMBER(SEARCH(", "&amp;$B88&amp;", ",", "&amp;'Ghép nối'!$B$7:$B$500&amp;", ")),--('Ghép nối'!$AT$7:$AT$500&lt;&gt;""))+SUMPRODUCT(--ISNUMBER(SEARCH(", "&amp;$B88&amp;", ",", "&amp;'Huỷ đơn - Huỷ nhận đơn'!$B$7:$B$500&amp;", ")),--('Huỷ đơn - Huỷ nhận đơn'!$AT$7:$AT$500&lt;&gt;""))+SUMPRODUCT(--ISNUMBER(SEARCH(", "&amp;$B88&amp;", ",", "&amp;'Giao nhận &amp; Theo dõi đơn'!$B$7:$B$500&amp;", ")),--('Giao nhận &amp; Theo dõi đơn'!$AT$7:$AT$500&lt;&gt;""))+SUMPRODUCT(--ISNUMBER(SEARCH(", "&amp;$B88&amp;", ",", "&amp;'Bảng tin &amp; Chi tiết tin'!$B$7:$B$500&amp;", ")),--('Bảng tin &amp; Chi tiết tin'!$AT$7:$AT$500&lt;&gt;""))+SUMPRODUCT(--ISNUMBER(SEARCH(", "&amp;$B88&amp;", ",", "&amp;'Quà cảm ơn'!$B$7:$B$500&amp;", ")),--('Quà cảm ơn'!$AT$7:$AT$500&lt;&gt;""))+SUMPRODUCT(--ISNUMBER(SEARCH(", "&amp;$B88&amp;", ",", "&amp;'Trang chủ'!$B$7:$B$500&amp;", ")),--('Trang chủ'!$AT$7:$AT$500&lt;&gt;""))+SUMPRODUCT(--ISNUMBER(SEARCH(", "&amp;$B88&amp;", ",", "&amp;'Thông báo'!$B$7:$B$500&amp;", ")),--('Thông báo'!$AT$7:$AT$500&lt;&gt;""))+SUMPRODUCT(--ISNUMBER(SEARCH(", "&amp;$B88&amp;", ",", "&amp;'Đăng tin &amp; Quản lý tin'!$B$7:$B$500&amp;", ")),--('Đăng tin &amp; Quản lý tin'!$AT$7:$AT$500&lt;&gt;""))+SUMPRODUCT(--ISNUMBER(SEARCH(", "&amp;$B88&amp;", ",", "&amp;'Trust &amp; Safety'!$B$7:$B$500&amp;", ")),--('Trust &amp; Safety'!$AT$7:$AT$500&lt;&gt;""))+SUMPRODUCT(--ISNUMBER(SEARCH(", "&amp;$B88&amp;", ",", "&amp;'Tài khoản &amp; Hồ sơ'!$B$7:$B$500&amp;", ")),--('Tài khoản &amp; Hồ sơ'!$AT$7:$AT$500&lt;&gt;""))</f>
        <v/>
      </c>
      <c r="G88" s="53">
        <f>SUMPRODUCT(--ISNUMBER(SEARCH(", "&amp;$B88&amp;", ",", "&amp;'Hoạt động (Đơn của tôi)'!$B$7:$B$500&amp;", ")),--('Hoạt động (Đơn của tôi)'!$AT$7:$AT$500="Pass"))+SUMPRODUCT(--ISNUMBER(SEARCH(", "&amp;$B88&amp;", ",", "&amp;'Ghép nối'!$B$7:$B$500&amp;", ")),--('Ghép nối'!$AT$7:$AT$500="Pass"))+SUMPRODUCT(--ISNUMBER(SEARCH(", "&amp;$B88&amp;", ",", "&amp;'Huỷ đơn - Huỷ nhận đơn'!$B$7:$B$500&amp;", ")),--('Huỷ đơn - Huỷ nhận đơn'!$AT$7:$AT$500="Pass"))+SUMPRODUCT(--ISNUMBER(SEARCH(", "&amp;$B88&amp;", ",", "&amp;'Giao nhận &amp; Theo dõi đơn'!$B$7:$B$500&amp;", ")),--('Giao nhận &amp; Theo dõi đơn'!$AT$7:$AT$500="Pass"))+SUMPRODUCT(--ISNUMBER(SEARCH(", "&amp;$B88&amp;", ",", "&amp;'Bảng tin &amp; Chi tiết tin'!$B$7:$B$500&amp;", ")),--('Bảng tin &amp; Chi tiết tin'!$AT$7:$AT$500="Pass"))+SUMPRODUCT(--ISNUMBER(SEARCH(", "&amp;$B88&amp;", ",", "&amp;'Quà cảm ơn'!$B$7:$B$500&amp;", ")),--('Quà cảm ơn'!$AT$7:$AT$500="Pass"))+SUMPRODUCT(--ISNUMBER(SEARCH(", "&amp;$B88&amp;", ",", "&amp;'Trang chủ'!$B$7:$B$500&amp;", ")),--('Trang chủ'!$AT$7:$AT$500="Pass"))+SUMPRODUCT(--ISNUMBER(SEARCH(", "&amp;$B88&amp;", ",", "&amp;'Thông báo'!$B$7:$B$500&amp;", ")),--('Thông báo'!$AT$7:$AT$500="Pass"))+SUMPRODUCT(--ISNUMBER(SEARCH(", "&amp;$B88&amp;", ",", "&amp;'Đăng tin &amp; Quản lý tin'!$B$7:$B$500&amp;", ")),--('Đăng tin &amp; Quản lý tin'!$AT$7:$AT$500="Pass"))+SUMPRODUCT(--ISNUMBER(SEARCH(", "&amp;$B88&amp;", ",", "&amp;'Trust &amp; Safety'!$B$7:$B$500&amp;", ")),--('Trust &amp; Safety'!$AT$7:$AT$500="Pass"))+SUMPRODUCT(--ISNUMBER(SEARCH(", "&amp;$B88&amp;", ",", "&amp;'Tài khoản &amp; Hồ sơ'!$B$7:$B$500&amp;", ")),--('Tài khoản &amp; Hồ sơ'!$AT$7:$AT$500="Pass"))</f>
        <v/>
      </c>
      <c r="H88" s="53">
        <f>SUMPRODUCT(--ISNUMBER(SEARCH(", "&amp;$B88&amp;", ",", "&amp;'Hoạt động (Đơn của tôi)'!$B$7:$B$500&amp;", ")),--('Hoạt động (Đơn của tôi)'!$AT$7:$AT$500="Fail"))+SUMPRODUCT(--ISNUMBER(SEARCH(", "&amp;$B88&amp;", ",", "&amp;'Ghép nối'!$B$7:$B$500&amp;", ")),--('Ghép nối'!$AT$7:$AT$500="Fail"))+SUMPRODUCT(--ISNUMBER(SEARCH(", "&amp;$B88&amp;", ",", "&amp;'Huỷ đơn - Huỷ nhận đơn'!$B$7:$B$500&amp;", ")),--('Huỷ đơn - Huỷ nhận đơn'!$AT$7:$AT$500="Fail"))+SUMPRODUCT(--ISNUMBER(SEARCH(", "&amp;$B88&amp;", ",", "&amp;'Giao nhận &amp; Theo dõi đơn'!$B$7:$B$500&amp;", ")),--('Giao nhận &amp; Theo dõi đơn'!$AT$7:$AT$500="Fail"))+SUMPRODUCT(--ISNUMBER(SEARCH(", "&amp;$B88&amp;", ",", "&amp;'Bảng tin &amp; Chi tiết tin'!$B$7:$B$500&amp;", ")),--('Bảng tin &amp; Chi tiết tin'!$AT$7:$AT$500="Fail"))+SUMPRODUCT(--ISNUMBER(SEARCH(", "&amp;$B88&amp;", ",", "&amp;'Quà cảm ơn'!$B$7:$B$500&amp;", ")),--('Quà cảm ơn'!$AT$7:$AT$500="Fail"))+SUMPRODUCT(--ISNUMBER(SEARCH(", "&amp;$B88&amp;", ",", "&amp;'Trang chủ'!$B$7:$B$500&amp;", ")),--('Trang chủ'!$AT$7:$AT$500="Fail"))+SUMPRODUCT(--ISNUMBER(SEARCH(", "&amp;$B88&amp;", ",", "&amp;'Thông báo'!$B$7:$B$500&amp;", ")),--('Thông báo'!$AT$7:$AT$500="Fail"))+SUMPRODUCT(--ISNUMBER(SEARCH(", "&amp;$B88&amp;", ",", "&amp;'Đăng tin &amp; Quản lý tin'!$B$7:$B$500&amp;", ")),--('Đăng tin &amp; Quản lý tin'!$AT$7:$AT$500="Fail"))+SUMPRODUCT(--ISNUMBER(SEARCH(", "&amp;$B88&amp;", ",", "&amp;'Trust &amp; Safety'!$B$7:$B$500&amp;", ")),--('Trust &amp; Safety'!$AT$7:$AT$500="Fail"))+SUMPRODUCT(--ISNUMBER(SEARCH(", "&amp;$B88&amp;", ",", "&amp;'Tài khoản &amp; Hồ sơ'!$B$7:$B$500&amp;", ")),--('Tài khoản &amp; Hồ sơ'!$AT$7:$AT$500="Fail"))</f>
        <v/>
      </c>
      <c r="I88" s="53">
        <f>SUMPRODUCT(--ISNUMBER(SEARCH(", "&amp;$B88&amp;", ",", "&amp;'Hoạt động (Đơn của tôi)'!$B$7:$B$500&amp;", ")),--('Hoạt động (Đơn của tôi)'!$AT$7:$AT$500="Block"))+SUMPRODUCT(--ISNUMBER(SEARCH(", "&amp;$B88&amp;", ",", "&amp;'Ghép nối'!$B$7:$B$500&amp;", ")),--('Ghép nối'!$AT$7:$AT$500="Block"))+SUMPRODUCT(--ISNUMBER(SEARCH(", "&amp;$B88&amp;", ",", "&amp;'Huỷ đơn - Huỷ nhận đơn'!$B$7:$B$500&amp;", ")),--('Huỷ đơn - Huỷ nhận đơn'!$AT$7:$AT$500="Block"))+SUMPRODUCT(--ISNUMBER(SEARCH(", "&amp;$B88&amp;", ",", "&amp;'Giao nhận &amp; Theo dõi đơn'!$B$7:$B$500&amp;", ")),--('Giao nhận &amp; Theo dõi đơn'!$AT$7:$AT$500="Block"))+SUMPRODUCT(--ISNUMBER(SEARCH(", "&amp;$B88&amp;", ",", "&amp;'Bảng tin &amp; Chi tiết tin'!$B$7:$B$500&amp;", ")),--('Bảng tin &amp; Chi tiết tin'!$AT$7:$AT$500="Block"))+SUMPRODUCT(--ISNUMBER(SEARCH(", "&amp;$B88&amp;", ",", "&amp;'Quà cảm ơn'!$B$7:$B$500&amp;", ")),--('Quà cảm ơn'!$AT$7:$AT$500="Block"))+SUMPRODUCT(--ISNUMBER(SEARCH(", "&amp;$B88&amp;", ",", "&amp;'Trang chủ'!$B$7:$B$500&amp;", ")),--('Trang chủ'!$AT$7:$AT$500="Block"))+SUMPRODUCT(--ISNUMBER(SEARCH(", "&amp;$B88&amp;", ",", "&amp;'Thông báo'!$B$7:$B$500&amp;", ")),--('Thông báo'!$AT$7:$AT$500="Block"))+SUMPRODUCT(--ISNUMBER(SEARCH(", "&amp;$B88&amp;", ",", "&amp;'Đăng tin &amp; Quản lý tin'!$B$7:$B$500&amp;", ")),--('Đăng tin &amp; Quản lý tin'!$AT$7:$AT$500="Block"))+SUMPRODUCT(--ISNUMBER(SEARCH(", "&amp;$B88&amp;", ",", "&amp;'Trust &amp; Safety'!$B$7:$B$500&amp;", ")),--('Trust &amp; Safety'!$AT$7:$AT$500="Block"))+SUMPRODUCT(--ISNUMBER(SEARCH(", "&amp;$B88&amp;", ",", "&amp;'Tài khoản &amp; Hồ sơ'!$B$7:$B$500&amp;", ")),--('Tài khoản &amp; Hồ sơ'!$AT$7:$AT$500="Block"))</f>
        <v/>
      </c>
      <c r="J88" s="53">
        <f>SUMPRODUCT(--ISNUMBER(SEARCH(", "&amp;$B88&amp;", ",", "&amp;'Hoạt động (Đơn của tôi)'!$B$7:$B$500&amp;", ")),--('Hoạt động (Đơn của tôi)'!$AT$7:$AT$500="N/A"))+SUMPRODUCT(--ISNUMBER(SEARCH(", "&amp;$B88&amp;", ",", "&amp;'Ghép nối'!$B$7:$B$500&amp;", ")),--('Ghép nối'!$AT$7:$AT$500="N/A"))+SUMPRODUCT(--ISNUMBER(SEARCH(", "&amp;$B88&amp;", ",", "&amp;'Huỷ đơn - Huỷ nhận đơn'!$B$7:$B$500&amp;", ")),--('Huỷ đơn - Huỷ nhận đơn'!$AT$7:$AT$500="N/A"))+SUMPRODUCT(--ISNUMBER(SEARCH(", "&amp;$B88&amp;", ",", "&amp;'Giao nhận &amp; Theo dõi đơn'!$B$7:$B$500&amp;", ")),--('Giao nhận &amp; Theo dõi đơn'!$AT$7:$AT$500="N/A"))+SUMPRODUCT(--ISNUMBER(SEARCH(", "&amp;$B88&amp;", ",", "&amp;'Bảng tin &amp; Chi tiết tin'!$B$7:$B$500&amp;", ")),--('Bảng tin &amp; Chi tiết tin'!$AT$7:$AT$500="N/A"))+SUMPRODUCT(--ISNUMBER(SEARCH(", "&amp;$B88&amp;", ",", "&amp;'Quà cảm ơn'!$B$7:$B$500&amp;", ")),--('Quà cảm ơn'!$AT$7:$AT$500="N/A"))+SUMPRODUCT(--ISNUMBER(SEARCH(", "&amp;$B88&amp;", ",", "&amp;'Trang chủ'!$B$7:$B$500&amp;", ")),--('Trang chủ'!$AT$7:$AT$500="N/A"))+SUMPRODUCT(--ISNUMBER(SEARCH(", "&amp;$B88&amp;", ",", "&amp;'Thông báo'!$B$7:$B$500&amp;", ")),--('Thông báo'!$AT$7:$AT$500="N/A"))+SUMPRODUCT(--ISNUMBER(SEARCH(", "&amp;$B88&amp;", ",", "&amp;'Đăng tin &amp; Quản lý tin'!$B$7:$B$500&amp;", ")),--('Đăng tin &amp; Quản lý tin'!$AT$7:$AT$500="N/A"))+SUMPRODUCT(--ISNUMBER(SEARCH(", "&amp;$B88&amp;", ",", "&amp;'Trust &amp; Safety'!$B$7:$B$500&amp;", ")),--('Trust &amp; Safety'!$AT$7:$AT$500="N/A"))+SUMPRODUCT(--ISNUMBER(SEARCH(", "&amp;$B88&amp;", ",", "&amp;'Tài khoản &amp; Hồ sơ'!$B$7:$B$500&amp;", ")),--('Tài khoản &amp; Hồ sơ'!$AT$7:$AT$500="N/A"))</f>
        <v/>
      </c>
      <c r="K88" s="54">
        <f>IFERROR(F88/E88,0)</f>
        <v/>
      </c>
      <c r="L88" s="113">
        <f>IF(E88=0,"Chưa có TC (gap)",IF(H88&gt;0,"Có lỗi (Fail)",IF(I88&gt;0,"Bị block",IF(F88&lt;E88,"Đang test",IF(G88=0,"Không áp dụng (N/A)","Đã test xong")))))</f>
        <v/>
      </c>
      <c r="AB88" t="inlineStr">
        <is>
          <t>REQ-NTF</t>
        </is>
      </c>
    </row>
    <row r="89" ht="15.75" customHeight="1" s="216">
      <c r="A89" s="1" t="n"/>
      <c r="B89" s="112" t="inlineStr">
        <is>
          <t>REQ-NTF-005</t>
        </is>
      </c>
      <c r="C89" s="261" t="inlineStr">
        <is>
          <t>SĐT chỉ lộ sau khi ghép, chỉ cho đúng 2 người trong cặp; không đưa SĐT vào nội dung push</t>
        </is>
      </c>
      <c r="D89" s="113" t="inlineStr">
        <is>
          <t>DOC-v1.1-01 §8.13.1 · page 47-48</t>
        </is>
      </c>
      <c r="E89" s="53">
        <f>SUMPRODUCT(--ISNUMBER(SEARCH(", "&amp;$B89&amp;", ",", "&amp;'Hoạt động (Đơn của tôi)'!$B$7:$B$500&amp;", ")))+SUMPRODUCT(--ISNUMBER(SEARCH(", "&amp;$B89&amp;", ",", "&amp;'Ghép nối'!$B$7:$B$500&amp;", ")))+SUMPRODUCT(--ISNUMBER(SEARCH(", "&amp;$B89&amp;", ",", "&amp;'Huỷ đơn - Huỷ nhận đơn'!$B$7:$B$500&amp;", ")))+SUMPRODUCT(--ISNUMBER(SEARCH(", "&amp;$B89&amp;", ",", "&amp;'Giao nhận &amp; Theo dõi đơn'!$B$7:$B$500&amp;", ")))+SUMPRODUCT(--ISNUMBER(SEARCH(", "&amp;$B89&amp;", ",", "&amp;'Bảng tin &amp; Chi tiết tin'!$B$7:$B$500&amp;", ")))+SUMPRODUCT(--ISNUMBER(SEARCH(", "&amp;$B89&amp;", ",", "&amp;'Quà cảm ơn'!$B$7:$B$500&amp;", ")))+SUMPRODUCT(--ISNUMBER(SEARCH(", "&amp;$B89&amp;", ",", "&amp;'Trang chủ'!$B$7:$B$500&amp;", ")))+SUMPRODUCT(--ISNUMBER(SEARCH(", "&amp;$B89&amp;", ",", "&amp;'Thông báo'!$B$7:$B$500&amp;", ")))+SUMPRODUCT(--ISNUMBER(SEARCH(", "&amp;$B89&amp;", ",", "&amp;'Đăng tin &amp; Quản lý tin'!$B$7:$B$500&amp;", ")))+SUMPRODUCT(--ISNUMBER(SEARCH(", "&amp;$B89&amp;", ",", "&amp;'Trust &amp; Safety'!$B$7:$B$500&amp;", ")))+SUMPRODUCT(--ISNUMBER(SEARCH(", "&amp;$B89&amp;", ",", "&amp;'Tài khoản &amp; Hồ sơ'!$B$7:$B$500&amp;", ")))</f>
        <v/>
      </c>
      <c r="F89" s="53">
        <f>SUMPRODUCT(--ISNUMBER(SEARCH(", "&amp;$B89&amp;", ",", "&amp;'Hoạt động (Đơn của tôi)'!$B$7:$B$500&amp;", ")),--('Hoạt động (Đơn của tôi)'!$AT$7:$AT$500&lt;&gt;""))+SUMPRODUCT(--ISNUMBER(SEARCH(", "&amp;$B89&amp;", ",", "&amp;'Ghép nối'!$B$7:$B$500&amp;", ")),--('Ghép nối'!$AT$7:$AT$500&lt;&gt;""))+SUMPRODUCT(--ISNUMBER(SEARCH(", "&amp;$B89&amp;", ",", "&amp;'Huỷ đơn - Huỷ nhận đơn'!$B$7:$B$500&amp;", ")),--('Huỷ đơn - Huỷ nhận đơn'!$AT$7:$AT$500&lt;&gt;""))+SUMPRODUCT(--ISNUMBER(SEARCH(", "&amp;$B89&amp;", ",", "&amp;'Giao nhận &amp; Theo dõi đơn'!$B$7:$B$500&amp;", ")),--('Giao nhận &amp; Theo dõi đơn'!$AT$7:$AT$500&lt;&gt;""))+SUMPRODUCT(--ISNUMBER(SEARCH(", "&amp;$B89&amp;", ",", "&amp;'Bảng tin &amp; Chi tiết tin'!$B$7:$B$500&amp;", ")),--('Bảng tin &amp; Chi tiết tin'!$AT$7:$AT$500&lt;&gt;""))+SUMPRODUCT(--ISNUMBER(SEARCH(", "&amp;$B89&amp;", ",", "&amp;'Quà cảm ơn'!$B$7:$B$500&amp;", ")),--('Quà cảm ơn'!$AT$7:$AT$500&lt;&gt;""))+SUMPRODUCT(--ISNUMBER(SEARCH(", "&amp;$B89&amp;", ",", "&amp;'Trang chủ'!$B$7:$B$500&amp;", ")),--('Trang chủ'!$AT$7:$AT$500&lt;&gt;""))+SUMPRODUCT(--ISNUMBER(SEARCH(", "&amp;$B89&amp;", ",", "&amp;'Thông báo'!$B$7:$B$500&amp;", ")),--('Thông báo'!$AT$7:$AT$500&lt;&gt;""))+SUMPRODUCT(--ISNUMBER(SEARCH(", "&amp;$B89&amp;", ",", "&amp;'Đăng tin &amp; Quản lý tin'!$B$7:$B$500&amp;", ")),--('Đăng tin &amp; Quản lý tin'!$AT$7:$AT$500&lt;&gt;""))+SUMPRODUCT(--ISNUMBER(SEARCH(", "&amp;$B89&amp;", ",", "&amp;'Trust &amp; Safety'!$B$7:$B$500&amp;", ")),--('Trust &amp; Safety'!$AT$7:$AT$500&lt;&gt;""))+SUMPRODUCT(--ISNUMBER(SEARCH(", "&amp;$B89&amp;", ",", "&amp;'Tài khoản &amp; Hồ sơ'!$B$7:$B$500&amp;", ")),--('Tài khoản &amp; Hồ sơ'!$AT$7:$AT$500&lt;&gt;""))</f>
        <v/>
      </c>
      <c r="G89" s="53">
        <f>SUMPRODUCT(--ISNUMBER(SEARCH(", "&amp;$B89&amp;", ",", "&amp;'Hoạt động (Đơn của tôi)'!$B$7:$B$500&amp;", ")),--('Hoạt động (Đơn của tôi)'!$AT$7:$AT$500="Pass"))+SUMPRODUCT(--ISNUMBER(SEARCH(", "&amp;$B89&amp;", ",", "&amp;'Ghép nối'!$B$7:$B$500&amp;", ")),--('Ghép nối'!$AT$7:$AT$500="Pass"))+SUMPRODUCT(--ISNUMBER(SEARCH(", "&amp;$B89&amp;", ",", "&amp;'Huỷ đơn - Huỷ nhận đơn'!$B$7:$B$500&amp;", ")),--('Huỷ đơn - Huỷ nhận đơn'!$AT$7:$AT$500="Pass"))+SUMPRODUCT(--ISNUMBER(SEARCH(", "&amp;$B89&amp;", ",", "&amp;'Giao nhận &amp; Theo dõi đơn'!$B$7:$B$500&amp;", ")),--('Giao nhận &amp; Theo dõi đơn'!$AT$7:$AT$500="Pass"))+SUMPRODUCT(--ISNUMBER(SEARCH(", "&amp;$B89&amp;", ",", "&amp;'Bảng tin &amp; Chi tiết tin'!$B$7:$B$500&amp;", ")),--('Bảng tin &amp; Chi tiết tin'!$AT$7:$AT$500="Pass"))+SUMPRODUCT(--ISNUMBER(SEARCH(", "&amp;$B89&amp;", ",", "&amp;'Quà cảm ơn'!$B$7:$B$500&amp;", ")),--('Quà cảm ơn'!$AT$7:$AT$500="Pass"))+SUMPRODUCT(--ISNUMBER(SEARCH(", "&amp;$B89&amp;", ",", "&amp;'Trang chủ'!$B$7:$B$500&amp;", ")),--('Trang chủ'!$AT$7:$AT$500="Pass"))+SUMPRODUCT(--ISNUMBER(SEARCH(", "&amp;$B89&amp;", ",", "&amp;'Thông báo'!$B$7:$B$500&amp;", ")),--('Thông báo'!$AT$7:$AT$500="Pass"))+SUMPRODUCT(--ISNUMBER(SEARCH(", "&amp;$B89&amp;", ",", "&amp;'Đăng tin &amp; Quản lý tin'!$B$7:$B$500&amp;", ")),--('Đăng tin &amp; Quản lý tin'!$AT$7:$AT$500="Pass"))+SUMPRODUCT(--ISNUMBER(SEARCH(", "&amp;$B89&amp;", ",", "&amp;'Trust &amp; Safety'!$B$7:$B$500&amp;", ")),--('Trust &amp; Safety'!$AT$7:$AT$500="Pass"))+SUMPRODUCT(--ISNUMBER(SEARCH(", "&amp;$B89&amp;", ",", "&amp;'Tài khoản &amp; Hồ sơ'!$B$7:$B$500&amp;", ")),--('Tài khoản &amp; Hồ sơ'!$AT$7:$AT$500="Pass"))</f>
        <v/>
      </c>
      <c r="H89" s="53">
        <f>SUMPRODUCT(--ISNUMBER(SEARCH(", "&amp;$B89&amp;", ",", "&amp;'Hoạt động (Đơn của tôi)'!$B$7:$B$500&amp;", ")),--('Hoạt động (Đơn của tôi)'!$AT$7:$AT$500="Fail"))+SUMPRODUCT(--ISNUMBER(SEARCH(", "&amp;$B89&amp;", ",", "&amp;'Ghép nối'!$B$7:$B$500&amp;", ")),--('Ghép nối'!$AT$7:$AT$500="Fail"))+SUMPRODUCT(--ISNUMBER(SEARCH(", "&amp;$B89&amp;", ",", "&amp;'Huỷ đơn - Huỷ nhận đơn'!$B$7:$B$500&amp;", ")),--('Huỷ đơn - Huỷ nhận đơn'!$AT$7:$AT$500="Fail"))+SUMPRODUCT(--ISNUMBER(SEARCH(", "&amp;$B89&amp;", ",", "&amp;'Giao nhận &amp; Theo dõi đơn'!$B$7:$B$500&amp;", ")),--('Giao nhận &amp; Theo dõi đơn'!$AT$7:$AT$500="Fail"))+SUMPRODUCT(--ISNUMBER(SEARCH(", "&amp;$B89&amp;", ",", "&amp;'Bảng tin &amp; Chi tiết tin'!$B$7:$B$500&amp;", ")),--('Bảng tin &amp; Chi tiết tin'!$AT$7:$AT$500="Fail"))+SUMPRODUCT(--ISNUMBER(SEARCH(", "&amp;$B89&amp;", ",", "&amp;'Quà cảm ơn'!$B$7:$B$500&amp;", ")),--('Quà cảm ơn'!$AT$7:$AT$500="Fail"))+SUMPRODUCT(--ISNUMBER(SEARCH(", "&amp;$B89&amp;", ",", "&amp;'Trang chủ'!$B$7:$B$500&amp;", ")),--('Trang chủ'!$AT$7:$AT$500="Fail"))+SUMPRODUCT(--ISNUMBER(SEARCH(", "&amp;$B89&amp;", ",", "&amp;'Thông báo'!$B$7:$B$500&amp;", ")),--('Thông báo'!$AT$7:$AT$500="Fail"))+SUMPRODUCT(--ISNUMBER(SEARCH(", "&amp;$B89&amp;", ",", "&amp;'Đăng tin &amp; Quản lý tin'!$B$7:$B$500&amp;", ")),--('Đăng tin &amp; Quản lý tin'!$AT$7:$AT$500="Fail"))+SUMPRODUCT(--ISNUMBER(SEARCH(", "&amp;$B89&amp;", ",", "&amp;'Trust &amp; Safety'!$B$7:$B$500&amp;", ")),--('Trust &amp; Safety'!$AT$7:$AT$500="Fail"))+SUMPRODUCT(--ISNUMBER(SEARCH(", "&amp;$B89&amp;", ",", "&amp;'Tài khoản &amp; Hồ sơ'!$B$7:$B$500&amp;", ")),--('Tài khoản &amp; Hồ sơ'!$AT$7:$AT$500="Fail"))</f>
        <v/>
      </c>
      <c r="I89" s="53">
        <f>SUMPRODUCT(--ISNUMBER(SEARCH(", "&amp;$B89&amp;", ",", "&amp;'Hoạt động (Đơn của tôi)'!$B$7:$B$500&amp;", ")),--('Hoạt động (Đơn của tôi)'!$AT$7:$AT$500="Block"))+SUMPRODUCT(--ISNUMBER(SEARCH(", "&amp;$B89&amp;", ",", "&amp;'Ghép nối'!$B$7:$B$500&amp;", ")),--('Ghép nối'!$AT$7:$AT$500="Block"))+SUMPRODUCT(--ISNUMBER(SEARCH(", "&amp;$B89&amp;", ",", "&amp;'Huỷ đơn - Huỷ nhận đơn'!$B$7:$B$500&amp;", ")),--('Huỷ đơn - Huỷ nhận đơn'!$AT$7:$AT$500="Block"))+SUMPRODUCT(--ISNUMBER(SEARCH(", "&amp;$B89&amp;", ",", "&amp;'Giao nhận &amp; Theo dõi đơn'!$B$7:$B$500&amp;", ")),--('Giao nhận &amp; Theo dõi đơn'!$AT$7:$AT$500="Block"))+SUMPRODUCT(--ISNUMBER(SEARCH(", "&amp;$B89&amp;", ",", "&amp;'Bảng tin &amp; Chi tiết tin'!$B$7:$B$500&amp;", ")),--('Bảng tin &amp; Chi tiết tin'!$AT$7:$AT$500="Block"))+SUMPRODUCT(--ISNUMBER(SEARCH(", "&amp;$B89&amp;", ",", "&amp;'Quà cảm ơn'!$B$7:$B$500&amp;", ")),--('Quà cảm ơn'!$AT$7:$AT$500="Block"))+SUMPRODUCT(--ISNUMBER(SEARCH(", "&amp;$B89&amp;", ",", "&amp;'Trang chủ'!$B$7:$B$500&amp;", ")),--('Trang chủ'!$AT$7:$AT$500="Block"))+SUMPRODUCT(--ISNUMBER(SEARCH(", "&amp;$B89&amp;", ",", "&amp;'Thông báo'!$B$7:$B$500&amp;", ")),--('Thông báo'!$AT$7:$AT$500="Block"))+SUMPRODUCT(--ISNUMBER(SEARCH(", "&amp;$B89&amp;", ",", "&amp;'Đăng tin &amp; Quản lý tin'!$B$7:$B$500&amp;", ")),--('Đăng tin &amp; Quản lý tin'!$AT$7:$AT$500="Block"))+SUMPRODUCT(--ISNUMBER(SEARCH(", "&amp;$B89&amp;", ",", "&amp;'Trust &amp; Safety'!$B$7:$B$500&amp;", ")),--('Trust &amp; Safety'!$AT$7:$AT$500="Block"))+SUMPRODUCT(--ISNUMBER(SEARCH(", "&amp;$B89&amp;", ",", "&amp;'Tài khoản &amp; Hồ sơ'!$B$7:$B$500&amp;", ")),--('Tài khoản &amp; Hồ sơ'!$AT$7:$AT$500="Block"))</f>
        <v/>
      </c>
      <c r="J89" s="53">
        <f>SUMPRODUCT(--ISNUMBER(SEARCH(", "&amp;$B89&amp;", ",", "&amp;'Hoạt động (Đơn của tôi)'!$B$7:$B$500&amp;", ")),--('Hoạt động (Đơn của tôi)'!$AT$7:$AT$500="N/A"))+SUMPRODUCT(--ISNUMBER(SEARCH(", "&amp;$B89&amp;", ",", "&amp;'Ghép nối'!$B$7:$B$500&amp;", ")),--('Ghép nối'!$AT$7:$AT$500="N/A"))+SUMPRODUCT(--ISNUMBER(SEARCH(", "&amp;$B89&amp;", ",", "&amp;'Huỷ đơn - Huỷ nhận đơn'!$B$7:$B$500&amp;", ")),--('Huỷ đơn - Huỷ nhận đơn'!$AT$7:$AT$500="N/A"))+SUMPRODUCT(--ISNUMBER(SEARCH(", "&amp;$B89&amp;", ",", "&amp;'Giao nhận &amp; Theo dõi đơn'!$B$7:$B$500&amp;", ")),--('Giao nhận &amp; Theo dõi đơn'!$AT$7:$AT$500="N/A"))+SUMPRODUCT(--ISNUMBER(SEARCH(", "&amp;$B89&amp;", ",", "&amp;'Bảng tin &amp; Chi tiết tin'!$B$7:$B$500&amp;", ")),--('Bảng tin &amp; Chi tiết tin'!$AT$7:$AT$500="N/A"))+SUMPRODUCT(--ISNUMBER(SEARCH(", "&amp;$B89&amp;", ",", "&amp;'Quà cảm ơn'!$B$7:$B$500&amp;", ")),--('Quà cảm ơn'!$AT$7:$AT$500="N/A"))+SUMPRODUCT(--ISNUMBER(SEARCH(", "&amp;$B89&amp;", ",", "&amp;'Trang chủ'!$B$7:$B$500&amp;", ")),--('Trang chủ'!$AT$7:$AT$500="N/A"))+SUMPRODUCT(--ISNUMBER(SEARCH(", "&amp;$B89&amp;", ",", "&amp;'Thông báo'!$B$7:$B$500&amp;", ")),--('Thông báo'!$AT$7:$AT$500="N/A"))+SUMPRODUCT(--ISNUMBER(SEARCH(", "&amp;$B89&amp;", ",", "&amp;'Đăng tin &amp; Quản lý tin'!$B$7:$B$500&amp;", ")),--('Đăng tin &amp; Quản lý tin'!$AT$7:$AT$500="N/A"))+SUMPRODUCT(--ISNUMBER(SEARCH(", "&amp;$B89&amp;", ",", "&amp;'Trust &amp; Safety'!$B$7:$B$500&amp;", ")),--('Trust &amp; Safety'!$AT$7:$AT$500="N/A"))+SUMPRODUCT(--ISNUMBER(SEARCH(", "&amp;$B89&amp;", ",", "&amp;'Tài khoản &amp; Hồ sơ'!$B$7:$B$500&amp;", ")),--('Tài khoản &amp; Hồ sơ'!$AT$7:$AT$500="N/A"))</f>
        <v/>
      </c>
      <c r="K89" s="54">
        <f>IFERROR(F89/E89,0)</f>
        <v/>
      </c>
      <c r="L89" s="113">
        <f>IF(E89=0,"Chưa có TC (gap)",IF(H89&gt;0,"Có lỗi (Fail)",IF(I89&gt;0,"Bị block",IF(F89&lt;E89,"Đang test",IF(G89=0,"Không áp dụng (N/A)","Đã test xong")))))</f>
        <v/>
      </c>
      <c r="AB89" t="inlineStr">
        <is>
          <t>REQ-NTF</t>
        </is>
      </c>
    </row>
    <row r="90" ht="15.75" customHeight="1" s="216">
      <c r="A90" s="1" t="n"/>
      <c r="B90" s="112" t="inlineStr">
        <is>
          <t>REQ-NTF-010</t>
        </is>
      </c>
      <c r="C90" s="261" t="inlineStr">
        <is>
          <t>Danh sách sự kiện bắn thông báo dựa trên flow &amp; màn hình hiện có của prototype. **Nháp — chờ BA review &amp; bổ sung.**</t>
        </is>
      </c>
      <c r="D90" s="113" t="inlineStr">
        <is>
          <t>DOC-v1.1-01 §8.13 · §8.13.1 · page 47-48</t>
        </is>
      </c>
      <c r="E90" s="53">
        <f>SUMPRODUCT(--ISNUMBER(SEARCH(", "&amp;$B90&amp;", ",", "&amp;'Hoạt động (Đơn của tôi)'!$B$7:$B$500&amp;", ")))+SUMPRODUCT(--ISNUMBER(SEARCH(", "&amp;$B90&amp;", ",", "&amp;'Ghép nối'!$B$7:$B$500&amp;", ")))+SUMPRODUCT(--ISNUMBER(SEARCH(", "&amp;$B90&amp;", ",", "&amp;'Huỷ đơn - Huỷ nhận đơn'!$B$7:$B$500&amp;", ")))+SUMPRODUCT(--ISNUMBER(SEARCH(", "&amp;$B90&amp;", ",", "&amp;'Giao nhận &amp; Theo dõi đơn'!$B$7:$B$500&amp;", ")))+SUMPRODUCT(--ISNUMBER(SEARCH(", "&amp;$B90&amp;", ",", "&amp;'Bảng tin &amp; Chi tiết tin'!$B$7:$B$500&amp;", ")))+SUMPRODUCT(--ISNUMBER(SEARCH(", "&amp;$B90&amp;", ",", "&amp;'Quà cảm ơn'!$B$7:$B$500&amp;", ")))+SUMPRODUCT(--ISNUMBER(SEARCH(", "&amp;$B90&amp;", ",", "&amp;'Trang chủ'!$B$7:$B$500&amp;", ")))+SUMPRODUCT(--ISNUMBER(SEARCH(", "&amp;$B90&amp;", ",", "&amp;'Thông báo'!$B$7:$B$500&amp;", ")))+SUMPRODUCT(--ISNUMBER(SEARCH(", "&amp;$B90&amp;", ",", "&amp;'Đăng tin &amp; Quản lý tin'!$B$7:$B$500&amp;", ")))+SUMPRODUCT(--ISNUMBER(SEARCH(", "&amp;$B90&amp;", ",", "&amp;'Trust &amp; Safety'!$B$7:$B$500&amp;", ")))+SUMPRODUCT(--ISNUMBER(SEARCH(", "&amp;$B90&amp;", ",", "&amp;'Tài khoản &amp; Hồ sơ'!$B$7:$B$500&amp;", ")))</f>
        <v/>
      </c>
      <c r="F90" s="53">
        <f>SUMPRODUCT(--ISNUMBER(SEARCH(", "&amp;$B90&amp;", ",", "&amp;'Hoạt động (Đơn của tôi)'!$B$7:$B$500&amp;", ")),--('Hoạt động (Đơn của tôi)'!$AT$7:$AT$500&lt;&gt;""))+SUMPRODUCT(--ISNUMBER(SEARCH(", "&amp;$B90&amp;", ",", "&amp;'Ghép nối'!$B$7:$B$500&amp;", ")),--('Ghép nối'!$AT$7:$AT$500&lt;&gt;""))+SUMPRODUCT(--ISNUMBER(SEARCH(", "&amp;$B90&amp;", ",", "&amp;'Huỷ đơn - Huỷ nhận đơn'!$B$7:$B$500&amp;", ")),--('Huỷ đơn - Huỷ nhận đơn'!$AT$7:$AT$500&lt;&gt;""))+SUMPRODUCT(--ISNUMBER(SEARCH(", "&amp;$B90&amp;", ",", "&amp;'Giao nhận &amp; Theo dõi đơn'!$B$7:$B$500&amp;", ")),--('Giao nhận &amp; Theo dõi đơn'!$AT$7:$AT$500&lt;&gt;""))+SUMPRODUCT(--ISNUMBER(SEARCH(", "&amp;$B90&amp;", ",", "&amp;'Bảng tin &amp; Chi tiết tin'!$B$7:$B$500&amp;", ")),--('Bảng tin &amp; Chi tiết tin'!$AT$7:$AT$500&lt;&gt;""))+SUMPRODUCT(--ISNUMBER(SEARCH(", "&amp;$B90&amp;", ",", "&amp;'Quà cảm ơn'!$B$7:$B$500&amp;", ")),--('Quà cảm ơn'!$AT$7:$AT$500&lt;&gt;""))+SUMPRODUCT(--ISNUMBER(SEARCH(", "&amp;$B90&amp;", ",", "&amp;'Trang chủ'!$B$7:$B$500&amp;", ")),--('Trang chủ'!$AT$7:$AT$500&lt;&gt;""))+SUMPRODUCT(--ISNUMBER(SEARCH(", "&amp;$B90&amp;", ",", "&amp;'Thông báo'!$B$7:$B$500&amp;", ")),--('Thông báo'!$AT$7:$AT$500&lt;&gt;""))+SUMPRODUCT(--ISNUMBER(SEARCH(", "&amp;$B90&amp;", ",", "&amp;'Đăng tin &amp; Quản lý tin'!$B$7:$B$500&amp;", ")),--('Đăng tin &amp; Quản lý tin'!$AT$7:$AT$500&lt;&gt;""))+SUMPRODUCT(--ISNUMBER(SEARCH(", "&amp;$B90&amp;", ",", "&amp;'Trust &amp; Safety'!$B$7:$B$500&amp;", ")),--('Trust &amp; Safety'!$AT$7:$AT$500&lt;&gt;""))+SUMPRODUCT(--ISNUMBER(SEARCH(", "&amp;$B90&amp;", ",", "&amp;'Tài khoản &amp; Hồ sơ'!$B$7:$B$500&amp;", ")),--('Tài khoản &amp; Hồ sơ'!$AT$7:$AT$500&lt;&gt;""))</f>
        <v/>
      </c>
      <c r="G90" s="53">
        <f>SUMPRODUCT(--ISNUMBER(SEARCH(", "&amp;$B90&amp;", ",", "&amp;'Hoạt động (Đơn của tôi)'!$B$7:$B$500&amp;", ")),--('Hoạt động (Đơn của tôi)'!$AT$7:$AT$500="Pass"))+SUMPRODUCT(--ISNUMBER(SEARCH(", "&amp;$B90&amp;", ",", "&amp;'Ghép nối'!$B$7:$B$500&amp;", ")),--('Ghép nối'!$AT$7:$AT$500="Pass"))+SUMPRODUCT(--ISNUMBER(SEARCH(", "&amp;$B90&amp;", ",", "&amp;'Huỷ đơn - Huỷ nhận đơn'!$B$7:$B$500&amp;", ")),--('Huỷ đơn - Huỷ nhận đơn'!$AT$7:$AT$500="Pass"))+SUMPRODUCT(--ISNUMBER(SEARCH(", "&amp;$B90&amp;", ",", "&amp;'Giao nhận &amp; Theo dõi đơn'!$B$7:$B$500&amp;", ")),--('Giao nhận &amp; Theo dõi đơn'!$AT$7:$AT$500="Pass"))+SUMPRODUCT(--ISNUMBER(SEARCH(", "&amp;$B90&amp;", ",", "&amp;'Bảng tin &amp; Chi tiết tin'!$B$7:$B$500&amp;", ")),--('Bảng tin &amp; Chi tiết tin'!$AT$7:$AT$500="Pass"))+SUMPRODUCT(--ISNUMBER(SEARCH(", "&amp;$B90&amp;", ",", "&amp;'Quà cảm ơn'!$B$7:$B$500&amp;", ")),--('Quà cảm ơn'!$AT$7:$AT$500="Pass"))+SUMPRODUCT(--ISNUMBER(SEARCH(", "&amp;$B90&amp;", ",", "&amp;'Trang chủ'!$B$7:$B$500&amp;", ")),--('Trang chủ'!$AT$7:$AT$500="Pass"))+SUMPRODUCT(--ISNUMBER(SEARCH(", "&amp;$B90&amp;", ",", "&amp;'Thông báo'!$B$7:$B$500&amp;", ")),--('Thông báo'!$AT$7:$AT$500="Pass"))+SUMPRODUCT(--ISNUMBER(SEARCH(", "&amp;$B90&amp;", ",", "&amp;'Đăng tin &amp; Quản lý tin'!$B$7:$B$500&amp;", ")),--('Đăng tin &amp; Quản lý tin'!$AT$7:$AT$500="Pass"))+SUMPRODUCT(--ISNUMBER(SEARCH(", "&amp;$B90&amp;", ",", "&amp;'Trust &amp; Safety'!$B$7:$B$500&amp;", ")),--('Trust &amp; Safety'!$AT$7:$AT$500="Pass"))+SUMPRODUCT(--ISNUMBER(SEARCH(", "&amp;$B90&amp;", ",", "&amp;'Tài khoản &amp; Hồ sơ'!$B$7:$B$500&amp;", ")),--('Tài khoản &amp; Hồ sơ'!$AT$7:$AT$500="Pass"))</f>
        <v/>
      </c>
      <c r="H90" s="53">
        <f>SUMPRODUCT(--ISNUMBER(SEARCH(", "&amp;$B90&amp;", ",", "&amp;'Hoạt động (Đơn của tôi)'!$B$7:$B$500&amp;", ")),--('Hoạt động (Đơn của tôi)'!$AT$7:$AT$500="Fail"))+SUMPRODUCT(--ISNUMBER(SEARCH(", "&amp;$B90&amp;", ",", "&amp;'Ghép nối'!$B$7:$B$500&amp;", ")),--('Ghép nối'!$AT$7:$AT$500="Fail"))+SUMPRODUCT(--ISNUMBER(SEARCH(", "&amp;$B90&amp;", ",", "&amp;'Huỷ đơn - Huỷ nhận đơn'!$B$7:$B$500&amp;", ")),--('Huỷ đơn - Huỷ nhận đơn'!$AT$7:$AT$500="Fail"))+SUMPRODUCT(--ISNUMBER(SEARCH(", "&amp;$B90&amp;", ",", "&amp;'Giao nhận &amp; Theo dõi đơn'!$B$7:$B$500&amp;", ")),--('Giao nhận &amp; Theo dõi đơn'!$AT$7:$AT$500="Fail"))+SUMPRODUCT(--ISNUMBER(SEARCH(", "&amp;$B90&amp;", ",", "&amp;'Bảng tin &amp; Chi tiết tin'!$B$7:$B$500&amp;", ")),--('Bảng tin &amp; Chi tiết tin'!$AT$7:$AT$500="Fail"))+SUMPRODUCT(--ISNUMBER(SEARCH(", "&amp;$B90&amp;", ",", "&amp;'Quà cảm ơn'!$B$7:$B$500&amp;", ")),--('Quà cảm ơn'!$AT$7:$AT$500="Fail"))+SUMPRODUCT(--ISNUMBER(SEARCH(", "&amp;$B90&amp;", ",", "&amp;'Trang chủ'!$B$7:$B$500&amp;", ")),--('Trang chủ'!$AT$7:$AT$500="Fail"))+SUMPRODUCT(--ISNUMBER(SEARCH(", "&amp;$B90&amp;", ",", "&amp;'Thông báo'!$B$7:$B$500&amp;", ")),--('Thông báo'!$AT$7:$AT$500="Fail"))+SUMPRODUCT(--ISNUMBER(SEARCH(", "&amp;$B90&amp;", ",", "&amp;'Đăng tin &amp; Quản lý tin'!$B$7:$B$500&amp;", ")),--('Đăng tin &amp; Quản lý tin'!$AT$7:$AT$500="Fail"))+SUMPRODUCT(--ISNUMBER(SEARCH(", "&amp;$B90&amp;", ",", "&amp;'Trust &amp; Safety'!$B$7:$B$500&amp;", ")),--('Trust &amp; Safety'!$AT$7:$AT$500="Fail"))+SUMPRODUCT(--ISNUMBER(SEARCH(", "&amp;$B90&amp;", ",", "&amp;'Tài khoản &amp; Hồ sơ'!$B$7:$B$500&amp;", ")),--('Tài khoản &amp; Hồ sơ'!$AT$7:$AT$500="Fail"))</f>
        <v/>
      </c>
      <c r="I90" s="53">
        <f>SUMPRODUCT(--ISNUMBER(SEARCH(", "&amp;$B90&amp;", ",", "&amp;'Hoạt động (Đơn của tôi)'!$B$7:$B$500&amp;", ")),--('Hoạt động (Đơn của tôi)'!$AT$7:$AT$500="Block"))+SUMPRODUCT(--ISNUMBER(SEARCH(", "&amp;$B90&amp;", ",", "&amp;'Ghép nối'!$B$7:$B$500&amp;", ")),--('Ghép nối'!$AT$7:$AT$500="Block"))+SUMPRODUCT(--ISNUMBER(SEARCH(", "&amp;$B90&amp;", ",", "&amp;'Huỷ đơn - Huỷ nhận đơn'!$B$7:$B$500&amp;", ")),--('Huỷ đơn - Huỷ nhận đơn'!$AT$7:$AT$500="Block"))+SUMPRODUCT(--ISNUMBER(SEARCH(", "&amp;$B90&amp;", ",", "&amp;'Giao nhận &amp; Theo dõi đơn'!$B$7:$B$500&amp;", ")),--('Giao nhận &amp; Theo dõi đơn'!$AT$7:$AT$500="Block"))+SUMPRODUCT(--ISNUMBER(SEARCH(", "&amp;$B90&amp;", ",", "&amp;'Bảng tin &amp; Chi tiết tin'!$B$7:$B$500&amp;", ")),--('Bảng tin &amp; Chi tiết tin'!$AT$7:$AT$500="Block"))+SUMPRODUCT(--ISNUMBER(SEARCH(", "&amp;$B90&amp;", ",", "&amp;'Quà cảm ơn'!$B$7:$B$500&amp;", ")),--('Quà cảm ơn'!$AT$7:$AT$500="Block"))+SUMPRODUCT(--ISNUMBER(SEARCH(", "&amp;$B90&amp;", ",", "&amp;'Trang chủ'!$B$7:$B$500&amp;", ")),--('Trang chủ'!$AT$7:$AT$500="Block"))+SUMPRODUCT(--ISNUMBER(SEARCH(", "&amp;$B90&amp;", ",", "&amp;'Thông báo'!$B$7:$B$500&amp;", ")),--('Thông báo'!$AT$7:$AT$500="Block"))+SUMPRODUCT(--ISNUMBER(SEARCH(", "&amp;$B90&amp;", ",", "&amp;'Đăng tin &amp; Quản lý tin'!$B$7:$B$500&amp;", ")),--('Đăng tin &amp; Quản lý tin'!$AT$7:$AT$500="Block"))+SUMPRODUCT(--ISNUMBER(SEARCH(", "&amp;$B90&amp;", ",", "&amp;'Trust &amp; Safety'!$B$7:$B$500&amp;", ")),--('Trust &amp; Safety'!$AT$7:$AT$500="Block"))+SUMPRODUCT(--ISNUMBER(SEARCH(", "&amp;$B90&amp;", ",", "&amp;'Tài khoản &amp; Hồ sơ'!$B$7:$B$500&amp;", ")),--('Tài khoản &amp; Hồ sơ'!$AT$7:$AT$500="Block"))</f>
        <v/>
      </c>
      <c r="J90" s="53">
        <f>SUMPRODUCT(--ISNUMBER(SEARCH(", "&amp;$B90&amp;", ",", "&amp;'Hoạt động (Đơn của tôi)'!$B$7:$B$500&amp;", ")),--('Hoạt động (Đơn của tôi)'!$AT$7:$AT$500="N/A"))+SUMPRODUCT(--ISNUMBER(SEARCH(", "&amp;$B90&amp;", ",", "&amp;'Ghép nối'!$B$7:$B$500&amp;", ")),--('Ghép nối'!$AT$7:$AT$500="N/A"))+SUMPRODUCT(--ISNUMBER(SEARCH(", "&amp;$B90&amp;", ",", "&amp;'Huỷ đơn - Huỷ nhận đơn'!$B$7:$B$500&amp;", ")),--('Huỷ đơn - Huỷ nhận đơn'!$AT$7:$AT$500="N/A"))+SUMPRODUCT(--ISNUMBER(SEARCH(", "&amp;$B90&amp;", ",", "&amp;'Giao nhận &amp; Theo dõi đơn'!$B$7:$B$500&amp;", ")),--('Giao nhận &amp; Theo dõi đơn'!$AT$7:$AT$500="N/A"))+SUMPRODUCT(--ISNUMBER(SEARCH(", "&amp;$B90&amp;", ",", "&amp;'Bảng tin &amp; Chi tiết tin'!$B$7:$B$500&amp;", ")),--('Bảng tin &amp; Chi tiết tin'!$AT$7:$AT$500="N/A"))+SUMPRODUCT(--ISNUMBER(SEARCH(", "&amp;$B90&amp;", ",", "&amp;'Quà cảm ơn'!$B$7:$B$500&amp;", ")),--('Quà cảm ơn'!$AT$7:$AT$500="N/A"))+SUMPRODUCT(--ISNUMBER(SEARCH(", "&amp;$B90&amp;", ",", "&amp;'Trang chủ'!$B$7:$B$500&amp;", ")),--('Trang chủ'!$AT$7:$AT$500="N/A"))+SUMPRODUCT(--ISNUMBER(SEARCH(", "&amp;$B90&amp;", ",", "&amp;'Thông báo'!$B$7:$B$500&amp;", ")),--('Thông báo'!$AT$7:$AT$500="N/A"))+SUMPRODUCT(--ISNUMBER(SEARCH(", "&amp;$B90&amp;", ",", "&amp;'Đăng tin &amp; Quản lý tin'!$B$7:$B$500&amp;", ")),--('Đăng tin &amp; Quản lý tin'!$AT$7:$AT$500="N/A"))+SUMPRODUCT(--ISNUMBER(SEARCH(", "&amp;$B90&amp;", ",", "&amp;'Trust &amp; Safety'!$B$7:$B$500&amp;", ")),--('Trust &amp; Safety'!$AT$7:$AT$500="N/A"))+SUMPRODUCT(--ISNUMBER(SEARCH(", "&amp;$B90&amp;", ",", "&amp;'Tài khoản &amp; Hồ sơ'!$B$7:$B$500&amp;", ")),--('Tài khoản &amp; Hồ sơ'!$AT$7:$AT$500="N/A"))</f>
        <v/>
      </c>
      <c r="K90" s="54">
        <f>IFERROR(F90/E90,0)</f>
        <v/>
      </c>
      <c r="L90" s="113">
        <f>IF(E90=0,"Chưa có TC (gap)",IF(H90&gt;0,"Có lỗi (Fail)",IF(I90&gt;0,"Bị block",IF(F90&lt;E90,"Đang test",IF(G90=0,"Không áp dụng (N/A)","Đã test xong")))))</f>
        <v/>
      </c>
      <c r="AB90" t="inlineStr">
        <is>
          <t>REQ-NTF</t>
        </is>
      </c>
    </row>
    <row r="91" ht="15.75" customHeight="1" s="216">
      <c r="A91" s="1" t="n"/>
      <c r="B91" s="112" t="inlineStr">
        <is>
          <t>REQ-NTF-012</t>
        </is>
      </c>
      <c r="C91" s="261" t="inlineStr">
        <is>
          <t>NTF-10 | Giao cho người được uỷ quyền | Người nhận · Người gửi | "Hàng đã được giao cho {tên người nhận thay} (uỷ quyền bởi {người gửi/người nhận}) — có ảnh bằng chứng""
"NTF-11 | Gửi tại quầy lễ tân / bảo vệ | Người nhận · Người gửi | "Hàng đang được giữ tại {quầy lễ tân/bảo vệ} — người giữ: {tên} — vui lòng nhận trong hôm nay""
"NTF-12 | Người vận chuyển không liên lạc được người nhận | Người gửi | "Người vận chuyển không liên lạc được người nhận — cần bạn xác nhận uỷ quyền cho người khác nhận hàng""
"NTF-13 | Người vận chuyển chọn hẹn giao lại (RESCHEDULED) | Người nhận · Người gửi | "Người vận chuyển sẽ giao lại vào {ngày · giờ} tại {nơi hẹn}""
"NTF-14 | Người vận chuyển chọn trả hàng về người gửi (RETURNING) | Người gửi · Người nhận | "Hàng được cầm về — vui lòng nhận lại vào {ngày · giờ} tại {nơi hẹn}""
"NTF-15 | Người gửi xác nhận đã nhận lại hàng (RETURNED) | Người vận chuyển · Người nhận | "Đơn đã đóng — hàng đã được trả lại người gửi</t>
        </is>
      </c>
      <c r="D91" s="113" t="inlineStr">
        <is>
          <t>DOC-v1.1-01 §8.13.1 · page 48</t>
        </is>
      </c>
      <c r="E91" s="53">
        <f>SUMPRODUCT(--ISNUMBER(SEARCH(", "&amp;$B91&amp;", ",", "&amp;'Hoạt động (Đơn của tôi)'!$B$7:$B$500&amp;", ")))+SUMPRODUCT(--ISNUMBER(SEARCH(", "&amp;$B91&amp;", ",", "&amp;'Ghép nối'!$B$7:$B$500&amp;", ")))+SUMPRODUCT(--ISNUMBER(SEARCH(", "&amp;$B91&amp;", ",", "&amp;'Huỷ đơn - Huỷ nhận đơn'!$B$7:$B$500&amp;", ")))+SUMPRODUCT(--ISNUMBER(SEARCH(", "&amp;$B91&amp;", ",", "&amp;'Giao nhận &amp; Theo dõi đơn'!$B$7:$B$500&amp;", ")))+SUMPRODUCT(--ISNUMBER(SEARCH(", "&amp;$B91&amp;", ",", "&amp;'Bảng tin &amp; Chi tiết tin'!$B$7:$B$500&amp;", ")))+SUMPRODUCT(--ISNUMBER(SEARCH(", "&amp;$B91&amp;", ",", "&amp;'Quà cảm ơn'!$B$7:$B$500&amp;", ")))+SUMPRODUCT(--ISNUMBER(SEARCH(", "&amp;$B91&amp;", ",", "&amp;'Trang chủ'!$B$7:$B$500&amp;", ")))+SUMPRODUCT(--ISNUMBER(SEARCH(", "&amp;$B91&amp;", ",", "&amp;'Thông báo'!$B$7:$B$500&amp;", ")))+SUMPRODUCT(--ISNUMBER(SEARCH(", "&amp;$B91&amp;", ",", "&amp;'Đăng tin &amp; Quản lý tin'!$B$7:$B$500&amp;", ")))+SUMPRODUCT(--ISNUMBER(SEARCH(", "&amp;$B91&amp;", ",", "&amp;'Trust &amp; Safety'!$B$7:$B$500&amp;", ")))+SUMPRODUCT(--ISNUMBER(SEARCH(", "&amp;$B91&amp;", ",", "&amp;'Tài khoản &amp; Hồ sơ'!$B$7:$B$500&amp;", ")))</f>
        <v/>
      </c>
      <c r="F91" s="53">
        <f>SUMPRODUCT(--ISNUMBER(SEARCH(", "&amp;$B91&amp;", ",", "&amp;'Hoạt động (Đơn của tôi)'!$B$7:$B$500&amp;", ")),--('Hoạt động (Đơn của tôi)'!$AT$7:$AT$500&lt;&gt;""))+SUMPRODUCT(--ISNUMBER(SEARCH(", "&amp;$B91&amp;", ",", "&amp;'Ghép nối'!$B$7:$B$500&amp;", ")),--('Ghép nối'!$AT$7:$AT$500&lt;&gt;""))+SUMPRODUCT(--ISNUMBER(SEARCH(", "&amp;$B91&amp;", ",", "&amp;'Huỷ đơn - Huỷ nhận đơn'!$B$7:$B$500&amp;", ")),--('Huỷ đơn - Huỷ nhận đơn'!$AT$7:$AT$500&lt;&gt;""))+SUMPRODUCT(--ISNUMBER(SEARCH(", "&amp;$B91&amp;", ",", "&amp;'Giao nhận &amp; Theo dõi đơn'!$B$7:$B$500&amp;", ")),--('Giao nhận &amp; Theo dõi đơn'!$AT$7:$AT$500&lt;&gt;""))+SUMPRODUCT(--ISNUMBER(SEARCH(", "&amp;$B91&amp;", ",", "&amp;'Bảng tin &amp; Chi tiết tin'!$B$7:$B$500&amp;", ")),--('Bảng tin &amp; Chi tiết tin'!$AT$7:$AT$500&lt;&gt;""))+SUMPRODUCT(--ISNUMBER(SEARCH(", "&amp;$B91&amp;", ",", "&amp;'Quà cảm ơn'!$B$7:$B$500&amp;", ")),--('Quà cảm ơn'!$AT$7:$AT$500&lt;&gt;""))+SUMPRODUCT(--ISNUMBER(SEARCH(", "&amp;$B91&amp;", ",", "&amp;'Trang chủ'!$B$7:$B$500&amp;", ")),--('Trang chủ'!$AT$7:$AT$500&lt;&gt;""))+SUMPRODUCT(--ISNUMBER(SEARCH(", "&amp;$B91&amp;", ",", "&amp;'Thông báo'!$B$7:$B$500&amp;", ")),--('Thông báo'!$AT$7:$AT$500&lt;&gt;""))+SUMPRODUCT(--ISNUMBER(SEARCH(", "&amp;$B91&amp;", ",", "&amp;'Đăng tin &amp; Quản lý tin'!$B$7:$B$500&amp;", ")),--('Đăng tin &amp; Quản lý tin'!$AT$7:$AT$500&lt;&gt;""))+SUMPRODUCT(--ISNUMBER(SEARCH(", "&amp;$B91&amp;", ",", "&amp;'Trust &amp; Safety'!$B$7:$B$500&amp;", ")),--('Trust &amp; Safety'!$AT$7:$AT$500&lt;&gt;""))+SUMPRODUCT(--ISNUMBER(SEARCH(", "&amp;$B91&amp;", ",", "&amp;'Tài khoản &amp; Hồ sơ'!$B$7:$B$500&amp;", ")),--('Tài khoản &amp; Hồ sơ'!$AT$7:$AT$500&lt;&gt;""))</f>
        <v/>
      </c>
      <c r="G91" s="53">
        <f>SUMPRODUCT(--ISNUMBER(SEARCH(", "&amp;$B91&amp;", ",", "&amp;'Hoạt động (Đơn của tôi)'!$B$7:$B$500&amp;", ")),--('Hoạt động (Đơn của tôi)'!$AT$7:$AT$500="Pass"))+SUMPRODUCT(--ISNUMBER(SEARCH(", "&amp;$B91&amp;", ",", "&amp;'Ghép nối'!$B$7:$B$500&amp;", ")),--('Ghép nối'!$AT$7:$AT$500="Pass"))+SUMPRODUCT(--ISNUMBER(SEARCH(", "&amp;$B91&amp;", ",", "&amp;'Huỷ đơn - Huỷ nhận đơn'!$B$7:$B$500&amp;", ")),--('Huỷ đơn - Huỷ nhận đơn'!$AT$7:$AT$500="Pass"))+SUMPRODUCT(--ISNUMBER(SEARCH(", "&amp;$B91&amp;", ",", "&amp;'Giao nhận &amp; Theo dõi đơn'!$B$7:$B$500&amp;", ")),--('Giao nhận &amp; Theo dõi đơn'!$AT$7:$AT$500="Pass"))+SUMPRODUCT(--ISNUMBER(SEARCH(", "&amp;$B91&amp;", ",", "&amp;'Bảng tin &amp; Chi tiết tin'!$B$7:$B$500&amp;", ")),--('Bảng tin &amp; Chi tiết tin'!$AT$7:$AT$500="Pass"))+SUMPRODUCT(--ISNUMBER(SEARCH(", "&amp;$B91&amp;", ",", "&amp;'Quà cảm ơn'!$B$7:$B$500&amp;", ")),--('Quà cảm ơn'!$AT$7:$AT$500="Pass"))+SUMPRODUCT(--ISNUMBER(SEARCH(", "&amp;$B91&amp;", ",", "&amp;'Trang chủ'!$B$7:$B$500&amp;", ")),--('Trang chủ'!$AT$7:$AT$500="Pass"))+SUMPRODUCT(--ISNUMBER(SEARCH(", "&amp;$B91&amp;", ",", "&amp;'Thông báo'!$B$7:$B$500&amp;", ")),--('Thông báo'!$AT$7:$AT$500="Pass"))+SUMPRODUCT(--ISNUMBER(SEARCH(", "&amp;$B91&amp;", ",", "&amp;'Đăng tin &amp; Quản lý tin'!$B$7:$B$500&amp;", ")),--('Đăng tin &amp; Quản lý tin'!$AT$7:$AT$500="Pass"))+SUMPRODUCT(--ISNUMBER(SEARCH(", "&amp;$B91&amp;", ",", "&amp;'Trust &amp; Safety'!$B$7:$B$500&amp;", ")),--('Trust &amp; Safety'!$AT$7:$AT$500="Pass"))+SUMPRODUCT(--ISNUMBER(SEARCH(", "&amp;$B91&amp;", ",", "&amp;'Tài khoản &amp; Hồ sơ'!$B$7:$B$500&amp;", ")),--('Tài khoản &amp; Hồ sơ'!$AT$7:$AT$500="Pass"))</f>
        <v/>
      </c>
      <c r="H91" s="53">
        <f>SUMPRODUCT(--ISNUMBER(SEARCH(", "&amp;$B91&amp;", ",", "&amp;'Hoạt động (Đơn của tôi)'!$B$7:$B$500&amp;", ")),--('Hoạt động (Đơn của tôi)'!$AT$7:$AT$500="Fail"))+SUMPRODUCT(--ISNUMBER(SEARCH(", "&amp;$B91&amp;", ",", "&amp;'Ghép nối'!$B$7:$B$500&amp;", ")),--('Ghép nối'!$AT$7:$AT$500="Fail"))+SUMPRODUCT(--ISNUMBER(SEARCH(", "&amp;$B91&amp;", ",", "&amp;'Huỷ đơn - Huỷ nhận đơn'!$B$7:$B$500&amp;", ")),--('Huỷ đơn - Huỷ nhận đơn'!$AT$7:$AT$500="Fail"))+SUMPRODUCT(--ISNUMBER(SEARCH(", "&amp;$B91&amp;", ",", "&amp;'Giao nhận &amp; Theo dõi đơn'!$B$7:$B$500&amp;", ")),--('Giao nhận &amp; Theo dõi đơn'!$AT$7:$AT$500="Fail"))+SUMPRODUCT(--ISNUMBER(SEARCH(", "&amp;$B91&amp;", ",", "&amp;'Bảng tin &amp; Chi tiết tin'!$B$7:$B$500&amp;", ")),--('Bảng tin &amp; Chi tiết tin'!$AT$7:$AT$500="Fail"))+SUMPRODUCT(--ISNUMBER(SEARCH(", "&amp;$B91&amp;", ",", "&amp;'Quà cảm ơn'!$B$7:$B$500&amp;", ")),--('Quà cảm ơn'!$AT$7:$AT$500="Fail"))+SUMPRODUCT(--ISNUMBER(SEARCH(", "&amp;$B91&amp;", ",", "&amp;'Trang chủ'!$B$7:$B$500&amp;", ")),--('Trang chủ'!$AT$7:$AT$500="Fail"))+SUMPRODUCT(--ISNUMBER(SEARCH(", "&amp;$B91&amp;", ",", "&amp;'Thông báo'!$B$7:$B$500&amp;", ")),--('Thông báo'!$AT$7:$AT$500="Fail"))+SUMPRODUCT(--ISNUMBER(SEARCH(", "&amp;$B91&amp;", ",", "&amp;'Đăng tin &amp; Quản lý tin'!$B$7:$B$500&amp;", ")),--('Đăng tin &amp; Quản lý tin'!$AT$7:$AT$500="Fail"))+SUMPRODUCT(--ISNUMBER(SEARCH(", "&amp;$B91&amp;", ",", "&amp;'Trust &amp; Safety'!$B$7:$B$500&amp;", ")),--('Trust &amp; Safety'!$AT$7:$AT$500="Fail"))+SUMPRODUCT(--ISNUMBER(SEARCH(", "&amp;$B91&amp;", ",", "&amp;'Tài khoản &amp; Hồ sơ'!$B$7:$B$500&amp;", ")),--('Tài khoản &amp; Hồ sơ'!$AT$7:$AT$500="Fail"))</f>
        <v/>
      </c>
      <c r="I91" s="53">
        <f>SUMPRODUCT(--ISNUMBER(SEARCH(", "&amp;$B91&amp;", ",", "&amp;'Hoạt động (Đơn của tôi)'!$B$7:$B$500&amp;", ")),--('Hoạt động (Đơn của tôi)'!$AT$7:$AT$500="Block"))+SUMPRODUCT(--ISNUMBER(SEARCH(", "&amp;$B91&amp;", ",", "&amp;'Ghép nối'!$B$7:$B$500&amp;", ")),--('Ghép nối'!$AT$7:$AT$500="Block"))+SUMPRODUCT(--ISNUMBER(SEARCH(", "&amp;$B91&amp;", ",", "&amp;'Huỷ đơn - Huỷ nhận đơn'!$B$7:$B$500&amp;", ")),--('Huỷ đơn - Huỷ nhận đơn'!$AT$7:$AT$500="Block"))+SUMPRODUCT(--ISNUMBER(SEARCH(", "&amp;$B91&amp;", ",", "&amp;'Giao nhận &amp; Theo dõi đơn'!$B$7:$B$500&amp;", ")),--('Giao nhận &amp; Theo dõi đơn'!$AT$7:$AT$500="Block"))+SUMPRODUCT(--ISNUMBER(SEARCH(", "&amp;$B91&amp;", ",", "&amp;'Bảng tin &amp; Chi tiết tin'!$B$7:$B$500&amp;", ")),--('Bảng tin &amp; Chi tiết tin'!$AT$7:$AT$500="Block"))+SUMPRODUCT(--ISNUMBER(SEARCH(", "&amp;$B91&amp;", ",", "&amp;'Quà cảm ơn'!$B$7:$B$500&amp;", ")),--('Quà cảm ơn'!$AT$7:$AT$500="Block"))+SUMPRODUCT(--ISNUMBER(SEARCH(", "&amp;$B91&amp;", ",", "&amp;'Trang chủ'!$B$7:$B$500&amp;", ")),--('Trang chủ'!$AT$7:$AT$500="Block"))+SUMPRODUCT(--ISNUMBER(SEARCH(", "&amp;$B91&amp;", ",", "&amp;'Thông báo'!$B$7:$B$500&amp;", ")),--('Thông báo'!$AT$7:$AT$500="Block"))+SUMPRODUCT(--ISNUMBER(SEARCH(", "&amp;$B91&amp;", ",", "&amp;'Đăng tin &amp; Quản lý tin'!$B$7:$B$500&amp;", ")),--('Đăng tin &amp; Quản lý tin'!$AT$7:$AT$500="Block"))+SUMPRODUCT(--ISNUMBER(SEARCH(", "&amp;$B91&amp;", ",", "&amp;'Trust &amp; Safety'!$B$7:$B$500&amp;", ")),--('Trust &amp; Safety'!$AT$7:$AT$500="Block"))+SUMPRODUCT(--ISNUMBER(SEARCH(", "&amp;$B91&amp;", ",", "&amp;'Tài khoản &amp; Hồ sơ'!$B$7:$B$500&amp;", ")),--('Tài khoản &amp; Hồ sơ'!$AT$7:$AT$500="Block"))</f>
        <v/>
      </c>
      <c r="J91" s="53">
        <f>SUMPRODUCT(--ISNUMBER(SEARCH(", "&amp;$B91&amp;", ",", "&amp;'Hoạt động (Đơn của tôi)'!$B$7:$B$500&amp;", ")),--('Hoạt động (Đơn của tôi)'!$AT$7:$AT$500="N/A"))+SUMPRODUCT(--ISNUMBER(SEARCH(", "&amp;$B91&amp;", ",", "&amp;'Ghép nối'!$B$7:$B$500&amp;", ")),--('Ghép nối'!$AT$7:$AT$500="N/A"))+SUMPRODUCT(--ISNUMBER(SEARCH(", "&amp;$B91&amp;", ",", "&amp;'Huỷ đơn - Huỷ nhận đơn'!$B$7:$B$500&amp;", ")),--('Huỷ đơn - Huỷ nhận đơn'!$AT$7:$AT$500="N/A"))+SUMPRODUCT(--ISNUMBER(SEARCH(", "&amp;$B91&amp;", ",", "&amp;'Giao nhận &amp; Theo dõi đơn'!$B$7:$B$500&amp;", ")),--('Giao nhận &amp; Theo dõi đơn'!$AT$7:$AT$500="N/A"))+SUMPRODUCT(--ISNUMBER(SEARCH(", "&amp;$B91&amp;", ",", "&amp;'Bảng tin &amp; Chi tiết tin'!$B$7:$B$500&amp;", ")),--('Bảng tin &amp; Chi tiết tin'!$AT$7:$AT$500="N/A"))+SUMPRODUCT(--ISNUMBER(SEARCH(", "&amp;$B91&amp;", ",", "&amp;'Quà cảm ơn'!$B$7:$B$500&amp;", ")),--('Quà cảm ơn'!$AT$7:$AT$500="N/A"))+SUMPRODUCT(--ISNUMBER(SEARCH(", "&amp;$B91&amp;", ",", "&amp;'Trang chủ'!$B$7:$B$500&amp;", ")),--('Trang chủ'!$AT$7:$AT$500="N/A"))+SUMPRODUCT(--ISNUMBER(SEARCH(", "&amp;$B91&amp;", ",", "&amp;'Thông báo'!$B$7:$B$500&amp;", ")),--('Thông báo'!$AT$7:$AT$500="N/A"))+SUMPRODUCT(--ISNUMBER(SEARCH(", "&amp;$B91&amp;", ",", "&amp;'Đăng tin &amp; Quản lý tin'!$B$7:$B$500&amp;", ")),--('Đăng tin &amp; Quản lý tin'!$AT$7:$AT$500="N/A"))+SUMPRODUCT(--ISNUMBER(SEARCH(", "&amp;$B91&amp;", ",", "&amp;'Trust &amp; Safety'!$B$7:$B$500&amp;", ")),--('Trust &amp; Safety'!$AT$7:$AT$500="N/A"))+SUMPRODUCT(--ISNUMBER(SEARCH(", "&amp;$B91&amp;", ",", "&amp;'Tài khoản &amp; Hồ sơ'!$B$7:$B$500&amp;", ")),--('Tài khoản &amp; Hồ sơ'!$AT$7:$AT$500="N/A"))</f>
        <v/>
      </c>
      <c r="K91" s="54">
        <f>IFERROR(F91/E91,0)</f>
        <v/>
      </c>
      <c r="L91" s="113">
        <f>IF(E91=0,"Chưa có TC (gap)",IF(H91&gt;0,"Có lỗi (Fail)",IF(I91&gt;0,"Bị block",IF(F91&lt;E91,"Đang test",IF(G91=0,"Không áp dụng (N/A)","Đã test xong")))))</f>
        <v/>
      </c>
      <c r="AB91" t="inlineStr">
        <is>
          <t>REQ-NTF</t>
        </is>
      </c>
    </row>
    <row r="92" ht="15.75" customHeight="1" s="216">
      <c r="A92" s="1" t="n"/>
      <c r="B92" s="112" t="inlineStr">
        <is>
          <t>REQ-NTF-001</t>
        </is>
      </c>
      <c r="C92" s="261" t="inlineStr"/>
      <c r="D92" s="113" t="inlineStr">
        <is>
          <t>DOC-v1.0-01</t>
        </is>
      </c>
      <c r="E92" s="53">
        <f>SUMPRODUCT(--ISNUMBER(SEARCH(", "&amp;$B92&amp;", ",", "&amp;'Hoạt động (Đơn của tôi)'!$B$7:$B$500&amp;", ")))+SUMPRODUCT(--ISNUMBER(SEARCH(", "&amp;$B92&amp;", ",", "&amp;'Ghép nối'!$B$7:$B$500&amp;", ")))+SUMPRODUCT(--ISNUMBER(SEARCH(", "&amp;$B92&amp;", ",", "&amp;'Huỷ đơn - Huỷ nhận đơn'!$B$7:$B$500&amp;", ")))+SUMPRODUCT(--ISNUMBER(SEARCH(", "&amp;$B92&amp;", ",", "&amp;'Giao nhận &amp; Theo dõi đơn'!$B$7:$B$500&amp;", ")))+SUMPRODUCT(--ISNUMBER(SEARCH(", "&amp;$B92&amp;", ",", "&amp;'Bảng tin &amp; Chi tiết tin'!$B$7:$B$500&amp;", ")))+SUMPRODUCT(--ISNUMBER(SEARCH(", "&amp;$B92&amp;", ",", "&amp;'Quà cảm ơn'!$B$7:$B$500&amp;", ")))+SUMPRODUCT(--ISNUMBER(SEARCH(", "&amp;$B92&amp;", ",", "&amp;'Trang chủ'!$B$7:$B$500&amp;", ")))+SUMPRODUCT(--ISNUMBER(SEARCH(", "&amp;$B92&amp;", ",", "&amp;'Thông báo'!$B$7:$B$500&amp;", ")))+SUMPRODUCT(--ISNUMBER(SEARCH(", "&amp;$B92&amp;", ",", "&amp;'Đăng tin &amp; Quản lý tin'!$B$7:$B$500&amp;", ")))+SUMPRODUCT(--ISNUMBER(SEARCH(", "&amp;$B92&amp;", ",", "&amp;'Trust &amp; Safety'!$B$7:$B$500&amp;", ")))+SUMPRODUCT(--ISNUMBER(SEARCH(", "&amp;$B92&amp;", ",", "&amp;'Tài khoản &amp; Hồ sơ'!$B$7:$B$500&amp;", ")))</f>
        <v/>
      </c>
      <c r="F92" s="53">
        <f>SUMPRODUCT(--ISNUMBER(SEARCH(", "&amp;$B92&amp;", ",", "&amp;'Hoạt động (Đơn của tôi)'!$B$7:$B$500&amp;", ")),--('Hoạt động (Đơn của tôi)'!$AT$7:$AT$500&lt;&gt;""))+SUMPRODUCT(--ISNUMBER(SEARCH(", "&amp;$B92&amp;", ",", "&amp;'Ghép nối'!$B$7:$B$500&amp;", ")),--('Ghép nối'!$AT$7:$AT$500&lt;&gt;""))+SUMPRODUCT(--ISNUMBER(SEARCH(", "&amp;$B92&amp;", ",", "&amp;'Huỷ đơn - Huỷ nhận đơn'!$B$7:$B$500&amp;", ")),--('Huỷ đơn - Huỷ nhận đơn'!$AT$7:$AT$500&lt;&gt;""))+SUMPRODUCT(--ISNUMBER(SEARCH(", "&amp;$B92&amp;", ",", "&amp;'Giao nhận &amp; Theo dõi đơn'!$B$7:$B$500&amp;", ")),--('Giao nhận &amp; Theo dõi đơn'!$AT$7:$AT$500&lt;&gt;""))+SUMPRODUCT(--ISNUMBER(SEARCH(", "&amp;$B92&amp;", ",", "&amp;'Bảng tin &amp; Chi tiết tin'!$B$7:$B$500&amp;", ")),--('Bảng tin &amp; Chi tiết tin'!$AT$7:$AT$500&lt;&gt;""))+SUMPRODUCT(--ISNUMBER(SEARCH(", "&amp;$B92&amp;", ",", "&amp;'Quà cảm ơn'!$B$7:$B$500&amp;", ")),--('Quà cảm ơn'!$AT$7:$AT$500&lt;&gt;""))+SUMPRODUCT(--ISNUMBER(SEARCH(", "&amp;$B92&amp;", ",", "&amp;'Trang chủ'!$B$7:$B$500&amp;", ")),--('Trang chủ'!$AT$7:$AT$500&lt;&gt;""))+SUMPRODUCT(--ISNUMBER(SEARCH(", "&amp;$B92&amp;", ",", "&amp;'Thông báo'!$B$7:$B$500&amp;", ")),--('Thông báo'!$AT$7:$AT$500&lt;&gt;""))+SUMPRODUCT(--ISNUMBER(SEARCH(", "&amp;$B92&amp;", ",", "&amp;'Đăng tin &amp; Quản lý tin'!$B$7:$B$500&amp;", ")),--('Đăng tin &amp; Quản lý tin'!$AT$7:$AT$500&lt;&gt;""))+SUMPRODUCT(--ISNUMBER(SEARCH(", "&amp;$B92&amp;", ",", "&amp;'Trust &amp; Safety'!$B$7:$B$500&amp;", ")),--('Trust &amp; Safety'!$AT$7:$AT$500&lt;&gt;""))+SUMPRODUCT(--ISNUMBER(SEARCH(", "&amp;$B92&amp;", ",", "&amp;'Tài khoản &amp; Hồ sơ'!$B$7:$B$500&amp;", ")),--('Tài khoản &amp; Hồ sơ'!$AT$7:$AT$500&lt;&gt;""))</f>
        <v/>
      </c>
      <c r="G92" s="53">
        <f>SUMPRODUCT(--ISNUMBER(SEARCH(", "&amp;$B92&amp;", ",", "&amp;'Hoạt động (Đơn của tôi)'!$B$7:$B$500&amp;", ")),--('Hoạt động (Đơn của tôi)'!$AT$7:$AT$500="Pass"))+SUMPRODUCT(--ISNUMBER(SEARCH(", "&amp;$B92&amp;", ",", "&amp;'Ghép nối'!$B$7:$B$500&amp;", ")),--('Ghép nối'!$AT$7:$AT$500="Pass"))+SUMPRODUCT(--ISNUMBER(SEARCH(", "&amp;$B92&amp;", ",", "&amp;'Huỷ đơn - Huỷ nhận đơn'!$B$7:$B$500&amp;", ")),--('Huỷ đơn - Huỷ nhận đơn'!$AT$7:$AT$500="Pass"))+SUMPRODUCT(--ISNUMBER(SEARCH(", "&amp;$B92&amp;", ",", "&amp;'Giao nhận &amp; Theo dõi đơn'!$B$7:$B$500&amp;", ")),--('Giao nhận &amp; Theo dõi đơn'!$AT$7:$AT$500="Pass"))+SUMPRODUCT(--ISNUMBER(SEARCH(", "&amp;$B92&amp;", ",", "&amp;'Bảng tin &amp; Chi tiết tin'!$B$7:$B$500&amp;", ")),--('Bảng tin &amp; Chi tiết tin'!$AT$7:$AT$500="Pass"))+SUMPRODUCT(--ISNUMBER(SEARCH(", "&amp;$B92&amp;", ",", "&amp;'Quà cảm ơn'!$B$7:$B$500&amp;", ")),--('Quà cảm ơn'!$AT$7:$AT$500="Pass"))+SUMPRODUCT(--ISNUMBER(SEARCH(", "&amp;$B92&amp;", ",", "&amp;'Trang chủ'!$B$7:$B$500&amp;", ")),--('Trang chủ'!$AT$7:$AT$500="Pass"))+SUMPRODUCT(--ISNUMBER(SEARCH(", "&amp;$B92&amp;", ",", "&amp;'Thông báo'!$B$7:$B$500&amp;", ")),--('Thông báo'!$AT$7:$AT$500="Pass"))+SUMPRODUCT(--ISNUMBER(SEARCH(", "&amp;$B92&amp;", ",", "&amp;'Đăng tin &amp; Quản lý tin'!$B$7:$B$500&amp;", ")),--('Đăng tin &amp; Quản lý tin'!$AT$7:$AT$500="Pass"))+SUMPRODUCT(--ISNUMBER(SEARCH(", "&amp;$B92&amp;", ",", "&amp;'Trust &amp; Safety'!$B$7:$B$500&amp;", ")),--('Trust &amp; Safety'!$AT$7:$AT$500="Pass"))+SUMPRODUCT(--ISNUMBER(SEARCH(", "&amp;$B92&amp;", ",", "&amp;'Tài khoản &amp; Hồ sơ'!$B$7:$B$500&amp;", ")),--('Tài khoản &amp; Hồ sơ'!$AT$7:$AT$500="Pass"))</f>
        <v/>
      </c>
      <c r="H92" s="53">
        <f>SUMPRODUCT(--ISNUMBER(SEARCH(", "&amp;$B92&amp;", ",", "&amp;'Hoạt động (Đơn của tôi)'!$B$7:$B$500&amp;", ")),--('Hoạt động (Đơn của tôi)'!$AT$7:$AT$500="Fail"))+SUMPRODUCT(--ISNUMBER(SEARCH(", "&amp;$B92&amp;", ",", "&amp;'Ghép nối'!$B$7:$B$500&amp;", ")),--('Ghép nối'!$AT$7:$AT$500="Fail"))+SUMPRODUCT(--ISNUMBER(SEARCH(", "&amp;$B92&amp;", ",", "&amp;'Huỷ đơn - Huỷ nhận đơn'!$B$7:$B$500&amp;", ")),--('Huỷ đơn - Huỷ nhận đơn'!$AT$7:$AT$500="Fail"))+SUMPRODUCT(--ISNUMBER(SEARCH(", "&amp;$B92&amp;", ",", "&amp;'Giao nhận &amp; Theo dõi đơn'!$B$7:$B$500&amp;", ")),--('Giao nhận &amp; Theo dõi đơn'!$AT$7:$AT$500="Fail"))+SUMPRODUCT(--ISNUMBER(SEARCH(", "&amp;$B92&amp;", ",", "&amp;'Bảng tin &amp; Chi tiết tin'!$B$7:$B$500&amp;", ")),--('Bảng tin &amp; Chi tiết tin'!$AT$7:$AT$500="Fail"))+SUMPRODUCT(--ISNUMBER(SEARCH(", "&amp;$B92&amp;", ",", "&amp;'Quà cảm ơn'!$B$7:$B$500&amp;", ")),--('Quà cảm ơn'!$AT$7:$AT$500="Fail"))+SUMPRODUCT(--ISNUMBER(SEARCH(", "&amp;$B92&amp;", ",", "&amp;'Trang chủ'!$B$7:$B$500&amp;", ")),--('Trang chủ'!$AT$7:$AT$500="Fail"))+SUMPRODUCT(--ISNUMBER(SEARCH(", "&amp;$B92&amp;", ",", "&amp;'Thông báo'!$B$7:$B$500&amp;", ")),--('Thông báo'!$AT$7:$AT$500="Fail"))+SUMPRODUCT(--ISNUMBER(SEARCH(", "&amp;$B92&amp;", ",", "&amp;'Đăng tin &amp; Quản lý tin'!$B$7:$B$500&amp;", ")),--('Đăng tin &amp; Quản lý tin'!$AT$7:$AT$500="Fail"))+SUMPRODUCT(--ISNUMBER(SEARCH(", "&amp;$B92&amp;", ",", "&amp;'Trust &amp; Safety'!$B$7:$B$500&amp;", ")),--('Trust &amp; Safety'!$AT$7:$AT$500="Fail"))+SUMPRODUCT(--ISNUMBER(SEARCH(", "&amp;$B92&amp;", ",", "&amp;'Tài khoản &amp; Hồ sơ'!$B$7:$B$500&amp;", ")),--('Tài khoản &amp; Hồ sơ'!$AT$7:$AT$500="Fail"))</f>
        <v/>
      </c>
      <c r="I92" s="53">
        <f>SUMPRODUCT(--ISNUMBER(SEARCH(", "&amp;$B92&amp;", ",", "&amp;'Hoạt động (Đơn của tôi)'!$B$7:$B$500&amp;", ")),--('Hoạt động (Đơn của tôi)'!$AT$7:$AT$500="Block"))+SUMPRODUCT(--ISNUMBER(SEARCH(", "&amp;$B92&amp;", ",", "&amp;'Ghép nối'!$B$7:$B$500&amp;", ")),--('Ghép nối'!$AT$7:$AT$500="Block"))+SUMPRODUCT(--ISNUMBER(SEARCH(", "&amp;$B92&amp;", ",", "&amp;'Huỷ đơn - Huỷ nhận đơn'!$B$7:$B$500&amp;", ")),--('Huỷ đơn - Huỷ nhận đơn'!$AT$7:$AT$500="Block"))+SUMPRODUCT(--ISNUMBER(SEARCH(", "&amp;$B92&amp;", ",", "&amp;'Giao nhận &amp; Theo dõi đơn'!$B$7:$B$500&amp;", ")),--('Giao nhận &amp; Theo dõi đơn'!$AT$7:$AT$500="Block"))+SUMPRODUCT(--ISNUMBER(SEARCH(", "&amp;$B92&amp;", ",", "&amp;'Bảng tin &amp; Chi tiết tin'!$B$7:$B$500&amp;", ")),--('Bảng tin &amp; Chi tiết tin'!$AT$7:$AT$500="Block"))+SUMPRODUCT(--ISNUMBER(SEARCH(", "&amp;$B92&amp;", ",", "&amp;'Quà cảm ơn'!$B$7:$B$500&amp;", ")),--('Quà cảm ơn'!$AT$7:$AT$500="Block"))+SUMPRODUCT(--ISNUMBER(SEARCH(", "&amp;$B92&amp;", ",", "&amp;'Trang chủ'!$B$7:$B$500&amp;", ")),--('Trang chủ'!$AT$7:$AT$500="Block"))+SUMPRODUCT(--ISNUMBER(SEARCH(", "&amp;$B92&amp;", ",", "&amp;'Thông báo'!$B$7:$B$500&amp;", ")),--('Thông báo'!$AT$7:$AT$500="Block"))+SUMPRODUCT(--ISNUMBER(SEARCH(", "&amp;$B92&amp;", ",", "&amp;'Đăng tin &amp; Quản lý tin'!$B$7:$B$500&amp;", ")),--('Đăng tin &amp; Quản lý tin'!$AT$7:$AT$500="Block"))+SUMPRODUCT(--ISNUMBER(SEARCH(", "&amp;$B92&amp;", ",", "&amp;'Trust &amp; Safety'!$B$7:$B$500&amp;", ")),--('Trust &amp; Safety'!$AT$7:$AT$500="Block"))+SUMPRODUCT(--ISNUMBER(SEARCH(", "&amp;$B92&amp;", ",", "&amp;'Tài khoản &amp; Hồ sơ'!$B$7:$B$500&amp;", ")),--('Tài khoản &amp; Hồ sơ'!$AT$7:$AT$500="Block"))</f>
        <v/>
      </c>
      <c r="J92" s="53">
        <f>SUMPRODUCT(--ISNUMBER(SEARCH(", "&amp;$B92&amp;", ",", "&amp;'Hoạt động (Đơn của tôi)'!$B$7:$B$500&amp;", ")),--('Hoạt động (Đơn của tôi)'!$AT$7:$AT$500="N/A"))+SUMPRODUCT(--ISNUMBER(SEARCH(", "&amp;$B92&amp;", ",", "&amp;'Ghép nối'!$B$7:$B$500&amp;", ")),--('Ghép nối'!$AT$7:$AT$500="N/A"))+SUMPRODUCT(--ISNUMBER(SEARCH(", "&amp;$B92&amp;", ",", "&amp;'Huỷ đơn - Huỷ nhận đơn'!$B$7:$B$500&amp;", ")),--('Huỷ đơn - Huỷ nhận đơn'!$AT$7:$AT$500="N/A"))+SUMPRODUCT(--ISNUMBER(SEARCH(", "&amp;$B92&amp;", ",", "&amp;'Giao nhận &amp; Theo dõi đơn'!$B$7:$B$500&amp;", ")),--('Giao nhận &amp; Theo dõi đơn'!$AT$7:$AT$500="N/A"))+SUMPRODUCT(--ISNUMBER(SEARCH(", "&amp;$B92&amp;", ",", "&amp;'Bảng tin &amp; Chi tiết tin'!$B$7:$B$500&amp;", ")),--('Bảng tin &amp; Chi tiết tin'!$AT$7:$AT$500="N/A"))+SUMPRODUCT(--ISNUMBER(SEARCH(", "&amp;$B92&amp;", ",", "&amp;'Quà cảm ơn'!$B$7:$B$500&amp;", ")),--('Quà cảm ơn'!$AT$7:$AT$500="N/A"))+SUMPRODUCT(--ISNUMBER(SEARCH(", "&amp;$B92&amp;", ",", "&amp;'Trang chủ'!$B$7:$B$500&amp;", ")),--('Trang chủ'!$AT$7:$AT$500="N/A"))+SUMPRODUCT(--ISNUMBER(SEARCH(", "&amp;$B92&amp;", ",", "&amp;'Thông báo'!$B$7:$B$500&amp;", ")),--('Thông báo'!$AT$7:$AT$500="N/A"))+SUMPRODUCT(--ISNUMBER(SEARCH(", "&amp;$B92&amp;", ",", "&amp;'Đăng tin &amp; Quản lý tin'!$B$7:$B$500&amp;", ")),--('Đăng tin &amp; Quản lý tin'!$AT$7:$AT$500="N/A"))+SUMPRODUCT(--ISNUMBER(SEARCH(", "&amp;$B92&amp;", ",", "&amp;'Trust &amp; Safety'!$B$7:$B$500&amp;", ")),--('Trust &amp; Safety'!$AT$7:$AT$500="N/A"))+SUMPRODUCT(--ISNUMBER(SEARCH(", "&amp;$B92&amp;", ",", "&amp;'Tài khoản &amp; Hồ sơ'!$B$7:$B$500&amp;", ")),--('Tài khoản &amp; Hồ sơ'!$AT$7:$AT$500="N/A"))</f>
        <v/>
      </c>
      <c r="K92" s="54">
        <f>IFERROR(F92/E92,0)</f>
        <v/>
      </c>
      <c r="L92" s="113">
        <f>IF(E92=0,"Chưa có TC (gap)",IF(H92&gt;0,"Có lỗi (Fail)",IF(I92&gt;0,"Bị block",IF(F92&lt;E92,"Đang test",IF(G92=0,"Không áp dụng (N/A)","Đã test xong")))))</f>
        <v/>
      </c>
      <c r="AB92" t="inlineStr">
        <is>
          <t>REQ-NTF</t>
        </is>
      </c>
    </row>
    <row r="93" ht="15.75" customHeight="1" s="216">
      <c r="A93" s="1" t="n"/>
      <c r="B93" s="112" t="inlineStr">
        <is>
          <t>REQ-NTF-002</t>
        </is>
      </c>
      <c r="C93" s="261" t="inlineStr"/>
      <c r="D93" s="113" t="inlineStr">
        <is>
          <t>DOC-v1.0-01</t>
        </is>
      </c>
      <c r="E93" s="53">
        <f>SUMPRODUCT(--ISNUMBER(SEARCH(", "&amp;$B93&amp;", ",", "&amp;'Hoạt động (Đơn của tôi)'!$B$7:$B$500&amp;", ")))+SUMPRODUCT(--ISNUMBER(SEARCH(", "&amp;$B93&amp;", ",", "&amp;'Ghép nối'!$B$7:$B$500&amp;", ")))+SUMPRODUCT(--ISNUMBER(SEARCH(", "&amp;$B93&amp;", ",", "&amp;'Huỷ đơn - Huỷ nhận đơn'!$B$7:$B$500&amp;", ")))+SUMPRODUCT(--ISNUMBER(SEARCH(", "&amp;$B93&amp;", ",", "&amp;'Giao nhận &amp; Theo dõi đơn'!$B$7:$B$500&amp;", ")))+SUMPRODUCT(--ISNUMBER(SEARCH(", "&amp;$B93&amp;", ",", "&amp;'Bảng tin &amp; Chi tiết tin'!$B$7:$B$500&amp;", ")))+SUMPRODUCT(--ISNUMBER(SEARCH(", "&amp;$B93&amp;", ",", "&amp;'Quà cảm ơn'!$B$7:$B$500&amp;", ")))+SUMPRODUCT(--ISNUMBER(SEARCH(", "&amp;$B93&amp;", ",", "&amp;'Trang chủ'!$B$7:$B$500&amp;", ")))+SUMPRODUCT(--ISNUMBER(SEARCH(", "&amp;$B93&amp;", ",", "&amp;'Thông báo'!$B$7:$B$500&amp;", ")))+SUMPRODUCT(--ISNUMBER(SEARCH(", "&amp;$B93&amp;", ",", "&amp;'Đăng tin &amp; Quản lý tin'!$B$7:$B$500&amp;", ")))+SUMPRODUCT(--ISNUMBER(SEARCH(", "&amp;$B93&amp;", ",", "&amp;'Trust &amp; Safety'!$B$7:$B$500&amp;", ")))+SUMPRODUCT(--ISNUMBER(SEARCH(", "&amp;$B93&amp;", ",", "&amp;'Tài khoản &amp; Hồ sơ'!$B$7:$B$500&amp;", ")))</f>
        <v/>
      </c>
      <c r="F93" s="53">
        <f>SUMPRODUCT(--ISNUMBER(SEARCH(", "&amp;$B93&amp;", ",", "&amp;'Hoạt động (Đơn của tôi)'!$B$7:$B$500&amp;", ")),--('Hoạt động (Đơn của tôi)'!$AT$7:$AT$500&lt;&gt;""))+SUMPRODUCT(--ISNUMBER(SEARCH(", "&amp;$B93&amp;", ",", "&amp;'Ghép nối'!$B$7:$B$500&amp;", ")),--('Ghép nối'!$AT$7:$AT$500&lt;&gt;""))+SUMPRODUCT(--ISNUMBER(SEARCH(", "&amp;$B93&amp;", ",", "&amp;'Huỷ đơn - Huỷ nhận đơn'!$B$7:$B$500&amp;", ")),--('Huỷ đơn - Huỷ nhận đơn'!$AT$7:$AT$500&lt;&gt;""))+SUMPRODUCT(--ISNUMBER(SEARCH(", "&amp;$B93&amp;", ",", "&amp;'Giao nhận &amp; Theo dõi đơn'!$B$7:$B$500&amp;", ")),--('Giao nhận &amp; Theo dõi đơn'!$AT$7:$AT$500&lt;&gt;""))+SUMPRODUCT(--ISNUMBER(SEARCH(", "&amp;$B93&amp;", ",", "&amp;'Bảng tin &amp; Chi tiết tin'!$B$7:$B$500&amp;", ")),--('Bảng tin &amp; Chi tiết tin'!$AT$7:$AT$500&lt;&gt;""))+SUMPRODUCT(--ISNUMBER(SEARCH(", "&amp;$B93&amp;", ",", "&amp;'Quà cảm ơn'!$B$7:$B$500&amp;", ")),--('Quà cảm ơn'!$AT$7:$AT$500&lt;&gt;""))+SUMPRODUCT(--ISNUMBER(SEARCH(", "&amp;$B93&amp;", ",", "&amp;'Trang chủ'!$B$7:$B$500&amp;", ")),--('Trang chủ'!$AT$7:$AT$500&lt;&gt;""))+SUMPRODUCT(--ISNUMBER(SEARCH(", "&amp;$B93&amp;", ",", "&amp;'Thông báo'!$B$7:$B$500&amp;", ")),--('Thông báo'!$AT$7:$AT$500&lt;&gt;""))+SUMPRODUCT(--ISNUMBER(SEARCH(", "&amp;$B93&amp;", ",", "&amp;'Đăng tin &amp; Quản lý tin'!$B$7:$B$500&amp;", ")),--('Đăng tin &amp; Quản lý tin'!$AT$7:$AT$500&lt;&gt;""))+SUMPRODUCT(--ISNUMBER(SEARCH(", "&amp;$B93&amp;", ",", "&amp;'Trust &amp; Safety'!$B$7:$B$500&amp;", ")),--('Trust &amp; Safety'!$AT$7:$AT$500&lt;&gt;""))+SUMPRODUCT(--ISNUMBER(SEARCH(", "&amp;$B93&amp;", ",", "&amp;'Tài khoản &amp; Hồ sơ'!$B$7:$B$500&amp;", ")),--('Tài khoản &amp; Hồ sơ'!$AT$7:$AT$500&lt;&gt;""))</f>
        <v/>
      </c>
      <c r="G93" s="53">
        <f>SUMPRODUCT(--ISNUMBER(SEARCH(", "&amp;$B93&amp;", ",", "&amp;'Hoạt động (Đơn của tôi)'!$B$7:$B$500&amp;", ")),--('Hoạt động (Đơn của tôi)'!$AT$7:$AT$500="Pass"))+SUMPRODUCT(--ISNUMBER(SEARCH(", "&amp;$B93&amp;", ",", "&amp;'Ghép nối'!$B$7:$B$500&amp;", ")),--('Ghép nối'!$AT$7:$AT$500="Pass"))+SUMPRODUCT(--ISNUMBER(SEARCH(", "&amp;$B93&amp;", ",", "&amp;'Huỷ đơn - Huỷ nhận đơn'!$B$7:$B$500&amp;", ")),--('Huỷ đơn - Huỷ nhận đơn'!$AT$7:$AT$500="Pass"))+SUMPRODUCT(--ISNUMBER(SEARCH(", "&amp;$B93&amp;", ",", "&amp;'Giao nhận &amp; Theo dõi đơn'!$B$7:$B$500&amp;", ")),--('Giao nhận &amp; Theo dõi đơn'!$AT$7:$AT$500="Pass"))+SUMPRODUCT(--ISNUMBER(SEARCH(", "&amp;$B93&amp;", ",", "&amp;'Bảng tin &amp; Chi tiết tin'!$B$7:$B$500&amp;", ")),--('Bảng tin &amp; Chi tiết tin'!$AT$7:$AT$500="Pass"))+SUMPRODUCT(--ISNUMBER(SEARCH(", "&amp;$B93&amp;", ",", "&amp;'Quà cảm ơn'!$B$7:$B$500&amp;", ")),--('Quà cảm ơn'!$AT$7:$AT$500="Pass"))+SUMPRODUCT(--ISNUMBER(SEARCH(", "&amp;$B93&amp;", ",", "&amp;'Trang chủ'!$B$7:$B$500&amp;", ")),--('Trang chủ'!$AT$7:$AT$500="Pass"))+SUMPRODUCT(--ISNUMBER(SEARCH(", "&amp;$B93&amp;", ",", "&amp;'Thông báo'!$B$7:$B$500&amp;", ")),--('Thông báo'!$AT$7:$AT$500="Pass"))+SUMPRODUCT(--ISNUMBER(SEARCH(", "&amp;$B93&amp;", ",", "&amp;'Đăng tin &amp; Quản lý tin'!$B$7:$B$500&amp;", ")),--('Đăng tin &amp; Quản lý tin'!$AT$7:$AT$500="Pass"))+SUMPRODUCT(--ISNUMBER(SEARCH(", "&amp;$B93&amp;", ",", "&amp;'Trust &amp; Safety'!$B$7:$B$500&amp;", ")),--('Trust &amp; Safety'!$AT$7:$AT$500="Pass"))+SUMPRODUCT(--ISNUMBER(SEARCH(", "&amp;$B93&amp;", ",", "&amp;'Tài khoản &amp; Hồ sơ'!$B$7:$B$500&amp;", ")),--('Tài khoản &amp; Hồ sơ'!$AT$7:$AT$500="Pass"))</f>
        <v/>
      </c>
      <c r="H93" s="53">
        <f>SUMPRODUCT(--ISNUMBER(SEARCH(", "&amp;$B93&amp;", ",", "&amp;'Hoạt động (Đơn của tôi)'!$B$7:$B$500&amp;", ")),--('Hoạt động (Đơn của tôi)'!$AT$7:$AT$500="Fail"))+SUMPRODUCT(--ISNUMBER(SEARCH(", "&amp;$B93&amp;", ",", "&amp;'Ghép nối'!$B$7:$B$500&amp;", ")),--('Ghép nối'!$AT$7:$AT$500="Fail"))+SUMPRODUCT(--ISNUMBER(SEARCH(", "&amp;$B93&amp;", ",", "&amp;'Huỷ đơn - Huỷ nhận đơn'!$B$7:$B$500&amp;", ")),--('Huỷ đơn - Huỷ nhận đơn'!$AT$7:$AT$500="Fail"))+SUMPRODUCT(--ISNUMBER(SEARCH(", "&amp;$B93&amp;", ",", "&amp;'Giao nhận &amp; Theo dõi đơn'!$B$7:$B$500&amp;", ")),--('Giao nhận &amp; Theo dõi đơn'!$AT$7:$AT$500="Fail"))+SUMPRODUCT(--ISNUMBER(SEARCH(", "&amp;$B93&amp;", ",", "&amp;'Bảng tin &amp; Chi tiết tin'!$B$7:$B$500&amp;", ")),--('Bảng tin &amp; Chi tiết tin'!$AT$7:$AT$500="Fail"))+SUMPRODUCT(--ISNUMBER(SEARCH(", "&amp;$B93&amp;", ",", "&amp;'Quà cảm ơn'!$B$7:$B$500&amp;", ")),--('Quà cảm ơn'!$AT$7:$AT$500="Fail"))+SUMPRODUCT(--ISNUMBER(SEARCH(", "&amp;$B93&amp;", ",", "&amp;'Trang chủ'!$B$7:$B$500&amp;", ")),--('Trang chủ'!$AT$7:$AT$500="Fail"))+SUMPRODUCT(--ISNUMBER(SEARCH(", "&amp;$B93&amp;", ",", "&amp;'Thông báo'!$B$7:$B$500&amp;", ")),--('Thông báo'!$AT$7:$AT$500="Fail"))+SUMPRODUCT(--ISNUMBER(SEARCH(", "&amp;$B93&amp;", ",", "&amp;'Đăng tin &amp; Quản lý tin'!$B$7:$B$500&amp;", ")),--('Đăng tin &amp; Quản lý tin'!$AT$7:$AT$500="Fail"))+SUMPRODUCT(--ISNUMBER(SEARCH(", "&amp;$B93&amp;", ",", "&amp;'Trust &amp; Safety'!$B$7:$B$500&amp;", ")),--('Trust &amp; Safety'!$AT$7:$AT$500="Fail"))+SUMPRODUCT(--ISNUMBER(SEARCH(", "&amp;$B93&amp;", ",", "&amp;'Tài khoản &amp; Hồ sơ'!$B$7:$B$500&amp;", ")),--('Tài khoản &amp; Hồ sơ'!$AT$7:$AT$500="Fail"))</f>
        <v/>
      </c>
      <c r="I93" s="53">
        <f>SUMPRODUCT(--ISNUMBER(SEARCH(", "&amp;$B93&amp;", ",", "&amp;'Hoạt động (Đơn của tôi)'!$B$7:$B$500&amp;", ")),--('Hoạt động (Đơn của tôi)'!$AT$7:$AT$500="Block"))+SUMPRODUCT(--ISNUMBER(SEARCH(", "&amp;$B93&amp;", ",", "&amp;'Ghép nối'!$B$7:$B$500&amp;", ")),--('Ghép nối'!$AT$7:$AT$500="Block"))+SUMPRODUCT(--ISNUMBER(SEARCH(", "&amp;$B93&amp;", ",", "&amp;'Huỷ đơn - Huỷ nhận đơn'!$B$7:$B$500&amp;", ")),--('Huỷ đơn - Huỷ nhận đơn'!$AT$7:$AT$500="Block"))+SUMPRODUCT(--ISNUMBER(SEARCH(", "&amp;$B93&amp;", ",", "&amp;'Giao nhận &amp; Theo dõi đơn'!$B$7:$B$500&amp;", ")),--('Giao nhận &amp; Theo dõi đơn'!$AT$7:$AT$500="Block"))+SUMPRODUCT(--ISNUMBER(SEARCH(", "&amp;$B93&amp;", ",", "&amp;'Bảng tin &amp; Chi tiết tin'!$B$7:$B$500&amp;", ")),--('Bảng tin &amp; Chi tiết tin'!$AT$7:$AT$500="Block"))+SUMPRODUCT(--ISNUMBER(SEARCH(", "&amp;$B93&amp;", ",", "&amp;'Quà cảm ơn'!$B$7:$B$500&amp;", ")),--('Quà cảm ơn'!$AT$7:$AT$500="Block"))+SUMPRODUCT(--ISNUMBER(SEARCH(", "&amp;$B93&amp;", ",", "&amp;'Trang chủ'!$B$7:$B$500&amp;", ")),--('Trang chủ'!$AT$7:$AT$500="Block"))+SUMPRODUCT(--ISNUMBER(SEARCH(", "&amp;$B93&amp;", ",", "&amp;'Thông báo'!$B$7:$B$500&amp;", ")),--('Thông báo'!$AT$7:$AT$500="Block"))+SUMPRODUCT(--ISNUMBER(SEARCH(", "&amp;$B93&amp;", ",", "&amp;'Đăng tin &amp; Quản lý tin'!$B$7:$B$500&amp;", ")),--('Đăng tin &amp; Quản lý tin'!$AT$7:$AT$500="Block"))+SUMPRODUCT(--ISNUMBER(SEARCH(", "&amp;$B93&amp;", ",", "&amp;'Trust &amp; Safety'!$B$7:$B$500&amp;", ")),--('Trust &amp; Safety'!$AT$7:$AT$500="Block"))+SUMPRODUCT(--ISNUMBER(SEARCH(", "&amp;$B93&amp;", ",", "&amp;'Tài khoản &amp; Hồ sơ'!$B$7:$B$500&amp;", ")),--('Tài khoản &amp; Hồ sơ'!$AT$7:$AT$500="Block"))</f>
        <v/>
      </c>
      <c r="J93" s="53">
        <f>SUMPRODUCT(--ISNUMBER(SEARCH(", "&amp;$B93&amp;", ",", "&amp;'Hoạt động (Đơn của tôi)'!$B$7:$B$500&amp;", ")),--('Hoạt động (Đơn của tôi)'!$AT$7:$AT$500="N/A"))+SUMPRODUCT(--ISNUMBER(SEARCH(", "&amp;$B93&amp;", ",", "&amp;'Ghép nối'!$B$7:$B$500&amp;", ")),--('Ghép nối'!$AT$7:$AT$500="N/A"))+SUMPRODUCT(--ISNUMBER(SEARCH(", "&amp;$B93&amp;", ",", "&amp;'Huỷ đơn - Huỷ nhận đơn'!$B$7:$B$500&amp;", ")),--('Huỷ đơn - Huỷ nhận đơn'!$AT$7:$AT$500="N/A"))+SUMPRODUCT(--ISNUMBER(SEARCH(", "&amp;$B93&amp;", ",", "&amp;'Giao nhận &amp; Theo dõi đơn'!$B$7:$B$500&amp;", ")),--('Giao nhận &amp; Theo dõi đơn'!$AT$7:$AT$500="N/A"))+SUMPRODUCT(--ISNUMBER(SEARCH(", "&amp;$B93&amp;", ",", "&amp;'Bảng tin &amp; Chi tiết tin'!$B$7:$B$500&amp;", ")),--('Bảng tin &amp; Chi tiết tin'!$AT$7:$AT$500="N/A"))+SUMPRODUCT(--ISNUMBER(SEARCH(", "&amp;$B93&amp;", ",", "&amp;'Quà cảm ơn'!$B$7:$B$500&amp;", ")),--('Quà cảm ơn'!$AT$7:$AT$500="N/A"))+SUMPRODUCT(--ISNUMBER(SEARCH(", "&amp;$B93&amp;", ",", "&amp;'Trang chủ'!$B$7:$B$500&amp;", ")),--('Trang chủ'!$AT$7:$AT$500="N/A"))+SUMPRODUCT(--ISNUMBER(SEARCH(", "&amp;$B93&amp;", ",", "&amp;'Thông báo'!$B$7:$B$500&amp;", ")),--('Thông báo'!$AT$7:$AT$500="N/A"))+SUMPRODUCT(--ISNUMBER(SEARCH(", "&amp;$B93&amp;", ",", "&amp;'Đăng tin &amp; Quản lý tin'!$B$7:$B$500&amp;", ")),--('Đăng tin &amp; Quản lý tin'!$AT$7:$AT$500="N/A"))+SUMPRODUCT(--ISNUMBER(SEARCH(", "&amp;$B93&amp;", ",", "&amp;'Trust &amp; Safety'!$B$7:$B$500&amp;", ")),--('Trust &amp; Safety'!$AT$7:$AT$500="N/A"))+SUMPRODUCT(--ISNUMBER(SEARCH(", "&amp;$B93&amp;", ",", "&amp;'Tài khoản &amp; Hồ sơ'!$B$7:$B$500&amp;", ")),--('Tài khoản &amp; Hồ sơ'!$AT$7:$AT$500="N/A"))</f>
        <v/>
      </c>
      <c r="K93" s="54">
        <f>IFERROR(F93/E93,0)</f>
        <v/>
      </c>
      <c r="L93" s="113">
        <f>IF(E93=0,"Chưa có TC (gap)",IF(H93&gt;0,"Có lỗi (Fail)",IF(I93&gt;0,"Bị block",IF(F93&lt;E93,"Đang test",IF(G93=0,"Không áp dụng (N/A)","Đã test xong")))))</f>
        <v/>
      </c>
      <c r="AB93" t="inlineStr">
        <is>
          <t>REQ-NTF</t>
        </is>
      </c>
    </row>
    <row r="94" ht="15.75" customHeight="1" s="216">
      <c r="A94" s="1" t="n"/>
      <c r="B94" s="112" t="inlineStr">
        <is>
          <t>REQ-NTF-004</t>
        </is>
      </c>
      <c r="C94" s="261" t="inlineStr"/>
      <c r="D94" s="113" t="inlineStr">
        <is>
          <t>DOC-v1.0-01 · DOC-v1.0-06</t>
        </is>
      </c>
      <c r="E94" s="53">
        <f>SUMPRODUCT(--ISNUMBER(SEARCH(", "&amp;$B94&amp;", ",", "&amp;'Hoạt động (Đơn của tôi)'!$B$7:$B$500&amp;", ")))+SUMPRODUCT(--ISNUMBER(SEARCH(", "&amp;$B94&amp;", ",", "&amp;'Ghép nối'!$B$7:$B$500&amp;", ")))+SUMPRODUCT(--ISNUMBER(SEARCH(", "&amp;$B94&amp;", ",", "&amp;'Huỷ đơn - Huỷ nhận đơn'!$B$7:$B$500&amp;", ")))+SUMPRODUCT(--ISNUMBER(SEARCH(", "&amp;$B94&amp;", ",", "&amp;'Giao nhận &amp; Theo dõi đơn'!$B$7:$B$500&amp;", ")))+SUMPRODUCT(--ISNUMBER(SEARCH(", "&amp;$B94&amp;", ",", "&amp;'Bảng tin &amp; Chi tiết tin'!$B$7:$B$500&amp;", ")))+SUMPRODUCT(--ISNUMBER(SEARCH(", "&amp;$B94&amp;", ",", "&amp;'Quà cảm ơn'!$B$7:$B$500&amp;", ")))+SUMPRODUCT(--ISNUMBER(SEARCH(", "&amp;$B94&amp;", ",", "&amp;'Trang chủ'!$B$7:$B$500&amp;", ")))+SUMPRODUCT(--ISNUMBER(SEARCH(", "&amp;$B94&amp;", ",", "&amp;'Thông báo'!$B$7:$B$500&amp;", ")))+SUMPRODUCT(--ISNUMBER(SEARCH(", "&amp;$B94&amp;", ",", "&amp;'Đăng tin &amp; Quản lý tin'!$B$7:$B$500&amp;", ")))+SUMPRODUCT(--ISNUMBER(SEARCH(", "&amp;$B94&amp;", ",", "&amp;'Trust &amp; Safety'!$B$7:$B$500&amp;", ")))+SUMPRODUCT(--ISNUMBER(SEARCH(", "&amp;$B94&amp;", ",", "&amp;'Tài khoản &amp; Hồ sơ'!$B$7:$B$500&amp;", ")))</f>
        <v/>
      </c>
      <c r="F94" s="53">
        <f>SUMPRODUCT(--ISNUMBER(SEARCH(", "&amp;$B94&amp;", ",", "&amp;'Hoạt động (Đơn của tôi)'!$B$7:$B$500&amp;", ")),--('Hoạt động (Đơn của tôi)'!$AT$7:$AT$500&lt;&gt;""))+SUMPRODUCT(--ISNUMBER(SEARCH(", "&amp;$B94&amp;", ",", "&amp;'Ghép nối'!$B$7:$B$500&amp;", ")),--('Ghép nối'!$AT$7:$AT$500&lt;&gt;""))+SUMPRODUCT(--ISNUMBER(SEARCH(", "&amp;$B94&amp;", ",", "&amp;'Huỷ đơn - Huỷ nhận đơn'!$B$7:$B$500&amp;", ")),--('Huỷ đơn - Huỷ nhận đơn'!$AT$7:$AT$500&lt;&gt;""))+SUMPRODUCT(--ISNUMBER(SEARCH(", "&amp;$B94&amp;", ",", "&amp;'Giao nhận &amp; Theo dõi đơn'!$B$7:$B$500&amp;", ")),--('Giao nhận &amp; Theo dõi đơn'!$AT$7:$AT$500&lt;&gt;""))+SUMPRODUCT(--ISNUMBER(SEARCH(", "&amp;$B94&amp;", ",", "&amp;'Bảng tin &amp; Chi tiết tin'!$B$7:$B$500&amp;", ")),--('Bảng tin &amp; Chi tiết tin'!$AT$7:$AT$500&lt;&gt;""))+SUMPRODUCT(--ISNUMBER(SEARCH(", "&amp;$B94&amp;", ",", "&amp;'Quà cảm ơn'!$B$7:$B$500&amp;", ")),--('Quà cảm ơn'!$AT$7:$AT$500&lt;&gt;""))+SUMPRODUCT(--ISNUMBER(SEARCH(", "&amp;$B94&amp;", ",", "&amp;'Trang chủ'!$B$7:$B$500&amp;", ")),--('Trang chủ'!$AT$7:$AT$500&lt;&gt;""))+SUMPRODUCT(--ISNUMBER(SEARCH(", "&amp;$B94&amp;", ",", "&amp;'Thông báo'!$B$7:$B$500&amp;", ")),--('Thông báo'!$AT$7:$AT$500&lt;&gt;""))+SUMPRODUCT(--ISNUMBER(SEARCH(", "&amp;$B94&amp;", ",", "&amp;'Đăng tin &amp; Quản lý tin'!$B$7:$B$500&amp;", ")),--('Đăng tin &amp; Quản lý tin'!$AT$7:$AT$500&lt;&gt;""))+SUMPRODUCT(--ISNUMBER(SEARCH(", "&amp;$B94&amp;", ",", "&amp;'Trust &amp; Safety'!$B$7:$B$500&amp;", ")),--('Trust &amp; Safety'!$AT$7:$AT$500&lt;&gt;""))+SUMPRODUCT(--ISNUMBER(SEARCH(", "&amp;$B94&amp;", ",", "&amp;'Tài khoản &amp; Hồ sơ'!$B$7:$B$500&amp;", ")),--('Tài khoản &amp; Hồ sơ'!$AT$7:$AT$500&lt;&gt;""))</f>
        <v/>
      </c>
      <c r="G94" s="53">
        <f>SUMPRODUCT(--ISNUMBER(SEARCH(", "&amp;$B94&amp;", ",", "&amp;'Hoạt động (Đơn của tôi)'!$B$7:$B$500&amp;", ")),--('Hoạt động (Đơn của tôi)'!$AT$7:$AT$500="Pass"))+SUMPRODUCT(--ISNUMBER(SEARCH(", "&amp;$B94&amp;", ",", "&amp;'Ghép nối'!$B$7:$B$500&amp;", ")),--('Ghép nối'!$AT$7:$AT$500="Pass"))+SUMPRODUCT(--ISNUMBER(SEARCH(", "&amp;$B94&amp;", ",", "&amp;'Huỷ đơn - Huỷ nhận đơn'!$B$7:$B$500&amp;", ")),--('Huỷ đơn - Huỷ nhận đơn'!$AT$7:$AT$500="Pass"))+SUMPRODUCT(--ISNUMBER(SEARCH(", "&amp;$B94&amp;", ",", "&amp;'Giao nhận &amp; Theo dõi đơn'!$B$7:$B$500&amp;", ")),--('Giao nhận &amp; Theo dõi đơn'!$AT$7:$AT$500="Pass"))+SUMPRODUCT(--ISNUMBER(SEARCH(", "&amp;$B94&amp;", ",", "&amp;'Bảng tin &amp; Chi tiết tin'!$B$7:$B$500&amp;", ")),--('Bảng tin &amp; Chi tiết tin'!$AT$7:$AT$500="Pass"))+SUMPRODUCT(--ISNUMBER(SEARCH(", "&amp;$B94&amp;", ",", "&amp;'Quà cảm ơn'!$B$7:$B$500&amp;", ")),--('Quà cảm ơn'!$AT$7:$AT$500="Pass"))+SUMPRODUCT(--ISNUMBER(SEARCH(", "&amp;$B94&amp;", ",", "&amp;'Trang chủ'!$B$7:$B$500&amp;", ")),--('Trang chủ'!$AT$7:$AT$500="Pass"))+SUMPRODUCT(--ISNUMBER(SEARCH(", "&amp;$B94&amp;", ",", "&amp;'Thông báo'!$B$7:$B$500&amp;", ")),--('Thông báo'!$AT$7:$AT$500="Pass"))+SUMPRODUCT(--ISNUMBER(SEARCH(", "&amp;$B94&amp;", ",", "&amp;'Đăng tin &amp; Quản lý tin'!$B$7:$B$500&amp;", ")),--('Đăng tin &amp; Quản lý tin'!$AT$7:$AT$500="Pass"))+SUMPRODUCT(--ISNUMBER(SEARCH(", "&amp;$B94&amp;", ",", "&amp;'Trust &amp; Safety'!$B$7:$B$500&amp;", ")),--('Trust &amp; Safety'!$AT$7:$AT$500="Pass"))+SUMPRODUCT(--ISNUMBER(SEARCH(", "&amp;$B94&amp;", ",", "&amp;'Tài khoản &amp; Hồ sơ'!$B$7:$B$500&amp;", ")),--('Tài khoản &amp; Hồ sơ'!$AT$7:$AT$500="Pass"))</f>
        <v/>
      </c>
      <c r="H94" s="53">
        <f>SUMPRODUCT(--ISNUMBER(SEARCH(", "&amp;$B94&amp;", ",", "&amp;'Hoạt động (Đơn của tôi)'!$B$7:$B$500&amp;", ")),--('Hoạt động (Đơn của tôi)'!$AT$7:$AT$500="Fail"))+SUMPRODUCT(--ISNUMBER(SEARCH(", "&amp;$B94&amp;", ",", "&amp;'Ghép nối'!$B$7:$B$500&amp;", ")),--('Ghép nối'!$AT$7:$AT$500="Fail"))+SUMPRODUCT(--ISNUMBER(SEARCH(", "&amp;$B94&amp;", ",", "&amp;'Huỷ đơn - Huỷ nhận đơn'!$B$7:$B$500&amp;", ")),--('Huỷ đơn - Huỷ nhận đơn'!$AT$7:$AT$500="Fail"))+SUMPRODUCT(--ISNUMBER(SEARCH(", "&amp;$B94&amp;", ",", "&amp;'Giao nhận &amp; Theo dõi đơn'!$B$7:$B$500&amp;", ")),--('Giao nhận &amp; Theo dõi đơn'!$AT$7:$AT$500="Fail"))+SUMPRODUCT(--ISNUMBER(SEARCH(", "&amp;$B94&amp;", ",", "&amp;'Bảng tin &amp; Chi tiết tin'!$B$7:$B$500&amp;", ")),--('Bảng tin &amp; Chi tiết tin'!$AT$7:$AT$500="Fail"))+SUMPRODUCT(--ISNUMBER(SEARCH(", "&amp;$B94&amp;", ",", "&amp;'Quà cảm ơn'!$B$7:$B$500&amp;", ")),--('Quà cảm ơn'!$AT$7:$AT$500="Fail"))+SUMPRODUCT(--ISNUMBER(SEARCH(", "&amp;$B94&amp;", ",", "&amp;'Trang chủ'!$B$7:$B$500&amp;", ")),--('Trang chủ'!$AT$7:$AT$500="Fail"))+SUMPRODUCT(--ISNUMBER(SEARCH(", "&amp;$B94&amp;", ",", "&amp;'Thông báo'!$B$7:$B$500&amp;", ")),--('Thông báo'!$AT$7:$AT$500="Fail"))+SUMPRODUCT(--ISNUMBER(SEARCH(", "&amp;$B94&amp;", ",", "&amp;'Đăng tin &amp; Quản lý tin'!$B$7:$B$500&amp;", ")),--('Đăng tin &amp; Quản lý tin'!$AT$7:$AT$500="Fail"))+SUMPRODUCT(--ISNUMBER(SEARCH(", "&amp;$B94&amp;", ",", "&amp;'Trust &amp; Safety'!$B$7:$B$500&amp;", ")),--('Trust &amp; Safety'!$AT$7:$AT$500="Fail"))+SUMPRODUCT(--ISNUMBER(SEARCH(", "&amp;$B94&amp;", ",", "&amp;'Tài khoản &amp; Hồ sơ'!$B$7:$B$500&amp;", ")),--('Tài khoản &amp; Hồ sơ'!$AT$7:$AT$500="Fail"))</f>
        <v/>
      </c>
      <c r="I94" s="53">
        <f>SUMPRODUCT(--ISNUMBER(SEARCH(", "&amp;$B94&amp;", ",", "&amp;'Hoạt động (Đơn của tôi)'!$B$7:$B$500&amp;", ")),--('Hoạt động (Đơn của tôi)'!$AT$7:$AT$500="Block"))+SUMPRODUCT(--ISNUMBER(SEARCH(", "&amp;$B94&amp;", ",", "&amp;'Ghép nối'!$B$7:$B$500&amp;", ")),--('Ghép nối'!$AT$7:$AT$500="Block"))+SUMPRODUCT(--ISNUMBER(SEARCH(", "&amp;$B94&amp;", ",", "&amp;'Huỷ đơn - Huỷ nhận đơn'!$B$7:$B$500&amp;", ")),--('Huỷ đơn - Huỷ nhận đơn'!$AT$7:$AT$500="Block"))+SUMPRODUCT(--ISNUMBER(SEARCH(", "&amp;$B94&amp;", ",", "&amp;'Giao nhận &amp; Theo dõi đơn'!$B$7:$B$500&amp;", ")),--('Giao nhận &amp; Theo dõi đơn'!$AT$7:$AT$500="Block"))+SUMPRODUCT(--ISNUMBER(SEARCH(", "&amp;$B94&amp;", ",", "&amp;'Bảng tin &amp; Chi tiết tin'!$B$7:$B$500&amp;", ")),--('Bảng tin &amp; Chi tiết tin'!$AT$7:$AT$500="Block"))+SUMPRODUCT(--ISNUMBER(SEARCH(", "&amp;$B94&amp;", ",", "&amp;'Quà cảm ơn'!$B$7:$B$500&amp;", ")),--('Quà cảm ơn'!$AT$7:$AT$500="Block"))+SUMPRODUCT(--ISNUMBER(SEARCH(", "&amp;$B94&amp;", ",", "&amp;'Trang chủ'!$B$7:$B$500&amp;", ")),--('Trang chủ'!$AT$7:$AT$500="Block"))+SUMPRODUCT(--ISNUMBER(SEARCH(", "&amp;$B94&amp;", ",", "&amp;'Thông báo'!$B$7:$B$500&amp;", ")),--('Thông báo'!$AT$7:$AT$500="Block"))+SUMPRODUCT(--ISNUMBER(SEARCH(", "&amp;$B94&amp;", ",", "&amp;'Đăng tin &amp; Quản lý tin'!$B$7:$B$500&amp;", ")),--('Đăng tin &amp; Quản lý tin'!$AT$7:$AT$500="Block"))+SUMPRODUCT(--ISNUMBER(SEARCH(", "&amp;$B94&amp;", ",", "&amp;'Trust &amp; Safety'!$B$7:$B$500&amp;", ")),--('Trust &amp; Safety'!$AT$7:$AT$500="Block"))+SUMPRODUCT(--ISNUMBER(SEARCH(", "&amp;$B94&amp;", ",", "&amp;'Tài khoản &amp; Hồ sơ'!$B$7:$B$500&amp;", ")),--('Tài khoản &amp; Hồ sơ'!$AT$7:$AT$500="Block"))</f>
        <v/>
      </c>
      <c r="J94" s="53">
        <f>SUMPRODUCT(--ISNUMBER(SEARCH(", "&amp;$B94&amp;", ",", "&amp;'Hoạt động (Đơn của tôi)'!$B$7:$B$500&amp;", ")),--('Hoạt động (Đơn của tôi)'!$AT$7:$AT$500="N/A"))+SUMPRODUCT(--ISNUMBER(SEARCH(", "&amp;$B94&amp;", ",", "&amp;'Ghép nối'!$B$7:$B$500&amp;", ")),--('Ghép nối'!$AT$7:$AT$500="N/A"))+SUMPRODUCT(--ISNUMBER(SEARCH(", "&amp;$B94&amp;", ",", "&amp;'Huỷ đơn - Huỷ nhận đơn'!$B$7:$B$500&amp;", ")),--('Huỷ đơn - Huỷ nhận đơn'!$AT$7:$AT$500="N/A"))+SUMPRODUCT(--ISNUMBER(SEARCH(", "&amp;$B94&amp;", ",", "&amp;'Giao nhận &amp; Theo dõi đơn'!$B$7:$B$500&amp;", ")),--('Giao nhận &amp; Theo dõi đơn'!$AT$7:$AT$500="N/A"))+SUMPRODUCT(--ISNUMBER(SEARCH(", "&amp;$B94&amp;", ",", "&amp;'Bảng tin &amp; Chi tiết tin'!$B$7:$B$500&amp;", ")),--('Bảng tin &amp; Chi tiết tin'!$AT$7:$AT$500="N/A"))+SUMPRODUCT(--ISNUMBER(SEARCH(", "&amp;$B94&amp;", ",", "&amp;'Quà cảm ơn'!$B$7:$B$500&amp;", ")),--('Quà cảm ơn'!$AT$7:$AT$500="N/A"))+SUMPRODUCT(--ISNUMBER(SEARCH(", "&amp;$B94&amp;", ",", "&amp;'Trang chủ'!$B$7:$B$500&amp;", ")),--('Trang chủ'!$AT$7:$AT$500="N/A"))+SUMPRODUCT(--ISNUMBER(SEARCH(", "&amp;$B94&amp;", ",", "&amp;'Thông báo'!$B$7:$B$500&amp;", ")),--('Thông báo'!$AT$7:$AT$500="N/A"))+SUMPRODUCT(--ISNUMBER(SEARCH(", "&amp;$B94&amp;", ",", "&amp;'Đăng tin &amp; Quản lý tin'!$B$7:$B$500&amp;", ")),--('Đăng tin &amp; Quản lý tin'!$AT$7:$AT$500="N/A"))+SUMPRODUCT(--ISNUMBER(SEARCH(", "&amp;$B94&amp;", ",", "&amp;'Trust &amp; Safety'!$B$7:$B$500&amp;", ")),--('Trust &amp; Safety'!$AT$7:$AT$500="N/A"))+SUMPRODUCT(--ISNUMBER(SEARCH(", "&amp;$B94&amp;", ",", "&amp;'Tài khoản &amp; Hồ sơ'!$B$7:$B$500&amp;", ")),--('Tài khoản &amp; Hồ sơ'!$AT$7:$AT$500="N/A"))</f>
        <v/>
      </c>
      <c r="K94" s="54">
        <f>IFERROR(F94/E94,0)</f>
        <v/>
      </c>
      <c r="L94" s="113">
        <f>IF(E94=0,"Chưa có TC (gap)",IF(H94&gt;0,"Có lỗi (Fail)",IF(I94&gt;0,"Bị block",IF(F94&lt;E94,"Đang test",IF(G94=0,"Không áp dụng (N/A)","Đã test xong")))))</f>
        <v/>
      </c>
      <c r="AB94" t="inlineStr">
        <is>
          <t>REQ-NTF</t>
        </is>
      </c>
    </row>
    <row r="95" ht="15.75" customHeight="1" s="216">
      <c r="A95" s="1" t="n"/>
      <c r="B95" s="112" t="inlineStr">
        <is>
          <t>REQ-NTF-006</t>
        </is>
      </c>
      <c r="C95" s="261" t="inlineStr"/>
      <c r="D95" s="113" t="inlineStr">
        <is>
          <t>DOC-v1.0-02 · DOC-v1.0-04</t>
        </is>
      </c>
      <c r="E95" s="53">
        <f>SUMPRODUCT(--ISNUMBER(SEARCH(", "&amp;$B95&amp;", ",", "&amp;'Hoạt động (Đơn của tôi)'!$B$7:$B$500&amp;", ")))+SUMPRODUCT(--ISNUMBER(SEARCH(", "&amp;$B95&amp;", ",", "&amp;'Ghép nối'!$B$7:$B$500&amp;", ")))+SUMPRODUCT(--ISNUMBER(SEARCH(", "&amp;$B95&amp;", ",", "&amp;'Huỷ đơn - Huỷ nhận đơn'!$B$7:$B$500&amp;", ")))+SUMPRODUCT(--ISNUMBER(SEARCH(", "&amp;$B95&amp;", ",", "&amp;'Giao nhận &amp; Theo dõi đơn'!$B$7:$B$500&amp;", ")))+SUMPRODUCT(--ISNUMBER(SEARCH(", "&amp;$B95&amp;", ",", "&amp;'Bảng tin &amp; Chi tiết tin'!$B$7:$B$500&amp;", ")))+SUMPRODUCT(--ISNUMBER(SEARCH(", "&amp;$B95&amp;", ",", "&amp;'Quà cảm ơn'!$B$7:$B$500&amp;", ")))+SUMPRODUCT(--ISNUMBER(SEARCH(", "&amp;$B95&amp;", ",", "&amp;'Trang chủ'!$B$7:$B$500&amp;", ")))+SUMPRODUCT(--ISNUMBER(SEARCH(", "&amp;$B95&amp;", ",", "&amp;'Thông báo'!$B$7:$B$500&amp;", ")))+SUMPRODUCT(--ISNUMBER(SEARCH(", "&amp;$B95&amp;", ",", "&amp;'Đăng tin &amp; Quản lý tin'!$B$7:$B$500&amp;", ")))+SUMPRODUCT(--ISNUMBER(SEARCH(", "&amp;$B95&amp;", ",", "&amp;'Trust &amp; Safety'!$B$7:$B$500&amp;", ")))+SUMPRODUCT(--ISNUMBER(SEARCH(", "&amp;$B95&amp;", ",", "&amp;'Tài khoản &amp; Hồ sơ'!$B$7:$B$500&amp;", ")))</f>
        <v/>
      </c>
      <c r="F95" s="53">
        <f>SUMPRODUCT(--ISNUMBER(SEARCH(", "&amp;$B95&amp;", ",", "&amp;'Hoạt động (Đơn của tôi)'!$B$7:$B$500&amp;", ")),--('Hoạt động (Đơn của tôi)'!$AT$7:$AT$500&lt;&gt;""))+SUMPRODUCT(--ISNUMBER(SEARCH(", "&amp;$B95&amp;", ",", "&amp;'Ghép nối'!$B$7:$B$500&amp;", ")),--('Ghép nối'!$AT$7:$AT$500&lt;&gt;""))+SUMPRODUCT(--ISNUMBER(SEARCH(", "&amp;$B95&amp;", ",", "&amp;'Huỷ đơn - Huỷ nhận đơn'!$B$7:$B$500&amp;", ")),--('Huỷ đơn - Huỷ nhận đơn'!$AT$7:$AT$500&lt;&gt;""))+SUMPRODUCT(--ISNUMBER(SEARCH(", "&amp;$B95&amp;", ",", "&amp;'Giao nhận &amp; Theo dõi đơn'!$B$7:$B$500&amp;", ")),--('Giao nhận &amp; Theo dõi đơn'!$AT$7:$AT$500&lt;&gt;""))+SUMPRODUCT(--ISNUMBER(SEARCH(", "&amp;$B95&amp;", ",", "&amp;'Bảng tin &amp; Chi tiết tin'!$B$7:$B$500&amp;", ")),--('Bảng tin &amp; Chi tiết tin'!$AT$7:$AT$500&lt;&gt;""))+SUMPRODUCT(--ISNUMBER(SEARCH(", "&amp;$B95&amp;", ",", "&amp;'Quà cảm ơn'!$B$7:$B$500&amp;", ")),--('Quà cảm ơn'!$AT$7:$AT$500&lt;&gt;""))+SUMPRODUCT(--ISNUMBER(SEARCH(", "&amp;$B95&amp;", ",", "&amp;'Trang chủ'!$B$7:$B$500&amp;", ")),--('Trang chủ'!$AT$7:$AT$500&lt;&gt;""))+SUMPRODUCT(--ISNUMBER(SEARCH(", "&amp;$B95&amp;", ",", "&amp;'Thông báo'!$B$7:$B$500&amp;", ")),--('Thông báo'!$AT$7:$AT$500&lt;&gt;""))+SUMPRODUCT(--ISNUMBER(SEARCH(", "&amp;$B95&amp;", ",", "&amp;'Đăng tin &amp; Quản lý tin'!$B$7:$B$500&amp;", ")),--('Đăng tin &amp; Quản lý tin'!$AT$7:$AT$500&lt;&gt;""))+SUMPRODUCT(--ISNUMBER(SEARCH(", "&amp;$B95&amp;", ",", "&amp;'Trust &amp; Safety'!$B$7:$B$500&amp;", ")),--('Trust &amp; Safety'!$AT$7:$AT$500&lt;&gt;""))+SUMPRODUCT(--ISNUMBER(SEARCH(", "&amp;$B95&amp;", ",", "&amp;'Tài khoản &amp; Hồ sơ'!$B$7:$B$500&amp;", ")),--('Tài khoản &amp; Hồ sơ'!$AT$7:$AT$500&lt;&gt;""))</f>
        <v/>
      </c>
      <c r="G95" s="53">
        <f>SUMPRODUCT(--ISNUMBER(SEARCH(", "&amp;$B95&amp;", ",", "&amp;'Hoạt động (Đơn của tôi)'!$B$7:$B$500&amp;", ")),--('Hoạt động (Đơn của tôi)'!$AT$7:$AT$500="Pass"))+SUMPRODUCT(--ISNUMBER(SEARCH(", "&amp;$B95&amp;", ",", "&amp;'Ghép nối'!$B$7:$B$500&amp;", ")),--('Ghép nối'!$AT$7:$AT$500="Pass"))+SUMPRODUCT(--ISNUMBER(SEARCH(", "&amp;$B95&amp;", ",", "&amp;'Huỷ đơn - Huỷ nhận đơn'!$B$7:$B$500&amp;", ")),--('Huỷ đơn - Huỷ nhận đơn'!$AT$7:$AT$500="Pass"))+SUMPRODUCT(--ISNUMBER(SEARCH(", "&amp;$B95&amp;", ",", "&amp;'Giao nhận &amp; Theo dõi đơn'!$B$7:$B$500&amp;", ")),--('Giao nhận &amp; Theo dõi đơn'!$AT$7:$AT$500="Pass"))+SUMPRODUCT(--ISNUMBER(SEARCH(", "&amp;$B95&amp;", ",", "&amp;'Bảng tin &amp; Chi tiết tin'!$B$7:$B$500&amp;", ")),--('Bảng tin &amp; Chi tiết tin'!$AT$7:$AT$500="Pass"))+SUMPRODUCT(--ISNUMBER(SEARCH(", "&amp;$B95&amp;", ",", "&amp;'Quà cảm ơn'!$B$7:$B$500&amp;", ")),--('Quà cảm ơn'!$AT$7:$AT$500="Pass"))+SUMPRODUCT(--ISNUMBER(SEARCH(", "&amp;$B95&amp;", ",", "&amp;'Trang chủ'!$B$7:$B$500&amp;", ")),--('Trang chủ'!$AT$7:$AT$500="Pass"))+SUMPRODUCT(--ISNUMBER(SEARCH(", "&amp;$B95&amp;", ",", "&amp;'Thông báo'!$B$7:$B$500&amp;", ")),--('Thông báo'!$AT$7:$AT$500="Pass"))+SUMPRODUCT(--ISNUMBER(SEARCH(", "&amp;$B95&amp;", ",", "&amp;'Đăng tin &amp; Quản lý tin'!$B$7:$B$500&amp;", ")),--('Đăng tin &amp; Quản lý tin'!$AT$7:$AT$500="Pass"))+SUMPRODUCT(--ISNUMBER(SEARCH(", "&amp;$B95&amp;", ",", "&amp;'Trust &amp; Safety'!$B$7:$B$500&amp;", ")),--('Trust &amp; Safety'!$AT$7:$AT$500="Pass"))+SUMPRODUCT(--ISNUMBER(SEARCH(", "&amp;$B95&amp;", ",", "&amp;'Tài khoản &amp; Hồ sơ'!$B$7:$B$500&amp;", ")),--('Tài khoản &amp; Hồ sơ'!$AT$7:$AT$500="Pass"))</f>
        <v/>
      </c>
      <c r="H95" s="53">
        <f>SUMPRODUCT(--ISNUMBER(SEARCH(", "&amp;$B95&amp;", ",", "&amp;'Hoạt động (Đơn của tôi)'!$B$7:$B$500&amp;", ")),--('Hoạt động (Đơn của tôi)'!$AT$7:$AT$500="Fail"))+SUMPRODUCT(--ISNUMBER(SEARCH(", "&amp;$B95&amp;", ",", "&amp;'Ghép nối'!$B$7:$B$500&amp;", ")),--('Ghép nối'!$AT$7:$AT$500="Fail"))+SUMPRODUCT(--ISNUMBER(SEARCH(", "&amp;$B95&amp;", ",", "&amp;'Huỷ đơn - Huỷ nhận đơn'!$B$7:$B$500&amp;", ")),--('Huỷ đơn - Huỷ nhận đơn'!$AT$7:$AT$500="Fail"))+SUMPRODUCT(--ISNUMBER(SEARCH(", "&amp;$B95&amp;", ",", "&amp;'Giao nhận &amp; Theo dõi đơn'!$B$7:$B$500&amp;", ")),--('Giao nhận &amp; Theo dõi đơn'!$AT$7:$AT$500="Fail"))+SUMPRODUCT(--ISNUMBER(SEARCH(", "&amp;$B95&amp;", ",", "&amp;'Bảng tin &amp; Chi tiết tin'!$B$7:$B$500&amp;", ")),--('Bảng tin &amp; Chi tiết tin'!$AT$7:$AT$500="Fail"))+SUMPRODUCT(--ISNUMBER(SEARCH(", "&amp;$B95&amp;", ",", "&amp;'Quà cảm ơn'!$B$7:$B$500&amp;", ")),--('Quà cảm ơn'!$AT$7:$AT$500="Fail"))+SUMPRODUCT(--ISNUMBER(SEARCH(", "&amp;$B95&amp;", ",", "&amp;'Trang chủ'!$B$7:$B$500&amp;", ")),--('Trang chủ'!$AT$7:$AT$500="Fail"))+SUMPRODUCT(--ISNUMBER(SEARCH(", "&amp;$B95&amp;", ",", "&amp;'Thông báo'!$B$7:$B$500&amp;", ")),--('Thông báo'!$AT$7:$AT$500="Fail"))+SUMPRODUCT(--ISNUMBER(SEARCH(", "&amp;$B95&amp;", ",", "&amp;'Đăng tin &amp; Quản lý tin'!$B$7:$B$500&amp;", ")),--('Đăng tin &amp; Quản lý tin'!$AT$7:$AT$500="Fail"))+SUMPRODUCT(--ISNUMBER(SEARCH(", "&amp;$B95&amp;", ",", "&amp;'Trust &amp; Safety'!$B$7:$B$500&amp;", ")),--('Trust &amp; Safety'!$AT$7:$AT$500="Fail"))+SUMPRODUCT(--ISNUMBER(SEARCH(", "&amp;$B95&amp;", ",", "&amp;'Tài khoản &amp; Hồ sơ'!$B$7:$B$500&amp;", ")),--('Tài khoản &amp; Hồ sơ'!$AT$7:$AT$500="Fail"))</f>
        <v/>
      </c>
      <c r="I95" s="53">
        <f>SUMPRODUCT(--ISNUMBER(SEARCH(", "&amp;$B95&amp;", ",", "&amp;'Hoạt động (Đơn của tôi)'!$B$7:$B$500&amp;", ")),--('Hoạt động (Đơn của tôi)'!$AT$7:$AT$500="Block"))+SUMPRODUCT(--ISNUMBER(SEARCH(", "&amp;$B95&amp;", ",", "&amp;'Ghép nối'!$B$7:$B$500&amp;", ")),--('Ghép nối'!$AT$7:$AT$500="Block"))+SUMPRODUCT(--ISNUMBER(SEARCH(", "&amp;$B95&amp;", ",", "&amp;'Huỷ đơn - Huỷ nhận đơn'!$B$7:$B$500&amp;", ")),--('Huỷ đơn - Huỷ nhận đơn'!$AT$7:$AT$500="Block"))+SUMPRODUCT(--ISNUMBER(SEARCH(", "&amp;$B95&amp;", ",", "&amp;'Giao nhận &amp; Theo dõi đơn'!$B$7:$B$500&amp;", ")),--('Giao nhận &amp; Theo dõi đơn'!$AT$7:$AT$500="Block"))+SUMPRODUCT(--ISNUMBER(SEARCH(", "&amp;$B95&amp;", ",", "&amp;'Bảng tin &amp; Chi tiết tin'!$B$7:$B$500&amp;", ")),--('Bảng tin &amp; Chi tiết tin'!$AT$7:$AT$500="Block"))+SUMPRODUCT(--ISNUMBER(SEARCH(", "&amp;$B95&amp;", ",", "&amp;'Quà cảm ơn'!$B$7:$B$500&amp;", ")),--('Quà cảm ơn'!$AT$7:$AT$500="Block"))+SUMPRODUCT(--ISNUMBER(SEARCH(", "&amp;$B95&amp;", ",", "&amp;'Trang chủ'!$B$7:$B$500&amp;", ")),--('Trang chủ'!$AT$7:$AT$500="Block"))+SUMPRODUCT(--ISNUMBER(SEARCH(", "&amp;$B95&amp;", ",", "&amp;'Thông báo'!$B$7:$B$500&amp;", ")),--('Thông báo'!$AT$7:$AT$500="Block"))+SUMPRODUCT(--ISNUMBER(SEARCH(", "&amp;$B95&amp;", ",", "&amp;'Đăng tin &amp; Quản lý tin'!$B$7:$B$500&amp;", ")),--('Đăng tin &amp; Quản lý tin'!$AT$7:$AT$500="Block"))+SUMPRODUCT(--ISNUMBER(SEARCH(", "&amp;$B95&amp;", ",", "&amp;'Trust &amp; Safety'!$B$7:$B$500&amp;", ")),--('Trust &amp; Safety'!$AT$7:$AT$500="Block"))+SUMPRODUCT(--ISNUMBER(SEARCH(", "&amp;$B95&amp;", ",", "&amp;'Tài khoản &amp; Hồ sơ'!$B$7:$B$500&amp;", ")),--('Tài khoản &amp; Hồ sơ'!$AT$7:$AT$500="Block"))</f>
        <v/>
      </c>
      <c r="J95" s="53">
        <f>SUMPRODUCT(--ISNUMBER(SEARCH(", "&amp;$B95&amp;", ",", "&amp;'Hoạt động (Đơn của tôi)'!$B$7:$B$500&amp;", ")),--('Hoạt động (Đơn của tôi)'!$AT$7:$AT$500="N/A"))+SUMPRODUCT(--ISNUMBER(SEARCH(", "&amp;$B95&amp;", ",", "&amp;'Ghép nối'!$B$7:$B$500&amp;", ")),--('Ghép nối'!$AT$7:$AT$500="N/A"))+SUMPRODUCT(--ISNUMBER(SEARCH(", "&amp;$B95&amp;", ",", "&amp;'Huỷ đơn - Huỷ nhận đơn'!$B$7:$B$500&amp;", ")),--('Huỷ đơn - Huỷ nhận đơn'!$AT$7:$AT$500="N/A"))+SUMPRODUCT(--ISNUMBER(SEARCH(", "&amp;$B95&amp;", ",", "&amp;'Giao nhận &amp; Theo dõi đơn'!$B$7:$B$500&amp;", ")),--('Giao nhận &amp; Theo dõi đơn'!$AT$7:$AT$500="N/A"))+SUMPRODUCT(--ISNUMBER(SEARCH(", "&amp;$B95&amp;", ",", "&amp;'Bảng tin &amp; Chi tiết tin'!$B$7:$B$500&amp;", ")),--('Bảng tin &amp; Chi tiết tin'!$AT$7:$AT$500="N/A"))+SUMPRODUCT(--ISNUMBER(SEARCH(", "&amp;$B95&amp;", ",", "&amp;'Quà cảm ơn'!$B$7:$B$500&amp;", ")),--('Quà cảm ơn'!$AT$7:$AT$500="N/A"))+SUMPRODUCT(--ISNUMBER(SEARCH(", "&amp;$B95&amp;", ",", "&amp;'Trang chủ'!$B$7:$B$500&amp;", ")),--('Trang chủ'!$AT$7:$AT$500="N/A"))+SUMPRODUCT(--ISNUMBER(SEARCH(", "&amp;$B95&amp;", ",", "&amp;'Thông báo'!$B$7:$B$500&amp;", ")),--('Thông báo'!$AT$7:$AT$500="N/A"))+SUMPRODUCT(--ISNUMBER(SEARCH(", "&amp;$B95&amp;", ",", "&amp;'Đăng tin &amp; Quản lý tin'!$B$7:$B$500&amp;", ")),--('Đăng tin &amp; Quản lý tin'!$AT$7:$AT$500="N/A"))+SUMPRODUCT(--ISNUMBER(SEARCH(", "&amp;$B95&amp;", ",", "&amp;'Trust &amp; Safety'!$B$7:$B$500&amp;", ")),--('Trust &amp; Safety'!$AT$7:$AT$500="N/A"))+SUMPRODUCT(--ISNUMBER(SEARCH(", "&amp;$B95&amp;", ",", "&amp;'Tài khoản &amp; Hồ sơ'!$B$7:$B$500&amp;", ")),--('Tài khoản &amp; Hồ sơ'!$AT$7:$AT$500="N/A"))</f>
        <v/>
      </c>
      <c r="K95" s="54">
        <f>IFERROR(F95/E95,0)</f>
        <v/>
      </c>
      <c r="L95" s="113">
        <f>IF(E95=0,"Chưa có TC (gap)",IF(H95&gt;0,"Có lỗi (Fail)",IF(I95&gt;0,"Bị block",IF(F95&lt;E95,"Đang test",IF(G95=0,"Không áp dụng (N/A)","Đã test xong")))))</f>
        <v/>
      </c>
      <c r="AB95" t="inlineStr">
        <is>
          <t>REQ-NTF</t>
        </is>
      </c>
    </row>
    <row r="96" ht="15.75" customHeight="1" s="216">
      <c r="A96" s="1" t="n"/>
      <c r="B96" s="112" t="inlineStr">
        <is>
          <t>REQ-NTF-007</t>
        </is>
      </c>
      <c r="C96" s="261" t="inlineStr"/>
      <c r="D96" s="113" t="inlineStr">
        <is>
          <t>DOC-v1.0-06 · DOC-v1.0-04</t>
        </is>
      </c>
      <c r="E96" s="53">
        <f>SUMPRODUCT(--ISNUMBER(SEARCH(", "&amp;$B96&amp;", ",", "&amp;'Hoạt động (Đơn của tôi)'!$B$7:$B$500&amp;", ")))+SUMPRODUCT(--ISNUMBER(SEARCH(", "&amp;$B96&amp;", ",", "&amp;'Ghép nối'!$B$7:$B$500&amp;", ")))+SUMPRODUCT(--ISNUMBER(SEARCH(", "&amp;$B96&amp;", ",", "&amp;'Huỷ đơn - Huỷ nhận đơn'!$B$7:$B$500&amp;", ")))+SUMPRODUCT(--ISNUMBER(SEARCH(", "&amp;$B96&amp;", ",", "&amp;'Giao nhận &amp; Theo dõi đơn'!$B$7:$B$500&amp;", ")))+SUMPRODUCT(--ISNUMBER(SEARCH(", "&amp;$B96&amp;", ",", "&amp;'Bảng tin &amp; Chi tiết tin'!$B$7:$B$500&amp;", ")))+SUMPRODUCT(--ISNUMBER(SEARCH(", "&amp;$B96&amp;", ",", "&amp;'Quà cảm ơn'!$B$7:$B$500&amp;", ")))+SUMPRODUCT(--ISNUMBER(SEARCH(", "&amp;$B96&amp;", ",", "&amp;'Trang chủ'!$B$7:$B$500&amp;", ")))+SUMPRODUCT(--ISNUMBER(SEARCH(", "&amp;$B96&amp;", ",", "&amp;'Thông báo'!$B$7:$B$500&amp;", ")))+SUMPRODUCT(--ISNUMBER(SEARCH(", "&amp;$B96&amp;", ",", "&amp;'Đăng tin &amp; Quản lý tin'!$B$7:$B$500&amp;", ")))+SUMPRODUCT(--ISNUMBER(SEARCH(", "&amp;$B96&amp;", ",", "&amp;'Trust &amp; Safety'!$B$7:$B$500&amp;", ")))+SUMPRODUCT(--ISNUMBER(SEARCH(", "&amp;$B96&amp;", ",", "&amp;'Tài khoản &amp; Hồ sơ'!$B$7:$B$500&amp;", ")))</f>
        <v/>
      </c>
      <c r="F96" s="53">
        <f>SUMPRODUCT(--ISNUMBER(SEARCH(", "&amp;$B96&amp;", ",", "&amp;'Hoạt động (Đơn của tôi)'!$B$7:$B$500&amp;", ")),--('Hoạt động (Đơn của tôi)'!$AT$7:$AT$500&lt;&gt;""))+SUMPRODUCT(--ISNUMBER(SEARCH(", "&amp;$B96&amp;", ",", "&amp;'Ghép nối'!$B$7:$B$500&amp;", ")),--('Ghép nối'!$AT$7:$AT$500&lt;&gt;""))+SUMPRODUCT(--ISNUMBER(SEARCH(", "&amp;$B96&amp;", ",", "&amp;'Huỷ đơn - Huỷ nhận đơn'!$B$7:$B$500&amp;", ")),--('Huỷ đơn - Huỷ nhận đơn'!$AT$7:$AT$500&lt;&gt;""))+SUMPRODUCT(--ISNUMBER(SEARCH(", "&amp;$B96&amp;", ",", "&amp;'Giao nhận &amp; Theo dõi đơn'!$B$7:$B$500&amp;", ")),--('Giao nhận &amp; Theo dõi đơn'!$AT$7:$AT$500&lt;&gt;""))+SUMPRODUCT(--ISNUMBER(SEARCH(", "&amp;$B96&amp;", ",", "&amp;'Bảng tin &amp; Chi tiết tin'!$B$7:$B$500&amp;", ")),--('Bảng tin &amp; Chi tiết tin'!$AT$7:$AT$500&lt;&gt;""))+SUMPRODUCT(--ISNUMBER(SEARCH(", "&amp;$B96&amp;", ",", "&amp;'Quà cảm ơn'!$B$7:$B$500&amp;", ")),--('Quà cảm ơn'!$AT$7:$AT$500&lt;&gt;""))+SUMPRODUCT(--ISNUMBER(SEARCH(", "&amp;$B96&amp;", ",", "&amp;'Trang chủ'!$B$7:$B$500&amp;", ")),--('Trang chủ'!$AT$7:$AT$500&lt;&gt;""))+SUMPRODUCT(--ISNUMBER(SEARCH(", "&amp;$B96&amp;", ",", "&amp;'Thông báo'!$B$7:$B$500&amp;", ")),--('Thông báo'!$AT$7:$AT$500&lt;&gt;""))+SUMPRODUCT(--ISNUMBER(SEARCH(", "&amp;$B96&amp;", ",", "&amp;'Đăng tin &amp; Quản lý tin'!$B$7:$B$500&amp;", ")),--('Đăng tin &amp; Quản lý tin'!$AT$7:$AT$500&lt;&gt;""))+SUMPRODUCT(--ISNUMBER(SEARCH(", "&amp;$B96&amp;", ",", "&amp;'Trust &amp; Safety'!$B$7:$B$500&amp;", ")),--('Trust &amp; Safety'!$AT$7:$AT$500&lt;&gt;""))+SUMPRODUCT(--ISNUMBER(SEARCH(", "&amp;$B96&amp;", ",", "&amp;'Tài khoản &amp; Hồ sơ'!$B$7:$B$500&amp;", ")),--('Tài khoản &amp; Hồ sơ'!$AT$7:$AT$500&lt;&gt;""))</f>
        <v/>
      </c>
      <c r="G96" s="53">
        <f>SUMPRODUCT(--ISNUMBER(SEARCH(", "&amp;$B96&amp;", ",", "&amp;'Hoạt động (Đơn của tôi)'!$B$7:$B$500&amp;", ")),--('Hoạt động (Đơn của tôi)'!$AT$7:$AT$500="Pass"))+SUMPRODUCT(--ISNUMBER(SEARCH(", "&amp;$B96&amp;", ",", "&amp;'Ghép nối'!$B$7:$B$500&amp;", ")),--('Ghép nối'!$AT$7:$AT$500="Pass"))+SUMPRODUCT(--ISNUMBER(SEARCH(", "&amp;$B96&amp;", ",", "&amp;'Huỷ đơn - Huỷ nhận đơn'!$B$7:$B$500&amp;", ")),--('Huỷ đơn - Huỷ nhận đơn'!$AT$7:$AT$500="Pass"))+SUMPRODUCT(--ISNUMBER(SEARCH(", "&amp;$B96&amp;", ",", "&amp;'Giao nhận &amp; Theo dõi đơn'!$B$7:$B$500&amp;", ")),--('Giao nhận &amp; Theo dõi đơn'!$AT$7:$AT$500="Pass"))+SUMPRODUCT(--ISNUMBER(SEARCH(", "&amp;$B96&amp;", ",", "&amp;'Bảng tin &amp; Chi tiết tin'!$B$7:$B$500&amp;", ")),--('Bảng tin &amp; Chi tiết tin'!$AT$7:$AT$500="Pass"))+SUMPRODUCT(--ISNUMBER(SEARCH(", "&amp;$B96&amp;", ",", "&amp;'Quà cảm ơn'!$B$7:$B$500&amp;", ")),--('Quà cảm ơn'!$AT$7:$AT$500="Pass"))+SUMPRODUCT(--ISNUMBER(SEARCH(", "&amp;$B96&amp;", ",", "&amp;'Trang chủ'!$B$7:$B$500&amp;", ")),--('Trang chủ'!$AT$7:$AT$500="Pass"))+SUMPRODUCT(--ISNUMBER(SEARCH(", "&amp;$B96&amp;", ",", "&amp;'Thông báo'!$B$7:$B$500&amp;", ")),--('Thông báo'!$AT$7:$AT$500="Pass"))+SUMPRODUCT(--ISNUMBER(SEARCH(", "&amp;$B96&amp;", ",", "&amp;'Đăng tin &amp; Quản lý tin'!$B$7:$B$500&amp;", ")),--('Đăng tin &amp; Quản lý tin'!$AT$7:$AT$500="Pass"))+SUMPRODUCT(--ISNUMBER(SEARCH(", "&amp;$B96&amp;", ",", "&amp;'Trust &amp; Safety'!$B$7:$B$500&amp;", ")),--('Trust &amp; Safety'!$AT$7:$AT$500="Pass"))+SUMPRODUCT(--ISNUMBER(SEARCH(", "&amp;$B96&amp;", ",", "&amp;'Tài khoản &amp; Hồ sơ'!$B$7:$B$500&amp;", ")),--('Tài khoản &amp; Hồ sơ'!$AT$7:$AT$500="Pass"))</f>
        <v/>
      </c>
      <c r="H96" s="53">
        <f>SUMPRODUCT(--ISNUMBER(SEARCH(", "&amp;$B96&amp;", ",", "&amp;'Hoạt động (Đơn của tôi)'!$B$7:$B$500&amp;", ")),--('Hoạt động (Đơn của tôi)'!$AT$7:$AT$500="Fail"))+SUMPRODUCT(--ISNUMBER(SEARCH(", "&amp;$B96&amp;", ",", "&amp;'Ghép nối'!$B$7:$B$500&amp;", ")),--('Ghép nối'!$AT$7:$AT$500="Fail"))+SUMPRODUCT(--ISNUMBER(SEARCH(", "&amp;$B96&amp;", ",", "&amp;'Huỷ đơn - Huỷ nhận đơn'!$B$7:$B$500&amp;", ")),--('Huỷ đơn - Huỷ nhận đơn'!$AT$7:$AT$500="Fail"))+SUMPRODUCT(--ISNUMBER(SEARCH(", "&amp;$B96&amp;", ",", "&amp;'Giao nhận &amp; Theo dõi đơn'!$B$7:$B$500&amp;", ")),--('Giao nhận &amp; Theo dõi đơn'!$AT$7:$AT$500="Fail"))+SUMPRODUCT(--ISNUMBER(SEARCH(", "&amp;$B96&amp;", ",", "&amp;'Bảng tin &amp; Chi tiết tin'!$B$7:$B$500&amp;", ")),--('Bảng tin &amp; Chi tiết tin'!$AT$7:$AT$500="Fail"))+SUMPRODUCT(--ISNUMBER(SEARCH(", "&amp;$B96&amp;", ",", "&amp;'Quà cảm ơn'!$B$7:$B$500&amp;", ")),--('Quà cảm ơn'!$AT$7:$AT$500="Fail"))+SUMPRODUCT(--ISNUMBER(SEARCH(", "&amp;$B96&amp;", ",", "&amp;'Trang chủ'!$B$7:$B$500&amp;", ")),--('Trang chủ'!$AT$7:$AT$500="Fail"))+SUMPRODUCT(--ISNUMBER(SEARCH(", "&amp;$B96&amp;", ",", "&amp;'Thông báo'!$B$7:$B$500&amp;", ")),--('Thông báo'!$AT$7:$AT$500="Fail"))+SUMPRODUCT(--ISNUMBER(SEARCH(", "&amp;$B96&amp;", ",", "&amp;'Đăng tin &amp; Quản lý tin'!$B$7:$B$500&amp;", ")),--('Đăng tin &amp; Quản lý tin'!$AT$7:$AT$500="Fail"))+SUMPRODUCT(--ISNUMBER(SEARCH(", "&amp;$B96&amp;", ",", "&amp;'Trust &amp; Safety'!$B$7:$B$500&amp;", ")),--('Trust &amp; Safety'!$AT$7:$AT$500="Fail"))+SUMPRODUCT(--ISNUMBER(SEARCH(", "&amp;$B96&amp;", ",", "&amp;'Tài khoản &amp; Hồ sơ'!$B$7:$B$500&amp;", ")),--('Tài khoản &amp; Hồ sơ'!$AT$7:$AT$500="Fail"))</f>
        <v/>
      </c>
      <c r="I96" s="53">
        <f>SUMPRODUCT(--ISNUMBER(SEARCH(", "&amp;$B96&amp;", ",", "&amp;'Hoạt động (Đơn của tôi)'!$B$7:$B$500&amp;", ")),--('Hoạt động (Đơn của tôi)'!$AT$7:$AT$500="Block"))+SUMPRODUCT(--ISNUMBER(SEARCH(", "&amp;$B96&amp;", ",", "&amp;'Ghép nối'!$B$7:$B$500&amp;", ")),--('Ghép nối'!$AT$7:$AT$500="Block"))+SUMPRODUCT(--ISNUMBER(SEARCH(", "&amp;$B96&amp;", ",", "&amp;'Huỷ đơn - Huỷ nhận đơn'!$B$7:$B$500&amp;", ")),--('Huỷ đơn - Huỷ nhận đơn'!$AT$7:$AT$500="Block"))+SUMPRODUCT(--ISNUMBER(SEARCH(", "&amp;$B96&amp;", ",", "&amp;'Giao nhận &amp; Theo dõi đơn'!$B$7:$B$500&amp;", ")),--('Giao nhận &amp; Theo dõi đơn'!$AT$7:$AT$500="Block"))+SUMPRODUCT(--ISNUMBER(SEARCH(", "&amp;$B96&amp;", ",", "&amp;'Bảng tin &amp; Chi tiết tin'!$B$7:$B$500&amp;", ")),--('Bảng tin &amp; Chi tiết tin'!$AT$7:$AT$500="Block"))+SUMPRODUCT(--ISNUMBER(SEARCH(", "&amp;$B96&amp;", ",", "&amp;'Quà cảm ơn'!$B$7:$B$500&amp;", ")),--('Quà cảm ơn'!$AT$7:$AT$500="Block"))+SUMPRODUCT(--ISNUMBER(SEARCH(", "&amp;$B96&amp;", ",", "&amp;'Trang chủ'!$B$7:$B$500&amp;", ")),--('Trang chủ'!$AT$7:$AT$500="Block"))+SUMPRODUCT(--ISNUMBER(SEARCH(", "&amp;$B96&amp;", ",", "&amp;'Thông báo'!$B$7:$B$500&amp;", ")),--('Thông báo'!$AT$7:$AT$500="Block"))+SUMPRODUCT(--ISNUMBER(SEARCH(", "&amp;$B96&amp;", ",", "&amp;'Đăng tin &amp; Quản lý tin'!$B$7:$B$500&amp;", ")),--('Đăng tin &amp; Quản lý tin'!$AT$7:$AT$500="Block"))+SUMPRODUCT(--ISNUMBER(SEARCH(", "&amp;$B96&amp;", ",", "&amp;'Trust &amp; Safety'!$B$7:$B$500&amp;", ")),--('Trust &amp; Safety'!$AT$7:$AT$500="Block"))+SUMPRODUCT(--ISNUMBER(SEARCH(", "&amp;$B96&amp;", ",", "&amp;'Tài khoản &amp; Hồ sơ'!$B$7:$B$500&amp;", ")),--('Tài khoản &amp; Hồ sơ'!$AT$7:$AT$500="Block"))</f>
        <v/>
      </c>
      <c r="J96" s="53">
        <f>SUMPRODUCT(--ISNUMBER(SEARCH(", "&amp;$B96&amp;", ",", "&amp;'Hoạt động (Đơn của tôi)'!$B$7:$B$500&amp;", ")),--('Hoạt động (Đơn của tôi)'!$AT$7:$AT$500="N/A"))+SUMPRODUCT(--ISNUMBER(SEARCH(", "&amp;$B96&amp;", ",", "&amp;'Ghép nối'!$B$7:$B$500&amp;", ")),--('Ghép nối'!$AT$7:$AT$500="N/A"))+SUMPRODUCT(--ISNUMBER(SEARCH(", "&amp;$B96&amp;", ",", "&amp;'Huỷ đơn - Huỷ nhận đơn'!$B$7:$B$500&amp;", ")),--('Huỷ đơn - Huỷ nhận đơn'!$AT$7:$AT$500="N/A"))+SUMPRODUCT(--ISNUMBER(SEARCH(", "&amp;$B96&amp;", ",", "&amp;'Giao nhận &amp; Theo dõi đơn'!$B$7:$B$500&amp;", ")),--('Giao nhận &amp; Theo dõi đơn'!$AT$7:$AT$500="N/A"))+SUMPRODUCT(--ISNUMBER(SEARCH(", "&amp;$B96&amp;", ",", "&amp;'Bảng tin &amp; Chi tiết tin'!$B$7:$B$500&amp;", ")),--('Bảng tin &amp; Chi tiết tin'!$AT$7:$AT$500="N/A"))+SUMPRODUCT(--ISNUMBER(SEARCH(", "&amp;$B96&amp;", ",", "&amp;'Quà cảm ơn'!$B$7:$B$500&amp;", ")),--('Quà cảm ơn'!$AT$7:$AT$500="N/A"))+SUMPRODUCT(--ISNUMBER(SEARCH(", "&amp;$B96&amp;", ",", "&amp;'Trang chủ'!$B$7:$B$500&amp;", ")),--('Trang chủ'!$AT$7:$AT$500="N/A"))+SUMPRODUCT(--ISNUMBER(SEARCH(", "&amp;$B96&amp;", ",", "&amp;'Thông báo'!$B$7:$B$500&amp;", ")),--('Thông báo'!$AT$7:$AT$500="N/A"))+SUMPRODUCT(--ISNUMBER(SEARCH(", "&amp;$B96&amp;", ",", "&amp;'Đăng tin &amp; Quản lý tin'!$B$7:$B$500&amp;", ")),--('Đăng tin &amp; Quản lý tin'!$AT$7:$AT$500="N/A"))+SUMPRODUCT(--ISNUMBER(SEARCH(", "&amp;$B96&amp;", ",", "&amp;'Trust &amp; Safety'!$B$7:$B$500&amp;", ")),--('Trust &amp; Safety'!$AT$7:$AT$500="N/A"))+SUMPRODUCT(--ISNUMBER(SEARCH(", "&amp;$B96&amp;", ",", "&amp;'Tài khoản &amp; Hồ sơ'!$B$7:$B$500&amp;", ")),--('Tài khoản &amp; Hồ sơ'!$AT$7:$AT$500="N/A"))</f>
        <v/>
      </c>
      <c r="K96" s="54">
        <f>IFERROR(F96/E96,0)</f>
        <v/>
      </c>
      <c r="L96" s="113">
        <f>IF(E96=0,"Chưa có TC (gap)",IF(H96&gt;0,"Có lỗi (Fail)",IF(I96&gt;0,"Bị block",IF(F96&lt;E96,"Đang test",IF(G96=0,"Không áp dụng (N/A)","Đã test xong")))))</f>
        <v/>
      </c>
      <c r="AB96" t="inlineStr">
        <is>
          <t>REQ-NTF</t>
        </is>
      </c>
    </row>
    <row r="97" ht="15.75" customHeight="1" s="216">
      <c r="A97" s="1" t="n"/>
      <c r="B97" s="112" t="inlineStr">
        <is>
          <t>REQ-NTF-008</t>
        </is>
      </c>
      <c r="C97" s="261" t="inlineStr"/>
      <c r="D97" s="113" t="inlineStr">
        <is>
          <t>DOC-v1.0-06</t>
        </is>
      </c>
      <c r="E97" s="53">
        <f>SUMPRODUCT(--ISNUMBER(SEARCH(", "&amp;$B97&amp;", ",", "&amp;'Hoạt động (Đơn của tôi)'!$B$7:$B$500&amp;", ")))+SUMPRODUCT(--ISNUMBER(SEARCH(", "&amp;$B97&amp;", ",", "&amp;'Ghép nối'!$B$7:$B$500&amp;", ")))+SUMPRODUCT(--ISNUMBER(SEARCH(", "&amp;$B97&amp;", ",", "&amp;'Huỷ đơn - Huỷ nhận đơn'!$B$7:$B$500&amp;", ")))+SUMPRODUCT(--ISNUMBER(SEARCH(", "&amp;$B97&amp;", ",", "&amp;'Giao nhận &amp; Theo dõi đơn'!$B$7:$B$500&amp;", ")))+SUMPRODUCT(--ISNUMBER(SEARCH(", "&amp;$B97&amp;", ",", "&amp;'Bảng tin &amp; Chi tiết tin'!$B$7:$B$500&amp;", ")))+SUMPRODUCT(--ISNUMBER(SEARCH(", "&amp;$B97&amp;", ",", "&amp;'Quà cảm ơn'!$B$7:$B$500&amp;", ")))+SUMPRODUCT(--ISNUMBER(SEARCH(", "&amp;$B97&amp;", ",", "&amp;'Trang chủ'!$B$7:$B$500&amp;", ")))+SUMPRODUCT(--ISNUMBER(SEARCH(", "&amp;$B97&amp;", ",", "&amp;'Thông báo'!$B$7:$B$500&amp;", ")))+SUMPRODUCT(--ISNUMBER(SEARCH(", "&amp;$B97&amp;", ",", "&amp;'Đăng tin &amp; Quản lý tin'!$B$7:$B$500&amp;", ")))+SUMPRODUCT(--ISNUMBER(SEARCH(", "&amp;$B97&amp;", ",", "&amp;'Trust &amp; Safety'!$B$7:$B$500&amp;", ")))+SUMPRODUCT(--ISNUMBER(SEARCH(", "&amp;$B97&amp;", ",", "&amp;'Tài khoản &amp; Hồ sơ'!$B$7:$B$500&amp;", ")))</f>
        <v/>
      </c>
      <c r="F97" s="53">
        <f>SUMPRODUCT(--ISNUMBER(SEARCH(", "&amp;$B97&amp;", ",", "&amp;'Hoạt động (Đơn của tôi)'!$B$7:$B$500&amp;", ")),--('Hoạt động (Đơn của tôi)'!$AT$7:$AT$500&lt;&gt;""))+SUMPRODUCT(--ISNUMBER(SEARCH(", "&amp;$B97&amp;", ",", "&amp;'Ghép nối'!$B$7:$B$500&amp;", ")),--('Ghép nối'!$AT$7:$AT$500&lt;&gt;""))+SUMPRODUCT(--ISNUMBER(SEARCH(", "&amp;$B97&amp;", ",", "&amp;'Huỷ đơn - Huỷ nhận đơn'!$B$7:$B$500&amp;", ")),--('Huỷ đơn - Huỷ nhận đơn'!$AT$7:$AT$500&lt;&gt;""))+SUMPRODUCT(--ISNUMBER(SEARCH(", "&amp;$B97&amp;", ",", "&amp;'Giao nhận &amp; Theo dõi đơn'!$B$7:$B$500&amp;", ")),--('Giao nhận &amp; Theo dõi đơn'!$AT$7:$AT$500&lt;&gt;""))+SUMPRODUCT(--ISNUMBER(SEARCH(", "&amp;$B97&amp;", ",", "&amp;'Bảng tin &amp; Chi tiết tin'!$B$7:$B$500&amp;", ")),--('Bảng tin &amp; Chi tiết tin'!$AT$7:$AT$500&lt;&gt;""))+SUMPRODUCT(--ISNUMBER(SEARCH(", "&amp;$B97&amp;", ",", "&amp;'Quà cảm ơn'!$B$7:$B$500&amp;", ")),--('Quà cảm ơn'!$AT$7:$AT$500&lt;&gt;""))+SUMPRODUCT(--ISNUMBER(SEARCH(", "&amp;$B97&amp;", ",", "&amp;'Trang chủ'!$B$7:$B$500&amp;", ")),--('Trang chủ'!$AT$7:$AT$500&lt;&gt;""))+SUMPRODUCT(--ISNUMBER(SEARCH(", "&amp;$B97&amp;", ",", "&amp;'Thông báo'!$B$7:$B$500&amp;", ")),--('Thông báo'!$AT$7:$AT$500&lt;&gt;""))+SUMPRODUCT(--ISNUMBER(SEARCH(", "&amp;$B97&amp;", ",", "&amp;'Đăng tin &amp; Quản lý tin'!$B$7:$B$500&amp;", ")),--('Đăng tin &amp; Quản lý tin'!$AT$7:$AT$500&lt;&gt;""))+SUMPRODUCT(--ISNUMBER(SEARCH(", "&amp;$B97&amp;", ",", "&amp;'Trust &amp; Safety'!$B$7:$B$500&amp;", ")),--('Trust &amp; Safety'!$AT$7:$AT$500&lt;&gt;""))+SUMPRODUCT(--ISNUMBER(SEARCH(", "&amp;$B97&amp;", ",", "&amp;'Tài khoản &amp; Hồ sơ'!$B$7:$B$500&amp;", ")),--('Tài khoản &amp; Hồ sơ'!$AT$7:$AT$500&lt;&gt;""))</f>
        <v/>
      </c>
      <c r="G97" s="53">
        <f>SUMPRODUCT(--ISNUMBER(SEARCH(", "&amp;$B97&amp;", ",", "&amp;'Hoạt động (Đơn của tôi)'!$B$7:$B$500&amp;", ")),--('Hoạt động (Đơn của tôi)'!$AT$7:$AT$500="Pass"))+SUMPRODUCT(--ISNUMBER(SEARCH(", "&amp;$B97&amp;", ",", "&amp;'Ghép nối'!$B$7:$B$500&amp;", ")),--('Ghép nối'!$AT$7:$AT$500="Pass"))+SUMPRODUCT(--ISNUMBER(SEARCH(", "&amp;$B97&amp;", ",", "&amp;'Huỷ đơn - Huỷ nhận đơn'!$B$7:$B$500&amp;", ")),--('Huỷ đơn - Huỷ nhận đơn'!$AT$7:$AT$500="Pass"))+SUMPRODUCT(--ISNUMBER(SEARCH(", "&amp;$B97&amp;", ",", "&amp;'Giao nhận &amp; Theo dõi đơn'!$B$7:$B$500&amp;", ")),--('Giao nhận &amp; Theo dõi đơn'!$AT$7:$AT$500="Pass"))+SUMPRODUCT(--ISNUMBER(SEARCH(", "&amp;$B97&amp;", ",", "&amp;'Bảng tin &amp; Chi tiết tin'!$B$7:$B$500&amp;", ")),--('Bảng tin &amp; Chi tiết tin'!$AT$7:$AT$500="Pass"))+SUMPRODUCT(--ISNUMBER(SEARCH(", "&amp;$B97&amp;", ",", "&amp;'Quà cảm ơn'!$B$7:$B$500&amp;", ")),--('Quà cảm ơn'!$AT$7:$AT$500="Pass"))+SUMPRODUCT(--ISNUMBER(SEARCH(", "&amp;$B97&amp;", ",", "&amp;'Trang chủ'!$B$7:$B$500&amp;", ")),--('Trang chủ'!$AT$7:$AT$500="Pass"))+SUMPRODUCT(--ISNUMBER(SEARCH(", "&amp;$B97&amp;", ",", "&amp;'Thông báo'!$B$7:$B$500&amp;", ")),--('Thông báo'!$AT$7:$AT$500="Pass"))+SUMPRODUCT(--ISNUMBER(SEARCH(", "&amp;$B97&amp;", ",", "&amp;'Đăng tin &amp; Quản lý tin'!$B$7:$B$500&amp;", ")),--('Đăng tin &amp; Quản lý tin'!$AT$7:$AT$500="Pass"))+SUMPRODUCT(--ISNUMBER(SEARCH(", "&amp;$B97&amp;", ",", "&amp;'Trust &amp; Safety'!$B$7:$B$500&amp;", ")),--('Trust &amp; Safety'!$AT$7:$AT$500="Pass"))+SUMPRODUCT(--ISNUMBER(SEARCH(", "&amp;$B97&amp;", ",", "&amp;'Tài khoản &amp; Hồ sơ'!$B$7:$B$500&amp;", ")),--('Tài khoản &amp; Hồ sơ'!$AT$7:$AT$500="Pass"))</f>
        <v/>
      </c>
      <c r="H97" s="53">
        <f>SUMPRODUCT(--ISNUMBER(SEARCH(", "&amp;$B97&amp;", ",", "&amp;'Hoạt động (Đơn của tôi)'!$B$7:$B$500&amp;", ")),--('Hoạt động (Đơn của tôi)'!$AT$7:$AT$500="Fail"))+SUMPRODUCT(--ISNUMBER(SEARCH(", "&amp;$B97&amp;", ",", "&amp;'Ghép nối'!$B$7:$B$500&amp;", ")),--('Ghép nối'!$AT$7:$AT$500="Fail"))+SUMPRODUCT(--ISNUMBER(SEARCH(", "&amp;$B97&amp;", ",", "&amp;'Huỷ đơn - Huỷ nhận đơn'!$B$7:$B$500&amp;", ")),--('Huỷ đơn - Huỷ nhận đơn'!$AT$7:$AT$500="Fail"))+SUMPRODUCT(--ISNUMBER(SEARCH(", "&amp;$B97&amp;", ",", "&amp;'Giao nhận &amp; Theo dõi đơn'!$B$7:$B$500&amp;", ")),--('Giao nhận &amp; Theo dõi đơn'!$AT$7:$AT$500="Fail"))+SUMPRODUCT(--ISNUMBER(SEARCH(", "&amp;$B97&amp;", ",", "&amp;'Bảng tin &amp; Chi tiết tin'!$B$7:$B$500&amp;", ")),--('Bảng tin &amp; Chi tiết tin'!$AT$7:$AT$500="Fail"))+SUMPRODUCT(--ISNUMBER(SEARCH(", "&amp;$B97&amp;", ",", "&amp;'Quà cảm ơn'!$B$7:$B$500&amp;", ")),--('Quà cảm ơn'!$AT$7:$AT$500="Fail"))+SUMPRODUCT(--ISNUMBER(SEARCH(", "&amp;$B97&amp;", ",", "&amp;'Trang chủ'!$B$7:$B$500&amp;", ")),--('Trang chủ'!$AT$7:$AT$500="Fail"))+SUMPRODUCT(--ISNUMBER(SEARCH(", "&amp;$B97&amp;", ",", "&amp;'Thông báo'!$B$7:$B$500&amp;", ")),--('Thông báo'!$AT$7:$AT$500="Fail"))+SUMPRODUCT(--ISNUMBER(SEARCH(", "&amp;$B97&amp;", ",", "&amp;'Đăng tin &amp; Quản lý tin'!$B$7:$B$500&amp;", ")),--('Đăng tin &amp; Quản lý tin'!$AT$7:$AT$500="Fail"))+SUMPRODUCT(--ISNUMBER(SEARCH(", "&amp;$B97&amp;", ",", "&amp;'Trust &amp; Safety'!$B$7:$B$500&amp;", ")),--('Trust &amp; Safety'!$AT$7:$AT$500="Fail"))+SUMPRODUCT(--ISNUMBER(SEARCH(", "&amp;$B97&amp;", ",", "&amp;'Tài khoản &amp; Hồ sơ'!$B$7:$B$500&amp;", ")),--('Tài khoản &amp; Hồ sơ'!$AT$7:$AT$500="Fail"))</f>
        <v/>
      </c>
      <c r="I97" s="53">
        <f>SUMPRODUCT(--ISNUMBER(SEARCH(", "&amp;$B97&amp;", ",", "&amp;'Hoạt động (Đơn của tôi)'!$B$7:$B$500&amp;", ")),--('Hoạt động (Đơn của tôi)'!$AT$7:$AT$500="Block"))+SUMPRODUCT(--ISNUMBER(SEARCH(", "&amp;$B97&amp;", ",", "&amp;'Ghép nối'!$B$7:$B$500&amp;", ")),--('Ghép nối'!$AT$7:$AT$500="Block"))+SUMPRODUCT(--ISNUMBER(SEARCH(", "&amp;$B97&amp;", ",", "&amp;'Huỷ đơn - Huỷ nhận đơn'!$B$7:$B$500&amp;", ")),--('Huỷ đơn - Huỷ nhận đơn'!$AT$7:$AT$500="Block"))+SUMPRODUCT(--ISNUMBER(SEARCH(", "&amp;$B97&amp;", ",", "&amp;'Giao nhận &amp; Theo dõi đơn'!$B$7:$B$500&amp;", ")),--('Giao nhận &amp; Theo dõi đơn'!$AT$7:$AT$500="Block"))+SUMPRODUCT(--ISNUMBER(SEARCH(", "&amp;$B97&amp;", ",", "&amp;'Bảng tin &amp; Chi tiết tin'!$B$7:$B$500&amp;", ")),--('Bảng tin &amp; Chi tiết tin'!$AT$7:$AT$500="Block"))+SUMPRODUCT(--ISNUMBER(SEARCH(", "&amp;$B97&amp;", ",", "&amp;'Quà cảm ơn'!$B$7:$B$500&amp;", ")),--('Quà cảm ơn'!$AT$7:$AT$500="Block"))+SUMPRODUCT(--ISNUMBER(SEARCH(", "&amp;$B97&amp;", ",", "&amp;'Trang chủ'!$B$7:$B$500&amp;", ")),--('Trang chủ'!$AT$7:$AT$500="Block"))+SUMPRODUCT(--ISNUMBER(SEARCH(", "&amp;$B97&amp;", ",", "&amp;'Thông báo'!$B$7:$B$500&amp;", ")),--('Thông báo'!$AT$7:$AT$500="Block"))+SUMPRODUCT(--ISNUMBER(SEARCH(", "&amp;$B97&amp;", ",", "&amp;'Đăng tin &amp; Quản lý tin'!$B$7:$B$500&amp;", ")),--('Đăng tin &amp; Quản lý tin'!$AT$7:$AT$500="Block"))+SUMPRODUCT(--ISNUMBER(SEARCH(", "&amp;$B97&amp;", ",", "&amp;'Trust &amp; Safety'!$B$7:$B$500&amp;", ")),--('Trust &amp; Safety'!$AT$7:$AT$500="Block"))+SUMPRODUCT(--ISNUMBER(SEARCH(", "&amp;$B97&amp;", ",", "&amp;'Tài khoản &amp; Hồ sơ'!$B$7:$B$500&amp;", ")),--('Tài khoản &amp; Hồ sơ'!$AT$7:$AT$500="Block"))</f>
        <v/>
      </c>
      <c r="J97" s="53">
        <f>SUMPRODUCT(--ISNUMBER(SEARCH(", "&amp;$B97&amp;", ",", "&amp;'Hoạt động (Đơn của tôi)'!$B$7:$B$500&amp;", ")),--('Hoạt động (Đơn của tôi)'!$AT$7:$AT$500="N/A"))+SUMPRODUCT(--ISNUMBER(SEARCH(", "&amp;$B97&amp;", ",", "&amp;'Ghép nối'!$B$7:$B$500&amp;", ")),--('Ghép nối'!$AT$7:$AT$500="N/A"))+SUMPRODUCT(--ISNUMBER(SEARCH(", "&amp;$B97&amp;", ",", "&amp;'Huỷ đơn - Huỷ nhận đơn'!$B$7:$B$500&amp;", ")),--('Huỷ đơn - Huỷ nhận đơn'!$AT$7:$AT$500="N/A"))+SUMPRODUCT(--ISNUMBER(SEARCH(", "&amp;$B97&amp;", ",", "&amp;'Giao nhận &amp; Theo dõi đơn'!$B$7:$B$500&amp;", ")),--('Giao nhận &amp; Theo dõi đơn'!$AT$7:$AT$500="N/A"))+SUMPRODUCT(--ISNUMBER(SEARCH(", "&amp;$B97&amp;", ",", "&amp;'Bảng tin &amp; Chi tiết tin'!$B$7:$B$500&amp;", ")),--('Bảng tin &amp; Chi tiết tin'!$AT$7:$AT$500="N/A"))+SUMPRODUCT(--ISNUMBER(SEARCH(", "&amp;$B97&amp;", ",", "&amp;'Quà cảm ơn'!$B$7:$B$500&amp;", ")),--('Quà cảm ơn'!$AT$7:$AT$500="N/A"))+SUMPRODUCT(--ISNUMBER(SEARCH(", "&amp;$B97&amp;", ",", "&amp;'Trang chủ'!$B$7:$B$500&amp;", ")),--('Trang chủ'!$AT$7:$AT$500="N/A"))+SUMPRODUCT(--ISNUMBER(SEARCH(", "&amp;$B97&amp;", ",", "&amp;'Thông báo'!$B$7:$B$500&amp;", ")),--('Thông báo'!$AT$7:$AT$500="N/A"))+SUMPRODUCT(--ISNUMBER(SEARCH(", "&amp;$B97&amp;", ",", "&amp;'Đăng tin &amp; Quản lý tin'!$B$7:$B$500&amp;", ")),--('Đăng tin &amp; Quản lý tin'!$AT$7:$AT$500="N/A"))+SUMPRODUCT(--ISNUMBER(SEARCH(", "&amp;$B97&amp;", ",", "&amp;'Trust &amp; Safety'!$B$7:$B$500&amp;", ")),--('Trust &amp; Safety'!$AT$7:$AT$500="N/A"))+SUMPRODUCT(--ISNUMBER(SEARCH(", "&amp;$B97&amp;", ",", "&amp;'Tài khoản &amp; Hồ sơ'!$B$7:$B$500&amp;", ")),--('Tài khoản &amp; Hồ sơ'!$AT$7:$AT$500="N/A"))</f>
        <v/>
      </c>
      <c r="K97" s="54">
        <f>IFERROR(F97/E97,0)</f>
        <v/>
      </c>
      <c r="L97" s="113">
        <f>IF(E97=0,"Chưa có TC (gap)",IF(H97&gt;0,"Có lỗi (Fail)",IF(I97&gt;0,"Bị block",IF(F97&lt;E97,"Đang test",IF(G97=0,"Không áp dụng (N/A)","Đã test xong")))))</f>
        <v/>
      </c>
      <c r="AB97" t="inlineStr">
        <is>
          <t>REQ-NTF</t>
        </is>
      </c>
    </row>
    <row r="98" ht="15.75" customHeight="1" s="216">
      <c r="A98" s="1" t="n"/>
      <c r="B98" s="112" t="inlineStr">
        <is>
          <t>REQ-NTF-009</t>
        </is>
      </c>
      <c r="C98" s="261" t="inlineStr"/>
      <c r="D98" s="113" t="inlineStr">
        <is>
          <t>DOC-v1.0-02</t>
        </is>
      </c>
      <c r="E98" s="53">
        <f>SUMPRODUCT(--ISNUMBER(SEARCH(", "&amp;$B98&amp;", ",", "&amp;'Hoạt động (Đơn của tôi)'!$B$7:$B$500&amp;", ")))+SUMPRODUCT(--ISNUMBER(SEARCH(", "&amp;$B98&amp;", ",", "&amp;'Ghép nối'!$B$7:$B$500&amp;", ")))+SUMPRODUCT(--ISNUMBER(SEARCH(", "&amp;$B98&amp;", ",", "&amp;'Huỷ đơn - Huỷ nhận đơn'!$B$7:$B$500&amp;", ")))+SUMPRODUCT(--ISNUMBER(SEARCH(", "&amp;$B98&amp;", ",", "&amp;'Giao nhận &amp; Theo dõi đơn'!$B$7:$B$500&amp;", ")))+SUMPRODUCT(--ISNUMBER(SEARCH(", "&amp;$B98&amp;", ",", "&amp;'Bảng tin &amp; Chi tiết tin'!$B$7:$B$500&amp;", ")))+SUMPRODUCT(--ISNUMBER(SEARCH(", "&amp;$B98&amp;", ",", "&amp;'Quà cảm ơn'!$B$7:$B$500&amp;", ")))+SUMPRODUCT(--ISNUMBER(SEARCH(", "&amp;$B98&amp;", ",", "&amp;'Trang chủ'!$B$7:$B$500&amp;", ")))+SUMPRODUCT(--ISNUMBER(SEARCH(", "&amp;$B98&amp;", ",", "&amp;'Thông báo'!$B$7:$B$500&amp;", ")))+SUMPRODUCT(--ISNUMBER(SEARCH(", "&amp;$B98&amp;", ",", "&amp;'Đăng tin &amp; Quản lý tin'!$B$7:$B$500&amp;", ")))+SUMPRODUCT(--ISNUMBER(SEARCH(", "&amp;$B98&amp;", ",", "&amp;'Trust &amp; Safety'!$B$7:$B$500&amp;", ")))+SUMPRODUCT(--ISNUMBER(SEARCH(", "&amp;$B98&amp;", ",", "&amp;'Tài khoản &amp; Hồ sơ'!$B$7:$B$500&amp;", ")))</f>
        <v/>
      </c>
      <c r="F98" s="53">
        <f>SUMPRODUCT(--ISNUMBER(SEARCH(", "&amp;$B98&amp;", ",", "&amp;'Hoạt động (Đơn của tôi)'!$B$7:$B$500&amp;", ")),--('Hoạt động (Đơn của tôi)'!$AT$7:$AT$500&lt;&gt;""))+SUMPRODUCT(--ISNUMBER(SEARCH(", "&amp;$B98&amp;", ",", "&amp;'Ghép nối'!$B$7:$B$500&amp;", ")),--('Ghép nối'!$AT$7:$AT$500&lt;&gt;""))+SUMPRODUCT(--ISNUMBER(SEARCH(", "&amp;$B98&amp;", ",", "&amp;'Huỷ đơn - Huỷ nhận đơn'!$B$7:$B$500&amp;", ")),--('Huỷ đơn - Huỷ nhận đơn'!$AT$7:$AT$500&lt;&gt;""))+SUMPRODUCT(--ISNUMBER(SEARCH(", "&amp;$B98&amp;", ",", "&amp;'Giao nhận &amp; Theo dõi đơn'!$B$7:$B$500&amp;", ")),--('Giao nhận &amp; Theo dõi đơn'!$AT$7:$AT$500&lt;&gt;""))+SUMPRODUCT(--ISNUMBER(SEARCH(", "&amp;$B98&amp;", ",", "&amp;'Bảng tin &amp; Chi tiết tin'!$B$7:$B$500&amp;", ")),--('Bảng tin &amp; Chi tiết tin'!$AT$7:$AT$500&lt;&gt;""))+SUMPRODUCT(--ISNUMBER(SEARCH(", "&amp;$B98&amp;", ",", "&amp;'Quà cảm ơn'!$B$7:$B$500&amp;", ")),--('Quà cảm ơn'!$AT$7:$AT$500&lt;&gt;""))+SUMPRODUCT(--ISNUMBER(SEARCH(", "&amp;$B98&amp;", ",", "&amp;'Trang chủ'!$B$7:$B$500&amp;", ")),--('Trang chủ'!$AT$7:$AT$500&lt;&gt;""))+SUMPRODUCT(--ISNUMBER(SEARCH(", "&amp;$B98&amp;", ",", "&amp;'Thông báo'!$B$7:$B$500&amp;", ")),--('Thông báo'!$AT$7:$AT$500&lt;&gt;""))+SUMPRODUCT(--ISNUMBER(SEARCH(", "&amp;$B98&amp;", ",", "&amp;'Đăng tin &amp; Quản lý tin'!$B$7:$B$500&amp;", ")),--('Đăng tin &amp; Quản lý tin'!$AT$7:$AT$500&lt;&gt;""))+SUMPRODUCT(--ISNUMBER(SEARCH(", "&amp;$B98&amp;", ",", "&amp;'Trust &amp; Safety'!$B$7:$B$500&amp;", ")),--('Trust &amp; Safety'!$AT$7:$AT$500&lt;&gt;""))+SUMPRODUCT(--ISNUMBER(SEARCH(", "&amp;$B98&amp;", ",", "&amp;'Tài khoản &amp; Hồ sơ'!$B$7:$B$500&amp;", ")),--('Tài khoản &amp; Hồ sơ'!$AT$7:$AT$500&lt;&gt;""))</f>
        <v/>
      </c>
      <c r="G98" s="53">
        <f>SUMPRODUCT(--ISNUMBER(SEARCH(", "&amp;$B98&amp;", ",", "&amp;'Hoạt động (Đơn của tôi)'!$B$7:$B$500&amp;", ")),--('Hoạt động (Đơn của tôi)'!$AT$7:$AT$500="Pass"))+SUMPRODUCT(--ISNUMBER(SEARCH(", "&amp;$B98&amp;", ",", "&amp;'Ghép nối'!$B$7:$B$500&amp;", ")),--('Ghép nối'!$AT$7:$AT$500="Pass"))+SUMPRODUCT(--ISNUMBER(SEARCH(", "&amp;$B98&amp;", ",", "&amp;'Huỷ đơn - Huỷ nhận đơn'!$B$7:$B$500&amp;", ")),--('Huỷ đơn - Huỷ nhận đơn'!$AT$7:$AT$500="Pass"))+SUMPRODUCT(--ISNUMBER(SEARCH(", "&amp;$B98&amp;", ",", "&amp;'Giao nhận &amp; Theo dõi đơn'!$B$7:$B$500&amp;", ")),--('Giao nhận &amp; Theo dõi đơn'!$AT$7:$AT$500="Pass"))+SUMPRODUCT(--ISNUMBER(SEARCH(", "&amp;$B98&amp;", ",", "&amp;'Bảng tin &amp; Chi tiết tin'!$B$7:$B$500&amp;", ")),--('Bảng tin &amp; Chi tiết tin'!$AT$7:$AT$500="Pass"))+SUMPRODUCT(--ISNUMBER(SEARCH(", "&amp;$B98&amp;", ",", "&amp;'Quà cảm ơn'!$B$7:$B$500&amp;", ")),--('Quà cảm ơn'!$AT$7:$AT$500="Pass"))+SUMPRODUCT(--ISNUMBER(SEARCH(", "&amp;$B98&amp;", ",", "&amp;'Trang chủ'!$B$7:$B$500&amp;", ")),--('Trang chủ'!$AT$7:$AT$500="Pass"))+SUMPRODUCT(--ISNUMBER(SEARCH(", "&amp;$B98&amp;", ",", "&amp;'Thông báo'!$B$7:$B$500&amp;", ")),--('Thông báo'!$AT$7:$AT$500="Pass"))+SUMPRODUCT(--ISNUMBER(SEARCH(", "&amp;$B98&amp;", ",", "&amp;'Đăng tin &amp; Quản lý tin'!$B$7:$B$500&amp;", ")),--('Đăng tin &amp; Quản lý tin'!$AT$7:$AT$500="Pass"))+SUMPRODUCT(--ISNUMBER(SEARCH(", "&amp;$B98&amp;", ",", "&amp;'Trust &amp; Safety'!$B$7:$B$500&amp;", ")),--('Trust &amp; Safety'!$AT$7:$AT$500="Pass"))+SUMPRODUCT(--ISNUMBER(SEARCH(", "&amp;$B98&amp;", ",", "&amp;'Tài khoản &amp; Hồ sơ'!$B$7:$B$500&amp;", ")),--('Tài khoản &amp; Hồ sơ'!$AT$7:$AT$500="Pass"))</f>
        <v/>
      </c>
      <c r="H98" s="53">
        <f>SUMPRODUCT(--ISNUMBER(SEARCH(", "&amp;$B98&amp;", ",", "&amp;'Hoạt động (Đơn của tôi)'!$B$7:$B$500&amp;", ")),--('Hoạt động (Đơn của tôi)'!$AT$7:$AT$500="Fail"))+SUMPRODUCT(--ISNUMBER(SEARCH(", "&amp;$B98&amp;", ",", "&amp;'Ghép nối'!$B$7:$B$500&amp;", ")),--('Ghép nối'!$AT$7:$AT$500="Fail"))+SUMPRODUCT(--ISNUMBER(SEARCH(", "&amp;$B98&amp;", ",", "&amp;'Huỷ đơn - Huỷ nhận đơn'!$B$7:$B$500&amp;", ")),--('Huỷ đơn - Huỷ nhận đơn'!$AT$7:$AT$500="Fail"))+SUMPRODUCT(--ISNUMBER(SEARCH(", "&amp;$B98&amp;", ",", "&amp;'Giao nhận &amp; Theo dõi đơn'!$B$7:$B$500&amp;", ")),--('Giao nhận &amp; Theo dõi đơn'!$AT$7:$AT$500="Fail"))+SUMPRODUCT(--ISNUMBER(SEARCH(", "&amp;$B98&amp;", ",", "&amp;'Bảng tin &amp; Chi tiết tin'!$B$7:$B$500&amp;", ")),--('Bảng tin &amp; Chi tiết tin'!$AT$7:$AT$500="Fail"))+SUMPRODUCT(--ISNUMBER(SEARCH(", "&amp;$B98&amp;", ",", "&amp;'Quà cảm ơn'!$B$7:$B$500&amp;", ")),--('Quà cảm ơn'!$AT$7:$AT$500="Fail"))+SUMPRODUCT(--ISNUMBER(SEARCH(", "&amp;$B98&amp;", ",", "&amp;'Trang chủ'!$B$7:$B$500&amp;", ")),--('Trang chủ'!$AT$7:$AT$500="Fail"))+SUMPRODUCT(--ISNUMBER(SEARCH(", "&amp;$B98&amp;", ",", "&amp;'Thông báo'!$B$7:$B$500&amp;", ")),--('Thông báo'!$AT$7:$AT$500="Fail"))+SUMPRODUCT(--ISNUMBER(SEARCH(", "&amp;$B98&amp;", ",", "&amp;'Đăng tin &amp; Quản lý tin'!$B$7:$B$500&amp;", ")),--('Đăng tin &amp; Quản lý tin'!$AT$7:$AT$500="Fail"))+SUMPRODUCT(--ISNUMBER(SEARCH(", "&amp;$B98&amp;", ",", "&amp;'Trust &amp; Safety'!$B$7:$B$500&amp;", ")),--('Trust &amp; Safety'!$AT$7:$AT$500="Fail"))+SUMPRODUCT(--ISNUMBER(SEARCH(", "&amp;$B98&amp;", ",", "&amp;'Tài khoản &amp; Hồ sơ'!$B$7:$B$500&amp;", ")),--('Tài khoản &amp; Hồ sơ'!$AT$7:$AT$500="Fail"))</f>
        <v/>
      </c>
      <c r="I98" s="53">
        <f>SUMPRODUCT(--ISNUMBER(SEARCH(", "&amp;$B98&amp;", ",", "&amp;'Hoạt động (Đơn của tôi)'!$B$7:$B$500&amp;", ")),--('Hoạt động (Đơn của tôi)'!$AT$7:$AT$500="Block"))+SUMPRODUCT(--ISNUMBER(SEARCH(", "&amp;$B98&amp;", ",", "&amp;'Ghép nối'!$B$7:$B$500&amp;", ")),--('Ghép nối'!$AT$7:$AT$500="Block"))+SUMPRODUCT(--ISNUMBER(SEARCH(", "&amp;$B98&amp;", ",", "&amp;'Huỷ đơn - Huỷ nhận đơn'!$B$7:$B$500&amp;", ")),--('Huỷ đơn - Huỷ nhận đơn'!$AT$7:$AT$500="Block"))+SUMPRODUCT(--ISNUMBER(SEARCH(", "&amp;$B98&amp;", ",", "&amp;'Giao nhận &amp; Theo dõi đơn'!$B$7:$B$500&amp;", ")),--('Giao nhận &amp; Theo dõi đơn'!$AT$7:$AT$500="Block"))+SUMPRODUCT(--ISNUMBER(SEARCH(", "&amp;$B98&amp;", ",", "&amp;'Bảng tin &amp; Chi tiết tin'!$B$7:$B$500&amp;", ")),--('Bảng tin &amp; Chi tiết tin'!$AT$7:$AT$500="Block"))+SUMPRODUCT(--ISNUMBER(SEARCH(", "&amp;$B98&amp;", ",", "&amp;'Quà cảm ơn'!$B$7:$B$500&amp;", ")),--('Quà cảm ơn'!$AT$7:$AT$500="Block"))+SUMPRODUCT(--ISNUMBER(SEARCH(", "&amp;$B98&amp;", ",", "&amp;'Trang chủ'!$B$7:$B$500&amp;", ")),--('Trang chủ'!$AT$7:$AT$500="Block"))+SUMPRODUCT(--ISNUMBER(SEARCH(", "&amp;$B98&amp;", ",", "&amp;'Thông báo'!$B$7:$B$500&amp;", ")),--('Thông báo'!$AT$7:$AT$500="Block"))+SUMPRODUCT(--ISNUMBER(SEARCH(", "&amp;$B98&amp;", ",", "&amp;'Đăng tin &amp; Quản lý tin'!$B$7:$B$500&amp;", ")),--('Đăng tin &amp; Quản lý tin'!$AT$7:$AT$500="Block"))+SUMPRODUCT(--ISNUMBER(SEARCH(", "&amp;$B98&amp;", ",", "&amp;'Trust &amp; Safety'!$B$7:$B$500&amp;", ")),--('Trust &amp; Safety'!$AT$7:$AT$500="Block"))+SUMPRODUCT(--ISNUMBER(SEARCH(", "&amp;$B98&amp;", ",", "&amp;'Tài khoản &amp; Hồ sơ'!$B$7:$B$500&amp;", ")),--('Tài khoản &amp; Hồ sơ'!$AT$7:$AT$500="Block"))</f>
        <v/>
      </c>
      <c r="J98" s="53">
        <f>SUMPRODUCT(--ISNUMBER(SEARCH(", "&amp;$B98&amp;", ",", "&amp;'Hoạt động (Đơn của tôi)'!$B$7:$B$500&amp;", ")),--('Hoạt động (Đơn của tôi)'!$AT$7:$AT$500="N/A"))+SUMPRODUCT(--ISNUMBER(SEARCH(", "&amp;$B98&amp;", ",", "&amp;'Ghép nối'!$B$7:$B$500&amp;", ")),--('Ghép nối'!$AT$7:$AT$500="N/A"))+SUMPRODUCT(--ISNUMBER(SEARCH(", "&amp;$B98&amp;", ",", "&amp;'Huỷ đơn - Huỷ nhận đơn'!$B$7:$B$500&amp;", ")),--('Huỷ đơn - Huỷ nhận đơn'!$AT$7:$AT$500="N/A"))+SUMPRODUCT(--ISNUMBER(SEARCH(", "&amp;$B98&amp;", ",", "&amp;'Giao nhận &amp; Theo dõi đơn'!$B$7:$B$500&amp;", ")),--('Giao nhận &amp; Theo dõi đơn'!$AT$7:$AT$500="N/A"))+SUMPRODUCT(--ISNUMBER(SEARCH(", "&amp;$B98&amp;", ",", "&amp;'Bảng tin &amp; Chi tiết tin'!$B$7:$B$500&amp;", ")),--('Bảng tin &amp; Chi tiết tin'!$AT$7:$AT$500="N/A"))+SUMPRODUCT(--ISNUMBER(SEARCH(", "&amp;$B98&amp;", ",", "&amp;'Quà cảm ơn'!$B$7:$B$500&amp;", ")),--('Quà cảm ơn'!$AT$7:$AT$500="N/A"))+SUMPRODUCT(--ISNUMBER(SEARCH(", "&amp;$B98&amp;", ",", "&amp;'Trang chủ'!$B$7:$B$500&amp;", ")),--('Trang chủ'!$AT$7:$AT$500="N/A"))+SUMPRODUCT(--ISNUMBER(SEARCH(", "&amp;$B98&amp;", ",", "&amp;'Thông báo'!$B$7:$B$500&amp;", ")),--('Thông báo'!$AT$7:$AT$500="N/A"))+SUMPRODUCT(--ISNUMBER(SEARCH(", "&amp;$B98&amp;", ",", "&amp;'Đăng tin &amp; Quản lý tin'!$B$7:$B$500&amp;", ")),--('Đăng tin &amp; Quản lý tin'!$AT$7:$AT$500="N/A"))+SUMPRODUCT(--ISNUMBER(SEARCH(", "&amp;$B98&amp;", ",", "&amp;'Trust &amp; Safety'!$B$7:$B$500&amp;", ")),--('Trust &amp; Safety'!$AT$7:$AT$500="N/A"))+SUMPRODUCT(--ISNUMBER(SEARCH(", "&amp;$B98&amp;", ",", "&amp;'Tài khoản &amp; Hồ sơ'!$B$7:$B$500&amp;", ")),--('Tài khoản &amp; Hồ sơ'!$AT$7:$AT$500="N/A"))</f>
        <v/>
      </c>
      <c r="K98" s="54">
        <f>IFERROR(F98/E98,0)</f>
        <v/>
      </c>
      <c r="L98" s="113">
        <f>IF(E98=0,"Chưa có TC (gap)",IF(H98&gt;0,"Có lỗi (Fail)",IF(I98&gt;0,"Bị block",IF(F98&lt;E98,"Đang test",IF(G98=0,"Không áp dụng (N/A)","Đã test xong")))))</f>
        <v/>
      </c>
      <c r="AB98" t="inlineStr">
        <is>
          <t>REQ-NTF</t>
        </is>
      </c>
    </row>
    <row r="99" ht="15.75" customHeight="1" s="216">
      <c r="A99" s="1" t="n"/>
      <c r="B99" s="112" t="inlineStr">
        <is>
          <t>REQ-NTF-011</t>
        </is>
      </c>
      <c r="C99" s="261" t="inlineStr"/>
      <c r="D99" s="113" t="inlineStr">
        <is>
          <t>DOC-v1.0-06</t>
        </is>
      </c>
      <c r="E99" s="53">
        <f>SUMPRODUCT(--ISNUMBER(SEARCH(", "&amp;$B99&amp;", ",", "&amp;'Hoạt động (Đơn của tôi)'!$B$7:$B$500&amp;", ")))+SUMPRODUCT(--ISNUMBER(SEARCH(", "&amp;$B99&amp;", ",", "&amp;'Ghép nối'!$B$7:$B$500&amp;", ")))+SUMPRODUCT(--ISNUMBER(SEARCH(", "&amp;$B99&amp;", ",", "&amp;'Huỷ đơn - Huỷ nhận đơn'!$B$7:$B$500&amp;", ")))+SUMPRODUCT(--ISNUMBER(SEARCH(", "&amp;$B99&amp;", ",", "&amp;'Giao nhận &amp; Theo dõi đơn'!$B$7:$B$500&amp;", ")))+SUMPRODUCT(--ISNUMBER(SEARCH(", "&amp;$B99&amp;", ",", "&amp;'Bảng tin &amp; Chi tiết tin'!$B$7:$B$500&amp;", ")))+SUMPRODUCT(--ISNUMBER(SEARCH(", "&amp;$B99&amp;", ",", "&amp;'Quà cảm ơn'!$B$7:$B$500&amp;", ")))+SUMPRODUCT(--ISNUMBER(SEARCH(", "&amp;$B99&amp;", ",", "&amp;'Trang chủ'!$B$7:$B$500&amp;", ")))+SUMPRODUCT(--ISNUMBER(SEARCH(", "&amp;$B99&amp;", ",", "&amp;'Thông báo'!$B$7:$B$500&amp;", ")))+SUMPRODUCT(--ISNUMBER(SEARCH(", "&amp;$B99&amp;", ",", "&amp;'Đăng tin &amp; Quản lý tin'!$B$7:$B$500&amp;", ")))+SUMPRODUCT(--ISNUMBER(SEARCH(", "&amp;$B99&amp;", ",", "&amp;'Trust &amp; Safety'!$B$7:$B$500&amp;", ")))+SUMPRODUCT(--ISNUMBER(SEARCH(", "&amp;$B99&amp;", ",", "&amp;'Tài khoản &amp; Hồ sơ'!$B$7:$B$500&amp;", ")))</f>
        <v/>
      </c>
      <c r="F99" s="53">
        <f>SUMPRODUCT(--ISNUMBER(SEARCH(", "&amp;$B99&amp;", ",", "&amp;'Hoạt động (Đơn của tôi)'!$B$7:$B$500&amp;", ")),--('Hoạt động (Đơn của tôi)'!$AT$7:$AT$500&lt;&gt;""))+SUMPRODUCT(--ISNUMBER(SEARCH(", "&amp;$B99&amp;", ",", "&amp;'Ghép nối'!$B$7:$B$500&amp;", ")),--('Ghép nối'!$AT$7:$AT$500&lt;&gt;""))+SUMPRODUCT(--ISNUMBER(SEARCH(", "&amp;$B99&amp;", ",", "&amp;'Huỷ đơn - Huỷ nhận đơn'!$B$7:$B$500&amp;", ")),--('Huỷ đơn - Huỷ nhận đơn'!$AT$7:$AT$500&lt;&gt;""))+SUMPRODUCT(--ISNUMBER(SEARCH(", "&amp;$B99&amp;", ",", "&amp;'Giao nhận &amp; Theo dõi đơn'!$B$7:$B$500&amp;", ")),--('Giao nhận &amp; Theo dõi đơn'!$AT$7:$AT$500&lt;&gt;""))+SUMPRODUCT(--ISNUMBER(SEARCH(", "&amp;$B99&amp;", ",", "&amp;'Bảng tin &amp; Chi tiết tin'!$B$7:$B$500&amp;", ")),--('Bảng tin &amp; Chi tiết tin'!$AT$7:$AT$500&lt;&gt;""))+SUMPRODUCT(--ISNUMBER(SEARCH(", "&amp;$B99&amp;", ",", "&amp;'Quà cảm ơn'!$B$7:$B$500&amp;", ")),--('Quà cảm ơn'!$AT$7:$AT$500&lt;&gt;""))+SUMPRODUCT(--ISNUMBER(SEARCH(", "&amp;$B99&amp;", ",", "&amp;'Trang chủ'!$B$7:$B$500&amp;", ")),--('Trang chủ'!$AT$7:$AT$500&lt;&gt;""))+SUMPRODUCT(--ISNUMBER(SEARCH(", "&amp;$B99&amp;", ",", "&amp;'Thông báo'!$B$7:$B$500&amp;", ")),--('Thông báo'!$AT$7:$AT$500&lt;&gt;""))+SUMPRODUCT(--ISNUMBER(SEARCH(", "&amp;$B99&amp;", ",", "&amp;'Đăng tin &amp; Quản lý tin'!$B$7:$B$500&amp;", ")),--('Đăng tin &amp; Quản lý tin'!$AT$7:$AT$500&lt;&gt;""))+SUMPRODUCT(--ISNUMBER(SEARCH(", "&amp;$B99&amp;", ",", "&amp;'Trust &amp; Safety'!$B$7:$B$500&amp;", ")),--('Trust &amp; Safety'!$AT$7:$AT$500&lt;&gt;""))+SUMPRODUCT(--ISNUMBER(SEARCH(", "&amp;$B99&amp;", ",", "&amp;'Tài khoản &amp; Hồ sơ'!$B$7:$B$500&amp;", ")),--('Tài khoản &amp; Hồ sơ'!$AT$7:$AT$500&lt;&gt;""))</f>
        <v/>
      </c>
      <c r="G99" s="53">
        <f>SUMPRODUCT(--ISNUMBER(SEARCH(", "&amp;$B99&amp;", ",", "&amp;'Hoạt động (Đơn của tôi)'!$B$7:$B$500&amp;", ")),--('Hoạt động (Đơn của tôi)'!$AT$7:$AT$500="Pass"))+SUMPRODUCT(--ISNUMBER(SEARCH(", "&amp;$B99&amp;", ",", "&amp;'Ghép nối'!$B$7:$B$500&amp;", ")),--('Ghép nối'!$AT$7:$AT$500="Pass"))+SUMPRODUCT(--ISNUMBER(SEARCH(", "&amp;$B99&amp;", ",", "&amp;'Huỷ đơn - Huỷ nhận đơn'!$B$7:$B$500&amp;", ")),--('Huỷ đơn - Huỷ nhận đơn'!$AT$7:$AT$500="Pass"))+SUMPRODUCT(--ISNUMBER(SEARCH(", "&amp;$B99&amp;", ",", "&amp;'Giao nhận &amp; Theo dõi đơn'!$B$7:$B$500&amp;", ")),--('Giao nhận &amp; Theo dõi đơn'!$AT$7:$AT$500="Pass"))+SUMPRODUCT(--ISNUMBER(SEARCH(", "&amp;$B99&amp;", ",", "&amp;'Bảng tin &amp; Chi tiết tin'!$B$7:$B$500&amp;", ")),--('Bảng tin &amp; Chi tiết tin'!$AT$7:$AT$500="Pass"))+SUMPRODUCT(--ISNUMBER(SEARCH(", "&amp;$B99&amp;", ",", "&amp;'Quà cảm ơn'!$B$7:$B$500&amp;", ")),--('Quà cảm ơn'!$AT$7:$AT$500="Pass"))+SUMPRODUCT(--ISNUMBER(SEARCH(", "&amp;$B99&amp;", ",", "&amp;'Trang chủ'!$B$7:$B$500&amp;", ")),--('Trang chủ'!$AT$7:$AT$500="Pass"))+SUMPRODUCT(--ISNUMBER(SEARCH(", "&amp;$B99&amp;", ",", "&amp;'Thông báo'!$B$7:$B$500&amp;", ")),--('Thông báo'!$AT$7:$AT$500="Pass"))+SUMPRODUCT(--ISNUMBER(SEARCH(", "&amp;$B99&amp;", ",", "&amp;'Đăng tin &amp; Quản lý tin'!$B$7:$B$500&amp;", ")),--('Đăng tin &amp; Quản lý tin'!$AT$7:$AT$500="Pass"))+SUMPRODUCT(--ISNUMBER(SEARCH(", "&amp;$B99&amp;", ",", "&amp;'Trust &amp; Safety'!$B$7:$B$500&amp;", ")),--('Trust &amp; Safety'!$AT$7:$AT$500="Pass"))+SUMPRODUCT(--ISNUMBER(SEARCH(", "&amp;$B99&amp;", ",", "&amp;'Tài khoản &amp; Hồ sơ'!$B$7:$B$500&amp;", ")),--('Tài khoản &amp; Hồ sơ'!$AT$7:$AT$500="Pass"))</f>
        <v/>
      </c>
      <c r="H99" s="53">
        <f>SUMPRODUCT(--ISNUMBER(SEARCH(", "&amp;$B99&amp;", ",", "&amp;'Hoạt động (Đơn của tôi)'!$B$7:$B$500&amp;", ")),--('Hoạt động (Đơn của tôi)'!$AT$7:$AT$500="Fail"))+SUMPRODUCT(--ISNUMBER(SEARCH(", "&amp;$B99&amp;", ",", "&amp;'Ghép nối'!$B$7:$B$500&amp;", ")),--('Ghép nối'!$AT$7:$AT$500="Fail"))+SUMPRODUCT(--ISNUMBER(SEARCH(", "&amp;$B99&amp;", ",", "&amp;'Huỷ đơn - Huỷ nhận đơn'!$B$7:$B$500&amp;", ")),--('Huỷ đơn - Huỷ nhận đơn'!$AT$7:$AT$500="Fail"))+SUMPRODUCT(--ISNUMBER(SEARCH(", "&amp;$B99&amp;", ",", "&amp;'Giao nhận &amp; Theo dõi đơn'!$B$7:$B$500&amp;", ")),--('Giao nhận &amp; Theo dõi đơn'!$AT$7:$AT$500="Fail"))+SUMPRODUCT(--ISNUMBER(SEARCH(", "&amp;$B99&amp;", ",", "&amp;'Bảng tin &amp; Chi tiết tin'!$B$7:$B$500&amp;", ")),--('Bảng tin &amp; Chi tiết tin'!$AT$7:$AT$500="Fail"))+SUMPRODUCT(--ISNUMBER(SEARCH(", "&amp;$B99&amp;", ",", "&amp;'Quà cảm ơn'!$B$7:$B$500&amp;", ")),--('Quà cảm ơn'!$AT$7:$AT$500="Fail"))+SUMPRODUCT(--ISNUMBER(SEARCH(", "&amp;$B99&amp;", ",", "&amp;'Trang chủ'!$B$7:$B$500&amp;", ")),--('Trang chủ'!$AT$7:$AT$500="Fail"))+SUMPRODUCT(--ISNUMBER(SEARCH(", "&amp;$B99&amp;", ",", "&amp;'Thông báo'!$B$7:$B$500&amp;", ")),--('Thông báo'!$AT$7:$AT$500="Fail"))+SUMPRODUCT(--ISNUMBER(SEARCH(", "&amp;$B99&amp;", ",", "&amp;'Đăng tin &amp; Quản lý tin'!$B$7:$B$500&amp;", ")),--('Đăng tin &amp; Quản lý tin'!$AT$7:$AT$500="Fail"))+SUMPRODUCT(--ISNUMBER(SEARCH(", "&amp;$B99&amp;", ",", "&amp;'Trust &amp; Safety'!$B$7:$B$500&amp;", ")),--('Trust &amp; Safety'!$AT$7:$AT$500="Fail"))+SUMPRODUCT(--ISNUMBER(SEARCH(", "&amp;$B99&amp;", ",", "&amp;'Tài khoản &amp; Hồ sơ'!$B$7:$B$500&amp;", ")),--('Tài khoản &amp; Hồ sơ'!$AT$7:$AT$500="Fail"))</f>
        <v/>
      </c>
      <c r="I99" s="53">
        <f>SUMPRODUCT(--ISNUMBER(SEARCH(", "&amp;$B99&amp;", ",", "&amp;'Hoạt động (Đơn của tôi)'!$B$7:$B$500&amp;", ")),--('Hoạt động (Đơn của tôi)'!$AT$7:$AT$500="Block"))+SUMPRODUCT(--ISNUMBER(SEARCH(", "&amp;$B99&amp;", ",", "&amp;'Ghép nối'!$B$7:$B$500&amp;", ")),--('Ghép nối'!$AT$7:$AT$500="Block"))+SUMPRODUCT(--ISNUMBER(SEARCH(", "&amp;$B99&amp;", ",", "&amp;'Huỷ đơn - Huỷ nhận đơn'!$B$7:$B$500&amp;", ")),--('Huỷ đơn - Huỷ nhận đơn'!$AT$7:$AT$500="Block"))+SUMPRODUCT(--ISNUMBER(SEARCH(", "&amp;$B99&amp;", ",", "&amp;'Giao nhận &amp; Theo dõi đơn'!$B$7:$B$500&amp;", ")),--('Giao nhận &amp; Theo dõi đơn'!$AT$7:$AT$500="Block"))+SUMPRODUCT(--ISNUMBER(SEARCH(", "&amp;$B99&amp;", ",", "&amp;'Bảng tin &amp; Chi tiết tin'!$B$7:$B$500&amp;", ")),--('Bảng tin &amp; Chi tiết tin'!$AT$7:$AT$500="Block"))+SUMPRODUCT(--ISNUMBER(SEARCH(", "&amp;$B99&amp;", ",", "&amp;'Quà cảm ơn'!$B$7:$B$500&amp;", ")),--('Quà cảm ơn'!$AT$7:$AT$500="Block"))+SUMPRODUCT(--ISNUMBER(SEARCH(", "&amp;$B99&amp;", ",", "&amp;'Trang chủ'!$B$7:$B$500&amp;", ")),--('Trang chủ'!$AT$7:$AT$500="Block"))+SUMPRODUCT(--ISNUMBER(SEARCH(", "&amp;$B99&amp;", ",", "&amp;'Thông báo'!$B$7:$B$500&amp;", ")),--('Thông báo'!$AT$7:$AT$500="Block"))+SUMPRODUCT(--ISNUMBER(SEARCH(", "&amp;$B99&amp;", ",", "&amp;'Đăng tin &amp; Quản lý tin'!$B$7:$B$500&amp;", ")),--('Đăng tin &amp; Quản lý tin'!$AT$7:$AT$500="Block"))+SUMPRODUCT(--ISNUMBER(SEARCH(", "&amp;$B99&amp;", ",", "&amp;'Trust &amp; Safety'!$B$7:$B$500&amp;", ")),--('Trust &amp; Safety'!$AT$7:$AT$500="Block"))+SUMPRODUCT(--ISNUMBER(SEARCH(", "&amp;$B99&amp;", ",", "&amp;'Tài khoản &amp; Hồ sơ'!$B$7:$B$500&amp;", ")),--('Tài khoản &amp; Hồ sơ'!$AT$7:$AT$500="Block"))</f>
        <v/>
      </c>
      <c r="J99" s="53">
        <f>SUMPRODUCT(--ISNUMBER(SEARCH(", "&amp;$B99&amp;", ",", "&amp;'Hoạt động (Đơn của tôi)'!$B$7:$B$500&amp;", ")),--('Hoạt động (Đơn của tôi)'!$AT$7:$AT$500="N/A"))+SUMPRODUCT(--ISNUMBER(SEARCH(", "&amp;$B99&amp;", ",", "&amp;'Ghép nối'!$B$7:$B$500&amp;", ")),--('Ghép nối'!$AT$7:$AT$500="N/A"))+SUMPRODUCT(--ISNUMBER(SEARCH(", "&amp;$B99&amp;", ",", "&amp;'Huỷ đơn - Huỷ nhận đơn'!$B$7:$B$500&amp;", ")),--('Huỷ đơn - Huỷ nhận đơn'!$AT$7:$AT$500="N/A"))+SUMPRODUCT(--ISNUMBER(SEARCH(", "&amp;$B99&amp;", ",", "&amp;'Giao nhận &amp; Theo dõi đơn'!$B$7:$B$500&amp;", ")),--('Giao nhận &amp; Theo dõi đơn'!$AT$7:$AT$500="N/A"))+SUMPRODUCT(--ISNUMBER(SEARCH(", "&amp;$B99&amp;", ",", "&amp;'Bảng tin &amp; Chi tiết tin'!$B$7:$B$500&amp;", ")),--('Bảng tin &amp; Chi tiết tin'!$AT$7:$AT$500="N/A"))+SUMPRODUCT(--ISNUMBER(SEARCH(", "&amp;$B99&amp;", ",", "&amp;'Quà cảm ơn'!$B$7:$B$500&amp;", ")),--('Quà cảm ơn'!$AT$7:$AT$500="N/A"))+SUMPRODUCT(--ISNUMBER(SEARCH(", "&amp;$B99&amp;", ",", "&amp;'Trang chủ'!$B$7:$B$500&amp;", ")),--('Trang chủ'!$AT$7:$AT$500="N/A"))+SUMPRODUCT(--ISNUMBER(SEARCH(", "&amp;$B99&amp;", ",", "&amp;'Thông báo'!$B$7:$B$500&amp;", ")),--('Thông báo'!$AT$7:$AT$500="N/A"))+SUMPRODUCT(--ISNUMBER(SEARCH(", "&amp;$B99&amp;", ",", "&amp;'Đăng tin &amp; Quản lý tin'!$B$7:$B$500&amp;", ")),--('Đăng tin &amp; Quản lý tin'!$AT$7:$AT$500="N/A"))+SUMPRODUCT(--ISNUMBER(SEARCH(", "&amp;$B99&amp;", ",", "&amp;'Trust &amp; Safety'!$B$7:$B$500&amp;", ")),--('Trust &amp; Safety'!$AT$7:$AT$500="N/A"))+SUMPRODUCT(--ISNUMBER(SEARCH(", "&amp;$B99&amp;", ",", "&amp;'Tài khoản &amp; Hồ sơ'!$B$7:$B$500&amp;", ")),--('Tài khoản &amp; Hồ sơ'!$AT$7:$AT$500="N/A"))</f>
        <v/>
      </c>
      <c r="K99" s="54">
        <f>IFERROR(F99/E99,0)</f>
        <v/>
      </c>
      <c r="L99" s="113">
        <f>IF(E99=0,"Chưa có TC (gap)",IF(H99&gt;0,"Có lỗi (Fail)",IF(I99&gt;0,"Bị block",IF(F99&lt;E99,"Đang test",IF(G99=0,"Không áp dụng (N/A)","Đã test xong")))))</f>
        <v/>
      </c>
      <c r="AB99" t="inlineStr">
        <is>
          <t>REQ-NTF</t>
        </is>
      </c>
    </row>
    <row r="100" ht="15.75" customHeight="1" s="216">
      <c r="A100" s="1" t="n"/>
      <c r="B100" s="112" t="inlineStr">
        <is>
          <t>REQ-ORD-003</t>
        </is>
      </c>
      <c r="C100" s="261" t="inlineStr">
        <is>
          <t>Nguồn (v1.0) — `DOC-v1.0-01 §D8.1 ORD-01 · L357` + `KP-01 §10.2/§10.3` (quan sát app): **3 nguồn cho 3 danh mục khác nhau**; app STG có 8 chip nhưng chip đầu là **"Giấy tờ, hồ sơ"**, ⛔ **không có chip "Tài liệu"**.</t>
        </is>
      </c>
      <c r="D100" s="113" t="inlineStr">
        <is>
          <t>DOC-v1.1-01 §8.1.4 UI/Field Spec, dòng "Loại hàng" · trang 35</t>
        </is>
      </c>
      <c r="E100" s="53">
        <f>SUMPRODUCT(--ISNUMBER(SEARCH(", "&amp;$B100&amp;", ",", "&amp;'Hoạt động (Đơn của tôi)'!$B$7:$B$500&amp;", ")))+SUMPRODUCT(--ISNUMBER(SEARCH(", "&amp;$B100&amp;", ",", "&amp;'Ghép nối'!$B$7:$B$500&amp;", ")))+SUMPRODUCT(--ISNUMBER(SEARCH(", "&amp;$B100&amp;", ",", "&amp;'Huỷ đơn - Huỷ nhận đơn'!$B$7:$B$500&amp;", ")))+SUMPRODUCT(--ISNUMBER(SEARCH(", "&amp;$B100&amp;", ",", "&amp;'Giao nhận &amp; Theo dõi đơn'!$B$7:$B$500&amp;", ")))+SUMPRODUCT(--ISNUMBER(SEARCH(", "&amp;$B100&amp;", ",", "&amp;'Bảng tin &amp; Chi tiết tin'!$B$7:$B$500&amp;", ")))+SUMPRODUCT(--ISNUMBER(SEARCH(", "&amp;$B100&amp;", ",", "&amp;'Quà cảm ơn'!$B$7:$B$500&amp;", ")))+SUMPRODUCT(--ISNUMBER(SEARCH(", "&amp;$B100&amp;", ",", "&amp;'Trang chủ'!$B$7:$B$500&amp;", ")))+SUMPRODUCT(--ISNUMBER(SEARCH(", "&amp;$B100&amp;", ",", "&amp;'Thông báo'!$B$7:$B$500&amp;", ")))+SUMPRODUCT(--ISNUMBER(SEARCH(", "&amp;$B100&amp;", ",", "&amp;'Đăng tin &amp; Quản lý tin'!$B$7:$B$500&amp;", ")))+SUMPRODUCT(--ISNUMBER(SEARCH(", "&amp;$B100&amp;", ",", "&amp;'Trust &amp; Safety'!$B$7:$B$500&amp;", ")))+SUMPRODUCT(--ISNUMBER(SEARCH(", "&amp;$B100&amp;", ",", "&amp;'Tài khoản &amp; Hồ sơ'!$B$7:$B$500&amp;", ")))</f>
        <v/>
      </c>
      <c r="F100" s="53">
        <f>SUMPRODUCT(--ISNUMBER(SEARCH(", "&amp;$B100&amp;", ",", "&amp;'Hoạt động (Đơn của tôi)'!$B$7:$B$500&amp;", ")),--('Hoạt động (Đơn của tôi)'!$AT$7:$AT$500&lt;&gt;""))+SUMPRODUCT(--ISNUMBER(SEARCH(", "&amp;$B100&amp;", ",", "&amp;'Ghép nối'!$B$7:$B$500&amp;", ")),--('Ghép nối'!$AT$7:$AT$500&lt;&gt;""))+SUMPRODUCT(--ISNUMBER(SEARCH(", "&amp;$B100&amp;", ",", "&amp;'Huỷ đơn - Huỷ nhận đơn'!$B$7:$B$500&amp;", ")),--('Huỷ đơn - Huỷ nhận đơn'!$AT$7:$AT$500&lt;&gt;""))+SUMPRODUCT(--ISNUMBER(SEARCH(", "&amp;$B100&amp;", ",", "&amp;'Giao nhận &amp; Theo dõi đơn'!$B$7:$B$500&amp;", ")),--('Giao nhận &amp; Theo dõi đơn'!$AT$7:$AT$500&lt;&gt;""))+SUMPRODUCT(--ISNUMBER(SEARCH(", "&amp;$B100&amp;", ",", "&amp;'Bảng tin &amp; Chi tiết tin'!$B$7:$B$500&amp;", ")),--('Bảng tin &amp; Chi tiết tin'!$AT$7:$AT$500&lt;&gt;""))+SUMPRODUCT(--ISNUMBER(SEARCH(", "&amp;$B100&amp;", ",", "&amp;'Quà cảm ơn'!$B$7:$B$500&amp;", ")),--('Quà cảm ơn'!$AT$7:$AT$500&lt;&gt;""))+SUMPRODUCT(--ISNUMBER(SEARCH(", "&amp;$B100&amp;", ",", "&amp;'Trang chủ'!$B$7:$B$500&amp;", ")),--('Trang chủ'!$AT$7:$AT$500&lt;&gt;""))+SUMPRODUCT(--ISNUMBER(SEARCH(", "&amp;$B100&amp;", ",", "&amp;'Thông báo'!$B$7:$B$500&amp;", ")),--('Thông báo'!$AT$7:$AT$500&lt;&gt;""))+SUMPRODUCT(--ISNUMBER(SEARCH(", "&amp;$B100&amp;", ",", "&amp;'Đăng tin &amp; Quản lý tin'!$B$7:$B$500&amp;", ")),--('Đăng tin &amp; Quản lý tin'!$AT$7:$AT$500&lt;&gt;""))+SUMPRODUCT(--ISNUMBER(SEARCH(", "&amp;$B100&amp;", ",", "&amp;'Trust &amp; Safety'!$B$7:$B$500&amp;", ")),--('Trust &amp; Safety'!$AT$7:$AT$500&lt;&gt;""))+SUMPRODUCT(--ISNUMBER(SEARCH(", "&amp;$B100&amp;", ",", "&amp;'Tài khoản &amp; Hồ sơ'!$B$7:$B$500&amp;", ")),--('Tài khoản &amp; Hồ sơ'!$AT$7:$AT$500&lt;&gt;""))</f>
        <v/>
      </c>
      <c r="G100" s="53">
        <f>SUMPRODUCT(--ISNUMBER(SEARCH(", "&amp;$B100&amp;", ",", "&amp;'Hoạt động (Đơn của tôi)'!$B$7:$B$500&amp;", ")),--('Hoạt động (Đơn của tôi)'!$AT$7:$AT$500="Pass"))+SUMPRODUCT(--ISNUMBER(SEARCH(", "&amp;$B100&amp;", ",", "&amp;'Ghép nối'!$B$7:$B$500&amp;", ")),--('Ghép nối'!$AT$7:$AT$500="Pass"))+SUMPRODUCT(--ISNUMBER(SEARCH(", "&amp;$B100&amp;", ",", "&amp;'Huỷ đơn - Huỷ nhận đơn'!$B$7:$B$500&amp;", ")),--('Huỷ đơn - Huỷ nhận đơn'!$AT$7:$AT$500="Pass"))+SUMPRODUCT(--ISNUMBER(SEARCH(", "&amp;$B100&amp;", ",", "&amp;'Giao nhận &amp; Theo dõi đơn'!$B$7:$B$500&amp;", ")),--('Giao nhận &amp; Theo dõi đơn'!$AT$7:$AT$500="Pass"))+SUMPRODUCT(--ISNUMBER(SEARCH(", "&amp;$B100&amp;", ",", "&amp;'Bảng tin &amp; Chi tiết tin'!$B$7:$B$500&amp;", ")),--('Bảng tin &amp; Chi tiết tin'!$AT$7:$AT$500="Pass"))+SUMPRODUCT(--ISNUMBER(SEARCH(", "&amp;$B100&amp;", ",", "&amp;'Quà cảm ơn'!$B$7:$B$500&amp;", ")),--('Quà cảm ơn'!$AT$7:$AT$500="Pass"))+SUMPRODUCT(--ISNUMBER(SEARCH(", "&amp;$B100&amp;", ",", "&amp;'Trang chủ'!$B$7:$B$500&amp;", ")),--('Trang chủ'!$AT$7:$AT$500="Pass"))+SUMPRODUCT(--ISNUMBER(SEARCH(", "&amp;$B100&amp;", ",", "&amp;'Thông báo'!$B$7:$B$500&amp;", ")),--('Thông báo'!$AT$7:$AT$500="Pass"))+SUMPRODUCT(--ISNUMBER(SEARCH(", "&amp;$B100&amp;", ",", "&amp;'Đăng tin &amp; Quản lý tin'!$B$7:$B$500&amp;", ")),--('Đăng tin &amp; Quản lý tin'!$AT$7:$AT$500="Pass"))+SUMPRODUCT(--ISNUMBER(SEARCH(", "&amp;$B100&amp;", ",", "&amp;'Trust &amp; Safety'!$B$7:$B$500&amp;", ")),--('Trust &amp; Safety'!$AT$7:$AT$500="Pass"))+SUMPRODUCT(--ISNUMBER(SEARCH(", "&amp;$B100&amp;", ",", "&amp;'Tài khoản &amp; Hồ sơ'!$B$7:$B$500&amp;", ")),--('Tài khoản &amp; Hồ sơ'!$AT$7:$AT$500="Pass"))</f>
        <v/>
      </c>
      <c r="H100" s="53">
        <f>SUMPRODUCT(--ISNUMBER(SEARCH(", "&amp;$B100&amp;", ",", "&amp;'Hoạt động (Đơn của tôi)'!$B$7:$B$500&amp;", ")),--('Hoạt động (Đơn của tôi)'!$AT$7:$AT$500="Fail"))+SUMPRODUCT(--ISNUMBER(SEARCH(", "&amp;$B100&amp;", ",", "&amp;'Ghép nối'!$B$7:$B$500&amp;", ")),--('Ghép nối'!$AT$7:$AT$500="Fail"))+SUMPRODUCT(--ISNUMBER(SEARCH(", "&amp;$B100&amp;", ",", "&amp;'Huỷ đơn - Huỷ nhận đơn'!$B$7:$B$500&amp;", ")),--('Huỷ đơn - Huỷ nhận đơn'!$AT$7:$AT$500="Fail"))+SUMPRODUCT(--ISNUMBER(SEARCH(", "&amp;$B100&amp;", ",", "&amp;'Giao nhận &amp; Theo dõi đơn'!$B$7:$B$500&amp;", ")),--('Giao nhận &amp; Theo dõi đơn'!$AT$7:$AT$500="Fail"))+SUMPRODUCT(--ISNUMBER(SEARCH(", "&amp;$B100&amp;", ",", "&amp;'Bảng tin &amp; Chi tiết tin'!$B$7:$B$500&amp;", ")),--('Bảng tin &amp; Chi tiết tin'!$AT$7:$AT$500="Fail"))+SUMPRODUCT(--ISNUMBER(SEARCH(", "&amp;$B100&amp;", ",", "&amp;'Quà cảm ơn'!$B$7:$B$500&amp;", ")),--('Quà cảm ơn'!$AT$7:$AT$500="Fail"))+SUMPRODUCT(--ISNUMBER(SEARCH(", "&amp;$B100&amp;", ",", "&amp;'Trang chủ'!$B$7:$B$500&amp;", ")),--('Trang chủ'!$AT$7:$AT$500="Fail"))+SUMPRODUCT(--ISNUMBER(SEARCH(", "&amp;$B100&amp;", ",", "&amp;'Thông báo'!$B$7:$B$500&amp;", ")),--('Thông báo'!$AT$7:$AT$500="Fail"))+SUMPRODUCT(--ISNUMBER(SEARCH(", "&amp;$B100&amp;", ",", "&amp;'Đăng tin &amp; Quản lý tin'!$B$7:$B$500&amp;", ")),--('Đăng tin &amp; Quản lý tin'!$AT$7:$AT$500="Fail"))+SUMPRODUCT(--ISNUMBER(SEARCH(", "&amp;$B100&amp;", ",", "&amp;'Trust &amp; Safety'!$B$7:$B$500&amp;", ")),--('Trust &amp; Safety'!$AT$7:$AT$500="Fail"))+SUMPRODUCT(--ISNUMBER(SEARCH(", "&amp;$B100&amp;", ",", "&amp;'Tài khoản &amp; Hồ sơ'!$B$7:$B$500&amp;", ")),--('Tài khoản &amp; Hồ sơ'!$AT$7:$AT$500="Fail"))</f>
        <v/>
      </c>
      <c r="I100" s="53">
        <f>SUMPRODUCT(--ISNUMBER(SEARCH(", "&amp;$B100&amp;", ",", "&amp;'Hoạt động (Đơn của tôi)'!$B$7:$B$500&amp;", ")),--('Hoạt động (Đơn của tôi)'!$AT$7:$AT$500="Block"))+SUMPRODUCT(--ISNUMBER(SEARCH(", "&amp;$B100&amp;", ",", "&amp;'Ghép nối'!$B$7:$B$500&amp;", ")),--('Ghép nối'!$AT$7:$AT$500="Block"))+SUMPRODUCT(--ISNUMBER(SEARCH(", "&amp;$B100&amp;", ",", "&amp;'Huỷ đơn - Huỷ nhận đơn'!$B$7:$B$500&amp;", ")),--('Huỷ đơn - Huỷ nhận đơn'!$AT$7:$AT$500="Block"))+SUMPRODUCT(--ISNUMBER(SEARCH(", "&amp;$B100&amp;", ",", "&amp;'Giao nhận &amp; Theo dõi đơn'!$B$7:$B$500&amp;", ")),--('Giao nhận &amp; Theo dõi đơn'!$AT$7:$AT$500="Block"))+SUMPRODUCT(--ISNUMBER(SEARCH(", "&amp;$B100&amp;", ",", "&amp;'Bảng tin &amp; Chi tiết tin'!$B$7:$B$500&amp;", ")),--('Bảng tin &amp; Chi tiết tin'!$AT$7:$AT$500="Block"))+SUMPRODUCT(--ISNUMBER(SEARCH(", "&amp;$B100&amp;", ",", "&amp;'Quà cảm ơn'!$B$7:$B$500&amp;", ")),--('Quà cảm ơn'!$AT$7:$AT$500="Block"))+SUMPRODUCT(--ISNUMBER(SEARCH(", "&amp;$B100&amp;", ",", "&amp;'Trang chủ'!$B$7:$B$500&amp;", ")),--('Trang chủ'!$AT$7:$AT$500="Block"))+SUMPRODUCT(--ISNUMBER(SEARCH(", "&amp;$B100&amp;", ",", "&amp;'Thông báo'!$B$7:$B$500&amp;", ")),--('Thông báo'!$AT$7:$AT$500="Block"))+SUMPRODUCT(--ISNUMBER(SEARCH(", "&amp;$B100&amp;", ",", "&amp;'Đăng tin &amp; Quản lý tin'!$B$7:$B$500&amp;", ")),--('Đăng tin &amp; Quản lý tin'!$AT$7:$AT$500="Block"))+SUMPRODUCT(--ISNUMBER(SEARCH(", "&amp;$B100&amp;", ",", "&amp;'Trust &amp; Safety'!$B$7:$B$500&amp;", ")),--('Trust &amp; Safety'!$AT$7:$AT$500="Block"))+SUMPRODUCT(--ISNUMBER(SEARCH(", "&amp;$B100&amp;", ",", "&amp;'Tài khoản &amp; Hồ sơ'!$B$7:$B$500&amp;", ")),--('Tài khoản &amp; Hồ sơ'!$AT$7:$AT$500="Block"))</f>
        <v/>
      </c>
      <c r="J100" s="53">
        <f>SUMPRODUCT(--ISNUMBER(SEARCH(", "&amp;$B100&amp;", ",", "&amp;'Hoạt động (Đơn của tôi)'!$B$7:$B$500&amp;", ")),--('Hoạt động (Đơn của tôi)'!$AT$7:$AT$500="N/A"))+SUMPRODUCT(--ISNUMBER(SEARCH(", "&amp;$B100&amp;", ",", "&amp;'Ghép nối'!$B$7:$B$500&amp;", ")),--('Ghép nối'!$AT$7:$AT$500="N/A"))+SUMPRODUCT(--ISNUMBER(SEARCH(", "&amp;$B100&amp;", ",", "&amp;'Huỷ đơn - Huỷ nhận đơn'!$B$7:$B$500&amp;", ")),--('Huỷ đơn - Huỷ nhận đơn'!$AT$7:$AT$500="N/A"))+SUMPRODUCT(--ISNUMBER(SEARCH(", "&amp;$B100&amp;", ",", "&amp;'Giao nhận &amp; Theo dõi đơn'!$B$7:$B$500&amp;", ")),--('Giao nhận &amp; Theo dõi đơn'!$AT$7:$AT$500="N/A"))+SUMPRODUCT(--ISNUMBER(SEARCH(", "&amp;$B100&amp;", ",", "&amp;'Bảng tin &amp; Chi tiết tin'!$B$7:$B$500&amp;", ")),--('Bảng tin &amp; Chi tiết tin'!$AT$7:$AT$500="N/A"))+SUMPRODUCT(--ISNUMBER(SEARCH(", "&amp;$B100&amp;", ",", "&amp;'Quà cảm ơn'!$B$7:$B$500&amp;", ")),--('Quà cảm ơn'!$AT$7:$AT$500="N/A"))+SUMPRODUCT(--ISNUMBER(SEARCH(", "&amp;$B100&amp;", ",", "&amp;'Trang chủ'!$B$7:$B$500&amp;", ")),--('Trang chủ'!$AT$7:$AT$500="N/A"))+SUMPRODUCT(--ISNUMBER(SEARCH(", "&amp;$B100&amp;", ",", "&amp;'Thông báo'!$B$7:$B$500&amp;", ")),--('Thông báo'!$AT$7:$AT$500="N/A"))+SUMPRODUCT(--ISNUMBER(SEARCH(", "&amp;$B100&amp;", ",", "&amp;'Đăng tin &amp; Quản lý tin'!$B$7:$B$500&amp;", ")),--('Đăng tin &amp; Quản lý tin'!$AT$7:$AT$500="N/A"))+SUMPRODUCT(--ISNUMBER(SEARCH(", "&amp;$B100&amp;", ",", "&amp;'Trust &amp; Safety'!$B$7:$B$500&amp;", ")),--('Trust &amp; Safety'!$AT$7:$AT$500="N/A"))+SUMPRODUCT(--ISNUMBER(SEARCH(", "&amp;$B100&amp;", ",", "&amp;'Tài khoản &amp; Hồ sơ'!$B$7:$B$500&amp;", ")),--('Tài khoản &amp; Hồ sơ'!$AT$7:$AT$500="N/A"))</f>
        <v/>
      </c>
      <c r="K100" s="54">
        <f>IFERROR(F100/E100,0)</f>
        <v/>
      </c>
      <c r="L100" s="113">
        <f>IF(E100=0,"Chưa có TC (gap)",IF(H100&gt;0,"Có lỗi (Fail)",IF(I100&gt;0,"Bị block",IF(F100&lt;E100,"Đang test",IF(G100=0,"Không áp dụng (N/A)","Đã test xong")))))</f>
        <v/>
      </c>
      <c r="AB100" t="inlineStr">
        <is>
          <t>REQ-ORD</t>
        </is>
      </c>
    </row>
    <row r="101" ht="15.75" customHeight="1" s="216">
      <c r="A101" s="1" t="n"/>
      <c r="B101" s="112" t="inlineStr">
        <is>
          <t>REQ-ORD-006</t>
        </is>
      </c>
      <c r="C101" s="261" t="inlineStr">
        <is>
          <t>Nguồn (v1.0) — `DOC-v1.0-01 §D8.1 dòng "Ảnh sản phẩm" · L360`: có field ảnh, **không nêu bắt buộc hay không**, không nêu trần.</t>
        </is>
      </c>
      <c r="D101" s="113" t="inlineStr">
        <is>
          <t>DOC-v1.1-01 §8.1.1 BR01-01 · trang 33</t>
        </is>
      </c>
      <c r="E101" s="53">
        <f>SUMPRODUCT(--ISNUMBER(SEARCH(", "&amp;$B101&amp;", ",", "&amp;'Hoạt động (Đơn của tôi)'!$B$7:$B$500&amp;", ")))+SUMPRODUCT(--ISNUMBER(SEARCH(", "&amp;$B101&amp;", ",", "&amp;'Ghép nối'!$B$7:$B$500&amp;", ")))+SUMPRODUCT(--ISNUMBER(SEARCH(", "&amp;$B101&amp;", ",", "&amp;'Huỷ đơn - Huỷ nhận đơn'!$B$7:$B$500&amp;", ")))+SUMPRODUCT(--ISNUMBER(SEARCH(", "&amp;$B101&amp;", ",", "&amp;'Giao nhận &amp; Theo dõi đơn'!$B$7:$B$500&amp;", ")))+SUMPRODUCT(--ISNUMBER(SEARCH(", "&amp;$B101&amp;", ",", "&amp;'Bảng tin &amp; Chi tiết tin'!$B$7:$B$500&amp;", ")))+SUMPRODUCT(--ISNUMBER(SEARCH(", "&amp;$B101&amp;", ",", "&amp;'Quà cảm ơn'!$B$7:$B$500&amp;", ")))+SUMPRODUCT(--ISNUMBER(SEARCH(", "&amp;$B101&amp;", ",", "&amp;'Trang chủ'!$B$7:$B$500&amp;", ")))+SUMPRODUCT(--ISNUMBER(SEARCH(", "&amp;$B101&amp;", ",", "&amp;'Thông báo'!$B$7:$B$500&amp;", ")))+SUMPRODUCT(--ISNUMBER(SEARCH(", "&amp;$B101&amp;", ",", "&amp;'Đăng tin &amp; Quản lý tin'!$B$7:$B$500&amp;", ")))+SUMPRODUCT(--ISNUMBER(SEARCH(", "&amp;$B101&amp;", ",", "&amp;'Trust &amp; Safety'!$B$7:$B$500&amp;", ")))+SUMPRODUCT(--ISNUMBER(SEARCH(", "&amp;$B101&amp;", ",", "&amp;'Tài khoản &amp; Hồ sơ'!$B$7:$B$500&amp;", ")))</f>
        <v/>
      </c>
      <c r="F101" s="53">
        <f>SUMPRODUCT(--ISNUMBER(SEARCH(", "&amp;$B101&amp;", ",", "&amp;'Hoạt động (Đơn của tôi)'!$B$7:$B$500&amp;", ")),--('Hoạt động (Đơn của tôi)'!$AT$7:$AT$500&lt;&gt;""))+SUMPRODUCT(--ISNUMBER(SEARCH(", "&amp;$B101&amp;", ",", "&amp;'Ghép nối'!$B$7:$B$500&amp;", ")),--('Ghép nối'!$AT$7:$AT$500&lt;&gt;""))+SUMPRODUCT(--ISNUMBER(SEARCH(", "&amp;$B101&amp;", ",", "&amp;'Huỷ đơn - Huỷ nhận đơn'!$B$7:$B$500&amp;", ")),--('Huỷ đơn - Huỷ nhận đơn'!$AT$7:$AT$500&lt;&gt;""))+SUMPRODUCT(--ISNUMBER(SEARCH(", "&amp;$B101&amp;", ",", "&amp;'Giao nhận &amp; Theo dõi đơn'!$B$7:$B$500&amp;", ")),--('Giao nhận &amp; Theo dõi đơn'!$AT$7:$AT$500&lt;&gt;""))+SUMPRODUCT(--ISNUMBER(SEARCH(", "&amp;$B101&amp;", ",", "&amp;'Bảng tin &amp; Chi tiết tin'!$B$7:$B$500&amp;", ")),--('Bảng tin &amp; Chi tiết tin'!$AT$7:$AT$500&lt;&gt;""))+SUMPRODUCT(--ISNUMBER(SEARCH(", "&amp;$B101&amp;", ",", "&amp;'Quà cảm ơn'!$B$7:$B$500&amp;", ")),--('Quà cảm ơn'!$AT$7:$AT$500&lt;&gt;""))+SUMPRODUCT(--ISNUMBER(SEARCH(", "&amp;$B101&amp;", ",", "&amp;'Trang chủ'!$B$7:$B$500&amp;", ")),--('Trang chủ'!$AT$7:$AT$500&lt;&gt;""))+SUMPRODUCT(--ISNUMBER(SEARCH(", "&amp;$B101&amp;", ",", "&amp;'Thông báo'!$B$7:$B$500&amp;", ")),--('Thông báo'!$AT$7:$AT$500&lt;&gt;""))+SUMPRODUCT(--ISNUMBER(SEARCH(", "&amp;$B101&amp;", ",", "&amp;'Đăng tin &amp; Quản lý tin'!$B$7:$B$500&amp;", ")),--('Đăng tin &amp; Quản lý tin'!$AT$7:$AT$500&lt;&gt;""))+SUMPRODUCT(--ISNUMBER(SEARCH(", "&amp;$B101&amp;", ",", "&amp;'Trust &amp; Safety'!$B$7:$B$500&amp;", ")),--('Trust &amp; Safety'!$AT$7:$AT$500&lt;&gt;""))+SUMPRODUCT(--ISNUMBER(SEARCH(", "&amp;$B101&amp;", ",", "&amp;'Tài khoản &amp; Hồ sơ'!$B$7:$B$500&amp;", ")),--('Tài khoản &amp; Hồ sơ'!$AT$7:$AT$500&lt;&gt;""))</f>
        <v/>
      </c>
      <c r="G101" s="53">
        <f>SUMPRODUCT(--ISNUMBER(SEARCH(", "&amp;$B101&amp;", ",", "&amp;'Hoạt động (Đơn của tôi)'!$B$7:$B$500&amp;", ")),--('Hoạt động (Đơn của tôi)'!$AT$7:$AT$500="Pass"))+SUMPRODUCT(--ISNUMBER(SEARCH(", "&amp;$B101&amp;", ",", "&amp;'Ghép nối'!$B$7:$B$500&amp;", ")),--('Ghép nối'!$AT$7:$AT$500="Pass"))+SUMPRODUCT(--ISNUMBER(SEARCH(", "&amp;$B101&amp;", ",", "&amp;'Huỷ đơn - Huỷ nhận đơn'!$B$7:$B$500&amp;", ")),--('Huỷ đơn - Huỷ nhận đơn'!$AT$7:$AT$500="Pass"))+SUMPRODUCT(--ISNUMBER(SEARCH(", "&amp;$B101&amp;", ",", "&amp;'Giao nhận &amp; Theo dõi đơn'!$B$7:$B$500&amp;", ")),--('Giao nhận &amp; Theo dõi đơn'!$AT$7:$AT$500="Pass"))+SUMPRODUCT(--ISNUMBER(SEARCH(", "&amp;$B101&amp;", ",", "&amp;'Bảng tin &amp; Chi tiết tin'!$B$7:$B$500&amp;", ")),--('Bảng tin &amp; Chi tiết tin'!$AT$7:$AT$500="Pass"))+SUMPRODUCT(--ISNUMBER(SEARCH(", "&amp;$B101&amp;", ",", "&amp;'Quà cảm ơn'!$B$7:$B$500&amp;", ")),--('Quà cảm ơn'!$AT$7:$AT$500="Pass"))+SUMPRODUCT(--ISNUMBER(SEARCH(", "&amp;$B101&amp;", ",", "&amp;'Trang chủ'!$B$7:$B$500&amp;", ")),--('Trang chủ'!$AT$7:$AT$500="Pass"))+SUMPRODUCT(--ISNUMBER(SEARCH(", "&amp;$B101&amp;", ",", "&amp;'Thông báo'!$B$7:$B$500&amp;", ")),--('Thông báo'!$AT$7:$AT$500="Pass"))+SUMPRODUCT(--ISNUMBER(SEARCH(", "&amp;$B101&amp;", ",", "&amp;'Đăng tin &amp; Quản lý tin'!$B$7:$B$500&amp;", ")),--('Đăng tin &amp; Quản lý tin'!$AT$7:$AT$500="Pass"))+SUMPRODUCT(--ISNUMBER(SEARCH(", "&amp;$B101&amp;", ",", "&amp;'Trust &amp; Safety'!$B$7:$B$500&amp;", ")),--('Trust &amp; Safety'!$AT$7:$AT$500="Pass"))+SUMPRODUCT(--ISNUMBER(SEARCH(", "&amp;$B101&amp;", ",", "&amp;'Tài khoản &amp; Hồ sơ'!$B$7:$B$500&amp;", ")),--('Tài khoản &amp; Hồ sơ'!$AT$7:$AT$500="Pass"))</f>
        <v/>
      </c>
      <c r="H101" s="53">
        <f>SUMPRODUCT(--ISNUMBER(SEARCH(", "&amp;$B101&amp;", ",", "&amp;'Hoạt động (Đơn của tôi)'!$B$7:$B$500&amp;", ")),--('Hoạt động (Đơn của tôi)'!$AT$7:$AT$500="Fail"))+SUMPRODUCT(--ISNUMBER(SEARCH(", "&amp;$B101&amp;", ",", "&amp;'Ghép nối'!$B$7:$B$500&amp;", ")),--('Ghép nối'!$AT$7:$AT$500="Fail"))+SUMPRODUCT(--ISNUMBER(SEARCH(", "&amp;$B101&amp;", ",", "&amp;'Huỷ đơn - Huỷ nhận đơn'!$B$7:$B$500&amp;", ")),--('Huỷ đơn - Huỷ nhận đơn'!$AT$7:$AT$500="Fail"))+SUMPRODUCT(--ISNUMBER(SEARCH(", "&amp;$B101&amp;", ",", "&amp;'Giao nhận &amp; Theo dõi đơn'!$B$7:$B$500&amp;", ")),--('Giao nhận &amp; Theo dõi đơn'!$AT$7:$AT$500="Fail"))+SUMPRODUCT(--ISNUMBER(SEARCH(", "&amp;$B101&amp;", ",", "&amp;'Bảng tin &amp; Chi tiết tin'!$B$7:$B$500&amp;", ")),--('Bảng tin &amp; Chi tiết tin'!$AT$7:$AT$500="Fail"))+SUMPRODUCT(--ISNUMBER(SEARCH(", "&amp;$B101&amp;", ",", "&amp;'Quà cảm ơn'!$B$7:$B$500&amp;", ")),--('Quà cảm ơn'!$AT$7:$AT$500="Fail"))+SUMPRODUCT(--ISNUMBER(SEARCH(", "&amp;$B101&amp;", ",", "&amp;'Trang chủ'!$B$7:$B$500&amp;", ")),--('Trang chủ'!$AT$7:$AT$500="Fail"))+SUMPRODUCT(--ISNUMBER(SEARCH(", "&amp;$B101&amp;", ",", "&amp;'Thông báo'!$B$7:$B$500&amp;", ")),--('Thông báo'!$AT$7:$AT$500="Fail"))+SUMPRODUCT(--ISNUMBER(SEARCH(", "&amp;$B101&amp;", ",", "&amp;'Đăng tin &amp; Quản lý tin'!$B$7:$B$500&amp;", ")),--('Đăng tin &amp; Quản lý tin'!$AT$7:$AT$500="Fail"))+SUMPRODUCT(--ISNUMBER(SEARCH(", "&amp;$B101&amp;", ",", "&amp;'Trust &amp; Safety'!$B$7:$B$500&amp;", ")),--('Trust &amp; Safety'!$AT$7:$AT$500="Fail"))+SUMPRODUCT(--ISNUMBER(SEARCH(", "&amp;$B101&amp;", ",", "&amp;'Tài khoản &amp; Hồ sơ'!$B$7:$B$500&amp;", ")),--('Tài khoản &amp; Hồ sơ'!$AT$7:$AT$500="Fail"))</f>
        <v/>
      </c>
      <c r="I101" s="53">
        <f>SUMPRODUCT(--ISNUMBER(SEARCH(", "&amp;$B101&amp;", ",", "&amp;'Hoạt động (Đơn của tôi)'!$B$7:$B$500&amp;", ")),--('Hoạt động (Đơn của tôi)'!$AT$7:$AT$500="Block"))+SUMPRODUCT(--ISNUMBER(SEARCH(", "&amp;$B101&amp;", ",", "&amp;'Ghép nối'!$B$7:$B$500&amp;", ")),--('Ghép nối'!$AT$7:$AT$500="Block"))+SUMPRODUCT(--ISNUMBER(SEARCH(", "&amp;$B101&amp;", ",", "&amp;'Huỷ đơn - Huỷ nhận đơn'!$B$7:$B$500&amp;", ")),--('Huỷ đơn - Huỷ nhận đơn'!$AT$7:$AT$500="Block"))+SUMPRODUCT(--ISNUMBER(SEARCH(", "&amp;$B101&amp;", ",", "&amp;'Giao nhận &amp; Theo dõi đơn'!$B$7:$B$500&amp;", ")),--('Giao nhận &amp; Theo dõi đơn'!$AT$7:$AT$500="Block"))+SUMPRODUCT(--ISNUMBER(SEARCH(", "&amp;$B101&amp;", ",", "&amp;'Bảng tin &amp; Chi tiết tin'!$B$7:$B$500&amp;", ")),--('Bảng tin &amp; Chi tiết tin'!$AT$7:$AT$500="Block"))+SUMPRODUCT(--ISNUMBER(SEARCH(", "&amp;$B101&amp;", ",", "&amp;'Quà cảm ơn'!$B$7:$B$500&amp;", ")),--('Quà cảm ơn'!$AT$7:$AT$500="Block"))+SUMPRODUCT(--ISNUMBER(SEARCH(", "&amp;$B101&amp;", ",", "&amp;'Trang chủ'!$B$7:$B$500&amp;", ")),--('Trang chủ'!$AT$7:$AT$500="Block"))+SUMPRODUCT(--ISNUMBER(SEARCH(", "&amp;$B101&amp;", ",", "&amp;'Thông báo'!$B$7:$B$500&amp;", ")),--('Thông báo'!$AT$7:$AT$500="Block"))+SUMPRODUCT(--ISNUMBER(SEARCH(", "&amp;$B101&amp;", ",", "&amp;'Đăng tin &amp; Quản lý tin'!$B$7:$B$500&amp;", ")),--('Đăng tin &amp; Quản lý tin'!$AT$7:$AT$500="Block"))+SUMPRODUCT(--ISNUMBER(SEARCH(", "&amp;$B101&amp;", ",", "&amp;'Trust &amp; Safety'!$B$7:$B$500&amp;", ")),--('Trust &amp; Safety'!$AT$7:$AT$500="Block"))+SUMPRODUCT(--ISNUMBER(SEARCH(", "&amp;$B101&amp;", ",", "&amp;'Tài khoản &amp; Hồ sơ'!$B$7:$B$500&amp;", ")),--('Tài khoản &amp; Hồ sơ'!$AT$7:$AT$500="Block"))</f>
        <v/>
      </c>
      <c r="J101" s="53">
        <f>SUMPRODUCT(--ISNUMBER(SEARCH(", "&amp;$B101&amp;", ",", "&amp;'Hoạt động (Đơn của tôi)'!$B$7:$B$500&amp;", ")),--('Hoạt động (Đơn của tôi)'!$AT$7:$AT$500="N/A"))+SUMPRODUCT(--ISNUMBER(SEARCH(", "&amp;$B101&amp;", ",", "&amp;'Ghép nối'!$B$7:$B$500&amp;", ")),--('Ghép nối'!$AT$7:$AT$500="N/A"))+SUMPRODUCT(--ISNUMBER(SEARCH(", "&amp;$B101&amp;", ",", "&amp;'Huỷ đơn - Huỷ nhận đơn'!$B$7:$B$500&amp;", ")),--('Huỷ đơn - Huỷ nhận đơn'!$AT$7:$AT$500="N/A"))+SUMPRODUCT(--ISNUMBER(SEARCH(", "&amp;$B101&amp;", ",", "&amp;'Giao nhận &amp; Theo dõi đơn'!$B$7:$B$500&amp;", ")),--('Giao nhận &amp; Theo dõi đơn'!$AT$7:$AT$500="N/A"))+SUMPRODUCT(--ISNUMBER(SEARCH(", "&amp;$B101&amp;", ",", "&amp;'Bảng tin &amp; Chi tiết tin'!$B$7:$B$500&amp;", ")),--('Bảng tin &amp; Chi tiết tin'!$AT$7:$AT$500="N/A"))+SUMPRODUCT(--ISNUMBER(SEARCH(", "&amp;$B101&amp;", ",", "&amp;'Quà cảm ơn'!$B$7:$B$500&amp;", ")),--('Quà cảm ơn'!$AT$7:$AT$500="N/A"))+SUMPRODUCT(--ISNUMBER(SEARCH(", "&amp;$B101&amp;", ",", "&amp;'Trang chủ'!$B$7:$B$500&amp;", ")),--('Trang chủ'!$AT$7:$AT$500="N/A"))+SUMPRODUCT(--ISNUMBER(SEARCH(", "&amp;$B101&amp;", ",", "&amp;'Thông báo'!$B$7:$B$500&amp;", ")),--('Thông báo'!$AT$7:$AT$500="N/A"))+SUMPRODUCT(--ISNUMBER(SEARCH(", "&amp;$B101&amp;", ",", "&amp;'Đăng tin &amp; Quản lý tin'!$B$7:$B$500&amp;", ")),--('Đăng tin &amp; Quản lý tin'!$AT$7:$AT$500="N/A"))+SUMPRODUCT(--ISNUMBER(SEARCH(", "&amp;$B101&amp;", ",", "&amp;'Trust &amp; Safety'!$B$7:$B$500&amp;", ")),--('Trust &amp; Safety'!$AT$7:$AT$500="N/A"))+SUMPRODUCT(--ISNUMBER(SEARCH(", "&amp;$B101&amp;", ",", "&amp;'Tài khoản &amp; Hồ sơ'!$B$7:$B$500&amp;", ")),--('Tài khoản &amp; Hồ sơ'!$AT$7:$AT$500="N/A"))</f>
        <v/>
      </c>
      <c r="K101" s="54">
        <f>IFERROR(F101/E101,0)</f>
        <v/>
      </c>
      <c r="L101" s="113">
        <f>IF(E101=0,"Chưa có TC (gap)",IF(H101&gt;0,"Có lỗi (Fail)",IF(I101&gt;0,"Bị block",IF(F101&lt;E101,"Đang test",IF(G101=0,"Không áp dụng (N/A)","Đã test xong")))))</f>
        <v/>
      </c>
      <c r="AB101" t="inlineStr">
        <is>
          <t>REQ-ORD</t>
        </is>
      </c>
    </row>
    <row r="102" ht="15.75" customHeight="1" s="216">
      <c r="A102" s="1" t="n"/>
      <c r="B102" s="112" t="inlineStr">
        <is>
          <t>REQ-ORD-007</t>
        </is>
      </c>
      <c r="C102" s="261" t="inlineStr">
        <is>
          <t>Nguồn (v1.0) — `KP-01 §10.5/§10.6/§10.10` (quan sát app): **địa chỉ lấy hàng KHÔNG được pre-fill** ⇒ `C-ORD-10` mở: *"bug hay tài khoản test chưa cấu hình?"*</t>
        </is>
      </c>
      <c r="D102" s="113" t="inlineStr">
        <is>
          <t>DOC-v1.1-01 §8.1.4 UI/Field Spec · trang 35</t>
        </is>
      </c>
      <c r="E102" s="53">
        <f>SUMPRODUCT(--ISNUMBER(SEARCH(", "&amp;$B102&amp;", ",", "&amp;'Hoạt động (Đơn của tôi)'!$B$7:$B$500&amp;", ")))+SUMPRODUCT(--ISNUMBER(SEARCH(", "&amp;$B102&amp;", ",", "&amp;'Ghép nối'!$B$7:$B$500&amp;", ")))+SUMPRODUCT(--ISNUMBER(SEARCH(", "&amp;$B102&amp;", ",", "&amp;'Huỷ đơn - Huỷ nhận đơn'!$B$7:$B$500&amp;", ")))+SUMPRODUCT(--ISNUMBER(SEARCH(", "&amp;$B102&amp;", ",", "&amp;'Giao nhận &amp; Theo dõi đơn'!$B$7:$B$500&amp;", ")))+SUMPRODUCT(--ISNUMBER(SEARCH(", "&amp;$B102&amp;", ",", "&amp;'Bảng tin &amp; Chi tiết tin'!$B$7:$B$500&amp;", ")))+SUMPRODUCT(--ISNUMBER(SEARCH(", "&amp;$B102&amp;", ",", "&amp;'Quà cảm ơn'!$B$7:$B$500&amp;", ")))+SUMPRODUCT(--ISNUMBER(SEARCH(", "&amp;$B102&amp;", ",", "&amp;'Trang chủ'!$B$7:$B$500&amp;", ")))+SUMPRODUCT(--ISNUMBER(SEARCH(", "&amp;$B102&amp;", ",", "&amp;'Thông báo'!$B$7:$B$500&amp;", ")))+SUMPRODUCT(--ISNUMBER(SEARCH(", "&amp;$B102&amp;", ",", "&amp;'Đăng tin &amp; Quản lý tin'!$B$7:$B$500&amp;", ")))+SUMPRODUCT(--ISNUMBER(SEARCH(", "&amp;$B102&amp;", ",", "&amp;'Trust &amp; Safety'!$B$7:$B$500&amp;", ")))+SUMPRODUCT(--ISNUMBER(SEARCH(", "&amp;$B102&amp;", ",", "&amp;'Tài khoản &amp; Hồ sơ'!$B$7:$B$500&amp;", ")))</f>
        <v/>
      </c>
      <c r="F102" s="53">
        <f>SUMPRODUCT(--ISNUMBER(SEARCH(", "&amp;$B102&amp;", ",", "&amp;'Hoạt động (Đơn của tôi)'!$B$7:$B$500&amp;", ")),--('Hoạt động (Đơn của tôi)'!$AT$7:$AT$500&lt;&gt;""))+SUMPRODUCT(--ISNUMBER(SEARCH(", "&amp;$B102&amp;", ",", "&amp;'Ghép nối'!$B$7:$B$500&amp;", ")),--('Ghép nối'!$AT$7:$AT$500&lt;&gt;""))+SUMPRODUCT(--ISNUMBER(SEARCH(", "&amp;$B102&amp;", ",", "&amp;'Huỷ đơn - Huỷ nhận đơn'!$B$7:$B$500&amp;", ")),--('Huỷ đơn - Huỷ nhận đơn'!$AT$7:$AT$500&lt;&gt;""))+SUMPRODUCT(--ISNUMBER(SEARCH(", "&amp;$B102&amp;", ",", "&amp;'Giao nhận &amp; Theo dõi đơn'!$B$7:$B$500&amp;", ")),--('Giao nhận &amp; Theo dõi đơn'!$AT$7:$AT$500&lt;&gt;""))+SUMPRODUCT(--ISNUMBER(SEARCH(", "&amp;$B102&amp;", ",", "&amp;'Bảng tin &amp; Chi tiết tin'!$B$7:$B$500&amp;", ")),--('Bảng tin &amp; Chi tiết tin'!$AT$7:$AT$500&lt;&gt;""))+SUMPRODUCT(--ISNUMBER(SEARCH(", "&amp;$B102&amp;", ",", "&amp;'Quà cảm ơn'!$B$7:$B$500&amp;", ")),--('Quà cảm ơn'!$AT$7:$AT$500&lt;&gt;""))+SUMPRODUCT(--ISNUMBER(SEARCH(", "&amp;$B102&amp;", ",", "&amp;'Trang chủ'!$B$7:$B$500&amp;", ")),--('Trang chủ'!$AT$7:$AT$500&lt;&gt;""))+SUMPRODUCT(--ISNUMBER(SEARCH(", "&amp;$B102&amp;", ",", "&amp;'Thông báo'!$B$7:$B$500&amp;", ")),--('Thông báo'!$AT$7:$AT$500&lt;&gt;""))+SUMPRODUCT(--ISNUMBER(SEARCH(", "&amp;$B102&amp;", ",", "&amp;'Đăng tin &amp; Quản lý tin'!$B$7:$B$500&amp;", ")),--('Đăng tin &amp; Quản lý tin'!$AT$7:$AT$500&lt;&gt;""))+SUMPRODUCT(--ISNUMBER(SEARCH(", "&amp;$B102&amp;", ",", "&amp;'Trust &amp; Safety'!$B$7:$B$500&amp;", ")),--('Trust &amp; Safety'!$AT$7:$AT$500&lt;&gt;""))+SUMPRODUCT(--ISNUMBER(SEARCH(", "&amp;$B102&amp;", ",", "&amp;'Tài khoản &amp; Hồ sơ'!$B$7:$B$500&amp;", ")),--('Tài khoản &amp; Hồ sơ'!$AT$7:$AT$500&lt;&gt;""))</f>
        <v/>
      </c>
      <c r="G102" s="53">
        <f>SUMPRODUCT(--ISNUMBER(SEARCH(", "&amp;$B102&amp;", ",", "&amp;'Hoạt động (Đơn của tôi)'!$B$7:$B$500&amp;", ")),--('Hoạt động (Đơn của tôi)'!$AT$7:$AT$500="Pass"))+SUMPRODUCT(--ISNUMBER(SEARCH(", "&amp;$B102&amp;", ",", "&amp;'Ghép nối'!$B$7:$B$500&amp;", ")),--('Ghép nối'!$AT$7:$AT$500="Pass"))+SUMPRODUCT(--ISNUMBER(SEARCH(", "&amp;$B102&amp;", ",", "&amp;'Huỷ đơn - Huỷ nhận đơn'!$B$7:$B$500&amp;", ")),--('Huỷ đơn - Huỷ nhận đơn'!$AT$7:$AT$500="Pass"))+SUMPRODUCT(--ISNUMBER(SEARCH(", "&amp;$B102&amp;", ",", "&amp;'Giao nhận &amp; Theo dõi đơn'!$B$7:$B$500&amp;", ")),--('Giao nhận &amp; Theo dõi đơn'!$AT$7:$AT$500="Pass"))+SUMPRODUCT(--ISNUMBER(SEARCH(", "&amp;$B102&amp;", ",", "&amp;'Bảng tin &amp; Chi tiết tin'!$B$7:$B$500&amp;", ")),--('Bảng tin &amp; Chi tiết tin'!$AT$7:$AT$500="Pass"))+SUMPRODUCT(--ISNUMBER(SEARCH(", "&amp;$B102&amp;", ",", "&amp;'Quà cảm ơn'!$B$7:$B$500&amp;", ")),--('Quà cảm ơn'!$AT$7:$AT$500="Pass"))+SUMPRODUCT(--ISNUMBER(SEARCH(", "&amp;$B102&amp;", ",", "&amp;'Trang chủ'!$B$7:$B$500&amp;", ")),--('Trang chủ'!$AT$7:$AT$500="Pass"))+SUMPRODUCT(--ISNUMBER(SEARCH(", "&amp;$B102&amp;", ",", "&amp;'Thông báo'!$B$7:$B$500&amp;", ")),--('Thông báo'!$AT$7:$AT$500="Pass"))+SUMPRODUCT(--ISNUMBER(SEARCH(", "&amp;$B102&amp;", ",", "&amp;'Đăng tin &amp; Quản lý tin'!$B$7:$B$500&amp;", ")),--('Đăng tin &amp; Quản lý tin'!$AT$7:$AT$500="Pass"))+SUMPRODUCT(--ISNUMBER(SEARCH(", "&amp;$B102&amp;", ",", "&amp;'Trust &amp; Safety'!$B$7:$B$500&amp;", ")),--('Trust &amp; Safety'!$AT$7:$AT$500="Pass"))+SUMPRODUCT(--ISNUMBER(SEARCH(", "&amp;$B102&amp;", ",", "&amp;'Tài khoản &amp; Hồ sơ'!$B$7:$B$500&amp;", ")),--('Tài khoản &amp; Hồ sơ'!$AT$7:$AT$500="Pass"))</f>
        <v/>
      </c>
      <c r="H102" s="53">
        <f>SUMPRODUCT(--ISNUMBER(SEARCH(", "&amp;$B102&amp;", ",", "&amp;'Hoạt động (Đơn của tôi)'!$B$7:$B$500&amp;", ")),--('Hoạt động (Đơn của tôi)'!$AT$7:$AT$500="Fail"))+SUMPRODUCT(--ISNUMBER(SEARCH(", "&amp;$B102&amp;", ",", "&amp;'Ghép nối'!$B$7:$B$500&amp;", ")),--('Ghép nối'!$AT$7:$AT$500="Fail"))+SUMPRODUCT(--ISNUMBER(SEARCH(", "&amp;$B102&amp;", ",", "&amp;'Huỷ đơn - Huỷ nhận đơn'!$B$7:$B$500&amp;", ")),--('Huỷ đơn - Huỷ nhận đơn'!$AT$7:$AT$500="Fail"))+SUMPRODUCT(--ISNUMBER(SEARCH(", "&amp;$B102&amp;", ",", "&amp;'Giao nhận &amp; Theo dõi đơn'!$B$7:$B$500&amp;", ")),--('Giao nhận &amp; Theo dõi đơn'!$AT$7:$AT$500="Fail"))+SUMPRODUCT(--ISNUMBER(SEARCH(", "&amp;$B102&amp;", ",", "&amp;'Bảng tin &amp; Chi tiết tin'!$B$7:$B$500&amp;", ")),--('Bảng tin &amp; Chi tiết tin'!$AT$7:$AT$500="Fail"))+SUMPRODUCT(--ISNUMBER(SEARCH(", "&amp;$B102&amp;", ",", "&amp;'Quà cảm ơn'!$B$7:$B$500&amp;", ")),--('Quà cảm ơn'!$AT$7:$AT$500="Fail"))+SUMPRODUCT(--ISNUMBER(SEARCH(", "&amp;$B102&amp;", ",", "&amp;'Trang chủ'!$B$7:$B$500&amp;", ")),--('Trang chủ'!$AT$7:$AT$500="Fail"))+SUMPRODUCT(--ISNUMBER(SEARCH(", "&amp;$B102&amp;", ",", "&amp;'Thông báo'!$B$7:$B$500&amp;", ")),--('Thông báo'!$AT$7:$AT$500="Fail"))+SUMPRODUCT(--ISNUMBER(SEARCH(", "&amp;$B102&amp;", ",", "&amp;'Đăng tin &amp; Quản lý tin'!$B$7:$B$500&amp;", ")),--('Đăng tin &amp; Quản lý tin'!$AT$7:$AT$500="Fail"))+SUMPRODUCT(--ISNUMBER(SEARCH(", "&amp;$B102&amp;", ",", "&amp;'Trust &amp; Safety'!$B$7:$B$500&amp;", ")),--('Trust &amp; Safety'!$AT$7:$AT$500="Fail"))+SUMPRODUCT(--ISNUMBER(SEARCH(", "&amp;$B102&amp;", ",", "&amp;'Tài khoản &amp; Hồ sơ'!$B$7:$B$500&amp;", ")),--('Tài khoản &amp; Hồ sơ'!$AT$7:$AT$500="Fail"))</f>
        <v/>
      </c>
      <c r="I102" s="53">
        <f>SUMPRODUCT(--ISNUMBER(SEARCH(", "&amp;$B102&amp;", ",", "&amp;'Hoạt động (Đơn của tôi)'!$B$7:$B$500&amp;", ")),--('Hoạt động (Đơn của tôi)'!$AT$7:$AT$500="Block"))+SUMPRODUCT(--ISNUMBER(SEARCH(", "&amp;$B102&amp;", ",", "&amp;'Ghép nối'!$B$7:$B$500&amp;", ")),--('Ghép nối'!$AT$7:$AT$500="Block"))+SUMPRODUCT(--ISNUMBER(SEARCH(", "&amp;$B102&amp;", ",", "&amp;'Huỷ đơn - Huỷ nhận đơn'!$B$7:$B$500&amp;", ")),--('Huỷ đơn - Huỷ nhận đơn'!$AT$7:$AT$500="Block"))+SUMPRODUCT(--ISNUMBER(SEARCH(", "&amp;$B102&amp;", ",", "&amp;'Giao nhận &amp; Theo dõi đơn'!$B$7:$B$500&amp;", ")),--('Giao nhận &amp; Theo dõi đơn'!$AT$7:$AT$500="Block"))+SUMPRODUCT(--ISNUMBER(SEARCH(", "&amp;$B102&amp;", ",", "&amp;'Bảng tin &amp; Chi tiết tin'!$B$7:$B$500&amp;", ")),--('Bảng tin &amp; Chi tiết tin'!$AT$7:$AT$500="Block"))+SUMPRODUCT(--ISNUMBER(SEARCH(", "&amp;$B102&amp;", ",", "&amp;'Quà cảm ơn'!$B$7:$B$500&amp;", ")),--('Quà cảm ơn'!$AT$7:$AT$500="Block"))+SUMPRODUCT(--ISNUMBER(SEARCH(", "&amp;$B102&amp;", ",", "&amp;'Trang chủ'!$B$7:$B$500&amp;", ")),--('Trang chủ'!$AT$7:$AT$500="Block"))+SUMPRODUCT(--ISNUMBER(SEARCH(", "&amp;$B102&amp;", ",", "&amp;'Thông báo'!$B$7:$B$500&amp;", ")),--('Thông báo'!$AT$7:$AT$500="Block"))+SUMPRODUCT(--ISNUMBER(SEARCH(", "&amp;$B102&amp;", ",", "&amp;'Đăng tin &amp; Quản lý tin'!$B$7:$B$500&amp;", ")),--('Đăng tin &amp; Quản lý tin'!$AT$7:$AT$500="Block"))+SUMPRODUCT(--ISNUMBER(SEARCH(", "&amp;$B102&amp;", ",", "&amp;'Trust &amp; Safety'!$B$7:$B$500&amp;", ")),--('Trust &amp; Safety'!$AT$7:$AT$500="Block"))+SUMPRODUCT(--ISNUMBER(SEARCH(", "&amp;$B102&amp;", ",", "&amp;'Tài khoản &amp; Hồ sơ'!$B$7:$B$500&amp;", ")),--('Tài khoản &amp; Hồ sơ'!$AT$7:$AT$500="Block"))</f>
        <v/>
      </c>
      <c r="J102" s="53">
        <f>SUMPRODUCT(--ISNUMBER(SEARCH(", "&amp;$B102&amp;", ",", "&amp;'Hoạt động (Đơn của tôi)'!$B$7:$B$500&amp;", ")),--('Hoạt động (Đơn của tôi)'!$AT$7:$AT$500="N/A"))+SUMPRODUCT(--ISNUMBER(SEARCH(", "&amp;$B102&amp;", ",", "&amp;'Ghép nối'!$B$7:$B$500&amp;", ")),--('Ghép nối'!$AT$7:$AT$500="N/A"))+SUMPRODUCT(--ISNUMBER(SEARCH(", "&amp;$B102&amp;", ",", "&amp;'Huỷ đơn - Huỷ nhận đơn'!$B$7:$B$500&amp;", ")),--('Huỷ đơn - Huỷ nhận đơn'!$AT$7:$AT$500="N/A"))+SUMPRODUCT(--ISNUMBER(SEARCH(", "&amp;$B102&amp;", ",", "&amp;'Giao nhận &amp; Theo dõi đơn'!$B$7:$B$500&amp;", ")),--('Giao nhận &amp; Theo dõi đơn'!$AT$7:$AT$500="N/A"))+SUMPRODUCT(--ISNUMBER(SEARCH(", "&amp;$B102&amp;", ",", "&amp;'Bảng tin &amp; Chi tiết tin'!$B$7:$B$500&amp;", ")),--('Bảng tin &amp; Chi tiết tin'!$AT$7:$AT$500="N/A"))+SUMPRODUCT(--ISNUMBER(SEARCH(", "&amp;$B102&amp;", ",", "&amp;'Quà cảm ơn'!$B$7:$B$500&amp;", ")),--('Quà cảm ơn'!$AT$7:$AT$500="N/A"))+SUMPRODUCT(--ISNUMBER(SEARCH(", "&amp;$B102&amp;", ",", "&amp;'Trang chủ'!$B$7:$B$500&amp;", ")),--('Trang chủ'!$AT$7:$AT$500="N/A"))+SUMPRODUCT(--ISNUMBER(SEARCH(", "&amp;$B102&amp;", ",", "&amp;'Thông báo'!$B$7:$B$500&amp;", ")),--('Thông báo'!$AT$7:$AT$500="N/A"))+SUMPRODUCT(--ISNUMBER(SEARCH(", "&amp;$B102&amp;", ",", "&amp;'Đăng tin &amp; Quản lý tin'!$B$7:$B$500&amp;", ")),--('Đăng tin &amp; Quản lý tin'!$AT$7:$AT$500="N/A"))+SUMPRODUCT(--ISNUMBER(SEARCH(", "&amp;$B102&amp;", ",", "&amp;'Trust &amp; Safety'!$B$7:$B$500&amp;", ")),--('Trust &amp; Safety'!$AT$7:$AT$500="N/A"))+SUMPRODUCT(--ISNUMBER(SEARCH(", "&amp;$B102&amp;", ",", "&amp;'Tài khoản &amp; Hồ sơ'!$B$7:$B$500&amp;", ")),--('Tài khoản &amp; Hồ sơ'!$AT$7:$AT$500="N/A"))</f>
        <v/>
      </c>
      <c r="K102" s="54">
        <f>IFERROR(F102/E102,0)</f>
        <v/>
      </c>
      <c r="L102" s="113">
        <f>IF(E102=0,"Chưa có TC (gap)",IF(H102&gt;0,"Có lỗi (Fail)",IF(I102&gt;0,"Bị block",IF(F102&lt;E102,"Đang test",IF(G102=0,"Không áp dụng (N/A)","Đã test xong")))))</f>
        <v/>
      </c>
      <c r="AB102" t="inlineStr">
        <is>
          <t>REQ-ORD</t>
        </is>
      </c>
    </row>
    <row r="103" ht="15.75" customHeight="1" s="216">
      <c r="A103" s="1" t="n"/>
      <c r="B103" s="112" t="inlineStr">
        <is>
          <t>REQ-ORD-010</t>
        </is>
      </c>
      <c r="C103" s="261" t="inlineStr">
        <is>
          <t>Nguồn (v1.0) — `DOC-v1.0-01 §D3 LOC-03 L246` + `KP-01 §3 KB-ORD-06` ⇒ `C-ORD-11` Open: *"preset 6 văn phòng / không chip gợi ý / autocomplete?"*</t>
        </is>
      </c>
      <c r="D103" s="113" t="inlineStr">
        <is>
          <t>DOC-v1.1-01 §8.1.4 dòng "Địa chỉ lấy hàng" · trang 35</t>
        </is>
      </c>
      <c r="E103" s="53">
        <f>SUMPRODUCT(--ISNUMBER(SEARCH(", "&amp;$B103&amp;", ",", "&amp;'Hoạt động (Đơn của tôi)'!$B$7:$B$500&amp;", ")))+SUMPRODUCT(--ISNUMBER(SEARCH(", "&amp;$B103&amp;", ",", "&amp;'Ghép nối'!$B$7:$B$500&amp;", ")))+SUMPRODUCT(--ISNUMBER(SEARCH(", "&amp;$B103&amp;", ",", "&amp;'Huỷ đơn - Huỷ nhận đơn'!$B$7:$B$500&amp;", ")))+SUMPRODUCT(--ISNUMBER(SEARCH(", "&amp;$B103&amp;", ",", "&amp;'Giao nhận &amp; Theo dõi đơn'!$B$7:$B$500&amp;", ")))+SUMPRODUCT(--ISNUMBER(SEARCH(", "&amp;$B103&amp;", ",", "&amp;'Bảng tin &amp; Chi tiết tin'!$B$7:$B$500&amp;", ")))+SUMPRODUCT(--ISNUMBER(SEARCH(", "&amp;$B103&amp;", ",", "&amp;'Quà cảm ơn'!$B$7:$B$500&amp;", ")))+SUMPRODUCT(--ISNUMBER(SEARCH(", "&amp;$B103&amp;", ",", "&amp;'Trang chủ'!$B$7:$B$500&amp;", ")))+SUMPRODUCT(--ISNUMBER(SEARCH(", "&amp;$B103&amp;", ",", "&amp;'Thông báo'!$B$7:$B$500&amp;", ")))+SUMPRODUCT(--ISNUMBER(SEARCH(", "&amp;$B103&amp;", ",", "&amp;'Đăng tin &amp; Quản lý tin'!$B$7:$B$500&amp;", ")))+SUMPRODUCT(--ISNUMBER(SEARCH(", "&amp;$B103&amp;", ",", "&amp;'Trust &amp; Safety'!$B$7:$B$500&amp;", ")))+SUMPRODUCT(--ISNUMBER(SEARCH(", "&amp;$B103&amp;", ",", "&amp;'Tài khoản &amp; Hồ sơ'!$B$7:$B$500&amp;", ")))</f>
        <v/>
      </c>
      <c r="F103" s="53">
        <f>SUMPRODUCT(--ISNUMBER(SEARCH(", "&amp;$B103&amp;", ",", "&amp;'Hoạt động (Đơn của tôi)'!$B$7:$B$500&amp;", ")),--('Hoạt động (Đơn của tôi)'!$AT$7:$AT$500&lt;&gt;""))+SUMPRODUCT(--ISNUMBER(SEARCH(", "&amp;$B103&amp;", ",", "&amp;'Ghép nối'!$B$7:$B$500&amp;", ")),--('Ghép nối'!$AT$7:$AT$500&lt;&gt;""))+SUMPRODUCT(--ISNUMBER(SEARCH(", "&amp;$B103&amp;", ",", "&amp;'Huỷ đơn - Huỷ nhận đơn'!$B$7:$B$500&amp;", ")),--('Huỷ đơn - Huỷ nhận đơn'!$AT$7:$AT$500&lt;&gt;""))+SUMPRODUCT(--ISNUMBER(SEARCH(", "&amp;$B103&amp;", ",", "&amp;'Giao nhận &amp; Theo dõi đơn'!$B$7:$B$500&amp;", ")),--('Giao nhận &amp; Theo dõi đơn'!$AT$7:$AT$500&lt;&gt;""))+SUMPRODUCT(--ISNUMBER(SEARCH(", "&amp;$B103&amp;", ",", "&amp;'Bảng tin &amp; Chi tiết tin'!$B$7:$B$500&amp;", ")),--('Bảng tin &amp; Chi tiết tin'!$AT$7:$AT$500&lt;&gt;""))+SUMPRODUCT(--ISNUMBER(SEARCH(", "&amp;$B103&amp;", ",", "&amp;'Quà cảm ơn'!$B$7:$B$500&amp;", ")),--('Quà cảm ơn'!$AT$7:$AT$500&lt;&gt;""))+SUMPRODUCT(--ISNUMBER(SEARCH(", "&amp;$B103&amp;", ",", "&amp;'Trang chủ'!$B$7:$B$500&amp;", ")),--('Trang chủ'!$AT$7:$AT$500&lt;&gt;""))+SUMPRODUCT(--ISNUMBER(SEARCH(", "&amp;$B103&amp;", ",", "&amp;'Thông báo'!$B$7:$B$500&amp;", ")),--('Thông báo'!$AT$7:$AT$500&lt;&gt;""))+SUMPRODUCT(--ISNUMBER(SEARCH(", "&amp;$B103&amp;", ",", "&amp;'Đăng tin &amp; Quản lý tin'!$B$7:$B$500&amp;", ")),--('Đăng tin &amp; Quản lý tin'!$AT$7:$AT$500&lt;&gt;""))+SUMPRODUCT(--ISNUMBER(SEARCH(", "&amp;$B103&amp;", ",", "&amp;'Trust &amp; Safety'!$B$7:$B$500&amp;", ")),--('Trust &amp; Safety'!$AT$7:$AT$500&lt;&gt;""))+SUMPRODUCT(--ISNUMBER(SEARCH(", "&amp;$B103&amp;", ",", "&amp;'Tài khoản &amp; Hồ sơ'!$B$7:$B$500&amp;", ")),--('Tài khoản &amp; Hồ sơ'!$AT$7:$AT$500&lt;&gt;""))</f>
        <v/>
      </c>
      <c r="G103" s="53">
        <f>SUMPRODUCT(--ISNUMBER(SEARCH(", "&amp;$B103&amp;", ",", "&amp;'Hoạt động (Đơn của tôi)'!$B$7:$B$500&amp;", ")),--('Hoạt động (Đơn của tôi)'!$AT$7:$AT$500="Pass"))+SUMPRODUCT(--ISNUMBER(SEARCH(", "&amp;$B103&amp;", ",", "&amp;'Ghép nối'!$B$7:$B$500&amp;", ")),--('Ghép nối'!$AT$7:$AT$500="Pass"))+SUMPRODUCT(--ISNUMBER(SEARCH(", "&amp;$B103&amp;", ",", "&amp;'Huỷ đơn - Huỷ nhận đơn'!$B$7:$B$500&amp;", ")),--('Huỷ đơn - Huỷ nhận đơn'!$AT$7:$AT$500="Pass"))+SUMPRODUCT(--ISNUMBER(SEARCH(", "&amp;$B103&amp;", ",", "&amp;'Giao nhận &amp; Theo dõi đơn'!$B$7:$B$500&amp;", ")),--('Giao nhận &amp; Theo dõi đơn'!$AT$7:$AT$500="Pass"))+SUMPRODUCT(--ISNUMBER(SEARCH(", "&amp;$B103&amp;", ",", "&amp;'Bảng tin &amp; Chi tiết tin'!$B$7:$B$500&amp;", ")),--('Bảng tin &amp; Chi tiết tin'!$AT$7:$AT$500="Pass"))+SUMPRODUCT(--ISNUMBER(SEARCH(", "&amp;$B103&amp;", ",", "&amp;'Quà cảm ơn'!$B$7:$B$500&amp;", ")),--('Quà cảm ơn'!$AT$7:$AT$500="Pass"))+SUMPRODUCT(--ISNUMBER(SEARCH(", "&amp;$B103&amp;", ",", "&amp;'Trang chủ'!$B$7:$B$500&amp;", ")),--('Trang chủ'!$AT$7:$AT$500="Pass"))+SUMPRODUCT(--ISNUMBER(SEARCH(", "&amp;$B103&amp;", ",", "&amp;'Thông báo'!$B$7:$B$500&amp;", ")),--('Thông báo'!$AT$7:$AT$500="Pass"))+SUMPRODUCT(--ISNUMBER(SEARCH(", "&amp;$B103&amp;", ",", "&amp;'Đăng tin &amp; Quản lý tin'!$B$7:$B$500&amp;", ")),--('Đăng tin &amp; Quản lý tin'!$AT$7:$AT$500="Pass"))+SUMPRODUCT(--ISNUMBER(SEARCH(", "&amp;$B103&amp;", ",", "&amp;'Trust &amp; Safety'!$B$7:$B$500&amp;", ")),--('Trust &amp; Safety'!$AT$7:$AT$500="Pass"))+SUMPRODUCT(--ISNUMBER(SEARCH(", "&amp;$B103&amp;", ",", "&amp;'Tài khoản &amp; Hồ sơ'!$B$7:$B$500&amp;", ")),--('Tài khoản &amp; Hồ sơ'!$AT$7:$AT$500="Pass"))</f>
        <v/>
      </c>
      <c r="H103" s="53">
        <f>SUMPRODUCT(--ISNUMBER(SEARCH(", "&amp;$B103&amp;", ",", "&amp;'Hoạt động (Đơn của tôi)'!$B$7:$B$500&amp;", ")),--('Hoạt động (Đơn của tôi)'!$AT$7:$AT$500="Fail"))+SUMPRODUCT(--ISNUMBER(SEARCH(", "&amp;$B103&amp;", ",", "&amp;'Ghép nối'!$B$7:$B$500&amp;", ")),--('Ghép nối'!$AT$7:$AT$500="Fail"))+SUMPRODUCT(--ISNUMBER(SEARCH(", "&amp;$B103&amp;", ",", "&amp;'Huỷ đơn - Huỷ nhận đơn'!$B$7:$B$500&amp;", ")),--('Huỷ đơn - Huỷ nhận đơn'!$AT$7:$AT$500="Fail"))+SUMPRODUCT(--ISNUMBER(SEARCH(", "&amp;$B103&amp;", ",", "&amp;'Giao nhận &amp; Theo dõi đơn'!$B$7:$B$500&amp;", ")),--('Giao nhận &amp; Theo dõi đơn'!$AT$7:$AT$500="Fail"))+SUMPRODUCT(--ISNUMBER(SEARCH(", "&amp;$B103&amp;", ",", "&amp;'Bảng tin &amp; Chi tiết tin'!$B$7:$B$500&amp;", ")),--('Bảng tin &amp; Chi tiết tin'!$AT$7:$AT$500="Fail"))+SUMPRODUCT(--ISNUMBER(SEARCH(", "&amp;$B103&amp;", ",", "&amp;'Quà cảm ơn'!$B$7:$B$500&amp;", ")),--('Quà cảm ơn'!$AT$7:$AT$500="Fail"))+SUMPRODUCT(--ISNUMBER(SEARCH(", "&amp;$B103&amp;", ",", "&amp;'Trang chủ'!$B$7:$B$500&amp;", ")),--('Trang chủ'!$AT$7:$AT$500="Fail"))+SUMPRODUCT(--ISNUMBER(SEARCH(", "&amp;$B103&amp;", ",", "&amp;'Thông báo'!$B$7:$B$500&amp;", ")),--('Thông báo'!$AT$7:$AT$500="Fail"))+SUMPRODUCT(--ISNUMBER(SEARCH(", "&amp;$B103&amp;", ",", "&amp;'Đăng tin &amp; Quản lý tin'!$B$7:$B$500&amp;", ")),--('Đăng tin &amp; Quản lý tin'!$AT$7:$AT$500="Fail"))+SUMPRODUCT(--ISNUMBER(SEARCH(", "&amp;$B103&amp;", ",", "&amp;'Trust &amp; Safety'!$B$7:$B$500&amp;", ")),--('Trust &amp; Safety'!$AT$7:$AT$500="Fail"))+SUMPRODUCT(--ISNUMBER(SEARCH(", "&amp;$B103&amp;", ",", "&amp;'Tài khoản &amp; Hồ sơ'!$B$7:$B$500&amp;", ")),--('Tài khoản &amp; Hồ sơ'!$AT$7:$AT$500="Fail"))</f>
        <v/>
      </c>
      <c r="I103" s="53">
        <f>SUMPRODUCT(--ISNUMBER(SEARCH(", "&amp;$B103&amp;", ",", "&amp;'Hoạt động (Đơn của tôi)'!$B$7:$B$500&amp;", ")),--('Hoạt động (Đơn của tôi)'!$AT$7:$AT$500="Block"))+SUMPRODUCT(--ISNUMBER(SEARCH(", "&amp;$B103&amp;", ",", "&amp;'Ghép nối'!$B$7:$B$500&amp;", ")),--('Ghép nối'!$AT$7:$AT$500="Block"))+SUMPRODUCT(--ISNUMBER(SEARCH(", "&amp;$B103&amp;", ",", "&amp;'Huỷ đơn - Huỷ nhận đơn'!$B$7:$B$500&amp;", ")),--('Huỷ đơn - Huỷ nhận đơn'!$AT$7:$AT$500="Block"))+SUMPRODUCT(--ISNUMBER(SEARCH(", "&amp;$B103&amp;", ",", "&amp;'Giao nhận &amp; Theo dõi đơn'!$B$7:$B$500&amp;", ")),--('Giao nhận &amp; Theo dõi đơn'!$AT$7:$AT$500="Block"))+SUMPRODUCT(--ISNUMBER(SEARCH(", "&amp;$B103&amp;", ",", "&amp;'Bảng tin &amp; Chi tiết tin'!$B$7:$B$500&amp;", ")),--('Bảng tin &amp; Chi tiết tin'!$AT$7:$AT$500="Block"))+SUMPRODUCT(--ISNUMBER(SEARCH(", "&amp;$B103&amp;", ",", "&amp;'Quà cảm ơn'!$B$7:$B$500&amp;", ")),--('Quà cảm ơn'!$AT$7:$AT$500="Block"))+SUMPRODUCT(--ISNUMBER(SEARCH(", "&amp;$B103&amp;", ",", "&amp;'Trang chủ'!$B$7:$B$500&amp;", ")),--('Trang chủ'!$AT$7:$AT$500="Block"))+SUMPRODUCT(--ISNUMBER(SEARCH(", "&amp;$B103&amp;", ",", "&amp;'Thông báo'!$B$7:$B$500&amp;", ")),--('Thông báo'!$AT$7:$AT$500="Block"))+SUMPRODUCT(--ISNUMBER(SEARCH(", "&amp;$B103&amp;", ",", "&amp;'Đăng tin &amp; Quản lý tin'!$B$7:$B$500&amp;", ")),--('Đăng tin &amp; Quản lý tin'!$AT$7:$AT$500="Block"))+SUMPRODUCT(--ISNUMBER(SEARCH(", "&amp;$B103&amp;", ",", "&amp;'Trust &amp; Safety'!$B$7:$B$500&amp;", ")),--('Trust &amp; Safety'!$AT$7:$AT$500="Block"))+SUMPRODUCT(--ISNUMBER(SEARCH(", "&amp;$B103&amp;", ",", "&amp;'Tài khoản &amp; Hồ sơ'!$B$7:$B$500&amp;", ")),--('Tài khoản &amp; Hồ sơ'!$AT$7:$AT$500="Block"))</f>
        <v/>
      </c>
      <c r="J103" s="53">
        <f>SUMPRODUCT(--ISNUMBER(SEARCH(", "&amp;$B103&amp;", ",", "&amp;'Hoạt động (Đơn của tôi)'!$B$7:$B$500&amp;", ")),--('Hoạt động (Đơn của tôi)'!$AT$7:$AT$500="N/A"))+SUMPRODUCT(--ISNUMBER(SEARCH(", "&amp;$B103&amp;", ",", "&amp;'Ghép nối'!$B$7:$B$500&amp;", ")),--('Ghép nối'!$AT$7:$AT$500="N/A"))+SUMPRODUCT(--ISNUMBER(SEARCH(", "&amp;$B103&amp;", ",", "&amp;'Huỷ đơn - Huỷ nhận đơn'!$B$7:$B$500&amp;", ")),--('Huỷ đơn - Huỷ nhận đơn'!$AT$7:$AT$500="N/A"))+SUMPRODUCT(--ISNUMBER(SEARCH(", "&amp;$B103&amp;", ",", "&amp;'Giao nhận &amp; Theo dõi đơn'!$B$7:$B$500&amp;", ")),--('Giao nhận &amp; Theo dõi đơn'!$AT$7:$AT$500="N/A"))+SUMPRODUCT(--ISNUMBER(SEARCH(", "&amp;$B103&amp;", ",", "&amp;'Bảng tin &amp; Chi tiết tin'!$B$7:$B$500&amp;", ")),--('Bảng tin &amp; Chi tiết tin'!$AT$7:$AT$500="N/A"))+SUMPRODUCT(--ISNUMBER(SEARCH(", "&amp;$B103&amp;", ",", "&amp;'Quà cảm ơn'!$B$7:$B$500&amp;", ")),--('Quà cảm ơn'!$AT$7:$AT$500="N/A"))+SUMPRODUCT(--ISNUMBER(SEARCH(", "&amp;$B103&amp;", ",", "&amp;'Trang chủ'!$B$7:$B$500&amp;", ")),--('Trang chủ'!$AT$7:$AT$500="N/A"))+SUMPRODUCT(--ISNUMBER(SEARCH(", "&amp;$B103&amp;", ",", "&amp;'Thông báo'!$B$7:$B$500&amp;", ")),--('Thông báo'!$AT$7:$AT$500="N/A"))+SUMPRODUCT(--ISNUMBER(SEARCH(", "&amp;$B103&amp;", ",", "&amp;'Đăng tin &amp; Quản lý tin'!$B$7:$B$500&amp;", ")),--('Đăng tin &amp; Quản lý tin'!$AT$7:$AT$500="N/A"))+SUMPRODUCT(--ISNUMBER(SEARCH(", "&amp;$B103&amp;", ",", "&amp;'Trust &amp; Safety'!$B$7:$B$500&amp;", ")),--('Trust &amp; Safety'!$AT$7:$AT$500="N/A"))+SUMPRODUCT(--ISNUMBER(SEARCH(", "&amp;$B103&amp;", ",", "&amp;'Tài khoản &amp; Hồ sơ'!$B$7:$B$500&amp;", ")),--('Tài khoản &amp; Hồ sơ'!$AT$7:$AT$500="N/A"))</f>
        <v/>
      </c>
      <c r="K103" s="54">
        <f>IFERROR(F103/E103,0)</f>
        <v/>
      </c>
      <c r="L103" s="113">
        <f>IF(E103=0,"Chưa có TC (gap)",IF(H103&gt;0,"Có lỗi (Fail)",IF(I103&gt;0,"Bị block",IF(F103&lt;E103,"Đang test",IF(G103=0,"Không áp dụng (N/A)","Đã test xong")))))</f>
        <v/>
      </c>
      <c r="AB103" t="inlineStr">
        <is>
          <t>REQ-ORD</t>
        </is>
      </c>
    </row>
    <row r="104" ht="15.75" customHeight="1" s="216">
      <c r="A104" s="1" t="n"/>
      <c r="B104" s="112" t="inlineStr">
        <is>
          <t>REQ-ORD-011</t>
        </is>
      </c>
      <c r="C104" s="261" t="inlineStr">
        <is>
          <t>Nguồn (v1.0) — `DOC-v1.0-01 §D8.1 L370-371`: có Từ ngày / Đến ngày, **không nêu trần khoảng ngày**.</t>
        </is>
      </c>
      <c r="D104" s="113" t="inlineStr">
        <is>
          <t>DOC-v1.1-01 §8.1.1 BR01-04 · trang 34</t>
        </is>
      </c>
      <c r="E104" s="53">
        <f>SUMPRODUCT(--ISNUMBER(SEARCH(", "&amp;$B104&amp;", ",", "&amp;'Hoạt động (Đơn của tôi)'!$B$7:$B$500&amp;", ")))+SUMPRODUCT(--ISNUMBER(SEARCH(", "&amp;$B104&amp;", ",", "&amp;'Ghép nối'!$B$7:$B$500&amp;", ")))+SUMPRODUCT(--ISNUMBER(SEARCH(", "&amp;$B104&amp;", ",", "&amp;'Huỷ đơn - Huỷ nhận đơn'!$B$7:$B$500&amp;", ")))+SUMPRODUCT(--ISNUMBER(SEARCH(", "&amp;$B104&amp;", ",", "&amp;'Giao nhận &amp; Theo dõi đơn'!$B$7:$B$500&amp;", ")))+SUMPRODUCT(--ISNUMBER(SEARCH(", "&amp;$B104&amp;", ",", "&amp;'Bảng tin &amp; Chi tiết tin'!$B$7:$B$500&amp;", ")))+SUMPRODUCT(--ISNUMBER(SEARCH(", "&amp;$B104&amp;", ",", "&amp;'Quà cảm ơn'!$B$7:$B$500&amp;", ")))+SUMPRODUCT(--ISNUMBER(SEARCH(", "&amp;$B104&amp;", ",", "&amp;'Trang chủ'!$B$7:$B$500&amp;", ")))+SUMPRODUCT(--ISNUMBER(SEARCH(", "&amp;$B104&amp;", ",", "&amp;'Thông báo'!$B$7:$B$500&amp;", ")))+SUMPRODUCT(--ISNUMBER(SEARCH(", "&amp;$B104&amp;", ",", "&amp;'Đăng tin &amp; Quản lý tin'!$B$7:$B$500&amp;", ")))+SUMPRODUCT(--ISNUMBER(SEARCH(", "&amp;$B104&amp;", ",", "&amp;'Trust &amp; Safety'!$B$7:$B$500&amp;", ")))+SUMPRODUCT(--ISNUMBER(SEARCH(", "&amp;$B104&amp;", ",", "&amp;'Tài khoản &amp; Hồ sơ'!$B$7:$B$500&amp;", ")))</f>
        <v/>
      </c>
      <c r="F104" s="53">
        <f>SUMPRODUCT(--ISNUMBER(SEARCH(", "&amp;$B104&amp;", ",", "&amp;'Hoạt động (Đơn của tôi)'!$B$7:$B$500&amp;", ")),--('Hoạt động (Đơn của tôi)'!$AT$7:$AT$500&lt;&gt;""))+SUMPRODUCT(--ISNUMBER(SEARCH(", "&amp;$B104&amp;", ",", "&amp;'Ghép nối'!$B$7:$B$500&amp;", ")),--('Ghép nối'!$AT$7:$AT$500&lt;&gt;""))+SUMPRODUCT(--ISNUMBER(SEARCH(", "&amp;$B104&amp;", ",", "&amp;'Huỷ đơn - Huỷ nhận đơn'!$B$7:$B$500&amp;", ")),--('Huỷ đơn - Huỷ nhận đơn'!$AT$7:$AT$500&lt;&gt;""))+SUMPRODUCT(--ISNUMBER(SEARCH(", "&amp;$B104&amp;", ",", "&amp;'Giao nhận &amp; Theo dõi đơn'!$B$7:$B$500&amp;", ")),--('Giao nhận &amp; Theo dõi đơn'!$AT$7:$AT$500&lt;&gt;""))+SUMPRODUCT(--ISNUMBER(SEARCH(", "&amp;$B104&amp;", ",", "&amp;'Bảng tin &amp; Chi tiết tin'!$B$7:$B$500&amp;", ")),--('Bảng tin &amp; Chi tiết tin'!$AT$7:$AT$500&lt;&gt;""))+SUMPRODUCT(--ISNUMBER(SEARCH(", "&amp;$B104&amp;", ",", "&amp;'Quà cảm ơn'!$B$7:$B$500&amp;", ")),--('Quà cảm ơn'!$AT$7:$AT$500&lt;&gt;""))+SUMPRODUCT(--ISNUMBER(SEARCH(", "&amp;$B104&amp;", ",", "&amp;'Trang chủ'!$B$7:$B$500&amp;", ")),--('Trang chủ'!$AT$7:$AT$500&lt;&gt;""))+SUMPRODUCT(--ISNUMBER(SEARCH(", "&amp;$B104&amp;", ",", "&amp;'Thông báo'!$B$7:$B$500&amp;", ")),--('Thông báo'!$AT$7:$AT$500&lt;&gt;""))+SUMPRODUCT(--ISNUMBER(SEARCH(", "&amp;$B104&amp;", ",", "&amp;'Đăng tin &amp; Quản lý tin'!$B$7:$B$500&amp;", ")),--('Đăng tin &amp; Quản lý tin'!$AT$7:$AT$500&lt;&gt;""))+SUMPRODUCT(--ISNUMBER(SEARCH(", "&amp;$B104&amp;", ",", "&amp;'Trust &amp; Safety'!$B$7:$B$500&amp;", ")),--('Trust &amp; Safety'!$AT$7:$AT$500&lt;&gt;""))+SUMPRODUCT(--ISNUMBER(SEARCH(", "&amp;$B104&amp;", ",", "&amp;'Tài khoản &amp; Hồ sơ'!$B$7:$B$500&amp;", ")),--('Tài khoản &amp; Hồ sơ'!$AT$7:$AT$500&lt;&gt;""))</f>
        <v/>
      </c>
      <c r="G104" s="53">
        <f>SUMPRODUCT(--ISNUMBER(SEARCH(", "&amp;$B104&amp;", ",", "&amp;'Hoạt động (Đơn của tôi)'!$B$7:$B$500&amp;", ")),--('Hoạt động (Đơn của tôi)'!$AT$7:$AT$500="Pass"))+SUMPRODUCT(--ISNUMBER(SEARCH(", "&amp;$B104&amp;", ",", "&amp;'Ghép nối'!$B$7:$B$500&amp;", ")),--('Ghép nối'!$AT$7:$AT$500="Pass"))+SUMPRODUCT(--ISNUMBER(SEARCH(", "&amp;$B104&amp;", ",", "&amp;'Huỷ đơn - Huỷ nhận đơn'!$B$7:$B$500&amp;", ")),--('Huỷ đơn - Huỷ nhận đơn'!$AT$7:$AT$500="Pass"))+SUMPRODUCT(--ISNUMBER(SEARCH(", "&amp;$B104&amp;", ",", "&amp;'Giao nhận &amp; Theo dõi đơn'!$B$7:$B$500&amp;", ")),--('Giao nhận &amp; Theo dõi đơn'!$AT$7:$AT$500="Pass"))+SUMPRODUCT(--ISNUMBER(SEARCH(", "&amp;$B104&amp;", ",", "&amp;'Bảng tin &amp; Chi tiết tin'!$B$7:$B$500&amp;", ")),--('Bảng tin &amp; Chi tiết tin'!$AT$7:$AT$500="Pass"))+SUMPRODUCT(--ISNUMBER(SEARCH(", "&amp;$B104&amp;", ",", "&amp;'Quà cảm ơn'!$B$7:$B$500&amp;", ")),--('Quà cảm ơn'!$AT$7:$AT$500="Pass"))+SUMPRODUCT(--ISNUMBER(SEARCH(", "&amp;$B104&amp;", ",", "&amp;'Trang chủ'!$B$7:$B$500&amp;", ")),--('Trang chủ'!$AT$7:$AT$500="Pass"))+SUMPRODUCT(--ISNUMBER(SEARCH(", "&amp;$B104&amp;", ",", "&amp;'Thông báo'!$B$7:$B$500&amp;", ")),--('Thông báo'!$AT$7:$AT$500="Pass"))+SUMPRODUCT(--ISNUMBER(SEARCH(", "&amp;$B104&amp;", ",", "&amp;'Đăng tin &amp; Quản lý tin'!$B$7:$B$500&amp;", ")),--('Đăng tin &amp; Quản lý tin'!$AT$7:$AT$500="Pass"))+SUMPRODUCT(--ISNUMBER(SEARCH(", "&amp;$B104&amp;", ",", "&amp;'Trust &amp; Safety'!$B$7:$B$500&amp;", ")),--('Trust &amp; Safety'!$AT$7:$AT$500="Pass"))+SUMPRODUCT(--ISNUMBER(SEARCH(", "&amp;$B104&amp;", ",", "&amp;'Tài khoản &amp; Hồ sơ'!$B$7:$B$500&amp;", ")),--('Tài khoản &amp; Hồ sơ'!$AT$7:$AT$500="Pass"))</f>
        <v/>
      </c>
      <c r="H104" s="53">
        <f>SUMPRODUCT(--ISNUMBER(SEARCH(", "&amp;$B104&amp;", ",", "&amp;'Hoạt động (Đơn của tôi)'!$B$7:$B$500&amp;", ")),--('Hoạt động (Đơn của tôi)'!$AT$7:$AT$500="Fail"))+SUMPRODUCT(--ISNUMBER(SEARCH(", "&amp;$B104&amp;", ",", "&amp;'Ghép nối'!$B$7:$B$500&amp;", ")),--('Ghép nối'!$AT$7:$AT$500="Fail"))+SUMPRODUCT(--ISNUMBER(SEARCH(", "&amp;$B104&amp;", ",", "&amp;'Huỷ đơn - Huỷ nhận đơn'!$B$7:$B$500&amp;", ")),--('Huỷ đơn - Huỷ nhận đơn'!$AT$7:$AT$500="Fail"))+SUMPRODUCT(--ISNUMBER(SEARCH(", "&amp;$B104&amp;", ",", "&amp;'Giao nhận &amp; Theo dõi đơn'!$B$7:$B$500&amp;", ")),--('Giao nhận &amp; Theo dõi đơn'!$AT$7:$AT$500="Fail"))+SUMPRODUCT(--ISNUMBER(SEARCH(", "&amp;$B104&amp;", ",", "&amp;'Bảng tin &amp; Chi tiết tin'!$B$7:$B$500&amp;", ")),--('Bảng tin &amp; Chi tiết tin'!$AT$7:$AT$500="Fail"))+SUMPRODUCT(--ISNUMBER(SEARCH(", "&amp;$B104&amp;", ",", "&amp;'Quà cảm ơn'!$B$7:$B$500&amp;", ")),--('Quà cảm ơn'!$AT$7:$AT$500="Fail"))+SUMPRODUCT(--ISNUMBER(SEARCH(", "&amp;$B104&amp;", ",", "&amp;'Trang chủ'!$B$7:$B$500&amp;", ")),--('Trang chủ'!$AT$7:$AT$500="Fail"))+SUMPRODUCT(--ISNUMBER(SEARCH(", "&amp;$B104&amp;", ",", "&amp;'Thông báo'!$B$7:$B$500&amp;", ")),--('Thông báo'!$AT$7:$AT$500="Fail"))+SUMPRODUCT(--ISNUMBER(SEARCH(", "&amp;$B104&amp;", ",", "&amp;'Đăng tin &amp; Quản lý tin'!$B$7:$B$500&amp;", ")),--('Đăng tin &amp; Quản lý tin'!$AT$7:$AT$500="Fail"))+SUMPRODUCT(--ISNUMBER(SEARCH(", "&amp;$B104&amp;", ",", "&amp;'Trust &amp; Safety'!$B$7:$B$500&amp;", ")),--('Trust &amp; Safety'!$AT$7:$AT$500="Fail"))+SUMPRODUCT(--ISNUMBER(SEARCH(", "&amp;$B104&amp;", ",", "&amp;'Tài khoản &amp; Hồ sơ'!$B$7:$B$500&amp;", ")),--('Tài khoản &amp; Hồ sơ'!$AT$7:$AT$500="Fail"))</f>
        <v/>
      </c>
      <c r="I104" s="53">
        <f>SUMPRODUCT(--ISNUMBER(SEARCH(", "&amp;$B104&amp;", ",", "&amp;'Hoạt động (Đơn của tôi)'!$B$7:$B$500&amp;", ")),--('Hoạt động (Đơn của tôi)'!$AT$7:$AT$500="Block"))+SUMPRODUCT(--ISNUMBER(SEARCH(", "&amp;$B104&amp;", ",", "&amp;'Ghép nối'!$B$7:$B$500&amp;", ")),--('Ghép nối'!$AT$7:$AT$500="Block"))+SUMPRODUCT(--ISNUMBER(SEARCH(", "&amp;$B104&amp;", ",", "&amp;'Huỷ đơn - Huỷ nhận đơn'!$B$7:$B$500&amp;", ")),--('Huỷ đơn - Huỷ nhận đơn'!$AT$7:$AT$500="Block"))+SUMPRODUCT(--ISNUMBER(SEARCH(", "&amp;$B104&amp;", ",", "&amp;'Giao nhận &amp; Theo dõi đơn'!$B$7:$B$500&amp;", ")),--('Giao nhận &amp; Theo dõi đơn'!$AT$7:$AT$500="Block"))+SUMPRODUCT(--ISNUMBER(SEARCH(", "&amp;$B104&amp;", ",", "&amp;'Bảng tin &amp; Chi tiết tin'!$B$7:$B$500&amp;", ")),--('Bảng tin &amp; Chi tiết tin'!$AT$7:$AT$500="Block"))+SUMPRODUCT(--ISNUMBER(SEARCH(", "&amp;$B104&amp;", ",", "&amp;'Quà cảm ơn'!$B$7:$B$500&amp;", ")),--('Quà cảm ơn'!$AT$7:$AT$500="Block"))+SUMPRODUCT(--ISNUMBER(SEARCH(", "&amp;$B104&amp;", ",", "&amp;'Trang chủ'!$B$7:$B$500&amp;", ")),--('Trang chủ'!$AT$7:$AT$500="Block"))+SUMPRODUCT(--ISNUMBER(SEARCH(", "&amp;$B104&amp;", ",", "&amp;'Thông báo'!$B$7:$B$500&amp;", ")),--('Thông báo'!$AT$7:$AT$500="Block"))+SUMPRODUCT(--ISNUMBER(SEARCH(", "&amp;$B104&amp;", ",", "&amp;'Đăng tin &amp; Quản lý tin'!$B$7:$B$500&amp;", ")),--('Đăng tin &amp; Quản lý tin'!$AT$7:$AT$500="Block"))+SUMPRODUCT(--ISNUMBER(SEARCH(", "&amp;$B104&amp;", ",", "&amp;'Trust &amp; Safety'!$B$7:$B$500&amp;", ")),--('Trust &amp; Safety'!$AT$7:$AT$500="Block"))+SUMPRODUCT(--ISNUMBER(SEARCH(", "&amp;$B104&amp;", ",", "&amp;'Tài khoản &amp; Hồ sơ'!$B$7:$B$500&amp;", ")),--('Tài khoản &amp; Hồ sơ'!$AT$7:$AT$500="Block"))</f>
        <v/>
      </c>
      <c r="J104" s="53">
        <f>SUMPRODUCT(--ISNUMBER(SEARCH(", "&amp;$B104&amp;", ",", "&amp;'Hoạt động (Đơn của tôi)'!$B$7:$B$500&amp;", ")),--('Hoạt động (Đơn của tôi)'!$AT$7:$AT$500="N/A"))+SUMPRODUCT(--ISNUMBER(SEARCH(", "&amp;$B104&amp;", ",", "&amp;'Ghép nối'!$B$7:$B$500&amp;", ")),--('Ghép nối'!$AT$7:$AT$500="N/A"))+SUMPRODUCT(--ISNUMBER(SEARCH(", "&amp;$B104&amp;", ",", "&amp;'Huỷ đơn - Huỷ nhận đơn'!$B$7:$B$500&amp;", ")),--('Huỷ đơn - Huỷ nhận đơn'!$AT$7:$AT$500="N/A"))+SUMPRODUCT(--ISNUMBER(SEARCH(", "&amp;$B104&amp;", ",", "&amp;'Giao nhận &amp; Theo dõi đơn'!$B$7:$B$500&amp;", ")),--('Giao nhận &amp; Theo dõi đơn'!$AT$7:$AT$500="N/A"))+SUMPRODUCT(--ISNUMBER(SEARCH(", "&amp;$B104&amp;", ",", "&amp;'Bảng tin &amp; Chi tiết tin'!$B$7:$B$500&amp;", ")),--('Bảng tin &amp; Chi tiết tin'!$AT$7:$AT$500="N/A"))+SUMPRODUCT(--ISNUMBER(SEARCH(", "&amp;$B104&amp;", ",", "&amp;'Quà cảm ơn'!$B$7:$B$500&amp;", ")),--('Quà cảm ơn'!$AT$7:$AT$500="N/A"))+SUMPRODUCT(--ISNUMBER(SEARCH(", "&amp;$B104&amp;", ",", "&amp;'Trang chủ'!$B$7:$B$500&amp;", ")),--('Trang chủ'!$AT$7:$AT$500="N/A"))+SUMPRODUCT(--ISNUMBER(SEARCH(", "&amp;$B104&amp;", ",", "&amp;'Thông báo'!$B$7:$B$500&amp;", ")),--('Thông báo'!$AT$7:$AT$500="N/A"))+SUMPRODUCT(--ISNUMBER(SEARCH(", "&amp;$B104&amp;", ",", "&amp;'Đăng tin &amp; Quản lý tin'!$B$7:$B$500&amp;", ")),--('Đăng tin &amp; Quản lý tin'!$AT$7:$AT$500="N/A"))+SUMPRODUCT(--ISNUMBER(SEARCH(", "&amp;$B104&amp;", ",", "&amp;'Trust &amp; Safety'!$B$7:$B$500&amp;", ")),--('Trust &amp; Safety'!$AT$7:$AT$500="N/A"))+SUMPRODUCT(--ISNUMBER(SEARCH(", "&amp;$B104&amp;", ",", "&amp;'Tài khoản &amp; Hồ sơ'!$B$7:$B$500&amp;", ")),--('Tài khoản &amp; Hồ sơ'!$AT$7:$AT$500="N/A"))</f>
        <v/>
      </c>
      <c r="K104" s="54">
        <f>IFERROR(F104/E104,0)</f>
        <v/>
      </c>
      <c r="L104" s="113">
        <f>IF(E104=0,"Chưa có TC (gap)",IF(H104&gt;0,"Có lỗi (Fail)",IF(I104&gt;0,"Bị block",IF(F104&lt;E104,"Đang test",IF(G104=0,"Không áp dụng (N/A)","Đã test xong")))))</f>
        <v/>
      </c>
      <c r="AB104" t="inlineStr">
        <is>
          <t>REQ-ORD</t>
        </is>
      </c>
    </row>
    <row r="105" ht="15.75" customHeight="1" s="216">
      <c r="A105" s="1" t="n"/>
      <c r="B105" s="112" t="inlineStr">
        <is>
          <t>REQ-ORD-012</t>
        </is>
      </c>
      <c r="C105" s="261" t="inlineStr">
        <is>
          <t>Nguồn (v1.0) — `DOC-v1.0-01 §D8.1 dòng "Khung giờ" · L372` + `KP-01 §10.11`: có khung giờ, **chưa rõ enum và quy tắc loại trừ**.</t>
        </is>
      </c>
      <c r="D105" s="113" t="inlineStr">
        <is>
          <t>DOC-v1.1-01 §8.1.1 BR01-04 / BR01-05 · trang 34</t>
        </is>
      </c>
      <c r="E105" s="53">
        <f>SUMPRODUCT(--ISNUMBER(SEARCH(", "&amp;$B105&amp;", ",", "&amp;'Hoạt động (Đơn của tôi)'!$B$7:$B$500&amp;", ")))+SUMPRODUCT(--ISNUMBER(SEARCH(", "&amp;$B105&amp;", ",", "&amp;'Ghép nối'!$B$7:$B$500&amp;", ")))+SUMPRODUCT(--ISNUMBER(SEARCH(", "&amp;$B105&amp;", ",", "&amp;'Huỷ đơn - Huỷ nhận đơn'!$B$7:$B$500&amp;", ")))+SUMPRODUCT(--ISNUMBER(SEARCH(", "&amp;$B105&amp;", ",", "&amp;'Giao nhận &amp; Theo dõi đơn'!$B$7:$B$500&amp;", ")))+SUMPRODUCT(--ISNUMBER(SEARCH(", "&amp;$B105&amp;", ",", "&amp;'Bảng tin &amp; Chi tiết tin'!$B$7:$B$500&amp;", ")))+SUMPRODUCT(--ISNUMBER(SEARCH(", "&amp;$B105&amp;", ",", "&amp;'Quà cảm ơn'!$B$7:$B$500&amp;", ")))+SUMPRODUCT(--ISNUMBER(SEARCH(", "&amp;$B105&amp;", ",", "&amp;'Trang chủ'!$B$7:$B$500&amp;", ")))+SUMPRODUCT(--ISNUMBER(SEARCH(", "&amp;$B105&amp;", ",", "&amp;'Thông báo'!$B$7:$B$500&amp;", ")))+SUMPRODUCT(--ISNUMBER(SEARCH(", "&amp;$B105&amp;", ",", "&amp;'Đăng tin &amp; Quản lý tin'!$B$7:$B$500&amp;", ")))+SUMPRODUCT(--ISNUMBER(SEARCH(", "&amp;$B105&amp;", ",", "&amp;'Trust &amp; Safety'!$B$7:$B$500&amp;", ")))+SUMPRODUCT(--ISNUMBER(SEARCH(", "&amp;$B105&amp;", ",", "&amp;'Tài khoản &amp; Hồ sơ'!$B$7:$B$500&amp;", ")))</f>
        <v/>
      </c>
      <c r="F105" s="53">
        <f>SUMPRODUCT(--ISNUMBER(SEARCH(", "&amp;$B105&amp;", ",", "&amp;'Hoạt động (Đơn của tôi)'!$B$7:$B$500&amp;", ")),--('Hoạt động (Đơn của tôi)'!$AT$7:$AT$500&lt;&gt;""))+SUMPRODUCT(--ISNUMBER(SEARCH(", "&amp;$B105&amp;", ",", "&amp;'Ghép nối'!$B$7:$B$500&amp;", ")),--('Ghép nối'!$AT$7:$AT$500&lt;&gt;""))+SUMPRODUCT(--ISNUMBER(SEARCH(", "&amp;$B105&amp;", ",", "&amp;'Huỷ đơn - Huỷ nhận đơn'!$B$7:$B$500&amp;", ")),--('Huỷ đơn - Huỷ nhận đơn'!$AT$7:$AT$500&lt;&gt;""))+SUMPRODUCT(--ISNUMBER(SEARCH(", "&amp;$B105&amp;", ",", "&amp;'Giao nhận &amp; Theo dõi đơn'!$B$7:$B$500&amp;", ")),--('Giao nhận &amp; Theo dõi đơn'!$AT$7:$AT$500&lt;&gt;""))+SUMPRODUCT(--ISNUMBER(SEARCH(", "&amp;$B105&amp;", ",", "&amp;'Bảng tin &amp; Chi tiết tin'!$B$7:$B$500&amp;", ")),--('Bảng tin &amp; Chi tiết tin'!$AT$7:$AT$500&lt;&gt;""))+SUMPRODUCT(--ISNUMBER(SEARCH(", "&amp;$B105&amp;", ",", "&amp;'Quà cảm ơn'!$B$7:$B$500&amp;", ")),--('Quà cảm ơn'!$AT$7:$AT$500&lt;&gt;""))+SUMPRODUCT(--ISNUMBER(SEARCH(", "&amp;$B105&amp;", ",", "&amp;'Trang chủ'!$B$7:$B$500&amp;", ")),--('Trang chủ'!$AT$7:$AT$500&lt;&gt;""))+SUMPRODUCT(--ISNUMBER(SEARCH(", "&amp;$B105&amp;", ",", "&amp;'Thông báo'!$B$7:$B$500&amp;", ")),--('Thông báo'!$AT$7:$AT$500&lt;&gt;""))+SUMPRODUCT(--ISNUMBER(SEARCH(", "&amp;$B105&amp;", ",", "&amp;'Đăng tin &amp; Quản lý tin'!$B$7:$B$500&amp;", ")),--('Đăng tin &amp; Quản lý tin'!$AT$7:$AT$500&lt;&gt;""))+SUMPRODUCT(--ISNUMBER(SEARCH(", "&amp;$B105&amp;", ",", "&amp;'Trust &amp; Safety'!$B$7:$B$500&amp;", ")),--('Trust &amp; Safety'!$AT$7:$AT$500&lt;&gt;""))+SUMPRODUCT(--ISNUMBER(SEARCH(", "&amp;$B105&amp;", ",", "&amp;'Tài khoản &amp; Hồ sơ'!$B$7:$B$500&amp;", ")),--('Tài khoản &amp; Hồ sơ'!$AT$7:$AT$500&lt;&gt;""))</f>
        <v/>
      </c>
      <c r="G105" s="53">
        <f>SUMPRODUCT(--ISNUMBER(SEARCH(", "&amp;$B105&amp;", ",", "&amp;'Hoạt động (Đơn của tôi)'!$B$7:$B$500&amp;", ")),--('Hoạt động (Đơn của tôi)'!$AT$7:$AT$500="Pass"))+SUMPRODUCT(--ISNUMBER(SEARCH(", "&amp;$B105&amp;", ",", "&amp;'Ghép nối'!$B$7:$B$500&amp;", ")),--('Ghép nối'!$AT$7:$AT$500="Pass"))+SUMPRODUCT(--ISNUMBER(SEARCH(", "&amp;$B105&amp;", ",", "&amp;'Huỷ đơn - Huỷ nhận đơn'!$B$7:$B$500&amp;", ")),--('Huỷ đơn - Huỷ nhận đơn'!$AT$7:$AT$500="Pass"))+SUMPRODUCT(--ISNUMBER(SEARCH(", "&amp;$B105&amp;", ",", "&amp;'Giao nhận &amp; Theo dõi đơn'!$B$7:$B$500&amp;", ")),--('Giao nhận &amp; Theo dõi đơn'!$AT$7:$AT$500="Pass"))+SUMPRODUCT(--ISNUMBER(SEARCH(", "&amp;$B105&amp;", ",", "&amp;'Bảng tin &amp; Chi tiết tin'!$B$7:$B$500&amp;", ")),--('Bảng tin &amp; Chi tiết tin'!$AT$7:$AT$500="Pass"))+SUMPRODUCT(--ISNUMBER(SEARCH(", "&amp;$B105&amp;", ",", "&amp;'Quà cảm ơn'!$B$7:$B$500&amp;", ")),--('Quà cảm ơn'!$AT$7:$AT$500="Pass"))+SUMPRODUCT(--ISNUMBER(SEARCH(", "&amp;$B105&amp;", ",", "&amp;'Trang chủ'!$B$7:$B$500&amp;", ")),--('Trang chủ'!$AT$7:$AT$500="Pass"))+SUMPRODUCT(--ISNUMBER(SEARCH(", "&amp;$B105&amp;", ",", "&amp;'Thông báo'!$B$7:$B$500&amp;", ")),--('Thông báo'!$AT$7:$AT$500="Pass"))+SUMPRODUCT(--ISNUMBER(SEARCH(", "&amp;$B105&amp;", ",", "&amp;'Đăng tin &amp; Quản lý tin'!$B$7:$B$500&amp;", ")),--('Đăng tin &amp; Quản lý tin'!$AT$7:$AT$500="Pass"))+SUMPRODUCT(--ISNUMBER(SEARCH(", "&amp;$B105&amp;", ",", "&amp;'Trust &amp; Safety'!$B$7:$B$500&amp;", ")),--('Trust &amp; Safety'!$AT$7:$AT$500="Pass"))+SUMPRODUCT(--ISNUMBER(SEARCH(", "&amp;$B105&amp;", ",", "&amp;'Tài khoản &amp; Hồ sơ'!$B$7:$B$500&amp;", ")),--('Tài khoản &amp; Hồ sơ'!$AT$7:$AT$500="Pass"))</f>
        <v/>
      </c>
      <c r="H105" s="53">
        <f>SUMPRODUCT(--ISNUMBER(SEARCH(", "&amp;$B105&amp;", ",", "&amp;'Hoạt động (Đơn của tôi)'!$B$7:$B$500&amp;", ")),--('Hoạt động (Đơn của tôi)'!$AT$7:$AT$500="Fail"))+SUMPRODUCT(--ISNUMBER(SEARCH(", "&amp;$B105&amp;", ",", "&amp;'Ghép nối'!$B$7:$B$500&amp;", ")),--('Ghép nối'!$AT$7:$AT$500="Fail"))+SUMPRODUCT(--ISNUMBER(SEARCH(", "&amp;$B105&amp;", ",", "&amp;'Huỷ đơn - Huỷ nhận đơn'!$B$7:$B$500&amp;", ")),--('Huỷ đơn - Huỷ nhận đơn'!$AT$7:$AT$500="Fail"))+SUMPRODUCT(--ISNUMBER(SEARCH(", "&amp;$B105&amp;", ",", "&amp;'Giao nhận &amp; Theo dõi đơn'!$B$7:$B$500&amp;", ")),--('Giao nhận &amp; Theo dõi đơn'!$AT$7:$AT$500="Fail"))+SUMPRODUCT(--ISNUMBER(SEARCH(", "&amp;$B105&amp;", ",", "&amp;'Bảng tin &amp; Chi tiết tin'!$B$7:$B$500&amp;", ")),--('Bảng tin &amp; Chi tiết tin'!$AT$7:$AT$500="Fail"))+SUMPRODUCT(--ISNUMBER(SEARCH(", "&amp;$B105&amp;", ",", "&amp;'Quà cảm ơn'!$B$7:$B$500&amp;", ")),--('Quà cảm ơn'!$AT$7:$AT$500="Fail"))+SUMPRODUCT(--ISNUMBER(SEARCH(", "&amp;$B105&amp;", ",", "&amp;'Trang chủ'!$B$7:$B$500&amp;", ")),--('Trang chủ'!$AT$7:$AT$500="Fail"))+SUMPRODUCT(--ISNUMBER(SEARCH(", "&amp;$B105&amp;", ",", "&amp;'Thông báo'!$B$7:$B$500&amp;", ")),--('Thông báo'!$AT$7:$AT$500="Fail"))+SUMPRODUCT(--ISNUMBER(SEARCH(", "&amp;$B105&amp;", ",", "&amp;'Đăng tin &amp; Quản lý tin'!$B$7:$B$500&amp;", ")),--('Đăng tin &amp; Quản lý tin'!$AT$7:$AT$500="Fail"))+SUMPRODUCT(--ISNUMBER(SEARCH(", "&amp;$B105&amp;", ",", "&amp;'Trust &amp; Safety'!$B$7:$B$500&amp;", ")),--('Trust &amp; Safety'!$AT$7:$AT$500="Fail"))+SUMPRODUCT(--ISNUMBER(SEARCH(", "&amp;$B105&amp;", ",", "&amp;'Tài khoản &amp; Hồ sơ'!$B$7:$B$500&amp;", ")),--('Tài khoản &amp; Hồ sơ'!$AT$7:$AT$500="Fail"))</f>
        <v/>
      </c>
      <c r="I105" s="53">
        <f>SUMPRODUCT(--ISNUMBER(SEARCH(", "&amp;$B105&amp;", ",", "&amp;'Hoạt động (Đơn của tôi)'!$B$7:$B$500&amp;", ")),--('Hoạt động (Đơn của tôi)'!$AT$7:$AT$500="Block"))+SUMPRODUCT(--ISNUMBER(SEARCH(", "&amp;$B105&amp;", ",", "&amp;'Ghép nối'!$B$7:$B$500&amp;", ")),--('Ghép nối'!$AT$7:$AT$500="Block"))+SUMPRODUCT(--ISNUMBER(SEARCH(", "&amp;$B105&amp;", ",", "&amp;'Huỷ đơn - Huỷ nhận đơn'!$B$7:$B$500&amp;", ")),--('Huỷ đơn - Huỷ nhận đơn'!$AT$7:$AT$500="Block"))+SUMPRODUCT(--ISNUMBER(SEARCH(", "&amp;$B105&amp;", ",", "&amp;'Giao nhận &amp; Theo dõi đơn'!$B$7:$B$500&amp;", ")),--('Giao nhận &amp; Theo dõi đơn'!$AT$7:$AT$500="Block"))+SUMPRODUCT(--ISNUMBER(SEARCH(", "&amp;$B105&amp;", ",", "&amp;'Bảng tin &amp; Chi tiết tin'!$B$7:$B$500&amp;", ")),--('Bảng tin &amp; Chi tiết tin'!$AT$7:$AT$500="Block"))+SUMPRODUCT(--ISNUMBER(SEARCH(", "&amp;$B105&amp;", ",", "&amp;'Quà cảm ơn'!$B$7:$B$500&amp;", ")),--('Quà cảm ơn'!$AT$7:$AT$500="Block"))+SUMPRODUCT(--ISNUMBER(SEARCH(", "&amp;$B105&amp;", ",", "&amp;'Trang chủ'!$B$7:$B$500&amp;", ")),--('Trang chủ'!$AT$7:$AT$500="Block"))+SUMPRODUCT(--ISNUMBER(SEARCH(", "&amp;$B105&amp;", ",", "&amp;'Thông báo'!$B$7:$B$500&amp;", ")),--('Thông báo'!$AT$7:$AT$500="Block"))+SUMPRODUCT(--ISNUMBER(SEARCH(", "&amp;$B105&amp;", ",", "&amp;'Đăng tin &amp; Quản lý tin'!$B$7:$B$500&amp;", ")),--('Đăng tin &amp; Quản lý tin'!$AT$7:$AT$500="Block"))+SUMPRODUCT(--ISNUMBER(SEARCH(", "&amp;$B105&amp;", ",", "&amp;'Trust &amp; Safety'!$B$7:$B$500&amp;", ")),--('Trust &amp; Safety'!$AT$7:$AT$500="Block"))+SUMPRODUCT(--ISNUMBER(SEARCH(", "&amp;$B105&amp;", ",", "&amp;'Tài khoản &amp; Hồ sơ'!$B$7:$B$500&amp;", ")),--('Tài khoản &amp; Hồ sơ'!$AT$7:$AT$500="Block"))</f>
        <v/>
      </c>
      <c r="J105" s="53">
        <f>SUMPRODUCT(--ISNUMBER(SEARCH(", "&amp;$B105&amp;", ",", "&amp;'Hoạt động (Đơn của tôi)'!$B$7:$B$500&amp;", ")),--('Hoạt động (Đơn của tôi)'!$AT$7:$AT$500="N/A"))+SUMPRODUCT(--ISNUMBER(SEARCH(", "&amp;$B105&amp;", ",", "&amp;'Ghép nối'!$B$7:$B$500&amp;", ")),--('Ghép nối'!$AT$7:$AT$500="N/A"))+SUMPRODUCT(--ISNUMBER(SEARCH(", "&amp;$B105&amp;", ",", "&amp;'Huỷ đơn - Huỷ nhận đơn'!$B$7:$B$500&amp;", ")),--('Huỷ đơn - Huỷ nhận đơn'!$AT$7:$AT$500="N/A"))+SUMPRODUCT(--ISNUMBER(SEARCH(", "&amp;$B105&amp;", ",", "&amp;'Giao nhận &amp; Theo dõi đơn'!$B$7:$B$500&amp;", ")),--('Giao nhận &amp; Theo dõi đơn'!$AT$7:$AT$500="N/A"))+SUMPRODUCT(--ISNUMBER(SEARCH(", "&amp;$B105&amp;", ",", "&amp;'Bảng tin &amp; Chi tiết tin'!$B$7:$B$500&amp;", ")),--('Bảng tin &amp; Chi tiết tin'!$AT$7:$AT$500="N/A"))+SUMPRODUCT(--ISNUMBER(SEARCH(", "&amp;$B105&amp;", ",", "&amp;'Quà cảm ơn'!$B$7:$B$500&amp;", ")),--('Quà cảm ơn'!$AT$7:$AT$500="N/A"))+SUMPRODUCT(--ISNUMBER(SEARCH(", "&amp;$B105&amp;", ",", "&amp;'Trang chủ'!$B$7:$B$500&amp;", ")),--('Trang chủ'!$AT$7:$AT$500="N/A"))+SUMPRODUCT(--ISNUMBER(SEARCH(", "&amp;$B105&amp;", ",", "&amp;'Thông báo'!$B$7:$B$500&amp;", ")),--('Thông báo'!$AT$7:$AT$500="N/A"))+SUMPRODUCT(--ISNUMBER(SEARCH(", "&amp;$B105&amp;", ",", "&amp;'Đăng tin &amp; Quản lý tin'!$B$7:$B$500&amp;", ")),--('Đăng tin &amp; Quản lý tin'!$AT$7:$AT$500="N/A"))+SUMPRODUCT(--ISNUMBER(SEARCH(", "&amp;$B105&amp;", ",", "&amp;'Trust &amp; Safety'!$B$7:$B$500&amp;", ")),--('Trust &amp; Safety'!$AT$7:$AT$500="N/A"))+SUMPRODUCT(--ISNUMBER(SEARCH(", "&amp;$B105&amp;", ",", "&amp;'Tài khoản &amp; Hồ sơ'!$B$7:$B$500&amp;", ")),--('Tài khoản &amp; Hồ sơ'!$AT$7:$AT$500="N/A"))</f>
        <v/>
      </c>
      <c r="K105" s="54">
        <f>IFERROR(F105/E105,0)</f>
        <v/>
      </c>
      <c r="L105" s="113">
        <f>IF(E105=0,"Chưa có TC (gap)",IF(H105&gt;0,"Có lỗi (Fail)",IF(I105&gt;0,"Bị block",IF(F105&lt;E105,"Đang test",IF(G105=0,"Không áp dụng (N/A)","Đã test xong")))))</f>
        <v/>
      </c>
      <c r="AB105" t="inlineStr">
        <is>
          <t>REQ-ORD</t>
        </is>
      </c>
    </row>
    <row r="106" ht="15.75" customHeight="1" s="216">
      <c r="A106" s="1" t="n"/>
      <c r="B106" s="112" t="inlineStr">
        <is>
          <t>REQ-ORD-015</t>
        </is>
      </c>
      <c r="C106" s="261" t="inlineStr">
        <is>
          <t>Nguồn (v1.0) — `DOC-v1.0-02 §3.5.4` + `DOC-v1.0-04` (**2 biến thể mockup**) ⇒ `C-ORD-05` Open: *"Màn 'Đăng tin thành công' có 'Mã tin' hay không?"*</t>
        </is>
      </c>
      <c r="D106" s="113" t="inlineStr">
        <is>
          <t>DOC-v1.1-01 §6.2 AC-07.1.01 · trang 18</t>
        </is>
      </c>
      <c r="E106" s="53">
        <f>SUMPRODUCT(--ISNUMBER(SEARCH(", "&amp;$B106&amp;", ",", "&amp;'Hoạt động (Đơn của tôi)'!$B$7:$B$500&amp;", ")))+SUMPRODUCT(--ISNUMBER(SEARCH(", "&amp;$B106&amp;", ",", "&amp;'Ghép nối'!$B$7:$B$500&amp;", ")))+SUMPRODUCT(--ISNUMBER(SEARCH(", "&amp;$B106&amp;", ",", "&amp;'Huỷ đơn - Huỷ nhận đơn'!$B$7:$B$500&amp;", ")))+SUMPRODUCT(--ISNUMBER(SEARCH(", "&amp;$B106&amp;", ",", "&amp;'Giao nhận &amp; Theo dõi đơn'!$B$7:$B$500&amp;", ")))+SUMPRODUCT(--ISNUMBER(SEARCH(", "&amp;$B106&amp;", ",", "&amp;'Bảng tin &amp; Chi tiết tin'!$B$7:$B$500&amp;", ")))+SUMPRODUCT(--ISNUMBER(SEARCH(", "&amp;$B106&amp;", ",", "&amp;'Quà cảm ơn'!$B$7:$B$500&amp;", ")))+SUMPRODUCT(--ISNUMBER(SEARCH(", "&amp;$B106&amp;", ",", "&amp;'Trang chủ'!$B$7:$B$500&amp;", ")))+SUMPRODUCT(--ISNUMBER(SEARCH(", "&amp;$B106&amp;", ",", "&amp;'Thông báo'!$B$7:$B$500&amp;", ")))+SUMPRODUCT(--ISNUMBER(SEARCH(", "&amp;$B106&amp;", ",", "&amp;'Đăng tin &amp; Quản lý tin'!$B$7:$B$500&amp;", ")))+SUMPRODUCT(--ISNUMBER(SEARCH(", "&amp;$B106&amp;", ",", "&amp;'Trust &amp; Safety'!$B$7:$B$500&amp;", ")))+SUMPRODUCT(--ISNUMBER(SEARCH(", "&amp;$B106&amp;", ",", "&amp;'Tài khoản &amp; Hồ sơ'!$B$7:$B$500&amp;", ")))</f>
        <v/>
      </c>
      <c r="F106" s="53">
        <f>SUMPRODUCT(--ISNUMBER(SEARCH(", "&amp;$B106&amp;", ",", "&amp;'Hoạt động (Đơn của tôi)'!$B$7:$B$500&amp;", ")),--('Hoạt động (Đơn của tôi)'!$AT$7:$AT$500&lt;&gt;""))+SUMPRODUCT(--ISNUMBER(SEARCH(", "&amp;$B106&amp;", ",", "&amp;'Ghép nối'!$B$7:$B$500&amp;", ")),--('Ghép nối'!$AT$7:$AT$500&lt;&gt;""))+SUMPRODUCT(--ISNUMBER(SEARCH(", "&amp;$B106&amp;", ",", "&amp;'Huỷ đơn - Huỷ nhận đơn'!$B$7:$B$500&amp;", ")),--('Huỷ đơn - Huỷ nhận đơn'!$AT$7:$AT$500&lt;&gt;""))+SUMPRODUCT(--ISNUMBER(SEARCH(", "&amp;$B106&amp;", ",", "&amp;'Giao nhận &amp; Theo dõi đơn'!$B$7:$B$500&amp;", ")),--('Giao nhận &amp; Theo dõi đơn'!$AT$7:$AT$500&lt;&gt;""))+SUMPRODUCT(--ISNUMBER(SEARCH(", "&amp;$B106&amp;", ",", "&amp;'Bảng tin &amp; Chi tiết tin'!$B$7:$B$500&amp;", ")),--('Bảng tin &amp; Chi tiết tin'!$AT$7:$AT$500&lt;&gt;""))+SUMPRODUCT(--ISNUMBER(SEARCH(", "&amp;$B106&amp;", ",", "&amp;'Quà cảm ơn'!$B$7:$B$500&amp;", ")),--('Quà cảm ơn'!$AT$7:$AT$500&lt;&gt;""))+SUMPRODUCT(--ISNUMBER(SEARCH(", "&amp;$B106&amp;", ",", "&amp;'Trang chủ'!$B$7:$B$500&amp;", ")),--('Trang chủ'!$AT$7:$AT$500&lt;&gt;""))+SUMPRODUCT(--ISNUMBER(SEARCH(", "&amp;$B106&amp;", ",", "&amp;'Thông báo'!$B$7:$B$500&amp;", ")),--('Thông báo'!$AT$7:$AT$500&lt;&gt;""))+SUMPRODUCT(--ISNUMBER(SEARCH(", "&amp;$B106&amp;", ",", "&amp;'Đăng tin &amp; Quản lý tin'!$B$7:$B$500&amp;", ")),--('Đăng tin &amp; Quản lý tin'!$AT$7:$AT$500&lt;&gt;""))+SUMPRODUCT(--ISNUMBER(SEARCH(", "&amp;$B106&amp;", ",", "&amp;'Trust &amp; Safety'!$B$7:$B$500&amp;", ")),--('Trust &amp; Safety'!$AT$7:$AT$500&lt;&gt;""))+SUMPRODUCT(--ISNUMBER(SEARCH(", "&amp;$B106&amp;", ",", "&amp;'Tài khoản &amp; Hồ sơ'!$B$7:$B$500&amp;", ")),--('Tài khoản &amp; Hồ sơ'!$AT$7:$AT$500&lt;&gt;""))</f>
        <v/>
      </c>
      <c r="G106" s="53">
        <f>SUMPRODUCT(--ISNUMBER(SEARCH(", "&amp;$B106&amp;", ",", "&amp;'Hoạt động (Đơn của tôi)'!$B$7:$B$500&amp;", ")),--('Hoạt động (Đơn của tôi)'!$AT$7:$AT$500="Pass"))+SUMPRODUCT(--ISNUMBER(SEARCH(", "&amp;$B106&amp;", ",", "&amp;'Ghép nối'!$B$7:$B$500&amp;", ")),--('Ghép nối'!$AT$7:$AT$500="Pass"))+SUMPRODUCT(--ISNUMBER(SEARCH(", "&amp;$B106&amp;", ",", "&amp;'Huỷ đơn - Huỷ nhận đơn'!$B$7:$B$500&amp;", ")),--('Huỷ đơn - Huỷ nhận đơn'!$AT$7:$AT$500="Pass"))+SUMPRODUCT(--ISNUMBER(SEARCH(", "&amp;$B106&amp;", ",", "&amp;'Giao nhận &amp; Theo dõi đơn'!$B$7:$B$500&amp;", ")),--('Giao nhận &amp; Theo dõi đơn'!$AT$7:$AT$500="Pass"))+SUMPRODUCT(--ISNUMBER(SEARCH(", "&amp;$B106&amp;", ",", "&amp;'Bảng tin &amp; Chi tiết tin'!$B$7:$B$500&amp;", ")),--('Bảng tin &amp; Chi tiết tin'!$AT$7:$AT$500="Pass"))+SUMPRODUCT(--ISNUMBER(SEARCH(", "&amp;$B106&amp;", ",", "&amp;'Quà cảm ơn'!$B$7:$B$500&amp;", ")),--('Quà cảm ơn'!$AT$7:$AT$500="Pass"))+SUMPRODUCT(--ISNUMBER(SEARCH(", "&amp;$B106&amp;", ",", "&amp;'Trang chủ'!$B$7:$B$500&amp;", ")),--('Trang chủ'!$AT$7:$AT$500="Pass"))+SUMPRODUCT(--ISNUMBER(SEARCH(", "&amp;$B106&amp;", ",", "&amp;'Thông báo'!$B$7:$B$500&amp;", ")),--('Thông báo'!$AT$7:$AT$500="Pass"))+SUMPRODUCT(--ISNUMBER(SEARCH(", "&amp;$B106&amp;", ",", "&amp;'Đăng tin &amp; Quản lý tin'!$B$7:$B$500&amp;", ")),--('Đăng tin &amp; Quản lý tin'!$AT$7:$AT$500="Pass"))+SUMPRODUCT(--ISNUMBER(SEARCH(", "&amp;$B106&amp;", ",", "&amp;'Trust &amp; Safety'!$B$7:$B$500&amp;", ")),--('Trust &amp; Safety'!$AT$7:$AT$500="Pass"))+SUMPRODUCT(--ISNUMBER(SEARCH(", "&amp;$B106&amp;", ",", "&amp;'Tài khoản &amp; Hồ sơ'!$B$7:$B$500&amp;", ")),--('Tài khoản &amp; Hồ sơ'!$AT$7:$AT$500="Pass"))</f>
        <v/>
      </c>
      <c r="H106" s="53">
        <f>SUMPRODUCT(--ISNUMBER(SEARCH(", "&amp;$B106&amp;", ",", "&amp;'Hoạt động (Đơn của tôi)'!$B$7:$B$500&amp;", ")),--('Hoạt động (Đơn của tôi)'!$AT$7:$AT$500="Fail"))+SUMPRODUCT(--ISNUMBER(SEARCH(", "&amp;$B106&amp;", ",", "&amp;'Ghép nối'!$B$7:$B$500&amp;", ")),--('Ghép nối'!$AT$7:$AT$500="Fail"))+SUMPRODUCT(--ISNUMBER(SEARCH(", "&amp;$B106&amp;", ",", "&amp;'Huỷ đơn - Huỷ nhận đơn'!$B$7:$B$500&amp;", ")),--('Huỷ đơn - Huỷ nhận đơn'!$AT$7:$AT$500="Fail"))+SUMPRODUCT(--ISNUMBER(SEARCH(", "&amp;$B106&amp;", ",", "&amp;'Giao nhận &amp; Theo dõi đơn'!$B$7:$B$500&amp;", ")),--('Giao nhận &amp; Theo dõi đơn'!$AT$7:$AT$500="Fail"))+SUMPRODUCT(--ISNUMBER(SEARCH(", "&amp;$B106&amp;", ",", "&amp;'Bảng tin &amp; Chi tiết tin'!$B$7:$B$500&amp;", ")),--('Bảng tin &amp; Chi tiết tin'!$AT$7:$AT$500="Fail"))+SUMPRODUCT(--ISNUMBER(SEARCH(", "&amp;$B106&amp;", ",", "&amp;'Quà cảm ơn'!$B$7:$B$500&amp;", ")),--('Quà cảm ơn'!$AT$7:$AT$500="Fail"))+SUMPRODUCT(--ISNUMBER(SEARCH(", "&amp;$B106&amp;", ",", "&amp;'Trang chủ'!$B$7:$B$500&amp;", ")),--('Trang chủ'!$AT$7:$AT$500="Fail"))+SUMPRODUCT(--ISNUMBER(SEARCH(", "&amp;$B106&amp;", ",", "&amp;'Thông báo'!$B$7:$B$500&amp;", ")),--('Thông báo'!$AT$7:$AT$500="Fail"))+SUMPRODUCT(--ISNUMBER(SEARCH(", "&amp;$B106&amp;", ",", "&amp;'Đăng tin &amp; Quản lý tin'!$B$7:$B$500&amp;", ")),--('Đăng tin &amp; Quản lý tin'!$AT$7:$AT$500="Fail"))+SUMPRODUCT(--ISNUMBER(SEARCH(", "&amp;$B106&amp;", ",", "&amp;'Trust &amp; Safety'!$B$7:$B$500&amp;", ")),--('Trust &amp; Safety'!$AT$7:$AT$500="Fail"))+SUMPRODUCT(--ISNUMBER(SEARCH(", "&amp;$B106&amp;", ",", "&amp;'Tài khoản &amp; Hồ sơ'!$B$7:$B$500&amp;", ")),--('Tài khoản &amp; Hồ sơ'!$AT$7:$AT$500="Fail"))</f>
        <v/>
      </c>
      <c r="I106" s="53">
        <f>SUMPRODUCT(--ISNUMBER(SEARCH(", "&amp;$B106&amp;", ",", "&amp;'Hoạt động (Đơn của tôi)'!$B$7:$B$500&amp;", ")),--('Hoạt động (Đơn của tôi)'!$AT$7:$AT$500="Block"))+SUMPRODUCT(--ISNUMBER(SEARCH(", "&amp;$B106&amp;", ",", "&amp;'Ghép nối'!$B$7:$B$500&amp;", ")),--('Ghép nối'!$AT$7:$AT$500="Block"))+SUMPRODUCT(--ISNUMBER(SEARCH(", "&amp;$B106&amp;", ",", "&amp;'Huỷ đơn - Huỷ nhận đơn'!$B$7:$B$500&amp;", ")),--('Huỷ đơn - Huỷ nhận đơn'!$AT$7:$AT$500="Block"))+SUMPRODUCT(--ISNUMBER(SEARCH(", "&amp;$B106&amp;", ",", "&amp;'Giao nhận &amp; Theo dõi đơn'!$B$7:$B$500&amp;", ")),--('Giao nhận &amp; Theo dõi đơn'!$AT$7:$AT$500="Block"))+SUMPRODUCT(--ISNUMBER(SEARCH(", "&amp;$B106&amp;", ",", "&amp;'Bảng tin &amp; Chi tiết tin'!$B$7:$B$500&amp;", ")),--('Bảng tin &amp; Chi tiết tin'!$AT$7:$AT$500="Block"))+SUMPRODUCT(--ISNUMBER(SEARCH(", "&amp;$B106&amp;", ",", "&amp;'Quà cảm ơn'!$B$7:$B$500&amp;", ")),--('Quà cảm ơn'!$AT$7:$AT$500="Block"))+SUMPRODUCT(--ISNUMBER(SEARCH(", "&amp;$B106&amp;", ",", "&amp;'Trang chủ'!$B$7:$B$500&amp;", ")),--('Trang chủ'!$AT$7:$AT$500="Block"))+SUMPRODUCT(--ISNUMBER(SEARCH(", "&amp;$B106&amp;", ",", "&amp;'Thông báo'!$B$7:$B$500&amp;", ")),--('Thông báo'!$AT$7:$AT$500="Block"))+SUMPRODUCT(--ISNUMBER(SEARCH(", "&amp;$B106&amp;", ",", "&amp;'Đăng tin &amp; Quản lý tin'!$B$7:$B$500&amp;", ")),--('Đăng tin &amp; Quản lý tin'!$AT$7:$AT$500="Block"))+SUMPRODUCT(--ISNUMBER(SEARCH(", "&amp;$B106&amp;", ",", "&amp;'Trust &amp; Safety'!$B$7:$B$500&amp;", ")),--('Trust &amp; Safety'!$AT$7:$AT$500="Block"))+SUMPRODUCT(--ISNUMBER(SEARCH(", "&amp;$B106&amp;", ",", "&amp;'Tài khoản &amp; Hồ sơ'!$B$7:$B$500&amp;", ")),--('Tài khoản &amp; Hồ sơ'!$AT$7:$AT$500="Block"))</f>
        <v/>
      </c>
      <c r="J106" s="53">
        <f>SUMPRODUCT(--ISNUMBER(SEARCH(", "&amp;$B106&amp;", ",", "&amp;'Hoạt động (Đơn của tôi)'!$B$7:$B$500&amp;", ")),--('Hoạt động (Đơn của tôi)'!$AT$7:$AT$500="N/A"))+SUMPRODUCT(--ISNUMBER(SEARCH(", "&amp;$B106&amp;", ",", "&amp;'Ghép nối'!$B$7:$B$500&amp;", ")),--('Ghép nối'!$AT$7:$AT$500="N/A"))+SUMPRODUCT(--ISNUMBER(SEARCH(", "&amp;$B106&amp;", ",", "&amp;'Huỷ đơn - Huỷ nhận đơn'!$B$7:$B$500&amp;", ")),--('Huỷ đơn - Huỷ nhận đơn'!$AT$7:$AT$500="N/A"))+SUMPRODUCT(--ISNUMBER(SEARCH(", "&amp;$B106&amp;", ",", "&amp;'Giao nhận &amp; Theo dõi đơn'!$B$7:$B$500&amp;", ")),--('Giao nhận &amp; Theo dõi đơn'!$AT$7:$AT$500="N/A"))+SUMPRODUCT(--ISNUMBER(SEARCH(", "&amp;$B106&amp;", ",", "&amp;'Bảng tin &amp; Chi tiết tin'!$B$7:$B$500&amp;", ")),--('Bảng tin &amp; Chi tiết tin'!$AT$7:$AT$500="N/A"))+SUMPRODUCT(--ISNUMBER(SEARCH(", "&amp;$B106&amp;", ",", "&amp;'Quà cảm ơn'!$B$7:$B$500&amp;", ")),--('Quà cảm ơn'!$AT$7:$AT$500="N/A"))+SUMPRODUCT(--ISNUMBER(SEARCH(", "&amp;$B106&amp;", ",", "&amp;'Trang chủ'!$B$7:$B$500&amp;", ")),--('Trang chủ'!$AT$7:$AT$500="N/A"))+SUMPRODUCT(--ISNUMBER(SEARCH(", "&amp;$B106&amp;", ",", "&amp;'Thông báo'!$B$7:$B$500&amp;", ")),--('Thông báo'!$AT$7:$AT$500="N/A"))+SUMPRODUCT(--ISNUMBER(SEARCH(", "&amp;$B106&amp;", ",", "&amp;'Đăng tin &amp; Quản lý tin'!$B$7:$B$500&amp;", ")),--('Đăng tin &amp; Quản lý tin'!$AT$7:$AT$500="N/A"))+SUMPRODUCT(--ISNUMBER(SEARCH(", "&amp;$B106&amp;", ",", "&amp;'Trust &amp; Safety'!$B$7:$B$500&amp;", ")),--('Trust &amp; Safety'!$AT$7:$AT$500="N/A"))+SUMPRODUCT(--ISNUMBER(SEARCH(", "&amp;$B106&amp;", ",", "&amp;'Tài khoản &amp; Hồ sơ'!$B$7:$B$500&amp;", ")),--('Tài khoản &amp; Hồ sơ'!$AT$7:$AT$500="N/A"))</f>
        <v/>
      </c>
      <c r="K106" s="54">
        <f>IFERROR(F106/E106,0)</f>
        <v/>
      </c>
      <c r="L106" s="113">
        <f>IF(E106=0,"Chưa có TC (gap)",IF(H106&gt;0,"Có lỗi (Fail)",IF(I106&gt;0,"Bị block",IF(F106&lt;E106,"Đang test",IF(G106=0,"Không áp dụng (N/A)","Đã test xong")))))</f>
        <v/>
      </c>
      <c r="AB106" t="inlineStr">
        <is>
          <t>REQ-ORD</t>
        </is>
      </c>
    </row>
    <row r="107" ht="15.75" customHeight="1" s="216">
      <c r="A107" s="1" t="n"/>
      <c r="B107" s="112" t="inlineStr">
        <is>
          <t>REQ-ORD-016</t>
        </is>
      </c>
      <c r="C107" s="261" t="inlineStr">
        <is>
          <t>Nguồn (v1.0) — `DOC-v1.0-01 §D8.2 L379-386` + `KP-01 §3 KB-ORD-11`: form OFFER 1 trang, tin không công khai.</t>
        </is>
      </c>
      <c r="D107" s="113" t="inlineStr">
        <is>
          <t>DOC-v1.1-01 §8.2 · trang 36</t>
        </is>
      </c>
      <c r="E107" s="53">
        <f>SUMPRODUCT(--ISNUMBER(SEARCH(", "&amp;$B107&amp;", ",", "&amp;'Hoạt động (Đơn của tôi)'!$B$7:$B$500&amp;", ")))+SUMPRODUCT(--ISNUMBER(SEARCH(", "&amp;$B107&amp;", ",", "&amp;'Ghép nối'!$B$7:$B$500&amp;", ")))+SUMPRODUCT(--ISNUMBER(SEARCH(", "&amp;$B107&amp;", ",", "&amp;'Huỷ đơn - Huỷ nhận đơn'!$B$7:$B$500&amp;", ")))+SUMPRODUCT(--ISNUMBER(SEARCH(", "&amp;$B107&amp;", ",", "&amp;'Giao nhận &amp; Theo dõi đơn'!$B$7:$B$500&amp;", ")))+SUMPRODUCT(--ISNUMBER(SEARCH(", "&amp;$B107&amp;", ",", "&amp;'Bảng tin &amp; Chi tiết tin'!$B$7:$B$500&amp;", ")))+SUMPRODUCT(--ISNUMBER(SEARCH(", "&amp;$B107&amp;", ",", "&amp;'Quà cảm ơn'!$B$7:$B$500&amp;", ")))+SUMPRODUCT(--ISNUMBER(SEARCH(", "&amp;$B107&amp;", ",", "&amp;'Trang chủ'!$B$7:$B$500&amp;", ")))+SUMPRODUCT(--ISNUMBER(SEARCH(", "&amp;$B107&amp;", ",", "&amp;'Thông báo'!$B$7:$B$500&amp;", ")))+SUMPRODUCT(--ISNUMBER(SEARCH(", "&amp;$B107&amp;", ",", "&amp;'Đăng tin &amp; Quản lý tin'!$B$7:$B$500&amp;", ")))+SUMPRODUCT(--ISNUMBER(SEARCH(", "&amp;$B107&amp;", ",", "&amp;'Trust &amp; Safety'!$B$7:$B$500&amp;", ")))+SUMPRODUCT(--ISNUMBER(SEARCH(", "&amp;$B107&amp;", ",", "&amp;'Tài khoản &amp; Hồ sơ'!$B$7:$B$500&amp;", ")))</f>
        <v/>
      </c>
      <c r="F107" s="53">
        <f>SUMPRODUCT(--ISNUMBER(SEARCH(", "&amp;$B107&amp;", ",", "&amp;'Hoạt động (Đơn của tôi)'!$B$7:$B$500&amp;", ")),--('Hoạt động (Đơn của tôi)'!$AT$7:$AT$500&lt;&gt;""))+SUMPRODUCT(--ISNUMBER(SEARCH(", "&amp;$B107&amp;", ",", "&amp;'Ghép nối'!$B$7:$B$500&amp;", ")),--('Ghép nối'!$AT$7:$AT$500&lt;&gt;""))+SUMPRODUCT(--ISNUMBER(SEARCH(", "&amp;$B107&amp;", ",", "&amp;'Huỷ đơn - Huỷ nhận đơn'!$B$7:$B$500&amp;", ")),--('Huỷ đơn - Huỷ nhận đơn'!$AT$7:$AT$500&lt;&gt;""))+SUMPRODUCT(--ISNUMBER(SEARCH(", "&amp;$B107&amp;", ",", "&amp;'Giao nhận &amp; Theo dõi đơn'!$B$7:$B$500&amp;", ")),--('Giao nhận &amp; Theo dõi đơn'!$AT$7:$AT$500&lt;&gt;""))+SUMPRODUCT(--ISNUMBER(SEARCH(", "&amp;$B107&amp;", ",", "&amp;'Bảng tin &amp; Chi tiết tin'!$B$7:$B$500&amp;", ")),--('Bảng tin &amp; Chi tiết tin'!$AT$7:$AT$500&lt;&gt;""))+SUMPRODUCT(--ISNUMBER(SEARCH(", "&amp;$B107&amp;", ",", "&amp;'Quà cảm ơn'!$B$7:$B$500&amp;", ")),--('Quà cảm ơn'!$AT$7:$AT$500&lt;&gt;""))+SUMPRODUCT(--ISNUMBER(SEARCH(", "&amp;$B107&amp;", ",", "&amp;'Trang chủ'!$B$7:$B$500&amp;", ")),--('Trang chủ'!$AT$7:$AT$500&lt;&gt;""))+SUMPRODUCT(--ISNUMBER(SEARCH(", "&amp;$B107&amp;", ",", "&amp;'Thông báo'!$B$7:$B$500&amp;", ")),--('Thông báo'!$AT$7:$AT$500&lt;&gt;""))+SUMPRODUCT(--ISNUMBER(SEARCH(", "&amp;$B107&amp;", ",", "&amp;'Đăng tin &amp; Quản lý tin'!$B$7:$B$500&amp;", ")),--('Đăng tin &amp; Quản lý tin'!$AT$7:$AT$500&lt;&gt;""))+SUMPRODUCT(--ISNUMBER(SEARCH(", "&amp;$B107&amp;", ",", "&amp;'Trust &amp; Safety'!$B$7:$B$500&amp;", ")),--('Trust &amp; Safety'!$AT$7:$AT$500&lt;&gt;""))+SUMPRODUCT(--ISNUMBER(SEARCH(", "&amp;$B107&amp;", ",", "&amp;'Tài khoản &amp; Hồ sơ'!$B$7:$B$500&amp;", ")),--('Tài khoản &amp; Hồ sơ'!$AT$7:$AT$500&lt;&gt;""))</f>
        <v/>
      </c>
      <c r="G107" s="53">
        <f>SUMPRODUCT(--ISNUMBER(SEARCH(", "&amp;$B107&amp;", ",", "&amp;'Hoạt động (Đơn của tôi)'!$B$7:$B$500&amp;", ")),--('Hoạt động (Đơn của tôi)'!$AT$7:$AT$500="Pass"))+SUMPRODUCT(--ISNUMBER(SEARCH(", "&amp;$B107&amp;", ",", "&amp;'Ghép nối'!$B$7:$B$500&amp;", ")),--('Ghép nối'!$AT$7:$AT$500="Pass"))+SUMPRODUCT(--ISNUMBER(SEARCH(", "&amp;$B107&amp;", ",", "&amp;'Huỷ đơn - Huỷ nhận đơn'!$B$7:$B$500&amp;", ")),--('Huỷ đơn - Huỷ nhận đơn'!$AT$7:$AT$500="Pass"))+SUMPRODUCT(--ISNUMBER(SEARCH(", "&amp;$B107&amp;", ",", "&amp;'Giao nhận &amp; Theo dõi đơn'!$B$7:$B$500&amp;", ")),--('Giao nhận &amp; Theo dõi đơn'!$AT$7:$AT$500="Pass"))+SUMPRODUCT(--ISNUMBER(SEARCH(", "&amp;$B107&amp;", ",", "&amp;'Bảng tin &amp; Chi tiết tin'!$B$7:$B$500&amp;", ")),--('Bảng tin &amp; Chi tiết tin'!$AT$7:$AT$500="Pass"))+SUMPRODUCT(--ISNUMBER(SEARCH(", "&amp;$B107&amp;", ",", "&amp;'Quà cảm ơn'!$B$7:$B$500&amp;", ")),--('Quà cảm ơn'!$AT$7:$AT$500="Pass"))+SUMPRODUCT(--ISNUMBER(SEARCH(", "&amp;$B107&amp;", ",", "&amp;'Trang chủ'!$B$7:$B$500&amp;", ")),--('Trang chủ'!$AT$7:$AT$500="Pass"))+SUMPRODUCT(--ISNUMBER(SEARCH(", "&amp;$B107&amp;", ",", "&amp;'Thông báo'!$B$7:$B$500&amp;", ")),--('Thông báo'!$AT$7:$AT$500="Pass"))+SUMPRODUCT(--ISNUMBER(SEARCH(", "&amp;$B107&amp;", ",", "&amp;'Đăng tin &amp; Quản lý tin'!$B$7:$B$500&amp;", ")),--('Đăng tin &amp; Quản lý tin'!$AT$7:$AT$500="Pass"))+SUMPRODUCT(--ISNUMBER(SEARCH(", "&amp;$B107&amp;", ",", "&amp;'Trust &amp; Safety'!$B$7:$B$500&amp;", ")),--('Trust &amp; Safety'!$AT$7:$AT$500="Pass"))+SUMPRODUCT(--ISNUMBER(SEARCH(", "&amp;$B107&amp;", ",", "&amp;'Tài khoản &amp; Hồ sơ'!$B$7:$B$500&amp;", ")),--('Tài khoản &amp; Hồ sơ'!$AT$7:$AT$500="Pass"))</f>
        <v/>
      </c>
      <c r="H107" s="53">
        <f>SUMPRODUCT(--ISNUMBER(SEARCH(", "&amp;$B107&amp;", ",", "&amp;'Hoạt động (Đơn của tôi)'!$B$7:$B$500&amp;", ")),--('Hoạt động (Đơn của tôi)'!$AT$7:$AT$500="Fail"))+SUMPRODUCT(--ISNUMBER(SEARCH(", "&amp;$B107&amp;", ",", "&amp;'Ghép nối'!$B$7:$B$500&amp;", ")),--('Ghép nối'!$AT$7:$AT$500="Fail"))+SUMPRODUCT(--ISNUMBER(SEARCH(", "&amp;$B107&amp;", ",", "&amp;'Huỷ đơn - Huỷ nhận đơn'!$B$7:$B$500&amp;", ")),--('Huỷ đơn - Huỷ nhận đơn'!$AT$7:$AT$500="Fail"))+SUMPRODUCT(--ISNUMBER(SEARCH(", "&amp;$B107&amp;", ",", "&amp;'Giao nhận &amp; Theo dõi đơn'!$B$7:$B$500&amp;", ")),--('Giao nhận &amp; Theo dõi đơn'!$AT$7:$AT$500="Fail"))+SUMPRODUCT(--ISNUMBER(SEARCH(", "&amp;$B107&amp;", ",", "&amp;'Bảng tin &amp; Chi tiết tin'!$B$7:$B$500&amp;", ")),--('Bảng tin &amp; Chi tiết tin'!$AT$7:$AT$500="Fail"))+SUMPRODUCT(--ISNUMBER(SEARCH(", "&amp;$B107&amp;", ",", "&amp;'Quà cảm ơn'!$B$7:$B$500&amp;", ")),--('Quà cảm ơn'!$AT$7:$AT$500="Fail"))+SUMPRODUCT(--ISNUMBER(SEARCH(", "&amp;$B107&amp;", ",", "&amp;'Trang chủ'!$B$7:$B$500&amp;", ")),--('Trang chủ'!$AT$7:$AT$500="Fail"))+SUMPRODUCT(--ISNUMBER(SEARCH(", "&amp;$B107&amp;", ",", "&amp;'Thông báo'!$B$7:$B$500&amp;", ")),--('Thông báo'!$AT$7:$AT$500="Fail"))+SUMPRODUCT(--ISNUMBER(SEARCH(", "&amp;$B107&amp;", ",", "&amp;'Đăng tin &amp; Quản lý tin'!$B$7:$B$500&amp;", ")),--('Đăng tin &amp; Quản lý tin'!$AT$7:$AT$500="Fail"))+SUMPRODUCT(--ISNUMBER(SEARCH(", "&amp;$B107&amp;", ",", "&amp;'Trust &amp; Safety'!$B$7:$B$500&amp;", ")),--('Trust &amp; Safety'!$AT$7:$AT$500="Fail"))+SUMPRODUCT(--ISNUMBER(SEARCH(", "&amp;$B107&amp;", ",", "&amp;'Tài khoản &amp; Hồ sơ'!$B$7:$B$500&amp;", ")),--('Tài khoản &amp; Hồ sơ'!$AT$7:$AT$500="Fail"))</f>
        <v/>
      </c>
      <c r="I107" s="53">
        <f>SUMPRODUCT(--ISNUMBER(SEARCH(", "&amp;$B107&amp;", ",", "&amp;'Hoạt động (Đơn của tôi)'!$B$7:$B$500&amp;", ")),--('Hoạt động (Đơn của tôi)'!$AT$7:$AT$500="Block"))+SUMPRODUCT(--ISNUMBER(SEARCH(", "&amp;$B107&amp;", ",", "&amp;'Ghép nối'!$B$7:$B$500&amp;", ")),--('Ghép nối'!$AT$7:$AT$500="Block"))+SUMPRODUCT(--ISNUMBER(SEARCH(", "&amp;$B107&amp;", ",", "&amp;'Huỷ đơn - Huỷ nhận đơn'!$B$7:$B$500&amp;", ")),--('Huỷ đơn - Huỷ nhận đơn'!$AT$7:$AT$500="Block"))+SUMPRODUCT(--ISNUMBER(SEARCH(", "&amp;$B107&amp;", ",", "&amp;'Giao nhận &amp; Theo dõi đơn'!$B$7:$B$500&amp;", ")),--('Giao nhận &amp; Theo dõi đơn'!$AT$7:$AT$500="Block"))+SUMPRODUCT(--ISNUMBER(SEARCH(", "&amp;$B107&amp;", ",", "&amp;'Bảng tin &amp; Chi tiết tin'!$B$7:$B$500&amp;", ")),--('Bảng tin &amp; Chi tiết tin'!$AT$7:$AT$500="Block"))+SUMPRODUCT(--ISNUMBER(SEARCH(", "&amp;$B107&amp;", ",", "&amp;'Quà cảm ơn'!$B$7:$B$500&amp;", ")),--('Quà cảm ơn'!$AT$7:$AT$500="Block"))+SUMPRODUCT(--ISNUMBER(SEARCH(", "&amp;$B107&amp;", ",", "&amp;'Trang chủ'!$B$7:$B$500&amp;", ")),--('Trang chủ'!$AT$7:$AT$500="Block"))+SUMPRODUCT(--ISNUMBER(SEARCH(", "&amp;$B107&amp;", ",", "&amp;'Thông báo'!$B$7:$B$500&amp;", ")),--('Thông báo'!$AT$7:$AT$500="Block"))+SUMPRODUCT(--ISNUMBER(SEARCH(", "&amp;$B107&amp;", ",", "&amp;'Đăng tin &amp; Quản lý tin'!$B$7:$B$500&amp;", ")),--('Đăng tin &amp; Quản lý tin'!$AT$7:$AT$500="Block"))+SUMPRODUCT(--ISNUMBER(SEARCH(", "&amp;$B107&amp;", ",", "&amp;'Trust &amp; Safety'!$B$7:$B$500&amp;", ")),--('Trust &amp; Safety'!$AT$7:$AT$500="Block"))+SUMPRODUCT(--ISNUMBER(SEARCH(", "&amp;$B107&amp;", ",", "&amp;'Tài khoản &amp; Hồ sơ'!$B$7:$B$500&amp;", ")),--('Tài khoản &amp; Hồ sơ'!$AT$7:$AT$500="Block"))</f>
        <v/>
      </c>
      <c r="J107" s="53">
        <f>SUMPRODUCT(--ISNUMBER(SEARCH(", "&amp;$B107&amp;", ",", "&amp;'Hoạt động (Đơn của tôi)'!$B$7:$B$500&amp;", ")),--('Hoạt động (Đơn của tôi)'!$AT$7:$AT$500="N/A"))+SUMPRODUCT(--ISNUMBER(SEARCH(", "&amp;$B107&amp;", ",", "&amp;'Ghép nối'!$B$7:$B$500&amp;", ")),--('Ghép nối'!$AT$7:$AT$500="N/A"))+SUMPRODUCT(--ISNUMBER(SEARCH(", "&amp;$B107&amp;", ",", "&amp;'Huỷ đơn - Huỷ nhận đơn'!$B$7:$B$500&amp;", ")),--('Huỷ đơn - Huỷ nhận đơn'!$AT$7:$AT$500="N/A"))+SUMPRODUCT(--ISNUMBER(SEARCH(", "&amp;$B107&amp;", ",", "&amp;'Giao nhận &amp; Theo dõi đơn'!$B$7:$B$500&amp;", ")),--('Giao nhận &amp; Theo dõi đơn'!$AT$7:$AT$500="N/A"))+SUMPRODUCT(--ISNUMBER(SEARCH(", "&amp;$B107&amp;", ",", "&amp;'Bảng tin &amp; Chi tiết tin'!$B$7:$B$500&amp;", ")),--('Bảng tin &amp; Chi tiết tin'!$AT$7:$AT$500="N/A"))+SUMPRODUCT(--ISNUMBER(SEARCH(", "&amp;$B107&amp;", ",", "&amp;'Quà cảm ơn'!$B$7:$B$500&amp;", ")),--('Quà cảm ơn'!$AT$7:$AT$500="N/A"))+SUMPRODUCT(--ISNUMBER(SEARCH(", "&amp;$B107&amp;", ",", "&amp;'Trang chủ'!$B$7:$B$500&amp;", ")),--('Trang chủ'!$AT$7:$AT$500="N/A"))+SUMPRODUCT(--ISNUMBER(SEARCH(", "&amp;$B107&amp;", ",", "&amp;'Thông báo'!$B$7:$B$500&amp;", ")),--('Thông báo'!$AT$7:$AT$500="N/A"))+SUMPRODUCT(--ISNUMBER(SEARCH(", "&amp;$B107&amp;", ",", "&amp;'Đăng tin &amp; Quản lý tin'!$B$7:$B$500&amp;", ")),--('Đăng tin &amp; Quản lý tin'!$AT$7:$AT$500="N/A"))+SUMPRODUCT(--ISNUMBER(SEARCH(", "&amp;$B107&amp;", ",", "&amp;'Trust &amp; Safety'!$B$7:$B$500&amp;", ")),--('Trust &amp; Safety'!$AT$7:$AT$500="N/A"))+SUMPRODUCT(--ISNUMBER(SEARCH(", "&amp;$B107&amp;", ",", "&amp;'Tài khoản &amp; Hồ sơ'!$B$7:$B$500&amp;", ")),--('Tài khoản &amp; Hồ sơ'!$AT$7:$AT$500="N/A"))</f>
        <v/>
      </c>
      <c r="K107" s="54">
        <f>IFERROR(F107/E107,0)</f>
        <v/>
      </c>
      <c r="L107" s="113">
        <f>IF(E107=0,"Chưa có TC (gap)",IF(H107&gt;0,"Có lỗi (Fail)",IF(I107&gt;0,"Bị block",IF(F107&lt;E107,"Đang test",IF(G107=0,"Không áp dụng (N/A)","Đã test xong")))))</f>
        <v/>
      </c>
      <c r="AB107" t="inlineStr">
        <is>
          <t>REQ-ORD</t>
        </is>
      </c>
    </row>
    <row r="108" ht="15.75" customHeight="1" s="216">
      <c r="A108" s="1" t="n"/>
      <c r="B108" s="112" t="inlineStr">
        <is>
          <t>REQ-ORD-017</t>
        </is>
      </c>
      <c r="C108" s="261" t="inlineStr">
        <is>
          <t>Nguồn (v1.0) — `DOC-v1.0-01 §D3 ORD-10 L252` · `§D4 BR-EDIT-01 L269` · `§D7 OPR-10 L346`: chỉ sửa khi còn "Chờ ghép".</t>
        </is>
      </c>
      <c r="D108" s="113" t="inlineStr">
        <is>
          <t>DOC-v1.1-01 §8.5.1 BR05-01 / BR05-02 · trang 38</t>
        </is>
      </c>
      <c r="E108" s="53">
        <f>SUMPRODUCT(--ISNUMBER(SEARCH(", "&amp;$B108&amp;", ",", "&amp;'Hoạt động (Đơn của tôi)'!$B$7:$B$500&amp;", ")))+SUMPRODUCT(--ISNUMBER(SEARCH(", "&amp;$B108&amp;", ",", "&amp;'Ghép nối'!$B$7:$B$500&amp;", ")))+SUMPRODUCT(--ISNUMBER(SEARCH(", "&amp;$B108&amp;", ",", "&amp;'Huỷ đơn - Huỷ nhận đơn'!$B$7:$B$500&amp;", ")))+SUMPRODUCT(--ISNUMBER(SEARCH(", "&amp;$B108&amp;", ",", "&amp;'Giao nhận &amp; Theo dõi đơn'!$B$7:$B$500&amp;", ")))+SUMPRODUCT(--ISNUMBER(SEARCH(", "&amp;$B108&amp;", ",", "&amp;'Bảng tin &amp; Chi tiết tin'!$B$7:$B$500&amp;", ")))+SUMPRODUCT(--ISNUMBER(SEARCH(", "&amp;$B108&amp;", ",", "&amp;'Quà cảm ơn'!$B$7:$B$500&amp;", ")))+SUMPRODUCT(--ISNUMBER(SEARCH(", "&amp;$B108&amp;", ",", "&amp;'Trang chủ'!$B$7:$B$500&amp;", ")))+SUMPRODUCT(--ISNUMBER(SEARCH(", "&amp;$B108&amp;", ",", "&amp;'Thông báo'!$B$7:$B$500&amp;", ")))+SUMPRODUCT(--ISNUMBER(SEARCH(", "&amp;$B108&amp;", ",", "&amp;'Đăng tin &amp; Quản lý tin'!$B$7:$B$500&amp;", ")))+SUMPRODUCT(--ISNUMBER(SEARCH(", "&amp;$B108&amp;", ",", "&amp;'Trust &amp; Safety'!$B$7:$B$500&amp;", ")))+SUMPRODUCT(--ISNUMBER(SEARCH(", "&amp;$B108&amp;", ",", "&amp;'Tài khoản &amp; Hồ sơ'!$B$7:$B$500&amp;", ")))</f>
        <v/>
      </c>
      <c r="F108" s="53">
        <f>SUMPRODUCT(--ISNUMBER(SEARCH(", "&amp;$B108&amp;", ",", "&amp;'Hoạt động (Đơn của tôi)'!$B$7:$B$500&amp;", ")),--('Hoạt động (Đơn của tôi)'!$AT$7:$AT$500&lt;&gt;""))+SUMPRODUCT(--ISNUMBER(SEARCH(", "&amp;$B108&amp;", ",", "&amp;'Ghép nối'!$B$7:$B$500&amp;", ")),--('Ghép nối'!$AT$7:$AT$500&lt;&gt;""))+SUMPRODUCT(--ISNUMBER(SEARCH(", "&amp;$B108&amp;", ",", "&amp;'Huỷ đơn - Huỷ nhận đơn'!$B$7:$B$500&amp;", ")),--('Huỷ đơn - Huỷ nhận đơn'!$AT$7:$AT$500&lt;&gt;""))+SUMPRODUCT(--ISNUMBER(SEARCH(", "&amp;$B108&amp;", ",", "&amp;'Giao nhận &amp; Theo dõi đơn'!$B$7:$B$500&amp;", ")),--('Giao nhận &amp; Theo dõi đơn'!$AT$7:$AT$500&lt;&gt;""))+SUMPRODUCT(--ISNUMBER(SEARCH(", "&amp;$B108&amp;", ",", "&amp;'Bảng tin &amp; Chi tiết tin'!$B$7:$B$500&amp;", ")),--('Bảng tin &amp; Chi tiết tin'!$AT$7:$AT$500&lt;&gt;""))+SUMPRODUCT(--ISNUMBER(SEARCH(", "&amp;$B108&amp;", ",", "&amp;'Quà cảm ơn'!$B$7:$B$500&amp;", ")),--('Quà cảm ơn'!$AT$7:$AT$500&lt;&gt;""))+SUMPRODUCT(--ISNUMBER(SEARCH(", "&amp;$B108&amp;", ",", "&amp;'Trang chủ'!$B$7:$B$500&amp;", ")),--('Trang chủ'!$AT$7:$AT$500&lt;&gt;""))+SUMPRODUCT(--ISNUMBER(SEARCH(", "&amp;$B108&amp;", ",", "&amp;'Thông báo'!$B$7:$B$500&amp;", ")),--('Thông báo'!$AT$7:$AT$500&lt;&gt;""))+SUMPRODUCT(--ISNUMBER(SEARCH(", "&amp;$B108&amp;", ",", "&amp;'Đăng tin &amp; Quản lý tin'!$B$7:$B$500&amp;", ")),--('Đăng tin &amp; Quản lý tin'!$AT$7:$AT$500&lt;&gt;""))+SUMPRODUCT(--ISNUMBER(SEARCH(", "&amp;$B108&amp;", ",", "&amp;'Trust &amp; Safety'!$B$7:$B$500&amp;", ")),--('Trust &amp; Safety'!$AT$7:$AT$500&lt;&gt;""))+SUMPRODUCT(--ISNUMBER(SEARCH(", "&amp;$B108&amp;", ",", "&amp;'Tài khoản &amp; Hồ sơ'!$B$7:$B$500&amp;", ")),--('Tài khoản &amp; Hồ sơ'!$AT$7:$AT$500&lt;&gt;""))</f>
        <v/>
      </c>
      <c r="G108" s="53">
        <f>SUMPRODUCT(--ISNUMBER(SEARCH(", "&amp;$B108&amp;", ",", "&amp;'Hoạt động (Đơn của tôi)'!$B$7:$B$500&amp;", ")),--('Hoạt động (Đơn của tôi)'!$AT$7:$AT$500="Pass"))+SUMPRODUCT(--ISNUMBER(SEARCH(", "&amp;$B108&amp;", ",", "&amp;'Ghép nối'!$B$7:$B$500&amp;", ")),--('Ghép nối'!$AT$7:$AT$500="Pass"))+SUMPRODUCT(--ISNUMBER(SEARCH(", "&amp;$B108&amp;", ",", "&amp;'Huỷ đơn - Huỷ nhận đơn'!$B$7:$B$500&amp;", ")),--('Huỷ đơn - Huỷ nhận đơn'!$AT$7:$AT$500="Pass"))+SUMPRODUCT(--ISNUMBER(SEARCH(", "&amp;$B108&amp;", ",", "&amp;'Giao nhận &amp; Theo dõi đơn'!$B$7:$B$500&amp;", ")),--('Giao nhận &amp; Theo dõi đơn'!$AT$7:$AT$500="Pass"))+SUMPRODUCT(--ISNUMBER(SEARCH(", "&amp;$B108&amp;", ",", "&amp;'Bảng tin &amp; Chi tiết tin'!$B$7:$B$500&amp;", ")),--('Bảng tin &amp; Chi tiết tin'!$AT$7:$AT$500="Pass"))+SUMPRODUCT(--ISNUMBER(SEARCH(", "&amp;$B108&amp;", ",", "&amp;'Quà cảm ơn'!$B$7:$B$500&amp;", ")),--('Quà cảm ơn'!$AT$7:$AT$500="Pass"))+SUMPRODUCT(--ISNUMBER(SEARCH(", "&amp;$B108&amp;", ",", "&amp;'Trang chủ'!$B$7:$B$500&amp;", ")),--('Trang chủ'!$AT$7:$AT$500="Pass"))+SUMPRODUCT(--ISNUMBER(SEARCH(", "&amp;$B108&amp;", ",", "&amp;'Thông báo'!$B$7:$B$500&amp;", ")),--('Thông báo'!$AT$7:$AT$500="Pass"))+SUMPRODUCT(--ISNUMBER(SEARCH(", "&amp;$B108&amp;", ",", "&amp;'Đăng tin &amp; Quản lý tin'!$B$7:$B$500&amp;", ")),--('Đăng tin &amp; Quản lý tin'!$AT$7:$AT$500="Pass"))+SUMPRODUCT(--ISNUMBER(SEARCH(", "&amp;$B108&amp;", ",", "&amp;'Trust &amp; Safety'!$B$7:$B$500&amp;", ")),--('Trust &amp; Safety'!$AT$7:$AT$500="Pass"))+SUMPRODUCT(--ISNUMBER(SEARCH(", "&amp;$B108&amp;", ",", "&amp;'Tài khoản &amp; Hồ sơ'!$B$7:$B$500&amp;", ")),--('Tài khoản &amp; Hồ sơ'!$AT$7:$AT$500="Pass"))</f>
        <v/>
      </c>
      <c r="H108" s="53">
        <f>SUMPRODUCT(--ISNUMBER(SEARCH(", "&amp;$B108&amp;", ",", "&amp;'Hoạt động (Đơn của tôi)'!$B$7:$B$500&amp;", ")),--('Hoạt động (Đơn của tôi)'!$AT$7:$AT$500="Fail"))+SUMPRODUCT(--ISNUMBER(SEARCH(", "&amp;$B108&amp;", ",", "&amp;'Ghép nối'!$B$7:$B$500&amp;", ")),--('Ghép nối'!$AT$7:$AT$500="Fail"))+SUMPRODUCT(--ISNUMBER(SEARCH(", "&amp;$B108&amp;", ",", "&amp;'Huỷ đơn - Huỷ nhận đơn'!$B$7:$B$500&amp;", ")),--('Huỷ đơn - Huỷ nhận đơn'!$AT$7:$AT$500="Fail"))+SUMPRODUCT(--ISNUMBER(SEARCH(", "&amp;$B108&amp;", ",", "&amp;'Giao nhận &amp; Theo dõi đơn'!$B$7:$B$500&amp;", ")),--('Giao nhận &amp; Theo dõi đơn'!$AT$7:$AT$500="Fail"))+SUMPRODUCT(--ISNUMBER(SEARCH(", "&amp;$B108&amp;", ",", "&amp;'Bảng tin &amp; Chi tiết tin'!$B$7:$B$500&amp;", ")),--('Bảng tin &amp; Chi tiết tin'!$AT$7:$AT$500="Fail"))+SUMPRODUCT(--ISNUMBER(SEARCH(", "&amp;$B108&amp;", ",", "&amp;'Quà cảm ơn'!$B$7:$B$500&amp;", ")),--('Quà cảm ơn'!$AT$7:$AT$500="Fail"))+SUMPRODUCT(--ISNUMBER(SEARCH(", "&amp;$B108&amp;", ",", "&amp;'Trang chủ'!$B$7:$B$500&amp;", ")),--('Trang chủ'!$AT$7:$AT$500="Fail"))+SUMPRODUCT(--ISNUMBER(SEARCH(", "&amp;$B108&amp;", ",", "&amp;'Thông báo'!$B$7:$B$500&amp;", ")),--('Thông báo'!$AT$7:$AT$500="Fail"))+SUMPRODUCT(--ISNUMBER(SEARCH(", "&amp;$B108&amp;", ",", "&amp;'Đăng tin &amp; Quản lý tin'!$B$7:$B$500&amp;", ")),--('Đăng tin &amp; Quản lý tin'!$AT$7:$AT$500="Fail"))+SUMPRODUCT(--ISNUMBER(SEARCH(", "&amp;$B108&amp;", ",", "&amp;'Trust &amp; Safety'!$B$7:$B$500&amp;", ")),--('Trust &amp; Safety'!$AT$7:$AT$500="Fail"))+SUMPRODUCT(--ISNUMBER(SEARCH(", "&amp;$B108&amp;", ",", "&amp;'Tài khoản &amp; Hồ sơ'!$B$7:$B$500&amp;", ")),--('Tài khoản &amp; Hồ sơ'!$AT$7:$AT$500="Fail"))</f>
        <v/>
      </c>
      <c r="I108" s="53">
        <f>SUMPRODUCT(--ISNUMBER(SEARCH(", "&amp;$B108&amp;", ",", "&amp;'Hoạt động (Đơn của tôi)'!$B$7:$B$500&amp;", ")),--('Hoạt động (Đơn của tôi)'!$AT$7:$AT$500="Block"))+SUMPRODUCT(--ISNUMBER(SEARCH(", "&amp;$B108&amp;", ",", "&amp;'Ghép nối'!$B$7:$B$500&amp;", ")),--('Ghép nối'!$AT$7:$AT$500="Block"))+SUMPRODUCT(--ISNUMBER(SEARCH(", "&amp;$B108&amp;", ",", "&amp;'Huỷ đơn - Huỷ nhận đơn'!$B$7:$B$500&amp;", ")),--('Huỷ đơn - Huỷ nhận đơn'!$AT$7:$AT$500="Block"))+SUMPRODUCT(--ISNUMBER(SEARCH(", "&amp;$B108&amp;", ",", "&amp;'Giao nhận &amp; Theo dõi đơn'!$B$7:$B$500&amp;", ")),--('Giao nhận &amp; Theo dõi đơn'!$AT$7:$AT$500="Block"))+SUMPRODUCT(--ISNUMBER(SEARCH(", "&amp;$B108&amp;", ",", "&amp;'Bảng tin &amp; Chi tiết tin'!$B$7:$B$500&amp;", ")),--('Bảng tin &amp; Chi tiết tin'!$AT$7:$AT$500="Block"))+SUMPRODUCT(--ISNUMBER(SEARCH(", "&amp;$B108&amp;", ",", "&amp;'Quà cảm ơn'!$B$7:$B$500&amp;", ")),--('Quà cảm ơn'!$AT$7:$AT$500="Block"))+SUMPRODUCT(--ISNUMBER(SEARCH(", "&amp;$B108&amp;", ",", "&amp;'Trang chủ'!$B$7:$B$500&amp;", ")),--('Trang chủ'!$AT$7:$AT$500="Block"))+SUMPRODUCT(--ISNUMBER(SEARCH(", "&amp;$B108&amp;", ",", "&amp;'Thông báo'!$B$7:$B$500&amp;", ")),--('Thông báo'!$AT$7:$AT$500="Block"))+SUMPRODUCT(--ISNUMBER(SEARCH(", "&amp;$B108&amp;", ",", "&amp;'Đăng tin &amp; Quản lý tin'!$B$7:$B$500&amp;", ")),--('Đăng tin &amp; Quản lý tin'!$AT$7:$AT$500="Block"))+SUMPRODUCT(--ISNUMBER(SEARCH(", "&amp;$B108&amp;", ",", "&amp;'Trust &amp; Safety'!$B$7:$B$500&amp;", ")),--('Trust &amp; Safety'!$AT$7:$AT$500="Block"))+SUMPRODUCT(--ISNUMBER(SEARCH(", "&amp;$B108&amp;", ",", "&amp;'Tài khoản &amp; Hồ sơ'!$B$7:$B$500&amp;", ")),--('Tài khoản &amp; Hồ sơ'!$AT$7:$AT$500="Block"))</f>
        <v/>
      </c>
      <c r="J108" s="53">
        <f>SUMPRODUCT(--ISNUMBER(SEARCH(", "&amp;$B108&amp;", ",", "&amp;'Hoạt động (Đơn của tôi)'!$B$7:$B$500&amp;", ")),--('Hoạt động (Đơn của tôi)'!$AT$7:$AT$500="N/A"))+SUMPRODUCT(--ISNUMBER(SEARCH(", "&amp;$B108&amp;", ",", "&amp;'Ghép nối'!$B$7:$B$500&amp;", ")),--('Ghép nối'!$AT$7:$AT$500="N/A"))+SUMPRODUCT(--ISNUMBER(SEARCH(", "&amp;$B108&amp;", ",", "&amp;'Huỷ đơn - Huỷ nhận đơn'!$B$7:$B$500&amp;", ")),--('Huỷ đơn - Huỷ nhận đơn'!$AT$7:$AT$500="N/A"))+SUMPRODUCT(--ISNUMBER(SEARCH(", "&amp;$B108&amp;", ",", "&amp;'Giao nhận &amp; Theo dõi đơn'!$B$7:$B$500&amp;", ")),--('Giao nhận &amp; Theo dõi đơn'!$AT$7:$AT$500="N/A"))+SUMPRODUCT(--ISNUMBER(SEARCH(", "&amp;$B108&amp;", ",", "&amp;'Bảng tin &amp; Chi tiết tin'!$B$7:$B$500&amp;", ")),--('Bảng tin &amp; Chi tiết tin'!$AT$7:$AT$500="N/A"))+SUMPRODUCT(--ISNUMBER(SEARCH(", "&amp;$B108&amp;", ",", "&amp;'Quà cảm ơn'!$B$7:$B$500&amp;", ")),--('Quà cảm ơn'!$AT$7:$AT$500="N/A"))+SUMPRODUCT(--ISNUMBER(SEARCH(", "&amp;$B108&amp;", ",", "&amp;'Trang chủ'!$B$7:$B$500&amp;", ")),--('Trang chủ'!$AT$7:$AT$500="N/A"))+SUMPRODUCT(--ISNUMBER(SEARCH(", "&amp;$B108&amp;", ",", "&amp;'Thông báo'!$B$7:$B$500&amp;", ")),--('Thông báo'!$AT$7:$AT$500="N/A"))+SUMPRODUCT(--ISNUMBER(SEARCH(", "&amp;$B108&amp;", ",", "&amp;'Đăng tin &amp; Quản lý tin'!$B$7:$B$500&amp;", ")),--('Đăng tin &amp; Quản lý tin'!$AT$7:$AT$500="N/A"))+SUMPRODUCT(--ISNUMBER(SEARCH(", "&amp;$B108&amp;", ",", "&amp;'Trust &amp; Safety'!$B$7:$B$500&amp;", ")),--('Trust &amp; Safety'!$AT$7:$AT$500="N/A"))+SUMPRODUCT(--ISNUMBER(SEARCH(", "&amp;$B108&amp;", ",", "&amp;'Tài khoản &amp; Hồ sơ'!$B$7:$B$500&amp;", ")),--('Tài khoản &amp; Hồ sơ'!$AT$7:$AT$500="N/A"))</f>
        <v/>
      </c>
      <c r="K108" s="54">
        <f>IFERROR(F108/E108,0)</f>
        <v/>
      </c>
      <c r="L108" s="113">
        <f>IF(E108=0,"Chưa có TC (gap)",IF(H108&gt;0,"Có lỗi (Fail)",IF(I108&gt;0,"Bị block",IF(F108&lt;E108,"Đang test",IF(G108=0,"Không áp dụng (N/A)","Đã test xong")))))</f>
        <v/>
      </c>
      <c r="AB108" t="inlineStr">
        <is>
          <t>REQ-ORD</t>
        </is>
      </c>
    </row>
    <row r="109" ht="15.75" customHeight="1" s="216">
      <c r="A109" s="1" t="n"/>
      <c r="B109" s="112" t="inlineStr">
        <is>
          <t>REQ-ORD-018</t>
        </is>
      </c>
      <c r="C109" s="261" t="inlineStr">
        <is>
          <t>Nguồn (v1.0) — `DOC-v1.0-01 §D3 ORD-06 L244` + `KP-01 §3 KB-ORD-02` ⇒ `C-ORD-03` Resolved: hạn tin = **giá trị "Đến ngày"** user chọn.</t>
        </is>
      </c>
      <c r="D109" s="113" t="inlineStr">
        <is>
          <t>DOC-v1.1-01 §8.5.1 BR05-03 · trang 38</t>
        </is>
      </c>
      <c r="E109" s="53">
        <f>SUMPRODUCT(--ISNUMBER(SEARCH(", "&amp;$B109&amp;", ",", "&amp;'Hoạt động (Đơn của tôi)'!$B$7:$B$500&amp;", ")))+SUMPRODUCT(--ISNUMBER(SEARCH(", "&amp;$B109&amp;", ",", "&amp;'Ghép nối'!$B$7:$B$500&amp;", ")))+SUMPRODUCT(--ISNUMBER(SEARCH(", "&amp;$B109&amp;", ",", "&amp;'Huỷ đơn - Huỷ nhận đơn'!$B$7:$B$500&amp;", ")))+SUMPRODUCT(--ISNUMBER(SEARCH(", "&amp;$B109&amp;", ",", "&amp;'Giao nhận &amp; Theo dõi đơn'!$B$7:$B$500&amp;", ")))+SUMPRODUCT(--ISNUMBER(SEARCH(", "&amp;$B109&amp;", ",", "&amp;'Bảng tin &amp; Chi tiết tin'!$B$7:$B$500&amp;", ")))+SUMPRODUCT(--ISNUMBER(SEARCH(", "&amp;$B109&amp;", ",", "&amp;'Quà cảm ơn'!$B$7:$B$500&amp;", ")))+SUMPRODUCT(--ISNUMBER(SEARCH(", "&amp;$B109&amp;", ",", "&amp;'Trang chủ'!$B$7:$B$500&amp;", ")))+SUMPRODUCT(--ISNUMBER(SEARCH(", "&amp;$B109&amp;", ",", "&amp;'Thông báo'!$B$7:$B$500&amp;", ")))+SUMPRODUCT(--ISNUMBER(SEARCH(", "&amp;$B109&amp;", ",", "&amp;'Đăng tin &amp; Quản lý tin'!$B$7:$B$500&amp;", ")))+SUMPRODUCT(--ISNUMBER(SEARCH(", "&amp;$B109&amp;", ",", "&amp;'Trust &amp; Safety'!$B$7:$B$500&amp;", ")))+SUMPRODUCT(--ISNUMBER(SEARCH(", "&amp;$B109&amp;", ",", "&amp;'Tài khoản &amp; Hồ sơ'!$B$7:$B$500&amp;", ")))</f>
        <v/>
      </c>
      <c r="F109" s="53">
        <f>SUMPRODUCT(--ISNUMBER(SEARCH(", "&amp;$B109&amp;", ",", "&amp;'Hoạt động (Đơn của tôi)'!$B$7:$B$500&amp;", ")),--('Hoạt động (Đơn của tôi)'!$AT$7:$AT$500&lt;&gt;""))+SUMPRODUCT(--ISNUMBER(SEARCH(", "&amp;$B109&amp;", ",", "&amp;'Ghép nối'!$B$7:$B$500&amp;", ")),--('Ghép nối'!$AT$7:$AT$500&lt;&gt;""))+SUMPRODUCT(--ISNUMBER(SEARCH(", "&amp;$B109&amp;", ",", "&amp;'Huỷ đơn - Huỷ nhận đơn'!$B$7:$B$500&amp;", ")),--('Huỷ đơn - Huỷ nhận đơn'!$AT$7:$AT$500&lt;&gt;""))+SUMPRODUCT(--ISNUMBER(SEARCH(", "&amp;$B109&amp;", ",", "&amp;'Giao nhận &amp; Theo dõi đơn'!$B$7:$B$500&amp;", ")),--('Giao nhận &amp; Theo dõi đơn'!$AT$7:$AT$500&lt;&gt;""))+SUMPRODUCT(--ISNUMBER(SEARCH(", "&amp;$B109&amp;", ",", "&amp;'Bảng tin &amp; Chi tiết tin'!$B$7:$B$500&amp;", ")),--('Bảng tin &amp; Chi tiết tin'!$AT$7:$AT$500&lt;&gt;""))+SUMPRODUCT(--ISNUMBER(SEARCH(", "&amp;$B109&amp;", ",", "&amp;'Quà cảm ơn'!$B$7:$B$500&amp;", ")),--('Quà cảm ơn'!$AT$7:$AT$500&lt;&gt;""))+SUMPRODUCT(--ISNUMBER(SEARCH(", "&amp;$B109&amp;", ",", "&amp;'Trang chủ'!$B$7:$B$500&amp;", ")),--('Trang chủ'!$AT$7:$AT$500&lt;&gt;""))+SUMPRODUCT(--ISNUMBER(SEARCH(", "&amp;$B109&amp;", ",", "&amp;'Thông báo'!$B$7:$B$500&amp;", ")),--('Thông báo'!$AT$7:$AT$500&lt;&gt;""))+SUMPRODUCT(--ISNUMBER(SEARCH(", "&amp;$B109&amp;", ",", "&amp;'Đăng tin &amp; Quản lý tin'!$B$7:$B$500&amp;", ")),--('Đăng tin &amp; Quản lý tin'!$AT$7:$AT$500&lt;&gt;""))+SUMPRODUCT(--ISNUMBER(SEARCH(", "&amp;$B109&amp;", ",", "&amp;'Trust &amp; Safety'!$B$7:$B$500&amp;", ")),--('Trust &amp; Safety'!$AT$7:$AT$500&lt;&gt;""))+SUMPRODUCT(--ISNUMBER(SEARCH(", "&amp;$B109&amp;", ",", "&amp;'Tài khoản &amp; Hồ sơ'!$B$7:$B$500&amp;", ")),--('Tài khoản &amp; Hồ sơ'!$AT$7:$AT$500&lt;&gt;""))</f>
        <v/>
      </c>
      <c r="G109" s="53">
        <f>SUMPRODUCT(--ISNUMBER(SEARCH(", "&amp;$B109&amp;", ",", "&amp;'Hoạt động (Đơn của tôi)'!$B$7:$B$500&amp;", ")),--('Hoạt động (Đơn của tôi)'!$AT$7:$AT$500="Pass"))+SUMPRODUCT(--ISNUMBER(SEARCH(", "&amp;$B109&amp;", ",", "&amp;'Ghép nối'!$B$7:$B$500&amp;", ")),--('Ghép nối'!$AT$7:$AT$500="Pass"))+SUMPRODUCT(--ISNUMBER(SEARCH(", "&amp;$B109&amp;", ",", "&amp;'Huỷ đơn - Huỷ nhận đơn'!$B$7:$B$500&amp;", ")),--('Huỷ đơn - Huỷ nhận đơn'!$AT$7:$AT$500="Pass"))+SUMPRODUCT(--ISNUMBER(SEARCH(", "&amp;$B109&amp;", ",", "&amp;'Giao nhận &amp; Theo dõi đơn'!$B$7:$B$500&amp;", ")),--('Giao nhận &amp; Theo dõi đơn'!$AT$7:$AT$500="Pass"))+SUMPRODUCT(--ISNUMBER(SEARCH(", "&amp;$B109&amp;", ",", "&amp;'Bảng tin &amp; Chi tiết tin'!$B$7:$B$500&amp;", ")),--('Bảng tin &amp; Chi tiết tin'!$AT$7:$AT$500="Pass"))+SUMPRODUCT(--ISNUMBER(SEARCH(", "&amp;$B109&amp;", ",", "&amp;'Quà cảm ơn'!$B$7:$B$500&amp;", ")),--('Quà cảm ơn'!$AT$7:$AT$500="Pass"))+SUMPRODUCT(--ISNUMBER(SEARCH(", "&amp;$B109&amp;", ",", "&amp;'Trang chủ'!$B$7:$B$500&amp;", ")),--('Trang chủ'!$AT$7:$AT$500="Pass"))+SUMPRODUCT(--ISNUMBER(SEARCH(", "&amp;$B109&amp;", ",", "&amp;'Thông báo'!$B$7:$B$500&amp;", ")),--('Thông báo'!$AT$7:$AT$500="Pass"))+SUMPRODUCT(--ISNUMBER(SEARCH(", "&amp;$B109&amp;", ",", "&amp;'Đăng tin &amp; Quản lý tin'!$B$7:$B$500&amp;", ")),--('Đăng tin &amp; Quản lý tin'!$AT$7:$AT$500="Pass"))+SUMPRODUCT(--ISNUMBER(SEARCH(", "&amp;$B109&amp;", ",", "&amp;'Trust &amp; Safety'!$B$7:$B$500&amp;", ")),--('Trust &amp; Safety'!$AT$7:$AT$500="Pass"))+SUMPRODUCT(--ISNUMBER(SEARCH(", "&amp;$B109&amp;", ",", "&amp;'Tài khoản &amp; Hồ sơ'!$B$7:$B$500&amp;", ")),--('Tài khoản &amp; Hồ sơ'!$AT$7:$AT$500="Pass"))</f>
        <v/>
      </c>
      <c r="H109" s="53">
        <f>SUMPRODUCT(--ISNUMBER(SEARCH(", "&amp;$B109&amp;", ",", "&amp;'Hoạt động (Đơn của tôi)'!$B$7:$B$500&amp;", ")),--('Hoạt động (Đơn của tôi)'!$AT$7:$AT$500="Fail"))+SUMPRODUCT(--ISNUMBER(SEARCH(", "&amp;$B109&amp;", ",", "&amp;'Ghép nối'!$B$7:$B$500&amp;", ")),--('Ghép nối'!$AT$7:$AT$500="Fail"))+SUMPRODUCT(--ISNUMBER(SEARCH(", "&amp;$B109&amp;", ",", "&amp;'Huỷ đơn - Huỷ nhận đơn'!$B$7:$B$500&amp;", ")),--('Huỷ đơn - Huỷ nhận đơn'!$AT$7:$AT$500="Fail"))+SUMPRODUCT(--ISNUMBER(SEARCH(", "&amp;$B109&amp;", ",", "&amp;'Giao nhận &amp; Theo dõi đơn'!$B$7:$B$500&amp;", ")),--('Giao nhận &amp; Theo dõi đơn'!$AT$7:$AT$500="Fail"))+SUMPRODUCT(--ISNUMBER(SEARCH(", "&amp;$B109&amp;", ",", "&amp;'Bảng tin &amp; Chi tiết tin'!$B$7:$B$500&amp;", ")),--('Bảng tin &amp; Chi tiết tin'!$AT$7:$AT$500="Fail"))+SUMPRODUCT(--ISNUMBER(SEARCH(", "&amp;$B109&amp;", ",", "&amp;'Quà cảm ơn'!$B$7:$B$500&amp;", ")),--('Quà cảm ơn'!$AT$7:$AT$500="Fail"))+SUMPRODUCT(--ISNUMBER(SEARCH(", "&amp;$B109&amp;", ",", "&amp;'Trang chủ'!$B$7:$B$500&amp;", ")),--('Trang chủ'!$AT$7:$AT$500="Fail"))+SUMPRODUCT(--ISNUMBER(SEARCH(", "&amp;$B109&amp;", ",", "&amp;'Thông báo'!$B$7:$B$500&amp;", ")),--('Thông báo'!$AT$7:$AT$500="Fail"))+SUMPRODUCT(--ISNUMBER(SEARCH(", "&amp;$B109&amp;", ",", "&amp;'Đăng tin &amp; Quản lý tin'!$B$7:$B$500&amp;", ")),--('Đăng tin &amp; Quản lý tin'!$AT$7:$AT$500="Fail"))+SUMPRODUCT(--ISNUMBER(SEARCH(", "&amp;$B109&amp;", ",", "&amp;'Trust &amp; Safety'!$B$7:$B$500&amp;", ")),--('Trust &amp; Safety'!$AT$7:$AT$500="Fail"))+SUMPRODUCT(--ISNUMBER(SEARCH(", "&amp;$B109&amp;", ",", "&amp;'Tài khoản &amp; Hồ sơ'!$B$7:$B$500&amp;", ")),--('Tài khoản &amp; Hồ sơ'!$AT$7:$AT$500="Fail"))</f>
        <v/>
      </c>
      <c r="I109" s="53">
        <f>SUMPRODUCT(--ISNUMBER(SEARCH(", "&amp;$B109&amp;", ",", "&amp;'Hoạt động (Đơn của tôi)'!$B$7:$B$500&amp;", ")),--('Hoạt động (Đơn của tôi)'!$AT$7:$AT$500="Block"))+SUMPRODUCT(--ISNUMBER(SEARCH(", "&amp;$B109&amp;", ",", "&amp;'Ghép nối'!$B$7:$B$500&amp;", ")),--('Ghép nối'!$AT$7:$AT$500="Block"))+SUMPRODUCT(--ISNUMBER(SEARCH(", "&amp;$B109&amp;", ",", "&amp;'Huỷ đơn - Huỷ nhận đơn'!$B$7:$B$500&amp;", ")),--('Huỷ đơn - Huỷ nhận đơn'!$AT$7:$AT$500="Block"))+SUMPRODUCT(--ISNUMBER(SEARCH(", "&amp;$B109&amp;", ",", "&amp;'Giao nhận &amp; Theo dõi đơn'!$B$7:$B$500&amp;", ")),--('Giao nhận &amp; Theo dõi đơn'!$AT$7:$AT$500="Block"))+SUMPRODUCT(--ISNUMBER(SEARCH(", "&amp;$B109&amp;", ",", "&amp;'Bảng tin &amp; Chi tiết tin'!$B$7:$B$500&amp;", ")),--('Bảng tin &amp; Chi tiết tin'!$AT$7:$AT$500="Block"))+SUMPRODUCT(--ISNUMBER(SEARCH(", "&amp;$B109&amp;", ",", "&amp;'Quà cảm ơn'!$B$7:$B$500&amp;", ")),--('Quà cảm ơn'!$AT$7:$AT$500="Block"))+SUMPRODUCT(--ISNUMBER(SEARCH(", "&amp;$B109&amp;", ",", "&amp;'Trang chủ'!$B$7:$B$500&amp;", ")),--('Trang chủ'!$AT$7:$AT$500="Block"))+SUMPRODUCT(--ISNUMBER(SEARCH(", "&amp;$B109&amp;", ",", "&amp;'Thông báo'!$B$7:$B$500&amp;", ")),--('Thông báo'!$AT$7:$AT$500="Block"))+SUMPRODUCT(--ISNUMBER(SEARCH(", "&amp;$B109&amp;", ",", "&amp;'Đăng tin &amp; Quản lý tin'!$B$7:$B$500&amp;", ")),--('Đăng tin &amp; Quản lý tin'!$AT$7:$AT$500="Block"))+SUMPRODUCT(--ISNUMBER(SEARCH(", "&amp;$B109&amp;", ",", "&amp;'Trust &amp; Safety'!$B$7:$B$500&amp;", ")),--('Trust &amp; Safety'!$AT$7:$AT$500="Block"))+SUMPRODUCT(--ISNUMBER(SEARCH(", "&amp;$B109&amp;", ",", "&amp;'Tài khoản &amp; Hồ sơ'!$B$7:$B$500&amp;", ")),--('Tài khoản &amp; Hồ sơ'!$AT$7:$AT$500="Block"))</f>
        <v/>
      </c>
      <c r="J109" s="53">
        <f>SUMPRODUCT(--ISNUMBER(SEARCH(", "&amp;$B109&amp;", ",", "&amp;'Hoạt động (Đơn của tôi)'!$B$7:$B$500&amp;", ")),--('Hoạt động (Đơn của tôi)'!$AT$7:$AT$500="N/A"))+SUMPRODUCT(--ISNUMBER(SEARCH(", "&amp;$B109&amp;", ",", "&amp;'Ghép nối'!$B$7:$B$500&amp;", ")),--('Ghép nối'!$AT$7:$AT$500="N/A"))+SUMPRODUCT(--ISNUMBER(SEARCH(", "&amp;$B109&amp;", ",", "&amp;'Huỷ đơn - Huỷ nhận đơn'!$B$7:$B$500&amp;", ")),--('Huỷ đơn - Huỷ nhận đơn'!$AT$7:$AT$500="N/A"))+SUMPRODUCT(--ISNUMBER(SEARCH(", "&amp;$B109&amp;", ",", "&amp;'Giao nhận &amp; Theo dõi đơn'!$B$7:$B$500&amp;", ")),--('Giao nhận &amp; Theo dõi đơn'!$AT$7:$AT$500="N/A"))+SUMPRODUCT(--ISNUMBER(SEARCH(", "&amp;$B109&amp;", ",", "&amp;'Bảng tin &amp; Chi tiết tin'!$B$7:$B$500&amp;", ")),--('Bảng tin &amp; Chi tiết tin'!$AT$7:$AT$500="N/A"))+SUMPRODUCT(--ISNUMBER(SEARCH(", "&amp;$B109&amp;", ",", "&amp;'Quà cảm ơn'!$B$7:$B$500&amp;", ")),--('Quà cảm ơn'!$AT$7:$AT$500="N/A"))+SUMPRODUCT(--ISNUMBER(SEARCH(", "&amp;$B109&amp;", ",", "&amp;'Trang chủ'!$B$7:$B$500&amp;", ")),--('Trang chủ'!$AT$7:$AT$500="N/A"))+SUMPRODUCT(--ISNUMBER(SEARCH(", "&amp;$B109&amp;", ",", "&amp;'Thông báo'!$B$7:$B$500&amp;", ")),--('Thông báo'!$AT$7:$AT$500="N/A"))+SUMPRODUCT(--ISNUMBER(SEARCH(", "&amp;$B109&amp;", ",", "&amp;'Đăng tin &amp; Quản lý tin'!$B$7:$B$500&amp;", ")),--('Đăng tin &amp; Quản lý tin'!$AT$7:$AT$500="N/A"))+SUMPRODUCT(--ISNUMBER(SEARCH(", "&amp;$B109&amp;", ",", "&amp;'Trust &amp; Safety'!$B$7:$B$500&amp;", ")),--('Trust &amp; Safety'!$AT$7:$AT$500="N/A"))+SUMPRODUCT(--ISNUMBER(SEARCH(", "&amp;$B109&amp;", ",", "&amp;'Tài khoản &amp; Hồ sơ'!$B$7:$B$500&amp;", ")),--('Tài khoản &amp; Hồ sơ'!$AT$7:$AT$500="N/A"))</f>
        <v/>
      </c>
      <c r="K109" s="54">
        <f>IFERROR(F109/E109,0)</f>
        <v/>
      </c>
      <c r="L109" s="113">
        <f>IF(E109=0,"Chưa có TC (gap)",IF(H109&gt;0,"Có lỗi (Fail)",IF(I109&gt;0,"Bị block",IF(F109&lt;E109,"Đang test",IF(G109=0,"Không áp dụng (N/A)","Đã test xong")))))</f>
        <v/>
      </c>
      <c r="AB109" t="inlineStr">
        <is>
          <t>REQ-ORD</t>
        </is>
      </c>
    </row>
    <row r="110" ht="15.75" customHeight="1" s="216">
      <c r="A110" s="1" t="n"/>
      <c r="B110" s="112" t="inlineStr">
        <is>
          <t>REQ-ORD-021</t>
        </is>
      </c>
      <c r="C110" s="261" t="inlineStr">
        <is>
          <t>Nguồn (v1.0) — `DOC-v1.0-06 KP-02 §5 dòng C-ORD-08` ⇒ Open: *"Thoát/Reset giữa wizard có xoá form?"*</t>
        </is>
      </c>
      <c r="D110" s="113" t="inlineStr">
        <is>
          <t>DOC-v1.1-01 §6.2 AC-01.2.01 · trang 17</t>
        </is>
      </c>
      <c r="E110" s="53">
        <f>SUMPRODUCT(--ISNUMBER(SEARCH(", "&amp;$B110&amp;", ",", "&amp;'Hoạt động (Đơn của tôi)'!$B$7:$B$500&amp;", ")))+SUMPRODUCT(--ISNUMBER(SEARCH(", "&amp;$B110&amp;", ",", "&amp;'Ghép nối'!$B$7:$B$500&amp;", ")))+SUMPRODUCT(--ISNUMBER(SEARCH(", "&amp;$B110&amp;", ",", "&amp;'Huỷ đơn - Huỷ nhận đơn'!$B$7:$B$500&amp;", ")))+SUMPRODUCT(--ISNUMBER(SEARCH(", "&amp;$B110&amp;", ",", "&amp;'Giao nhận &amp; Theo dõi đơn'!$B$7:$B$500&amp;", ")))+SUMPRODUCT(--ISNUMBER(SEARCH(", "&amp;$B110&amp;", ",", "&amp;'Bảng tin &amp; Chi tiết tin'!$B$7:$B$500&amp;", ")))+SUMPRODUCT(--ISNUMBER(SEARCH(", "&amp;$B110&amp;", ",", "&amp;'Quà cảm ơn'!$B$7:$B$500&amp;", ")))+SUMPRODUCT(--ISNUMBER(SEARCH(", "&amp;$B110&amp;", ",", "&amp;'Trang chủ'!$B$7:$B$500&amp;", ")))+SUMPRODUCT(--ISNUMBER(SEARCH(", "&amp;$B110&amp;", ",", "&amp;'Thông báo'!$B$7:$B$500&amp;", ")))+SUMPRODUCT(--ISNUMBER(SEARCH(", "&amp;$B110&amp;", ",", "&amp;'Đăng tin &amp; Quản lý tin'!$B$7:$B$500&amp;", ")))+SUMPRODUCT(--ISNUMBER(SEARCH(", "&amp;$B110&amp;", ",", "&amp;'Trust &amp; Safety'!$B$7:$B$500&amp;", ")))+SUMPRODUCT(--ISNUMBER(SEARCH(", "&amp;$B110&amp;", ",", "&amp;'Tài khoản &amp; Hồ sơ'!$B$7:$B$500&amp;", ")))</f>
        <v/>
      </c>
      <c r="F110" s="53">
        <f>SUMPRODUCT(--ISNUMBER(SEARCH(", "&amp;$B110&amp;", ",", "&amp;'Hoạt động (Đơn của tôi)'!$B$7:$B$500&amp;", ")),--('Hoạt động (Đơn của tôi)'!$AT$7:$AT$500&lt;&gt;""))+SUMPRODUCT(--ISNUMBER(SEARCH(", "&amp;$B110&amp;", ",", "&amp;'Ghép nối'!$B$7:$B$500&amp;", ")),--('Ghép nối'!$AT$7:$AT$500&lt;&gt;""))+SUMPRODUCT(--ISNUMBER(SEARCH(", "&amp;$B110&amp;", ",", "&amp;'Huỷ đơn - Huỷ nhận đơn'!$B$7:$B$500&amp;", ")),--('Huỷ đơn - Huỷ nhận đơn'!$AT$7:$AT$500&lt;&gt;""))+SUMPRODUCT(--ISNUMBER(SEARCH(", "&amp;$B110&amp;", ",", "&amp;'Giao nhận &amp; Theo dõi đơn'!$B$7:$B$500&amp;", ")),--('Giao nhận &amp; Theo dõi đơn'!$AT$7:$AT$500&lt;&gt;""))+SUMPRODUCT(--ISNUMBER(SEARCH(", "&amp;$B110&amp;", ",", "&amp;'Bảng tin &amp; Chi tiết tin'!$B$7:$B$500&amp;", ")),--('Bảng tin &amp; Chi tiết tin'!$AT$7:$AT$500&lt;&gt;""))+SUMPRODUCT(--ISNUMBER(SEARCH(", "&amp;$B110&amp;", ",", "&amp;'Quà cảm ơn'!$B$7:$B$500&amp;", ")),--('Quà cảm ơn'!$AT$7:$AT$500&lt;&gt;""))+SUMPRODUCT(--ISNUMBER(SEARCH(", "&amp;$B110&amp;", ",", "&amp;'Trang chủ'!$B$7:$B$500&amp;", ")),--('Trang chủ'!$AT$7:$AT$500&lt;&gt;""))+SUMPRODUCT(--ISNUMBER(SEARCH(", "&amp;$B110&amp;", ",", "&amp;'Thông báo'!$B$7:$B$500&amp;", ")),--('Thông báo'!$AT$7:$AT$500&lt;&gt;""))+SUMPRODUCT(--ISNUMBER(SEARCH(", "&amp;$B110&amp;", ",", "&amp;'Đăng tin &amp; Quản lý tin'!$B$7:$B$500&amp;", ")),--('Đăng tin &amp; Quản lý tin'!$AT$7:$AT$500&lt;&gt;""))+SUMPRODUCT(--ISNUMBER(SEARCH(", "&amp;$B110&amp;", ",", "&amp;'Trust &amp; Safety'!$B$7:$B$500&amp;", ")),--('Trust &amp; Safety'!$AT$7:$AT$500&lt;&gt;""))+SUMPRODUCT(--ISNUMBER(SEARCH(", "&amp;$B110&amp;", ",", "&amp;'Tài khoản &amp; Hồ sơ'!$B$7:$B$500&amp;", ")),--('Tài khoản &amp; Hồ sơ'!$AT$7:$AT$500&lt;&gt;""))</f>
        <v/>
      </c>
      <c r="G110" s="53">
        <f>SUMPRODUCT(--ISNUMBER(SEARCH(", "&amp;$B110&amp;", ",", "&amp;'Hoạt động (Đơn của tôi)'!$B$7:$B$500&amp;", ")),--('Hoạt động (Đơn của tôi)'!$AT$7:$AT$500="Pass"))+SUMPRODUCT(--ISNUMBER(SEARCH(", "&amp;$B110&amp;", ",", "&amp;'Ghép nối'!$B$7:$B$500&amp;", ")),--('Ghép nối'!$AT$7:$AT$500="Pass"))+SUMPRODUCT(--ISNUMBER(SEARCH(", "&amp;$B110&amp;", ",", "&amp;'Huỷ đơn - Huỷ nhận đơn'!$B$7:$B$500&amp;", ")),--('Huỷ đơn - Huỷ nhận đơn'!$AT$7:$AT$500="Pass"))+SUMPRODUCT(--ISNUMBER(SEARCH(", "&amp;$B110&amp;", ",", "&amp;'Giao nhận &amp; Theo dõi đơn'!$B$7:$B$500&amp;", ")),--('Giao nhận &amp; Theo dõi đơn'!$AT$7:$AT$500="Pass"))+SUMPRODUCT(--ISNUMBER(SEARCH(", "&amp;$B110&amp;", ",", "&amp;'Bảng tin &amp; Chi tiết tin'!$B$7:$B$500&amp;", ")),--('Bảng tin &amp; Chi tiết tin'!$AT$7:$AT$500="Pass"))+SUMPRODUCT(--ISNUMBER(SEARCH(", "&amp;$B110&amp;", ",", "&amp;'Quà cảm ơn'!$B$7:$B$500&amp;", ")),--('Quà cảm ơn'!$AT$7:$AT$500="Pass"))+SUMPRODUCT(--ISNUMBER(SEARCH(", "&amp;$B110&amp;", ",", "&amp;'Trang chủ'!$B$7:$B$500&amp;", ")),--('Trang chủ'!$AT$7:$AT$500="Pass"))+SUMPRODUCT(--ISNUMBER(SEARCH(", "&amp;$B110&amp;", ",", "&amp;'Thông báo'!$B$7:$B$500&amp;", ")),--('Thông báo'!$AT$7:$AT$500="Pass"))+SUMPRODUCT(--ISNUMBER(SEARCH(", "&amp;$B110&amp;", ",", "&amp;'Đăng tin &amp; Quản lý tin'!$B$7:$B$500&amp;", ")),--('Đăng tin &amp; Quản lý tin'!$AT$7:$AT$500="Pass"))+SUMPRODUCT(--ISNUMBER(SEARCH(", "&amp;$B110&amp;", ",", "&amp;'Trust &amp; Safety'!$B$7:$B$500&amp;", ")),--('Trust &amp; Safety'!$AT$7:$AT$500="Pass"))+SUMPRODUCT(--ISNUMBER(SEARCH(", "&amp;$B110&amp;", ",", "&amp;'Tài khoản &amp; Hồ sơ'!$B$7:$B$500&amp;", ")),--('Tài khoản &amp; Hồ sơ'!$AT$7:$AT$500="Pass"))</f>
        <v/>
      </c>
      <c r="H110" s="53">
        <f>SUMPRODUCT(--ISNUMBER(SEARCH(", "&amp;$B110&amp;", ",", "&amp;'Hoạt động (Đơn của tôi)'!$B$7:$B$500&amp;", ")),--('Hoạt động (Đơn của tôi)'!$AT$7:$AT$500="Fail"))+SUMPRODUCT(--ISNUMBER(SEARCH(", "&amp;$B110&amp;", ",", "&amp;'Ghép nối'!$B$7:$B$500&amp;", ")),--('Ghép nối'!$AT$7:$AT$500="Fail"))+SUMPRODUCT(--ISNUMBER(SEARCH(", "&amp;$B110&amp;", ",", "&amp;'Huỷ đơn - Huỷ nhận đơn'!$B$7:$B$500&amp;", ")),--('Huỷ đơn - Huỷ nhận đơn'!$AT$7:$AT$500="Fail"))+SUMPRODUCT(--ISNUMBER(SEARCH(", "&amp;$B110&amp;", ",", "&amp;'Giao nhận &amp; Theo dõi đơn'!$B$7:$B$500&amp;", ")),--('Giao nhận &amp; Theo dõi đơn'!$AT$7:$AT$500="Fail"))+SUMPRODUCT(--ISNUMBER(SEARCH(", "&amp;$B110&amp;", ",", "&amp;'Bảng tin &amp; Chi tiết tin'!$B$7:$B$500&amp;", ")),--('Bảng tin &amp; Chi tiết tin'!$AT$7:$AT$500="Fail"))+SUMPRODUCT(--ISNUMBER(SEARCH(", "&amp;$B110&amp;", ",", "&amp;'Quà cảm ơn'!$B$7:$B$500&amp;", ")),--('Quà cảm ơn'!$AT$7:$AT$500="Fail"))+SUMPRODUCT(--ISNUMBER(SEARCH(", "&amp;$B110&amp;", ",", "&amp;'Trang chủ'!$B$7:$B$500&amp;", ")),--('Trang chủ'!$AT$7:$AT$500="Fail"))+SUMPRODUCT(--ISNUMBER(SEARCH(", "&amp;$B110&amp;", ",", "&amp;'Thông báo'!$B$7:$B$500&amp;", ")),--('Thông báo'!$AT$7:$AT$500="Fail"))+SUMPRODUCT(--ISNUMBER(SEARCH(", "&amp;$B110&amp;", ",", "&amp;'Đăng tin &amp; Quản lý tin'!$B$7:$B$500&amp;", ")),--('Đăng tin &amp; Quản lý tin'!$AT$7:$AT$500="Fail"))+SUMPRODUCT(--ISNUMBER(SEARCH(", "&amp;$B110&amp;", ",", "&amp;'Trust &amp; Safety'!$B$7:$B$500&amp;", ")),--('Trust &amp; Safety'!$AT$7:$AT$500="Fail"))+SUMPRODUCT(--ISNUMBER(SEARCH(", "&amp;$B110&amp;", ",", "&amp;'Tài khoản &amp; Hồ sơ'!$B$7:$B$500&amp;", ")),--('Tài khoản &amp; Hồ sơ'!$AT$7:$AT$500="Fail"))</f>
        <v/>
      </c>
      <c r="I110" s="53">
        <f>SUMPRODUCT(--ISNUMBER(SEARCH(", "&amp;$B110&amp;", ",", "&amp;'Hoạt động (Đơn của tôi)'!$B$7:$B$500&amp;", ")),--('Hoạt động (Đơn của tôi)'!$AT$7:$AT$500="Block"))+SUMPRODUCT(--ISNUMBER(SEARCH(", "&amp;$B110&amp;", ",", "&amp;'Ghép nối'!$B$7:$B$500&amp;", ")),--('Ghép nối'!$AT$7:$AT$500="Block"))+SUMPRODUCT(--ISNUMBER(SEARCH(", "&amp;$B110&amp;", ",", "&amp;'Huỷ đơn - Huỷ nhận đơn'!$B$7:$B$500&amp;", ")),--('Huỷ đơn - Huỷ nhận đơn'!$AT$7:$AT$500="Block"))+SUMPRODUCT(--ISNUMBER(SEARCH(", "&amp;$B110&amp;", ",", "&amp;'Giao nhận &amp; Theo dõi đơn'!$B$7:$B$500&amp;", ")),--('Giao nhận &amp; Theo dõi đơn'!$AT$7:$AT$500="Block"))+SUMPRODUCT(--ISNUMBER(SEARCH(", "&amp;$B110&amp;", ",", "&amp;'Bảng tin &amp; Chi tiết tin'!$B$7:$B$500&amp;", ")),--('Bảng tin &amp; Chi tiết tin'!$AT$7:$AT$500="Block"))+SUMPRODUCT(--ISNUMBER(SEARCH(", "&amp;$B110&amp;", ",", "&amp;'Quà cảm ơn'!$B$7:$B$500&amp;", ")),--('Quà cảm ơn'!$AT$7:$AT$500="Block"))+SUMPRODUCT(--ISNUMBER(SEARCH(", "&amp;$B110&amp;", ",", "&amp;'Trang chủ'!$B$7:$B$500&amp;", ")),--('Trang chủ'!$AT$7:$AT$500="Block"))+SUMPRODUCT(--ISNUMBER(SEARCH(", "&amp;$B110&amp;", ",", "&amp;'Thông báo'!$B$7:$B$500&amp;", ")),--('Thông báo'!$AT$7:$AT$500="Block"))+SUMPRODUCT(--ISNUMBER(SEARCH(", "&amp;$B110&amp;", ",", "&amp;'Đăng tin &amp; Quản lý tin'!$B$7:$B$500&amp;", ")),--('Đăng tin &amp; Quản lý tin'!$AT$7:$AT$500="Block"))+SUMPRODUCT(--ISNUMBER(SEARCH(", "&amp;$B110&amp;", ",", "&amp;'Trust &amp; Safety'!$B$7:$B$500&amp;", ")),--('Trust &amp; Safety'!$AT$7:$AT$500="Block"))+SUMPRODUCT(--ISNUMBER(SEARCH(", "&amp;$B110&amp;", ",", "&amp;'Tài khoản &amp; Hồ sơ'!$B$7:$B$500&amp;", ")),--('Tài khoản &amp; Hồ sơ'!$AT$7:$AT$500="Block"))</f>
        <v/>
      </c>
      <c r="J110" s="53">
        <f>SUMPRODUCT(--ISNUMBER(SEARCH(", "&amp;$B110&amp;", ",", "&amp;'Hoạt động (Đơn của tôi)'!$B$7:$B$500&amp;", ")),--('Hoạt động (Đơn của tôi)'!$AT$7:$AT$500="N/A"))+SUMPRODUCT(--ISNUMBER(SEARCH(", "&amp;$B110&amp;", ",", "&amp;'Ghép nối'!$B$7:$B$500&amp;", ")),--('Ghép nối'!$AT$7:$AT$500="N/A"))+SUMPRODUCT(--ISNUMBER(SEARCH(", "&amp;$B110&amp;", ",", "&amp;'Huỷ đơn - Huỷ nhận đơn'!$B$7:$B$500&amp;", ")),--('Huỷ đơn - Huỷ nhận đơn'!$AT$7:$AT$500="N/A"))+SUMPRODUCT(--ISNUMBER(SEARCH(", "&amp;$B110&amp;", ",", "&amp;'Giao nhận &amp; Theo dõi đơn'!$B$7:$B$500&amp;", ")),--('Giao nhận &amp; Theo dõi đơn'!$AT$7:$AT$500="N/A"))+SUMPRODUCT(--ISNUMBER(SEARCH(", "&amp;$B110&amp;", ",", "&amp;'Bảng tin &amp; Chi tiết tin'!$B$7:$B$500&amp;", ")),--('Bảng tin &amp; Chi tiết tin'!$AT$7:$AT$500="N/A"))+SUMPRODUCT(--ISNUMBER(SEARCH(", "&amp;$B110&amp;", ",", "&amp;'Quà cảm ơn'!$B$7:$B$500&amp;", ")),--('Quà cảm ơn'!$AT$7:$AT$500="N/A"))+SUMPRODUCT(--ISNUMBER(SEARCH(", "&amp;$B110&amp;", ",", "&amp;'Trang chủ'!$B$7:$B$500&amp;", ")),--('Trang chủ'!$AT$7:$AT$500="N/A"))+SUMPRODUCT(--ISNUMBER(SEARCH(", "&amp;$B110&amp;", ",", "&amp;'Thông báo'!$B$7:$B$500&amp;", ")),--('Thông báo'!$AT$7:$AT$500="N/A"))+SUMPRODUCT(--ISNUMBER(SEARCH(", "&amp;$B110&amp;", ",", "&amp;'Đăng tin &amp; Quản lý tin'!$B$7:$B$500&amp;", ")),--('Đăng tin &amp; Quản lý tin'!$AT$7:$AT$500="N/A"))+SUMPRODUCT(--ISNUMBER(SEARCH(", "&amp;$B110&amp;", ",", "&amp;'Trust &amp; Safety'!$B$7:$B$500&amp;", ")),--('Trust &amp; Safety'!$AT$7:$AT$500="N/A"))+SUMPRODUCT(--ISNUMBER(SEARCH(", "&amp;$B110&amp;", ",", "&amp;'Tài khoản &amp; Hồ sơ'!$B$7:$B$500&amp;", ")),--('Tài khoản &amp; Hồ sơ'!$AT$7:$AT$500="N/A"))</f>
        <v/>
      </c>
      <c r="K110" s="54">
        <f>IFERROR(F110/E110,0)</f>
        <v/>
      </c>
      <c r="L110" s="113">
        <f>IF(E110=0,"Chưa có TC (gap)",IF(H110&gt;0,"Có lỗi (Fail)",IF(I110&gt;0,"Bị block",IF(F110&lt;E110,"Đang test",IF(G110=0,"Không áp dụng (N/A)","Đã test xong")))))</f>
        <v/>
      </c>
      <c r="AB110" t="inlineStr">
        <is>
          <t>REQ-ORD</t>
        </is>
      </c>
    </row>
    <row r="111" ht="15.75" customHeight="1" s="216">
      <c r="A111" s="1" t="n"/>
      <c r="B111" s="112" t="inlineStr">
        <is>
          <t>REQ-ORD-024</t>
        </is>
      </c>
      <c r="C111" s="261" t="inlineStr">
        <is>
          <t>Nguồn #1 — BR01-02 (§8.1.1, trang 34): "Khối lượng và kích thước là bắt buộc — dùng để người vận chuyển tự lượng sức; ứng dụng không chặn theo ngưỡng.</t>
        </is>
      </c>
      <c r="D111" s="113" t="inlineStr">
        <is>
          <t>DOC-v1.1-01 §8.1.1 BR01-02 · trang 34</t>
        </is>
      </c>
      <c r="E111" s="53">
        <f>SUMPRODUCT(--ISNUMBER(SEARCH(", "&amp;$B111&amp;", ",", "&amp;'Hoạt động (Đơn của tôi)'!$B$7:$B$500&amp;", ")))+SUMPRODUCT(--ISNUMBER(SEARCH(", "&amp;$B111&amp;", ",", "&amp;'Ghép nối'!$B$7:$B$500&amp;", ")))+SUMPRODUCT(--ISNUMBER(SEARCH(", "&amp;$B111&amp;", ",", "&amp;'Huỷ đơn - Huỷ nhận đơn'!$B$7:$B$500&amp;", ")))+SUMPRODUCT(--ISNUMBER(SEARCH(", "&amp;$B111&amp;", ",", "&amp;'Giao nhận &amp; Theo dõi đơn'!$B$7:$B$500&amp;", ")))+SUMPRODUCT(--ISNUMBER(SEARCH(", "&amp;$B111&amp;", ",", "&amp;'Bảng tin &amp; Chi tiết tin'!$B$7:$B$500&amp;", ")))+SUMPRODUCT(--ISNUMBER(SEARCH(", "&amp;$B111&amp;", ",", "&amp;'Quà cảm ơn'!$B$7:$B$500&amp;", ")))+SUMPRODUCT(--ISNUMBER(SEARCH(", "&amp;$B111&amp;", ",", "&amp;'Trang chủ'!$B$7:$B$500&amp;", ")))+SUMPRODUCT(--ISNUMBER(SEARCH(", "&amp;$B111&amp;", ",", "&amp;'Thông báo'!$B$7:$B$500&amp;", ")))+SUMPRODUCT(--ISNUMBER(SEARCH(", "&amp;$B111&amp;", ",", "&amp;'Đăng tin &amp; Quản lý tin'!$B$7:$B$500&amp;", ")))+SUMPRODUCT(--ISNUMBER(SEARCH(", "&amp;$B111&amp;", ",", "&amp;'Trust &amp; Safety'!$B$7:$B$500&amp;", ")))+SUMPRODUCT(--ISNUMBER(SEARCH(", "&amp;$B111&amp;", ",", "&amp;'Tài khoản &amp; Hồ sơ'!$B$7:$B$500&amp;", ")))</f>
        <v/>
      </c>
      <c r="F111" s="53">
        <f>SUMPRODUCT(--ISNUMBER(SEARCH(", "&amp;$B111&amp;", ",", "&amp;'Hoạt động (Đơn của tôi)'!$B$7:$B$500&amp;", ")),--('Hoạt động (Đơn của tôi)'!$AT$7:$AT$500&lt;&gt;""))+SUMPRODUCT(--ISNUMBER(SEARCH(", "&amp;$B111&amp;", ",", "&amp;'Ghép nối'!$B$7:$B$500&amp;", ")),--('Ghép nối'!$AT$7:$AT$500&lt;&gt;""))+SUMPRODUCT(--ISNUMBER(SEARCH(", "&amp;$B111&amp;", ",", "&amp;'Huỷ đơn - Huỷ nhận đơn'!$B$7:$B$500&amp;", ")),--('Huỷ đơn - Huỷ nhận đơn'!$AT$7:$AT$500&lt;&gt;""))+SUMPRODUCT(--ISNUMBER(SEARCH(", "&amp;$B111&amp;", ",", "&amp;'Giao nhận &amp; Theo dõi đơn'!$B$7:$B$500&amp;", ")),--('Giao nhận &amp; Theo dõi đơn'!$AT$7:$AT$500&lt;&gt;""))+SUMPRODUCT(--ISNUMBER(SEARCH(", "&amp;$B111&amp;", ",", "&amp;'Bảng tin &amp; Chi tiết tin'!$B$7:$B$500&amp;", ")),--('Bảng tin &amp; Chi tiết tin'!$AT$7:$AT$500&lt;&gt;""))+SUMPRODUCT(--ISNUMBER(SEARCH(", "&amp;$B111&amp;", ",", "&amp;'Quà cảm ơn'!$B$7:$B$500&amp;", ")),--('Quà cảm ơn'!$AT$7:$AT$500&lt;&gt;""))+SUMPRODUCT(--ISNUMBER(SEARCH(", "&amp;$B111&amp;", ",", "&amp;'Trang chủ'!$B$7:$B$500&amp;", ")),--('Trang chủ'!$AT$7:$AT$500&lt;&gt;""))+SUMPRODUCT(--ISNUMBER(SEARCH(", "&amp;$B111&amp;", ",", "&amp;'Thông báo'!$B$7:$B$500&amp;", ")),--('Thông báo'!$AT$7:$AT$500&lt;&gt;""))+SUMPRODUCT(--ISNUMBER(SEARCH(", "&amp;$B111&amp;", ",", "&amp;'Đăng tin &amp; Quản lý tin'!$B$7:$B$500&amp;", ")),--('Đăng tin &amp; Quản lý tin'!$AT$7:$AT$500&lt;&gt;""))+SUMPRODUCT(--ISNUMBER(SEARCH(", "&amp;$B111&amp;", ",", "&amp;'Trust &amp; Safety'!$B$7:$B$500&amp;", ")),--('Trust &amp; Safety'!$AT$7:$AT$500&lt;&gt;""))+SUMPRODUCT(--ISNUMBER(SEARCH(", "&amp;$B111&amp;", ",", "&amp;'Tài khoản &amp; Hồ sơ'!$B$7:$B$500&amp;", ")),--('Tài khoản &amp; Hồ sơ'!$AT$7:$AT$500&lt;&gt;""))</f>
        <v/>
      </c>
      <c r="G111" s="53">
        <f>SUMPRODUCT(--ISNUMBER(SEARCH(", "&amp;$B111&amp;", ",", "&amp;'Hoạt động (Đơn của tôi)'!$B$7:$B$500&amp;", ")),--('Hoạt động (Đơn của tôi)'!$AT$7:$AT$500="Pass"))+SUMPRODUCT(--ISNUMBER(SEARCH(", "&amp;$B111&amp;", ",", "&amp;'Ghép nối'!$B$7:$B$500&amp;", ")),--('Ghép nối'!$AT$7:$AT$500="Pass"))+SUMPRODUCT(--ISNUMBER(SEARCH(", "&amp;$B111&amp;", ",", "&amp;'Huỷ đơn - Huỷ nhận đơn'!$B$7:$B$500&amp;", ")),--('Huỷ đơn - Huỷ nhận đơn'!$AT$7:$AT$500="Pass"))+SUMPRODUCT(--ISNUMBER(SEARCH(", "&amp;$B111&amp;", ",", "&amp;'Giao nhận &amp; Theo dõi đơn'!$B$7:$B$500&amp;", ")),--('Giao nhận &amp; Theo dõi đơn'!$AT$7:$AT$500="Pass"))+SUMPRODUCT(--ISNUMBER(SEARCH(", "&amp;$B111&amp;", ",", "&amp;'Bảng tin &amp; Chi tiết tin'!$B$7:$B$500&amp;", ")),--('Bảng tin &amp; Chi tiết tin'!$AT$7:$AT$500="Pass"))+SUMPRODUCT(--ISNUMBER(SEARCH(", "&amp;$B111&amp;", ",", "&amp;'Quà cảm ơn'!$B$7:$B$500&amp;", ")),--('Quà cảm ơn'!$AT$7:$AT$500="Pass"))+SUMPRODUCT(--ISNUMBER(SEARCH(", "&amp;$B111&amp;", ",", "&amp;'Trang chủ'!$B$7:$B$500&amp;", ")),--('Trang chủ'!$AT$7:$AT$500="Pass"))+SUMPRODUCT(--ISNUMBER(SEARCH(", "&amp;$B111&amp;", ",", "&amp;'Thông báo'!$B$7:$B$500&amp;", ")),--('Thông báo'!$AT$7:$AT$500="Pass"))+SUMPRODUCT(--ISNUMBER(SEARCH(", "&amp;$B111&amp;", ",", "&amp;'Đăng tin &amp; Quản lý tin'!$B$7:$B$500&amp;", ")),--('Đăng tin &amp; Quản lý tin'!$AT$7:$AT$500="Pass"))+SUMPRODUCT(--ISNUMBER(SEARCH(", "&amp;$B111&amp;", ",", "&amp;'Trust &amp; Safety'!$B$7:$B$500&amp;", ")),--('Trust &amp; Safety'!$AT$7:$AT$500="Pass"))+SUMPRODUCT(--ISNUMBER(SEARCH(", "&amp;$B111&amp;", ",", "&amp;'Tài khoản &amp; Hồ sơ'!$B$7:$B$500&amp;", ")),--('Tài khoản &amp; Hồ sơ'!$AT$7:$AT$500="Pass"))</f>
        <v/>
      </c>
      <c r="H111" s="53">
        <f>SUMPRODUCT(--ISNUMBER(SEARCH(", "&amp;$B111&amp;", ",", "&amp;'Hoạt động (Đơn của tôi)'!$B$7:$B$500&amp;", ")),--('Hoạt động (Đơn của tôi)'!$AT$7:$AT$500="Fail"))+SUMPRODUCT(--ISNUMBER(SEARCH(", "&amp;$B111&amp;", ",", "&amp;'Ghép nối'!$B$7:$B$500&amp;", ")),--('Ghép nối'!$AT$7:$AT$500="Fail"))+SUMPRODUCT(--ISNUMBER(SEARCH(", "&amp;$B111&amp;", ",", "&amp;'Huỷ đơn - Huỷ nhận đơn'!$B$7:$B$500&amp;", ")),--('Huỷ đơn - Huỷ nhận đơn'!$AT$7:$AT$500="Fail"))+SUMPRODUCT(--ISNUMBER(SEARCH(", "&amp;$B111&amp;", ",", "&amp;'Giao nhận &amp; Theo dõi đơn'!$B$7:$B$500&amp;", ")),--('Giao nhận &amp; Theo dõi đơn'!$AT$7:$AT$500="Fail"))+SUMPRODUCT(--ISNUMBER(SEARCH(", "&amp;$B111&amp;", ",", "&amp;'Bảng tin &amp; Chi tiết tin'!$B$7:$B$500&amp;", ")),--('Bảng tin &amp; Chi tiết tin'!$AT$7:$AT$500="Fail"))+SUMPRODUCT(--ISNUMBER(SEARCH(", "&amp;$B111&amp;", ",", "&amp;'Quà cảm ơn'!$B$7:$B$500&amp;", ")),--('Quà cảm ơn'!$AT$7:$AT$500="Fail"))+SUMPRODUCT(--ISNUMBER(SEARCH(", "&amp;$B111&amp;", ",", "&amp;'Trang chủ'!$B$7:$B$500&amp;", ")),--('Trang chủ'!$AT$7:$AT$500="Fail"))+SUMPRODUCT(--ISNUMBER(SEARCH(", "&amp;$B111&amp;", ",", "&amp;'Thông báo'!$B$7:$B$500&amp;", ")),--('Thông báo'!$AT$7:$AT$500="Fail"))+SUMPRODUCT(--ISNUMBER(SEARCH(", "&amp;$B111&amp;", ",", "&amp;'Đăng tin &amp; Quản lý tin'!$B$7:$B$500&amp;", ")),--('Đăng tin &amp; Quản lý tin'!$AT$7:$AT$500="Fail"))+SUMPRODUCT(--ISNUMBER(SEARCH(", "&amp;$B111&amp;", ",", "&amp;'Trust &amp; Safety'!$B$7:$B$500&amp;", ")),--('Trust &amp; Safety'!$AT$7:$AT$500="Fail"))+SUMPRODUCT(--ISNUMBER(SEARCH(", "&amp;$B111&amp;", ",", "&amp;'Tài khoản &amp; Hồ sơ'!$B$7:$B$500&amp;", ")),--('Tài khoản &amp; Hồ sơ'!$AT$7:$AT$500="Fail"))</f>
        <v/>
      </c>
      <c r="I111" s="53">
        <f>SUMPRODUCT(--ISNUMBER(SEARCH(", "&amp;$B111&amp;", ",", "&amp;'Hoạt động (Đơn của tôi)'!$B$7:$B$500&amp;", ")),--('Hoạt động (Đơn của tôi)'!$AT$7:$AT$500="Block"))+SUMPRODUCT(--ISNUMBER(SEARCH(", "&amp;$B111&amp;", ",", "&amp;'Ghép nối'!$B$7:$B$500&amp;", ")),--('Ghép nối'!$AT$7:$AT$500="Block"))+SUMPRODUCT(--ISNUMBER(SEARCH(", "&amp;$B111&amp;", ",", "&amp;'Huỷ đơn - Huỷ nhận đơn'!$B$7:$B$500&amp;", ")),--('Huỷ đơn - Huỷ nhận đơn'!$AT$7:$AT$500="Block"))+SUMPRODUCT(--ISNUMBER(SEARCH(", "&amp;$B111&amp;", ",", "&amp;'Giao nhận &amp; Theo dõi đơn'!$B$7:$B$500&amp;", ")),--('Giao nhận &amp; Theo dõi đơn'!$AT$7:$AT$500="Block"))+SUMPRODUCT(--ISNUMBER(SEARCH(", "&amp;$B111&amp;", ",", "&amp;'Bảng tin &amp; Chi tiết tin'!$B$7:$B$500&amp;", ")),--('Bảng tin &amp; Chi tiết tin'!$AT$7:$AT$500="Block"))+SUMPRODUCT(--ISNUMBER(SEARCH(", "&amp;$B111&amp;", ",", "&amp;'Quà cảm ơn'!$B$7:$B$500&amp;", ")),--('Quà cảm ơn'!$AT$7:$AT$500="Block"))+SUMPRODUCT(--ISNUMBER(SEARCH(", "&amp;$B111&amp;", ",", "&amp;'Trang chủ'!$B$7:$B$500&amp;", ")),--('Trang chủ'!$AT$7:$AT$500="Block"))+SUMPRODUCT(--ISNUMBER(SEARCH(", "&amp;$B111&amp;", ",", "&amp;'Thông báo'!$B$7:$B$500&amp;", ")),--('Thông báo'!$AT$7:$AT$500="Block"))+SUMPRODUCT(--ISNUMBER(SEARCH(", "&amp;$B111&amp;", ",", "&amp;'Đăng tin &amp; Quản lý tin'!$B$7:$B$500&amp;", ")),--('Đăng tin &amp; Quản lý tin'!$AT$7:$AT$500="Block"))+SUMPRODUCT(--ISNUMBER(SEARCH(", "&amp;$B111&amp;", ",", "&amp;'Trust &amp; Safety'!$B$7:$B$500&amp;", ")),--('Trust &amp; Safety'!$AT$7:$AT$500="Block"))+SUMPRODUCT(--ISNUMBER(SEARCH(", "&amp;$B111&amp;", ",", "&amp;'Tài khoản &amp; Hồ sơ'!$B$7:$B$500&amp;", ")),--('Tài khoản &amp; Hồ sơ'!$AT$7:$AT$500="Block"))</f>
        <v/>
      </c>
      <c r="J111" s="53">
        <f>SUMPRODUCT(--ISNUMBER(SEARCH(", "&amp;$B111&amp;", ",", "&amp;'Hoạt động (Đơn của tôi)'!$B$7:$B$500&amp;", ")),--('Hoạt động (Đơn của tôi)'!$AT$7:$AT$500="N/A"))+SUMPRODUCT(--ISNUMBER(SEARCH(", "&amp;$B111&amp;", ",", "&amp;'Ghép nối'!$B$7:$B$500&amp;", ")),--('Ghép nối'!$AT$7:$AT$500="N/A"))+SUMPRODUCT(--ISNUMBER(SEARCH(", "&amp;$B111&amp;", ",", "&amp;'Huỷ đơn - Huỷ nhận đơn'!$B$7:$B$500&amp;", ")),--('Huỷ đơn - Huỷ nhận đơn'!$AT$7:$AT$500="N/A"))+SUMPRODUCT(--ISNUMBER(SEARCH(", "&amp;$B111&amp;", ",", "&amp;'Giao nhận &amp; Theo dõi đơn'!$B$7:$B$500&amp;", ")),--('Giao nhận &amp; Theo dõi đơn'!$AT$7:$AT$500="N/A"))+SUMPRODUCT(--ISNUMBER(SEARCH(", "&amp;$B111&amp;", ",", "&amp;'Bảng tin &amp; Chi tiết tin'!$B$7:$B$500&amp;", ")),--('Bảng tin &amp; Chi tiết tin'!$AT$7:$AT$500="N/A"))+SUMPRODUCT(--ISNUMBER(SEARCH(", "&amp;$B111&amp;", ",", "&amp;'Quà cảm ơn'!$B$7:$B$500&amp;", ")),--('Quà cảm ơn'!$AT$7:$AT$500="N/A"))+SUMPRODUCT(--ISNUMBER(SEARCH(", "&amp;$B111&amp;", ",", "&amp;'Trang chủ'!$B$7:$B$500&amp;", ")),--('Trang chủ'!$AT$7:$AT$500="N/A"))+SUMPRODUCT(--ISNUMBER(SEARCH(", "&amp;$B111&amp;", ",", "&amp;'Thông báo'!$B$7:$B$500&amp;", ")),--('Thông báo'!$AT$7:$AT$500="N/A"))+SUMPRODUCT(--ISNUMBER(SEARCH(", "&amp;$B111&amp;", ",", "&amp;'Đăng tin &amp; Quản lý tin'!$B$7:$B$500&amp;", ")),--('Đăng tin &amp; Quản lý tin'!$AT$7:$AT$500="N/A"))+SUMPRODUCT(--ISNUMBER(SEARCH(", "&amp;$B111&amp;", ",", "&amp;'Trust &amp; Safety'!$B$7:$B$500&amp;", ")),--('Trust &amp; Safety'!$AT$7:$AT$500="N/A"))+SUMPRODUCT(--ISNUMBER(SEARCH(", "&amp;$B111&amp;", ",", "&amp;'Tài khoản &amp; Hồ sơ'!$B$7:$B$500&amp;", ")),--('Tài khoản &amp; Hồ sơ'!$AT$7:$AT$500="N/A"))</f>
        <v/>
      </c>
      <c r="K111" s="54">
        <f>IFERROR(F111/E111,0)</f>
        <v/>
      </c>
      <c r="L111" s="113">
        <f>IF(E111=0,"Chưa có TC (gap)",IF(H111&gt;0,"Có lỗi (Fail)",IF(I111&gt;0,"Bị block",IF(F111&lt;E111,"Đang test",IF(G111=0,"Không áp dụng (N/A)","Đã test xong")))))</f>
        <v/>
      </c>
      <c r="AB111" t="inlineStr">
        <is>
          <t>REQ-ORD</t>
        </is>
      </c>
    </row>
    <row r="112" ht="15.75" customHeight="1" s="216">
      <c r="A112" s="1" t="n"/>
      <c r="B112" s="112" t="inlineStr">
        <is>
          <t>REQ-ORD-026</t>
        </is>
      </c>
      <c r="C112" s="261" t="inlineStr">
        <is>
          <t>BR18-03 | Nơi hiển thị nhiều ảnh dùng carousel lướt ngang có badge đếm "2/5"; chạm ảnh mở lightbox nền tối giữ đúng tỉ lệ, có nút đóng và chạm nền để đóng.</t>
        </is>
      </c>
      <c r="D112" s="113" t="inlineStr">
        <is>
          <t>DOC-v1.1-01 §8.18.1 BR18-03 · trang 52</t>
        </is>
      </c>
      <c r="E112" s="53">
        <f>SUMPRODUCT(--ISNUMBER(SEARCH(", "&amp;$B112&amp;", ",", "&amp;'Hoạt động (Đơn của tôi)'!$B$7:$B$500&amp;", ")))+SUMPRODUCT(--ISNUMBER(SEARCH(", "&amp;$B112&amp;", ",", "&amp;'Ghép nối'!$B$7:$B$500&amp;", ")))+SUMPRODUCT(--ISNUMBER(SEARCH(", "&amp;$B112&amp;", ",", "&amp;'Huỷ đơn - Huỷ nhận đơn'!$B$7:$B$500&amp;", ")))+SUMPRODUCT(--ISNUMBER(SEARCH(", "&amp;$B112&amp;", ",", "&amp;'Giao nhận &amp; Theo dõi đơn'!$B$7:$B$500&amp;", ")))+SUMPRODUCT(--ISNUMBER(SEARCH(", "&amp;$B112&amp;", ",", "&amp;'Bảng tin &amp; Chi tiết tin'!$B$7:$B$500&amp;", ")))+SUMPRODUCT(--ISNUMBER(SEARCH(", "&amp;$B112&amp;", ",", "&amp;'Quà cảm ơn'!$B$7:$B$500&amp;", ")))+SUMPRODUCT(--ISNUMBER(SEARCH(", "&amp;$B112&amp;", ",", "&amp;'Trang chủ'!$B$7:$B$500&amp;", ")))+SUMPRODUCT(--ISNUMBER(SEARCH(", "&amp;$B112&amp;", ",", "&amp;'Thông báo'!$B$7:$B$500&amp;", ")))+SUMPRODUCT(--ISNUMBER(SEARCH(", "&amp;$B112&amp;", ",", "&amp;'Đăng tin &amp; Quản lý tin'!$B$7:$B$500&amp;", ")))+SUMPRODUCT(--ISNUMBER(SEARCH(", "&amp;$B112&amp;", ",", "&amp;'Trust &amp; Safety'!$B$7:$B$500&amp;", ")))+SUMPRODUCT(--ISNUMBER(SEARCH(", "&amp;$B112&amp;", ",", "&amp;'Tài khoản &amp; Hồ sơ'!$B$7:$B$500&amp;", ")))</f>
        <v/>
      </c>
      <c r="F112" s="53">
        <f>SUMPRODUCT(--ISNUMBER(SEARCH(", "&amp;$B112&amp;", ",", "&amp;'Hoạt động (Đơn của tôi)'!$B$7:$B$500&amp;", ")),--('Hoạt động (Đơn của tôi)'!$AT$7:$AT$500&lt;&gt;""))+SUMPRODUCT(--ISNUMBER(SEARCH(", "&amp;$B112&amp;", ",", "&amp;'Ghép nối'!$B$7:$B$500&amp;", ")),--('Ghép nối'!$AT$7:$AT$500&lt;&gt;""))+SUMPRODUCT(--ISNUMBER(SEARCH(", "&amp;$B112&amp;", ",", "&amp;'Huỷ đơn - Huỷ nhận đơn'!$B$7:$B$500&amp;", ")),--('Huỷ đơn - Huỷ nhận đơn'!$AT$7:$AT$500&lt;&gt;""))+SUMPRODUCT(--ISNUMBER(SEARCH(", "&amp;$B112&amp;", ",", "&amp;'Giao nhận &amp; Theo dõi đơn'!$B$7:$B$500&amp;", ")),--('Giao nhận &amp; Theo dõi đơn'!$AT$7:$AT$500&lt;&gt;""))+SUMPRODUCT(--ISNUMBER(SEARCH(", "&amp;$B112&amp;", ",", "&amp;'Bảng tin &amp; Chi tiết tin'!$B$7:$B$500&amp;", ")),--('Bảng tin &amp; Chi tiết tin'!$AT$7:$AT$500&lt;&gt;""))+SUMPRODUCT(--ISNUMBER(SEARCH(", "&amp;$B112&amp;", ",", "&amp;'Quà cảm ơn'!$B$7:$B$500&amp;", ")),--('Quà cảm ơn'!$AT$7:$AT$500&lt;&gt;""))+SUMPRODUCT(--ISNUMBER(SEARCH(", "&amp;$B112&amp;", ",", "&amp;'Trang chủ'!$B$7:$B$500&amp;", ")),--('Trang chủ'!$AT$7:$AT$500&lt;&gt;""))+SUMPRODUCT(--ISNUMBER(SEARCH(", "&amp;$B112&amp;", ",", "&amp;'Thông báo'!$B$7:$B$500&amp;", ")),--('Thông báo'!$AT$7:$AT$500&lt;&gt;""))+SUMPRODUCT(--ISNUMBER(SEARCH(", "&amp;$B112&amp;", ",", "&amp;'Đăng tin &amp; Quản lý tin'!$B$7:$B$500&amp;", ")),--('Đăng tin &amp; Quản lý tin'!$AT$7:$AT$500&lt;&gt;""))+SUMPRODUCT(--ISNUMBER(SEARCH(", "&amp;$B112&amp;", ",", "&amp;'Trust &amp; Safety'!$B$7:$B$500&amp;", ")),--('Trust &amp; Safety'!$AT$7:$AT$500&lt;&gt;""))+SUMPRODUCT(--ISNUMBER(SEARCH(", "&amp;$B112&amp;", ",", "&amp;'Tài khoản &amp; Hồ sơ'!$B$7:$B$500&amp;", ")),--('Tài khoản &amp; Hồ sơ'!$AT$7:$AT$500&lt;&gt;""))</f>
        <v/>
      </c>
      <c r="G112" s="53">
        <f>SUMPRODUCT(--ISNUMBER(SEARCH(", "&amp;$B112&amp;", ",", "&amp;'Hoạt động (Đơn của tôi)'!$B$7:$B$500&amp;", ")),--('Hoạt động (Đơn của tôi)'!$AT$7:$AT$500="Pass"))+SUMPRODUCT(--ISNUMBER(SEARCH(", "&amp;$B112&amp;", ",", "&amp;'Ghép nối'!$B$7:$B$500&amp;", ")),--('Ghép nối'!$AT$7:$AT$500="Pass"))+SUMPRODUCT(--ISNUMBER(SEARCH(", "&amp;$B112&amp;", ",", "&amp;'Huỷ đơn - Huỷ nhận đơn'!$B$7:$B$500&amp;", ")),--('Huỷ đơn - Huỷ nhận đơn'!$AT$7:$AT$500="Pass"))+SUMPRODUCT(--ISNUMBER(SEARCH(", "&amp;$B112&amp;", ",", "&amp;'Giao nhận &amp; Theo dõi đơn'!$B$7:$B$500&amp;", ")),--('Giao nhận &amp; Theo dõi đơn'!$AT$7:$AT$500="Pass"))+SUMPRODUCT(--ISNUMBER(SEARCH(", "&amp;$B112&amp;", ",", "&amp;'Bảng tin &amp; Chi tiết tin'!$B$7:$B$500&amp;", ")),--('Bảng tin &amp; Chi tiết tin'!$AT$7:$AT$500="Pass"))+SUMPRODUCT(--ISNUMBER(SEARCH(", "&amp;$B112&amp;", ",", "&amp;'Quà cảm ơn'!$B$7:$B$500&amp;", ")),--('Quà cảm ơn'!$AT$7:$AT$500="Pass"))+SUMPRODUCT(--ISNUMBER(SEARCH(", "&amp;$B112&amp;", ",", "&amp;'Trang chủ'!$B$7:$B$500&amp;", ")),--('Trang chủ'!$AT$7:$AT$500="Pass"))+SUMPRODUCT(--ISNUMBER(SEARCH(", "&amp;$B112&amp;", ",", "&amp;'Thông báo'!$B$7:$B$500&amp;", ")),--('Thông báo'!$AT$7:$AT$500="Pass"))+SUMPRODUCT(--ISNUMBER(SEARCH(", "&amp;$B112&amp;", ",", "&amp;'Đăng tin &amp; Quản lý tin'!$B$7:$B$500&amp;", ")),--('Đăng tin &amp; Quản lý tin'!$AT$7:$AT$500="Pass"))+SUMPRODUCT(--ISNUMBER(SEARCH(", "&amp;$B112&amp;", ",", "&amp;'Trust &amp; Safety'!$B$7:$B$500&amp;", ")),--('Trust &amp; Safety'!$AT$7:$AT$500="Pass"))+SUMPRODUCT(--ISNUMBER(SEARCH(", "&amp;$B112&amp;", ",", "&amp;'Tài khoản &amp; Hồ sơ'!$B$7:$B$500&amp;", ")),--('Tài khoản &amp; Hồ sơ'!$AT$7:$AT$500="Pass"))</f>
        <v/>
      </c>
      <c r="H112" s="53">
        <f>SUMPRODUCT(--ISNUMBER(SEARCH(", "&amp;$B112&amp;", ",", "&amp;'Hoạt động (Đơn của tôi)'!$B$7:$B$500&amp;", ")),--('Hoạt động (Đơn của tôi)'!$AT$7:$AT$500="Fail"))+SUMPRODUCT(--ISNUMBER(SEARCH(", "&amp;$B112&amp;", ",", "&amp;'Ghép nối'!$B$7:$B$500&amp;", ")),--('Ghép nối'!$AT$7:$AT$500="Fail"))+SUMPRODUCT(--ISNUMBER(SEARCH(", "&amp;$B112&amp;", ",", "&amp;'Huỷ đơn - Huỷ nhận đơn'!$B$7:$B$500&amp;", ")),--('Huỷ đơn - Huỷ nhận đơn'!$AT$7:$AT$500="Fail"))+SUMPRODUCT(--ISNUMBER(SEARCH(", "&amp;$B112&amp;", ",", "&amp;'Giao nhận &amp; Theo dõi đơn'!$B$7:$B$500&amp;", ")),--('Giao nhận &amp; Theo dõi đơn'!$AT$7:$AT$500="Fail"))+SUMPRODUCT(--ISNUMBER(SEARCH(", "&amp;$B112&amp;", ",", "&amp;'Bảng tin &amp; Chi tiết tin'!$B$7:$B$500&amp;", ")),--('Bảng tin &amp; Chi tiết tin'!$AT$7:$AT$500="Fail"))+SUMPRODUCT(--ISNUMBER(SEARCH(", "&amp;$B112&amp;", ",", "&amp;'Quà cảm ơn'!$B$7:$B$500&amp;", ")),--('Quà cảm ơn'!$AT$7:$AT$500="Fail"))+SUMPRODUCT(--ISNUMBER(SEARCH(", "&amp;$B112&amp;", ",", "&amp;'Trang chủ'!$B$7:$B$500&amp;", ")),--('Trang chủ'!$AT$7:$AT$500="Fail"))+SUMPRODUCT(--ISNUMBER(SEARCH(", "&amp;$B112&amp;", ",", "&amp;'Thông báo'!$B$7:$B$500&amp;", ")),--('Thông báo'!$AT$7:$AT$500="Fail"))+SUMPRODUCT(--ISNUMBER(SEARCH(", "&amp;$B112&amp;", ",", "&amp;'Đăng tin &amp; Quản lý tin'!$B$7:$B$500&amp;", ")),--('Đăng tin &amp; Quản lý tin'!$AT$7:$AT$500="Fail"))+SUMPRODUCT(--ISNUMBER(SEARCH(", "&amp;$B112&amp;", ",", "&amp;'Trust &amp; Safety'!$B$7:$B$500&amp;", ")),--('Trust &amp; Safety'!$AT$7:$AT$500="Fail"))+SUMPRODUCT(--ISNUMBER(SEARCH(", "&amp;$B112&amp;", ",", "&amp;'Tài khoản &amp; Hồ sơ'!$B$7:$B$500&amp;", ")),--('Tài khoản &amp; Hồ sơ'!$AT$7:$AT$500="Fail"))</f>
        <v/>
      </c>
      <c r="I112" s="53">
        <f>SUMPRODUCT(--ISNUMBER(SEARCH(", "&amp;$B112&amp;", ",", "&amp;'Hoạt động (Đơn của tôi)'!$B$7:$B$500&amp;", ")),--('Hoạt động (Đơn của tôi)'!$AT$7:$AT$500="Block"))+SUMPRODUCT(--ISNUMBER(SEARCH(", "&amp;$B112&amp;", ",", "&amp;'Ghép nối'!$B$7:$B$500&amp;", ")),--('Ghép nối'!$AT$7:$AT$500="Block"))+SUMPRODUCT(--ISNUMBER(SEARCH(", "&amp;$B112&amp;", ",", "&amp;'Huỷ đơn - Huỷ nhận đơn'!$B$7:$B$500&amp;", ")),--('Huỷ đơn - Huỷ nhận đơn'!$AT$7:$AT$500="Block"))+SUMPRODUCT(--ISNUMBER(SEARCH(", "&amp;$B112&amp;", ",", "&amp;'Giao nhận &amp; Theo dõi đơn'!$B$7:$B$500&amp;", ")),--('Giao nhận &amp; Theo dõi đơn'!$AT$7:$AT$500="Block"))+SUMPRODUCT(--ISNUMBER(SEARCH(", "&amp;$B112&amp;", ",", "&amp;'Bảng tin &amp; Chi tiết tin'!$B$7:$B$500&amp;", ")),--('Bảng tin &amp; Chi tiết tin'!$AT$7:$AT$500="Block"))+SUMPRODUCT(--ISNUMBER(SEARCH(", "&amp;$B112&amp;", ",", "&amp;'Quà cảm ơn'!$B$7:$B$500&amp;", ")),--('Quà cảm ơn'!$AT$7:$AT$500="Block"))+SUMPRODUCT(--ISNUMBER(SEARCH(", "&amp;$B112&amp;", ",", "&amp;'Trang chủ'!$B$7:$B$500&amp;", ")),--('Trang chủ'!$AT$7:$AT$500="Block"))+SUMPRODUCT(--ISNUMBER(SEARCH(", "&amp;$B112&amp;", ",", "&amp;'Thông báo'!$B$7:$B$500&amp;", ")),--('Thông báo'!$AT$7:$AT$500="Block"))+SUMPRODUCT(--ISNUMBER(SEARCH(", "&amp;$B112&amp;", ",", "&amp;'Đăng tin &amp; Quản lý tin'!$B$7:$B$500&amp;", ")),--('Đăng tin &amp; Quản lý tin'!$AT$7:$AT$500="Block"))+SUMPRODUCT(--ISNUMBER(SEARCH(", "&amp;$B112&amp;", ",", "&amp;'Trust &amp; Safety'!$B$7:$B$500&amp;", ")),--('Trust &amp; Safety'!$AT$7:$AT$500="Block"))+SUMPRODUCT(--ISNUMBER(SEARCH(", "&amp;$B112&amp;", ",", "&amp;'Tài khoản &amp; Hồ sơ'!$B$7:$B$500&amp;", ")),--('Tài khoản &amp; Hồ sơ'!$AT$7:$AT$500="Block"))</f>
        <v/>
      </c>
      <c r="J112" s="53">
        <f>SUMPRODUCT(--ISNUMBER(SEARCH(", "&amp;$B112&amp;", ",", "&amp;'Hoạt động (Đơn của tôi)'!$B$7:$B$500&amp;", ")),--('Hoạt động (Đơn của tôi)'!$AT$7:$AT$500="N/A"))+SUMPRODUCT(--ISNUMBER(SEARCH(", "&amp;$B112&amp;", ",", "&amp;'Ghép nối'!$B$7:$B$500&amp;", ")),--('Ghép nối'!$AT$7:$AT$500="N/A"))+SUMPRODUCT(--ISNUMBER(SEARCH(", "&amp;$B112&amp;", ",", "&amp;'Huỷ đơn - Huỷ nhận đơn'!$B$7:$B$500&amp;", ")),--('Huỷ đơn - Huỷ nhận đơn'!$AT$7:$AT$500="N/A"))+SUMPRODUCT(--ISNUMBER(SEARCH(", "&amp;$B112&amp;", ",", "&amp;'Giao nhận &amp; Theo dõi đơn'!$B$7:$B$500&amp;", ")),--('Giao nhận &amp; Theo dõi đơn'!$AT$7:$AT$500="N/A"))+SUMPRODUCT(--ISNUMBER(SEARCH(", "&amp;$B112&amp;", ",", "&amp;'Bảng tin &amp; Chi tiết tin'!$B$7:$B$500&amp;", ")),--('Bảng tin &amp; Chi tiết tin'!$AT$7:$AT$500="N/A"))+SUMPRODUCT(--ISNUMBER(SEARCH(", "&amp;$B112&amp;", ",", "&amp;'Quà cảm ơn'!$B$7:$B$500&amp;", ")),--('Quà cảm ơn'!$AT$7:$AT$500="N/A"))+SUMPRODUCT(--ISNUMBER(SEARCH(", "&amp;$B112&amp;", ",", "&amp;'Trang chủ'!$B$7:$B$500&amp;", ")),--('Trang chủ'!$AT$7:$AT$500="N/A"))+SUMPRODUCT(--ISNUMBER(SEARCH(", "&amp;$B112&amp;", ",", "&amp;'Thông báo'!$B$7:$B$500&amp;", ")),--('Thông báo'!$AT$7:$AT$500="N/A"))+SUMPRODUCT(--ISNUMBER(SEARCH(", "&amp;$B112&amp;", ",", "&amp;'Đăng tin &amp; Quản lý tin'!$B$7:$B$500&amp;", ")),--('Đăng tin &amp; Quản lý tin'!$AT$7:$AT$500="N/A"))+SUMPRODUCT(--ISNUMBER(SEARCH(", "&amp;$B112&amp;", ",", "&amp;'Trust &amp; Safety'!$B$7:$B$500&amp;", ")),--('Trust &amp; Safety'!$AT$7:$AT$500="N/A"))+SUMPRODUCT(--ISNUMBER(SEARCH(", "&amp;$B112&amp;", ",", "&amp;'Tài khoản &amp; Hồ sơ'!$B$7:$B$500&amp;", ")),--('Tài khoản &amp; Hồ sơ'!$AT$7:$AT$500="N/A"))</f>
        <v/>
      </c>
      <c r="K112" s="54">
        <f>IFERROR(F112/E112,0)</f>
        <v/>
      </c>
      <c r="L112" s="113">
        <f>IF(E112=0,"Chưa có TC (gap)",IF(H112&gt;0,"Có lỗi (Fail)",IF(I112&gt;0,"Bị block",IF(F112&lt;E112,"Đang test",IF(G112=0,"Không áp dụng (N/A)","Đã test xong")))))</f>
        <v/>
      </c>
      <c r="AB112" t="inlineStr">
        <is>
          <t>REQ-ORD</t>
        </is>
      </c>
    </row>
    <row r="113" ht="15.75" customHeight="1" s="216">
      <c r="A113" s="1" t="n"/>
      <c r="B113" s="112" t="inlineStr">
        <is>
          <t>REQ-ORD-008</t>
        </is>
      </c>
      <c r="C113" s="261" t="inlineStr">
        <is>
          <t>Nguồn (v1.0) — `DOC-v1.0-01 §D3 USR-EML L253` + `§D8.1 L366`: có field email người nhận, **autofill** được nhắc nhưng không nêu nguồn dữ liệu.</t>
        </is>
      </c>
      <c r="D113" s="113" t="inlineStr">
        <is>
          <t>DOC-v1.1-01 §8.1.1 BR01-09 · trang 34</t>
        </is>
      </c>
      <c r="E113" s="53">
        <f>SUMPRODUCT(--ISNUMBER(SEARCH(", "&amp;$B113&amp;", ",", "&amp;'Hoạt động (Đơn của tôi)'!$B$7:$B$500&amp;", ")))+SUMPRODUCT(--ISNUMBER(SEARCH(", "&amp;$B113&amp;", ",", "&amp;'Ghép nối'!$B$7:$B$500&amp;", ")))+SUMPRODUCT(--ISNUMBER(SEARCH(", "&amp;$B113&amp;", ",", "&amp;'Huỷ đơn - Huỷ nhận đơn'!$B$7:$B$500&amp;", ")))+SUMPRODUCT(--ISNUMBER(SEARCH(", "&amp;$B113&amp;", ",", "&amp;'Giao nhận &amp; Theo dõi đơn'!$B$7:$B$500&amp;", ")))+SUMPRODUCT(--ISNUMBER(SEARCH(", "&amp;$B113&amp;", ",", "&amp;'Bảng tin &amp; Chi tiết tin'!$B$7:$B$500&amp;", ")))+SUMPRODUCT(--ISNUMBER(SEARCH(", "&amp;$B113&amp;", ",", "&amp;'Quà cảm ơn'!$B$7:$B$500&amp;", ")))+SUMPRODUCT(--ISNUMBER(SEARCH(", "&amp;$B113&amp;", ",", "&amp;'Trang chủ'!$B$7:$B$500&amp;", ")))+SUMPRODUCT(--ISNUMBER(SEARCH(", "&amp;$B113&amp;", ",", "&amp;'Thông báo'!$B$7:$B$500&amp;", ")))+SUMPRODUCT(--ISNUMBER(SEARCH(", "&amp;$B113&amp;", ",", "&amp;'Đăng tin &amp; Quản lý tin'!$B$7:$B$500&amp;", ")))+SUMPRODUCT(--ISNUMBER(SEARCH(", "&amp;$B113&amp;", ",", "&amp;'Trust &amp; Safety'!$B$7:$B$500&amp;", ")))+SUMPRODUCT(--ISNUMBER(SEARCH(", "&amp;$B113&amp;", ",", "&amp;'Tài khoản &amp; Hồ sơ'!$B$7:$B$500&amp;", ")))</f>
        <v/>
      </c>
      <c r="F113" s="53">
        <f>SUMPRODUCT(--ISNUMBER(SEARCH(", "&amp;$B113&amp;", ",", "&amp;'Hoạt động (Đơn của tôi)'!$B$7:$B$500&amp;", ")),--('Hoạt động (Đơn của tôi)'!$AT$7:$AT$500&lt;&gt;""))+SUMPRODUCT(--ISNUMBER(SEARCH(", "&amp;$B113&amp;", ",", "&amp;'Ghép nối'!$B$7:$B$500&amp;", ")),--('Ghép nối'!$AT$7:$AT$500&lt;&gt;""))+SUMPRODUCT(--ISNUMBER(SEARCH(", "&amp;$B113&amp;", ",", "&amp;'Huỷ đơn - Huỷ nhận đơn'!$B$7:$B$500&amp;", ")),--('Huỷ đơn - Huỷ nhận đơn'!$AT$7:$AT$500&lt;&gt;""))+SUMPRODUCT(--ISNUMBER(SEARCH(", "&amp;$B113&amp;", ",", "&amp;'Giao nhận &amp; Theo dõi đơn'!$B$7:$B$500&amp;", ")),--('Giao nhận &amp; Theo dõi đơn'!$AT$7:$AT$500&lt;&gt;""))+SUMPRODUCT(--ISNUMBER(SEARCH(", "&amp;$B113&amp;", ",", "&amp;'Bảng tin &amp; Chi tiết tin'!$B$7:$B$500&amp;", ")),--('Bảng tin &amp; Chi tiết tin'!$AT$7:$AT$500&lt;&gt;""))+SUMPRODUCT(--ISNUMBER(SEARCH(", "&amp;$B113&amp;", ",", "&amp;'Quà cảm ơn'!$B$7:$B$500&amp;", ")),--('Quà cảm ơn'!$AT$7:$AT$500&lt;&gt;""))+SUMPRODUCT(--ISNUMBER(SEARCH(", "&amp;$B113&amp;", ",", "&amp;'Trang chủ'!$B$7:$B$500&amp;", ")),--('Trang chủ'!$AT$7:$AT$500&lt;&gt;""))+SUMPRODUCT(--ISNUMBER(SEARCH(", "&amp;$B113&amp;", ",", "&amp;'Thông báo'!$B$7:$B$500&amp;", ")),--('Thông báo'!$AT$7:$AT$500&lt;&gt;""))+SUMPRODUCT(--ISNUMBER(SEARCH(", "&amp;$B113&amp;", ",", "&amp;'Đăng tin &amp; Quản lý tin'!$B$7:$B$500&amp;", ")),--('Đăng tin &amp; Quản lý tin'!$AT$7:$AT$500&lt;&gt;""))+SUMPRODUCT(--ISNUMBER(SEARCH(", "&amp;$B113&amp;", ",", "&amp;'Trust &amp; Safety'!$B$7:$B$500&amp;", ")),--('Trust &amp; Safety'!$AT$7:$AT$500&lt;&gt;""))+SUMPRODUCT(--ISNUMBER(SEARCH(", "&amp;$B113&amp;", ",", "&amp;'Tài khoản &amp; Hồ sơ'!$B$7:$B$500&amp;", ")),--('Tài khoản &amp; Hồ sơ'!$AT$7:$AT$500&lt;&gt;""))</f>
        <v/>
      </c>
      <c r="G113" s="53">
        <f>SUMPRODUCT(--ISNUMBER(SEARCH(", "&amp;$B113&amp;", ",", "&amp;'Hoạt động (Đơn của tôi)'!$B$7:$B$500&amp;", ")),--('Hoạt động (Đơn của tôi)'!$AT$7:$AT$500="Pass"))+SUMPRODUCT(--ISNUMBER(SEARCH(", "&amp;$B113&amp;", ",", "&amp;'Ghép nối'!$B$7:$B$500&amp;", ")),--('Ghép nối'!$AT$7:$AT$500="Pass"))+SUMPRODUCT(--ISNUMBER(SEARCH(", "&amp;$B113&amp;", ",", "&amp;'Huỷ đơn - Huỷ nhận đơn'!$B$7:$B$500&amp;", ")),--('Huỷ đơn - Huỷ nhận đơn'!$AT$7:$AT$500="Pass"))+SUMPRODUCT(--ISNUMBER(SEARCH(", "&amp;$B113&amp;", ",", "&amp;'Giao nhận &amp; Theo dõi đơn'!$B$7:$B$500&amp;", ")),--('Giao nhận &amp; Theo dõi đơn'!$AT$7:$AT$500="Pass"))+SUMPRODUCT(--ISNUMBER(SEARCH(", "&amp;$B113&amp;", ",", "&amp;'Bảng tin &amp; Chi tiết tin'!$B$7:$B$500&amp;", ")),--('Bảng tin &amp; Chi tiết tin'!$AT$7:$AT$500="Pass"))+SUMPRODUCT(--ISNUMBER(SEARCH(", "&amp;$B113&amp;", ",", "&amp;'Quà cảm ơn'!$B$7:$B$500&amp;", ")),--('Quà cảm ơn'!$AT$7:$AT$500="Pass"))+SUMPRODUCT(--ISNUMBER(SEARCH(", "&amp;$B113&amp;", ",", "&amp;'Trang chủ'!$B$7:$B$500&amp;", ")),--('Trang chủ'!$AT$7:$AT$500="Pass"))+SUMPRODUCT(--ISNUMBER(SEARCH(", "&amp;$B113&amp;", ",", "&amp;'Thông báo'!$B$7:$B$500&amp;", ")),--('Thông báo'!$AT$7:$AT$500="Pass"))+SUMPRODUCT(--ISNUMBER(SEARCH(", "&amp;$B113&amp;", ",", "&amp;'Đăng tin &amp; Quản lý tin'!$B$7:$B$500&amp;", ")),--('Đăng tin &amp; Quản lý tin'!$AT$7:$AT$500="Pass"))+SUMPRODUCT(--ISNUMBER(SEARCH(", "&amp;$B113&amp;", ",", "&amp;'Trust &amp; Safety'!$B$7:$B$500&amp;", ")),--('Trust &amp; Safety'!$AT$7:$AT$500="Pass"))+SUMPRODUCT(--ISNUMBER(SEARCH(", "&amp;$B113&amp;", ",", "&amp;'Tài khoản &amp; Hồ sơ'!$B$7:$B$500&amp;", ")),--('Tài khoản &amp; Hồ sơ'!$AT$7:$AT$500="Pass"))</f>
        <v/>
      </c>
      <c r="H113" s="53">
        <f>SUMPRODUCT(--ISNUMBER(SEARCH(", "&amp;$B113&amp;", ",", "&amp;'Hoạt động (Đơn của tôi)'!$B$7:$B$500&amp;", ")),--('Hoạt động (Đơn của tôi)'!$AT$7:$AT$500="Fail"))+SUMPRODUCT(--ISNUMBER(SEARCH(", "&amp;$B113&amp;", ",", "&amp;'Ghép nối'!$B$7:$B$500&amp;", ")),--('Ghép nối'!$AT$7:$AT$500="Fail"))+SUMPRODUCT(--ISNUMBER(SEARCH(", "&amp;$B113&amp;", ",", "&amp;'Huỷ đơn - Huỷ nhận đơn'!$B$7:$B$500&amp;", ")),--('Huỷ đơn - Huỷ nhận đơn'!$AT$7:$AT$500="Fail"))+SUMPRODUCT(--ISNUMBER(SEARCH(", "&amp;$B113&amp;", ",", "&amp;'Giao nhận &amp; Theo dõi đơn'!$B$7:$B$500&amp;", ")),--('Giao nhận &amp; Theo dõi đơn'!$AT$7:$AT$500="Fail"))+SUMPRODUCT(--ISNUMBER(SEARCH(", "&amp;$B113&amp;", ",", "&amp;'Bảng tin &amp; Chi tiết tin'!$B$7:$B$500&amp;", ")),--('Bảng tin &amp; Chi tiết tin'!$AT$7:$AT$500="Fail"))+SUMPRODUCT(--ISNUMBER(SEARCH(", "&amp;$B113&amp;", ",", "&amp;'Quà cảm ơn'!$B$7:$B$500&amp;", ")),--('Quà cảm ơn'!$AT$7:$AT$500="Fail"))+SUMPRODUCT(--ISNUMBER(SEARCH(", "&amp;$B113&amp;", ",", "&amp;'Trang chủ'!$B$7:$B$500&amp;", ")),--('Trang chủ'!$AT$7:$AT$500="Fail"))+SUMPRODUCT(--ISNUMBER(SEARCH(", "&amp;$B113&amp;", ",", "&amp;'Thông báo'!$B$7:$B$500&amp;", ")),--('Thông báo'!$AT$7:$AT$500="Fail"))+SUMPRODUCT(--ISNUMBER(SEARCH(", "&amp;$B113&amp;", ",", "&amp;'Đăng tin &amp; Quản lý tin'!$B$7:$B$500&amp;", ")),--('Đăng tin &amp; Quản lý tin'!$AT$7:$AT$500="Fail"))+SUMPRODUCT(--ISNUMBER(SEARCH(", "&amp;$B113&amp;", ",", "&amp;'Trust &amp; Safety'!$B$7:$B$500&amp;", ")),--('Trust &amp; Safety'!$AT$7:$AT$500="Fail"))+SUMPRODUCT(--ISNUMBER(SEARCH(", "&amp;$B113&amp;", ",", "&amp;'Tài khoản &amp; Hồ sơ'!$B$7:$B$500&amp;", ")),--('Tài khoản &amp; Hồ sơ'!$AT$7:$AT$500="Fail"))</f>
        <v/>
      </c>
      <c r="I113" s="53">
        <f>SUMPRODUCT(--ISNUMBER(SEARCH(", "&amp;$B113&amp;", ",", "&amp;'Hoạt động (Đơn của tôi)'!$B$7:$B$500&amp;", ")),--('Hoạt động (Đơn của tôi)'!$AT$7:$AT$500="Block"))+SUMPRODUCT(--ISNUMBER(SEARCH(", "&amp;$B113&amp;", ",", "&amp;'Ghép nối'!$B$7:$B$500&amp;", ")),--('Ghép nối'!$AT$7:$AT$500="Block"))+SUMPRODUCT(--ISNUMBER(SEARCH(", "&amp;$B113&amp;", ",", "&amp;'Huỷ đơn - Huỷ nhận đơn'!$B$7:$B$500&amp;", ")),--('Huỷ đơn - Huỷ nhận đơn'!$AT$7:$AT$500="Block"))+SUMPRODUCT(--ISNUMBER(SEARCH(", "&amp;$B113&amp;", ",", "&amp;'Giao nhận &amp; Theo dõi đơn'!$B$7:$B$500&amp;", ")),--('Giao nhận &amp; Theo dõi đơn'!$AT$7:$AT$500="Block"))+SUMPRODUCT(--ISNUMBER(SEARCH(", "&amp;$B113&amp;", ",", "&amp;'Bảng tin &amp; Chi tiết tin'!$B$7:$B$500&amp;", ")),--('Bảng tin &amp; Chi tiết tin'!$AT$7:$AT$500="Block"))+SUMPRODUCT(--ISNUMBER(SEARCH(", "&amp;$B113&amp;", ",", "&amp;'Quà cảm ơn'!$B$7:$B$500&amp;", ")),--('Quà cảm ơn'!$AT$7:$AT$500="Block"))+SUMPRODUCT(--ISNUMBER(SEARCH(", "&amp;$B113&amp;", ",", "&amp;'Trang chủ'!$B$7:$B$500&amp;", ")),--('Trang chủ'!$AT$7:$AT$500="Block"))+SUMPRODUCT(--ISNUMBER(SEARCH(", "&amp;$B113&amp;", ",", "&amp;'Thông báo'!$B$7:$B$500&amp;", ")),--('Thông báo'!$AT$7:$AT$500="Block"))+SUMPRODUCT(--ISNUMBER(SEARCH(", "&amp;$B113&amp;", ",", "&amp;'Đăng tin &amp; Quản lý tin'!$B$7:$B$500&amp;", ")),--('Đăng tin &amp; Quản lý tin'!$AT$7:$AT$500="Block"))+SUMPRODUCT(--ISNUMBER(SEARCH(", "&amp;$B113&amp;", ",", "&amp;'Trust &amp; Safety'!$B$7:$B$500&amp;", ")),--('Trust &amp; Safety'!$AT$7:$AT$500="Block"))+SUMPRODUCT(--ISNUMBER(SEARCH(", "&amp;$B113&amp;", ",", "&amp;'Tài khoản &amp; Hồ sơ'!$B$7:$B$500&amp;", ")),--('Tài khoản &amp; Hồ sơ'!$AT$7:$AT$500="Block"))</f>
        <v/>
      </c>
      <c r="J113" s="53">
        <f>SUMPRODUCT(--ISNUMBER(SEARCH(", "&amp;$B113&amp;", ",", "&amp;'Hoạt động (Đơn của tôi)'!$B$7:$B$500&amp;", ")),--('Hoạt động (Đơn của tôi)'!$AT$7:$AT$500="N/A"))+SUMPRODUCT(--ISNUMBER(SEARCH(", "&amp;$B113&amp;", ",", "&amp;'Ghép nối'!$B$7:$B$500&amp;", ")),--('Ghép nối'!$AT$7:$AT$500="N/A"))+SUMPRODUCT(--ISNUMBER(SEARCH(", "&amp;$B113&amp;", ",", "&amp;'Huỷ đơn - Huỷ nhận đơn'!$B$7:$B$500&amp;", ")),--('Huỷ đơn - Huỷ nhận đơn'!$AT$7:$AT$500="N/A"))+SUMPRODUCT(--ISNUMBER(SEARCH(", "&amp;$B113&amp;", ",", "&amp;'Giao nhận &amp; Theo dõi đơn'!$B$7:$B$500&amp;", ")),--('Giao nhận &amp; Theo dõi đơn'!$AT$7:$AT$500="N/A"))+SUMPRODUCT(--ISNUMBER(SEARCH(", "&amp;$B113&amp;", ",", "&amp;'Bảng tin &amp; Chi tiết tin'!$B$7:$B$500&amp;", ")),--('Bảng tin &amp; Chi tiết tin'!$AT$7:$AT$500="N/A"))+SUMPRODUCT(--ISNUMBER(SEARCH(", "&amp;$B113&amp;", ",", "&amp;'Quà cảm ơn'!$B$7:$B$500&amp;", ")),--('Quà cảm ơn'!$AT$7:$AT$500="N/A"))+SUMPRODUCT(--ISNUMBER(SEARCH(", "&amp;$B113&amp;", ",", "&amp;'Trang chủ'!$B$7:$B$500&amp;", ")),--('Trang chủ'!$AT$7:$AT$500="N/A"))+SUMPRODUCT(--ISNUMBER(SEARCH(", "&amp;$B113&amp;", ",", "&amp;'Thông báo'!$B$7:$B$500&amp;", ")),--('Thông báo'!$AT$7:$AT$500="N/A"))+SUMPRODUCT(--ISNUMBER(SEARCH(", "&amp;$B113&amp;", ",", "&amp;'Đăng tin &amp; Quản lý tin'!$B$7:$B$500&amp;", ")),--('Đăng tin &amp; Quản lý tin'!$AT$7:$AT$500="N/A"))+SUMPRODUCT(--ISNUMBER(SEARCH(", "&amp;$B113&amp;", ",", "&amp;'Trust &amp; Safety'!$B$7:$B$500&amp;", ")),--('Trust &amp; Safety'!$AT$7:$AT$500="N/A"))+SUMPRODUCT(--ISNUMBER(SEARCH(", "&amp;$B113&amp;", ",", "&amp;'Tài khoản &amp; Hồ sơ'!$B$7:$B$500&amp;", ")),--('Tài khoản &amp; Hồ sơ'!$AT$7:$AT$500="N/A"))</f>
        <v/>
      </c>
      <c r="K113" s="54">
        <f>IFERROR(F113/E113,0)</f>
        <v/>
      </c>
      <c r="L113" s="113">
        <f>IF(E113=0,"Chưa có TC (gap)",IF(H113&gt;0,"Có lỗi (Fail)",IF(I113&gt;0,"Bị block",IF(F113&lt;E113,"Đang test",IF(G113=0,"Không áp dụng (N/A)","Đã test xong")))))</f>
        <v/>
      </c>
      <c r="AB113" t="inlineStr">
        <is>
          <t>REQ-ORD</t>
        </is>
      </c>
    </row>
    <row r="114" ht="15.75" customHeight="1" s="216">
      <c r="A114" s="1" t="n"/>
      <c r="B114" s="112" t="inlineStr">
        <is>
          <t>REQ-ORD-023</t>
        </is>
      </c>
      <c r="C114" s="261" t="inlineStr">
        <is>
          <t>Nguồn #1 — BR01-06 (§8.1.1, trang 34): "Người nhận uỷ quyền là không bắt buộc; nếu có thì tên 2–60 ký tự, số điện thoại đúng định dạng Việt Nam khi được nhập.</t>
        </is>
      </c>
      <c r="D114" s="113" t="inlineStr">
        <is>
          <t>DOC-v1.1-01 §8.1.1 BR01-06 · trang 34</t>
        </is>
      </c>
      <c r="E114" s="53">
        <f>SUMPRODUCT(--ISNUMBER(SEARCH(", "&amp;$B114&amp;", ",", "&amp;'Hoạt động (Đơn của tôi)'!$B$7:$B$500&amp;", ")))+SUMPRODUCT(--ISNUMBER(SEARCH(", "&amp;$B114&amp;", ",", "&amp;'Ghép nối'!$B$7:$B$500&amp;", ")))+SUMPRODUCT(--ISNUMBER(SEARCH(", "&amp;$B114&amp;", ",", "&amp;'Huỷ đơn - Huỷ nhận đơn'!$B$7:$B$500&amp;", ")))+SUMPRODUCT(--ISNUMBER(SEARCH(", "&amp;$B114&amp;", ",", "&amp;'Giao nhận &amp; Theo dõi đơn'!$B$7:$B$500&amp;", ")))+SUMPRODUCT(--ISNUMBER(SEARCH(", "&amp;$B114&amp;", ",", "&amp;'Bảng tin &amp; Chi tiết tin'!$B$7:$B$500&amp;", ")))+SUMPRODUCT(--ISNUMBER(SEARCH(", "&amp;$B114&amp;", ",", "&amp;'Quà cảm ơn'!$B$7:$B$500&amp;", ")))+SUMPRODUCT(--ISNUMBER(SEARCH(", "&amp;$B114&amp;", ",", "&amp;'Trang chủ'!$B$7:$B$500&amp;", ")))+SUMPRODUCT(--ISNUMBER(SEARCH(", "&amp;$B114&amp;", ",", "&amp;'Thông báo'!$B$7:$B$500&amp;", ")))+SUMPRODUCT(--ISNUMBER(SEARCH(", "&amp;$B114&amp;", ",", "&amp;'Đăng tin &amp; Quản lý tin'!$B$7:$B$500&amp;", ")))+SUMPRODUCT(--ISNUMBER(SEARCH(", "&amp;$B114&amp;", ",", "&amp;'Trust &amp; Safety'!$B$7:$B$500&amp;", ")))+SUMPRODUCT(--ISNUMBER(SEARCH(", "&amp;$B114&amp;", ",", "&amp;'Tài khoản &amp; Hồ sơ'!$B$7:$B$500&amp;", ")))</f>
        <v/>
      </c>
      <c r="F114" s="53">
        <f>SUMPRODUCT(--ISNUMBER(SEARCH(", "&amp;$B114&amp;", ",", "&amp;'Hoạt động (Đơn của tôi)'!$B$7:$B$500&amp;", ")),--('Hoạt động (Đơn của tôi)'!$AT$7:$AT$500&lt;&gt;""))+SUMPRODUCT(--ISNUMBER(SEARCH(", "&amp;$B114&amp;", ",", "&amp;'Ghép nối'!$B$7:$B$500&amp;", ")),--('Ghép nối'!$AT$7:$AT$500&lt;&gt;""))+SUMPRODUCT(--ISNUMBER(SEARCH(", "&amp;$B114&amp;", ",", "&amp;'Huỷ đơn - Huỷ nhận đơn'!$B$7:$B$500&amp;", ")),--('Huỷ đơn - Huỷ nhận đơn'!$AT$7:$AT$500&lt;&gt;""))+SUMPRODUCT(--ISNUMBER(SEARCH(", "&amp;$B114&amp;", ",", "&amp;'Giao nhận &amp; Theo dõi đơn'!$B$7:$B$500&amp;", ")),--('Giao nhận &amp; Theo dõi đơn'!$AT$7:$AT$500&lt;&gt;""))+SUMPRODUCT(--ISNUMBER(SEARCH(", "&amp;$B114&amp;", ",", "&amp;'Bảng tin &amp; Chi tiết tin'!$B$7:$B$500&amp;", ")),--('Bảng tin &amp; Chi tiết tin'!$AT$7:$AT$500&lt;&gt;""))+SUMPRODUCT(--ISNUMBER(SEARCH(", "&amp;$B114&amp;", ",", "&amp;'Quà cảm ơn'!$B$7:$B$500&amp;", ")),--('Quà cảm ơn'!$AT$7:$AT$500&lt;&gt;""))+SUMPRODUCT(--ISNUMBER(SEARCH(", "&amp;$B114&amp;", ",", "&amp;'Trang chủ'!$B$7:$B$500&amp;", ")),--('Trang chủ'!$AT$7:$AT$500&lt;&gt;""))+SUMPRODUCT(--ISNUMBER(SEARCH(", "&amp;$B114&amp;", ",", "&amp;'Thông báo'!$B$7:$B$500&amp;", ")),--('Thông báo'!$AT$7:$AT$500&lt;&gt;""))+SUMPRODUCT(--ISNUMBER(SEARCH(", "&amp;$B114&amp;", ",", "&amp;'Đăng tin &amp; Quản lý tin'!$B$7:$B$500&amp;", ")),--('Đăng tin &amp; Quản lý tin'!$AT$7:$AT$500&lt;&gt;""))+SUMPRODUCT(--ISNUMBER(SEARCH(", "&amp;$B114&amp;", ",", "&amp;'Trust &amp; Safety'!$B$7:$B$500&amp;", ")),--('Trust &amp; Safety'!$AT$7:$AT$500&lt;&gt;""))+SUMPRODUCT(--ISNUMBER(SEARCH(", "&amp;$B114&amp;", ",", "&amp;'Tài khoản &amp; Hồ sơ'!$B$7:$B$500&amp;", ")),--('Tài khoản &amp; Hồ sơ'!$AT$7:$AT$500&lt;&gt;""))</f>
        <v/>
      </c>
      <c r="G114" s="53">
        <f>SUMPRODUCT(--ISNUMBER(SEARCH(", "&amp;$B114&amp;", ",", "&amp;'Hoạt động (Đơn của tôi)'!$B$7:$B$500&amp;", ")),--('Hoạt động (Đơn của tôi)'!$AT$7:$AT$500="Pass"))+SUMPRODUCT(--ISNUMBER(SEARCH(", "&amp;$B114&amp;", ",", "&amp;'Ghép nối'!$B$7:$B$500&amp;", ")),--('Ghép nối'!$AT$7:$AT$500="Pass"))+SUMPRODUCT(--ISNUMBER(SEARCH(", "&amp;$B114&amp;", ",", "&amp;'Huỷ đơn - Huỷ nhận đơn'!$B$7:$B$500&amp;", ")),--('Huỷ đơn - Huỷ nhận đơn'!$AT$7:$AT$500="Pass"))+SUMPRODUCT(--ISNUMBER(SEARCH(", "&amp;$B114&amp;", ",", "&amp;'Giao nhận &amp; Theo dõi đơn'!$B$7:$B$500&amp;", ")),--('Giao nhận &amp; Theo dõi đơn'!$AT$7:$AT$500="Pass"))+SUMPRODUCT(--ISNUMBER(SEARCH(", "&amp;$B114&amp;", ",", "&amp;'Bảng tin &amp; Chi tiết tin'!$B$7:$B$500&amp;", ")),--('Bảng tin &amp; Chi tiết tin'!$AT$7:$AT$500="Pass"))+SUMPRODUCT(--ISNUMBER(SEARCH(", "&amp;$B114&amp;", ",", "&amp;'Quà cảm ơn'!$B$7:$B$500&amp;", ")),--('Quà cảm ơn'!$AT$7:$AT$500="Pass"))+SUMPRODUCT(--ISNUMBER(SEARCH(", "&amp;$B114&amp;", ",", "&amp;'Trang chủ'!$B$7:$B$500&amp;", ")),--('Trang chủ'!$AT$7:$AT$500="Pass"))+SUMPRODUCT(--ISNUMBER(SEARCH(", "&amp;$B114&amp;", ",", "&amp;'Thông báo'!$B$7:$B$500&amp;", ")),--('Thông báo'!$AT$7:$AT$500="Pass"))+SUMPRODUCT(--ISNUMBER(SEARCH(", "&amp;$B114&amp;", ",", "&amp;'Đăng tin &amp; Quản lý tin'!$B$7:$B$500&amp;", ")),--('Đăng tin &amp; Quản lý tin'!$AT$7:$AT$500="Pass"))+SUMPRODUCT(--ISNUMBER(SEARCH(", "&amp;$B114&amp;", ",", "&amp;'Trust &amp; Safety'!$B$7:$B$500&amp;", ")),--('Trust &amp; Safety'!$AT$7:$AT$500="Pass"))+SUMPRODUCT(--ISNUMBER(SEARCH(", "&amp;$B114&amp;", ",", "&amp;'Tài khoản &amp; Hồ sơ'!$B$7:$B$500&amp;", ")),--('Tài khoản &amp; Hồ sơ'!$AT$7:$AT$500="Pass"))</f>
        <v/>
      </c>
      <c r="H114" s="53">
        <f>SUMPRODUCT(--ISNUMBER(SEARCH(", "&amp;$B114&amp;", ",", "&amp;'Hoạt động (Đơn của tôi)'!$B$7:$B$500&amp;", ")),--('Hoạt động (Đơn của tôi)'!$AT$7:$AT$500="Fail"))+SUMPRODUCT(--ISNUMBER(SEARCH(", "&amp;$B114&amp;", ",", "&amp;'Ghép nối'!$B$7:$B$500&amp;", ")),--('Ghép nối'!$AT$7:$AT$500="Fail"))+SUMPRODUCT(--ISNUMBER(SEARCH(", "&amp;$B114&amp;", ",", "&amp;'Huỷ đơn - Huỷ nhận đơn'!$B$7:$B$500&amp;", ")),--('Huỷ đơn - Huỷ nhận đơn'!$AT$7:$AT$500="Fail"))+SUMPRODUCT(--ISNUMBER(SEARCH(", "&amp;$B114&amp;", ",", "&amp;'Giao nhận &amp; Theo dõi đơn'!$B$7:$B$500&amp;", ")),--('Giao nhận &amp; Theo dõi đơn'!$AT$7:$AT$500="Fail"))+SUMPRODUCT(--ISNUMBER(SEARCH(", "&amp;$B114&amp;", ",", "&amp;'Bảng tin &amp; Chi tiết tin'!$B$7:$B$500&amp;", ")),--('Bảng tin &amp; Chi tiết tin'!$AT$7:$AT$500="Fail"))+SUMPRODUCT(--ISNUMBER(SEARCH(", "&amp;$B114&amp;", ",", "&amp;'Quà cảm ơn'!$B$7:$B$500&amp;", ")),--('Quà cảm ơn'!$AT$7:$AT$500="Fail"))+SUMPRODUCT(--ISNUMBER(SEARCH(", "&amp;$B114&amp;", ",", "&amp;'Trang chủ'!$B$7:$B$500&amp;", ")),--('Trang chủ'!$AT$7:$AT$500="Fail"))+SUMPRODUCT(--ISNUMBER(SEARCH(", "&amp;$B114&amp;", ",", "&amp;'Thông báo'!$B$7:$B$500&amp;", ")),--('Thông báo'!$AT$7:$AT$500="Fail"))+SUMPRODUCT(--ISNUMBER(SEARCH(", "&amp;$B114&amp;", ",", "&amp;'Đăng tin &amp; Quản lý tin'!$B$7:$B$500&amp;", ")),--('Đăng tin &amp; Quản lý tin'!$AT$7:$AT$500="Fail"))+SUMPRODUCT(--ISNUMBER(SEARCH(", "&amp;$B114&amp;", ",", "&amp;'Trust &amp; Safety'!$B$7:$B$500&amp;", ")),--('Trust &amp; Safety'!$AT$7:$AT$500="Fail"))+SUMPRODUCT(--ISNUMBER(SEARCH(", "&amp;$B114&amp;", ",", "&amp;'Tài khoản &amp; Hồ sơ'!$B$7:$B$500&amp;", ")),--('Tài khoản &amp; Hồ sơ'!$AT$7:$AT$500="Fail"))</f>
        <v/>
      </c>
      <c r="I114" s="53">
        <f>SUMPRODUCT(--ISNUMBER(SEARCH(", "&amp;$B114&amp;", ",", "&amp;'Hoạt động (Đơn của tôi)'!$B$7:$B$500&amp;", ")),--('Hoạt động (Đơn của tôi)'!$AT$7:$AT$500="Block"))+SUMPRODUCT(--ISNUMBER(SEARCH(", "&amp;$B114&amp;", ",", "&amp;'Ghép nối'!$B$7:$B$500&amp;", ")),--('Ghép nối'!$AT$7:$AT$500="Block"))+SUMPRODUCT(--ISNUMBER(SEARCH(", "&amp;$B114&amp;", ",", "&amp;'Huỷ đơn - Huỷ nhận đơn'!$B$7:$B$500&amp;", ")),--('Huỷ đơn - Huỷ nhận đơn'!$AT$7:$AT$500="Block"))+SUMPRODUCT(--ISNUMBER(SEARCH(", "&amp;$B114&amp;", ",", "&amp;'Giao nhận &amp; Theo dõi đơn'!$B$7:$B$500&amp;", ")),--('Giao nhận &amp; Theo dõi đơn'!$AT$7:$AT$500="Block"))+SUMPRODUCT(--ISNUMBER(SEARCH(", "&amp;$B114&amp;", ",", "&amp;'Bảng tin &amp; Chi tiết tin'!$B$7:$B$500&amp;", ")),--('Bảng tin &amp; Chi tiết tin'!$AT$7:$AT$500="Block"))+SUMPRODUCT(--ISNUMBER(SEARCH(", "&amp;$B114&amp;", ",", "&amp;'Quà cảm ơn'!$B$7:$B$500&amp;", ")),--('Quà cảm ơn'!$AT$7:$AT$500="Block"))+SUMPRODUCT(--ISNUMBER(SEARCH(", "&amp;$B114&amp;", ",", "&amp;'Trang chủ'!$B$7:$B$500&amp;", ")),--('Trang chủ'!$AT$7:$AT$500="Block"))+SUMPRODUCT(--ISNUMBER(SEARCH(", "&amp;$B114&amp;", ",", "&amp;'Thông báo'!$B$7:$B$500&amp;", ")),--('Thông báo'!$AT$7:$AT$500="Block"))+SUMPRODUCT(--ISNUMBER(SEARCH(", "&amp;$B114&amp;", ",", "&amp;'Đăng tin &amp; Quản lý tin'!$B$7:$B$500&amp;", ")),--('Đăng tin &amp; Quản lý tin'!$AT$7:$AT$500="Block"))+SUMPRODUCT(--ISNUMBER(SEARCH(", "&amp;$B114&amp;", ",", "&amp;'Trust &amp; Safety'!$B$7:$B$500&amp;", ")),--('Trust &amp; Safety'!$AT$7:$AT$500="Block"))+SUMPRODUCT(--ISNUMBER(SEARCH(", "&amp;$B114&amp;", ",", "&amp;'Tài khoản &amp; Hồ sơ'!$B$7:$B$500&amp;", ")),--('Tài khoản &amp; Hồ sơ'!$AT$7:$AT$500="Block"))</f>
        <v/>
      </c>
      <c r="J114" s="53">
        <f>SUMPRODUCT(--ISNUMBER(SEARCH(", "&amp;$B114&amp;", ",", "&amp;'Hoạt động (Đơn của tôi)'!$B$7:$B$500&amp;", ")),--('Hoạt động (Đơn của tôi)'!$AT$7:$AT$500="N/A"))+SUMPRODUCT(--ISNUMBER(SEARCH(", "&amp;$B114&amp;", ",", "&amp;'Ghép nối'!$B$7:$B$500&amp;", ")),--('Ghép nối'!$AT$7:$AT$500="N/A"))+SUMPRODUCT(--ISNUMBER(SEARCH(", "&amp;$B114&amp;", ",", "&amp;'Huỷ đơn - Huỷ nhận đơn'!$B$7:$B$500&amp;", ")),--('Huỷ đơn - Huỷ nhận đơn'!$AT$7:$AT$500="N/A"))+SUMPRODUCT(--ISNUMBER(SEARCH(", "&amp;$B114&amp;", ",", "&amp;'Giao nhận &amp; Theo dõi đơn'!$B$7:$B$500&amp;", ")),--('Giao nhận &amp; Theo dõi đơn'!$AT$7:$AT$500="N/A"))+SUMPRODUCT(--ISNUMBER(SEARCH(", "&amp;$B114&amp;", ",", "&amp;'Bảng tin &amp; Chi tiết tin'!$B$7:$B$500&amp;", ")),--('Bảng tin &amp; Chi tiết tin'!$AT$7:$AT$500="N/A"))+SUMPRODUCT(--ISNUMBER(SEARCH(", "&amp;$B114&amp;", ",", "&amp;'Quà cảm ơn'!$B$7:$B$500&amp;", ")),--('Quà cảm ơn'!$AT$7:$AT$500="N/A"))+SUMPRODUCT(--ISNUMBER(SEARCH(", "&amp;$B114&amp;", ",", "&amp;'Trang chủ'!$B$7:$B$500&amp;", ")),--('Trang chủ'!$AT$7:$AT$500="N/A"))+SUMPRODUCT(--ISNUMBER(SEARCH(", "&amp;$B114&amp;", ",", "&amp;'Thông báo'!$B$7:$B$500&amp;", ")),--('Thông báo'!$AT$7:$AT$500="N/A"))+SUMPRODUCT(--ISNUMBER(SEARCH(", "&amp;$B114&amp;", ",", "&amp;'Đăng tin &amp; Quản lý tin'!$B$7:$B$500&amp;", ")),--('Đăng tin &amp; Quản lý tin'!$AT$7:$AT$500="N/A"))+SUMPRODUCT(--ISNUMBER(SEARCH(", "&amp;$B114&amp;", ",", "&amp;'Trust &amp; Safety'!$B$7:$B$500&amp;", ")),--('Trust &amp; Safety'!$AT$7:$AT$500="N/A"))+SUMPRODUCT(--ISNUMBER(SEARCH(", "&amp;$B114&amp;", ",", "&amp;'Tài khoản &amp; Hồ sơ'!$B$7:$B$500&amp;", ")),--('Tài khoản &amp; Hồ sơ'!$AT$7:$AT$500="N/A"))</f>
        <v/>
      </c>
      <c r="K114" s="54">
        <f>IFERROR(F114/E114,0)</f>
        <v/>
      </c>
      <c r="L114" s="113">
        <f>IF(E114=0,"Chưa có TC (gap)",IF(H114&gt;0,"Có lỗi (Fail)",IF(I114&gt;0,"Bị block",IF(F114&lt;E114,"Đang test",IF(G114=0,"Không áp dụng (N/A)","Đã test xong")))))</f>
        <v/>
      </c>
      <c r="AB114" t="inlineStr">
        <is>
          <t>REQ-ORD</t>
        </is>
      </c>
    </row>
    <row r="115" ht="15.75" customHeight="1" s="216">
      <c r="A115" s="1" t="n"/>
      <c r="B115" s="112" t="inlineStr">
        <is>
          <t>REQ-ORD-028</t>
        </is>
      </c>
      <c r="C115" s="261" t="inlineStr">
        <is>
          <t>Địa chỉ giao hàng | Có | Văn bản · tự điền từ danh bạ | Không để trống; phải khác địa chỉ lấy hàng</t>
        </is>
      </c>
      <c r="D115" s="113" t="inlineStr">
        <is>
          <t>DOC-v1.1-01 §8.1.4 UI/Field Spec, dòng "Địa chỉ giao hàng" · trang 35</t>
        </is>
      </c>
      <c r="E115" s="53">
        <f>SUMPRODUCT(--ISNUMBER(SEARCH(", "&amp;$B115&amp;", ",", "&amp;'Hoạt động (Đơn của tôi)'!$B$7:$B$500&amp;", ")))+SUMPRODUCT(--ISNUMBER(SEARCH(", "&amp;$B115&amp;", ",", "&amp;'Ghép nối'!$B$7:$B$500&amp;", ")))+SUMPRODUCT(--ISNUMBER(SEARCH(", "&amp;$B115&amp;", ",", "&amp;'Huỷ đơn - Huỷ nhận đơn'!$B$7:$B$500&amp;", ")))+SUMPRODUCT(--ISNUMBER(SEARCH(", "&amp;$B115&amp;", ",", "&amp;'Giao nhận &amp; Theo dõi đơn'!$B$7:$B$500&amp;", ")))+SUMPRODUCT(--ISNUMBER(SEARCH(", "&amp;$B115&amp;", ",", "&amp;'Bảng tin &amp; Chi tiết tin'!$B$7:$B$500&amp;", ")))+SUMPRODUCT(--ISNUMBER(SEARCH(", "&amp;$B115&amp;", ",", "&amp;'Quà cảm ơn'!$B$7:$B$500&amp;", ")))+SUMPRODUCT(--ISNUMBER(SEARCH(", "&amp;$B115&amp;", ",", "&amp;'Trang chủ'!$B$7:$B$500&amp;", ")))+SUMPRODUCT(--ISNUMBER(SEARCH(", "&amp;$B115&amp;", ",", "&amp;'Thông báo'!$B$7:$B$500&amp;", ")))+SUMPRODUCT(--ISNUMBER(SEARCH(", "&amp;$B115&amp;", ",", "&amp;'Đăng tin &amp; Quản lý tin'!$B$7:$B$500&amp;", ")))+SUMPRODUCT(--ISNUMBER(SEARCH(", "&amp;$B115&amp;", ",", "&amp;'Trust &amp; Safety'!$B$7:$B$500&amp;", ")))+SUMPRODUCT(--ISNUMBER(SEARCH(", "&amp;$B115&amp;", ",", "&amp;'Tài khoản &amp; Hồ sơ'!$B$7:$B$500&amp;", ")))</f>
        <v/>
      </c>
      <c r="F115" s="53">
        <f>SUMPRODUCT(--ISNUMBER(SEARCH(", "&amp;$B115&amp;", ",", "&amp;'Hoạt động (Đơn của tôi)'!$B$7:$B$500&amp;", ")),--('Hoạt động (Đơn của tôi)'!$AT$7:$AT$500&lt;&gt;""))+SUMPRODUCT(--ISNUMBER(SEARCH(", "&amp;$B115&amp;", ",", "&amp;'Ghép nối'!$B$7:$B$500&amp;", ")),--('Ghép nối'!$AT$7:$AT$500&lt;&gt;""))+SUMPRODUCT(--ISNUMBER(SEARCH(", "&amp;$B115&amp;", ",", "&amp;'Huỷ đơn - Huỷ nhận đơn'!$B$7:$B$500&amp;", ")),--('Huỷ đơn - Huỷ nhận đơn'!$AT$7:$AT$500&lt;&gt;""))+SUMPRODUCT(--ISNUMBER(SEARCH(", "&amp;$B115&amp;", ",", "&amp;'Giao nhận &amp; Theo dõi đơn'!$B$7:$B$500&amp;", ")),--('Giao nhận &amp; Theo dõi đơn'!$AT$7:$AT$500&lt;&gt;""))+SUMPRODUCT(--ISNUMBER(SEARCH(", "&amp;$B115&amp;", ",", "&amp;'Bảng tin &amp; Chi tiết tin'!$B$7:$B$500&amp;", ")),--('Bảng tin &amp; Chi tiết tin'!$AT$7:$AT$500&lt;&gt;""))+SUMPRODUCT(--ISNUMBER(SEARCH(", "&amp;$B115&amp;", ",", "&amp;'Quà cảm ơn'!$B$7:$B$500&amp;", ")),--('Quà cảm ơn'!$AT$7:$AT$500&lt;&gt;""))+SUMPRODUCT(--ISNUMBER(SEARCH(", "&amp;$B115&amp;", ",", "&amp;'Trang chủ'!$B$7:$B$500&amp;", ")),--('Trang chủ'!$AT$7:$AT$500&lt;&gt;""))+SUMPRODUCT(--ISNUMBER(SEARCH(", "&amp;$B115&amp;", ",", "&amp;'Thông báo'!$B$7:$B$500&amp;", ")),--('Thông báo'!$AT$7:$AT$500&lt;&gt;""))+SUMPRODUCT(--ISNUMBER(SEARCH(", "&amp;$B115&amp;", ",", "&amp;'Đăng tin &amp; Quản lý tin'!$B$7:$B$500&amp;", ")),--('Đăng tin &amp; Quản lý tin'!$AT$7:$AT$500&lt;&gt;""))+SUMPRODUCT(--ISNUMBER(SEARCH(", "&amp;$B115&amp;", ",", "&amp;'Trust &amp; Safety'!$B$7:$B$500&amp;", ")),--('Trust &amp; Safety'!$AT$7:$AT$500&lt;&gt;""))+SUMPRODUCT(--ISNUMBER(SEARCH(", "&amp;$B115&amp;", ",", "&amp;'Tài khoản &amp; Hồ sơ'!$B$7:$B$500&amp;", ")),--('Tài khoản &amp; Hồ sơ'!$AT$7:$AT$500&lt;&gt;""))</f>
        <v/>
      </c>
      <c r="G115" s="53">
        <f>SUMPRODUCT(--ISNUMBER(SEARCH(", "&amp;$B115&amp;", ",", "&amp;'Hoạt động (Đơn của tôi)'!$B$7:$B$500&amp;", ")),--('Hoạt động (Đơn của tôi)'!$AT$7:$AT$500="Pass"))+SUMPRODUCT(--ISNUMBER(SEARCH(", "&amp;$B115&amp;", ",", "&amp;'Ghép nối'!$B$7:$B$500&amp;", ")),--('Ghép nối'!$AT$7:$AT$500="Pass"))+SUMPRODUCT(--ISNUMBER(SEARCH(", "&amp;$B115&amp;", ",", "&amp;'Huỷ đơn - Huỷ nhận đơn'!$B$7:$B$500&amp;", ")),--('Huỷ đơn - Huỷ nhận đơn'!$AT$7:$AT$500="Pass"))+SUMPRODUCT(--ISNUMBER(SEARCH(", "&amp;$B115&amp;", ",", "&amp;'Giao nhận &amp; Theo dõi đơn'!$B$7:$B$500&amp;", ")),--('Giao nhận &amp; Theo dõi đơn'!$AT$7:$AT$500="Pass"))+SUMPRODUCT(--ISNUMBER(SEARCH(", "&amp;$B115&amp;", ",", "&amp;'Bảng tin &amp; Chi tiết tin'!$B$7:$B$500&amp;", ")),--('Bảng tin &amp; Chi tiết tin'!$AT$7:$AT$500="Pass"))+SUMPRODUCT(--ISNUMBER(SEARCH(", "&amp;$B115&amp;", ",", "&amp;'Quà cảm ơn'!$B$7:$B$500&amp;", ")),--('Quà cảm ơn'!$AT$7:$AT$500="Pass"))+SUMPRODUCT(--ISNUMBER(SEARCH(", "&amp;$B115&amp;", ",", "&amp;'Trang chủ'!$B$7:$B$500&amp;", ")),--('Trang chủ'!$AT$7:$AT$500="Pass"))+SUMPRODUCT(--ISNUMBER(SEARCH(", "&amp;$B115&amp;", ",", "&amp;'Thông báo'!$B$7:$B$500&amp;", ")),--('Thông báo'!$AT$7:$AT$500="Pass"))+SUMPRODUCT(--ISNUMBER(SEARCH(", "&amp;$B115&amp;", ",", "&amp;'Đăng tin &amp; Quản lý tin'!$B$7:$B$500&amp;", ")),--('Đăng tin &amp; Quản lý tin'!$AT$7:$AT$500="Pass"))+SUMPRODUCT(--ISNUMBER(SEARCH(", "&amp;$B115&amp;", ",", "&amp;'Trust &amp; Safety'!$B$7:$B$500&amp;", ")),--('Trust &amp; Safety'!$AT$7:$AT$500="Pass"))+SUMPRODUCT(--ISNUMBER(SEARCH(", "&amp;$B115&amp;", ",", "&amp;'Tài khoản &amp; Hồ sơ'!$B$7:$B$500&amp;", ")),--('Tài khoản &amp; Hồ sơ'!$AT$7:$AT$500="Pass"))</f>
        <v/>
      </c>
      <c r="H115" s="53">
        <f>SUMPRODUCT(--ISNUMBER(SEARCH(", "&amp;$B115&amp;", ",", "&amp;'Hoạt động (Đơn của tôi)'!$B$7:$B$500&amp;", ")),--('Hoạt động (Đơn của tôi)'!$AT$7:$AT$500="Fail"))+SUMPRODUCT(--ISNUMBER(SEARCH(", "&amp;$B115&amp;", ",", "&amp;'Ghép nối'!$B$7:$B$500&amp;", ")),--('Ghép nối'!$AT$7:$AT$500="Fail"))+SUMPRODUCT(--ISNUMBER(SEARCH(", "&amp;$B115&amp;", ",", "&amp;'Huỷ đơn - Huỷ nhận đơn'!$B$7:$B$500&amp;", ")),--('Huỷ đơn - Huỷ nhận đơn'!$AT$7:$AT$500="Fail"))+SUMPRODUCT(--ISNUMBER(SEARCH(", "&amp;$B115&amp;", ",", "&amp;'Giao nhận &amp; Theo dõi đơn'!$B$7:$B$500&amp;", ")),--('Giao nhận &amp; Theo dõi đơn'!$AT$7:$AT$500="Fail"))+SUMPRODUCT(--ISNUMBER(SEARCH(", "&amp;$B115&amp;", ",", "&amp;'Bảng tin &amp; Chi tiết tin'!$B$7:$B$500&amp;", ")),--('Bảng tin &amp; Chi tiết tin'!$AT$7:$AT$500="Fail"))+SUMPRODUCT(--ISNUMBER(SEARCH(", "&amp;$B115&amp;", ",", "&amp;'Quà cảm ơn'!$B$7:$B$500&amp;", ")),--('Quà cảm ơn'!$AT$7:$AT$500="Fail"))+SUMPRODUCT(--ISNUMBER(SEARCH(", "&amp;$B115&amp;", ",", "&amp;'Trang chủ'!$B$7:$B$500&amp;", ")),--('Trang chủ'!$AT$7:$AT$500="Fail"))+SUMPRODUCT(--ISNUMBER(SEARCH(", "&amp;$B115&amp;", ",", "&amp;'Thông báo'!$B$7:$B$500&amp;", ")),--('Thông báo'!$AT$7:$AT$500="Fail"))+SUMPRODUCT(--ISNUMBER(SEARCH(", "&amp;$B115&amp;", ",", "&amp;'Đăng tin &amp; Quản lý tin'!$B$7:$B$500&amp;", ")),--('Đăng tin &amp; Quản lý tin'!$AT$7:$AT$500="Fail"))+SUMPRODUCT(--ISNUMBER(SEARCH(", "&amp;$B115&amp;", ",", "&amp;'Trust &amp; Safety'!$B$7:$B$500&amp;", ")),--('Trust &amp; Safety'!$AT$7:$AT$500="Fail"))+SUMPRODUCT(--ISNUMBER(SEARCH(", "&amp;$B115&amp;", ",", "&amp;'Tài khoản &amp; Hồ sơ'!$B$7:$B$500&amp;", ")),--('Tài khoản &amp; Hồ sơ'!$AT$7:$AT$500="Fail"))</f>
        <v/>
      </c>
      <c r="I115" s="53">
        <f>SUMPRODUCT(--ISNUMBER(SEARCH(", "&amp;$B115&amp;", ",", "&amp;'Hoạt động (Đơn của tôi)'!$B$7:$B$500&amp;", ")),--('Hoạt động (Đơn của tôi)'!$AT$7:$AT$500="Block"))+SUMPRODUCT(--ISNUMBER(SEARCH(", "&amp;$B115&amp;", ",", "&amp;'Ghép nối'!$B$7:$B$500&amp;", ")),--('Ghép nối'!$AT$7:$AT$500="Block"))+SUMPRODUCT(--ISNUMBER(SEARCH(", "&amp;$B115&amp;", ",", "&amp;'Huỷ đơn - Huỷ nhận đơn'!$B$7:$B$500&amp;", ")),--('Huỷ đơn - Huỷ nhận đơn'!$AT$7:$AT$500="Block"))+SUMPRODUCT(--ISNUMBER(SEARCH(", "&amp;$B115&amp;", ",", "&amp;'Giao nhận &amp; Theo dõi đơn'!$B$7:$B$500&amp;", ")),--('Giao nhận &amp; Theo dõi đơn'!$AT$7:$AT$500="Block"))+SUMPRODUCT(--ISNUMBER(SEARCH(", "&amp;$B115&amp;", ",", "&amp;'Bảng tin &amp; Chi tiết tin'!$B$7:$B$500&amp;", ")),--('Bảng tin &amp; Chi tiết tin'!$AT$7:$AT$500="Block"))+SUMPRODUCT(--ISNUMBER(SEARCH(", "&amp;$B115&amp;", ",", "&amp;'Quà cảm ơn'!$B$7:$B$500&amp;", ")),--('Quà cảm ơn'!$AT$7:$AT$500="Block"))+SUMPRODUCT(--ISNUMBER(SEARCH(", "&amp;$B115&amp;", ",", "&amp;'Trang chủ'!$B$7:$B$500&amp;", ")),--('Trang chủ'!$AT$7:$AT$500="Block"))+SUMPRODUCT(--ISNUMBER(SEARCH(", "&amp;$B115&amp;", ",", "&amp;'Thông báo'!$B$7:$B$500&amp;", ")),--('Thông báo'!$AT$7:$AT$500="Block"))+SUMPRODUCT(--ISNUMBER(SEARCH(", "&amp;$B115&amp;", ",", "&amp;'Đăng tin &amp; Quản lý tin'!$B$7:$B$500&amp;", ")),--('Đăng tin &amp; Quản lý tin'!$AT$7:$AT$500="Block"))+SUMPRODUCT(--ISNUMBER(SEARCH(", "&amp;$B115&amp;", ",", "&amp;'Trust &amp; Safety'!$B$7:$B$500&amp;", ")),--('Trust &amp; Safety'!$AT$7:$AT$500="Block"))+SUMPRODUCT(--ISNUMBER(SEARCH(", "&amp;$B115&amp;", ",", "&amp;'Tài khoản &amp; Hồ sơ'!$B$7:$B$500&amp;", ")),--('Tài khoản &amp; Hồ sơ'!$AT$7:$AT$500="Block"))</f>
        <v/>
      </c>
      <c r="J115" s="53">
        <f>SUMPRODUCT(--ISNUMBER(SEARCH(", "&amp;$B115&amp;", ",", "&amp;'Hoạt động (Đơn của tôi)'!$B$7:$B$500&amp;", ")),--('Hoạt động (Đơn của tôi)'!$AT$7:$AT$500="N/A"))+SUMPRODUCT(--ISNUMBER(SEARCH(", "&amp;$B115&amp;", ",", "&amp;'Ghép nối'!$B$7:$B$500&amp;", ")),--('Ghép nối'!$AT$7:$AT$500="N/A"))+SUMPRODUCT(--ISNUMBER(SEARCH(", "&amp;$B115&amp;", ",", "&amp;'Huỷ đơn - Huỷ nhận đơn'!$B$7:$B$500&amp;", ")),--('Huỷ đơn - Huỷ nhận đơn'!$AT$7:$AT$500="N/A"))+SUMPRODUCT(--ISNUMBER(SEARCH(", "&amp;$B115&amp;", ",", "&amp;'Giao nhận &amp; Theo dõi đơn'!$B$7:$B$500&amp;", ")),--('Giao nhận &amp; Theo dõi đơn'!$AT$7:$AT$500="N/A"))+SUMPRODUCT(--ISNUMBER(SEARCH(", "&amp;$B115&amp;", ",", "&amp;'Bảng tin &amp; Chi tiết tin'!$B$7:$B$500&amp;", ")),--('Bảng tin &amp; Chi tiết tin'!$AT$7:$AT$500="N/A"))+SUMPRODUCT(--ISNUMBER(SEARCH(", "&amp;$B115&amp;", ",", "&amp;'Quà cảm ơn'!$B$7:$B$500&amp;", ")),--('Quà cảm ơn'!$AT$7:$AT$500="N/A"))+SUMPRODUCT(--ISNUMBER(SEARCH(", "&amp;$B115&amp;", ",", "&amp;'Trang chủ'!$B$7:$B$500&amp;", ")),--('Trang chủ'!$AT$7:$AT$500="N/A"))+SUMPRODUCT(--ISNUMBER(SEARCH(", "&amp;$B115&amp;", ",", "&amp;'Thông báo'!$B$7:$B$500&amp;", ")),--('Thông báo'!$AT$7:$AT$500="N/A"))+SUMPRODUCT(--ISNUMBER(SEARCH(", "&amp;$B115&amp;", ",", "&amp;'Đăng tin &amp; Quản lý tin'!$B$7:$B$500&amp;", ")),--('Đăng tin &amp; Quản lý tin'!$AT$7:$AT$500="N/A"))+SUMPRODUCT(--ISNUMBER(SEARCH(", "&amp;$B115&amp;", ",", "&amp;'Trust &amp; Safety'!$B$7:$B$500&amp;", ")),--('Trust &amp; Safety'!$AT$7:$AT$500="N/A"))+SUMPRODUCT(--ISNUMBER(SEARCH(", "&amp;$B115&amp;", ",", "&amp;'Tài khoản &amp; Hồ sơ'!$B$7:$B$500&amp;", ")),--('Tài khoản &amp; Hồ sơ'!$AT$7:$AT$500="N/A"))</f>
        <v/>
      </c>
      <c r="K115" s="54">
        <f>IFERROR(F115/E115,0)</f>
        <v/>
      </c>
      <c r="L115" s="113">
        <f>IF(E115=0,"Chưa có TC (gap)",IF(H115&gt;0,"Có lỗi (Fail)",IF(I115&gt;0,"Bị block",IF(F115&lt;E115,"Đang test",IF(G115=0,"Không áp dụng (N/A)","Đã test xong")))))</f>
        <v/>
      </c>
      <c r="AB115" t="inlineStr">
        <is>
          <t>REQ-ORD</t>
        </is>
      </c>
    </row>
    <row r="116" ht="15.75" customHeight="1" s="216">
      <c r="A116" s="1" t="n"/>
      <c r="B116" s="112" t="inlineStr">
        <is>
          <t>REQ-ORD-009</t>
        </is>
      </c>
      <c r="C116" s="261" t="inlineStr">
        <is>
          <t>Nguồn (v1.0) — `DOC-v1.0-01 §D8.1 L367-369` + `DOC-v1.0-02 §3.5.2`: 3 trường người nhận (tên · SĐT · địa chỉ giao), chưa nêu ràng buộc liên-trường.</t>
        </is>
      </c>
      <c r="D116" s="113" t="inlineStr">
        <is>
          <t>DOC-v1.1-01 §8.1.4 UI/Field Spec, nhóm người nhận · trang 35</t>
        </is>
      </c>
      <c r="E116" s="53">
        <f>SUMPRODUCT(--ISNUMBER(SEARCH(", "&amp;$B116&amp;", ",", "&amp;'Hoạt động (Đơn của tôi)'!$B$7:$B$500&amp;", ")))+SUMPRODUCT(--ISNUMBER(SEARCH(", "&amp;$B116&amp;", ",", "&amp;'Ghép nối'!$B$7:$B$500&amp;", ")))+SUMPRODUCT(--ISNUMBER(SEARCH(", "&amp;$B116&amp;", ",", "&amp;'Huỷ đơn - Huỷ nhận đơn'!$B$7:$B$500&amp;", ")))+SUMPRODUCT(--ISNUMBER(SEARCH(", "&amp;$B116&amp;", ",", "&amp;'Giao nhận &amp; Theo dõi đơn'!$B$7:$B$500&amp;", ")))+SUMPRODUCT(--ISNUMBER(SEARCH(", "&amp;$B116&amp;", ",", "&amp;'Bảng tin &amp; Chi tiết tin'!$B$7:$B$500&amp;", ")))+SUMPRODUCT(--ISNUMBER(SEARCH(", "&amp;$B116&amp;", ",", "&amp;'Quà cảm ơn'!$B$7:$B$500&amp;", ")))+SUMPRODUCT(--ISNUMBER(SEARCH(", "&amp;$B116&amp;", ",", "&amp;'Trang chủ'!$B$7:$B$500&amp;", ")))+SUMPRODUCT(--ISNUMBER(SEARCH(", "&amp;$B116&amp;", ",", "&amp;'Thông báo'!$B$7:$B$500&amp;", ")))+SUMPRODUCT(--ISNUMBER(SEARCH(", "&amp;$B116&amp;", ",", "&amp;'Đăng tin &amp; Quản lý tin'!$B$7:$B$500&amp;", ")))+SUMPRODUCT(--ISNUMBER(SEARCH(", "&amp;$B116&amp;", ",", "&amp;'Trust &amp; Safety'!$B$7:$B$500&amp;", ")))+SUMPRODUCT(--ISNUMBER(SEARCH(", "&amp;$B116&amp;", ",", "&amp;'Tài khoản &amp; Hồ sơ'!$B$7:$B$500&amp;", ")))</f>
        <v/>
      </c>
      <c r="F116" s="53">
        <f>SUMPRODUCT(--ISNUMBER(SEARCH(", "&amp;$B116&amp;", ",", "&amp;'Hoạt động (Đơn của tôi)'!$B$7:$B$500&amp;", ")),--('Hoạt động (Đơn của tôi)'!$AT$7:$AT$500&lt;&gt;""))+SUMPRODUCT(--ISNUMBER(SEARCH(", "&amp;$B116&amp;", ",", "&amp;'Ghép nối'!$B$7:$B$500&amp;", ")),--('Ghép nối'!$AT$7:$AT$500&lt;&gt;""))+SUMPRODUCT(--ISNUMBER(SEARCH(", "&amp;$B116&amp;", ",", "&amp;'Huỷ đơn - Huỷ nhận đơn'!$B$7:$B$500&amp;", ")),--('Huỷ đơn - Huỷ nhận đơn'!$AT$7:$AT$500&lt;&gt;""))+SUMPRODUCT(--ISNUMBER(SEARCH(", "&amp;$B116&amp;", ",", "&amp;'Giao nhận &amp; Theo dõi đơn'!$B$7:$B$500&amp;", ")),--('Giao nhận &amp; Theo dõi đơn'!$AT$7:$AT$500&lt;&gt;""))+SUMPRODUCT(--ISNUMBER(SEARCH(", "&amp;$B116&amp;", ",", "&amp;'Bảng tin &amp; Chi tiết tin'!$B$7:$B$500&amp;", ")),--('Bảng tin &amp; Chi tiết tin'!$AT$7:$AT$500&lt;&gt;""))+SUMPRODUCT(--ISNUMBER(SEARCH(", "&amp;$B116&amp;", ",", "&amp;'Quà cảm ơn'!$B$7:$B$500&amp;", ")),--('Quà cảm ơn'!$AT$7:$AT$500&lt;&gt;""))+SUMPRODUCT(--ISNUMBER(SEARCH(", "&amp;$B116&amp;", ",", "&amp;'Trang chủ'!$B$7:$B$500&amp;", ")),--('Trang chủ'!$AT$7:$AT$500&lt;&gt;""))+SUMPRODUCT(--ISNUMBER(SEARCH(", "&amp;$B116&amp;", ",", "&amp;'Thông báo'!$B$7:$B$500&amp;", ")),--('Thông báo'!$AT$7:$AT$500&lt;&gt;""))+SUMPRODUCT(--ISNUMBER(SEARCH(", "&amp;$B116&amp;", ",", "&amp;'Đăng tin &amp; Quản lý tin'!$B$7:$B$500&amp;", ")),--('Đăng tin &amp; Quản lý tin'!$AT$7:$AT$500&lt;&gt;""))+SUMPRODUCT(--ISNUMBER(SEARCH(", "&amp;$B116&amp;", ",", "&amp;'Trust &amp; Safety'!$B$7:$B$500&amp;", ")),--('Trust &amp; Safety'!$AT$7:$AT$500&lt;&gt;""))+SUMPRODUCT(--ISNUMBER(SEARCH(", "&amp;$B116&amp;", ",", "&amp;'Tài khoản &amp; Hồ sơ'!$B$7:$B$500&amp;", ")),--('Tài khoản &amp; Hồ sơ'!$AT$7:$AT$500&lt;&gt;""))</f>
        <v/>
      </c>
      <c r="G116" s="53">
        <f>SUMPRODUCT(--ISNUMBER(SEARCH(", "&amp;$B116&amp;", ",", "&amp;'Hoạt động (Đơn của tôi)'!$B$7:$B$500&amp;", ")),--('Hoạt động (Đơn của tôi)'!$AT$7:$AT$500="Pass"))+SUMPRODUCT(--ISNUMBER(SEARCH(", "&amp;$B116&amp;", ",", "&amp;'Ghép nối'!$B$7:$B$500&amp;", ")),--('Ghép nối'!$AT$7:$AT$500="Pass"))+SUMPRODUCT(--ISNUMBER(SEARCH(", "&amp;$B116&amp;", ",", "&amp;'Huỷ đơn - Huỷ nhận đơn'!$B$7:$B$500&amp;", ")),--('Huỷ đơn - Huỷ nhận đơn'!$AT$7:$AT$500="Pass"))+SUMPRODUCT(--ISNUMBER(SEARCH(", "&amp;$B116&amp;", ",", "&amp;'Giao nhận &amp; Theo dõi đơn'!$B$7:$B$500&amp;", ")),--('Giao nhận &amp; Theo dõi đơn'!$AT$7:$AT$500="Pass"))+SUMPRODUCT(--ISNUMBER(SEARCH(", "&amp;$B116&amp;", ",", "&amp;'Bảng tin &amp; Chi tiết tin'!$B$7:$B$500&amp;", ")),--('Bảng tin &amp; Chi tiết tin'!$AT$7:$AT$500="Pass"))+SUMPRODUCT(--ISNUMBER(SEARCH(", "&amp;$B116&amp;", ",", "&amp;'Quà cảm ơn'!$B$7:$B$500&amp;", ")),--('Quà cảm ơn'!$AT$7:$AT$500="Pass"))+SUMPRODUCT(--ISNUMBER(SEARCH(", "&amp;$B116&amp;", ",", "&amp;'Trang chủ'!$B$7:$B$500&amp;", ")),--('Trang chủ'!$AT$7:$AT$500="Pass"))+SUMPRODUCT(--ISNUMBER(SEARCH(", "&amp;$B116&amp;", ",", "&amp;'Thông báo'!$B$7:$B$500&amp;", ")),--('Thông báo'!$AT$7:$AT$500="Pass"))+SUMPRODUCT(--ISNUMBER(SEARCH(", "&amp;$B116&amp;", ",", "&amp;'Đăng tin &amp; Quản lý tin'!$B$7:$B$500&amp;", ")),--('Đăng tin &amp; Quản lý tin'!$AT$7:$AT$500="Pass"))+SUMPRODUCT(--ISNUMBER(SEARCH(", "&amp;$B116&amp;", ",", "&amp;'Trust &amp; Safety'!$B$7:$B$500&amp;", ")),--('Trust &amp; Safety'!$AT$7:$AT$500="Pass"))+SUMPRODUCT(--ISNUMBER(SEARCH(", "&amp;$B116&amp;", ",", "&amp;'Tài khoản &amp; Hồ sơ'!$B$7:$B$500&amp;", ")),--('Tài khoản &amp; Hồ sơ'!$AT$7:$AT$500="Pass"))</f>
        <v/>
      </c>
      <c r="H116" s="53">
        <f>SUMPRODUCT(--ISNUMBER(SEARCH(", "&amp;$B116&amp;", ",", "&amp;'Hoạt động (Đơn của tôi)'!$B$7:$B$500&amp;", ")),--('Hoạt động (Đơn của tôi)'!$AT$7:$AT$500="Fail"))+SUMPRODUCT(--ISNUMBER(SEARCH(", "&amp;$B116&amp;", ",", "&amp;'Ghép nối'!$B$7:$B$500&amp;", ")),--('Ghép nối'!$AT$7:$AT$500="Fail"))+SUMPRODUCT(--ISNUMBER(SEARCH(", "&amp;$B116&amp;", ",", "&amp;'Huỷ đơn - Huỷ nhận đơn'!$B$7:$B$500&amp;", ")),--('Huỷ đơn - Huỷ nhận đơn'!$AT$7:$AT$500="Fail"))+SUMPRODUCT(--ISNUMBER(SEARCH(", "&amp;$B116&amp;", ",", "&amp;'Giao nhận &amp; Theo dõi đơn'!$B$7:$B$500&amp;", ")),--('Giao nhận &amp; Theo dõi đơn'!$AT$7:$AT$500="Fail"))+SUMPRODUCT(--ISNUMBER(SEARCH(", "&amp;$B116&amp;", ",", "&amp;'Bảng tin &amp; Chi tiết tin'!$B$7:$B$500&amp;", ")),--('Bảng tin &amp; Chi tiết tin'!$AT$7:$AT$500="Fail"))+SUMPRODUCT(--ISNUMBER(SEARCH(", "&amp;$B116&amp;", ",", "&amp;'Quà cảm ơn'!$B$7:$B$500&amp;", ")),--('Quà cảm ơn'!$AT$7:$AT$500="Fail"))+SUMPRODUCT(--ISNUMBER(SEARCH(", "&amp;$B116&amp;", ",", "&amp;'Trang chủ'!$B$7:$B$500&amp;", ")),--('Trang chủ'!$AT$7:$AT$500="Fail"))+SUMPRODUCT(--ISNUMBER(SEARCH(", "&amp;$B116&amp;", ",", "&amp;'Thông báo'!$B$7:$B$500&amp;", ")),--('Thông báo'!$AT$7:$AT$500="Fail"))+SUMPRODUCT(--ISNUMBER(SEARCH(", "&amp;$B116&amp;", ",", "&amp;'Đăng tin &amp; Quản lý tin'!$B$7:$B$500&amp;", ")),--('Đăng tin &amp; Quản lý tin'!$AT$7:$AT$500="Fail"))+SUMPRODUCT(--ISNUMBER(SEARCH(", "&amp;$B116&amp;", ",", "&amp;'Trust &amp; Safety'!$B$7:$B$500&amp;", ")),--('Trust &amp; Safety'!$AT$7:$AT$500="Fail"))+SUMPRODUCT(--ISNUMBER(SEARCH(", "&amp;$B116&amp;", ",", "&amp;'Tài khoản &amp; Hồ sơ'!$B$7:$B$500&amp;", ")),--('Tài khoản &amp; Hồ sơ'!$AT$7:$AT$500="Fail"))</f>
        <v/>
      </c>
      <c r="I116" s="53">
        <f>SUMPRODUCT(--ISNUMBER(SEARCH(", "&amp;$B116&amp;", ",", "&amp;'Hoạt động (Đơn của tôi)'!$B$7:$B$500&amp;", ")),--('Hoạt động (Đơn của tôi)'!$AT$7:$AT$500="Block"))+SUMPRODUCT(--ISNUMBER(SEARCH(", "&amp;$B116&amp;", ",", "&amp;'Ghép nối'!$B$7:$B$500&amp;", ")),--('Ghép nối'!$AT$7:$AT$500="Block"))+SUMPRODUCT(--ISNUMBER(SEARCH(", "&amp;$B116&amp;", ",", "&amp;'Huỷ đơn - Huỷ nhận đơn'!$B$7:$B$500&amp;", ")),--('Huỷ đơn - Huỷ nhận đơn'!$AT$7:$AT$500="Block"))+SUMPRODUCT(--ISNUMBER(SEARCH(", "&amp;$B116&amp;", ",", "&amp;'Giao nhận &amp; Theo dõi đơn'!$B$7:$B$500&amp;", ")),--('Giao nhận &amp; Theo dõi đơn'!$AT$7:$AT$500="Block"))+SUMPRODUCT(--ISNUMBER(SEARCH(", "&amp;$B116&amp;", ",", "&amp;'Bảng tin &amp; Chi tiết tin'!$B$7:$B$500&amp;", ")),--('Bảng tin &amp; Chi tiết tin'!$AT$7:$AT$500="Block"))+SUMPRODUCT(--ISNUMBER(SEARCH(", "&amp;$B116&amp;", ",", "&amp;'Quà cảm ơn'!$B$7:$B$500&amp;", ")),--('Quà cảm ơn'!$AT$7:$AT$500="Block"))+SUMPRODUCT(--ISNUMBER(SEARCH(", "&amp;$B116&amp;", ",", "&amp;'Trang chủ'!$B$7:$B$500&amp;", ")),--('Trang chủ'!$AT$7:$AT$500="Block"))+SUMPRODUCT(--ISNUMBER(SEARCH(", "&amp;$B116&amp;", ",", "&amp;'Thông báo'!$B$7:$B$500&amp;", ")),--('Thông báo'!$AT$7:$AT$500="Block"))+SUMPRODUCT(--ISNUMBER(SEARCH(", "&amp;$B116&amp;", ",", "&amp;'Đăng tin &amp; Quản lý tin'!$B$7:$B$500&amp;", ")),--('Đăng tin &amp; Quản lý tin'!$AT$7:$AT$500="Block"))+SUMPRODUCT(--ISNUMBER(SEARCH(", "&amp;$B116&amp;", ",", "&amp;'Trust &amp; Safety'!$B$7:$B$500&amp;", ")),--('Trust &amp; Safety'!$AT$7:$AT$500="Block"))+SUMPRODUCT(--ISNUMBER(SEARCH(", "&amp;$B116&amp;", ",", "&amp;'Tài khoản &amp; Hồ sơ'!$B$7:$B$500&amp;", ")),--('Tài khoản &amp; Hồ sơ'!$AT$7:$AT$500="Block"))</f>
        <v/>
      </c>
      <c r="J116" s="53">
        <f>SUMPRODUCT(--ISNUMBER(SEARCH(", "&amp;$B116&amp;", ",", "&amp;'Hoạt động (Đơn của tôi)'!$B$7:$B$500&amp;", ")),--('Hoạt động (Đơn của tôi)'!$AT$7:$AT$500="N/A"))+SUMPRODUCT(--ISNUMBER(SEARCH(", "&amp;$B116&amp;", ",", "&amp;'Ghép nối'!$B$7:$B$500&amp;", ")),--('Ghép nối'!$AT$7:$AT$500="N/A"))+SUMPRODUCT(--ISNUMBER(SEARCH(", "&amp;$B116&amp;", ",", "&amp;'Huỷ đơn - Huỷ nhận đơn'!$B$7:$B$500&amp;", ")),--('Huỷ đơn - Huỷ nhận đơn'!$AT$7:$AT$500="N/A"))+SUMPRODUCT(--ISNUMBER(SEARCH(", "&amp;$B116&amp;", ",", "&amp;'Giao nhận &amp; Theo dõi đơn'!$B$7:$B$500&amp;", ")),--('Giao nhận &amp; Theo dõi đơn'!$AT$7:$AT$500="N/A"))+SUMPRODUCT(--ISNUMBER(SEARCH(", "&amp;$B116&amp;", ",", "&amp;'Bảng tin &amp; Chi tiết tin'!$B$7:$B$500&amp;", ")),--('Bảng tin &amp; Chi tiết tin'!$AT$7:$AT$500="N/A"))+SUMPRODUCT(--ISNUMBER(SEARCH(", "&amp;$B116&amp;", ",", "&amp;'Quà cảm ơn'!$B$7:$B$500&amp;", ")),--('Quà cảm ơn'!$AT$7:$AT$500="N/A"))+SUMPRODUCT(--ISNUMBER(SEARCH(", "&amp;$B116&amp;", ",", "&amp;'Trang chủ'!$B$7:$B$500&amp;", ")),--('Trang chủ'!$AT$7:$AT$500="N/A"))+SUMPRODUCT(--ISNUMBER(SEARCH(", "&amp;$B116&amp;", ",", "&amp;'Thông báo'!$B$7:$B$500&amp;", ")),--('Thông báo'!$AT$7:$AT$500="N/A"))+SUMPRODUCT(--ISNUMBER(SEARCH(", "&amp;$B116&amp;", ",", "&amp;'Đăng tin &amp; Quản lý tin'!$B$7:$B$500&amp;", ")),--('Đăng tin &amp; Quản lý tin'!$AT$7:$AT$500="N/A"))+SUMPRODUCT(--ISNUMBER(SEARCH(", "&amp;$B116&amp;", ",", "&amp;'Trust &amp; Safety'!$B$7:$B$500&amp;", ")),--('Trust &amp; Safety'!$AT$7:$AT$500="N/A"))+SUMPRODUCT(--ISNUMBER(SEARCH(", "&amp;$B116&amp;", ",", "&amp;'Tài khoản &amp; Hồ sơ'!$B$7:$B$500&amp;", ")),--('Tài khoản &amp; Hồ sơ'!$AT$7:$AT$500="N/A"))</f>
        <v/>
      </c>
      <c r="K116" s="54">
        <f>IFERROR(F116/E116,0)</f>
        <v/>
      </c>
      <c r="L116" s="113">
        <f>IF(E116=0,"Chưa có TC (gap)",IF(H116&gt;0,"Có lỗi (Fail)",IF(I116&gt;0,"Bị block",IF(F116&lt;E116,"Đang test",IF(G116=0,"Không áp dụng (N/A)","Đã test xong")))))</f>
        <v/>
      </c>
      <c r="AB116" t="inlineStr">
        <is>
          <t>REQ-ORD</t>
        </is>
      </c>
    </row>
    <row r="117" ht="15.75" customHeight="1" s="216">
      <c r="A117" s="1" t="n"/>
      <c r="B117" s="112" t="inlineStr">
        <is>
          <t>REQ-ORD-025</t>
        </is>
      </c>
      <c r="C117" s="261" t="inlineStr">
        <is>
          <t>BR18-04 | Icon copy đặt cạnh địa chỉ giao và số điện thoại ở màn chi tiết tin và màn theo dõi đơn; sau khi copy, icon đổi trạng thái và màu xanh trong khoảng 1,8 giây.</t>
        </is>
      </c>
      <c r="D117" s="113" t="inlineStr">
        <is>
          <t>DOC-v1.1-01 §8.18.1 BR18-04 · trang 52</t>
        </is>
      </c>
      <c r="E117" s="53">
        <f>SUMPRODUCT(--ISNUMBER(SEARCH(", "&amp;$B117&amp;", ",", "&amp;'Hoạt động (Đơn của tôi)'!$B$7:$B$500&amp;", ")))+SUMPRODUCT(--ISNUMBER(SEARCH(", "&amp;$B117&amp;", ",", "&amp;'Ghép nối'!$B$7:$B$500&amp;", ")))+SUMPRODUCT(--ISNUMBER(SEARCH(", "&amp;$B117&amp;", ",", "&amp;'Huỷ đơn - Huỷ nhận đơn'!$B$7:$B$500&amp;", ")))+SUMPRODUCT(--ISNUMBER(SEARCH(", "&amp;$B117&amp;", ",", "&amp;'Giao nhận &amp; Theo dõi đơn'!$B$7:$B$500&amp;", ")))+SUMPRODUCT(--ISNUMBER(SEARCH(", "&amp;$B117&amp;", ",", "&amp;'Bảng tin &amp; Chi tiết tin'!$B$7:$B$500&amp;", ")))+SUMPRODUCT(--ISNUMBER(SEARCH(", "&amp;$B117&amp;", ",", "&amp;'Quà cảm ơn'!$B$7:$B$500&amp;", ")))+SUMPRODUCT(--ISNUMBER(SEARCH(", "&amp;$B117&amp;", ",", "&amp;'Trang chủ'!$B$7:$B$500&amp;", ")))+SUMPRODUCT(--ISNUMBER(SEARCH(", "&amp;$B117&amp;", ",", "&amp;'Thông báo'!$B$7:$B$500&amp;", ")))+SUMPRODUCT(--ISNUMBER(SEARCH(", "&amp;$B117&amp;", ",", "&amp;'Đăng tin &amp; Quản lý tin'!$B$7:$B$500&amp;", ")))+SUMPRODUCT(--ISNUMBER(SEARCH(", "&amp;$B117&amp;", ",", "&amp;'Trust &amp; Safety'!$B$7:$B$500&amp;", ")))+SUMPRODUCT(--ISNUMBER(SEARCH(", "&amp;$B117&amp;", ",", "&amp;'Tài khoản &amp; Hồ sơ'!$B$7:$B$500&amp;", ")))</f>
        <v/>
      </c>
      <c r="F117" s="53">
        <f>SUMPRODUCT(--ISNUMBER(SEARCH(", "&amp;$B117&amp;", ",", "&amp;'Hoạt động (Đơn của tôi)'!$B$7:$B$500&amp;", ")),--('Hoạt động (Đơn của tôi)'!$AT$7:$AT$500&lt;&gt;""))+SUMPRODUCT(--ISNUMBER(SEARCH(", "&amp;$B117&amp;", ",", "&amp;'Ghép nối'!$B$7:$B$500&amp;", ")),--('Ghép nối'!$AT$7:$AT$500&lt;&gt;""))+SUMPRODUCT(--ISNUMBER(SEARCH(", "&amp;$B117&amp;", ",", "&amp;'Huỷ đơn - Huỷ nhận đơn'!$B$7:$B$500&amp;", ")),--('Huỷ đơn - Huỷ nhận đơn'!$AT$7:$AT$500&lt;&gt;""))+SUMPRODUCT(--ISNUMBER(SEARCH(", "&amp;$B117&amp;", ",", "&amp;'Giao nhận &amp; Theo dõi đơn'!$B$7:$B$500&amp;", ")),--('Giao nhận &amp; Theo dõi đơn'!$AT$7:$AT$500&lt;&gt;""))+SUMPRODUCT(--ISNUMBER(SEARCH(", "&amp;$B117&amp;", ",", "&amp;'Bảng tin &amp; Chi tiết tin'!$B$7:$B$500&amp;", ")),--('Bảng tin &amp; Chi tiết tin'!$AT$7:$AT$500&lt;&gt;""))+SUMPRODUCT(--ISNUMBER(SEARCH(", "&amp;$B117&amp;", ",", "&amp;'Quà cảm ơn'!$B$7:$B$500&amp;", ")),--('Quà cảm ơn'!$AT$7:$AT$500&lt;&gt;""))+SUMPRODUCT(--ISNUMBER(SEARCH(", "&amp;$B117&amp;", ",", "&amp;'Trang chủ'!$B$7:$B$500&amp;", ")),--('Trang chủ'!$AT$7:$AT$500&lt;&gt;""))+SUMPRODUCT(--ISNUMBER(SEARCH(", "&amp;$B117&amp;", ",", "&amp;'Thông báo'!$B$7:$B$500&amp;", ")),--('Thông báo'!$AT$7:$AT$500&lt;&gt;""))+SUMPRODUCT(--ISNUMBER(SEARCH(", "&amp;$B117&amp;", ",", "&amp;'Đăng tin &amp; Quản lý tin'!$B$7:$B$500&amp;", ")),--('Đăng tin &amp; Quản lý tin'!$AT$7:$AT$500&lt;&gt;""))+SUMPRODUCT(--ISNUMBER(SEARCH(", "&amp;$B117&amp;", ",", "&amp;'Trust &amp; Safety'!$B$7:$B$500&amp;", ")),--('Trust &amp; Safety'!$AT$7:$AT$500&lt;&gt;""))+SUMPRODUCT(--ISNUMBER(SEARCH(", "&amp;$B117&amp;", ",", "&amp;'Tài khoản &amp; Hồ sơ'!$B$7:$B$500&amp;", ")),--('Tài khoản &amp; Hồ sơ'!$AT$7:$AT$500&lt;&gt;""))</f>
        <v/>
      </c>
      <c r="G117" s="53">
        <f>SUMPRODUCT(--ISNUMBER(SEARCH(", "&amp;$B117&amp;", ",", "&amp;'Hoạt động (Đơn của tôi)'!$B$7:$B$500&amp;", ")),--('Hoạt động (Đơn của tôi)'!$AT$7:$AT$500="Pass"))+SUMPRODUCT(--ISNUMBER(SEARCH(", "&amp;$B117&amp;", ",", "&amp;'Ghép nối'!$B$7:$B$500&amp;", ")),--('Ghép nối'!$AT$7:$AT$500="Pass"))+SUMPRODUCT(--ISNUMBER(SEARCH(", "&amp;$B117&amp;", ",", "&amp;'Huỷ đơn - Huỷ nhận đơn'!$B$7:$B$500&amp;", ")),--('Huỷ đơn - Huỷ nhận đơn'!$AT$7:$AT$500="Pass"))+SUMPRODUCT(--ISNUMBER(SEARCH(", "&amp;$B117&amp;", ",", "&amp;'Giao nhận &amp; Theo dõi đơn'!$B$7:$B$500&amp;", ")),--('Giao nhận &amp; Theo dõi đơn'!$AT$7:$AT$500="Pass"))+SUMPRODUCT(--ISNUMBER(SEARCH(", "&amp;$B117&amp;", ",", "&amp;'Bảng tin &amp; Chi tiết tin'!$B$7:$B$500&amp;", ")),--('Bảng tin &amp; Chi tiết tin'!$AT$7:$AT$500="Pass"))+SUMPRODUCT(--ISNUMBER(SEARCH(", "&amp;$B117&amp;", ",", "&amp;'Quà cảm ơn'!$B$7:$B$500&amp;", ")),--('Quà cảm ơn'!$AT$7:$AT$500="Pass"))+SUMPRODUCT(--ISNUMBER(SEARCH(", "&amp;$B117&amp;", ",", "&amp;'Trang chủ'!$B$7:$B$500&amp;", ")),--('Trang chủ'!$AT$7:$AT$500="Pass"))+SUMPRODUCT(--ISNUMBER(SEARCH(", "&amp;$B117&amp;", ",", "&amp;'Thông báo'!$B$7:$B$500&amp;", ")),--('Thông báo'!$AT$7:$AT$500="Pass"))+SUMPRODUCT(--ISNUMBER(SEARCH(", "&amp;$B117&amp;", ",", "&amp;'Đăng tin &amp; Quản lý tin'!$B$7:$B$500&amp;", ")),--('Đăng tin &amp; Quản lý tin'!$AT$7:$AT$500="Pass"))+SUMPRODUCT(--ISNUMBER(SEARCH(", "&amp;$B117&amp;", ",", "&amp;'Trust &amp; Safety'!$B$7:$B$500&amp;", ")),--('Trust &amp; Safety'!$AT$7:$AT$500="Pass"))+SUMPRODUCT(--ISNUMBER(SEARCH(", "&amp;$B117&amp;", ",", "&amp;'Tài khoản &amp; Hồ sơ'!$B$7:$B$500&amp;", ")),--('Tài khoản &amp; Hồ sơ'!$AT$7:$AT$500="Pass"))</f>
        <v/>
      </c>
      <c r="H117" s="53">
        <f>SUMPRODUCT(--ISNUMBER(SEARCH(", "&amp;$B117&amp;", ",", "&amp;'Hoạt động (Đơn của tôi)'!$B$7:$B$500&amp;", ")),--('Hoạt động (Đơn của tôi)'!$AT$7:$AT$500="Fail"))+SUMPRODUCT(--ISNUMBER(SEARCH(", "&amp;$B117&amp;", ",", "&amp;'Ghép nối'!$B$7:$B$500&amp;", ")),--('Ghép nối'!$AT$7:$AT$500="Fail"))+SUMPRODUCT(--ISNUMBER(SEARCH(", "&amp;$B117&amp;", ",", "&amp;'Huỷ đơn - Huỷ nhận đơn'!$B$7:$B$500&amp;", ")),--('Huỷ đơn - Huỷ nhận đơn'!$AT$7:$AT$500="Fail"))+SUMPRODUCT(--ISNUMBER(SEARCH(", "&amp;$B117&amp;", ",", "&amp;'Giao nhận &amp; Theo dõi đơn'!$B$7:$B$500&amp;", ")),--('Giao nhận &amp; Theo dõi đơn'!$AT$7:$AT$500="Fail"))+SUMPRODUCT(--ISNUMBER(SEARCH(", "&amp;$B117&amp;", ",", "&amp;'Bảng tin &amp; Chi tiết tin'!$B$7:$B$500&amp;", ")),--('Bảng tin &amp; Chi tiết tin'!$AT$7:$AT$500="Fail"))+SUMPRODUCT(--ISNUMBER(SEARCH(", "&amp;$B117&amp;", ",", "&amp;'Quà cảm ơn'!$B$7:$B$500&amp;", ")),--('Quà cảm ơn'!$AT$7:$AT$500="Fail"))+SUMPRODUCT(--ISNUMBER(SEARCH(", "&amp;$B117&amp;", ",", "&amp;'Trang chủ'!$B$7:$B$500&amp;", ")),--('Trang chủ'!$AT$7:$AT$500="Fail"))+SUMPRODUCT(--ISNUMBER(SEARCH(", "&amp;$B117&amp;", ",", "&amp;'Thông báo'!$B$7:$B$500&amp;", ")),--('Thông báo'!$AT$7:$AT$500="Fail"))+SUMPRODUCT(--ISNUMBER(SEARCH(", "&amp;$B117&amp;", ",", "&amp;'Đăng tin &amp; Quản lý tin'!$B$7:$B$500&amp;", ")),--('Đăng tin &amp; Quản lý tin'!$AT$7:$AT$500="Fail"))+SUMPRODUCT(--ISNUMBER(SEARCH(", "&amp;$B117&amp;", ",", "&amp;'Trust &amp; Safety'!$B$7:$B$500&amp;", ")),--('Trust &amp; Safety'!$AT$7:$AT$500="Fail"))+SUMPRODUCT(--ISNUMBER(SEARCH(", "&amp;$B117&amp;", ",", "&amp;'Tài khoản &amp; Hồ sơ'!$B$7:$B$500&amp;", ")),--('Tài khoản &amp; Hồ sơ'!$AT$7:$AT$500="Fail"))</f>
        <v/>
      </c>
      <c r="I117" s="53">
        <f>SUMPRODUCT(--ISNUMBER(SEARCH(", "&amp;$B117&amp;", ",", "&amp;'Hoạt động (Đơn của tôi)'!$B$7:$B$500&amp;", ")),--('Hoạt động (Đơn của tôi)'!$AT$7:$AT$500="Block"))+SUMPRODUCT(--ISNUMBER(SEARCH(", "&amp;$B117&amp;", ",", "&amp;'Ghép nối'!$B$7:$B$500&amp;", ")),--('Ghép nối'!$AT$7:$AT$500="Block"))+SUMPRODUCT(--ISNUMBER(SEARCH(", "&amp;$B117&amp;", ",", "&amp;'Huỷ đơn - Huỷ nhận đơn'!$B$7:$B$500&amp;", ")),--('Huỷ đơn - Huỷ nhận đơn'!$AT$7:$AT$500="Block"))+SUMPRODUCT(--ISNUMBER(SEARCH(", "&amp;$B117&amp;", ",", "&amp;'Giao nhận &amp; Theo dõi đơn'!$B$7:$B$500&amp;", ")),--('Giao nhận &amp; Theo dõi đơn'!$AT$7:$AT$500="Block"))+SUMPRODUCT(--ISNUMBER(SEARCH(", "&amp;$B117&amp;", ",", "&amp;'Bảng tin &amp; Chi tiết tin'!$B$7:$B$500&amp;", ")),--('Bảng tin &amp; Chi tiết tin'!$AT$7:$AT$500="Block"))+SUMPRODUCT(--ISNUMBER(SEARCH(", "&amp;$B117&amp;", ",", "&amp;'Quà cảm ơn'!$B$7:$B$500&amp;", ")),--('Quà cảm ơn'!$AT$7:$AT$500="Block"))+SUMPRODUCT(--ISNUMBER(SEARCH(", "&amp;$B117&amp;", ",", "&amp;'Trang chủ'!$B$7:$B$500&amp;", ")),--('Trang chủ'!$AT$7:$AT$500="Block"))+SUMPRODUCT(--ISNUMBER(SEARCH(", "&amp;$B117&amp;", ",", "&amp;'Thông báo'!$B$7:$B$500&amp;", ")),--('Thông báo'!$AT$7:$AT$500="Block"))+SUMPRODUCT(--ISNUMBER(SEARCH(", "&amp;$B117&amp;", ",", "&amp;'Đăng tin &amp; Quản lý tin'!$B$7:$B$500&amp;", ")),--('Đăng tin &amp; Quản lý tin'!$AT$7:$AT$500="Block"))+SUMPRODUCT(--ISNUMBER(SEARCH(", "&amp;$B117&amp;", ",", "&amp;'Trust &amp; Safety'!$B$7:$B$500&amp;", ")),--('Trust &amp; Safety'!$AT$7:$AT$500="Block"))+SUMPRODUCT(--ISNUMBER(SEARCH(", "&amp;$B117&amp;", ",", "&amp;'Tài khoản &amp; Hồ sơ'!$B$7:$B$500&amp;", ")),--('Tài khoản &amp; Hồ sơ'!$AT$7:$AT$500="Block"))</f>
        <v/>
      </c>
      <c r="J117" s="53">
        <f>SUMPRODUCT(--ISNUMBER(SEARCH(", "&amp;$B117&amp;", ",", "&amp;'Hoạt động (Đơn của tôi)'!$B$7:$B$500&amp;", ")),--('Hoạt động (Đơn của tôi)'!$AT$7:$AT$500="N/A"))+SUMPRODUCT(--ISNUMBER(SEARCH(", "&amp;$B117&amp;", ",", "&amp;'Ghép nối'!$B$7:$B$500&amp;", ")),--('Ghép nối'!$AT$7:$AT$500="N/A"))+SUMPRODUCT(--ISNUMBER(SEARCH(", "&amp;$B117&amp;", ",", "&amp;'Huỷ đơn - Huỷ nhận đơn'!$B$7:$B$500&amp;", ")),--('Huỷ đơn - Huỷ nhận đơn'!$AT$7:$AT$500="N/A"))+SUMPRODUCT(--ISNUMBER(SEARCH(", "&amp;$B117&amp;", ",", "&amp;'Giao nhận &amp; Theo dõi đơn'!$B$7:$B$500&amp;", ")),--('Giao nhận &amp; Theo dõi đơn'!$AT$7:$AT$500="N/A"))+SUMPRODUCT(--ISNUMBER(SEARCH(", "&amp;$B117&amp;", ",", "&amp;'Bảng tin &amp; Chi tiết tin'!$B$7:$B$500&amp;", ")),--('Bảng tin &amp; Chi tiết tin'!$AT$7:$AT$500="N/A"))+SUMPRODUCT(--ISNUMBER(SEARCH(", "&amp;$B117&amp;", ",", "&amp;'Quà cảm ơn'!$B$7:$B$500&amp;", ")),--('Quà cảm ơn'!$AT$7:$AT$500="N/A"))+SUMPRODUCT(--ISNUMBER(SEARCH(", "&amp;$B117&amp;", ",", "&amp;'Trang chủ'!$B$7:$B$500&amp;", ")),--('Trang chủ'!$AT$7:$AT$500="N/A"))+SUMPRODUCT(--ISNUMBER(SEARCH(", "&amp;$B117&amp;", ",", "&amp;'Thông báo'!$B$7:$B$500&amp;", ")),--('Thông báo'!$AT$7:$AT$500="N/A"))+SUMPRODUCT(--ISNUMBER(SEARCH(", "&amp;$B117&amp;", ",", "&amp;'Đăng tin &amp; Quản lý tin'!$B$7:$B$500&amp;", ")),--('Đăng tin &amp; Quản lý tin'!$AT$7:$AT$500="N/A"))+SUMPRODUCT(--ISNUMBER(SEARCH(", "&amp;$B117&amp;", ",", "&amp;'Trust &amp; Safety'!$B$7:$B$500&amp;", ")),--('Trust &amp; Safety'!$AT$7:$AT$500="N/A"))+SUMPRODUCT(--ISNUMBER(SEARCH(", "&amp;$B117&amp;", ",", "&amp;'Tài khoản &amp; Hồ sơ'!$B$7:$B$500&amp;", ")),--('Tài khoản &amp; Hồ sơ'!$AT$7:$AT$500="N/A"))</f>
        <v/>
      </c>
      <c r="K117" s="54">
        <f>IFERROR(F117/E117,0)</f>
        <v/>
      </c>
      <c r="L117" s="113">
        <f>IF(E117=0,"Chưa có TC (gap)",IF(H117&gt;0,"Có lỗi (Fail)",IF(I117&gt;0,"Bị block",IF(F117&lt;E117,"Đang test",IF(G117=0,"Không áp dụng (N/A)","Đã test xong")))))</f>
        <v/>
      </c>
      <c r="AB117" t="inlineStr">
        <is>
          <t>REQ-ORD</t>
        </is>
      </c>
    </row>
    <row r="118" ht="15.75" customHeight="1" s="216">
      <c r="A118" s="1" t="n"/>
      <c r="B118" s="112" t="inlineStr">
        <is>
          <t>REQ-ORD-027</t>
        </is>
      </c>
      <c r="C118" s="261" t="inlineStr">
        <is>
          <t>BR18-05 | Ảnh đã gắn vào một mốc nhật ký thì không xoá được (phục vụ truy vết).</t>
        </is>
      </c>
      <c r="D118" s="113" t="inlineStr">
        <is>
          <t>DOC-v1.1-01 §8.18.1 BR18-05 · trang 52</t>
        </is>
      </c>
      <c r="E118" s="53">
        <f>SUMPRODUCT(--ISNUMBER(SEARCH(", "&amp;$B118&amp;", ",", "&amp;'Hoạt động (Đơn của tôi)'!$B$7:$B$500&amp;", ")))+SUMPRODUCT(--ISNUMBER(SEARCH(", "&amp;$B118&amp;", ",", "&amp;'Ghép nối'!$B$7:$B$500&amp;", ")))+SUMPRODUCT(--ISNUMBER(SEARCH(", "&amp;$B118&amp;", ",", "&amp;'Huỷ đơn - Huỷ nhận đơn'!$B$7:$B$500&amp;", ")))+SUMPRODUCT(--ISNUMBER(SEARCH(", "&amp;$B118&amp;", ",", "&amp;'Giao nhận &amp; Theo dõi đơn'!$B$7:$B$500&amp;", ")))+SUMPRODUCT(--ISNUMBER(SEARCH(", "&amp;$B118&amp;", ",", "&amp;'Bảng tin &amp; Chi tiết tin'!$B$7:$B$500&amp;", ")))+SUMPRODUCT(--ISNUMBER(SEARCH(", "&amp;$B118&amp;", ",", "&amp;'Quà cảm ơn'!$B$7:$B$500&amp;", ")))+SUMPRODUCT(--ISNUMBER(SEARCH(", "&amp;$B118&amp;", ",", "&amp;'Trang chủ'!$B$7:$B$500&amp;", ")))+SUMPRODUCT(--ISNUMBER(SEARCH(", "&amp;$B118&amp;", ",", "&amp;'Thông báo'!$B$7:$B$500&amp;", ")))+SUMPRODUCT(--ISNUMBER(SEARCH(", "&amp;$B118&amp;", ",", "&amp;'Đăng tin &amp; Quản lý tin'!$B$7:$B$500&amp;", ")))+SUMPRODUCT(--ISNUMBER(SEARCH(", "&amp;$B118&amp;", ",", "&amp;'Trust &amp; Safety'!$B$7:$B$500&amp;", ")))+SUMPRODUCT(--ISNUMBER(SEARCH(", "&amp;$B118&amp;", ",", "&amp;'Tài khoản &amp; Hồ sơ'!$B$7:$B$500&amp;", ")))</f>
        <v/>
      </c>
      <c r="F118" s="53">
        <f>SUMPRODUCT(--ISNUMBER(SEARCH(", "&amp;$B118&amp;", ",", "&amp;'Hoạt động (Đơn của tôi)'!$B$7:$B$500&amp;", ")),--('Hoạt động (Đơn của tôi)'!$AT$7:$AT$500&lt;&gt;""))+SUMPRODUCT(--ISNUMBER(SEARCH(", "&amp;$B118&amp;", ",", "&amp;'Ghép nối'!$B$7:$B$500&amp;", ")),--('Ghép nối'!$AT$7:$AT$500&lt;&gt;""))+SUMPRODUCT(--ISNUMBER(SEARCH(", "&amp;$B118&amp;", ",", "&amp;'Huỷ đơn - Huỷ nhận đơn'!$B$7:$B$500&amp;", ")),--('Huỷ đơn - Huỷ nhận đơn'!$AT$7:$AT$500&lt;&gt;""))+SUMPRODUCT(--ISNUMBER(SEARCH(", "&amp;$B118&amp;", ",", "&amp;'Giao nhận &amp; Theo dõi đơn'!$B$7:$B$500&amp;", ")),--('Giao nhận &amp; Theo dõi đơn'!$AT$7:$AT$500&lt;&gt;""))+SUMPRODUCT(--ISNUMBER(SEARCH(", "&amp;$B118&amp;", ",", "&amp;'Bảng tin &amp; Chi tiết tin'!$B$7:$B$500&amp;", ")),--('Bảng tin &amp; Chi tiết tin'!$AT$7:$AT$500&lt;&gt;""))+SUMPRODUCT(--ISNUMBER(SEARCH(", "&amp;$B118&amp;", ",", "&amp;'Quà cảm ơn'!$B$7:$B$500&amp;", ")),--('Quà cảm ơn'!$AT$7:$AT$500&lt;&gt;""))+SUMPRODUCT(--ISNUMBER(SEARCH(", "&amp;$B118&amp;", ",", "&amp;'Trang chủ'!$B$7:$B$500&amp;", ")),--('Trang chủ'!$AT$7:$AT$500&lt;&gt;""))+SUMPRODUCT(--ISNUMBER(SEARCH(", "&amp;$B118&amp;", ",", "&amp;'Thông báo'!$B$7:$B$500&amp;", ")),--('Thông báo'!$AT$7:$AT$500&lt;&gt;""))+SUMPRODUCT(--ISNUMBER(SEARCH(", "&amp;$B118&amp;", ",", "&amp;'Đăng tin &amp; Quản lý tin'!$B$7:$B$500&amp;", ")),--('Đăng tin &amp; Quản lý tin'!$AT$7:$AT$500&lt;&gt;""))+SUMPRODUCT(--ISNUMBER(SEARCH(", "&amp;$B118&amp;", ",", "&amp;'Trust &amp; Safety'!$B$7:$B$500&amp;", ")),--('Trust &amp; Safety'!$AT$7:$AT$500&lt;&gt;""))+SUMPRODUCT(--ISNUMBER(SEARCH(", "&amp;$B118&amp;", ",", "&amp;'Tài khoản &amp; Hồ sơ'!$B$7:$B$500&amp;", ")),--('Tài khoản &amp; Hồ sơ'!$AT$7:$AT$500&lt;&gt;""))</f>
        <v/>
      </c>
      <c r="G118" s="53">
        <f>SUMPRODUCT(--ISNUMBER(SEARCH(", "&amp;$B118&amp;", ",", "&amp;'Hoạt động (Đơn của tôi)'!$B$7:$B$500&amp;", ")),--('Hoạt động (Đơn của tôi)'!$AT$7:$AT$500="Pass"))+SUMPRODUCT(--ISNUMBER(SEARCH(", "&amp;$B118&amp;", ",", "&amp;'Ghép nối'!$B$7:$B$500&amp;", ")),--('Ghép nối'!$AT$7:$AT$500="Pass"))+SUMPRODUCT(--ISNUMBER(SEARCH(", "&amp;$B118&amp;", ",", "&amp;'Huỷ đơn - Huỷ nhận đơn'!$B$7:$B$500&amp;", ")),--('Huỷ đơn - Huỷ nhận đơn'!$AT$7:$AT$500="Pass"))+SUMPRODUCT(--ISNUMBER(SEARCH(", "&amp;$B118&amp;", ",", "&amp;'Giao nhận &amp; Theo dõi đơn'!$B$7:$B$500&amp;", ")),--('Giao nhận &amp; Theo dõi đơn'!$AT$7:$AT$500="Pass"))+SUMPRODUCT(--ISNUMBER(SEARCH(", "&amp;$B118&amp;", ",", "&amp;'Bảng tin &amp; Chi tiết tin'!$B$7:$B$500&amp;", ")),--('Bảng tin &amp; Chi tiết tin'!$AT$7:$AT$500="Pass"))+SUMPRODUCT(--ISNUMBER(SEARCH(", "&amp;$B118&amp;", ",", "&amp;'Quà cảm ơn'!$B$7:$B$500&amp;", ")),--('Quà cảm ơn'!$AT$7:$AT$500="Pass"))+SUMPRODUCT(--ISNUMBER(SEARCH(", "&amp;$B118&amp;", ",", "&amp;'Trang chủ'!$B$7:$B$500&amp;", ")),--('Trang chủ'!$AT$7:$AT$500="Pass"))+SUMPRODUCT(--ISNUMBER(SEARCH(", "&amp;$B118&amp;", ",", "&amp;'Thông báo'!$B$7:$B$500&amp;", ")),--('Thông báo'!$AT$7:$AT$500="Pass"))+SUMPRODUCT(--ISNUMBER(SEARCH(", "&amp;$B118&amp;", ",", "&amp;'Đăng tin &amp; Quản lý tin'!$B$7:$B$500&amp;", ")),--('Đăng tin &amp; Quản lý tin'!$AT$7:$AT$500="Pass"))+SUMPRODUCT(--ISNUMBER(SEARCH(", "&amp;$B118&amp;", ",", "&amp;'Trust &amp; Safety'!$B$7:$B$500&amp;", ")),--('Trust &amp; Safety'!$AT$7:$AT$500="Pass"))+SUMPRODUCT(--ISNUMBER(SEARCH(", "&amp;$B118&amp;", ",", "&amp;'Tài khoản &amp; Hồ sơ'!$B$7:$B$500&amp;", ")),--('Tài khoản &amp; Hồ sơ'!$AT$7:$AT$500="Pass"))</f>
        <v/>
      </c>
      <c r="H118" s="53">
        <f>SUMPRODUCT(--ISNUMBER(SEARCH(", "&amp;$B118&amp;", ",", "&amp;'Hoạt động (Đơn của tôi)'!$B$7:$B$500&amp;", ")),--('Hoạt động (Đơn của tôi)'!$AT$7:$AT$500="Fail"))+SUMPRODUCT(--ISNUMBER(SEARCH(", "&amp;$B118&amp;", ",", "&amp;'Ghép nối'!$B$7:$B$500&amp;", ")),--('Ghép nối'!$AT$7:$AT$500="Fail"))+SUMPRODUCT(--ISNUMBER(SEARCH(", "&amp;$B118&amp;", ",", "&amp;'Huỷ đơn - Huỷ nhận đơn'!$B$7:$B$500&amp;", ")),--('Huỷ đơn - Huỷ nhận đơn'!$AT$7:$AT$500="Fail"))+SUMPRODUCT(--ISNUMBER(SEARCH(", "&amp;$B118&amp;", ",", "&amp;'Giao nhận &amp; Theo dõi đơn'!$B$7:$B$500&amp;", ")),--('Giao nhận &amp; Theo dõi đơn'!$AT$7:$AT$500="Fail"))+SUMPRODUCT(--ISNUMBER(SEARCH(", "&amp;$B118&amp;", ",", "&amp;'Bảng tin &amp; Chi tiết tin'!$B$7:$B$500&amp;", ")),--('Bảng tin &amp; Chi tiết tin'!$AT$7:$AT$500="Fail"))+SUMPRODUCT(--ISNUMBER(SEARCH(", "&amp;$B118&amp;", ",", "&amp;'Quà cảm ơn'!$B$7:$B$500&amp;", ")),--('Quà cảm ơn'!$AT$7:$AT$500="Fail"))+SUMPRODUCT(--ISNUMBER(SEARCH(", "&amp;$B118&amp;", ",", "&amp;'Trang chủ'!$B$7:$B$500&amp;", ")),--('Trang chủ'!$AT$7:$AT$500="Fail"))+SUMPRODUCT(--ISNUMBER(SEARCH(", "&amp;$B118&amp;", ",", "&amp;'Thông báo'!$B$7:$B$500&amp;", ")),--('Thông báo'!$AT$7:$AT$500="Fail"))+SUMPRODUCT(--ISNUMBER(SEARCH(", "&amp;$B118&amp;", ",", "&amp;'Đăng tin &amp; Quản lý tin'!$B$7:$B$500&amp;", ")),--('Đăng tin &amp; Quản lý tin'!$AT$7:$AT$500="Fail"))+SUMPRODUCT(--ISNUMBER(SEARCH(", "&amp;$B118&amp;", ",", "&amp;'Trust &amp; Safety'!$B$7:$B$500&amp;", ")),--('Trust &amp; Safety'!$AT$7:$AT$500="Fail"))+SUMPRODUCT(--ISNUMBER(SEARCH(", "&amp;$B118&amp;", ",", "&amp;'Tài khoản &amp; Hồ sơ'!$B$7:$B$500&amp;", ")),--('Tài khoản &amp; Hồ sơ'!$AT$7:$AT$500="Fail"))</f>
        <v/>
      </c>
      <c r="I118" s="53">
        <f>SUMPRODUCT(--ISNUMBER(SEARCH(", "&amp;$B118&amp;", ",", "&amp;'Hoạt động (Đơn của tôi)'!$B$7:$B$500&amp;", ")),--('Hoạt động (Đơn của tôi)'!$AT$7:$AT$500="Block"))+SUMPRODUCT(--ISNUMBER(SEARCH(", "&amp;$B118&amp;", ",", "&amp;'Ghép nối'!$B$7:$B$500&amp;", ")),--('Ghép nối'!$AT$7:$AT$500="Block"))+SUMPRODUCT(--ISNUMBER(SEARCH(", "&amp;$B118&amp;", ",", "&amp;'Huỷ đơn - Huỷ nhận đơn'!$B$7:$B$500&amp;", ")),--('Huỷ đơn - Huỷ nhận đơn'!$AT$7:$AT$500="Block"))+SUMPRODUCT(--ISNUMBER(SEARCH(", "&amp;$B118&amp;", ",", "&amp;'Giao nhận &amp; Theo dõi đơn'!$B$7:$B$500&amp;", ")),--('Giao nhận &amp; Theo dõi đơn'!$AT$7:$AT$500="Block"))+SUMPRODUCT(--ISNUMBER(SEARCH(", "&amp;$B118&amp;", ",", "&amp;'Bảng tin &amp; Chi tiết tin'!$B$7:$B$500&amp;", ")),--('Bảng tin &amp; Chi tiết tin'!$AT$7:$AT$500="Block"))+SUMPRODUCT(--ISNUMBER(SEARCH(", "&amp;$B118&amp;", ",", "&amp;'Quà cảm ơn'!$B$7:$B$500&amp;", ")),--('Quà cảm ơn'!$AT$7:$AT$500="Block"))+SUMPRODUCT(--ISNUMBER(SEARCH(", "&amp;$B118&amp;", ",", "&amp;'Trang chủ'!$B$7:$B$500&amp;", ")),--('Trang chủ'!$AT$7:$AT$500="Block"))+SUMPRODUCT(--ISNUMBER(SEARCH(", "&amp;$B118&amp;", ",", "&amp;'Thông báo'!$B$7:$B$500&amp;", ")),--('Thông báo'!$AT$7:$AT$500="Block"))+SUMPRODUCT(--ISNUMBER(SEARCH(", "&amp;$B118&amp;", ",", "&amp;'Đăng tin &amp; Quản lý tin'!$B$7:$B$500&amp;", ")),--('Đăng tin &amp; Quản lý tin'!$AT$7:$AT$500="Block"))+SUMPRODUCT(--ISNUMBER(SEARCH(", "&amp;$B118&amp;", ",", "&amp;'Trust &amp; Safety'!$B$7:$B$500&amp;", ")),--('Trust &amp; Safety'!$AT$7:$AT$500="Block"))+SUMPRODUCT(--ISNUMBER(SEARCH(", "&amp;$B118&amp;", ",", "&amp;'Tài khoản &amp; Hồ sơ'!$B$7:$B$500&amp;", ")),--('Tài khoản &amp; Hồ sơ'!$AT$7:$AT$500="Block"))</f>
        <v/>
      </c>
      <c r="J118" s="53">
        <f>SUMPRODUCT(--ISNUMBER(SEARCH(", "&amp;$B118&amp;", ",", "&amp;'Hoạt động (Đơn của tôi)'!$B$7:$B$500&amp;", ")),--('Hoạt động (Đơn của tôi)'!$AT$7:$AT$500="N/A"))+SUMPRODUCT(--ISNUMBER(SEARCH(", "&amp;$B118&amp;", ",", "&amp;'Ghép nối'!$B$7:$B$500&amp;", ")),--('Ghép nối'!$AT$7:$AT$500="N/A"))+SUMPRODUCT(--ISNUMBER(SEARCH(", "&amp;$B118&amp;", ",", "&amp;'Huỷ đơn - Huỷ nhận đơn'!$B$7:$B$500&amp;", ")),--('Huỷ đơn - Huỷ nhận đơn'!$AT$7:$AT$500="N/A"))+SUMPRODUCT(--ISNUMBER(SEARCH(", "&amp;$B118&amp;", ",", "&amp;'Giao nhận &amp; Theo dõi đơn'!$B$7:$B$500&amp;", ")),--('Giao nhận &amp; Theo dõi đơn'!$AT$7:$AT$500="N/A"))+SUMPRODUCT(--ISNUMBER(SEARCH(", "&amp;$B118&amp;", ",", "&amp;'Bảng tin &amp; Chi tiết tin'!$B$7:$B$500&amp;", ")),--('Bảng tin &amp; Chi tiết tin'!$AT$7:$AT$500="N/A"))+SUMPRODUCT(--ISNUMBER(SEARCH(", "&amp;$B118&amp;", ",", "&amp;'Quà cảm ơn'!$B$7:$B$500&amp;", ")),--('Quà cảm ơn'!$AT$7:$AT$500="N/A"))+SUMPRODUCT(--ISNUMBER(SEARCH(", "&amp;$B118&amp;", ",", "&amp;'Trang chủ'!$B$7:$B$500&amp;", ")),--('Trang chủ'!$AT$7:$AT$500="N/A"))+SUMPRODUCT(--ISNUMBER(SEARCH(", "&amp;$B118&amp;", ",", "&amp;'Thông báo'!$B$7:$B$500&amp;", ")),--('Thông báo'!$AT$7:$AT$500="N/A"))+SUMPRODUCT(--ISNUMBER(SEARCH(", "&amp;$B118&amp;", ",", "&amp;'Đăng tin &amp; Quản lý tin'!$B$7:$B$500&amp;", ")),--('Đăng tin &amp; Quản lý tin'!$AT$7:$AT$500="N/A"))+SUMPRODUCT(--ISNUMBER(SEARCH(", "&amp;$B118&amp;", ",", "&amp;'Trust &amp; Safety'!$B$7:$B$500&amp;", ")),--('Trust &amp; Safety'!$AT$7:$AT$500="N/A"))+SUMPRODUCT(--ISNUMBER(SEARCH(", "&amp;$B118&amp;", ",", "&amp;'Tài khoản &amp; Hồ sơ'!$B$7:$B$500&amp;", ")),--('Tài khoản &amp; Hồ sơ'!$AT$7:$AT$500="N/A"))</f>
        <v/>
      </c>
      <c r="K118" s="54">
        <f>IFERROR(F118/E118,0)</f>
        <v/>
      </c>
      <c r="L118" s="113">
        <f>IF(E118=0,"Chưa có TC (gap)",IF(H118&gt;0,"Có lỗi (Fail)",IF(I118&gt;0,"Bị block",IF(F118&lt;E118,"Đang test",IF(G118=0,"Không áp dụng (N/A)","Đã test xong")))))</f>
        <v/>
      </c>
      <c r="AB118" t="inlineStr">
        <is>
          <t>REQ-ORD</t>
        </is>
      </c>
    </row>
    <row r="119" ht="15.75" customHeight="1" s="216">
      <c r="A119" s="1" t="n"/>
      <c r="B119" s="112" t="inlineStr">
        <is>
          <t>REQ-ORD-001</t>
        </is>
      </c>
      <c r="C119" s="261" t="inlineStr"/>
      <c r="D119" s="113" t="inlineStr">
        <is>
          <t>DOC-v1.0-02 · DOC-v1.0-04</t>
        </is>
      </c>
      <c r="E119" s="53">
        <f>SUMPRODUCT(--ISNUMBER(SEARCH(", "&amp;$B119&amp;", ",", "&amp;'Hoạt động (Đơn của tôi)'!$B$7:$B$500&amp;", ")))+SUMPRODUCT(--ISNUMBER(SEARCH(", "&amp;$B119&amp;", ",", "&amp;'Ghép nối'!$B$7:$B$500&amp;", ")))+SUMPRODUCT(--ISNUMBER(SEARCH(", "&amp;$B119&amp;", ",", "&amp;'Huỷ đơn - Huỷ nhận đơn'!$B$7:$B$500&amp;", ")))+SUMPRODUCT(--ISNUMBER(SEARCH(", "&amp;$B119&amp;", ",", "&amp;'Giao nhận &amp; Theo dõi đơn'!$B$7:$B$500&amp;", ")))+SUMPRODUCT(--ISNUMBER(SEARCH(", "&amp;$B119&amp;", ",", "&amp;'Bảng tin &amp; Chi tiết tin'!$B$7:$B$500&amp;", ")))+SUMPRODUCT(--ISNUMBER(SEARCH(", "&amp;$B119&amp;", ",", "&amp;'Quà cảm ơn'!$B$7:$B$500&amp;", ")))+SUMPRODUCT(--ISNUMBER(SEARCH(", "&amp;$B119&amp;", ",", "&amp;'Trang chủ'!$B$7:$B$500&amp;", ")))+SUMPRODUCT(--ISNUMBER(SEARCH(", "&amp;$B119&amp;", ",", "&amp;'Thông báo'!$B$7:$B$500&amp;", ")))+SUMPRODUCT(--ISNUMBER(SEARCH(", "&amp;$B119&amp;", ",", "&amp;'Đăng tin &amp; Quản lý tin'!$B$7:$B$500&amp;", ")))+SUMPRODUCT(--ISNUMBER(SEARCH(", "&amp;$B119&amp;", ",", "&amp;'Trust &amp; Safety'!$B$7:$B$500&amp;", ")))+SUMPRODUCT(--ISNUMBER(SEARCH(", "&amp;$B119&amp;", ",", "&amp;'Tài khoản &amp; Hồ sơ'!$B$7:$B$500&amp;", ")))</f>
        <v/>
      </c>
      <c r="F119" s="53">
        <f>SUMPRODUCT(--ISNUMBER(SEARCH(", "&amp;$B119&amp;", ",", "&amp;'Hoạt động (Đơn của tôi)'!$B$7:$B$500&amp;", ")),--('Hoạt động (Đơn của tôi)'!$AT$7:$AT$500&lt;&gt;""))+SUMPRODUCT(--ISNUMBER(SEARCH(", "&amp;$B119&amp;", ",", "&amp;'Ghép nối'!$B$7:$B$500&amp;", ")),--('Ghép nối'!$AT$7:$AT$500&lt;&gt;""))+SUMPRODUCT(--ISNUMBER(SEARCH(", "&amp;$B119&amp;", ",", "&amp;'Huỷ đơn - Huỷ nhận đơn'!$B$7:$B$500&amp;", ")),--('Huỷ đơn - Huỷ nhận đơn'!$AT$7:$AT$500&lt;&gt;""))+SUMPRODUCT(--ISNUMBER(SEARCH(", "&amp;$B119&amp;", ",", "&amp;'Giao nhận &amp; Theo dõi đơn'!$B$7:$B$500&amp;", ")),--('Giao nhận &amp; Theo dõi đơn'!$AT$7:$AT$500&lt;&gt;""))+SUMPRODUCT(--ISNUMBER(SEARCH(", "&amp;$B119&amp;", ",", "&amp;'Bảng tin &amp; Chi tiết tin'!$B$7:$B$500&amp;", ")),--('Bảng tin &amp; Chi tiết tin'!$AT$7:$AT$500&lt;&gt;""))+SUMPRODUCT(--ISNUMBER(SEARCH(", "&amp;$B119&amp;", ",", "&amp;'Quà cảm ơn'!$B$7:$B$500&amp;", ")),--('Quà cảm ơn'!$AT$7:$AT$500&lt;&gt;""))+SUMPRODUCT(--ISNUMBER(SEARCH(", "&amp;$B119&amp;", ",", "&amp;'Trang chủ'!$B$7:$B$500&amp;", ")),--('Trang chủ'!$AT$7:$AT$500&lt;&gt;""))+SUMPRODUCT(--ISNUMBER(SEARCH(", "&amp;$B119&amp;", ",", "&amp;'Thông báo'!$B$7:$B$500&amp;", ")),--('Thông báo'!$AT$7:$AT$500&lt;&gt;""))+SUMPRODUCT(--ISNUMBER(SEARCH(", "&amp;$B119&amp;", ",", "&amp;'Đăng tin &amp; Quản lý tin'!$B$7:$B$500&amp;", ")),--('Đăng tin &amp; Quản lý tin'!$AT$7:$AT$500&lt;&gt;""))+SUMPRODUCT(--ISNUMBER(SEARCH(", "&amp;$B119&amp;", ",", "&amp;'Trust &amp; Safety'!$B$7:$B$500&amp;", ")),--('Trust &amp; Safety'!$AT$7:$AT$500&lt;&gt;""))+SUMPRODUCT(--ISNUMBER(SEARCH(", "&amp;$B119&amp;", ",", "&amp;'Tài khoản &amp; Hồ sơ'!$B$7:$B$500&amp;", ")),--('Tài khoản &amp; Hồ sơ'!$AT$7:$AT$500&lt;&gt;""))</f>
        <v/>
      </c>
      <c r="G119" s="53">
        <f>SUMPRODUCT(--ISNUMBER(SEARCH(", "&amp;$B119&amp;", ",", "&amp;'Hoạt động (Đơn của tôi)'!$B$7:$B$500&amp;", ")),--('Hoạt động (Đơn của tôi)'!$AT$7:$AT$500="Pass"))+SUMPRODUCT(--ISNUMBER(SEARCH(", "&amp;$B119&amp;", ",", "&amp;'Ghép nối'!$B$7:$B$500&amp;", ")),--('Ghép nối'!$AT$7:$AT$500="Pass"))+SUMPRODUCT(--ISNUMBER(SEARCH(", "&amp;$B119&amp;", ",", "&amp;'Huỷ đơn - Huỷ nhận đơn'!$B$7:$B$500&amp;", ")),--('Huỷ đơn - Huỷ nhận đơn'!$AT$7:$AT$500="Pass"))+SUMPRODUCT(--ISNUMBER(SEARCH(", "&amp;$B119&amp;", ",", "&amp;'Giao nhận &amp; Theo dõi đơn'!$B$7:$B$500&amp;", ")),--('Giao nhận &amp; Theo dõi đơn'!$AT$7:$AT$500="Pass"))+SUMPRODUCT(--ISNUMBER(SEARCH(", "&amp;$B119&amp;", ",", "&amp;'Bảng tin &amp; Chi tiết tin'!$B$7:$B$500&amp;", ")),--('Bảng tin &amp; Chi tiết tin'!$AT$7:$AT$500="Pass"))+SUMPRODUCT(--ISNUMBER(SEARCH(", "&amp;$B119&amp;", ",", "&amp;'Quà cảm ơn'!$B$7:$B$500&amp;", ")),--('Quà cảm ơn'!$AT$7:$AT$500="Pass"))+SUMPRODUCT(--ISNUMBER(SEARCH(", "&amp;$B119&amp;", ",", "&amp;'Trang chủ'!$B$7:$B$500&amp;", ")),--('Trang chủ'!$AT$7:$AT$500="Pass"))+SUMPRODUCT(--ISNUMBER(SEARCH(", "&amp;$B119&amp;", ",", "&amp;'Thông báo'!$B$7:$B$500&amp;", ")),--('Thông báo'!$AT$7:$AT$500="Pass"))+SUMPRODUCT(--ISNUMBER(SEARCH(", "&amp;$B119&amp;", ",", "&amp;'Đăng tin &amp; Quản lý tin'!$B$7:$B$500&amp;", ")),--('Đăng tin &amp; Quản lý tin'!$AT$7:$AT$500="Pass"))+SUMPRODUCT(--ISNUMBER(SEARCH(", "&amp;$B119&amp;", ",", "&amp;'Trust &amp; Safety'!$B$7:$B$500&amp;", ")),--('Trust &amp; Safety'!$AT$7:$AT$500="Pass"))+SUMPRODUCT(--ISNUMBER(SEARCH(", "&amp;$B119&amp;", ",", "&amp;'Tài khoản &amp; Hồ sơ'!$B$7:$B$500&amp;", ")),--('Tài khoản &amp; Hồ sơ'!$AT$7:$AT$500="Pass"))</f>
        <v/>
      </c>
      <c r="H119" s="53">
        <f>SUMPRODUCT(--ISNUMBER(SEARCH(", "&amp;$B119&amp;", ",", "&amp;'Hoạt động (Đơn của tôi)'!$B$7:$B$500&amp;", ")),--('Hoạt động (Đơn của tôi)'!$AT$7:$AT$500="Fail"))+SUMPRODUCT(--ISNUMBER(SEARCH(", "&amp;$B119&amp;", ",", "&amp;'Ghép nối'!$B$7:$B$500&amp;", ")),--('Ghép nối'!$AT$7:$AT$500="Fail"))+SUMPRODUCT(--ISNUMBER(SEARCH(", "&amp;$B119&amp;", ",", "&amp;'Huỷ đơn - Huỷ nhận đơn'!$B$7:$B$500&amp;", ")),--('Huỷ đơn - Huỷ nhận đơn'!$AT$7:$AT$500="Fail"))+SUMPRODUCT(--ISNUMBER(SEARCH(", "&amp;$B119&amp;", ",", "&amp;'Giao nhận &amp; Theo dõi đơn'!$B$7:$B$500&amp;", ")),--('Giao nhận &amp; Theo dõi đơn'!$AT$7:$AT$500="Fail"))+SUMPRODUCT(--ISNUMBER(SEARCH(", "&amp;$B119&amp;", ",", "&amp;'Bảng tin &amp; Chi tiết tin'!$B$7:$B$500&amp;", ")),--('Bảng tin &amp; Chi tiết tin'!$AT$7:$AT$500="Fail"))+SUMPRODUCT(--ISNUMBER(SEARCH(", "&amp;$B119&amp;", ",", "&amp;'Quà cảm ơn'!$B$7:$B$500&amp;", ")),--('Quà cảm ơn'!$AT$7:$AT$500="Fail"))+SUMPRODUCT(--ISNUMBER(SEARCH(", "&amp;$B119&amp;", ",", "&amp;'Trang chủ'!$B$7:$B$500&amp;", ")),--('Trang chủ'!$AT$7:$AT$500="Fail"))+SUMPRODUCT(--ISNUMBER(SEARCH(", "&amp;$B119&amp;", ",", "&amp;'Thông báo'!$B$7:$B$500&amp;", ")),--('Thông báo'!$AT$7:$AT$500="Fail"))+SUMPRODUCT(--ISNUMBER(SEARCH(", "&amp;$B119&amp;", ",", "&amp;'Đăng tin &amp; Quản lý tin'!$B$7:$B$500&amp;", ")),--('Đăng tin &amp; Quản lý tin'!$AT$7:$AT$500="Fail"))+SUMPRODUCT(--ISNUMBER(SEARCH(", "&amp;$B119&amp;", ",", "&amp;'Trust &amp; Safety'!$B$7:$B$500&amp;", ")),--('Trust &amp; Safety'!$AT$7:$AT$500="Fail"))+SUMPRODUCT(--ISNUMBER(SEARCH(", "&amp;$B119&amp;", ",", "&amp;'Tài khoản &amp; Hồ sơ'!$B$7:$B$500&amp;", ")),--('Tài khoản &amp; Hồ sơ'!$AT$7:$AT$500="Fail"))</f>
        <v/>
      </c>
      <c r="I119" s="53">
        <f>SUMPRODUCT(--ISNUMBER(SEARCH(", "&amp;$B119&amp;", ",", "&amp;'Hoạt động (Đơn của tôi)'!$B$7:$B$500&amp;", ")),--('Hoạt động (Đơn của tôi)'!$AT$7:$AT$500="Block"))+SUMPRODUCT(--ISNUMBER(SEARCH(", "&amp;$B119&amp;", ",", "&amp;'Ghép nối'!$B$7:$B$500&amp;", ")),--('Ghép nối'!$AT$7:$AT$500="Block"))+SUMPRODUCT(--ISNUMBER(SEARCH(", "&amp;$B119&amp;", ",", "&amp;'Huỷ đơn - Huỷ nhận đơn'!$B$7:$B$500&amp;", ")),--('Huỷ đơn - Huỷ nhận đơn'!$AT$7:$AT$500="Block"))+SUMPRODUCT(--ISNUMBER(SEARCH(", "&amp;$B119&amp;", ",", "&amp;'Giao nhận &amp; Theo dõi đơn'!$B$7:$B$500&amp;", ")),--('Giao nhận &amp; Theo dõi đơn'!$AT$7:$AT$500="Block"))+SUMPRODUCT(--ISNUMBER(SEARCH(", "&amp;$B119&amp;", ",", "&amp;'Bảng tin &amp; Chi tiết tin'!$B$7:$B$500&amp;", ")),--('Bảng tin &amp; Chi tiết tin'!$AT$7:$AT$500="Block"))+SUMPRODUCT(--ISNUMBER(SEARCH(", "&amp;$B119&amp;", ",", "&amp;'Quà cảm ơn'!$B$7:$B$500&amp;", ")),--('Quà cảm ơn'!$AT$7:$AT$500="Block"))+SUMPRODUCT(--ISNUMBER(SEARCH(", "&amp;$B119&amp;", ",", "&amp;'Trang chủ'!$B$7:$B$500&amp;", ")),--('Trang chủ'!$AT$7:$AT$500="Block"))+SUMPRODUCT(--ISNUMBER(SEARCH(", "&amp;$B119&amp;", ",", "&amp;'Thông báo'!$B$7:$B$500&amp;", ")),--('Thông báo'!$AT$7:$AT$500="Block"))+SUMPRODUCT(--ISNUMBER(SEARCH(", "&amp;$B119&amp;", ",", "&amp;'Đăng tin &amp; Quản lý tin'!$B$7:$B$500&amp;", ")),--('Đăng tin &amp; Quản lý tin'!$AT$7:$AT$500="Block"))+SUMPRODUCT(--ISNUMBER(SEARCH(", "&amp;$B119&amp;", ",", "&amp;'Trust &amp; Safety'!$B$7:$B$500&amp;", ")),--('Trust &amp; Safety'!$AT$7:$AT$500="Block"))+SUMPRODUCT(--ISNUMBER(SEARCH(", "&amp;$B119&amp;", ",", "&amp;'Tài khoản &amp; Hồ sơ'!$B$7:$B$500&amp;", ")),--('Tài khoản &amp; Hồ sơ'!$AT$7:$AT$500="Block"))</f>
        <v/>
      </c>
      <c r="J119" s="53">
        <f>SUMPRODUCT(--ISNUMBER(SEARCH(", "&amp;$B119&amp;", ",", "&amp;'Hoạt động (Đơn của tôi)'!$B$7:$B$500&amp;", ")),--('Hoạt động (Đơn của tôi)'!$AT$7:$AT$500="N/A"))+SUMPRODUCT(--ISNUMBER(SEARCH(", "&amp;$B119&amp;", ",", "&amp;'Ghép nối'!$B$7:$B$500&amp;", ")),--('Ghép nối'!$AT$7:$AT$500="N/A"))+SUMPRODUCT(--ISNUMBER(SEARCH(", "&amp;$B119&amp;", ",", "&amp;'Huỷ đơn - Huỷ nhận đơn'!$B$7:$B$500&amp;", ")),--('Huỷ đơn - Huỷ nhận đơn'!$AT$7:$AT$500="N/A"))+SUMPRODUCT(--ISNUMBER(SEARCH(", "&amp;$B119&amp;", ",", "&amp;'Giao nhận &amp; Theo dõi đơn'!$B$7:$B$500&amp;", ")),--('Giao nhận &amp; Theo dõi đơn'!$AT$7:$AT$500="N/A"))+SUMPRODUCT(--ISNUMBER(SEARCH(", "&amp;$B119&amp;", ",", "&amp;'Bảng tin &amp; Chi tiết tin'!$B$7:$B$500&amp;", ")),--('Bảng tin &amp; Chi tiết tin'!$AT$7:$AT$500="N/A"))+SUMPRODUCT(--ISNUMBER(SEARCH(", "&amp;$B119&amp;", ",", "&amp;'Quà cảm ơn'!$B$7:$B$500&amp;", ")),--('Quà cảm ơn'!$AT$7:$AT$500="N/A"))+SUMPRODUCT(--ISNUMBER(SEARCH(", "&amp;$B119&amp;", ",", "&amp;'Trang chủ'!$B$7:$B$500&amp;", ")),--('Trang chủ'!$AT$7:$AT$500="N/A"))+SUMPRODUCT(--ISNUMBER(SEARCH(", "&amp;$B119&amp;", ",", "&amp;'Thông báo'!$B$7:$B$500&amp;", ")),--('Thông báo'!$AT$7:$AT$500="N/A"))+SUMPRODUCT(--ISNUMBER(SEARCH(", "&amp;$B119&amp;", ",", "&amp;'Đăng tin &amp; Quản lý tin'!$B$7:$B$500&amp;", ")),--('Đăng tin &amp; Quản lý tin'!$AT$7:$AT$500="N/A"))+SUMPRODUCT(--ISNUMBER(SEARCH(", "&amp;$B119&amp;", ",", "&amp;'Trust &amp; Safety'!$B$7:$B$500&amp;", ")),--('Trust &amp; Safety'!$AT$7:$AT$500="N/A"))+SUMPRODUCT(--ISNUMBER(SEARCH(", "&amp;$B119&amp;", ",", "&amp;'Tài khoản &amp; Hồ sơ'!$B$7:$B$500&amp;", ")),--('Tài khoản &amp; Hồ sơ'!$AT$7:$AT$500="N/A"))</f>
        <v/>
      </c>
      <c r="K119" s="54">
        <f>IFERROR(F119/E119,0)</f>
        <v/>
      </c>
      <c r="L119" s="113">
        <f>IF(E119=0,"Chưa có TC (gap)",IF(H119&gt;0,"Có lỗi (Fail)",IF(I119&gt;0,"Bị block",IF(F119&lt;E119,"Đang test",IF(G119=0,"Không áp dụng (N/A)","Đã test xong")))))</f>
        <v/>
      </c>
      <c r="AB119" t="inlineStr">
        <is>
          <t>REQ-ORD</t>
        </is>
      </c>
    </row>
    <row r="120" ht="15.75" customHeight="1" s="216">
      <c r="A120" s="1" t="n"/>
      <c r="B120" s="112" t="inlineStr">
        <is>
          <t>REQ-ORD-002</t>
        </is>
      </c>
      <c r="C120" s="261" t="inlineStr"/>
      <c r="D120" s="113" t="inlineStr">
        <is>
          <t>DOC-v1.0-01</t>
        </is>
      </c>
      <c r="E120" s="53">
        <f>SUMPRODUCT(--ISNUMBER(SEARCH(", "&amp;$B120&amp;", ",", "&amp;'Hoạt động (Đơn của tôi)'!$B$7:$B$500&amp;", ")))+SUMPRODUCT(--ISNUMBER(SEARCH(", "&amp;$B120&amp;", ",", "&amp;'Ghép nối'!$B$7:$B$500&amp;", ")))+SUMPRODUCT(--ISNUMBER(SEARCH(", "&amp;$B120&amp;", ",", "&amp;'Huỷ đơn - Huỷ nhận đơn'!$B$7:$B$500&amp;", ")))+SUMPRODUCT(--ISNUMBER(SEARCH(", "&amp;$B120&amp;", ",", "&amp;'Giao nhận &amp; Theo dõi đơn'!$B$7:$B$500&amp;", ")))+SUMPRODUCT(--ISNUMBER(SEARCH(", "&amp;$B120&amp;", ",", "&amp;'Bảng tin &amp; Chi tiết tin'!$B$7:$B$500&amp;", ")))+SUMPRODUCT(--ISNUMBER(SEARCH(", "&amp;$B120&amp;", ",", "&amp;'Quà cảm ơn'!$B$7:$B$500&amp;", ")))+SUMPRODUCT(--ISNUMBER(SEARCH(", "&amp;$B120&amp;", ",", "&amp;'Trang chủ'!$B$7:$B$500&amp;", ")))+SUMPRODUCT(--ISNUMBER(SEARCH(", "&amp;$B120&amp;", ",", "&amp;'Thông báo'!$B$7:$B$500&amp;", ")))+SUMPRODUCT(--ISNUMBER(SEARCH(", "&amp;$B120&amp;", ",", "&amp;'Đăng tin &amp; Quản lý tin'!$B$7:$B$500&amp;", ")))+SUMPRODUCT(--ISNUMBER(SEARCH(", "&amp;$B120&amp;", ",", "&amp;'Trust &amp; Safety'!$B$7:$B$500&amp;", ")))+SUMPRODUCT(--ISNUMBER(SEARCH(", "&amp;$B120&amp;", ",", "&amp;'Tài khoản &amp; Hồ sơ'!$B$7:$B$500&amp;", ")))</f>
        <v/>
      </c>
      <c r="F120" s="53">
        <f>SUMPRODUCT(--ISNUMBER(SEARCH(", "&amp;$B120&amp;", ",", "&amp;'Hoạt động (Đơn của tôi)'!$B$7:$B$500&amp;", ")),--('Hoạt động (Đơn của tôi)'!$AT$7:$AT$500&lt;&gt;""))+SUMPRODUCT(--ISNUMBER(SEARCH(", "&amp;$B120&amp;", ",", "&amp;'Ghép nối'!$B$7:$B$500&amp;", ")),--('Ghép nối'!$AT$7:$AT$500&lt;&gt;""))+SUMPRODUCT(--ISNUMBER(SEARCH(", "&amp;$B120&amp;", ",", "&amp;'Huỷ đơn - Huỷ nhận đơn'!$B$7:$B$500&amp;", ")),--('Huỷ đơn - Huỷ nhận đơn'!$AT$7:$AT$500&lt;&gt;""))+SUMPRODUCT(--ISNUMBER(SEARCH(", "&amp;$B120&amp;", ",", "&amp;'Giao nhận &amp; Theo dõi đơn'!$B$7:$B$500&amp;", ")),--('Giao nhận &amp; Theo dõi đơn'!$AT$7:$AT$500&lt;&gt;""))+SUMPRODUCT(--ISNUMBER(SEARCH(", "&amp;$B120&amp;", ",", "&amp;'Bảng tin &amp; Chi tiết tin'!$B$7:$B$500&amp;", ")),--('Bảng tin &amp; Chi tiết tin'!$AT$7:$AT$500&lt;&gt;""))+SUMPRODUCT(--ISNUMBER(SEARCH(", "&amp;$B120&amp;", ",", "&amp;'Quà cảm ơn'!$B$7:$B$500&amp;", ")),--('Quà cảm ơn'!$AT$7:$AT$500&lt;&gt;""))+SUMPRODUCT(--ISNUMBER(SEARCH(", "&amp;$B120&amp;", ",", "&amp;'Trang chủ'!$B$7:$B$500&amp;", ")),--('Trang chủ'!$AT$7:$AT$500&lt;&gt;""))+SUMPRODUCT(--ISNUMBER(SEARCH(", "&amp;$B120&amp;", ",", "&amp;'Thông báo'!$B$7:$B$500&amp;", ")),--('Thông báo'!$AT$7:$AT$500&lt;&gt;""))+SUMPRODUCT(--ISNUMBER(SEARCH(", "&amp;$B120&amp;", ",", "&amp;'Đăng tin &amp; Quản lý tin'!$B$7:$B$500&amp;", ")),--('Đăng tin &amp; Quản lý tin'!$AT$7:$AT$500&lt;&gt;""))+SUMPRODUCT(--ISNUMBER(SEARCH(", "&amp;$B120&amp;", ",", "&amp;'Trust &amp; Safety'!$B$7:$B$500&amp;", ")),--('Trust &amp; Safety'!$AT$7:$AT$500&lt;&gt;""))+SUMPRODUCT(--ISNUMBER(SEARCH(", "&amp;$B120&amp;", ",", "&amp;'Tài khoản &amp; Hồ sơ'!$B$7:$B$500&amp;", ")),--('Tài khoản &amp; Hồ sơ'!$AT$7:$AT$500&lt;&gt;""))</f>
        <v/>
      </c>
      <c r="G120" s="53">
        <f>SUMPRODUCT(--ISNUMBER(SEARCH(", "&amp;$B120&amp;", ",", "&amp;'Hoạt động (Đơn của tôi)'!$B$7:$B$500&amp;", ")),--('Hoạt động (Đơn của tôi)'!$AT$7:$AT$500="Pass"))+SUMPRODUCT(--ISNUMBER(SEARCH(", "&amp;$B120&amp;", ",", "&amp;'Ghép nối'!$B$7:$B$500&amp;", ")),--('Ghép nối'!$AT$7:$AT$500="Pass"))+SUMPRODUCT(--ISNUMBER(SEARCH(", "&amp;$B120&amp;", ",", "&amp;'Huỷ đơn - Huỷ nhận đơn'!$B$7:$B$500&amp;", ")),--('Huỷ đơn - Huỷ nhận đơn'!$AT$7:$AT$500="Pass"))+SUMPRODUCT(--ISNUMBER(SEARCH(", "&amp;$B120&amp;", ",", "&amp;'Giao nhận &amp; Theo dõi đơn'!$B$7:$B$500&amp;", ")),--('Giao nhận &amp; Theo dõi đơn'!$AT$7:$AT$500="Pass"))+SUMPRODUCT(--ISNUMBER(SEARCH(", "&amp;$B120&amp;", ",", "&amp;'Bảng tin &amp; Chi tiết tin'!$B$7:$B$500&amp;", ")),--('Bảng tin &amp; Chi tiết tin'!$AT$7:$AT$500="Pass"))+SUMPRODUCT(--ISNUMBER(SEARCH(", "&amp;$B120&amp;", ",", "&amp;'Quà cảm ơn'!$B$7:$B$500&amp;", ")),--('Quà cảm ơn'!$AT$7:$AT$500="Pass"))+SUMPRODUCT(--ISNUMBER(SEARCH(", "&amp;$B120&amp;", ",", "&amp;'Trang chủ'!$B$7:$B$500&amp;", ")),--('Trang chủ'!$AT$7:$AT$500="Pass"))+SUMPRODUCT(--ISNUMBER(SEARCH(", "&amp;$B120&amp;", ",", "&amp;'Thông báo'!$B$7:$B$500&amp;", ")),--('Thông báo'!$AT$7:$AT$500="Pass"))+SUMPRODUCT(--ISNUMBER(SEARCH(", "&amp;$B120&amp;", ",", "&amp;'Đăng tin &amp; Quản lý tin'!$B$7:$B$500&amp;", ")),--('Đăng tin &amp; Quản lý tin'!$AT$7:$AT$500="Pass"))+SUMPRODUCT(--ISNUMBER(SEARCH(", "&amp;$B120&amp;", ",", "&amp;'Trust &amp; Safety'!$B$7:$B$500&amp;", ")),--('Trust &amp; Safety'!$AT$7:$AT$500="Pass"))+SUMPRODUCT(--ISNUMBER(SEARCH(", "&amp;$B120&amp;", ",", "&amp;'Tài khoản &amp; Hồ sơ'!$B$7:$B$500&amp;", ")),--('Tài khoản &amp; Hồ sơ'!$AT$7:$AT$500="Pass"))</f>
        <v/>
      </c>
      <c r="H120" s="53">
        <f>SUMPRODUCT(--ISNUMBER(SEARCH(", "&amp;$B120&amp;", ",", "&amp;'Hoạt động (Đơn của tôi)'!$B$7:$B$500&amp;", ")),--('Hoạt động (Đơn của tôi)'!$AT$7:$AT$500="Fail"))+SUMPRODUCT(--ISNUMBER(SEARCH(", "&amp;$B120&amp;", ",", "&amp;'Ghép nối'!$B$7:$B$500&amp;", ")),--('Ghép nối'!$AT$7:$AT$500="Fail"))+SUMPRODUCT(--ISNUMBER(SEARCH(", "&amp;$B120&amp;", ",", "&amp;'Huỷ đơn - Huỷ nhận đơn'!$B$7:$B$500&amp;", ")),--('Huỷ đơn - Huỷ nhận đơn'!$AT$7:$AT$500="Fail"))+SUMPRODUCT(--ISNUMBER(SEARCH(", "&amp;$B120&amp;", ",", "&amp;'Giao nhận &amp; Theo dõi đơn'!$B$7:$B$500&amp;", ")),--('Giao nhận &amp; Theo dõi đơn'!$AT$7:$AT$500="Fail"))+SUMPRODUCT(--ISNUMBER(SEARCH(", "&amp;$B120&amp;", ",", "&amp;'Bảng tin &amp; Chi tiết tin'!$B$7:$B$500&amp;", ")),--('Bảng tin &amp; Chi tiết tin'!$AT$7:$AT$500="Fail"))+SUMPRODUCT(--ISNUMBER(SEARCH(", "&amp;$B120&amp;", ",", "&amp;'Quà cảm ơn'!$B$7:$B$500&amp;", ")),--('Quà cảm ơn'!$AT$7:$AT$500="Fail"))+SUMPRODUCT(--ISNUMBER(SEARCH(", "&amp;$B120&amp;", ",", "&amp;'Trang chủ'!$B$7:$B$500&amp;", ")),--('Trang chủ'!$AT$7:$AT$500="Fail"))+SUMPRODUCT(--ISNUMBER(SEARCH(", "&amp;$B120&amp;", ",", "&amp;'Thông báo'!$B$7:$B$500&amp;", ")),--('Thông báo'!$AT$7:$AT$500="Fail"))+SUMPRODUCT(--ISNUMBER(SEARCH(", "&amp;$B120&amp;", ",", "&amp;'Đăng tin &amp; Quản lý tin'!$B$7:$B$500&amp;", ")),--('Đăng tin &amp; Quản lý tin'!$AT$7:$AT$500="Fail"))+SUMPRODUCT(--ISNUMBER(SEARCH(", "&amp;$B120&amp;", ",", "&amp;'Trust &amp; Safety'!$B$7:$B$500&amp;", ")),--('Trust &amp; Safety'!$AT$7:$AT$500="Fail"))+SUMPRODUCT(--ISNUMBER(SEARCH(", "&amp;$B120&amp;", ",", "&amp;'Tài khoản &amp; Hồ sơ'!$B$7:$B$500&amp;", ")),--('Tài khoản &amp; Hồ sơ'!$AT$7:$AT$500="Fail"))</f>
        <v/>
      </c>
      <c r="I120" s="53">
        <f>SUMPRODUCT(--ISNUMBER(SEARCH(", "&amp;$B120&amp;", ",", "&amp;'Hoạt động (Đơn của tôi)'!$B$7:$B$500&amp;", ")),--('Hoạt động (Đơn của tôi)'!$AT$7:$AT$500="Block"))+SUMPRODUCT(--ISNUMBER(SEARCH(", "&amp;$B120&amp;", ",", "&amp;'Ghép nối'!$B$7:$B$500&amp;", ")),--('Ghép nối'!$AT$7:$AT$500="Block"))+SUMPRODUCT(--ISNUMBER(SEARCH(", "&amp;$B120&amp;", ",", "&amp;'Huỷ đơn - Huỷ nhận đơn'!$B$7:$B$500&amp;", ")),--('Huỷ đơn - Huỷ nhận đơn'!$AT$7:$AT$500="Block"))+SUMPRODUCT(--ISNUMBER(SEARCH(", "&amp;$B120&amp;", ",", "&amp;'Giao nhận &amp; Theo dõi đơn'!$B$7:$B$500&amp;", ")),--('Giao nhận &amp; Theo dõi đơn'!$AT$7:$AT$500="Block"))+SUMPRODUCT(--ISNUMBER(SEARCH(", "&amp;$B120&amp;", ",", "&amp;'Bảng tin &amp; Chi tiết tin'!$B$7:$B$500&amp;", ")),--('Bảng tin &amp; Chi tiết tin'!$AT$7:$AT$500="Block"))+SUMPRODUCT(--ISNUMBER(SEARCH(", "&amp;$B120&amp;", ",", "&amp;'Quà cảm ơn'!$B$7:$B$500&amp;", ")),--('Quà cảm ơn'!$AT$7:$AT$500="Block"))+SUMPRODUCT(--ISNUMBER(SEARCH(", "&amp;$B120&amp;", ",", "&amp;'Trang chủ'!$B$7:$B$500&amp;", ")),--('Trang chủ'!$AT$7:$AT$500="Block"))+SUMPRODUCT(--ISNUMBER(SEARCH(", "&amp;$B120&amp;", ",", "&amp;'Thông báo'!$B$7:$B$500&amp;", ")),--('Thông báo'!$AT$7:$AT$500="Block"))+SUMPRODUCT(--ISNUMBER(SEARCH(", "&amp;$B120&amp;", ",", "&amp;'Đăng tin &amp; Quản lý tin'!$B$7:$B$500&amp;", ")),--('Đăng tin &amp; Quản lý tin'!$AT$7:$AT$500="Block"))+SUMPRODUCT(--ISNUMBER(SEARCH(", "&amp;$B120&amp;", ",", "&amp;'Trust &amp; Safety'!$B$7:$B$500&amp;", ")),--('Trust &amp; Safety'!$AT$7:$AT$500="Block"))+SUMPRODUCT(--ISNUMBER(SEARCH(", "&amp;$B120&amp;", ",", "&amp;'Tài khoản &amp; Hồ sơ'!$B$7:$B$500&amp;", ")),--('Tài khoản &amp; Hồ sơ'!$AT$7:$AT$500="Block"))</f>
        <v/>
      </c>
      <c r="J120" s="53">
        <f>SUMPRODUCT(--ISNUMBER(SEARCH(", "&amp;$B120&amp;", ",", "&amp;'Hoạt động (Đơn của tôi)'!$B$7:$B$500&amp;", ")),--('Hoạt động (Đơn của tôi)'!$AT$7:$AT$500="N/A"))+SUMPRODUCT(--ISNUMBER(SEARCH(", "&amp;$B120&amp;", ",", "&amp;'Ghép nối'!$B$7:$B$500&amp;", ")),--('Ghép nối'!$AT$7:$AT$500="N/A"))+SUMPRODUCT(--ISNUMBER(SEARCH(", "&amp;$B120&amp;", ",", "&amp;'Huỷ đơn - Huỷ nhận đơn'!$B$7:$B$500&amp;", ")),--('Huỷ đơn - Huỷ nhận đơn'!$AT$7:$AT$500="N/A"))+SUMPRODUCT(--ISNUMBER(SEARCH(", "&amp;$B120&amp;", ",", "&amp;'Giao nhận &amp; Theo dõi đơn'!$B$7:$B$500&amp;", ")),--('Giao nhận &amp; Theo dõi đơn'!$AT$7:$AT$500="N/A"))+SUMPRODUCT(--ISNUMBER(SEARCH(", "&amp;$B120&amp;", ",", "&amp;'Bảng tin &amp; Chi tiết tin'!$B$7:$B$500&amp;", ")),--('Bảng tin &amp; Chi tiết tin'!$AT$7:$AT$500="N/A"))+SUMPRODUCT(--ISNUMBER(SEARCH(", "&amp;$B120&amp;", ",", "&amp;'Quà cảm ơn'!$B$7:$B$500&amp;", ")),--('Quà cảm ơn'!$AT$7:$AT$500="N/A"))+SUMPRODUCT(--ISNUMBER(SEARCH(", "&amp;$B120&amp;", ",", "&amp;'Trang chủ'!$B$7:$B$500&amp;", ")),--('Trang chủ'!$AT$7:$AT$500="N/A"))+SUMPRODUCT(--ISNUMBER(SEARCH(", "&amp;$B120&amp;", ",", "&amp;'Thông báo'!$B$7:$B$500&amp;", ")),--('Thông báo'!$AT$7:$AT$500="N/A"))+SUMPRODUCT(--ISNUMBER(SEARCH(", "&amp;$B120&amp;", ",", "&amp;'Đăng tin &amp; Quản lý tin'!$B$7:$B$500&amp;", ")),--('Đăng tin &amp; Quản lý tin'!$AT$7:$AT$500="N/A"))+SUMPRODUCT(--ISNUMBER(SEARCH(", "&amp;$B120&amp;", ",", "&amp;'Trust &amp; Safety'!$B$7:$B$500&amp;", ")),--('Trust &amp; Safety'!$AT$7:$AT$500="N/A"))+SUMPRODUCT(--ISNUMBER(SEARCH(", "&amp;$B120&amp;", ",", "&amp;'Tài khoản &amp; Hồ sơ'!$B$7:$B$500&amp;", ")),--('Tài khoản &amp; Hồ sơ'!$AT$7:$AT$500="N/A"))</f>
        <v/>
      </c>
      <c r="K120" s="54">
        <f>IFERROR(F120/E120,0)</f>
        <v/>
      </c>
      <c r="L120" s="113">
        <f>IF(E120=0,"Chưa có TC (gap)",IF(H120&gt;0,"Có lỗi (Fail)",IF(I120&gt;0,"Bị block",IF(F120&lt;E120,"Đang test",IF(G120=0,"Không áp dụng (N/A)","Đã test xong")))))</f>
        <v/>
      </c>
      <c r="AB120" t="inlineStr">
        <is>
          <t>REQ-ORD</t>
        </is>
      </c>
    </row>
    <row r="121" ht="15.75" customHeight="1" s="216">
      <c r="A121" s="1" t="n"/>
      <c r="B121" s="112" t="inlineStr">
        <is>
          <t>REQ-ORD-005</t>
        </is>
      </c>
      <c r="C121" s="261" t="inlineStr">
        <is>
          <t>Nguồn (v1.0) — `DOC-v1.0-01 §D8.1 dòng "Giá trị hàng" · L359` + `KP-01 §3 KB-ORD-05`: có 3 mức, **không rõ mức cao có chặn hay chỉ cảnh báo**.</t>
        </is>
      </c>
      <c r="D121" s="113" t="inlineStr">
        <is>
          <t>DOC-v1.1-01 §8.1.1 BR01-03 · trang 34</t>
        </is>
      </c>
      <c r="E121" s="53">
        <f>SUMPRODUCT(--ISNUMBER(SEARCH(", "&amp;$B121&amp;", ",", "&amp;'Hoạt động (Đơn của tôi)'!$B$7:$B$500&amp;", ")))+SUMPRODUCT(--ISNUMBER(SEARCH(", "&amp;$B121&amp;", ",", "&amp;'Ghép nối'!$B$7:$B$500&amp;", ")))+SUMPRODUCT(--ISNUMBER(SEARCH(", "&amp;$B121&amp;", ",", "&amp;'Huỷ đơn - Huỷ nhận đơn'!$B$7:$B$500&amp;", ")))+SUMPRODUCT(--ISNUMBER(SEARCH(", "&amp;$B121&amp;", ",", "&amp;'Giao nhận &amp; Theo dõi đơn'!$B$7:$B$500&amp;", ")))+SUMPRODUCT(--ISNUMBER(SEARCH(", "&amp;$B121&amp;", ",", "&amp;'Bảng tin &amp; Chi tiết tin'!$B$7:$B$500&amp;", ")))+SUMPRODUCT(--ISNUMBER(SEARCH(", "&amp;$B121&amp;", ",", "&amp;'Quà cảm ơn'!$B$7:$B$500&amp;", ")))+SUMPRODUCT(--ISNUMBER(SEARCH(", "&amp;$B121&amp;", ",", "&amp;'Trang chủ'!$B$7:$B$500&amp;", ")))+SUMPRODUCT(--ISNUMBER(SEARCH(", "&amp;$B121&amp;", ",", "&amp;'Thông báo'!$B$7:$B$500&amp;", ")))+SUMPRODUCT(--ISNUMBER(SEARCH(", "&amp;$B121&amp;", ",", "&amp;'Đăng tin &amp; Quản lý tin'!$B$7:$B$500&amp;", ")))+SUMPRODUCT(--ISNUMBER(SEARCH(", "&amp;$B121&amp;", ",", "&amp;'Trust &amp; Safety'!$B$7:$B$500&amp;", ")))+SUMPRODUCT(--ISNUMBER(SEARCH(", "&amp;$B121&amp;", ",", "&amp;'Tài khoản &amp; Hồ sơ'!$B$7:$B$500&amp;", ")))</f>
        <v/>
      </c>
      <c r="F121" s="53">
        <f>SUMPRODUCT(--ISNUMBER(SEARCH(", "&amp;$B121&amp;", ",", "&amp;'Hoạt động (Đơn của tôi)'!$B$7:$B$500&amp;", ")),--('Hoạt động (Đơn của tôi)'!$AT$7:$AT$500&lt;&gt;""))+SUMPRODUCT(--ISNUMBER(SEARCH(", "&amp;$B121&amp;", ",", "&amp;'Ghép nối'!$B$7:$B$500&amp;", ")),--('Ghép nối'!$AT$7:$AT$500&lt;&gt;""))+SUMPRODUCT(--ISNUMBER(SEARCH(", "&amp;$B121&amp;", ",", "&amp;'Huỷ đơn - Huỷ nhận đơn'!$B$7:$B$500&amp;", ")),--('Huỷ đơn - Huỷ nhận đơn'!$AT$7:$AT$500&lt;&gt;""))+SUMPRODUCT(--ISNUMBER(SEARCH(", "&amp;$B121&amp;", ",", "&amp;'Giao nhận &amp; Theo dõi đơn'!$B$7:$B$500&amp;", ")),--('Giao nhận &amp; Theo dõi đơn'!$AT$7:$AT$500&lt;&gt;""))+SUMPRODUCT(--ISNUMBER(SEARCH(", "&amp;$B121&amp;", ",", "&amp;'Bảng tin &amp; Chi tiết tin'!$B$7:$B$500&amp;", ")),--('Bảng tin &amp; Chi tiết tin'!$AT$7:$AT$500&lt;&gt;""))+SUMPRODUCT(--ISNUMBER(SEARCH(", "&amp;$B121&amp;", ",", "&amp;'Quà cảm ơn'!$B$7:$B$500&amp;", ")),--('Quà cảm ơn'!$AT$7:$AT$500&lt;&gt;""))+SUMPRODUCT(--ISNUMBER(SEARCH(", "&amp;$B121&amp;", ",", "&amp;'Trang chủ'!$B$7:$B$500&amp;", ")),--('Trang chủ'!$AT$7:$AT$500&lt;&gt;""))+SUMPRODUCT(--ISNUMBER(SEARCH(", "&amp;$B121&amp;", ",", "&amp;'Thông báo'!$B$7:$B$500&amp;", ")),--('Thông báo'!$AT$7:$AT$500&lt;&gt;""))+SUMPRODUCT(--ISNUMBER(SEARCH(", "&amp;$B121&amp;", ",", "&amp;'Đăng tin &amp; Quản lý tin'!$B$7:$B$500&amp;", ")),--('Đăng tin &amp; Quản lý tin'!$AT$7:$AT$500&lt;&gt;""))+SUMPRODUCT(--ISNUMBER(SEARCH(", "&amp;$B121&amp;", ",", "&amp;'Trust &amp; Safety'!$B$7:$B$500&amp;", ")),--('Trust &amp; Safety'!$AT$7:$AT$500&lt;&gt;""))+SUMPRODUCT(--ISNUMBER(SEARCH(", "&amp;$B121&amp;", ",", "&amp;'Tài khoản &amp; Hồ sơ'!$B$7:$B$500&amp;", ")),--('Tài khoản &amp; Hồ sơ'!$AT$7:$AT$500&lt;&gt;""))</f>
        <v/>
      </c>
      <c r="G121" s="53">
        <f>SUMPRODUCT(--ISNUMBER(SEARCH(", "&amp;$B121&amp;", ",", "&amp;'Hoạt động (Đơn của tôi)'!$B$7:$B$500&amp;", ")),--('Hoạt động (Đơn của tôi)'!$AT$7:$AT$500="Pass"))+SUMPRODUCT(--ISNUMBER(SEARCH(", "&amp;$B121&amp;", ",", "&amp;'Ghép nối'!$B$7:$B$500&amp;", ")),--('Ghép nối'!$AT$7:$AT$500="Pass"))+SUMPRODUCT(--ISNUMBER(SEARCH(", "&amp;$B121&amp;", ",", "&amp;'Huỷ đơn - Huỷ nhận đơn'!$B$7:$B$500&amp;", ")),--('Huỷ đơn - Huỷ nhận đơn'!$AT$7:$AT$500="Pass"))+SUMPRODUCT(--ISNUMBER(SEARCH(", "&amp;$B121&amp;", ",", "&amp;'Giao nhận &amp; Theo dõi đơn'!$B$7:$B$500&amp;", ")),--('Giao nhận &amp; Theo dõi đơn'!$AT$7:$AT$500="Pass"))+SUMPRODUCT(--ISNUMBER(SEARCH(", "&amp;$B121&amp;", ",", "&amp;'Bảng tin &amp; Chi tiết tin'!$B$7:$B$500&amp;", ")),--('Bảng tin &amp; Chi tiết tin'!$AT$7:$AT$500="Pass"))+SUMPRODUCT(--ISNUMBER(SEARCH(", "&amp;$B121&amp;", ",", "&amp;'Quà cảm ơn'!$B$7:$B$500&amp;", ")),--('Quà cảm ơn'!$AT$7:$AT$500="Pass"))+SUMPRODUCT(--ISNUMBER(SEARCH(", "&amp;$B121&amp;", ",", "&amp;'Trang chủ'!$B$7:$B$500&amp;", ")),--('Trang chủ'!$AT$7:$AT$500="Pass"))+SUMPRODUCT(--ISNUMBER(SEARCH(", "&amp;$B121&amp;", ",", "&amp;'Thông báo'!$B$7:$B$500&amp;", ")),--('Thông báo'!$AT$7:$AT$500="Pass"))+SUMPRODUCT(--ISNUMBER(SEARCH(", "&amp;$B121&amp;", ",", "&amp;'Đăng tin &amp; Quản lý tin'!$B$7:$B$500&amp;", ")),--('Đăng tin &amp; Quản lý tin'!$AT$7:$AT$500="Pass"))+SUMPRODUCT(--ISNUMBER(SEARCH(", "&amp;$B121&amp;", ",", "&amp;'Trust &amp; Safety'!$B$7:$B$500&amp;", ")),--('Trust &amp; Safety'!$AT$7:$AT$500="Pass"))+SUMPRODUCT(--ISNUMBER(SEARCH(", "&amp;$B121&amp;", ",", "&amp;'Tài khoản &amp; Hồ sơ'!$B$7:$B$500&amp;", ")),--('Tài khoản &amp; Hồ sơ'!$AT$7:$AT$500="Pass"))</f>
        <v/>
      </c>
      <c r="H121" s="53">
        <f>SUMPRODUCT(--ISNUMBER(SEARCH(", "&amp;$B121&amp;", ",", "&amp;'Hoạt động (Đơn của tôi)'!$B$7:$B$500&amp;", ")),--('Hoạt động (Đơn của tôi)'!$AT$7:$AT$500="Fail"))+SUMPRODUCT(--ISNUMBER(SEARCH(", "&amp;$B121&amp;", ",", "&amp;'Ghép nối'!$B$7:$B$500&amp;", ")),--('Ghép nối'!$AT$7:$AT$500="Fail"))+SUMPRODUCT(--ISNUMBER(SEARCH(", "&amp;$B121&amp;", ",", "&amp;'Huỷ đơn - Huỷ nhận đơn'!$B$7:$B$500&amp;", ")),--('Huỷ đơn - Huỷ nhận đơn'!$AT$7:$AT$500="Fail"))+SUMPRODUCT(--ISNUMBER(SEARCH(", "&amp;$B121&amp;", ",", "&amp;'Giao nhận &amp; Theo dõi đơn'!$B$7:$B$500&amp;", ")),--('Giao nhận &amp; Theo dõi đơn'!$AT$7:$AT$500="Fail"))+SUMPRODUCT(--ISNUMBER(SEARCH(", "&amp;$B121&amp;", ",", "&amp;'Bảng tin &amp; Chi tiết tin'!$B$7:$B$500&amp;", ")),--('Bảng tin &amp; Chi tiết tin'!$AT$7:$AT$500="Fail"))+SUMPRODUCT(--ISNUMBER(SEARCH(", "&amp;$B121&amp;", ",", "&amp;'Quà cảm ơn'!$B$7:$B$500&amp;", ")),--('Quà cảm ơn'!$AT$7:$AT$500="Fail"))+SUMPRODUCT(--ISNUMBER(SEARCH(", "&amp;$B121&amp;", ",", "&amp;'Trang chủ'!$B$7:$B$500&amp;", ")),--('Trang chủ'!$AT$7:$AT$500="Fail"))+SUMPRODUCT(--ISNUMBER(SEARCH(", "&amp;$B121&amp;", ",", "&amp;'Thông báo'!$B$7:$B$500&amp;", ")),--('Thông báo'!$AT$7:$AT$500="Fail"))+SUMPRODUCT(--ISNUMBER(SEARCH(", "&amp;$B121&amp;", ",", "&amp;'Đăng tin &amp; Quản lý tin'!$B$7:$B$500&amp;", ")),--('Đăng tin &amp; Quản lý tin'!$AT$7:$AT$500="Fail"))+SUMPRODUCT(--ISNUMBER(SEARCH(", "&amp;$B121&amp;", ",", "&amp;'Trust &amp; Safety'!$B$7:$B$500&amp;", ")),--('Trust &amp; Safety'!$AT$7:$AT$500="Fail"))+SUMPRODUCT(--ISNUMBER(SEARCH(", "&amp;$B121&amp;", ",", "&amp;'Tài khoản &amp; Hồ sơ'!$B$7:$B$500&amp;", ")),--('Tài khoản &amp; Hồ sơ'!$AT$7:$AT$500="Fail"))</f>
        <v/>
      </c>
      <c r="I121" s="53">
        <f>SUMPRODUCT(--ISNUMBER(SEARCH(", "&amp;$B121&amp;", ",", "&amp;'Hoạt động (Đơn của tôi)'!$B$7:$B$500&amp;", ")),--('Hoạt động (Đơn của tôi)'!$AT$7:$AT$500="Block"))+SUMPRODUCT(--ISNUMBER(SEARCH(", "&amp;$B121&amp;", ",", "&amp;'Ghép nối'!$B$7:$B$500&amp;", ")),--('Ghép nối'!$AT$7:$AT$500="Block"))+SUMPRODUCT(--ISNUMBER(SEARCH(", "&amp;$B121&amp;", ",", "&amp;'Huỷ đơn - Huỷ nhận đơn'!$B$7:$B$500&amp;", ")),--('Huỷ đơn - Huỷ nhận đơn'!$AT$7:$AT$500="Block"))+SUMPRODUCT(--ISNUMBER(SEARCH(", "&amp;$B121&amp;", ",", "&amp;'Giao nhận &amp; Theo dõi đơn'!$B$7:$B$500&amp;", ")),--('Giao nhận &amp; Theo dõi đơn'!$AT$7:$AT$500="Block"))+SUMPRODUCT(--ISNUMBER(SEARCH(", "&amp;$B121&amp;", ",", "&amp;'Bảng tin &amp; Chi tiết tin'!$B$7:$B$500&amp;", ")),--('Bảng tin &amp; Chi tiết tin'!$AT$7:$AT$500="Block"))+SUMPRODUCT(--ISNUMBER(SEARCH(", "&amp;$B121&amp;", ",", "&amp;'Quà cảm ơn'!$B$7:$B$500&amp;", ")),--('Quà cảm ơn'!$AT$7:$AT$500="Block"))+SUMPRODUCT(--ISNUMBER(SEARCH(", "&amp;$B121&amp;", ",", "&amp;'Trang chủ'!$B$7:$B$500&amp;", ")),--('Trang chủ'!$AT$7:$AT$500="Block"))+SUMPRODUCT(--ISNUMBER(SEARCH(", "&amp;$B121&amp;", ",", "&amp;'Thông báo'!$B$7:$B$500&amp;", ")),--('Thông báo'!$AT$7:$AT$500="Block"))+SUMPRODUCT(--ISNUMBER(SEARCH(", "&amp;$B121&amp;", ",", "&amp;'Đăng tin &amp; Quản lý tin'!$B$7:$B$500&amp;", ")),--('Đăng tin &amp; Quản lý tin'!$AT$7:$AT$500="Block"))+SUMPRODUCT(--ISNUMBER(SEARCH(", "&amp;$B121&amp;", ",", "&amp;'Trust &amp; Safety'!$B$7:$B$500&amp;", ")),--('Trust &amp; Safety'!$AT$7:$AT$500="Block"))+SUMPRODUCT(--ISNUMBER(SEARCH(", "&amp;$B121&amp;", ",", "&amp;'Tài khoản &amp; Hồ sơ'!$B$7:$B$500&amp;", ")),--('Tài khoản &amp; Hồ sơ'!$AT$7:$AT$500="Block"))</f>
        <v/>
      </c>
      <c r="J121" s="53">
        <f>SUMPRODUCT(--ISNUMBER(SEARCH(", "&amp;$B121&amp;", ",", "&amp;'Hoạt động (Đơn của tôi)'!$B$7:$B$500&amp;", ")),--('Hoạt động (Đơn của tôi)'!$AT$7:$AT$500="N/A"))+SUMPRODUCT(--ISNUMBER(SEARCH(", "&amp;$B121&amp;", ",", "&amp;'Ghép nối'!$B$7:$B$500&amp;", ")),--('Ghép nối'!$AT$7:$AT$500="N/A"))+SUMPRODUCT(--ISNUMBER(SEARCH(", "&amp;$B121&amp;", ",", "&amp;'Huỷ đơn - Huỷ nhận đơn'!$B$7:$B$500&amp;", ")),--('Huỷ đơn - Huỷ nhận đơn'!$AT$7:$AT$500="N/A"))+SUMPRODUCT(--ISNUMBER(SEARCH(", "&amp;$B121&amp;", ",", "&amp;'Giao nhận &amp; Theo dõi đơn'!$B$7:$B$500&amp;", ")),--('Giao nhận &amp; Theo dõi đơn'!$AT$7:$AT$500="N/A"))+SUMPRODUCT(--ISNUMBER(SEARCH(", "&amp;$B121&amp;", ",", "&amp;'Bảng tin &amp; Chi tiết tin'!$B$7:$B$500&amp;", ")),--('Bảng tin &amp; Chi tiết tin'!$AT$7:$AT$500="N/A"))+SUMPRODUCT(--ISNUMBER(SEARCH(", "&amp;$B121&amp;", ",", "&amp;'Quà cảm ơn'!$B$7:$B$500&amp;", ")),--('Quà cảm ơn'!$AT$7:$AT$500="N/A"))+SUMPRODUCT(--ISNUMBER(SEARCH(", "&amp;$B121&amp;", ",", "&amp;'Trang chủ'!$B$7:$B$500&amp;", ")),--('Trang chủ'!$AT$7:$AT$500="N/A"))+SUMPRODUCT(--ISNUMBER(SEARCH(", "&amp;$B121&amp;", ",", "&amp;'Thông báo'!$B$7:$B$500&amp;", ")),--('Thông báo'!$AT$7:$AT$500="N/A"))+SUMPRODUCT(--ISNUMBER(SEARCH(", "&amp;$B121&amp;", ",", "&amp;'Đăng tin &amp; Quản lý tin'!$B$7:$B$500&amp;", ")),--('Đăng tin &amp; Quản lý tin'!$AT$7:$AT$500="N/A"))+SUMPRODUCT(--ISNUMBER(SEARCH(", "&amp;$B121&amp;", ",", "&amp;'Trust &amp; Safety'!$B$7:$B$500&amp;", ")),--('Trust &amp; Safety'!$AT$7:$AT$500="N/A"))+SUMPRODUCT(--ISNUMBER(SEARCH(", "&amp;$B121&amp;", ",", "&amp;'Tài khoản &amp; Hồ sơ'!$B$7:$B$500&amp;", ")),--('Tài khoản &amp; Hồ sơ'!$AT$7:$AT$500="N/A"))</f>
        <v/>
      </c>
      <c r="K121" s="54">
        <f>IFERROR(F121/E121,0)</f>
        <v/>
      </c>
      <c r="L121" s="113">
        <f>IF(E121=0,"Chưa có TC (gap)",IF(H121&gt;0,"Có lỗi (Fail)",IF(I121&gt;0,"Bị block",IF(F121&lt;E121,"Đang test",IF(G121=0,"Không áp dụng (N/A)","Đã test xong")))))</f>
        <v/>
      </c>
      <c r="AB121" t="inlineStr">
        <is>
          <t>REQ-ORD</t>
        </is>
      </c>
    </row>
    <row r="122" ht="15.75" customHeight="1" s="216">
      <c r="A122" s="1" t="n"/>
      <c r="B122" s="112" t="inlineStr">
        <is>
          <t>REQ-ORD-004</t>
        </is>
      </c>
      <c r="C122" s="261" t="inlineStr"/>
      <c r="D122" s="113" t="inlineStr">
        <is>
          <t>DOC-v1.0-01</t>
        </is>
      </c>
      <c r="E122" s="53">
        <f>SUMPRODUCT(--ISNUMBER(SEARCH(", "&amp;$B122&amp;", ",", "&amp;'Hoạt động (Đơn của tôi)'!$B$7:$B$500&amp;", ")))+SUMPRODUCT(--ISNUMBER(SEARCH(", "&amp;$B122&amp;", ",", "&amp;'Ghép nối'!$B$7:$B$500&amp;", ")))+SUMPRODUCT(--ISNUMBER(SEARCH(", "&amp;$B122&amp;", ",", "&amp;'Huỷ đơn - Huỷ nhận đơn'!$B$7:$B$500&amp;", ")))+SUMPRODUCT(--ISNUMBER(SEARCH(", "&amp;$B122&amp;", ",", "&amp;'Giao nhận &amp; Theo dõi đơn'!$B$7:$B$500&amp;", ")))+SUMPRODUCT(--ISNUMBER(SEARCH(", "&amp;$B122&amp;", ",", "&amp;'Bảng tin &amp; Chi tiết tin'!$B$7:$B$500&amp;", ")))+SUMPRODUCT(--ISNUMBER(SEARCH(", "&amp;$B122&amp;", ",", "&amp;'Quà cảm ơn'!$B$7:$B$500&amp;", ")))+SUMPRODUCT(--ISNUMBER(SEARCH(", "&amp;$B122&amp;", ",", "&amp;'Trang chủ'!$B$7:$B$500&amp;", ")))+SUMPRODUCT(--ISNUMBER(SEARCH(", "&amp;$B122&amp;", ",", "&amp;'Thông báo'!$B$7:$B$500&amp;", ")))+SUMPRODUCT(--ISNUMBER(SEARCH(", "&amp;$B122&amp;", ",", "&amp;'Đăng tin &amp; Quản lý tin'!$B$7:$B$500&amp;", ")))+SUMPRODUCT(--ISNUMBER(SEARCH(", "&amp;$B122&amp;", ",", "&amp;'Trust &amp; Safety'!$B$7:$B$500&amp;", ")))+SUMPRODUCT(--ISNUMBER(SEARCH(", "&amp;$B122&amp;", ",", "&amp;'Tài khoản &amp; Hồ sơ'!$B$7:$B$500&amp;", ")))</f>
        <v/>
      </c>
      <c r="F122" s="53">
        <f>SUMPRODUCT(--ISNUMBER(SEARCH(", "&amp;$B122&amp;", ",", "&amp;'Hoạt động (Đơn của tôi)'!$B$7:$B$500&amp;", ")),--('Hoạt động (Đơn của tôi)'!$AT$7:$AT$500&lt;&gt;""))+SUMPRODUCT(--ISNUMBER(SEARCH(", "&amp;$B122&amp;", ",", "&amp;'Ghép nối'!$B$7:$B$500&amp;", ")),--('Ghép nối'!$AT$7:$AT$500&lt;&gt;""))+SUMPRODUCT(--ISNUMBER(SEARCH(", "&amp;$B122&amp;", ",", "&amp;'Huỷ đơn - Huỷ nhận đơn'!$B$7:$B$500&amp;", ")),--('Huỷ đơn - Huỷ nhận đơn'!$AT$7:$AT$500&lt;&gt;""))+SUMPRODUCT(--ISNUMBER(SEARCH(", "&amp;$B122&amp;", ",", "&amp;'Giao nhận &amp; Theo dõi đơn'!$B$7:$B$500&amp;", ")),--('Giao nhận &amp; Theo dõi đơn'!$AT$7:$AT$500&lt;&gt;""))+SUMPRODUCT(--ISNUMBER(SEARCH(", "&amp;$B122&amp;", ",", "&amp;'Bảng tin &amp; Chi tiết tin'!$B$7:$B$500&amp;", ")),--('Bảng tin &amp; Chi tiết tin'!$AT$7:$AT$500&lt;&gt;""))+SUMPRODUCT(--ISNUMBER(SEARCH(", "&amp;$B122&amp;", ",", "&amp;'Quà cảm ơn'!$B$7:$B$500&amp;", ")),--('Quà cảm ơn'!$AT$7:$AT$500&lt;&gt;""))+SUMPRODUCT(--ISNUMBER(SEARCH(", "&amp;$B122&amp;", ",", "&amp;'Trang chủ'!$B$7:$B$500&amp;", ")),--('Trang chủ'!$AT$7:$AT$500&lt;&gt;""))+SUMPRODUCT(--ISNUMBER(SEARCH(", "&amp;$B122&amp;", ",", "&amp;'Thông báo'!$B$7:$B$500&amp;", ")),--('Thông báo'!$AT$7:$AT$500&lt;&gt;""))+SUMPRODUCT(--ISNUMBER(SEARCH(", "&amp;$B122&amp;", ",", "&amp;'Đăng tin &amp; Quản lý tin'!$B$7:$B$500&amp;", ")),--('Đăng tin &amp; Quản lý tin'!$AT$7:$AT$500&lt;&gt;""))+SUMPRODUCT(--ISNUMBER(SEARCH(", "&amp;$B122&amp;", ",", "&amp;'Trust &amp; Safety'!$B$7:$B$500&amp;", ")),--('Trust &amp; Safety'!$AT$7:$AT$500&lt;&gt;""))+SUMPRODUCT(--ISNUMBER(SEARCH(", "&amp;$B122&amp;", ",", "&amp;'Tài khoản &amp; Hồ sơ'!$B$7:$B$500&amp;", ")),--('Tài khoản &amp; Hồ sơ'!$AT$7:$AT$500&lt;&gt;""))</f>
        <v/>
      </c>
      <c r="G122" s="53">
        <f>SUMPRODUCT(--ISNUMBER(SEARCH(", "&amp;$B122&amp;", ",", "&amp;'Hoạt động (Đơn của tôi)'!$B$7:$B$500&amp;", ")),--('Hoạt động (Đơn của tôi)'!$AT$7:$AT$500="Pass"))+SUMPRODUCT(--ISNUMBER(SEARCH(", "&amp;$B122&amp;", ",", "&amp;'Ghép nối'!$B$7:$B$500&amp;", ")),--('Ghép nối'!$AT$7:$AT$500="Pass"))+SUMPRODUCT(--ISNUMBER(SEARCH(", "&amp;$B122&amp;", ",", "&amp;'Huỷ đơn - Huỷ nhận đơn'!$B$7:$B$500&amp;", ")),--('Huỷ đơn - Huỷ nhận đơn'!$AT$7:$AT$500="Pass"))+SUMPRODUCT(--ISNUMBER(SEARCH(", "&amp;$B122&amp;", ",", "&amp;'Giao nhận &amp; Theo dõi đơn'!$B$7:$B$500&amp;", ")),--('Giao nhận &amp; Theo dõi đơn'!$AT$7:$AT$500="Pass"))+SUMPRODUCT(--ISNUMBER(SEARCH(", "&amp;$B122&amp;", ",", "&amp;'Bảng tin &amp; Chi tiết tin'!$B$7:$B$500&amp;", ")),--('Bảng tin &amp; Chi tiết tin'!$AT$7:$AT$500="Pass"))+SUMPRODUCT(--ISNUMBER(SEARCH(", "&amp;$B122&amp;", ",", "&amp;'Quà cảm ơn'!$B$7:$B$500&amp;", ")),--('Quà cảm ơn'!$AT$7:$AT$500="Pass"))+SUMPRODUCT(--ISNUMBER(SEARCH(", "&amp;$B122&amp;", ",", "&amp;'Trang chủ'!$B$7:$B$500&amp;", ")),--('Trang chủ'!$AT$7:$AT$500="Pass"))+SUMPRODUCT(--ISNUMBER(SEARCH(", "&amp;$B122&amp;", ",", "&amp;'Thông báo'!$B$7:$B$500&amp;", ")),--('Thông báo'!$AT$7:$AT$500="Pass"))+SUMPRODUCT(--ISNUMBER(SEARCH(", "&amp;$B122&amp;", ",", "&amp;'Đăng tin &amp; Quản lý tin'!$B$7:$B$500&amp;", ")),--('Đăng tin &amp; Quản lý tin'!$AT$7:$AT$500="Pass"))+SUMPRODUCT(--ISNUMBER(SEARCH(", "&amp;$B122&amp;", ",", "&amp;'Trust &amp; Safety'!$B$7:$B$500&amp;", ")),--('Trust &amp; Safety'!$AT$7:$AT$500="Pass"))+SUMPRODUCT(--ISNUMBER(SEARCH(", "&amp;$B122&amp;", ",", "&amp;'Tài khoản &amp; Hồ sơ'!$B$7:$B$500&amp;", ")),--('Tài khoản &amp; Hồ sơ'!$AT$7:$AT$500="Pass"))</f>
        <v/>
      </c>
      <c r="H122" s="53">
        <f>SUMPRODUCT(--ISNUMBER(SEARCH(", "&amp;$B122&amp;", ",", "&amp;'Hoạt động (Đơn của tôi)'!$B$7:$B$500&amp;", ")),--('Hoạt động (Đơn của tôi)'!$AT$7:$AT$500="Fail"))+SUMPRODUCT(--ISNUMBER(SEARCH(", "&amp;$B122&amp;", ",", "&amp;'Ghép nối'!$B$7:$B$500&amp;", ")),--('Ghép nối'!$AT$7:$AT$500="Fail"))+SUMPRODUCT(--ISNUMBER(SEARCH(", "&amp;$B122&amp;", ",", "&amp;'Huỷ đơn - Huỷ nhận đơn'!$B$7:$B$500&amp;", ")),--('Huỷ đơn - Huỷ nhận đơn'!$AT$7:$AT$500="Fail"))+SUMPRODUCT(--ISNUMBER(SEARCH(", "&amp;$B122&amp;", ",", "&amp;'Giao nhận &amp; Theo dõi đơn'!$B$7:$B$500&amp;", ")),--('Giao nhận &amp; Theo dõi đơn'!$AT$7:$AT$500="Fail"))+SUMPRODUCT(--ISNUMBER(SEARCH(", "&amp;$B122&amp;", ",", "&amp;'Bảng tin &amp; Chi tiết tin'!$B$7:$B$500&amp;", ")),--('Bảng tin &amp; Chi tiết tin'!$AT$7:$AT$500="Fail"))+SUMPRODUCT(--ISNUMBER(SEARCH(", "&amp;$B122&amp;", ",", "&amp;'Quà cảm ơn'!$B$7:$B$500&amp;", ")),--('Quà cảm ơn'!$AT$7:$AT$500="Fail"))+SUMPRODUCT(--ISNUMBER(SEARCH(", "&amp;$B122&amp;", ",", "&amp;'Trang chủ'!$B$7:$B$500&amp;", ")),--('Trang chủ'!$AT$7:$AT$500="Fail"))+SUMPRODUCT(--ISNUMBER(SEARCH(", "&amp;$B122&amp;", ",", "&amp;'Thông báo'!$B$7:$B$500&amp;", ")),--('Thông báo'!$AT$7:$AT$500="Fail"))+SUMPRODUCT(--ISNUMBER(SEARCH(", "&amp;$B122&amp;", ",", "&amp;'Đăng tin &amp; Quản lý tin'!$B$7:$B$500&amp;", ")),--('Đăng tin &amp; Quản lý tin'!$AT$7:$AT$500="Fail"))+SUMPRODUCT(--ISNUMBER(SEARCH(", "&amp;$B122&amp;", ",", "&amp;'Trust &amp; Safety'!$B$7:$B$500&amp;", ")),--('Trust &amp; Safety'!$AT$7:$AT$500="Fail"))+SUMPRODUCT(--ISNUMBER(SEARCH(", "&amp;$B122&amp;", ",", "&amp;'Tài khoản &amp; Hồ sơ'!$B$7:$B$500&amp;", ")),--('Tài khoản &amp; Hồ sơ'!$AT$7:$AT$500="Fail"))</f>
        <v/>
      </c>
      <c r="I122" s="53">
        <f>SUMPRODUCT(--ISNUMBER(SEARCH(", "&amp;$B122&amp;", ",", "&amp;'Hoạt động (Đơn của tôi)'!$B$7:$B$500&amp;", ")),--('Hoạt động (Đơn của tôi)'!$AT$7:$AT$500="Block"))+SUMPRODUCT(--ISNUMBER(SEARCH(", "&amp;$B122&amp;", ",", "&amp;'Ghép nối'!$B$7:$B$500&amp;", ")),--('Ghép nối'!$AT$7:$AT$500="Block"))+SUMPRODUCT(--ISNUMBER(SEARCH(", "&amp;$B122&amp;", ",", "&amp;'Huỷ đơn - Huỷ nhận đơn'!$B$7:$B$500&amp;", ")),--('Huỷ đơn - Huỷ nhận đơn'!$AT$7:$AT$500="Block"))+SUMPRODUCT(--ISNUMBER(SEARCH(", "&amp;$B122&amp;", ",", "&amp;'Giao nhận &amp; Theo dõi đơn'!$B$7:$B$500&amp;", ")),--('Giao nhận &amp; Theo dõi đơn'!$AT$7:$AT$500="Block"))+SUMPRODUCT(--ISNUMBER(SEARCH(", "&amp;$B122&amp;", ",", "&amp;'Bảng tin &amp; Chi tiết tin'!$B$7:$B$500&amp;", ")),--('Bảng tin &amp; Chi tiết tin'!$AT$7:$AT$500="Block"))+SUMPRODUCT(--ISNUMBER(SEARCH(", "&amp;$B122&amp;", ",", "&amp;'Quà cảm ơn'!$B$7:$B$500&amp;", ")),--('Quà cảm ơn'!$AT$7:$AT$500="Block"))+SUMPRODUCT(--ISNUMBER(SEARCH(", "&amp;$B122&amp;", ",", "&amp;'Trang chủ'!$B$7:$B$500&amp;", ")),--('Trang chủ'!$AT$7:$AT$500="Block"))+SUMPRODUCT(--ISNUMBER(SEARCH(", "&amp;$B122&amp;", ",", "&amp;'Thông báo'!$B$7:$B$500&amp;", ")),--('Thông báo'!$AT$7:$AT$500="Block"))+SUMPRODUCT(--ISNUMBER(SEARCH(", "&amp;$B122&amp;", ",", "&amp;'Đăng tin &amp; Quản lý tin'!$B$7:$B$500&amp;", ")),--('Đăng tin &amp; Quản lý tin'!$AT$7:$AT$500="Block"))+SUMPRODUCT(--ISNUMBER(SEARCH(", "&amp;$B122&amp;", ",", "&amp;'Trust &amp; Safety'!$B$7:$B$500&amp;", ")),--('Trust &amp; Safety'!$AT$7:$AT$500="Block"))+SUMPRODUCT(--ISNUMBER(SEARCH(", "&amp;$B122&amp;", ",", "&amp;'Tài khoản &amp; Hồ sơ'!$B$7:$B$500&amp;", ")),--('Tài khoản &amp; Hồ sơ'!$AT$7:$AT$500="Block"))</f>
        <v/>
      </c>
      <c r="J122" s="53">
        <f>SUMPRODUCT(--ISNUMBER(SEARCH(", "&amp;$B122&amp;", ",", "&amp;'Hoạt động (Đơn của tôi)'!$B$7:$B$500&amp;", ")),--('Hoạt động (Đơn của tôi)'!$AT$7:$AT$500="N/A"))+SUMPRODUCT(--ISNUMBER(SEARCH(", "&amp;$B122&amp;", ",", "&amp;'Ghép nối'!$B$7:$B$500&amp;", ")),--('Ghép nối'!$AT$7:$AT$500="N/A"))+SUMPRODUCT(--ISNUMBER(SEARCH(", "&amp;$B122&amp;", ",", "&amp;'Huỷ đơn - Huỷ nhận đơn'!$B$7:$B$500&amp;", ")),--('Huỷ đơn - Huỷ nhận đơn'!$AT$7:$AT$500="N/A"))+SUMPRODUCT(--ISNUMBER(SEARCH(", "&amp;$B122&amp;", ",", "&amp;'Giao nhận &amp; Theo dõi đơn'!$B$7:$B$500&amp;", ")),--('Giao nhận &amp; Theo dõi đơn'!$AT$7:$AT$500="N/A"))+SUMPRODUCT(--ISNUMBER(SEARCH(", "&amp;$B122&amp;", ",", "&amp;'Bảng tin &amp; Chi tiết tin'!$B$7:$B$500&amp;", ")),--('Bảng tin &amp; Chi tiết tin'!$AT$7:$AT$500="N/A"))+SUMPRODUCT(--ISNUMBER(SEARCH(", "&amp;$B122&amp;", ",", "&amp;'Quà cảm ơn'!$B$7:$B$500&amp;", ")),--('Quà cảm ơn'!$AT$7:$AT$500="N/A"))+SUMPRODUCT(--ISNUMBER(SEARCH(", "&amp;$B122&amp;", ",", "&amp;'Trang chủ'!$B$7:$B$500&amp;", ")),--('Trang chủ'!$AT$7:$AT$500="N/A"))+SUMPRODUCT(--ISNUMBER(SEARCH(", "&amp;$B122&amp;", ",", "&amp;'Thông báo'!$B$7:$B$500&amp;", ")),--('Thông báo'!$AT$7:$AT$500="N/A"))+SUMPRODUCT(--ISNUMBER(SEARCH(", "&amp;$B122&amp;", ",", "&amp;'Đăng tin &amp; Quản lý tin'!$B$7:$B$500&amp;", ")),--('Đăng tin &amp; Quản lý tin'!$AT$7:$AT$500="N/A"))+SUMPRODUCT(--ISNUMBER(SEARCH(", "&amp;$B122&amp;", ",", "&amp;'Trust &amp; Safety'!$B$7:$B$500&amp;", ")),--('Trust &amp; Safety'!$AT$7:$AT$500="N/A"))+SUMPRODUCT(--ISNUMBER(SEARCH(", "&amp;$B122&amp;", ",", "&amp;'Tài khoản &amp; Hồ sơ'!$B$7:$B$500&amp;", ")),--('Tài khoản &amp; Hồ sơ'!$AT$7:$AT$500="N/A"))</f>
        <v/>
      </c>
      <c r="K122" s="54">
        <f>IFERROR(F122/E122,0)</f>
        <v/>
      </c>
      <c r="L122" s="113">
        <f>IF(E122=0,"Chưa có TC (gap)",IF(H122&gt;0,"Có lỗi (Fail)",IF(I122&gt;0,"Bị block",IF(F122&lt;E122,"Đang test",IF(G122=0,"Không áp dụng (N/A)","Đã test xong")))))</f>
        <v/>
      </c>
      <c r="AB122" t="inlineStr">
        <is>
          <t>REQ-ORD</t>
        </is>
      </c>
    </row>
    <row r="123" ht="15.75" customHeight="1" s="216">
      <c r="A123" s="1" t="n"/>
      <c r="B123" s="112" t="inlineStr">
        <is>
          <t>REQ-ORD-013</t>
        </is>
      </c>
      <c r="C123" s="261" t="inlineStr">
        <is>
          <t>Nguồn (v1.0) — `DOC-v1.0-01 §D3 ORD-09 L245` + `§D8.1 L373` ⇒ `C-ORD-12` Resolved: checkbox **chưa tick** mặc định.</t>
        </is>
      </c>
      <c r="D123" s="113" t="inlineStr">
        <is>
          <t>DOC-v1.1-01 §8.1.1 BR01-07 · trang 34</t>
        </is>
      </c>
      <c r="E123" s="53">
        <f>SUMPRODUCT(--ISNUMBER(SEARCH(", "&amp;$B123&amp;", ",", "&amp;'Hoạt động (Đơn của tôi)'!$B$7:$B$500&amp;", ")))+SUMPRODUCT(--ISNUMBER(SEARCH(", "&amp;$B123&amp;", ",", "&amp;'Ghép nối'!$B$7:$B$500&amp;", ")))+SUMPRODUCT(--ISNUMBER(SEARCH(", "&amp;$B123&amp;", ",", "&amp;'Huỷ đơn - Huỷ nhận đơn'!$B$7:$B$500&amp;", ")))+SUMPRODUCT(--ISNUMBER(SEARCH(", "&amp;$B123&amp;", ",", "&amp;'Giao nhận &amp; Theo dõi đơn'!$B$7:$B$500&amp;", ")))+SUMPRODUCT(--ISNUMBER(SEARCH(", "&amp;$B123&amp;", ",", "&amp;'Bảng tin &amp; Chi tiết tin'!$B$7:$B$500&amp;", ")))+SUMPRODUCT(--ISNUMBER(SEARCH(", "&amp;$B123&amp;", ",", "&amp;'Quà cảm ơn'!$B$7:$B$500&amp;", ")))+SUMPRODUCT(--ISNUMBER(SEARCH(", "&amp;$B123&amp;", ",", "&amp;'Trang chủ'!$B$7:$B$500&amp;", ")))+SUMPRODUCT(--ISNUMBER(SEARCH(", "&amp;$B123&amp;", ",", "&amp;'Thông báo'!$B$7:$B$500&amp;", ")))+SUMPRODUCT(--ISNUMBER(SEARCH(", "&amp;$B123&amp;", ",", "&amp;'Đăng tin &amp; Quản lý tin'!$B$7:$B$500&amp;", ")))+SUMPRODUCT(--ISNUMBER(SEARCH(", "&amp;$B123&amp;", ",", "&amp;'Trust &amp; Safety'!$B$7:$B$500&amp;", ")))+SUMPRODUCT(--ISNUMBER(SEARCH(", "&amp;$B123&amp;", ",", "&amp;'Tài khoản &amp; Hồ sơ'!$B$7:$B$500&amp;", ")))</f>
        <v/>
      </c>
      <c r="F123" s="53">
        <f>SUMPRODUCT(--ISNUMBER(SEARCH(", "&amp;$B123&amp;", ",", "&amp;'Hoạt động (Đơn của tôi)'!$B$7:$B$500&amp;", ")),--('Hoạt động (Đơn của tôi)'!$AT$7:$AT$500&lt;&gt;""))+SUMPRODUCT(--ISNUMBER(SEARCH(", "&amp;$B123&amp;", ",", "&amp;'Ghép nối'!$B$7:$B$500&amp;", ")),--('Ghép nối'!$AT$7:$AT$500&lt;&gt;""))+SUMPRODUCT(--ISNUMBER(SEARCH(", "&amp;$B123&amp;", ",", "&amp;'Huỷ đơn - Huỷ nhận đơn'!$B$7:$B$500&amp;", ")),--('Huỷ đơn - Huỷ nhận đơn'!$AT$7:$AT$500&lt;&gt;""))+SUMPRODUCT(--ISNUMBER(SEARCH(", "&amp;$B123&amp;", ",", "&amp;'Giao nhận &amp; Theo dõi đơn'!$B$7:$B$500&amp;", ")),--('Giao nhận &amp; Theo dõi đơn'!$AT$7:$AT$500&lt;&gt;""))+SUMPRODUCT(--ISNUMBER(SEARCH(", "&amp;$B123&amp;", ",", "&amp;'Bảng tin &amp; Chi tiết tin'!$B$7:$B$500&amp;", ")),--('Bảng tin &amp; Chi tiết tin'!$AT$7:$AT$500&lt;&gt;""))+SUMPRODUCT(--ISNUMBER(SEARCH(", "&amp;$B123&amp;", ",", "&amp;'Quà cảm ơn'!$B$7:$B$500&amp;", ")),--('Quà cảm ơn'!$AT$7:$AT$500&lt;&gt;""))+SUMPRODUCT(--ISNUMBER(SEARCH(", "&amp;$B123&amp;", ",", "&amp;'Trang chủ'!$B$7:$B$500&amp;", ")),--('Trang chủ'!$AT$7:$AT$500&lt;&gt;""))+SUMPRODUCT(--ISNUMBER(SEARCH(", "&amp;$B123&amp;", ",", "&amp;'Thông báo'!$B$7:$B$500&amp;", ")),--('Thông báo'!$AT$7:$AT$500&lt;&gt;""))+SUMPRODUCT(--ISNUMBER(SEARCH(", "&amp;$B123&amp;", ",", "&amp;'Đăng tin &amp; Quản lý tin'!$B$7:$B$500&amp;", ")),--('Đăng tin &amp; Quản lý tin'!$AT$7:$AT$500&lt;&gt;""))+SUMPRODUCT(--ISNUMBER(SEARCH(", "&amp;$B123&amp;", ",", "&amp;'Trust &amp; Safety'!$B$7:$B$500&amp;", ")),--('Trust &amp; Safety'!$AT$7:$AT$500&lt;&gt;""))+SUMPRODUCT(--ISNUMBER(SEARCH(", "&amp;$B123&amp;", ",", "&amp;'Tài khoản &amp; Hồ sơ'!$B$7:$B$500&amp;", ")),--('Tài khoản &amp; Hồ sơ'!$AT$7:$AT$500&lt;&gt;""))</f>
        <v/>
      </c>
      <c r="G123" s="53">
        <f>SUMPRODUCT(--ISNUMBER(SEARCH(", "&amp;$B123&amp;", ",", "&amp;'Hoạt động (Đơn của tôi)'!$B$7:$B$500&amp;", ")),--('Hoạt động (Đơn của tôi)'!$AT$7:$AT$500="Pass"))+SUMPRODUCT(--ISNUMBER(SEARCH(", "&amp;$B123&amp;", ",", "&amp;'Ghép nối'!$B$7:$B$500&amp;", ")),--('Ghép nối'!$AT$7:$AT$500="Pass"))+SUMPRODUCT(--ISNUMBER(SEARCH(", "&amp;$B123&amp;", ",", "&amp;'Huỷ đơn - Huỷ nhận đơn'!$B$7:$B$500&amp;", ")),--('Huỷ đơn - Huỷ nhận đơn'!$AT$7:$AT$500="Pass"))+SUMPRODUCT(--ISNUMBER(SEARCH(", "&amp;$B123&amp;", ",", "&amp;'Giao nhận &amp; Theo dõi đơn'!$B$7:$B$500&amp;", ")),--('Giao nhận &amp; Theo dõi đơn'!$AT$7:$AT$500="Pass"))+SUMPRODUCT(--ISNUMBER(SEARCH(", "&amp;$B123&amp;", ",", "&amp;'Bảng tin &amp; Chi tiết tin'!$B$7:$B$500&amp;", ")),--('Bảng tin &amp; Chi tiết tin'!$AT$7:$AT$500="Pass"))+SUMPRODUCT(--ISNUMBER(SEARCH(", "&amp;$B123&amp;", ",", "&amp;'Quà cảm ơn'!$B$7:$B$500&amp;", ")),--('Quà cảm ơn'!$AT$7:$AT$500="Pass"))+SUMPRODUCT(--ISNUMBER(SEARCH(", "&amp;$B123&amp;", ",", "&amp;'Trang chủ'!$B$7:$B$500&amp;", ")),--('Trang chủ'!$AT$7:$AT$500="Pass"))+SUMPRODUCT(--ISNUMBER(SEARCH(", "&amp;$B123&amp;", ",", "&amp;'Thông báo'!$B$7:$B$500&amp;", ")),--('Thông báo'!$AT$7:$AT$500="Pass"))+SUMPRODUCT(--ISNUMBER(SEARCH(", "&amp;$B123&amp;", ",", "&amp;'Đăng tin &amp; Quản lý tin'!$B$7:$B$500&amp;", ")),--('Đăng tin &amp; Quản lý tin'!$AT$7:$AT$500="Pass"))+SUMPRODUCT(--ISNUMBER(SEARCH(", "&amp;$B123&amp;", ",", "&amp;'Trust &amp; Safety'!$B$7:$B$500&amp;", ")),--('Trust &amp; Safety'!$AT$7:$AT$500="Pass"))+SUMPRODUCT(--ISNUMBER(SEARCH(", "&amp;$B123&amp;", ",", "&amp;'Tài khoản &amp; Hồ sơ'!$B$7:$B$500&amp;", ")),--('Tài khoản &amp; Hồ sơ'!$AT$7:$AT$500="Pass"))</f>
        <v/>
      </c>
      <c r="H123" s="53">
        <f>SUMPRODUCT(--ISNUMBER(SEARCH(", "&amp;$B123&amp;", ",", "&amp;'Hoạt động (Đơn của tôi)'!$B$7:$B$500&amp;", ")),--('Hoạt động (Đơn của tôi)'!$AT$7:$AT$500="Fail"))+SUMPRODUCT(--ISNUMBER(SEARCH(", "&amp;$B123&amp;", ",", "&amp;'Ghép nối'!$B$7:$B$500&amp;", ")),--('Ghép nối'!$AT$7:$AT$500="Fail"))+SUMPRODUCT(--ISNUMBER(SEARCH(", "&amp;$B123&amp;", ",", "&amp;'Huỷ đơn - Huỷ nhận đơn'!$B$7:$B$500&amp;", ")),--('Huỷ đơn - Huỷ nhận đơn'!$AT$7:$AT$500="Fail"))+SUMPRODUCT(--ISNUMBER(SEARCH(", "&amp;$B123&amp;", ",", "&amp;'Giao nhận &amp; Theo dõi đơn'!$B$7:$B$500&amp;", ")),--('Giao nhận &amp; Theo dõi đơn'!$AT$7:$AT$500="Fail"))+SUMPRODUCT(--ISNUMBER(SEARCH(", "&amp;$B123&amp;", ",", "&amp;'Bảng tin &amp; Chi tiết tin'!$B$7:$B$500&amp;", ")),--('Bảng tin &amp; Chi tiết tin'!$AT$7:$AT$500="Fail"))+SUMPRODUCT(--ISNUMBER(SEARCH(", "&amp;$B123&amp;", ",", "&amp;'Quà cảm ơn'!$B$7:$B$500&amp;", ")),--('Quà cảm ơn'!$AT$7:$AT$500="Fail"))+SUMPRODUCT(--ISNUMBER(SEARCH(", "&amp;$B123&amp;", ",", "&amp;'Trang chủ'!$B$7:$B$500&amp;", ")),--('Trang chủ'!$AT$7:$AT$500="Fail"))+SUMPRODUCT(--ISNUMBER(SEARCH(", "&amp;$B123&amp;", ",", "&amp;'Thông báo'!$B$7:$B$500&amp;", ")),--('Thông báo'!$AT$7:$AT$500="Fail"))+SUMPRODUCT(--ISNUMBER(SEARCH(", "&amp;$B123&amp;", ",", "&amp;'Đăng tin &amp; Quản lý tin'!$B$7:$B$500&amp;", ")),--('Đăng tin &amp; Quản lý tin'!$AT$7:$AT$500="Fail"))+SUMPRODUCT(--ISNUMBER(SEARCH(", "&amp;$B123&amp;", ",", "&amp;'Trust &amp; Safety'!$B$7:$B$500&amp;", ")),--('Trust &amp; Safety'!$AT$7:$AT$500="Fail"))+SUMPRODUCT(--ISNUMBER(SEARCH(", "&amp;$B123&amp;", ",", "&amp;'Tài khoản &amp; Hồ sơ'!$B$7:$B$500&amp;", ")),--('Tài khoản &amp; Hồ sơ'!$AT$7:$AT$500="Fail"))</f>
        <v/>
      </c>
      <c r="I123" s="53">
        <f>SUMPRODUCT(--ISNUMBER(SEARCH(", "&amp;$B123&amp;", ",", "&amp;'Hoạt động (Đơn của tôi)'!$B$7:$B$500&amp;", ")),--('Hoạt động (Đơn của tôi)'!$AT$7:$AT$500="Block"))+SUMPRODUCT(--ISNUMBER(SEARCH(", "&amp;$B123&amp;", ",", "&amp;'Ghép nối'!$B$7:$B$500&amp;", ")),--('Ghép nối'!$AT$7:$AT$500="Block"))+SUMPRODUCT(--ISNUMBER(SEARCH(", "&amp;$B123&amp;", ",", "&amp;'Huỷ đơn - Huỷ nhận đơn'!$B$7:$B$500&amp;", ")),--('Huỷ đơn - Huỷ nhận đơn'!$AT$7:$AT$500="Block"))+SUMPRODUCT(--ISNUMBER(SEARCH(", "&amp;$B123&amp;", ",", "&amp;'Giao nhận &amp; Theo dõi đơn'!$B$7:$B$500&amp;", ")),--('Giao nhận &amp; Theo dõi đơn'!$AT$7:$AT$500="Block"))+SUMPRODUCT(--ISNUMBER(SEARCH(", "&amp;$B123&amp;", ",", "&amp;'Bảng tin &amp; Chi tiết tin'!$B$7:$B$500&amp;", ")),--('Bảng tin &amp; Chi tiết tin'!$AT$7:$AT$500="Block"))+SUMPRODUCT(--ISNUMBER(SEARCH(", "&amp;$B123&amp;", ",", "&amp;'Quà cảm ơn'!$B$7:$B$500&amp;", ")),--('Quà cảm ơn'!$AT$7:$AT$500="Block"))+SUMPRODUCT(--ISNUMBER(SEARCH(", "&amp;$B123&amp;", ",", "&amp;'Trang chủ'!$B$7:$B$500&amp;", ")),--('Trang chủ'!$AT$7:$AT$500="Block"))+SUMPRODUCT(--ISNUMBER(SEARCH(", "&amp;$B123&amp;", ",", "&amp;'Thông báo'!$B$7:$B$500&amp;", ")),--('Thông báo'!$AT$7:$AT$500="Block"))+SUMPRODUCT(--ISNUMBER(SEARCH(", "&amp;$B123&amp;", ",", "&amp;'Đăng tin &amp; Quản lý tin'!$B$7:$B$500&amp;", ")),--('Đăng tin &amp; Quản lý tin'!$AT$7:$AT$500="Block"))+SUMPRODUCT(--ISNUMBER(SEARCH(", "&amp;$B123&amp;", ",", "&amp;'Trust &amp; Safety'!$B$7:$B$500&amp;", ")),--('Trust &amp; Safety'!$AT$7:$AT$500="Block"))+SUMPRODUCT(--ISNUMBER(SEARCH(", "&amp;$B123&amp;", ",", "&amp;'Tài khoản &amp; Hồ sơ'!$B$7:$B$500&amp;", ")),--('Tài khoản &amp; Hồ sơ'!$AT$7:$AT$500="Block"))</f>
        <v/>
      </c>
      <c r="J123" s="53">
        <f>SUMPRODUCT(--ISNUMBER(SEARCH(", "&amp;$B123&amp;", ",", "&amp;'Hoạt động (Đơn của tôi)'!$B$7:$B$500&amp;", ")),--('Hoạt động (Đơn của tôi)'!$AT$7:$AT$500="N/A"))+SUMPRODUCT(--ISNUMBER(SEARCH(", "&amp;$B123&amp;", ",", "&amp;'Ghép nối'!$B$7:$B$500&amp;", ")),--('Ghép nối'!$AT$7:$AT$500="N/A"))+SUMPRODUCT(--ISNUMBER(SEARCH(", "&amp;$B123&amp;", ",", "&amp;'Huỷ đơn - Huỷ nhận đơn'!$B$7:$B$500&amp;", ")),--('Huỷ đơn - Huỷ nhận đơn'!$AT$7:$AT$500="N/A"))+SUMPRODUCT(--ISNUMBER(SEARCH(", "&amp;$B123&amp;", ",", "&amp;'Giao nhận &amp; Theo dõi đơn'!$B$7:$B$500&amp;", ")),--('Giao nhận &amp; Theo dõi đơn'!$AT$7:$AT$500="N/A"))+SUMPRODUCT(--ISNUMBER(SEARCH(", "&amp;$B123&amp;", ",", "&amp;'Bảng tin &amp; Chi tiết tin'!$B$7:$B$500&amp;", ")),--('Bảng tin &amp; Chi tiết tin'!$AT$7:$AT$500="N/A"))+SUMPRODUCT(--ISNUMBER(SEARCH(", "&amp;$B123&amp;", ",", "&amp;'Quà cảm ơn'!$B$7:$B$500&amp;", ")),--('Quà cảm ơn'!$AT$7:$AT$500="N/A"))+SUMPRODUCT(--ISNUMBER(SEARCH(", "&amp;$B123&amp;", ",", "&amp;'Trang chủ'!$B$7:$B$500&amp;", ")),--('Trang chủ'!$AT$7:$AT$500="N/A"))+SUMPRODUCT(--ISNUMBER(SEARCH(", "&amp;$B123&amp;", ",", "&amp;'Thông báo'!$B$7:$B$500&amp;", ")),--('Thông báo'!$AT$7:$AT$500="N/A"))+SUMPRODUCT(--ISNUMBER(SEARCH(", "&amp;$B123&amp;", ",", "&amp;'Đăng tin &amp; Quản lý tin'!$B$7:$B$500&amp;", ")),--('Đăng tin &amp; Quản lý tin'!$AT$7:$AT$500="N/A"))+SUMPRODUCT(--ISNUMBER(SEARCH(", "&amp;$B123&amp;", ",", "&amp;'Trust &amp; Safety'!$B$7:$B$500&amp;", ")),--('Trust &amp; Safety'!$AT$7:$AT$500="N/A"))+SUMPRODUCT(--ISNUMBER(SEARCH(", "&amp;$B123&amp;", ",", "&amp;'Tài khoản &amp; Hồ sơ'!$B$7:$B$500&amp;", ")),--('Tài khoản &amp; Hồ sơ'!$AT$7:$AT$500="N/A"))</f>
        <v/>
      </c>
      <c r="K123" s="54">
        <f>IFERROR(F123/E123,0)</f>
        <v/>
      </c>
      <c r="L123" s="113">
        <f>IF(E123=0,"Chưa có TC (gap)",IF(H123&gt;0,"Có lỗi (Fail)",IF(I123&gt;0,"Bị block",IF(F123&lt;E123,"Đang test",IF(G123=0,"Không áp dụng (N/A)","Đã test xong")))))</f>
        <v/>
      </c>
      <c r="AB123" t="inlineStr">
        <is>
          <t>REQ-ORD</t>
        </is>
      </c>
    </row>
    <row r="124" ht="15.75" customHeight="1" s="216">
      <c r="A124" s="1" t="n"/>
      <c r="B124" s="112" t="inlineStr">
        <is>
          <t>REQ-ORD-014</t>
        </is>
      </c>
      <c r="C124" s="261" t="inlineStr"/>
      <c r="D124" s="113" t="inlineStr">
        <is>
          <t>DOC-v1.0-01 · DOC-v1.0-06</t>
        </is>
      </c>
      <c r="E124" s="53">
        <f>SUMPRODUCT(--ISNUMBER(SEARCH(", "&amp;$B124&amp;", ",", "&amp;'Hoạt động (Đơn của tôi)'!$B$7:$B$500&amp;", ")))+SUMPRODUCT(--ISNUMBER(SEARCH(", "&amp;$B124&amp;", ",", "&amp;'Ghép nối'!$B$7:$B$500&amp;", ")))+SUMPRODUCT(--ISNUMBER(SEARCH(", "&amp;$B124&amp;", ",", "&amp;'Huỷ đơn - Huỷ nhận đơn'!$B$7:$B$500&amp;", ")))+SUMPRODUCT(--ISNUMBER(SEARCH(", "&amp;$B124&amp;", ",", "&amp;'Giao nhận &amp; Theo dõi đơn'!$B$7:$B$500&amp;", ")))+SUMPRODUCT(--ISNUMBER(SEARCH(", "&amp;$B124&amp;", ",", "&amp;'Bảng tin &amp; Chi tiết tin'!$B$7:$B$500&amp;", ")))+SUMPRODUCT(--ISNUMBER(SEARCH(", "&amp;$B124&amp;", ",", "&amp;'Quà cảm ơn'!$B$7:$B$500&amp;", ")))+SUMPRODUCT(--ISNUMBER(SEARCH(", "&amp;$B124&amp;", ",", "&amp;'Trang chủ'!$B$7:$B$500&amp;", ")))+SUMPRODUCT(--ISNUMBER(SEARCH(", "&amp;$B124&amp;", ",", "&amp;'Thông báo'!$B$7:$B$500&amp;", ")))+SUMPRODUCT(--ISNUMBER(SEARCH(", "&amp;$B124&amp;", ",", "&amp;'Đăng tin &amp; Quản lý tin'!$B$7:$B$500&amp;", ")))+SUMPRODUCT(--ISNUMBER(SEARCH(", "&amp;$B124&amp;", ",", "&amp;'Trust &amp; Safety'!$B$7:$B$500&amp;", ")))+SUMPRODUCT(--ISNUMBER(SEARCH(", "&amp;$B124&amp;", ",", "&amp;'Tài khoản &amp; Hồ sơ'!$B$7:$B$500&amp;", ")))</f>
        <v/>
      </c>
      <c r="F124" s="53">
        <f>SUMPRODUCT(--ISNUMBER(SEARCH(", "&amp;$B124&amp;", ",", "&amp;'Hoạt động (Đơn của tôi)'!$B$7:$B$500&amp;", ")),--('Hoạt động (Đơn của tôi)'!$AT$7:$AT$500&lt;&gt;""))+SUMPRODUCT(--ISNUMBER(SEARCH(", "&amp;$B124&amp;", ",", "&amp;'Ghép nối'!$B$7:$B$500&amp;", ")),--('Ghép nối'!$AT$7:$AT$500&lt;&gt;""))+SUMPRODUCT(--ISNUMBER(SEARCH(", "&amp;$B124&amp;", ",", "&amp;'Huỷ đơn - Huỷ nhận đơn'!$B$7:$B$500&amp;", ")),--('Huỷ đơn - Huỷ nhận đơn'!$AT$7:$AT$500&lt;&gt;""))+SUMPRODUCT(--ISNUMBER(SEARCH(", "&amp;$B124&amp;", ",", "&amp;'Giao nhận &amp; Theo dõi đơn'!$B$7:$B$500&amp;", ")),--('Giao nhận &amp; Theo dõi đơn'!$AT$7:$AT$500&lt;&gt;""))+SUMPRODUCT(--ISNUMBER(SEARCH(", "&amp;$B124&amp;", ",", "&amp;'Bảng tin &amp; Chi tiết tin'!$B$7:$B$500&amp;", ")),--('Bảng tin &amp; Chi tiết tin'!$AT$7:$AT$500&lt;&gt;""))+SUMPRODUCT(--ISNUMBER(SEARCH(", "&amp;$B124&amp;", ",", "&amp;'Quà cảm ơn'!$B$7:$B$500&amp;", ")),--('Quà cảm ơn'!$AT$7:$AT$500&lt;&gt;""))+SUMPRODUCT(--ISNUMBER(SEARCH(", "&amp;$B124&amp;", ",", "&amp;'Trang chủ'!$B$7:$B$500&amp;", ")),--('Trang chủ'!$AT$7:$AT$500&lt;&gt;""))+SUMPRODUCT(--ISNUMBER(SEARCH(", "&amp;$B124&amp;", ",", "&amp;'Thông báo'!$B$7:$B$500&amp;", ")),--('Thông báo'!$AT$7:$AT$500&lt;&gt;""))+SUMPRODUCT(--ISNUMBER(SEARCH(", "&amp;$B124&amp;", ",", "&amp;'Đăng tin &amp; Quản lý tin'!$B$7:$B$500&amp;", ")),--('Đăng tin &amp; Quản lý tin'!$AT$7:$AT$500&lt;&gt;""))+SUMPRODUCT(--ISNUMBER(SEARCH(", "&amp;$B124&amp;", ",", "&amp;'Trust &amp; Safety'!$B$7:$B$500&amp;", ")),--('Trust &amp; Safety'!$AT$7:$AT$500&lt;&gt;""))+SUMPRODUCT(--ISNUMBER(SEARCH(", "&amp;$B124&amp;", ",", "&amp;'Tài khoản &amp; Hồ sơ'!$B$7:$B$500&amp;", ")),--('Tài khoản &amp; Hồ sơ'!$AT$7:$AT$500&lt;&gt;""))</f>
        <v/>
      </c>
      <c r="G124" s="53">
        <f>SUMPRODUCT(--ISNUMBER(SEARCH(", "&amp;$B124&amp;", ",", "&amp;'Hoạt động (Đơn của tôi)'!$B$7:$B$500&amp;", ")),--('Hoạt động (Đơn của tôi)'!$AT$7:$AT$500="Pass"))+SUMPRODUCT(--ISNUMBER(SEARCH(", "&amp;$B124&amp;", ",", "&amp;'Ghép nối'!$B$7:$B$500&amp;", ")),--('Ghép nối'!$AT$7:$AT$500="Pass"))+SUMPRODUCT(--ISNUMBER(SEARCH(", "&amp;$B124&amp;", ",", "&amp;'Huỷ đơn - Huỷ nhận đơn'!$B$7:$B$500&amp;", ")),--('Huỷ đơn - Huỷ nhận đơn'!$AT$7:$AT$500="Pass"))+SUMPRODUCT(--ISNUMBER(SEARCH(", "&amp;$B124&amp;", ",", "&amp;'Giao nhận &amp; Theo dõi đơn'!$B$7:$B$500&amp;", ")),--('Giao nhận &amp; Theo dõi đơn'!$AT$7:$AT$500="Pass"))+SUMPRODUCT(--ISNUMBER(SEARCH(", "&amp;$B124&amp;", ",", "&amp;'Bảng tin &amp; Chi tiết tin'!$B$7:$B$500&amp;", ")),--('Bảng tin &amp; Chi tiết tin'!$AT$7:$AT$500="Pass"))+SUMPRODUCT(--ISNUMBER(SEARCH(", "&amp;$B124&amp;", ",", "&amp;'Quà cảm ơn'!$B$7:$B$500&amp;", ")),--('Quà cảm ơn'!$AT$7:$AT$500="Pass"))+SUMPRODUCT(--ISNUMBER(SEARCH(", "&amp;$B124&amp;", ",", "&amp;'Trang chủ'!$B$7:$B$500&amp;", ")),--('Trang chủ'!$AT$7:$AT$500="Pass"))+SUMPRODUCT(--ISNUMBER(SEARCH(", "&amp;$B124&amp;", ",", "&amp;'Thông báo'!$B$7:$B$500&amp;", ")),--('Thông báo'!$AT$7:$AT$500="Pass"))+SUMPRODUCT(--ISNUMBER(SEARCH(", "&amp;$B124&amp;", ",", "&amp;'Đăng tin &amp; Quản lý tin'!$B$7:$B$500&amp;", ")),--('Đăng tin &amp; Quản lý tin'!$AT$7:$AT$500="Pass"))+SUMPRODUCT(--ISNUMBER(SEARCH(", "&amp;$B124&amp;", ",", "&amp;'Trust &amp; Safety'!$B$7:$B$500&amp;", ")),--('Trust &amp; Safety'!$AT$7:$AT$500="Pass"))+SUMPRODUCT(--ISNUMBER(SEARCH(", "&amp;$B124&amp;", ",", "&amp;'Tài khoản &amp; Hồ sơ'!$B$7:$B$500&amp;", ")),--('Tài khoản &amp; Hồ sơ'!$AT$7:$AT$500="Pass"))</f>
        <v/>
      </c>
      <c r="H124" s="53">
        <f>SUMPRODUCT(--ISNUMBER(SEARCH(", "&amp;$B124&amp;", ",", "&amp;'Hoạt động (Đơn của tôi)'!$B$7:$B$500&amp;", ")),--('Hoạt động (Đơn của tôi)'!$AT$7:$AT$500="Fail"))+SUMPRODUCT(--ISNUMBER(SEARCH(", "&amp;$B124&amp;", ",", "&amp;'Ghép nối'!$B$7:$B$500&amp;", ")),--('Ghép nối'!$AT$7:$AT$500="Fail"))+SUMPRODUCT(--ISNUMBER(SEARCH(", "&amp;$B124&amp;", ",", "&amp;'Huỷ đơn - Huỷ nhận đơn'!$B$7:$B$500&amp;", ")),--('Huỷ đơn - Huỷ nhận đơn'!$AT$7:$AT$500="Fail"))+SUMPRODUCT(--ISNUMBER(SEARCH(", "&amp;$B124&amp;", ",", "&amp;'Giao nhận &amp; Theo dõi đơn'!$B$7:$B$500&amp;", ")),--('Giao nhận &amp; Theo dõi đơn'!$AT$7:$AT$500="Fail"))+SUMPRODUCT(--ISNUMBER(SEARCH(", "&amp;$B124&amp;", ",", "&amp;'Bảng tin &amp; Chi tiết tin'!$B$7:$B$500&amp;", ")),--('Bảng tin &amp; Chi tiết tin'!$AT$7:$AT$500="Fail"))+SUMPRODUCT(--ISNUMBER(SEARCH(", "&amp;$B124&amp;", ",", "&amp;'Quà cảm ơn'!$B$7:$B$500&amp;", ")),--('Quà cảm ơn'!$AT$7:$AT$500="Fail"))+SUMPRODUCT(--ISNUMBER(SEARCH(", "&amp;$B124&amp;", ",", "&amp;'Trang chủ'!$B$7:$B$500&amp;", ")),--('Trang chủ'!$AT$7:$AT$500="Fail"))+SUMPRODUCT(--ISNUMBER(SEARCH(", "&amp;$B124&amp;", ",", "&amp;'Thông báo'!$B$7:$B$500&amp;", ")),--('Thông báo'!$AT$7:$AT$500="Fail"))+SUMPRODUCT(--ISNUMBER(SEARCH(", "&amp;$B124&amp;", ",", "&amp;'Đăng tin &amp; Quản lý tin'!$B$7:$B$500&amp;", ")),--('Đăng tin &amp; Quản lý tin'!$AT$7:$AT$500="Fail"))+SUMPRODUCT(--ISNUMBER(SEARCH(", "&amp;$B124&amp;", ",", "&amp;'Trust &amp; Safety'!$B$7:$B$500&amp;", ")),--('Trust &amp; Safety'!$AT$7:$AT$500="Fail"))+SUMPRODUCT(--ISNUMBER(SEARCH(", "&amp;$B124&amp;", ",", "&amp;'Tài khoản &amp; Hồ sơ'!$B$7:$B$500&amp;", ")),--('Tài khoản &amp; Hồ sơ'!$AT$7:$AT$500="Fail"))</f>
        <v/>
      </c>
      <c r="I124" s="53">
        <f>SUMPRODUCT(--ISNUMBER(SEARCH(", "&amp;$B124&amp;", ",", "&amp;'Hoạt động (Đơn của tôi)'!$B$7:$B$500&amp;", ")),--('Hoạt động (Đơn của tôi)'!$AT$7:$AT$500="Block"))+SUMPRODUCT(--ISNUMBER(SEARCH(", "&amp;$B124&amp;", ",", "&amp;'Ghép nối'!$B$7:$B$500&amp;", ")),--('Ghép nối'!$AT$7:$AT$500="Block"))+SUMPRODUCT(--ISNUMBER(SEARCH(", "&amp;$B124&amp;", ",", "&amp;'Huỷ đơn - Huỷ nhận đơn'!$B$7:$B$500&amp;", ")),--('Huỷ đơn - Huỷ nhận đơn'!$AT$7:$AT$500="Block"))+SUMPRODUCT(--ISNUMBER(SEARCH(", "&amp;$B124&amp;", ",", "&amp;'Giao nhận &amp; Theo dõi đơn'!$B$7:$B$500&amp;", ")),--('Giao nhận &amp; Theo dõi đơn'!$AT$7:$AT$500="Block"))+SUMPRODUCT(--ISNUMBER(SEARCH(", "&amp;$B124&amp;", ",", "&amp;'Bảng tin &amp; Chi tiết tin'!$B$7:$B$500&amp;", ")),--('Bảng tin &amp; Chi tiết tin'!$AT$7:$AT$500="Block"))+SUMPRODUCT(--ISNUMBER(SEARCH(", "&amp;$B124&amp;", ",", "&amp;'Quà cảm ơn'!$B$7:$B$500&amp;", ")),--('Quà cảm ơn'!$AT$7:$AT$500="Block"))+SUMPRODUCT(--ISNUMBER(SEARCH(", "&amp;$B124&amp;", ",", "&amp;'Trang chủ'!$B$7:$B$500&amp;", ")),--('Trang chủ'!$AT$7:$AT$500="Block"))+SUMPRODUCT(--ISNUMBER(SEARCH(", "&amp;$B124&amp;", ",", "&amp;'Thông báo'!$B$7:$B$500&amp;", ")),--('Thông báo'!$AT$7:$AT$500="Block"))+SUMPRODUCT(--ISNUMBER(SEARCH(", "&amp;$B124&amp;", ",", "&amp;'Đăng tin &amp; Quản lý tin'!$B$7:$B$500&amp;", ")),--('Đăng tin &amp; Quản lý tin'!$AT$7:$AT$500="Block"))+SUMPRODUCT(--ISNUMBER(SEARCH(", "&amp;$B124&amp;", ",", "&amp;'Trust &amp; Safety'!$B$7:$B$500&amp;", ")),--('Trust &amp; Safety'!$AT$7:$AT$500="Block"))+SUMPRODUCT(--ISNUMBER(SEARCH(", "&amp;$B124&amp;", ",", "&amp;'Tài khoản &amp; Hồ sơ'!$B$7:$B$500&amp;", ")),--('Tài khoản &amp; Hồ sơ'!$AT$7:$AT$500="Block"))</f>
        <v/>
      </c>
      <c r="J124" s="53">
        <f>SUMPRODUCT(--ISNUMBER(SEARCH(", "&amp;$B124&amp;", ",", "&amp;'Hoạt động (Đơn của tôi)'!$B$7:$B$500&amp;", ")),--('Hoạt động (Đơn của tôi)'!$AT$7:$AT$500="N/A"))+SUMPRODUCT(--ISNUMBER(SEARCH(", "&amp;$B124&amp;", ",", "&amp;'Ghép nối'!$B$7:$B$500&amp;", ")),--('Ghép nối'!$AT$7:$AT$500="N/A"))+SUMPRODUCT(--ISNUMBER(SEARCH(", "&amp;$B124&amp;", ",", "&amp;'Huỷ đơn - Huỷ nhận đơn'!$B$7:$B$500&amp;", ")),--('Huỷ đơn - Huỷ nhận đơn'!$AT$7:$AT$500="N/A"))+SUMPRODUCT(--ISNUMBER(SEARCH(", "&amp;$B124&amp;", ",", "&amp;'Giao nhận &amp; Theo dõi đơn'!$B$7:$B$500&amp;", ")),--('Giao nhận &amp; Theo dõi đơn'!$AT$7:$AT$500="N/A"))+SUMPRODUCT(--ISNUMBER(SEARCH(", "&amp;$B124&amp;", ",", "&amp;'Bảng tin &amp; Chi tiết tin'!$B$7:$B$500&amp;", ")),--('Bảng tin &amp; Chi tiết tin'!$AT$7:$AT$500="N/A"))+SUMPRODUCT(--ISNUMBER(SEARCH(", "&amp;$B124&amp;", ",", "&amp;'Quà cảm ơn'!$B$7:$B$500&amp;", ")),--('Quà cảm ơn'!$AT$7:$AT$500="N/A"))+SUMPRODUCT(--ISNUMBER(SEARCH(", "&amp;$B124&amp;", ",", "&amp;'Trang chủ'!$B$7:$B$500&amp;", ")),--('Trang chủ'!$AT$7:$AT$500="N/A"))+SUMPRODUCT(--ISNUMBER(SEARCH(", "&amp;$B124&amp;", ",", "&amp;'Thông báo'!$B$7:$B$500&amp;", ")),--('Thông báo'!$AT$7:$AT$500="N/A"))+SUMPRODUCT(--ISNUMBER(SEARCH(", "&amp;$B124&amp;", ",", "&amp;'Đăng tin &amp; Quản lý tin'!$B$7:$B$500&amp;", ")),--('Đăng tin &amp; Quản lý tin'!$AT$7:$AT$500="N/A"))+SUMPRODUCT(--ISNUMBER(SEARCH(", "&amp;$B124&amp;", ",", "&amp;'Trust &amp; Safety'!$B$7:$B$500&amp;", ")),--('Trust &amp; Safety'!$AT$7:$AT$500="N/A"))+SUMPRODUCT(--ISNUMBER(SEARCH(", "&amp;$B124&amp;", ",", "&amp;'Tài khoản &amp; Hồ sơ'!$B$7:$B$500&amp;", ")),--('Tài khoản &amp; Hồ sơ'!$AT$7:$AT$500="N/A"))</f>
        <v/>
      </c>
      <c r="K124" s="54">
        <f>IFERROR(F124/E124,0)</f>
        <v/>
      </c>
      <c r="L124" s="113">
        <f>IF(E124=0,"Chưa có TC (gap)",IF(H124&gt;0,"Có lỗi (Fail)",IF(I124&gt;0,"Bị block",IF(F124&lt;E124,"Đang test",IF(G124=0,"Không áp dụng (N/A)","Đã test xong")))))</f>
        <v/>
      </c>
      <c r="AB124" t="inlineStr">
        <is>
          <t>REQ-ORD</t>
        </is>
      </c>
    </row>
    <row r="125" ht="15.75" customHeight="1" s="216">
      <c r="A125" s="1" t="n"/>
      <c r="B125" s="112" t="inlineStr">
        <is>
          <t>REQ-ORD-019</t>
        </is>
      </c>
      <c r="C125" s="261" t="inlineStr"/>
      <c r="D125" s="113" t="inlineStr">
        <is>
          <t>DOC-v1.0-01</t>
        </is>
      </c>
      <c r="E125" s="53">
        <f>SUMPRODUCT(--ISNUMBER(SEARCH(", "&amp;$B125&amp;", ",", "&amp;'Hoạt động (Đơn của tôi)'!$B$7:$B$500&amp;", ")))+SUMPRODUCT(--ISNUMBER(SEARCH(", "&amp;$B125&amp;", ",", "&amp;'Ghép nối'!$B$7:$B$500&amp;", ")))+SUMPRODUCT(--ISNUMBER(SEARCH(", "&amp;$B125&amp;", ",", "&amp;'Huỷ đơn - Huỷ nhận đơn'!$B$7:$B$500&amp;", ")))+SUMPRODUCT(--ISNUMBER(SEARCH(", "&amp;$B125&amp;", ",", "&amp;'Giao nhận &amp; Theo dõi đơn'!$B$7:$B$500&amp;", ")))+SUMPRODUCT(--ISNUMBER(SEARCH(", "&amp;$B125&amp;", ",", "&amp;'Bảng tin &amp; Chi tiết tin'!$B$7:$B$500&amp;", ")))+SUMPRODUCT(--ISNUMBER(SEARCH(", "&amp;$B125&amp;", ",", "&amp;'Quà cảm ơn'!$B$7:$B$500&amp;", ")))+SUMPRODUCT(--ISNUMBER(SEARCH(", "&amp;$B125&amp;", ",", "&amp;'Trang chủ'!$B$7:$B$500&amp;", ")))+SUMPRODUCT(--ISNUMBER(SEARCH(", "&amp;$B125&amp;", ",", "&amp;'Thông báo'!$B$7:$B$500&amp;", ")))+SUMPRODUCT(--ISNUMBER(SEARCH(", "&amp;$B125&amp;", ",", "&amp;'Đăng tin &amp; Quản lý tin'!$B$7:$B$500&amp;", ")))+SUMPRODUCT(--ISNUMBER(SEARCH(", "&amp;$B125&amp;", ",", "&amp;'Trust &amp; Safety'!$B$7:$B$500&amp;", ")))+SUMPRODUCT(--ISNUMBER(SEARCH(", "&amp;$B125&amp;", ",", "&amp;'Tài khoản &amp; Hồ sơ'!$B$7:$B$500&amp;", ")))</f>
        <v/>
      </c>
      <c r="F125" s="53">
        <f>SUMPRODUCT(--ISNUMBER(SEARCH(", "&amp;$B125&amp;", ",", "&amp;'Hoạt động (Đơn của tôi)'!$B$7:$B$500&amp;", ")),--('Hoạt động (Đơn của tôi)'!$AT$7:$AT$500&lt;&gt;""))+SUMPRODUCT(--ISNUMBER(SEARCH(", "&amp;$B125&amp;", ",", "&amp;'Ghép nối'!$B$7:$B$500&amp;", ")),--('Ghép nối'!$AT$7:$AT$500&lt;&gt;""))+SUMPRODUCT(--ISNUMBER(SEARCH(", "&amp;$B125&amp;", ",", "&amp;'Huỷ đơn - Huỷ nhận đơn'!$B$7:$B$500&amp;", ")),--('Huỷ đơn - Huỷ nhận đơn'!$AT$7:$AT$500&lt;&gt;""))+SUMPRODUCT(--ISNUMBER(SEARCH(", "&amp;$B125&amp;", ",", "&amp;'Giao nhận &amp; Theo dõi đơn'!$B$7:$B$500&amp;", ")),--('Giao nhận &amp; Theo dõi đơn'!$AT$7:$AT$500&lt;&gt;""))+SUMPRODUCT(--ISNUMBER(SEARCH(", "&amp;$B125&amp;", ",", "&amp;'Bảng tin &amp; Chi tiết tin'!$B$7:$B$500&amp;", ")),--('Bảng tin &amp; Chi tiết tin'!$AT$7:$AT$500&lt;&gt;""))+SUMPRODUCT(--ISNUMBER(SEARCH(", "&amp;$B125&amp;", ",", "&amp;'Quà cảm ơn'!$B$7:$B$500&amp;", ")),--('Quà cảm ơn'!$AT$7:$AT$500&lt;&gt;""))+SUMPRODUCT(--ISNUMBER(SEARCH(", "&amp;$B125&amp;", ",", "&amp;'Trang chủ'!$B$7:$B$500&amp;", ")),--('Trang chủ'!$AT$7:$AT$500&lt;&gt;""))+SUMPRODUCT(--ISNUMBER(SEARCH(", "&amp;$B125&amp;", ",", "&amp;'Thông báo'!$B$7:$B$500&amp;", ")),--('Thông báo'!$AT$7:$AT$500&lt;&gt;""))+SUMPRODUCT(--ISNUMBER(SEARCH(", "&amp;$B125&amp;", ",", "&amp;'Đăng tin &amp; Quản lý tin'!$B$7:$B$500&amp;", ")),--('Đăng tin &amp; Quản lý tin'!$AT$7:$AT$500&lt;&gt;""))+SUMPRODUCT(--ISNUMBER(SEARCH(", "&amp;$B125&amp;", ",", "&amp;'Trust &amp; Safety'!$B$7:$B$500&amp;", ")),--('Trust &amp; Safety'!$AT$7:$AT$500&lt;&gt;""))+SUMPRODUCT(--ISNUMBER(SEARCH(", "&amp;$B125&amp;", ",", "&amp;'Tài khoản &amp; Hồ sơ'!$B$7:$B$500&amp;", ")),--('Tài khoản &amp; Hồ sơ'!$AT$7:$AT$500&lt;&gt;""))</f>
        <v/>
      </c>
      <c r="G125" s="53">
        <f>SUMPRODUCT(--ISNUMBER(SEARCH(", "&amp;$B125&amp;", ",", "&amp;'Hoạt động (Đơn của tôi)'!$B$7:$B$500&amp;", ")),--('Hoạt động (Đơn của tôi)'!$AT$7:$AT$500="Pass"))+SUMPRODUCT(--ISNUMBER(SEARCH(", "&amp;$B125&amp;", ",", "&amp;'Ghép nối'!$B$7:$B$500&amp;", ")),--('Ghép nối'!$AT$7:$AT$500="Pass"))+SUMPRODUCT(--ISNUMBER(SEARCH(", "&amp;$B125&amp;", ",", "&amp;'Huỷ đơn - Huỷ nhận đơn'!$B$7:$B$500&amp;", ")),--('Huỷ đơn - Huỷ nhận đơn'!$AT$7:$AT$500="Pass"))+SUMPRODUCT(--ISNUMBER(SEARCH(", "&amp;$B125&amp;", ",", "&amp;'Giao nhận &amp; Theo dõi đơn'!$B$7:$B$500&amp;", ")),--('Giao nhận &amp; Theo dõi đơn'!$AT$7:$AT$500="Pass"))+SUMPRODUCT(--ISNUMBER(SEARCH(", "&amp;$B125&amp;", ",", "&amp;'Bảng tin &amp; Chi tiết tin'!$B$7:$B$500&amp;", ")),--('Bảng tin &amp; Chi tiết tin'!$AT$7:$AT$500="Pass"))+SUMPRODUCT(--ISNUMBER(SEARCH(", "&amp;$B125&amp;", ",", "&amp;'Quà cảm ơn'!$B$7:$B$500&amp;", ")),--('Quà cảm ơn'!$AT$7:$AT$500="Pass"))+SUMPRODUCT(--ISNUMBER(SEARCH(", "&amp;$B125&amp;", ",", "&amp;'Trang chủ'!$B$7:$B$500&amp;", ")),--('Trang chủ'!$AT$7:$AT$500="Pass"))+SUMPRODUCT(--ISNUMBER(SEARCH(", "&amp;$B125&amp;", ",", "&amp;'Thông báo'!$B$7:$B$500&amp;", ")),--('Thông báo'!$AT$7:$AT$500="Pass"))+SUMPRODUCT(--ISNUMBER(SEARCH(", "&amp;$B125&amp;", ",", "&amp;'Đăng tin &amp; Quản lý tin'!$B$7:$B$500&amp;", ")),--('Đăng tin &amp; Quản lý tin'!$AT$7:$AT$500="Pass"))+SUMPRODUCT(--ISNUMBER(SEARCH(", "&amp;$B125&amp;", ",", "&amp;'Trust &amp; Safety'!$B$7:$B$500&amp;", ")),--('Trust &amp; Safety'!$AT$7:$AT$500="Pass"))+SUMPRODUCT(--ISNUMBER(SEARCH(", "&amp;$B125&amp;", ",", "&amp;'Tài khoản &amp; Hồ sơ'!$B$7:$B$500&amp;", ")),--('Tài khoản &amp; Hồ sơ'!$AT$7:$AT$500="Pass"))</f>
        <v/>
      </c>
      <c r="H125" s="53">
        <f>SUMPRODUCT(--ISNUMBER(SEARCH(", "&amp;$B125&amp;", ",", "&amp;'Hoạt động (Đơn của tôi)'!$B$7:$B$500&amp;", ")),--('Hoạt động (Đơn của tôi)'!$AT$7:$AT$500="Fail"))+SUMPRODUCT(--ISNUMBER(SEARCH(", "&amp;$B125&amp;", ",", "&amp;'Ghép nối'!$B$7:$B$500&amp;", ")),--('Ghép nối'!$AT$7:$AT$500="Fail"))+SUMPRODUCT(--ISNUMBER(SEARCH(", "&amp;$B125&amp;", ",", "&amp;'Huỷ đơn - Huỷ nhận đơn'!$B$7:$B$500&amp;", ")),--('Huỷ đơn - Huỷ nhận đơn'!$AT$7:$AT$500="Fail"))+SUMPRODUCT(--ISNUMBER(SEARCH(", "&amp;$B125&amp;", ",", "&amp;'Giao nhận &amp; Theo dõi đơn'!$B$7:$B$500&amp;", ")),--('Giao nhận &amp; Theo dõi đơn'!$AT$7:$AT$500="Fail"))+SUMPRODUCT(--ISNUMBER(SEARCH(", "&amp;$B125&amp;", ",", "&amp;'Bảng tin &amp; Chi tiết tin'!$B$7:$B$500&amp;", ")),--('Bảng tin &amp; Chi tiết tin'!$AT$7:$AT$500="Fail"))+SUMPRODUCT(--ISNUMBER(SEARCH(", "&amp;$B125&amp;", ",", "&amp;'Quà cảm ơn'!$B$7:$B$500&amp;", ")),--('Quà cảm ơn'!$AT$7:$AT$500="Fail"))+SUMPRODUCT(--ISNUMBER(SEARCH(", "&amp;$B125&amp;", ",", "&amp;'Trang chủ'!$B$7:$B$500&amp;", ")),--('Trang chủ'!$AT$7:$AT$500="Fail"))+SUMPRODUCT(--ISNUMBER(SEARCH(", "&amp;$B125&amp;", ",", "&amp;'Thông báo'!$B$7:$B$500&amp;", ")),--('Thông báo'!$AT$7:$AT$500="Fail"))+SUMPRODUCT(--ISNUMBER(SEARCH(", "&amp;$B125&amp;", ",", "&amp;'Đăng tin &amp; Quản lý tin'!$B$7:$B$500&amp;", ")),--('Đăng tin &amp; Quản lý tin'!$AT$7:$AT$500="Fail"))+SUMPRODUCT(--ISNUMBER(SEARCH(", "&amp;$B125&amp;", ",", "&amp;'Trust &amp; Safety'!$B$7:$B$500&amp;", ")),--('Trust &amp; Safety'!$AT$7:$AT$500="Fail"))+SUMPRODUCT(--ISNUMBER(SEARCH(", "&amp;$B125&amp;", ",", "&amp;'Tài khoản &amp; Hồ sơ'!$B$7:$B$500&amp;", ")),--('Tài khoản &amp; Hồ sơ'!$AT$7:$AT$500="Fail"))</f>
        <v/>
      </c>
      <c r="I125" s="53">
        <f>SUMPRODUCT(--ISNUMBER(SEARCH(", "&amp;$B125&amp;", ",", "&amp;'Hoạt động (Đơn của tôi)'!$B$7:$B$500&amp;", ")),--('Hoạt động (Đơn của tôi)'!$AT$7:$AT$500="Block"))+SUMPRODUCT(--ISNUMBER(SEARCH(", "&amp;$B125&amp;", ",", "&amp;'Ghép nối'!$B$7:$B$500&amp;", ")),--('Ghép nối'!$AT$7:$AT$500="Block"))+SUMPRODUCT(--ISNUMBER(SEARCH(", "&amp;$B125&amp;", ",", "&amp;'Huỷ đơn - Huỷ nhận đơn'!$B$7:$B$500&amp;", ")),--('Huỷ đơn - Huỷ nhận đơn'!$AT$7:$AT$500="Block"))+SUMPRODUCT(--ISNUMBER(SEARCH(", "&amp;$B125&amp;", ",", "&amp;'Giao nhận &amp; Theo dõi đơn'!$B$7:$B$500&amp;", ")),--('Giao nhận &amp; Theo dõi đơn'!$AT$7:$AT$500="Block"))+SUMPRODUCT(--ISNUMBER(SEARCH(", "&amp;$B125&amp;", ",", "&amp;'Bảng tin &amp; Chi tiết tin'!$B$7:$B$500&amp;", ")),--('Bảng tin &amp; Chi tiết tin'!$AT$7:$AT$500="Block"))+SUMPRODUCT(--ISNUMBER(SEARCH(", "&amp;$B125&amp;", ",", "&amp;'Quà cảm ơn'!$B$7:$B$500&amp;", ")),--('Quà cảm ơn'!$AT$7:$AT$500="Block"))+SUMPRODUCT(--ISNUMBER(SEARCH(", "&amp;$B125&amp;", ",", "&amp;'Trang chủ'!$B$7:$B$500&amp;", ")),--('Trang chủ'!$AT$7:$AT$500="Block"))+SUMPRODUCT(--ISNUMBER(SEARCH(", "&amp;$B125&amp;", ",", "&amp;'Thông báo'!$B$7:$B$500&amp;", ")),--('Thông báo'!$AT$7:$AT$500="Block"))+SUMPRODUCT(--ISNUMBER(SEARCH(", "&amp;$B125&amp;", ",", "&amp;'Đăng tin &amp; Quản lý tin'!$B$7:$B$500&amp;", ")),--('Đăng tin &amp; Quản lý tin'!$AT$7:$AT$500="Block"))+SUMPRODUCT(--ISNUMBER(SEARCH(", "&amp;$B125&amp;", ",", "&amp;'Trust &amp; Safety'!$B$7:$B$500&amp;", ")),--('Trust &amp; Safety'!$AT$7:$AT$500="Block"))+SUMPRODUCT(--ISNUMBER(SEARCH(", "&amp;$B125&amp;", ",", "&amp;'Tài khoản &amp; Hồ sơ'!$B$7:$B$500&amp;", ")),--('Tài khoản &amp; Hồ sơ'!$AT$7:$AT$500="Block"))</f>
        <v/>
      </c>
      <c r="J125" s="53">
        <f>SUMPRODUCT(--ISNUMBER(SEARCH(", "&amp;$B125&amp;", ",", "&amp;'Hoạt động (Đơn của tôi)'!$B$7:$B$500&amp;", ")),--('Hoạt động (Đơn của tôi)'!$AT$7:$AT$500="N/A"))+SUMPRODUCT(--ISNUMBER(SEARCH(", "&amp;$B125&amp;", ",", "&amp;'Ghép nối'!$B$7:$B$500&amp;", ")),--('Ghép nối'!$AT$7:$AT$500="N/A"))+SUMPRODUCT(--ISNUMBER(SEARCH(", "&amp;$B125&amp;", ",", "&amp;'Huỷ đơn - Huỷ nhận đơn'!$B$7:$B$500&amp;", ")),--('Huỷ đơn - Huỷ nhận đơn'!$AT$7:$AT$500="N/A"))+SUMPRODUCT(--ISNUMBER(SEARCH(", "&amp;$B125&amp;", ",", "&amp;'Giao nhận &amp; Theo dõi đơn'!$B$7:$B$500&amp;", ")),--('Giao nhận &amp; Theo dõi đơn'!$AT$7:$AT$500="N/A"))+SUMPRODUCT(--ISNUMBER(SEARCH(", "&amp;$B125&amp;", ",", "&amp;'Bảng tin &amp; Chi tiết tin'!$B$7:$B$500&amp;", ")),--('Bảng tin &amp; Chi tiết tin'!$AT$7:$AT$500="N/A"))+SUMPRODUCT(--ISNUMBER(SEARCH(", "&amp;$B125&amp;", ",", "&amp;'Quà cảm ơn'!$B$7:$B$500&amp;", ")),--('Quà cảm ơn'!$AT$7:$AT$500="N/A"))+SUMPRODUCT(--ISNUMBER(SEARCH(", "&amp;$B125&amp;", ",", "&amp;'Trang chủ'!$B$7:$B$500&amp;", ")),--('Trang chủ'!$AT$7:$AT$500="N/A"))+SUMPRODUCT(--ISNUMBER(SEARCH(", "&amp;$B125&amp;", ",", "&amp;'Thông báo'!$B$7:$B$500&amp;", ")),--('Thông báo'!$AT$7:$AT$500="N/A"))+SUMPRODUCT(--ISNUMBER(SEARCH(", "&amp;$B125&amp;", ",", "&amp;'Đăng tin &amp; Quản lý tin'!$B$7:$B$500&amp;", ")),--('Đăng tin &amp; Quản lý tin'!$AT$7:$AT$500="N/A"))+SUMPRODUCT(--ISNUMBER(SEARCH(", "&amp;$B125&amp;", ",", "&amp;'Trust &amp; Safety'!$B$7:$B$500&amp;", ")),--('Trust &amp; Safety'!$AT$7:$AT$500="N/A"))+SUMPRODUCT(--ISNUMBER(SEARCH(", "&amp;$B125&amp;", ",", "&amp;'Tài khoản &amp; Hồ sơ'!$B$7:$B$500&amp;", ")),--('Tài khoản &amp; Hồ sơ'!$AT$7:$AT$500="N/A"))</f>
        <v/>
      </c>
      <c r="K125" s="54">
        <f>IFERROR(F125/E125,0)</f>
        <v/>
      </c>
      <c r="L125" s="113">
        <f>IF(E125=0,"Chưa có TC (gap)",IF(H125&gt;0,"Có lỗi (Fail)",IF(I125&gt;0,"Bị block",IF(F125&lt;E125,"Đang test",IF(G125=0,"Không áp dụng (N/A)","Đã test xong")))))</f>
        <v/>
      </c>
      <c r="AB125" t="inlineStr">
        <is>
          <t>REQ-ORD</t>
        </is>
      </c>
    </row>
    <row r="126" ht="15.75" customHeight="1" s="216">
      <c r="A126" s="1" t="n"/>
      <c r="B126" s="112" t="inlineStr">
        <is>
          <t>REQ-ORD-020</t>
        </is>
      </c>
      <c r="C126" s="261" t="inlineStr"/>
      <c r="D126" s="113" t="inlineStr">
        <is>
          <t>DOC-v1.0-01</t>
        </is>
      </c>
      <c r="E126" s="53">
        <f>SUMPRODUCT(--ISNUMBER(SEARCH(", "&amp;$B126&amp;", ",", "&amp;'Hoạt động (Đơn của tôi)'!$B$7:$B$500&amp;", ")))+SUMPRODUCT(--ISNUMBER(SEARCH(", "&amp;$B126&amp;", ",", "&amp;'Ghép nối'!$B$7:$B$500&amp;", ")))+SUMPRODUCT(--ISNUMBER(SEARCH(", "&amp;$B126&amp;", ",", "&amp;'Huỷ đơn - Huỷ nhận đơn'!$B$7:$B$500&amp;", ")))+SUMPRODUCT(--ISNUMBER(SEARCH(", "&amp;$B126&amp;", ",", "&amp;'Giao nhận &amp; Theo dõi đơn'!$B$7:$B$500&amp;", ")))+SUMPRODUCT(--ISNUMBER(SEARCH(", "&amp;$B126&amp;", ",", "&amp;'Bảng tin &amp; Chi tiết tin'!$B$7:$B$500&amp;", ")))+SUMPRODUCT(--ISNUMBER(SEARCH(", "&amp;$B126&amp;", ",", "&amp;'Quà cảm ơn'!$B$7:$B$500&amp;", ")))+SUMPRODUCT(--ISNUMBER(SEARCH(", "&amp;$B126&amp;", ",", "&amp;'Trang chủ'!$B$7:$B$500&amp;", ")))+SUMPRODUCT(--ISNUMBER(SEARCH(", "&amp;$B126&amp;", ",", "&amp;'Thông báo'!$B$7:$B$500&amp;", ")))+SUMPRODUCT(--ISNUMBER(SEARCH(", "&amp;$B126&amp;", ",", "&amp;'Đăng tin &amp; Quản lý tin'!$B$7:$B$500&amp;", ")))+SUMPRODUCT(--ISNUMBER(SEARCH(", "&amp;$B126&amp;", ",", "&amp;'Trust &amp; Safety'!$B$7:$B$500&amp;", ")))+SUMPRODUCT(--ISNUMBER(SEARCH(", "&amp;$B126&amp;", ",", "&amp;'Tài khoản &amp; Hồ sơ'!$B$7:$B$500&amp;", ")))</f>
        <v/>
      </c>
      <c r="F126" s="53">
        <f>SUMPRODUCT(--ISNUMBER(SEARCH(", "&amp;$B126&amp;", ",", "&amp;'Hoạt động (Đơn của tôi)'!$B$7:$B$500&amp;", ")),--('Hoạt động (Đơn của tôi)'!$AT$7:$AT$500&lt;&gt;""))+SUMPRODUCT(--ISNUMBER(SEARCH(", "&amp;$B126&amp;", ",", "&amp;'Ghép nối'!$B$7:$B$500&amp;", ")),--('Ghép nối'!$AT$7:$AT$500&lt;&gt;""))+SUMPRODUCT(--ISNUMBER(SEARCH(", "&amp;$B126&amp;", ",", "&amp;'Huỷ đơn - Huỷ nhận đơn'!$B$7:$B$500&amp;", ")),--('Huỷ đơn - Huỷ nhận đơn'!$AT$7:$AT$500&lt;&gt;""))+SUMPRODUCT(--ISNUMBER(SEARCH(", "&amp;$B126&amp;", ",", "&amp;'Giao nhận &amp; Theo dõi đơn'!$B$7:$B$500&amp;", ")),--('Giao nhận &amp; Theo dõi đơn'!$AT$7:$AT$500&lt;&gt;""))+SUMPRODUCT(--ISNUMBER(SEARCH(", "&amp;$B126&amp;", ",", "&amp;'Bảng tin &amp; Chi tiết tin'!$B$7:$B$500&amp;", ")),--('Bảng tin &amp; Chi tiết tin'!$AT$7:$AT$500&lt;&gt;""))+SUMPRODUCT(--ISNUMBER(SEARCH(", "&amp;$B126&amp;", ",", "&amp;'Quà cảm ơn'!$B$7:$B$500&amp;", ")),--('Quà cảm ơn'!$AT$7:$AT$500&lt;&gt;""))+SUMPRODUCT(--ISNUMBER(SEARCH(", "&amp;$B126&amp;", ",", "&amp;'Trang chủ'!$B$7:$B$500&amp;", ")),--('Trang chủ'!$AT$7:$AT$500&lt;&gt;""))+SUMPRODUCT(--ISNUMBER(SEARCH(", "&amp;$B126&amp;", ",", "&amp;'Thông báo'!$B$7:$B$500&amp;", ")),--('Thông báo'!$AT$7:$AT$500&lt;&gt;""))+SUMPRODUCT(--ISNUMBER(SEARCH(", "&amp;$B126&amp;", ",", "&amp;'Đăng tin &amp; Quản lý tin'!$B$7:$B$500&amp;", ")),--('Đăng tin &amp; Quản lý tin'!$AT$7:$AT$500&lt;&gt;""))+SUMPRODUCT(--ISNUMBER(SEARCH(", "&amp;$B126&amp;", ",", "&amp;'Trust &amp; Safety'!$B$7:$B$500&amp;", ")),--('Trust &amp; Safety'!$AT$7:$AT$500&lt;&gt;""))+SUMPRODUCT(--ISNUMBER(SEARCH(", "&amp;$B126&amp;", ",", "&amp;'Tài khoản &amp; Hồ sơ'!$B$7:$B$500&amp;", ")),--('Tài khoản &amp; Hồ sơ'!$AT$7:$AT$500&lt;&gt;""))</f>
        <v/>
      </c>
      <c r="G126" s="53">
        <f>SUMPRODUCT(--ISNUMBER(SEARCH(", "&amp;$B126&amp;", ",", "&amp;'Hoạt động (Đơn của tôi)'!$B$7:$B$500&amp;", ")),--('Hoạt động (Đơn của tôi)'!$AT$7:$AT$500="Pass"))+SUMPRODUCT(--ISNUMBER(SEARCH(", "&amp;$B126&amp;", ",", "&amp;'Ghép nối'!$B$7:$B$500&amp;", ")),--('Ghép nối'!$AT$7:$AT$500="Pass"))+SUMPRODUCT(--ISNUMBER(SEARCH(", "&amp;$B126&amp;", ",", "&amp;'Huỷ đơn - Huỷ nhận đơn'!$B$7:$B$500&amp;", ")),--('Huỷ đơn - Huỷ nhận đơn'!$AT$7:$AT$500="Pass"))+SUMPRODUCT(--ISNUMBER(SEARCH(", "&amp;$B126&amp;", ",", "&amp;'Giao nhận &amp; Theo dõi đơn'!$B$7:$B$500&amp;", ")),--('Giao nhận &amp; Theo dõi đơn'!$AT$7:$AT$500="Pass"))+SUMPRODUCT(--ISNUMBER(SEARCH(", "&amp;$B126&amp;", ",", "&amp;'Bảng tin &amp; Chi tiết tin'!$B$7:$B$500&amp;", ")),--('Bảng tin &amp; Chi tiết tin'!$AT$7:$AT$500="Pass"))+SUMPRODUCT(--ISNUMBER(SEARCH(", "&amp;$B126&amp;", ",", "&amp;'Quà cảm ơn'!$B$7:$B$500&amp;", ")),--('Quà cảm ơn'!$AT$7:$AT$500="Pass"))+SUMPRODUCT(--ISNUMBER(SEARCH(", "&amp;$B126&amp;", ",", "&amp;'Trang chủ'!$B$7:$B$500&amp;", ")),--('Trang chủ'!$AT$7:$AT$500="Pass"))+SUMPRODUCT(--ISNUMBER(SEARCH(", "&amp;$B126&amp;", ",", "&amp;'Thông báo'!$B$7:$B$500&amp;", ")),--('Thông báo'!$AT$7:$AT$500="Pass"))+SUMPRODUCT(--ISNUMBER(SEARCH(", "&amp;$B126&amp;", ",", "&amp;'Đăng tin &amp; Quản lý tin'!$B$7:$B$500&amp;", ")),--('Đăng tin &amp; Quản lý tin'!$AT$7:$AT$500="Pass"))+SUMPRODUCT(--ISNUMBER(SEARCH(", "&amp;$B126&amp;", ",", "&amp;'Trust &amp; Safety'!$B$7:$B$500&amp;", ")),--('Trust &amp; Safety'!$AT$7:$AT$500="Pass"))+SUMPRODUCT(--ISNUMBER(SEARCH(", "&amp;$B126&amp;", ",", "&amp;'Tài khoản &amp; Hồ sơ'!$B$7:$B$500&amp;", ")),--('Tài khoản &amp; Hồ sơ'!$AT$7:$AT$500="Pass"))</f>
        <v/>
      </c>
      <c r="H126" s="53">
        <f>SUMPRODUCT(--ISNUMBER(SEARCH(", "&amp;$B126&amp;", ",", "&amp;'Hoạt động (Đơn của tôi)'!$B$7:$B$500&amp;", ")),--('Hoạt động (Đơn của tôi)'!$AT$7:$AT$500="Fail"))+SUMPRODUCT(--ISNUMBER(SEARCH(", "&amp;$B126&amp;", ",", "&amp;'Ghép nối'!$B$7:$B$500&amp;", ")),--('Ghép nối'!$AT$7:$AT$500="Fail"))+SUMPRODUCT(--ISNUMBER(SEARCH(", "&amp;$B126&amp;", ",", "&amp;'Huỷ đơn - Huỷ nhận đơn'!$B$7:$B$500&amp;", ")),--('Huỷ đơn - Huỷ nhận đơn'!$AT$7:$AT$500="Fail"))+SUMPRODUCT(--ISNUMBER(SEARCH(", "&amp;$B126&amp;", ",", "&amp;'Giao nhận &amp; Theo dõi đơn'!$B$7:$B$500&amp;", ")),--('Giao nhận &amp; Theo dõi đơn'!$AT$7:$AT$500="Fail"))+SUMPRODUCT(--ISNUMBER(SEARCH(", "&amp;$B126&amp;", ",", "&amp;'Bảng tin &amp; Chi tiết tin'!$B$7:$B$500&amp;", ")),--('Bảng tin &amp; Chi tiết tin'!$AT$7:$AT$500="Fail"))+SUMPRODUCT(--ISNUMBER(SEARCH(", "&amp;$B126&amp;", ",", "&amp;'Quà cảm ơn'!$B$7:$B$500&amp;", ")),--('Quà cảm ơn'!$AT$7:$AT$500="Fail"))+SUMPRODUCT(--ISNUMBER(SEARCH(", "&amp;$B126&amp;", ",", "&amp;'Trang chủ'!$B$7:$B$500&amp;", ")),--('Trang chủ'!$AT$7:$AT$500="Fail"))+SUMPRODUCT(--ISNUMBER(SEARCH(", "&amp;$B126&amp;", ",", "&amp;'Thông báo'!$B$7:$B$500&amp;", ")),--('Thông báo'!$AT$7:$AT$500="Fail"))+SUMPRODUCT(--ISNUMBER(SEARCH(", "&amp;$B126&amp;", ",", "&amp;'Đăng tin &amp; Quản lý tin'!$B$7:$B$500&amp;", ")),--('Đăng tin &amp; Quản lý tin'!$AT$7:$AT$500="Fail"))+SUMPRODUCT(--ISNUMBER(SEARCH(", "&amp;$B126&amp;", ",", "&amp;'Trust &amp; Safety'!$B$7:$B$500&amp;", ")),--('Trust &amp; Safety'!$AT$7:$AT$500="Fail"))+SUMPRODUCT(--ISNUMBER(SEARCH(", "&amp;$B126&amp;", ",", "&amp;'Tài khoản &amp; Hồ sơ'!$B$7:$B$500&amp;", ")),--('Tài khoản &amp; Hồ sơ'!$AT$7:$AT$500="Fail"))</f>
        <v/>
      </c>
      <c r="I126" s="53">
        <f>SUMPRODUCT(--ISNUMBER(SEARCH(", "&amp;$B126&amp;", ",", "&amp;'Hoạt động (Đơn của tôi)'!$B$7:$B$500&amp;", ")),--('Hoạt động (Đơn của tôi)'!$AT$7:$AT$500="Block"))+SUMPRODUCT(--ISNUMBER(SEARCH(", "&amp;$B126&amp;", ",", "&amp;'Ghép nối'!$B$7:$B$500&amp;", ")),--('Ghép nối'!$AT$7:$AT$500="Block"))+SUMPRODUCT(--ISNUMBER(SEARCH(", "&amp;$B126&amp;", ",", "&amp;'Huỷ đơn - Huỷ nhận đơn'!$B$7:$B$500&amp;", ")),--('Huỷ đơn - Huỷ nhận đơn'!$AT$7:$AT$500="Block"))+SUMPRODUCT(--ISNUMBER(SEARCH(", "&amp;$B126&amp;", ",", "&amp;'Giao nhận &amp; Theo dõi đơn'!$B$7:$B$500&amp;", ")),--('Giao nhận &amp; Theo dõi đơn'!$AT$7:$AT$500="Block"))+SUMPRODUCT(--ISNUMBER(SEARCH(", "&amp;$B126&amp;", ",", "&amp;'Bảng tin &amp; Chi tiết tin'!$B$7:$B$500&amp;", ")),--('Bảng tin &amp; Chi tiết tin'!$AT$7:$AT$500="Block"))+SUMPRODUCT(--ISNUMBER(SEARCH(", "&amp;$B126&amp;", ",", "&amp;'Quà cảm ơn'!$B$7:$B$500&amp;", ")),--('Quà cảm ơn'!$AT$7:$AT$500="Block"))+SUMPRODUCT(--ISNUMBER(SEARCH(", "&amp;$B126&amp;", ",", "&amp;'Trang chủ'!$B$7:$B$500&amp;", ")),--('Trang chủ'!$AT$7:$AT$500="Block"))+SUMPRODUCT(--ISNUMBER(SEARCH(", "&amp;$B126&amp;", ",", "&amp;'Thông báo'!$B$7:$B$500&amp;", ")),--('Thông báo'!$AT$7:$AT$500="Block"))+SUMPRODUCT(--ISNUMBER(SEARCH(", "&amp;$B126&amp;", ",", "&amp;'Đăng tin &amp; Quản lý tin'!$B$7:$B$500&amp;", ")),--('Đăng tin &amp; Quản lý tin'!$AT$7:$AT$500="Block"))+SUMPRODUCT(--ISNUMBER(SEARCH(", "&amp;$B126&amp;", ",", "&amp;'Trust &amp; Safety'!$B$7:$B$500&amp;", ")),--('Trust &amp; Safety'!$AT$7:$AT$500="Block"))+SUMPRODUCT(--ISNUMBER(SEARCH(", "&amp;$B126&amp;", ",", "&amp;'Tài khoản &amp; Hồ sơ'!$B$7:$B$500&amp;", ")),--('Tài khoản &amp; Hồ sơ'!$AT$7:$AT$500="Block"))</f>
        <v/>
      </c>
      <c r="J126" s="53">
        <f>SUMPRODUCT(--ISNUMBER(SEARCH(", "&amp;$B126&amp;", ",", "&amp;'Hoạt động (Đơn của tôi)'!$B$7:$B$500&amp;", ")),--('Hoạt động (Đơn của tôi)'!$AT$7:$AT$500="N/A"))+SUMPRODUCT(--ISNUMBER(SEARCH(", "&amp;$B126&amp;", ",", "&amp;'Ghép nối'!$B$7:$B$500&amp;", ")),--('Ghép nối'!$AT$7:$AT$500="N/A"))+SUMPRODUCT(--ISNUMBER(SEARCH(", "&amp;$B126&amp;", ",", "&amp;'Huỷ đơn - Huỷ nhận đơn'!$B$7:$B$500&amp;", ")),--('Huỷ đơn - Huỷ nhận đơn'!$AT$7:$AT$500="N/A"))+SUMPRODUCT(--ISNUMBER(SEARCH(", "&amp;$B126&amp;", ",", "&amp;'Giao nhận &amp; Theo dõi đơn'!$B$7:$B$500&amp;", ")),--('Giao nhận &amp; Theo dõi đơn'!$AT$7:$AT$500="N/A"))+SUMPRODUCT(--ISNUMBER(SEARCH(", "&amp;$B126&amp;", ",", "&amp;'Bảng tin &amp; Chi tiết tin'!$B$7:$B$500&amp;", ")),--('Bảng tin &amp; Chi tiết tin'!$AT$7:$AT$500="N/A"))+SUMPRODUCT(--ISNUMBER(SEARCH(", "&amp;$B126&amp;", ",", "&amp;'Quà cảm ơn'!$B$7:$B$500&amp;", ")),--('Quà cảm ơn'!$AT$7:$AT$500="N/A"))+SUMPRODUCT(--ISNUMBER(SEARCH(", "&amp;$B126&amp;", ",", "&amp;'Trang chủ'!$B$7:$B$500&amp;", ")),--('Trang chủ'!$AT$7:$AT$500="N/A"))+SUMPRODUCT(--ISNUMBER(SEARCH(", "&amp;$B126&amp;", ",", "&amp;'Thông báo'!$B$7:$B$500&amp;", ")),--('Thông báo'!$AT$7:$AT$500="N/A"))+SUMPRODUCT(--ISNUMBER(SEARCH(", "&amp;$B126&amp;", ",", "&amp;'Đăng tin &amp; Quản lý tin'!$B$7:$B$500&amp;", ")),--('Đăng tin &amp; Quản lý tin'!$AT$7:$AT$500="N/A"))+SUMPRODUCT(--ISNUMBER(SEARCH(", "&amp;$B126&amp;", ",", "&amp;'Trust &amp; Safety'!$B$7:$B$500&amp;", ")),--('Trust &amp; Safety'!$AT$7:$AT$500="N/A"))+SUMPRODUCT(--ISNUMBER(SEARCH(", "&amp;$B126&amp;", ",", "&amp;'Tài khoản &amp; Hồ sơ'!$B$7:$B$500&amp;", ")),--('Tài khoản &amp; Hồ sơ'!$AT$7:$AT$500="N/A"))</f>
        <v/>
      </c>
      <c r="K126" s="54">
        <f>IFERROR(F126/E126,0)</f>
        <v/>
      </c>
      <c r="L126" s="113">
        <f>IF(E126=0,"Chưa có TC (gap)",IF(H126&gt;0,"Có lỗi (Fail)",IF(I126&gt;0,"Bị block",IF(F126&lt;E126,"Đang test",IF(G126=0,"Không áp dụng (N/A)","Đã test xong")))))</f>
        <v/>
      </c>
      <c r="AB126" t="inlineStr">
        <is>
          <t>REQ-ORD</t>
        </is>
      </c>
    </row>
    <row r="127" ht="15.75" customHeight="1" s="216">
      <c r="A127" s="1" t="n"/>
      <c r="B127" s="112" t="inlineStr">
        <is>
          <t>REQ-ORD-022</t>
        </is>
      </c>
      <c r="C127" s="261" t="inlineStr"/>
      <c r="D127" s="113" t="inlineStr">
        <is>
          <t>DOC-v1.0-01 · DOC-v1.0-06</t>
        </is>
      </c>
      <c r="E127" s="53">
        <f>SUMPRODUCT(--ISNUMBER(SEARCH(", "&amp;$B127&amp;", ",", "&amp;'Hoạt động (Đơn của tôi)'!$B$7:$B$500&amp;", ")))+SUMPRODUCT(--ISNUMBER(SEARCH(", "&amp;$B127&amp;", ",", "&amp;'Ghép nối'!$B$7:$B$500&amp;", ")))+SUMPRODUCT(--ISNUMBER(SEARCH(", "&amp;$B127&amp;", ",", "&amp;'Huỷ đơn - Huỷ nhận đơn'!$B$7:$B$500&amp;", ")))+SUMPRODUCT(--ISNUMBER(SEARCH(", "&amp;$B127&amp;", ",", "&amp;'Giao nhận &amp; Theo dõi đơn'!$B$7:$B$500&amp;", ")))+SUMPRODUCT(--ISNUMBER(SEARCH(", "&amp;$B127&amp;", ",", "&amp;'Bảng tin &amp; Chi tiết tin'!$B$7:$B$500&amp;", ")))+SUMPRODUCT(--ISNUMBER(SEARCH(", "&amp;$B127&amp;", ",", "&amp;'Quà cảm ơn'!$B$7:$B$500&amp;", ")))+SUMPRODUCT(--ISNUMBER(SEARCH(", "&amp;$B127&amp;", ",", "&amp;'Trang chủ'!$B$7:$B$500&amp;", ")))+SUMPRODUCT(--ISNUMBER(SEARCH(", "&amp;$B127&amp;", ",", "&amp;'Thông báo'!$B$7:$B$500&amp;", ")))+SUMPRODUCT(--ISNUMBER(SEARCH(", "&amp;$B127&amp;", ",", "&amp;'Đăng tin &amp; Quản lý tin'!$B$7:$B$500&amp;", ")))+SUMPRODUCT(--ISNUMBER(SEARCH(", "&amp;$B127&amp;", ",", "&amp;'Trust &amp; Safety'!$B$7:$B$500&amp;", ")))+SUMPRODUCT(--ISNUMBER(SEARCH(", "&amp;$B127&amp;", ",", "&amp;'Tài khoản &amp; Hồ sơ'!$B$7:$B$500&amp;", ")))</f>
        <v/>
      </c>
      <c r="F127" s="53">
        <f>SUMPRODUCT(--ISNUMBER(SEARCH(", "&amp;$B127&amp;", ",", "&amp;'Hoạt động (Đơn của tôi)'!$B$7:$B$500&amp;", ")),--('Hoạt động (Đơn của tôi)'!$AT$7:$AT$500&lt;&gt;""))+SUMPRODUCT(--ISNUMBER(SEARCH(", "&amp;$B127&amp;", ",", "&amp;'Ghép nối'!$B$7:$B$500&amp;", ")),--('Ghép nối'!$AT$7:$AT$500&lt;&gt;""))+SUMPRODUCT(--ISNUMBER(SEARCH(", "&amp;$B127&amp;", ",", "&amp;'Huỷ đơn - Huỷ nhận đơn'!$B$7:$B$500&amp;", ")),--('Huỷ đơn - Huỷ nhận đơn'!$AT$7:$AT$500&lt;&gt;""))+SUMPRODUCT(--ISNUMBER(SEARCH(", "&amp;$B127&amp;", ",", "&amp;'Giao nhận &amp; Theo dõi đơn'!$B$7:$B$500&amp;", ")),--('Giao nhận &amp; Theo dõi đơn'!$AT$7:$AT$500&lt;&gt;""))+SUMPRODUCT(--ISNUMBER(SEARCH(", "&amp;$B127&amp;", ",", "&amp;'Bảng tin &amp; Chi tiết tin'!$B$7:$B$500&amp;", ")),--('Bảng tin &amp; Chi tiết tin'!$AT$7:$AT$500&lt;&gt;""))+SUMPRODUCT(--ISNUMBER(SEARCH(", "&amp;$B127&amp;", ",", "&amp;'Quà cảm ơn'!$B$7:$B$500&amp;", ")),--('Quà cảm ơn'!$AT$7:$AT$500&lt;&gt;""))+SUMPRODUCT(--ISNUMBER(SEARCH(", "&amp;$B127&amp;", ",", "&amp;'Trang chủ'!$B$7:$B$500&amp;", ")),--('Trang chủ'!$AT$7:$AT$500&lt;&gt;""))+SUMPRODUCT(--ISNUMBER(SEARCH(", "&amp;$B127&amp;", ",", "&amp;'Thông báo'!$B$7:$B$500&amp;", ")),--('Thông báo'!$AT$7:$AT$500&lt;&gt;""))+SUMPRODUCT(--ISNUMBER(SEARCH(", "&amp;$B127&amp;", ",", "&amp;'Đăng tin &amp; Quản lý tin'!$B$7:$B$500&amp;", ")),--('Đăng tin &amp; Quản lý tin'!$AT$7:$AT$500&lt;&gt;""))+SUMPRODUCT(--ISNUMBER(SEARCH(", "&amp;$B127&amp;", ",", "&amp;'Trust &amp; Safety'!$B$7:$B$500&amp;", ")),--('Trust &amp; Safety'!$AT$7:$AT$500&lt;&gt;""))+SUMPRODUCT(--ISNUMBER(SEARCH(", "&amp;$B127&amp;", ",", "&amp;'Tài khoản &amp; Hồ sơ'!$B$7:$B$500&amp;", ")),--('Tài khoản &amp; Hồ sơ'!$AT$7:$AT$500&lt;&gt;""))</f>
        <v/>
      </c>
      <c r="G127" s="53">
        <f>SUMPRODUCT(--ISNUMBER(SEARCH(", "&amp;$B127&amp;", ",", "&amp;'Hoạt động (Đơn của tôi)'!$B$7:$B$500&amp;", ")),--('Hoạt động (Đơn của tôi)'!$AT$7:$AT$500="Pass"))+SUMPRODUCT(--ISNUMBER(SEARCH(", "&amp;$B127&amp;", ",", "&amp;'Ghép nối'!$B$7:$B$500&amp;", ")),--('Ghép nối'!$AT$7:$AT$500="Pass"))+SUMPRODUCT(--ISNUMBER(SEARCH(", "&amp;$B127&amp;", ",", "&amp;'Huỷ đơn - Huỷ nhận đơn'!$B$7:$B$500&amp;", ")),--('Huỷ đơn - Huỷ nhận đơn'!$AT$7:$AT$500="Pass"))+SUMPRODUCT(--ISNUMBER(SEARCH(", "&amp;$B127&amp;", ",", "&amp;'Giao nhận &amp; Theo dõi đơn'!$B$7:$B$500&amp;", ")),--('Giao nhận &amp; Theo dõi đơn'!$AT$7:$AT$500="Pass"))+SUMPRODUCT(--ISNUMBER(SEARCH(", "&amp;$B127&amp;", ",", "&amp;'Bảng tin &amp; Chi tiết tin'!$B$7:$B$500&amp;", ")),--('Bảng tin &amp; Chi tiết tin'!$AT$7:$AT$500="Pass"))+SUMPRODUCT(--ISNUMBER(SEARCH(", "&amp;$B127&amp;", ",", "&amp;'Quà cảm ơn'!$B$7:$B$500&amp;", ")),--('Quà cảm ơn'!$AT$7:$AT$500="Pass"))+SUMPRODUCT(--ISNUMBER(SEARCH(", "&amp;$B127&amp;", ",", "&amp;'Trang chủ'!$B$7:$B$500&amp;", ")),--('Trang chủ'!$AT$7:$AT$500="Pass"))+SUMPRODUCT(--ISNUMBER(SEARCH(", "&amp;$B127&amp;", ",", "&amp;'Thông báo'!$B$7:$B$500&amp;", ")),--('Thông báo'!$AT$7:$AT$500="Pass"))+SUMPRODUCT(--ISNUMBER(SEARCH(", "&amp;$B127&amp;", ",", "&amp;'Đăng tin &amp; Quản lý tin'!$B$7:$B$500&amp;", ")),--('Đăng tin &amp; Quản lý tin'!$AT$7:$AT$500="Pass"))+SUMPRODUCT(--ISNUMBER(SEARCH(", "&amp;$B127&amp;", ",", "&amp;'Trust &amp; Safety'!$B$7:$B$500&amp;", ")),--('Trust &amp; Safety'!$AT$7:$AT$500="Pass"))+SUMPRODUCT(--ISNUMBER(SEARCH(", "&amp;$B127&amp;", ",", "&amp;'Tài khoản &amp; Hồ sơ'!$B$7:$B$500&amp;", ")),--('Tài khoản &amp; Hồ sơ'!$AT$7:$AT$500="Pass"))</f>
        <v/>
      </c>
      <c r="H127" s="53">
        <f>SUMPRODUCT(--ISNUMBER(SEARCH(", "&amp;$B127&amp;", ",", "&amp;'Hoạt động (Đơn của tôi)'!$B$7:$B$500&amp;", ")),--('Hoạt động (Đơn của tôi)'!$AT$7:$AT$500="Fail"))+SUMPRODUCT(--ISNUMBER(SEARCH(", "&amp;$B127&amp;", ",", "&amp;'Ghép nối'!$B$7:$B$500&amp;", ")),--('Ghép nối'!$AT$7:$AT$500="Fail"))+SUMPRODUCT(--ISNUMBER(SEARCH(", "&amp;$B127&amp;", ",", "&amp;'Huỷ đơn - Huỷ nhận đơn'!$B$7:$B$500&amp;", ")),--('Huỷ đơn - Huỷ nhận đơn'!$AT$7:$AT$500="Fail"))+SUMPRODUCT(--ISNUMBER(SEARCH(", "&amp;$B127&amp;", ",", "&amp;'Giao nhận &amp; Theo dõi đơn'!$B$7:$B$500&amp;", ")),--('Giao nhận &amp; Theo dõi đơn'!$AT$7:$AT$500="Fail"))+SUMPRODUCT(--ISNUMBER(SEARCH(", "&amp;$B127&amp;", ",", "&amp;'Bảng tin &amp; Chi tiết tin'!$B$7:$B$500&amp;", ")),--('Bảng tin &amp; Chi tiết tin'!$AT$7:$AT$500="Fail"))+SUMPRODUCT(--ISNUMBER(SEARCH(", "&amp;$B127&amp;", ",", "&amp;'Quà cảm ơn'!$B$7:$B$500&amp;", ")),--('Quà cảm ơn'!$AT$7:$AT$500="Fail"))+SUMPRODUCT(--ISNUMBER(SEARCH(", "&amp;$B127&amp;", ",", "&amp;'Trang chủ'!$B$7:$B$500&amp;", ")),--('Trang chủ'!$AT$7:$AT$500="Fail"))+SUMPRODUCT(--ISNUMBER(SEARCH(", "&amp;$B127&amp;", ",", "&amp;'Thông báo'!$B$7:$B$500&amp;", ")),--('Thông báo'!$AT$7:$AT$500="Fail"))+SUMPRODUCT(--ISNUMBER(SEARCH(", "&amp;$B127&amp;", ",", "&amp;'Đăng tin &amp; Quản lý tin'!$B$7:$B$500&amp;", ")),--('Đăng tin &amp; Quản lý tin'!$AT$7:$AT$500="Fail"))+SUMPRODUCT(--ISNUMBER(SEARCH(", "&amp;$B127&amp;", ",", "&amp;'Trust &amp; Safety'!$B$7:$B$500&amp;", ")),--('Trust &amp; Safety'!$AT$7:$AT$500="Fail"))+SUMPRODUCT(--ISNUMBER(SEARCH(", "&amp;$B127&amp;", ",", "&amp;'Tài khoản &amp; Hồ sơ'!$B$7:$B$500&amp;", ")),--('Tài khoản &amp; Hồ sơ'!$AT$7:$AT$500="Fail"))</f>
        <v/>
      </c>
      <c r="I127" s="53">
        <f>SUMPRODUCT(--ISNUMBER(SEARCH(", "&amp;$B127&amp;", ",", "&amp;'Hoạt động (Đơn của tôi)'!$B$7:$B$500&amp;", ")),--('Hoạt động (Đơn của tôi)'!$AT$7:$AT$500="Block"))+SUMPRODUCT(--ISNUMBER(SEARCH(", "&amp;$B127&amp;", ",", "&amp;'Ghép nối'!$B$7:$B$500&amp;", ")),--('Ghép nối'!$AT$7:$AT$500="Block"))+SUMPRODUCT(--ISNUMBER(SEARCH(", "&amp;$B127&amp;", ",", "&amp;'Huỷ đơn - Huỷ nhận đơn'!$B$7:$B$500&amp;", ")),--('Huỷ đơn - Huỷ nhận đơn'!$AT$7:$AT$500="Block"))+SUMPRODUCT(--ISNUMBER(SEARCH(", "&amp;$B127&amp;", ",", "&amp;'Giao nhận &amp; Theo dõi đơn'!$B$7:$B$500&amp;", ")),--('Giao nhận &amp; Theo dõi đơn'!$AT$7:$AT$500="Block"))+SUMPRODUCT(--ISNUMBER(SEARCH(", "&amp;$B127&amp;", ",", "&amp;'Bảng tin &amp; Chi tiết tin'!$B$7:$B$500&amp;", ")),--('Bảng tin &amp; Chi tiết tin'!$AT$7:$AT$500="Block"))+SUMPRODUCT(--ISNUMBER(SEARCH(", "&amp;$B127&amp;", ",", "&amp;'Quà cảm ơn'!$B$7:$B$500&amp;", ")),--('Quà cảm ơn'!$AT$7:$AT$500="Block"))+SUMPRODUCT(--ISNUMBER(SEARCH(", "&amp;$B127&amp;", ",", "&amp;'Trang chủ'!$B$7:$B$500&amp;", ")),--('Trang chủ'!$AT$7:$AT$500="Block"))+SUMPRODUCT(--ISNUMBER(SEARCH(", "&amp;$B127&amp;", ",", "&amp;'Thông báo'!$B$7:$B$500&amp;", ")),--('Thông báo'!$AT$7:$AT$500="Block"))+SUMPRODUCT(--ISNUMBER(SEARCH(", "&amp;$B127&amp;", ",", "&amp;'Đăng tin &amp; Quản lý tin'!$B$7:$B$500&amp;", ")),--('Đăng tin &amp; Quản lý tin'!$AT$7:$AT$500="Block"))+SUMPRODUCT(--ISNUMBER(SEARCH(", "&amp;$B127&amp;", ",", "&amp;'Trust &amp; Safety'!$B$7:$B$500&amp;", ")),--('Trust &amp; Safety'!$AT$7:$AT$500="Block"))+SUMPRODUCT(--ISNUMBER(SEARCH(", "&amp;$B127&amp;", ",", "&amp;'Tài khoản &amp; Hồ sơ'!$B$7:$B$500&amp;", ")),--('Tài khoản &amp; Hồ sơ'!$AT$7:$AT$500="Block"))</f>
        <v/>
      </c>
      <c r="J127" s="53">
        <f>SUMPRODUCT(--ISNUMBER(SEARCH(", "&amp;$B127&amp;", ",", "&amp;'Hoạt động (Đơn của tôi)'!$B$7:$B$500&amp;", ")),--('Hoạt động (Đơn của tôi)'!$AT$7:$AT$500="N/A"))+SUMPRODUCT(--ISNUMBER(SEARCH(", "&amp;$B127&amp;", ",", "&amp;'Ghép nối'!$B$7:$B$500&amp;", ")),--('Ghép nối'!$AT$7:$AT$500="N/A"))+SUMPRODUCT(--ISNUMBER(SEARCH(", "&amp;$B127&amp;", ",", "&amp;'Huỷ đơn - Huỷ nhận đơn'!$B$7:$B$500&amp;", ")),--('Huỷ đơn - Huỷ nhận đơn'!$AT$7:$AT$500="N/A"))+SUMPRODUCT(--ISNUMBER(SEARCH(", "&amp;$B127&amp;", ",", "&amp;'Giao nhận &amp; Theo dõi đơn'!$B$7:$B$500&amp;", ")),--('Giao nhận &amp; Theo dõi đơn'!$AT$7:$AT$500="N/A"))+SUMPRODUCT(--ISNUMBER(SEARCH(", "&amp;$B127&amp;", ",", "&amp;'Bảng tin &amp; Chi tiết tin'!$B$7:$B$500&amp;", ")),--('Bảng tin &amp; Chi tiết tin'!$AT$7:$AT$500="N/A"))+SUMPRODUCT(--ISNUMBER(SEARCH(", "&amp;$B127&amp;", ",", "&amp;'Quà cảm ơn'!$B$7:$B$500&amp;", ")),--('Quà cảm ơn'!$AT$7:$AT$500="N/A"))+SUMPRODUCT(--ISNUMBER(SEARCH(", "&amp;$B127&amp;", ",", "&amp;'Trang chủ'!$B$7:$B$500&amp;", ")),--('Trang chủ'!$AT$7:$AT$500="N/A"))+SUMPRODUCT(--ISNUMBER(SEARCH(", "&amp;$B127&amp;", ",", "&amp;'Thông báo'!$B$7:$B$500&amp;", ")),--('Thông báo'!$AT$7:$AT$500="N/A"))+SUMPRODUCT(--ISNUMBER(SEARCH(", "&amp;$B127&amp;", ",", "&amp;'Đăng tin &amp; Quản lý tin'!$B$7:$B$500&amp;", ")),--('Đăng tin &amp; Quản lý tin'!$AT$7:$AT$500="N/A"))+SUMPRODUCT(--ISNUMBER(SEARCH(", "&amp;$B127&amp;", ",", "&amp;'Trust &amp; Safety'!$B$7:$B$500&amp;", ")),--('Trust &amp; Safety'!$AT$7:$AT$500="N/A"))+SUMPRODUCT(--ISNUMBER(SEARCH(", "&amp;$B127&amp;", ",", "&amp;'Tài khoản &amp; Hồ sơ'!$B$7:$B$500&amp;", ")),--('Tài khoản &amp; Hồ sơ'!$AT$7:$AT$500="N/A"))</f>
        <v/>
      </c>
      <c r="K127" s="54">
        <f>IFERROR(F127/E127,0)</f>
        <v/>
      </c>
      <c r="L127" s="113">
        <f>IF(E127=0,"Chưa có TC (gap)",IF(H127&gt;0,"Có lỗi (Fail)",IF(I127&gt;0,"Bị block",IF(F127&lt;E127,"Đang test",IF(G127=0,"Không áp dụng (N/A)","Đã test xong")))))</f>
        <v/>
      </c>
      <c r="AB127" t="inlineStr">
        <is>
          <t>REQ-ORD</t>
        </is>
      </c>
    </row>
    <row r="128" ht="15.75" customHeight="1" s="216">
      <c r="A128" s="1" t="n"/>
      <c r="B128" s="112" t="inlineStr">
        <is>
          <t>REQ-TS-006</t>
        </is>
      </c>
      <c r="C128" s="261" t="inlineStr">
        <is>
          <t>Nguồn #1 — Description (§8.16): "Kênh tiếp nhận sự cố/góp ý ở Phase 1: mở Google Form trong WebView với ngữ cảnh đơn được điền sẵn, không xây back-office trong ứng dụng.</t>
        </is>
      </c>
      <c r="D128" s="113" t="inlineStr">
        <is>
          <t>DOC-v1.1-01 §8.16 "FR16 — Báo cáo sự cố &amp; hỗ trợ" · trang 50-51</t>
        </is>
      </c>
      <c r="E128" s="53">
        <f>SUMPRODUCT(--ISNUMBER(SEARCH(", "&amp;$B128&amp;", ",", "&amp;'Hoạt động (Đơn của tôi)'!$B$7:$B$500&amp;", ")))+SUMPRODUCT(--ISNUMBER(SEARCH(", "&amp;$B128&amp;", ",", "&amp;'Ghép nối'!$B$7:$B$500&amp;", ")))+SUMPRODUCT(--ISNUMBER(SEARCH(", "&amp;$B128&amp;", ",", "&amp;'Huỷ đơn - Huỷ nhận đơn'!$B$7:$B$500&amp;", ")))+SUMPRODUCT(--ISNUMBER(SEARCH(", "&amp;$B128&amp;", ",", "&amp;'Giao nhận &amp; Theo dõi đơn'!$B$7:$B$500&amp;", ")))+SUMPRODUCT(--ISNUMBER(SEARCH(", "&amp;$B128&amp;", ",", "&amp;'Bảng tin &amp; Chi tiết tin'!$B$7:$B$500&amp;", ")))+SUMPRODUCT(--ISNUMBER(SEARCH(", "&amp;$B128&amp;", ",", "&amp;'Quà cảm ơn'!$B$7:$B$500&amp;", ")))+SUMPRODUCT(--ISNUMBER(SEARCH(", "&amp;$B128&amp;", ",", "&amp;'Trang chủ'!$B$7:$B$500&amp;", ")))+SUMPRODUCT(--ISNUMBER(SEARCH(", "&amp;$B128&amp;", ",", "&amp;'Thông báo'!$B$7:$B$500&amp;", ")))+SUMPRODUCT(--ISNUMBER(SEARCH(", "&amp;$B128&amp;", ",", "&amp;'Đăng tin &amp; Quản lý tin'!$B$7:$B$500&amp;", ")))+SUMPRODUCT(--ISNUMBER(SEARCH(", "&amp;$B128&amp;", ",", "&amp;'Trust &amp; Safety'!$B$7:$B$500&amp;", ")))+SUMPRODUCT(--ISNUMBER(SEARCH(", "&amp;$B128&amp;", ",", "&amp;'Tài khoản &amp; Hồ sơ'!$B$7:$B$500&amp;", ")))</f>
        <v/>
      </c>
      <c r="F128" s="53">
        <f>SUMPRODUCT(--ISNUMBER(SEARCH(", "&amp;$B128&amp;", ",", "&amp;'Hoạt động (Đơn của tôi)'!$B$7:$B$500&amp;", ")),--('Hoạt động (Đơn của tôi)'!$AT$7:$AT$500&lt;&gt;""))+SUMPRODUCT(--ISNUMBER(SEARCH(", "&amp;$B128&amp;", ",", "&amp;'Ghép nối'!$B$7:$B$500&amp;", ")),--('Ghép nối'!$AT$7:$AT$500&lt;&gt;""))+SUMPRODUCT(--ISNUMBER(SEARCH(", "&amp;$B128&amp;", ",", "&amp;'Huỷ đơn - Huỷ nhận đơn'!$B$7:$B$500&amp;", ")),--('Huỷ đơn - Huỷ nhận đơn'!$AT$7:$AT$500&lt;&gt;""))+SUMPRODUCT(--ISNUMBER(SEARCH(", "&amp;$B128&amp;", ",", "&amp;'Giao nhận &amp; Theo dõi đơn'!$B$7:$B$500&amp;", ")),--('Giao nhận &amp; Theo dõi đơn'!$AT$7:$AT$500&lt;&gt;""))+SUMPRODUCT(--ISNUMBER(SEARCH(", "&amp;$B128&amp;", ",", "&amp;'Bảng tin &amp; Chi tiết tin'!$B$7:$B$500&amp;", ")),--('Bảng tin &amp; Chi tiết tin'!$AT$7:$AT$500&lt;&gt;""))+SUMPRODUCT(--ISNUMBER(SEARCH(", "&amp;$B128&amp;", ",", "&amp;'Quà cảm ơn'!$B$7:$B$500&amp;", ")),--('Quà cảm ơn'!$AT$7:$AT$500&lt;&gt;""))+SUMPRODUCT(--ISNUMBER(SEARCH(", "&amp;$B128&amp;", ",", "&amp;'Trang chủ'!$B$7:$B$500&amp;", ")),--('Trang chủ'!$AT$7:$AT$500&lt;&gt;""))+SUMPRODUCT(--ISNUMBER(SEARCH(", "&amp;$B128&amp;", ",", "&amp;'Thông báo'!$B$7:$B$500&amp;", ")),--('Thông báo'!$AT$7:$AT$500&lt;&gt;""))+SUMPRODUCT(--ISNUMBER(SEARCH(", "&amp;$B128&amp;", ",", "&amp;'Đăng tin &amp; Quản lý tin'!$B$7:$B$500&amp;", ")),--('Đăng tin &amp; Quản lý tin'!$AT$7:$AT$500&lt;&gt;""))+SUMPRODUCT(--ISNUMBER(SEARCH(", "&amp;$B128&amp;", ",", "&amp;'Trust &amp; Safety'!$B$7:$B$500&amp;", ")),--('Trust &amp; Safety'!$AT$7:$AT$500&lt;&gt;""))+SUMPRODUCT(--ISNUMBER(SEARCH(", "&amp;$B128&amp;", ",", "&amp;'Tài khoản &amp; Hồ sơ'!$B$7:$B$500&amp;", ")),--('Tài khoản &amp; Hồ sơ'!$AT$7:$AT$500&lt;&gt;""))</f>
        <v/>
      </c>
      <c r="G128" s="53">
        <f>SUMPRODUCT(--ISNUMBER(SEARCH(", "&amp;$B128&amp;", ",", "&amp;'Hoạt động (Đơn của tôi)'!$B$7:$B$500&amp;", ")),--('Hoạt động (Đơn của tôi)'!$AT$7:$AT$500="Pass"))+SUMPRODUCT(--ISNUMBER(SEARCH(", "&amp;$B128&amp;", ",", "&amp;'Ghép nối'!$B$7:$B$500&amp;", ")),--('Ghép nối'!$AT$7:$AT$500="Pass"))+SUMPRODUCT(--ISNUMBER(SEARCH(", "&amp;$B128&amp;", ",", "&amp;'Huỷ đơn - Huỷ nhận đơn'!$B$7:$B$500&amp;", ")),--('Huỷ đơn - Huỷ nhận đơn'!$AT$7:$AT$500="Pass"))+SUMPRODUCT(--ISNUMBER(SEARCH(", "&amp;$B128&amp;", ",", "&amp;'Giao nhận &amp; Theo dõi đơn'!$B$7:$B$500&amp;", ")),--('Giao nhận &amp; Theo dõi đơn'!$AT$7:$AT$500="Pass"))+SUMPRODUCT(--ISNUMBER(SEARCH(", "&amp;$B128&amp;", ",", "&amp;'Bảng tin &amp; Chi tiết tin'!$B$7:$B$500&amp;", ")),--('Bảng tin &amp; Chi tiết tin'!$AT$7:$AT$500="Pass"))+SUMPRODUCT(--ISNUMBER(SEARCH(", "&amp;$B128&amp;", ",", "&amp;'Quà cảm ơn'!$B$7:$B$500&amp;", ")),--('Quà cảm ơn'!$AT$7:$AT$500="Pass"))+SUMPRODUCT(--ISNUMBER(SEARCH(", "&amp;$B128&amp;", ",", "&amp;'Trang chủ'!$B$7:$B$500&amp;", ")),--('Trang chủ'!$AT$7:$AT$500="Pass"))+SUMPRODUCT(--ISNUMBER(SEARCH(", "&amp;$B128&amp;", ",", "&amp;'Thông báo'!$B$7:$B$500&amp;", ")),--('Thông báo'!$AT$7:$AT$500="Pass"))+SUMPRODUCT(--ISNUMBER(SEARCH(", "&amp;$B128&amp;", ",", "&amp;'Đăng tin &amp; Quản lý tin'!$B$7:$B$500&amp;", ")),--('Đăng tin &amp; Quản lý tin'!$AT$7:$AT$500="Pass"))+SUMPRODUCT(--ISNUMBER(SEARCH(", "&amp;$B128&amp;", ",", "&amp;'Trust &amp; Safety'!$B$7:$B$500&amp;", ")),--('Trust &amp; Safety'!$AT$7:$AT$500="Pass"))+SUMPRODUCT(--ISNUMBER(SEARCH(", "&amp;$B128&amp;", ",", "&amp;'Tài khoản &amp; Hồ sơ'!$B$7:$B$500&amp;", ")),--('Tài khoản &amp; Hồ sơ'!$AT$7:$AT$500="Pass"))</f>
        <v/>
      </c>
      <c r="H128" s="53">
        <f>SUMPRODUCT(--ISNUMBER(SEARCH(", "&amp;$B128&amp;", ",", "&amp;'Hoạt động (Đơn của tôi)'!$B$7:$B$500&amp;", ")),--('Hoạt động (Đơn của tôi)'!$AT$7:$AT$500="Fail"))+SUMPRODUCT(--ISNUMBER(SEARCH(", "&amp;$B128&amp;", ",", "&amp;'Ghép nối'!$B$7:$B$500&amp;", ")),--('Ghép nối'!$AT$7:$AT$500="Fail"))+SUMPRODUCT(--ISNUMBER(SEARCH(", "&amp;$B128&amp;", ",", "&amp;'Huỷ đơn - Huỷ nhận đơn'!$B$7:$B$500&amp;", ")),--('Huỷ đơn - Huỷ nhận đơn'!$AT$7:$AT$500="Fail"))+SUMPRODUCT(--ISNUMBER(SEARCH(", "&amp;$B128&amp;", ",", "&amp;'Giao nhận &amp; Theo dõi đơn'!$B$7:$B$500&amp;", ")),--('Giao nhận &amp; Theo dõi đơn'!$AT$7:$AT$500="Fail"))+SUMPRODUCT(--ISNUMBER(SEARCH(", "&amp;$B128&amp;", ",", "&amp;'Bảng tin &amp; Chi tiết tin'!$B$7:$B$500&amp;", ")),--('Bảng tin &amp; Chi tiết tin'!$AT$7:$AT$500="Fail"))+SUMPRODUCT(--ISNUMBER(SEARCH(", "&amp;$B128&amp;", ",", "&amp;'Quà cảm ơn'!$B$7:$B$500&amp;", ")),--('Quà cảm ơn'!$AT$7:$AT$500="Fail"))+SUMPRODUCT(--ISNUMBER(SEARCH(", "&amp;$B128&amp;", ",", "&amp;'Trang chủ'!$B$7:$B$500&amp;", ")),--('Trang chủ'!$AT$7:$AT$500="Fail"))+SUMPRODUCT(--ISNUMBER(SEARCH(", "&amp;$B128&amp;", ",", "&amp;'Thông báo'!$B$7:$B$500&amp;", ")),--('Thông báo'!$AT$7:$AT$500="Fail"))+SUMPRODUCT(--ISNUMBER(SEARCH(", "&amp;$B128&amp;", ",", "&amp;'Đăng tin &amp; Quản lý tin'!$B$7:$B$500&amp;", ")),--('Đăng tin &amp; Quản lý tin'!$AT$7:$AT$500="Fail"))+SUMPRODUCT(--ISNUMBER(SEARCH(", "&amp;$B128&amp;", ",", "&amp;'Trust &amp; Safety'!$B$7:$B$500&amp;", ")),--('Trust &amp; Safety'!$AT$7:$AT$500="Fail"))+SUMPRODUCT(--ISNUMBER(SEARCH(", "&amp;$B128&amp;", ",", "&amp;'Tài khoản &amp; Hồ sơ'!$B$7:$B$500&amp;", ")),--('Tài khoản &amp; Hồ sơ'!$AT$7:$AT$500="Fail"))</f>
        <v/>
      </c>
      <c r="I128" s="53">
        <f>SUMPRODUCT(--ISNUMBER(SEARCH(", "&amp;$B128&amp;", ",", "&amp;'Hoạt động (Đơn của tôi)'!$B$7:$B$500&amp;", ")),--('Hoạt động (Đơn của tôi)'!$AT$7:$AT$500="Block"))+SUMPRODUCT(--ISNUMBER(SEARCH(", "&amp;$B128&amp;", ",", "&amp;'Ghép nối'!$B$7:$B$500&amp;", ")),--('Ghép nối'!$AT$7:$AT$500="Block"))+SUMPRODUCT(--ISNUMBER(SEARCH(", "&amp;$B128&amp;", ",", "&amp;'Huỷ đơn - Huỷ nhận đơn'!$B$7:$B$500&amp;", ")),--('Huỷ đơn - Huỷ nhận đơn'!$AT$7:$AT$500="Block"))+SUMPRODUCT(--ISNUMBER(SEARCH(", "&amp;$B128&amp;", ",", "&amp;'Giao nhận &amp; Theo dõi đơn'!$B$7:$B$500&amp;", ")),--('Giao nhận &amp; Theo dõi đơn'!$AT$7:$AT$500="Block"))+SUMPRODUCT(--ISNUMBER(SEARCH(", "&amp;$B128&amp;", ",", "&amp;'Bảng tin &amp; Chi tiết tin'!$B$7:$B$500&amp;", ")),--('Bảng tin &amp; Chi tiết tin'!$AT$7:$AT$500="Block"))+SUMPRODUCT(--ISNUMBER(SEARCH(", "&amp;$B128&amp;", ",", "&amp;'Quà cảm ơn'!$B$7:$B$500&amp;", ")),--('Quà cảm ơn'!$AT$7:$AT$500="Block"))+SUMPRODUCT(--ISNUMBER(SEARCH(", "&amp;$B128&amp;", ",", "&amp;'Trang chủ'!$B$7:$B$500&amp;", ")),--('Trang chủ'!$AT$7:$AT$500="Block"))+SUMPRODUCT(--ISNUMBER(SEARCH(", "&amp;$B128&amp;", ",", "&amp;'Thông báo'!$B$7:$B$500&amp;", ")),--('Thông báo'!$AT$7:$AT$500="Block"))+SUMPRODUCT(--ISNUMBER(SEARCH(", "&amp;$B128&amp;", ",", "&amp;'Đăng tin &amp; Quản lý tin'!$B$7:$B$500&amp;", ")),--('Đăng tin &amp; Quản lý tin'!$AT$7:$AT$500="Block"))+SUMPRODUCT(--ISNUMBER(SEARCH(", "&amp;$B128&amp;", ",", "&amp;'Trust &amp; Safety'!$B$7:$B$500&amp;", ")),--('Trust &amp; Safety'!$AT$7:$AT$500="Block"))+SUMPRODUCT(--ISNUMBER(SEARCH(", "&amp;$B128&amp;", ",", "&amp;'Tài khoản &amp; Hồ sơ'!$B$7:$B$500&amp;", ")),--('Tài khoản &amp; Hồ sơ'!$AT$7:$AT$500="Block"))</f>
        <v/>
      </c>
      <c r="J128" s="53">
        <f>SUMPRODUCT(--ISNUMBER(SEARCH(", "&amp;$B128&amp;", ",", "&amp;'Hoạt động (Đơn của tôi)'!$B$7:$B$500&amp;", ")),--('Hoạt động (Đơn của tôi)'!$AT$7:$AT$500="N/A"))+SUMPRODUCT(--ISNUMBER(SEARCH(", "&amp;$B128&amp;", ",", "&amp;'Ghép nối'!$B$7:$B$500&amp;", ")),--('Ghép nối'!$AT$7:$AT$500="N/A"))+SUMPRODUCT(--ISNUMBER(SEARCH(", "&amp;$B128&amp;", ",", "&amp;'Huỷ đơn - Huỷ nhận đơn'!$B$7:$B$500&amp;", ")),--('Huỷ đơn - Huỷ nhận đơn'!$AT$7:$AT$500="N/A"))+SUMPRODUCT(--ISNUMBER(SEARCH(", "&amp;$B128&amp;", ",", "&amp;'Giao nhận &amp; Theo dõi đơn'!$B$7:$B$500&amp;", ")),--('Giao nhận &amp; Theo dõi đơn'!$AT$7:$AT$500="N/A"))+SUMPRODUCT(--ISNUMBER(SEARCH(", "&amp;$B128&amp;", ",", "&amp;'Bảng tin &amp; Chi tiết tin'!$B$7:$B$500&amp;", ")),--('Bảng tin &amp; Chi tiết tin'!$AT$7:$AT$500="N/A"))+SUMPRODUCT(--ISNUMBER(SEARCH(", "&amp;$B128&amp;", ",", "&amp;'Quà cảm ơn'!$B$7:$B$500&amp;", ")),--('Quà cảm ơn'!$AT$7:$AT$500="N/A"))+SUMPRODUCT(--ISNUMBER(SEARCH(", "&amp;$B128&amp;", ",", "&amp;'Trang chủ'!$B$7:$B$500&amp;", ")),--('Trang chủ'!$AT$7:$AT$500="N/A"))+SUMPRODUCT(--ISNUMBER(SEARCH(", "&amp;$B128&amp;", ",", "&amp;'Thông báo'!$B$7:$B$500&amp;", ")),--('Thông báo'!$AT$7:$AT$500="N/A"))+SUMPRODUCT(--ISNUMBER(SEARCH(", "&amp;$B128&amp;", ",", "&amp;'Đăng tin &amp; Quản lý tin'!$B$7:$B$500&amp;", ")),--('Đăng tin &amp; Quản lý tin'!$AT$7:$AT$500="N/A"))+SUMPRODUCT(--ISNUMBER(SEARCH(", "&amp;$B128&amp;", ",", "&amp;'Trust &amp; Safety'!$B$7:$B$500&amp;", ")),--('Trust &amp; Safety'!$AT$7:$AT$500="N/A"))+SUMPRODUCT(--ISNUMBER(SEARCH(", "&amp;$B128&amp;", ",", "&amp;'Tài khoản &amp; Hồ sơ'!$B$7:$B$500&amp;", ")),--('Tài khoản &amp; Hồ sơ'!$AT$7:$AT$500="N/A"))</f>
        <v/>
      </c>
      <c r="K128" s="54">
        <f>IFERROR(F128/E128,0)</f>
        <v/>
      </c>
      <c r="L128" s="113">
        <f>IF(E128=0,"Chưa có TC (gap)",IF(H128&gt;0,"Có lỗi (Fail)",IF(I128&gt;0,"Bị block",IF(F128&lt;E128,"Đang test",IF(G128=0,"Không áp dụng (N/A)","Đã test xong")))))</f>
        <v/>
      </c>
      <c r="AB128" t="inlineStr">
        <is>
          <t>REQ-TS</t>
        </is>
      </c>
    </row>
    <row r="129" ht="15.75" customHeight="1" s="216">
      <c r="A129" s="1" t="n"/>
      <c r="B129" s="112" t="inlineStr">
        <is>
          <t>REQ-TS-001</t>
        </is>
      </c>
      <c r="C129" s="261" t="inlineStr"/>
      <c r="D129" s="113" t="inlineStr">
        <is>
          <t>DOC-v1.0-01</t>
        </is>
      </c>
      <c r="E129" s="53">
        <f>SUMPRODUCT(--ISNUMBER(SEARCH(", "&amp;$B129&amp;", ",", "&amp;'Hoạt động (Đơn của tôi)'!$B$7:$B$500&amp;", ")))+SUMPRODUCT(--ISNUMBER(SEARCH(", "&amp;$B129&amp;", ",", "&amp;'Ghép nối'!$B$7:$B$500&amp;", ")))+SUMPRODUCT(--ISNUMBER(SEARCH(", "&amp;$B129&amp;", ",", "&amp;'Huỷ đơn - Huỷ nhận đơn'!$B$7:$B$500&amp;", ")))+SUMPRODUCT(--ISNUMBER(SEARCH(", "&amp;$B129&amp;", ",", "&amp;'Giao nhận &amp; Theo dõi đơn'!$B$7:$B$500&amp;", ")))+SUMPRODUCT(--ISNUMBER(SEARCH(", "&amp;$B129&amp;", ",", "&amp;'Bảng tin &amp; Chi tiết tin'!$B$7:$B$500&amp;", ")))+SUMPRODUCT(--ISNUMBER(SEARCH(", "&amp;$B129&amp;", ",", "&amp;'Quà cảm ơn'!$B$7:$B$500&amp;", ")))+SUMPRODUCT(--ISNUMBER(SEARCH(", "&amp;$B129&amp;", ",", "&amp;'Trang chủ'!$B$7:$B$500&amp;", ")))+SUMPRODUCT(--ISNUMBER(SEARCH(", "&amp;$B129&amp;", ",", "&amp;'Thông báo'!$B$7:$B$500&amp;", ")))+SUMPRODUCT(--ISNUMBER(SEARCH(", "&amp;$B129&amp;", ",", "&amp;'Đăng tin &amp; Quản lý tin'!$B$7:$B$500&amp;", ")))+SUMPRODUCT(--ISNUMBER(SEARCH(", "&amp;$B129&amp;", ",", "&amp;'Trust &amp; Safety'!$B$7:$B$500&amp;", ")))+SUMPRODUCT(--ISNUMBER(SEARCH(", "&amp;$B129&amp;", ",", "&amp;'Tài khoản &amp; Hồ sơ'!$B$7:$B$500&amp;", ")))</f>
        <v/>
      </c>
      <c r="F129" s="53">
        <f>SUMPRODUCT(--ISNUMBER(SEARCH(", "&amp;$B129&amp;", ",", "&amp;'Hoạt động (Đơn của tôi)'!$B$7:$B$500&amp;", ")),--('Hoạt động (Đơn của tôi)'!$AT$7:$AT$500&lt;&gt;""))+SUMPRODUCT(--ISNUMBER(SEARCH(", "&amp;$B129&amp;", ",", "&amp;'Ghép nối'!$B$7:$B$500&amp;", ")),--('Ghép nối'!$AT$7:$AT$500&lt;&gt;""))+SUMPRODUCT(--ISNUMBER(SEARCH(", "&amp;$B129&amp;", ",", "&amp;'Huỷ đơn - Huỷ nhận đơn'!$B$7:$B$500&amp;", ")),--('Huỷ đơn - Huỷ nhận đơn'!$AT$7:$AT$500&lt;&gt;""))+SUMPRODUCT(--ISNUMBER(SEARCH(", "&amp;$B129&amp;", ",", "&amp;'Giao nhận &amp; Theo dõi đơn'!$B$7:$B$500&amp;", ")),--('Giao nhận &amp; Theo dõi đơn'!$AT$7:$AT$500&lt;&gt;""))+SUMPRODUCT(--ISNUMBER(SEARCH(", "&amp;$B129&amp;", ",", "&amp;'Bảng tin &amp; Chi tiết tin'!$B$7:$B$500&amp;", ")),--('Bảng tin &amp; Chi tiết tin'!$AT$7:$AT$500&lt;&gt;""))+SUMPRODUCT(--ISNUMBER(SEARCH(", "&amp;$B129&amp;", ",", "&amp;'Quà cảm ơn'!$B$7:$B$500&amp;", ")),--('Quà cảm ơn'!$AT$7:$AT$500&lt;&gt;""))+SUMPRODUCT(--ISNUMBER(SEARCH(", "&amp;$B129&amp;", ",", "&amp;'Trang chủ'!$B$7:$B$500&amp;", ")),--('Trang chủ'!$AT$7:$AT$500&lt;&gt;""))+SUMPRODUCT(--ISNUMBER(SEARCH(", "&amp;$B129&amp;", ",", "&amp;'Thông báo'!$B$7:$B$500&amp;", ")),--('Thông báo'!$AT$7:$AT$500&lt;&gt;""))+SUMPRODUCT(--ISNUMBER(SEARCH(", "&amp;$B129&amp;", ",", "&amp;'Đăng tin &amp; Quản lý tin'!$B$7:$B$500&amp;", ")),--('Đăng tin &amp; Quản lý tin'!$AT$7:$AT$500&lt;&gt;""))+SUMPRODUCT(--ISNUMBER(SEARCH(", "&amp;$B129&amp;", ",", "&amp;'Trust &amp; Safety'!$B$7:$B$500&amp;", ")),--('Trust &amp; Safety'!$AT$7:$AT$500&lt;&gt;""))+SUMPRODUCT(--ISNUMBER(SEARCH(", "&amp;$B129&amp;", ",", "&amp;'Tài khoản &amp; Hồ sơ'!$B$7:$B$500&amp;", ")),--('Tài khoản &amp; Hồ sơ'!$AT$7:$AT$500&lt;&gt;""))</f>
        <v/>
      </c>
      <c r="G129" s="53">
        <f>SUMPRODUCT(--ISNUMBER(SEARCH(", "&amp;$B129&amp;", ",", "&amp;'Hoạt động (Đơn của tôi)'!$B$7:$B$500&amp;", ")),--('Hoạt động (Đơn của tôi)'!$AT$7:$AT$500="Pass"))+SUMPRODUCT(--ISNUMBER(SEARCH(", "&amp;$B129&amp;", ",", "&amp;'Ghép nối'!$B$7:$B$500&amp;", ")),--('Ghép nối'!$AT$7:$AT$500="Pass"))+SUMPRODUCT(--ISNUMBER(SEARCH(", "&amp;$B129&amp;", ",", "&amp;'Huỷ đơn - Huỷ nhận đơn'!$B$7:$B$500&amp;", ")),--('Huỷ đơn - Huỷ nhận đơn'!$AT$7:$AT$500="Pass"))+SUMPRODUCT(--ISNUMBER(SEARCH(", "&amp;$B129&amp;", ",", "&amp;'Giao nhận &amp; Theo dõi đơn'!$B$7:$B$500&amp;", ")),--('Giao nhận &amp; Theo dõi đơn'!$AT$7:$AT$500="Pass"))+SUMPRODUCT(--ISNUMBER(SEARCH(", "&amp;$B129&amp;", ",", "&amp;'Bảng tin &amp; Chi tiết tin'!$B$7:$B$500&amp;", ")),--('Bảng tin &amp; Chi tiết tin'!$AT$7:$AT$500="Pass"))+SUMPRODUCT(--ISNUMBER(SEARCH(", "&amp;$B129&amp;", ",", "&amp;'Quà cảm ơn'!$B$7:$B$500&amp;", ")),--('Quà cảm ơn'!$AT$7:$AT$500="Pass"))+SUMPRODUCT(--ISNUMBER(SEARCH(", "&amp;$B129&amp;", ",", "&amp;'Trang chủ'!$B$7:$B$500&amp;", ")),--('Trang chủ'!$AT$7:$AT$500="Pass"))+SUMPRODUCT(--ISNUMBER(SEARCH(", "&amp;$B129&amp;", ",", "&amp;'Thông báo'!$B$7:$B$500&amp;", ")),--('Thông báo'!$AT$7:$AT$500="Pass"))+SUMPRODUCT(--ISNUMBER(SEARCH(", "&amp;$B129&amp;", ",", "&amp;'Đăng tin &amp; Quản lý tin'!$B$7:$B$500&amp;", ")),--('Đăng tin &amp; Quản lý tin'!$AT$7:$AT$500="Pass"))+SUMPRODUCT(--ISNUMBER(SEARCH(", "&amp;$B129&amp;", ",", "&amp;'Trust &amp; Safety'!$B$7:$B$500&amp;", ")),--('Trust &amp; Safety'!$AT$7:$AT$500="Pass"))+SUMPRODUCT(--ISNUMBER(SEARCH(", "&amp;$B129&amp;", ",", "&amp;'Tài khoản &amp; Hồ sơ'!$B$7:$B$500&amp;", ")),--('Tài khoản &amp; Hồ sơ'!$AT$7:$AT$500="Pass"))</f>
        <v/>
      </c>
      <c r="H129" s="53">
        <f>SUMPRODUCT(--ISNUMBER(SEARCH(", "&amp;$B129&amp;", ",", "&amp;'Hoạt động (Đơn của tôi)'!$B$7:$B$500&amp;", ")),--('Hoạt động (Đơn của tôi)'!$AT$7:$AT$500="Fail"))+SUMPRODUCT(--ISNUMBER(SEARCH(", "&amp;$B129&amp;", ",", "&amp;'Ghép nối'!$B$7:$B$500&amp;", ")),--('Ghép nối'!$AT$7:$AT$500="Fail"))+SUMPRODUCT(--ISNUMBER(SEARCH(", "&amp;$B129&amp;", ",", "&amp;'Huỷ đơn - Huỷ nhận đơn'!$B$7:$B$500&amp;", ")),--('Huỷ đơn - Huỷ nhận đơn'!$AT$7:$AT$500="Fail"))+SUMPRODUCT(--ISNUMBER(SEARCH(", "&amp;$B129&amp;", ",", "&amp;'Giao nhận &amp; Theo dõi đơn'!$B$7:$B$500&amp;", ")),--('Giao nhận &amp; Theo dõi đơn'!$AT$7:$AT$500="Fail"))+SUMPRODUCT(--ISNUMBER(SEARCH(", "&amp;$B129&amp;", ",", "&amp;'Bảng tin &amp; Chi tiết tin'!$B$7:$B$500&amp;", ")),--('Bảng tin &amp; Chi tiết tin'!$AT$7:$AT$500="Fail"))+SUMPRODUCT(--ISNUMBER(SEARCH(", "&amp;$B129&amp;", ",", "&amp;'Quà cảm ơn'!$B$7:$B$500&amp;", ")),--('Quà cảm ơn'!$AT$7:$AT$500="Fail"))+SUMPRODUCT(--ISNUMBER(SEARCH(", "&amp;$B129&amp;", ",", "&amp;'Trang chủ'!$B$7:$B$500&amp;", ")),--('Trang chủ'!$AT$7:$AT$500="Fail"))+SUMPRODUCT(--ISNUMBER(SEARCH(", "&amp;$B129&amp;", ",", "&amp;'Thông báo'!$B$7:$B$500&amp;", ")),--('Thông báo'!$AT$7:$AT$500="Fail"))+SUMPRODUCT(--ISNUMBER(SEARCH(", "&amp;$B129&amp;", ",", "&amp;'Đăng tin &amp; Quản lý tin'!$B$7:$B$500&amp;", ")),--('Đăng tin &amp; Quản lý tin'!$AT$7:$AT$500="Fail"))+SUMPRODUCT(--ISNUMBER(SEARCH(", "&amp;$B129&amp;", ",", "&amp;'Trust &amp; Safety'!$B$7:$B$500&amp;", ")),--('Trust &amp; Safety'!$AT$7:$AT$500="Fail"))+SUMPRODUCT(--ISNUMBER(SEARCH(", "&amp;$B129&amp;", ",", "&amp;'Tài khoản &amp; Hồ sơ'!$B$7:$B$500&amp;", ")),--('Tài khoản &amp; Hồ sơ'!$AT$7:$AT$500="Fail"))</f>
        <v/>
      </c>
      <c r="I129" s="53">
        <f>SUMPRODUCT(--ISNUMBER(SEARCH(", "&amp;$B129&amp;", ",", "&amp;'Hoạt động (Đơn của tôi)'!$B$7:$B$500&amp;", ")),--('Hoạt động (Đơn của tôi)'!$AT$7:$AT$500="Block"))+SUMPRODUCT(--ISNUMBER(SEARCH(", "&amp;$B129&amp;", ",", "&amp;'Ghép nối'!$B$7:$B$500&amp;", ")),--('Ghép nối'!$AT$7:$AT$500="Block"))+SUMPRODUCT(--ISNUMBER(SEARCH(", "&amp;$B129&amp;", ",", "&amp;'Huỷ đơn - Huỷ nhận đơn'!$B$7:$B$500&amp;", ")),--('Huỷ đơn - Huỷ nhận đơn'!$AT$7:$AT$500="Block"))+SUMPRODUCT(--ISNUMBER(SEARCH(", "&amp;$B129&amp;", ",", "&amp;'Giao nhận &amp; Theo dõi đơn'!$B$7:$B$500&amp;", ")),--('Giao nhận &amp; Theo dõi đơn'!$AT$7:$AT$500="Block"))+SUMPRODUCT(--ISNUMBER(SEARCH(", "&amp;$B129&amp;", ",", "&amp;'Bảng tin &amp; Chi tiết tin'!$B$7:$B$500&amp;", ")),--('Bảng tin &amp; Chi tiết tin'!$AT$7:$AT$500="Block"))+SUMPRODUCT(--ISNUMBER(SEARCH(", "&amp;$B129&amp;", ",", "&amp;'Quà cảm ơn'!$B$7:$B$500&amp;", ")),--('Quà cảm ơn'!$AT$7:$AT$500="Block"))+SUMPRODUCT(--ISNUMBER(SEARCH(", "&amp;$B129&amp;", ",", "&amp;'Trang chủ'!$B$7:$B$500&amp;", ")),--('Trang chủ'!$AT$7:$AT$500="Block"))+SUMPRODUCT(--ISNUMBER(SEARCH(", "&amp;$B129&amp;", ",", "&amp;'Thông báo'!$B$7:$B$500&amp;", ")),--('Thông báo'!$AT$7:$AT$500="Block"))+SUMPRODUCT(--ISNUMBER(SEARCH(", "&amp;$B129&amp;", ",", "&amp;'Đăng tin &amp; Quản lý tin'!$B$7:$B$500&amp;", ")),--('Đăng tin &amp; Quản lý tin'!$AT$7:$AT$500="Block"))+SUMPRODUCT(--ISNUMBER(SEARCH(", "&amp;$B129&amp;", ",", "&amp;'Trust &amp; Safety'!$B$7:$B$500&amp;", ")),--('Trust &amp; Safety'!$AT$7:$AT$500="Block"))+SUMPRODUCT(--ISNUMBER(SEARCH(", "&amp;$B129&amp;", ",", "&amp;'Tài khoản &amp; Hồ sơ'!$B$7:$B$500&amp;", ")),--('Tài khoản &amp; Hồ sơ'!$AT$7:$AT$500="Block"))</f>
        <v/>
      </c>
      <c r="J129" s="53">
        <f>SUMPRODUCT(--ISNUMBER(SEARCH(", "&amp;$B129&amp;", ",", "&amp;'Hoạt động (Đơn của tôi)'!$B$7:$B$500&amp;", ")),--('Hoạt động (Đơn của tôi)'!$AT$7:$AT$500="N/A"))+SUMPRODUCT(--ISNUMBER(SEARCH(", "&amp;$B129&amp;", ",", "&amp;'Ghép nối'!$B$7:$B$500&amp;", ")),--('Ghép nối'!$AT$7:$AT$500="N/A"))+SUMPRODUCT(--ISNUMBER(SEARCH(", "&amp;$B129&amp;", ",", "&amp;'Huỷ đơn - Huỷ nhận đơn'!$B$7:$B$500&amp;", ")),--('Huỷ đơn - Huỷ nhận đơn'!$AT$7:$AT$500="N/A"))+SUMPRODUCT(--ISNUMBER(SEARCH(", "&amp;$B129&amp;", ",", "&amp;'Giao nhận &amp; Theo dõi đơn'!$B$7:$B$500&amp;", ")),--('Giao nhận &amp; Theo dõi đơn'!$AT$7:$AT$500="N/A"))+SUMPRODUCT(--ISNUMBER(SEARCH(", "&amp;$B129&amp;", ",", "&amp;'Bảng tin &amp; Chi tiết tin'!$B$7:$B$500&amp;", ")),--('Bảng tin &amp; Chi tiết tin'!$AT$7:$AT$500="N/A"))+SUMPRODUCT(--ISNUMBER(SEARCH(", "&amp;$B129&amp;", ",", "&amp;'Quà cảm ơn'!$B$7:$B$500&amp;", ")),--('Quà cảm ơn'!$AT$7:$AT$500="N/A"))+SUMPRODUCT(--ISNUMBER(SEARCH(", "&amp;$B129&amp;", ",", "&amp;'Trang chủ'!$B$7:$B$500&amp;", ")),--('Trang chủ'!$AT$7:$AT$500="N/A"))+SUMPRODUCT(--ISNUMBER(SEARCH(", "&amp;$B129&amp;", ",", "&amp;'Thông báo'!$B$7:$B$500&amp;", ")),--('Thông báo'!$AT$7:$AT$500="N/A"))+SUMPRODUCT(--ISNUMBER(SEARCH(", "&amp;$B129&amp;", ",", "&amp;'Đăng tin &amp; Quản lý tin'!$B$7:$B$500&amp;", ")),--('Đăng tin &amp; Quản lý tin'!$AT$7:$AT$500="N/A"))+SUMPRODUCT(--ISNUMBER(SEARCH(", "&amp;$B129&amp;", ",", "&amp;'Trust &amp; Safety'!$B$7:$B$500&amp;", ")),--('Trust &amp; Safety'!$AT$7:$AT$500="N/A"))+SUMPRODUCT(--ISNUMBER(SEARCH(", "&amp;$B129&amp;", ",", "&amp;'Tài khoản &amp; Hồ sơ'!$B$7:$B$500&amp;", ")),--('Tài khoản &amp; Hồ sơ'!$AT$7:$AT$500="N/A"))</f>
        <v/>
      </c>
      <c r="K129" s="54">
        <f>IFERROR(F129/E129,0)</f>
        <v/>
      </c>
      <c r="L129" s="113">
        <f>IF(E129=0,"Chưa có TC (gap)",IF(H129&gt;0,"Có lỗi (Fail)",IF(I129&gt;0,"Bị block",IF(F129&lt;E129,"Đang test",IF(G129=0,"Không áp dụng (N/A)","Đã test xong")))))</f>
        <v/>
      </c>
      <c r="AB129" t="inlineStr">
        <is>
          <t>REQ-TS</t>
        </is>
      </c>
    </row>
    <row r="130" ht="15.75" customHeight="1" s="216">
      <c r="A130" s="1" t="n"/>
      <c r="B130" s="112" t="inlineStr">
        <is>
          <t>REQ-TS-002</t>
        </is>
      </c>
      <c r="C130" s="261" t="inlineStr"/>
      <c r="D130" s="113" t="inlineStr">
        <is>
          <t>DOC-v1.0-01 · DOC-v1.0-06</t>
        </is>
      </c>
      <c r="E130" s="53">
        <f>SUMPRODUCT(--ISNUMBER(SEARCH(", "&amp;$B130&amp;", ",", "&amp;'Hoạt động (Đơn của tôi)'!$B$7:$B$500&amp;", ")))+SUMPRODUCT(--ISNUMBER(SEARCH(", "&amp;$B130&amp;", ",", "&amp;'Ghép nối'!$B$7:$B$500&amp;", ")))+SUMPRODUCT(--ISNUMBER(SEARCH(", "&amp;$B130&amp;", ",", "&amp;'Huỷ đơn - Huỷ nhận đơn'!$B$7:$B$500&amp;", ")))+SUMPRODUCT(--ISNUMBER(SEARCH(", "&amp;$B130&amp;", ",", "&amp;'Giao nhận &amp; Theo dõi đơn'!$B$7:$B$500&amp;", ")))+SUMPRODUCT(--ISNUMBER(SEARCH(", "&amp;$B130&amp;", ",", "&amp;'Bảng tin &amp; Chi tiết tin'!$B$7:$B$500&amp;", ")))+SUMPRODUCT(--ISNUMBER(SEARCH(", "&amp;$B130&amp;", ",", "&amp;'Quà cảm ơn'!$B$7:$B$500&amp;", ")))+SUMPRODUCT(--ISNUMBER(SEARCH(", "&amp;$B130&amp;", ",", "&amp;'Trang chủ'!$B$7:$B$500&amp;", ")))+SUMPRODUCT(--ISNUMBER(SEARCH(", "&amp;$B130&amp;", ",", "&amp;'Thông báo'!$B$7:$B$500&amp;", ")))+SUMPRODUCT(--ISNUMBER(SEARCH(", "&amp;$B130&amp;", ",", "&amp;'Đăng tin &amp; Quản lý tin'!$B$7:$B$500&amp;", ")))+SUMPRODUCT(--ISNUMBER(SEARCH(", "&amp;$B130&amp;", ",", "&amp;'Trust &amp; Safety'!$B$7:$B$500&amp;", ")))+SUMPRODUCT(--ISNUMBER(SEARCH(", "&amp;$B130&amp;", ",", "&amp;'Tài khoản &amp; Hồ sơ'!$B$7:$B$500&amp;", ")))</f>
        <v/>
      </c>
      <c r="F130" s="53">
        <f>SUMPRODUCT(--ISNUMBER(SEARCH(", "&amp;$B130&amp;", ",", "&amp;'Hoạt động (Đơn của tôi)'!$B$7:$B$500&amp;", ")),--('Hoạt động (Đơn của tôi)'!$AT$7:$AT$500&lt;&gt;""))+SUMPRODUCT(--ISNUMBER(SEARCH(", "&amp;$B130&amp;", ",", "&amp;'Ghép nối'!$B$7:$B$500&amp;", ")),--('Ghép nối'!$AT$7:$AT$500&lt;&gt;""))+SUMPRODUCT(--ISNUMBER(SEARCH(", "&amp;$B130&amp;", ",", "&amp;'Huỷ đơn - Huỷ nhận đơn'!$B$7:$B$500&amp;", ")),--('Huỷ đơn - Huỷ nhận đơn'!$AT$7:$AT$500&lt;&gt;""))+SUMPRODUCT(--ISNUMBER(SEARCH(", "&amp;$B130&amp;", ",", "&amp;'Giao nhận &amp; Theo dõi đơn'!$B$7:$B$500&amp;", ")),--('Giao nhận &amp; Theo dõi đơn'!$AT$7:$AT$500&lt;&gt;""))+SUMPRODUCT(--ISNUMBER(SEARCH(", "&amp;$B130&amp;", ",", "&amp;'Bảng tin &amp; Chi tiết tin'!$B$7:$B$500&amp;", ")),--('Bảng tin &amp; Chi tiết tin'!$AT$7:$AT$500&lt;&gt;""))+SUMPRODUCT(--ISNUMBER(SEARCH(", "&amp;$B130&amp;", ",", "&amp;'Quà cảm ơn'!$B$7:$B$500&amp;", ")),--('Quà cảm ơn'!$AT$7:$AT$500&lt;&gt;""))+SUMPRODUCT(--ISNUMBER(SEARCH(", "&amp;$B130&amp;", ",", "&amp;'Trang chủ'!$B$7:$B$500&amp;", ")),--('Trang chủ'!$AT$7:$AT$500&lt;&gt;""))+SUMPRODUCT(--ISNUMBER(SEARCH(", "&amp;$B130&amp;", ",", "&amp;'Thông báo'!$B$7:$B$500&amp;", ")),--('Thông báo'!$AT$7:$AT$500&lt;&gt;""))+SUMPRODUCT(--ISNUMBER(SEARCH(", "&amp;$B130&amp;", ",", "&amp;'Đăng tin &amp; Quản lý tin'!$B$7:$B$500&amp;", ")),--('Đăng tin &amp; Quản lý tin'!$AT$7:$AT$500&lt;&gt;""))+SUMPRODUCT(--ISNUMBER(SEARCH(", "&amp;$B130&amp;", ",", "&amp;'Trust &amp; Safety'!$B$7:$B$500&amp;", ")),--('Trust &amp; Safety'!$AT$7:$AT$500&lt;&gt;""))+SUMPRODUCT(--ISNUMBER(SEARCH(", "&amp;$B130&amp;", ",", "&amp;'Tài khoản &amp; Hồ sơ'!$B$7:$B$500&amp;", ")),--('Tài khoản &amp; Hồ sơ'!$AT$7:$AT$500&lt;&gt;""))</f>
        <v/>
      </c>
      <c r="G130" s="53">
        <f>SUMPRODUCT(--ISNUMBER(SEARCH(", "&amp;$B130&amp;", ",", "&amp;'Hoạt động (Đơn của tôi)'!$B$7:$B$500&amp;", ")),--('Hoạt động (Đơn của tôi)'!$AT$7:$AT$500="Pass"))+SUMPRODUCT(--ISNUMBER(SEARCH(", "&amp;$B130&amp;", ",", "&amp;'Ghép nối'!$B$7:$B$500&amp;", ")),--('Ghép nối'!$AT$7:$AT$500="Pass"))+SUMPRODUCT(--ISNUMBER(SEARCH(", "&amp;$B130&amp;", ",", "&amp;'Huỷ đơn - Huỷ nhận đơn'!$B$7:$B$500&amp;", ")),--('Huỷ đơn - Huỷ nhận đơn'!$AT$7:$AT$500="Pass"))+SUMPRODUCT(--ISNUMBER(SEARCH(", "&amp;$B130&amp;", ",", "&amp;'Giao nhận &amp; Theo dõi đơn'!$B$7:$B$500&amp;", ")),--('Giao nhận &amp; Theo dõi đơn'!$AT$7:$AT$500="Pass"))+SUMPRODUCT(--ISNUMBER(SEARCH(", "&amp;$B130&amp;", ",", "&amp;'Bảng tin &amp; Chi tiết tin'!$B$7:$B$500&amp;", ")),--('Bảng tin &amp; Chi tiết tin'!$AT$7:$AT$500="Pass"))+SUMPRODUCT(--ISNUMBER(SEARCH(", "&amp;$B130&amp;", ",", "&amp;'Quà cảm ơn'!$B$7:$B$500&amp;", ")),--('Quà cảm ơn'!$AT$7:$AT$500="Pass"))+SUMPRODUCT(--ISNUMBER(SEARCH(", "&amp;$B130&amp;", ",", "&amp;'Trang chủ'!$B$7:$B$500&amp;", ")),--('Trang chủ'!$AT$7:$AT$500="Pass"))+SUMPRODUCT(--ISNUMBER(SEARCH(", "&amp;$B130&amp;", ",", "&amp;'Thông báo'!$B$7:$B$500&amp;", ")),--('Thông báo'!$AT$7:$AT$500="Pass"))+SUMPRODUCT(--ISNUMBER(SEARCH(", "&amp;$B130&amp;", ",", "&amp;'Đăng tin &amp; Quản lý tin'!$B$7:$B$500&amp;", ")),--('Đăng tin &amp; Quản lý tin'!$AT$7:$AT$500="Pass"))+SUMPRODUCT(--ISNUMBER(SEARCH(", "&amp;$B130&amp;", ",", "&amp;'Trust &amp; Safety'!$B$7:$B$500&amp;", ")),--('Trust &amp; Safety'!$AT$7:$AT$500="Pass"))+SUMPRODUCT(--ISNUMBER(SEARCH(", "&amp;$B130&amp;", ",", "&amp;'Tài khoản &amp; Hồ sơ'!$B$7:$B$500&amp;", ")),--('Tài khoản &amp; Hồ sơ'!$AT$7:$AT$500="Pass"))</f>
        <v/>
      </c>
      <c r="H130" s="53">
        <f>SUMPRODUCT(--ISNUMBER(SEARCH(", "&amp;$B130&amp;", ",", "&amp;'Hoạt động (Đơn của tôi)'!$B$7:$B$500&amp;", ")),--('Hoạt động (Đơn của tôi)'!$AT$7:$AT$500="Fail"))+SUMPRODUCT(--ISNUMBER(SEARCH(", "&amp;$B130&amp;", ",", "&amp;'Ghép nối'!$B$7:$B$500&amp;", ")),--('Ghép nối'!$AT$7:$AT$500="Fail"))+SUMPRODUCT(--ISNUMBER(SEARCH(", "&amp;$B130&amp;", ",", "&amp;'Huỷ đơn - Huỷ nhận đơn'!$B$7:$B$500&amp;", ")),--('Huỷ đơn - Huỷ nhận đơn'!$AT$7:$AT$500="Fail"))+SUMPRODUCT(--ISNUMBER(SEARCH(", "&amp;$B130&amp;", ",", "&amp;'Giao nhận &amp; Theo dõi đơn'!$B$7:$B$500&amp;", ")),--('Giao nhận &amp; Theo dõi đơn'!$AT$7:$AT$500="Fail"))+SUMPRODUCT(--ISNUMBER(SEARCH(", "&amp;$B130&amp;", ",", "&amp;'Bảng tin &amp; Chi tiết tin'!$B$7:$B$500&amp;", ")),--('Bảng tin &amp; Chi tiết tin'!$AT$7:$AT$500="Fail"))+SUMPRODUCT(--ISNUMBER(SEARCH(", "&amp;$B130&amp;", ",", "&amp;'Quà cảm ơn'!$B$7:$B$500&amp;", ")),--('Quà cảm ơn'!$AT$7:$AT$500="Fail"))+SUMPRODUCT(--ISNUMBER(SEARCH(", "&amp;$B130&amp;", ",", "&amp;'Trang chủ'!$B$7:$B$500&amp;", ")),--('Trang chủ'!$AT$7:$AT$500="Fail"))+SUMPRODUCT(--ISNUMBER(SEARCH(", "&amp;$B130&amp;", ",", "&amp;'Thông báo'!$B$7:$B$500&amp;", ")),--('Thông báo'!$AT$7:$AT$500="Fail"))+SUMPRODUCT(--ISNUMBER(SEARCH(", "&amp;$B130&amp;", ",", "&amp;'Đăng tin &amp; Quản lý tin'!$B$7:$B$500&amp;", ")),--('Đăng tin &amp; Quản lý tin'!$AT$7:$AT$500="Fail"))+SUMPRODUCT(--ISNUMBER(SEARCH(", "&amp;$B130&amp;", ",", "&amp;'Trust &amp; Safety'!$B$7:$B$500&amp;", ")),--('Trust &amp; Safety'!$AT$7:$AT$500="Fail"))+SUMPRODUCT(--ISNUMBER(SEARCH(", "&amp;$B130&amp;", ",", "&amp;'Tài khoản &amp; Hồ sơ'!$B$7:$B$500&amp;", ")),--('Tài khoản &amp; Hồ sơ'!$AT$7:$AT$500="Fail"))</f>
        <v/>
      </c>
      <c r="I130" s="53">
        <f>SUMPRODUCT(--ISNUMBER(SEARCH(", "&amp;$B130&amp;", ",", "&amp;'Hoạt động (Đơn của tôi)'!$B$7:$B$500&amp;", ")),--('Hoạt động (Đơn của tôi)'!$AT$7:$AT$500="Block"))+SUMPRODUCT(--ISNUMBER(SEARCH(", "&amp;$B130&amp;", ",", "&amp;'Ghép nối'!$B$7:$B$500&amp;", ")),--('Ghép nối'!$AT$7:$AT$500="Block"))+SUMPRODUCT(--ISNUMBER(SEARCH(", "&amp;$B130&amp;", ",", "&amp;'Huỷ đơn - Huỷ nhận đơn'!$B$7:$B$500&amp;", ")),--('Huỷ đơn - Huỷ nhận đơn'!$AT$7:$AT$500="Block"))+SUMPRODUCT(--ISNUMBER(SEARCH(", "&amp;$B130&amp;", ",", "&amp;'Giao nhận &amp; Theo dõi đơn'!$B$7:$B$500&amp;", ")),--('Giao nhận &amp; Theo dõi đơn'!$AT$7:$AT$500="Block"))+SUMPRODUCT(--ISNUMBER(SEARCH(", "&amp;$B130&amp;", ",", "&amp;'Bảng tin &amp; Chi tiết tin'!$B$7:$B$500&amp;", ")),--('Bảng tin &amp; Chi tiết tin'!$AT$7:$AT$500="Block"))+SUMPRODUCT(--ISNUMBER(SEARCH(", "&amp;$B130&amp;", ",", "&amp;'Quà cảm ơn'!$B$7:$B$500&amp;", ")),--('Quà cảm ơn'!$AT$7:$AT$500="Block"))+SUMPRODUCT(--ISNUMBER(SEARCH(", "&amp;$B130&amp;", ",", "&amp;'Trang chủ'!$B$7:$B$500&amp;", ")),--('Trang chủ'!$AT$7:$AT$500="Block"))+SUMPRODUCT(--ISNUMBER(SEARCH(", "&amp;$B130&amp;", ",", "&amp;'Thông báo'!$B$7:$B$500&amp;", ")),--('Thông báo'!$AT$7:$AT$500="Block"))+SUMPRODUCT(--ISNUMBER(SEARCH(", "&amp;$B130&amp;", ",", "&amp;'Đăng tin &amp; Quản lý tin'!$B$7:$B$500&amp;", ")),--('Đăng tin &amp; Quản lý tin'!$AT$7:$AT$500="Block"))+SUMPRODUCT(--ISNUMBER(SEARCH(", "&amp;$B130&amp;", ",", "&amp;'Trust &amp; Safety'!$B$7:$B$500&amp;", ")),--('Trust &amp; Safety'!$AT$7:$AT$500="Block"))+SUMPRODUCT(--ISNUMBER(SEARCH(", "&amp;$B130&amp;", ",", "&amp;'Tài khoản &amp; Hồ sơ'!$B$7:$B$500&amp;", ")),--('Tài khoản &amp; Hồ sơ'!$AT$7:$AT$500="Block"))</f>
        <v/>
      </c>
      <c r="J130" s="53">
        <f>SUMPRODUCT(--ISNUMBER(SEARCH(", "&amp;$B130&amp;", ",", "&amp;'Hoạt động (Đơn của tôi)'!$B$7:$B$500&amp;", ")),--('Hoạt động (Đơn của tôi)'!$AT$7:$AT$500="N/A"))+SUMPRODUCT(--ISNUMBER(SEARCH(", "&amp;$B130&amp;", ",", "&amp;'Ghép nối'!$B$7:$B$500&amp;", ")),--('Ghép nối'!$AT$7:$AT$500="N/A"))+SUMPRODUCT(--ISNUMBER(SEARCH(", "&amp;$B130&amp;", ",", "&amp;'Huỷ đơn - Huỷ nhận đơn'!$B$7:$B$500&amp;", ")),--('Huỷ đơn - Huỷ nhận đơn'!$AT$7:$AT$500="N/A"))+SUMPRODUCT(--ISNUMBER(SEARCH(", "&amp;$B130&amp;", ",", "&amp;'Giao nhận &amp; Theo dõi đơn'!$B$7:$B$500&amp;", ")),--('Giao nhận &amp; Theo dõi đơn'!$AT$7:$AT$500="N/A"))+SUMPRODUCT(--ISNUMBER(SEARCH(", "&amp;$B130&amp;", ",", "&amp;'Bảng tin &amp; Chi tiết tin'!$B$7:$B$500&amp;", ")),--('Bảng tin &amp; Chi tiết tin'!$AT$7:$AT$500="N/A"))+SUMPRODUCT(--ISNUMBER(SEARCH(", "&amp;$B130&amp;", ",", "&amp;'Quà cảm ơn'!$B$7:$B$500&amp;", ")),--('Quà cảm ơn'!$AT$7:$AT$500="N/A"))+SUMPRODUCT(--ISNUMBER(SEARCH(", "&amp;$B130&amp;", ",", "&amp;'Trang chủ'!$B$7:$B$500&amp;", ")),--('Trang chủ'!$AT$7:$AT$500="N/A"))+SUMPRODUCT(--ISNUMBER(SEARCH(", "&amp;$B130&amp;", ",", "&amp;'Thông báo'!$B$7:$B$500&amp;", ")),--('Thông báo'!$AT$7:$AT$500="N/A"))+SUMPRODUCT(--ISNUMBER(SEARCH(", "&amp;$B130&amp;", ",", "&amp;'Đăng tin &amp; Quản lý tin'!$B$7:$B$500&amp;", ")),--('Đăng tin &amp; Quản lý tin'!$AT$7:$AT$500="N/A"))+SUMPRODUCT(--ISNUMBER(SEARCH(", "&amp;$B130&amp;", ",", "&amp;'Trust &amp; Safety'!$B$7:$B$500&amp;", ")),--('Trust &amp; Safety'!$AT$7:$AT$500="N/A"))+SUMPRODUCT(--ISNUMBER(SEARCH(", "&amp;$B130&amp;", ",", "&amp;'Tài khoản &amp; Hồ sơ'!$B$7:$B$500&amp;", ")),--('Tài khoản &amp; Hồ sơ'!$AT$7:$AT$500="N/A"))</f>
        <v/>
      </c>
      <c r="K130" s="54">
        <f>IFERROR(F130/E130,0)</f>
        <v/>
      </c>
      <c r="L130" s="113">
        <f>IF(E130=0,"Chưa có TC (gap)",IF(H130&gt;0,"Có lỗi (Fail)",IF(I130&gt;0,"Bị block",IF(F130&lt;E130,"Đang test",IF(G130=0,"Không áp dụng (N/A)","Đã test xong")))))</f>
        <v/>
      </c>
      <c r="AB130" t="inlineStr">
        <is>
          <t>REQ-TS</t>
        </is>
      </c>
    </row>
    <row r="131" ht="15.75" customHeight="1" s="216">
      <c r="A131" s="1" t="n"/>
      <c r="B131" s="112" t="inlineStr">
        <is>
          <t>REQ-TS-004</t>
        </is>
      </c>
      <c r="C131" s="261" t="inlineStr"/>
      <c r="D131" s="113" t="inlineStr">
        <is>
          <t>DOC-v1.0-01</t>
        </is>
      </c>
      <c r="E131" s="53">
        <f>SUMPRODUCT(--ISNUMBER(SEARCH(", "&amp;$B131&amp;", ",", "&amp;'Hoạt động (Đơn của tôi)'!$B$7:$B$500&amp;", ")))+SUMPRODUCT(--ISNUMBER(SEARCH(", "&amp;$B131&amp;", ",", "&amp;'Ghép nối'!$B$7:$B$500&amp;", ")))+SUMPRODUCT(--ISNUMBER(SEARCH(", "&amp;$B131&amp;", ",", "&amp;'Huỷ đơn - Huỷ nhận đơn'!$B$7:$B$500&amp;", ")))+SUMPRODUCT(--ISNUMBER(SEARCH(", "&amp;$B131&amp;", ",", "&amp;'Giao nhận &amp; Theo dõi đơn'!$B$7:$B$500&amp;", ")))+SUMPRODUCT(--ISNUMBER(SEARCH(", "&amp;$B131&amp;", ",", "&amp;'Bảng tin &amp; Chi tiết tin'!$B$7:$B$500&amp;", ")))+SUMPRODUCT(--ISNUMBER(SEARCH(", "&amp;$B131&amp;", ",", "&amp;'Quà cảm ơn'!$B$7:$B$500&amp;", ")))+SUMPRODUCT(--ISNUMBER(SEARCH(", "&amp;$B131&amp;", ",", "&amp;'Trang chủ'!$B$7:$B$500&amp;", ")))+SUMPRODUCT(--ISNUMBER(SEARCH(", "&amp;$B131&amp;", ",", "&amp;'Thông báo'!$B$7:$B$500&amp;", ")))+SUMPRODUCT(--ISNUMBER(SEARCH(", "&amp;$B131&amp;", ",", "&amp;'Đăng tin &amp; Quản lý tin'!$B$7:$B$500&amp;", ")))+SUMPRODUCT(--ISNUMBER(SEARCH(", "&amp;$B131&amp;", ",", "&amp;'Trust &amp; Safety'!$B$7:$B$500&amp;", ")))+SUMPRODUCT(--ISNUMBER(SEARCH(", "&amp;$B131&amp;", ",", "&amp;'Tài khoản &amp; Hồ sơ'!$B$7:$B$500&amp;", ")))</f>
        <v/>
      </c>
      <c r="F131" s="53">
        <f>SUMPRODUCT(--ISNUMBER(SEARCH(", "&amp;$B131&amp;", ",", "&amp;'Hoạt động (Đơn của tôi)'!$B$7:$B$500&amp;", ")),--('Hoạt động (Đơn của tôi)'!$AT$7:$AT$500&lt;&gt;""))+SUMPRODUCT(--ISNUMBER(SEARCH(", "&amp;$B131&amp;", ",", "&amp;'Ghép nối'!$B$7:$B$500&amp;", ")),--('Ghép nối'!$AT$7:$AT$500&lt;&gt;""))+SUMPRODUCT(--ISNUMBER(SEARCH(", "&amp;$B131&amp;", ",", "&amp;'Huỷ đơn - Huỷ nhận đơn'!$B$7:$B$500&amp;", ")),--('Huỷ đơn - Huỷ nhận đơn'!$AT$7:$AT$500&lt;&gt;""))+SUMPRODUCT(--ISNUMBER(SEARCH(", "&amp;$B131&amp;", ",", "&amp;'Giao nhận &amp; Theo dõi đơn'!$B$7:$B$500&amp;", ")),--('Giao nhận &amp; Theo dõi đơn'!$AT$7:$AT$500&lt;&gt;""))+SUMPRODUCT(--ISNUMBER(SEARCH(", "&amp;$B131&amp;", ",", "&amp;'Bảng tin &amp; Chi tiết tin'!$B$7:$B$500&amp;", ")),--('Bảng tin &amp; Chi tiết tin'!$AT$7:$AT$500&lt;&gt;""))+SUMPRODUCT(--ISNUMBER(SEARCH(", "&amp;$B131&amp;", ",", "&amp;'Quà cảm ơn'!$B$7:$B$500&amp;", ")),--('Quà cảm ơn'!$AT$7:$AT$500&lt;&gt;""))+SUMPRODUCT(--ISNUMBER(SEARCH(", "&amp;$B131&amp;", ",", "&amp;'Trang chủ'!$B$7:$B$500&amp;", ")),--('Trang chủ'!$AT$7:$AT$500&lt;&gt;""))+SUMPRODUCT(--ISNUMBER(SEARCH(", "&amp;$B131&amp;", ",", "&amp;'Thông báo'!$B$7:$B$500&amp;", ")),--('Thông báo'!$AT$7:$AT$500&lt;&gt;""))+SUMPRODUCT(--ISNUMBER(SEARCH(", "&amp;$B131&amp;", ",", "&amp;'Đăng tin &amp; Quản lý tin'!$B$7:$B$500&amp;", ")),--('Đăng tin &amp; Quản lý tin'!$AT$7:$AT$500&lt;&gt;""))+SUMPRODUCT(--ISNUMBER(SEARCH(", "&amp;$B131&amp;", ",", "&amp;'Trust &amp; Safety'!$B$7:$B$500&amp;", ")),--('Trust &amp; Safety'!$AT$7:$AT$500&lt;&gt;""))+SUMPRODUCT(--ISNUMBER(SEARCH(", "&amp;$B131&amp;", ",", "&amp;'Tài khoản &amp; Hồ sơ'!$B$7:$B$500&amp;", ")),--('Tài khoản &amp; Hồ sơ'!$AT$7:$AT$500&lt;&gt;""))</f>
        <v/>
      </c>
      <c r="G131" s="53">
        <f>SUMPRODUCT(--ISNUMBER(SEARCH(", "&amp;$B131&amp;", ",", "&amp;'Hoạt động (Đơn của tôi)'!$B$7:$B$500&amp;", ")),--('Hoạt động (Đơn của tôi)'!$AT$7:$AT$500="Pass"))+SUMPRODUCT(--ISNUMBER(SEARCH(", "&amp;$B131&amp;", ",", "&amp;'Ghép nối'!$B$7:$B$500&amp;", ")),--('Ghép nối'!$AT$7:$AT$500="Pass"))+SUMPRODUCT(--ISNUMBER(SEARCH(", "&amp;$B131&amp;", ",", "&amp;'Huỷ đơn - Huỷ nhận đơn'!$B$7:$B$500&amp;", ")),--('Huỷ đơn - Huỷ nhận đơn'!$AT$7:$AT$500="Pass"))+SUMPRODUCT(--ISNUMBER(SEARCH(", "&amp;$B131&amp;", ",", "&amp;'Giao nhận &amp; Theo dõi đơn'!$B$7:$B$500&amp;", ")),--('Giao nhận &amp; Theo dõi đơn'!$AT$7:$AT$500="Pass"))+SUMPRODUCT(--ISNUMBER(SEARCH(", "&amp;$B131&amp;", ",", "&amp;'Bảng tin &amp; Chi tiết tin'!$B$7:$B$500&amp;", ")),--('Bảng tin &amp; Chi tiết tin'!$AT$7:$AT$500="Pass"))+SUMPRODUCT(--ISNUMBER(SEARCH(", "&amp;$B131&amp;", ",", "&amp;'Quà cảm ơn'!$B$7:$B$500&amp;", ")),--('Quà cảm ơn'!$AT$7:$AT$500="Pass"))+SUMPRODUCT(--ISNUMBER(SEARCH(", "&amp;$B131&amp;", ",", "&amp;'Trang chủ'!$B$7:$B$500&amp;", ")),--('Trang chủ'!$AT$7:$AT$500="Pass"))+SUMPRODUCT(--ISNUMBER(SEARCH(", "&amp;$B131&amp;", ",", "&amp;'Thông báo'!$B$7:$B$500&amp;", ")),--('Thông báo'!$AT$7:$AT$500="Pass"))+SUMPRODUCT(--ISNUMBER(SEARCH(", "&amp;$B131&amp;", ",", "&amp;'Đăng tin &amp; Quản lý tin'!$B$7:$B$500&amp;", ")),--('Đăng tin &amp; Quản lý tin'!$AT$7:$AT$500="Pass"))+SUMPRODUCT(--ISNUMBER(SEARCH(", "&amp;$B131&amp;", ",", "&amp;'Trust &amp; Safety'!$B$7:$B$500&amp;", ")),--('Trust &amp; Safety'!$AT$7:$AT$500="Pass"))+SUMPRODUCT(--ISNUMBER(SEARCH(", "&amp;$B131&amp;", ",", "&amp;'Tài khoản &amp; Hồ sơ'!$B$7:$B$500&amp;", ")),--('Tài khoản &amp; Hồ sơ'!$AT$7:$AT$500="Pass"))</f>
        <v/>
      </c>
      <c r="H131" s="53">
        <f>SUMPRODUCT(--ISNUMBER(SEARCH(", "&amp;$B131&amp;", ",", "&amp;'Hoạt động (Đơn của tôi)'!$B$7:$B$500&amp;", ")),--('Hoạt động (Đơn của tôi)'!$AT$7:$AT$500="Fail"))+SUMPRODUCT(--ISNUMBER(SEARCH(", "&amp;$B131&amp;", ",", "&amp;'Ghép nối'!$B$7:$B$500&amp;", ")),--('Ghép nối'!$AT$7:$AT$500="Fail"))+SUMPRODUCT(--ISNUMBER(SEARCH(", "&amp;$B131&amp;", ",", "&amp;'Huỷ đơn - Huỷ nhận đơn'!$B$7:$B$500&amp;", ")),--('Huỷ đơn - Huỷ nhận đơn'!$AT$7:$AT$500="Fail"))+SUMPRODUCT(--ISNUMBER(SEARCH(", "&amp;$B131&amp;", ",", "&amp;'Giao nhận &amp; Theo dõi đơn'!$B$7:$B$500&amp;", ")),--('Giao nhận &amp; Theo dõi đơn'!$AT$7:$AT$500="Fail"))+SUMPRODUCT(--ISNUMBER(SEARCH(", "&amp;$B131&amp;", ",", "&amp;'Bảng tin &amp; Chi tiết tin'!$B$7:$B$500&amp;", ")),--('Bảng tin &amp; Chi tiết tin'!$AT$7:$AT$500="Fail"))+SUMPRODUCT(--ISNUMBER(SEARCH(", "&amp;$B131&amp;", ",", "&amp;'Quà cảm ơn'!$B$7:$B$500&amp;", ")),--('Quà cảm ơn'!$AT$7:$AT$500="Fail"))+SUMPRODUCT(--ISNUMBER(SEARCH(", "&amp;$B131&amp;", ",", "&amp;'Trang chủ'!$B$7:$B$500&amp;", ")),--('Trang chủ'!$AT$7:$AT$500="Fail"))+SUMPRODUCT(--ISNUMBER(SEARCH(", "&amp;$B131&amp;", ",", "&amp;'Thông báo'!$B$7:$B$500&amp;", ")),--('Thông báo'!$AT$7:$AT$500="Fail"))+SUMPRODUCT(--ISNUMBER(SEARCH(", "&amp;$B131&amp;", ",", "&amp;'Đăng tin &amp; Quản lý tin'!$B$7:$B$500&amp;", ")),--('Đăng tin &amp; Quản lý tin'!$AT$7:$AT$500="Fail"))+SUMPRODUCT(--ISNUMBER(SEARCH(", "&amp;$B131&amp;", ",", "&amp;'Trust &amp; Safety'!$B$7:$B$500&amp;", ")),--('Trust &amp; Safety'!$AT$7:$AT$500="Fail"))+SUMPRODUCT(--ISNUMBER(SEARCH(", "&amp;$B131&amp;", ",", "&amp;'Tài khoản &amp; Hồ sơ'!$B$7:$B$500&amp;", ")),--('Tài khoản &amp; Hồ sơ'!$AT$7:$AT$500="Fail"))</f>
        <v/>
      </c>
      <c r="I131" s="53">
        <f>SUMPRODUCT(--ISNUMBER(SEARCH(", "&amp;$B131&amp;", ",", "&amp;'Hoạt động (Đơn của tôi)'!$B$7:$B$500&amp;", ")),--('Hoạt động (Đơn của tôi)'!$AT$7:$AT$500="Block"))+SUMPRODUCT(--ISNUMBER(SEARCH(", "&amp;$B131&amp;", ",", "&amp;'Ghép nối'!$B$7:$B$500&amp;", ")),--('Ghép nối'!$AT$7:$AT$500="Block"))+SUMPRODUCT(--ISNUMBER(SEARCH(", "&amp;$B131&amp;", ",", "&amp;'Huỷ đơn - Huỷ nhận đơn'!$B$7:$B$500&amp;", ")),--('Huỷ đơn - Huỷ nhận đơn'!$AT$7:$AT$500="Block"))+SUMPRODUCT(--ISNUMBER(SEARCH(", "&amp;$B131&amp;", ",", "&amp;'Giao nhận &amp; Theo dõi đơn'!$B$7:$B$500&amp;", ")),--('Giao nhận &amp; Theo dõi đơn'!$AT$7:$AT$500="Block"))+SUMPRODUCT(--ISNUMBER(SEARCH(", "&amp;$B131&amp;", ",", "&amp;'Bảng tin &amp; Chi tiết tin'!$B$7:$B$500&amp;", ")),--('Bảng tin &amp; Chi tiết tin'!$AT$7:$AT$500="Block"))+SUMPRODUCT(--ISNUMBER(SEARCH(", "&amp;$B131&amp;", ",", "&amp;'Quà cảm ơn'!$B$7:$B$500&amp;", ")),--('Quà cảm ơn'!$AT$7:$AT$500="Block"))+SUMPRODUCT(--ISNUMBER(SEARCH(", "&amp;$B131&amp;", ",", "&amp;'Trang chủ'!$B$7:$B$500&amp;", ")),--('Trang chủ'!$AT$7:$AT$500="Block"))+SUMPRODUCT(--ISNUMBER(SEARCH(", "&amp;$B131&amp;", ",", "&amp;'Thông báo'!$B$7:$B$500&amp;", ")),--('Thông báo'!$AT$7:$AT$500="Block"))+SUMPRODUCT(--ISNUMBER(SEARCH(", "&amp;$B131&amp;", ",", "&amp;'Đăng tin &amp; Quản lý tin'!$B$7:$B$500&amp;", ")),--('Đăng tin &amp; Quản lý tin'!$AT$7:$AT$500="Block"))+SUMPRODUCT(--ISNUMBER(SEARCH(", "&amp;$B131&amp;", ",", "&amp;'Trust &amp; Safety'!$B$7:$B$500&amp;", ")),--('Trust &amp; Safety'!$AT$7:$AT$500="Block"))+SUMPRODUCT(--ISNUMBER(SEARCH(", "&amp;$B131&amp;", ",", "&amp;'Tài khoản &amp; Hồ sơ'!$B$7:$B$500&amp;", ")),--('Tài khoản &amp; Hồ sơ'!$AT$7:$AT$500="Block"))</f>
        <v/>
      </c>
      <c r="J131" s="53">
        <f>SUMPRODUCT(--ISNUMBER(SEARCH(", "&amp;$B131&amp;", ",", "&amp;'Hoạt động (Đơn của tôi)'!$B$7:$B$500&amp;", ")),--('Hoạt động (Đơn của tôi)'!$AT$7:$AT$500="N/A"))+SUMPRODUCT(--ISNUMBER(SEARCH(", "&amp;$B131&amp;", ",", "&amp;'Ghép nối'!$B$7:$B$500&amp;", ")),--('Ghép nối'!$AT$7:$AT$500="N/A"))+SUMPRODUCT(--ISNUMBER(SEARCH(", "&amp;$B131&amp;", ",", "&amp;'Huỷ đơn - Huỷ nhận đơn'!$B$7:$B$500&amp;", ")),--('Huỷ đơn - Huỷ nhận đơn'!$AT$7:$AT$500="N/A"))+SUMPRODUCT(--ISNUMBER(SEARCH(", "&amp;$B131&amp;", ",", "&amp;'Giao nhận &amp; Theo dõi đơn'!$B$7:$B$500&amp;", ")),--('Giao nhận &amp; Theo dõi đơn'!$AT$7:$AT$500="N/A"))+SUMPRODUCT(--ISNUMBER(SEARCH(", "&amp;$B131&amp;", ",", "&amp;'Bảng tin &amp; Chi tiết tin'!$B$7:$B$500&amp;", ")),--('Bảng tin &amp; Chi tiết tin'!$AT$7:$AT$500="N/A"))+SUMPRODUCT(--ISNUMBER(SEARCH(", "&amp;$B131&amp;", ",", "&amp;'Quà cảm ơn'!$B$7:$B$500&amp;", ")),--('Quà cảm ơn'!$AT$7:$AT$500="N/A"))+SUMPRODUCT(--ISNUMBER(SEARCH(", "&amp;$B131&amp;", ",", "&amp;'Trang chủ'!$B$7:$B$500&amp;", ")),--('Trang chủ'!$AT$7:$AT$500="N/A"))+SUMPRODUCT(--ISNUMBER(SEARCH(", "&amp;$B131&amp;", ",", "&amp;'Thông báo'!$B$7:$B$500&amp;", ")),--('Thông báo'!$AT$7:$AT$500="N/A"))+SUMPRODUCT(--ISNUMBER(SEARCH(", "&amp;$B131&amp;", ",", "&amp;'Đăng tin &amp; Quản lý tin'!$B$7:$B$500&amp;", ")),--('Đăng tin &amp; Quản lý tin'!$AT$7:$AT$500="N/A"))+SUMPRODUCT(--ISNUMBER(SEARCH(", "&amp;$B131&amp;", ",", "&amp;'Trust &amp; Safety'!$B$7:$B$500&amp;", ")),--('Trust &amp; Safety'!$AT$7:$AT$500="N/A"))+SUMPRODUCT(--ISNUMBER(SEARCH(", "&amp;$B131&amp;", ",", "&amp;'Tài khoản &amp; Hồ sơ'!$B$7:$B$500&amp;", ")),--('Tài khoản &amp; Hồ sơ'!$AT$7:$AT$500="N/A"))</f>
        <v/>
      </c>
      <c r="K131" s="54">
        <f>IFERROR(F131/E131,0)</f>
        <v/>
      </c>
      <c r="L131" s="113">
        <f>IF(E131=0,"Chưa có TC (gap)",IF(H131&gt;0,"Có lỗi (Fail)",IF(I131&gt;0,"Bị block",IF(F131&lt;E131,"Đang test",IF(G131=0,"Không áp dụng (N/A)","Đã test xong")))))</f>
        <v/>
      </c>
      <c r="AB131" t="inlineStr">
        <is>
          <t>REQ-TS</t>
        </is>
      </c>
    </row>
    <row r="132" ht="15.75" customHeight="1" s="216">
      <c r="A132" s="1" t="n"/>
      <c r="B132" s="112" t="inlineStr">
        <is>
          <t>REQ-TS-005</t>
        </is>
      </c>
      <c r="C132" s="261" t="inlineStr"/>
      <c r="D132" s="113" t="inlineStr">
        <is>
          <t>DOC-v1.0-01</t>
        </is>
      </c>
      <c r="E132" s="53">
        <f>SUMPRODUCT(--ISNUMBER(SEARCH(", "&amp;$B132&amp;", ",", "&amp;'Hoạt động (Đơn của tôi)'!$B$7:$B$500&amp;", ")))+SUMPRODUCT(--ISNUMBER(SEARCH(", "&amp;$B132&amp;", ",", "&amp;'Ghép nối'!$B$7:$B$500&amp;", ")))+SUMPRODUCT(--ISNUMBER(SEARCH(", "&amp;$B132&amp;", ",", "&amp;'Huỷ đơn - Huỷ nhận đơn'!$B$7:$B$500&amp;", ")))+SUMPRODUCT(--ISNUMBER(SEARCH(", "&amp;$B132&amp;", ",", "&amp;'Giao nhận &amp; Theo dõi đơn'!$B$7:$B$500&amp;", ")))+SUMPRODUCT(--ISNUMBER(SEARCH(", "&amp;$B132&amp;", ",", "&amp;'Bảng tin &amp; Chi tiết tin'!$B$7:$B$500&amp;", ")))+SUMPRODUCT(--ISNUMBER(SEARCH(", "&amp;$B132&amp;", ",", "&amp;'Quà cảm ơn'!$B$7:$B$500&amp;", ")))+SUMPRODUCT(--ISNUMBER(SEARCH(", "&amp;$B132&amp;", ",", "&amp;'Trang chủ'!$B$7:$B$500&amp;", ")))+SUMPRODUCT(--ISNUMBER(SEARCH(", "&amp;$B132&amp;", ",", "&amp;'Thông báo'!$B$7:$B$500&amp;", ")))+SUMPRODUCT(--ISNUMBER(SEARCH(", "&amp;$B132&amp;", ",", "&amp;'Đăng tin &amp; Quản lý tin'!$B$7:$B$500&amp;", ")))+SUMPRODUCT(--ISNUMBER(SEARCH(", "&amp;$B132&amp;", ",", "&amp;'Trust &amp; Safety'!$B$7:$B$500&amp;", ")))+SUMPRODUCT(--ISNUMBER(SEARCH(", "&amp;$B132&amp;", ",", "&amp;'Tài khoản &amp; Hồ sơ'!$B$7:$B$500&amp;", ")))</f>
        <v/>
      </c>
      <c r="F132" s="53">
        <f>SUMPRODUCT(--ISNUMBER(SEARCH(", "&amp;$B132&amp;", ",", "&amp;'Hoạt động (Đơn của tôi)'!$B$7:$B$500&amp;", ")),--('Hoạt động (Đơn của tôi)'!$AT$7:$AT$500&lt;&gt;""))+SUMPRODUCT(--ISNUMBER(SEARCH(", "&amp;$B132&amp;", ",", "&amp;'Ghép nối'!$B$7:$B$500&amp;", ")),--('Ghép nối'!$AT$7:$AT$500&lt;&gt;""))+SUMPRODUCT(--ISNUMBER(SEARCH(", "&amp;$B132&amp;", ",", "&amp;'Huỷ đơn - Huỷ nhận đơn'!$B$7:$B$500&amp;", ")),--('Huỷ đơn - Huỷ nhận đơn'!$AT$7:$AT$500&lt;&gt;""))+SUMPRODUCT(--ISNUMBER(SEARCH(", "&amp;$B132&amp;", ",", "&amp;'Giao nhận &amp; Theo dõi đơn'!$B$7:$B$500&amp;", ")),--('Giao nhận &amp; Theo dõi đơn'!$AT$7:$AT$500&lt;&gt;""))+SUMPRODUCT(--ISNUMBER(SEARCH(", "&amp;$B132&amp;", ",", "&amp;'Bảng tin &amp; Chi tiết tin'!$B$7:$B$500&amp;", ")),--('Bảng tin &amp; Chi tiết tin'!$AT$7:$AT$500&lt;&gt;""))+SUMPRODUCT(--ISNUMBER(SEARCH(", "&amp;$B132&amp;", ",", "&amp;'Quà cảm ơn'!$B$7:$B$500&amp;", ")),--('Quà cảm ơn'!$AT$7:$AT$500&lt;&gt;""))+SUMPRODUCT(--ISNUMBER(SEARCH(", "&amp;$B132&amp;", ",", "&amp;'Trang chủ'!$B$7:$B$500&amp;", ")),--('Trang chủ'!$AT$7:$AT$500&lt;&gt;""))+SUMPRODUCT(--ISNUMBER(SEARCH(", "&amp;$B132&amp;", ",", "&amp;'Thông báo'!$B$7:$B$500&amp;", ")),--('Thông báo'!$AT$7:$AT$500&lt;&gt;""))+SUMPRODUCT(--ISNUMBER(SEARCH(", "&amp;$B132&amp;", ",", "&amp;'Đăng tin &amp; Quản lý tin'!$B$7:$B$500&amp;", ")),--('Đăng tin &amp; Quản lý tin'!$AT$7:$AT$500&lt;&gt;""))+SUMPRODUCT(--ISNUMBER(SEARCH(", "&amp;$B132&amp;", ",", "&amp;'Trust &amp; Safety'!$B$7:$B$500&amp;", ")),--('Trust &amp; Safety'!$AT$7:$AT$500&lt;&gt;""))+SUMPRODUCT(--ISNUMBER(SEARCH(", "&amp;$B132&amp;", ",", "&amp;'Tài khoản &amp; Hồ sơ'!$B$7:$B$500&amp;", ")),--('Tài khoản &amp; Hồ sơ'!$AT$7:$AT$500&lt;&gt;""))</f>
        <v/>
      </c>
      <c r="G132" s="53">
        <f>SUMPRODUCT(--ISNUMBER(SEARCH(", "&amp;$B132&amp;", ",", "&amp;'Hoạt động (Đơn của tôi)'!$B$7:$B$500&amp;", ")),--('Hoạt động (Đơn của tôi)'!$AT$7:$AT$500="Pass"))+SUMPRODUCT(--ISNUMBER(SEARCH(", "&amp;$B132&amp;", ",", "&amp;'Ghép nối'!$B$7:$B$500&amp;", ")),--('Ghép nối'!$AT$7:$AT$500="Pass"))+SUMPRODUCT(--ISNUMBER(SEARCH(", "&amp;$B132&amp;", ",", "&amp;'Huỷ đơn - Huỷ nhận đơn'!$B$7:$B$500&amp;", ")),--('Huỷ đơn - Huỷ nhận đơn'!$AT$7:$AT$500="Pass"))+SUMPRODUCT(--ISNUMBER(SEARCH(", "&amp;$B132&amp;", ",", "&amp;'Giao nhận &amp; Theo dõi đơn'!$B$7:$B$500&amp;", ")),--('Giao nhận &amp; Theo dõi đơn'!$AT$7:$AT$500="Pass"))+SUMPRODUCT(--ISNUMBER(SEARCH(", "&amp;$B132&amp;", ",", "&amp;'Bảng tin &amp; Chi tiết tin'!$B$7:$B$500&amp;", ")),--('Bảng tin &amp; Chi tiết tin'!$AT$7:$AT$500="Pass"))+SUMPRODUCT(--ISNUMBER(SEARCH(", "&amp;$B132&amp;", ",", "&amp;'Quà cảm ơn'!$B$7:$B$500&amp;", ")),--('Quà cảm ơn'!$AT$7:$AT$500="Pass"))+SUMPRODUCT(--ISNUMBER(SEARCH(", "&amp;$B132&amp;", ",", "&amp;'Trang chủ'!$B$7:$B$500&amp;", ")),--('Trang chủ'!$AT$7:$AT$500="Pass"))+SUMPRODUCT(--ISNUMBER(SEARCH(", "&amp;$B132&amp;", ",", "&amp;'Thông báo'!$B$7:$B$500&amp;", ")),--('Thông báo'!$AT$7:$AT$500="Pass"))+SUMPRODUCT(--ISNUMBER(SEARCH(", "&amp;$B132&amp;", ",", "&amp;'Đăng tin &amp; Quản lý tin'!$B$7:$B$500&amp;", ")),--('Đăng tin &amp; Quản lý tin'!$AT$7:$AT$500="Pass"))+SUMPRODUCT(--ISNUMBER(SEARCH(", "&amp;$B132&amp;", ",", "&amp;'Trust &amp; Safety'!$B$7:$B$500&amp;", ")),--('Trust &amp; Safety'!$AT$7:$AT$500="Pass"))+SUMPRODUCT(--ISNUMBER(SEARCH(", "&amp;$B132&amp;", ",", "&amp;'Tài khoản &amp; Hồ sơ'!$B$7:$B$500&amp;", ")),--('Tài khoản &amp; Hồ sơ'!$AT$7:$AT$500="Pass"))</f>
        <v/>
      </c>
      <c r="H132" s="53">
        <f>SUMPRODUCT(--ISNUMBER(SEARCH(", "&amp;$B132&amp;", ",", "&amp;'Hoạt động (Đơn của tôi)'!$B$7:$B$500&amp;", ")),--('Hoạt động (Đơn của tôi)'!$AT$7:$AT$500="Fail"))+SUMPRODUCT(--ISNUMBER(SEARCH(", "&amp;$B132&amp;", ",", "&amp;'Ghép nối'!$B$7:$B$500&amp;", ")),--('Ghép nối'!$AT$7:$AT$500="Fail"))+SUMPRODUCT(--ISNUMBER(SEARCH(", "&amp;$B132&amp;", ",", "&amp;'Huỷ đơn - Huỷ nhận đơn'!$B$7:$B$500&amp;", ")),--('Huỷ đơn - Huỷ nhận đơn'!$AT$7:$AT$500="Fail"))+SUMPRODUCT(--ISNUMBER(SEARCH(", "&amp;$B132&amp;", ",", "&amp;'Giao nhận &amp; Theo dõi đơn'!$B$7:$B$500&amp;", ")),--('Giao nhận &amp; Theo dõi đơn'!$AT$7:$AT$500="Fail"))+SUMPRODUCT(--ISNUMBER(SEARCH(", "&amp;$B132&amp;", ",", "&amp;'Bảng tin &amp; Chi tiết tin'!$B$7:$B$500&amp;", ")),--('Bảng tin &amp; Chi tiết tin'!$AT$7:$AT$500="Fail"))+SUMPRODUCT(--ISNUMBER(SEARCH(", "&amp;$B132&amp;", ",", "&amp;'Quà cảm ơn'!$B$7:$B$500&amp;", ")),--('Quà cảm ơn'!$AT$7:$AT$500="Fail"))+SUMPRODUCT(--ISNUMBER(SEARCH(", "&amp;$B132&amp;", ",", "&amp;'Trang chủ'!$B$7:$B$500&amp;", ")),--('Trang chủ'!$AT$7:$AT$500="Fail"))+SUMPRODUCT(--ISNUMBER(SEARCH(", "&amp;$B132&amp;", ",", "&amp;'Thông báo'!$B$7:$B$500&amp;", ")),--('Thông báo'!$AT$7:$AT$500="Fail"))+SUMPRODUCT(--ISNUMBER(SEARCH(", "&amp;$B132&amp;", ",", "&amp;'Đăng tin &amp; Quản lý tin'!$B$7:$B$500&amp;", ")),--('Đăng tin &amp; Quản lý tin'!$AT$7:$AT$500="Fail"))+SUMPRODUCT(--ISNUMBER(SEARCH(", "&amp;$B132&amp;", ",", "&amp;'Trust &amp; Safety'!$B$7:$B$500&amp;", ")),--('Trust &amp; Safety'!$AT$7:$AT$500="Fail"))+SUMPRODUCT(--ISNUMBER(SEARCH(", "&amp;$B132&amp;", ",", "&amp;'Tài khoản &amp; Hồ sơ'!$B$7:$B$500&amp;", ")),--('Tài khoản &amp; Hồ sơ'!$AT$7:$AT$500="Fail"))</f>
        <v/>
      </c>
      <c r="I132" s="53">
        <f>SUMPRODUCT(--ISNUMBER(SEARCH(", "&amp;$B132&amp;", ",", "&amp;'Hoạt động (Đơn của tôi)'!$B$7:$B$500&amp;", ")),--('Hoạt động (Đơn của tôi)'!$AT$7:$AT$500="Block"))+SUMPRODUCT(--ISNUMBER(SEARCH(", "&amp;$B132&amp;", ",", "&amp;'Ghép nối'!$B$7:$B$500&amp;", ")),--('Ghép nối'!$AT$7:$AT$500="Block"))+SUMPRODUCT(--ISNUMBER(SEARCH(", "&amp;$B132&amp;", ",", "&amp;'Huỷ đơn - Huỷ nhận đơn'!$B$7:$B$500&amp;", ")),--('Huỷ đơn - Huỷ nhận đơn'!$AT$7:$AT$500="Block"))+SUMPRODUCT(--ISNUMBER(SEARCH(", "&amp;$B132&amp;", ",", "&amp;'Giao nhận &amp; Theo dõi đơn'!$B$7:$B$500&amp;", ")),--('Giao nhận &amp; Theo dõi đơn'!$AT$7:$AT$500="Block"))+SUMPRODUCT(--ISNUMBER(SEARCH(", "&amp;$B132&amp;", ",", "&amp;'Bảng tin &amp; Chi tiết tin'!$B$7:$B$500&amp;", ")),--('Bảng tin &amp; Chi tiết tin'!$AT$7:$AT$500="Block"))+SUMPRODUCT(--ISNUMBER(SEARCH(", "&amp;$B132&amp;", ",", "&amp;'Quà cảm ơn'!$B$7:$B$500&amp;", ")),--('Quà cảm ơn'!$AT$7:$AT$500="Block"))+SUMPRODUCT(--ISNUMBER(SEARCH(", "&amp;$B132&amp;", ",", "&amp;'Trang chủ'!$B$7:$B$500&amp;", ")),--('Trang chủ'!$AT$7:$AT$500="Block"))+SUMPRODUCT(--ISNUMBER(SEARCH(", "&amp;$B132&amp;", ",", "&amp;'Thông báo'!$B$7:$B$500&amp;", ")),--('Thông báo'!$AT$7:$AT$500="Block"))+SUMPRODUCT(--ISNUMBER(SEARCH(", "&amp;$B132&amp;", ",", "&amp;'Đăng tin &amp; Quản lý tin'!$B$7:$B$500&amp;", ")),--('Đăng tin &amp; Quản lý tin'!$AT$7:$AT$500="Block"))+SUMPRODUCT(--ISNUMBER(SEARCH(", "&amp;$B132&amp;", ",", "&amp;'Trust &amp; Safety'!$B$7:$B$500&amp;", ")),--('Trust &amp; Safety'!$AT$7:$AT$500="Block"))+SUMPRODUCT(--ISNUMBER(SEARCH(", "&amp;$B132&amp;", ",", "&amp;'Tài khoản &amp; Hồ sơ'!$B$7:$B$500&amp;", ")),--('Tài khoản &amp; Hồ sơ'!$AT$7:$AT$500="Block"))</f>
        <v/>
      </c>
      <c r="J132" s="53">
        <f>SUMPRODUCT(--ISNUMBER(SEARCH(", "&amp;$B132&amp;", ",", "&amp;'Hoạt động (Đơn của tôi)'!$B$7:$B$500&amp;", ")),--('Hoạt động (Đơn của tôi)'!$AT$7:$AT$500="N/A"))+SUMPRODUCT(--ISNUMBER(SEARCH(", "&amp;$B132&amp;", ",", "&amp;'Ghép nối'!$B$7:$B$500&amp;", ")),--('Ghép nối'!$AT$7:$AT$500="N/A"))+SUMPRODUCT(--ISNUMBER(SEARCH(", "&amp;$B132&amp;", ",", "&amp;'Huỷ đơn - Huỷ nhận đơn'!$B$7:$B$500&amp;", ")),--('Huỷ đơn - Huỷ nhận đơn'!$AT$7:$AT$500="N/A"))+SUMPRODUCT(--ISNUMBER(SEARCH(", "&amp;$B132&amp;", ",", "&amp;'Giao nhận &amp; Theo dõi đơn'!$B$7:$B$500&amp;", ")),--('Giao nhận &amp; Theo dõi đơn'!$AT$7:$AT$500="N/A"))+SUMPRODUCT(--ISNUMBER(SEARCH(", "&amp;$B132&amp;", ",", "&amp;'Bảng tin &amp; Chi tiết tin'!$B$7:$B$500&amp;", ")),--('Bảng tin &amp; Chi tiết tin'!$AT$7:$AT$500="N/A"))+SUMPRODUCT(--ISNUMBER(SEARCH(", "&amp;$B132&amp;", ",", "&amp;'Quà cảm ơn'!$B$7:$B$500&amp;", ")),--('Quà cảm ơn'!$AT$7:$AT$500="N/A"))+SUMPRODUCT(--ISNUMBER(SEARCH(", "&amp;$B132&amp;", ",", "&amp;'Trang chủ'!$B$7:$B$500&amp;", ")),--('Trang chủ'!$AT$7:$AT$500="N/A"))+SUMPRODUCT(--ISNUMBER(SEARCH(", "&amp;$B132&amp;", ",", "&amp;'Thông báo'!$B$7:$B$500&amp;", ")),--('Thông báo'!$AT$7:$AT$500="N/A"))+SUMPRODUCT(--ISNUMBER(SEARCH(", "&amp;$B132&amp;", ",", "&amp;'Đăng tin &amp; Quản lý tin'!$B$7:$B$500&amp;", ")),--('Đăng tin &amp; Quản lý tin'!$AT$7:$AT$500="N/A"))+SUMPRODUCT(--ISNUMBER(SEARCH(", "&amp;$B132&amp;", ",", "&amp;'Trust &amp; Safety'!$B$7:$B$500&amp;", ")),--('Trust &amp; Safety'!$AT$7:$AT$500="N/A"))+SUMPRODUCT(--ISNUMBER(SEARCH(", "&amp;$B132&amp;", ",", "&amp;'Tài khoản &amp; Hồ sơ'!$B$7:$B$500&amp;", ")),--('Tài khoản &amp; Hồ sơ'!$AT$7:$AT$500="N/A"))</f>
        <v/>
      </c>
      <c r="K132" s="54">
        <f>IFERROR(F132/E132,0)</f>
        <v/>
      </c>
      <c r="L132" s="113">
        <f>IF(E132=0,"Chưa có TC (gap)",IF(H132&gt;0,"Có lỗi (Fail)",IF(I132&gt;0,"Bị block",IF(F132&lt;E132,"Đang test",IF(G132=0,"Không áp dụng (N/A)","Đã test xong")))))</f>
        <v/>
      </c>
      <c r="AB132" t="inlineStr">
        <is>
          <t>REQ-TS</t>
        </is>
      </c>
    </row>
    <row r="133" ht="15.75" customHeight="1" s="216">
      <c r="A133" s="1" t="n"/>
      <c r="B133" s="112" t="inlineStr">
        <is>
          <t>REQ-TS-003</t>
        </is>
      </c>
      <c r="C133" s="261" t="inlineStr"/>
      <c r="D133" s="113" t="inlineStr">
        <is>
          <t>DOC-v1.0-01</t>
        </is>
      </c>
      <c r="E133" s="53">
        <f>SUMPRODUCT(--ISNUMBER(SEARCH(", "&amp;$B133&amp;", ",", "&amp;'Hoạt động (Đơn của tôi)'!$B$7:$B$500&amp;", ")))+SUMPRODUCT(--ISNUMBER(SEARCH(", "&amp;$B133&amp;", ",", "&amp;'Ghép nối'!$B$7:$B$500&amp;", ")))+SUMPRODUCT(--ISNUMBER(SEARCH(", "&amp;$B133&amp;", ",", "&amp;'Huỷ đơn - Huỷ nhận đơn'!$B$7:$B$500&amp;", ")))+SUMPRODUCT(--ISNUMBER(SEARCH(", "&amp;$B133&amp;", ",", "&amp;'Giao nhận &amp; Theo dõi đơn'!$B$7:$B$500&amp;", ")))+SUMPRODUCT(--ISNUMBER(SEARCH(", "&amp;$B133&amp;", ",", "&amp;'Bảng tin &amp; Chi tiết tin'!$B$7:$B$500&amp;", ")))+SUMPRODUCT(--ISNUMBER(SEARCH(", "&amp;$B133&amp;", ",", "&amp;'Quà cảm ơn'!$B$7:$B$500&amp;", ")))+SUMPRODUCT(--ISNUMBER(SEARCH(", "&amp;$B133&amp;", ",", "&amp;'Trang chủ'!$B$7:$B$500&amp;", ")))+SUMPRODUCT(--ISNUMBER(SEARCH(", "&amp;$B133&amp;", ",", "&amp;'Thông báo'!$B$7:$B$500&amp;", ")))+SUMPRODUCT(--ISNUMBER(SEARCH(", "&amp;$B133&amp;", ",", "&amp;'Đăng tin &amp; Quản lý tin'!$B$7:$B$500&amp;", ")))+SUMPRODUCT(--ISNUMBER(SEARCH(", "&amp;$B133&amp;", ",", "&amp;'Trust &amp; Safety'!$B$7:$B$500&amp;", ")))+SUMPRODUCT(--ISNUMBER(SEARCH(", "&amp;$B133&amp;", ",", "&amp;'Tài khoản &amp; Hồ sơ'!$B$7:$B$500&amp;", ")))</f>
        <v/>
      </c>
      <c r="F133" s="53">
        <f>SUMPRODUCT(--ISNUMBER(SEARCH(", "&amp;$B133&amp;", ",", "&amp;'Hoạt động (Đơn của tôi)'!$B$7:$B$500&amp;", ")),--('Hoạt động (Đơn của tôi)'!$AT$7:$AT$500&lt;&gt;""))+SUMPRODUCT(--ISNUMBER(SEARCH(", "&amp;$B133&amp;", ",", "&amp;'Ghép nối'!$B$7:$B$500&amp;", ")),--('Ghép nối'!$AT$7:$AT$500&lt;&gt;""))+SUMPRODUCT(--ISNUMBER(SEARCH(", "&amp;$B133&amp;", ",", "&amp;'Huỷ đơn - Huỷ nhận đơn'!$B$7:$B$500&amp;", ")),--('Huỷ đơn - Huỷ nhận đơn'!$AT$7:$AT$500&lt;&gt;""))+SUMPRODUCT(--ISNUMBER(SEARCH(", "&amp;$B133&amp;", ",", "&amp;'Giao nhận &amp; Theo dõi đơn'!$B$7:$B$500&amp;", ")),--('Giao nhận &amp; Theo dõi đơn'!$AT$7:$AT$500&lt;&gt;""))+SUMPRODUCT(--ISNUMBER(SEARCH(", "&amp;$B133&amp;", ",", "&amp;'Bảng tin &amp; Chi tiết tin'!$B$7:$B$500&amp;", ")),--('Bảng tin &amp; Chi tiết tin'!$AT$7:$AT$500&lt;&gt;""))+SUMPRODUCT(--ISNUMBER(SEARCH(", "&amp;$B133&amp;", ",", "&amp;'Quà cảm ơn'!$B$7:$B$500&amp;", ")),--('Quà cảm ơn'!$AT$7:$AT$500&lt;&gt;""))+SUMPRODUCT(--ISNUMBER(SEARCH(", "&amp;$B133&amp;", ",", "&amp;'Trang chủ'!$B$7:$B$500&amp;", ")),--('Trang chủ'!$AT$7:$AT$500&lt;&gt;""))+SUMPRODUCT(--ISNUMBER(SEARCH(", "&amp;$B133&amp;", ",", "&amp;'Thông báo'!$B$7:$B$500&amp;", ")),--('Thông báo'!$AT$7:$AT$500&lt;&gt;""))+SUMPRODUCT(--ISNUMBER(SEARCH(", "&amp;$B133&amp;", ",", "&amp;'Đăng tin &amp; Quản lý tin'!$B$7:$B$500&amp;", ")),--('Đăng tin &amp; Quản lý tin'!$AT$7:$AT$500&lt;&gt;""))+SUMPRODUCT(--ISNUMBER(SEARCH(", "&amp;$B133&amp;", ",", "&amp;'Trust &amp; Safety'!$B$7:$B$500&amp;", ")),--('Trust &amp; Safety'!$AT$7:$AT$500&lt;&gt;""))+SUMPRODUCT(--ISNUMBER(SEARCH(", "&amp;$B133&amp;", ",", "&amp;'Tài khoản &amp; Hồ sơ'!$B$7:$B$500&amp;", ")),--('Tài khoản &amp; Hồ sơ'!$AT$7:$AT$500&lt;&gt;""))</f>
        <v/>
      </c>
      <c r="G133" s="53">
        <f>SUMPRODUCT(--ISNUMBER(SEARCH(", "&amp;$B133&amp;", ",", "&amp;'Hoạt động (Đơn của tôi)'!$B$7:$B$500&amp;", ")),--('Hoạt động (Đơn của tôi)'!$AT$7:$AT$500="Pass"))+SUMPRODUCT(--ISNUMBER(SEARCH(", "&amp;$B133&amp;", ",", "&amp;'Ghép nối'!$B$7:$B$500&amp;", ")),--('Ghép nối'!$AT$7:$AT$500="Pass"))+SUMPRODUCT(--ISNUMBER(SEARCH(", "&amp;$B133&amp;", ",", "&amp;'Huỷ đơn - Huỷ nhận đơn'!$B$7:$B$500&amp;", ")),--('Huỷ đơn - Huỷ nhận đơn'!$AT$7:$AT$500="Pass"))+SUMPRODUCT(--ISNUMBER(SEARCH(", "&amp;$B133&amp;", ",", "&amp;'Giao nhận &amp; Theo dõi đơn'!$B$7:$B$500&amp;", ")),--('Giao nhận &amp; Theo dõi đơn'!$AT$7:$AT$500="Pass"))+SUMPRODUCT(--ISNUMBER(SEARCH(", "&amp;$B133&amp;", ",", "&amp;'Bảng tin &amp; Chi tiết tin'!$B$7:$B$500&amp;", ")),--('Bảng tin &amp; Chi tiết tin'!$AT$7:$AT$500="Pass"))+SUMPRODUCT(--ISNUMBER(SEARCH(", "&amp;$B133&amp;", ",", "&amp;'Quà cảm ơn'!$B$7:$B$500&amp;", ")),--('Quà cảm ơn'!$AT$7:$AT$500="Pass"))+SUMPRODUCT(--ISNUMBER(SEARCH(", "&amp;$B133&amp;", ",", "&amp;'Trang chủ'!$B$7:$B$500&amp;", ")),--('Trang chủ'!$AT$7:$AT$500="Pass"))+SUMPRODUCT(--ISNUMBER(SEARCH(", "&amp;$B133&amp;", ",", "&amp;'Thông báo'!$B$7:$B$500&amp;", ")),--('Thông báo'!$AT$7:$AT$500="Pass"))+SUMPRODUCT(--ISNUMBER(SEARCH(", "&amp;$B133&amp;", ",", "&amp;'Đăng tin &amp; Quản lý tin'!$B$7:$B$500&amp;", ")),--('Đăng tin &amp; Quản lý tin'!$AT$7:$AT$500="Pass"))+SUMPRODUCT(--ISNUMBER(SEARCH(", "&amp;$B133&amp;", ",", "&amp;'Trust &amp; Safety'!$B$7:$B$500&amp;", ")),--('Trust &amp; Safety'!$AT$7:$AT$500="Pass"))+SUMPRODUCT(--ISNUMBER(SEARCH(", "&amp;$B133&amp;", ",", "&amp;'Tài khoản &amp; Hồ sơ'!$B$7:$B$500&amp;", ")),--('Tài khoản &amp; Hồ sơ'!$AT$7:$AT$500="Pass"))</f>
        <v/>
      </c>
      <c r="H133" s="53">
        <f>SUMPRODUCT(--ISNUMBER(SEARCH(", "&amp;$B133&amp;", ",", "&amp;'Hoạt động (Đơn của tôi)'!$B$7:$B$500&amp;", ")),--('Hoạt động (Đơn của tôi)'!$AT$7:$AT$500="Fail"))+SUMPRODUCT(--ISNUMBER(SEARCH(", "&amp;$B133&amp;", ",", "&amp;'Ghép nối'!$B$7:$B$500&amp;", ")),--('Ghép nối'!$AT$7:$AT$500="Fail"))+SUMPRODUCT(--ISNUMBER(SEARCH(", "&amp;$B133&amp;", ",", "&amp;'Huỷ đơn - Huỷ nhận đơn'!$B$7:$B$500&amp;", ")),--('Huỷ đơn - Huỷ nhận đơn'!$AT$7:$AT$500="Fail"))+SUMPRODUCT(--ISNUMBER(SEARCH(", "&amp;$B133&amp;", ",", "&amp;'Giao nhận &amp; Theo dõi đơn'!$B$7:$B$500&amp;", ")),--('Giao nhận &amp; Theo dõi đơn'!$AT$7:$AT$500="Fail"))+SUMPRODUCT(--ISNUMBER(SEARCH(", "&amp;$B133&amp;", ",", "&amp;'Bảng tin &amp; Chi tiết tin'!$B$7:$B$500&amp;", ")),--('Bảng tin &amp; Chi tiết tin'!$AT$7:$AT$500="Fail"))+SUMPRODUCT(--ISNUMBER(SEARCH(", "&amp;$B133&amp;", ",", "&amp;'Quà cảm ơn'!$B$7:$B$500&amp;", ")),--('Quà cảm ơn'!$AT$7:$AT$500="Fail"))+SUMPRODUCT(--ISNUMBER(SEARCH(", "&amp;$B133&amp;", ",", "&amp;'Trang chủ'!$B$7:$B$500&amp;", ")),--('Trang chủ'!$AT$7:$AT$500="Fail"))+SUMPRODUCT(--ISNUMBER(SEARCH(", "&amp;$B133&amp;", ",", "&amp;'Thông báo'!$B$7:$B$500&amp;", ")),--('Thông báo'!$AT$7:$AT$500="Fail"))+SUMPRODUCT(--ISNUMBER(SEARCH(", "&amp;$B133&amp;", ",", "&amp;'Đăng tin &amp; Quản lý tin'!$B$7:$B$500&amp;", ")),--('Đăng tin &amp; Quản lý tin'!$AT$7:$AT$500="Fail"))+SUMPRODUCT(--ISNUMBER(SEARCH(", "&amp;$B133&amp;", ",", "&amp;'Trust &amp; Safety'!$B$7:$B$500&amp;", ")),--('Trust &amp; Safety'!$AT$7:$AT$500="Fail"))+SUMPRODUCT(--ISNUMBER(SEARCH(", "&amp;$B133&amp;", ",", "&amp;'Tài khoản &amp; Hồ sơ'!$B$7:$B$500&amp;", ")),--('Tài khoản &amp; Hồ sơ'!$AT$7:$AT$500="Fail"))</f>
        <v/>
      </c>
      <c r="I133" s="53">
        <f>SUMPRODUCT(--ISNUMBER(SEARCH(", "&amp;$B133&amp;", ",", "&amp;'Hoạt động (Đơn của tôi)'!$B$7:$B$500&amp;", ")),--('Hoạt động (Đơn của tôi)'!$AT$7:$AT$500="Block"))+SUMPRODUCT(--ISNUMBER(SEARCH(", "&amp;$B133&amp;", ",", "&amp;'Ghép nối'!$B$7:$B$500&amp;", ")),--('Ghép nối'!$AT$7:$AT$500="Block"))+SUMPRODUCT(--ISNUMBER(SEARCH(", "&amp;$B133&amp;", ",", "&amp;'Huỷ đơn - Huỷ nhận đơn'!$B$7:$B$500&amp;", ")),--('Huỷ đơn - Huỷ nhận đơn'!$AT$7:$AT$500="Block"))+SUMPRODUCT(--ISNUMBER(SEARCH(", "&amp;$B133&amp;", ",", "&amp;'Giao nhận &amp; Theo dõi đơn'!$B$7:$B$500&amp;", ")),--('Giao nhận &amp; Theo dõi đơn'!$AT$7:$AT$500="Block"))+SUMPRODUCT(--ISNUMBER(SEARCH(", "&amp;$B133&amp;", ",", "&amp;'Bảng tin &amp; Chi tiết tin'!$B$7:$B$500&amp;", ")),--('Bảng tin &amp; Chi tiết tin'!$AT$7:$AT$500="Block"))+SUMPRODUCT(--ISNUMBER(SEARCH(", "&amp;$B133&amp;", ",", "&amp;'Quà cảm ơn'!$B$7:$B$500&amp;", ")),--('Quà cảm ơn'!$AT$7:$AT$500="Block"))+SUMPRODUCT(--ISNUMBER(SEARCH(", "&amp;$B133&amp;", ",", "&amp;'Trang chủ'!$B$7:$B$500&amp;", ")),--('Trang chủ'!$AT$7:$AT$500="Block"))+SUMPRODUCT(--ISNUMBER(SEARCH(", "&amp;$B133&amp;", ",", "&amp;'Thông báo'!$B$7:$B$500&amp;", ")),--('Thông báo'!$AT$7:$AT$500="Block"))+SUMPRODUCT(--ISNUMBER(SEARCH(", "&amp;$B133&amp;", ",", "&amp;'Đăng tin &amp; Quản lý tin'!$B$7:$B$500&amp;", ")),--('Đăng tin &amp; Quản lý tin'!$AT$7:$AT$500="Block"))+SUMPRODUCT(--ISNUMBER(SEARCH(", "&amp;$B133&amp;", ",", "&amp;'Trust &amp; Safety'!$B$7:$B$500&amp;", ")),--('Trust &amp; Safety'!$AT$7:$AT$500="Block"))+SUMPRODUCT(--ISNUMBER(SEARCH(", "&amp;$B133&amp;", ",", "&amp;'Tài khoản &amp; Hồ sơ'!$B$7:$B$500&amp;", ")),--('Tài khoản &amp; Hồ sơ'!$AT$7:$AT$500="Block"))</f>
        <v/>
      </c>
      <c r="J133" s="53">
        <f>SUMPRODUCT(--ISNUMBER(SEARCH(", "&amp;$B133&amp;", ",", "&amp;'Hoạt động (Đơn của tôi)'!$B$7:$B$500&amp;", ")),--('Hoạt động (Đơn của tôi)'!$AT$7:$AT$500="N/A"))+SUMPRODUCT(--ISNUMBER(SEARCH(", "&amp;$B133&amp;", ",", "&amp;'Ghép nối'!$B$7:$B$500&amp;", ")),--('Ghép nối'!$AT$7:$AT$500="N/A"))+SUMPRODUCT(--ISNUMBER(SEARCH(", "&amp;$B133&amp;", ",", "&amp;'Huỷ đơn - Huỷ nhận đơn'!$B$7:$B$500&amp;", ")),--('Huỷ đơn - Huỷ nhận đơn'!$AT$7:$AT$500="N/A"))+SUMPRODUCT(--ISNUMBER(SEARCH(", "&amp;$B133&amp;", ",", "&amp;'Giao nhận &amp; Theo dõi đơn'!$B$7:$B$500&amp;", ")),--('Giao nhận &amp; Theo dõi đơn'!$AT$7:$AT$500="N/A"))+SUMPRODUCT(--ISNUMBER(SEARCH(", "&amp;$B133&amp;", ",", "&amp;'Bảng tin &amp; Chi tiết tin'!$B$7:$B$500&amp;", ")),--('Bảng tin &amp; Chi tiết tin'!$AT$7:$AT$500="N/A"))+SUMPRODUCT(--ISNUMBER(SEARCH(", "&amp;$B133&amp;", ",", "&amp;'Quà cảm ơn'!$B$7:$B$500&amp;", ")),--('Quà cảm ơn'!$AT$7:$AT$500="N/A"))+SUMPRODUCT(--ISNUMBER(SEARCH(", "&amp;$B133&amp;", ",", "&amp;'Trang chủ'!$B$7:$B$500&amp;", ")),--('Trang chủ'!$AT$7:$AT$500="N/A"))+SUMPRODUCT(--ISNUMBER(SEARCH(", "&amp;$B133&amp;", ",", "&amp;'Thông báo'!$B$7:$B$500&amp;", ")),--('Thông báo'!$AT$7:$AT$500="N/A"))+SUMPRODUCT(--ISNUMBER(SEARCH(", "&amp;$B133&amp;", ",", "&amp;'Đăng tin &amp; Quản lý tin'!$B$7:$B$500&amp;", ")),--('Đăng tin &amp; Quản lý tin'!$AT$7:$AT$500="N/A"))+SUMPRODUCT(--ISNUMBER(SEARCH(", "&amp;$B133&amp;", ",", "&amp;'Trust &amp; Safety'!$B$7:$B$500&amp;", ")),--('Trust &amp; Safety'!$AT$7:$AT$500="N/A"))+SUMPRODUCT(--ISNUMBER(SEARCH(", "&amp;$B133&amp;", ",", "&amp;'Tài khoản &amp; Hồ sơ'!$B$7:$B$500&amp;", ")),--('Tài khoản &amp; Hồ sơ'!$AT$7:$AT$500="N/A"))</f>
        <v/>
      </c>
      <c r="K133" s="54">
        <f>IFERROR(F133/E133,0)</f>
        <v/>
      </c>
      <c r="L133" s="113">
        <f>IF(E133=0,"Chưa có TC (gap)",IF(H133&gt;0,"Có lỗi (Fail)",IF(I133&gt;0,"Bị block",IF(F133&lt;E133,"Đang test",IF(G133=0,"Không áp dụng (N/A)","Đã test xong")))))</f>
        <v/>
      </c>
      <c r="AB133" t="inlineStr">
        <is>
          <t>REQ-TS</t>
        </is>
      </c>
    </row>
    <row r="134" ht="15.75" customHeight="1" s="216">
      <c r="A134" s="1" t="n"/>
      <c r="B134" s="112" t="inlineStr">
        <is>
          <t>REQ-USR-002</t>
        </is>
      </c>
      <c r="C134" s="261" t="inlineStr">
        <is>
          <t>Nguồn (v1.0) — `DOC-v1.0-01 §A6 USR-02 · L100`: "USR-02 | Xem/cập nhật hồ sơ: tên, SĐT, avatar, phòng ban, khu vực/văn phòng, kênh liên hệ"  ⇒ `C-USR-03` Resolved 2026-07-24 theo **quan sát app STG**: *"KHÔNG (view-only)"*; `SC-USR-003` là SC negative bảo vệ kết luận đó.</t>
        </is>
      </c>
      <c r="D134" s="113" t="inlineStr">
        <is>
          <t>DOC-v1.1-01 §8.15 · trang 48</t>
        </is>
      </c>
      <c r="E134" s="53">
        <f>SUMPRODUCT(--ISNUMBER(SEARCH(", "&amp;$B134&amp;", ",", "&amp;'Hoạt động (Đơn của tôi)'!$B$7:$B$500&amp;", ")))+SUMPRODUCT(--ISNUMBER(SEARCH(", "&amp;$B134&amp;", ",", "&amp;'Ghép nối'!$B$7:$B$500&amp;", ")))+SUMPRODUCT(--ISNUMBER(SEARCH(", "&amp;$B134&amp;", ",", "&amp;'Huỷ đơn - Huỷ nhận đơn'!$B$7:$B$500&amp;", ")))+SUMPRODUCT(--ISNUMBER(SEARCH(", "&amp;$B134&amp;", ",", "&amp;'Giao nhận &amp; Theo dõi đơn'!$B$7:$B$500&amp;", ")))+SUMPRODUCT(--ISNUMBER(SEARCH(", "&amp;$B134&amp;", ",", "&amp;'Bảng tin &amp; Chi tiết tin'!$B$7:$B$500&amp;", ")))+SUMPRODUCT(--ISNUMBER(SEARCH(", "&amp;$B134&amp;", ",", "&amp;'Quà cảm ơn'!$B$7:$B$500&amp;", ")))+SUMPRODUCT(--ISNUMBER(SEARCH(", "&amp;$B134&amp;", ",", "&amp;'Trang chủ'!$B$7:$B$500&amp;", ")))+SUMPRODUCT(--ISNUMBER(SEARCH(", "&amp;$B134&amp;", ",", "&amp;'Thông báo'!$B$7:$B$500&amp;", ")))+SUMPRODUCT(--ISNUMBER(SEARCH(", "&amp;$B134&amp;", ",", "&amp;'Đăng tin &amp; Quản lý tin'!$B$7:$B$500&amp;", ")))+SUMPRODUCT(--ISNUMBER(SEARCH(", "&amp;$B134&amp;", ",", "&amp;'Trust &amp; Safety'!$B$7:$B$500&amp;", ")))+SUMPRODUCT(--ISNUMBER(SEARCH(", "&amp;$B134&amp;", ",", "&amp;'Tài khoản &amp; Hồ sơ'!$B$7:$B$500&amp;", ")))</f>
        <v/>
      </c>
      <c r="F134" s="53">
        <f>SUMPRODUCT(--ISNUMBER(SEARCH(", "&amp;$B134&amp;", ",", "&amp;'Hoạt động (Đơn của tôi)'!$B$7:$B$500&amp;", ")),--('Hoạt động (Đơn của tôi)'!$AT$7:$AT$500&lt;&gt;""))+SUMPRODUCT(--ISNUMBER(SEARCH(", "&amp;$B134&amp;", ",", "&amp;'Ghép nối'!$B$7:$B$500&amp;", ")),--('Ghép nối'!$AT$7:$AT$500&lt;&gt;""))+SUMPRODUCT(--ISNUMBER(SEARCH(", "&amp;$B134&amp;", ",", "&amp;'Huỷ đơn - Huỷ nhận đơn'!$B$7:$B$500&amp;", ")),--('Huỷ đơn - Huỷ nhận đơn'!$AT$7:$AT$500&lt;&gt;""))+SUMPRODUCT(--ISNUMBER(SEARCH(", "&amp;$B134&amp;", ",", "&amp;'Giao nhận &amp; Theo dõi đơn'!$B$7:$B$500&amp;", ")),--('Giao nhận &amp; Theo dõi đơn'!$AT$7:$AT$500&lt;&gt;""))+SUMPRODUCT(--ISNUMBER(SEARCH(", "&amp;$B134&amp;", ",", "&amp;'Bảng tin &amp; Chi tiết tin'!$B$7:$B$500&amp;", ")),--('Bảng tin &amp; Chi tiết tin'!$AT$7:$AT$500&lt;&gt;""))+SUMPRODUCT(--ISNUMBER(SEARCH(", "&amp;$B134&amp;", ",", "&amp;'Quà cảm ơn'!$B$7:$B$500&amp;", ")),--('Quà cảm ơn'!$AT$7:$AT$500&lt;&gt;""))+SUMPRODUCT(--ISNUMBER(SEARCH(", "&amp;$B134&amp;", ",", "&amp;'Trang chủ'!$B$7:$B$500&amp;", ")),--('Trang chủ'!$AT$7:$AT$500&lt;&gt;""))+SUMPRODUCT(--ISNUMBER(SEARCH(", "&amp;$B134&amp;", ",", "&amp;'Thông báo'!$B$7:$B$500&amp;", ")),--('Thông báo'!$AT$7:$AT$500&lt;&gt;""))+SUMPRODUCT(--ISNUMBER(SEARCH(", "&amp;$B134&amp;", ",", "&amp;'Đăng tin &amp; Quản lý tin'!$B$7:$B$500&amp;", ")),--('Đăng tin &amp; Quản lý tin'!$AT$7:$AT$500&lt;&gt;""))+SUMPRODUCT(--ISNUMBER(SEARCH(", "&amp;$B134&amp;", ",", "&amp;'Trust &amp; Safety'!$B$7:$B$500&amp;", ")),--('Trust &amp; Safety'!$AT$7:$AT$500&lt;&gt;""))+SUMPRODUCT(--ISNUMBER(SEARCH(", "&amp;$B134&amp;", ",", "&amp;'Tài khoản &amp; Hồ sơ'!$B$7:$B$500&amp;", ")),--('Tài khoản &amp; Hồ sơ'!$AT$7:$AT$500&lt;&gt;""))</f>
        <v/>
      </c>
      <c r="G134" s="53">
        <f>SUMPRODUCT(--ISNUMBER(SEARCH(", "&amp;$B134&amp;", ",", "&amp;'Hoạt động (Đơn của tôi)'!$B$7:$B$500&amp;", ")),--('Hoạt động (Đơn của tôi)'!$AT$7:$AT$500="Pass"))+SUMPRODUCT(--ISNUMBER(SEARCH(", "&amp;$B134&amp;", ",", "&amp;'Ghép nối'!$B$7:$B$500&amp;", ")),--('Ghép nối'!$AT$7:$AT$500="Pass"))+SUMPRODUCT(--ISNUMBER(SEARCH(", "&amp;$B134&amp;", ",", "&amp;'Huỷ đơn - Huỷ nhận đơn'!$B$7:$B$500&amp;", ")),--('Huỷ đơn - Huỷ nhận đơn'!$AT$7:$AT$500="Pass"))+SUMPRODUCT(--ISNUMBER(SEARCH(", "&amp;$B134&amp;", ",", "&amp;'Giao nhận &amp; Theo dõi đơn'!$B$7:$B$500&amp;", ")),--('Giao nhận &amp; Theo dõi đơn'!$AT$7:$AT$500="Pass"))+SUMPRODUCT(--ISNUMBER(SEARCH(", "&amp;$B134&amp;", ",", "&amp;'Bảng tin &amp; Chi tiết tin'!$B$7:$B$500&amp;", ")),--('Bảng tin &amp; Chi tiết tin'!$AT$7:$AT$500="Pass"))+SUMPRODUCT(--ISNUMBER(SEARCH(", "&amp;$B134&amp;", ",", "&amp;'Quà cảm ơn'!$B$7:$B$500&amp;", ")),--('Quà cảm ơn'!$AT$7:$AT$500="Pass"))+SUMPRODUCT(--ISNUMBER(SEARCH(", "&amp;$B134&amp;", ",", "&amp;'Trang chủ'!$B$7:$B$500&amp;", ")),--('Trang chủ'!$AT$7:$AT$500="Pass"))+SUMPRODUCT(--ISNUMBER(SEARCH(", "&amp;$B134&amp;", ",", "&amp;'Thông báo'!$B$7:$B$500&amp;", ")),--('Thông báo'!$AT$7:$AT$500="Pass"))+SUMPRODUCT(--ISNUMBER(SEARCH(", "&amp;$B134&amp;", ",", "&amp;'Đăng tin &amp; Quản lý tin'!$B$7:$B$500&amp;", ")),--('Đăng tin &amp; Quản lý tin'!$AT$7:$AT$500="Pass"))+SUMPRODUCT(--ISNUMBER(SEARCH(", "&amp;$B134&amp;", ",", "&amp;'Trust &amp; Safety'!$B$7:$B$500&amp;", ")),--('Trust &amp; Safety'!$AT$7:$AT$500="Pass"))+SUMPRODUCT(--ISNUMBER(SEARCH(", "&amp;$B134&amp;", ",", "&amp;'Tài khoản &amp; Hồ sơ'!$B$7:$B$500&amp;", ")),--('Tài khoản &amp; Hồ sơ'!$AT$7:$AT$500="Pass"))</f>
        <v/>
      </c>
      <c r="H134" s="53">
        <f>SUMPRODUCT(--ISNUMBER(SEARCH(", "&amp;$B134&amp;", ",", "&amp;'Hoạt động (Đơn của tôi)'!$B$7:$B$500&amp;", ")),--('Hoạt động (Đơn của tôi)'!$AT$7:$AT$500="Fail"))+SUMPRODUCT(--ISNUMBER(SEARCH(", "&amp;$B134&amp;", ",", "&amp;'Ghép nối'!$B$7:$B$500&amp;", ")),--('Ghép nối'!$AT$7:$AT$500="Fail"))+SUMPRODUCT(--ISNUMBER(SEARCH(", "&amp;$B134&amp;", ",", "&amp;'Huỷ đơn - Huỷ nhận đơn'!$B$7:$B$500&amp;", ")),--('Huỷ đơn - Huỷ nhận đơn'!$AT$7:$AT$500="Fail"))+SUMPRODUCT(--ISNUMBER(SEARCH(", "&amp;$B134&amp;", ",", "&amp;'Giao nhận &amp; Theo dõi đơn'!$B$7:$B$500&amp;", ")),--('Giao nhận &amp; Theo dõi đơn'!$AT$7:$AT$500="Fail"))+SUMPRODUCT(--ISNUMBER(SEARCH(", "&amp;$B134&amp;", ",", "&amp;'Bảng tin &amp; Chi tiết tin'!$B$7:$B$500&amp;", ")),--('Bảng tin &amp; Chi tiết tin'!$AT$7:$AT$500="Fail"))+SUMPRODUCT(--ISNUMBER(SEARCH(", "&amp;$B134&amp;", ",", "&amp;'Quà cảm ơn'!$B$7:$B$500&amp;", ")),--('Quà cảm ơn'!$AT$7:$AT$500="Fail"))+SUMPRODUCT(--ISNUMBER(SEARCH(", "&amp;$B134&amp;", ",", "&amp;'Trang chủ'!$B$7:$B$500&amp;", ")),--('Trang chủ'!$AT$7:$AT$500="Fail"))+SUMPRODUCT(--ISNUMBER(SEARCH(", "&amp;$B134&amp;", ",", "&amp;'Thông báo'!$B$7:$B$500&amp;", ")),--('Thông báo'!$AT$7:$AT$500="Fail"))+SUMPRODUCT(--ISNUMBER(SEARCH(", "&amp;$B134&amp;", ",", "&amp;'Đăng tin &amp; Quản lý tin'!$B$7:$B$500&amp;", ")),--('Đăng tin &amp; Quản lý tin'!$AT$7:$AT$500="Fail"))+SUMPRODUCT(--ISNUMBER(SEARCH(", "&amp;$B134&amp;", ",", "&amp;'Trust &amp; Safety'!$B$7:$B$500&amp;", ")),--('Trust &amp; Safety'!$AT$7:$AT$500="Fail"))+SUMPRODUCT(--ISNUMBER(SEARCH(", "&amp;$B134&amp;", ",", "&amp;'Tài khoản &amp; Hồ sơ'!$B$7:$B$500&amp;", ")),--('Tài khoản &amp; Hồ sơ'!$AT$7:$AT$500="Fail"))</f>
        <v/>
      </c>
      <c r="I134" s="53">
        <f>SUMPRODUCT(--ISNUMBER(SEARCH(", "&amp;$B134&amp;", ",", "&amp;'Hoạt động (Đơn của tôi)'!$B$7:$B$500&amp;", ")),--('Hoạt động (Đơn của tôi)'!$AT$7:$AT$500="Block"))+SUMPRODUCT(--ISNUMBER(SEARCH(", "&amp;$B134&amp;", ",", "&amp;'Ghép nối'!$B$7:$B$500&amp;", ")),--('Ghép nối'!$AT$7:$AT$500="Block"))+SUMPRODUCT(--ISNUMBER(SEARCH(", "&amp;$B134&amp;", ",", "&amp;'Huỷ đơn - Huỷ nhận đơn'!$B$7:$B$500&amp;", ")),--('Huỷ đơn - Huỷ nhận đơn'!$AT$7:$AT$500="Block"))+SUMPRODUCT(--ISNUMBER(SEARCH(", "&amp;$B134&amp;", ",", "&amp;'Giao nhận &amp; Theo dõi đơn'!$B$7:$B$500&amp;", ")),--('Giao nhận &amp; Theo dõi đơn'!$AT$7:$AT$500="Block"))+SUMPRODUCT(--ISNUMBER(SEARCH(", "&amp;$B134&amp;", ",", "&amp;'Bảng tin &amp; Chi tiết tin'!$B$7:$B$500&amp;", ")),--('Bảng tin &amp; Chi tiết tin'!$AT$7:$AT$500="Block"))+SUMPRODUCT(--ISNUMBER(SEARCH(", "&amp;$B134&amp;", ",", "&amp;'Quà cảm ơn'!$B$7:$B$500&amp;", ")),--('Quà cảm ơn'!$AT$7:$AT$500="Block"))+SUMPRODUCT(--ISNUMBER(SEARCH(", "&amp;$B134&amp;", ",", "&amp;'Trang chủ'!$B$7:$B$500&amp;", ")),--('Trang chủ'!$AT$7:$AT$500="Block"))+SUMPRODUCT(--ISNUMBER(SEARCH(", "&amp;$B134&amp;", ",", "&amp;'Thông báo'!$B$7:$B$500&amp;", ")),--('Thông báo'!$AT$7:$AT$500="Block"))+SUMPRODUCT(--ISNUMBER(SEARCH(", "&amp;$B134&amp;", ",", "&amp;'Đăng tin &amp; Quản lý tin'!$B$7:$B$500&amp;", ")),--('Đăng tin &amp; Quản lý tin'!$AT$7:$AT$500="Block"))+SUMPRODUCT(--ISNUMBER(SEARCH(", "&amp;$B134&amp;", ",", "&amp;'Trust &amp; Safety'!$B$7:$B$500&amp;", ")),--('Trust &amp; Safety'!$AT$7:$AT$500="Block"))+SUMPRODUCT(--ISNUMBER(SEARCH(", "&amp;$B134&amp;", ",", "&amp;'Tài khoản &amp; Hồ sơ'!$B$7:$B$500&amp;", ")),--('Tài khoản &amp; Hồ sơ'!$AT$7:$AT$500="Block"))</f>
        <v/>
      </c>
      <c r="J134" s="53">
        <f>SUMPRODUCT(--ISNUMBER(SEARCH(", "&amp;$B134&amp;", ",", "&amp;'Hoạt động (Đơn của tôi)'!$B$7:$B$500&amp;", ")),--('Hoạt động (Đơn của tôi)'!$AT$7:$AT$500="N/A"))+SUMPRODUCT(--ISNUMBER(SEARCH(", "&amp;$B134&amp;", ",", "&amp;'Ghép nối'!$B$7:$B$500&amp;", ")),--('Ghép nối'!$AT$7:$AT$500="N/A"))+SUMPRODUCT(--ISNUMBER(SEARCH(", "&amp;$B134&amp;", ",", "&amp;'Huỷ đơn - Huỷ nhận đơn'!$B$7:$B$500&amp;", ")),--('Huỷ đơn - Huỷ nhận đơn'!$AT$7:$AT$500="N/A"))+SUMPRODUCT(--ISNUMBER(SEARCH(", "&amp;$B134&amp;", ",", "&amp;'Giao nhận &amp; Theo dõi đơn'!$B$7:$B$500&amp;", ")),--('Giao nhận &amp; Theo dõi đơn'!$AT$7:$AT$500="N/A"))+SUMPRODUCT(--ISNUMBER(SEARCH(", "&amp;$B134&amp;", ",", "&amp;'Bảng tin &amp; Chi tiết tin'!$B$7:$B$500&amp;", ")),--('Bảng tin &amp; Chi tiết tin'!$AT$7:$AT$500="N/A"))+SUMPRODUCT(--ISNUMBER(SEARCH(", "&amp;$B134&amp;", ",", "&amp;'Quà cảm ơn'!$B$7:$B$500&amp;", ")),--('Quà cảm ơn'!$AT$7:$AT$500="N/A"))+SUMPRODUCT(--ISNUMBER(SEARCH(", "&amp;$B134&amp;", ",", "&amp;'Trang chủ'!$B$7:$B$500&amp;", ")),--('Trang chủ'!$AT$7:$AT$500="N/A"))+SUMPRODUCT(--ISNUMBER(SEARCH(", "&amp;$B134&amp;", ",", "&amp;'Thông báo'!$B$7:$B$500&amp;", ")),--('Thông báo'!$AT$7:$AT$500="N/A"))+SUMPRODUCT(--ISNUMBER(SEARCH(", "&amp;$B134&amp;", ",", "&amp;'Đăng tin &amp; Quản lý tin'!$B$7:$B$500&amp;", ")),--('Đăng tin &amp; Quản lý tin'!$AT$7:$AT$500="N/A"))+SUMPRODUCT(--ISNUMBER(SEARCH(", "&amp;$B134&amp;", ",", "&amp;'Trust &amp; Safety'!$B$7:$B$500&amp;", ")),--('Trust &amp; Safety'!$AT$7:$AT$500="N/A"))+SUMPRODUCT(--ISNUMBER(SEARCH(", "&amp;$B134&amp;", ",", "&amp;'Tài khoản &amp; Hồ sơ'!$B$7:$B$500&amp;", ")),--('Tài khoản &amp; Hồ sơ'!$AT$7:$AT$500="N/A"))</f>
        <v/>
      </c>
      <c r="K134" s="54">
        <f>IFERROR(F134/E134,0)</f>
        <v/>
      </c>
      <c r="L134" s="113">
        <f>IF(E134=0,"Chưa có TC (gap)",IF(H134&gt;0,"Có lỗi (Fail)",IF(I134&gt;0,"Bị block",IF(F134&lt;E134,"Đang test",IF(G134=0,"Không áp dụng (N/A)","Đã test xong")))))</f>
        <v/>
      </c>
      <c r="AB134" t="inlineStr">
        <is>
          <t>REQ-USR</t>
        </is>
      </c>
    </row>
    <row r="135" ht="15.75" customHeight="1" s="216">
      <c r="A135" s="1" t="n"/>
      <c r="B135" s="112" t="inlineStr">
        <is>
          <t>REQ-USR-007</t>
        </is>
      </c>
      <c r="C135" s="261" t="inlineStr">
        <is>
          <t>[qua SC-USR-007] ↪ *Quote `BR14-03` / `AC-26.1.01` / `§4 Out of Scope` — home ở `risk_assessment.md` · `C-USR-06`*</t>
        </is>
      </c>
      <c r="D135" s="113" t="inlineStr">
        <is>
          <t>DOC-v1.1-01 §8.14.1 BR14-03 · trang 48</t>
        </is>
      </c>
      <c r="E135" s="53">
        <f>SUMPRODUCT(--ISNUMBER(SEARCH(", "&amp;$B135&amp;", ",", "&amp;'Hoạt động (Đơn của tôi)'!$B$7:$B$500&amp;", ")))+SUMPRODUCT(--ISNUMBER(SEARCH(", "&amp;$B135&amp;", ",", "&amp;'Ghép nối'!$B$7:$B$500&amp;", ")))+SUMPRODUCT(--ISNUMBER(SEARCH(", "&amp;$B135&amp;", ",", "&amp;'Huỷ đơn - Huỷ nhận đơn'!$B$7:$B$500&amp;", ")))+SUMPRODUCT(--ISNUMBER(SEARCH(", "&amp;$B135&amp;", ",", "&amp;'Giao nhận &amp; Theo dõi đơn'!$B$7:$B$500&amp;", ")))+SUMPRODUCT(--ISNUMBER(SEARCH(", "&amp;$B135&amp;", ",", "&amp;'Bảng tin &amp; Chi tiết tin'!$B$7:$B$500&amp;", ")))+SUMPRODUCT(--ISNUMBER(SEARCH(", "&amp;$B135&amp;", ",", "&amp;'Quà cảm ơn'!$B$7:$B$500&amp;", ")))+SUMPRODUCT(--ISNUMBER(SEARCH(", "&amp;$B135&amp;", ",", "&amp;'Trang chủ'!$B$7:$B$500&amp;", ")))+SUMPRODUCT(--ISNUMBER(SEARCH(", "&amp;$B135&amp;", ",", "&amp;'Thông báo'!$B$7:$B$500&amp;", ")))+SUMPRODUCT(--ISNUMBER(SEARCH(", "&amp;$B135&amp;", ",", "&amp;'Đăng tin &amp; Quản lý tin'!$B$7:$B$500&amp;", ")))+SUMPRODUCT(--ISNUMBER(SEARCH(", "&amp;$B135&amp;", ",", "&amp;'Trust &amp; Safety'!$B$7:$B$500&amp;", ")))+SUMPRODUCT(--ISNUMBER(SEARCH(", "&amp;$B135&amp;", ",", "&amp;'Tài khoản &amp; Hồ sơ'!$B$7:$B$500&amp;", ")))</f>
        <v/>
      </c>
      <c r="F135" s="53">
        <f>SUMPRODUCT(--ISNUMBER(SEARCH(", "&amp;$B135&amp;", ",", "&amp;'Hoạt động (Đơn của tôi)'!$B$7:$B$500&amp;", ")),--('Hoạt động (Đơn của tôi)'!$AT$7:$AT$500&lt;&gt;""))+SUMPRODUCT(--ISNUMBER(SEARCH(", "&amp;$B135&amp;", ",", "&amp;'Ghép nối'!$B$7:$B$500&amp;", ")),--('Ghép nối'!$AT$7:$AT$500&lt;&gt;""))+SUMPRODUCT(--ISNUMBER(SEARCH(", "&amp;$B135&amp;", ",", "&amp;'Huỷ đơn - Huỷ nhận đơn'!$B$7:$B$500&amp;", ")),--('Huỷ đơn - Huỷ nhận đơn'!$AT$7:$AT$500&lt;&gt;""))+SUMPRODUCT(--ISNUMBER(SEARCH(", "&amp;$B135&amp;", ",", "&amp;'Giao nhận &amp; Theo dõi đơn'!$B$7:$B$500&amp;", ")),--('Giao nhận &amp; Theo dõi đơn'!$AT$7:$AT$500&lt;&gt;""))+SUMPRODUCT(--ISNUMBER(SEARCH(", "&amp;$B135&amp;", ",", "&amp;'Bảng tin &amp; Chi tiết tin'!$B$7:$B$500&amp;", ")),--('Bảng tin &amp; Chi tiết tin'!$AT$7:$AT$500&lt;&gt;""))+SUMPRODUCT(--ISNUMBER(SEARCH(", "&amp;$B135&amp;", ",", "&amp;'Quà cảm ơn'!$B$7:$B$500&amp;", ")),--('Quà cảm ơn'!$AT$7:$AT$500&lt;&gt;""))+SUMPRODUCT(--ISNUMBER(SEARCH(", "&amp;$B135&amp;", ",", "&amp;'Trang chủ'!$B$7:$B$500&amp;", ")),--('Trang chủ'!$AT$7:$AT$500&lt;&gt;""))+SUMPRODUCT(--ISNUMBER(SEARCH(", "&amp;$B135&amp;", ",", "&amp;'Thông báo'!$B$7:$B$500&amp;", ")),--('Thông báo'!$AT$7:$AT$500&lt;&gt;""))+SUMPRODUCT(--ISNUMBER(SEARCH(", "&amp;$B135&amp;", ",", "&amp;'Đăng tin &amp; Quản lý tin'!$B$7:$B$500&amp;", ")),--('Đăng tin &amp; Quản lý tin'!$AT$7:$AT$500&lt;&gt;""))+SUMPRODUCT(--ISNUMBER(SEARCH(", "&amp;$B135&amp;", ",", "&amp;'Trust &amp; Safety'!$B$7:$B$500&amp;", ")),--('Trust &amp; Safety'!$AT$7:$AT$500&lt;&gt;""))+SUMPRODUCT(--ISNUMBER(SEARCH(", "&amp;$B135&amp;", ",", "&amp;'Tài khoản &amp; Hồ sơ'!$B$7:$B$500&amp;", ")),--('Tài khoản &amp; Hồ sơ'!$AT$7:$AT$500&lt;&gt;""))</f>
        <v/>
      </c>
      <c r="G135" s="53">
        <f>SUMPRODUCT(--ISNUMBER(SEARCH(", "&amp;$B135&amp;", ",", "&amp;'Hoạt động (Đơn của tôi)'!$B$7:$B$500&amp;", ")),--('Hoạt động (Đơn của tôi)'!$AT$7:$AT$500="Pass"))+SUMPRODUCT(--ISNUMBER(SEARCH(", "&amp;$B135&amp;", ",", "&amp;'Ghép nối'!$B$7:$B$500&amp;", ")),--('Ghép nối'!$AT$7:$AT$500="Pass"))+SUMPRODUCT(--ISNUMBER(SEARCH(", "&amp;$B135&amp;", ",", "&amp;'Huỷ đơn - Huỷ nhận đơn'!$B$7:$B$500&amp;", ")),--('Huỷ đơn - Huỷ nhận đơn'!$AT$7:$AT$500="Pass"))+SUMPRODUCT(--ISNUMBER(SEARCH(", "&amp;$B135&amp;", ",", "&amp;'Giao nhận &amp; Theo dõi đơn'!$B$7:$B$500&amp;", ")),--('Giao nhận &amp; Theo dõi đơn'!$AT$7:$AT$500="Pass"))+SUMPRODUCT(--ISNUMBER(SEARCH(", "&amp;$B135&amp;", ",", "&amp;'Bảng tin &amp; Chi tiết tin'!$B$7:$B$500&amp;", ")),--('Bảng tin &amp; Chi tiết tin'!$AT$7:$AT$500="Pass"))+SUMPRODUCT(--ISNUMBER(SEARCH(", "&amp;$B135&amp;", ",", "&amp;'Quà cảm ơn'!$B$7:$B$500&amp;", ")),--('Quà cảm ơn'!$AT$7:$AT$500="Pass"))+SUMPRODUCT(--ISNUMBER(SEARCH(", "&amp;$B135&amp;", ",", "&amp;'Trang chủ'!$B$7:$B$500&amp;", ")),--('Trang chủ'!$AT$7:$AT$500="Pass"))+SUMPRODUCT(--ISNUMBER(SEARCH(", "&amp;$B135&amp;", ",", "&amp;'Thông báo'!$B$7:$B$500&amp;", ")),--('Thông báo'!$AT$7:$AT$500="Pass"))+SUMPRODUCT(--ISNUMBER(SEARCH(", "&amp;$B135&amp;", ",", "&amp;'Đăng tin &amp; Quản lý tin'!$B$7:$B$500&amp;", ")),--('Đăng tin &amp; Quản lý tin'!$AT$7:$AT$500="Pass"))+SUMPRODUCT(--ISNUMBER(SEARCH(", "&amp;$B135&amp;", ",", "&amp;'Trust &amp; Safety'!$B$7:$B$500&amp;", ")),--('Trust &amp; Safety'!$AT$7:$AT$500="Pass"))+SUMPRODUCT(--ISNUMBER(SEARCH(", "&amp;$B135&amp;", ",", "&amp;'Tài khoản &amp; Hồ sơ'!$B$7:$B$500&amp;", ")),--('Tài khoản &amp; Hồ sơ'!$AT$7:$AT$500="Pass"))</f>
        <v/>
      </c>
      <c r="H135" s="53">
        <f>SUMPRODUCT(--ISNUMBER(SEARCH(", "&amp;$B135&amp;", ",", "&amp;'Hoạt động (Đơn của tôi)'!$B$7:$B$500&amp;", ")),--('Hoạt động (Đơn của tôi)'!$AT$7:$AT$500="Fail"))+SUMPRODUCT(--ISNUMBER(SEARCH(", "&amp;$B135&amp;", ",", "&amp;'Ghép nối'!$B$7:$B$500&amp;", ")),--('Ghép nối'!$AT$7:$AT$500="Fail"))+SUMPRODUCT(--ISNUMBER(SEARCH(", "&amp;$B135&amp;", ",", "&amp;'Huỷ đơn - Huỷ nhận đơn'!$B$7:$B$500&amp;", ")),--('Huỷ đơn - Huỷ nhận đơn'!$AT$7:$AT$500="Fail"))+SUMPRODUCT(--ISNUMBER(SEARCH(", "&amp;$B135&amp;", ",", "&amp;'Giao nhận &amp; Theo dõi đơn'!$B$7:$B$500&amp;", ")),--('Giao nhận &amp; Theo dõi đơn'!$AT$7:$AT$500="Fail"))+SUMPRODUCT(--ISNUMBER(SEARCH(", "&amp;$B135&amp;", ",", "&amp;'Bảng tin &amp; Chi tiết tin'!$B$7:$B$500&amp;", ")),--('Bảng tin &amp; Chi tiết tin'!$AT$7:$AT$500="Fail"))+SUMPRODUCT(--ISNUMBER(SEARCH(", "&amp;$B135&amp;", ",", "&amp;'Quà cảm ơn'!$B$7:$B$500&amp;", ")),--('Quà cảm ơn'!$AT$7:$AT$500="Fail"))+SUMPRODUCT(--ISNUMBER(SEARCH(", "&amp;$B135&amp;", ",", "&amp;'Trang chủ'!$B$7:$B$500&amp;", ")),--('Trang chủ'!$AT$7:$AT$500="Fail"))+SUMPRODUCT(--ISNUMBER(SEARCH(", "&amp;$B135&amp;", ",", "&amp;'Thông báo'!$B$7:$B$500&amp;", ")),--('Thông báo'!$AT$7:$AT$500="Fail"))+SUMPRODUCT(--ISNUMBER(SEARCH(", "&amp;$B135&amp;", ",", "&amp;'Đăng tin &amp; Quản lý tin'!$B$7:$B$500&amp;", ")),--('Đăng tin &amp; Quản lý tin'!$AT$7:$AT$500="Fail"))+SUMPRODUCT(--ISNUMBER(SEARCH(", "&amp;$B135&amp;", ",", "&amp;'Trust &amp; Safety'!$B$7:$B$500&amp;", ")),--('Trust &amp; Safety'!$AT$7:$AT$500="Fail"))+SUMPRODUCT(--ISNUMBER(SEARCH(", "&amp;$B135&amp;", ",", "&amp;'Tài khoản &amp; Hồ sơ'!$B$7:$B$500&amp;", ")),--('Tài khoản &amp; Hồ sơ'!$AT$7:$AT$500="Fail"))</f>
        <v/>
      </c>
      <c r="I135" s="53">
        <f>SUMPRODUCT(--ISNUMBER(SEARCH(", "&amp;$B135&amp;", ",", "&amp;'Hoạt động (Đơn của tôi)'!$B$7:$B$500&amp;", ")),--('Hoạt động (Đơn của tôi)'!$AT$7:$AT$500="Block"))+SUMPRODUCT(--ISNUMBER(SEARCH(", "&amp;$B135&amp;", ",", "&amp;'Ghép nối'!$B$7:$B$500&amp;", ")),--('Ghép nối'!$AT$7:$AT$500="Block"))+SUMPRODUCT(--ISNUMBER(SEARCH(", "&amp;$B135&amp;", ",", "&amp;'Huỷ đơn - Huỷ nhận đơn'!$B$7:$B$500&amp;", ")),--('Huỷ đơn - Huỷ nhận đơn'!$AT$7:$AT$500="Block"))+SUMPRODUCT(--ISNUMBER(SEARCH(", "&amp;$B135&amp;", ",", "&amp;'Giao nhận &amp; Theo dõi đơn'!$B$7:$B$500&amp;", ")),--('Giao nhận &amp; Theo dõi đơn'!$AT$7:$AT$500="Block"))+SUMPRODUCT(--ISNUMBER(SEARCH(", "&amp;$B135&amp;", ",", "&amp;'Bảng tin &amp; Chi tiết tin'!$B$7:$B$500&amp;", ")),--('Bảng tin &amp; Chi tiết tin'!$AT$7:$AT$500="Block"))+SUMPRODUCT(--ISNUMBER(SEARCH(", "&amp;$B135&amp;", ",", "&amp;'Quà cảm ơn'!$B$7:$B$500&amp;", ")),--('Quà cảm ơn'!$AT$7:$AT$500="Block"))+SUMPRODUCT(--ISNUMBER(SEARCH(", "&amp;$B135&amp;", ",", "&amp;'Trang chủ'!$B$7:$B$500&amp;", ")),--('Trang chủ'!$AT$7:$AT$500="Block"))+SUMPRODUCT(--ISNUMBER(SEARCH(", "&amp;$B135&amp;", ",", "&amp;'Thông báo'!$B$7:$B$500&amp;", ")),--('Thông báo'!$AT$7:$AT$500="Block"))+SUMPRODUCT(--ISNUMBER(SEARCH(", "&amp;$B135&amp;", ",", "&amp;'Đăng tin &amp; Quản lý tin'!$B$7:$B$500&amp;", ")),--('Đăng tin &amp; Quản lý tin'!$AT$7:$AT$500="Block"))+SUMPRODUCT(--ISNUMBER(SEARCH(", "&amp;$B135&amp;", ",", "&amp;'Trust &amp; Safety'!$B$7:$B$500&amp;", ")),--('Trust &amp; Safety'!$AT$7:$AT$500="Block"))+SUMPRODUCT(--ISNUMBER(SEARCH(", "&amp;$B135&amp;", ",", "&amp;'Tài khoản &amp; Hồ sơ'!$B$7:$B$500&amp;", ")),--('Tài khoản &amp; Hồ sơ'!$AT$7:$AT$500="Block"))</f>
        <v/>
      </c>
      <c r="J135" s="53">
        <f>SUMPRODUCT(--ISNUMBER(SEARCH(", "&amp;$B135&amp;", ",", "&amp;'Hoạt động (Đơn của tôi)'!$B$7:$B$500&amp;", ")),--('Hoạt động (Đơn của tôi)'!$AT$7:$AT$500="N/A"))+SUMPRODUCT(--ISNUMBER(SEARCH(", "&amp;$B135&amp;", ",", "&amp;'Ghép nối'!$B$7:$B$500&amp;", ")),--('Ghép nối'!$AT$7:$AT$500="N/A"))+SUMPRODUCT(--ISNUMBER(SEARCH(", "&amp;$B135&amp;", ",", "&amp;'Huỷ đơn - Huỷ nhận đơn'!$B$7:$B$500&amp;", ")),--('Huỷ đơn - Huỷ nhận đơn'!$AT$7:$AT$500="N/A"))+SUMPRODUCT(--ISNUMBER(SEARCH(", "&amp;$B135&amp;", ",", "&amp;'Giao nhận &amp; Theo dõi đơn'!$B$7:$B$500&amp;", ")),--('Giao nhận &amp; Theo dõi đơn'!$AT$7:$AT$500="N/A"))+SUMPRODUCT(--ISNUMBER(SEARCH(", "&amp;$B135&amp;", ",", "&amp;'Bảng tin &amp; Chi tiết tin'!$B$7:$B$500&amp;", ")),--('Bảng tin &amp; Chi tiết tin'!$AT$7:$AT$500="N/A"))+SUMPRODUCT(--ISNUMBER(SEARCH(", "&amp;$B135&amp;", ",", "&amp;'Quà cảm ơn'!$B$7:$B$500&amp;", ")),--('Quà cảm ơn'!$AT$7:$AT$500="N/A"))+SUMPRODUCT(--ISNUMBER(SEARCH(", "&amp;$B135&amp;", ",", "&amp;'Trang chủ'!$B$7:$B$500&amp;", ")),--('Trang chủ'!$AT$7:$AT$500="N/A"))+SUMPRODUCT(--ISNUMBER(SEARCH(", "&amp;$B135&amp;", ",", "&amp;'Thông báo'!$B$7:$B$500&amp;", ")),--('Thông báo'!$AT$7:$AT$500="N/A"))+SUMPRODUCT(--ISNUMBER(SEARCH(", "&amp;$B135&amp;", ",", "&amp;'Đăng tin &amp; Quản lý tin'!$B$7:$B$500&amp;", ")),--('Đăng tin &amp; Quản lý tin'!$AT$7:$AT$500="N/A"))+SUMPRODUCT(--ISNUMBER(SEARCH(", "&amp;$B135&amp;", ",", "&amp;'Trust &amp; Safety'!$B$7:$B$500&amp;", ")),--('Trust &amp; Safety'!$AT$7:$AT$500="N/A"))+SUMPRODUCT(--ISNUMBER(SEARCH(", "&amp;$B135&amp;", ",", "&amp;'Tài khoản &amp; Hồ sơ'!$B$7:$B$500&amp;", ")),--('Tài khoản &amp; Hồ sơ'!$AT$7:$AT$500="N/A"))</f>
        <v/>
      </c>
      <c r="K135" s="54">
        <f>IFERROR(F135/E135,0)</f>
        <v/>
      </c>
      <c r="L135" s="113">
        <f>IF(E135=0,"Chưa có TC (gap)",IF(H135&gt;0,"Có lỗi (Fail)",IF(I135&gt;0,"Bị block",IF(F135&lt;E135,"Đang test",IF(G135=0,"Không áp dụng (N/A)","Đã test xong")))))</f>
        <v/>
      </c>
      <c r="AB135" t="inlineStr">
        <is>
          <t>REQ-USR</t>
        </is>
      </c>
    </row>
    <row r="136" ht="15.75" customHeight="1" s="216">
      <c r="A136" s="1" t="n"/>
      <c r="B136" s="112" t="inlineStr">
        <is>
          <t>REQ-USR-006</t>
        </is>
      </c>
      <c r="C136" s="261" t="inlineStr">
        <is>
          <t>Nguồn (v1.0) — `DOC-v1.0-02 §3.9` + `KP-01 §2 KB-USR-04` ⇒ `C-USR-04` Open: *"Nhãn mục menu thứ hai + 3 trường hồ sơ chưa có bằng chứng UI"*; `SC-USR-012` là SC dạng `[GAP]`.</t>
        </is>
      </c>
      <c r="D136" s="113" t="inlineStr">
        <is>
          <t>DOC-v1.1-01 §8.15 dòng Trigger · trang 48</t>
        </is>
      </c>
      <c r="E136" s="53">
        <f>SUMPRODUCT(--ISNUMBER(SEARCH(", "&amp;$B136&amp;", ",", "&amp;'Hoạt động (Đơn của tôi)'!$B$7:$B$500&amp;", ")))+SUMPRODUCT(--ISNUMBER(SEARCH(", "&amp;$B136&amp;", ",", "&amp;'Ghép nối'!$B$7:$B$500&amp;", ")))+SUMPRODUCT(--ISNUMBER(SEARCH(", "&amp;$B136&amp;", ",", "&amp;'Huỷ đơn - Huỷ nhận đơn'!$B$7:$B$500&amp;", ")))+SUMPRODUCT(--ISNUMBER(SEARCH(", "&amp;$B136&amp;", ",", "&amp;'Giao nhận &amp; Theo dõi đơn'!$B$7:$B$500&amp;", ")))+SUMPRODUCT(--ISNUMBER(SEARCH(", "&amp;$B136&amp;", ",", "&amp;'Bảng tin &amp; Chi tiết tin'!$B$7:$B$500&amp;", ")))+SUMPRODUCT(--ISNUMBER(SEARCH(", "&amp;$B136&amp;", ",", "&amp;'Quà cảm ơn'!$B$7:$B$500&amp;", ")))+SUMPRODUCT(--ISNUMBER(SEARCH(", "&amp;$B136&amp;", ",", "&amp;'Trang chủ'!$B$7:$B$500&amp;", ")))+SUMPRODUCT(--ISNUMBER(SEARCH(", "&amp;$B136&amp;", ",", "&amp;'Thông báo'!$B$7:$B$500&amp;", ")))+SUMPRODUCT(--ISNUMBER(SEARCH(", "&amp;$B136&amp;", ",", "&amp;'Đăng tin &amp; Quản lý tin'!$B$7:$B$500&amp;", ")))+SUMPRODUCT(--ISNUMBER(SEARCH(", "&amp;$B136&amp;", ",", "&amp;'Trust &amp; Safety'!$B$7:$B$500&amp;", ")))+SUMPRODUCT(--ISNUMBER(SEARCH(", "&amp;$B136&amp;", ",", "&amp;'Tài khoản &amp; Hồ sơ'!$B$7:$B$500&amp;", ")))</f>
        <v/>
      </c>
      <c r="F136" s="53">
        <f>SUMPRODUCT(--ISNUMBER(SEARCH(", "&amp;$B136&amp;", ",", "&amp;'Hoạt động (Đơn của tôi)'!$B$7:$B$500&amp;", ")),--('Hoạt động (Đơn của tôi)'!$AT$7:$AT$500&lt;&gt;""))+SUMPRODUCT(--ISNUMBER(SEARCH(", "&amp;$B136&amp;", ",", "&amp;'Ghép nối'!$B$7:$B$500&amp;", ")),--('Ghép nối'!$AT$7:$AT$500&lt;&gt;""))+SUMPRODUCT(--ISNUMBER(SEARCH(", "&amp;$B136&amp;", ",", "&amp;'Huỷ đơn - Huỷ nhận đơn'!$B$7:$B$500&amp;", ")),--('Huỷ đơn - Huỷ nhận đơn'!$AT$7:$AT$500&lt;&gt;""))+SUMPRODUCT(--ISNUMBER(SEARCH(", "&amp;$B136&amp;", ",", "&amp;'Giao nhận &amp; Theo dõi đơn'!$B$7:$B$500&amp;", ")),--('Giao nhận &amp; Theo dõi đơn'!$AT$7:$AT$500&lt;&gt;""))+SUMPRODUCT(--ISNUMBER(SEARCH(", "&amp;$B136&amp;", ",", "&amp;'Bảng tin &amp; Chi tiết tin'!$B$7:$B$500&amp;", ")),--('Bảng tin &amp; Chi tiết tin'!$AT$7:$AT$500&lt;&gt;""))+SUMPRODUCT(--ISNUMBER(SEARCH(", "&amp;$B136&amp;", ",", "&amp;'Quà cảm ơn'!$B$7:$B$500&amp;", ")),--('Quà cảm ơn'!$AT$7:$AT$500&lt;&gt;""))+SUMPRODUCT(--ISNUMBER(SEARCH(", "&amp;$B136&amp;", ",", "&amp;'Trang chủ'!$B$7:$B$500&amp;", ")),--('Trang chủ'!$AT$7:$AT$500&lt;&gt;""))+SUMPRODUCT(--ISNUMBER(SEARCH(", "&amp;$B136&amp;", ",", "&amp;'Thông báo'!$B$7:$B$500&amp;", ")),--('Thông báo'!$AT$7:$AT$500&lt;&gt;""))+SUMPRODUCT(--ISNUMBER(SEARCH(", "&amp;$B136&amp;", ",", "&amp;'Đăng tin &amp; Quản lý tin'!$B$7:$B$500&amp;", ")),--('Đăng tin &amp; Quản lý tin'!$AT$7:$AT$500&lt;&gt;""))+SUMPRODUCT(--ISNUMBER(SEARCH(", "&amp;$B136&amp;", ",", "&amp;'Trust &amp; Safety'!$B$7:$B$500&amp;", ")),--('Trust &amp; Safety'!$AT$7:$AT$500&lt;&gt;""))+SUMPRODUCT(--ISNUMBER(SEARCH(", "&amp;$B136&amp;", ",", "&amp;'Tài khoản &amp; Hồ sơ'!$B$7:$B$500&amp;", ")),--('Tài khoản &amp; Hồ sơ'!$AT$7:$AT$500&lt;&gt;""))</f>
        <v/>
      </c>
      <c r="G136" s="53">
        <f>SUMPRODUCT(--ISNUMBER(SEARCH(", "&amp;$B136&amp;", ",", "&amp;'Hoạt động (Đơn của tôi)'!$B$7:$B$500&amp;", ")),--('Hoạt động (Đơn của tôi)'!$AT$7:$AT$500="Pass"))+SUMPRODUCT(--ISNUMBER(SEARCH(", "&amp;$B136&amp;", ",", "&amp;'Ghép nối'!$B$7:$B$500&amp;", ")),--('Ghép nối'!$AT$7:$AT$500="Pass"))+SUMPRODUCT(--ISNUMBER(SEARCH(", "&amp;$B136&amp;", ",", "&amp;'Huỷ đơn - Huỷ nhận đơn'!$B$7:$B$500&amp;", ")),--('Huỷ đơn - Huỷ nhận đơn'!$AT$7:$AT$500="Pass"))+SUMPRODUCT(--ISNUMBER(SEARCH(", "&amp;$B136&amp;", ",", "&amp;'Giao nhận &amp; Theo dõi đơn'!$B$7:$B$500&amp;", ")),--('Giao nhận &amp; Theo dõi đơn'!$AT$7:$AT$500="Pass"))+SUMPRODUCT(--ISNUMBER(SEARCH(", "&amp;$B136&amp;", ",", "&amp;'Bảng tin &amp; Chi tiết tin'!$B$7:$B$500&amp;", ")),--('Bảng tin &amp; Chi tiết tin'!$AT$7:$AT$500="Pass"))+SUMPRODUCT(--ISNUMBER(SEARCH(", "&amp;$B136&amp;", ",", "&amp;'Quà cảm ơn'!$B$7:$B$500&amp;", ")),--('Quà cảm ơn'!$AT$7:$AT$500="Pass"))+SUMPRODUCT(--ISNUMBER(SEARCH(", "&amp;$B136&amp;", ",", "&amp;'Trang chủ'!$B$7:$B$500&amp;", ")),--('Trang chủ'!$AT$7:$AT$500="Pass"))+SUMPRODUCT(--ISNUMBER(SEARCH(", "&amp;$B136&amp;", ",", "&amp;'Thông báo'!$B$7:$B$500&amp;", ")),--('Thông báo'!$AT$7:$AT$500="Pass"))+SUMPRODUCT(--ISNUMBER(SEARCH(", "&amp;$B136&amp;", ",", "&amp;'Đăng tin &amp; Quản lý tin'!$B$7:$B$500&amp;", ")),--('Đăng tin &amp; Quản lý tin'!$AT$7:$AT$500="Pass"))+SUMPRODUCT(--ISNUMBER(SEARCH(", "&amp;$B136&amp;", ",", "&amp;'Trust &amp; Safety'!$B$7:$B$500&amp;", ")),--('Trust &amp; Safety'!$AT$7:$AT$500="Pass"))+SUMPRODUCT(--ISNUMBER(SEARCH(", "&amp;$B136&amp;", ",", "&amp;'Tài khoản &amp; Hồ sơ'!$B$7:$B$500&amp;", ")),--('Tài khoản &amp; Hồ sơ'!$AT$7:$AT$500="Pass"))</f>
        <v/>
      </c>
      <c r="H136" s="53">
        <f>SUMPRODUCT(--ISNUMBER(SEARCH(", "&amp;$B136&amp;", ",", "&amp;'Hoạt động (Đơn của tôi)'!$B$7:$B$500&amp;", ")),--('Hoạt động (Đơn của tôi)'!$AT$7:$AT$500="Fail"))+SUMPRODUCT(--ISNUMBER(SEARCH(", "&amp;$B136&amp;", ",", "&amp;'Ghép nối'!$B$7:$B$500&amp;", ")),--('Ghép nối'!$AT$7:$AT$500="Fail"))+SUMPRODUCT(--ISNUMBER(SEARCH(", "&amp;$B136&amp;", ",", "&amp;'Huỷ đơn - Huỷ nhận đơn'!$B$7:$B$500&amp;", ")),--('Huỷ đơn - Huỷ nhận đơn'!$AT$7:$AT$500="Fail"))+SUMPRODUCT(--ISNUMBER(SEARCH(", "&amp;$B136&amp;", ",", "&amp;'Giao nhận &amp; Theo dõi đơn'!$B$7:$B$500&amp;", ")),--('Giao nhận &amp; Theo dõi đơn'!$AT$7:$AT$500="Fail"))+SUMPRODUCT(--ISNUMBER(SEARCH(", "&amp;$B136&amp;", ",", "&amp;'Bảng tin &amp; Chi tiết tin'!$B$7:$B$500&amp;", ")),--('Bảng tin &amp; Chi tiết tin'!$AT$7:$AT$500="Fail"))+SUMPRODUCT(--ISNUMBER(SEARCH(", "&amp;$B136&amp;", ",", "&amp;'Quà cảm ơn'!$B$7:$B$500&amp;", ")),--('Quà cảm ơn'!$AT$7:$AT$500="Fail"))+SUMPRODUCT(--ISNUMBER(SEARCH(", "&amp;$B136&amp;", ",", "&amp;'Trang chủ'!$B$7:$B$500&amp;", ")),--('Trang chủ'!$AT$7:$AT$500="Fail"))+SUMPRODUCT(--ISNUMBER(SEARCH(", "&amp;$B136&amp;", ",", "&amp;'Thông báo'!$B$7:$B$500&amp;", ")),--('Thông báo'!$AT$7:$AT$500="Fail"))+SUMPRODUCT(--ISNUMBER(SEARCH(", "&amp;$B136&amp;", ",", "&amp;'Đăng tin &amp; Quản lý tin'!$B$7:$B$500&amp;", ")),--('Đăng tin &amp; Quản lý tin'!$AT$7:$AT$500="Fail"))+SUMPRODUCT(--ISNUMBER(SEARCH(", "&amp;$B136&amp;", ",", "&amp;'Trust &amp; Safety'!$B$7:$B$500&amp;", ")),--('Trust &amp; Safety'!$AT$7:$AT$500="Fail"))+SUMPRODUCT(--ISNUMBER(SEARCH(", "&amp;$B136&amp;", ",", "&amp;'Tài khoản &amp; Hồ sơ'!$B$7:$B$500&amp;", ")),--('Tài khoản &amp; Hồ sơ'!$AT$7:$AT$500="Fail"))</f>
        <v/>
      </c>
      <c r="I136" s="53">
        <f>SUMPRODUCT(--ISNUMBER(SEARCH(", "&amp;$B136&amp;", ",", "&amp;'Hoạt động (Đơn của tôi)'!$B$7:$B$500&amp;", ")),--('Hoạt động (Đơn của tôi)'!$AT$7:$AT$500="Block"))+SUMPRODUCT(--ISNUMBER(SEARCH(", "&amp;$B136&amp;", ",", "&amp;'Ghép nối'!$B$7:$B$500&amp;", ")),--('Ghép nối'!$AT$7:$AT$500="Block"))+SUMPRODUCT(--ISNUMBER(SEARCH(", "&amp;$B136&amp;", ",", "&amp;'Huỷ đơn - Huỷ nhận đơn'!$B$7:$B$500&amp;", ")),--('Huỷ đơn - Huỷ nhận đơn'!$AT$7:$AT$500="Block"))+SUMPRODUCT(--ISNUMBER(SEARCH(", "&amp;$B136&amp;", ",", "&amp;'Giao nhận &amp; Theo dõi đơn'!$B$7:$B$500&amp;", ")),--('Giao nhận &amp; Theo dõi đơn'!$AT$7:$AT$500="Block"))+SUMPRODUCT(--ISNUMBER(SEARCH(", "&amp;$B136&amp;", ",", "&amp;'Bảng tin &amp; Chi tiết tin'!$B$7:$B$500&amp;", ")),--('Bảng tin &amp; Chi tiết tin'!$AT$7:$AT$500="Block"))+SUMPRODUCT(--ISNUMBER(SEARCH(", "&amp;$B136&amp;", ",", "&amp;'Quà cảm ơn'!$B$7:$B$500&amp;", ")),--('Quà cảm ơn'!$AT$7:$AT$500="Block"))+SUMPRODUCT(--ISNUMBER(SEARCH(", "&amp;$B136&amp;", ",", "&amp;'Trang chủ'!$B$7:$B$500&amp;", ")),--('Trang chủ'!$AT$7:$AT$500="Block"))+SUMPRODUCT(--ISNUMBER(SEARCH(", "&amp;$B136&amp;", ",", "&amp;'Thông báo'!$B$7:$B$500&amp;", ")),--('Thông báo'!$AT$7:$AT$500="Block"))+SUMPRODUCT(--ISNUMBER(SEARCH(", "&amp;$B136&amp;", ",", "&amp;'Đăng tin &amp; Quản lý tin'!$B$7:$B$500&amp;", ")),--('Đăng tin &amp; Quản lý tin'!$AT$7:$AT$500="Block"))+SUMPRODUCT(--ISNUMBER(SEARCH(", "&amp;$B136&amp;", ",", "&amp;'Trust &amp; Safety'!$B$7:$B$500&amp;", ")),--('Trust &amp; Safety'!$AT$7:$AT$500="Block"))+SUMPRODUCT(--ISNUMBER(SEARCH(", "&amp;$B136&amp;", ",", "&amp;'Tài khoản &amp; Hồ sơ'!$B$7:$B$500&amp;", ")),--('Tài khoản &amp; Hồ sơ'!$AT$7:$AT$500="Block"))</f>
        <v/>
      </c>
      <c r="J136" s="53">
        <f>SUMPRODUCT(--ISNUMBER(SEARCH(", "&amp;$B136&amp;", ",", "&amp;'Hoạt động (Đơn của tôi)'!$B$7:$B$500&amp;", ")),--('Hoạt động (Đơn của tôi)'!$AT$7:$AT$500="N/A"))+SUMPRODUCT(--ISNUMBER(SEARCH(", "&amp;$B136&amp;", ",", "&amp;'Ghép nối'!$B$7:$B$500&amp;", ")),--('Ghép nối'!$AT$7:$AT$500="N/A"))+SUMPRODUCT(--ISNUMBER(SEARCH(", "&amp;$B136&amp;", ",", "&amp;'Huỷ đơn - Huỷ nhận đơn'!$B$7:$B$500&amp;", ")),--('Huỷ đơn - Huỷ nhận đơn'!$AT$7:$AT$500="N/A"))+SUMPRODUCT(--ISNUMBER(SEARCH(", "&amp;$B136&amp;", ",", "&amp;'Giao nhận &amp; Theo dõi đơn'!$B$7:$B$500&amp;", ")),--('Giao nhận &amp; Theo dõi đơn'!$AT$7:$AT$500="N/A"))+SUMPRODUCT(--ISNUMBER(SEARCH(", "&amp;$B136&amp;", ",", "&amp;'Bảng tin &amp; Chi tiết tin'!$B$7:$B$500&amp;", ")),--('Bảng tin &amp; Chi tiết tin'!$AT$7:$AT$500="N/A"))+SUMPRODUCT(--ISNUMBER(SEARCH(", "&amp;$B136&amp;", ",", "&amp;'Quà cảm ơn'!$B$7:$B$500&amp;", ")),--('Quà cảm ơn'!$AT$7:$AT$500="N/A"))+SUMPRODUCT(--ISNUMBER(SEARCH(", "&amp;$B136&amp;", ",", "&amp;'Trang chủ'!$B$7:$B$500&amp;", ")),--('Trang chủ'!$AT$7:$AT$500="N/A"))+SUMPRODUCT(--ISNUMBER(SEARCH(", "&amp;$B136&amp;", ",", "&amp;'Thông báo'!$B$7:$B$500&amp;", ")),--('Thông báo'!$AT$7:$AT$500="N/A"))+SUMPRODUCT(--ISNUMBER(SEARCH(", "&amp;$B136&amp;", ",", "&amp;'Đăng tin &amp; Quản lý tin'!$B$7:$B$500&amp;", ")),--('Đăng tin &amp; Quản lý tin'!$AT$7:$AT$500="N/A"))+SUMPRODUCT(--ISNUMBER(SEARCH(", "&amp;$B136&amp;", ",", "&amp;'Trust &amp; Safety'!$B$7:$B$500&amp;", ")),--('Trust &amp; Safety'!$AT$7:$AT$500="N/A"))+SUMPRODUCT(--ISNUMBER(SEARCH(", "&amp;$B136&amp;", ",", "&amp;'Tài khoản &amp; Hồ sơ'!$B$7:$B$500&amp;", ")),--('Tài khoản &amp; Hồ sơ'!$AT$7:$AT$500="N/A"))</f>
        <v/>
      </c>
      <c r="K136" s="54">
        <f>IFERROR(F136/E136,0)</f>
        <v/>
      </c>
      <c r="L136" s="113">
        <f>IF(E136=0,"Chưa có TC (gap)",IF(H136&gt;0,"Có lỗi (Fail)",IF(I136&gt;0,"Bị block",IF(F136&lt;E136,"Đang test",IF(G136=0,"Không áp dụng (N/A)","Đã test xong")))))</f>
        <v/>
      </c>
      <c r="AB136" t="inlineStr">
        <is>
          <t>REQ-USR</t>
        </is>
      </c>
    </row>
    <row r="137" ht="15.75" customHeight="1" s="216">
      <c r="A137" s="1" t="n"/>
      <c r="B137" s="112" t="inlineStr">
        <is>
          <t>REQ-USR-008</t>
        </is>
      </c>
      <c r="C137" s="261" t="inlineStr">
        <is>
          <t>Nguồn #1 — Description + Trigger (§8.15, trang 48): "Cho phép sửa số điện thoại và địa chỉ mặc định dùng để prefill khi đăng tin; các trường đồng bộ từ SSO là chỉ đọc." "Trigger: Mở "Cập nhật thông tin" trong trang cá nhân (nằm dưới mục "Quà đã nhận")</t>
        </is>
      </c>
      <c r="D137" s="113" t="inlineStr">
        <is>
          <t>DOC-v1.1-01 §8.15 "FR15 — Hồ sơ &amp; cập nhật thông tin" · trang 48-49</t>
        </is>
      </c>
      <c r="E137" s="53">
        <f>SUMPRODUCT(--ISNUMBER(SEARCH(", "&amp;$B137&amp;", ",", "&amp;'Hoạt động (Đơn của tôi)'!$B$7:$B$500&amp;", ")))+SUMPRODUCT(--ISNUMBER(SEARCH(", "&amp;$B137&amp;", ",", "&amp;'Ghép nối'!$B$7:$B$500&amp;", ")))+SUMPRODUCT(--ISNUMBER(SEARCH(", "&amp;$B137&amp;", ",", "&amp;'Huỷ đơn - Huỷ nhận đơn'!$B$7:$B$500&amp;", ")))+SUMPRODUCT(--ISNUMBER(SEARCH(", "&amp;$B137&amp;", ",", "&amp;'Giao nhận &amp; Theo dõi đơn'!$B$7:$B$500&amp;", ")))+SUMPRODUCT(--ISNUMBER(SEARCH(", "&amp;$B137&amp;", ",", "&amp;'Bảng tin &amp; Chi tiết tin'!$B$7:$B$500&amp;", ")))+SUMPRODUCT(--ISNUMBER(SEARCH(", "&amp;$B137&amp;", ",", "&amp;'Quà cảm ơn'!$B$7:$B$500&amp;", ")))+SUMPRODUCT(--ISNUMBER(SEARCH(", "&amp;$B137&amp;", ",", "&amp;'Trang chủ'!$B$7:$B$500&amp;", ")))+SUMPRODUCT(--ISNUMBER(SEARCH(", "&amp;$B137&amp;", ",", "&amp;'Thông báo'!$B$7:$B$500&amp;", ")))+SUMPRODUCT(--ISNUMBER(SEARCH(", "&amp;$B137&amp;", ",", "&amp;'Đăng tin &amp; Quản lý tin'!$B$7:$B$500&amp;", ")))+SUMPRODUCT(--ISNUMBER(SEARCH(", "&amp;$B137&amp;", ",", "&amp;'Trust &amp; Safety'!$B$7:$B$500&amp;", ")))+SUMPRODUCT(--ISNUMBER(SEARCH(", "&amp;$B137&amp;", ",", "&amp;'Tài khoản &amp; Hồ sơ'!$B$7:$B$500&amp;", ")))</f>
        <v/>
      </c>
      <c r="F137" s="53">
        <f>SUMPRODUCT(--ISNUMBER(SEARCH(", "&amp;$B137&amp;", ",", "&amp;'Hoạt động (Đơn của tôi)'!$B$7:$B$500&amp;", ")),--('Hoạt động (Đơn của tôi)'!$AT$7:$AT$500&lt;&gt;""))+SUMPRODUCT(--ISNUMBER(SEARCH(", "&amp;$B137&amp;", ",", "&amp;'Ghép nối'!$B$7:$B$500&amp;", ")),--('Ghép nối'!$AT$7:$AT$500&lt;&gt;""))+SUMPRODUCT(--ISNUMBER(SEARCH(", "&amp;$B137&amp;", ",", "&amp;'Huỷ đơn - Huỷ nhận đơn'!$B$7:$B$500&amp;", ")),--('Huỷ đơn - Huỷ nhận đơn'!$AT$7:$AT$500&lt;&gt;""))+SUMPRODUCT(--ISNUMBER(SEARCH(", "&amp;$B137&amp;", ",", "&amp;'Giao nhận &amp; Theo dõi đơn'!$B$7:$B$500&amp;", ")),--('Giao nhận &amp; Theo dõi đơn'!$AT$7:$AT$500&lt;&gt;""))+SUMPRODUCT(--ISNUMBER(SEARCH(", "&amp;$B137&amp;", ",", "&amp;'Bảng tin &amp; Chi tiết tin'!$B$7:$B$500&amp;", ")),--('Bảng tin &amp; Chi tiết tin'!$AT$7:$AT$500&lt;&gt;""))+SUMPRODUCT(--ISNUMBER(SEARCH(", "&amp;$B137&amp;", ",", "&amp;'Quà cảm ơn'!$B$7:$B$500&amp;", ")),--('Quà cảm ơn'!$AT$7:$AT$500&lt;&gt;""))+SUMPRODUCT(--ISNUMBER(SEARCH(", "&amp;$B137&amp;", ",", "&amp;'Trang chủ'!$B$7:$B$500&amp;", ")),--('Trang chủ'!$AT$7:$AT$500&lt;&gt;""))+SUMPRODUCT(--ISNUMBER(SEARCH(", "&amp;$B137&amp;", ",", "&amp;'Thông báo'!$B$7:$B$500&amp;", ")),--('Thông báo'!$AT$7:$AT$500&lt;&gt;""))+SUMPRODUCT(--ISNUMBER(SEARCH(", "&amp;$B137&amp;", ",", "&amp;'Đăng tin &amp; Quản lý tin'!$B$7:$B$500&amp;", ")),--('Đăng tin &amp; Quản lý tin'!$AT$7:$AT$500&lt;&gt;""))+SUMPRODUCT(--ISNUMBER(SEARCH(", "&amp;$B137&amp;", ",", "&amp;'Trust &amp; Safety'!$B$7:$B$500&amp;", ")),--('Trust &amp; Safety'!$AT$7:$AT$500&lt;&gt;""))+SUMPRODUCT(--ISNUMBER(SEARCH(", "&amp;$B137&amp;", ",", "&amp;'Tài khoản &amp; Hồ sơ'!$B$7:$B$500&amp;", ")),--('Tài khoản &amp; Hồ sơ'!$AT$7:$AT$500&lt;&gt;""))</f>
        <v/>
      </c>
      <c r="G137" s="53">
        <f>SUMPRODUCT(--ISNUMBER(SEARCH(", "&amp;$B137&amp;", ",", "&amp;'Hoạt động (Đơn của tôi)'!$B$7:$B$500&amp;", ")),--('Hoạt động (Đơn của tôi)'!$AT$7:$AT$500="Pass"))+SUMPRODUCT(--ISNUMBER(SEARCH(", "&amp;$B137&amp;", ",", "&amp;'Ghép nối'!$B$7:$B$500&amp;", ")),--('Ghép nối'!$AT$7:$AT$500="Pass"))+SUMPRODUCT(--ISNUMBER(SEARCH(", "&amp;$B137&amp;", ",", "&amp;'Huỷ đơn - Huỷ nhận đơn'!$B$7:$B$500&amp;", ")),--('Huỷ đơn - Huỷ nhận đơn'!$AT$7:$AT$500="Pass"))+SUMPRODUCT(--ISNUMBER(SEARCH(", "&amp;$B137&amp;", ",", "&amp;'Giao nhận &amp; Theo dõi đơn'!$B$7:$B$500&amp;", ")),--('Giao nhận &amp; Theo dõi đơn'!$AT$7:$AT$500="Pass"))+SUMPRODUCT(--ISNUMBER(SEARCH(", "&amp;$B137&amp;", ",", "&amp;'Bảng tin &amp; Chi tiết tin'!$B$7:$B$500&amp;", ")),--('Bảng tin &amp; Chi tiết tin'!$AT$7:$AT$500="Pass"))+SUMPRODUCT(--ISNUMBER(SEARCH(", "&amp;$B137&amp;", ",", "&amp;'Quà cảm ơn'!$B$7:$B$500&amp;", ")),--('Quà cảm ơn'!$AT$7:$AT$500="Pass"))+SUMPRODUCT(--ISNUMBER(SEARCH(", "&amp;$B137&amp;", ",", "&amp;'Trang chủ'!$B$7:$B$500&amp;", ")),--('Trang chủ'!$AT$7:$AT$500="Pass"))+SUMPRODUCT(--ISNUMBER(SEARCH(", "&amp;$B137&amp;", ",", "&amp;'Thông báo'!$B$7:$B$500&amp;", ")),--('Thông báo'!$AT$7:$AT$500="Pass"))+SUMPRODUCT(--ISNUMBER(SEARCH(", "&amp;$B137&amp;", ",", "&amp;'Đăng tin &amp; Quản lý tin'!$B$7:$B$500&amp;", ")),--('Đăng tin &amp; Quản lý tin'!$AT$7:$AT$500="Pass"))+SUMPRODUCT(--ISNUMBER(SEARCH(", "&amp;$B137&amp;", ",", "&amp;'Trust &amp; Safety'!$B$7:$B$500&amp;", ")),--('Trust &amp; Safety'!$AT$7:$AT$500="Pass"))+SUMPRODUCT(--ISNUMBER(SEARCH(", "&amp;$B137&amp;", ",", "&amp;'Tài khoản &amp; Hồ sơ'!$B$7:$B$500&amp;", ")),--('Tài khoản &amp; Hồ sơ'!$AT$7:$AT$500="Pass"))</f>
        <v/>
      </c>
      <c r="H137" s="53">
        <f>SUMPRODUCT(--ISNUMBER(SEARCH(", "&amp;$B137&amp;", ",", "&amp;'Hoạt động (Đơn của tôi)'!$B$7:$B$500&amp;", ")),--('Hoạt động (Đơn của tôi)'!$AT$7:$AT$500="Fail"))+SUMPRODUCT(--ISNUMBER(SEARCH(", "&amp;$B137&amp;", ",", "&amp;'Ghép nối'!$B$7:$B$500&amp;", ")),--('Ghép nối'!$AT$7:$AT$500="Fail"))+SUMPRODUCT(--ISNUMBER(SEARCH(", "&amp;$B137&amp;", ",", "&amp;'Huỷ đơn - Huỷ nhận đơn'!$B$7:$B$500&amp;", ")),--('Huỷ đơn - Huỷ nhận đơn'!$AT$7:$AT$500="Fail"))+SUMPRODUCT(--ISNUMBER(SEARCH(", "&amp;$B137&amp;", ",", "&amp;'Giao nhận &amp; Theo dõi đơn'!$B$7:$B$500&amp;", ")),--('Giao nhận &amp; Theo dõi đơn'!$AT$7:$AT$500="Fail"))+SUMPRODUCT(--ISNUMBER(SEARCH(", "&amp;$B137&amp;", ",", "&amp;'Bảng tin &amp; Chi tiết tin'!$B$7:$B$500&amp;", ")),--('Bảng tin &amp; Chi tiết tin'!$AT$7:$AT$500="Fail"))+SUMPRODUCT(--ISNUMBER(SEARCH(", "&amp;$B137&amp;", ",", "&amp;'Quà cảm ơn'!$B$7:$B$500&amp;", ")),--('Quà cảm ơn'!$AT$7:$AT$500="Fail"))+SUMPRODUCT(--ISNUMBER(SEARCH(", "&amp;$B137&amp;", ",", "&amp;'Trang chủ'!$B$7:$B$500&amp;", ")),--('Trang chủ'!$AT$7:$AT$500="Fail"))+SUMPRODUCT(--ISNUMBER(SEARCH(", "&amp;$B137&amp;", ",", "&amp;'Thông báo'!$B$7:$B$500&amp;", ")),--('Thông báo'!$AT$7:$AT$500="Fail"))+SUMPRODUCT(--ISNUMBER(SEARCH(", "&amp;$B137&amp;", ",", "&amp;'Đăng tin &amp; Quản lý tin'!$B$7:$B$500&amp;", ")),--('Đăng tin &amp; Quản lý tin'!$AT$7:$AT$500="Fail"))+SUMPRODUCT(--ISNUMBER(SEARCH(", "&amp;$B137&amp;", ",", "&amp;'Trust &amp; Safety'!$B$7:$B$500&amp;", ")),--('Trust &amp; Safety'!$AT$7:$AT$500="Fail"))+SUMPRODUCT(--ISNUMBER(SEARCH(", "&amp;$B137&amp;", ",", "&amp;'Tài khoản &amp; Hồ sơ'!$B$7:$B$500&amp;", ")),--('Tài khoản &amp; Hồ sơ'!$AT$7:$AT$500="Fail"))</f>
        <v/>
      </c>
      <c r="I137" s="53">
        <f>SUMPRODUCT(--ISNUMBER(SEARCH(", "&amp;$B137&amp;", ",", "&amp;'Hoạt động (Đơn của tôi)'!$B$7:$B$500&amp;", ")),--('Hoạt động (Đơn của tôi)'!$AT$7:$AT$500="Block"))+SUMPRODUCT(--ISNUMBER(SEARCH(", "&amp;$B137&amp;", ",", "&amp;'Ghép nối'!$B$7:$B$500&amp;", ")),--('Ghép nối'!$AT$7:$AT$500="Block"))+SUMPRODUCT(--ISNUMBER(SEARCH(", "&amp;$B137&amp;", ",", "&amp;'Huỷ đơn - Huỷ nhận đơn'!$B$7:$B$500&amp;", ")),--('Huỷ đơn - Huỷ nhận đơn'!$AT$7:$AT$500="Block"))+SUMPRODUCT(--ISNUMBER(SEARCH(", "&amp;$B137&amp;", ",", "&amp;'Giao nhận &amp; Theo dõi đơn'!$B$7:$B$500&amp;", ")),--('Giao nhận &amp; Theo dõi đơn'!$AT$7:$AT$500="Block"))+SUMPRODUCT(--ISNUMBER(SEARCH(", "&amp;$B137&amp;", ",", "&amp;'Bảng tin &amp; Chi tiết tin'!$B$7:$B$500&amp;", ")),--('Bảng tin &amp; Chi tiết tin'!$AT$7:$AT$500="Block"))+SUMPRODUCT(--ISNUMBER(SEARCH(", "&amp;$B137&amp;", ",", "&amp;'Quà cảm ơn'!$B$7:$B$500&amp;", ")),--('Quà cảm ơn'!$AT$7:$AT$500="Block"))+SUMPRODUCT(--ISNUMBER(SEARCH(", "&amp;$B137&amp;", ",", "&amp;'Trang chủ'!$B$7:$B$500&amp;", ")),--('Trang chủ'!$AT$7:$AT$500="Block"))+SUMPRODUCT(--ISNUMBER(SEARCH(", "&amp;$B137&amp;", ",", "&amp;'Thông báo'!$B$7:$B$500&amp;", ")),--('Thông báo'!$AT$7:$AT$500="Block"))+SUMPRODUCT(--ISNUMBER(SEARCH(", "&amp;$B137&amp;", ",", "&amp;'Đăng tin &amp; Quản lý tin'!$B$7:$B$500&amp;", ")),--('Đăng tin &amp; Quản lý tin'!$AT$7:$AT$500="Block"))+SUMPRODUCT(--ISNUMBER(SEARCH(", "&amp;$B137&amp;", ",", "&amp;'Trust &amp; Safety'!$B$7:$B$500&amp;", ")),--('Trust &amp; Safety'!$AT$7:$AT$500="Block"))+SUMPRODUCT(--ISNUMBER(SEARCH(", "&amp;$B137&amp;", ",", "&amp;'Tài khoản &amp; Hồ sơ'!$B$7:$B$500&amp;", ")),--('Tài khoản &amp; Hồ sơ'!$AT$7:$AT$500="Block"))</f>
        <v/>
      </c>
      <c r="J137" s="53">
        <f>SUMPRODUCT(--ISNUMBER(SEARCH(", "&amp;$B137&amp;", ",", "&amp;'Hoạt động (Đơn của tôi)'!$B$7:$B$500&amp;", ")),--('Hoạt động (Đơn của tôi)'!$AT$7:$AT$500="N/A"))+SUMPRODUCT(--ISNUMBER(SEARCH(", "&amp;$B137&amp;", ",", "&amp;'Ghép nối'!$B$7:$B$500&amp;", ")),--('Ghép nối'!$AT$7:$AT$500="N/A"))+SUMPRODUCT(--ISNUMBER(SEARCH(", "&amp;$B137&amp;", ",", "&amp;'Huỷ đơn - Huỷ nhận đơn'!$B$7:$B$500&amp;", ")),--('Huỷ đơn - Huỷ nhận đơn'!$AT$7:$AT$500="N/A"))+SUMPRODUCT(--ISNUMBER(SEARCH(", "&amp;$B137&amp;", ",", "&amp;'Giao nhận &amp; Theo dõi đơn'!$B$7:$B$500&amp;", ")),--('Giao nhận &amp; Theo dõi đơn'!$AT$7:$AT$500="N/A"))+SUMPRODUCT(--ISNUMBER(SEARCH(", "&amp;$B137&amp;", ",", "&amp;'Bảng tin &amp; Chi tiết tin'!$B$7:$B$500&amp;", ")),--('Bảng tin &amp; Chi tiết tin'!$AT$7:$AT$500="N/A"))+SUMPRODUCT(--ISNUMBER(SEARCH(", "&amp;$B137&amp;", ",", "&amp;'Quà cảm ơn'!$B$7:$B$500&amp;", ")),--('Quà cảm ơn'!$AT$7:$AT$500="N/A"))+SUMPRODUCT(--ISNUMBER(SEARCH(", "&amp;$B137&amp;", ",", "&amp;'Trang chủ'!$B$7:$B$500&amp;", ")),--('Trang chủ'!$AT$7:$AT$500="N/A"))+SUMPRODUCT(--ISNUMBER(SEARCH(", "&amp;$B137&amp;", ",", "&amp;'Thông báo'!$B$7:$B$500&amp;", ")),--('Thông báo'!$AT$7:$AT$500="N/A"))+SUMPRODUCT(--ISNUMBER(SEARCH(", "&amp;$B137&amp;", ",", "&amp;'Đăng tin &amp; Quản lý tin'!$B$7:$B$500&amp;", ")),--('Đăng tin &amp; Quản lý tin'!$AT$7:$AT$500="N/A"))+SUMPRODUCT(--ISNUMBER(SEARCH(", "&amp;$B137&amp;", ",", "&amp;'Trust &amp; Safety'!$B$7:$B$500&amp;", ")),--('Trust &amp; Safety'!$AT$7:$AT$500="N/A"))+SUMPRODUCT(--ISNUMBER(SEARCH(", "&amp;$B137&amp;", ",", "&amp;'Tài khoản &amp; Hồ sơ'!$B$7:$B$500&amp;", ")),--('Tài khoản &amp; Hồ sơ'!$AT$7:$AT$500="N/A"))</f>
        <v/>
      </c>
      <c r="K137" s="54">
        <f>IFERROR(F137/E137,0)</f>
        <v/>
      </c>
      <c r="L137" s="113">
        <f>IF(E137=0,"Chưa có TC (gap)",IF(H137&gt;0,"Có lỗi (Fail)",IF(I137&gt;0,"Bị block",IF(F137&lt;E137,"Đang test",IF(G137=0,"Không áp dụng (N/A)","Đã test xong")))))</f>
        <v/>
      </c>
      <c r="AB137" t="inlineStr">
        <is>
          <t>REQ-USR</t>
        </is>
      </c>
    </row>
    <row r="138" ht="15.75" customHeight="1" s="216">
      <c r="A138" s="1" t="n"/>
      <c r="B138" s="112" t="inlineStr">
        <is>
          <t>REQ-USR-009</t>
        </is>
      </c>
      <c r="C138" s="261" t="inlineStr">
        <is>
          <t>Nguồn #1 — `BR15-03` (§8.15.1, trang 49): "Sửa hồ sơ không làm thay đổi các đơn đã tạo — đơn giữ nguyên số điện thoại/địa chỉ tại thời điểm đăng.</t>
        </is>
      </c>
      <c r="D138" s="113" t="inlineStr">
        <is>
          <t>DOC-v1.1-01 §8.15.1 BR15-03 · trang 49</t>
        </is>
      </c>
      <c r="E138" s="53">
        <f>SUMPRODUCT(--ISNUMBER(SEARCH(", "&amp;$B138&amp;", ",", "&amp;'Hoạt động (Đơn của tôi)'!$B$7:$B$500&amp;", ")))+SUMPRODUCT(--ISNUMBER(SEARCH(", "&amp;$B138&amp;", ",", "&amp;'Ghép nối'!$B$7:$B$500&amp;", ")))+SUMPRODUCT(--ISNUMBER(SEARCH(", "&amp;$B138&amp;", ",", "&amp;'Huỷ đơn - Huỷ nhận đơn'!$B$7:$B$500&amp;", ")))+SUMPRODUCT(--ISNUMBER(SEARCH(", "&amp;$B138&amp;", ",", "&amp;'Giao nhận &amp; Theo dõi đơn'!$B$7:$B$500&amp;", ")))+SUMPRODUCT(--ISNUMBER(SEARCH(", "&amp;$B138&amp;", ",", "&amp;'Bảng tin &amp; Chi tiết tin'!$B$7:$B$500&amp;", ")))+SUMPRODUCT(--ISNUMBER(SEARCH(", "&amp;$B138&amp;", ",", "&amp;'Quà cảm ơn'!$B$7:$B$500&amp;", ")))+SUMPRODUCT(--ISNUMBER(SEARCH(", "&amp;$B138&amp;", ",", "&amp;'Trang chủ'!$B$7:$B$500&amp;", ")))+SUMPRODUCT(--ISNUMBER(SEARCH(", "&amp;$B138&amp;", ",", "&amp;'Thông báo'!$B$7:$B$500&amp;", ")))+SUMPRODUCT(--ISNUMBER(SEARCH(", "&amp;$B138&amp;", ",", "&amp;'Đăng tin &amp; Quản lý tin'!$B$7:$B$500&amp;", ")))+SUMPRODUCT(--ISNUMBER(SEARCH(", "&amp;$B138&amp;", ",", "&amp;'Trust &amp; Safety'!$B$7:$B$500&amp;", ")))+SUMPRODUCT(--ISNUMBER(SEARCH(", "&amp;$B138&amp;", ",", "&amp;'Tài khoản &amp; Hồ sơ'!$B$7:$B$500&amp;", ")))</f>
        <v/>
      </c>
      <c r="F138" s="53">
        <f>SUMPRODUCT(--ISNUMBER(SEARCH(", "&amp;$B138&amp;", ",", "&amp;'Hoạt động (Đơn của tôi)'!$B$7:$B$500&amp;", ")),--('Hoạt động (Đơn của tôi)'!$AT$7:$AT$500&lt;&gt;""))+SUMPRODUCT(--ISNUMBER(SEARCH(", "&amp;$B138&amp;", ",", "&amp;'Ghép nối'!$B$7:$B$500&amp;", ")),--('Ghép nối'!$AT$7:$AT$500&lt;&gt;""))+SUMPRODUCT(--ISNUMBER(SEARCH(", "&amp;$B138&amp;", ",", "&amp;'Huỷ đơn - Huỷ nhận đơn'!$B$7:$B$500&amp;", ")),--('Huỷ đơn - Huỷ nhận đơn'!$AT$7:$AT$500&lt;&gt;""))+SUMPRODUCT(--ISNUMBER(SEARCH(", "&amp;$B138&amp;", ",", "&amp;'Giao nhận &amp; Theo dõi đơn'!$B$7:$B$500&amp;", ")),--('Giao nhận &amp; Theo dõi đơn'!$AT$7:$AT$500&lt;&gt;""))+SUMPRODUCT(--ISNUMBER(SEARCH(", "&amp;$B138&amp;", ",", "&amp;'Bảng tin &amp; Chi tiết tin'!$B$7:$B$500&amp;", ")),--('Bảng tin &amp; Chi tiết tin'!$AT$7:$AT$500&lt;&gt;""))+SUMPRODUCT(--ISNUMBER(SEARCH(", "&amp;$B138&amp;", ",", "&amp;'Quà cảm ơn'!$B$7:$B$500&amp;", ")),--('Quà cảm ơn'!$AT$7:$AT$500&lt;&gt;""))+SUMPRODUCT(--ISNUMBER(SEARCH(", "&amp;$B138&amp;", ",", "&amp;'Trang chủ'!$B$7:$B$500&amp;", ")),--('Trang chủ'!$AT$7:$AT$500&lt;&gt;""))+SUMPRODUCT(--ISNUMBER(SEARCH(", "&amp;$B138&amp;", ",", "&amp;'Thông báo'!$B$7:$B$500&amp;", ")),--('Thông báo'!$AT$7:$AT$500&lt;&gt;""))+SUMPRODUCT(--ISNUMBER(SEARCH(", "&amp;$B138&amp;", ",", "&amp;'Đăng tin &amp; Quản lý tin'!$B$7:$B$500&amp;", ")),--('Đăng tin &amp; Quản lý tin'!$AT$7:$AT$500&lt;&gt;""))+SUMPRODUCT(--ISNUMBER(SEARCH(", "&amp;$B138&amp;", ",", "&amp;'Trust &amp; Safety'!$B$7:$B$500&amp;", ")),--('Trust &amp; Safety'!$AT$7:$AT$500&lt;&gt;""))+SUMPRODUCT(--ISNUMBER(SEARCH(", "&amp;$B138&amp;", ",", "&amp;'Tài khoản &amp; Hồ sơ'!$B$7:$B$500&amp;", ")),--('Tài khoản &amp; Hồ sơ'!$AT$7:$AT$500&lt;&gt;""))</f>
        <v/>
      </c>
      <c r="G138" s="53">
        <f>SUMPRODUCT(--ISNUMBER(SEARCH(", "&amp;$B138&amp;", ",", "&amp;'Hoạt động (Đơn của tôi)'!$B$7:$B$500&amp;", ")),--('Hoạt động (Đơn của tôi)'!$AT$7:$AT$500="Pass"))+SUMPRODUCT(--ISNUMBER(SEARCH(", "&amp;$B138&amp;", ",", "&amp;'Ghép nối'!$B$7:$B$500&amp;", ")),--('Ghép nối'!$AT$7:$AT$500="Pass"))+SUMPRODUCT(--ISNUMBER(SEARCH(", "&amp;$B138&amp;", ",", "&amp;'Huỷ đơn - Huỷ nhận đơn'!$B$7:$B$500&amp;", ")),--('Huỷ đơn - Huỷ nhận đơn'!$AT$7:$AT$500="Pass"))+SUMPRODUCT(--ISNUMBER(SEARCH(", "&amp;$B138&amp;", ",", "&amp;'Giao nhận &amp; Theo dõi đơn'!$B$7:$B$500&amp;", ")),--('Giao nhận &amp; Theo dõi đơn'!$AT$7:$AT$500="Pass"))+SUMPRODUCT(--ISNUMBER(SEARCH(", "&amp;$B138&amp;", ",", "&amp;'Bảng tin &amp; Chi tiết tin'!$B$7:$B$500&amp;", ")),--('Bảng tin &amp; Chi tiết tin'!$AT$7:$AT$500="Pass"))+SUMPRODUCT(--ISNUMBER(SEARCH(", "&amp;$B138&amp;", ",", "&amp;'Quà cảm ơn'!$B$7:$B$500&amp;", ")),--('Quà cảm ơn'!$AT$7:$AT$500="Pass"))+SUMPRODUCT(--ISNUMBER(SEARCH(", "&amp;$B138&amp;", ",", "&amp;'Trang chủ'!$B$7:$B$500&amp;", ")),--('Trang chủ'!$AT$7:$AT$500="Pass"))+SUMPRODUCT(--ISNUMBER(SEARCH(", "&amp;$B138&amp;", ",", "&amp;'Thông báo'!$B$7:$B$500&amp;", ")),--('Thông báo'!$AT$7:$AT$500="Pass"))+SUMPRODUCT(--ISNUMBER(SEARCH(", "&amp;$B138&amp;", ",", "&amp;'Đăng tin &amp; Quản lý tin'!$B$7:$B$500&amp;", ")),--('Đăng tin &amp; Quản lý tin'!$AT$7:$AT$500="Pass"))+SUMPRODUCT(--ISNUMBER(SEARCH(", "&amp;$B138&amp;", ",", "&amp;'Trust &amp; Safety'!$B$7:$B$500&amp;", ")),--('Trust &amp; Safety'!$AT$7:$AT$500="Pass"))+SUMPRODUCT(--ISNUMBER(SEARCH(", "&amp;$B138&amp;", ",", "&amp;'Tài khoản &amp; Hồ sơ'!$B$7:$B$500&amp;", ")),--('Tài khoản &amp; Hồ sơ'!$AT$7:$AT$500="Pass"))</f>
        <v/>
      </c>
      <c r="H138" s="53">
        <f>SUMPRODUCT(--ISNUMBER(SEARCH(", "&amp;$B138&amp;", ",", "&amp;'Hoạt động (Đơn của tôi)'!$B$7:$B$500&amp;", ")),--('Hoạt động (Đơn của tôi)'!$AT$7:$AT$500="Fail"))+SUMPRODUCT(--ISNUMBER(SEARCH(", "&amp;$B138&amp;", ",", "&amp;'Ghép nối'!$B$7:$B$500&amp;", ")),--('Ghép nối'!$AT$7:$AT$500="Fail"))+SUMPRODUCT(--ISNUMBER(SEARCH(", "&amp;$B138&amp;", ",", "&amp;'Huỷ đơn - Huỷ nhận đơn'!$B$7:$B$500&amp;", ")),--('Huỷ đơn - Huỷ nhận đơn'!$AT$7:$AT$500="Fail"))+SUMPRODUCT(--ISNUMBER(SEARCH(", "&amp;$B138&amp;", ",", "&amp;'Giao nhận &amp; Theo dõi đơn'!$B$7:$B$500&amp;", ")),--('Giao nhận &amp; Theo dõi đơn'!$AT$7:$AT$500="Fail"))+SUMPRODUCT(--ISNUMBER(SEARCH(", "&amp;$B138&amp;", ",", "&amp;'Bảng tin &amp; Chi tiết tin'!$B$7:$B$500&amp;", ")),--('Bảng tin &amp; Chi tiết tin'!$AT$7:$AT$500="Fail"))+SUMPRODUCT(--ISNUMBER(SEARCH(", "&amp;$B138&amp;", ",", "&amp;'Quà cảm ơn'!$B$7:$B$500&amp;", ")),--('Quà cảm ơn'!$AT$7:$AT$500="Fail"))+SUMPRODUCT(--ISNUMBER(SEARCH(", "&amp;$B138&amp;", ",", "&amp;'Trang chủ'!$B$7:$B$500&amp;", ")),--('Trang chủ'!$AT$7:$AT$500="Fail"))+SUMPRODUCT(--ISNUMBER(SEARCH(", "&amp;$B138&amp;", ",", "&amp;'Thông báo'!$B$7:$B$500&amp;", ")),--('Thông báo'!$AT$7:$AT$500="Fail"))+SUMPRODUCT(--ISNUMBER(SEARCH(", "&amp;$B138&amp;", ",", "&amp;'Đăng tin &amp; Quản lý tin'!$B$7:$B$500&amp;", ")),--('Đăng tin &amp; Quản lý tin'!$AT$7:$AT$500="Fail"))+SUMPRODUCT(--ISNUMBER(SEARCH(", "&amp;$B138&amp;", ",", "&amp;'Trust &amp; Safety'!$B$7:$B$500&amp;", ")),--('Trust &amp; Safety'!$AT$7:$AT$500="Fail"))+SUMPRODUCT(--ISNUMBER(SEARCH(", "&amp;$B138&amp;", ",", "&amp;'Tài khoản &amp; Hồ sơ'!$B$7:$B$500&amp;", ")),--('Tài khoản &amp; Hồ sơ'!$AT$7:$AT$500="Fail"))</f>
        <v/>
      </c>
      <c r="I138" s="53">
        <f>SUMPRODUCT(--ISNUMBER(SEARCH(", "&amp;$B138&amp;", ",", "&amp;'Hoạt động (Đơn của tôi)'!$B$7:$B$500&amp;", ")),--('Hoạt động (Đơn của tôi)'!$AT$7:$AT$500="Block"))+SUMPRODUCT(--ISNUMBER(SEARCH(", "&amp;$B138&amp;", ",", "&amp;'Ghép nối'!$B$7:$B$500&amp;", ")),--('Ghép nối'!$AT$7:$AT$500="Block"))+SUMPRODUCT(--ISNUMBER(SEARCH(", "&amp;$B138&amp;", ",", "&amp;'Huỷ đơn - Huỷ nhận đơn'!$B$7:$B$500&amp;", ")),--('Huỷ đơn - Huỷ nhận đơn'!$AT$7:$AT$500="Block"))+SUMPRODUCT(--ISNUMBER(SEARCH(", "&amp;$B138&amp;", ",", "&amp;'Giao nhận &amp; Theo dõi đơn'!$B$7:$B$500&amp;", ")),--('Giao nhận &amp; Theo dõi đơn'!$AT$7:$AT$500="Block"))+SUMPRODUCT(--ISNUMBER(SEARCH(", "&amp;$B138&amp;", ",", "&amp;'Bảng tin &amp; Chi tiết tin'!$B$7:$B$500&amp;", ")),--('Bảng tin &amp; Chi tiết tin'!$AT$7:$AT$500="Block"))+SUMPRODUCT(--ISNUMBER(SEARCH(", "&amp;$B138&amp;", ",", "&amp;'Quà cảm ơn'!$B$7:$B$500&amp;", ")),--('Quà cảm ơn'!$AT$7:$AT$500="Block"))+SUMPRODUCT(--ISNUMBER(SEARCH(", "&amp;$B138&amp;", ",", "&amp;'Trang chủ'!$B$7:$B$500&amp;", ")),--('Trang chủ'!$AT$7:$AT$500="Block"))+SUMPRODUCT(--ISNUMBER(SEARCH(", "&amp;$B138&amp;", ",", "&amp;'Thông báo'!$B$7:$B$500&amp;", ")),--('Thông báo'!$AT$7:$AT$500="Block"))+SUMPRODUCT(--ISNUMBER(SEARCH(", "&amp;$B138&amp;", ",", "&amp;'Đăng tin &amp; Quản lý tin'!$B$7:$B$500&amp;", ")),--('Đăng tin &amp; Quản lý tin'!$AT$7:$AT$500="Block"))+SUMPRODUCT(--ISNUMBER(SEARCH(", "&amp;$B138&amp;", ",", "&amp;'Trust &amp; Safety'!$B$7:$B$500&amp;", ")),--('Trust &amp; Safety'!$AT$7:$AT$500="Block"))+SUMPRODUCT(--ISNUMBER(SEARCH(", "&amp;$B138&amp;", ",", "&amp;'Tài khoản &amp; Hồ sơ'!$B$7:$B$500&amp;", ")),--('Tài khoản &amp; Hồ sơ'!$AT$7:$AT$500="Block"))</f>
        <v/>
      </c>
      <c r="J138" s="53">
        <f>SUMPRODUCT(--ISNUMBER(SEARCH(", "&amp;$B138&amp;", ",", "&amp;'Hoạt động (Đơn của tôi)'!$B$7:$B$500&amp;", ")),--('Hoạt động (Đơn của tôi)'!$AT$7:$AT$500="N/A"))+SUMPRODUCT(--ISNUMBER(SEARCH(", "&amp;$B138&amp;", ",", "&amp;'Ghép nối'!$B$7:$B$500&amp;", ")),--('Ghép nối'!$AT$7:$AT$500="N/A"))+SUMPRODUCT(--ISNUMBER(SEARCH(", "&amp;$B138&amp;", ",", "&amp;'Huỷ đơn - Huỷ nhận đơn'!$B$7:$B$500&amp;", ")),--('Huỷ đơn - Huỷ nhận đơn'!$AT$7:$AT$500="N/A"))+SUMPRODUCT(--ISNUMBER(SEARCH(", "&amp;$B138&amp;", ",", "&amp;'Giao nhận &amp; Theo dõi đơn'!$B$7:$B$500&amp;", ")),--('Giao nhận &amp; Theo dõi đơn'!$AT$7:$AT$500="N/A"))+SUMPRODUCT(--ISNUMBER(SEARCH(", "&amp;$B138&amp;", ",", "&amp;'Bảng tin &amp; Chi tiết tin'!$B$7:$B$500&amp;", ")),--('Bảng tin &amp; Chi tiết tin'!$AT$7:$AT$500="N/A"))+SUMPRODUCT(--ISNUMBER(SEARCH(", "&amp;$B138&amp;", ",", "&amp;'Quà cảm ơn'!$B$7:$B$500&amp;", ")),--('Quà cảm ơn'!$AT$7:$AT$500="N/A"))+SUMPRODUCT(--ISNUMBER(SEARCH(", "&amp;$B138&amp;", ",", "&amp;'Trang chủ'!$B$7:$B$500&amp;", ")),--('Trang chủ'!$AT$7:$AT$500="N/A"))+SUMPRODUCT(--ISNUMBER(SEARCH(", "&amp;$B138&amp;", ",", "&amp;'Thông báo'!$B$7:$B$500&amp;", ")),--('Thông báo'!$AT$7:$AT$500="N/A"))+SUMPRODUCT(--ISNUMBER(SEARCH(", "&amp;$B138&amp;", ",", "&amp;'Đăng tin &amp; Quản lý tin'!$B$7:$B$500&amp;", ")),--('Đăng tin &amp; Quản lý tin'!$AT$7:$AT$500="N/A"))+SUMPRODUCT(--ISNUMBER(SEARCH(", "&amp;$B138&amp;", ",", "&amp;'Trust &amp; Safety'!$B$7:$B$500&amp;", ")),--('Trust &amp; Safety'!$AT$7:$AT$500="N/A"))+SUMPRODUCT(--ISNUMBER(SEARCH(", "&amp;$B138&amp;", ",", "&amp;'Tài khoản &amp; Hồ sơ'!$B$7:$B$500&amp;", ")),--('Tài khoản &amp; Hồ sơ'!$AT$7:$AT$500="N/A"))</f>
        <v/>
      </c>
      <c r="K138" s="54">
        <f>IFERROR(F138/E138,0)</f>
        <v/>
      </c>
      <c r="L138" s="113">
        <f>IF(E138=0,"Chưa có TC (gap)",IF(H138&gt;0,"Có lỗi (Fail)",IF(I138&gt;0,"Bị block",IF(F138&lt;E138,"Đang test",IF(G138=0,"Không áp dụng (N/A)","Đã test xong")))))</f>
        <v/>
      </c>
      <c r="AB138" t="inlineStr">
        <is>
          <t>REQ-USR</t>
        </is>
      </c>
    </row>
    <row r="139" ht="15.75" customHeight="1" s="216">
      <c r="A139" s="1" t="n"/>
      <c r="B139" s="112" t="inlineStr">
        <is>
          <t>REQ-USR-010</t>
        </is>
      </c>
      <c r="C139" s="261" t="inlineStr">
        <is>
          <t>Nguồn #1 — `BR15-04` (§8.15.1, trang 49): "Giá trị mặc định được prefill vào ô số điện thoại người gửi và địa chỉ lấy hàng ở lần đăng tin sau; người dùng vẫn sửa trong từng đơn mà không ghi lại hồ sơ.</t>
        </is>
      </c>
      <c r="D139" s="113" t="inlineStr">
        <is>
          <t>DOC-v1.1-01 §8.15.1 BR15-04 · trang 49</t>
        </is>
      </c>
      <c r="E139" s="53">
        <f>SUMPRODUCT(--ISNUMBER(SEARCH(", "&amp;$B139&amp;", ",", "&amp;'Hoạt động (Đơn của tôi)'!$B$7:$B$500&amp;", ")))+SUMPRODUCT(--ISNUMBER(SEARCH(", "&amp;$B139&amp;", ",", "&amp;'Ghép nối'!$B$7:$B$500&amp;", ")))+SUMPRODUCT(--ISNUMBER(SEARCH(", "&amp;$B139&amp;", ",", "&amp;'Huỷ đơn - Huỷ nhận đơn'!$B$7:$B$500&amp;", ")))+SUMPRODUCT(--ISNUMBER(SEARCH(", "&amp;$B139&amp;", ",", "&amp;'Giao nhận &amp; Theo dõi đơn'!$B$7:$B$500&amp;", ")))+SUMPRODUCT(--ISNUMBER(SEARCH(", "&amp;$B139&amp;", ",", "&amp;'Bảng tin &amp; Chi tiết tin'!$B$7:$B$500&amp;", ")))+SUMPRODUCT(--ISNUMBER(SEARCH(", "&amp;$B139&amp;", ",", "&amp;'Quà cảm ơn'!$B$7:$B$500&amp;", ")))+SUMPRODUCT(--ISNUMBER(SEARCH(", "&amp;$B139&amp;", ",", "&amp;'Trang chủ'!$B$7:$B$500&amp;", ")))+SUMPRODUCT(--ISNUMBER(SEARCH(", "&amp;$B139&amp;", ",", "&amp;'Thông báo'!$B$7:$B$500&amp;", ")))+SUMPRODUCT(--ISNUMBER(SEARCH(", "&amp;$B139&amp;", ",", "&amp;'Đăng tin &amp; Quản lý tin'!$B$7:$B$500&amp;", ")))+SUMPRODUCT(--ISNUMBER(SEARCH(", "&amp;$B139&amp;", ",", "&amp;'Trust &amp; Safety'!$B$7:$B$500&amp;", ")))+SUMPRODUCT(--ISNUMBER(SEARCH(", "&amp;$B139&amp;", ",", "&amp;'Tài khoản &amp; Hồ sơ'!$B$7:$B$500&amp;", ")))</f>
        <v/>
      </c>
      <c r="F139" s="53">
        <f>SUMPRODUCT(--ISNUMBER(SEARCH(", "&amp;$B139&amp;", ",", "&amp;'Hoạt động (Đơn của tôi)'!$B$7:$B$500&amp;", ")),--('Hoạt động (Đơn của tôi)'!$AT$7:$AT$500&lt;&gt;""))+SUMPRODUCT(--ISNUMBER(SEARCH(", "&amp;$B139&amp;", ",", "&amp;'Ghép nối'!$B$7:$B$500&amp;", ")),--('Ghép nối'!$AT$7:$AT$500&lt;&gt;""))+SUMPRODUCT(--ISNUMBER(SEARCH(", "&amp;$B139&amp;", ",", "&amp;'Huỷ đơn - Huỷ nhận đơn'!$B$7:$B$500&amp;", ")),--('Huỷ đơn - Huỷ nhận đơn'!$AT$7:$AT$500&lt;&gt;""))+SUMPRODUCT(--ISNUMBER(SEARCH(", "&amp;$B139&amp;", ",", "&amp;'Giao nhận &amp; Theo dõi đơn'!$B$7:$B$500&amp;", ")),--('Giao nhận &amp; Theo dõi đơn'!$AT$7:$AT$500&lt;&gt;""))+SUMPRODUCT(--ISNUMBER(SEARCH(", "&amp;$B139&amp;", ",", "&amp;'Bảng tin &amp; Chi tiết tin'!$B$7:$B$500&amp;", ")),--('Bảng tin &amp; Chi tiết tin'!$AT$7:$AT$500&lt;&gt;""))+SUMPRODUCT(--ISNUMBER(SEARCH(", "&amp;$B139&amp;", ",", "&amp;'Quà cảm ơn'!$B$7:$B$500&amp;", ")),--('Quà cảm ơn'!$AT$7:$AT$500&lt;&gt;""))+SUMPRODUCT(--ISNUMBER(SEARCH(", "&amp;$B139&amp;", ",", "&amp;'Trang chủ'!$B$7:$B$500&amp;", ")),--('Trang chủ'!$AT$7:$AT$500&lt;&gt;""))+SUMPRODUCT(--ISNUMBER(SEARCH(", "&amp;$B139&amp;", ",", "&amp;'Thông báo'!$B$7:$B$500&amp;", ")),--('Thông báo'!$AT$7:$AT$500&lt;&gt;""))+SUMPRODUCT(--ISNUMBER(SEARCH(", "&amp;$B139&amp;", ",", "&amp;'Đăng tin &amp; Quản lý tin'!$B$7:$B$500&amp;", ")),--('Đăng tin &amp; Quản lý tin'!$AT$7:$AT$500&lt;&gt;""))+SUMPRODUCT(--ISNUMBER(SEARCH(", "&amp;$B139&amp;", ",", "&amp;'Trust &amp; Safety'!$B$7:$B$500&amp;", ")),--('Trust &amp; Safety'!$AT$7:$AT$500&lt;&gt;""))+SUMPRODUCT(--ISNUMBER(SEARCH(", "&amp;$B139&amp;", ",", "&amp;'Tài khoản &amp; Hồ sơ'!$B$7:$B$500&amp;", ")),--('Tài khoản &amp; Hồ sơ'!$AT$7:$AT$500&lt;&gt;""))</f>
        <v/>
      </c>
      <c r="G139" s="53">
        <f>SUMPRODUCT(--ISNUMBER(SEARCH(", "&amp;$B139&amp;", ",", "&amp;'Hoạt động (Đơn của tôi)'!$B$7:$B$500&amp;", ")),--('Hoạt động (Đơn của tôi)'!$AT$7:$AT$500="Pass"))+SUMPRODUCT(--ISNUMBER(SEARCH(", "&amp;$B139&amp;", ",", "&amp;'Ghép nối'!$B$7:$B$500&amp;", ")),--('Ghép nối'!$AT$7:$AT$500="Pass"))+SUMPRODUCT(--ISNUMBER(SEARCH(", "&amp;$B139&amp;", ",", "&amp;'Huỷ đơn - Huỷ nhận đơn'!$B$7:$B$500&amp;", ")),--('Huỷ đơn - Huỷ nhận đơn'!$AT$7:$AT$500="Pass"))+SUMPRODUCT(--ISNUMBER(SEARCH(", "&amp;$B139&amp;", ",", "&amp;'Giao nhận &amp; Theo dõi đơn'!$B$7:$B$500&amp;", ")),--('Giao nhận &amp; Theo dõi đơn'!$AT$7:$AT$500="Pass"))+SUMPRODUCT(--ISNUMBER(SEARCH(", "&amp;$B139&amp;", ",", "&amp;'Bảng tin &amp; Chi tiết tin'!$B$7:$B$500&amp;", ")),--('Bảng tin &amp; Chi tiết tin'!$AT$7:$AT$500="Pass"))+SUMPRODUCT(--ISNUMBER(SEARCH(", "&amp;$B139&amp;", ",", "&amp;'Quà cảm ơn'!$B$7:$B$500&amp;", ")),--('Quà cảm ơn'!$AT$7:$AT$500="Pass"))+SUMPRODUCT(--ISNUMBER(SEARCH(", "&amp;$B139&amp;", ",", "&amp;'Trang chủ'!$B$7:$B$500&amp;", ")),--('Trang chủ'!$AT$7:$AT$500="Pass"))+SUMPRODUCT(--ISNUMBER(SEARCH(", "&amp;$B139&amp;", ",", "&amp;'Thông báo'!$B$7:$B$500&amp;", ")),--('Thông báo'!$AT$7:$AT$500="Pass"))+SUMPRODUCT(--ISNUMBER(SEARCH(", "&amp;$B139&amp;", ",", "&amp;'Đăng tin &amp; Quản lý tin'!$B$7:$B$500&amp;", ")),--('Đăng tin &amp; Quản lý tin'!$AT$7:$AT$500="Pass"))+SUMPRODUCT(--ISNUMBER(SEARCH(", "&amp;$B139&amp;", ",", "&amp;'Trust &amp; Safety'!$B$7:$B$500&amp;", ")),--('Trust &amp; Safety'!$AT$7:$AT$500="Pass"))+SUMPRODUCT(--ISNUMBER(SEARCH(", "&amp;$B139&amp;", ",", "&amp;'Tài khoản &amp; Hồ sơ'!$B$7:$B$500&amp;", ")),--('Tài khoản &amp; Hồ sơ'!$AT$7:$AT$500="Pass"))</f>
        <v/>
      </c>
      <c r="H139" s="53">
        <f>SUMPRODUCT(--ISNUMBER(SEARCH(", "&amp;$B139&amp;", ",", "&amp;'Hoạt động (Đơn của tôi)'!$B$7:$B$500&amp;", ")),--('Hoạt động (Đơn của tôi)'!$AT$7:$AT$500="Fail"))+SUMPRODUCT(--ISNUMBER(SEARCH(", "&amp;$B139&amp;", ",", "&amp;'Ghép nối'!$B$7:$B$500&amp;", ")),--('Ghép nối'!$AT$7:$AT$500="Fail"))+SUMPRODUCT(--ISNUMBER(SEARCH(", "&amp;$B139&amp;", ",", "&amp;'Huỷ đơn - Huỷ nhận đơn'!$B$7:$B$500&amp;", ")),--('Huỷ đơn - Huỷ nhận đơn'!$AT$7:$AT$500="Fail"))+SUMPRODUCT(--ISNUMBER(SEARCH(", "&amp;$B139&amp;", ",", "&amp;'Giao nhận &amp; Theo dõi đơn'!$B$7:$B$500&amp;", ")),--('Giao nhận &amp; Theo dõi đơn'!$AT$7:$AT$500="Fail"))+SUMPRODUCT(--ISNUMBER(SEARCH(", "&amp;$B139&amp;", ",", "&amp;'Bảng tin &amp; Chi tiết tin'!$B$7:$B$500&amp;", ")),--('Bảng tin &amp; Chi tiết tin'!$AT$7:$AT$500="Fail"))+SUMPRODUCT(--ISNUMBER(SEARCH(", "&amp;$B139&amp;", ",", "&amp;'Quà cảm ơn'!$B$7:$B$500&amp;", ")),--('Quà cảm ơn'!$AT$7:$AT$500="Fail"))+SUMPRODUCT(--ISNUMBER(SEARCH(", "&amp;$B139&amp;", ",", "&amp;'Trang chủ'!$B$7:$B$500&amp;", ")),--('Trang chủ'!$AT$7:$AT$500="Fail"))+SUMPRODUCT(--ISNUMBER(SEARCH(", "&amp;$B139&amp;", ",", "&amp;'Thông báo'!$B$7:$B$500&amp;", ")),--('Thông báo'!$AT$7:$AT$500="Fail"))+SUMPRODUCT(--ISNUMBER(SEARCH(", "&amp;$B139&amp;", ",", "&amp;'Đăng tin &amp; Quản lý tin'!$B$7:$B$500&amp;", ")),--('Đăng tin &amp; Quản lý tin'!$AT$7:$AT$500="Fail"))+SUMPRODUCT(--ISNUMBER(SEARCH(", "&amp;$B139&amp;", ",", "&amp;'Trust &amp; Safety'!$B$7:$B$500&amp;", ")),--('Trust &amp; Safety'!$AT$7:$AT$500="Fail"))+SUMPRODUCT(--ISNUMBER(SEARCH(", "&amp;$B139&amp;", ",", "&amp;'Tài khoản &amp; Hồ sơ'!$B$7:$B$500&amp;", ")),--('Tài khoản &amp; Hồ sơ'!$AT$7:$AT$500="Fail"))</f>
        <v/>
      </c>
      <c r="I139" s="53">
        <f>SUMPRODUCT(--ISNUMBER(SEARCH(", "&amp;$B139&amp;", ",", "&amp;'Hoạt động (Đơn của tôi)'!$B$7:$B$500&amp;", ")),--('Hoạt động (Đơn của tôi)'!$AT$7:$AT$500="Block"))+SUMPRODUCT(--ISNUMBER(SEARCH(", "&amp;$B139&amp;", ",", "&amp;'Ghép nối'!$B$7:$B$500&amp;", ")),--('Ghép nối'!$AT$7:$AT$500="Block"))+SUMPRODUCT(--ISNUMBER(SEARCH(", "&amp;$B139&amp;", ",", "&amp;'Huỷ đơn - Huỷ nhận đơn'!$B$7:$B$500&amp;", ")),--('Huỷ đơn - Huỷ nhận đơn'!$AT$7:$AT$500="Block"))+SUMPRODUCT(--ISNUMBER(SEARCH(", "&amp;$B139&amp;", ",", "&amp;'Giao nhận &amp; Theo dõi đơn'!$B$7:$B$500&amp;", ")),--('Giao nhận &amp; Theo dõi đơn'!$AT$7:$AT$500="Block"))+SUMPRODUCT(--ISNUMBER(SEARCH(", "&amp;$B139&amp;", ",", "&amp;'Bảng tin &amp; Chi tiết tin'!$B$7:$B$500&amp;", ")),--('Bảng tin &amp; Chi tiết tin'!$AT$7:$AT$500="Block"))+SUMPRODUCT(--ISNUMBER(SEARCH(", "&amp;$B139&amp;", ",", "&amp;'Quà cảm ơn'!$B$7:$B$500&amp;", ")),--('Quà cảm ơn'!$AT$7:$AT$500="Block"))+SUMPRODUCT(--ISNUMBER(SEARCH(", "&amp;$B139&amp;", ",", "&amp;'Trang chủ'!$B$7:$B$500&amp;", ")),--('Trang chủ'!$AT$7:$AT$500="Block"))+SUMPRODUCT(--ISNUMBER(SEARCH(", "&amp;$B139&amp;", ",", "&amp;'Thông báo'!$B$7:$B$500&amp;", ")),--('Thông báo'!$AT$7:$AT$500="Block"))+SUMPRODUCT(--ISNUMBER(SEARCH(", "&amp;$B139&amp;", ",", "&amp;'Đăng tin &amp; Quản lý tin'!$B$7:$B$500&amp;", ")),--('Đăng tin &amp; Quản lý tin'!$AT$7:$AT$500="Block"))+SUMPRODUCT(--ISNUMBER(SEARCH(", "&amp;$B139&amp;", ",", "&amp;'Trust &amp; Safety'!$B$7:$B$500&amp;", ")),--('Trust &amp; Safety'!$AT$7:$AT$500="Block"))+SUMPRODUCT(--ISNUMBER(SEARCH(", "&amp;$B139&amp;", ",", "&amp;'Tài khoản &amp; Hồ sơ'!$B$7:$B$500&amp;", ")),--('Tài khoản &amp; Hồ sơ'!$AT$7:$AT$500="Block"))</f>
        <v/>
      </c>
      <c r="J139" s="53">
        <f>SUMPRODUCT(--ISNUMBER(SEARCH(", "&amp;$B139&amp;", ",", "&amp;'Hoạt động (Đơn của tôi)'!$B$7:$B$500&amp;", ")),--('Hoạt động (Đơn của tôi)'!$AT$7:$AT$500="N/A"))+SUMPRODUCT(--ISNUMBER(SEARCH(", "&amp;$B139&amp;", ",", "&amp;'Ghép nối'!$B$7:$B$500&amp;", ")),--('Ghép nối'!$AT$7:$AT$500="N/A"))+SUMPRODUCT(--ISNUMBER(SEARCH(", "&amp;$B139&amp;", ",", "&amp;'Huỷ đơn - Huỷ nhận đơn'!$B$7:$B$500&amp;", ")),--('Huỷ đơn - Huỷ nhận đơn'!$AT$7:$AT$500="N/A"))+SUMPRODUCT(--ISNUMBER(SEARCH(", "&amp;$B139&amp;", ",", "&amp;'Giao nhận &amp; Theo dõi đơn'!$B$7:$B$500&amp;", ")),--('Giao nhận &amp; Theo dõi đơn'!$AT$7:$AT$500="N/A"))+SUMPRODUCT(--ISNUMBER(SEARCH(", "&amp;$B139&amp;", ",", "&amp;'Bảng tin &amp; Chi tiết tin'!$B$7:$B$500&amp;", ")),--('Bảng tin &amp; Chi tiết tin'!$AT$7:$AT$500="N/A"))+SUMPRODUCT(--ISNUMBER(SEARCH(", "&amp;$B139&amp;", ",", "&amp;'Quà cảm ơn'!$B$7:$B$500&amp;", ")),--('Quà cảm ơn'!$AT$7:$AT$500="N/A"))+SUMPRODUCT(--ISNUMBER(SEARCH(", "&amp;$B139&amp;", ",", "&amp;'Trang chủ'!$B$7:$B$500&amp;", ")),--('Trang chủ'!$AT$7:$AT$500="N/A"))+SUMPRODUCT(--ISNUMBER(SEARCH(", "&amp;$B139&amp;", ",", "&amp;'Thông báo'!$B$7:$B$500&amp;", ")),--('Thông báo'!$AT$7:$AT$500="N/A"))+SUMPRODUCT(--ISNUMBER(SEARCH(", "&amp;$B139&amp;", ",", "&amp;'Đăng tin &amp; Quản lý tin'!$B$7:$B$500&amp;", ")),--('Đăng tin &amp; Quản lý tin'!$AT$7:$AT$500="N/A"))+SUMPRODUCT(--ISNUMBER(SEARCH(", "&amp;$B139&amp;", ",", "&amp;'Trust &amp; Safety'!$B$7:$B$500&amp;", ")),--('Trust &amp; Safety'!$AT$7:$AT$500="N/A"))+SUMPRODUCT(--ISNUMBER(SEARCH(", "&amp;$B139&amp;", ",", "&amp;'Tài khoản &amp; Hồ sơ'!$B$7:$B$500&amp;", ")),--('Tài khoản &amp; Hồ sơ'!$AT$7:$AT$500="N/A"))</f>
        <v/>
      </c>
      <c r="K139" s="54">
        <f>IFERROR(F139/E139,0)</f>
        <v/>
      </c>
      <c r="L139" s="113">
        <f>IF(E139=0,"Chưa có TC (gap)",IF(H139&gt;0,"Có lỗi (Fail)",IF(I139&gt;0,"Bị block",IF(F139&lt;E139,"Đang test",IF(G139=0,"Không áp dụng (N/A)","Đã test xong")))))</f>
        <v/>
      </c>
      <c r="AB139" t="inlineStr">
        <is>
          <t>REQ-USR</t>
        </is>
      </c>
    </row>
    <row r="140" ht="15.75" customHeight="1" s="216">
      <c r="A140" s="1" t="n"/>
      <c r="B140" s="112" t="inlineStr">
        <is>
          <t>REQ-USR-001</t>
        </is>
      </c>
      <c r="C140" s="261" t="inlineStr"/>
      <c r="D140" s="113" t="inlineStr">
        <is>
          <t>DOC-v1.0-01</t>
        </is>
      </c>
      <c r="E140" s="53">
        <f>SUMPRODUCT(--ISNUMBER(SEARCH(", "&amp;$B140&amp;", ",", "&amp;'Hoạt động (Đơn của tôi)'!$B$7:$B$500&amp;", ")))+SUMPRODUCT(--ISNUMBER(SEARCH(", "&amp;$B140&amp;", ",", "&amp;'Ghép nối'!$B$7:$B$500&amp;", ")))+SUMPRODUCT(--ISNUMBER(SEARCH(", "&amp;$B140&amp;", ",", "&amp;'Huỷ đơn - Huỷ nhận đơn'!$B$7:$B$500&amp;", ")))+SUMPRODUCT(--ISNUMBER(SEARCH(", "&amp;$B140&amp;", ",", "&amp;'Giao nhận &amp; Theo dõi đơn'!$B$7:$B$500&amp;", ")))+SUMPRODUCT(--ISNUMBER(SEARCH(", "&amp;$B140&amp;", ",", "&amp;'Bảng tin &amp; Chi tiết tin'!$B$7:$B$500&amp;", ")))+SUMPRODUCT(--ISNUMBER(SEARCH(", "&amp;$B140&amp;", ",", "&amp;'Quà cảm ơn'!$B$7:$B$500&amp;", ")))+SUMPRODUCT(--ISNUMBER(SEARCH(", "&amp;$B140&amp;", ",", "&amp;'Trang chủ'!$B$7:$B$500&amp;", ")))+SUMPRODUCT(--ISNUMBER(SEARCH(", "&amp;$B140&amp;", ",", "&amp;'Thông báo'!$B$7:$B$500&amp;", ")))+SUMPRODUCT(--ISNUMBER(SEARCH(", "&amp;$B140&amp;", ",", "&amp;'Đăng tin &amp; Quản lý tin'!$B$7:$B$500&amp;", ")))+SUMPRODUCT(--ISNUMBER(SEARCH(", "&amp;$B140&amp;", ",", "&amp;'Trust &amp; Safety'!$B$7:$B$500&amp;", ")))+SUMPRODUCT(--ISNUMBER(SEARCH(", "&amp;$B140&amp;", ",", "&amp;'Tài khoản &amp; Hồ sơ'!$B$7:$B$500&amp;", ")))</f>
        <v/>
      </c>
      <c r="F140" s="53">
        <f>SUMPRODUCT(--ISNUMBER(SEARCH(", "&amp;$B140&amp;", ",", "&amp;'Hoạt động (Đơn của tôi)'!$B$7:$B$500&amp;", ")),--('Hoạt động (Đơn của tôi)'!$AT$7:$AT$500&lt;&gt;""))+SUMPRODUCT(--ISNUMBER(SEARCH(", "&amp;$B140&amp;", ",", "&amp;'Ghép nối'!$B$7:$B$500&amp;", ")),--('Ghép nối'!$AT$7:$AT$500&lt;&gt;""))+SUMPRODUCT(--ISNUMBER(SEARCH(", "&amp;$B140&amp;", ",", "&amp;'Huỷ đơn - Huỷ nhận đơn'!$B$7:$B$500&amp;", ")),--('Huỷ đơn - Huỷ nhận đơn'!$AT$7:$AT$500&lt;&gt;""))+SUMPRODUCT(--ISNUMBER(SEARCH(", "&amp;$B140&amp;", ",", "&amp;'Giao nhận &amp; Theo dõi đơn'!$B$7:$B$500&amp;", ")),--('Giao nhận &amp; Theo dõi đơn'!$AT$7:$AT$500&lt;&gt;""))+SUMPRODUCT(--ISNUMBER(SEARCH(", "&amp;$B140&amp;", ",", "&amp;'Bảng tin &amp; Chi tiết tin'!$B$7:$B$500&amp;", ")),--('Bảng tin &amp; Chi tiết tin'!$AT$7:$AT$500&lt;&gt;""))+SUMPRODUCT(--ISNUMBER(SEARCH(", "&amp;$B140&amp;", ",", "&amp;'Quà cảm ơn'!$B$7:$B$500&amp;", ")),--('Quà cảm ơn'!$AT$7:$AT$500&lt;&gt;""))+SUMPRODUCT(--ISNUMBER(SEARCH(", "&amp;$B140&amp;", ",", "&amp;'Trang chủ'!$B$7:$B$500&amp;", ")),--('Trang chủ'!$AT$7:$AT$500&lt;&gt;""))+SUMPRODUCT(--ISNUMBER(SEARCH(", "&amp;$B140&amp;", ",", "&amp;'Thông báo'!$B$7:$B$500&amp;", ")),--('Thông báo'!$AT$7:$AT$500&lt;&gt;""))+SUMPRODUCT(--ISNUMBER(SEARCH(", "&amp;$B140&amp;", ",", "&amp;'Đăng tin &amp; Quản lý tin'!$B$7:$B$500&amp;", ")),--('Đăng tin &amp; Quản lý tin'!$AT$7:$AT$500&lt;&gt;""))+SUMPRODUCT(--ISNUMBER(SEARCH(", "&amp;$B140&amp;", ",", "&amp;'Trust &amp; Safety'!$B$7:$B$500&amp;", ")),--('Trust &amp; Safety'!$AT$7:$AT$500&lt;&gt;""))+SUMPRODUCT(--ISNUMBER(SEARCH(", "&amp;$B140&amp;", ",", "&amp;'Tài khoản &amp; Hồ sơ'!$B$7:$B$500&amp;", ")),--('Tài khoản &amp; Hồ sơ'!$AT$7:$AT$500&lt;&gt;""))</f>
        <v/>
      </c>
      <c r="G140" s="53">
        <f>SUMPRODUCT(--ISNUMBER(SEARCH(", "&amp;$B140&amp;", ",", "&amp;'Hoạt động (Đơn của tôi)'!$B$7:$B$500&amp;", ")),--('Hoạt động (Đơn của tôi)'!$AT$7:$AT$500="Pass"))+SUMPRODUCT(--ISNUMBER(SEARCH(", "&amp;$B140&amp;", ",", "&amp;'Ghép nối'!$B$7:$B$500&amp;", ")),--('Ghép nối'!$AT$7:$AT$500="Pass"))+SUMPRODUCT(--ISNUMBER(SEARCH(", "&amp;$B140&amp;", ",", "&amp;'Huỷ đơn - Huỷ nhận đơn'!$B$7:$B$500&amp;", ")),--('Huỷ đơn - Huỷ nhận đơn'!$AT$7:$AT$500="Pass"))+SUMPRODUCT(--ISNUMBER(SEARCH(", "&amp;$B140&amp;", ",", "&amp;'Giao nhận &amp; Theo dõi đơn'!$B$7:$B$500&amp;", ")),--('Giao nhận &amp; Theo dõi đơn'!$AT$7:$AT$500="Pass"))+SUMPRODUCT(--ISNUMBER(SEARCH(", "&amp;$B140&amp;", ",", "&amp;'Bảng tin &amp; Chi tiết tin'!$B$7:$B$500&amp;", ")),--('Bảng tin &amp; Chi tiết tin'!$AT$7:$AT$500="Pass"))+SUMPRODUCT(--ISNUMBER(SEARCH(", "&amp;$B140&amp;", ",", "&amp;'Quà cảm ơn'!$B$7:$B$500&amp;", ")),--('Quà cảm ơn'!$AT$7:$AT$500="Pass"))+SUMPRODUCT(--ISNUMBER(SEARCH(", "&amp;$B140&amp;", ",", "&amp;'Trang chủ'!$B$7:$B$500&amp;", ")),--('Trang chủ'!$AT$7:$AT$500="Pass"))+SUMPRODUCT(--ISNUMBER(SEARCH(", "&amp;$B140&amp;", ",", "&amp;'Thông báo'!$B$7:$B$500&amp;", ")),--('Thông báo'!$AT$7:$AT$500="Pass"))+SUMPRODUCT(--ISNUMBER(SEARCH(", "&amp;$B140&amp;", ",", "&amp;'Đăng tin &amp; Quản lý tin'!$B$7:$B$500&amp;", ")),--('Đăng tin &amp; Quản lý tin'!$AT$7:$AT$500="Pass"))+SUMPRODUCT(--ISNUMBER(SEARCH(", "&amp;$B140&amp;", ",", "&amp;'Trust &amp; Safety'!$B$7:$B$500&amp;", ")),--('Trust &amp; Safety'!$AT$7:$AT$500="Pass"))+SUMPRODUCT(--ISNUMBER(SEARCH(", "&amp;$B140&amp;", ",", "&amp;'Tài khoản &amp; Hồ sơ'!$B$7:$B$500&amp;", ")),--('Tài khoản &amp; Hồ sơ'!$AT$7:$AT$500="Pass"))</f>
        <v/>
      </c>
      <c r="H140" s="53">
        <f>SUMPRODUCT(--ISNUMBER(SEARCH(", "&amp;$B140&amp;", ",", "&amp;'Hoạt động (Đơn của tôi)'!$B$7:$B$500&amp;", ")),--('Hoạt động (Đơn của tôi)'!$AT$7:$AT$500="Fail"))+SUMPRODUCT(--ISNUMBER(SEARCH(", "&amp;$B140&amp;", ",", "&amp;'Ghép nối'!$B$7:$B$500&amp;", ")),--('Ghép nối'!$AT$7:$AT$500="Fail"))+SUMPRODUCT(--ISNUMBER(SEARCH(", "&amp;$B140&amp;", ",", "&amp;'Huỷ đơn - Huỷ nhận đơn'!$B$7:$B$500&amp;", ")),--('Huỷ đơn - Huỷ nhận đơn'!$AT$7:$AT$500="Fail"))+SUMPRODUCT(--ISNUMBER(SEARCH(", "&amp;$B140&amp;", ",", "&amp;'Giao nhận &amp; Theo dõi đơn'!$B$7:$B$500&amp;", ")),--('Giao nhận &amp; Theo dõi đơn'!$AT$7:$AT$500="Fail"))+SUMPRODUCT(--ISNUMBER(SEARCH(", "&amp;$B140&amp;", ",", "&amp;'Bảng tin &amp; Chi tiết tin'!$B$7:$B$500&amp;", ")),--('Bảng tin &amp; Chi tiết tin'!$AT$7:$AT$500="Fail"))+SUMPRODUCT(--ISNUMBER(SEARCH(", "&amp;$B140&amp;", ",", "&amp;'Quà cảm ơn'!$B$7:$B$500&amp;", ")),--('Quà cảm ơn'!$AT$7:$AT$500="Fail"))+SUMPRODUCT(--ISNUMBER(SEARCH(", "&amp;$B140&amp;", ",", "&amp;'Trang chủ'!$B$7:$B$500&amp;", ")),--('Trang chủ'!$AT$7:$AT$500="Fail"))+SUMPRODUCT(--ISNUMBER(SEARCH(", "&amp;$B140&amp;", ",", "&amp;'Thông báo'!$B$7:$B$500&amp;", ")),--('Thông báo'!$AT$7:$AT$500="Fail"))+SUMPRODUCT(--ISNUMBER(SEARCH(", "&amp;$B140&amp;", ",", "&amp;'Đăng tin &amp; Quản lý tin'!$B$7:$B$500&amp;", ")),--('Đăng tin &amp; Quản lý tin'!$AT$7:$AT$500="Fail"))+SUMPRODUCT(--ISNUMBER(SEARCH(", "&amp;$B140&amp;", ",", "&amp;'Trust &amp; Safety'!$B$7:$B$500&amp;", ")),--('Trust &amp; Safety'!$AT$7:$AT$500="Fail"))+SUMPRODUCT(--ISNUMBER(SEARCH(", "&amp;$B140&amp;", ",", "&amp;'Tài khoản &amp; Hồ sơ'!$B$7:$B$500&amp;", ")),--('Tài khoản &amp; Hồ sơ'!$AT$7:$AT$500="Fail"))</f>
        <v/>
      </c>
      <c r="I140" s="53">
        <f>SUMPRODUCT(--ISNUMBER(SEARCH(", "&amp;$B140&amp;", ",", "&amp;'Hoạt động (Đơn của tôi)'!$B$7:$B$500&amp;", ")),--('Hoạt động (Đơn của tôi)'!$AT$7:$AT$500="Block"))+SUMPRODUCT(--ISNUMBER(SEARCH(", "&amp;$B140&amp;", ",", "&amp;'Ghép nối'!$B$7:$B$500&amp;", ")),--('Ghép nối'!$AT$7:$AT$500="Block"))+SUMPRODUCT(--ISNUMBER(SEARCH(", "&amp;$B140&amp;", ",", "&amp;'Huỷ đơn - Huỷ nhận đơn'!$B$7:$B$500&amp;", ")),--('Huỷ đơn - Huỷ nhận đơn'!$AT$7:$AT$500="Block"))+SUMPRODUCT(--ISNUMBER(SEARCH(", "&amp;$B140&amp;", ",", "&amp;'Giao nhận &amp; Theo dõi đơn'!$B$7:$B$500&amp;", ")),--('Giao nhận &amp; Theo dõi đơn'!$AT$7:$AT$500="Block"))+SUMPRODUCT(--ISNUMBER(SEARCH(", "&amp;$B140&amp;", ",", "&amp;'Bảng tin &amp; Chi tiết tin'!$B$7:$B$500&amp;", ")),--('Bảng tin &amp; Chi tiết tin'!$AT$7:$AT$500="Block"))+SUMPRODUCT(--ISNUMBER(SEARCH(", "&amp;$B140&amp;", ",", "&amp;'Quà cảm ơn'!$B$7:$B$500&amp;", ")),--('Quà cảm ơn'!$AT$7:$AT$500="Block"))+SUMPRODUCT(--ISNUMBER(SEARCH(", "&amp;$B140&amp;", ",", "&amp;'Trang chủ'!$B$7:$B$500&amp;", ")),--('Trang chủ'!$AT$7:$AT$500="Block"))+SUMPRODUCT(--ISNUMBER(SEARCH(", "&amp;$B140&amp;", ",", "&amp;'Thông báo'!$B$7:$B$500&amp;", ")),--('Thông báo'!$AT$7:$AT$500="Block"))+SUMPRODUCT(--ISNUMBER(SEARCH(", "&amp;$B140&amp;", ",", "&amp;'Đăng tin &amp; Quản lý tin'!$B$7:$B$500&amp;", ")),--('Đăng tin &amp; Quản lý tin'!$AT$7:$AT$500="Block"))+SUMPRODUCT(--ISNUMBER(SEARCH(", "&amp;$B140&amp;", ",", "&amp;'Trust &amp; Safety'!$B$7:$B$500&amp;", ")),--('Trust &amp; Safety'!$AT$7:$AT$500="Block"))+SUMPRODUCT(--ISNUMBER(SEARCH(", "&amp;$B140&amp;", ",", "&amp;'Tài khoản &amp; Hồ sơ'!$B$7:$B$500&amp;", ")),--('Tài khoản &amp; Hồ sơ'!$AT$7:$AT$500="Block"))</f>
        <v/>
      </c>
      <c r="J140" s="53">
        <f>SUMPRODUCT(--ISNUMBER(SEARCH(", "&amp;$B140&amp;", ",", "&amp;'Hoạt động (Đơn của tôi)'!$B$7:$B$500&amp;", ")),--('Hoạt động (Đơn của tôi)'!$AT$7:$AT$500="N/A"))+SUMPRODUCT(--ISNUMBER(SEARCH(", "&amp;$B140&amp;", ",", "&amp;'Ghép nối'!$B$7:$B$500&amp;", ")),--('Ghép nối'!$AT$7:$AT$500="N/A"))+SUMPRODUCT(--ISNUMBER(SEARCH(", "&amp;$B140&amp;", ",", "&amp;'Huỷ đơn - Huỷ nhận đơn'!$B$7:$B$500&amp;", ")),--('Huỷ đơn - Huỷ nhận đơn'!$AT$7:$AT$500="N/A"))+SUMPRODUCT(--ISNUMBER(SEARCH(", "&amp;$B140&amp;", ",", "&amp;'Giao nhận &amp; Theo dõi đơn'!$B$7:$B$500&amp;", ")),--('Giao nhận &amp; Theo dõi đơn'!$AT$7:$AT$500="N/A"))+SUMPRODUCT(--ISNUMBER(SEARCH(", "&amp;$B140&amp;", ",", "&amp;'Bảng tin &amp; Chi tiết tin'!$B$7:$B$500&amp;", ")),--('Bảng tin &amp; Chi tiết tin'!$AT$7:$AT$500="N/A"))+SUMPRODUCT(--ISNUMBER(SEARCH(", "&amp;$B140&amp;", ",", "&amp;'Quà cảm ơn'!$B$7:$B$500&amp;", ")),--('Quà cảm ơn'!$AT$7:$AT$500="N/A"))+SUMPRODUCT(--ISNUMBER(SEARCH(", "&amp;$B140&amp;", ",", "&amp;'Trang chủ'!$B$7:$B$500&amp;", ")),--('Trang chủ'!$AT$7:$AT$500="N/A"))+SUMPRODUCT(--ISNUMBER(SEARCH(", "&amp;$B140&amp;", ",", "&amp;'Thông báo'!$B$7:$B$500&amp;", ")),--('Thông báo'!$AT$7:$AT$500="N/A"))+SUMPRODUCT(--ISNUMBER(SEARCH(", "&amp;$B140&amp;", ",", "&amp;'Đăng tin &amp; Quản lý tin'!$B$7:$B$500&amp;", ")),--('Đăng tin &amp; Quản lý tin'!$AT$7:$AT$500="N/A"))+SUMPRODUCT(--ISNUMBER(SEARCH(", "&amp;$B140&amp;", ",", "&amp;'Trust &amp; Safety'!$B$7:$B$500&amp;", ")),--('Trust &amp; Safety'!$AT$7:$AT$500="N/A"))+SUMPRODUCT(--ISNUMBER(SEARCH(", "&amp;$B140&amp;", ",", "&amp;'Tài khoản &amp; Hồ sơ'!$B$7:$B$500&amp;", ")),--('Tài khoản &amp; Hồ sơ'!$AT$7:$AT$500="N/A"))</f>
        <v/>
      </c>
      <c r="K140" s="54">
        <f>IFERROR(F140/E140,0)</f>
        <v/>
      </c>
      <c r="L140" s="113">
        <f>IF(E140=0,"Chưa có TC (gap)",IF(H140&gt;0,"Có lỗi (Fail)",IF(I140&gt;0,"Bị block",IF(F140&lt;E140,"Đang test",IF(G140=0,"Không áp dụng (N/A)","Đã test xong")))))</f>
        <v/>
      </c>
      <c r="AB140" t="inlineStr">
        <is>
          <t>REQ-USR</t>
        </is>
      </c>
    </row>
    <row r="141" ht="15.75" customHeight="1" s="216">
      <c r="A141" s="1" t="n"/>
      <c r="B141" s="112" t="inlineStr">
        <is>
          <t>REQ-USR-003</t>
        </is>
      </c>
      <c r="C141" s="261" t="inlineStr"/>
      <c r="D141" s="113" t="inlineStr">
        <is>
          <t>DOC-v1.0-01 · DOC-v1.0-02</t>
        </is>
      </c>
      <c r="E141" s="53">
        <f>SUMPRODUCT(--ISNUMBER(SEARCH(", "&amp;$B141&amp;", ",", "&amp;'Hoạt động (Đơn của tôi)'!$B$7:$B$500&amp;", ")))+SUMPRODUCT(--ISNUMBER(SEARCH(", "&amp;$B141&amp;", ",", "&amp;'Ghép nối'!$B$7:$B$500&amp;", ")))+SUMPRODUCT(--ISNUMBER(SEARCH(", "&amp;$B141&amp;", ",", "&amp;'Huỷ đơn - Huỷ nhận đơn'!$B$7:$B$500&amp;", ")))+SUMPRODUCT(--ISNUMBER(SEARCH(", "&amp;$B141&amp;", ",", "&amp;'Giao nhận &amp; Theo dõi đơn'!$B$7:$B$500&amp;", ")))+SUMPRODUCT(--ISNUMBER(SEARCH(", "&amp;$B141&amp;", ",", "&amp;'Bảng tin &amp; Chi tiết tin'!$B$7:$B$500&amp;", ")))+SUMPRODUCT(--ISNUMBER(SEARCH(", "&amp;$B141&amp;", ",", "&amp;'Quà cảm ơn'!$B$7:$B$500&amp;", ")))+SUMPRODUCT(--ISNUMBER(SEARCH(", "&amp;$B141&amp;", ",", "&amp;'Trang chủ'!$B$7:$B$500&amp;", ")))+SUMPRODUCT(--ISNUMBER(SEARCH(", "&amp;$B141&amp;", ",", "&amp;'Thông báo'!$B$7:$B$500&amp;", ")))+SUMPRODUCT(--ISNUMBER(SEARCH(", "&amp;$B141&amp;", ",", "&amp;'Đăng tin &amp; Quản lý tin'!$B$7:$B$500&amp;", ")))+SUMPRODUCT(--ISNUMBER(SEARCH(", "&amp;$B141&amp;", ",", "&amp;'Trust &amp; Safety'!$B$7:$B$500&amp;", ")))+SUMPRODUCT(--ISNUMBER(SEARCH(", "&amp;$B141&amp;", ",", "&amp;'Tài khoản &amp; Hồ sơ'!$B$7:$B$500&amp;", ")))</f>
        <v/>
      </c>
      <c r="F141" s="53">
        <f>SUMPRODUCT(--ISNUMBER(SEARCH(", "&amp;$B141&amp;", ",", "&amp;'Hoạt động (Đơn của tôi)'!$B$7:$B$500&amp;", ")),--('Hoạt động (Đơn của tôi)'!$AT$7:$AT$500&lt;&gt;""))+SUMPRODUCT(--ISNUMBER(SEARCH(", "&amp;$B141&amp;", ",", "&amp;'Ghép nối'!$B$7:$B$500&amp;", ")),--('Ghép nối'!$AT$7:$AT$500&lt;&gt;""))+SUMPRODUCT(--ISNUMBER(SEARCH(", "&amp;$B141&amp;", ",", "&amp;'Huỷ đơn - Huỷ nhận đơn'!$B$7:$B$500&amp;", ")),--('Huỷ đơn - Huỷ nhận đơn'!$AT$7:$AT$500&lt;&gt;""))+SUMPRODUCT(--ISNUMBER(SEARCH(", "&amp;$B141&amp;", ",", "&amp;'Giao nhận &amp; Theo dõi đơn'!$B$7:$B$500&amp;", ")),--('Giao nhận &amp; Theo dõi đơn'!$AT$7:$AT$500&lt;&gt;""))+SUMPRODUCT(--ISNUMBER(SEARCH(", "&amp;$B141&amp;", ",", "&amp;'Bảng tin &amp; Chi tiết tin'!$B$7:$B$500&amp;", ")),--('Bảng tin &amp; Chi tiết tin'!$AT$7:$AT$500&lt;&gt;""))+SUMPRODUCT(--ISNUMBER(SEARCH(", "&amp;$B141&amp;", ",", "&amp;'Quà cảm ơn'!$B$7:$B$500&amp;", ")),--('Quà cảm ơn'!$AT$7:$AT$500&lt;&gt;""))+SUMPRODUCT(--ISNUMBER(SEARCH(", "&amp;$B141&amp;", ",", "&amp;'Trang chủ'!$B$7:$B$500&amp;", ")),--('Trang chủ'!$AT$7:$AT$500&lt;&gt;""))+SUMPRODUCT(--ISNUMBER(SEARCH(", "&amp;$B141&amp;", ",", "&amp;'Thông báo'!$B$7:$B$500&amp;", ")),--('Thông báo'!$AT$7:$AT$500&lt;&gt;""))+SUMPRODUCT(--ISNUMBER(SEARCH(", "&amp;$B141&amp;", ",", "&amp;'Đăng tin &amp; Quản lý tin'!$B$7:$B$500&amp;", ")),--('Đăng tin &amp; Quản lý tin'!$AT$7:$AT$500&lt;&gt;""))+SUMPRODUCT(--ISNUMBER(SEARCH(", "&amp;$B141&amp;", ",", "&amp;'Trust &amp; Safety'!$B$7:$B$500&amp;", ")),--('Trust &amp; Safety'!$AT$7:$AT$500&lt;&gt;""))+SUMPRODUCT(--ISNUMBER(SEARCH(", "&amp;$B141&amp;", ",", "&amp;'Tài khoản &amp; Hồ sơ'!$B$7:$B$500&amp;", ")),--('Tài khoản &amp; Hồ sơ'!$AT$7:$AT$500&lt;&gt;""))</f>
        <v/>
      </c>
      <c r="G141" s="53">
        <f>SUMPRODUCT(--ISNUMBER(SEARCH(", "&amp;$B141&amp;", ",", "&amp;'Hoạt động (Đơn của tôi)'!$B$7:$B$500&amp;", ")),--('Hoạt động (Đơn của tôi)'!$AT$7:$AT$500="Pass"))+SUMPRODUCT(--ISNUMBER(SEARCH(", "&amp;$B141&amp;", ",", "&amp;'Ghép nối'!$B$7:$B$500&amp;", ")),--('Ghép nối'!$AT$7:$AT$500="Pass"))+SUMPRODUCT(--ISNUMBER(SEARCH(", "&amp;$B141&amp;", ",", "&amp;'Huỷ đơn - Huỷ nhận đơn'!$B$7:$B$500&amp;", ")),--('Huỷ đơn - Huỷ nhận đơn'!$AT$7:$AT$500="Pass"))+SUMPRODUCT(--ISNUMBER(SEARCH(", "&amp;$B141&amp;", ",", "&amp;'Giao nhận &amp; Theo dõi đơn'!$B$7:$B$500&amp;", ")),--('Giao nhận &amp; Theo dõi đơn'!$AT$7:$AT$500="Pass"))+SUMPRODUCT(--ISNUMBER(SEARCH(", "&amp;$B141&amp;", ",", "&amp;'Bảng tin &amp; Chi tiết tin'!$B$7:$B$500&amp;", ")),--('Bảng tin &amp; Chi tiết tin'!$AT$7:$AT$500="Pass"))+SUMPRODUCT(--ISNUMBER(SEARCH(", "&amp;$B141&amp;", ",", "&amp;'Quà cảm ơn'!$B$7:$B$500&amp;", ")),--('Quà cảm ơn'!$AT$7:$AT$500="Pass"))+SUMPRODUCT(--ISNUMBER(SEARCH(", "&amp;$B141&amp;", ",", "&amp;'Trang chủ'!$B$7:$B$500&amp;", ")),--('Trang chủ'!$AT$7:$AT$500="Pass"))+SUMPRODUCT(--ISNUMBER(SEARCH(", "&amp;$B141&amp;", ",", "&amp;'Thông báo'!$B$7:$B$500&amp;", ")),--('Thông báo'!$AT$7:$AT$500="Pass"))+SUMPRODUCT(--ISNUMBER(SEARCH(", "&amp;$B141&amp;", ",", "&amp;'Đăng tin &amp; Quản lý tin'!$B$7:$B$500&amp;", ")),--('Đăng tin &amp; Quản lý tin'!$AT$7:$AT$500="Pass"))+SUMPRODUCT(--ISNUMBER(SEARCH(", "&amp;$B141&amp;", ",", "&amp;'Trust &amp; Safety'!$B$7:$B$500&amp;", ")),--('Trust &amp; Safety'!$AT$7:$AT$500="Pass"))+SUMPRODUCT(--ISNUMBER(SEARCH(", "&amp;$B141&amp;", ",", "&amp;'Tài khoản &amp; Hồ sơ'!$B$7:$B$500&amp;", ")),--('Tài khoản &amp; Hồ sơ'!$AT$7:$AT$500="Pass"))</f>
        <v/>
      </c>
      <c r="H141" s="53">
        <f>SUMPRODUCT(--ISNUMBER(SEARCH(", "&amp;$B141&amp;", ",", "&amp;'Hoạt động (Đơn của tôi)'!$B$7:$B$500&amp;", ")),--('Hoạt động (Đơn của tôi)'!$AT$7:$AT$500="Fail"))+SUMPRODUCT(--ISNUMBER(SEARCH(", "&amp;$B141&amp;", ",", "&amp;'Ghép nối'!$B$7:$B$500&amp;", ")),--('Ghép nối'!$AT$7:$AT$500="Fail"))+SUMPRODUCT(--ISNUMBER(SEARCH(", "&amp;$B141&amp;", ",", "&amp;'Huỷ đơn - Huỷ nhận đơn'!$B$7:$B$500&amp;", ")),--('Huỷ đơn - Huỷ nhận đơn'!$AT$7:$AT$500="Fail"))+SUMPRODUCT(--ISNUMBER(SEARCH(", "&amp;$B141&amp;", ",", "&amp;'Giao nhận &amp; Theo dõi đơn'!$B$7:$B$500&amp;", ")),--('Giao nhận &amp; Theo dõi đơn'!$AT$7:$AT$500="Fail"))+SUMPRODUCT(--ISNUMBER(SEARCH(", "&amp;$B141&amp;", ",", "&amp;'Bảng tin &amp; Chi tiết tin'!$B$7:$B$500&amp;", ")),--('Bảng tin &amp; Chi tiết tin'!$AT$7:$AT$500="Fail"))+SUMPRODUCT(--ISNUMBER(SEARCH(", "&amp;$B141&amp;", ",", "&amp;'Quà cảm ơn'!$B$7:$B$500&amp;", ")),--('Quà cảm ơn'!$AT$7:$AT$500="Fail"))+SUMPRODUCT(--ISNUMBER(SEARCH(", "&amp;$B141&amp;", ",", "&amp;'Trang chủ'!$B$7:$B$500&amp;", ")),--('Trang chủ'!$AT$7:$AT$500="Fail"))+SUMPRODUCT(--ISNUMBER(SEARCH(", "&amp;$B141&amp;", ",", "&amp;'Thông báo'!$B$7:$B$500&amp;", ")),--('Thông báo'!$AT$7:$AT$500="Fail"))+SUMPRODUCT(--ISNUMBER(SEARCH(", "&amp;$B141&amp;", ",", "&amp;'Đăng tin &amp; Quản lý tin'!$B$7:$B$500&amp;", ")),--('Đăng tin &amp; Quản lý tin'!$AT$7:$AT$500="Fail"))+SUMPRODUCT(--ISNUMBER(SEARCH(", "&amp;$B141&amp;", ",", "&amp;'Trust &amp; Safety'!$B$7:$B$500&amp;", ")),--('Trust &amp; Safety'!$AT$7:$AT$500="Fail"))+SUMPRODUCT(--ISNUMBER(SEARCH(", "&amp;$B141&amp;", ",", "&amp;'Tài khoản &amp; Hồ sơ'!$B$7:$B$500&amp;", ")),--('Tài khoản &amp; Hồ sơ'!$AT$7:$AT$500="Fail"))</f>
        <v/>
      </c>
      <c r="I141" s="53">
        <f>SUMPRODUCT(--ISNUMBER(SEARCH(", "&amp;$B141&amp;", ",", "&amp;'Hoạt động (Đơn của tôi)'!$B$7:$B$500&amp;", ")),--('Hoạt động (Đơn của tôi)'!$AT$7:$AT$500="Block"))+SUMPRODUCT(--ISNUMBER(SEARCH(", "&amp;$B141&amp;", ",", "&amp;'Ghép nối'!$B$7:$B$500&amp;", ")),--('Ghép nối'!$AT$7:$AT$500="Block"))+SUMPRODUCT(--ISNUMBER(SEARCH(", "&amp;$B141&amp;", ",", "&amp;'Huỷ đơn - Huỷ nhận đơn'!$B$7:$B$500&amp;", ")),--('Huỷ đơn - Huỷ nhận đơn'!$AT$7:$AT$500="Block"))+SUMPRODUCT(--ISNUMBER(SEARCH(", "&amp;$B141&amp;", ",", "&amp;'Giao nhận &amp; Theo dõi đơn'!$B$7:$B$500&amp;", ")),--('Giao nhận &amp; Theo dõi đơn'!$AT$7:$AT$500="Block"))+SUMPRODUCT(--ISNUMBER(SEARCH(", "&amp;$B141&amp;", ",", "&amp;'Bảng tin &amp; Chi tiết tin'!$B$7:$B$500&amp;", ")),--('Bảng tin &amp; Chi tiết tin'!$AT$7:$AT$500="Block"))+SUMPRODUCT(--ISNUMBER(SEARCH(", "&amp;$B141&amp;", ",", "&amp;'Quà cảm ơn'!$B$7:$B$500&amp;", ")),--('Quà cảm ơn'!$AT$7:$AT$500="Block"))+SUMPRODUCT(--ISNUMBER(SEARCH(", "&amp;$B141&amp;", ",", "&amp;'Trang chủ'!$B$7:$B$500&amp;", ")),--('Trang chủ'!$AT$7:$AT$500="Block"))+SUMPRODUCT(--ISNUMBER(SEARCH(", "&amp;$B141&amp;", ",", "&amp;'Thông báo'!$B$7:$B$500&amp;", ")),--('Thông báo'!$AT$7:$AT$500="Block"))+SUMPRODUCT(--ISNUMBER(SEARCH(", "&amp;$B141&amp;", ",", "&amp;'Đăng tin &amp; Quản lý tin'!$B$7:$B$500&amp;", ")),--('Đăng tin &amp; Quản lý tin'!$AT$7:$AT$500="Block"))+SUMPRODUCT(--ISNUMBER(SEARCH(", "&amp;$B141&amp;", ",", "&amp;'Trust &amp; Safety'!$B$7:$B$500&amp;", ")),--('Trust &amp; Safety'!$AT$7:$AT$500="Block"))+SUMPRODUCT(--ISNUMBER(SEARCH(", "&amp;$B141&amp;", ",", "&amp;'Tài khoản &amp; Hồ sơ'!$B$7:$B$500&amp;", ")),--('Tài khoản &amp; Hồ sơ'!$AT$7:$AT$500="Block"))</f>
        <v/>
      </c>
      <c r="J141" s="53">
        <f>SUMPRODUCT(--ISNUMBER(SEARCH(", "&amp;$B141&amp;", ",", "&amp;'Hoạt động (Đơn của tôi)'!$B$7:$B$500&amp;", ")),--('Hoạt động (Đơn của tôi)'!$AT$7:$AT$500="N/A"))+SUMPRODUCT(--ISNUMBER(SEARCH(", "&amp;$B141&amp;", ",", "&amp;'Ghép nối'!$B$7:$B$500&amp;", ")),--('Ghép nối'!$AT$7:$AT$500="N/A"))+SUMPRODUCT(--ISNUMBER(SEARCH(", "&amp;$B141&amp;", ",", "&amp;'Huỷ đơn - Huỷ nhận đơn'!$B$7:$B$500&amp;", ")),--('Huỷ đơn - Huỷ nhận đơn'!$AT$7:$AT$500="N/A"))+SUMPRODUCT(--ISNUMBER(SEARCH(", "&amp;$B141&amp;", ",", "&amp;'Giao nhận &amp; Theo dõi đơn'!$B$7:$B$500&amp;", ")),--('Giao nhận &amp; Theo dõi đơn'!$AT$7:$AT$500="N/A"))+SUMPRODUCT(--ISNUMBER(SEARCH(", "&amp;$B141&amp;", ",", "&amp;'Bảng tin &amp; Chi tiết tin'!$B$7:$B$500&amp;", ")),--('Bảng tin &amp; Chi tiết tin'!$AT$7:$AT$500="N/A"))+SUMPRODUCT(--ISNUMBER(SEARCH(", "&amp;$B141&amp;", ",", "&amp;'Quà cảm ơn'!$B$7:$B$500&amp;", ")),--('Quà cảm ơn'!$AT$7:$AT$500="N/A"))+SUMPRODUCT(--ISNUMBER(SEARCH(", "&amp;$B141&amp;", ",", "&amp;'Trang chủ'!$B$7:$B$500&amp;", ")),--('Trang chủ'!$AT$7:$AT$500="N/A"))+SUMPRODUCT(--ISNUMBER(SEARCH(", "&amp;$B141&amp;", ",", "&amp;'Thông báo'!$B$7:$B$500&amp;", ")),--('Thông báo'!$AT$7:$AT$500="N/A"))+SUMPRODUCT(--ISNUMBER(SEARCH(", "&amp;$B141&amp;", ",", "&amp;'Đăng tin &amp; Quản lý tin'!$B$7:$B$500&amp;", ")),--('Đăng tin &amp; Quản lý tin'!$AT$7:$AT$500="N/A"))+SUMPRODUCT(--ISNUMBER(SEARCH(", "&amp;$B141&amp;", ",", "&amp;'Trust &amp; Safety'!$B$7:$B$500&amp;", ")),--('Trust &amp; Safety'!$AT$7:$AT$500="N/A"))+SUMPRODUCT(--ISNUMBER(SEARCH(", "&amp;$B141&amp;", ",", "&amp;'Tài khoản &amp; Hồ sơ'!$B$7:$B$500&amp;", ")),--('Tài khoản &amp; Hồ sơ'!$AT$7:$AT$500="N/A"))</f>
        <v/>
      </c>
      <c r="K141" s="54">
        <f>IFERROR(F141/E141,0)</f>
        <v/>
      </c>
      <c r="L141" s="113">
        <f>IF(E141=0,"Chưa có TC (gap)",IF(H141&gt;0,"Có lỗi (Fail)",IF(I141&gt;0,"Bị block",IF(F141&lt;E141,"Đang test",IF(G141=0,"Không áp dụng (N/A)","Đã test xong")))))</f>
        <v/>
      </c>
      <c r="AB141" t="inlineStr">
        <is>
          <t>REQ-USR</t>
        </is>
      </c>
    </row>
    <row r="142" ht="15.75" customHeight="1" s="216">
      <c r="A142" s="1" t="n"/>
      <c r="B142" s="112" t="inlineStr">
        <is>
          <t>REQ-USR-004</t>
        </is>
      </c>
      <c r="C142" s="261" t="inlineStr"/>
      <c r="D142" s="113" t="inlineStr">
        <is>
          <t>DOC-v1.0-01</t>
        </is>
      </c>
      <c r="E142" s="53">
        <f>SUMPRODUCT(--ISNUMBER(SEARCH(", "&amp;$B142&amp;", ",", "&amp;'Hoạt động (Đơn của tôi)'!$B$7:$B$500&amp;", ")))+SUMPRODUCT(--ISNUMBER(SEARCH(", "&amp;$B142&amp;", ",", "&amp;'Ghép nối'!$B$7:$B$500&amp;", ")))+SUMPRODUCT(--ISNUMBER(SEARCH(", "&amp;$B142&amp;", ",", "&amp;'Huỷ đơn - Huỷ nhận đơn'!$B$7:$B$500&amp;", ")))+SUMPRODUCT(--ISNUMBER(SEARCH(", "&amp;$B142&amp;", ",", "&amp;'Giao nhận &amp; Theo dõi đơn'!$B$7:$B$500&amp;", ")))+SUMPRODUCT(--ISNUMBER(SEARCH(", "&amp;$B142&amp;", ",", "&amp;'Bảng tin &amp; Chi tiết tin'!$B$7:$B$500&amp;", ")))+SUMPRODUCT(--ISNUMBER(SEARCH(", "&amp;$B142&amp;", ",", "&amp;'Quà cảm ơn'!$B$7:$B$500&amp;", ")))+SUMPRODUCT(--ISNUMBER(SEARCH(", "&amp;$B142&amp;", ",", "&amp;'Trang chủ'!$B$7:$B$500&amp;", ")))+SUMPRODUCT(--ISNUMBER(SEARCH(", "&amp;$B142&amp;", ",", "&amp;'Thông báo'!$B$7:$B$500&amp;", ")))+SUMPRODUCT(--ISNUMBER(SEARCH(", "&amp;$B142&amp;", ",", "&amp;'Đăng tin &amp; Quản lý tin'!$B$7:$B$500&amp;", ")))+SUMPRODUCT(--ISNUMBER(SEARCH(", "&amp;$B142&amp;", ",", "&amp;'Trust &amp; Safety'!$B$7:$B$500&amp;", ")))+SUMPRODUCT(--ISNUMBER(SEARCH(", "&amp;$B142&amp;", ",", "&amp;'Tài khoản &amp; Hồ sơ'!$B$7:$B$500&amp;", ")))</f>
        <v/>
      </c>
      <c r="F142" s="53">
        <f>SUMPRODUCT(--ISNUMBER(SEARCH(", "&amp;$B142&amp;", ",", "&amp;'Hoạt động (Đơn của tôi)'!$B$7:$B$500&amp;", ")),--('Hoạt động (Đơn của tôi)'!$AT$7:$AT$500&lt;&gt;""))+SUMPRODUCT(--ISNUMBER(SEARCH(", "&amp;$B142&amp;", ",", "&amp;'Ghép nối'!$B$7:$B$500&amp;", ")),--('Ghép nối'!$AT$7:$AT$500&lt;&gt;""))+SUMPRODUCT(--ISNUMBER(SEARCH(", "&amp;$B142&amp;", ",", "&amp;'Huỷ đơn - Huỷ nhận đơn'!$B$7:$B$500&amp;", ")),--('Huỷ đơn - Huỷ nhận đơn'!$AT$7:$AT$500&lt;&gt;""))+SUMPRODUCT(--ISNUMBER(SEARCH(", "&amp;$B142&amp;", ",", "&amp;'Giao nhận &amp; Theo dõi đơn'!$B$7:$B$500&amp;", ")),--('Giao nhận &amp; Theo dõi đơn'!$AT$7:$AT$500&lt;&gt;""))+SUMPRODUCT(--ISNUMBER(SEARCH(", "&amp;$B142&amp;", ",", "&amp;'Bảng tin &amp; Chi tiết tin'!$B$7:$B$500&amp;", ")),--('Bảng tin &amp; Chi tiết tin'!$AT$7:$AT$500&lt;&gt;""))+SUMPRODUCT(--ISNUMBER(SEARCH(", "&amp;$B142&amp;", ",", "&amp;'Quà cảm ơn'!$B$7:$B$500&amp;", ")),--('Quà cảm ơn'!$AT$7:$AT$500&lt;&gt;""))+SUMPRODUCT(--ISNUMBER(SEARCH(", "&amp;$B142&amp;", ",", "&amp;'Trang chủ'!$B$7:$B$500&amp;", ")),--('Trang chủ'!$AT$7:$AT$500&lt;&gt;""))+SUMPRODUCT(--ISNUMBER(SEARCH(", "&amp;$B142&amp;", ",", "&amp;'Thông báo'!$B$7:$B$500&amp;", ")),--('Thông báo'!$AT$7:$AT$500&lt;&gt;""))+SUMPRODUCT(--ISNUMBER(SEARCH(", "&amp;$B142&amp;", ",", "&amp;'Đăng tin &amp; Quản lý tin'!$B$7:$B$500&amp;", ")),--('Đăng tin &amp; Quản lý tin'!$AT$7:$AT$500&lt;&gt;""))+SUMPRODUCT(--ISNUMBER(SEARCH(", "&amp;$B142&amp;", ",", "&amp;'Trust &amp; Safety'!$B$7:$B$500&amp;", ")),--('Trust &amp; Safety'!$AT$7:$AT$500&lt;&gt;""))+SUMPRODUCT(--ISNUMBER(SEARCH(", "&amp;$B142&amp;", ",", "&amp;'Tài khoản &amp; Hồ sơ'!$B$7:$B$500&amp;", ")),--('Tài khoản &amp; Hồ sơ'!$AT$7:$AT$500&lt;&gt;""))</f>
        <v/>
      </c>
      <c r="G142" s="53">
        <f>SUMPRODUCT(--ISNUMBER(SEARCH(", "&amp;$B142&amp;", ",", "&amp;'Hoạt động (Đơn của tôi)'!$B$7:$B$500&amp;", ")),--('Hoạt động (Đơn của tôi)'!$AT$7:$AT$500="Pass"))+SUMPRODUCT(--ISNUMBER(SEARCH(", "&amp;$B142&amp;", ",", "&amp;'Ghép nối'!$B$7:$B$500&amp;", ")),--('Ghép nối'!$AT$7:$AT$500="Pass"))+SUMPRODUCT(--ISNUMBER(SEARCH(", "&amp;$B142&amp;", ",", "&amp;'Huỷ đơn - Huỷ nhận đơn'!$B$7:$B$500&amp;", ")),--('Huỷ đơn - Huỷ nhận đơn'!$AT$7:$AT$500="Pass"))+SUMPRODUCT(--ISNUMBER(SEARCH(", "&amp;$B142&amp;", ",", "&amp;'Giao nhận &amp; Theo dõi đơn'!$B$7:$B$500&amp;", ")),--('Giao nhận &amp; Theo dõi đơn'!$AT$7:$AT$500="Pass"))+SUMPRODUCT(--ISNUMBER(SEARCH(", "&amp;$B142&amp;", ",", "&amp;'Bảng tin &amp; Chi tiết tin'!$B$7:$B$500&amp;", ")),--('Bảng tin &amp; Chi tiết tin'!$AT$7:$AT$500="Pass"))+SUMPRODUCT(--ISNUMBER(SEARCH(", "&amp;$B142&amp;", ",", "&amp;'Quà cảm ơn'!$B$7:$B$500&amp;", ")),--('Quà cảm ơn'!$AT$7:$AT$500="Pass"))+SUMPRODUCT(--ISNUMBER(SEARCH(", "&amp;$B142&amp;", ",", "&amp;'Trang chủ'!$B$7:$B$500&amp;", ")),--('Trang chủ'!$AT$7:$AT$500="Pass"))+SUMPRODUCT(--ISNUMBER(SEARCH(", "&amp;$B142&amp;", ",", "&amp;'Thông báo'!$B$7:$B$500&amp;", ")),--('Thông báo'!$AT$7:$AT$500="Pass"))+SUMPRODUCT(--ISNUMBER(SEARCH(", "&amp;$B142&amp;", ",", "&amp;'Đăng tin &amp; Quản lý tin'!$B$7:$B$500&amp;", ")),--('Đăng tin &amp; Quản lý tin'!$AT$7:$AT$500="Pass"))+SUMPRODUCT(--ISNUMBER(SEARCH(", "&amp;$B142&amp;", ",", "&amp;'Trust &amp; Safety'!$B$7:$B$500&amp;", ")),--('Trust &amp; Safety'!$AT$7:$AT$500="Pass"))+SUMPRODUCT(--ISNUMBER(SEARCH(", "&amp;$B142&amp;", ",", "&amp;'Tài khoản &amp; Hồ sơ'!$B$7:$B$500&amp;", ")),--('Tài khoản &amp; Hồ sơ'!$AT$7:$AT$500="Pass"))</f>
        <v/>
      </c>
      <c r="H142" s="53">
        <f>SUMPRODUCT(--ISNUMBER(SEARCH(", "&amp;$B142&amp;", ",", "&amp;'Hoạt động (Đơn của tôi)'!$B$7:$B$500&amp;", ")),--('Hoạt động (Đơn của tôi)'!$AT$7:$AT$500="Fail"))+SUMPRODUCT(--ISNUMBER(SEARCH(", "&amp;$B142&amp;", ",", "&amp;'Ghép nối'!$B$7:$B$500&amp;", ")),--('Ghép nối'!$AT$7:$AT$500="Fail"))+SUMPRODUCT(--ISNUMBER(SEARCH(", "&amp;$B142&amp;", ",", "&amp;'Huỷ đơn - Huỷ nhận đơn'!$B$7:$B$500&amp;", ")),--('Huỷ đơn - Huỷ nhận đơn'!$AT$7:$AT$500="Fail"))+SUMPRODUCT(--ISNUMBER(SEARCH(", "&amp;$B142&amp;", ",", "&amp;'Giao nhận &amp; Theo dõi đơn'!$B$7:$B$500&amp;", ")),--('Giao nhận &amp; Theo dõi đơn'!$AT$7:$AT$500="Fail"))+SUMPRODUCT(--ISNUMBER(SEARCH(", "&amp;$B142&amp;", ",", "&amp;'Bảng tin &amp; Chi tiết tin'!$B$7:$B$500&amp;", ")),--('Bảng tin &amp; Chi tiết tin'!$AT$7:$AT$500="Fail"))+SUMPRODUCT(--ISNUMBER(SEARCH(", "&amp;$B142&amp;", ",", "&amp;'Quà cảm ơn'!$B$7:$B$500&amp;", ")),--('Quà cảm ơn'!$AT$7:$AT$500="Fail"))+SUMPRODUCT(--ISNUMBER(SEARCH(", "&amp;$B142&amp;", ",", "&amp;'Trang chủ'!$B$7:$B$500&amp;", ")),--('Trang chủ'!$AT$7:$AT$500="Fail"))+SUMPRODUCT(--ISNUMBER(SEARCH(", "&amp;$B142&amp;", ",", "&amp;'Thông báo'!$B$7:$B$500&amp;", ")),--('Thông báo'!$AT$7:$AT$500="Fail"))+SUMPRODUCT(--ISNUMBER(SEARCH(", "&amp;$B142&amp;", ",", "&amp;'Đăng tin &amp; Quản lý tin'!$B$7:$B$500&amp;", ")),--('Đăng tin &amp; Quản lý tin'!$AT$7:$AT$500="Fail"))+SUMPRODUCT(--ISNUMBER(SEARCH(", "&amp;$B142&amp;", ",", "&amp;'Trust &amp; Safety'!$B$7:$B$500&amp;", ")),--('Trust &amp; Safety'!$AT$7:$AT$500="Fail"))+SUMPRODUCT(--ISNUMBER(SEARCH(", "&amp;$B142&amp;", ",", "&amp;'Tài khoản &amp; Hồ sơ'!$B$7:$B$500&amp;", ")),--('Tài khoản &amp; Hồ sơ'!$AT$7:$AT$500="Fail"))</f>
        <v/>
      </c>
      <c r="I142" s="53">
        <f>SUMPRODUCT(--ISNUMBER(SEARCH(", "&amp;$B142&amp;", ",", "&amp;'Hoạt động (Đơn của tôi)'!$B$7:$B$500&amp;", ")),--('Hoạt động (Đơn của tôi)'!$AT$7:$AT$500="Block"))+SUMPRODUCT(--ISNUMBER(SEARCH(", "&amp;$B142&amp;", ",", "&amp;'Ghép nối'!$B$7:$B$500&amp;", ")),--('Ghép nối'!$AT$7:$AT$500="Block"))+SUMPRODUCT(--ISNUMBER(SEARCH(", "&amp;$B142&amp;", ",", "&amp;'Huỷ đơn - Huỷ nhận đơn'!$B$7:$B$500&amp;", ")),--('Huỷ đơn - Huỷ nhận đơn'!$AT$7:$AT$500="Block"))+SUMPRODUCT(--ISNUMBER(SEARCH(", "&amp;$B142&amp;", ",", "&amp;'Giao nhận &amp; Theo dõi đơn'!$B$7:$B$500&amp;", ")),--('Giao nhận &amp; Theo dõi đơn'!$AT$7:$AT$500="Block"))+SUMPRODUCT(--ISNUMBER(SEARCH(", "&amp;$B142&amp;", ",", "&amp;'Bảng tin &amp; Chi tiết tin'!$B$7:$B$500&amp;", ")),--('Bảng tin &amp; Chi tiết tin'!$AT$7:$AT$500="Block"))+SUMPRODUCT(--ISNUMBER(SEARCH(", "&amp;$B142&amp;", ",", "&amp;'Quà cảm ơn'!$B$7:$B$500&amp;", ")),--('Quà cảm ơn'!$AT$7:$AT$500="Block"))+SUMPRODUCT(--ISNUMBER(SEARCH(", "&amp;$B142&amp;", ",", "&amp;'Trang chủ'!$B$7:$B$500&amp;", ")),--('Trang chủ'!$AT$7:$AT$500="Block"))+SUMPRODUCT(--ISNUMBER(SEARCH(", "&amp;$B142&amp;", ",", "&amp;'Thông báo'!$B$7:$B$500&amp;", ")),--('Thông báo'!$AT$7:$AT$500="Block"))+SUMPRODUCT(--ISNUMBER(SEARCH(", "&amp;$B142&amp;", ",", "&amp;'Đăng tin &amp; Quản lý tin'!$B$7:$B$500&amp;", ")),--('Đăng tin &amp; Quản lý tin'!$AT$7:$AT$500="Block"))+SUMPRODUCT(--ISNUMBER(SEARCH(", "&amp;$B142&amp;", ",", "&amp;'Trust &amp; Safety'!$B$7:$B$500&amp;", ")),--('Trust &amp; Safety'!$AT$7:$AT$500="Block"))+SUMPRODUCT(--ISNUMBER(SEARCH(", "&amp;$B142&amp;", ",", "&amp;'Tài khoản &amp; Hồ sơ'!$B$7:$B$500&amp;", ")),--('Tài khoản &amp; Hồ sơ'!$AT$7:$AT$500="Block"))</f>
        <v/>
      </c>
      <c r="J142" s="53">
        <f>SUMPRODUCT(--ISNUMBER(SEARCH(", "&amp;$B142&amp;", ",", "&amp;'Hoạt động (Đơn của tôi)'!$B$7:$B$500&amp;", ")),--('Hoạt động (Đơn của tôi)'!$AT$7:$AT$500="N/A"))+SUMPRODUCT(--ISNUMBER(SEARCH(", "&amp;$B142&amp;", ",", "&amp;'Ghép nối'!$B$7:$B$500&amp;", ")),--('Ghép nối'!$AT$7:$AT$500="N/A"))+SUMPRODUCT(--ISNUMBER(SEARCH(", "&amp;$B142&amp;", ",", "&amp;'Huỷ đơn - Huỷ nhận đơn'!$B$7:$B$500&amp;", ")),--('Huỷ đơn - Huỷ nhận đơn'!$AT$7:$AT$500="N/A"))+SUMPRODUCT(--ISNUMBER(SEARCH(", "&amp;$B142&amp;", ",", "&amp;'Giao nhận &amp; Theo dõi đơn'!$B$7:$B$500&amp;", ")),--('Giao nhận &amp; Theo dõi đơn'!$AT$7:$AT$500="N/A"))+SUMPRODUCT(--ISNUMBER(SEARCH(", "&amp;$B142&amp;", ",", "&amp;'Bảng tin &amp; Chi tiết tin'!$B$7:$B$500&amp;", ")),--('Bảng tin &amp; Chi tiết tin'!$AT$7:$AT$500="N/A"))+SUMPRODUCT(--ISNUMBER(SEARCH(", "&amp;$B142&amp;", ",", "&amp;'Quà cảm ơn'!$B$7:$B$500&amp;", ")),--('Quà cảm ơn'!$AT$7:$AT$500="N/A"))+SUMPRODUCT(--ISNUMBER(SEARCH(", "&amp;$B142&amp;", ",", "&amp;'Trang chủ'!$B$7:$B$500&amp;", ")),--('Trang chủ'!$AT$7:$AT$500="N/A"))+SUMPRODUCT(--ISNUMBER(SEARCH(", "&amp;$B142&amp;", ",", "&amp;'Thông báo'!$B$7:$B$500&amp;", ")),--('Thông báo'!$AT$7:$AT$500="N/A"))+SUMPRODUCT(--ISNUMBER(SEARCH(", "&amp;$B142&amp;", ",", "&amp;'Đăng tin &amp; Quản lý tin'!$B$7:$B$500&amp;", ")),--('Đăng tin &amp; Quản lý tin'!$AT$7:$AT$500="N/A"))+SUMPRODUCT(--ISNUMBER(SEARCH(", "&amp;$B142&amp;", ",", "&amp;'Trust &amp; Safety'!$B$7:$B$500&amp;", ")),--('Trust &amp; Safety'!$AT$7:$AT$500="N/A"))+SUMPRODUCT(--ISNUMBER(SEARCH(", "&amp;$B142&amp;", ",", "&amp;'Tài khoản &amp; Hồ sơ'!$B$7:$B$500&amp;", ")),--('Tài khoản &amp; Hồ sơ'!$AT$7:$AT$500="N/A"))</f>
        <v/>
      </c>
      <c r="K142" s="54">
        <f>IFERROR(F142/E142,0)</f>
        <v/>
      </c>
      <c r="L142" s="113">
        <f>IF(E142=0,"Chưa có TC (gap)",IF(H142&gt;0,"Có lỗi (Fail)",IF(I142&gt;0,"Bị block",IF(F142&lt;E142,"Đang test",IF(G142=0,"Không áp dụng (N/A)","Đã test xong")))))</f>
        <v/>
      </c>
      <c r="AB142" t="inlineStr">
        <is>
          <t>REQ-USR</t>
        </is>
      </c>
    </row>
    <row r="143" ht="15.75" customHeight="1" s="216">
      <c r="A143" s="1" t="n"/>
      <c r="B143" s="112" t="inlineStr">
        <is>
          <t>REQ-USR-005</t>
        </is>
      </c>
      <c r="C143" s="261" t="inlineStr"/>
      <c r="D143" s="113" t="inlineStr">
        <is>
          <t>DOC-v1.0-01</t>
        </is>
      </c>
      <c r="E143" s="53">
        <f>SUMPRODUCT(--ISNUMBER(SEARCH(", "&amp;$B143&amp;", ",", "&amp;'Hoạt động (Đơn của tôi)'!$B$7:$B$500&amp;", ")))+SUMPRODUCT(--ISNUMBER(SEARCH(", "&amp;$B143&amp;", ",", "&amp;'Ghép nối'!$B$7:$B$500&amp;", ")))+SUMPRODUCT(--ISNUMBER(SEARCH(", "&amp;$B143&amp;", ",", "&amp;'Huỷ đơn - Huỷ nhận đơn'!$B$7:$B$500&amp;", ")))+SUMPRODUCT(--ISNUMBER(SEARCH(", "&amp;$B143&amp;", ",", "&amp;'Giao nhận &amp; Theo dõi đơn'!$B$7:$B$500&amp;", ")))+SUMPRODUCT(--ISNUMBER(SEARCH(", "&amp;$B143&amp;", ",", "&amp;'Bảng tin &amp; Chi tiết tin'!$B$7:$B$500&amp;", ")))+SUMPRODUCT(--ISNUMBER(SEARCH(", "&amp;$B143&amp;", ",", "&amp;'Quà cảm ơn'!$B$7:$B$500&amp;", ")))+SUMPRODUCT(--ISNUMBER(SEARCH(", "&amp;$B143&amp;", ",", "&amp;'Trang chủ'!$B$7:$B$500&amp;", ")))+SUMPRODUCT(--ISNUMBER(SEARCH(", "&amp;$B143&amp;", ",", "&amp;'Thông báo'!$B$7:$B$500&amp;", ")))+SUMPRODUCT(--ISNUMBER(SEARCH(", "&amp;$B143&amp;", ",", "&amp;'Đăng tin &amp; Quản lý tin'!$B$7:$B$500&amp;", ")))+SUMPRODUCT(--ISNUMBER(SEARCH(", "&amp;$B143&amp;", ",", "&amp;'Trust &amp; Safety'!$B$7:$B$500&amp;", ")))+SUMPRODUCT(--ISNUMBER(SEARCH(", "&amp;$B143&amp;", ",", "&amp;'Tài khoản &amp; Hồ sơ'!$B$7:$B$500&amp;", ")))</f>
        <v/>
      </c>
      <c r="F143" s="53">
        <f>SUMPRODUCT(--ISNUMBER(SEARCH(", "&amp;$B143&amp;", ",", "&amp;'Hoạt động (Đơn của tôi)'!$B$7:$B$500&amp;", ")),--('Hoạt động (Đơn của tôi)'!$AT$7:$AT$500&lt;&gt;""))+SUMPRODUCT(--ISNUMBER(SEARCH(", "&amp;$B143&amp;", ",", "&amp;'Ghép nối'!$B$7:$B$500&amp;", ")),--('Ghép nối'!$AT$7:$AT$500&lt;&gt;""))+SUMPRODUCT(--ISNUMBER(SEARCH(", "&amp;$B143&amp;", ",", "&amp;'Huỷ đơn - Huỷ nhận đơn'!$B$7:$B$500&amp;", ")),--('Huỷ đơn - Huỷ nhận đơn'!$AT$7:$AT$500&lt;&gt;""))+SUMPRODUCT(--ISNUMBER(SEARCH(", "&amp;$B143&amp;", ",", "&amp;'Giao nhận &amp; Theo dõi đơn'!$B$7:$B$500&amp;", ")),--('Giao nhận &amp; Theo dõi đơn'!$AT$7:$AT$500&lt;&gt;""))+SUMPRODUCT(--ISNUMBER(SEARCH(", "&amp;$B143&amp;", ",", "&amp;'Bảng tin &amp; Chi tiết tin'!$B$7:$B$500&amp;", ")),--('Bảng tin &amp; Chi tiết tin'!$AT$7:$AT$500&lt;&gt;""))+SUMPRODUCT(--ISNUMBER(SEARCH(", "&amp;$B143&amp;", ",", "&amp;'Quà cảm ơn'!$B$7:$B$500&amp;", ")),--('Quà cảm ơn'!$AT$7:$AT$500&lt;&gt;""))+SUMPRODUCT(--ISNUMBER(SEARCH(", "&amp;$B143&amp;", ",", "&amp;'Trang chủ'!$B$7:$B$500&amp;", ")),--('Trang chủ'!$AT$7:$AT$500&lt;&gt;""))+SUMPRODUCT(--ISNUMBER(SEARCH(", "&amp;$B143&amp;", ",", "&amp;'Thông báo'!$B$7:$B$500&amp;", ")),--('Thông báo'!$AT$7:$AT$500&lt;&gt;""))+SUMPRODUCT(--ISNUMBER(SEARCH(", "&amp;$B143&amp;", ",", "&amp;'Đăng tin &amp; Quản lý tin'!$B$7:$B$500&amp;", ")),--('Đăng tin &amp; Quản lý tin'!$AT$7:$AT$500&lt;&gt;""))+SUMPRODUCT(--ISNUMBER(SEARCH(", "&amp;$B143&amp;", ",", "&amp;'Trust &amp; Safety'!$B$7:$B$500&amp;", ")),--('Trust &amp; Safety'!$AT$7:$AT$500&lt;&gt;""))+SUMPRODUCT(--ISNUMBER(SEARCH(", "&amp;$B143&amp;", ",", "&amp;'Tài khoản &amp; Hồ sơ'!$B$7:$B$500&amp;", ")),--('Tài khoản &amp; Hồ sơ'!$AT$7:$AT$500&lt;&gt;""))</f>
        <v/>
      </c>
      <c r="G143" s="53">
        <f>SUMPRODUCT(--ISNUMBER(SEARCH(", "&amp;$B143&amp;", ",", "&amp;'Hoạt động (Đơn của tôi)'!$B$7:$B$500&amp;", ")),--('Hoạt động (Đơn của tôi)'!$AT$7:$AT$500="Pass"))+SUMPRODUCT(--ISNUMBER(SEARCH(", "&amp;$B143&amp;", ",", "&amp;'Ghép nối'!$B$7:$B$500&amp;", ")),--('Ghép nối'!$AT$7:$AT$500="Pass"))+SUMPRODUCT(--ISNUMBER(SEARCH(", "&amp;$B143&amp;", ",", "&amp;'Huỷ đơn - Huỷ nhận đơn'!$B$7:$B$500&amp;", ")),--('Huỷ đơn - Huỷ nhận đơn'!$AT$7:$AT$500="Pass"))+SUMPRODUCT(--ISNUMBER(SEARCH(", "&amp;$B143&amp;", ",", "&amp;'Giao nhận &amp; Theo dõi đơn'!$B$7:$B$500&amp;", ")),--('Giao nhận &amp; Theo dõi đơn'!$AT$7:$AT$500="Pass"))+SUMPRODUCT(--ISNUMBER(SEARCH(", "&amp;$B143&amp;", ",", "&amp;'Bảng tin &amp; Chi tiết tin'!$B$7:$B$500&amp;", ")),--('Bảng tin &amp; Chi tiết tin'!$AT$7:$AT$500="Pass"))+SUMPRODUCT(--ISNUMBER(SEARCH(", "&amp;$B143&amp;", ",", "&amp;'Quà cảm ơn'!$B$7:$B$500&amp;", ")),--('Quà cảm ơn'!$AT$7:$AT$500="Pass"))+SUMPRODUCT(--ISNUMBER(SEARCH(", "&amp;$B143&amp;", ",", "&amp;'Trang chủ'!$B$7:$B$500&amp;", ")),--('Trang chủ'!$AT$7:$AT$500="Pass"))+SUMPRODUCT(--ISNUMBER(SEARCH(", "&amp;$B143&amp;", ",", "&amp;'Thông báo'!$B$7:$B$500&amp;", ")),--('Thông báo'!$AT$7:$AT$500="Pass"))+SUMPRODUCT(--ISNUMBER(SEARCH(", "&amp;$B143&amp;", ",", "&amp;'Đăng tin &amp; Quản lý tin'!$B$7:$B$500&amp;", ")),--('Đăng tin &amp; Quản lý tin'!$AT$7:$AT$500="Pass"))+SUMPRODUCT(--ISNUMBER(SEARCH(", "&amp;$B143&amp;", ",", "&amp;'Trust &amp; Safety'!$B$7:$B$500&amp;", ")),--('Trust &amp; Safety'!$AT$7:$AT$500="Pass"))+SUMPRODUCT(--ISNUMBER(SEARCH(", "&amp;$B143&amp;", ",", "&amp;'Tài khoản &amp; Hồ sơ'!$B$7:$B$500&amp;", ")),--('Tài khoản &amp; Hồ sơ'!$AT$7:$AT$500="Pass"))</f>
        <v/>
      </c>
      <c r="H143" s="53">
        <f>SUMPRODUCT(--ISNUMBER(SEARCH(", "&amp;$B143&amp;", ",", "&amp;'Hoạt động (Đơn của tôi)'!$B$7:$B$500&amp;", ")),--('Hoạt động (Đơn của tôi)'!$AT$7:$AT$500="Fail"))+SUMPRODUCT(--ISNUMBER(SEARCH(", "&amp;$B143&amp;", ",", "&amp;'Ghép nối'!$B$7:$B$500&amp;", ")),--('Ghép nối'!$AT$7:$AT$500="Fail"))+SUMPRODUCT(--ISNUMBER(SEARCH(", "&amp;$B143&amp;", ",", "&amp;'Huỷ đơn - Huỷ nhận đơn'!$B$7:$B$500&amp;", ")),--('Huỷ đơn - Huỷ nhận đơn'!$AT$7:$AT$500="Fail"))+SUMPRODUCT(--ISNUMBER(SEARCH(", "&amp;$B143&amp;", ",", "&amp;'Giao nhận &amp; Theo dõi đơn'!$B$7:$B$500&amp;", ")),--('Giao nhận &amp; Theo dõi đơn'!$AT$7:$AT$500="Fail"))+SUMPRODUCT(--ISNUMBER(SEARCH(", "&amp;$B143&amp;", ",", "&amp;'Bảng tin &amp; Chi tiết tin'!$B$7:$B$500&amp;", ")),--('Bảng tin &amp; Chi tiết tin'!$AT$7:$AT$500="Fail"))+SUMPRODUCT(--ISNUMBER(SEARCH(", "&amp;$B143&amp;", ",", "&amp;'Quà cảm ơn'!$B$7:$B$500&amp;", ")),--('Quà cảm ơn'!$AT$7:$AT$500="Fail"))+SUMPRODUCT(--ISNUMBER(SEARCH(", "&amp;$B143&amp;", ",", "&amp;'Trang chủ'!$B$7:$B$500&amp;", ")),--('Trang chủ'!$AT$7:$AT$500="Fail"))+SUMPRODUCT(--ISNUMBER(SEARCH(", "&amp;$B143&amp;", ",", "&amp;'Thông báo'!$B$7:$B$500&amp;", ")),--('Thông báo'!$AT$7:$AT$500="Fail"))+SUMPRODUCT(--ISNUMBER(SEARCH(", "&amp;$B143&amp;", ",", "&amp;'Đăng tin &amp; Quản lý tin'!$B$7:$B$500&amp;", ")),--('Đăng tin &amp; Quản lý tin'!$AT$7:$AT$500="Fail"))+SUMPRODUCT(--ISNUMBER(SEARCH(", "&amp;$B143&amp;", ",", "&amp;'Trust &amp; Safety'!$B$7:$B$500&amp;", ")),--('Trust &amp; Safety'!$AT$7:$AT$500="Fail"))+SUMPRODUCT(--ISNUMBER(SEARCH(", "&amp;$B143&amp;", ",", "&amp;'Tài khoản &amp; Hồ sơ'!$B$7:$B$500&amp;", ")),--('Tài khoản &amp; Hồ sơ'!$AT$7:$AT$500="Fail"))</f>
        <v/>
      </c>
      <c r="I143" s="53">
        <f>SUMPRODUCT(--ISNUMBER(SEARCH(", "&amp;$B143&amp;", ",", "&amp;'Hoạt động (Đơn của tôi)'!$B$7:$B$500&amp;", ")),--('Hoạt động (Đơn của tôi)'!$AT$7:$AT$500="Block"))+SUMPRODUCT(--ISNUMBER(SEARCH(", "&amp;$B143&amp;", ",", "&amp;'Ghép nối'!$B$7:$B$500&amp;", ")),--('Ghép nối'!$AT$7:$AT$500="Block"))+SUMPRODUCT(--ISNUMBER(SEARCH(", "&amp;$B143&amp;", ",", "&amp;'Huỷ đơn - Huỷ nhận đơn'!$B$7:$B$500&amp;", ")),--('Huỷ đơn - Huỷ nhận đơn'!$AT$7:$AT$500="Block"))+SUMPRODUCT(--ISNUMBER(SEARCH(", "&amp;$B143&amp;", ",", "&amp;'Giao nhận &amp; Theo dõi đơn'!$B$7:$B$500&amp;", ")),--('Giao nhận &amp; Theo dõi đơn'!$AT$7:$AT$500="Block"))+SUMPRODUCT(--ISNUMBER(SEARCH(", "&amp;$B143&amp;", ",", "&amp;'Bảng tin &amp; Chi tiết tin'!$B$7:$B$500&amp;", ")),--('Bảng tin &amp; Chi tiết tin'!$AT$7:$AT$500="Block"))+SUMPRODUCT(--ISNUMBER(SEARCH(", "&amp;$B143&amp;", ",", "&amp;'Quà cảm ơn'!$B$7:$B$500&amp;", ")),--('Quà cảm ơn'!$AT$7:$AT$500="Block"))+SUMPRODUCT(--ISNUMBER(SEARCH(", "&amp;$B143&amp;", ",", "&amp;'Trang chủ'!$B$7:$B$500&amp;", ")),--('Trang chủ'!$AT$7:$AT$500="Block"))+SUMPRODUCT(--ISNUMBER(SEARCH(", "&amp;$B143&amp;", ",", "&amp;'Thông báo'!$B$7:$B$500&amp;", ")),--('Thông báo'!$AT$7:$AT$500="Block"))+SUMPRODUCT(--ISNUMBER(SEARCH(", "&amp;$B143&amp;", ",", "&amp;'Đăng tin &amp; Quản lý tin'!$B$7:$B$500&amp;", ")),--('Đăng tin &amp; Quản lý tin'!$AT$7:$AT$500="Block"))+SUMPRODUCT(--ISNUMBER(SEARCH(", "&amp;$B143&amp;", ",", "&amp;'Trust &amp; Safety'!$B$7:$B$500&amp;", ")),--('Trust &amp; Safety'!$AT$7:$AT$500="Block"))+SUMPRODUCT(--ISNUMBER(SEARCH(", "&amp;$B143&amp;", ",", "&amp;'Tài khoản &amp; Hồ sơ'!$B$7:$B$500&amp;", ")),--('Tài khoản &amp; Hồ sơ'!$AT$7:$AT$500="Block"))</f>
        <v/>
      </c>
      <c r="J143" s="53">
        <f>SUMPRODUCT(--ISNUMBER(SEARCH(", "&amp;$B143&amp;", ",", "&amp;'Hoạt động (Đơn của tôi)'!$B$7:$B$500&amp;", ")),--('Hoạt động (Đơn của tôi)'!$AT$7:$AT$500="N/A"))+SUMPRODUCT(--ISNUMBER(SEARCH(", "&amp;$B143&amp;", ",", "&amp;'Ghép nối'!$B$7:$B$500&amp;", ")),--('Ghép nối'!$AT$7:$AT$500="N/A"))+SUMPRODUCT(--ISNUMBER(SEARCH(", "&amp;$B143&amp;", ",", "&amp;'Huỷ đơn - Huỷ nhận đơn'!$B$7:$B$500&amp;", ")),--('Huỷ đơn - Huỷ nhận đơn'!$AT$7:$AT$500="N/A"))+SUMPRODUCT(--ISNUMBER(SEARCH(", "&amp;$B143&amp;", ",", "&amp;'Giao nhận &amp; Theo dõi đơn'!$B$7:$B$500&amp;", ")),--('Giao nhận &amp; Theo dõi đơn'!$AT$7:$AT$500="N/A"))+SUMPRODUCT(--ISNUMBER(SEARCH(", "&amp;$B143&amp;", ",", "&amp;'Bảng tin &amp; Chi tiết tin'!$B$7:$B$500&amp;", ")),--('Bảng tin &amp; Chi tiết tin'!$AT$7:$AT$500="N/A"))+SUMPRODUCT(--ISNUMBER(SEARCH(", "&amp;$B143&amp;", ",", "&amp;'Quà cảm ơn'!$B$7:$B$500&amp;", ")),--('Quà cảm ơn'!$AT$7:$AT$500="N/A"))+SUMPRODUCT(--ISNUMBER(SEARCH(", "&amp;$B143&amp;", ",", "&amp;'Trang chủ'!$B$7:$B$500&amp;", ")),--('Trang chủ'!$AT$7:$AT$500="N/A"))+SUMPRODUCT(--ISNUMBER(SEARCH(", "&amp;$B143&amp;", ",", "&amp;'Thông báo'!$B$7:$B$500&amp;", ")),--('Thông báo'!$AT$7:$AT$500="N/A"))+SUMPRODUCT(--ISNUMBER(SEARCH(", "&amp;$B143&amp;", ",", "&amp;'Đăng tin &amp; Quản lý tin'!$B$7:$B$500&amp;", ")),--('Đăng tin &amp; Quản lý tin'!$AT$7:$AT$500="N/A"))+SUMPRODUCT(--ISNUMBER(SEARCH(", "&amp;$B143&amp;", ",", "&amp;'Trust &amp; Safety'!$B$7:$B$500&amp;", ")),--('Trust &amp; Safety'!$AT$7:$AT$500="N/A"))+SUMPRODUCT(--ISNUMBER(SEARCH(", "&amp;$B143&amp;", ",", "&amp;'Tài khoản &amp; Hồ sơ'!$B$7:$B$500&amp;", ")),--('Tài khoản &amp; Hồ sơ'!$AT$7:$AT$500="N/A"))</f>
        <v/>
      </c>
      <c r="K143" s="54">
        <f>IFERROR(F143/E143,0)</f>
        <v/>
      </c>
      <c r="L143" s="113">
        <f>IF(E143=0,"Chưa có TC (gap)",IF(H143&gt;0,"Có lỗi (Fail)",IF(I143&gt;0,"Bị block",IF(F143&lt;E143,"Đang test",IF(G143=0,"Không áp dụng (N/A)","Đã test xong")))))</f>
        <v/>
      </c>
      <c r="AB143" t="inlineStr">
        <is>
          <t>REQ-USR</t>
        </is>
      </c>
    </row>
    <row r="144" ht="15.75" customHeight="1" s="216">
      <c r="A144" s="1" t="n"/>
      <c r="B144" s="114" t="inlineStr">
        <is>
          <t>Tổng</t>
        </is>
      </c>
      <c r="C144" s="254" t="n"/>
      <c r="D144" s="218" t="n"/>
      <c r="E144" s="44">
        <f>SUM(E6:E143)</f>
        <v/>
      </c>
      <c r="F144" s="44">
        <f>SUM(F6:F143)</f>
        <v/>
      </c>
      <c r="G144" s="44">
        <f>SUM(G6:G143)</f>
        <v/>
      </c>
      <c r="H144" s="44">
        <f>SUM(H6:H143)</f>
        <v/>
      </c>
      <c r="I144" s="44">
        <f>SUM(I6:I143)</f>
        <v/>
      </c>
      <c r="J144" s="44">
        <f>SUM(J6:J143)</f>
        <v/>
      </c>
      <c r="K144" s="57">
        <f>IFERROR(F144/E144,0)</f>
        <v/>
      </c>
      <c r="L144" s="116" t="n"/>
    </row>
    <row r="145" ht="15.75" customHeight="1" s="216">
      <c r="A145" s="1" t="n"/>
      <c r="B145" s="117" t="inlineStr">
        <is>
          <t>Ghi chú: Số liệu tự đếm trên TẤT CẢ sheet Test Case (khớp theo Req ID nên 1 TC gắn nhiều Req vẫn được tính cho từng Req). Số TC = Pass + Fail + Block + N/A + chưa chạy · % phủ = Đã chạy / Số TC (đã chạy gồm cả Block/N-A) — là độ phủ TRÊN TẬP REQ CÓ TC, không phải trên toàn bộ REQ của tài liệu. Trạng thái theo thứ tự ưu tiên: Chưa có TC (gap) → Có lỗi (Fail) → Bị block → Đang test → Không áp dụng (N/A) → Đã test xong.</t>
        </is>
      </c>
    </row>
    <row r="146" ht="15.75" customHeight="1" s="216">
      <c r="A146" s="1" t="n"/>
      <c r="B146" s="1" t="n"/>
      <c r="C146" s="1" t="n"/>
      <c r="D146" s="1" t="n"/>
      <c r="E146" s="1" t="n"/>
      <c r="F146" s="1" t="n"/>
      <c r="G146" s="1" t="n"/>
      <c r="H146" s="1" t="n"/>
      <c r="I146" s="1" t="n"/>
      <c r="J146" s="1" t="n"/>
      <c r="K146" s="1" t="n"/>
      <c r="L146" s="1" t="n"/>
    </row>
    <row r="147" ht="15.75" customHeight="1" s="216">
      <c r="A147" s="1" t="n"/>
      <c r="B147" s="1" t="n"/>
      <c r="C147" s="1" t="n"/>
      <c r="D147" s="1" t="n"/>
      <c r="E147" s="1" t="n"/>
      <c r="F147" s="1" t="n"/>
      <c r="G147" s="1" t="n"/>
      <c r="H147" s="1" t="n"/>
      <c r="I147" s="1" t="n"/>
      <c r="J147" s="1" t="n"/>
      <c r="K147" s="1" t="n"/>
      <c r="L147" s="1" t="n"/>
    </row>
    <row r="148" ht="15.75" customHeight="1" s="216">
      <c r="A148" s="1" t="n"/>
      <c r="B148" s="1" t="n"/>
      <c r="C148" s="1" t="n"/>
      <c r="D148" s="1" t="n"/>
      <c r="E148" s="1" t="n"/>
      <c r="F148" s="1" t="n"/>
      <c r="G148" s="1" t="n"/>
      <c r="H148" s="1" t="n"/>
      <c r="I148" s="1" t="n"/>
      <c r="J148" s="1" t="n"/>
      <c r="K148" s="1" t="n"/>
      <c r="L148" s="1" t="n"/>
    </row>
    <row r="149" ht="15.75" customHeight="1" s="216">
      <c r="A149" s="1" t="n"/>
      <c r="B149" s="1" t="n"/>
      <c r="C149" s="1" t="n"/>
      <c r="D149" s="1" t="n"/>
      <c r="E149" s="1" t="n"/>
      <c r="F149" s="1" t="n"/>
      <c r="G149" s="1" t="n"/>
      <c r="H149" s="1" t="n"/>
      <c r="I149" s="1" t="n"/>
      <c r="J149" s="1" t="n"/>
      <c r="K149" s="1" t="n"/>
      <c r="L149" s="1" t="n"/>
    </row>
    <row r="150" ht="15.75" customHeight="1" s="216">
      <c r="A150" s="1" t="n"/>
      <c r="B150" s="1" t="n"/>
      <c r="C150" s="1" t="n"/>
      <c r="D150" s="1" t="n"/>
      <c r="E150" s="1" t="n"/>
      <c r="F150" s="1" t="n"/>
      <c r="G150" s="1" t="n"/>
      <c r="H150" s="1" t="n"/>
      <c r="I150" s="1" t="n"/>
      <c r="J150" s="1" t="n"/>
      <c r="K150" s="1" t="n"/>
      <c r="L150" s="1" t="n"/>
    </row>
    <row r="151" ht="15.75" customHeight="1" s="216">
      <c r="A151" s="1" t="n"/>
      <c r="B151" s="1" t="n"/>
      <c r="C151" s="1" t="n"/>
      <c r="D151" s="1" t="n"/>
      <c r="E151" s="1" t="n"/>
      <c r="F151" s="1" t="n"/>
      <c r="G151" s="1" t="n"/>
      <c r="H151" s="1" t="n"/>
      <c r="I151" s="1" t="n"/>
      <c r="J151" s="1" t="n"/>
      <c r="K151" s="1" t="n"/>
      <c r="L151" s="1" t="n"/>
    </row>
    <row r="152" ht="15.75" customHeight="1" s="216">
      <c r="A152" s="1" t="n"/>
      <c r="B152" s="1" t="n"/>
      <c r="C152" s="1" t="n"/>
      <c r="D152" s="1" t="n"/>
      <c r="E152" s="1" t="n"/>
      <c r="F152" s="1" t="n"/>
      <c r="G152" s="1" t="n"/>
      <c r="H152" s="1" t="n"/>
      <c r="I152" s="1" t="n"/>
      <c r="J152" s="1" t="n"/>
      <c r="K152" s="1" t="n"/>
      <c r="L152" s="1" t="n"/>
    </row>
    <row r="153" ht="15.75" customHeight="1" s="216">
      <c r="A153" s="1" t="n"/>
      <c r="B153" s="1" t="n"/>
      <c r="C153" s="1" t="n"/>
      <c r="D153" s="1" t="n"/>
      <c r="E153" s="1" t="n"/>
      <c r="F153" s="1" t="n"/>
      <c r="G153" s="1" t="n"/>
      <c r="H153" s="1" t="n"/>
      <c r="I153" s="1" t="n"/>
      <c r="J153" s="1" t="n"/>
      <c r="K153" s="1" t="n"/>
      <c r="L153" s="1" t="n"/>
    </row>
    <row r="154" ht="15.75" customHeight="1" s="216">
      <c r="A154" s="1" t="n"/>
      <c r="B154" s="1" t="n"/>
      <c r="C154" s="1" t="n"/>
      <c r="D154" s="1" t="n"/>
      <c r="E154" s="1" t="n"/>
      <c r="F154" s="1" t="n"/>
      <c r="G154" s="1" t="n"/>
      <c r="H154" s="1" t="n"/>
      <c r="I154" s="1" t="n"/>
      <c r="J154" s="1" t="n"/>
      <c r="K154" s="1" t="n"/>
      <c r="L154" s="1" t="n"/>
    </row>
    <row r="155" ht="15.75" customHeight="1" s="216">
      <c r="A155" s="1" t="n"/>
      <c r="B155" s="1" t="n"/>
      <c r="C155" s="1" t="n"/>
      <c r="D155" s="1" t="n"/>
      <c r="E155" s="1" t="n"/>
      <c r="F155" s="1" t="n"/>
      <c r="G155" s="1" t="n"/>
      <c r="H155" s="1" t="n"/>
      <c r="I155" s="1" t="n"/>
      <c r="J155" s="1" t="n"/>
      <c r="K155" s="1" t="n"/>
      <c r="L155" s="1" t="n"/>
    </row>
    <row r="156" ht="15.75" customHeight="1" s="216">
      <c r="A156" s="1" t="n"/>
      <c r="B156" s="1" t="n"/>
      <c r="C156" s="1" t="n"/>
      <c r="D156" s="1" t="n"/>
      <c r="E156" s="1" t="n"/>
      <c r="F156" s="1" t="n"/>
      <c r="G156" s="1" t="n"/>
      <c r="H156" s="1" t="n"/>
      <c r="I156" s="1" t="n"/>
      <c r="J156" s="1" t="n"/>
      <c r="K156" s="1" t="n"/>
      <c r="L156" s="1" t="n"/>
    </row>
    <row r="157" ht="15.75" customHeight="1" s="216">
      <c r="A157" s="1" t="n"/>
      <c r="B157" s="1" t="n"/>
      <c r="C157" s="1" t="n"/>
      <c r="D157" s="1" t="n"/>
      <c r="E157" s="1" t="n"/>
      <c r="F157" s="1" t="n"/>
      <c r="G157" s="1" t="n"/>
      <c r="H157" s="1" t="n"/>
      <c r="I157" s="1" t="n"/>
      <c r="J157" s="1" t="n"/>
      <c r="K157" s="1" t="n"/>
      <c r="L157" s="1" t="n"/>
    </row>
    <row r="158" ht="15.75" customHeight="1" s="216">
      <c r="A158" s="1" t="n"/>
      <c r="B158" s="1" t="n"/>
      <c r="C158" s="1" t="n"/>
      <c r="D158" s="1" t="n"/>
      <c r="E158" s="1" t="n"/>
      <c r="F158" s="1" t="n"/>
      <c r="G158" s="1" t="n"/>
      <c r="H158" s="1" t="n"/>
      <c r="I158" s="1" t="n"/>
      <c r="J158" s="1" t="n"/>
      <c r="K158" s="1" t="n"/>
      <c r="L158" s="1" t="n"/>
    </row>
    <row r="159" ht="15.75" customHeight="1" s="216">
      <c r="A159" s="1" t="n"/>
      <c r="B159" s="1" t="n"/>
      <c r="C159" s="1" t="n"/>
      <c r="D159" s="1" t="n"/>
      <c r="E159" s="1" t="n"/>
      <c r="F159" s="1" t="n"/>
      <c r="G159" s="1" t="n"/>
      <c r="H159" s="1" t="n"/>
      <c r="I159" s="1" t="n"/>
      <c r="J159" s="1" t="n"/>
      <c r="K159" s="1" t="n"/>
      <c r="L159" s="1" t="n"/>
    </row>
    <row r="160" ht="15.75" customHeight="1" s="216">
      <c r="A160" s="1" t="n"/>
      <c r="B160" s="1" t="n"/>
      <c r="C160" s="1" t="n"/>
      <c r="D160" s="1" t="n"/>
      <c r="E160" s="1" t="n"/>
      <c r="F160" s="1" t="n"/>
      <c r="G160" s="1" t="n"/>
      <c r="H160" s="1" t="n"/>
      <c r="I160" s="1" t="n"/>
      <c r="J160" s="1" t="n"/>
      <c r="K160" s="1" t="n"/>
      <c r="L160" s="1" t="n"/>
    </row>
    <row r="161" ht="15.75" customHeight="1" s="216">
      <c r="A161" s="1" t="n"/>
      <c r="B161" s="1" t="n"/>
      <c r="C161" s="1" t="n"/>
      <c r="D161" s="1" t="n"/>
      <c r="E161" s="1" t="n"/>
      <c r="F161" s="1" t="n"/>
      <c r="G161" s="1" t="n"/>
      <c r="H161" s="1" t="n"/>
      <c r="I161" s="1" t="n"/>
      <c r="J161" s="1" t="n"/>
      <c r="K161" s="1" t="n"/>
      <c r="L161" s="1" t="n"/>
    </row>
    <row r="162" ht="15.75" customHeight="1" s="216">
      <c r="A162" s="1" t="n"/>
      <c r="B162" s="1" t="n"/>
      <c r="C162" s="1" t="n"/>
      <c r="D162" s="1" t="n"/>
      <c r="E162" s="1" t="n"/>
      <c r="F162" s="1" t="n"/>
      <c r="G162" s="1" t="n"/>
      <c r="H162" s="1" t="n"/>
      <c r="I162" s="1" t="n"/>
      <c r="J162" s="1" t="n"/>
      <c r="K162" s="1" t="n"/>
      <c r="L162" s="1" t="n"/>
    </row>
    <row r="163" ht="15.75" customHeight="1" s="216">
      <c r="A163" s="1" t="n"/>
      <c r="B163" s="1" t="n"/>
      <c r="C163" s="1" t="n"/>
      <c r="D163" s="1" t="n"/>
      <c r="E163" s="1" t="n"/>
      <c r="F163" s="1" t="n"/>
      <c r="G163" s="1" t="n"/>
      <c r="H163" s="1" t="n"/>
      <c r="I163" s="1" t="n"/>
      <c r="J163" s="1" t="n"/>
      <c r="K163" s="1" t="n"/>
      <c r="L163" s="1" t="n"/>
    </row>
    <row r="164" ht="15.75" customHeight="1" s="216">
      <c r="A164" s="1" t="n"/>
      <c r="B164" s="1" t="n"/>
      <c r="C164" s="1" t="n"/>
      <c r="D164" s="1" t="n"/>
      <c r="E164" s="1" t="n"/>
      <c r="F164" s="1" t="n"/>
      <c r="G164" s="1" t="n"/>
      <c r="H164" s="1" t="n"/>
      <c r="I164" s="1" t="n"/>
      <c r="J164" s="1" t="n"/>
      <c r="K164" s="1" t="n"/>
      <c r="L164" s="1" t="n"/>
    </row>
    <row r="165" ht="15.75" customHeight="1" s="216">
      <c r="A165" s="1" t="n"/>
      <c r="B165" s="1" t="n"/>
      <c r="C165" s="1" t="n"/>
      <c r="D165" s="1" t="n"/>
      <c r="E165" s="1" t="n"/>
      <c r="F165" s="1" t="n"/>
      <c r="G165" s="1" t="n"/>
      <c r="H165" s="1" t="n"/>
      <c r="I165" s="1" t="n"/>
      <c r="J165" s="1" t="n"/>
      <c r="K165" s="1" t="n"/>
      <c r="L165" s="1" t="n"/>
    </row>
    <row r="166" ht="15.75" customHeight="1" s="216">
      <c r="A166" s="1" t="n"/>
      <c r="B166" s="1" t="n"/>
      <c r="C166" s="1" t="n"/>
      <c r="D166" s="1" t="n"/>
      <c r="E166" s="1" t="n"/>
      <c r="F166" s="1" t="n"/>
      <c r="G166" s="1" t="n"/>
      <c r="H166" s="1" t="n"/>
      <c r="I166" s="1" t="n"/>
      <c r="J166" s="1" t="n"/>
      <c r="K166" s="1" t="n"/>
      <c r="L166" s="1" t="n"/>
    </row>
    <row r="167" ht="15.75" customHeight="1" s="216">
      <c r="A167" s="1" t="n"/>
      <c r="B167" s="1" t="n"/>
      <c r="C167" s="1" t="n"/>
      <c r="D167" s="1" t="n"/>
      <c r="E167" s="1" t="n"/>
      <c r="F167" s="1" t="n"/>
      <c r="G167" s="1" t="n"/>
      <c r="H167" s="1" t="n"/>
      <c r="I167" s="1" t="n"/>
      <c r="J167" s="1" t="n"/>
      <c r="K167" s="1" t="n"/>
      <c r="L167" s="1" t="n"/>
    </row>
    <row r="168" ht="15.75" customHeight="1" s="216">
      <c r="A168" s="1" t="n"/>
      <c r="B168" s="1" t="n"/>
      <c r="C168" s="1" t="n"/>
      <c r="D168" s="1" t="n"/>
      <c r="E168" s="1" t="n"/>
      <c r="F168" s="1" t="n"/>
      <c r="G168" s="1" t="n"/>
      <c r="H168" s="1" t="n"/>
      <c r="I168" s="1" t="n"/>
      <c r="J168" s="1" t="n"/>
      <c r="K168" s="1" t="n"/>
      <c r="L168" s="1" t="n"/>
    </row>
    <row r="169" ht="15.75" customHeight="1" s="216">
      <c r="A169" s="1" t="n"/>
      <c r="B169" s="1" t="n"/>
      <c r="C169" s="1" t="n"/>
      <c r="D169" s="1" t="n"/>
      <c r="E169" s="1" t="n"/>
      <c r="F169" s="1" t="n"/>
      <c r="G169" s="1" t="n"/>
      <c r="H169" s="1" t="n"/>
      <c r="I169" s="1" t="n"/>
      <c r="J169" s="1" t="n"/>
      <c r="K169" s="1" t="n"/>
      <c r="L169" s="1" t="n"/>
    </row>
    <row r="170" ht="15.75" customHeight="1" s="216">
      <c r="A170" s="1" t="n"/>
      <c r="B170" s="1" t="n"/>
      <c r="C170" s="1" t="n"/>
      <c r="D170" s="1" t="n"/>
      <c r="E170" s="1" t="n"/>
      <c r="F170" s="1" t="n"/>
      <c r="G170" s="1" t="n"/>
      <c r="H170" s="1" t="n"/>
      <c r="I170" s="1" t="n"/>
      <c r="J170" s="1" t="n"/>
      <c r="K170" s="1" t="n"/>
      <c r="L170" s="1" t="n"/>
    </row>
    <row r="171" ht="15.75" customHeight="1" s="216">
      <c r="A171" s="1" t="n"/>
      <c r="B171" s="1" t="n"/>
      <c r="C171" s="1" t="n"/>
      <c r="D171" s="1" t="n"/>
      <c r="E171" s="1" t="n"/>
      <c r="F171" s="1" t="n"/>
      <c r="G171" s="1" t="n"/>
      <c r="H171" s="1" t="n"/>
      <c r="I171" s="1" t="n"/>
      <c r="J171" s="1" t="n"/>
      <c r="K171" s="1" t="n"/>
      <c r="L171" s="1" t="n"/>
    </row>
    <row r="172" ht="15.75" customHeight="1" s="216">
      <c r="A172" s="1" t="n"/>
      <c r="B172" s="1" t="n"/>
      <c r="C172" s="1" t="n"/>
      <c r="D172" s="1" t="n"/>
      <c r="E172" s="1" t="n"/>
      <c r="F172" s="1" t="n"/>
      <c r="G172" s="1" t="n"/>
      <c r="H172" s="1" t="n"/>
      <c r="I172" s="1" t="n"/>
      <c r="J172" s="1" t="n"/>
      <c r="K172" s="1" t="n"/>
      <c r="L172" s="1" t="n"/>
    </row>
    <row r="173" ht="15.75" customHeight="1" s="216">
      <c r="A173" s="1" t="n"/>
      <c r="B173" s="1" t="n"/>
      <c r="C173" s="1" t="n"/>
      <c r="D173" s="1" t="n"/>
      <c r="E173" s="1" t="n"/>
      <c r="F173" s="1" t="n"/>
      <c r="G173" s="1" t="n"/>
      <c r="H173" s="1" t="n"/>
      <c r="I173" s="1" t="n"/>
      <c r="J173" s="1" t="n"/>
      <c r="K173" s="1" t="n"/>
      <c r="L173" s="1" t="n"/>
    </row>
    <row r="174" ht="15.75" customHeight="1" s="216">
      <c r="A174" s="1" t="n"/>
      <c r="B174" s="1" t="n"/>
      <c r="C174" s="1" t="n"/>
      <c r="D174" s="1" t="n"/>
      <c r="E174" s="1" t="n"/>
      <c r="F174" s="1" t="n"/>
      <c r="G174" s="1" t="n"/>
      <c r="H174" s="1" t="n"/>
      <c r="I174" s="1" t="n"/>
      <c r="J174" s="1" t="n"/>
      <c r="K174" s="1" t="n"/>
      <c r="L174" s="1" t="n"/>
    </row>
    <row r="175" ht="15.75" customHeight="1" s="216">
      <c r="A175" s="1" t="n"/>
      <c r="B175" s="1" t="n"/>
      <c r="C175" s="1" t="n"/>
      <c r="D175" s="1" t="n"/>
      <c r="E175" s="1" t="n"/>
      <c r="F175" s="1" t="n"/>
      <c r="G175" s="1" t="n"/>
      <c r="H175" s="1" t="n"/>
      <c r="I175" s="1" t="n"/>
      <c r="J175" s="1" t="n"/>
      <c r="K175" s="1" t="n"/>
      <c r="L175" s="1" t="n"/>
    </row>
    <row r="176" ht="15.75" customHeight="1" s="216">
      <c r="A176" s="1" t="n"/>
      <c r="B176" s="1" t="n"/>
      <c r="C176" s="1" t="n"/>
      <c r="D176" s="1" t="n"/>
      <c r="E176" s="1" t="n"/>
      <c r="F176" s="1" t="n"/>
      <c r="G176" s="1" t="n"/>
      <c r="H176" s="1" t="n"/>
      <c r="I176" s="1" t="n"/>
      <c r="J176" s="1" t="n"/>
      <c r="K176" s="1" t="n"/>
      <c r="L176" s="1" t="n"/>
    </row>
    <row r="177" ht="15.75" customHeight="1" s="216">
      <c r="A177" s="1" t="n"/>
      <c r="B177" s="1" t="n"/>
      <c r="C177" s="1" t="n"/>
      <c r="D177" s="1" t="n"/>
      <c r="E177" s="1" t="n"/>
      <c r="F177" s="1" t="n"/>
      <c r="G177" s="1" t="n"/>
      <c r="H177" s="1" t="n"/>
      <c r="I177" s="1" t="n"/>
      <c r="J177" s="1" t="n"/>
      <c r="K177" s="1" t="n"/>
      <c r="L177" s="1" t="n"/>
    </row>
    <row r="178" ht="15.75" customHeight="1" s="216">
      <c r="A178" s="1" t="n"/>
      <c r="B178" s="1" t="n"/>
      <c r="C178" s="1" t="n"/>
      <c r="D178" s="1" t="n"/>
      <c r="E178" s="1" t="n"/>
      <c r="F178" s="1" t="n"/>
      <c r="G178" s="1" t="n"/>
      <c r="H178" s="1" t="n"/>
      <c r="I178" s="1" t="n"/>
      <c r="J178" s="1" t="n"/>
      <c r="K178" s="1" t="n"/>
      <c r="L178" s="1" t="n"/>
    </row>
    <row r="179" ht="15.75" customHeight="1" s="216">
      <c r="A179" s="1" t="n"/>
      <c r="B179" s="1" t="n"/>
      <c r="C179" s="1" t="n"/>
      <c r="D179" s="1" t="n"/>
      <c r="E179" s="1" t="n"/>
      <c r="F179" s="1" t="n"/>
      <c r="G179" s="1" t="n"/>
      <c r="H179" s="1" t="n"/>
      <c r="I179" s="1" t="n"/>
      <c r="J179" s="1" t="n"/>
      <c r="K179" s="1" t="n"/>
      <c r="L179" s="1" t="n"/>
    </row>
    <row r="180" ht="15.75" customHeight="1" s="216">
      <c r="A180" s="1" t="n"/>
      <c r="B180" s="1" t="n"/>
      <c r="C180" s="1" t="n"/>
      <c r="D180" s="1" t="n"/>
      <c r="E180" s="1" t="n"/>
      <c r="F180" s="1" t="n"/>
      <c r="G180" s="1" t="n"/>
      <c r="H180" s="1" t="n"/>
      <c r="I180" s="1" t="n"/>
      <c r="J180" s="1" t="n"/>
      <c r="K180" s="1" t="n"/>
      <c r="L180" s="1" t="n"/>
    </row>
    <row r="181" ht="15.75" customHeight="1" s="216">
      <c r="A181" s="1" t="n"/>
      <c r="B181" s="1" t="n"/>
      <c r="C181" s="1" t="n"/>
      <c r="D181" s="1" t="n"/>
      <c r="E181" s="1" t="n"/>
      <c r="F181" s="1" t="n"/>
      <c r="G181" s="1" t="n"/>
      <c r="H181" s="1" t="n"/>
      <c r="I181" s="1" t="n"/>
      <c r="J181" s="1" t="n"/>
      <c r="K181" s="1" t="n"/>
      <c r="L181" s="1" t="n"/>
    </row>
    <row r="182" ht="15.75" customHeight="1" s="216">
      <c r="A182" s="1" t="n"/>
      <c r="B182" s="1" t="n"/>
      <c r="C182" s="1" t="n"/>
      <c r="D182" s="1" t="n"/>
      <c r="E182" s="1" t="n"/>
      <c r="F182" s="1" t="n"/>
      <c r="G182" s="1" t="n"/>
      <c r="H182" s="1" t="n"/>
      <c r="I182" s="1" t="n"/>
      <c r="J182" s="1" t="n"/>
      <c r="K182" s="1" t="n"/>
      <c r="L182" s="1" t="n"/>
    </row>
    <row r="183" ht="15.75" customHeight="1" s="216">
      <c r="A183" s="1" t="n"/>
      <c r="B183" s="1" t="n"/>
      <c r="C183" s="1" t="n"/>
      <c r="D183" s="1" t="n"/>
      <c r="E183" s="1" t="n"/>
      <c r="F183" s="1" t="n"/>
      <c r="G183" s="1" t="n"/>
      <c r="H183" s="1" t="n"/>
      <c r="I183" s="1" t="n"/>
      <c r="J183" s="1" t="n"/>
      <c r="K183" s="1" t="n"/>
      <c r="L183" s="1" t="n"/>
    </row>
    <row r="184" ht="15.75" customHeight="1" s="216">
      <c r="A184" s="1" t="n"/>
      <c r="B184" s="1" t="n"/>
      <c r="C184" s="1" t="n"/>
      <c r="D184" s="1" t="n"/>
      <c r="E184" s="1" t="n"/>
      <c r="F184" s="1" t="n"/>
      <c r="G184" s="1" t="n"/>
      <c r="H184" s="1" t="n"/>
      <c r="I184" s="1" t="n"/>
      <c r="J184" s="1" t="n"/>
      <c r="K184" s="1" t="n"/>
      <c r="L184" s="1" t="n"/>
    </row>
    <row r="185" ht="15.75" customHeight="1" s="216">
      <c r="A185" s="1" t="n"/>
      <c r="B185" s="1" t="n"/>
      <c r="C185" s="1" t="n"/>
      <c r="D185" s="1" t="n"/>
      <c r="E185" s="1" t="n"/>
      <c r="F185" s="1" t="n"/>
      <c r="G185" s="1" t="n"/>
      <c r="H185" s="1" t="n"/>
      <c r="I185" s="1" t="n"/>
      <c r="J185" s="1" t="n"/>
      <c r="K185" s="1" t="n"/>
      <c r="L185" s="1" t="n"/>
    </row>
    <row r="186" ht="15.75" customHeight="1" s="216">
      <c r="A186" s="1" t="n"/>
      <c r="B186" s="1" t="n"/>
      <c r="C186" s="1" t="n"/>
      <c r="D186" s="1" t="n"/>
      <c r="E186" s="1" t="n"/>
      <c r="F186" s="1" t="n"/>
      <c r="G186" s="1" t="n"/>
      <c r="H186" s="1" t="n"/>
      <c r="I186" s="1" t="n"/>
      <c r="J186" s="1" t="n"/>
      <c r="K186" s="1" t="n"/>
      <c r="L186" s="1" t="n"/>
    </row>
    <row r="187" ht="15.75" customHeight="1" s="216">
      <c r="A187" s="1" t="n"/>
      <c r="B187" s="1" t="n"/>
      <c r="C187" s="1" t="n"/>
      <c r="D187" s="1" t="n"/>
      <c r="E187" s="1" t="n"/>
      <c r="F187" s="1" t="n"/>
      <c r="G187" s="1" t="n"/>
      <c r="H187" s="1" t="n"/>
      <c r="I187" s="1" t="n"/>
      <c r="J187" s="1" t="n"/>
      <c r="K187" s="1" t="n"/>
      <c r="L187" s="1" t="n"/>
    </row>
    <row r="188" ht="15.75" customHeight="1" s="216">
      <c r="A188" s="1" t="n"/>
      <c r="B188" s="1" t="n"/>
      <c r="C188" s="1" t="n"/>
      <c r="D188" s="1" t="n"/>
      <c r="E188" s="1" t="n"/>
      <c r="F188" s="1" t="n"/>
      <c r="G188" s="1" t="n"/>
      <c r="H188" s="1" t="n"/>
      <c r="I188" s="1" t="n"/>
      <c r="J188" s="1" t="n"/>
      <c r="K188" s="1" t="n"/>
      <c r="L188" s="1" t="n"/>
    </row>
    <row r="189" ht="15.75" customHeight="1" s="216">
      <c r="A189" s="1" t="n"/>
      <c r="B189" s="1" t="n"/>
      <c r="C189" s="1" t="n"/>
      <c r="D189" s="1" t="n"/>
      <c r="E189" s="1" t="n"/>
      <c r="F189" s="1" t="n"/>
      <c r="G189" s="1" t="n"/>
      <c r="H189" s="1" t="n"/>
      <c r="I189" s="1" t="n"/>
      <c r="J189" s="1" t="n"/>
      <c r="K189" s="1" t="n"/>
      <c r="L189" s="1" t="n"/>
    </row>
    <row r="190" ht="15.75" customHeight="1" s="216">
      <c r="A190" s="1" t="n"/>
      <c r="B190" s="1" t="n"/>
      <c r="C190" s="1" t="n"/>
      <c r="D190" s="1" t="n"/>
      <c r="E190" s="1" t="n"/>
      <c r="F190" s="1" t="n"/>
      <c r="G190" s="1" t="n"/>
      <c r="H190" s="1" t="n"/>
      <c r="I190" s="1" t="n"/>
      <c r="J190" s="1" t="n"/>
      <c r="K190" s="1" t="n"/>
      <c r="L190" s="1" t="n"/>
    </row>
    <row r="191" ht="15.75" customHeight="1" s="216">
      <c r="A191" s="1" t="n"/>
      <c r="B191" s="1" t="n"/>
      <c r="C191" s="1" t="n"/>
      <c r="D191" s="1" t="n"/>
      <c r="E191" s="1" t="n"/>
      <c r="F191" s="1" t="n"/>
      <c r="G191" s="1" t="n"/>
      <c r="H191" s="1" t="n"/>
      <c r="I191" s="1" t="n"/>
      <c r="J191" s="1" t="n"/>
      <c r="K191" s="1" t="n"/>
      <c r="L191" s="1" t="n"/>
    </row>
    <row r="192" ht="15.75" customHeight="1" s="216">
      <c r="A192" s="1" t="n"/>
      <c r="B192" s="1" t="n"/>
      <c r="C192" s="1" t="n"/>
      <c r="D192" s="1" t="n"/>
      <c r="E192" s="1" t="n"/>
      <c r="F192" s="1" t="n"/>
      <c r="G192" s="1" t="n"/>
      <c r="H192" s="1" t="n"/>
      <c r="I192" s="1" t="n"/>
      <c r="J192" s="1" t="n"/>
      <c r="K192" s="1" t="n"/>
      <c r="L192" s="1" t="n"/>
    </row>
    <row r="193" ht="15.75" customHeight="1" s="216">
      <c r="A193" s="1" t="n"/>
      <c r="B193" s="1" t="n"/>
      <c r="C193" s="1" t="n"/>
      <c r="D193" s="1" t="n"/>
      <c r="E193" s="1" t="n"/>
      <c r="F193" s="1" t="n"/>
      <c r="G193" s="1" t="n"/>
      <c r="H193" s="1" t="n"/>
      <c r="I193" s="1" t="n"/>
      <c r="J193" s="1" t="n"/>
      <c r="K193" s="1" t="n"/>
      <c r="L193" s="1" t="n"/>
    </row>
    <row r="194" ht="15.75" customHeight="1" s="216">
      <c r="A194" s="1" t="n"/>
      <c r="B194" s="1" t="n"/>
      <c r="C194" s="1" t="n"/>
      <c r="D194" s="1" t="n"/>
      <c r="E194" s="1" t="n"/>
      <c r="F194" s="1" t="n"/>
      <c r="G194" s="1" t="n"/>
      <c r="H194" s="1" t="n"/>
      <c r="I194" s="1" t="n"/>
      <c r="J194" s="1" t="n"/>
      <c r="K194" s="1" t="n"/>
      <c r="L194" s="1" t="n"/>
    </row>
    <row r="195" ht="15.75" customHeight="1" s="216">
      <c r="A195" s="1" t="n"/>
      <c r="B195" s="1" t="n"/>
      <c r="C195" s="1" t="n"/>
      <c r="D195" s="1" t="n"/>
      <c r="E195" s="1" t="n"/>
      <c r="F195" s="1" t="n"/>
      <c r="G195" s="1" t="n"/>
      <c r="H195" s="1" t="n"/>
      <c r="I195" s="1" t="n"/>
      <c r="J195" s="1" t="n"/>
      <c r="K195" s="1" t="n"/>
      <c r="L195" s="1" t="n"/>
    </row>
    <row r="196" ht="15.75" customHeight="1" s="216">
      <c r="A196" s="1" t="n"/>
      <c r="B196" s="1" t="n"/>
      <c r="C196" s="1" t="n"/>
      <c r="D196" s="1" t="n"/>
      <c r="E196" s="1" t="n"/>
      <c r="F196" s="1" t="n"/>
      <c r="G196" s="1" t="n"/>
      <c r="H196" s="1" t="n"/>
      <c r="I196" s="1" t="n"/>
      <c r="J196" s="1" t="n"/>
      <c r="K196" s="1" t="n"/>
      <c r="L196" s="1" t="n"/>
    </row>
    <row r="197" ht="15.75" customHeight="1" s="216">
      <c r="A197" s="1" t="n"/>
      <c r="B197" s="1" t="n"/>
      <c r="C197" s="1" t="n"/>
      <c r="D197" s="1" t="n"/>
      <c r="E197" s="1" t="n"/>
      <c r="F197" s="1" t="n"/>
      <c r="G197" s="1" t="n"/>
      <c r="H197" s="1" t="n"/>
      <c r="I197" s="1" t="n"/>
      <c r="J197" s="1" t="n"/>
      <c r="K197" s="1" t="n"/>
      <c r="L197" s="1" t="n"/>
    </row>
    <row r="198" ht="15.75" customHeight="1" s="216">
      <c r="A198" s="1" t="n"/>
      <c r="B198" s="1" t="n"/>
      <c r="C198" s="1" t="n"/>
      <c r="D198" s="1" t="n"/>
      <c r="E198" s="1" t="n"/>
      <c r="F198" s="1" t="n"/>
      <c r="G198" s="1" t="n"/>
      <c r="H198" s="1" t="n"/>
      <c r="I198" s="1" t="n"/>
      <c r="J198" s="1" t="n"/>
      <c r="K198" s="1" t="n"/>
      <c r="L198" s="1" t="n"/>
    </row>
    <row r="199" ht="15.75" customHeight="1" s="216">
      <c r="A199" s="1" t="n"/>
      <c r="B199" s="1" t="n"/>
      <c r="C199" s="1" t="n"/>
      <c r="D199" s="1" t="n"/>
      <c r="E199" s="1" t="n"/>
      <c r="F199" s="1" t="n"/>
      <c r="G199" s="1" t="n"/>
      <c r="H199" s="1" t="n"/>
      <c r="I199" s="1" t="n"/>
      <c r="J199" s="1" t="n"/>
      <c r="K199" s="1" t="n"/>
      <c r="L199" s="1" t="n"/>
    </row>
    <row r="200" ht="15.75" customHeight="1" s="216">
      <c r="A200" s="1" t="n"/>
      <c r="B200" s="1" t="n"/>
      <c r="C200" s="1" t="n"/>
      <c r="D200" s="1" t="n"/>
      <c r="E200" s="1" t="n"/>
      <c r="F200" s="1" t="n"/>
      <c r="G200" s="1" t="n"/>
      <c r="H200" s="1" t="n"/>
      <c r="I200" s="1" t="n"/>
      <c r="J200" s="1" t="n"/>
      <c r="K200" s="1" t="n"/>
      <c r="L200" s="1" t="n"/>
    </row>
    <row r="201" ht="15.75" customHeight="1" s="216">
      <c r="A201" s="1" t="n"/>
      <c r="B201" s="1" t="n"/>
      <c r="C201" s="1" t="n"/>
      <c r="D201" s="1" t="n"/>
      <c r="E201" s="1" t="n"/>
      <c r="F201" s="1" t="n"/>
      <c r="G201" s="1" t="n"/>
      <c r="H201" s="1" t="n"/>
      <c r="I201" s="1" t="n"/>
      <c r="J201" s="1" t="n"/>
      <c r="K201" s="1" t="n"/>
      <c r="L201" s="1" t="n"/>
    </row>
    <row r="202" ht="15.75" customHeight="1" s="216">
      <c r="A202" s="1" t="n"/>
      <c r="B202" s="1" t="n"/>
      <c r="C202" s="1" t="n"/>
      <c r="D202" s="1" t="n"/>
      <c r="E202" s="1" t="n"/>
      <c r="F202" s="1" t="n"/>
      <c r="G202" s="1" t="n"/>
      <c r="H202" s="1" t="n"/>
      <c r="I202" s="1" t="n"/>
      <c r="J202" s="1" t="n"/>
      <c r="K202" s="1" t="n"/>
      <c r="L202" s="1" t="n"/>
    </row>
    <row r="203" ht="15.75" customHeight="1" s="216">
      <c r="A203" s="1" t="n"/>
      <c r="B203" s="1" t="n"/>
      <c r="C203" s="1" t="n"/>
      <c r="D203" s="1" t="n"/>
      <c r="E203" s="1" t="n"/>
      <c r="F203" s="1" t="n"/>
      <c r="G203" s="1" t="n"/>
      <c r="H203" s="1" t="n"/>
      <c r="I203" s="1" t="n"/>
      <c r="J203" s="1" t="n"/>
      <c r="K203" s="1" t="n"/>
      <c r="L203" s="1" t="n"/>
    </row>
    <row r="204" ht="15.75" customHeight="1" s="216">
      <c r="A204" s="1" t="n"/>
      <c r="B204" s="1" t="n"/>
      <c r="C204" s="1" t="n"/>
      <c r="D204" s="1" t="n"/>
      <c r="E204" s="1" t="n"/>
      <c r="F204" s="1" t="n"/>
      <c r="G204" s="1" t="n"/>
      <c r="H204" s="1" t="n"/>
      <c r="I204" s="1" t="n"/>
      <c r="J204" s="1" t="n"/>
      <c r="K204" s="1" t="n"/>
      <c r="L204" s="1" t="n"/>
    </row>
    <row r="205" ht="15.75" customHeight="1" s="216">
      <c r="A205" s="1" t="n"/>
      <c r="B205" s="1" t="n"/>
      <c r="C205" s="1" t="n"/>
      <c r="D205" s="1" t="n"/>
      <c r="E205" s="1" t="n"/>
      <c r="F205" s="1" t="n"/>
      <c r="G205" s="1" t="n"/>
      <c r="H205" s="1" t="n"/>
      <c r="I205" s="1" t="n"/>
      <c r="J205" s="1" t="n"/>
      <c r="K205" s="1" t="n"/>
      <c r="L205" s="1" t="n"/>
    </row>
    <row r="206" ht="15.75" customHeight="1" s="216">
      <c r="A206" s="1" t="n"/>
      <c r="B206" s="1" t="n"/>
      <c r="C206" s="1" t="n"/>
      <c r="D206" s="1" t="n"/>
      <c r="E206" s="1" t="n"/>
      <c r="F206" s="1" t="n"/>
      <c r="G206" s="1" t="n"/>
      <c r="H206" s="1" t="n"/>
      <c r="I206" s="1" t="n"/>
      <c r="J206" s="1" t="n"/>
      <c r="K206" s="1" t="n"/>
      <c r="L206" s="1" t="n"/>
    </row>
    <row r="207" ht="15.75" customHeight="1" s="216">
      <c r="A207" s="1" t="n"/>
      <c r="B207" s="1" t="n"/>
      <c r="C207" s="1" t="n"/>
      <c r="D207" s="1" t="n"/>
      <c r="E207" s="1" t="n"/>
      <c r="F207" s="1" t="n"/>
      <c r="G207" s="1" t="n"/>
      <c r="H207" s="1" t="n"/>
      <c r="I207" s="1" t="n"/>
      <c r="J207" s="1" t="n"/>
      <c r="K207" s="1" t="n"/>
      <c r="L207" s="1" t="n"/>
    </row>
    <row r="208" ht="15.75" customHeight="1" s="216">
      <c r="A208" s="1" t="n"/>
      <c r="B208" s="1" t="n"/>
      <c r="C208" s="1" t="n"/>
      <c r="D208" s="1" t="n"/>
      <c r="E208" s="1" t="n"/>
      <c r="F208" s="1" t="n"/>
      <c r="G208" s="1" t="n"/>
      <c r="H208" s="1" t="n"/>
      <c r="I208" s="1" t="n"/>
      <c r="J208" s="1" t="n"/>
      <c r="K208" s="1" t="n"/>
      <c r="L208" s="1" t="n"/>
    </row>
    <row r="209" ht="15.75" customHeight="1" s="216">
      <c r="A209" s="1" t="n"/>
      <c r="B209" s="1" t="n"/>
      <c r="C209" s="1" t="n"/>
      <c r="D209" s="1" t="n"/>
      <c r="E209" s="1" t="n"/>
      <c r="F209" s="1" t="n"/>
      <c r="G209" s="1" t="n"/>
      <c r="H209" s="1" t="n"/>
      <c r="I209" s="1" t="n"/>
      <c r="J209" s="1" t="n"/>
      <c r="K209" s="1" t="n"/>
      <c r="L209" s="1" t="n"/>
    </row>
    <row r="210" ht="15.75" customHeight="1" s="216">
      <c r="A210" s="1" t="n"/>
      <c r="B210" s="1" t="n"/>
      <c r="C210" s="1" t="n"/>
      <c r="D210" s="1" t="n"/>
      <c r="E210" s="1" t="n"/>
      <c r="F210" s="1" t="n"/>
      <c r="G210" s="1" t="n"/>
      <c r="H210" s="1" t="n"/>
      <c r="I210" s="1" t="n"/>
      <c r="J210" s="1" t="n"/>
      <c r="K210" s="1" t="n"/>
      <c r="L210" s="1" t="n"/>
    </row>
    <row r="211" ht="15.75" customHeight="1" s="216">
      <c r="A211" s="1" t="n"/>
      <c r="B211" s="1" t="n"/>
      <c r="C211" s="1" t="n"/>
      <c r="D211" s="1" t="n"/>
      <c r="E211" s="1" t="n"/>
      <c r="F211" s="1" t="n"/>
      <c r="G211" s="1" t="n"/>
      <c r="H211" s="1" t="n"/>
      <c r="I211" s="1" t="n"/>
      <c r="J211" s="1" t="n"/>
      <c r="K211" s="1" t="n"/>
      <c r="L211" s="1" t="n"/>
    </row>
    <row r="212" ht="15.75" customHeight="1" s="216">
      <c r="A212" s="1" t="n"/>
      <c r="B212" s="1" t="n"/>
      <c r="C212" s="1" t="n"/>
      <c r="D212" s="1" t="n"/>
      <c r="E212" s="1" t="n"/>
      <c r="F212" s="1" t="n"/>
      <c r="G212" s="1" t="n"/>
      <c r="H212" s="1" t="n"/>
      <c r="I212" s="1" t="n"/>
      <c r="J212" s="1" t="n"/>
      <c r="K212" s="1" t="n"/>
      <c r="L212" s="1" t="n"/>
    </row>
    <row r="213" ht="15.75" customHeight="1" s="216">
      <c r="A213" s="1" t="n"/>
      <c r="B213" s="1" t="n"/>
      <c r="C213" s="1" t="n"/>
      <c r="D213" s="1" t="n"/>
      <c r="E213" s="1" t="n"/>
      <c r="F213" s="1" t="n"/>
      <c r="G213" s="1" t="n"/>
      <c r="H213" s="1" t="n"/>
      <c r="I213" s="1" t="n"/>
      <c r="J213" s="1" t="n"/>
      <c r="K213" s="1" t="n"/>
      <c r="L213" s="1" t="n"/>
    </row>
    <row r="214" ht="15.75" customHeight="1" s="216">
      <c r="A214" s="1" t="n"/>
      <c r="B214" s="1" t="n"/>
      <c r="C214" s="1" t="n"/>
      <c r="D214" s="1" t="n"/>
      <c r="E214" s="1" t="n"/>
      <c r="F214" s="1" t="n"/>
      <c r="G214" s="1" t="n"/>
      <c r="H214" s="1" t="n"/>
      <c r="I214" s="1" t="n"/>
      <c r="J214" s="1" t="n"/>
      <c r="K214" s="1" t="n"/>
      <c r="L214" s="1" t="n"/>
    </row>
    <row r="215" ht="15.75" customHeight="1" s="216">
      <c r="A215" s="1" t="n"/>
      <c r="B215" s="1" t="n"/>
      <c r="C215" s="1" t="n"/>
      <c r="D215" s="1" t="n"/>
      <c r="E215" s="1" t="n"/>
      <c r="F215" s="1" t="n"/>
      <c r="G215" s="1" t="n"/>
      <c r="H215" s="1" t="n"/>
      <c r="I215" s="1" t="n"/>
      <c r="J215" s="1" t="n"/>
      <c r="K215" s="1" t="n"/>
      <c r="L215" s="1" t="n"/>
    </row>
    <row r="216" ht="15.75" customHeight="1" s="216">
      <c r="A216" s="1" t="n"/>
      <c r="B216" s="1" t="n"/>
      <c r="C216" s="1" t="n"/>
      <c r="D216" s="1" t="n"/>
      <c r="E216" s="1" t="n"/>
      <c r="F216" s="1" t="n"/>
      <c r="G216" s="1" t="n"/>
      <c r="H216" s="1" t="n"/>
      <c r="I216" s="1" t="n"/>
      <c r="J216" s="1" t="n"/>
      <c r="K216" s="1" t="n"/>
      <c r="L216" s="1" t="n"/>
    </row>
    <row r="217" ht="15.75" customHeight="1" s="216">
      <c r="A217" s="1" t="n"/>
      <c r="B217" s="1" t="n"/>
      <c r="C217" s="1" t="n"/>
      <c r="D217" s="1" t="n"/>
      <c r="E217" s="1" t="n"/>
      <c r="F217" s="1" t="n"/>
      <c r="G217" s="1" t="n"/>
      <c r="H217" s="1" t="n"/>
      <c r="I217" s="1" t="n"/>
      <c r="J217" s="1" t="n"/>
      <c r="K217" s="1" t="n"/>
      <c r="L217" s="1" t="n"/>
    </row>
    <row r="218" ht="15.75" customHeight="1" s="216">
      <c r="A218" s="1" t="n"/>
      <c r="B218" s="1" t="n"/>
      <c r="C218" s="1" t="n"/>
      <c r="D218" s="1" t="n"/>
      <c r="E218" s="1" t="n"/>
      <c r="F218" s="1" t="n"/>
      <c r="G218" s="1" t="n"/>
      <c r="H218" s="1" t="n"/>
      <c r="I218" s="1" t="n"/>
      <c r="J218" s="1" t="n"/>
      <c r="K218" s="1" t="n"/>
      <c r="L218" s="1" t="n"/>
    </row>
    <row r="219" ht="15.75" customHeight="1" s="216">
      <c r="A219" s="1" t="n"/>
      <c r="B219" s="1" t="n"/>
      <c r="C219" s="1" t="n"/>
      <c r="D219" s="1" t="n"/>
      <c r="E219" s="1" t="n"/>
      <c r="F219" s="1" t="n"/>
      <c r="G219" s="1" t="n"/>
      <c r="H219" s="1" t="n"/>
      <c r="I219" s="1" t="n"/>
      <c r="J219" s="1" t="n"/>
      <c r="K219" s="1" t="n"/>
      <c r="L219" s="1" t="n"/>
    </row>
    <row r="220" ht="15.75" customHeight="1" s="216">
      <c r="A220" s="1" t="n"/>
      <c r="B220" s="1" t="n"/>
      <c r="C220" s="1" t="n"/>
      <c r="D220" s="1" t="n"/>
      <c r="E220" s="1" t="n"/>
      <c r="F220" s="1" t="n"/>
      <c r="G220" s="1" t="n"/>
      <c r="H220" s="1" t="n"/>
      <c r="I220" s="1" t="n"/>
      <c r="J220" s="1" t="n"/>
      <c r="K220" s="1" t="n"/>
      <c r="L220" s="1" t="n"/>
    </row>
    <row r="221" ht="15.75" customHeight="1" s="216"/>
    <row r="222" ht="15.75" customHeight="1" s="216"/>
    <row r="223" ht="15.75" customHeight="1" s="216"/>
    <row r="224" ht="15.75" customHeight="1" s="216"/>
    <row r="225" ht="15.75" customHeight="1" s="216"/>
    <row r="226" ht="15.75" customHeight="1" s="216"/>
    <row r="227" ht="15.75" customHeight="1" s="216"/>
    <row r="228" ht="15.75" customHeight="1" s="216"/>
    <row r="229" ht="15.75" customHeight="1" s="216"/>
    <row r="230" ht="15.75" customHeight="1" s="216"/>
    <row r="231" ht="15.75" customHeight="1" s="216"/>
    <row r="232" ht="15.75" customHeight="1" s="216"/>
    <row r="233" ht="15.75" customHeight="1" s="216"/>
    <row r="234" ht="15.75" customHeight="1" s="216"/>
    <row r="235" ht="15.75" customHeight="1" s="216"/>
    <row r="236" ht="15.75" customHeight="1" s="216"/>
    <row r="237" ht="15.75" customHeight="1" s="216"/>
    <row r="238" ht="15.75" customHeight="1" s="216"/>
    <row r="239" ht="15.75" customHeight="1" s="216"/>
    <row r="240" ht="15.75" customHeight="1" s="216"/>
    <row r="241" ht="15.75" customHeight="1" s="216"/>
    <row r="242" ht="15.75" customHeight="1" s="216"/>
    <row r="243" ht="15.75" customHeight="1" s="216"/>
    <row r="244" ht="15.75" customHeight="1" s="216"/>
    <row r="245" ht="15.75" customHeight="1" s="216"/>
    <row r="246" ht="15.75" customHeight="1" s="216"/>
    <row r="247" ht="15.75" customHeight="1" s="216"/>
    <row r="248" ht="15.75" customHeight="1" s="216"/>
    <row r="249" ht="15.75" customHeight="1" s="216"/>
    <row r="250" ht="15.75" customHeight="1" s="216"/>
    <row r="251" ht="15.75" customHeight="1" s="216"/>
    <row r="252" ht="15.75" customHeight="1" s="216"/>
    <row r="253" ht="15.75" customHeight="1" s="216"/>
    <row r="254" ht="15.75" customHeight="1" s="216"/>
    <row r="255" ht="15.75" customHeight="1" s="216"/>
    <row r="256" ht="15.75" customHeight="1" s="216"/>
    <row r="257" ht="15.75" customHeight="1" s="216"/>
    <row r="258" ht="15.75" customHeight="1" s="216"/>
    <row r="259" ht="15.75" customHeight="1" s="216"/>
    <row r="260" ht="15.75" customHeight="1" s="216"/>
    <row r="261" ht="15.75" customHeight="1" s="216"/>
    <row r="262" ht="15.75" customHeight="1" s="216"/>
    <row r="263" ht="15.75" customHeight="1" s="216"/>
    <row r="264" ht="15.75" customHeight="1" s="216"/>
    <row r="265" ht="15.75" customHeight="1" s="216"/>
    <row r="266" ht="15.75" customHeight="1" s="216"/>
    <row r="267" ht="15.75" customHeight="1" s="216"/>
    <row r="268" ht="15.75" customHeight="1" s="216"/>
    <row r="269" ht="15.75" customHeight="1" s="216"/>
    <row r="270" ht="15.75" customHeight="1" s="216"/>
    <row r="271" ht="15.75" customHeight="1" s="216"/>
    <row r="272" ht="15.75" customHeight="1" s="216"/>
    <row r="273" ht="15.75" customHeight="1" s="216"/>
    <row r="274" ht="15.75" customHeight="1" s="216"/>
    <row r="275" ht="15.75" customHeight="1" s="216"/>
    <row r="276" ht="15.75" customHeight="1" s="216"/>
    <row r="277" ht="15.75" customHeight="1" s="216"/>
    <row r="278" ht="15.75" customHeight="1" s="216"/>
    <row r="279" ht="15.75" customHeight="1" s="216"/>
    <row r="280" ht="15.75" customHeight="1" s="216"/>
    <row r="281" ht="15.75" customHeight="1" s="216"/>
    <row r="282" ht="15.75" customHeight="1" s="216"/>
    <row r="283" ht="15.75" customHeight="1" s="216"/>
    <row r="284" ht="15.75" customHeight="1" s="216"/>
    <row r="285" ht="15.75" customHeight="1" s="216"/>
    <row r="286" ht="15.75" customHeight="1" s="216"/>
    <row r="287" ht="15.75" customHeight="1" s="216"/>
    <row r="288" ht="15.75" customHeight="1" s="216"/>
    <row r="289" ht="15.75" customHeight="1" s="216"/>
    <row r="290" ht="15.75" customHeight="1" s="216"/>
    <row r="291" ht="15.75" customHeight="1" s="216"/>
    <row r="292" ht="15.75" customHeight="1" s="216"/>
    <row r="293" ht="15.75" customHeight="1" s="216"/>
    <row r="294" ht="15.75" customHeight="1" s="216"/>
    <row r="295" ht="15.75" customHeight="1" s="216"/>
    <row r="296" ht="15.75" customHeight="1" s="216"/>
    <row r="297" ht="15.75" customHeight="1" s="216"/>
    <row r="298" ht="15.75" customHeight="1" s="216"/>
    <row r="299" ht="15.75" customHeight="1" s="216"/>
    <row r="300" ht="15.75" customHeight="1" s="216"/>
    <row r="301" ht="15.75" customHeight="1" s="216"/>
    <row r="302" ht="15.75" customHeight="1" s="216"/>
    <row r="303" ht="15.75" customHeight="1" s="216"/>
    <row r="304" ht="15.75" customHeight="1" s="216"/>
    <row r="305" ht="15.75" customHeight="1" s="216"/>
    <row r="306" ht="15.75" customHeight="1" s="216"/>
    <row r="307" ht="15.75" customHeight="1" s="216"/>
    <row r="308" ht="15.75" customHeight="1" s="216"/>
    <row r="309" ht="15.75" customHeight="1" s="216"/>
    <row r="310" ht="15.75" customHeight="1" s="216"/>
    <row r="311" ht="15.75" customHeight="1" s="216"/>
    <row r="312" ht="15.75" customHeight="1" s="216"/>
    <row r="313" ht="15.75" customHeight="1" s="216"/>
    <row r="314" ht="15.75" customHeight="1" s="216"/>
    <row r="315" ht="15.75" customHeight="1" s="216"/>
    <row r="316" ht="15.75" customHeight="1" s="216"/>
    <row r="317" ht="15.75" customHeight="1" s="216"/>
    <row r="318" ht="15.75" customHeight="1" s="216"/>
    <row r="319" ht="15.75" customHeight="1" s="216"/>
    <row r="320" ht="15.75" customHeight="1" s="216"/>
    <row r="321" ht="15.75" customHeight="1" s="216"/>
    <row r="322" ht="15.75" customHeight="1" s="216"/>
    <row r="323" ht="15.75" customHeight="1" s="216"/>
    <row r="324" ht="15.75" customHeight="1" s="216"/>
    <row r="325" ht="15.75" customHeight="1" s="216"/>
    <row r="326" ht="15.75" customHeight="1" s="216"/>
    <row r="327" ht="15.75" customHeight="1" s="216"/>
    <row r="328" ht="15.75" customHeight="1" s="216"/>
    <row r="329" ht="15.75" customHeight="1" s="216"/>
    <row r="330" ht="15.75" customHeight="1" s="216"/>
    <row r="331" ht="15.75" customHeight="1" s="216"/>
    <row r="332" ht="15.75" customHeight="1" s="216"/>
    <row r="333" ht="15.75" customHeight="1" s="216"/>
    <row r="334" ht="15.75" customHeight="1" s="216"/>
    <row r="335" ht="15.75" customHeight="1" s="216"/>
    <row r="336" ht="15.75" customHeight="1" s="216"/>
    <row r="337" ht="15.75" customHeight="1" s="216"/>
    <row r="338" ht="15.75" customHeight="1" s="216"/>
    <row r="339" ht="15.75" customHeight="1" s="216"/>
    <row r="340" ht="15.75" customHeight="1" s="216"/>
    <row r="341" ht="15.75" customHeight="1" s="216"/>
    <row r="342" ht="15.75" customHeight="1" s="216"/>
    <row r="343" ht="15.75" customHeight="1" s="216"/>
    <row r="344" ht="15.75" customHeight="1" s="216"/>
    <row r="345" ht="15.75" customHeight="1" s="216"/>
    <row r="346" ht="15.75" customHeight="1" s="216"/>
    <row r="347" ht="15.75" customHeight="1" s="216"/>
    <row r="348" ht="15.75" customHeight="1" s="216"/>
    <row r="349" ht="15.75" customHeight="1" s="216"/>
    <row r="350" ht="15.75" customHeight="1" s="216"/>
    <row r="351" ht="15.75" customHeight="1" s="216"/>
    <row r="352" ht="15.75" customHeight="1" s="216"/>
    <row r="353" ht="15.75" customHeight="1" s="216"/>
    <row r="354" ht="15.75" customHeight="1" s="216"/>
    <row r="355" ht="15.75" customHeight="1" s="216"/>
    <row r="356" ht="15.75" customHeight="1" s="216"/>
    <row r="357" ht="15.75" customHeight="1" s="216"/>
    <row r="358" ht="15.75" customHeight="1" s="216"/>
    <row r="359" ht="15.75" customHeight="1" s="216"/>
    <row r="360" ht="15.75" customHeight="1" s="216"/>
    <row r="361" ht="15.75" customHeight="1" s="216"/>
    <row r="362" ht="15.75" customHeight="1" s="216"/>
    <row r="363" ht="15.75" customHeight="1" s="216"/>
    <row r="364" ht="15.75" customHeight="1" s="216"/>
    <row r="365" ht="15.75" customHeight="1" s="216"/>
    <row r="366" ht="15.75" customHeight="1" s="216"/>
    <row r="367" ht="15.75" customHeight="1" s="216"/>
    <row r="368" ht="15.75" customHeight="1" s="216"/>
    <row r="369" ht="15.75" customHeight="1" s="216"/>
    <row r="370" ht="15.75" customHeight="1" s="216"/>
    <row r="371" ht="15.75" customHeight="1" s="216"/>
    <row r="372" ht="15.75" customHeight="1" s="216"/>
    <row r="373" ht="15.75" customHeight="1" s="216"/>
    <row r="374" ht="15.75" customHeight="1" s="216"/>
    <row r="375" ht="15.75" customHeight="1" s="216"/>
    <row r="376" ht="15.75" customHeight="1" s="216"/>
    <row r="377" ht="15.75" customHeight="1" s="216"/>
    <row r="378" ht="15.75" customHeight="1" s="216"/>
    <row r="379" ht="15.75" customHeight="1" s="216"/>
    <row r="380" ht="15.75" customHeight="1" s="216"/>
    <row r="381" ht="15.75" customHeight="1" s="216"/>
    <row r="382" ht="15.75" customHeight="1" s="216"/>
    <row r="383" ht="15.75" customHeight="1" s="216"/>
    <row r="384" ht="15.75" customHeight="1" s="216"/>
    <row r="385" ht="15.75" customHeight="1" s="216"/>
    <row r="386" ht="15.75" customHeight="1" s="216"/>
    <row r="387" ht="15.75" customHeight="1" s="216"/>
    <row r="388" ht="15.75" customHeight="1" s="216"/>
    <row r="389" ht="15.75" customHeight="1" s="216"/>
    <row r="390" ht="15.75" customHeight="1" s="216"/>
    <row r="391" ht="15.75" customHeight="1" s="216"/>
    <row r="392" ht="15.75" customHeight="1" s="216"/>
    <row r="393" ht="15.75" customHeight="1" s="216"/>
    <row r="394" ht="15.75" customHeight="1" s="216"/>
    <row r="395" ht="15.75" customHeight="1" s="216"/>
    <row r="396" ht="15.75" customHeight="1" s="216"/>
    <row r="397" ht="15.75" customHeight="1" s="216"/>
    <row r="398" ht="15.75" customHeight="1" s="216"/>
    <row r="399" ht="15.75" customHeight="1" s="216"/>
    <row r="400" ht="15.75" customHeight="1" s="216"/>
    <row r="401" ht="15.75" customHeight="1" s="216"/>
    <row r="402" ht="15.75" customHeight="1" s="216"/>
    <row r="403" ht="15.75" customHeight="1" s="216"/>
    <row r="404" ht="15.75" customHeight="1" s="216"/>
    <row r="405" ht="15.75" customHeight="1" s="216"/>
    <row r="406" ht="15.75" customHeight="1" s="216"/>
    <row r="407" ht="15.75" customHeight="1" s="216"/>
    <row r="408" ht="15.75" customHeight="1" s="216"/>
    <row r="409" ht="15.75" customHeight="1" s="216"/>
    <row r="410" ht="15.75" customHeight="1" s="216"/>
    <row r="411" ht="15.75" customHeight="1" s="216"/>
    <row r="412" ht="15.75" customHeight="1" s="216"/>
    <row r="413" ht="15.75" customHeight="1" s="216"/>
    <row r="414" ht="15.75" customHeight="1" s="216"/>
    <row r="415" ht="15.75" customHeight="1" s="216"/>
    <row r="416" ht="15.75" customHeight="1" s="216"/>
    <row r="417" ht="15.75" customHeight="1" s="216"/>
    <row r="418" ht="15.75" customHeight="1" s="216"/>
    <row r="419" ht="15.75" customHeight="1" s="216"/>
    <row r="420" ht="15.75" customHeight="1" s="216"/>
    <row r="421" ht="15.75" customHeight="1" s="216"/>
    <row r="422" ht="15.75" customHeight="1" s="216"/>
    <row r="423" ht="15.75" customHeight="1" s="216"/>
    <row r="424" ht="15.75" customHeight="1" s="216"/>
    <row r="425" ht="15.75" customHeight="1" s="216"/>
    <row r="426" ht="15.75" customHeight="1" s="216"/>
    <row r="427" ht="15.75" customHeight="1" s="216"/>
    <row r="428" ht="15.75" customHeight="1" s="216"/>
    <row r="429" ht="15.75" customHeight="1" s="216"/>
    <row r="430" ht="15.75" customHeight="1" s="216"/>
    <row r="431" ht="15.75" customHeight="1" s="216"/>
    <row r="432" ht="15.75" customHeight="1" s="216"/>
    <row r="433" ht="15.75" customHeight="1" s="216"/>
    <row r="434" ht="15.75" customHeight="1" s="216"/>
    <row r="435" ht="15.75" customHeight="1" s="216"/>
    <row r="436" ht="15.75" customHeight="1" s="216"/>
    <row r="437" ht="15.75" customHeight="1" s="216"/>
    <row r="438" ht="15.75" customHeight="1" s="216"/>
    <row r="439" ht="15.75" customHeight="1" s="216"/>
    <row r="440" ht="15.75" customHeight="1" s="216"/>
    <row r="441" ht="15.75" customHeight="1" s="216"/>
    <row r="442" ht="15.75" customHeight="1" s="216"/>
    <row r="443" ht="15.75" customHeight="1" s="216"/>
    <row r="444" ht="15.75" customHeight="1" s="216"/>
    <row r="445" ht="15.75" customHeight="1" s="216"/>
    <row r="446" ht="15.75" customHeight="1" s="216"/>
    <row r="447" ht="15.75" customHeight="1" s="216"/>
    <row r="448" ht="15.75" customHeight="1" s="216"/>
    <row r="449" ht="15.75" customHeight="1" s="216"/>
    <row r="450" ht="15.75" customHeight="1" s="216"/>
    <row r="451" ht="15.75" customHeight="1" s="216"/>
    <row r="452" ht="15.75" customHeight="1" s="216"/>
    <row r="453" ht="15.75" customHeight="1" s="216"/>
    <row r="454" ht="15.75" customHeight="1" s="216"/>
    <row r="455" ht="15.75" customHeight="1" s="216"/>
    <row r="456" ht="15.75" customHeight="1" s="216"/>
    <row r="457" ht="15.75" customHeight="1" s="216"/>
    <row r="458" ht="15.75" customHeight="1" s="216"/>
    <row r="459" ht="15.75" customHeight="1" s="216"/>
    <row r="460" ht="15.75" customHeight="1" s="216"/>
    <row r="461" ht="15.75" customHeight="1" s="216"/>
    <row r="462" ht="15.75" customHeight="1" s="216"/>
    <row r="463" ht="15.75" customHeight="1" s="216"/>
    <row r="464" ht="15.75" customHeight="1" s="216"/>
    <row r="465" ht="15.75" customHeight="1" s="216"/>
    <row r="466" ht="15.75" customHeight="1" s="216"/>
    <row r="467" ht="15.75" customHeight="1" s="216"/>
    <row r="468" ht="15.75" customHeight="1" s="216"/>
    <row r="469" ht="15.75" customHeight="1" s="216"/>
    <row r="470" ht="15.75" customHeight="1" s="216"/>
    <row r="471" ht="15.75" customHeight="1" s="216"/>
    <row r="472" ht="15.75" customHeight="1" s="216"/>
    <row r="473" ht="15.75" customHeight="1" s="216"/>
    <row r="474" ht="15.75" customHeight="1" s="216"/>
    <row r="475" ht="15.75" customHeight="1" s="216"/>
    <row r="476" ht="15.75" customHeight="1" s="216"/>
    <row r="477" ht="15.75" customHeight="1" s="216"/>
    <row r="478" ht="15.75" customHeight="1" s="216"/>
    <row r="479" ht="15.75" customHeight="1" s="216"/>
    <row r="480" ht="15.75" customHeight="1" s="216"/>
    <row r="481" ht="15.75" customHeight="1" s="216"/>
    <row r="482" ht="15.75" customHeight="1" s="216"/>
    <row r="483" ht="15.75" customHeight="1" s="216"/>
    <row r="484" ht="15.75" customHeight="1" s="216"/>
    <row r="485" ht="15.75" customHeight="1" s="216"/>
    <row r="486" ht="15.75" customHeight="1" s="216"/>
    <row r="487" ht="15.75" customHeight="1" s="216"/>
    <row r="488" ht="15.75" customHeight="1" s="216"/>
    <row r="489" ht="15.75" customHeight="1" s="216"/>
    <row r="490" ht="15.75" customHeight="1" s="216"/>
    <row r="491" ht="15.75" customHeight="1" s="216"/>
    <row r="492" ht="15.75" customHeight="1" s="216"/>
    <row r="493" ht="15.75" customHeight="1" s="216"/>
    <row r="494" ht="15.75" customHeight="1" s="216"/>
    <row r="495" ht="15.75" customHeight="1" s="216"/>
    <row r="496" ht="15.75" customHeight="1" s="216"/>
    <row r="497" ht="15.75" customHeight="1" s="216"/>
    <row r="498" ht="15.75" customHeight="1" s="216"/>
    <row r="499" ht="15.75" customHeight="1" s="216"/>
    <row r="500" ht="15.75" customHeight="1" s="216"/>
    <row r="501" ht="15.75" customHeight="1" s="216"/>
    <row r="502" ht="15.75" customHeight="1" s="216"/>
    <row r="503" ht="15.75" customHeight="1" s="216"/>
    <row r="504" ht="15.75" customHeight="1" s="216"/>
    <row r="505" ht="15.75" customHeight="1" s="216"/>
    <row r="506" ht="15.75" customHeight="1" s="216"/>
    <row r="507" ht="15.75" customHeight="1" s="216"/>
    <row r="508" ht="15.75" customHeight="1" s="216"/>
    <row r="509" ht="15.75" customHeight="1" s="216"/>
    <row r="510" ht="15.75" customHeight="1" s="216"/>
    <row r="511" ht="15.75" customHeight="1" s="216"/>
    <row r="512" ht="15.75" customHeight="1" s="216"/>
    <row r="513" ht="15.75" customHeight="1" s="216"/>
    <row r="514" ht="15.75" customHeight="1" s="216"/>
    <row r="515" ht="15.75" customHeight="1" s="216"/>
    <row r="516" ht="15.75" customHeight="1" s="216"/>
    <row r="517" ht="15.75" customHeight="1" s="216"/>
    <row r="518" ht="15.75" customHeight="1" s="216"/>
    <row r="519" ht="15.75" customHeight="1" s="216"/>
    <row r="520" ht="15.75" customHeight="1" s="216"/>
    <row r="521" ht="15.75" customHeight="1" s="216"/>
    <row r="522" ht="15.75" customHeight="1" s="216"/>
    <row r="523" ht="15.75" customHeight="1" s="216"/>
    <row r="524" ht="15.75" customHeight="1" s="216"/>
    <row r="525" ht="15.75" customHeight="1" s="216"/>
    <row r="526" ht="15.75" customHeight="1" s="216"/>
    <row r="527" ht="15.75" customHeight="1" s="216"/>
    <row r="528" ht="15.75" customHeight="1" s="216"/>
    <row r="529" ht="15.75" customHeight="1" s="216"/>
    <row r="530" ht="15.75" customHeight="1" s="216"/>
    <row r="531" ht="15.75" customHeight="1" s="216"/>
    <row r="532" ht="15.75" customHeight="1" s="216"/>
    <row r="533" ht="15.75" customHeight="1" s="216"/>
    <row r="534" ht="15.75" customHeight="1" s="216"/>
    <row r="535" ht="15.75" customHeight="1" s="216"/>
    <row r="536" ht="15.75" customHeight="1" s="216"/>
    <row r="537" ht="15.75" customHeight="1" s="216"/>
    <row r="538" ht="15.75" customHeight="1" s="216"/>
    <row r="539" ht="15.75" customHeight="1" s="216"/>
    <row r="540" ht="15.75" customHeight="1" s="216"/>
    <row r="541" ht="15.75" customHeight="1" s="216"/>
    <row r="542" ht="15.75" customHeight="1" s="216"/>
    <row r="543" ht="15.75" customHeight="1" s="216"/>
    <row r="544" ht="15.75" customHeight="1" s="216"/>
    <row r="545" ht="15.75" customHeight="1" s="216"/>
    <row r="546" ht="15.75" customHeight="1" s="216"/>
    <row r="547" ht="15.75" customHeight="1" s="216"/>
    <row r="548" ht="15.75" customHeight="1" s="216"/>
    <row r="549" ht="15.75" customHeight="1" s="216"/>
    <row r="550" ht="15.75" customHeight="1" s="216"/>
    <row r="551" ht="15.75" customHeight="1" s="216"/>
    <row r="552" ht="15.75" customHeight="1" s="216"/>
    <row r="553" ht="15.75" customHeight="1" s="216"/>
    <row r="554" ht="15.75" customHeight="1" s="216"/>
    <row r="555" ht="15.75" customHeight="1" s="216"/>
    <row r="556" ht="15.75" customHeight="1" s="216"/>
    <row r="557" ht="15.75" customHeight="1" s="216"/>
    <row r="558" ht="15.75" customHeight="1" s="216"/>
    <row r="559" ht="15.75" customHeight="1" s="216"/>
    <row r="560" ht="15.75" customHeight="1" s="216"/>
    <row r="561" ht="15.75" customHeight="1" s="216"/>
    <row r="562" ht="15.75" customHeight="1" s="216"/>
    <row r="563" ht="15.75" customHeight="1" s="216"/>
    <row r="564" ht="15.75" customHeight="1" s="216"/>
    <row r="565" ht="15.75" customHeight="1" s="216"/>
    <row r="566" ht="15.75" customHeight="1" s="216"/>
    <row r="567" ht="15.75" customHeight="1" s="216"/>
    <row r="568" ht="15.75" customHeight="1" s="216"/>
    <row r="569" ht="15.75" customHeight="1" s="216"/>
    <row r="570" ht="15.75" customHeight="1" s="216"/>
    <row r="571" ht="15.75" customHeight="1" s="216"/>
    <row r="572" ht="15.75" customHeight="1" s="216"/>
    <row r="573" ht="15.75" customHeight="1" s="216"/>
    <row r="574" ht="15.75" customHeight="1" s="216"/>
    <row r="575" ht="15.75" customHeight="1" s="216"/>
    <row r="576" ht="15.75" customHeight="1" s="216"/>
    <row r="577" ht="15.75" customHeight="1" s="216"/>
    <row r="578" ht="15.75" customHeight="1" s="216"/>
    <row r="579" ht="15.75" customHeight="1" s="216"/>
    <row r="580" ht="15.75" customHeight="1" s="216"/>
    <row r="581" ht="15.75" customHeight="1" s="216"/>
    <row r="582" ht="15.75" customHeight="1" s="216"/>
    <row r="583" ht="15.75" customHeight="1" s="216"/>
    <row r="584" ht="15.75" customHeight="1" s="216"/>
    <row r="585" ht="15.75" customHeight="1" s="216"/>
    <row r="586" ht="15.75" customHeight="1" s="216"/>
    <row r="587" ht="15.75" customHeight="1" s="216"/>
    <row r="588" ht="15.75" customHeight="1" s="216"/>
    <row r="589" ht="15.75" customHeight="1" s="216"/>
    <row r="590" ht="15.75" customHeight="1" s="216"/>
    <row r="591" ht="15.75" customHeight="1" s="216"/>
    <row r="592" ht="15.75" customHeight="1" s="216"/>
    <row r="593" ht="15.75" customHeight="1" s="216"/>
    <row r="594" ht="15.75" customHeight="1" s="216"/>
    <row r="595" ht="15.75" customHeight="1" s="216"/>
    <row r="596" ht="15.75" customHeight="1" s="216"/>
    <row r="597" ht="15.75" customHeight="1" s="216"/>
    <row r="598" ht="15.75" customHeight="1" s="216"/>
    <row r="599" ht="15.75" customHeight="1" s="216"/>
    <row r="600" ht="15.75" customHeight="1" s="216"/>
    <row r="601" ht="15.75" customHeight="1" s="216"/>
    <row r="602" ht="15.75" customHeight="1" s="216"/>
    <row r="603" ht="15.75" customHeight="1" s="216"/>
    <row r="604" ht="15.75" customHeight="1" s="216"/>
    <row r="605" ht="15.75" customHeight="1" s="216"/>
    <row r="606" ht="15.75" customHeight="1" s="216"/>
    <row r="607" ht="15.75" customHeight="1" s="216"/>
    <row r="608" ht="15.75" customHeight="1" s="216"/>
    <row r="609" ht="15.75" customHeight="1" s="216"/>
    <row r="610" ht="15.75" customHeight="1" s="216"/>
    <row r="611" ht="15.75" customHeight="1" s="216"/>
    <row r="612" ht="15.75" customHeight="1" s="216"/>
    <row r="613" ht="15.75" customHeight="1" s="216"/>
    <row r="614" ht="15.75" customHeight="1" s="216"/>
    <row r="615" ht="15.75" customHeight="1" s="216"/>
    <row r="616" ht="15.75" customHeight="1" s="216"/>
    <row r="617" ht="15.75" customHeight="1" s="216"/>
    <row r="618" ht="15.75" customHeight="1" s="216"/>
    <row r="619" ht="15.75" customHeight="1" s="216"/>
    <row r="620" ht="15.75" customHeight="1" s="216"/>
    <row r="621" ht="15.75" customHeight="1" s="216"/>
    <row r="622" ht="15.75" customHeight="1" s="216"/>
    <row r="623" ht="15.75" customHeight="1" s="216"/>
    <row r="624" ht="15.75" customHeight="1" s="216"/>
    <row r="625" ht="15.75" customHeight="1" s="216"/>
    <row r="626" ht="15.75" customHeight="1" s="216"/>
    <row r="627" ht="15.75" customHeight="1" s="216"/>
    <row r="628" ht="15.75" customHeight="1" s="216"/>
    <row r="629" ht="15.75" customHeight="1" s="216"/>
    <row r="630" ht="15.75" customHeight="1" s="216"/>
    <row r="631" ht="15.75" customHeight="1" s="216"/>
    <row r="632" ht="15.75" customHeight="1" s="216"/>
    <row r="633" ht="15.75" customHeight="1" s="216"/>
    <row r="634" ht="15.75" customHeight="1" s="216"/>
    <row r="635" ht="15.75" customHeight="1" s="216"/>
    <row r="636" ht="15.75" customHeight="1" s="216"/>
    <row r="637" ht="15.75" customHeight="1" s="216"/>
    <row r="638" ht="15.75" customHeight="1" s="216"/>
    <row r="639" ht="15.75" customHeight="1" s="216"/>
    <row r="640" ht="15.75" customHeight="1" s="216"/>
    <row r="641" ht="15.75" customHeight="1" s="216"/>
    <row r="642" ht="15.75" customHeight="1" s="216"/>
    <row r="643" ht="15.75" customHeight="1" s="216"/>
    <row r="644" ht="15.75" customHeight="1" s="216"/>
    <row r="645" ht="15.75" customHeight="1" s="216"/>
    <row r="646" ht="15.75" customHeight="1" s="216"/>
    <row r="647" ht="15.75" customHeight="1" s="216"/>
    <row r="648" ht="15.75" customHeight="1" s="216"/>
    <row r="649" ht="15.75" customHeight="1" s="216"/>
    <row r="650" ht="15.75" customHeight="1" s="216"/>
    <row r="651" ht="15.75" customHeight="1" s="216"/>
    <row r="652" ht="15.75" customHeight="1" s="216"/>
    <row r="653" ht="15.75" customHeight="1" s="216"/>
    <row r="654" ht="15.75" customHeight="1" s="216"/>
    <row r="655" ht="15.75" customHeight="1" s="216"/>
    <row r="656" ht="15.75" customHeight="1" s="216"/>
    <row r="657" ht="15.75" customHeight="1" s="216"/>
    <row r="658" ht="15.75" customHeight="1" s="216"/>
    <row r="659" ht="15.75" customHeight="1" s="216"/>
    <row r="660" ht="15.75" customHeight="1" s="216"/>
    <row r="661" ht="15.75" customHeight="1" s="216"/>
    <row r="662" ht="15.75" customHeight="1" s="216"/>
    <row r="663" ht="15.75" customHeight="1" s="216"/>
    <row r="664" ht="15.75" customHeight="1" s="216"/>
    <row r="665" ht="15.75" customHeight="1" s="216"/>
    <row r="666" ht="15.75" customHeight="1" s="216"/>
    <row r="667" ht="15.75" customHeight="1" s="216"/>
    <row r="668" ht="15.75" customHeight="1" s="216"/>
    <row r="669" ht="15.75" customHeight="1" s="216"/>
    <row r="670" ht="15.75" customHeight="1" s="216"/>
    <row r="671" ht="15.75" customHeight="1" s="216"/>
    <row r="672" ht="15.75" customHeight="1" s="216"/>
    <row r="673" ht="15.75" customHeight="1" s="216"/>
    <row r="674" ht="15.75" customHeight="1" s="216"/>
    <row r="675" ht="15.75" customHeight="1" s="216"/>
    <row r="676" ht="15.75" customHeight="1" s="216"/>
    <row r="677" ht="15.75" customHeight="1" s="216"/>
    <row r="678" ht="15.75" customHeight="1" s="216"/>
    <row r="679" ht="15.75" customHeight="1" s="216"/>
    <row r="680" ht="15.75" customHeight="1" s="216"/>
    <row r="681" ht="15.75" customHeight="1" s="216"/>
    <row r="682" ht="15.75" customHeight="1" s="216"/>
    <row r="683" ht="15.75" customHeight="1" s="216"/>
    <row r="684" ht="15.75" customHeight="1" s="216"/>
    <row r="685" ht="15.75" customHeight="1" s="216"/>
    <row r="686" ht="15.75" customHeight="1" s="216"/>
    <row r="687" ht="15.75" customHeight="1" s="216"/>
    <row r="688" ht="15.75" customHeight="1" s="216"/>
    <row r="689" ht="15.75" customHeight="1" s="216"/>
    <row r="690" ht="15.75" customHeight="1" s="216"/>
    <row r="691" ht="15.75" customHeight="1" s="216"/>
    <row r="692" ht="15.75" customHeight="1" s="216"/>
    <row r="693" ht="15.75" customHeight="1" s="216"/>
    <row r="694" ht="15.75" customHeight="1" s="216"/>
    <row r="695" ht="15.75" customHeight="1" s="216"/>
    <row r="696" ht="15.75" customHeight="1" s="216"/>
    <row r="697" ht="15.75" customHeight="1" s="216"/>
    <row r="698" ht="15.75" customHeight="1" s="216"/>
    <row r="699" ht="15.75" customHeight="1" s="216"/>
    <row r="700" ht="15.75" customHeight="1" s="216"/>
    <row r="701" ht="15.75" customHeight="1" s="216"/>
    <row r="702" ht="15.75" customHeight="1" s="216"/>
    <row r="703" ht="15.75" customHeight="1" s="216"/>
    <row r="704" ht="15.75" customHeight="1" s="216"/>
    <row r="705" ht="15.75" customHeight="1" s="216"/>
    <row r="706" ht="15.75" customHeight="1" s="216"/>
    <row r="707" ht="15.75" customHeight="1" s="216"/>
    <row r="708" ht="15.75" customHeight="1" s="216"/>
    <row r="709" ht="15.75" customHeight="1" s="216"/>
    <row r="710" ht="15.75" customHeight="1" s="216"/>
    <row r="711" ht="15.75" customHeight="1" s="216"/>
    <row r="712" ht="15.75" customHeight="1" s="216"/>
    <row r="713" ht="15.75" customHeight="1" s="216"/>
    <row r="714" ht="15.75" customHeight="1" s="216"/>
    <row r="715" ht="15.75" customHeight="1" s="216"/>
    <row r="716" ht="15.75" customHeight="1" s="216"/>
    <row r="717" ht="15.75" customHeight="1" s="216"/>
    <row r="718" ht="15.75" customHeight="1" s="216"/>
    <row r="719" ht="15.75" customHeight="1" s="216"/>
    <row r="720" ht="15.75" customHeight="1" s="216"/>
    <row r="721" ht="15.75" customHeight="1" s="216"/>
    <row r="722" ht="15.75" customHeight="1" s="216"/>
    <row r="723" ht="15.75" customHeight="1" s="216"/>
    <row r="724" ht="15.75" customHeight="1" s="216"/>
    <row r="725" ht="15.75" customHeight="1" s="216"/>
    <row r="726" ht="15.75" customHeight="1" s="216"/>
    <row r="727" ht="15.75" customHeight="1" s="216"/>
    <row r="728" ht="15.75" customHeight="1" s="216"/>
    <row r="729" ht="15.75" customHeight="1" s="216"/>
    <row r="730" ht="15.75" customHeight="1" s="216"/>
    <row r="731" ht="15.75" customHeight="1" s="216"/>
    <row r="732" ht="15.75" customHeight="1" s="216"/>
    <row r="733" ht="15.75" customHeight="1" s="216"/>
    <row r="734" ht="15.75" customHeight="1" s="216"/>
    <row r="735" ht="15.75" customHeight="1" s="216"/>
    <row r="736" ht="15.75" customHeight="1" s="216"/>
    <row r="737" ht="15.75" customHeight="1" s="216"/>
    <row r="738" ht="15.75" customHeight="1" s="216"/>
    <row r="739" ht="15.75" customHeight="1" s="216"/>
    <row r="740" ht="15.75" customHeight="1" s="216"/>
    <row r="741" ht="15.75" customHeight="1" s="216"/>
    <row r="742" ht="15.75" customHeight="1" s="216"/>
    <row r="743" ht="15.75" customHeight="1" s="216"/>
    <row r="744" ht="15.75" customHeight="1" s="216"/>
    <row r="745" ht="15.75" customHeight="1" s="216"/>
    <row r="746" ht="15.75" customHeight="1" s="216"/>
    <row r="747" ht="15.75" customHeight="1" s="216"/>
    <row r="748" ht="15.75" customHeight="1" s="216"/>
    <row r="749" ht="15.75" customHeight="1" s="216"/>
    <row r="750" ht="15.75" customHeight="1" s="216"/>
    <row r="751" ht="15.75" customHeight="1" s="216"/>
    <row r="752" ht="15.75" customHeight="1" s="216"/>
    <row r="753" ht="15.75" customHeight="1" s="216"/>
    <row r="754" ht="15.75" customHeight="1" s="216"/>
    <row r="755" ht="15.75" customHeight="1" s="216"/>
    <row r="756" ht="15.75" customHeight="1" s="216"/>
    <row r="757" ht="15.75" customHeight="1" s="216"/>
    <row r="758" ht="15.75" customHeight="1" s="216"/>
    <row r="759" ht="15.75" customHeight="1" s="216"/>
    <row r="760" ht="15.75" customHeight="1" s="216"/>
    <row r="761" ht="15.75" customHeight="1" s="216"/>
    <row r="762" ht="15.75" customHeight="1" s="216"/>
    <row r="763" ht="15.75" customHeight="1" s="216"/>
    <row r="764" ht="15.75" customHeight="1" s="216"/>
    <row r="765" ht="15.75" customHeight="1" s="216"/>
    <row r="766" ht="15.75" customHeight="1" s="216"/>
    <row r="767" ht="15.75" customHeight="1" s="216"/>
    <row r="768" ht="15.75" customHeight="1" s="216"/>
    <row r="769" ht="15.75" customHeight="1" s="216"/>
    <row r="770" ht="15.75" customHeight="1" s="216"/>
    <row r="771" ht="15.75" customHeight="1" s="216"/>
    <row r="772" ht="15.75" customHeight="1" s="216"/>
    <row r="773" ht="15.75" customHeight="1" s="216"/>
    <row r="774" ht="15.75" customHeight="1" s="216"/>
    <row r="775" ht="15.75" customHeight="1" s="216"/>
    <row r="776" ht="15.75" customHeight="1" s="216"/>
    <row r="777" ht="15.75" customHeight="1" s="216"/>
    <row r="778" ht="15.75" customHeight="1" s="216"/>
    <row r="779" ht="15.75" customHeight="1" s="216"/>
    <row r="780" ht="15.75" customHeight="1" s="216"/>
    <row r="781" ht="15.75" customHeight="1" s="216"/>
    <row r="782" ht="15.75" customHeight="1" s="216"/>
    <row r="783" ht="15.75" customHeight="1" s="216"/>
    <row r="784" ht="15.75" customHeight="1" s="216"/>
    <row r="785" ht="15.75" customHeight="1" s="216"/>
    <row r="786" ht="15.75" customHeight="1" s="216"/>
    <row r="787" ht="15.75" customHeight="1" s="216"/>
    <row r="788" ht="15.75" customHeight="1" s="216"/>
    <row r="789" ht="15.75" customHeight="1" s="216"/>
    <row r="790" ht="15.75" customHeight="1" s="216"/>
    <row r="791" ht="15.75" customHeight="1" s="216"/>
    <row r="792" ht="15.75" customHeight="1" s="216"/>
    <row r="793" ht="15.75" customHeight="1" s="216"/>
    <row r="794" ht="15.75" customHeight="1" s="216"/>
    <row r="795" ht="15.75" customHeight="1" s="216"/>
    <row r="796" ht="15.75" customHeight="1" s="216"/>
    <row r="797" ht="15.75" customHeight="1" s="216"/>
    <row r="798" ht="15.75" customHeight="1" s="216"/>
    <row r="799" ht="15.75" customHeight="1" s="216"/>
    <row r="800" ht="15.75" customHeight="1" s="216"/>
    <row r="801" ht="15.75" customHeight="1" s="216"/>
    <row r="802" ht="15.75" customHeight="1" s="216"/>
    <row r="803" ht="15.75" customHeight="1" s="216"/>
    <row r="804" ht="15.75" customHeight="1" s="216"/>
    <row r="805" ht="15.75" customHeight="1" s="216"/>
    <row r="806" ht="15.75" customHeight="1" s="216"/>
    <row r="807" ht="15.75" customHeight="1" s="216"/>
    <row r="808" ht="15.75" customHeight="1" s="216"/>
    <row r="809" ht="15.75" customHeight="1" s="216"/>
    <row r="810" ht="15.75" customHeight="1" s="216"/>
    <row r="811" ht="15.75" customHeight="1" s="216"/>
    <row r="812" ht="15.75" customHeight="1" s="216"/>
    <row r="813" ht="15.75" customHeight="1" s="216"/>
    <row r="814" ht="15.75" customHeight="1" s="216"/>
    <row r="815" ht="15.75" customHeight="1" s="216"/>
    <row r="816" ht="15.75" customHeight="1" s="216"/>
    <row r="817" ht="15.75" customHeight="1" s="216"/>
    <row r="818" ht="15.75" customHeight="1" s="216"/>
    <row r="819" ht="15.75" customHeight="1" s="216"/>
    <row r="820" ht="15.75" customHeight="1" s="216"/>
    <row r="821" ht="15.75" customHeight="1" s="216"/>
    <row r="822" ht="15.75" customHeight="1" s="216"/>
    <row r="823" ht="15.75" customHeight="1" s="216"/>
    <row r="824" ht="15.75" customHeight="1" s="216"/>
    <row r="825" ht="15.75" customHeight="1" s="216"/>
    <row r="826" ht="15.75" customHeight="1" s="216"/>
    <row r="827" ht="15.75" customHeight="1" s="216"/>
    <row r="828" ht="15.75" customHeight="1" s="216"/>
    <row r="829" ht="15.75" customHeight="1" s="216"/>
    <row r="830" ht="15.75" customHeight="1" s="216"/>
    <row r="831" ht="15.75" customHeight="1" s="216"/>
    <row r="832" ht="15.75" customHeight="1" s="216"/>
    <row r="833" ht="15.75" customHeight="1" s="216"/>
    <row r="834" ht="15.75" customHeight="1" s="216"/>
    <row r="835" ht="15.75" customHeight="1" s="216"/>
    <row r="836" ht="15.75" customHeight="1" s="216"/>
    <row r="837" ht="15.75" customHeight="1" s="216"/>
    <row r="838" ht="15.75" customHeight="1" s="216"/>
    <row r="839" ht="15.75" customHeight="1" s="216"/>
    <row r="840" ht="15.75" customHeight="1" s="216"/>
    <row r="841" ht="15.75" customHeight="1" s="216"/>
    <row r="842" ht="15.75" customHeight="1" s="216"/>
    <row r="843" ht="15.75" customHeight="1" s="216"/>
    <row r="844" ht="15.75" customHeight="1" s="216"/>
    <row r="845" ht="15.75" customHeight="1" s="216"/>
    <row r="846" ht="15.75" customHeight="1" s="216"/>
    <row r="847" ht="15.75" customHeight="1" s="216"/>
    <row r="848" ht="15.75" customHeight="1" s="216"/>
    <row r="849" ht="15.75" customHeight="1" s="216"/>
    <row r="850" ht="15.75" customHeight="1" s="216"/>
    <row r="851" ht="15.75" customHeight="1" s="216"/>
    <row r="852" ht="15.75" customHeight="1" s="216"/>
    <row r="853" ht="15.75" customHeight="1" s="216"/>
    <row r="854" ht="15.75" customHeight="1" s="216"/>
    <row r="855" ht="15.75" customHeight="1" s="216"/>
    <row r="856" ht="15.75" customHeight="1" s="216"/>
    <row r="857" ht="15.75" customHeight="1" s="216"/>
    <row r="858" ht="15.75" customHeight="1" s="216"/>
    <row r="859" ht="15.75" customHeight="1" s="216"/>
    <row r="860" ht="15.75" customHeight="1" s="216"/>
    <row r="861" ht="15.75" customHeight="1" s="216"/>
    <row r="862" ht="15.75" customHeight="1" s="216"/>
    <row r="863" ht="15.75" customHeight="1" s="216"/>
    <row r="864" ht="15.75" customHeight="1" s="216"/>
    <row r="865" ht="15.75" customHeight="1" s="216"/>
    <row r="866" ht="15.75" customHeight="1" s="216"/>
    <row r="867" ht="15.75" customHeight="1" s="216"/>
    <row r="868" ht="15.75" customHeight="1" s="216"/>
    <row r="869" ht="15.75" customHeight="1" s="216"/>
    <row r="870" ht="15.75" customHeight="1" s="216"/>
    <row r="871" ht="15.75" customHeight="1" s="216"/>
    <row r="872" ht="15.75" customHeight="1" s="216"/>
    <row r="873" ht="15.75" customHeight="1" s="216"/>
    <row r="874" ht="15.75" customHeight="1" s="216"/>
    <row r="875" ht="15.75" customHeight="1" s="216"/>
    <row r="876" ht="15.75" customHeight="1" s="216"/>
    <row r="877" ht="15.75" customHeight="1" s="216"/>
    <row r="878" ht="15.75" customHeight="1" s="216"/>
    <row r="879" ht="15.75" customHeight="1" s="216"/>
    <row r="880" ht="15.75" customHeight="1" s="216"/>
    <row r="881" ht="15.75" customHeight="1" s="216"/>
    <row r="882" ht="15.75" customHeight="1" s="216"/>
    <row r="883" ht="15.75" customHeight="1" s="216"/>
    <row r="884" ht="15.75" customHeight="1" s="216"/>
    <row r="885" ht="15.75" customHeight="1" s="216"/>
    <row r="886" ht="15.75" customHeight="1" s="216"/>
    <row r="887" ht="15.75" customHeight="1" s="216"/>
    <row r="888" ht="15.75" customHeight="1" s="216"/>
    <row r="889" ht="15.75" customHeight="1" s="216"/>
    <row r="890" ht="15.75" customHeight="1" s="216"/>
    <row r="891" ht="15.75" customHeight="1" s="216"/>
    <row r="892" ht="15.75" customHeight="1" s="216"/>
    <row r="893" ht="15.75" customHeight="1" s="216"/>
    <row r="894" ht="15.75" customHeight="1" s="216"/>
    <row r="895" ht="15.75" customHeight="1" s="216"/>
    <row r="896" ht="15.75" customHeight="1" s="216"/>
    <row r="897" ht="15.75" customHeight="1" s="216"/>
    <row r="898" ht="15.75" customHeight="1" s="216"/>
    <row r="899" ht="15.75" customHeight="1" s="216"/>
    <row r="900" ht="15.75" customHeight="1" s="216"/>
    <row r="901" ht="15.75" customHeight="1" s="216"/>
    <row r="902" ht="15.75" customHeight="1" s="216"/>
    <row r="903" ht="15.75" customHeight="1" s="216"/>
    <row r="904" ht="15.75" customHeight="1" s="216"/>
    <row r="905" ht="15.75" customHeight="1" s="216"/>
    <row r="906" ht="15.75" customHeight="1" s="216"/>
    <row r="907" ht="15.75" customHeight="1" s="216"/>
    <row r="908" ht="15.75" customHeight="1" s="216"/>
    <row r="909" ht="15.75" customHeight="1" s="216"/>
    <row r="910" ht="15.75" customHeight="1" s="216"/>
    <row r="911" ht="15.75" customHeight="1" s="216"/>
    <row r="912" ht="15.75" customHeight="1" s="216"/>
    <row r="913" ht="15.75" customHeight="1" s="216"/>
    <row r="914" ht="15.75" customHeight="1" s="216"/>
    <row r="915" ht="15.75" customHeight="1" s="216"/>
    <row r="916" ht="15.75" customHeight="1" s="216"/>
    <row r="917" ht="15.75" customHeight="1" s="216"/>
    <row r="918" ht="15.75" customHeight="1" s="216"/>
    <row r="919" ht="15.75" customHeight="1" s="216"/>
    <row r="920" ht="15.75" customHeight="1" s="216"/>
    <row r="921" ht="15.75" customHeight="1" s="216"/>
    <row r="922" ht="15.75" customHeight="1" s="216"/>
    <row r="923" ht="15.75" customHeight="1" s="216"/>
    <row r="924" ht="15.75" customHeight="1" s="216"/>
    <row r="925" ht="15.75" customHeight="1" s="216"/>
    <row r="926" ht="15.75" customHeight="1" s="216"/>
    <row r="927" ht="15.75" customHeight="1" s="216"/>
    <row r="928" ht="15.75" customHeight="1" s="216"/>
    <row r="929" ht="15.75" customHeight="1" s="216"/>
    <row r="930" ht="15.75" customHeight="1" s="216"/>
    <row r="931" ht="15.75" customHeight="1" s="216"/>
    <row r="932" ht="15.75" customHeight="1" s="216"/>
    <row r="933" ht="15.75" customHeight="1" s="216"/>
    <row r="934" ht="15.75" customHeight="1" s="216"/>
    <row r="935" ht="15.75" customHeight="1" s="216"/>
    <row r="936" ht="15.75" customHeight="1" s="216"/>
    <row r="937" ht="15.75" customHeight="1" s="216"/>
    <row r="938" ht="15.75" customHeight="1" s="216"/>
    <row r="939" ht="15.75" customHeight="1" s="216"/>
    <row r="940" ht="15.75" customHeight="1" s="216"/>
    <row r="941" ht="15.75" customHeight="1" s="216"/>
    <row r="942" ht="15.75" customHeight="1" s="216"/>
    <row r="943" ht="15.75" customHeight="1" s="216"/>
    <row r="944" ht="15.75" customHeight="1" s="216"/>
    <row r="945" ht="15.75" customHeight="1" s="216"/>
    <row r="946" ht="15.75" customHeight="1" s="216"/>
    <row r="947" ht="15.75" customHeight="1" s="216"/>
    <row r="948" ht="15.75" customHeight="1" s="216"/>
    <row r="949" ht="15.75" customHeight="1" s="216"/>
    <row r="950" ht="15.75" customHeight="1" s="216"/>
    <row r="951" ht="15.75" customHeight="1" s="216"/>
    <row r="952" ht="15.75" customHeight="1" s="216"/>
    <row r="953" ht="15.75" customHeight="1" s="216"/>
    <row r="954" ht="15.75" customHeight="1" s="216"/>
    <row r="955" ht="15.75" customHeight="1" s="216"/>
    <row r="956" ht="15.75" customHeight="1" s="216"/>
    <row r="957" ht="15.75" customHeight="1" s="216"/>
    <row r="958" ht="15.75" customHeight="1" s="216"/>
    <row r="959" ht="15.75" customHeight="1" s="216"/>
    <row r="960" ht="15.75" customHeight="1" s="216"/>
    <row r="961" ht="15.75" customHeight="1" s="216"/>
    <row r="962" ht="15.75" customHeight="1" s="216"/>
    <row r="963" ht="15.75" customHeight="1" s="216"/>
    <row r="964" ht="15.75" customHeight="1" s="216"/>
    <row r="965" ht="15.75" customHeight="1" s="216"/>
    <row r="966" ht="15.75" customHeight="1" s="216"/>
    <row r="967" ht="15.75" customHeight="1" s="216"/>
    <row r="968" ht="15.75" customHeight="1" s="216"/>
    <row r="969" ht="15.75" customHeight="1" s="216"/>
    <row r="970" ht="15.75" customHeight="1" s="216"/>
    <row r="971" ht="15.75" customHeight="1" s="216"/>
    <row r="972" ht="15.75" customHeight="1" s="216"/>
    <row r="973" ht="15.75" customHeight="1" s="216"/>
    <row r="974" ht="15.75" customHeight="1" s="216"/>
    <row r="975" ht="15.75" customHeight="1" s="216"/>
    <row r="976" ht="15.75" customHeight="1" s="216"/>
    <row r="977" ht="15.75" customHeight="1" s="216"/>
    <row r="978" ht="15.75" customHeight="1" s="216"/>
    <row r="979" ht="15.75" customHeight="1" s="216"/>
    <row r="980" ht="15.75" customHeight="1" s="216"/>
    <row r="981" ht="15.75" customHeight="1" s="216"/>
    <row r="982" ht="15.75" customHeight="1" s="216"/>
    <row r="983" ht="15.75" customHeight="1" s="216"/>
    <row r="984" ht="15.75" customHeight="1" s="216"/>
    <row r="985" ht="15.75" customHeight="1" s="216"/>
    <row r="986" ht="15.75" customHeight="1" s="216"/>
    <row r="987" ht="15.75" customHeight="1" s="216"/>
    <row r="988" ht="15.75" customHeight="1" s="216"/>
    <row r="989" ht="15.75" customHeight="1" s="216"/>
    <row r="990" ht="15.75" customHeight="1" s="216"/>
    <row r="991" ht="15.75" customHeight="1" s="216"/>
    <row r="992" ht="15.75" customHeight="1" s="216"/>
    <row r="993" ht="15.75" customHeight="1" s="216"/>
    <row r="994" ht="15.75" customHeight="1" s="216"/>
    <row r="995" ht="15.75" customHeight="1" s="216"/>
    <row r="996" ht="15.75" customHeight="1" s="216"/>
    <row r="997" ht="15.75" customHeight="1" s="216"/>
    <row r="998" ht="15.75" customHeight="1" s="216"/>
    <row r="999" ht="15.75" customHeight="1" s="216"/>
    <row r="1000" ht="15.75" customHeight="1" s="216"/>
  </sheetData>
  <mergeCells count="2">
    <mergeCell ref="B145:L145"/>
    <mergeCell ref="B3:L3"/>
  </mergeCells>
  <conditionalFormatting sqref="B6:L143">
    <cfRule type="expression" priority="1" dxfId="4">
      <formula>$E6=0</formula>
    </cfRule>
  </conditionalFormatting>
  <pageMargins left="0.75" right="0.75" top="1" bottom="1" header="0" footer="0"/>
  <pageSetup orientation="landscape"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AV520"/>
  <sheetViews>
    <sheetView workbookViewId="0">
      <pane xSplit="1" ySplit="6" topLeftCell="B7" activePane="bottomRight" state="frozen"/>
      <selection pane="topRight"/>
      <selection pane="bottomLeft"/>
      <selection pane="bottomRight" activeCell="A1" sqref="A1"/>
    </sheetView>
  </sheetViews>
  <sheetFormatPr baseColWidth="8" defaultColWidth="14.43" defaultRowHeight="15" customHeight="1"/>
  <cols>
    <col width="14" customWidth="1" style="216" min="1" max="2"/>
    <col width="13" customWidth="1" style="216" min="3" max="4"/>
    <col width="11" customWidth="1" style="216" min="5" max="5"/>
    <col width="34" customWidth="1" style="216" min="6" max="6"/>
    <col width="28" customWidth="1" style="216" min="7" max="7"/>
    <col width="40" customWidth="1" style="216" min="8" max="8"/>
    <col width="34" customWidth="1" style="216" min="9" max="9"/>
    <col width="10" customWidth="1" style="216" min="10" max="10"/>
    <col width="12.43" customWidth="1" style="216" min="11" max="11"/>
    <col width="14" customWidth="1" style="216" min="12" max="12"/>
    <col width="26.14" customWidth="1" style="216" min="13" max="13"/>
    <col width="9" customWidth="1" style="216" min="14" max="14"/>
    <col width="10" customWidth="1" style="216" min="15" max="15"/>
    <col width="9" customWidth="1" style="216" min="16" max="16"/>
    <col width="13" customWidth="1" style="216" min="17" max="17"/>
    <col width="11" customWidth="1" style="216" min="18" max="18"/>
    <col width="22" customWidth="1" style="216" min="19" max="19"/>
    <col width="9" customWidth="1" style="216" min="20" max="20"/>
    <col width="10" customWidth="1" style="216" min="21" max="21"/>
    <col width="9" customWidth="1" style="216" min="22" max="22"/>
    <col width="13" customWidth="1" style="216" min="23" max="23"/>
    <col width="11" customWidth="1" style="216" min="24" max="24"/>
    <col width="22" customWidth="1" style="216" min="25" max="25"/>
    <col width="9" customWidth="1" style="216" min="26" max="26"/>
    <col width="10" customWidth="1" style="216" min="27" max="27"/>
    <col width="9" customWidth="1" style="216" min="28" max="28"/>
    <col width="13" customWidth="1" style="216" min="29" max="29"/>
    <col width="11" customWidth="1" style="216" min="30" max="30"/>
    <col width="22" customWidth="1" style="216" min="31" max="31"/>
    <col width="9" customWidth="1" style="216" min="32" max="32"/>
    <col width="10" customWidth="1" style="216" min="33" max="33"/>
    <col width="9" customWidth="1" style="216" min="34" max="34"/>
    <col width="13" customWidth="1" style="216" min="35" max="35"/>
    <col width="11" customWidth="1" style="216" min="36" max="36"/>
    <col width="22" customWidth="1" style="216" min="37" max="37"/>
    <col width="9" customWidth="1" style="216" min="38" max="38"/>
    <col width="10" customWidth="1" style="216" min="39" max="39"/>
    <col width="9" customWidth="1" style="216" min="40" max="40"/>
    <col width="13" customWidth="1" style="216" min="41" max="41"/>
    <col width="11" customWidth="1" style="216" min="42" max="42"/>
    <col width="22" customWidth="1" style="216" min="43" max="43"/>
    <col width="12" customWidth="1" style="216" min="44" max="44"/>
    <col width="14" customWidth="1" style="216" min="45" max="45"/>
    <col width="11" customWidth="1" style="216" min="46" max="46"/>
    <col width="24" customWidth="1" style="216" min="47" max="47"/>
  </cols>
  <sheetData>
    <row r="1">
      <c r="A1" s="106"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row>
    <row r="2">
      <c r="A2" s="255" t="inlineStr">
        <is>
          <t>Mã chức năng</t>
        </is>
      </c>
      <c r="B2" s="218" t="n"/>
      <c r="C2" s="256" t="inlineStr">
        <is>
          <t>TC_01</t>
        </is>
      </c>
      <c r="D2" s="220" t="n"/>
      <c r="E2" s="218"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row>
    <row r="3" ht="15" customHeight="1" s="216">
      <c r="A3" s="255" t="inlineStr">
        <is>
          <t>Tên chức năng</t>
        </is>
      </c>
      <c r="B3" s="218" t="n"/>
      <c r="C3" s="256" t="inlineStr">
        <is>
          <t>Hoạt động (Đơn của tôi)</t>
        </is>
      </c>
      <c r="D3" s="220" t="n"/>
      <c r="E3" s="218" t="n"/>
      <c r="F3" s="1" t="n"/>
      <c r="G3" s="255" t="inlineStr">
        <is>
          <t>Version</t>
        </is>
      </c>
      <c r="H3" s="218" t="n"/>
      <c r="I3" s="174">
        <f>Summary!$C$8</f>
        <v/>
      </c>
      <c r="J3" s="218"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row>
    <row r="4" ht="15" customHeight="1" s="216">
      <c r="A4" s="255" t="inlineStr">
        <is>
          <t>Execution</t>
        </is>
      </c>
      <c r="B4" s="218" t="n"/>
      <c r="C4" s="174">
        <f>TEXT(Summary!$C$10,"DD/MM/YYYY")&amp;"  →  "&amp;TEXT(Summary!$C$11,"DD/MM/YYYY")</f>
        <v/>
      </c>
      <c r="D4" s="220" t="n"/>
      <c r="E4" s="218" t="n"/>
      <c r="F4" s="1" t="n"/>
      <c r="G4" s="255" t="inlineStr">
        <is>
          <t>PIC</t>
        </is>
      </c>
      <c r="H4" s="218" t="n"/>
      <c r="I4" s="174">
        <f>Summary!$C$13</f>
        <v/>
      </c>
      <c r="J4" s="218"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1" t="n"/>
      <c r="AL4" s="1" t="n"/>
      <c r="AM4" s="1" t="n"/>
      <c r="AN4" s="1" t="n"/>
      <c r="AO4" s="1" t="n"/>
      <c r="AP4" s="1" t="n"/>
      <c r="AQ4" s="1" t="n"/>
      <c r="AR4" s="1" t="n"/>
      <c r="AS4" s="1" t="n"/>
      <c r="AT4" s="1" t="n"/>
      <c r="AU4" s="1" t="n"/>
    </row>
    <row r="5" ht="15" customHeight="1" s="216">
      <c r="A5" s="257" t="inlineStr">
        <is>
          <t>TRACEABILITY</t>
        </is>
      </c>
      <c r="B5" s="220" t="n"/>
      <c r="C5" s="218" t="n"/>
      <c r="D5" s="246" t="inlineStr">
        <is>
          <t>TEST DESIGN</t>
        </is>
      </c>
      <c r="E5" s="220" t="n"/>
      <c r="F5" s="220" t="n"/>
      <c r="G5" s="220" t="n"/>
      <c r="H5" s="220" t="n"/>
      <c r="I5" s="218" t="n"/>
      <c r="J5" s="250" t="inlineStr">
        <is>
          <t>SDLC</t>
        </is>
      </c>
      <c r="K5" s="220" t="n"/>
      <c r="L5" s="220" t="n"/>
      <c r="M5" s="218" t="n"/>
      <c r="N5" s="258" t="inlineStr">
        <is>
          <t>ROUND 1</t>
        </is>
      </c>
      <c r="O5" s="252" t="n"/>
      <c r="P5" s="252" t="n"/>
      <c r="Q5" s="252" t="n"/>
      <c r="R5" s="252" t="n"/>
      <c r="S5" s="253" t="n"/>
      <c r="T5" s="259" t="inlineStr">
        <is>
          <t>ROUND 2</t>
        </is>
      </c>
      <c r="U5" s="252" t="n"/>
      <c r="V5" s="252" t="n"/>
      <c r="W5" s="252" t="n"/>
      <c r="X5" s="252" t="n"/>
      <c r="Y5" s="253" t="n"/>
      <c r="Z5" s="258" t="inlineStr">
        <is>
          <t>ROUND 3</t>
        </is>
      </c>
      <c r="AA5" s="252" t="n"/>
      <c r="AB5" s="252" t="n"/>
      <c r="AC5" s="252" t="n"/>
      <c r="AD5" s="252" t="n"/>
      <c r="AE5" s="253" t="n"/>
      <c r="AF5" s="259" t="inlineStr">
        <is>
          <t>ROUND 4</t>
        </is>
      </c>
      <c r="AG5" s="252" t="n"/>
      <c r="AH5" s="252" t="n"/>
      <c r="AI5" s="252" t="n"/>
      <c r="AJ5" s="252" t="n"/>
      <c r="AK5" s="253" t="n"/>
      <c r="AL5" s="258" t="inlineStr">
        <is>
          <t>ROUND 5</t>
        </is>
      </c>
      <c r="AM5" s="252" t="n"/>
      <c r="AN5" s="252" t="n"/>
      <c r="AO5" s="252" t="n"/>
      <c r="AP5" s="252" t="n"/>
      <c r="AQ5" s="253" t="n"/>
      <c r="AR5" s="262" t="inlineStr">
        <is>
          <t>KẾT QUẢ TỔNG</t>
        </is>
      </c>
      <c r="AS5" s="252" t="n"/>
      <c r="AT5" s="252" t="n"/>
      <c r="AU5" s="253" t="n"/>
    </row>
    <row r="6" ht="30" customHeight="1" s="216">
      <c r="A6" s="152" t="inlineStr">
        <is>
          <t>Testcase ID</t>
        </is>
      </c>
      <c r="B6" s="152" t="inlineStr">
        <is>
          <t>Req ID</t>
        </is>
      </c>
      <c r="C6" s="152" t="inlineStr">
        <is>
          <t>DOC Source</t>
        </is>
      </c>
      <c r="D6" s="114" t="inlineStr">
        <is>
          <t>Group</t>
        </is>
      </c>
      <c r="E6" s="114" t="inlineStr">
        <is>
          <t>Priority</t>
        </is>
      </c>
      <c r="F6" s="114" t="inlineStr">
        <is>
          <t>Test Title
(Nội dung test)</t>
        </is>
      </c>
      <c r="G6" s="114" t="inlineStr">
        <is>
          <t>Pre-condition
(Điều kiện/Dữ liệu)</t>
        </is>
      </c>
      <c r="H6" s="114" t="inlineStr">
        <is>
          <t>Test Steps
(Các bước)</t>
        </is>
      </c>
      <c r="I6" s="114" t="inlineStr">
        <is>
          <t>Expected Result
(Kết quả mong đợi)</t>
        </is>
      </c>
      <c r="J6" s="112" t="inlineStr">
        <is>
          <t>Origin</t>
        </is>
      </c>
      <c r="K6" s="112" t="inlineStr">
        <is>
          <t>Review</t>
        </is>
      </c>
      <c r="L6" s="112" t="inlineStr">
        <is>
          <t>Automated</t>
        </is>
      </c>
      <c r="M6" s="112" t="inlineStr">
        <is>
          <t>Script</t>
        </is>
      </c>
      <c r="N6" s="153" t="inlineStr">
        <is>
          <t>Vibe-test</t>
        </is>
      </c>
      <c r="O6" s="153" t="inlineStr">
        <is>
          <t>KQ Script</t>
        </is>
      </c>
      <c r="P6" s="153" t="inlineStr">
        <is>
          <t>Kết quả</t>
        </is>
      </c>
      <c r="Q6" s="153" t="inlineStr">
        <is>
          <t>Executed By</t>
        </is>
      </c>
      <c r="R6" s="153" t="inlineStr">
        <is>
          <t>ID Bugs</t>
        </is>
      </c>
      <c r="S6" s="153" t="inlineStr">
        <is>
          <t>Note</t>
        </is>
      </c>
      <c r="T6" s="153" t="inlineStr">
        <is>
          <t>Vibe-test</t>
        </is>
      </c>
      <c r="U6" s="153" t="inlineStr">
        <is>
          <t>KQ Script</t>
        </is>
      </c>
      <c r="V6" s="153" t="inlineStr">
        <is>
          <t>Kết quả</t>
        </is>
      </c>
      <c r="W6" s="153" t="inlineStr">
        <is>
          <t>Executed By</t>
        </is>
      </c>
      <c r="X6" s="153" t="inlineStr">
        <is>
          <t>ID Bugs</t>
        </is>
      </c>
      <c r="Y6" s="153" t="inlineStr">
        <is>
          <t>Note</t>
        </is>
      </c>
      <c r="Z6" s="153" t="inlineStr">
        <is>
          <t>Vibe-test</t>
        </is>
      </c>
      <c r="AA6" s="153" t="inlineStr">
        <is>
          <t>KQ Script</t>
        </is>
      </c>
      <c r="AB6" s="153" t="inlineStr">
        <is>
          <t>Kết quả</t>
        </is>
      </c>
      <c r="AC6" s="153" t="inlineStr">
        <is>
          <t>Executed By</t>
        </is>
      </c>
      <c r="AD6" s="153" t="inlineStr">
        <is>
          <t>ID Bugs</t>
        </is>
      </c>
      <c r="AE6" s="153" t="inlineStr">
        <is>
          <t>Note</t>
        </is>
      </c>
      <c r="AF6" s="153" t="inlineStr">
        <is>
          <t>Vibe-test</t>
        </is>
      </c>
      <c r="AG6" s="153" t="inlineStr">
        <is>
          <t>KQ Script</t>
        </is>
      </c>
      <c r="AH6" s="153" t="inlineStr">
        <is>
          <t>Kết quả</t>
        </is>
      </c>
      <c r="AI6" s="153" t="inlineStr">
        <is>
          <t>Executed By</t>
        </is>
      </c>
      <c r="AJ6" s="153" t="inlineStr">
        <is>
          <t>ID Bugs</t>
        </is>
      </c>
      <c r="AK6" s="153" t="inlineStr">
        <is>
          <t>Note</t>
        </is>
      </c>
      <c r="AL6" s="153" t="inlineStr">
        <is>
          <t>Vibe-test</t>
        </is>
      </c>
      <c r="AM6" s="153" t="inlineStr">
        <is>
          <t>KQ Script</t>
        </is>
      </c>
      <c r="AN6" s="153" t="inlineStr">
        <is>
          <t>Kết quả</t>
        </is>
      </c>
      <c r="AO6" s="153" t="inlineStr">
        <is>
          <t>Executed By</t>
        </is>
      </c>
      <c r="AP6" s="153" t="inlineStr">
        <is>
          <t>ID Bugs</t>
        </is>
      </c>
      <c r="AQ6" s="153" t="inlineStr">
        <is>
          <t>Note</t>
        </is>
      </c>
      <c r="AR6" s="263" t="inlineStr">
        <is>
          <t>Vibe-test
(tổng)</t>
        </is>
      </c>
      <c r="AS6" s="263" t="inlineStr">
        <is>
          <t>KQ Script
(tổng)</t>
        </is>
      </c>
      <c r="AT6" s="154" t="inlineStr">
        <is>
          <t>Status</t>
        </is>
      </c>
      <c r="AU6" s="154" t="inlineStr">
        <is>
          <t>Remark</t>
        </is>
      </c>
    </row>
    <row r="7" ht="60" customHeight="1" s="216">
      <c r="A7" s="160">
        <f>IF($F7="","",$C$2&amp;"."&amp;COUNTA($F$7:$F7)&amp;"")</f>
        <v/>
      </c>
      <c r="B7" s="160" t="inlineStr">
        <is>
          <t>REQ-ACT-001</t>
        </is>
      </c>
      <c r="C7" s="160" t="inlineStr">
        <is>
          <t>DOC-v1.1-01 · DOC-v1.1-02</t>
        </is>
      </c>
      <c r="D7" s="160" t="inlineStr">
        <is>
          <t>UI</t>
        </is>
      </c>
      <c r="E7" s="160" t="inlineStr">
        <is>
          <t>Medium</t>
        </is>
      </c>
      <c r="F7" s="11" t="inlineStr">
        <is>
          <t>Check màn Hoạt động dùng đúng bộ nhãn của app cho tên màn và hai tab</t>
        </is>
      </c>
      <c r="G7" s="11" t="inlineStr">
        <is>
          <t>- Tài khoản A là CBNV có hồ sơ đầy đủ trên STG.
- Host app FoxPro đã cài trên thiết bị Android/iOS.
Test Data: —</t>
        </is>
      </c>
      <c r="H7" s="11" t="inlineStr">
        <is>
          <t>1. Đăng nhập FoxEco từ host app FoxPro. (setup)
2. Nhấn tab "Hoạt động" ở bottom nav. (setup)
3. Check nhãn mục vừa nhấn ở bottom nav, tiêu đề màn và hàng tab con phía trên danh sách.</t>
        </is>
      </c>
      <c r="I7" s="11" t="inlineStr">
        <is>
          <t>3. Nhãn bottom nav là "Hoạt động"; tiêu đề màn là "Đơn của tôi"; hàng tab con có đúng 2 tab "Đang diễn ra" và "Đã hoàn thành", không có tab con thứ ba.</t>
        </is>
      </c>
      <c r="J7" s="160" t="inlineStr">
        <is>
          <t>AI</t>
        </is>
      </c>
      <c r="K7" s="160" t="inlineStr">
        <is>
          <t>Pending</t>
        </is>
      </c>
      <c r="L7" s="160" t="inlineStr">
        <is>
          <t>No</t>
        </is>
      </c>
      <c r="M7" s="160" t="inlineStr"/>
      <c r="N7" s="264" t="inlineStr">
        <is>
          <t>Yes</t>
        </is>
      </c>
      <c r="O7" s="264" t="inlineStr"/>
      <c r="P7" s="264" t="inlineStr">
        <is>
          <t>Pass</t>
        </is>
      </c>
      <c r="Q7" s="264" t="inlineStr">
        <is>
          <t>GiangDC2</t>
        </is>
      </c>
      <c r="R7" s="264" t="inlineStr"/>
      <c r="S7" s="264" t="inlineStr"/>
      <c r="T7" s="264" t="n"/>
      <c r="U7" s="264" t="n"/>
      <c r="V7" s="264" t="n"/>
      <c r="W7" s="264" t="n"/>
      <c r="X7" s="264" t="n"/>
      <c r="Y7" s="264" t="n"/>
      <c r="Z7" s="264" t="n"/>
      <c r="AA7" s="264" t="n"/>
      <c r="AB7" s="264" t="n"/>
      <c r="AC7" s="264" t="n"/>
      <c r="AD7" s="264" t="n"/>
      <c r="AE7" s="264" t="n"/>
      <c r="AF7" s="264" t="n"/>
      <c r="AG7" s="264" t="n"/>
      <c r="AH7" s="264" t="n"/>
      <c r="AI7" s="264" t="n"/>
      <c r="AJ7" s="264" t="n"/>
      <c r="AK7" s="264" t="n"/>
      <c r="AL7" s="264" t="n"/>
      <c r="AM7" s="264" t="n"/>
      <c r="AN7" s="264" t="n"/>
      <c r="AO7" s="264" t="n"/>
      <c r="AP7" s="264" t="n"/>
      <c r="AQ7" s="264" t="n"/>
      <c r="AR7" s="158">
        <f>IF($A7="","",IF(OR($N7="Yes",$T7="Yes",$Z7="Yes",$AF7="Yes",$AL7="Yes"),"Yes","No"))</f>
        <v/>
      </c>
      <c r="AS7" s="158">
        <f>IF($A7="","",IFERROR(IF($AM7&lt;&gt;"",$AM7,IF($AG7&lt;&gt;"",$AG7,IF($AA7&lt;&gt;"",$AA7,IF($U7&lt;&gt;"",$U7,IF($O7&lt;&gt;"",$O7,""))))),""))</f>
        <v/>
      </c>
      <c r="AT7" s="158">
        <f>IFERROR(IF($AN7&lt;&gt;"",$AN7,IF($AH7&lt;&gt;"",$AH7,IF($AB7&lt;&gt;"",$AB7,IF($V7&lt;&gt;"",$V7,IF($P7&lt;&gt;"",$P7,""))))),"")</f>
        <v/>
      </c>
      <c r="AU7" s="265" t="inlineStr">
        <is>
          <t>Đã sửa theo BA trả lời `C-ACT-02` 2026-09-16: assert cứng bộ nhãn của app, thay vì chỉ assert "có đúng 2 tab" như bản v1.0. · Mục đích: nhãn tab xuất hiện trong Steps của rất nhiều TC ở `ACT` và các module khác, chốt sai là phải sửa rải rác. · Căn cứ: BA chốt **theo app**; PRD `EMP-05`/`EMP-06`/`AC-09.1.01` ghi "Đang chạy"/"Hoàn tất" là **PRD chưa cập nhật** — ⛔ không assert theo PRD, app hiện đúng bộ nhãn này thì PASS.</t>
        </is>
      </c>
    </row>
    <row r="8" ht="60" customHeight="1" s="216">
      <c r="A8" s="160">
        <f>IF($F8="","",$C$2&amp;"."&amp;COUNTA($F$7:$F8)&amp;"")</f>
        <v/>
      </c>
      <c r="B8" s="160" t="inlineStr">
        <is>
          <t>REQ-ACT-004</t>
        </is>
      </c>
      <c r="C8" s="160" t="inlineStr">
        <is>
          <t>DOC-v1.1-01</t>
        </is>
      </c>
      <c r="D8" s="160" t="inlineStr">
        <is>
          <t>Functional</t>
        </is>
      </c>
      <c r="E8" s="160" t="inlineStr">
        <is>
          <t>Medium</t>
        </is>
      </c>
      <c r="F8" s="11" t="inlineStr">
        <is>
          <t>Check tab Đã hoàn thành chứa đủ cả ba loại đơn kết thúc</t>
        </is>
      </c>
      <c r="G8" s="11" t="inlineStr">
        <is>
          <t>- Tài khoản A là CBNV có hồ sơ đầy đủ trên STG, đã seed sẵn `SEED-ACT-03` (xem §0.4).
- Host app FoxPro đã cài trên thiết bị Android/iOS.
Test Data: 1 đơn `COMPLETED` + 1 đơn `EXPIRED` + 1 đơn `RETURNED` của `SEED-ACT-03` (test_data_catalog §ACT — Bộ 3 đơn kết thúc)</t>
        </is>
      </c>
      <c r="H8" s="11" t="inlineStr">
        <is>
          <t>1. Đăng nhập FoxEco và nhấn tab "Hoạt động". (setup)
2. Nhấn tab con "Đã hoàn thành". (setup)
3. Check badge trạng thái của từng card trong danh sách.</t>
        </is>
      </c>
      <c r="I8" s="11" t="inlineStr">
        <is>
          <t>3. Danh sách có đủ ba card mang badge "Hoàn thành", "Hết hạn" và badge của đơn đã trả lại người gửi; KHÔNG có card nào badge "Chờ ghép", "Đã ghép", "Đang giao" hay "Đã giao".</t>
        </is>
      </c>
      <c r="J8" s="160" t="inlineStr">
        <is>
          <t>AI</t>
        </is>
      </c>
      <c r="K8" s="160" t="inlineStr">
        <is>
          <t>Pending</t>
        </is>
      </c>
      <c r="L8" s="160" t="inlineStr">
        <is>
          <t>No</t>
        </is>
      </c>
      <c r="M8" s="160" t="inlineStr"/>
      <c r="N8" s="264" t="inlineStr">
        <is>
          <t>Yes</t>
        </is>
      </c>
      <c r="O8" s="264" t="inlineStr"/>
      <c r="P8" s="264" t="inlineStr">
        <is>
          <t>Block</t>
        </is>
      </c>
      <c r="Q8" s="264" t="inlineStr">
        <is>
          <t>GiangDC2</t>
        </is>
      </c>
      <c r="R8" s="264" t="inlineStr"/>
      <c r="S8" s="264" t="inlineStr"/>
      <c r="T8" s="264" t="n"/>
      <c r="U8" s="264" t="n"/>
      <c r="V8" s="264" t="n"/>
      <c r="W8" s="264" t="n"/>
      <c r="X8" s="264" t="n"/>
      <c r="Y8" s="264" t="n"/>
      <c r="Z8" s="264" t="n"/>
      <c r="AA8" s="264" t="n"/>
      <c r="AB8" s="264" t="n"/>
      <c r="AC8" s="264" t="n"/>
      <c r="AD8" s="264" t="n"/>
      <c r="AE8" s="264" t="n"/>
      <c r="AF8" s="264" t="n"/>
      <c r="AG8" s="264" t="n"/>
      <c r="AH8" s="264" t="n"/>
      <c r="AI8" s="264" t="n"/>
      <c r="AJ8" s="264" t="n"/>
      <c r="AK8" s="264" t="n"/>
      <c r="AL8" s="264" t="n"/>
      <c r="AM8" s="264" t="n"/>
      <c r="AN8" s="264" t="n"/>
      <c r="AO8" s="264" t="n"/>
      <c r="AP8" s="264" t="n"/>
      <c r="AQ8" s="264" t="n"/>
      <c r="AR8" s="158">
        <f>IF($A8="","",IF(OR($N8="Yes",$T8="Yes",$Z8="Yes",$AF8="Yes",$AL8="Yes"),"Yes","No"))</f>
        <v/>
      </c>
      <c r="AS8" s="158">
        <f>IF($A8="","",IFERROR(IF($AM8&lt;&gt;"",$AM8,IF($AG8&lt;&gt;"",$AG8,IF($AA8&lt;&gt;"",$AA8,IF($U8&lt;&gt;"",$U8,IF($O8&lt;&gt;"",$O8,""))))),""))</f>
        <v/>
      </c>
      <c r="AT8" s="158">
        <f>IFERROR(IF($AN8&lt;&gt;"",$AN8,IF($AH8&lt;&gt;"",$AH8,IF($AB8&lt;&gt;"",$AB8,IF($V8&lt;&gt;"",$V8,IF($P8&lt;&gt;"",$P8,""))))),"")</f>
        <v/>
      </c>
      <c r="AU8" s="265" t="inlineStr">
        <is>
          <t>Đã sửa theo `AC-24.2.01` + BA trả lời `C-ACT-04(a)` 2026-09-17: bổ sung loại đơn thứ ba (`RETURNED`) vào danh sách phải có, bản v1.0 chỉ có 2 loại. · Mục đích: `RETURNED` là kết cục mới của v1.1, dev dễ quên xếp nó vào tab nào. · Căn cứ: chuỗi lý do của card "Hết hạn" verify ở `TC-ACT-008`, lý do hoàn hàng của card `RETURNED` verify ở `TC-ACT-015` — TC này chỉ chốt vị trí tab. Lô `DLV` chưa đẩy được đơn tới `RETURNED` ⇒ ghi `Blocked` phần đó, ⛔ không PASS cả TC.</t>
        </is>
      </c>
    </row>
    <row r="9" ht="60" customHeight="1" s="216">
      <c r="A9" s="160">
        <f>IF($F9="","",$C$2&amp;"."&amp;COUNTA($F$7:$F9)&amp;"")</f>
        <v/>
      </c>
      <c r="B9" s="160" t="inlineStr">
        <is>
          <t>REQ-ACT-004</t>
        </is>
      </c>
      <c r="C9" s="160" t="inlineStr">
        <is>
          <t>DOC-v1.1-01</t>
        </is>
      </c>
      <c r="D9" s="160" t="inlineStr">
        <is>
          <t>Functional</t>
        </is>
      </c>
      <c r="E9" s="160" t="inlineStr">
        <is>
          <t>Medium</t>
        </is>
      </c>
      <c r="F9" s="11" t="inlineStr">
        <is>
          <t>Check đơn đã trả người gửi hiện kèm lý do còn đơn đã huỷ vẫn bị ẩn</t>
        </is>
      </c>
      <c r="G9" s="11" t="inlineStr">
        <is>
          <t>- Tài khoản A là CBNV có hồ sơ đầy đủ trên STG, đã seed sẵn `SEED-ACT-03` (xem §0.4) — gồm cặp đối chứng 1 đơn đã trả lại người gửi và 1 đơn "Đã huỷ".
- Host app FoxPro đã cài trên thiết bị Android/iOS.
Test Data: Cặp đối chứng 1 đơn `RETURNED` + 1 đơn `CANCELLED` cùng tài khoản của `SEED-ACT-03` (test_data_catalog §ACT — Cặp đối chứng CANCELLED ⟷ RETURNED)</t>
        </is>
      </c>
      <c r="H9" s="11" t="inlineStr">
        <is>
          <t>1. Đăng nhập FoxEco và nhấn tab "Hoạt động". (setup)
2. Nhấn tab con "Đã hoàn thành". (setup)
3. Nhấn tab con "Đang diễn ra" rồi rà toàn bộ danh sách. (setup)
4. Nhấn lại tab con "Đã hoàn thành" và check vị trí của cả hai đơn trong cặp đối chứng ở hai tab vừa rà.</t>
        </is>
      </c>
      <c r="I9" s="11" t="inlineStr">
        <is>
          <t>4. Đơn đã trả lại người gửi CÓ trong danh sách tab "Đã hoàn thành" và hiện lý do hoàn hàng trên card; đơn "Đã huỷ" nằm ở tab "Đang diễn ra" với badge "Đã huỷ" và KHÔNG xuất hiện ở tab "Đã hoàn thành".</t>
        </is>
      </c>
      <c r="J9" s="160" t="inlineStr">
        <is>
          <t>AI</t>
        </is>
      </c>
      <c r="K9" s="160" t="inlineStr">
        <is>
          <t>Pending</t>
        </is>
      </c>
      <c r="L9" s="160" t="inlineStr">
        <is>
          <t>No</t>
        </is>
      </c>
      <c r="M9" s="160" t="inlineStr"/>
      <c r="N9" s="264" t="inlineStr">
        <is>
          <t>Yes</t>
        </is>
      </c>
      <c r="O9" s="264" t="inlineStr"/>
      <c r="P9" s="264" t="inlineStr">
        <is>
          <t>Block</t>
        </is>
      </c>
      <c r="Q9" s="264" t="inlineStr">
        <is>
          <t>GiangDC2</t>
        </is>
      </c>
      <c r="R9" s="264" t="inlineStr"/>
      <c r="S9" s="264" t="inlineStr"/>
      <c r="T9" s="264" t="n"/>
      <c r="U9" s="264" t="n"/>
      <c r="V9" s="264" t="n"/>
      <c r="W9" s="264" t="n"/>
      <c r="X9" s="264" t="n"/>
      <c r="Y9" s="264" t="n"/>
      <c r="Z9" s="264" t="n"/>
      <c r="AA9" s="264" t="n"/>
      <c r="AB9" s="264" t="n"/>
      <c r="AC9" s="264" t="n"/>
      <c r="AD9" s="264" t="n"/>
      <c r="AE9" s="264" t="n"/>
      <c r="AF9" s="264" t="n"/>
      <c r="AG9" s="264" t="n"/>
      <c r="AH9" s="264" t="n"/>
      <c r="AI9" s="264" t="n"/>
      <c r="AJ9" s="264" t="n"/>
      <c r="AK9" s="264" t="n"/>
      <c r="AL9" s="264" t="n"/>
      <c r="AM9" s="264" t="n"/>
      <c r="AN9" s="264" t="n"/>
      <c r="AO9" s="264" t="n"/>
      <c r="AP9" s="264" t="n"/>
      <c r="AQ9" s="264" t="n"/>
      <c r="AR9" s="158">
        <f>IF($A9="","",IF(OR($N9="Yes",$T9="Yes",$Z9="Yes",$AF9="Yes",$AL9="Yes"),"Yes","No"))</f>
        <v/>
      </c>
      <c r="AS9" s="158">
        <f>IF($A9="","",IFERROR(IF($AM9&lt;&gt;"",$AM9,IF($AG9&lt;&gt;"",$AG9,IF($AA9&lt;&gt;"",$AA9,IF($U9&lt;&gt;"",$U9,IF($O9&lt;&gt;"",$O9,""))))),""))</f>
        <v/>
      </c>
      <c r="AT9" s="158">
        <f>IFERROR(IF($AN9&lt;&gt;"",$AN9,IF($AH9&lt;&gt;"",$AH9,IF($AB9&lt;&gt;"",$AB9,IF($V9&lt;&gt;"",$V9,IF($P9&lt;&gt;"",$P9,""))))),"")</f>
        <v/>
      </c>
      <c r="AU9" s="265" t="inlineStr">
        <is>
          <t>Đã sửa Expected theo app — QC GiangDC2 chốt 2026-09-21 (sau VR-017): đơn "Đã huỷ" hiện ở tab "Đang diễn ra" với badge "Đã huỷ" là hành vi ĐÚNG, không phải bug; thay kết luận BA `C-ACT-04(b)` 2026-09-17 (ẩn khỏi cả 2 tab). ⚠️ Title chưa sửa vì `§10.5` khoá Title (nợ #27 `03_test-cases/v1.1/CHANGELOG.md`). · Mục đích: hai kết cục bất thường nhưng hai cách xử lý ngược nhau — giá trị của TC nằm ở **phép đối chứng**, xem lẻ từng đơn thì không bắt được lỗi "gom chung mọi đơn bất thường vào một nhánh hiển thị". · Căn cứ: `AC-24.2.01` cho vế `RETURNED`; vế `CANCELLED` theo BA trả lời `C-ACT-04(b)` 2026-09-17 — đơn "Đã huỷ" **vẫn ẩn khỏi cả 2 tab**, rule v1.0 CÒN HIỆU LỰC, `§8.12.3` cho mọi vai *"Xem lý do"* đơn huỷ là **PRD chưa cập nhật**. · Phụ thuộc lô `DLV` để có đơn `RETURNED` — lô đó `BLOCKED` thì TC này `BLOCKED`.</t>
        </is>
      </c>
    </row>
    <row r="10">
      <c r="A10" s="160">
        <f>IF($F10="","",$C$2&amp;"."&amp;COUNTA($F$7:$F10)&amp;"")</f>
        <v/>
      </c>
      <c r="B10" s="160" t="inlineStr">
        <is>
          <t>REQ-ACT-005</t>
        </is>
      </c>
      <c r="C10" s="160" t="inlineStr">
        <is>
          <t>DOC-v1.1-01</t>
        </is>
      </c>
      <c r="D10" s="160" t="inlineStr">
        <is>
          <t>UI</t>
        </is>
      </c>
      <c r="E10" s="160" t="inlineStr">
        <is>
          <t>Low</t>
        </is>
      </c>
      <c r="F10" s="11" t="inlineStr">
        <is>
          <t>Check card đơn Hết hạn hiện badge và đúng chuỗi lý do chính thức</t>
        </is>
      </c>
      <c r="G10" s="11" t="inlineStr">
        <is>
          <t>- Tài khoản A là CBNV có hồ sơ đầy đủ trên STG, đã seed sẵn `SEED-ACT-03` (xem §0.4) — gồm đơn "Hết hạn" cần dev/QA chuẩn bị trước vì ⛔ không tạo được qua UI.
- Host app FoxPro đã cài trên thiết bị Android/iOS.
Test Data: Đơn `EXPIRED` của `SEED-ACT-03` (test_data_catalog §ACT — Text lý do "Hết hạn", ⛔ không seed được qua UI)</t>
        </is>
      </c>
      <c r="H10" s="11" t="inlineStr">
        <is>
          <t>1. Đăng nhập FoxEco, nhấn tab "Hoạt động" rồi nhấn tab con "Đã hoàn thành". (setup)
2. Check badge và dòng lý do trên card đơn "Hết hạn".</t>
        </is>
      </c>
      <c r="I10" s="11" t="inlineStr">
        <is>
          <t>2. Card hiển thị badge "Hết hạn" kèm dòng lý do đúng chuỗi "Không có ai nhận mang giúp trong thời gian đăng".</t>
        </is>
      </c>
      <c r="J10" s="160" t="inlineStr">
        <is>
          <t>AI</t>
        </is>
      </c>
      <c r="K10" s="160" t="inlineStr">
        <is>
          <t>Pending</t>
        </is>
      </c>
      <c r="L10" s="160" t="inlineStr">
        <is>
          <t>No</t>
        </is>
      </c>
      <c r="M10" s="160" t="inlineStr"/>
      <c r="N10" s="264" t="inlineStr">
        <is>
          <t>Yes</t>
        </is>
      </c>
      <c r="O10" s="264" t="inlineStr"/>
      <c r="P10" s="264" t="inlineStr">
        <is>
          <t>Fail</t>
        </is>
      </c>
      <c r="Q10" s="264" t="inlineStr">
        <is>
          <t>GiangDC2</t>
        </is>
      </c>
      <c r="R10" s="264" t="inlineStr">
        <is>
          <t>FE-317</t>
        </is>
      </c>
      <c r="S10" s="264" t="inlineStr"/>
      <c r="T10" s="264" t="n"/>
      <c r="U10" s="264" t="n"/>
      <c r="V10" s="264" t="n"/>
      <c r="W10" s="264" t="n"/>
      <c r="X10" s="264" t="n"/>
      <c r="Y10" s="264" t="n"/>
      <c r="Z10" s="264" t="n"/>
      <c r="AA10" s="264" t="n"/>
      <c r="AB10" s="264" t="n"/>
      <c r="AC10" s="264" t="n"/>
      <c r="AD10" s="264" t="n"/>
      <c r="AE10" s="264" t="n"/>
      <c r="AF10" s="264" t="n"/>
      <c r="AG10" s="264" t="n"/>
      <c r="AH10" s="264" t="n"/>
      <c r="AI10" s="264" t="n"/>
      <c r="AJ10" s="264" t="n"/>
      <c r="AK10" s="264" t="n"/>
      <c r="AL10" s="264" t="n"/>
      <c r="AM10" s="264" t="n"/>
      <c r="AN10" s="264" t="n"/>
      <c r="AO10" s="264" t="n"/>
      <c r="AP10" s="264" t="n"/>
      <c r="AQ10" s="264" t="n"/>
      <c r="AR10" s="158">
        <f>IF($A10="","",IF(OR($N10="Yes",$T10="Yes",$Z10="Yes",$AF10="Yes",$AL10="Yes"),"Yes","No"))</f>
        <v/>
      </c>
      <c r="AS10" s="158">
        <f>IF($A10="","",IFERROR(IF($AM10&lt;&gt;"",$AM10,IF($AG10&lt;&gt;"",$AG10,IF($AA10&lt;&gt;"",$AA10,IF($U10&lt;&gt;"",$U10,IF($O10&lt;&gt;"",$O10,""))))),""))</f>
        <v/>
      </c>
      <c r="AT10" s="158">
        <f>IFERROR(IF($AN10&lt;&gt;"",$AN10,IF($AH10&lt;&gt;"",$AH10,IF($AB10&lt;&gt;"",$AB10,IF($V10&lt;&gt;"",$V10,IF($P10&lt;&gt;"",$P10,""))))),"")</f>
        <v/>
      </c>
      <c r="AU10" s="265" t="inlineStr">
        <is>
          <t>Đã sửa theo `DOC-v1.1-01 §8.5.1 BR05-03` + `AC-09.1.01` 2026-09-17: chuỗi lý do đổi sang bản **ngắn**, bỏ vế "— tin đã tự động đóng." mà bản v1.0 cùng ID đang assert. · Mục đích: 2 nguồn từng lệch phần đuôi câu; PRD v1.1 nay gọi tên chuỗi lần đầu nên thắng quan sát cũ `KB-ORD-07` (#4). App hiện bản dài ⇒ FAIL và log bug, ⛔ không hạ Expected về bản v1.0. · Chỉ ĐỌC card, ⛔ không tap — `C-ACT-03(c)` và `C-ORD-17` đang nói ngược nhau về việc card Hết hạn có tương tác được không.</t>
        </is>
      </c>
    </row>
    <row r="11">
      <c r="A11" s="160">
        <f>IF($F11="","",$C$2&amp;"."&amp;COUNTA($F$7:$F11)&amp;"")</f>
        <v/>
      </c>
      <c r="B11" s="160" t="inlineStr">
        <is>
          <t>REQ-ACT-008</t>
        </is>
      </c>
      <c r="C11" s="160" t="inlineStr">
        <is>
          <t>DOC-v1.1-01</t>
        </is>
      </c>
      <c r="D11" s="160" t="inlineStr">
        <is>
          <t>UI</t>
        </is>
      </c>
      <c r="E11" s="160" t="inlineStr">
        <is>
          <t>Medium</t>
        </is>
      </c>
      <c r="F11" s="11" t="inlineStr">
        <is>
          <t>Check empty state tab Đang diễn ra hiện đúng chuỗi và đúng một nút đăng tin</t>
        </is>
      </c>
      <c r="G11" s="11" t="inlineStr">
        <is>
          <t>- Tài khoản CBNV "trắng" trên STG = `SEED-ACT-02` (không có đơn nào ở trạng thái từ "Chờ ghép" đến "Đã giao") — dùng chung với `TC-ACT-014/016/017/018`, chuẩn bị 1 lần.
- Host app FoxPro đã cài trên thiết bị Android/iOS.
Test Data: Tài khoản 0 đơn đang hoạt động = `SEED-ACT-02` (test_data_catalog §ACT — Text empty state tab đang-chạy)</t>
        </is>
      </c>
      <c r="H11" s="11" t="inlineStr">
        <is>
          <t>1. Đăng nhập FoxEco bằng tài khoản "trắng". (setup)
2. Nhấn tab "Hoạt động". (setup)
3. Check vùng danh sách của tab "Đang diễn ra": icon, dòng tiêu đề, dòng giải thích và số lượng nút CTA.</t>
        </is>
      </c>
      <c r="I11" s="11" t="inlineStr">
        <is>
          <t>3. Vùng danh sách hiện icon nét mảnh màu neutral, dòng tiêu đề đúng chuỗi "Không có đơn đang thực hiện", 1 dòng giải thích, và đúng 1 nút CTA nhãn "Đăng tin gửi hàng".</t>
        </is>
      </c>
      <c r="J11" s="160" t="inlineStr">
        <is>
          <t>AI</t>
        </is>
      </c>
      <c r="K11" s="160" t="inlineStr">
        <is>
          <t>Pending</t>
        </is>
      </c>
      <c r="L11" s="160" t="inlineStr">
        <is>
          <t>No</t>
        </is>
      </c>
      <c r="M11" s="160" t="inlineStr"/>
      <c r="N11" s="264" t="inlineStr">
        <is>
          <t>Yes</t>
        </is>
      </c>
      <c r="O11" s="264" t="inlineStr"/>
      <c r="P11" s="264" t="inlineStr">
        <is>
          <t>Fail</t>
        </is>
      </c>
      <c r="Q11" s="264" t="inlineStr">
        <is>
          <t>GiangDC2</t>
        </is>
      </c>
      <c r="R11" s="264" t="inlineStr">
        <is>
          <t>FE-318</t>
        </is>
      </c>
      <c r="S11" s="264" t="inlineStr"/>
      <c r="T11" s="264" t="n"/>
      <c r="U11" s="264" t="n"/>
      <c r="V11" s="264" t="n"/>
      <c r="W11" s="264" t="n"/>
      <c r="X11" s="264" t="n"/>
      <c r="Y11" s="264" t="n"/>
      <c r="Z11" s="264" t="n"/>
      <c r="AA11" s="264" t="n"/>
      <c r="AB11" s="264" t="n"/>
      <c r="AC11" s="264" t="n"/>
      <c r="AD11" s="264" t="n"/>
      <c r="AE11" s="264" t="n"/>
      <c r="AF11" s="264" t="n"/>
      <c r="AG11" s="264" t="n"/>
      <c r="AH11" s="264" t="n"/>
      <c r="AI11" s="264" t="n"/>
      <c r="AJ11" s="264" t="n"/>
      <c r="AK11" s="264" t="n"/>
      <c r="AL11" s="264" t="n"/>
      <c r="AM11" s="264" t="n"/>
      <c r="AN11" s="264" t="n"/>
      <c r="AO11" s="264" t="n"/>
      <c r="AP11" s="264" t="n"/>
      <c r="AQ11" s="264" t="n"/>
      <c r="AR11" s="158">
        <f>IF($A11="","",IF(OR($N11="Yes",$T11="Yes",$Z11="Yes",$AF11="Yes",$AL11="Yes"),"Yes","No"))</f>
        <v/>
      </c>
      <c r="AS11" s="158">
        <f>IF($A11="","",IFERROR(IF($AM11&lt;&gt;"",$AM11,IF($AG11&lt;&gt;"",$AG11,IF($AA11&lt;&gt;"",$AA11,IF($U11&lt;&gt;"",$U11,IF($O11&lt;&gt;"",$O11,""))))),""))</f>
        <v/>
      </c>
      <c r="AT11" s="158">
        <f>IFERROR(IF($AN11&lt;&gt;"",$AN11,IF($AH11&lt;&gt;"",$AH11,IF($AB11&lt;&gt;"",$AB11,IF($V11&lt;&gt;"",$V11,IF($P11&lt;&gt;"",$P11,""))))),"")</f>
        <v/>
      </c>
      <c r="AU11" s="265" t="inlineStr">
        <is>
          <t>Đã sửa theo `C-ORD-06` Resolved 2026-09-15 (tài liệu đã phê duyệt, `EMP-05`): bản v1.0 chỉ assert "không có card nào" vì text empty state chưa có đặc tả; nay assert verbatim chuỗi + nhãn CTA. · Mục đích: cặp bất đối xứng với `TC-ACT-014` — tab này CÓ đúng 1 CTA, tab kia KHÔNG có; đây là nội dung phải assert, không phải chi tiết trình bày. · Căn cứ: `BR17-01` *"tối đa một CTA"* nên "không có" ở tab kia là lựa chọn thiết kế hợp lệ.</t>
        </is>
      </c>
    </row>
    <row r="12">
      <c r="A12" s="160">
        <f>IF($F12="","",$C$2&amp;"."&amp;COUNTA($F$7:$F12)&amp;"")</f>
        <v/>
      </c>
      <c r="B12" s="160" t="inlineStr">
        <is>
          <t>REQ-ACT-008</t>
        </is>
      </c>
      <c r="C12" s="160" t="inlineStr">
        <is>
          <t>DOC-v1.1-01</t>
        </is>
      </c>
      <c r="D12" s="160" t="inlineStr">
        <is>
          <t>UI</t>
        </is>
      </c>
      <c r="E12" s="160" t="inlineStr">
        <is>
          <t>Medium</t>
        </is>
      </c>
      <c r="F12" s="11" t="inlineStr">
        <is>
          <t>Check empty state tab Đã hoàn thành hiện đúng chuỗi không có CTA và ẩn hẳn khối lịch sử</t>
        </is>
      </c>
      <c r="G12" s="11" t="inlineStr">
        <is>
          <t>- Tài khoản CBNV "trắng" trên STG = `SEED-ACT-02` (chưa có đơn "Hoàn thành", "Hết hạn" hay đơn đã trả lại người gửi) — dùng chung với `TC-ACT-012/016/017/018`, không chuẩn bị lại.
- Host app FoxPro đã cài trên thiết bị Android/iOS.
Test Data: Tài khoản 0 đơn kết thúc = `SEED-ACT-02` (test_data_catalog §ACT — Text empty state tab hoàn-tất)</t>
        </is>
      </c>
      <c r="H12" s="11" t="inlineStr">
        <is>
          <t>1. Đăng nhập FoxEco bằng tài khoản "trắng". (setup)
2. Nhấn tab "Hoạt động". (setup)
3. Nhấn tab con "Đã hoàn thành". (setup)
4. Check vùng danh sách: dòng tiêu đề, số lượng nút CTA và khu vực khối lịch sử.</t>
        </is>
      </c>
      <c r="I12" s="11" t="inlineStr">
        <is>
          <t>4. Vùng danh sách hiện dòng tiêu đề đúng chuỗi "Chưa có đơn hoàn tất", KHÔNG có nút CTA nào, và khối lịch sử bị ẩn hẳn chứ không hiện khung rỗng.</t>
        </is>
      </c>
      <c r="J12" s="160" t="inlineStr">
        <is>
          <t>AI</t>
        </is>
      </c>
      <c r="K12" s="160" t="inlineStr">
        <is>
          <t>Pending</t>
        </is>
      </c>
      <c r="L12" s="160" t="inlineStr">
        <is>
          <t>No</t>
        </is>
      </c>
      <c r="M12" s="160" t="inlineStr"/>
      <c r="N12" s="264" t="inlineStr">
        <is>
          <t>Yes</t>
        </is>
      </c>
      <c r="O12" s="264" t="inlineStr"/>
      <c r="P12" s="264" t="inlineStr">
        <is>
          <t>Pass</t>
        </is>
      </c>
      <c r="Q12" s="264" t="inlineStr">
        <is>
          <t>GiangDC2</t>
        </is>
      </c>
      <c r="R12" s="264" t="inlineStr"/>
      <c r="S12" s="264" t="inlineStr"/>
      <c r="T12" s="264" t="n"/>
      <c r="U12" s="264" t="n"/>
      <c r="V12" s="264" t="n"/>
      <c r="W12" s="264" t="n"/>
      <c r="X12" s="264" t="n"/>
      <c r="Y12" s="264" t="n"/>
      <c r="Z12" s="264" t="n"/>
      <c r="AA12" s="264" t="n"/>
      <c r="AB12" s="264" t="n"/>
      <c r="AC12" s="264" t="n"/>
      <c r="AD12" s="264" t="n"/>
      <c r="AE12" s="264" t="n"/>
      <c r="AF12" s="264" t="n"/>
      <c r="AG12" s="264" t="n"/>
      <c r="AH12" s="264" t="n"/>
      <c r="AI12" s="264" t="n"/>
      <c r="AJ12" s="264" t="n"/>
      <c r="AK12" s="264" t="n"/>
      <c r="AL12" s="264" t="n"/>
      <c r="AM12" s="264" t="n"/>
      <c r="AN12" s="264" t="n"/>
      <c r="AO12" s="264" t="n"/>
      <c r="AP12" s="264" t="n"/>
      <c r="AQ12" s="264" t="n"/>
      <c r="AR12" s="158">
        <f>IF($A12="","",IF(OR($N12="Yes",$T12="Yes",$Z12="Yes",$AF12="Yes",$AL12="Yes"),"Yes","No"))</f>
        <v/>
      </c>
      <c r="AS12" s="158">
        <f>IF($A12="","",IFERROR(IF($AM12&lt;&gt;"",$AM12,IF($AG12&lt;&gt;"",$AG12,IF($AA12&lt;&gt;"",$AA12,IF($U12&lt;&gt;"",$U12,IF($O12&lt;&gt;"",$O12,""))))),""))</f>
        <v/>
      </c>
      <c r="AT12" s="158">
        <f>IFERROR(IF($AN12&lt;&gt;"",$AN12,IF($AH12&lt;&gt;"",$AH12,IF($AB12&lt;&gt;"",$AB12,IF($V12&lt;&gt;"",$V12,IF($P12&lt;&gt;"",$P12,""))))),"")</f>
        <v/>
      </c>
      <c r="AU12" s="265" t="inlineStr">
        <is>
          <t>Đã sửa theo `C-ORD-06` Resolved 2026-09-15 (`EMP-06`): bản v1.0 chỉ assert "không có card nào"; nay assert verbatim chuỗi + KHÔNG CTA + ẩn hẳn khối lịch sử. · Mục đích: đối chứng âm cho `TC-ACT-012` — hai tab rỗng cạnh nhau nhưng khác nhau ở CTA và ở khối lịch sử; app hiện nút ở tab này là **sai spec**. · Căn cứ: `BR17-01` + `EMP-06`.</t>
        </is>
      </c>
    </row>
    <row r="13">
      <c r="A13" s="160">
        <f>IF($F13="","",$C$2&amp;"."&amp;COUNTA($F$7:$F13)&amp;"")</f>
        <v/>
      </c>
      <c r="B13" s="160" t="inlineStr">
        <is>
          <t>REQ-ACT-009</t>
        </is>
      </c>
      <c r="C13" s="160" t="inlineStr">
        <is>
          <t>DOC-v1.1-01</t>
        </is>
      </c>
      <c r="D13" s="160" t="inlineStr">
        <is>
          <t>Functional</t>
        </is>
      </c>
      <c r="E13" s="160" t="inlineStr">
        <is>
          <t>Medium</t>
        </is>
      </c>
      <c r="F13" s="11" t="inlineStr">
        <is>
          <t>Check card đơn Hoàn thành không còn dấu vết sao điểm tier hay chỉ số môi trường</t>
        </is>
      </c>
      <c r="G13" s="11" t="inlineStr">
        <is>
          <t>- Tài khoản A là CBNV có hồ sơ đầy đủ trên STG, đã seed sẵn `SEED-ACT-03` (xem §0.4).
- Host app FoxPro đã cài trên thiết bị Android/iOS.
Test Data: Đơn `COMPLETED` của `SEED-ACT-03` (test_data_catalog §ACT)</t>
        </is>
      </c>
      <c r="H13" s="11" t="inlineStr">
        <is>
          <t>1. Đăng nhập FoxEco, nhấn tab "Hoạt động" rồi nhấn tab con "Đã hoàn thành". (setup)
2. Check toàn bộ nội dung hiển thị trên từng card đơn trong danh sách.</t>
        </is>
      </c>
      <c r="I13" s="11" t="inlineStr">
        <is>
          <t>2. KHÔNG card nào chứa chuỗi sao, điểm số, nhãn tier hay chỉ số môi trường.</t>
        </is>
      </c>
      <c r="J13" s="160" t="inlineStr">
        <is>
          <t>AI</t>
        </is>
      </c>
      <c r="K13" s="160" t="inlineStr">
        <is>
          <t>Pending</t>
        </is>
      </c>
      <c r="L13" s="160" t="inlineStr">
        <is>
          <t>No</t>
        </is>
      </c>
      <c r="M13" s="160" t="inlineStr"/>
      <c r="N13" s="264" t="inlineStr">
        <is>
          <t>Yes</t>
        </is>
      </c>
      <c r="O13" s="264" t="inlineStr"/>
      <c r="P13" s="264" t="inlineStr">
        <is>
          <t>Pass</t>
        </is>
      </c>
      <c r="Q13" s="264" t="inlineStr">
        <is>
          <t>GiangDC2</t>
        </is>
      </c>
      <c r="R13" s="264" t="inlineStr"/>
      <c r="S13" s="264" t="inlineStr"/>
      <c r="T13" s="264" t="n"/>
      <c r="U13" s="264" t="n"/>
      <c r="V13" s="264" t="n"/>
      <c r="W13" s="264" t="n"/>
      <c r="X13" s="264" t="n"/>
      <c r="Y13" s="264" t="n"/>
      <c r="Z13" s="264" t="n"/>
      <c r="AA13" s="264" t="n"/>
      <c r="AB13" s="264" t="n"/>
      <c r="AC13" s="264" t="n"/>
      <c r="AD13" s="264" t="n"/>
      <c r="AE13" s="264" t="n"/>
      <c r="AF13" s="264" t="n"/>
      <c r="AG13" s="264" t="n"/>
      <c r="AH13" s="264" t="n"/>
      <c r="AI13" s="264" t="n"/>
      <c r="AJ13" s="264" t="n"/>
      <c r="AK13" s="264" t="n"/>
      <c r="AL13" s="264" t="n"/>
      <c r="AM13" s="264" t="n"/>
      <c r="AN13" s="264" t="n"/>
      <c r="AO13" s="264" t="n"/>
      <c r="AP13" s="264" t="n"/>
      <c r="AQ13" s="264" t="n"/>
      <c r="AR13" s="158">
        <f>IF($A13="","",IF(OR($N13="Yes",$T13="Yes",$Z13="Yes",$AF13="Yes",$AL13="Yes"),"Yes","No"))</f>
        <v/>
      </c>
      <c r="AS13" s="158">
        <f>IF($A13="","",IFERROR(IF($AM13&lt;&gt;"",$AM13,IF($AG13&lt;&gt;"",$AG13,IF($AA13&lt;&gt;"",$AA13,IF($U13&lt;&gt;"",$U13,IF($O13&lt;&gt;"",$O13,""))))),""))</f>
        <v/>
      </c>
      <c r="AT13" s="158">
        <f>IFERROR(IF($AN13&lt;&gt;"",$AN13,IF($AH13&lt;&gt;"",$AH13,IF($AB13&lt;&gt;"",$AB13,IF($V13&lt;&gt;"",$V13,IF($P13&lt;&gt;"",$P13,""))))),"")</f>
        <v/>
      </c>
      <c r="AU13" s="265" t="inlineStr">
        <is>
          <t>Đã sửa theo `DOC-v1.1-01 §8.14.1 BR14-03` + `§4 SCOPES` 2026-09-17: bản v1.0 chỉ assert "nhấn vào chuỗi sao không mở màn chấm điểm" và cố ý KHÔNG assert sự tồn tại của chuỗi leftover; nay **sự tồn tại của dấu vết đã là defect**. · Mục đích: kết quả phản trực giác so với bản cũ — người chạy quen v1.0 dễ cho PASS khi vẫn thấy ★ trên card. · Căn cứ: `§4` loại trừ vĩnh viễn ★/điểm/tier/chỉ số môi trường. Còn ★ ⇒ **log bug**, ⛔ KHÔNG diễn giải là "dấu vết phase sau". Chạy cùng lô với `SC-GIFT-011` để log 1 bug cho 2 bề mặt.</t>
        </is>
      </c>
    </row>
    <row r="14">
      <c r="A14" s="160">
        <f>IF($F14="","",$C$2&amp;"."&amp;COUNTA($F$7:$F14)&amp;"")</f>
        <v/>
      </c>
      <c r="B14" s="160" t="inlineStr">
        <is>
          <t>REQ-ACT-010</t>
        </is>
      </c>
      <c r="C14" s="160" t="inlineStr">
        <is>
          <t>DOC-v1.1-01</t>
        </is>
      </c>
      <c r="D14" s="160" t="inlineStr">
        <is>
          <t>UI</t>
        </is>
      </c>
      <c r="E14" s="160" t="inlineStr">
        <is>
          <t>Low</t>
        </is>
      </c>
      <c r="F14" s="11" t="inlineStr">
        <is>
          <t>Check empty state không che thanh tab dưới ở cả hai tab rỗng</t>
        </is>
      </c>
      <c r="G14" s="11" t="inlineStr">
        <is>
          <t>- Tài khoản CBNV "trắng" trên STG = `SEED-ACT-02` (không có đơn nào ở cả 2 tab) — dùng chung với `TC-ACT-012/014/017/018`, không chuẩn bị lại.
- Host app FoxPro đã cài trên thiết bị Android/iOS.
Test Data: Tài khoản 0 đơn ở cả 2 tab = `SEED-ACT-02` (test_data_catalog §ACT — Tài khoản trắng)</t>
        </is>
      </c>
      <c r="H14" s="11" t="inlineStr">
        <is>
          <t>1. Đăng nhập FoxEco bằng tài khoản "trắng". (setup)
2. Nhấn tab "Hoạt động". (setup)
3. Nhấn lần lượt từng mục trên thanh tab dưới rồi quay lại tab "Hoạt động".
4. Nhấn tab con "Đã hoàn thành".
5. Nhấn lần lượt từng mục trên thanh tab dưới rồi quay lại tab "Hoạt động", và check thanh tab dưới ở cả hai tab con.</t>
        </is>
      </c>
      <c r="I14" s="11" t="inlineStr">
        <is>
          <t>5. Thanh tab dưới hiển thị đủ 5 mục và mọi mục đều nhấn được ở cả hai tab con, không mục nào bị empty state che lấp.</t>
        </is>
      </c>
      <c r="J14" s="160" t="inlineStr">
        <is>
          <t>AI</t>
        </is>
      </c>
      <c r="K14" s="160" t="inlineStr">
        <is>
          <t>Pending</t>
        </is>
      </c>
      <c r="L14" s="160" t="inlineStr">
        <is>
          <t>No</t>
        </is>
      </c>
      <c r="M14" s="160" t="inlineStr"/>
      <c r="N14" s="264" t="inlineStr">
        <is>
          <t>Yes</t>
        </is>
      </c>
      <c r="O14" s="264" t="inlineStr"/>
      <c r="P14" s="264" t="inlineStr">
        <is>
          <t>Pass</t>
        </is>
      </c>
      <c r="Q14" s="264" t="inlineStr">
        <is>
          <t>GiangDC2</t>
        </is>
      </c>
      <c r="R14" s="264" t="inlineStr"/>
      <c r="S14" s="264" t="inlineStr"/>
      <c r="T14" s="264" t="n"/>
      <c r="U14" s="264" t="n"/>
      <c r="V14" s="264" t="n"/>
      <c r="W14" s="264" t="n"/>
      <c r="X14" s="264" t="n"/>
      <c r="Y14" s="264" t="n"/>
      <c r="Z14" s="264" t="n"/>
      <c r="AA14" s="264" t="n"/>
      <c r="AB14" s="264" t="n"/>
      <c r="AC14" s="264" t="n"/>
      <c r="AD14" s="264" t="n"/>
      <c r="AE14" s="264" t="n"/>
      <c r="AF14" s="264" t="n"/>
      <c r="AG14" s="264" t="n"/>
      <c r="AH14" s="264" t="n"/>
      <c r="AI14" s="264" t="n"/>
      <c r="AJ14" s="264" t="n"/>
      <c r="AK14" s="264" t="n"/>
      <c r="AL14" s="264" t="n"/>
      <c r="AM14" s="264" t="n"/>
      <c r="AN14" s="264" t="n"/>
      <c r="AO14" s="264" t="n"/>
      <c r="AP14" s="264" t="n"/>
      <c r="AQ14" s="264" t="n"/>
      <c r="AR14" s="158">
        <f>IF($A14="","",IF(OR($N14="Yes",$T14="Yes",$Z14="Yes",$AF14="Yes",$AL14="Yes"),"Yes","No"))</f>
        <v/>
      </c>
      <c r="AS14" s="158">
        <f>IF($A14="","",IFERROR(IF($AM14&lt;&gt;"",$AM14,IF($AG14&lt;&gt;"",$AG14,IF($AA14&lt;&gt;"",$AA14,IF($U14&lt;&gt;"",$U14,IF($O14&lt;&gt;"",$O14,""))))),""))</f>
        <v/>
      </c>
      <c r="AT14" s="158">
        <f>IFERROR(IF($AN14&lt;&gt;"",$AN14,IF($AH14&lt;&gt;"",$AH14,IF($AB14&lt;&gt;"",$AB14,IF($V14&lt;&gt;"",$V14,IF($P14&lt;&gt;"",$P14,""))))),"")</f>
        <v/>
      </c>
      <c r="AU14" s="265" t="inlineStr">
        <is>
          <t>Mục đích: cặp với `TC-ACT-017` — che thanh tab dưới và khoá cuộn là hai lỗi layout khác bản chất, sửa được lỗi này không đảm bảo hết lỗi kia. · Căn cứ: `DOC-v1.1-01` §8.17.2 BR17-03 + `§6.2 AC-29.1.01`. `ACT` là màn duy nhất có 2 empty state cạnh nhau nên rule hình thức chung của `FR17` đặt home tại đây.</t>
        </is>
      </c>
    </row>
    <row r="15">
      <c r="A15" s="160">
        <f>IF($F15="","",$C$2&amp;"."&amp;COUNTA($F$7:$F15)&amp;"")</f>
        <v/>
      </c>
      <c r="B15" s="160" t="inlineStr">
        <is>
          <t>REQ-ACT-010</t>
        </is>
      </c>
      <c r="C15" s="160" t="inlineStr">
        <is>
          <t>DOC-v1.1-01</t>
        </is>
      </c>
      <c r="D15" s="160" t="inlineStr">
        <is>
          <t>UI</t>
        </is>
      </c>
      <c r="E15" s="160" t="inlineStr">
        <is>
          <t>Low</t>
        </is>
      </c>
      <c r="F15" s="11" t="inlineStr">
        <is>
          <t>Check màn vẫn cuộn được khi đang hiện empty state ở cả hai tab rỗng</t>
        </is>
      </c>
      <c r="G15" s="11" t="inlineStr">
        <is>
          <t>- Tài khoản CBNV "trắng" trên STG = `SEED-ACT-02` (không có đơn nào ở cả 2 tab) — dùng chung với `TC-ACT-012/014/016/018`, không chuẩn bị lại.
- Host app FoxPro đã cài trên thiết bị Android/iOS.
Test Data: Tài khoản 0 đơn ở cả 2 tab = `SEED-ACT-02` (test_data_catalog §ACT — Tài khoản trắng)</t>
        </is>
      </c>
      <c r="H15" s="11" t="inlineStr">
        <is>
          <t>1. Đăng nhập FoxEco bằng tài khoản "trắng". (setup)
2. Nhấn tab "Hoạt động". (setup)
3. Vuốt lên và vuốt xuống trên vùng danh sách của tab "Đang diễn ra".
4. Nhấn tab con "Đã hoàn thành".
5. Vuốt lên và vuốt xuống trên vùng danh sách, và check trạng thái của màn ở cả hai tab con.</t>
        </is>
      </c>
      <c r="I15" s="11" t="inlineStr">
        <is>
          <t>5. Ở cả hai tab con, empty state đứng cố định trong vùng danh sách khi vuốt (nội dung vừa khít màn, không có gì để cuộn); màn không treo, không lỗi và thanh tab dưới vẫn hiển thị đủ.</t>
        </is>
      </c>
      <c r="J15" s="160" t="inlineStr">
        <is>
          <t>AI</t>
        </is>
      </c>
      <c r="K15" s="160" t="inlineStr">
        <is>
          <t>Pending</t>
        </is>
      </c>
      <c r="L15" s="160" t="inlineStr">
        <is>
          <t>No</t>
        </is>
      </c>
      <c r="M15" s="160" t="inlineStr"/>
      <c r="N15" s="264" t="inlineStr">
        <is>
          <t>Yes</t>
        </is>
      </c>
      <c r="O15" s="264" t="inlineStr"/>
      <c r="P15" s="264" t="inlineStr">
        <is>
          <t>Pass</t>
        </is>
      </c>
      <c r="Q15" s="264" t="inlineStr">
        <is>
          <t>GiangDC2</t>
        </is>
      </c>
      <c r="R15" s="264" t="inlineStr"/>
      <c r="S15" s="264" t="inlineStr"/>
      <c r="T15" s="264" t="n"/>
      <c r="U15" s="264" t="n"/>
      <c r="V15" s="264" t="n"/>
      <c r="W15" s="264" t="n"/>
      <c r="X15" s="264" t="n"/>
      <c r="Y15" s="264" t="n"/>
      <c r="Z15" s="264" t="n"/>
      <c r="AA15" s="264" t="n"/>
      <c r="AB15" s="264" t="n"/>
      <c r="AC15" s="264" t="n"/>
      <c r="AD15" s="264" t="n"/>
      <c r="AE15" s="264" t="n"/>
      <c r="AF15" s="264" t="n"/>
      <c r="AG15" s="264" t="n"/>
      <c r="AH15" s="264" t="n"/>
      <c r="AI15" s="264" t="n"/>
      <c r="AJ15" s="264" t="n"/>
      <c r="AK15" s="264" t="n"/>
      <c r="AL15" s="264" t="n"/>
      <c r="AM15" s="264" t="n"/>
      <c r="AN15" s="264" t="n"/>
      <c r="AO15" s="264" t="n"/>
      <c r="AP15" s="264" t="n"/>
      <c r="AQ15" s="264" t="n"/>
      <c r="AR15" s="158">
        <f>IF($A15="","",IF(OR($N15="Yes",$T15="Yes",$Z15="Yes",$AF15="Yes",$AL15="Yes"),"Yes","No"))</f>
        <v/>
      </c>
      <c r="AS15" s="158">
        <f>IF($A15="","",IFERROR(IF($AM15&lt;&gt;"",$AM15,IF($AG15&lt;&gt;"",$AG15,IF($AA15&lt;&gt;"",$AA15,IF($U15&lt;&gt;"",$U15,IF($O15&lt;&gt;"",$O15,""))))),""))</f>
        <v/>
      </c>
      <c r="AT15" s="158">
        <f>IFERROR(IF($AN15&lt;&gt;"",$AN15,IF($AH15&lt;&gt;"",$AH15,IF($AB15&lt;&gt;"",$AB15,IF($V15&lt;&gt;"",$V15,IF($P15&lt;&gt;"",$P15,""))))),"")</f>
        <v/>
      </c>
      <c r="AU15" s="265" t="inlineStr">
        <is>
          <t>Đã sửa Expected + step 5 theo app — QC GiangDC2 chốt 2026-09-21 (sau VR-017): màn rỗng không cuộn/không phản hồi vuốt là hành vi ĐÚNG, không phải bug (`BUG-032` đã xoá). ⚠️ Title chưa sửa vì `§10.5` khoá Title (nợ #28 `03_test-cases/v1.1/CHANGELOG.md`). · Căn cứ gốc: `DOC-v1.1-01` §8.17.2 BR17-03 — QC hiểu "vẫn cuộn được" là màn không bị treo/khoá thao tác, không bắt buộc có phản hồi cuộn khi không có nội dung vượt màn.</t>
        </is>
      </c>
    </row>
    <row r="16">
      <c r="A16" s="160">
        <f>IF($F16="","",$C$2&amp;"."&amp;COUNTA($F$7:$F16)&amp;"")</f>
        <v/>
      </c>
      <c r="B16" s="160" t="inlineStr">
        <is>
          <t>REQ-ACT-010</t>
        </is>
      </c>
      <c r="C16" s="160" t="inlineStr">
        <is>
          <t>DOC-v1.1-01</t>
        </is>
      </c>
      <c r="D16" s="160" t="inlineStr">
        <is>
          <t>UI</t>
        </is>
      </c>
      <c r="E16" s="160" t="inlineStr">
        <is>
          <t>Low</t>
        </is>
      </c>
      <c r="F16" s="11" t="inlineStr">
        <is>
          <t>Check tab rỗng phân biệt rõ trạng thái đang tải với trạng thái không có dữ liệu</t>
        </is>
      </c>
      <c r="G16" s="11" t="inlineStr">
        <is>
          <t>- Tài khoản CBNV "trắng" trên STG = `SEED-ACT-02` (không có đơn nào ở cả 2 tab) — dùng chung với `TC-ACT-012/014/016/017`, không chuẩn bị lại.
- Host app FoxPro đã cài trên thiết bị Android/iOS.
- Có sẵn công cụ throttle mạng về 3G chậm — không dựng được bằng thao tác trong app.
Test Data: Tài khoản 0 đơn ở cả 2 tab = `SEED-ACT-02`; mạng throttle 3G chậm (test_data_catalog §ACT — Tốc độ mạng)</t>
        </is>
      </c>
      <c r="H16" s="11" t="inlineStr">
        <is>
          <t>1. Throttle mạng thiết bị về 3G chậm. (setup)
2. Đăng nhập FoxEco bằng tài khoản "trắng". (setup)
3. Nhấn tab "Hoạt động" và theo dõi liên tục vùng danh sách của tab "Đang diễn ra" từ lúc vào màn.
4. Nhấn tab con "Đã hoàn thành" và theo dõi liên tục vùng danh sách từ lúc chuyển tab.
5. Check chuỗi trạng thái hiển thị đã quan sát ở cả hai tab con.</t>
        </is>
      </c>
      <c r="I16" s="11" t="inlineStr">
        <is>
          <t>5. Ở cả hai tab con, vùng danh sách đi qua pha đang tải rồi chuyển hẳn sang empty state; pha đang tải kết thúc chứ không lặp skeleton vô hạn.</t>
        </is>
      </c>
      <c r="J16" s="160" t="inlineStr">
        <is>
          <t>AI</t>
        </is>
      </c>
      <c r="K16" s="160" t="inlineStr">
        <is>
          <t>Pending</t>
        </is>
      </c>
      <c r="L16" s="160" t="inlineStr">
        <is>
          <t>No</t>
        </is>
      </c>
      <c r="M16" s="160" t="inlineStr"/>
      <c r="N16" s="264" t="inlineStr">
        <is>
          <t>Yes</t>
        </is>
      </c>
      <c r="O16" s="264" t="inlineStr"/>
      <c r="P16" s="264" t="inlineStr">
        <is>
          <t>Pass</t>
        </is>
      </c>
      <c r="Q16" s="264" t="inlineStr">
        <is>
          <t>GiangDC2</t>
        </is>
      </c>
      <c r="R16" s="264" t="inlineStr"/>
      <c r="S16" s="264" t="inlineStr"/>
      <c r="T16" s="264" t="n"/>
      <c r="U16" s="264" t="n"/>
      <c r="V16" s="264" t="n"/>
      <c r="W16" s="264" t="n"/>
      <c r="X16" s="264" t="n"/>
      <c r="Y16" s="264" t="n"/>
      <c r="Z16" s="264" t="n"/>
      <c r="AA16" s="264" t="n"/>
      <c r="AB16" s="264" t="n"/>
      <c r="AC16" s="264" t="n"/>
      <c r="AD16" s="264" t="n"/>
      <c r="AE16" s="264" t="n"/>
      <c r="AF16" s="264" t="n"/>
      <c r="AG16" s="264" t="n"/>
      <c r="AH16" s="264" t="n"/>
      <c r="AI16" s="264" t="n"/>
      <c r="AJ16" s="264" t="n"/>
      <c r="AK16" s="264" t="n"/>
      <c r="AL16" s="264" t="n"/>
      <c r="AM16" s="264" t="n"/>
      <c r="AN16" s="264" t="n"/>
      <c r="AO16" s="264" t="n"/>
      <c r="AP16" s="264" t="n"/>
      <c r="AQ16" s="264" t="n"/>
      <c r="AR16" s="158">
        <f>IF($A16="","",IF(OR($N16="Yes",$T16="Yes",$Z16="Yes",$AF16="Yes",$AL16="Yes"),"Yes","No"))</f>
        <v/>
      </c>
      <c r="AS16" s="158">
        <f>IF($A16="","",IFERROR(IF($AM16&lt;&gt;"",$AM16,IF($AG16&lt;&gt;"",$AG16,IF($AA16&lt;&gt;"",$AA16,IF($U16&lt;&gt;"",$U16,IF($O16&lt;&gt;"",$O16,""))))),""))</f>
        <v/>
      </c>
      <c r="AT16" s="158">
        <f>IFERROR(IF($AN16&lt;&gt;"",$AN16,IF($AH16&lt;&gt;"",$AH16,IF($AB16&lt;&gt;"",$AB16,IF($V16&lt;&gt;"",$V16,IF($P16&lt;&gt;"",$P16,""))))),"")</f>
        <v/>
      </c>
      <c r="AU16" s="265" t="inlineStr">
        <is>
          <t>Mục đích: neo vào `[GAP]` của `SC-ACT-017` — điều kiện *"hiện empty state dựa cờ dữ liệu rỗng, không dựa null field"* là rule **backend**, ⛔ không verify được qua UI, nên TC chỉ assert phần quan sát được. · Căn cứ: `DOC-v1.1-01` §8.17 Pre-Conditions + §8.17.2 BR17-02. Bắt buộc throttle 3G chậm: mạng nhanh thì pha loading trôi qua quá nhanh, không phân biệt được hai trạng thái.</t>
        </is>
      </c>
    </row>
    <row r="17">
      <c r="A17" s="160">
        <f>IF($F17="","",$C$2&amp;"."&amp;COUNTA($F$7:$F17)&amp;"")</f>
        <v/>
      </c>
      <c r="B17" s="160" t="inlineStr">
        <is>
          <t>REQ-ACT-001</t>
        </is>
      </c>
      <c r="C17" s="160" t="inlineStr">
        <is>
          <t>DOC-v1.0-06</t>
        </is>
      </c>
      <c r="D17" s="160" t="inlineStr">
        <is>
          <t>UI</t>
        </is>
      </c>
      <c r="E17" s="160" t="inlineStr">
        <is>
          <t>Medium</t>
        </is>
      </c>
      <c r="F17" s="11" t="inlineStr">
        <is>
          <t>Check tab "Đang diễn ra" là tab active mặc định khi mở màn Hoạt động lần đầu trong phiên</t>
        </is>
      </c>
      <c r="G17" s="11" t="inlineStr">
        <is>
          <t>Tài khoản SSO CBNV còn hiệu lực trên STG.
Test Data: Tab active mặc định (test_data_catalog §ACT, biên "lần đầu mở màn")</t>
        </is>
      </c>
      <c r="H17" s="11" t="inlineStr">
        <is>
          <t>1. Đóng hẳn host app FoxPro rồi mở lại và đăng nhập FoxEco để bắt đầu phiên mới. (setup)
2. Nhấn tab "Hoạt động" ở bottom nav.
3. Check tab con đang active.</t>
        </is>
      </c>
      <c r="I17" s="11" t="inlineStr">
        <is>
          <t>3. Tab "Đang diễn ra" ở trạng thái active; danh sách đang hiển thị là danh sách của tab này.</t>
        </is>
      </c>
      <c r="J17" s="160" t="inlineStr">
        <is>
          <t>AI</t>
        </is>
      </c>
      <c r="K17" s="160" t="inlineStr">
        <is>
          <t>Pending</t>
        </is>
      </c>
      <c r="L17" s="160" t="inlineStr">
        <is>
          <t>No</t>
        </is>
      </c>
      <c r="M17" s="160" t="inlineStr"/>
      <c r="N17" s="264" t="inlineStr"/>
      <c r="O17" s="264" t="inlineStr"/>
      <c r="P17" s="264" t="inlineStr"/>
      <c r="Q17" s="264" t="inlineStr"/>
      <c r="R17" s="264" t="inlineStr"/>
      <c r="S17" s="264" t="inlineStr"/>
      <c r="T17" s="264" t="n"/>
      <c r="U17" s="264" t="n"/>
      <c r="V17" s="264" t="n"/>
      <c r="W17" s="264" t="n"/>
      <c r="X17" s="264" t="n"/>
      <c r="Y17" s="264" t="n"/>
      <c r="Z17" s="264" t="n"/>
      <c r="AA17" s="264" t="n"/>
      <c r="AB17" s="264" t="n"/>
      <c r="AC17" s="264" t="n"/>
      <c r="AD17" s="264" t="n"/>
      <c r="AE17" s="264" t="n"/>
      <c r="AF17" s="264" t="n"/>
      <c r="AG17" s="264" t="n"/>
      <c r="AH17" s="264" t="n"/>
      <c r="AI17" s="264" t="n"/>
      <c r="AJ17" s="264" t="n"/>
      <c r="AK17" s="264" t="n"/>
      <c r="AL17" s="264" t="n"/>
      <c r="AM17" s="264" t="n"/>
      <c r="AN17" s="264" t="n"/>
      <c r="AO17" s="264" t="n"/>
      <c r="AP17" s="264" t="n"/>
      <c r="AQ17" s="264" t="n"/>
      <c r="AR17" s="158">
        <f>IF($A17="","",IF(OR($N17="Yes",$T17="Yes",$Z17="Yes",$AF17="Yes",$AL17="Yes"),"Yes","No"))</f>
        <v/>
      </c>
      <c r="AS17" s="158">
        <f>IF($A17="","",IFERROR(IF($AM17&lt;&gt;"",$AM17,IF($AG17&lt;&gt;"",$AG17,IF($AA17&lt;&gt;"",$AA17,IF($U17&lt;&gt;"",$U17,IF($O17&lt;&gt;"",$O17,""))))),""))</f>
        <v/>
      </c>
      <c r="AT17" s="158">
        <f>IFERROR(IF($AN17&lt;&gt;"",$AN17,IF($AH17&lt;&gt;"",$AH17,IF($AB17&lt;&gt;"",$AB17,IF($V17&lt;&gt;"",$V17,IF($P17&lt;&gt;"",$P17,""))))),"")</f>
        <v/>
      </c>
      <c r="AU17" s="265" t="inlineStr"/>
    </row>
    <row r="18">
      <c r="A18" s="160">
        <f>IF($F18="","",$C$2&amp;"."&amp;COUNTA($F$7:$F18)&amp;"")</f>
        <v/>
      </c>
      <c r="B18" s="160" t="inlineStr">
        <is>
          <t>REQ-ACT-001</t>
        </is>
      </c>
      <c r="C18" s="160" t="inlineStr">
        <is>
          <t>DOC-v1.0-06</t>
        </is>
      </c>
      <c r="D18" s="160" t="inlineStr">
        <is>
          <t>Functional</t>
        </is>
      </c>
      <c r="E18" s="160" t="inlineStr">
        <is>
          <t>Low</t>
        </is>
      </c>
      <c r="F18" s="11" t="inlineStr">
        <is>
          <t>Check cơ chế chuyển qua lại giữa hai tab đổi đúng tab active</t>
        </is>
      </c>
      <c r="G18" s="11" t="inlineStr">
        <is>
          <t>- Tài khoản A là CBNV có hồ sơ đầy đủ trên STG, đã seed sẵn `SEED-ACT-01` (xem ghi chú đầu fragment).
- Host app FoxPro đã cài trên thiết bị Android/iOS.
Test Data: Đơn "Đang giao" + đơn "Hoàn thành" của `SEED-ACT-01` (test_data_catalog §ACT)</t>
        </is>
      </c>
      <c r="H18" s="11" t="inlineStr">
        <is>
          <t>1. Đăng nhập FoxEco và nhấn tab "Hoạt động". (setup)
2. Nhấn tab con "Đã hoàn thành".
3. Nhấn tab con "Đang diễn ra".</t>
        </is>
      </c>
      <c r="I18" s="11" t="inlineStr">
        <is>
          <t>2. Tab "Đã hoàn thành" chuyển sang active, tab "Đang diễn ra" hết active; danh sách bên dưới được thay bằng danh sách khác.
3. Tab "Đang diễn ra" chuyển lại active; danh sách trở về danh sách ban đầu.</t>
        </is>
      </c>
      <c r="J18" s="160" t="inlineStr">
        <is>
          <t>AI</t>
        </is>
      </c>
      <c r="K18" s="160" t="inlineStr">
        <is>
          <t>Pending</t>
        </is>
      </c>
      <c r="L18" s="160" t="inlineStr">
        <is>
          <t>No</t>
        </is>
      </c>
      <c r="M18" s="160" t="inlineStr"/>
      <c r="N18" s="264" t="inlineStr"/>
      <c r="O18" s="264" t="inlineStr"/>
      <c r="P18" s="264" t="inlineStr"/>
      <c r="Q18" s="264" t="inlineStr"/>
      <c r="R18" s="264" t="inlineStr"/>
      <c r="S18" s="264" t="inlineStr"/>
      <c r="T18" s="264" t="n"/>
      <c r="U18" s="264" t="n"/>
      <c r="V18" s="264" t="n"/>
      <c r="W18" s="264" t="n"/>
      <c r="X18" s="264" t="n"/>
      <c r="Y18" s="264" t="n"/>
      <c r="Z18" s="264" t="n"/>
      <c r="AA18" s="264" t="n"/>
      <c r="AB18" s="264" t="n"/>
      <c r="AC18" s="264" t="n"/>
      <c r="AD18" s="264" t="n"/>
      <c r="AE18" s="264" t="n"/>
      <c r="AF18" s="264" t="n"/>
      <c r="AG18" s="264" t="n"/>
      <c r="AH18" s="264" t="n"/>
      <c r="AI18" s="264" t="n"/>
      <c r="AJ18" s="264" t="n"/>
      <c r="AK18" s="264" t="n"/>
      <c r="AL18" s="264" t="n"/>
      <c r="AM18" s="264" t="n"/>
      <c r="AN18" s="264" t="n"/>
      <c r="AO18" s="264" t="n"/>
      <c r="AP18" s="264" t="n"/>
      <c r="AQ18" s="264" t="n"/>
      <c r="AR18" s="158">
        <f>IF($A18="","",IF(OR($N18="Yes",$T18="Yes",$Z18="Yes",$AF18="Yes",$AL18="Yes"),"Yes","No"))</f>
        <v/>
      </c>
      <c r="AS18" s="158">
        <f>IF($A18="","",IFERROR(IF($AM18&lt;&gt;"",$AM18,IF($AG18&lt;&gt;"",$AG18,IF($AA18&lt;&gt;"",$AA18,IF($U18&lt;&gt;"",$U18,IF($O18&lt;&gt;"",$O18,""))))),""))</f>
        <v/>
      </c>
      <c r="AT18" s="158">
        <f>IFERROR(IF($AN18&lt;&gt;"",$AN18,IF($AH18&lt;&gt;"",$AH18,IF($AB18&lt;&gt;"",$AB18,IF($V18&lt;&gt;"",$V18,IF($P18&lt;&gt;"",$P18,""))))),"")</f>
        <v/>
      </c>
      <c r="AU18" s="265" t="inlineStr">
        <is>
          <t>Mục đích: TC này verify **cơ chế switch**, cố ý KHÔNG verify nội dung data của từng tab — nội dung do TC-ACT-004 và TC-ACT-005 đảm nhiệm (`§Custom Rules §10.2`).</t>
        </is>
      </c>
    </row>
    <row r="19">
      <c r="A19" s="160">
        <f>IF($F19="","",$C$2&amp;"."&amp;COUNTA($F$7:$F19)&amp;"")</f>
        <v/>
      </c>
      <c r="B19" s="160" t="inlineStr">
        <is>
          <t>REQ-ACT-003</t>
        </is>
      </c>
      <c r="C19" s="160" t="inlineStr">
        <is>
          <t>DOC-v1.0-02</t>
        </is>
      </c>
      <c r="D19" s="160" t="inlineStr">
        <is>
          <t>Functional</t>
        </is>
      </c>
      <c r="E19" s="160" t="inlineStr">
        <is>
          <t>Medium</t>
        </is>
      </c>
      <c r="F19" s="11" t="inlineStr">
        <is>
          <t>Check tab "Đang diễn ra" chỉ chứa đơn đang hoạt động và không lẫn đơn đã kết thúc</t>
        </is>
      </c>
      <c r="G19" s="11" t="inlineStr">
        <is>
          <t>- Tài khoản A là CBNV có hồ sơ đầy đủ trên STG, đã seed sẵn `SEED-ACT-01` (xem ghi chú đầu fragment).
- Host app FoxPro đã cài trên thiết bị Android/iOS.
Test Data: 4 đơn đang hoạt động + 1 đơn "Hoàn thành" + 1 đơn "Hết hạn" của `SEED-ACT-01` (test_data_catalog §ACT)</t>
        </is>
      </c>
      <c r="H19" s="11" t="inlineStr">
        <is>
          <t>1. Đăng nhập FoxEco và nhấn tab "Hoạt động". (setup)
2. Check badge trạng thái của từng card trong tab "Đang diễn ra".</t>
        </is>
      </c>
      <c r="I19" s="11" t="inlineStr">
        <is>
          <t>2. Mọi card trong danh sách có badge thuộc nhóm "Chờ ghép", "Đã ghép", "Đang giao", "Đã giao"; KHÔNG có card nào badge "Hoàn thành" hoặc "Hết hạn".</t>
        </is>
      </c>
      <c r="J19" s="160" t="inlineStr">
        <is>
          <t>AI</t>
        </is>
      </c>
      <c r="K19" s="160" t="inlineStr">
        <is>
          <t>Pending</t>
        </is>
      </c>
      <c r="L19" s="160" t="inlineStr">
        <is>
          <t>No</t>
        </is>
      </c>
      <c r="M19" s="160" t="inlineStr"/>
      <c r="N19" s="264" t="inlineStr"/>
      <c r="O19" s="264" t="inlineStr"/>
      <c r="P19" s="264" t="inlineStr"/>
      <c r="Q19" s="264" t="inlineStr"/>
      <c r="R19" s="264" t="inlineStr"/>
      <c r="S19" s="264" t="inlineStr"/>
      <c r="T19" s="264" t="n"/>
      <c r="U19" s="264" t="n"/>
      <c r="V19" s="264" t="n"/>
      <c r="W19" s="264" t="n"/>
      <c r="X19" s="264" t="n"/>
      <c r="Y19" s="264" t="n"/>
      <c r="Z19" s="264" t="n"/>
      <c r="AA19" s="264" t="n"/>
      <c r="AB19" s="264" t="n"/>
      <c r="AC19" s="264" t="n"/>
      <c r="AD19" s="264" t="n"/>
      <c r="AE19" s="264" t="n"/>
      <c r="AF19" s="264" t="n"/>
      <c r="AG19" s="264" t="n"/>
      <c r="AH19" s="264" t="n"/>
      <c r="AI19" s="264" t="n"/>
      <c r="AJ19" s="264" t="n"/>
      <c r="AK19" s="264" t="n"/>
      <c r="AL19" s="264" t="n"/>
      <c r="AM19" s="264" t="n"/>
      <c r="AN19" s="264" t="n"/>
      <c r="AO19" s="264" t="n"/>
      <c r="AP19" s="264" t="n"/>
      <c r="AQ19" s="264" t="n"/>
      <c r="AR19" s="158">
        <f>IF($A19="","",IF(OR($N19="Yes",$T19="Yes",$Z19="Yes",$AF19="Yes",$AL19="Yes"),"Yes","No"))</f>
        <v/>
      </c>
      <c r="AS19" s="158">
        <f>IF($A19="","",IFERROR(IF($AM19&lt;&gt;"",$AM19,IF($AG19&lt;&gt;"",$AG19,IF($AA19&lt;&gt;"",$AA19,IF($U19&lt;&gt;"",$U19,IF($O19&lt;&gt;"",$O19,""))))),""))</f>
        <v/>
      </c>
      <c r="AT19" s="158">
        <f>IFERROR(IF($AN19&lt;&gt;"",$AN19,IF($AH19&lt;&gt;"",$AH19,IF($AB19&lt;&gt;"",$AB19,IF($V19&lt;&gt;"",$V19,IF($P19&lt;&gt;"",$P19,""))))),"")</f>
        <v/>
      </c>
      <c r="AU19" s="265" t="inlineStr">
        <is>
          <t>Mục đích: đây là chỗ TC gộp tab của đợt cũ **không bắt được lỗi** — case gốc sinh `§Custom Rules §10.2`. · Căn cứ: `DOC-v1.0-02` §3.7 đoạn 2; biên cuối của tab là "Đã giao" (`§D2` L232).</t>
        </is>
      </c>
    </row>
    <row r="20">
      <c r="A20" s="160">
        <f>IF($F20="","",$C$2&amp;"."&amp;COUNTA($F$7:$F20)&amp;"")</f>
        <v/>
      </c>
      <c r="B20" s="160" t="inlineStr">
        <is>
          <t>REQ-ACT-002</t>
        </is>
      </c>
      <c r="C20" s="160" t="inlineStr">
        <is>
          <t>DOC-v1.0-06 · DOC-v1.0-05</t>
        </is>
      </c>
      <c r="D20" s="160" t="inlineStr">
        <is>
          <t>UI</t>
        </is>
      </c>
      <c r="E20" s="160" t="inlineStr">
        <is>
          <t>Medium</t>
        </is>
      </c>
      <c r="F20" s="11" t="inlineStr">
        <is>
          <t>Check card đơn ở màn Hoạt động đủ năm trường theo thiết kế</t>
        </is>
      </c>
      <c r="G20" s="11" t="inlineStr">
        <is>
          <t>- Tài khoản A là CBNV có hồ sơ đầy đủ trên STG, đã seed sẵn `SEED-ACT-01` (xem ghi chú đầu fragment).
- Host app FoxPro đã cài trên thiết bị Android/iOS.
Test Data: Đơn "Đang giao" của `SEED-ACT-01` (test_data_catalog §ACT)</t>
        </is>
      </c>
      <c r="H20" s="11" t="inlineStr">
        <is>
          <t>1. Đăng nhập FoxEco và nhấn tab "Hoạt động". (setup)
2. Check lần lượt các trường trên card đơn "Đang giao".</t>
        </is>
      </c>
      <c r="I20" s="11" t="inlineStr">
        <is>
          <t>2. Card hiển thị đủ 5 trường: icon trạng thái, tên tin, tuyến đường dạng "Từ → Đến", ngày, badge trạng thái.</t>
        </is>
      </c>
      <c r="J20" s="160" t="inlineStr">
        <is>
          <t>AI</t>
        </is>
      </c>
      <c r="K20" s="160" t="inlineStr">
        <is>
          <t>Pending</t>
        </is>
      </c>
      <c r="L20" s="160" t="inlineStr">
        <is>
          <t>No</t>
        </is>
      </c>
      <c r="M20" s="160" t="inlineStr"/>
      <c r="N20" s="264" t="inlineStr"/>
      <c r="O20" s="264" t="inlineStr"/>
      <c r="P20" s="264" t="inlineStr"/>
      <c r="Q20" s="264" t="inlineStr"/>
      <c r="R20" s="264" t="inlineStr"/>
      <c r="S20" s="264" t="inlineStr"/>
      <c r="T20" s="264" t="n"/>
      <c r="U20" s="264" t="n"/>
      <c r="V20" s="264" t="n"/>
      <c r="W20" s="264" t="n"/>
      <c r="X20" s="264" t="n"/>
      <c r="Y20" s="264" t="n"/>
      <c r="Z20" s="264" t="n"/>
      <c r="AA20" s="264" t="n"/>
      <c r="AB20" s="264" t="n"/>
      <c r="AC20" s="264" t="n"/>
      <c r="AD20" s="264" t="n"/>
      <c r="AE20" s="264" t="n"/>
      <c r="AF20" s="264" t="n"/>
      <c r="AG20" s="264" t="n"/>
      <c r="AH20" s="264" t="n"/>
      <c r="AI20" s="264" t="n"/>
      <c r="AJ20" s="264" t="n"/>
      <c r="AK20" s="264" t="n"/>
      <c r="AL20" s="264" t="n"/>
      <c r="AM20" s="264" t="n"/>
      <c r="AN20" s="264" t="n"/>
      <c r="AO20" s="264" t="n"/>
      <c r="AP20" s="264" t="n"/>
      <c r="AQ20" s="264" t="n"/>
      <c r="AR20" s="158">
        <f>IF($A20="","",IF(OR($N20="Yes",$T20="Yes",$Z20="Yes",$AF20="Yes",$AL20="Yes"),"Yes","No"))</f>
        <v/>
      </c>
      <c r="AS20" s="158">
        <f>IF($A20="","",IFERROR(IF($AM20&lt;&gt;"",$AM20,IF($AG20&lt;&gt;"",$AG20,IF($AA20&lt;&gt;"",$AA20,IF($U20&lt;&gt;"",$U20,IF($O20&lt;&gt;"",$O20,""))))),""))</f>
        <v/>
      </c>
      <c r="AT20" s="158">
        <f>IFERROR(IF($AN20&lt;&gt;"",$AN20,IF($AH20&lt;&gt;"",$AH20,IF($AB20&lt;&gt;"",$AB20,IF($V20&lt;&gt;"",$V20,IF($P20&lt;&gt;"",$P20,""))))),"")</f>
        <v/>
      </c>
      <c r="AU20" s="265" t="inlineStr">
        <is>
          <t>Căn cứ: đối chiếu cấu trúc theo `DOC-v1.0-05`; ⛔ không assert định dạng ngày và không assert cách rút gọn địa chỉ — cả hai chưa có đặc tả.</t>
        </is>
      </c>
    </row>
    <row r="21" ht="15.75" customHeight="1" s="216">
      <c r="A21" s="160">
        <f>IF($F21="","",$C$2&amp;"."&amp;COUNTA($F$7:$F21)&amp;"")</f>
        <v/>
      </c>
      <c r="B21" s="160" t="inlineStr">
        <is>
          <t>REQ-ACT-007</t>
        </is>
      </c>
      <c r="C21" s="160" t="inlineStr">
        <is>
          <t>DOC-v1.0-06</t>
        </is>
      </c>
      <c r="D21" s="160" t="inlineStr">
        <is>
          <t>Functional</t>
        </is>
      </c>
      <c r="E21" s="160" t="inlineStr">
        <is>
          <t>Medium</t>
        </is>
      </c>
      <c r="F21" s="11" t="inlineStr">
        <is>
          <t>Check đơn "Đã huỷ" không xuất hiện ở cả hai tab của màn Hoạt động</t>
        </is>
      </c>
      <c r="G21" s="11" t="inlineStr">
        <is>
          <t>Tài khoản Sender trên STG.
Test Data: 1 đơn "Đã huỷ" dùng làm giá trị assert-absent (test_data_catalog §ACT)</t>
        </is>
      </c>
      <c r="H21" s="11" t="inlineStr">
        <is>
          <t>1. Đăng nhập FoxEco, đăng 1 tin NEED rồi huỷ đơn đó và ghi lại tên tin. (setup)
2. Nhấn tab "Hoạt động" và check danh sách tab "Đang diễn ra".
3. Nhấn tab con "Đã hoàn thành" và check danh sách.</t>
        </is>
      </c>
      <c r="I21" s="11" t="inlineStr">
        <is>
          <t>2. Tab "Đang diễn ra" KHÔNG có card nào mang tên tin đã ghi ở bước 1.
3. Tab "Đã hoàn thành" KHÔNG có card nào mang tên tin đã ghi ở bước 1.</t>
        </is>
      </c>
      <c r="J21" s="160" t="inlineStr">
        <is>
          <t>AI</t>
        </is>
      </c>
      <c r="K21" s="160" t="inlineStr">
        <is>
          <t>Pending</t>
        </is>
      </c>
      <c r="L21" s="160" t="inlineStr">
        <is>
          <t>No</t>
        </is>
      </c>
      <c r="M21" s="160" t="inlineStr"/>
      <c r="N21" s="264" t="inlineStr"/>
      <c r="O21" s="264" t="inlineStr"/>
      <c r="P21" s="264" t="inlineStr"/>
      <c r="Q21" s="264" t="inlineStr"/>
      <c r="R21" s="264" t="inlineStr"/>
      <c r="S21" s="264" t="inlineStr"/>
      <c r="T21" s="264" t="n"/>
      <c r="U21" s="264" t="n"/>
      <c r="V21" s="264" t="n"/>
      <c r="W21" s="264" t="n"/>
      <c r="X21" s="264" t="n"/>
      <c r="Y21" s="264" t="n"/>
      <c r="Z21" s="264" t="n"/>
      <c r="AA21" s="264" t="n"/>
      <c r="AB21" s="264" t="n"/>
      <c r="AC21" s="264" t="n"/>
      <c r="AD21" s="264" t="n"/>
      <c r="AE21" s="264" t="n"/>
      <c r="AF21" s="264" t="n"/>
      <c r="AG21" s="264" t="n"/>
      <c r="AH21" s="264" t="n"/>
      <c r="AI21" s="264" t="n"/>
      <c r="AJ21" s="264" t="n"/>
      <c r="AK21" s="264" t="n"/>
      <c r="AL21" s="264" t="n"/>
      <c r="AM21" s="264" t="n"/>
      <c r="AN21" s="264" t="n"/>
      <c r="AO21" s="264" t="n"/>
      <c r="AP21" s="264" t="n"/>
      <c r="AQ21" s="264" t="n"/>
      <c r="AR21" s="158">
        <f>IF($A21="","",IF(OR($N21="Yes",$T21="Yes",$Z21="Yes",$AF21="Yes",$AL21="Yes"),"Yes","No"))</f>
        <v/>
      </c>
      <c r="AS21" s="158">
        <f>IF($A21="","",IFERROR(IF($AM21&lt;&gt;"",$AM21,IF($AG21&lt;&gt;"",$AG21,IF($AA21&lt;&gt;"",$AA21,IF($U21&lt;&gt;"",$U21,IF($O21&lt;&gt;"",$O21,""))))),""))</f>
        <v/>
      </c>
      <c r="AT21" s="158">
        <f>IFERROR(IF($AN21&lt;&gt;"",$AN21,IF($AH21&lt;&gt;"",$AH21,IF($AB21&lt;&gt;"",$AB21,IF($V21&lt;&gt;"",$V21,IF($P21&lt;&gt;"",$P21,""))))),"")</f>
        <v/>
      </c>
      <c r="AU21" s="265" t="inlineStr">
        <is>
          <t>Mục đích: rule ẩn đơn huỷ đối lập trực tiếp với `TS-01` (log tương tác đầy đủ) — đơn biến mất khỏi cả 2 tab là hành vi đã quan sát, cần chốt bằng TC có ID. · Căn cứ: `KB-ORD-07` (#7); đơn huỷ hiện ở 1 trong 2 tab ⇒ FAIL và mở CL để BA chốt tab nào chứa.</t>
        </is>
      </c>
    </row>
    <row r="22" ht="15.75" customHeight="1" s="216">
      <c r="A22" s="160">
        <f>IF($F22="","",$C$2&amp;"."&amp;COUNTA($F$7:$F22)&amp;"")</f>
        <v/>
      </c>
      <c r="B22" s="160" t="inlineStr">
        <is>
          <t>REQ-ACT-005</t>
        </is>
      </c>
      <c r="C22" s="160" t="inlineStr">
        <is>
          <t>DOC-v1.0-06</t>
        </is>
      </c>
      <c r="D22" s="160" t="inlineStr">
        <is>
          <t>Functional</t>
        </is>
      </c>
      <c r="E22" s="160" t="inlineStr">
        <is>
          <t>Low</t>
        </is>
      </c>
      <c r="F22" s="11" t="inlineStr">
        <is>
          <t>Check card đơn "Hết hạn" không thao tác được khi nhấn vào</t>
        </is>
      </c>
      <c r="G22" s="11" t="inlineStr">
        <is>
          <t>- Tài khoản A là CBNV có hồ sơ đầy đủ trên STG, đã seed sẵn `SEED-ACT-01` (xem ghi chú đầu fragment) — dùng chung đơn "Hết hạn" với TC-ACT-008, không seed lại.
- Host app FoxPro đã cài trên thiết bị Android/iOS.
Test Data: Đơn "Hết hạn" của `SEED-ACT-01`, dùng chung với TC-ACT-008 (test_data_catalog §ACT)</t>
        </is>
      </c>
      <c r="H22" s="11" t="inlineStr">
        <is>
          <t>1. Đăng nhập FoxEco, nhấn tab "Hoạt động" rồi nhấn tab con "Đã hoàn thành". (setup)
2. Nhấn vào card đơn "Hết hạn".</t>
        </is>
      </c>
      <c r="I22" s="11" t="inlineStr">
        <is>
          <t>2. Không mở màn nào, không hiện popup; màn Hoạt động giữ nguyên với tab "Đã hoàn thành" vẫn active.</t>
        </is>
      </c>
      <c r="J22" s="160" t="inlineStr">
        <is>
          <t>AI</t>
        </is>
      </c>
      <c r="K22" s="160" t="inlineStr">
        <is>
          <t>Pending</t>
        </is>
      </c>
      <c r="L22" s="160" t="inlineStr">
        <is>
          <t>No</t>
        </is>
      </c>
      <c r="M22" s="160" t="inlineStr"/>
      <c r="N22" s="264" t="inlineStr"/>
      <c r="O22" s="264" t="inlineStr"/>
      <c r="P22" s="264" t="inlineStr"/>
      <c r="Q22" s="264" t="inlineStr"/>
      <c r="R22" s="264" t="inlineStr"/>
      <c r="S22" s="264" t="inlineStr"/>
      <c r="T22" s="264" t="n"/>
      <c r="U22" s="264" t="n"/>
      <c r="V22" s="264" t="n"/>
      <c r="W22" s="264" t="n"/>
      <c r="X22" s="264" t="n"/>
      <c r="Y22" s="264" t="n"/>
      <c r="Z22" s="264" t="n"/>
      <c r="AA22" s="264" t="n"/>
      <c r="AB22" s="264" t="n"/>
      <c r="AC22" s="264" t="n"/>
      <c r="AD22" s="264" t="n"/>
      <c r="AE22" s="264" t="n"/>
      <c r="AF22" s="264" t="n"/>
      <c r="AG22" s="264" t="n"/>
      <c r="AH22" s="264" t="n"/>
      <c r="AI22" s="264" t="n"/>
      <c r="AJ22" s="264" t="n"/>
      <c r="AK22" s="264" t="n"/>
      <c r="AL22" s="264" t="n"/>
      <c r="AM22" s="264" t="n"/>
      <c r="AN22" s="264" t="n"/>
      <c r="AO22" s="264" t="n"/>
      <c r="AP22" s="264" t="n"/>
      <c r="AQ22" s="264" t="n"/>
      <c r="AR22" s="158">
        <f>IF($A22="","",IF(OR($N22="Yes",$T22="Yes",$Z22="Yes",$AF22="Yes",$AL22="Yes"),"Yes","No"))</f>
        <v/>
      </c>
      <c r="AS22" s="158">
        <f>IF($A22="","",IFERROR(IF($AM22&lt;&gt;"",$AM22,IF($AG22&lt;&gt;"",$AG22,IF($AA22&lt;&gt;"",$AA22,IF($U22&lt;&gt;"",$U22,IF($O22&lt;&gt;"",$O22,""))))),""))</f>
        <v/>
      </c>
      <c r="AT22" s="158">
        <f>IFERROR(IF($AN22&lt;&gt;"",$AN22,IF($AH22&lt;&gt;"",$AH22,IF($AB22&lt;&gt;"",$AB22,IF($V22&lt;&gt;"",$V22,IF($P22&lt;&gt;"",$P22,""))))),"")</f>
        <v/>
      </c>
      <c r="AU22" s="265" t="inlineStr">
        <is>
          <t>Mục đích: cặp đối chứng âm với TC-ACT-010 — card thao tác được vs không thao tác được.</t>
        </is>
      </c>
    </row>
    <row r="23" ht="15.75" customHeight="1" s="216">
      <c r="A23" s="160">
        <f>IF($F23="","",$C$2&amp;"."&amp;COUNTA($F$7:$F23)&amp;"")</f>
        <v/>
      </c>
      <c r="B23" s="160" t="inlineStr">
        <is>
          <t>REQ-ACT-006</t>
        </is>
      </c>
      <c r="C23" s="160" t="inlineStr">
        <is>
          <t>DOC-v1.0-06 · DOC-v1.0-02</t>
        </is>
      </c>
      <c r="D23" s="160" t="inlineStr">
        <is>
          <t>Functional</t>
        </is>
      </c>
      <c r="E23" s="160" t="inlineStr">
        <is>
          <t>Medium</t>
        </is>
      </c>
      <c r="F23" s="11" t="inlineStr">
        <is>
          <t>Check nhấn card đơn khác "Hết hạn" mở màn của đúng đơn vừa nhấn</t>
        </is>
      </c>
      <c r="G23" s="11" t="inlineStr">
        <is>
          <t>- Tài khoản A là CBNV có hồ sơ đầy đủ trên STG, đã seed sẵn `SEED-ACT-01` (xem ghi chú đầu fragment) — bất kỳ 2 đơn active nào trong bộ này đã khác tên tin/tuyến sẵn.
- Host app FoxPro đã cài trên thiết bị Android/iOS.
Test Data: 2 đơn đang hoạt động khác nhau của `SEED-ACT-01` (test_data_catalog §ACT)</t>
        </is>
      </c>
      <c r="H23" s="11" t="inlineStr">
        <is>
          <t>1. Đăng nhập FoxEco và nhấn tab "Hoạt động". (setup)
2. Ghi lại tên tin và tuyến đường của card thứ hai.
3. Nhấn vào card thứ hai.</t>
        </is>
      </c>
      <c r="I23" s="11" t="inlineStr">
        <is>
          <t>3. Màn vừa mở hiển thị tên tin và tuyến đường trùng khớp thông tin đã ghi ở bước 2.</t>
        </is>
      </c>
      <c r="J23" s="160" t="inlineStr">
        <is>
          <t>AI</t>
        </is>
      </c>
      <c r="K23" s="160" t="inlineStr">
        <is>
          <t>Pending</t>
        </is>
      </c>
      <c r="L23" s="160" t="inlineStr">
        <is>
          <t>No</t>
        </is>
      </c>
      <c r="M23" s="160" t="inlineStr"/>
      <c r="N23" s="264" t="inlineStr"/>
      <c r="O23" s="264" t="inlineStr"/>
      <c r="P23" s="264" t="inlineStr"/>
      <c r="Q23" s="264" t="inlineStr"/>
      <c r="R23" s="264" t="inlineStr"/>
      <c r="S23" s="264" t="inlineStr"/>
      <c r="T23" s="264" t="n"/>
      <c r="U23" s="264" t="n"/>
      <c r="V23" s="264" t="n"/>
      <c r="W23" s="264" t="n"/>
      <c r="X23" s="264" t="n"/>
      <c r="Y23" s="264" t="n"/>
      <c r="Z23" s="264" t="n"/>
      <c r="AA23" s="264" t="n"/>
      <c r="AB23" s="264" t="n"/>
      <c r="AC23" s="264" t="n"/>
      <c r="AD23" s="264" t="n"/>
      <c r="AE23" s="264" t="n"/>
      <c r="AF23" s="264" t="n"/>
      <c r="AG23" s="264" t="n"/>
      <c r="AH23" s="264" t="n"/>
      <c r="AI23" s="264" t="n"/>
      <c r="AJ23" s="264" t="n"/>
      <c r="AK23" s="264" t="n"/>
      <c r="AL23" s="264" t="n"/>
      <c r="AM23" s="264" t="n"/>
      <c r="AN23" s="264" t="n"/>
      <c r="AO23" s="264" t="n"/>
      <c r="AP23" s="264" t="n"/>
      <c r="AQ23" s="264" t="n"/>
      <c r="AR23" s="158">
        <f>IF($A23="","",IF(OR($N23="Yes",$T23="Yes",$Z23="Yes",$AF23="Yes",$AL23="Yes"),"Yes","No"))</f>
        <v/>
      </c>
      <c r="AS23" s="158">
        <f>IF($A23="","",IFERROR(IF($AM23&lt;&gt;"",$AM23,IF($AG23&lt;&gt;"",$AG23,IF($AA23&lt;&gt;"",$AA23,IF($U23&lt;&gt;"",$U23,IF($O23&lt;&gt;"",$O23,""))))),""))</f>
        <v/>
      </c>
      <c r="AT23" s="158">
        <f>IFERROR(IF($AN23&lt;&gt;"",$AN23,IF($AH23&lt;&gt;"",$AH23,IF($AB23&lt;&gt;"",$AB23,IF($V23&lt;&gt;"",$V23,IF($P23&lt;&gt;"",$P23,""))))),"")</f>
        <v/>
      </c>
      <c r="AU23" s="265" t="inlineStr">
        <is>
          <t>Mục đích: assert theo **dữ liệu của đơn**, cố ý không assert tên màn đích — tên màn còn tranh chấp ở `C-ACT-01` và do TC-ACT-011 đảm nhiệm.</t>
        </is>
      </c>
    </row>
    <row r="24" ht="15.75" customHeight="1" s="216">
      <c r="A24" s="160">
        <f>IF($F24="","",$C$2&amp;"."&amp;COUNTA($F$7:$F24)&amp;"")</f>
        <v/>
      </c>
      <c r="B24" s="160" t="inlineStr">
        <is>
          <t>REQ-ACT-006</t>
        </is>
      </c>
      <c r="C24" s="160" t="inlineStr">
        <is>
          <t>DOC-v1.0-02 · DOC-v1.0-06</t>
        </is>
      </c>
      <c r="D24" s="160" t="inlineStr">
        <is>
          <t>Functional</t>
        </is>
      </c>
      <c r="E24" s="160" t="inlineStr">
        <is>
          <t>Low</t>
        </is>
      </c>
      <c r="F24" s="11" t="inlineStr">
        <is>
          <t>Check nhấn card đơn của chính mình mở màn Theo dõi đơn chứ không mở màn Chi tiết tin</t>
        </is>
      </c>
      <c r="G24" s="11" t="inlineStr">
        <is>
          <t>Tài khoản Sender trên STG.
Test Data: 1 đơn "Chờ ghép" của chính tài khoản (test_data_catalog §ACT)</t>
        </is>
      </c>
      <c r="H24" s="11" t="inlineStr">
        <is>
          <t>1. Đăng nhập FoxEco và đăng 1 tin NEED qua wizard "+ Đăng tin". (setup)
2. Nhấn tab "Hoạt động".
3. Nhấn vào card của đơn vừa đăng.
4. Check các thành phần đặc trưng của màn vừa mở.</t>
        </is>
      </c>
      <c r="I24" s="11" t="inlineStr">
        <is>
          <t>4. Màn vừa mở là màn Theo dõi đơn: có dải 5 mốc trạng thái của đơn và KHÔNG có nút "Tôi mang giúp được".</t>
        </is>
      </c>
      <c r="J24" s="160" t="inlineStr">
        <is>
          <t>AI</t>
        </is>
      </c>
      <c r="K24" s="160" t="inlineStr">
        <is>
          <t>Pending</t>
        </is>
      </c>
      <c r="L24" s="160" t="inlineStr">
        <is>
          <t>No</t>
        </is>
      </c>
      <c r="M24" s="160" t="inlineStr"/>
      <c r="N24" s="264" t="inlineStr"/>
      <c r="O24" s="264" t="inlineStr"/>
      <c r="P24" s="264" t="inlineStr"/>
      <c r="Q24" s="264" t="inlineStr"/>
      <c r="R24" s="264" t="inlineStr"/>
      <c r="S24" s="264" t="inlineStr"/>
      <c r="T24" s="264" t="n"/>
      <c r="U24" s="264" t="n"/>
      <c r="V24" s="264" t="n"/>
      <c r="W24" s="264" t="n"/>
      <c r="X24" s="264" t="n"/>
      <c r="Y24" s="264" t="n"/>
      <c r="Z24" s="264" t="n"/>
      <c r="AA24" s="264" t="n"/>
      <c r="AB24" s="264" t="n"/>
      <c r="AC24" s="264" t="n"/>
      <c r="AD24" s="264" t="n"/>
      <c r="AE24" s="264" t="n"/>
      <c r="AF24" s="264" t="n"/>
      <c r="AG24" s="264" t="n"/>
      <c r="AH24" s="264" t="n"/>
      <c r="AI24" s="264" t="n"/>
      <c r="AJ24" s="264" t="n"/>
      <c r="AK24" s="264" t="n"/>
      <c r="AL24" s="264" t="n"/>
      <c r="AM24" s="264" t="n"/>
      <c r="AN24" s="264" t="n"/>
      <c r="AO24" s="264" t="n"/>
      <c r="AP24" s="264" t="n"/>
      <c r="AQ24" s="264" t="n"/>
      <c r="AR24" s="158">
        <f>IF($A24="","",IF(OR($N24="Yes",$T24="Yes",$Z24="Yes",$AF24="Yes",$AL24="Yes"),"Yes","No"))</f>
        <v/>
      </c>
      <c r="AS24" s="158">
        <f>IF($A24="","",IFERROR(IF($AM24&lt;&gt;"",$AM24,IF($AG24&lt;&gt;"",$AG24,IF($AA24&lt;&gt;"",$AA24,IF($U24&lt;&gt;"",$U24,IF($O24&lt;&gt;"",$O24,""))))),""))</f>
        <v/>
      </c>
      <c r="AT24" s="158">
        <f>IFERROR(IF($AN24&lt;&gt;"",$AN24,IF($AH24&lt;&gt;"",$AH24,IF($AB24&lt;&gt;"",$AB24,IF($V24&lt;&gt;"",$V24,IF($P24&lt;&gt;"",$P24,""))))),"")</f>
        <v/>
      </c>
      <c r="AU24" s="265" t="inlineStr">
        <is>
          <t>Mục đích: 2 nguồn nêu 2 màn **khác bản chất** ("Chi tiết tin" public vs "Theo dõi đơn" role-aware). · Căn cứ: assert theo `DOC-v1.0-02` §3.7 + tính nhất quán với `SC-HOME-015` (Trang chủ đã rõ là mở Theo dõi đơn); `KB-ORD-07` (#5) nghi ghi nhầm tên màn. Nếu app mở Chi tiết tin và hiện nút "Tôi mang giúp được" trên đơn của chính mình ⇒ FAIL, log bug theo cùng gốc với `C-ASN-02` và dẫn `C-ACT-01`.</t>
        </is>
      </c>
    </row>
    <row r="25" ht="15.75" customHeight="1" s="216">
      <c r="A25" s="160" t="n"/>
      <c r="B25" s="160" t="n"/>
      <c r="C25" s="160" t="n"/>
      <c r="D25" s="160" t="n"/>
      <c r="E25" s="160" t="n"/>
      <c r="F25" s="160" t="n"/>
      <c r="G25" s="160" t="n"/>
      <c r="H25" s="160" t="n"/>
      <c r="I25" s="160" t="n"/>
      <c r="J25" s="160" t="n"/>
      <c r="K25" s="160" t="n"/>
      <c r="L25" s="160" t="n"/>
      <c r="M25" s="160" t="n"/>
      <c r="N25" s="160" t="n"/>
      <c r="O25" s="160" t="n"/>
      <c r="P25" s="160" t="n"/>
      <c r="Q25" s="160"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61" t="n"/>
      <c r="AS25" s="161" t="n"/>
      <c r="AT25" s="1" t="n"/>
      <c r="AU25" s="1" t="n"/>
    </row>
    <row r="26" ht="15.75" customHeight="1" s="216">
      <c r="A26" s="160" t="n"/>
      <c r="B26" s="160" t="n"/>
      <c r="C26" s="160" t="n"/>
      <c r="D26" s="160" t="n"/>
      <c r="E26" s="160" t="n"/>
      <c r="F26" s="160" t="n"/>
      <c r="G26" s="160" t="n"/>
      <c r="H26" s="160" t="n"/>
      <c r="I26" s="160" t="n"/>
      <c r="J26" s="160" t="n"/>
      <c r="K26" s="160" t="n"/>
      <c r="L26" s="160" t="n"/>
      <c r="M26" s="160" t="n"/>
      <c r="N26" s="160" t="n"/>
      <c r="O26" s="160" t="n"/>
      <c r="P26" s="160" t="n"/>
      <c r="Q26" s="160"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61" t="n"/>
      <c r="AS26" s="161" t="n"/>
      <c r="AT26" s="1" t="n"/>
      <c r="AU26" s="1" t="n"/>
    </row>
    <row r="27" ht="15.75" customHeight="1" s="216">
      <c r="A27" s="160" t="n"/>
      <c r="B27" s="160" t="n"/>
      <c r="C27" s="160" t="n"/>
      <c r="D27" s="160" t="n"/>
      <c r="E27" s="160" t="n"/>
      <c r="F27" s="160" t="n"/>
      <c r="G27" s="160" t="n"/>
      <c r="H27" s="160" t="n"/>
      <c r="I27" s="160" t="n"/>
      <c r="J27" s="160" t="n"/>
      <c r="K27" s="160" t="n"/>
      <c r="L27" s="160" t="n"/>
      <c r="M27" s="160" t="n"/>
      <c r="N27" s="160" t="n"/>
      <c r="O27" s="160" t="n"/>
      <c r="P27" s="160" t="n"/>
      <c r="Q27" s="160"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61" t="n"/>
      <c r="AS27" s="161" t="n"/>
      <c r="AT27" s="1" t="n"/>
      <c r="AU27" s="1" t="n"/>
    </row>
    <row r="28" ht="15.75" customHeight="1" s="216">
      <c r="A28" s="160" t="n"/>
      <c r="B28" s="160" t="n"/>
      <c r="C28" s="160" t="n"/>
      <c r="D28" s="160" t="n"/>
      <c r="E28" s="160" t="n"/>
      <c r="F28" s="160" t="n"/>
      <c r="G28" s="160" t="n"/>
      <c r="H28" s="160" t="n"/>
      <c r="I28" s="160" t="n"/>
      <c r="J28" s="160" t="n"/>
      <c r="K28" s="160" t="n"/>
      <c r="L28" s="160" t="n"/>
      <c r="M28" s="160" t="n"/>
      <c r="N28" s="160" t="n"/>
      <c r="O28" s="160" t="n"/>
      <c r="P28" s="160" t="n"/>
      <c r="Q28" s="160"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61" t="n"/>
      <c r="AS28" s="161" t="n"/>
      <c r="AT28" s="1" t="n"/>
      <c r="AU28" s="1" t="n"/>
    </row>
    <row r="29" ht="15.75" customHeight="1" s="216">
      <c r="A29" s="160" t="n"/>
      <c r="B29" s="160" t="n"/>
      <c r="C29" s="160" t="n"/>
      <c r="D29" s="160" t="n"/>
      <c r="E29" s="160" t="n"/>
      <c r="F29" s="160" t="n"/>
      <c r="G29" s="160" t="n"/>
      <c r="H29" s="160" t="n"/>
      <c r="I29" s="160" t="n"/>
      <c r="J29" s="160" t="n"/>
      <c r="K29" s="160" t="n"/>
      <c r="L29" s="160" t="n"/>
      <c r="M29" s="160" t="n"/>
      <c r="N29" s="160" t="n"/>
      <c r="O29" s="160" t="n"/>
      <c r="P29" s="160" t="n"/>
      <c r="Q29" s="160"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61" t="n"/>
      <c r="AS29" s="161" t="n"/>
      <c r="AT29" s="1" t="n"/>
      <c r="AU29" s="1" t="n"/>
    </row>
    <row r="30" ht="15.75" customHeight="1" s="216">
      <c r="A30" s="160" t="n"/>
      <c r="B30" s="160" t="n"/>
      <c r="C30" s="160" t="n"/>
      <c r="D30" s="160" t="n"/>
      <c r="E30" s="160" t="n"/>
      <c r="F30" s="160" t="n"/>
      <c r="G30" s="160" t="n"/>
      <c r="H30" s="160" t="n"/>
      <c r="I30" s="160" t="n"/>
      <c r="J30" s="160" t="n"/>
      <c r="K30" s="160" t="n"/>
      <c r="L30" s="160" t="n"/>
      <c r="M30" s="160" t="n"/>
      <c r="N30" s="160" t="n"/>
      <c r="O30" s="160" t="n"/>
      <c r="P30" s="160" t="n"/>
      <c r="Q30" s="160"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61" t="n"/>
      <c r="AS30" s="161" t="n"/>
      <c r="AT30" s="1" t="n"/>
      <c r="AU30" s="1" t="n"/>
    </row>
    <row r="31" ht="15.75" customHeight="1" s="216">
      <c r="A31" s="160" t="n"/>
      <c r="B31" s="160" t="n"/>
      <c r="C31" s="160" t="n"/>
      <c r="D31" s="160" t="n"/>
      <c r="E31" s="160" t="n"/>
      <c r="F31" s="160" t="n"/>
      <c r="G31" s="160" t="n"/>
      <c r="H31" s="160" t="n"/>
      <c r="I31" s="160" t="n"/>
      <c r="J31" s="160" t="n"/>
      <c r="K31" s="160" t="n"/>
      <c r="L31" s="160" t="n"/>
      <c r="M31" s="160" t="n"/>
      <c r="N31" s="160" t="n"/>
      <c r="O31" s="160" t="n"/>
      <c r="P31" s="160" t="n"/>
      <c r="Q31" s="160"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61" t="n"/>
      <c r="AS31" s="161" t="n"/>
      <c r="AT31" s="1" t="n"/>
      <c r="AU31" s="1" t="n"/>
    </row>
    <row r="32" ht="15.75" customHeight="1" s="216">
      <c r="A32" s="160" t="n"/>
      <c r="B32" s="160" t="n"/>
      <c r="C32" s="160" t="n"/>
      <c r="D32" s="160" t="n"/>
      <c r="E32" s="160" t="n"/>
      <c r="F32" s="160" t="n"/>
      <c r="G32" s="160" t="n"/>
      <c r="H32" s="160" t="n"/>
      <c r="I32" s="160" t="n"/>
      <c r="J32" s="160" t="n"/>
      <c r="K32" s="160" t="n"/>
      <c r="L32" s="160" t="n"/>
      <c r="M32" s="160" t="n"/>
      <c r="N32" s="160" t="n"/>
      <c r="O32" s="160" t="n"/>
      <c r="P32" s="160" t="n"/>
      <c r="Q32" s="160"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61" t="n"/>
      <c r="AS32" s="161" t="n"/>
      <c r="AT32" s="1" t="n"/>
      <c r="AU32" s="1" t="n"/>
    </row>
    <row r="33" ht="15.75" customHeight="1" s="216">
      <c r="A33" s="160" t="n"/>
      <c r="B33" s="160" t="n"/>
      <c r="C33" s="160" t="n"/>
      <c r="D33" s="160" t="n"/>
      <c r="E33" s="160" t="n"/>
      <c r="F33" s="160" t="n"/>
      <c r="G33" s="160" t="n"/>
      <c r="H33" s="160" t="n"/>
      <c r="I33" s="160" t="n"/>
      <c r="J33" s="160" t="n"/>
      <c r="K33" s="160" t="n"/>
      <c r="L33" s="160" t="n"/>
      <c r="M33" s="160" t="n"/>
      <c r="N33" s="160" t="n"/>
      <c r="O33" s="160" t="n"/>
      <c r="P33" s="160" t="n"/>
      <c r="Q33" s="160"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61" t="n"/>
      <c r="AS33" s="161" t="n"/>
      <c r="AT33" s="1" t="n"/>
      <c r="AU33" s="1" t="n"/>
    </row>
    <row r="34" ht="15.75" customHeight="1" s="216">
      <c r="A34" s="160" t="n"/>
      <c r="B34" s="160" t="n"/>
      <c r="C34" s="160" t="n"/>
      <c r="D34" s="160" t="n"/>
      <c r="E34" s="160" t="n"/>
      <c r="F34" s="160" t="n"/>
      <c r="G34" s="160" t="n"/>
      <c r="H34" s="160" t="n"/>
      <c r="I34" s="160" t="n"/>
      <c r="J34" s="160" t="n"/>
      <c r="K34" s="160" t="n"/>
      <c r="L34" s="160" t="n"/>
      <c r="M34" s="160" t="n"/>
      <c r="N34" s="160" t="n"/>
      <c r="O34" s="160" t="n"/>
      <c r="P34" s="160" t="n"/>
      <c r="Q34" s="160"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61" t="n"/>
      <c r="AS34" s="161" t="n"/>
      <c r="AT34" s="1" t="n"/>
      <c r="AU34" s="1" t="n"/>
    </row>
    <row r="35" ht="15.75" customHeight="1" s="216">
      <c r="A35" s="160" t="n"/>
      <c r="B35" s="160" t="n"/>
      <c r="C35" s="160" t="n"/>
      <c r="D35" s="160" t="n"/>
      <c r="E35" s="160" t="n"/>
      <c r="F35" s="160" t="n"/>
      <c r="G35" s="160" t="n"/>
      <c r="H35" s="160" t="n"/>
      <c r="I35" s="160" t="n"/>
      <c r="J35" s="160" t="n"/>
      <c r="K35" s="160" t="n"/>
      <c r="L35" s="160" t="n"/>
      <c r="M35" s="160" t="n"/>
      <c r="N35" s="160" t="n"/>
      <c r="O35" s="160" t="n"/>
      <c r="P35" s="160" t="n"/>
      <c r="Q35" s="160"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61" t="n"/>
      <c r="AS35" s="161" t="n"/>
      <c r="AT35" s="1" t="n"/>
      <c r="AU35" s="1" t="n"/>
    </row>
    <row r="36" ht="15.75" customHeight="1" s="216">
      <c r="A36" s="160" t="n"/>
      <c r="B36" s="160" t="n"/>
      <c r="C36" s="160" t="n"/>
      <c r="D36" s="160" t="n"/>
      <c r="E36" s="160" t="n"/>
      <c r="F36" s="160" t="n"/>
      <c r="G36" s="160" t="n"/>
      <c r="H36" s="160" t="n"/>
      <c r="I36" s="160" t="n"/>
      <c r="J36" s="160" t="n"/>
      <c r="K36" s="160" t="n"/>
      <c r="L36" s="160" t="n"/>
      <c r="M36" s="160" t="n"/>
      <c r="N36" s="160" t="n"/>
      <c r="O36" s="160" t="n"/>
      <c r="P36" s="160" t="n"/>
      <c r="Q36" s="160"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61" t="n"/>
      <c r="AS36" s="161" t="n"/>
      <c r="AT36" s="1" t="n"/>
      <c r="AU36" s="1" t="n"/>
    </row>
    <row r="37" ht="15.75" customHeight="1" s="216">
      <c r="A37" s="160" t="n"/>
      <c r="B37" s="160" t="n"/>
      <c r="C37" s="160" t="n"/>
      <c r="D37" s="160" t="n"/>
      <c r="E37" s="160" t="n"/>
      <c r="F37" s="160" t="n"/>
      <c r="G37" s="160" t="n"/>
      <c r="H37" s="160" t="n"/>
      <c r="I37" s="160" t="n"/>
      <c r="J37" s="160" t="n"/>
      <c r="K37" s="160" t="n"/>
      <c r="L37" s="160" t="n"/>
      <c r="M37" s="160" t="n"/>
      <c r="N37" s="160" t="n"/>
      <c r="O37" s="160" t="n"/>
      <c r="P37" s="160" t="n"/>
      <c r="Q37" s="160"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61" t="n"/>
      <c r="AS37" s="161" t="n"/>
      <c r="AT37" s="1" t="n"/>
      <c r="AU37" s="1" t="n"/>
    </row>
    <row r="38" ht="15.75" customHeight="1" s="216">
      <c r="A38" s="160" t="n"/>
      <c r="B38" s="160" t="n"/>
      <c r="C38" s="160" t="n"/>
      <c r="D38" s="160" t="n"/>
      <c r="E38" s="160" t="n"/>
      <c r="F38" s="160" t="n"/>
      <c r="G38" s="160" t="n"/>
      <c r="H38" s="160" t="n"/>
      <c r="I38" s="160" t="n"/>
      <c r="J38" s="160" t="n"/>
      <c r="K38" s="160" t="n"/>
      <c r="L38" s="160" t="n"/>
      <c r="M38" s="160" t="n"/>
      <c r="N38" s="160" t="n"/>
      <c r="O38" s="160" t="n"/>
      <c r="P38" s="160" t="n"/>
      <c r="Q38" s="160"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61" t="n"/>
      <c r="AS38" s="161" t="n"/>
      <c r="AT38" s="1" t="n"/>
      <c r="AU38" s="1" t="n"/>
    </row>
    <row r="39" ht="15.75" customHeight="1" s="216">
      <c r="A39" s="160" t="n"/>
      <c r="B39" s="160" t="n"/>
      <c r="C39" s="160" t="n"/>
      <c r="D39" s="160" t="n"/>
      <c r="E39" s="160" t="n"/>
      <c r="F39" s="160" t="n"/>
      <c r="G39" s="160" t="n"/>
      <c r="H39" s="160" t="n"/>
      <c r="I39" s="160" t="n"/>
      <c r="J39" s="160" t="n"/>
      <c r="K39" s="160" t="n"/>
      <c r="L39" s="160" t="n"/>
      <c r="M39" s="160" t="n"/>
      <c r="N39" s="160" t="n"/>
      <c r="O39" s="160" t="n"/>
      <c r="P39" s="160" t="n"/>
      <c r="Q39" s="160"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61" t="n"/>
      <c r="AS39" s="161" t="n"/>
      <c r="AT39" s="1" t="n"/>
      <c r="AU39" s="1" t="n"/>
    </row>
    <row r="40" ht="15.75" customHeight="1" s="216">
      <c r="A40" s="160" t="n"/>
      <c r="B40" s="160" t="n"/>
      <c r="C40" s="160" t="n"/>
      <c r="D40" s="160" t="n"/>
      <c r="E40" s="160" t="n"/>
      <c r="F40" s="160" t="n"/>
      <c r="G40" s="160" t="n"/>
      <c r="H40" s="160" t="n"/>
      <c r="I40" s="160" t="n"/>
      <c r="J40" s="160" t="n"/>
      <c r="K40" s="160" t="n"/>
      <c r="L40" s="160" t="n"/>
      <c r="M40" s="160" t="n"/>
      <c r="N40" s="160" t="n"/>
      <c r="O40" s="160" t="n"/>
      <c r="P40" s="160" t="n"/>
      <c r="Q40" s="160"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61" t="n"/>
      <c r="AS40" s="161" t="n"/>
      <c r="AT40" s="1" t="n"/>
      <c r="AU40" s="1" t="n"/>
    </row>
    <row r="41" ht="15.75" customHeight="1" s="216">
      <c r="A41" s="160" t="n"/>
      <c r="B41" s="160" t="n"/>
      <c r="C41" s="160" t="n"/>
      <c r="D41" s="160" t="n"/>
      <c r="E41" s="160" t="n"/>
      <c r="F41" s="160" t="n"/>
      <c r="G41" s="160" t="n"/>
      <c r="H41" s="160" t="n"/>
      <c r="I41" s="160" t="n"/>
      <c r="J41" s="160" t="n"/>
      <c r="K41" s="160" t="n"/>
      <c r="L41" s="160" t="n"/>
      <c r="M41" s="160" t="n"/>
      <c r="N41" s="160" t="n"/>
      <c r="O41" s="160" t="n"/>
      <c r="P41" s="160" t="n"/>
      <c r="Q41" s="160"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61" t="n"/>
      <c r="AS41" s="161" t="n"/>
      <c r="AT41" s="1" t="n"/>
      <c r="AU41" s="1" t="n"/>
    </row>
    <row r="42" ht="15.75" customHeight="1" s="216">
      <c r="A42" s="160" t="n"/>
      <c r="B42" s="160" t="n"/>
      <c r="C42" s="160" t="n"/>
      <c r="D42" s="160" t="n"/>
      <c r="E42" s="160" t="n"/>
      <c r="F42" s="160" t="n"/>
      <c r="G42" s="160" t="n"/>
      <c r="H42" s="160" t="n"/>
      <c r="I42" s="160" t="n"/>
      <c r="J42" s="160" t="n"/>
      <c r="K42" s="160" t="n"/>
      <c r="L42" s="160" t="n"/>
      <c r="M42" s="160" t="n"/>
      <c r="N42" s="160" t="n"/>
      <c r="O42" s="160" t="n"/>
      <c r="P42" s="160" t="n"/>
      <c r="Q42" s="160"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61" t="n"/>
      <c r="AS42" s="161" t="n"/>
      <c r="AT42" s="1" t="n"/>
      <c r="AU42" s="1" t="n"/>
    </row>
    <row r="43" ht="15.75" customHeight="1" s="216">
      <c r="A43" s="160" t="n"/>
      <c r="B43" s="160" t="n"/>
      <c r="C43" s="160" t="n"/>
      <c r="D43" s="160" t="n"/>
      <c r="E43" s="160" t="n"/>
      <c r="F43" s="160" t="n"/>
      <c r="G43" s="160" t="n"/>
      <c r="H43" s="160" t="n"/>
      <c r="I43" s="160" t="n"/>
      <c r="J43" s="160" t="n"/>
      <c r="K43" s="160" t="n"/>
      <c r="L43" s="160" t="n"/>
      <c r="M43" s="160" t="n"/>
      <c r="N43" s="160" t="n"/>
      <c r="O43" s="160" t="n"/>
      <c r="P43" s="160" t="n"/>
      <c r="Q43" s="160"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61" t="n"/>
      <c r="AS43" s="161" t="n"/>
      <c r="AT43" s="1" t="n"/>
      <c r="AU43" s="1" t="n"/>
    </row>
    <row r="44" ht="15.75" customHeight="1" s="216">
      <c r="A44" s="160" t="n"/>
      <c r="B44" s="160" t="n"/>
      <c r="C44" s="160" t="n"/>
      <c r="D44" s="160" t="n"/>
      <c r="E44" s="160" t="n"/>
      <c r="F44" s="160" t="n"/>
      <c r="G44" s="160" t="n"/>
      <c r="H44" s="160" t="n"/>
      <c r="I44" s="160" t="n"/>
      <c r="J44" s="160" t="n"/>
      <c r="K44" s="160" t="n"/>
      <c r="L44" s="160" t="n"/>
      <c r="M44" s="160" t="n"/>
      <c r="N44" s="160" t="n"/>
      <c r="O44" s="160" t="n"/>
      <c r="P44" s="160" t="n"/>
      <c r="Q44" s="160"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61" t="n"/>
      <c r="AS44" s="161" t="n"/>
      <c r="AT44" s="1" t="n"/>
      <c r="AU44" s="1" t="n"/>
    </row>
    <row r="45" ht="15.75" customHeight="1" s="216">
      <c r="A45" s="160" t="n"/>
      <c r="B45" s="160" t="n"/>
      <c r="C45" s="160" t="n"/>
      <c r="D45" s="160" t="n"/>
      <c r="E45" s="160" t="n"/>
      <c r="F45" s="160" t="n"/>
      <c r="G45" s="160" t="n"/>
      <c r="H45" s="160" t="n"/>
      <c r="I45" s="160" t="n"/>
      <c r="J45" s="160" t="n"/>
      <c r="K45" s="160" t="n"/>
      <c r="L45" s="160" t="n"/>
      <c r="M45" s="160" t="n"/>
      <c r="N45" s="160" t="n"/>
      <c r="O45" s="160" t="n"/>
      <c r="P45" s="160" t="n"/>
      <c r="Q45" s="160"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61" t="n"/>
      <c r="AS45" s="161" t="n"/>
      <c r="AT45" s="1" t="n"/>
      <c r="AU45" s="1" t="n"/>
    </row>
    <row r="46" ht="15.75" customHeight="1" s="216">
      <c r="A46" s="160" t="n"/>
      <c r="B46" s="160" t="n"/>
      <c r="C46" s="160" t="n"/>
      <c r="D46" s="160" t="n"/>
      <c r="E46" s="160" t="n"/>
      <c r="F46" s="160" t="n"/>
      <c r="G46" s="160" t="n"/>
      <c r="H46" s="160" t="n"/>
      <c r="I46" s="160" t="n"/>
      <c r="J46" s="160" t="n"/>
      <c r="K46" s="160" t="n"/>
      <c r="L46" s="160" t="n"/>
      <c r="M46" s="160" t="n"/>
      <c r="N46" s="160" t="n"/>
      <c r="O46" s="160" t="n"/>
      <c r="P46" s="160" t="n"/>
      <c r="Q46" s="160"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61" t="n"/>
      <c r="AS46" s="161" t="n"/>
      <c r="AT46" s="1" t="n"/>
      <c r="AU46" s="1" t="n"/>
    </row>
    <row r="47" ht="15.75" customHeight="1" s="216">
      <c r="A47" s="160" t="n"/>
      <c r="B47" s="160" t="n"/>
      <c r="C47" s="160" t="n"/>
      <c r="D47" s="160" t="n"/>
      <c r="E47" s="160" t="n"/>
      <c r="F47" s="160" t="n"/>
      <c r="G47" s="160" t="n"/>
      <c r="H47" s="160" t="n"/>
      <c r="I47" s="160" t="n"/>
      <c r="J47" s="160" t="n"/>
      <c r="K47" s="160" t="n"/>
      <c r="L47" s="160" t="n"/>
      <c r="M47" s="160" t="n"/>
      <c r="N47" s="160" t="n"/>
      <c r="O47" s="160" t="n"/>
      <c r="P47" s="160" t="n"/>
      <c r="Q47" s="160"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61" t="n"/>
      <c r="AS47" s="161" t="n"/>
      <c r="AT47" s="1" t="n"/>
      <c r="AU47" s="1" t="n"/>
    </row>
    <row r="48" ht="15.75" customHeight="1" s="216">
      <c r="A48" s="160" t="n"/>
      <c r="B48" s="160" t="n"/>
      <c r="C48" s="160" t="n"/>
      <c r="D48" s="160" t="n"/>
      <c r="E48" s="160" t="n"/>
      <c r="F48" s="160" t="n"/>
      <c r="G48" s="160" t="n"/>
      <c r="H48" s="160" t="n"/>
      <c r="I48" s="160" t="n"/>
      <c r="J48" s="160" t="n"/>
      <c r="K48" s="160" t="n"/>
      <c r="L48" s="160" t="n"/>
      <c r="M48" s="160" t="n"/>
      <c r="N48" s="160" t="n"/>
      <c r="O48" s="160" t="n"/>
      <c r="P48" s="160" t="n"/>
      <c r="Q48" s="160"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61" t="n"/>
      <c r="AS48" s="161" t="n"/>
      <c r="AT48" s="1" t="n"/>
      <c r="AU48" s="1" t="n"/>
    </row>
    <row r="49" ht="15.75" customHeight="1" s="216">
      <c r="A49" s="160" t="n"/>
      <c r="B49" s="160" t="n"/>
      <c r="C49" s="160" t="n"/>
      <c r="D49" s="160" t="n"/>
      <c r="E49" s="160" t="n"/>
      <c r="F49" s="160" t="n"/>
      <c r="G49" s="160" t="n"/>
      <c r="H49" s="160" t="n"/>
      <c r="I49" s="160" t="n"/>
      <c r="J49" s="160" t="n"/>
      <c r="K49" s="160" t="n"/>
      <c r="L49" s="160" t="n"/>
      <c r="M49" s="160" t="n"/>
      <c r="N49" s="160" t="n"/>
      <c r="O49" s="160" t="n"/>
      <c r="P49" s="160" t="n"/>
      <c r="Q49" s="160"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61" t="n"/>
      <c r="AS49" s="161" t="n"/>
      <c r="AT49" s="1" t="n"/>
      <c r="AU49" s="1" t="n"/>
    </row>
    <row r="50" ht="15.75" customHeight="1" s="216">
      <c r="A50" s="160" t="n"/>
      <c r="B50" s="160" t="n"/>
      <c r="C50" s="160" t="n"/>
      <c r="D50" s="160" t="n"/>
      <c r="E50" s="160" t="n"/>
      <c r="F50" s="160" t="n"/>
      <c r="G50" s="160" t="n"/>
      <c r="H50" s="160" t="n"/>
      <c r="I50" s="160" t="n"/>
      <c r="J50" s="160" t="n"/>
      <c r="K50" s="160" t="n"/>
      <c r="L50" s="160" t="n"/>
      <c r="M50" s="160" t="n"/>
      <c r="N50" s="160" t="n"/>
      <c r="O50" s="160" t="n"/>
      <c r="P50" s="160" t="n"/>
      <c r="Q50" s="160"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61" t="n"/>
      <c r="AS50" s="161" t="n"/>
      <c r="AT50" s="1" t="n"/>
      <c r="AU50" s="1" t="n"/>
    </row>
    <row r="51" ht="15.75" customHeight="1" s="216">
      <c r="A51" s="160" t="n"/>
      <c r="B51" s="160" t="n"/>
      <c r="C51" s="160" t="n"/>
      <c r="D51" s="160" t="n"/>
      <c r="E51" s="160" t="n"/>
      <c r="F51" s="160" t="n"/>
      <c r="G51" s="160" t="n"/>
      <c r="H51" s="160" t="n"/>
      <c r="I51" s="160" t="n"/>
      <c r="J51" s="160" t="n"/>
      <c r="K51" s="160" t="n"/>
      <c r="L51" s="160" t="n"/>
      <c r="M51" s="160" t="n"/>
      <c r="N51" s="160" t="n"/>
      <c r="O51" s="160" t="n"/>
      <c r="P51" s="160" t="n"/>
      <c r="Q51" s="160"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61" t="n"/>
      <c r="AS51" s="161" t="n"/>
      <c r="AT51" s="1" t="n"/>
      <c r="AU51" s="1" t="n"/>
    </row>
    <row r="52" ht="15.75" customHeight="1" s="216">
      <c r="A52" s="160" t="n"/>
      <c r="B52" s="160" t="n"/>
      <c r="C52" s="160" t="n"/>
      <c r="D52" s="160" t="n"/>
      <c r="E52" s="160" t="n"/>
      <c r="F52" s="160" t="n"/>
      <c r="G52" s="160" t="n"/>
      <c r="H52" s="160" t="n"/>
      <c r="I52" s="160" t="n"/>
      <c r="J52" s="160" t="n"/>
      <c r="K52" s="160" t="n"/>
      <c r="L52" s="160" t="n"/>
      <c r="M52" s="160" t="n"/>
      <c r="N52" s="160" t="n"/>
      <c r="O52" s="160" t="n"/>
      <c r="P52" s="160" t="n"/>
      <c r="Q52" s="160"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61" t="n"/>
      <c r="AS52" s="161" t="n"/>
      <c r="AT52" s="1" t="n"/>
      <c r="AU52" s="1" t="n"/>
    </row>
    <row r="53" ht="15.75" customHeight="1" s="216">
      <c r="A53" s="160" t="n"/>
      <c r="B53" s="160" t="n"/>
      <c r="C53" s="160" t="n"/>
      <c r="D53" s="160" t="n"/>
      <c r="E53" s="160" t="n"/>
      <c r="F53" s="160" t="n"/>
      <c r="G53" s="160" t="n"/>
      <c r="H53" s="160" t="n"/>
      <c r="I53" s="160" t="n"/>
      <c r="J53" s="160" t="n"/>
      <c r="K53" s="160" t="n"/>
      <c r="L53" s="160" t="n"/>
      <c r="M53" s="160" t="n"/>
      <c r="N53" s="160" t="n"/>
      <c r="O53" s="160" t="n"/>
      <c r="P53" s="160" t="n"/>
      <c r="Q53" s="160"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61" t="n"/>
      <c r="AS53" s="161" t="n"/>
      <c r="AT53" s="1" t="n"/>
      <c r="AU53" s="1" t="n"/>
    </row>
    <row r="54" ht="15.75" customHeight="1" s="216">
      <c r="A54" s="160" t="n"/>
      <c r="B54" s="160" t="n"/>
      <c r="C54" s="160" t="n"/>
      <c r="D54" s="160" t="n"/>
      <c r="E54" s="160" t="n"/>
      <c r="F54" s="160" t="n"/>
      <c r="G54" s="160" t="n"/>
      <c r="H54" s="160" t="n"/>
      <c r="I54" s="160" t="n"/>
      <c r="J54" s="160" t="n"/>
      <c r="K54" s="160" t="n"/>
      <c r="L54" s="160" t="n"/>
      <c r="M54" s="160" t="n"/>
      <c r="N54" s="160" t="n"/>
      <c r="O54" s="160" t="n"/>
      <c r="P54" s="160" t="n"/>
      <c r="Q54" s="160"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61" t="n"/>
      <c r="AS54" s="161" t="n"/>
      <c r="AT54" s="1" t="n"/>
      <c r="AU54" s="1" t="n"/>
    </row>
    <row r="55" ht="15.75" customHeight="1" s="216">
      <c r="A55" s="160" t="n"/>
      <c r="B55" s="160" t="n"/>
      <c r="C55" s="160" t="n"/>
      <c r="D55" s="160" t="n"/>
      <c r="E55" s="160" t="n"/>
      <c r="F55" s="160" t="n"/>
      <c r="G55" s="160" t="n"/>
      <c r="H55" s="160" t="n"/>
      <c r="I55" s="160" t="n"/>
      <c r="J55" s="160" t="n"/>
      <c r="K55" s="160" t="n"/>
      <c r="L55" s="160" t="n"/>
      <c r="M55" s="160" t="n"/>
      <c r="N55" s="160" t="n"/>
      <c r="O55" s="160" t="n"/>
      <c r="P55" s="160" t="n"/>
      <c r="Q55" s="160"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61" t="n"/>
      <c r="AS55" s="161" t="n"/>
      <c r="AT55" s="1" t="n"/>
      <c r="AU55" s="1" t="n"/>
    </row>
    <row r="56" ht="15.75" customHeight="1" s="216">
      <c r="A56" s="160" t="n"/>
      <c r="B56" s="160" t="n"/>
      <c r="C56" s="160" t="n"/>
      <c r="D56" s="160" t="n"/>
      <c r="E56" s="160" t="n"/>
      <c r="F56" s="160" t="n"/>
      <c r="G56" s="160" t="n"/>
      <c r="H56" s="160" t="n"/>
      <c r="I56" s="160" t="n"/>
      <c r="J56" s="160" t="n"/>
      <c r="K56" s="160" t="n"/>
      <c r="L56" s="160" t="n"/>
      <c r="M56" s="160" t="n"/>
      <c r="N56" s="160" t="n"/>
      <c r="O56" s="160" t="n"/>
      <c r="P56" s="160" t="n"/>
      <c r="Q56" s="160"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61" t="n"/>
      <c r="AS56" s="161" t="n"/>
      <c r="AT56" s="1" t="n"/>
      <c r="AU56" s="1" t="n"/>
    </row>
    <row r="57" ht="15.75" customHeight="1" s="216">
      <c r="A57" s="160" t="n"/>
      <c r="B57" s="160" t="n"/>
      <c r="C57" s="160" t="n"/>
      <c r="D57" s="160" t="n"/>
      <c r="E57" s="160" t="n"/>
      <c r="F57" s="160" t="n"/>
      <c r="G57" s="160" t="n"/>
      <c r="H57" s="160" t="n"/>
      <c r="I57" s="160" t="n"/>
      <c r="J57" s="160" t="n"/>
      <c r="K57" s="160" t="n"/>
      <c r="L57" s="160" t="n"/>
      <c r="M57" s="160" t="n"/>
      <c r="N57" s="160" t="n"/>
      <c r="O57" s="160" t="n"/>
      <c r="P57" s="160" t="n"/>
      <c r="Q57" s="160"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61" t="n"/>
      <c r="AS57" s="161" t="n"/>
      <c r="AT57" s="1" t="n"/>
      <c r="AU57" s="1" t="n"/>
    </row>
    <row r="58" ht="15.75" customHeight="1" s="216">
      <c r="A58" s="160" t="n"/>
      <c r="B58" s="160" t="n"/>
      <c r="C58" s="160" t="n"/>
      <c r="D58" s="160" t="n"/>
      <c r="E58" s="160" t="n"/>
      <c r="F58" s="160" t="n"/>
      <c r="G58" s="160" t="n"/>
      <c r="H58" s="160" t="n"/>
      <c r="I58" s="160" t="n"/>
      <c r="J58" s="160" t="n"/>
      <c r="K58" s="160" t="n"/>
      <c r="L58" s="160" t="n"/>
      <c r="M58" s="160" t="n"/>
      <c r="N58" s="160" t="n"/>
      <c r="O58" s="160" t="n"/>
      <c r="P58" s="160" t="n"/>
      <c r="Q58" s="160"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61" t="n"/>
      <c r="AS58" s="161" t="n"/>
      <c r="AT58" s="1" t="n"/>
      <c r="AU58" s="1" t="n"/>
    </row>
    <row r="59" ht="15.75" customHeight="1" s="216">
      <c r="A59" s="160" t="n"/>
      <c r="B59" s="160" t="n"/>
      <c r="C59" s="160" t="n"/>
      <c r="D59" s="160" t="n"/>
      <c r="E59" s="160" t="n"/>
      <c r="F59" s="160" t="n"/>
      <c r="G59" s="160" t="n"/>
      <c r="H59" s="160" t="n"/>
      <c r="I59" s="160" t="n"/>
      <c r="J59" s="160" t="n"/>
      <c r="K59" s="160" t="n"/>
      <c r="L59" s="160" t="n"/>
      <c r="M59" s="160" t="n"/>
      <c r="N59" s="160" t="n"/>
      <c r="O59" s="160" t="n"/>
      <c r="P59" s="160" t="n"/>
      <c r="Q59" s="160"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61" t="n"/>
      <c r="AS59" s="161" t="n"/>
      <c r="AT59" s="1" t="n"/>
      <c r="AU59" s="1" t="n"/>
    </row>
    <row r="60" ht="15.75" customHeight="1" s="216">
      <c r="A60" s="160" t="n"/>
      <c r="B60" s="160" t="n"/>
      <c r="C60" s="160" t="n"/>
      <c r="D60" s="160" t="n"/>
      <c r="E60" s="160" t="n"/>
      <c r="F60" s="160" t="n"/>
      <c r="G60" s="160" t="n"/>
      <c r="H60" s="160" t="n"/>
      <c r="I60" s="160" t="n"/>
      <c r="J60" s="160" t="n"/>
      <c r="K60" s="160" t="n"/>
      <c r="L60" s="160" t="n"/>
      <c r="M60" s="160" t="n"/>
      <c r="N60" s="160" t="n"/>
      <c r="O60" s="160" t="n"/>
      <c r="P60" s="160" t="n"/>
      <c r="Q60" s="160"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61" t="n"/>
      <c r="AS60" s="161" t="n"/>
      <c r="AT60" s="1" t="n"/>
      <c r="AU60" s="1" t="n"/>
    </row>
    <row r="61" ht="15.75" customHeight="1" s="216">
      <c r="A61" s="1" t="n"/>
      <c r="B61" s="1" t="n"/>
      <c r="C61" s="1" t="n"/>
      <c r="D61" s="1" t="n"/>
      <c r="E61" s="181" t="n"/>
      <c r="F61" s="181" t="n"/>
      <c r="G61" s="1" t="n"/>
      <c r="H61" s="1" t="n"/>
      <c r="I61" s="1" t="n"/>
      <c r="J61" s="1" t="n"/>
      <c r="K61" s="181" t="n"/>
      <c r="L61" s="181" t="n"/>
      <c r="M61" s="181" t="n"/>
      <c r="N61" s="1" t="n"/>
      <c r="O61" s="181" t="n"/>
      <c r="P61" s="181" t="n"/>
      <c r="Q61" s="18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row>
    <row r="62" ht="15.75" customHeight="1" s="216">
      <c r="A62" s="1" t="n"/>
      <c r="B62" s="1" t="n"/>
      <c r="C62" s="1" t="n"/>
      <c r="D62" s="1" t="n"/>
      <c r="E62" s="181" t="n"/>
      <c r="F62" s="181" t="n"/>
      <c r="G62" s="1" t="n"/>
      <c r="H62" s="1" t="n"/>
      <c r="I62" s="1" t="n"/>
      <c r="J62" s="1" t="n"/>
      <c r="K62" s="181" t="n"/>
      <c r="L62" s="181" t="n"/>
      <c r="M62" s="181" t="n"/>
      <c r="N62" s="1" t="n"/>
      <c r="O62" s="181" t="n"/>
      <c r="P62" s="181" t="n"/>
      <c r="Q62" s="18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row>
    <row r="63" ht="15.75" customHeight="1" s="216">
      <c r="A63" s="1" t="n"/>
      <c r="B63" s="1" t="n"/>
      <c r="C63" s="1" t="n"/>
      <c r="D63" s="1" t="n"/>
      <c r="E63" s="181" t="n"/>
      <c r="F63" s="181" t="n"/>
      <c r="G63" s="1" t="n"/>
      <c r="H63" s="1" t="n"/>
      <c r="I63" s="1" t="n"/>
      <c r="J63" s="1" t="n"/>
      <c r="K63" s="181" t="n"/>
      <c r="L63" s="181" t="n"/>
      <c r="M63" s="181" t="n"/>
      <c r="N63" s="1" t="n"/>
      <c r="O63" s="181" t="n"/>
      <c r="P63" s="181" t="n"/>
      <c r="Q63" s="18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row>
    <row r="64" ht="15.75" customHeight="1" s="216">
      <c r="A64" s="1" t="n"/>
      <c r="B64" s="1" t="n"/>
      <c r="C64" s="1" t="n"/>
      <c r="D64" s="1" t="n"/>
      <c r="E64" s="181" t="n"/>
      <c r="F64" s="181" t="n"/>
      <c r="G64" s="1" t="n"/>
      <c r="H64" s="1" t="n"/>
      <c r="I64" s="1" t="n"/>
      <c r="J64" s="1" t="n"/>
      <c r="K64" s="181" t="n"/>
      <c r="L64" s="181" t="n"/>
      <c r="M64" s="181" t="n"/>
      <c r="N64" s="1" t="n"/>
      <c r="O64" s="181" t="n"/>
      <c r="P64" s="181" t="n"/>
      <c r="Q64" s="18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row>
    <row r="65" ht="15.75" customHeight="1" s="216">
      <c r="A65" s="1" t="n"/>
      <c r="B65" s="1" t="n"/>
      <c r="C65" s="1" t="n"/>
      <c r="D65" s="1" t="n"/>
      <c r="E65" s="181" t="n"/>
      <c r="F65" s="181" t="n"/>
      <c r="G65" s="1" t="n"/>
      <c r="H65" s="1" t="n"/>
      <c r="I65" s="1" t="n"/>
      <c r="J65" s="1" t="n"/>
      <c r="K65" s="181" t="n"/>
      <c r="L65" s="181" t="n"/>
      <c r="M65" s="181" t="n"/>
      <c r="N65" s="1" t="n"/>
      <c r="O65" s="181" t="n"/>
      <c r="P65" s="181" t="n"/>
      <c r="Q65" s="18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row>
    <row r="66" ht="15.75" customHeight="1" s="216">
      <c r="A66" s="1" t="n"/>
      <c r="B66" s="1" t="n"/>
      <c r="C66" s="1" t="n"/>
      <c r="D66" s="1" t="n"/>
      <c r="E66" s="181" t="n"/>
      <c r="F66" s="181" t="n"/>
      <c r="G66" s="1" t="n"/>
      <c r="H66" s="1" t="n"/>
      <c r="I66" s="1" t="n"/>
      <c r="J66" s="1" t="n"/>
      <c r="K66" s="181" t="n"/>
      <c r="L66" s="181" t="n"/>
      <c r="M66" s="181" t="n"/>
      <c r="N66" s="1" t="n"/>
      <c r="O66" s="181" t="n"/>
      <c r="P66" s="181" t="n"/>
      <c r="Q66" s="18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row>
    <row r="67" ht="15.75" customHeight="1" s="216">
      <c r="A67" s="1" t="n"/>
      <c r="B67" s="1" t="n"/>
      <c r="C67" s="1" t="n"/>
      <c r="D67" s="1" t="n"/>
      <c r="E67" s="181" t="n"/>
      <c r="F67" s="181" t="n"/>
      <c r="G67" s="1" t="n"/>
      <c r="H67" s="1" t="n"/>
      <c r="I67" s="1" t="n"/>
      <c r="J67" s="1" t="n"/>
      <c r="K67" s="181" t="n"/>
      <c r="L67" s="181" t="n"/>
      <c r="M67" s="181" t="n"/>
      <c r="N67" s="1" t="n"/>
      <c r="O67" s="181" t="n"/>
      <c r="P67" s="181" t="n"/>
      <c r="Q67" s="18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row>
    <row r="68" ht="15.75" customHeight="1" s="216">
      <c r="A68" s="1" t="n"/>
      <c r="B68" s="1" t="n"/>
      <c r="C68" s="1" t="n"/>
      <c r="D68" s="1" t="n"/>
      <c r="E68" s="181" t="n"/>
      <c r="F68" s="181" t="n"/>
      <c r="G68" s="1" t="n"/>
      <c r="H68" s="1" t="n"/>
      <c r="I68" s="1" t="n"/>
      <c r="J68" s="1" t="n"/>
      <c r="K68" s="181" t="n"/>
      <c r="L68" s="181" t="n"/>
      <c r="M68" s="181" t="n"/>
      <c r="N68" s="1" t="n"/>
      <c r="O68" s="181" t="n"/>
      <c r="P68" s="181" t="n"/>
      <c r="Q68" s="18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row>
    <row r="69" ht="15.75" customHeight="1" s="216">
      <c r="A69" s="1" t="n"/>
      <c r="B69" s="1" t="n"/>
      <c r="C69" s="1" t="n"/>
      <c r="D69" s="1" t="n"/>
      <c r="E69" s="181" t="n"/>
      <c r="F69" s="181" t="n"/>
      <c r="G69" s="1" t="n"/>
      <c r="H69" s="1" t="n"/>
      <c r="I69" s="1" t="n"/>
      <c r="J69" s="1" t="n"/>
      <c r="K69" s="181" t="n"/>
      <c r="L69" s="181" t="n"/>
      <c r="M69" s="181" t="n"/>
      <c r="N69" s="1" t="n"/>
      <c r="O69" s="181" t="n"/>
      <c r="P69" s="181" t="n"/>
      <c r="Q69" s="18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row>
    <row r="70" ht="15.75" customHeight="1" s="216">
      <c r="A70" s="1" t="n"/>
      <c r="B70" s="1" t="n"/>
      <c r="C70" s="1" t="n"/>
      <c r="D70" s="1" t="n"/>
      <c r="E70" s="181" t="n"/>
      <c r="F70" s="181" t="n"/>
      <c r="G70" s="1" t="n"/>
      <c r="H70" s="1" t="n"/>
      <c r="I70" s="1" t="n"/>
      <c r="J70" s="1" t="n"/>
      <c r="K70" s="181" t="n"/>
      <c r="L70" s="181" t="n"/>
      <c r="M70" s="181" t="n"/>
      <c r="N70" s="1" t="n"/>
      <c r="O70" s="181" t="n"/>
      <c r="P70" s="181" t="n"/>
      <c r="Q70" s="18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row>
    <row r="71" ht="15.75" customHeight="1" s="216">
      <c r="A71" s="1" t="n"/>
      <c r="B71" s="1" t="n"/>
      <c r="C71" s="1" t="n"/>
      <c r="D71" s="1" t="n"/>
      <c r="E71" s="181" t="n"/>
      <c r="F71" s="181" t="n"/>
      <c r="G71" s="1" t="n"/>
      <c r="H71" s="1" t="n"/>
      <c r="I71" s="1" t="n"/>
      <c r="J71" s="1" t="n"/>
      <c r="K71" s="181" t="n"/>
      <c r="L71" s="181" t="n"/>
      <c r="M71" s="181" t="n"/>
      <c r="N71" s="1" t="n"/>
      <c r="O71" s="181" t="n"/>
      <c r="P71" s="181" t="n"/>
      <c r="Q71" s="18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row>
    <row r="72" ht="15.75" customHeight="1" s="216">
      <c r="A72" s="1" t="n"/>
      <c r="B72" s="1" t="n"/>
      <c r="C72" s="1" t="n"/>
      <c r="D72" s="1" t="n"/>
      <c r="E72" s="181" t="n"/>
      <c r="F72" s="181" t="n"/>
      <c r="G72" s="1" t="n"/>
      <c r="H72" s="1" t="n"/>
      <c r="I72" s="1" t="n"/>
      <c r="J72" s="1" t="n"/>
      <c r="K72" s="181" t="n"/>
      <c r="L72" s="181" t="n"/>
      <c r="M72" s="181" t="n"/>
      <c r="N72" s="1" t="n"/>
      <c r="O72" s="181" t="n"/>
      <c r="P72" s="181" t="n"/>
      <c r="Q72" s="18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row>
    <row r="73" ht="15.75" customHeight="1" s="216">
      <c r="A73" s="1" t="n"/>
      <c r="B73" s="1" t="n"/>
      <c r="C73" s="1" t="n"/>
      <c r="D73" s="1" t="n"/>
      <c r="E73" s="181" t="n"/>
      <c r="F73" s="181" t="n"/>
      <c r="G73" s="1" t="n"/>
      <c r="H73" s="1" t="n"/>
      <c r="I73" s="1" t="n"/>
      <c r="J73" s="1" t="n"/>
      <c r="K73" s="181" t="n"/>
      <c r="L73" s="181" t="n"/>
      <c r="M73" s="181" t="n"/>
      <c r="N73" s="1" t="n"/>
      <c r="O73" s="181" t="n"/>
      <c r="P73" s="181" t="n"/>
      <c r="Q73" s="18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row>
    <row r="74" ht="15.75" customHeight="1" s="216">
      <c r="A74" s="1" t="n"/>
      <c r="B74" s="1" t="n"/>
      <c r="C74" s="1" t="n"/>
      <c r="D74" s="1" t="n"/>
      <c r="E74" s="181" t="n"/>
      <c r="F74" s="181" t="n"/>
      <c r="G74" s="1" t="n"/>
      <c r="H74" s="1" t="n"/>
      <c r="I74" s="1" t="n"/>
      <c r="J74" s="1" t="n"/>
      <c r="K74" s="181" t="n"/>
      <c r="L74" s="181" t="n"/>
      <c r="M74" s="181" t="n"/>
      <c r="N74" s="1" t="n"/>
      <c r="O74" s="181" t="n"/>
      <c r="P74" s="181" t="n"/>
      <c r="Q74" s="18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row>
    <row r="75" ht="15.75" customHeight="1" s="216">
      <c r="A75" s="1" t="n"/>
      <c r="B75" s="1" t="n"/>
      <c r="C75" s="1" t="n"/>
      <c r="D75" s="1" t="n"/>
      <c r="E75" s="181" t="n"/>
      <c r="F75" s="181" t="n"/>
      <c r="G75" s="1" t="n"/>
      <c r="H75" s="1" t="n"/>
      <c r="I75" s="1" t="n"/>
      <c r="J75" s="1" t="n"/>
      <c r="K75" s="181" t="n"/>
      <c r="L75" s="181" t="n"/>
      <c r="M75" s="181" t="n"/>
      <c r="N75" s="1" t="n"/>
      <c r="O75" s="181" t="n"/>
      <c r="P75" s="181" t="n"/>
      <c r="Q75" s="18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row>
    <row r="76" ht="15.75" customHeight="1" s="216">
      <c r="A76" s="1" t="n"/>
      <c r="B76" s="1" t="n"/>
      <c r="C76" s="1" t="n"/>
      <c r="D76" s="1" t="n"/>
      <c r="E76" s="181" t="n"/>
      <c r="F76" s="181" t="n"/>
      <c r="G76" s="1" t="n"/>
      <c r="H76" s="1" t="n"/>
      <c r="I76" s="1" t="n"/>
      <c r="J76" s="1" t="n"/>
      <c r="K76" s="181" t="n"/>
      <c r="L76" s="181" t="n"/>
      <c r="M76" s="181" t="n"/>
      <c r="N76" s="1" t="n"/>
      <c r="O76" s="181" t="n"/>
      <c r="P76" s="181" t="n"/>
      <c r="Q76" s="18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row>
    <row r="77" ht="15.75" customHeight="1" s="216">
      <c r="A77" s="1" t="n"/>
      <c r="B77" s="1" t="n"/>
      <c r="C77" s="1" t="n"/>
      <c r="D77" s="1" t="n"/>
      <c r="E77" s="181" t="n"/>
      <c r="F77" s="181" t="n"/>
      <c r="G77" s="1" t="n"/>
      <c r="H77" s="1" t="n"/>
      <c r="I77" s="1" t="n"/>
      <c r="J77" s="1" t="n"/>
      <c r="K77" s="181" t="n"/>
      <c r="L77" s="181" t="n"/>
      <c r="M77" s="181" t="n"/>
      <c r="N77" s="1" t="n"/>
      <c r="O77" s="181" t="n"/>
      <c r="P77" s="181" t="n"/>
      <c r="Q77" s="18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row>
    <row r="78" ht="15.75" customHeight="1" s="216">
      <c r="A78" s="1" t="n"/>
      <c r="B78" s="1" t="n"/>
      <c r="C78" s="1" t="n"/>
      <c r="D78" s="1" t="n"/>
      <c r="E78" s="181" t="n"/>
      <c r="F78" s="181" t="n"/>
      <c r="G78" s="1" t="n"/>
      <c r="H78" s="1" t="n"/>
      <c r="I78" s="1" t="n"/>
      <c r="J78" s="1" t="n"/>
      <c r="K78" s="181" t="n"/>
      <c r="L78" s="181" t="n"/>
      <c r="M78" s="181" t="n"/>
      <c r="N78" s="1" t="n"/>
      <c r="O78" s="181" t="n"/>
      <c r="P78" s="181" t="n"/>
      <c r="Q78" s="18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row>
    <row r="79" ht="15.75" customHeight="1" s="216">
      <c r="A79" s="1" t="n"/>
      <c r="B79" s="1" t="n"/>
      <c r="C79" s="1" t="n"/>
      <c r="D79" s="1" t="n"/>
      <c r="E79" s="181" t="n"/>
      <c r="F79" s="181" t="n"/>
      <c r="G79" s="1" t="n"/>
      <c r="H79" s="1" t="n"/>
      <c r="I79" s="1" t="n"/>
      <c r="J79" s="1" t="n"/>
      <c r="K79" s="181" t="n"/>
      <c r="L79" s="181" t="n"/>
      <c r="M79" s="181" t="n"/>
      <c r="N79" s="1" t="n"/>
      <c r="O79" s="181" t="n"/>
      <c r="P79" s="181" t="n"/>
      <c r="Q79" s="18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row>
    <row r="80" ht="15.75" customHeight="1" s="216">
      <c r="A80" s="1" t="n"/>
      <c r="B80" s="1" t="n"/>
      <c r="C80" s="1" t="n"/>
      <c r="D80" s="1" t="n"/>
      <c r="E80" s="181" t="n"/>
      <c r="F80" s="181" t="n"/>
      <c r="G80" s="1" t="n"/>
      <c r="H80" s="1" t="n"/>
      <c r="I80" s="1" t="n"/>
      <c r="J80" s="1" t="n"/>
      <c r="K80" s="181" t="n"/>
      <c r="L80" s="181" t="n"/>
      <c r="M80" s="181" t="n"/>
      <c r="N80" s="1" t="n"/>
      <c r="O80" s="181" t="n"/>
      <c r="P80" s="181" t="n"/>
      <c r="Q80" s="18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row>
    <row r="81" ht="15.75" customHeight="1" s="216">
      <c r="A81" s="1" t="n"/>
      <c r="B81" s="1" t="n"/>
      <c r="C81" s="1" t="n"/>
      <c r="D81" s="1" t="n"/>
      <c r="E81" s="181" t="n"/>
      <c r="F81" s="181" t="n"/>
      <c r="G81" s="1" t="n"/>
      <c r="H81" s="1" t="n"/>
      <c r="I81" s="1" t="n"/>
      <c r="J81" s="1" t="n"/>
      <c r="K81" s="181" t="n"/>
      <c r="L81" s="181" t="n"/>
      <c r="M81" s="181" t="n"/>
      <c r="N81" s="1" t="n"/>
      <c r="O81" s="181" t="n"/>
      <c r="P81" s="181" t="n"/>
      <c r="Q81" s="18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row>
    <row r="82" ht="15.75" customHeight="1" s="216">
      <c r="A82" s="1" t="n"/>
      <c r="B82" s="1" t="n"/>
      <c r="C82" s="1" t="n"/>
      <c r="D82" s="1" t="n"/>
      <c r="E82" s="181" t="n"/>
      <c r="F82" s="181" t="n"/>
      <c r="G82" s="1" t="n"/>
      <c r="H82" s="1" t="n"/>
      <c r="I82" s="1" t="n"/>
      <c r="J82" s="1" t="n"/>
      <c r="K82" s="181" t="n"/>
      <c r="L82" s="181" t="n"/>
      <c r="M82" s="181" t="n"/>
      <c r="N82" s="1" t="n"/>
      <c r="O82" s="181" t="n"/>
      <c r="P82" s="181" t="n"/>
      <c r="Q82" s="18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row>
    <row r="83" ht="15.75" customHeight="1" s="216">
      <c r="A83" s="1" t="n"/>
      <c r="B83" s="1" t="n"/>
      <c r="C83" s="1" t="n"/>
      <c r="D83" s="1" t="n"/>
      <c r="E83" s="181" t="n"/>
      <c r="F83" s="181" t="n"/>
      <c r="G83" s="1" t="n"/>
      <c r="H83" s="1" t="n"/>
      <c r="I83" s="1" t="n"/>
      <c r="J83" s="1" t="n"/>
      <c r="K83" s="181" t="n"/>
      <c r="L83" s="181" t="n"/>
      <c r="M83" s="181" t="n"/>
      <c r="N83" s="1" t="n"/>
      <c r="O83" s="181" t="n"/>
      <c r="P83" s="181" t="n"/>
      <c r="Q83" s="18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row>
    <row r="84" ht="15.75" customHeight="1" s="216">
      <c r="A84" s="1" t="n"/>
      <c r="B84" s="1" t="n"/>
      <c r="C84" s="1" t="n"/>
      <c r="D84" s="1" t="n"/>
      <c r="E84" s="181" t="n"/>
      <c r="F84" s="181" t="n"/>
      <c r="G84" s="1" t="n"/>
      <c r="H84" s="1" t="n"/>
      <c r="I84" s="1" t="n"/>
      <c r="J84" s="1" t="n"/>
      <c r="K84" s="181" t="n"/>
      <c r="L84" s="181" t="n"/>
      <c r="M84" s="181" t="n"/>
      <c r="N84" s="1" t="n"/>
      <c r="O84" s="181" t="n"/>
      <c r="P84" s="181" t="n"/>
      <c r="Q84" s="18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row>
    <row r="85" ht="15.75" customHeight="1" s="216">
      <c r="A85" s="1" t="n"/>
      <c r="B85" s="1" t="n"/>
      <c r="C85" s="1" t="n"/>
      <c r="D85" s="1" t="n"/>
      <c r="E85" s="181" t="n"/>
      <c r="F85" s="181" t="n"/>
      <c r="G85" s="1" t="n"/>
      <c r="H85" s="1" t="n"/>
      <c r="I85" s="1" t="n"/>
      <c r="J85" s="1" t="n"/>
      <c r="K85" s="181" t="n"/>
      <c r="L85" s="181" t="n"/>
      <c r="M85" s="181" t="n"/>
      <c r="N85" s="1" t="n"/>
      <c r="O85" s="181" t="n"/>
      <c r="P85" s="181" t="n"/>
      <c r="Q85" s="18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row>
    <row r="86" ht="15.75" customHeight="1" s="216">
      <c r="A86" s="1" t="n"/>
      <c r="B86" s="1" t="n"/>
      <c r="C86" s="1" t="n"/>
      <c r="D86" s="1" t="n"/>
      <c r="E86" s="181" t="n"/>
      <c r="F86" s="181" t="n"/>
      <c r="G86" s="1" t="n"/>
      <c r="H86" s="1" t="n"/>
      <c r="I86" s="1" t="n"/>
      <c r="J86" s="1" t="n"/>
      <c r="K86" s="181" t="n"/>
      <c r="L86" s="181" t="n"/>
      <c r="M86" s="181" t="n"/>
      <c r="N86" s="1" t="n"/>
      <c r="O86" s="181" t="n"/>
      <c r="P86" s="181" t="n"/>
      <c r="Q86" s="18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row>
    <row r="87" ht="15.75" customHeight="1" s="216">
      <c r="A87" s="1" t="n"/>
      <c r="B87" s="1" t="n"/>
      <c r="C87" s="1" t="n"/>
      <c r="D87" s="1" t="n"/>
      <c r="E87" s="181" t="n"/>
      <c r="F87" s="181" t="n"/>
      <c r="G87" s="1" t="n"/>
      <c r="H87" s="1" t="n"/>
      <c r="I87" s="1" t="n"/>
      <c r="J87" s="1" t="n"/>
      <c r="K87" s="181" t="n"/>
      <c r="L87" s="181" t="n"/>
      <c r="M87" s="181" t="n"/>
      <c r="N87" s="1" t="n"/>
      <c r="O87" s="181" t="n"/>
      <c r="P87" s="181" t="n"/>
      <c r="Q87" s="18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row>
    <row r="88" ht="15.75" customHeight="1" s="216">
      <c r="A88" s="1" t="n"/>
      <c r="B88" s="1" t="n"/>
      <c r="C88" s="1" t="n"/>
      <c r="D88" s="1" t="n"/>
      <c r="E88" s="181" t="n"/>
      <c r="F88" s="181" t="n"/>
      <c r="G88" s="1" t="n"/>
      <c r="H88" s="1" t="n"/>
      <c r="I88" s="1" t="n"/>
      <c r="J88" s="1" t="n"/>
      <c r="K88" s="181" t="n"/>
      <c r="L88" s="181" t="n"/>
      <c r="M88" s="181" t="n"/>
      <c r="N88" s="1" t="n"/>
      <c r="O88" s="181" t="n"/>
      <c r="P88" s="181" t="n"/>
      <c r="Q88" s="18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row>
    <row r="89" ht="15.75" customHeight="1" s="216">
      <c r="A89" s="1" t="n"/>
      <c r="B89" s="1" t="n"/>
      <c r="C89" s="1" t="n"/>
      <c r="D89" s="1" t="n"/>
      <c r="E89" s="181" t="n"/>
      <c r="F89" s="181" t="n"/>
      <c r="G89" s="1" t="n"/>
      <c r="H89" s="1" t="n"/>
      <c r="I89" s="1" t="n"/>
      <c r="J89" s="1" t="n"/>
      <c r="K89" s="181" t="n"/>
      <c r="L89" s="181" t="n"/>
      <c r="M89" s="181" t="n"/>
      <c r="N89" s="1" t="n"/>
      <c r="O89" s="181" t="n"/>
      <c r="P89" s="181" t="n"/>
      <c r="Q89" s="18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row>
    <row r="90" ht="15.75" customHeight="1" s="216">
      <c r="A90" s="1" t="n"/>
      <c r="B90" s="1" t="n"/>
      <c r="C90" s="1" t="n"/>
      <c r="D90" s="1" t="n"/>
      <c r="E90" s="181" t="n"/>
      <c r="F90" s="181" t="n"/>
      <c r="G90" s="1" t="n"/>
      <c r="H90" s="1" t="n"/>
      <c r="I90" s="1" t="n"/>
      <c r="J90" s="1" t="n"/>
      <c r="K90" s="181" t="n"/>
      <c r="L90" s="181" t="n"/>
      <c r="M90" s="181" t="n"/>
      <c r="N90" s="1" t="n"/>
      <c r="O90" s="181" t="n"/>
      <c r="P90" s="181" t="n"/>
      <c r="Q90" s="18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row>
    <row r="91" ht="15.75" customHeight="1" s="216">
      <c r="A91" s="1" t="n"/>
      <c r="B91" s="1" t="n"/>
      <c r="C91" s="1" t="n"/>
      <c r="D91" s="1" t="n"/>
      <c r="E91" s="181" t="n"/>
      <c r="F91" s="181" t="n"/>
      <c r="G91" s="1" t="n"/>
      <c r="H91" s="1" t="n"/>
      <c r="I91" s="1" t="n"/>
      <c r="J91" s="1" t="n"/>
      <c r="K91" s="181" t="n"/>
      <c r="L91" s="181" t="n"/>
      <c r="M91" s="181" t="n"/>
      <c r="N91" s="1" t="n"/>
      <c r="O91" s="181" t="n"/>
      <c r="P91" s="181" t="n"/>
      <c r="Q91" s="18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row>
    <row r="92" ht="15.75" customHeight="1" s="216">
      <c r="A92" s="1" t="n"/>
      <c r="B92" s="1" t="n"/>
      <c r="C92" s="1" t="n"/>
      <c r="D92" s="1" t="n"/>
      <c r="E92" s="181" t="n"/>
      <c r="F92" s="181" t="n"/>
      <c r="G92" s="1" t="n"/>
      <c r="H92" s="1" t="n"/>
      <c r="I92" s="1" t="n"/>
      <c r="J92" s="1" t="n"/>
      <c r="K92" s="181" t="n"/>
      <c r="L92" s="181" t="n"/>
      <c r="M92" s="181" t="n"/>
      <c r="N92" s="1" t="n"/>
      <c r="O92" s="181" t="n"/>
      <c r="P92" s="181" t="n"/>
      <c r="Q92" s="18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row>
    <row r="93" ht="15.75" customHeight="1" s="216">
      <c r="A93" s="1" t="n"/>
      <c r="B93" s="1" t="n"/>
      <c r="C93" s="1" t="n"/>
      <c r="D93" s="1" t="n"/>
      <c r="E93" s="181" t="n"/>
      <c r="F93" s="181" t="n"/>
      <c r="G93" s="1" t="n"/>
      <c r="H93" s="1" t="n"/>
      <c r="I93" s="1" t="n"/>
      <c r="J93" s="1" t="n"/>
      <c r="K93" s="181" t="n"/>
      <c r="L93" s="181" t="n"/>
      <c r="M93" s="181" t="n"/>
      <c r="N93" s="1" t="n"/>
      <c r="O93" s="181" t="n"/>
      <c r="P93" s="181" t="n"/>
      <c r="Q93" s="18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row>
    <row r="94" ht="15.75" customHeight="1" s="216">
      <c r="A94" s="1" t="n"/>
      <c r="B94" s="1" t="n"/>
      <c r="C94" s="1" t="n"/>
      <c r="D94" s="1" t="n"/>
      <c r="E94" s="181" t="n"/>
      <c r="F94" s="181" t="n"/>
      <c r="G94" s="1" t="n"/>
      <c r="H94" s="1" t="n"/>
      <c r="I94" s="1" t="n"/>
      <c r="J94" s="1" t="n"/>
      <c r="K94" s="181" t="n"/>
      <c r="L94" s="181" t="n"/>
      <c r="M94" s="181" t="n"/>
      <c r="N94" s="1" t="n"/>
      <c r="O94" s="181" t="n"/>
      <c r="P94" s="181" t="n"/>
      <c r="Q94" s="18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row>
    <row r="95" ht="15.75" customHeight="1" s="216">
      <c r="A95" s="1" t="n"/>
      <c r="B95" s="1" t="n"/>
      <c r="C95" s="1" t="n"/>
      <c r="D95" s="1" t="n"/>
      <c r="E95" s="181" t="n"/>
      <c r="F95" s="181" t="n"/>
      <c r="G95" s="1" t="n"/>
      <c r="H95" s="1" t="n"/>
      <c r="I95" s="1" t="n"/>
      <c r="J95" s="1" t="n"/>
      <c r="K95" s="181" t="n"/>
      <c r="L95" s="181" t="n"/>
      <c r="M95" s="181" t="n"/>
      <c r="N95" s="1" t="n"/>
      <c r="O95" s="181" t="n"/>
      <c r="P95" s="181" t="n"/>
      <c r="Q95" s="18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row>
    <row r="96" ht="15.75" customHeight="1" s="216">
      <c r="A96" s="1" t="n"/>
      <c r="B96" s="1" t="n"/>
      <c r="C96" s="1" t="n"/>
      <c r="D96" s="1" t="n"/>
      <c r="E96" s="181" t="n"/>
      <c r="F96" s="181" t="n"/>
      <c r="G96" s="1" t="n"/>
      <c r="H96" s="1" t="n"/>
      <c r="I96" s="1" t="n"/>
      <c r="J96" s="1" t="n"/>
      <c r="K96" s="181" t="n"/>
      <c r="L96" s="181" t="n"/>
      <c r="M96" s="181" t="n"/>
      <c r="N96" s="1" t="n"/>
      <c r="O96" s="181" t="n"/>
      <c r="P96" s="181" t="n"/>
      <c r="Q96" s="18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row>
    <row r="97" ht="15.75" customHeight="1" s="216">
      <c r="A97" s="1" t="n"/>
      <c r="B97" s="1" t="n"/>
      <c r="C97" s="1" t="n"/>
      <c r="D97" s="1" t="n"/>
      <c r="E97" s="181" t="n"/>
      <c r="F97" s="181" t="n"/>
      <c r="G97" s="1" t="n"/>
      <c r="H97" s="1" t="n"/>
      <c r="I97" s="1" t="n"/>
      <c r="J97" s="1" t="n"/>
      <c r="K97" s="181" t="n"/>
      <c r="L97" s="181" t="n"/>
      <c r="M97" s="181" t="n"/>
      <c r="N97" s="1" t="n"/>
      <c r="O97" s="181" t="n"/>
      <c r="P97" s="181" t="n"/>
      <c r="Q97" s="18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row>
    <row r="98" ht="15.75" customHeight="1" s="216">
      <c r="A98" s="1" t="n"/>
      <c r="B98" s="1" t="n"/>
      <c r="C98" s="1" t="n"/>
      <c r="D98" s="1" t="n"/>
      <c r="E98" s="181" t="n"/>
      <c r="F98" s="181" t="n"/>
      <c r="G98" s="1" t="n"/>
      <c r="H98" s="1" t="n"/>
      <c r="I98" s="1" t="n"/>
      <c r="J98" s="1" t="n"/>
      <c r="K98" s="181" t="n"/>
      <c r="L98" s="181" t="n"/>
      <c r="M98" s="181" t="n"/>
      <c r="N98" s="1" t="n"/>
      <c r="O98" s="181" t="n"/>
      <c r="P98" s="181" t="n"/>
      <c r="Q98" s="18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row>
    <row r="99" ht="15.75" customHeight="1" s="216">
      <c r="A99" s="1" t="n"/>
      <c r="B99" s="1" t="n"/>
      <c r="C99" s="1" t="n"/>
      <c r="D99" s="1" t="n"/>
      <c r="E99" s="181" t="n"/>
      <c r="F99" s="181" t="n"/>
      <c r="G99" s="1" t="n"/>
      <c r="H99" s="1" t="n"/>
      <c r="I99" s="1" t="n"/>
      <c r="J99" s="1" t="n"/>
      <c r="K99" s="181" t="n"/>
      <c r="L99" s="181" t="n"/>
      <c r="M99" s="181" t="n"/>
      <c r="N99" s="1" t="n"/>
      <c r="O99" s="181" t="n"/>
      <c r="P99" s="181" t="n"/>
      <c r="Q99" s="18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row>
    <row r="100" ht="15.75" customHeight="1" s="216">
      <c r="A100" s="1" t="n"/>
      <c r="B100" s="1" t="n"/>
      <c r="C100" s="1" t="n"/>
      <c r="D100" s="1" t="n"/>
      <c r="E100" s="181" t="n"/>
      <c r="F100" s="181" t="n"/>
      <c r="G100" s="1" t="n"/>
      <c r="H100" s="1" t="n"/>
      <c r="I100" s="1" t="n"/>
      <c r="J100" s="1" t="n"/>
      <c r="K100" s="181" t="n"/>
      <c r="L100" s="181" t="n"/>
      <c r="M100" s="181" t="n"/>
      <c r="N100" s="1" t="n"/>
      <c r="O100" s="181" t="n"/>
      <c r="P100" s="181" t="n"/>
      <c r="Q100" s="18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row>
    <row r="101" ht="15.75" customHeight="1" s="216">
      <c r="A101" s="1" t="n"/>
      <c r="B101" s="1" t="n"/>
      <c r="C101" s="1" t="n"/>
      <c r="D101" s="1" t="n"/>
      <c r="E101" s="181" t="n"/>
      <c r="F101" s="181" t="n"/>
      <c r="G101" s="1" t="n"/>
      <c r="H101" s="1" t="n"/>
      <c r="I101" s="1" t="n"/>
      <c r="J101" s="1" t="n"/>
      <c r="K101" s="181" t="n"/>
      <c r="L101" s="181" t="n"/>
      <c r="M101" s="181" t="n"/>
      <c r="N101" s="1" t="n"/>
      <c r="O101" s="181" t="n"/>
      <c r="P101" s="181" t="n"/>
      <c r="Q101" s="18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row>
    <row r="102" ht="15.75" customHeight="1" s="216">
      <c r="A102" s="1" t="n"/>
      <c r="B102" s="1" t="n"/>
      <c r="C102" s="1" t="n"/>
      <c r="D102" s="1" t="n"/>
      <c r="E102" s="181" t="n"/>
      <c r="F102" s="181" t="n"/>
      <c r="G102" s="1" t="n"/>
      <c r="H102" s="1" t="n"/>
      <c r="I102" s="1" t="n"/>
      <c r="J102" s="1" t="n"/>
      <c r="K102" s="181" t="n"/>
      <c r="L102" s="181" t="n"/>
      <c r="M102" s="181" t="n"/>
      <c r="N102" s="1" t="n"/>
      <c r="O102" s="181" t="n"/>
      <c r="P102" s="181" t="n"/>
      <c r="Q102" s="18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row>
    <row r="103" ht="15.75" customHeight="1" s="216">
      <c r="A103" s="1" t="n"/>
      <c r="B103" s="1" t="n"/>
      <c r="C103" s="1" t="n"/>
      <c r="D103" s="1" t="n"/>
      <c r="E103" s="181" t="n"/>
      <c r="F103" s="181" t="n"/>
      <c r="G103" s="1" t="n"/>
      <c r="H103" s="1" t="n"/>
      <c r="I103" s="1" t="n"/>
      <c r="J103" s="1" t="n"/>
      <c r="K103" s="181" t="n"/>
      <c r="L103" s="181" t="n"/>
      <c r="M103" s="181" t="n"/>
      <c r="N103" s="1" t="n"/>
      <c r="O103" s="181" t="n"/>
      <c r="P103" s="181" t="n"/>
      <c r="Q103" s="18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row>
    <row r="104" ht="15.75" customHeight="1" s="216">
      <c r="A104" s="1" t="n"/>
      <c r="B104" s="1" t="n"/>
      <c r="C104" s="1" t="n"/>
      <c r="D104" s="1" t="n"/>
      <c r="E104" s="181" t="n"/>
      <c r="F104" s="181" t="n"/>
      <c r="G104" s="1" t="n"/>
      <c r="H104" s="1" t="n"/>
      <c r="I104" s="1" t="n"/>
      <c r="J104" s="1" t="n"/>
      <c r="K104" s="181" t="n"/>
      <c r="L104" s="181" t="n"/>
      <c r="M104" s="181" t="n"/>
      <c r="N104" s="1" t="n"/>
      <c r="O104" s="181" t="n"/>
      <c r="P104" s="181" t="n"/>
      <c r="Q104" s="18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row>
    <row r="105" ht="15.75" customHeight="1" s="216">
      <c r="A105" s="1" t="n"/>
      <c r="B105" s="1" t="n"/>
      <c r="C105" s="1" t="n"/>
      <c r="D105" s="1" t="n"/>
      <c r="E105" s="181" t="n"/>
      <c r="F105" s="181" t="n"/>
      <c r="G105" s="1" t="n"/>
      <c r="H105" s="1" t="n"/>
      <c r="I105" s="1" t="n"/>
      <c r="J105" s="1" t="n"/>
      <c r="K105" s="181" t="n"/>
      <c r="L105" s="181" t="n"/>
      <c r="M105" s="181" t="n"/>
      <c r="N105" s="1" t="n"/>
      <c r="O105" s="181" t="n"/>
      <c r="P105" s="181" t="n"/>
      <c r="Q105" s="18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row>
    <row r="106" ht="15.75" customHeight="1" s="216">
      <c r="A106" s="1" t="n"/>
      <c r="B106" s="1" t="n"/>
      <c r="C106" s="1" t="n"/>
      <c r="D106" s="1" t="n"/>
      <c r="E106" s="181" t="n"/>
      <c r="F106" s="181" t="n"/>
      <c r="G106" s="1" t="n"/>
      <c r="H106" s="1" t="n"/>
      <c r="I106" s="1" t="n"/>
      <c r="J106" s="1" t="n"/>
      <c r="K106" s="181" t="n"/>
      <c r="L106" s="181" t="n"/>
      <c r="M106" s="181" t="n"/>
      <c r="N106" s="1" t="n"/>
      <c r="O106" s="181" t="n"/>
      <c r="P106" s="181" t="n"/>
      <c r="Q106" s="18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row>
    <row r="107" ht="15.75" customHeight="1" s="216">
      <c r="A107" s="1" t="n"/>
      <c r="B107" s="1" t="n"/>
      <c r="C107" s="1" t="n"/>
      <c r="D107" s="1" t="n"/>
      <c r="E107" s="181" t="n"/>
      <c r="F107" s="181" t="n"/>
      <c r="G107" s="1" t="n"/>
      <c r="H107" s="1" t="n"/>
      <c r="I107" s="1" t="n"/>
      <c r="J107" s="1" t="n"/>
      <c r="K107" s="181" t="n"/>
      <c r="L107" s="181" t="n"/>
      <c r="M107" s="181" t="n"/>
      <c r="N107" s="1" t="n"/>
      <c r="O107" s="181" t="n"/>
      <c r="P107" s="181" t="n"/>
      <c r="Q107" s="18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row>
    <row r="108" ht="15.75" customHeight="1" s="216">
      <c r="A108" s="1" t="n"/>
      <c r="B108" s="1" t="n"/>
      <c r="C108" s="1" t="n"/>
      <c r="D108" s="1" t="n"/>
      <c r="E108" s="181" t="n"/>
      <c r="F108" s="181" t="n"/>
      <c r="G108" s="1" t="n"/>
      <c r="H108" s="1" t="n"/>
      <c r="I108" s="1" t="n"/>
      <c r="J108" s="1" t="n"/>
      <c r="K108" s="181" t="n"/>
      <c r="L108" s="181" t="n"/>
      <c r="M108" s="181" t="n"/>
      <c r="N108" s="1" t="n"/>
      <c r="O108" s="181" t="n"/>
      <c r="P108" s="181" t="n"/>
      <c r="Q108" s="18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row>
    <row r="109" ht="15.75" customHeight="1" s="216">
      <c r="A109" s="1" t="n"/>
      <c r="B109" s="1" t="n"/>
      <c r="C109" s="1" t="n"/>
      <c r="D109" s="1" t="n"/>
      <c r="E109" s="181" t="n"/>
      <c r="F109" s="181" t="n"/>
      <c r="G109" s="1" t="n"/>
      <c r="H109" s="1" t="n"/>
      <c r="I109" s="1" t="n"/>
      <c r="J109" s="1" t="n"/>
      <c r="K109" s="181" t="n"/>
      <c r="L109" s="181" t="n"/>
      <c r="M109" s="181" t="n"/>
      <c r="N109" s="1" t="n"/>
      <c r="O109" s="181" t="n"/>
      <c r="P109" s="181" t="n"/>
      <c r="Q109" s="18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row>
    <row r="110" ht="15.75" customHeight="1" s="216">
      <c r="A110" s="1" t="n"/>
      <c r="B110" s="1" t="n"/>
      <c r="C110" s="1" t="n"/>
      <c r="D110" s="1" t="n"/>
      <c r="E110" s="181" t="n"/>
      <c r="F110" s="181" t="n"/>
      <c r="G110" s="1" t="n"/>
      <c r="H110" s="1" t="n"/>
      <c r="I110" s="1" t="n"/>
      <c r="J110" s="1" t="n"/>
      <c r="K110" s="181" t="n"/>
      <c r="L110" s="181" t="n"/>
      <c r="M110" s="181" t="n"/>
      <c r="N110" s="1" t="n"/>
      <c r="O110" s="181" t="n"/>
      <c r="P110" s="181" t="n"/>
      <c r="Q110" s="18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row>
    <row r="111" ht="15.75" customHeight="1" s="216">
      <c r="A111" s="1" t="n"/>
      <c r="B111" s="1" t="n"/>
      <c r="C111" s="1" t="n"/>
      <c r="D111" s="1" t="n"/>
      <c r="E111" s="181" t="n"/>
      <c r="F111" s="181" t="n"/>
      <c r="G111" s="1" t="n"/>
      <c r="H111" s="1" t="n"/>
      <c r="I111" s="1" t="n"/>
      <c r="J111" s="1" t="n"/>
      <c r="K111" s="181" t="n"/>
      <c r="L111" s="181" t="n"/>
      <c r="M111" s="181" t="n"/>
      <c r="N111" s="1" t="n"/>
      <c r="O111" s="181" t="n"/>
      <c r="P111" s="181" t="n"/>
      <c r="Q111" s="18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row>
    <row r="112" ht="15.75" customHeight="1" s="216">
      <c r="A112" s="1" t="n"/>
      <c r="B112" s="1" t="n"/>
      <c r="C112" s="1" t="n"/>
      <c r="D112" s="1" t="n"/>
      <c r="E112" s="181" t="n"/>
      <c r="F112" s="181" t="n"/>
      <c r="G112" s="1" t="n"/>
      <c r="H112" s="1" t="n"/>
      <c r="I112" s="1" t="n"/>
      <c r="J112" s="1" t="n"/>
      <c r="K112" s="181" t="n"/>
      <c r="L112" s="181" t="n"/>
      <c r="M112" s="181" t="n"/>
      <c r="N112" s="1" t="n"/>
      <c r="O112" s="181" t="n"/>
      <c r="P112" s="181" t="n"/>
      <c r="Q112" s="18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row>
    <row r="113" ht="15.75" customHeight="1" s="216">
      <c r="A113" s="1" t="n"/>
      <c r="B113" s="1" t="n"/>
      <c r="C113" s="1" t="n"/>
      <c r="D113" s="1" t="n"/>
      <c r="E113" s="181" t="n"/>
      <c r="F113" s="181" t="n"/>
      <c r="G113" s="1" t="n"/>
      <c r="H113" s="1" t="n"/>
      <c r="I113" s="1" t="n"/>
      <c r="J113" s="1" t="n"/>
      <c r="K113" s="181" t="n"/>
      <c r="L113" s="181" t="n"/>
      <c r="M113" s="181" t="n"/>
      <c r="N113" s="1" t="n"/>
      <c r="O113" s="181" t="n"/>
      <c r="P113" s="181" t="n"/>
      <c r="Q113" s="18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row>
    <row r="114" ht="15.75" customHeight="1" s="216">
      <c r="A114" s="1" t="n"/>
      <c r="B114" s="1" t="n"/>
      <c r="C114" s="1" t="n"/>
      <c r="D114" s="1" t="n"/>
      <c r="E114" s="181" t="n"/>
      <c r="F114" s="181" t="n"/>
      <c r="G114" s="1" t="n"/>
      <c r="H114" s="1" t="n"/>
      <c r="I114" s="1" t="n"/>
      <c r="J114" s="1" t="n"/>
      <c r="K114" s="181" t="n"/>
      <c r="L114" s="181" t="n"/>
      <c r="M114" s="181" t="n"/>
      <c r="N114" s="1" t="n"/>
      <c r="O114" s="181" t="n"/>
      <c r="P114" s="181" t="n"/>
      <c r="Q114" s="18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row>
    <row r="115" ht="15.75" customHeight="1" s="216">
      <c r="A115" s="1" t="n"/>
      <c r="B115" s="1" t="n"/>
      <c r="C115" s="1" t="n"/>
      <c r="D115" s="1" t="n"/>
      <c r="E115" s="181" t="n"/>
      <c r="F115" s="181" t="n"/>
      <c r="G115" s="1" t="n"/>
      <c r="H115" s="1" t="n"/>
      <c r="I115" s="1" t="n"/>
      <c r="J115" s="1" t="n"/>
      <c r="K115" s="181" t="n"/>
      <c r="L115" s="181" t="n"/>
      <c r="M115" s="181" t="n"/>
      <c r="N115" s="1" t="n"/>
      <c r="O115" s="181" t="n"/>
      <c r="P115" s="181" t="n"/>
      <c r="Q115" s="18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row>
    <row r="116" ht="15.75" customHeight="1" s="216">
      <c r="A116" s="1" t="n"/>
      <c r="B116" s="1" t="n"/>
      <c r="C116" s="1" t="n"/>
      <c r="D116" s="1" t="n"/>
      <c r="E116" s="181" t="n"/>
      <c r="F116" s="181" t="n"/>
      <c r="G116" s="1" t="n"/>
      <c r="H116" s="1" t="n"/>
      <c r="I116" s="1" t="n"/>
      <c r="J116" s="1" t="n"/>
      <c r="K116" s="181" t="n"/>
      <c r="L116" s="181" t="n"/>
      <c r="M116" s="181" t="n"/>
      <c r="N116" s="1" t="n"/>
      <c r="O116" s="181" t="n"/>
      <c r="P116" s="181" t="n"/>
      <c r="Q116" s="18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row>
    <row r="117" ht="15.75" customHeight="1" s="216">
      <c r="A117" s="1" t="n"/>
      <c r="B117" s="1" t="n"/>
      <c r="C117" s="1" t="n"/>
      <c r="D117" s="1" t="n"/>
      <c r="E117" s="181" t="n"/>
      <c r="F117" s="181" t="n"/>
      <c r="G117" s="1" t="n"/>
      <c r="H117" s="1" t="n"/>
      <c r="I117" s="1" t="n"/>
      <c r="J117" s="1" t="n"/>
      <c r="K117" s="181" t="n"/>
      <c r="L117" s="181" t="n"/>
      <c r="M117" s="181" t="n"/>
      <c r="N117" s="1" t="n"/>
      <c r="O117" s="181" t="n"/>
      <c r="P117" s="181" t="n"/>
      <c r="Q117" s="18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row>
    <row r="118" ht="15.75" customHeight="1" s="216">
      <c r="A118" s="1" t="n"/>
      <c r="B118" s="1" t="n"/>
      <c r="C118" s="1" t="n"/>
      <c r="D118" s="1" t="n"/>
      <c r="E118" s="181" t="n"/>
      <c r="F118" s="181" t="n"/>
      <c r="G118" s="1" t="n"/>
      <c r="H118" s="1" t="n"/>
      <c r="I118" s="1" t="n"/>
      <c r="J118" s="1" t="n"/>
      <c r="K118" s="181" t="n"/>
      <c r="L118" s="181" t="n"/>
      <c r="M118" s="181" t="n"/>
      <c r="N118" s="1" t="n"/>
      <c r="O118" s="181" t="n"/>
      <c r="P118" s="181" t="n"/>
      <c r="Q118" s="18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row>
    <row r="119" ht="15.75" customHeight="1" s="216">
      <c r="A119" s="1" t="n"/>
      <c r="B119" s="1" t="n"/>
      <c r="C119" s="1" t="n"/>
      <c r="D119" s="1" t="n"/>
      <c r="E119" s="181" t="n"/>
      <c r="F119" s="181" t="n"/>
      <c r="G119" s="1" t="n"/>
      <c r="H119" s="1" t="n"/>
      <c r="I119" s="1" t="n"/>
      <c r="J119" s="1" t="n"/>
      <c r="K119" s="181" t="n"/>
      <c r="L119" s="181" t="n"/>
      <c r="M119" s="181" t="n"/>
      <c r="N119" s="1" t="n"/>
      <c r="O119" s="181" t="n"/>
      <c r="P119" s="181" t="n"/>
      <c r="Q119" s="18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row>
    <row r="120" ht="15.75" customHeight="1" s="216">
      <c r="A120" s="1" t="n"/>
      <c r="B120" s="1" t="n"/>
      <c r="C120" s="1" t="n"/>
      <c r="D120" s="1" t="n"/>
      <c r="E120" s="181" t="n"/>
      <c r="F120" s="181" t="n"/>
      <c r="G120" s="1" t="n"/>
      <c r="H120" s="1" t="n"/>
      <c r="I120" s="1" t="n"/>
      <c r="J120" s="1" t="n"/>
      <c r="K120" s="181" t="n"/>
      <c r="L120" s="181" t="n"/>
      <c r="M120" s="181" t="n"/>
      <c r="N120" s="1" t="n"/>
      <c r="O120" s="181" t="n"/>
      <c r="P120" s="181" t="n"/>
      <c r="Q120" s="18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row>
    <row r="121" ht="15.75" customHeight="1" s="216">
      <c r="A121" s="1" t="n"/>
      <c r="B121" s="1" t="n"/>
      <c r="C121" s="1" t="n"/>
      <c r="D121" s="1" t="n"/>
      <c r="E121" s="181" t="n"/>
      <c r="F121" s="181" t="n"/>
      <c r="G121" s="1" t="n"/>
      <c r="H121" s="1" t="n"/>
      <c r="I121" s="1" t="n"/>
      <c r="J121" s="1" t="n"/>
      <c r="K121" s="181" t="n"/>
      <c r="L121" s="181" t="n"/>
      <c r="M121" s="181" t="n"/>
      <c r="N121" s="1" t="n"/>
      <c r="O121" s="181" t="n"/>
      <c r="P121" s="181" t="n"/>
      <c r="Q121" s="18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row>
    <row r="122" ht="15.75" customHeight="1" s="216">
      <c r="A122" s="1" t="n"/>
      <c r="B122" s="1" t="n"/>
      <c r="C122" s="1" t="n"/>
      <c r="D122" s="1" t="n"/>
      <c r="E122" s="181" t="n"/>
      <c r="F122" s="181" t="n"/>
      <c r="G122" s="1" t="n"/>
      <c r="H122" s="1" t="n"/>
      <c r="I122" s="1" t="n"/>
      <c r="J122" s="1" t="n"/>
      <c r="K122" s="181" t="n"/>
      <c r="L122" s="181" t="n"/>
      <c r="M122" s="181" t="n"/>
      <c r="N122" s="1" t="n"/>
      <c r="O122" s="181" t="n"/>
      <c r="P122" s="181" t="n"/>
      <c r="Q122" s="18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row>
    <row r="123" ht="15.75" customHeight="1" s="216">
      <c r="A123" s="1" t="n"/>
      <c r="B123" s="1" t="n"/>
      <c r="C123" s="1" t="n"/>
      <c r="D123" s="1" t="n"/>
      <c r="E123" s="181" t="n"/>
      <c r="F123" s="181" t="n"/>
      <c r="G123" s="1" t="n"/>
      <c r="H123" s="1" t="n"/>
      <c r="I123" s="1" t="n"/>
      <c r="J123" s="1" t="n"/>
      <c r="K123" s="181" t="n"/>
      <c r="L123" s="181" t="n"/>
      <c r="M123" s="181" t="n"/>
      <c r="N123" s="1" t="n"/>
      <c r="O123" s="181" t="n"/>
      <c r="P123" s="181" t="n"/>
      <c r="Q123" s="18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row>
    <row r="124" ht="15.75" customHeight="1" s="216">
      <c r="A124" s="1" t="n"/>
      <c r="B124" s="1" t="n"/>
      <c r="C124" s="1" t="n"/>
      <c r="D124" s="1" t="n"/>
      <c r="E124" s="181" t="n"/>
      <c r="F124" s="181" t="n"/>
      <c r="G124" s="1" t="n"/>
      <c r="H124" s="1" t="n"/>
      <c r="I124" s="1" t="n"/>
      <c r="J124" s="1" t="n"/>
      <c r="K124" s="181" t="n"/>
      <c r="L124" s="181" t="n"/>
      <c r="M124" s="181" t="n"/>
      <c r="N124" s="1" t="n"/>
      <c r="O124" s="181" t="n"/>
      <c r="P124" s="181" t="n"/>
      <c r="Q124" s="18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row>
    <row r="125" ht="15.75" customHeight="1" s="216">
      <c r="A125" s="1" t="n"/>
      <c r="B125" s="1" t="n"/>
      <c r="C125" s="1" t="n"/>
      <c r="D125" s="1" t="n"/>
      <c r="E125" s="181" t="n"/>
      <c r="F125" s="181" t="n"/>
      <c r="G125" s="1" t="n"/>
      <c r="H125" s="1" t="n"/>
      <c r="I125" s="1" t="n"/>
      <c r="J125" s="1" t="n"/>
      <c r="K125" s="181" t="n"/>
      <c r="L125" s="181" t="n"/>
      <c r="M125" s="181" t="n"/>
      <c r="N125" s="1" t="n"/>
      <c r="O125" s="181" t="n"/>
      <c r="P125" s="181" t="n"/>
      <c r="Q125" s="18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row>
    <row r="126" ht="15.75" customHeight="1" s="216">
      <c r="A126" s="1" t="n"/>
      <c r="B126" s="1" t="n"/>
      <c r="C126" s="1" t="n"/>
      <c r="D126" s="1" t="n"/>
      <c r="E126" s="181" t="n"/>
      <c r="F126" s="181" t="n"/>
      <c r="G126" s="1" t="n"/>
      <c r="H126" s="1" t="n"/>
      <c r="I126" s="1" t="n"/>
      <c r="J126" s="1" t="n"/>
      <c r="K126" s="181" t="n"/>
      <c r="L126" s="181" t="n"/>
      <c r="M126" s="181" t="n"/>
      <c r="N126" s="1" t="n"/>
      <c r="O126" s="181" t="n"/>
      <c r="P126" s="181" t="n"/>
      <c r="Q126" s="18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row>
    <row r="127" ht="15.75" customHeight="1" s="216">
      <c r="A127" s="1" t="n"/>
      <c r="B127" s="1" t="n"/>
      <c r="C127" s="1" t="n"/>
      <c r="D127" s="1" t="n"/>
      <c r="E127" s="181" t="n"/>
      <c r="F127" s="181" t="n"/>
      <c r="G127" s="1" t="n"/>
      <c r="H127" s="1" t="n"/>
      <c r="I127" s="1" t="n"/>
      <c r="J127" s="1" t="n"/>
      <c r="K127" s="181" t="n"/>
      <c r="L127" s="181" t="n"/>
      <c r="M127" s="181" t="n"/>
      <c r="N127" s="1" t="n"/>
      <c r="O127" s="181" t="n"/>
      <c r="P127" s="181" t="n"/>
      <c r="Q127" s="18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row>
    <row r="128" ht="15.75" customHeight="1" s="216">
      <c r="A128" s="1" t="n"/>
      <c r="B128" s="1" t="n"/>
      <c r="C128" s="1" t="n"/>
      <c r="D128" s="1" t="n"/>
      <c r="E128" s="181" t="n"/>
      <c r="F128" s="181" t="n"/>
      <c r="G128" s="1" t="n"/>
      <c r="H128" s="1" t="n"/>
      <c r="I128" s="1" t="n"/>
      <c r="J128" s="1" t="n"/>
      <c r="K128" s="181" t="n"/>
      <c r="L128" s="181" t="n"/>
      <c r="M128" s="181" t="n"/>
      <c r="N128" s="1" t="n"/>
      <c r="O128" s="181" t="n"/>
      <c r="P128" s="181" t="n"/>
      <c r="Q128" s="18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row>
    <row r="129" ht="15.75" customHeight="1" s="216">
      <c r="A129" s="1" t="n"/>
      <c r="B129" s="1" t="n"/>
      <c r="C129" s="1" t="n"/>
      <c r="D129" s="1" t="n"/>
      <c r="E129" s="181" t="n"/>
      <c r="F129" s="181" t="n"/>
      <c r="G129" s="1" t="n"/>
      <c r="H129" s="1" t="n"/>
      <c r="I129" s="1" t="n"/>
      <c r="J129" s="1" t="n"/>
      <c r="K129" s="181" t="n"/>
      <c r="L129" s="181" t="n"/>
      <c r="M129" s="181" t="n"/>
      <c r="N129" s="1" t="n"/>
      <c r="O129" s="181" t="n"/>
      <c r="P129" s="181" t="n"/>
      <c r="Q129" s="18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row>
    <row r="130" ht="15.75" customHeight="1" s="216">
      <c r="A130" s="1" t="n"/>
      <c r="B130" s="1" t="n"/>
      <c r="C130" s="1" t="n"/>
      <c r="D130" s="1" t="n"/>
      <c r="E130" s="181" t="n"/>
      <c r="F130" s="181" t="n"/>
      <c r="G130" s="1" t="n"/>
      <c r="H130" s="1" t="n"/>
      <c r="I130" s="1" t="n"/>
      <c r="J130" s="1" t="n"/>
      <c r="K130" s="181" t="n"/>
      <c r="L130" s="181" t="n"/>
      <c r="M130" s="181" t="n"/>
      <c r="N130" s="1" t="n"/>
      <c r="O130" s="181" t="n"/>
      <c r="P130" s="181" t="n"/>
      <c r="Q130" s="18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row>
    <row r="131" ht="15.75" customHeight="1" s="216">
      <c r="A131" s="1" t="n"/>
      <c r="B131" s="1" t="n"/>
      <c r="C131" s="1" t="n"/>
      <c r="D131" s="1" t="n"/>
      <c r="E131" s="181" t="n"/>
      <c r="F131" s="181" t="n"/>
      <c r="G131" s="1" t="n"/>
      <c r="H131" s="1" t="n"/>
      <c r="I131" s="1" t="n"/>
      <c r="J131" s="1" t="n"/>
      <c r="K131" s="181" t="n"/>
      <c r="L131" s="181" t="n"/>
      <c r="M131" s="181" t="n"/>
      <c r="N131" s="1" t="n"/>
      <c r="O131" s="181" t="n"/>
      <c r="P131" s="181" t="n"/>
      <c r="Q131" s="18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row>
    <row r="132" ht="15.75" customHeight="1" s="216">
      <c r="A132" s="1" t="n"/>
      <c r="B132" s="1" t="n"/>
      <c r="C132" s="1" t="n"/>
      <c r="D132" s="1" t="n"/>
      <c r="E132" s="181" t="n"/>
      <c r="F132" s="181" t="n"/>
      <c r="G132" s="1" t="n"/>
      <c r="H132" s="1" t="n"/>
      <c r="I132" s="1" t="n"/>
      <c r="J132" s="1" t="n"/>
      <c r="K132" s="181" t="n"/>
      <c r="L132" s="181" t="n"/>
      <c r="M132" s="181" t="n"/>
      <c r="N132" s="1" t="n"/>
      <c r="O132" s="181" t="n"/>
      <c r="P132" s="181" t="n"/>
      <c r="Q132" s="18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row>
    <row r="133" ht="15.75" customHeight="1" s="216">
      <c r="A133" s="1" t="n"/>
      <c r="B133" s="1" t="n"/>
      <c r="C133" s="1" t="n"/>
      <c r="D133" s="1" t="n"/>
      <c r="E133" s="181" t="n"/>
      <c r="F133" s="181" t="n"/>
      <c r="G133" s="1" t="n"/>
      <c r="H133" s="1" t="n"/>
      <c r="I133" s="1" t="n"/>
      <c r="J133" s="1" t="n"/>
      <c r="K133" s="181" t="n"/>
      <c r="L133" s="181" t="n"/>
      <c r="M133" s="181" t="n"/>
      <c r="N133" s="1" t="n"/>
      <c r="O133" s="181" t="n"/>
      <c r="P133" s="181" t="n"/>
      <c r="Q133" s="18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row>
    <row r="134" ht="15.75" customHeight="1" s="216">
      <c r="A134" s="1" t="n"/>
      <c r="B134" s="1" t="n"/>
      <c r="C134" s="1" t="n"/>
      <c r="D134" s="1" t="n"/>
      <c r="E134" s="181" t="n"/>
      <c r="F134" s="181" t="n"/>
      <c r="G134" s="1" t="n"/>
      <c r="H134" s="1" t="n"/>
      <c r="I134" s="1" t="n"/>
      <c r="J134" s="1" t="n"/>
      <c r="K134" s="181" t="n"/>
      <c r="L134" s="181" t="n"/>
      <c r="M134" s="181" t="n"/>
      <c r="N134" s="1" t="n"/>
      <c r="O134" s="181" t="n"/>
      <c r="P134" s="181" t="n"/>
      <c r="Q134" s="18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row>
    <row r="135" ht="15.75" customHeight="1" s="216">
      <c r="A135" s="1" t="n"/>
      <c r="B135" s="1" t="n"/>
      <c r="C135" s="1" t="n"/>
      <c r="D135" s="1" t="n"/>
      <c r="E135" s="181" t="n"/>
      <c r="F135" s="181" t="n"/>
      <c r="G135" s="1" t="n"/>
      <c r="H135" s="1" t="n"/>
      <c r="I135" s="1" t="n"/>
      <c r="J135" s="1" t="n"/>
      <c r="K135" s="181" t="n"/>
      <c r="L135" s="181" t="n"/>
      <c r="M135" s="181" t="n"/>
      <c r="N135" s="1" t="n"/>
      <c r="O135" s="181" t="n"/>
      <c r="P135" s="181" t="n"/>
      <c r="Q135" s="18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row>
    <row r="136" ht="15.75" customHeight="1" s="216">
      <c r="A136" s="1" t="n"/>
      <c r="B136" s="1" t="n"/>
      <c r="C136" s="1" t="n"/>
      <c r="D136" s="1" t="n"/>
      <c r="E136" s="181" t="n"/>
      <c r="F136" s="181" t="n"/>
      <c r="G136" s="1" t="n"/>
      <c r="H136" s="1" t="n"/>
      <c r="I136" s="1" t="n"/>
      <c r="J136" s="1" t="n"/>
      <c r="K136" s="181" t="n"/>
      <c r="L136" s="181" t="n"/>
      <c r="M136" s="181" t="n"/>
      <c r="N136" s="1" t="n"/>
      <c r="O136" s="181" t="n"/>
      <c r="P136" s="181" t="n"/>
      <c r="Q136" s="18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row>
    <row r="137" ht="15.75" customHeight="1" s="216">
      <c r="A137" s="1" t="n"/>
      <c r="B137" s="1" t="n"/>
      <c r="C137" s="1" t="n"/>
      <c r="D137" s="1" t="n"/>
      <c r="E137" s="181" t="n"/>
      <c r="F137" s="181" t="n"/>
      <c r="G137" s="1" t="n"/>
      <c r="H137" s="1" t="n"/>
      <c r="I137" s="1" t="n"/>
      <c r="J137" s="1" t="n"/>
      <c r="K137" s="181" t="n"/>
      <c r="L137" s="181" t="n"/>
      <c r="M137" s="181" t="n"/>
      <c r="N137" s="1" t="n"/>
      <c r="O137" s="181" t="n"/>
      <c r="P137" s="181" t="n"/>
      <c r="Q137" s="18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row>
    <row r="138" ht="15.75" customHeight="1" s="216">
      <c r="A138" s="1" t="n"/>
      <c r="B138" s="1" t="n"/>
      <c r="C138" s="1" t="n"/>
      <c r="D138" s="1" t="n"/>
      <c r="E138" s="181" t="n"/>
      <c r="F138" s="181" t="n"/>
      <c r="G138" s="1" t="n"/>
      <c r="H138" s="1" t="n"/>
      <c r="I138" s="1" t="n"/>
      <c r="J138" s="1" t="n"/>
      <c r="K138" s="181" t="n"/>
      <c r="L138" s="181" t="n"/>
      <c r="M138" s="181" t="n"/>
      <c r="N138" s="1" t="n"/>
      <c r="O138" s="181" t="n"/>
      <c r="P138" s="181" t="n"/>
      <c r="Q138" s="18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row>
    <row r="139" ht="15.75" customHeight="1" s="216">
      <c r="A139" s="1" t="n"/>
      <c r="B139" s="1" t="n"/>
      <c r="C139" s="1" t="n"/>
      <c r="D139" s="1" t="n"/>
      <c r="E139" s="181" t="n"/>
      <c r="F139" s="181" t="n"/>
      <c r="G139" s="1" t="n"/>
      <c r="H139" s="1" t="n"/>
      <c r="I139" s="1" t="n"/>
      <c r="J139" s="1" t="n"/>
      <c r="K139" s="181" t="n"/>
      <c r="L139" s="181" t="n"/>
      <c r="M139" s="181" t="n"/>
      <c r="N139" s="1" t="n"/>
      <c r="O139" s="181" t="n"/>
      <c r="P139" s="181" t="n"/>
      <c r="Q139" s="18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row>
    <row r="140" ht="15.75" customHeight="1" s="216">
      <c r="A140" s="1" t="n"/>
      <c r="B140" s="1" t="n"/>
      <c r="C140" s="1" t="n"/>
      <c r="D140" s="1" t="n"/>
      <c r="E140" s="181" t="n"/>
      <c r="F140" s="181" t="n"/>
      <c r="G140" s="1" t="n"/>
      <c r="H140" s="1" t="n"/>
      <c r="I140" s="1" t="n"/>
      <c r="J140" s="1" t="n"/>
      <c r="K140" s="181" t="n"/>
      <c r="L140" s="181" t="n"/>
      <c r="M140" s="181" t="n"/>
      <c r="N140" s="1" t="n"/>
      <c r="O140" s="181" t="n"/>
      <c r="P140" s="181" t="n"/>
      <c r="Q140" s="18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row>
    <row r="141" ht="15.75" customHeight="1" s="216">
      <c r="A141" s="1" t="n"/>
      <c r="B141" s="1" t="n"/>
      <c r="C141" s="1" t="n"/>
      <c r="D141" s="1" t="n"/>
      <c r="E141" s="181" t="n"/>
      <c r="F141" s="181" t="n"/>
      <c r="G141" s="1" t="n"/>
      <c r="H141" s="1" t="n"/>
      <c r="I141" s="1" t="n"/>
      <c r="J141" s="1" t="n"/>
      <c r="K141" s="181" t="n"/>
      <c r="L141" s="181" t="n"/>
      <c r="M141" s="181" t="n"/>
      <c r="N141" s="1" t="n"/>
      <c r="O141" s="181" t="n"/>
      <c r="P141" s="181" t="n"/>
      <c r="Q141" s="18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row>
    <row r="142" ht="15.75" customHeight="1" s="216">
      <c r="A142" s="1" t="n"/>
      <c r="B142" s="1" t="n"/>
      <c r="C142" s="1" t="n"/>
      <c r="D142" s="1" t="n"/>
      <c r="E142" s="181" t="n"/>
      <c r="F142" s="181" t="n"/>
      <c r="G142" s="1" t="n"/>
      <c r="H142" s="1" t="n"/>
      <c r="I142" s="1" t="n"/>
      <c r="J142" s="1" t="n"/>
      <c r="K142" s="181" t="n"/>
      <c r="L142" s="181" t="n"/>
      <c r="M142" s="181" t="n"/>
      <c r="N142" s="1" t="n"/>
      <c r="O142" s="181" t="n"/>
      <c r="P142" s="181" t="n"/>
      <c r="Q142" s="18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row>
    <row r="143" ht="15.75" customHeight="1" s="216">
      <c r="A143" s="1" t="n"/>
      <c r="B143" s="1" t="n"/>
      <c r="C143" s="1" t="n"/>
      <c r="D143" s="1" t="n"/>
      <c r="E143" s="181" t="n"/>
      <c r="F143" s="181" t="n"/>
      <c r="G143" s="1" t="n"/>
      <c r="H143" s="1" t="n"/>
      <c r="I143" s="1" t="n"/>
      <c r="J143" s="1" t="n"/>
      <c r="K143" s="181" t="n"/>
      <c r="L143" s="181" t="n"/>
      <c r="M143" s="181" t="n"/>
      <c r="N143" s="1" t="n"/>
      <c r="O143" s="181" t="n"/>
      <c r="P143" s="181" t="n"/>
      <c r="Q143" s="18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row>
    <row r="144" ht="15.75" customHeight="1" s="216">
      <c r="A144" s="1" t="n"/>
      <c r="B144" s="1" t="n"/>
      <c r="C144" s="1" t="n"/>
      <c r="D144" s="1" t="n"/>
      <c r="E144" s="181" t="n"/>
      <c r="F144" s="181" t="n"/>
      <c r="G144" s="1" t="n"/>
      <c r="H144" s="1" t="n"/>
      <c r="I144" s="1" t="n"/>
      <c r="J144" s="1" t="n"/>
      <c r="K144" s="181" t="n"/>
      <c r="L144" s="181" t="n"/>
      <c r="M144" s="181" t="n"/>
      <c r="N144" s="1" t="n"/>
      <c r="O144" s="181" t="n"/>
      <c r="P144" s="181" t="n"/>
      <c r="Q144" s="18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row>
    <row r="145" ht="15.75" customHeight="1" s="216">
      <c r="A145" s="1" t="n"/>
      <c r="B145" s="1" t="n"/>
      <c r="C145" s="1" t="n"/>
      <c r="D145" s="1" t="n"/>
      <c r="E145" s="181" t="n"/>
      <c r="F145" s="181" t="n"/>
      <c r="G145" s="1" t="n"/>
      <c r="H145" s="1" t="n"/>
      <c r="I145" s="1" t="n"/>
      <c r="J145" s="1" t="n"/>
      <c r="K145" s="181" t="n"/>
      <c r="L145" s="181" t="n"/>
      <c r="M145" s="181" t="n"/>
      <c r="N145" s="1" t="n"/>
      <c r="O145" s="181" t="n"/>
      <c r="P145" s="181" t="n"/>
      <c r="Q145" s="18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row>
    <row r="146" ht="15.75" customHeight="1" s="216">
      <c r="A146" s="1" t="n"/>
      <c r="B146" s="1" t="n"/>
      <c r="C146" s="1" t="n"/>
      <c r="D146" s="1" t="n"/>
      <c r="E146" s="181" t="n"/>
      <c r="F146" s="181" t="n"/>
      <c r="G146" s="1" t="n"/>
      <c r="H146" s="1" t="n"/>
      <c r="I146" s="1" t="n"/>
      <c r="J146" s="1" t="n"/>
      <c r="K146" s="181" t="n"/>
      <c r="L146" s="181" t="n"/>
      <c r="M146" s="181" t="n"/>
      <c r="N146" s="1" t="n"/>
      <c r="O146" s="181" t="n"/>
      <c r="P146" s="181" t="n"/>
      <c r="Q146" s="18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row>
    <row r="147" ht="15.75" customHeight="1" s="216">
      <c r="A147" s="1" t="n"/>
      <c r="B147" s="1" t="n"/>
      <c r="C147" s="1" t="n"/>
      <c r="D147" s="1" t="n"/>
      <c r="E147" s="181" t="n"/>
      <c r="F147" s="181" t="n"/>
      <c r="G147" s="1" t="n"/>
      <c r="H147" s="1" t="n"/>
      <c r="I147" s="1" t="n"/>
      <c r="J147" s="1" t="n"/>
      <c r="K147" s="181" t="n"/>
      <c r="L147" s="181" t="n"/>
      <c r="M147" s="181" t="n"/>
      <c r="N147" s="1" t="n"/>
      <c r="O147" s="181" t="n"/>
      <c r="P147" s="181" t="n"/>
      <c r="Q147" s="18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row>
    <row r="148" ht="15.75" customHeight="1" s="216">
      <c r="A148" s="1" t="n"/>
      <c r="B148" s="1" t="n"/>
      <c r="C148" s="1" t="n"/>
      <c r="D148" s="1" t="n"/>
      <c r="E148" s="181" t="n"/>
      <c r="F148" s="181" t="n"/>
      <c r="G148" s="1" t="n"/>
      <c r="H148" s="1" t="n"/>
      <c r="I148" s="1" t="n"/>
      <c r="J148" s="1" t="n"/>
      <c r="K148" s="181" t="n"/>
      <c r="L148" s="181" t="n"/>
      <c r="M148" s="181" t="n"/>
      <c r="N148" s="1" t="n"/>
      <c r="O148" s="181" t="n"/>
      <c r="P148" s="181" t="n"/>
      <c r="Q148" s="18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row>
    <row r="149" ht="15.75" customHeight="1" s="216">
      <c r="A149" s="1" t="n"/>
      <c r="B149" s="1" t="n"/>
      <c r="C149" s="1" t="n"/>
      <c r="D149" s="1" t="n"/>
      <c r="E149" s="181" t="n"/>
      <c r="F149" s="181" t="n"/>
      <c r="G149" s="1" t="n"/>
      <c r="H149" s="1" t="n"/>
      <c r="I149" s="1" t="n"/>
      <c r="J149" s="1" t="n"/>
      <c r="K149" s="181" t="n"/>
      <c r="L149" s="181" t="n"/>
      <c r="M149" s="181" t="n"/>
      <c r="N149" s="1" t="n"/>
      <c r="O149" s="181" t="n"/>
      <c r="P149" s="181" t="n"/>
      <c r="Q149" s="18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row>
    <row r="150" ht="15.75" customHeight="1" s="216">
      <c r="A150" s="1" t="n"/>
      <c r="B150" s="1" t="n"/>
      <c r="C150" s="1" t="n"/>
      <c r="D150" s="1" t="n"/>
      <c r="E150" s="181" t="n"/>
      <c r="F150" s="181" t="n"/>
      <c r="G150" s="1" t="n"/>
      <c r="H150" s="1" t="n"/>
      <c r="I150" s="1" t="n"/>
      <c r="J150" s="1" t="n"/>
      <c r="K150" s="181" t="n"/>
      <c r="L150" s="181" t="n"/>
      <c r="M150" s="181" t="n"/>
      <c r="N150" s="1" t="n"/>
      <c r="O150" s="181" t="n"/>
      <c r="P150" s="181" t="n"/>
      <c r="Q150" s="18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row>
    <row r="151" ht="15.75" customHeight="1" s="216">
      <c r="A151" s="1" t="n"/>
      <c r="B151" s="1" t="n"/>
      <c r="C151" s="1" t="n"/>
      <c r="D151" s="1" t="n"/>
      <c r="E151" s="181" t="n"/>
      <c r="F151" s="181" t="n"/>
      <c r="G151" s="1" t="n"/>
      <c r="H151" s="1" t="n"/>
      <c r="I151" s="1" t="n"/>
      <c r="J151" s="1" t="n"/>
      <c r="K151" s="181" t="n"/>
      <c r="L151" s="181" t="n"/>
      <c r="M151" s="181" t="n"/>
      <c r="N151" s="1" t="n"/>
      <c r="O151" s="181" t="n"/>
      <c r="P151" s="181" t="n"/>
      <c r="Q151" s="18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row>
    <row r="152" ht="15.75" customHeight="1" s="216">
      <c r="A152" s="1" t="n"/>
      <c r="B152" s="1" t="n"/>
      <c r="C152" s="1" t="n"/>
      <c r="D152" s="1" t="n"/>
      <c r="E152" s="181" t="n"/>
      <c r="F152" s="181" t="n"/>
      <c r="G152" s="1" t="n"/>
      <c r="H152" s="1" t="n"/>
      <c r="I152" s="1" t="n"/>
      <c r="J152" s="1" t="n"/>
      <c r="K152" s="181" t="n"/>
      <c r="L152" s="181" t="n"/>
      <c r="M152" s="181" t="n"/>
      <c r="N152" s="1" t="n"/>
      <c r="O152" s="181" t="n"/>
      <c r="P152" s="181" t="n"/>
      <c r="Q152" s="18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row>
    <row r="153" ht="15.75" customHeight="1" s="216">
      <c r="A153" s="1" t="n"/>
      <c r="B153" s="1" t="n"/>
      <c r="C153" s="1" t="n"/>
      <c r="D153" s="1" t="n"/>
      <c r="E153" s="181" t="n"/>
      <c r="F153" s="181" t="n"/>
      <c r="G153" s="1" t="n"/>
      <c r="H153" s="1" t="n"/>
      <c r="I153" s="1" t="n"/>
      <c r="J153" s="1" t="n"/>
      <c r="K153" s="181" t="n"/>
      <c r="L153" s="181" t="n"/>
      <c r="M153" s="181" t="n"/>
      <c r="N153" s="1" t="n"/>
      <c r="O153" s="181" t="n"/>
      <c r="P153" s="181" t="n"/>
      <c r="Q153" s="18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row>
    <row r="154" ht="15.75" customHeight="1" s="216">
      <c r="A154" s="1" t="n"/>
      <c r="B154" s="1" t="n"/>
      <c r="C154" s="1" t="n"/>
      <c r="D154" s="1" t="n"/>
      <c r="E154" s="181" t="n"/>
      <c r="F154" s="181" t="n"/>
      <c r="G154" s="1" t="n"/>
      <c r="H154" s="1" t="n"/>
      <c r="I154" s="1" t="n"/>
      <c r="J154" s="1" t="n"/>
      <c r="K154" s="181" t="n"/>
      <c r="L154" s="181" t="n"/>
      <c r="M154" s="181" t="n"/>
      <c r="N154" s="1" t="n"/>
      <c r="O154" s="181" t="n"/>
      <c r="P154" s="181" t="n"/>
      <c r="Q154" s="18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row>
    <row r="155" ht="15.75" customHeight="1" s="216">
      <c r="A155" s="1" t="n"/>
      <c r="B155" s="1" t="n"/>
      <c r="C155" s="1" t="n"/>
      <c r="D155" s="1" t="n"/>
      <c r="E155" s="181" t="n"/>
      <c r="F155" s="181" t="n"/>
      <c r="G155" s="1" t="n"/>
      <c r="H155" s="1" t="n"/>
      <c r="I155" s="1" t="n"/>
      <c r="J155" s="1" t="n"/>
      <c r="K155" s="181" t="n"/>
      <c r="L155" s="181" t="n"/>
      <c r="M155" s="181" t="n"/>
      <c r="N155" s="1" t="n"/>
      <c r="O155" s="181" t="n"/>
      <c r="P155" s="181" t="n"/>
      <c r="Q155" s="18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row>
    <row r="156" ht="15.75" customHeight="1" s="216">
      <c r="A156" s="1" t="n"/>
      <c r="B156" s="1" t="n"/>
      <c r="C156" s="1" t="n"/>
      <c r="D156" s="1" t="n"/>
      <c r="E156" s="181" t="n"/>
      <c r="F156" s="181" t="n"/>
      <c r="G156" s="1" t="n"/>
      <c r="H156" s="1" t="n"/>
      <c r="I156" s="1" t="n"/>
      <c r="J156" s="1" t="n"/>
      <c r="K156" s="181" t="n"/>
      <c r="L156" s="181" t="n"/>
      <c r="M156" s="181" t="n"/>
      <c r="N156" s="1" t="n"/>
      <c r="O156" s="181" t="n"/>
      <c r="P156" s="181" t="n"/>
      <c r="Q156" s="18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row>
    <row r="157" ht="15.75" customHeight="1" s="216">
      <c r="A157" s="1" t="n"/>
      <c r="B157" s="1" t="n"/>
      <c r="C157" s="1" t="n"/>
      <c r="D157" s="1" t="n"/>
      <c r="E157" s="181" t="n"/>
      <c r="F157" s="181" t="n"/>
      <c r="G157" s="1" t="n"/>
      <c r="H157" s="1" t="n"/>
      <c r="I157" s="1" t="n"/>
      <c r="J157" s="1" t="n"/>
      <c r="K157" s="181" t="n"/>
      <c r="L157" s="181" t="n"/>
      <c r="M157" s="181" t="n"/>
      <c r="N157" s="1" t="n"/>
      <c r="O157" s="181" t="n"/>
      <c r="P157" s="181" t="n"/>
      <c r="Q157" s="18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row>
    <row r="158" ht="15.75" customHeight="1" s="216">
      <c r="A158" s="1" t="n"/>
      <c r="B158" s="1" t="n"/>
      <c r="C158" s="1" t="n"/>
      <c r="D158" s="1" t="n"/>
      <c r="E158" s="181" t="n"/>
      <c r="F158" s="181" t="n"/>
      <c r="G158" s="1" t="n"/>
      <c r="H158" s="1" t="n"/>
      <c r="I158" s="1" t="n"/>
      <c r="J158" s="1" t="n"/>
      <c r="K158" s="181" t="n"/>
      <c r="L158" s="181" t="n"/>
      <c r="M158" s="181" t="n"/>
      <c r="N158" s="1" t="n"/>
      <c r="O158" s="181" t="n"/>
      <c r="P158" s="181" t="n"/>
      <c r="Q158" s="18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row>
    <row r="159" ht="15.75" customHeight="1" s="216">
      <c r="A159" s="1" t="n"/>
      <c r="B159" s="1" t="n"/>
      <c r="C159" s="1" t="n"/>
      <c r="D159" s="1" t="n"/>
      <c r="E159" s="181" t="n"/>
      <c r="F159" s="181" t="n"/>
      <c r="G159" s="1" t="n"/>
      <c r="H159" s="1" t="n"/>
      <c r="I159" s="1" t="n"/>
      <c r="J159" s="1" t="n"/>
      <c r="K159" s="181" t="n"/>
      <c r="L159" s="181" t="n"/>
      <c r="M159" s="181" t="n"/>
      <c r="N159" s="1" t="n"/>
      <c r="O159" s="181" t="n"/>
      <c r="P159" s="181" t="n"/>
      <c r="Q159" s="18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row>
    <row r="160" ht="15.75" customHeight="1" s="216">
      <c r="A160" s="1" t="n"/>
      <c r="B160" s="1" t="n"/>
      <c r="C160" s="1" t="n"/>
      <c r="D160" s="1" t="n"/>
      <c r="E160" s="181" t="n"/>
      <c r="F160" s="181" t="n"/>
      <c r="G160" s="1" t="n"/>
      <c r="H160" s="1" t="n"/>
      <c r="I160" s="1" t="n"/>
      <c r="J160" s="1" t="n"/>
      <c r="K160" s="181" t="n"/>
      <c r="L160" s="181" t="n"/>
      <c r="M160" s="181" t="n"/>
      <c r="N160" s="1" t="n"/>
      <c r="O160" s="181" t="n"/>
      <c r="P160" s="181" t="n"/>
      <c r="Q160" s="18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row>
    <row r="161" ht="15.75" customHeight="1" s="216">
      <c r="A161" s="1" t="n"/>
      <c r="B161" s="1" t="n"/>
      <c r="C161" s="1" t="n"/>
      <c r="D161" s="1" t="n"/>
      <c r="E161" s="181" t="n"/>
      <c r="F161" s="181" t="n"/>
      <c r="G161" s="1" t="n"/>
      <c r="H161" s="1" t="n"/>
      <c r="I161" s="1" t="n"/>
      <c r="J161" s="1" t="n"/>
      <c r="K161" s="181" t="n"/>
      <c r="L161" s="181" t="n"/>
      <c r="M161" s="181" t="n"/>
      <c r="N161" s="1" t="n"/>
      <c r="O161" s="181" t="n"/>
      <c r="P161" s="181" t="n"/>
      <c r="Q161" s="18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row>
    <row r="162" ht="15.75" customHeight="1" s="216">
      <c r="A162" s="1" t="n"/>
      <c r="B162" s="1" t="n"/>
      <c r="C162" s="1" t="n"/>
      <c r="D162" s="1" t="n"/>
      <c r="E162" s="181" t="n"/>
      <c r="F162" s="181" t="n"/>
      <c r="G162" s="1" t="n"/>
      <c r="H162" s="1" t="n"/>
      <c r="I162" s="1" t="n"/>
      <c r="J162" s="1" t="n"/>
      <c r="K162" s="181" t="n"/>
      <c r="L162" s="181" t="n"/>
      <c r="M162" s="181" t="n"/>
      <c r="N162" s="1" t="n"/>
      <c r="O162" s="181" t="n"/>
      <c r="P162" s="181" t="n"/>
      <c r="Q162" s="18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row>
    <row r="163" ht="15.75" customHeight="1" s="216">
      <c r="A163" s="1" t="n"/>
      <c r="B163" s="1" t="n"/>
      <c r="C163" s="1" t="n"/>
      <c r="D163" s="1" t="n"/>
      <c r="E163" s="181" t="n"/>
      <c r="F163" s="181" t="n"/>
      <c r="G163" s="1" t="n"/>
      <c r="H163" s="1" t="n"/>
      <c r="I163" s="1" t="n"/>
      <c r="J163" s="1" t="n"/>
      <c r="K163" s="181" t="n"/>
      <c r="L163" s="181" t="n"/>
      <c r="M163" s="181" t="n"/>
      <c r="N163" s="1" t="n"/>
      <c r="O163" s="181" t="n"/>
      <c r="P163" s="181" t="n"/>
      <c r="Q163" s="18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row>
    <row r="164" ht="15.75" customHeight="1" s="216">
      <c r="A164" s="1" t="n"/>
      <c r="B164" s="1" t="n"/>
      <c r="C164" s="1" t="n"/>
      <c r="D164" s="1" t="n"/>
      <c r="E164" s="181" t="n"/>
      <c r="F164" s="181" t="n"/>
      <c r="G164" s="1" t="n"/>
      <c r="H164" s="1" t="n"/>
      <c r="I164" s="1" t="n"/>
      <c r="J164" s="1" t="n"/>
      <c r="K164" s="181" t="n"/>
      <c r="L164" s="181" t="n"/>
      <c r="M164" s="181" t="n"/>
      <c r="N164" s="1" t="n"/>
      <c r="O164" s="181" t="n"/>
      <c r="P164" s="181" t="n"/>
      <c r="Q164" s="18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row>
    <row r="165" ht="15.75" customHeight="1" s="216">
      <c r="A165" s="1" t="n"/>
      <c r="B165" s="1" t="n"/>
      <c r="C165" s="1" t="n"/>
      <c r="D165" s="1" t="n"/>
      <c r="E165" s="181" t="n"/>
      <c r="F165" s="181" t="n"/>
      <c r="G165" s="1" t="n"/>
      <c r="H165" s="1" t="n"/>
      <c r="I165" s="1" t="n"/>
      <c r="J165" s="1" t="n"/>
      <c r="K165" s="181" t="n"/>
      <c r="L165" s="181" t="n"/>
      <c r="M165" s="181" t="n"/>
      <c r="N165" s="1" t="n"/>
      <c r="O165" s="181" t="n"/>
      <c r="P165" s="181" t="n"/>
      <c r="Q165" s="18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row>
    <row r="166" ht="15.75" customHeight="1" s="216">
      <c r="A166" s="1" t="n"/>
      <c r="B166" s="1" t="n"/>
      <c r="C166" s="1" t="n"/>
      <c r="D166" s="1" t="n"/>
      <c r="E166" s="181" t="n"/>
      <c r="F166" s="181" t="n"/>
      <c r="G166" s="1" t="n"/>
      <c r="H166" s="1" t="n"/>
      <c r="I166" s="1" t="n"/>
      <c r="J166" s="1" t="n"/>
      <c r="K166" s="181" t="n"/>
      <c r="L166" s="181" t="n"/>
      <c r="M166" s="181" t="n"/>
      <c r="N166" s="1" t="n"/>
      <c r="O166" s="181" t="n"/>
      <c r="P166" s="181" t="n"/>
      <c r="Q166" s="18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row>
    <row r="167" ht="15.75" customHeight="1" s="216">
      <c r="A167" s="1" t="n"/>
      <c r="B167" s="1" t="n"/>
      <c r="C167" s="1" t="n"/>
      <c r="D167" s="1" t="n"/>
      <c r="E167" s="181" t="n"/>
      <c r="F167" s="181" t="n"/>
      <c r="G167" s="1" t="n"/>
      <c r="H167" s="1" t="n"/>
      <c r="I167" s="1" t="n"/>
      <c r="J167" s="1" t="n"/>
      <c r="K167" s="181" t="n"/>
      <c r="L167" s="181" t="n"/>
      <c r="M167" s="181" t="n"/>
      <c r="N167" s="1" t="n"/>
      <c r="O167" s="181" t="n"/>
      <c r="P167" s="181" t="n"/>
      <c r="Q167" s="18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row>
    <row r="168" ht="15.75" customHeight="1" s="216">
      <c r="A168" s="1" t="n"/>
      <c r="B168" s="1" t="n"/>
      <c r="C168" s="1" t="n"/>
      <c r="D168" s="1" t="n"/>
      <c r="E168" s="181" t="n"/>
      <c r="F168" s="181" t="n"/>
      <c r="G168" s="1" t="n"/>
      <c r="H168" s="1" t="n"/>
      <c r="I168" s="1" t="n"/>
      <c r="J168" s="1" t="n"/>
      <c r="K168" s="181" t="n"/>
      <c r="L168" s="181" t="n"/>
      <c r="M168" s="181" t="n"/>
      <c r="N168" s="1" t="n"/>
      <c r="O168" s="181" t="n"/>
      <c r="P168" s="181" t="n"/>
      <c r="Q168" s="18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row>
    <row r="169" ht="15.75" customHeight="1" s="216">
      <c r="A169" s="1" t="n"/>
      <c r="B169" s="1" t="n"/>
      <c r="C169" s="1" t="n"/>
      <c r="D169" s="1" t="n"/>
      <c r="E169" s="181" t="n"/>
      <c r="F169" s="181" t="n"/>
      <c r="G169" s="1" t="n"/>
      <c r="H169" s="1" t="n"/>
      <c r="I169" s="1" t="n"/>
      <c r="J169" s="1" t="n"/>
      <c r="K169" s="181" t="n"/>
      <c r="L169" s="181" t="n"/>
      <c r="M169" s="181" t="n"/>
      <c r="N169" s="1" t="n"/>
      <c r="O169" s="181" t="n"/>
      <c r="P169" s="181" t="n"/>
      <c r="Q169" s="18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row>
    <row r="170" ht="15.75" customHeight="1" s="216">
      <c r="A170" s="1" t="n"/>
      <c r="B170" s="1" t="n"/>
      <c r="C170" s="1" t="n"/>
      <c r="D170" s="1" t="n"/>
      <c r="E170" s="181" t="n"/>
      <c r="F170" s="181" t="n"/>
      <c r="G170" s="1" t="n"/>
      <c r="H170" s="1" t="n"/>
      <c r="I170" s="1" t="n"/>
      <c r="J170" s="1" t="n"/>
      <c r="K170" s="181" t="n"/>
      <c r="L170" s="181" t="n"/>
      <c r="M170" s="181" t="n"/>
      <c r="N170" s="1" t="n"/>
      <c r="O170" s="181" t="n"/>
      <c r="P170" s="181" t="n"/>
      <c r="Q170" s="18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row>
    <row r="171" ht="15.75" customHeight="1" s="216">
      <c r="A171" s="1" t="n"/>
      <c r="B171" s="1" t="n"/>
      <c r="C171" s="1" t="n"/>
      <c r="D171" s="1" t="n"/>
      <c r="E171" s="181" t="n"/>
      <c r="F171" s="181" t="n"/>
      <c r="G171" s="1" t="n"/>
      <c r="H171" s="1" t="n"/>
      <c r="I171" s="1" t="n"/>
      <c r="J171" s="1" t="n"/>
      <c r="K171" s="181" t="n"/>
      <c r="L171" s="181" t="n"/>
      <c r="M171" s="181" t="n"/>
      <c r="N171" s="1" t="n"/>
      <c r="O171" s="181" t="n"/>
      <c r="P171" s="181" t="n"/>
      <c r="Q171" s="18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row>
    <row r="172" ht="15.75" customHeight="1" s="216">
      <c r="A172" s="1" t="n"/>
      <c r="B172" s="1" t="n"/>
      <c r="C172" s="1" t="n"/>
      <c r="D172" s="1" t="n"/>
      <c r="E172" s="181" t="n"/>
      <c r="F172" s="181" t="n"/>
      <c r="G172" s="1" t="n"/>
      <c r="H172" s="1" t="n"/>
      <c r="I172" s="1" t="n"/>
      <c r="J172" s="1" t="n"/>
      <c r="K172" s="181" t="n"/>
      <c r="L172" s="181" t="n"/>
      <c r="M172" s="181" t="n"/>
      <c r="N172" s="1" t="n"/>
      <c r="O172" s="181" t="n"/>
      <c r="P172" s="181" t="n"/>
      <c r="Q172" s="18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row>
    <row r="173" ht="15.75" customHeight="1" s="216">
      <c r="A173" s="1" t="n"/>
      <c r="B173" s="1" t="n"/>
      <c r="C173" s="1" t="n"/>
      <c r="D173" s="1" t="n"/>
      <c r="E173" s="181" t="n"/>
      <c r="F173" s="181" t="n"/>
      <c r="G173" s="1" t="n"/>
      <c r="H173" s="1" t="n"/>
      <c r="I173" s="1" t="n"/>
      <c r="J173" s="1" t="n"/>
      <c r="K173" s="181" t="n"/>
      <c r="L173" s="181" t="n"/>
      <c r="M173" s="181" t="n"/>
      <c r="N173" s="1" t="n"/>
      <c r="O173" s="181" t="n"/>
      <c r="P173" s="181" t="n"/>
      <c r="Q173" s="18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row>
    <row r="174" ht="15.75" customHeight="1" s="216">
      <c r="A174" s="1" t="n"/>
      <c r="B174" s="1" t="n"/>
      <c r="C174" s="1" t="n"/>
      <c r="D174" s="1" t="n"/>
      <c r="E174" s="181" t="n"/>
      <c r="F174" s="181" t="n"/>
      <c r="G174" s="1" t="n"/>
      <c r="H174" s="1" t="n"/>
      <c r="I174" s="1" t="n"/>
      <c r="J174" s="1" t="n"/>
      <c r="K174" s="181" t="n"/>
      <c r="L174" s="181" t="n"/>
      <c r="M174" s="181" t="n"/>
      <c r="N174" s="1" t="n"/>
      <c r="O174" s="181" t="n"/>
      <c r="P174" s="181" t="n"/>
      <c r="Q174" s="18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row>
    <row r="175" ht="15.75" customHeight="1" s="216">
      <c r="A175" s="1" t="n"/>
      <c r="B175" s="1" t="n"/>
      <c r="C175" s="1" t="n"/>
      <c r="D175" s="1" t="n"/>
      <c r="E175" s="181" t="n"/>
      <c r="F175" s="181" t="n"/>
      <c r="G175" s="1" t="n"/>
      <c r="H175" s="1" t="n"/>
      <c r="I175" s="1" t="n"/>
      <c r="J175" s="1" t="n"/>
      <c r="K175" s="181" t="n"/>
      <c r="L175" s="181" t="n"/>
      <c r="M175" s="181" t="n"/>
      <c r="N175" s="1" t="n"/>
      <c r="O175" s="181" t="n"/>
      <c r="P175" s="181" t="n"/>
      <c r="Q175" s="18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row>
    <row r="176" ht="15.75" customHeight="1" s="216">
      <c r="A176" s="1" t="n"/>
      <c r="B176" s="1" t="n"/>
      <c r="C176" s="1" t="n"/>
      <c r="D176" s="1" t="n"/>
      <c r="E176" s="181" t="n"/>
      <c r="F176" s="181" t="n"/>
      <c r="G176" s="1" t="n"/>
      <c r="H176" s="1" t="n"/>
      <c r="I176" s="1" t="n"/>
      <c r="J176" s="1" t="n"/>
      <c r="K176" s="181" t="n"/>
      <c r="L176" s="181" t="n"/>
      <c r="M176" s="181" t="n"/>
      <c r="N176" s="1" t="n"/>
      <c r="O176" s="181" t="n"/>
      <c r="P176" s="181" t="n"/>
      <c r="Q176" s="18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row>
    <row r="177" ht="15.75" customHeight="1" s="216">
      <c r="A177" s="1" t="n"/>
      <c r="B177" s="1" t="n"/>
      <c r="C177" s="1" t="n"/>
      <c r="D177" s="1" t="n"/>
      <c r="E177" s="181" t="n"/>
      <c r="F177" s="181" t="n"/>
      <c r="G177" s="1" t="n"/>
      <c r="H177" s="1" t="n"/>
      <c r="I177" s="1" t="n"/>
      <c r="J177" s="1" t="n"/>
      <c r="K177" s="181" t="n"/>
      <c r="L177" s="181" t="n"/>
      <c r="M177" s="181" t="n"/>
      <c r="N177" s="1" t="n"/>
      <c r="O177" s="181" t="n"/>
      <c r="P177" s="181" t="n"/>
      <c r="Q177" s="18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row>
    <row r="178" ht="15.75" customHeight="1" s="216">
      <c r="A178" s="1" t="n"/>
      <c r="B178" s="1" t="n"/>
      <c r="C178" s="1" t="n"/>
      <c r="D178" s="1" t="n"/>
      <c r="E178" s="181" t="n"/>
      <c r="F178" s="181" t="n"/>
      <c r="G178" s="1" t="n"/>
      <c r="H178" s="1" t="n"/>
      <c r="I178" s="1" t="n"/>
      <c r="J178" s="1" t="n"/>
      <c r="K178" s="181" t="n"/>
      <c r="L178" s="181" t="n"/>
      <c r="M178" s="181" t="n"/>
      <c r="N178" s="1" t="n"/>
      <c r="O178" s="181" t="n"/>
      <c r="P178" s="181" t="n"/>
      <c r="Q178" s="18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row>
    <row r="179" ht="15.75" customHeight="1" s="216">
      <c r="A179" s="1" t="n"/>
      <c r="B179" s="1" t="n"/>
      <c r="C179" s="1" t="n"/>
      <c r="D179" s="1" t="n"/>
      <c r="E179" s="181" t="n"/>
      <c r="F179" s="181" t="n"/>
      <c r="G179" s="1" t="n"/>
      <c r="H179" s="1" t="n"/>
      <c r="I179" s="1" t="n"/>
      <c r="J179" s="1" t="n"/>
      <c r="K179" s="181" t="n"/>
      <c r="L179" s="181" t="n"/>
      <c r="M179" s="181" t="n"/>
      <c r="N179" s="1" t="n"/>
      <c r="O179" s="181" t="n"/>
      <c r="P179" s="181" t="n"/>
      <c r="Q179" s="18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row>
    <row r="180" ht="15.75" customHeight="1" s="216">
      <c r="A180" s="1" t="n"/>
      <c r="B180" s="1" t="n"/>
      <c r="C180" s="1" t="n"/>
      <c r="D180" s="1" t="n"/>
      <c r="E180" s="181" t="n"/>
      <c r="F180" s="181" t="n"/>
      <c r="G180" s="1" t="n"/>
      <c r="H180" s="1" t="n"/>
      <c r="I180" s="1" t="n"/>
      <c r="J180" s="1" t="n"/>
      <c r="K180" s="181" t="n"/>
      <c r="L180" s="181" t="n"/>
      <c r="M180" s="181" t="n"/>
      <c r="N180" s="1" t="n"/>
      <c r="O180" s="181" t="n"/>
      <c r="P180" s="181" t="n"/>
      <c r="Q180" s="18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row>
    <row r="181" ht="15.75" customHeight="1" s="216">
      <c r="A181" s="1" t="n"/>
      <c r="B181" s="1" t="n"/>
      <c r="C181" s="1" t="n"/>
      <c r="D181" s="1" t="n"/>
      <c r="E181" s="181" t="n"/>
      <c r="F181" s="181" t="n"/>
      <c r="G181" s="1" t="n"/>
      <c r="H181" s="1" t="n"/>
      <c r="I181" s="1" t="n"/>
      <c r="J181" s="1" t="n"/>
      <c r="K181" s="181" t="n"/>
      <c r="L181" s="181" t="n"/>
      <c r="M181" s="181" t="n"/>
      <c r="N181" s="1" t="n"/>
      <c r="O181" s="181" t="n"/>
      <c r="P181" s="181" t="n"/>
      <c r="Q181" s="18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row>
    <row r="182" ht="15.75" customHeight="1" s="216">
      <c r="A182" s="1" t="n"/>
      <c r="B182" s="1" t="n"/>
      <c r="C182" s="1" t="n"/>
      <c r="D182" s="1" t="n"/>
      <c r="E182" s="181" t="n"/>
      <c r="F182" s="181" t="n"/>
      <c r="G182" s="1" t="n"/>
      <c r="H182" s="1" t="n"/>
      <c r="I182" s="1" t="n"/>
      <c r="J182" s="1" t="n"/>
      <c r="K182" s="181" t="n"/>
      <c r="L182" s="181" t="n"/>
      <c r="M182" s="181" t="n"/>
      <c r="N182" s="1" t="n"/>
      <c r="O182" s="181" t="n"/>
      <c r="P182" s="181" t="n"/>
      <c r="Q182" s="18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row>
    <row r="183" ht="15.75" customHeight="1" s="216">
      <c r="A183" s="1" t="n"/>
      <c r="B183" s="1" t="n"/>
      <c r="C183" s="1" t="n"/>
      <c r="D183" s="1" t="n"/>
      <c r="E183" s="181" t="n"/>
      <c r="F183" s="181" t="n"/>
      <c r="G183" s="1" t="n"/>
      <c r="H183" s="1" t="n"/>
      <c r="I183" s="1" t="n"/>
      <c r="J183" s="1" t="n"/>
      <c r="K183" s="181" t="n"/>
      <c r="L183" s="181" t="n"/>
      <c r="M183" s="181" t="n"/>
      <c r="N183" s="1" t="n"/>
      <c r="O183" s="181" t="n"/>
      <c r="P183" s="181" t="n"/>
      <c r="Q183" s="18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row>
    <row r="184" ht="15.75" customHeight="1" s="216">
      <c r="A184" s="1" t="n"/>
      <c r="B184" s="1" t="n"/>
      <c r="C184" s="1" t="n"/>
      <c r="D184" s="1" t="n"/>
      <c r="E184" s="181" t="n"/>
      <c r="F184" s="181" t="n"/>
      <c r="G184" s="1" t="n"/>
      <c r="H184" s="1" t="n"/>
      <c r="I184" s="1" t="n"/>
      <c r="J184" s="1" t="n"/>
      <c r="K184" s="181" t="n"/>
      <c r="L184" s="181" t="n"/>
      <c r="M184" s="181" t="n"/>
      <c r="N184" s="1" t="n"/>
      <c r="O184" s="181" t="n"/>
      <c r="P184" s="181" t="n"/>
      <c r="Q184" s="18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row>
    <row r="185" ht="15.75" customHeight="1" s="216">
      <c r="A185" s="1" t="n"/>
      <c r="B185" s="1" t="n"/>
      <c r="C185" s="1" t="n"/>
      <c r="D185" s="1" t="n"/>
      <c r="E185" s="181" t="n"/>
      <c r="F185" s="181" t="n"/>
      <c r="G185" s="1" t="n"/>
      <c r="H185" s="1" t="n"/>
      <c r="I185" s="1" t="n"/>
      <c r="J185" s="1" t="n"/>
      <c r="K185" s="181" t="n"/>
      <c r="L185" s="181" t="n"/>
      <c r="M185" s="181" t="n"/>
      <c r="N185" s="1" t="n"/>
      <c r="O185" s="181" t="n"/>
      <c r="P185" s="181" t="n"/>
      <c r="Q185" s="18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row>
    <row r="186" ht="15.75" customHeight="1" s="216">
      <c r="A186" s="1" t="n"/>
      <c r="B186" s="1" t="n"/>
      <c r="C186" s="1" t="n"/>
      <c r="D186" s="1" t="n"/>
      <c r="E186" s="181" t="n"/>
      <c r="F186" s="181" t="n"/>
      <c r="G186" s="1" t="n"/>
      <c r="H186" s="1" t="n"/>
      <c r="I186" s="1" t="n"/>
      <c r="J186" s="1" t="n"/>
      <c r="K186" s="181" t="n"/>
      <c r="L186" s="181" t="n"/>
      <c r="M186" s="181" t="n"/>
      <c r="N186" s="1" t="n"/>
      <c r="O186" s="181" t="n"/>
      <c r="P186" s="181" t="n"/>
      <c r="Q186" s="18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row>
    <row r="187" ht="15.75" customHeight="1" s="216">
      <c r="A187" s="1" t="n"/>
      <c r="B187" s="1" t="n"/>
      <c r="C187" s="1" t="n"/>
      <c r="D187" s="1" t="n"/>
      <c r="E187" s="181" t="n"/>
      <c r="F187" s="181" t="n"/>
      <c r="G187" s="1" t="n"/>
      <c r="H187" s="1" t="n"/>
      <c r="I187" s="1" t="n"/>
      <c r="J187" s="1" t="n"/>
      <c r="K187" s="181" t="n"/>
      <c r="L187" s="181" t="n"/>
      <c r="M187" s="181" t="n"/>
      <c r="N187" s="1" t="n"/>
      <c r="O187" s="181" t="n"/>
      <c r="P187" s="181" t="n"/>
      <c r="Q187" s="18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row>
    <row r="188" ht="15.75" customHeight="1" s="216">
      <c r="A188" s="1" t="n"/>
      <c r="B188" s="1" t="n"/>
      <c r="C188" s="1" t="n"/>
      <c r="D188" s="1" t="n"/>
      <c r="E188" s="181" t="n"/>
      <c r="F188" s="181" t="n"/>
      <c r="G188" s="1" t="n"/>
      <c r="H188" s="1" t="n"/>
      <c r="I188" s="1" t="n"/>
      <c r="J188" s="1" t="n"/>
      <c r="K188" s="181" t="n"/>
      <c r="L188" s="181" t="n"/>
      <c r="M188" s="181" t="n"/>
      <c r="N188" s="1" t="n"/>
      <c r="O188" s="181" t="n"/>
      <c r="P188" s="181" t="n"/>
      <c r="Q188" s="18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row>
    <row r="189" ht="15.75" customHeight="1" s="216">
      <c r="A189" s="1" t="n"/>
      <c r="B189" s="1" t="n"/>
      <c r="C189" s="1" t="n"/>
      <c r="D189" s="1" t="n"/>
      <c r="E189" s="181" t="n"/>
      <c r="F189" s="181" t="n"/>
      <c r="G189" s="1" t="n"/>
      <c r="H189" s="1" t="n"/>
      <c r="I189" s="1" t="n"/>
      <c r="J189" s="1" t="n"/>
      <c r="K189" s="181" t="n"/>
      <c r="L189" s="181" t="n"/>
      <c r="M189" s="181" t="n"/>
      <c r="N189" s="1" t="n"/>
      <c r="O189" s="181" t="n"/>
      <c r="P189" s="181" t="n"/>
      <c r="Q189" s="18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row>
    <row r="190" ht="15.75" customHeight="1" s="216">
      <c r="A190" s="1" t="n"/>
      <c r="B190" s="1" t="n"/>
      <c r="C190" s="1" t="n"/>
      <c r="D190" s="1" t="n"/>
      <c r="E190" s="181" t="n"/>
      <c r="F190" s="181" t="n"/>
      <c r="G190" s="1" t="n"/>
      <c r="H190" s="1" t="n"/>
      <c r="I190" s="1" t="n"/>
      <c r="J190" s="1" t="n"/>
      <c r="K190" s="181" t="n"/>
      <c r="L190" s="181" t="n"/>
      <c r="M190" s="181" t="n"/>
      <c r="N190" s="1" t="n"/>
      <c r="O190" s="181" t="n"/>
      <c r="P190" s="181" t="n"/>
      <c r="Q190" s="18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row>
    <row r="191" ht="15.75" customHeight="1" s="216">
      <c r="A191" s="1" t="n"/>
      <c r="B191" s="1" t="n"/>
      <c r="C191" s="1" t="n"/>
      <c r="D191" s="1" t="n"/>
      <c r="E191" s="181" t="n"/>
      <c r="F191" s="181" t="n"/>
      <c r="G191" s="1" t="n"/>
      <c r="H191" s="1" t="n"/>
      <c r="I191" s="1" t="n"/>
      <c r="J191" s="1" t="n"/>
      <c r="K191" s="181" t="n"/>
      <c r="L191" s="181" t="n"/>
      <c r="M191" s="181" t="n"/>
      <c r="N191" s="1" t="n"/>
      <c r="O191" s="181" t="n"/>
      <c r="P191" s="181" t="n"/>
      <c r="Q191" s="18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row>
    <row r="192" ht="15.75" customHeight="1" s="216">
      <c r="A192" s="1" t="n"/>
      <c r="B192" s="1" t="n"/>
      <c r="C192" s="1" t="n"/>
      <c r="D192" s="1" t="n"/>
      <c r="E192" s="181" t="n"/>
      <c r="F192" s="181" t="n"/>
      <c r="G192" s="1" t="n"/>
      <c r="H192" s="1" t="n"/>
      <c r="I192" s="1" t="n"/>
      <c r="J192" s="1" t="n"/>
      <c r="K192" s="181" t="n"/>
      <c r="L192" s="181" t="n"/>
      <c r="M192" s="181" t="n"/>
      <c r="N192" s="1" t="n"/>
      <c r="O192" s="181" t="n"/>
      <c r="P192" s="181" t="n"/>
      <c r="Q192" s="18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row>
    <row r="193" ht="15.75" customHeight="1" s="216">
      <c r="A193" s="1" t="n"/>
      <c r="B193" s="1" t="n"/>
      <c r="C193" s="1" t="n"/>
      <c r="D193" s="1" t="n"/>
      <c r="E193" s="181" t="n"/>
      <c r="F193" s="181" t="n"/>
      <c r="G193" s="1" t="n"/>
      <c r="H193" s="1" t="n"/>
      <c r="I193" s="1" t="n"/>
      <c r="J193" s="1" t="n"/>
      <c r="K193" s="181" t="n"/>
      <c r="L193" s="181" t="n"/>
      <c r="M193" s="181" t="n"/>
      <c r="N193" s="1" t="n"/>
      <c r="O193" s="181" t="n"/>
      <c r="P193" s="181" t="n"/>
      <c r="Q193" s="18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row>
    <row r="194" ht="15.75" customHeight="1" s="216">
      <c r="A194" s="1" t="n"/>
      <c r="B194" s="1" t="n"/>
      <c r="C194" s="1" t="n"/>
      <c r="D194" s="1" t="n"/>
      <c r="E194" s="181" t="n"/>
      <c r="F194" s="181" t="n"/>
      <c r="G194" s="1" t="n"/>
      <c r="H194" s="1" t="n"/>
      <c r="I194" s="1" t="n"/>
      <c r="J194" s="1" t="n"/>
      <c r="K194" s="181" t="n"/>
      <c r="L194" s="181" t="n"/>
      <c r="M194" s="181" t="n"/>
      <c r="N194" s="1" t="n"/>
      <c r="O194" s="181" t="n"/>
      <c r="P194" s="181" t="n"/>
      <c r="Q194" s="18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row>
    <row r="195" ht="15.75" customHeight="1" s="216">
      <c r="A195" s="1" t="n"/>
      <c r="B195" s="1" t="n"/>
      <c r="C195" s="1" t="n"/>
      <c r="D195" s="1" t="n"/>
      <c r="E195" s="181" t="n"/>
      <c r="F195" s="181" t="n"/>
      <c r="G195" s="1" t="n"/>
      <c r="H195" s="1" t="n"/>
      <c r="I195" s="1" t="n"/>
      <c r="J195" s="1" t="n"/>
      <c r="K195" s="181" t="n"/>
      <c r="L195" s="181" t="n"/>
      <c r="M195" s="181" t="n"/>
      <c r="N195" s="1" t="n"/>
      <c r="O195" s="181" t="n"/>
      <c r="P195" s="181" t="n"/>
      <c r="Q195" s="18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row>
    <row r="196" ht="15.75" customHeight="1" s="216">
      <c r="A196" s="1" t="n"/>
      <c r="B196" s="1" t="n"/>
      <c r="C196" s="1" t="n"/>
      <c r="D196" s="1" t="n"/>
      <c r="E196" s="181" t="n"/>
      <c r="F196" s="181" t="n"/>
      <c r="G196" s="1" t="n"/>
      <c r="H196" s="1" t="n"/>
      <c r="I196" s="1" t="n"/>
      <c r="J196" s="1" t="n"/>
      <c r="K196" s="181" t="n"/>
      <c r="L196" s="181" t="n"/>
      <c r="M196" s="181" t="n"/>
      <c r="N196" s="1" t="n"/>
      <c r="O196" s="181" t="n"/>
      <c r="P196" s="181" t="n"/>
      <c r="Q196" s="18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row>
    <row r="197" ht="15.75" customHeight="1" s="216">
      <c r="A197" s="1" t="n"/>
      <c r="B197" s="1" t="n"/>
      <c r="C197" s="1" t="n"/>
      <c r="D197" s="1" t="n"/>
      <c r="E197" s="181" t="n"/>
      <c r="F197" s="181" t="n"/>
      <c r="G197" s="1" t="n"/>
      <c r="H197" s="1" t="n"/>
      <c r="I197" s="1" t="n"/>
      <c r="J197" s="1" t="n"/>
      <c r="K197" s="181" t="n"/>
      <c r="L197" s="181" t="n"/>
      <c r="M197" s="181" t="n"/>
      <c r="N197" s="1" t="n"/>
      <c r="O197" s="181" t="n"/>
      <c r="P197" s="181" t="n"/>
      <c r="Q197" s="18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row>
    <row r="198" ht="15.75" customHeight="1" s="216">
      <c r="A198" s="1" t="n"/>
      <c r="B198" s="1" t="n"/>
      <c r="C198" s="1" t="n"/>
      <c r="D198" s="1" t="n"/>
      <c r="E198" s="181" t="n"/>
      <c r="F198" s="181" t="n"/>
      <c r="G198" s="1" t="n"/>
      <c r="H198" s="1" t="n"/>
      <c r="I198" s="1" t="n"/>
      <c r="J198" s="1" t="n"/>
      <c r="K198" s="181" t="n"/>
      <c r="L198" s="181" t="n"/>
      <c r="M198" s="181" t="n"/>
      <c r="N198" s="1" t="n"/>
      <c r="O198" s="181" t="n"/>
      <c r="P198" s="181" t="n"/>
      <c r="Q198" s="18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row>
    <row r="199" ht="15.75" customHeight="1" s="216">
      <c r="A199" s="1" t="n"/>
      <c r="B199" s="1" t="n"/>
      <c r="C199" s="1" t="n"/>
      <c r="D199" s="1" t="n"/>
      <c r="E199" s="181" t="n"/>
      <c r="F199" s="181" t="n"/>
      <c r="G199" s="1" t="n"/>
      <c r="H199" s="1" t="n"/>
      <c r="I199" s="1" t="n"/>
      <c r="J199" s="1" t="n"/>
      <c r="K199" s="181" t="n"/>
      <c r="L199" s="181" t="n"/>
      <c r="M199" s="181" t="n"/>
      <c r="N199" s="1" t="n"/>
      <c r="O199" s="181" t="n"/>
      <c r="P199" s="181" t="n"/>
      <c r="Q199" s="18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row>
    <row r="200" ht="15.75" customHeight="1" s="216">
      <c r="A200" s="1" t="n"/>
      <c r="B200" s="1" t="n"/>
      <c r="C200" s="1" t="n"/>
      <c r="D200" s="1" t="n"/>
      <c r="E200" s="181" t="n"/>
      <c r="F200" s="181" t="n"/>
      <c r="G200" s="1" t="n"/>
      <c r="H200" s="1" t="n"/>
      <c r="I200" s="1" t="n"/>
      <c r="J200" s="1" t="n"/>
      <c r="K200" s="181" t="n"/>
      <c r="L200" s="181" t="n"/>
      <c r="M200" s="181" t="n"/>
      <c r="N200" s="1" t="n"/>
      <c r="O200" s="181" t="n"/>
      <c r="P200" s="181" t="n"/>
      <c r="Q200" s="18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row>
    <row r="201" ht="15.75" customHeight="1" s="216">
      <c r="A201" s="1" t="n"/>
      <c r="B201" s="1" t="n"/>
      <c r="C201" s="1" t="n"/>
      <c r="D201" s="1" t="n"/>
      <c r="E201" s="181" t="n"/>
      <c r="F201" s="181" t="n"/>
      <c r="G201" s="1" t="n"/>
      <c r="H201" s="1" t="n"/>
      <c r="I201" s="1" t="n"/>
      <c r="J201" s="1" t="n"/>
      <c r="K201" s="181" t="n"/>
      <c r="L201" s="181" t="n"/>
      <c r="M201" s="181" t="n"/>
      <c r="N201" s="1" t="n"/>
      <c r="O201" s="181" t="n"/>
      <c r="P201" s="181" t="n"/>
      <c r="Q201" s="18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row>
    <row r="202" ht="15.75" customHeight="1" s="216">
      <c r="A202" s="1" t="n"/>
      <c r="B202" s="1" t="n"/>
      <c r="C202" s="1" t="n"/>
      <c r="D202" s="1" t="n"/>
      <c r="E202" s="181" t="n"/>
      <c r="F202" s="181" t="n"/>
      <c r="G202" s="1" t="n"/>
      <c r="H202" s="1" t="n"/>
      <c r="I202" s="1" t="n"/>
      <c r="J202" s="1" t="n"/>
      <c r="K202" s="181" t="n"/>
      <c r="L202" s="181" t="n"/>
      <c r="M202" s="181" t="n"/>
      <c r="N202" s="1" t="n"/>
      <c r="O202" s="181" t="n"/>
      <c r="P202" s="181" t="n"/>
      <c r="Q202" s="18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row>
    <row r="203" ht="15.75" customHeight="1" s="216">
      <c r="A203" s="1" t="n"/>
      <c r="B203" s="1" t="n"/>
      <c r="C203" s="1" t="n"/>
      <c r="D203" s="1" t="n"/>
      <c r="E203" s="181" t="n"/>
      <c r="F203" s="181" t="n"/>
      <c r="G203" s="1" t="n"/>
      <c r="H203" s="1" t="n"/>
      <c r="I203" s="1" t="n"/>
      <c r="J203" s="1" t="n"/>
      <c r="K203" s="181" t="n"/>
      <c r="L203" s="181" t="n"/>
      <c r="M203" s="181" t="n"/>
      <c r="N203" s="1" t="n"/>
      <c r="O203" s="181" t="n"/>
      <c r="P203" s="181" t="n"/>
      <c r="Q203" s="18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row>
    <row r="204" ht="15.75" customHeight="1" s="216">
      <c r="A204" s="1" t="n"/>
      <c r="B204" s="1" t="n"/>
      <c r="C204" s="1" t="n"/>
      <c r="D204" s="1" t="n"/>
      <c r="E204" s="181" t="n"/>
      <c r="F204" s="181" t="n"/>
      <c r="G204" s="1" t="n"/>
      <c r="H204" s="1" t="n"/>
      <c r="I204" s="1" t="n"/>
      <c r="J204" s="1" t="n"/>
      <c r="K204" s="181" t="n"/>
      <c r="L204" s="181" t="n"/>
      <c r="M204" s="181" t="n"/>
      <c r="N204" s="1" t="n"/>
      <c r="O204" s="181" t="n"/>
      <c r="P204" s="181" t="n"/>
      <c r="Q204" s="18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row>
    <row r="205" ht="15.75" customHeight="1" s="216">
      <c r="A205" s="1" t="n"/>
      <c r="B205" s="1" t="n"/>
      <c r="C205" s="1" t="n"/>
      <c r="D205" s="1" t="n"/>
      <c r="E205" s="181" t="n"/>
      <c r="F205" s="181" t="n"/>
      <c r="G205" s="1" t="n"/>
      <c r="H205" s="1" t="n"/>
      <c r="I205" s="1" t="n"/>
      <c r="J205" s="1" t="n"/>
      <c r="K205" s="181" t="n"/>
      <c r="L205" s="181" t="n"/>
      <c r="M205" s="181" t="n"/>
      <c r="N205" s="1" t="n"/>
      <c r="O205" s="181" t="n"/>
      <c r="P205" s="181" t="n"/>
      <c r="Q205" s="18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row>
    <row r="206" ht="15.75" customHeight="1" s="216">
      <c r="A206" s="1" t="n"/>
      <c r="B206" s="1" t="n"/>
      <c r="C206" s="1" t="n"/>
      <c r="D206" s="1" t="n"/>
      <c r="E206" s="181" t="n"/>
      <c r="F206" s="181" t="n"/>
      <c r="G206" s="1" t="n"/>
      <c r="H206" s="1" t="n"/>
      <c r="I206" s="1" t="n"/>
      <c r="J206" s="1" t="n"/>
      <c r="K206" s="181" t="n"/>
      <c r="L206" s="181" t="n"/>
      <c r="M206" s="181" t="n"/>
      <c r="N206" s="1" t="n"/>
      <c r="O206" s="181" t="n"/>
      <c r="P206" s="181" t="n"/>
      <c r="Q206" s="18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row>
    <row r="207" ht="15.75" customHeight="1" s="216">
      <c r="A207" s="1" t="n"/>
      <c r="B207" s="1" t="n"/>
      <c r="C207" s="1" t="n"/>
      <c r="D207" s="1" t="n"/>
      <c r="E207" s="181" t="n"/>
      <c r="F207" s="181" t="n"/>
      <c r="G207" s="1" t="n"/>
      <c r="H207" s="1" t="n"/>
      <c r="I207" s="1" t="n"/>
      <c r="J207" s="1" t="n"/>
      <c r="K207" s="181" t="n"/>
      <c r="L207" s="181" t="n"/>
      <c r="M207" s="181" t="n"/>
      <c r="N207" s="1" t="n"/>
      <c r="O207" s="181" t="n"/>
      <c r="P207" s="181" t="n"/>
      <c r="Q207" s="18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row>
    <row r="208" ht="15.75" customHeight="1" s="216">
      <c r="A208" s="1" t="n"/>
      <c r="B208" s="1" t="n"/>
      <c r="C208" s="1" t="n"/>
      <c r="D208" s="1" t="n"/>
      <c r="E208" s="181" t="n"/>
      <c r="F208" s="181" t="n"/>
      <c r="G208" s="1" t="n"/>
      <c r="H208" s="1" t="n"/>
      <c r="I208" s="1" t="n"/>
      <c r="J208" s="1" t="n"/>
      <c r="K208" s="181" t="n"/>
      <c r="L208" s="181" t="n"/>
      <c r="M208" s="181" t="n"/>
      <c r="N208" s="1" t="n"/>
      <c r="O208" s="181" t="n"/>
      <c r="P208" s="181" t="n"/>
      <c r="Q208" s="18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row>
    <row r="209" ht="15.75" customHeight="1" s="216">
      <c r="A209" s="1" t="n"/>
      <c r="B209" s="1" t="n"/>
      <c r="C209" s="1" t="n"/>
      <c r="D209" s="1" t="n"/>
      <c r="E209" s="181" t="n"/>
      <c r="F209" s="181" t="n"/>
      <c r="G209" s="1" t="n"/>
      <c r="H209" s="1" t="n"/>
      <c r="I209" s="1" t="n"/>
      <c r="J209" s="1" t="n"/>
      <c r="K209" s="181" t="n"/>
      <c r="L209" s="181" t="n"/>
      <c r="M209" s="181" t="n"/>
      <c r="N209" s="1" t="n"/>
      <c r="O209" s="181" t="n"/>
      <c r="P209" s="181" t="n"/>
      <c r="Q209" s="18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row>
    <row r="210" ht="15.75" customHeight="1" s="216">
      <c r="A210" s="1" t="n"/>
      <c r="B210" s="1" t="n"/>
      <c r="C210" s="1" t="n"/>
      <c r="D210" s="1" t="n"/>
      <c r="E210" s="181" t="n"/>
      <c r="F210" s="181" t="n"/>
      <c r="G210" s="1" t="n"/>
      <c r="H210" s="1" t="n"/>
      <c r="I210" s="1" t="n"/>
      <c r="J210" s="1" t="n"/>
      <c r="K210" s="181" t="n"/>
      <c r="L210" s="181" t="n"/>
      <c r="M210" s="181" t="n"/>
      <c r="N210" s="1" t="n"/>
      <c r="O210" s="181" t="n"/>
      <c r="P210" s="181" t="n"/>
      <c r="Q210" s="18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row>
    <row r="211" ht="15.75" customHeight="1" s="216">
      <c r="A211" s="1" t="n"/>
      <c r="B211" s="1" t="n"/>
      <c r="C211" s="1" t="n"/>
      <c r="D211" s="1" t="n"/>
      <c r="E211" s="181" t="n"/>
      <c r="F211" s="181" t="n"/>
      <c r="G211" s="1" t="n"/>
      <c r="H211" s="1" t="n"/>
      <c r="I211" s="1" t="n"/>
      <c r="J211" s="1" t="n"/>
      <c r="K211" s="181" t="n"/>
      <c r="L211" s="181" t="n"/>
      <c r="M211" s="181" t="n"/>
      <c r="N211" s="1" t="n"/>
      <c r="O211" s="181" t="n"/>
      <c r="P211" s="181" t="n"/>
      <c r="Q211" s="18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row>
    <row r="212" ht="15.75" customHeight="1" s="216">
      <c r="A212" s="1" t="n"/>
      <c r="B212" s="1" t="n"/>
      <c r="C212" s="1" t="n"/>
      <c r="D212" s="1" t="n"/>
      <c r="E212" s="181" t="n"/>
      <c r="F212" s="181" t="n"/>
      <c r="G212" s="1" t="n"/>
      <c r="H212" s="1" t="n"/>
      <c r="I212" s="1" t="n"/>
      <c r="J212" s="1" t="n"/>
      <c r="K212" s="181" t="n"/>
      <c r="L212" s="181" t="n"/>
      <c r="M212" s="181" t="n"/>
      <c r="N212" s="1" t="n"/>
      <c r="O212" s="181" t="n"/>
      <c r="P212" s="181" t="n"/>
      <c r="Q212" s="18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row>
    <row r="213" ht="15.75" customHeight="1" s="216">
      <c r="A213" s="1" t="n"/>
      <c r="B213" s="1" t="n"/>
      <c r="C213" s="1" t="n"/>
      <c r="D213" s="1" t="n"/>
      <c r="E213" s="181" t="n"/>
      <c r="F213" s="181" t="n"/>
      <c r="G213" s="1" t="n"/>
      <c r="H213" s="1" t="n"/>
      <c r="I213" s="1" t="n"/>
      <c r="J213" s="1" t="n"/>
      <c r="K213" s="181" t="n"/>
      <c r="L213" s="181" t="n"/>
      <c r="M213" s="181" t="n"/>
      <c r="N213" s="1" t="n"/>
      <c r="O213" s="181" t="n"/>
      <c r="P213" s="181" t="n"/>
      <c r="Q213" s="18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row>
    <row r="214" ht="15.75" customHeight="1" s="216">
      <c r="A214" s="1" t="n"/>
      <c r="B214" s="1" t="n"/>
      <c r="C214" s="1" t="n"/>
      <c r="D214" s="1" t="n"/>
      <c r="E214" s="181" t="n"/>
      <c r="F214" s="181" t="n"/>
      <c r="G214" s="1" t="n"/>
      <c r="H214" s="1" t="n"/>
      <c r="I214" s="1" t="n"/>
      <c r="J214" s="1" t="n"/>
      <c r="K214" s="181" t="n"/>
      <c r="L214" s="181" t="n"/>
      <c r="M214" s="181" t="n"/>
      <c r="N214" s="1" t="n"/>
      <c r="O214" s="181" t="n"/>
      <c r="P214" s="181" t="n"/>
      <c r="Q214" s="18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row>
    <row r="215" ht="15.75" customHeight="1" s="216">
      <c r="A215" s="1" t="n"/>
      <c r="B215" s="1" t="n"/>
      <c r="C215" s="1" t="n"/>
      <c r="D215" s="1" t="n"/>
      <c r="E215" s="181" t="n"/>
      <c r="F215" s="181" t="n"/>
      <c r="G215" s="1" t="n"/>
      <c r="H215" s="1" t="n"/>
      <c r="I215" s="1" t="n"/>
      <c r="J215" s="1" t="n"/>
      <c r="K215" s="181" t="n"/>
      <c r="L215" s="181" t="n"/>
      <c r="M215" s="181" t="n"/>
      <c r="N215" s="1" t="n"/>
      <c r="O215" s="181" t="n"/>
      <c r="P215" s="181" t="n"/>
      <c r="Q215" s="18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row>
    <row r="216" ht="15.75" customHeight="1" s="216">
      <c r="A216" s="1" t="n"/>
      <c r="B216" s="1" t="n"/>
      <c r="C216" s="1" t="n"/>
      <c r="D216" s="1" t="n"/>
      <c r="E216" s="181" t="n"/>
      <c r="F216" s="181" t="n"/>
      <c r="G216" s="1" t="n"/>
      <c r="H216" s="1" t="n"/>
      <c r="I216" s="1" t="n"/>
      <c r="J216" s="1" t="n"/>
      <c r="K216" s="181" t="n"/>
      <c r="L216" s="181" t="n"/>
      <c r="M216" s="181" t="n"/>
      <c r="N216" s="1" t="n"/>
      <c r="O216" s="181" t="n"/>
      <c r="P216" s="181" t="n"/>
      <c r="Q216" s="18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row>
    <row r="217" ht="15.75" customHeight="1" s="216">
      <c r="A217" s="1" t="n"/>
      <c r="B217" s="1" t="n"/>
      <c r="C217" s="1" t="n"/>
      <c r="D217" s="1" t="n"/>
      <c r="E217" s="181" t="n"/>
      <c r="F217" s="181" t="n"/>
      <c r="G217" s="1" t="n"/>
      <c r="H217" s="1" t="n"/>
      <c r="I217" s="1" t="n"/>
      <c r="J217" s="1" t="n"/>
      <c r="K217" s="181" t="n"/>
      <c r="L217" s="181" t="n"/>
      <c r="M217" s="181" t="n"/>
      <c r="N217" s="1" t="n"/>
      <c r="O217" s="181" t="n"/>
      <c r="P217" s="181" t="n"/>
      <c r="Q217" s="18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row>
    <row r="218" ht="15.75" customHeight="1" s="216">
      <c r="A218" s="1" t="n"/>
      <c r="B218" s="1" t="n"/>
      <c r="C218" s="1" t="n"/>
      <c r="D218" s="1" t="n"/>
      <c r="E218" s="181" t="n"/>
      <c r="F218" s="181" t="n"/>
      <c r="G218" s="1" t="n"/>
      <c r="H218" s="1" t="n"/>
      <c r="I218" s="1" t="n"/>
      <c r="J218" s="1" t="n"/>
      <c r="K218" s="181" t="n"/>
      <c r="L218" s="181" t="n"/>
      <c r="M218" s="181" t="n"/>
      <c r="N218" s="1" t="n"/>
      <c r="O218" s="181" t="n"/>
      <c r="P218" s="181" t="n"/>
      <c r="Q218" s="18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row>
    <row r="219" ht="15.75" customHeight="1" s="216">
      <c r="A219" s="1" t="n"/>
      <c r="B219" s="1" t="n"/>
      <c r="C219" s="1" t="n"/>
      <c r="D219" s="1" t="n"/>
      <c r="E219" s="181" t="n"/>
      <c r="F219" s="181" t="n"/>
      <c r="G219" s="1" t="n"/>
      <c r="H219" s="1" t="n"/>
      <c r="I219" s="1" t="n"/>
      <c r="J219" s="1" t="n"/>
      <c r="K219" s="181" t="n"/>
      <c r="L219" s="181" t="n"/>
      <c r="M219" s="181" t="n"/>
      <c r="N219" s="1" t="n"/>
      <c r="O219" s="181" t="n"/>
      <c r="P219" s="181" t="n"/>
      <c r="Q219" s="18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row>
    <row r="220" ht="15.75" customHeight="1" s="216">
      <c r="A220" s="1" t="n"/>
      <c r="B220" s="1" t="n"/>
      <c r="C220" s="1" t="n"/>
      <c r="D220" s="1" t="n"/>
      <c r="E220" s="181" t="n"/>
      <c r="F220" s="181" t="n"/>
      <c r="G220" s="1" t="n"/>
      <c r="H220" s="1" t="n"/>
      <c r="I220" s="1" t="n"/>
      <c r="J220" s="1" t="n"/>
      <c r="K220" s="181" t="n"/>
      <c r="L220" s="181" t="n"/>
      <c r="M220" s="181" t="n"/>
      <c r="N220" s="1" t="n"/>
      <c r="O220" s="181" t="n"/>
      <c r="P220" s="181" t="n"/>
      <c r="Q220" s="18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row>
    <row r="221" ht="15.75" customHeight="1" s="216">
      <c r="D221" s="109" t="n"/>
      <c r="E221" s="109" t="n"/>
      <c r="J221" s="109" t="n"/>
      <c r="K221" s="109" t="n"/>
      <c r="L221" s="109" t="n"/>
      <c r="N221" s="109" t="n"/>
      <c r="O221" s="109" t="n"/>
      <c r="P221" s="109" t="n"/>
      <c r="T221" s="109" t="n"/>
      <c r="U221" s="109" t="n"/>
      <c r="V221" s="109" t="n"/>
      <c r="Z221" s="109" t="n"/>
      <c r="AA221" s="109" t="n"/>
      <c r="AB221" s="109" t="n"/>
      <c r="AF221" s="109" t="n"/>
      <c r="AG221" s="109" t="n"/>
      <c r="AH221" s="109" t="n"/>
      <c r="AL221" s="109" t="n"/>
      <c r="AM221" s="109" t="n"/>
      <c r="AN221" s="109" t="n"/>
    </row>
    <row r="222" ht="15.75" customHeight="1" s="216">
      <c r="D222" s="109" t="n"/>
      <c r="E222" s="109" t="n"/>
      <c r="J222" s="109" t="n"/>
      <c r="K222" s="109" t="n"/>
      <c r="L222" s="109" t="n"/>
      <c r="N222" s="109" t="n"/>
      <c r="O222" s="109" t="n"/>
      <c r="P222" s="109" t="n"/>
      <c r="T222" s="109" t="n"/>
      <c r="U222" s="109" t="n"/>
      <c r="V222" s="109" t="n"/>
      <c r="Z222" s="109" t="n"/>
      <c r="AA222" s="109" t="n"/>
      <c r="AB222" s="109" t="n"/>
      <c r="AF222" s="109" t="n"/>
      <c r="AG222" s="109" t="n"/>
      <c r="AH222" s="109" t="n"/>
      <c r="AL222" s="109" t="n"/>
      <c r="AM222" s="109" t="n"/>
      <c r="AN222" s="109" t="n"/>
    </row>
    <row r="223" ht="15.75" customHeight="1" s="216">
      <c r="D223" s="109" t="n"/>
      <c r="E223" s="109" t="n"/>
      <c r="J223" s="109" t="n"/>
      <c r="K223" s="109" t="n"/>
      <c r="L223" s="109" t="n"/>
      <c r="N223" s="109" t="n"/>
      <c r="O223" s="109" t="n"/>
      <c r="P223" s="109" t="n"/>
      <c r="T223" s="109" t="n"/>
      <c r="U223" s="109" t="n"/>
      <c r="V223" s="109" t="n"/>
      <c r="Z223" s="109" t="n"/>
      <c r="AA223" s="109" t="n"/>
      <c r="AB223" s="109" t="n"/>
      <c r="AF223" s="109" t="n"/>
      <c r="AG223" s="109" t="n"/>
      <c r="AH223" s="109" t="n"/>
      <c r="AL223" s="109" t="n"/>
      <c r="AM223" s="109" t="n"/>
      <c r="AN223" s="109" t="n"/>
    </row>
    <row r="224" ht="15.75" customHeight="1" s="216">
      <c r="D224" s="109" t="n"/>
      <c r="E224" s="109" t="n"/>
      <c r="J224" s="109" t="n"/>
      <c r="K224" s="109" t="n"/>
      <c r="L224" s="109" t="n"/>
      <c r="N224" s="109" t="n"/>
      <c r="O224" s="109" t="n"/>
      <c r="P224" s="109" t="n"/>
      <c r="T224" s="109" t="n"/>
      <c r="U224" s="109" t="n"/>
      <c r="V224" s="109" t="n"/>
      <c r="Z224" s="109" t="n"/>
      <c r="AA224" s="109" t="n"/>
      <c r="AB224" s="109" t="n"/>
      <c r="AF224" s="109" t="n"/>
      <c r="AG224" s="109" t="n"/>
      <c r="AH224" s="109" t="n"/>
      <c r="AL224" s="109" t="n"/>
      <c r="AM224" s="109" t="n"/>
      <c r="AN224" s="109" t="n"/>
    </row>
    <row r="225" ht="15.75" customHeight="1" s="216">
      <c r="D225" s="109" t="n"/>
      <c r="E225" s="109" t="n"/>
      <c r="J225" s="109" t="n"/>
      <c r="K225" s="109" t="n"/>
      <c r="L225" s="109" t="n"/>
      <c r="N225" s="109" t="n"/>
      <c r="O225" s="109" t="n"/>
      <c r="P225" s="109" t="n"/>
      <c r="T225" s="109" t="n"/>
      <c r="U225" s="109" t="n"/>
      <c r="V225" s="109" t="n"/>
      <c r="Z225" s="109" t="n"/>
      <c r="AA225" s="109" t="n"/>
      <c r="AB225" s="109" t="n"/>
      <c r="AF225" s="109" t="n"/>
      <c r="AG225" s="109" t="n"/>
      <c r="AH225" s="109" t="n"/>
      <c r="AL225" s="109" t="n"/>
      <c r="AM225" s="109" t="n"/>
      <c r="AN225" s="109" t="n"/>
    </row>
    <row r="226" ht="15.75" customHeight="1" s="216">
      <c r="D226" s="109" t="n"/>
      <c r="E226" s="109" t="n"/>
      <c r="J226" s="109" t="n"/>
      <c r="K226" s="109" t="n"/>
      <c r="L226" s="109" t="n"/>
      <c r="N226" s="109" t="n"/>
      <c r="O226" s="109" t="n"/>
      <c r="P226" s="109" t="n"/>
      <c r="T226" s="109" t="n"/>
      <c r="U226" s="109" t="n"/>
      <c r="V226" s="109" t="n"/>
      <c r="Z226" s="109" t="n"/>
      <c r="AA226" s="109" t="n"/>
      <c r="AB226" s="109" t="n"/>
      <c r="AF226" s="109" t="n"/>
      <c r="AG226" s="109" t="n"/>
      <c r="AH226" s="109" t="n"/>
      <c r="AL226" s="109" t="n"/>
      <c r="AM226" s="109" t="n"/>
      <c r="AN226" s="109" t="n"/>
    </row>
    <row r="227" ht="15.75" customHeight="1" s="216">
      <c r="D227" s="109" t="n"/>
      <c r="E227" s="109" t="n"/>
      <c r="J227" s="109" t="n"/>
      <c r="K227" s="109" t="n"/>
      <c r="L227" s="109" t="n"/>
      <c r="N227" s="109" t="n"/>
      <c r="O227" s="109" t="n"/>
      <c r="P227" s="109" t="n"/>
      <c r="T227" s="109" t="n"/>
      <c r="U227" s="109" t="n"/>
      <c r="V227" s="109" t="n"/>
      <c r="Z227" s="109" t="n"/>
      <c r="AA227" s="109" t="n"/>
      <c r="AB227" s="109" t="n"/>
      <c r="AF227" s="109" t="n"/>
      <c r="AG227" s="109" t="n"/>
      <c r="AH227" s="109" t="n"/>
      <c r="AL227" s="109" t="n"/>
      <c r="AM227" s="109" t="n"/>
      <c r="AN227" s="109" t="n"/>
    </row>
    <row r="228" ht="15.75" customHeight="1" s="216">
      <c r="D228" s="109" t="n"/>
      <c r="E228" s="109" t="n"/>
      <c r="J228" s="109" t="n"/>
      <c r="K228" s="109" t="n"/>
      <c r="L228" s="109" t="n"/>
      <c r="N228" s="109" t="n"/>
      <c r="O228" s="109" t="n"/>
      <c r="P228" s="109" t="n"/>
      <c r="T228" s="109" t="n"/>
      <c r="U228" s="109" t="n"/>
      <c r="V228" s="109" t="n"/>
      <c r="Z228" s="109" t="n"/>
      <c r="AA228" s="109" t="n"/>
      <c r="AB228" s="109" t="n"/>
      <c r="AF228" s="109" t="n"/>
      <c r="AG228" s="109" t="n"/>
      <c r="AH228" s="109" t="n"/>
      <c r="AL228" s="109" t="n"/>
      <c r="AM228" s="109" t="n"/>
      <c r="AN228" s="109" t="n"/>
    </row>
    <row r="229" ht="15.75" customHeight="1" s="216">
      <c r="D229" s="109" t="n"/>
      <c r="E229" s="109" t="n"/>
      <c r="J229" s="109" t="n"/>
      <c r="K229" s="109" t="n"/>
      <c r="L229" s="109" t="n"/>
      <c r="N229" s="109" t="n"/>
      <c r="O229" s="109" t="n"/>
      <c r="P229" s="109" t="n"/>
      <c r="T229" s="109" t="n"/>
      <c r="U229" s="109" t="n"/>
      <c r="V229" s="109" t="n"/>
      <c r="Z229" s="109" t="n"/>
      <c r="AA229" s="109" t="n"/>
      <c r="AB229" s="109" t="n"/>
      <c r="AF229" s="109" t="n"/>
      <c r="AG229" s="109" t="n"/>
      <c r="AH229" s="109" t="n"/>
      <c r="AL229" s="109" t="n"/>
      <c r="AM229" s="109" t="n"/>
      <c r="AN229" s="109" t="n"/>
    </row>
    <row r="230" ht="15.75" customHeight="1" s="216">
      <c r="D230" s="109" t="n"/>
      <c r="E230" s="109" t="n"/>
      <c r="J230" s="109" t="n"/>
      <c r="K230" s="109" t="n"/>
      <c r="L230" s="109" t="n"/>
      <c r="N230" s="109" t="n"/>
      <c r="O230" s="109" t="n"/>
      <c r="P230" s="109" t="n"/>
      <c r="T230" s="109" t="n"/>
      <c r="U230" s="109" t="n"/>
      <c r="V230" s="109" t="n"/>
      <c r="Z230" s="109" t="n"/>
      <c r="AA230" s="109" t="n"/>
      <c r="AB230" s="109" t="n"/>
      <c r="AF230" s="109" t="n"/>
      <c r="AG230" s="109" t="n"/>
      <c r="AH230" s="109" t="n"/>
      <c r="AL230" s="109" t="n"/>
      <c r="AM230" s="109" t="n"/>
      <c r="AN230" s="109" t="n"/>
    </row>
    <row r="231" ht="15.75" customHeight="1" s="216">
      <c r="D231" s="109" t="n"/>
      <c r="E231" s="109" t="n"/>
      <c r="J231" s="109" t="n"/>
      <c r="K231" s="109" t="n"/>
      <c r="L231" s="109" t="n"/>
      <c r="N231" s="109" t="n"/>
      <c r="O231" s="109" t="n"/>
      <c r="P231" s="109" t="n"/>
      <c r="T231" s="109" t="n"/>
      <c r="U231" s="109" t="n"/>
      <c r="V231" s="109" t="n"/>
      <c r="Z231" s="109" t="n"/>
      <c r="AA231" s="109" t="n"/>
      <c r="AB231" s="109" t="n"/>
      <c r="AF231" s="109" t="n"/>
      <c r="AG231" s="109" t="n"/>
      <c r="AH231" s="109" t="n"/>
      <c r="AL231" s="109" t="n"/>
      <c r="AM231" s="109" t="n"/>
      <c r="AN231" s="109" t="n"/>
    </row>
    <row r="232" ht="15.75" customHeight="1" s="216">
      <c r="D232" s="109" t="n"/>
      <c r="E232" s="109" t="n"/>
      <c r="J232" s="109" t="n"/>
      <c r="K232" s="109" t="n"/>
      <c r="L232" s="109" t="n"/>
      <c r="N232" s="109" t="n"/>
      <c r="O232" s="109" t="n"/>
      <c r="P232" s="109" t="n"/>
      <c r="T232" s="109" t="n"/>
      <c r="U232" s="109" t="n"/>
      <c r="V232" s="109" t="n"/>
      <c r="Z232" s="109" t="n"/>
      <c r="AA232" s="109" t="n"/>
      <c r="AB232" s="109" t="n"/>
      <c r="AF232" s="109" t="n"/>
      <c r="AG232" s="109" t="n"/>
      <c r="AH232" s="109" t="n"/>
      <c r="AL232" s="109" t="n"/>
      <c r="AM232" s="109" t="n"/>
      <c r="AN232" s="109" t="n"/>
    </row>
    <row r="233" ht="15.75" customHeight="1" s="216">
      <c r="D233" s="109" t="n"/>
      <c r="E233" s="109" t="n"/>
      <c r="J233" s="109" t="n"/>
      <c r="K233" s="109" t="n"/>
      <c r="L233" s="109" t="n"/>
      <c r="N233" s="109" t="n"/>
      <c r="O233" s="109" t="n"/>
      <c r="P233" s="109" t="n"/>
      <c r="T233" s="109" t="n"/>
      <c r="U233" s="109" t="n"/>
      <c r="V233" s="109" t="n"/>
      <c r="Z233" s="109" t="n"/>
      <c r="AA233" s="109" t="n"/>
      <c r="AB233" s="109" t="n"/>
      <c r="AF233" s="109" t="n"/>
      <c r="AG233" s="109" t="n"/>
      <c r="AH233" s="109" t="n"/>
      <c r="AL233" s="109" t="n"/>
      <c r="AM233" s="109" t="n"/>
      <c r="AN233" s="109" t="n"/>
    </row>
    <row r="234" ht="15.75" customHeight="1" s="216">
      <c r="D234" s="109" t="n"/>
      <c r="E234" s="109" t="n"/>
      <c r="J234" s="109" t="n"/>
      <c r="K234" s="109" t="n"/>
      <c r="L234" s="109" t="n"/>
      <c r="N234" s="109" t="n"/>
      <c r="O234" s="109" t="n"/>
      <c r="P234" s="109" t="n"/>
      <c r="T234" s="109" t="n"/>
      <c r="U234" s="109" t="n"/>
      <c r="V234" s="109" t="n"/>
      <c r="Z234" s="109" t="n"/>
      <c r="AA234" s="109" t="n"/>
      <c r="AB234" s="109" t="n"/>
      <c r="AF234" s="109" t="n"/>
      <c r="AG234" s="109" t="n"/>
      <c r="AH234" s="109" t="n"/>
      <c r="AL234" s="109" t="n"/>
      <c r="AM234" s="109" t="n"/>
      <c r="AN234" s="109" t="n"/>
    </row>
    <row r="235" ht="15.75" customHeight="1" s="216">
      <c r="D235" s="109" t="n"/>
      <c r="E235" s="109" t="n"/>
      <c r="J235" s="109" t="n"/>
      <c r="K235" s="109" t="n"/>
      <c r="L235" s="109" t="n"/>
      <c r="N235" s="109" t="n"/>
      <c r="O235" s="109" t="n"/>
      <c r="P235" s="109" t="n"/>
      <c r="T235" s="109" t="n"/>
      <c r="U235" s="109" t="n"/>
      <c r="V235" s="109" t="n"/>
      <c r="Z235" s="109" t="n"/>
      <c r="AA235" s="109" t="n"/>
      <c r="AB235" s="109" t="n"/>
      <c r="AF235" s="109" t="n"/>
      <c r="AG235" s="109" t="n"/>
      <c r="AH235" s="109" t="n"/>
      <c r="AL235" s="109" t="n"/>
      <c r="AM235" s="109" t="n"/>
      <c r="AN235" s="109" t="n"/>
    </row>
    <row r="236" ht="15.75" customHeight="1" s="216">
      <c r="D236" s="109" t="n"/>
      <c r="E236" s="109" t="n"/>
      <c r="J236" s="109" t="n"/>
      <c r="K236" s="109" t="n"/>
      <c r="L236" s="109" t="n"/>
      <c r="N236" s="109" t="n"/>
      <c r="O236" s="109" t="n"/>
      <c r="P236" s="109" t="n"/>
      <c r="T236" s="109" t="n"/>
      <c r="U236" s="109" t="n"/>
      <c r="V236" s="109" t="n"/>
      <c r="Z236" s="109" t="n"/>
      <c r="AA236" s="109" t="n"/>
      <c r="AB236" s="109" t="n"/>
      <c r="AF236" s="109" t="n"/>
      <c r="AG236" s="109" t="n"/>
      <c r="AH236" s="109" t="n"/>
      <c r="AL236" s="109" t="n"/>
      <c r="AM236" s="109" t="n"/>
      <c r="AN236" s="109" t="n"/>
    </row>
    <row r="237" ht="15.75" customHeight="1" s="216">
      <c r="D237" s="109" t="n"/>
      <c r="E237" s="109" t="n"/>
      <c r="J237" s="109" t="n"/>
      <c r="K237" s="109" t="n"/>
      <c r="L237" s="109" t="n"/>
      <c r="N237" s="109" t="n"/>
      <c r="O237" s="109" t="n"/>
      <c r="P237" s="109" t="n"/>
      <c r="T237" s="109" t="n"/>
      <c r="U237" s="109" t="n"/>
      <c r="V237" s="109" t="n"/>
      <c r="Z237" s="109" t="n"/>
      <c r="AA237" s="109" t="n"/>
      <c r="AB237" s="109" t="n"/>
      <c r="AF237" s="109" t="n"/>
      <c r="AG237" s="109" t="n"/>
      <c r="AH237" s="109" t="n"/>
      <c r="AL237" s="109" t="n"/>
      <c r="AM237" s="109" t="n"/>
      <c r="AN237" s="109" t="n"/>
    </row>
    <row r="238" ht="15.75" customHeight="1" s="216">
      <c r="D238" s="109" t="n"/>
      <c r="E238" s="109" t="n"/>
      <c r="J238" s="109" t="n"/>
      <c r="K238" s="109" t="n"/>
      <c r="L238" s="109" t="n"/>
      <c r="N238" s="109" t="n"/>
      <c r="O238" s="109" t="n"/>
      <c r="P238" s="109" t="n"/>
      <c r="T238" s="109" t="n"/>
      <c r="U238" s="109" t="n"/>
      <c r="V238" s="109" t="n"/>
      <c r="Z238" s="109" t="n"/>
      <c r="AA238" s="109" t="n"/>
      <c r="AB238" s="109" t="n"/>
      <c r="AF238" s="109" t="n"/>
      <c r="AG238" s="109" t="n"/>
      <c r="AH238" s="109" t="n"/>
      <c r="AL238" s="109" t="n"/>
      <c r="AM238" s="109" t="n"/>
      <c r="AN238" s="109" t="n"/>
    </row>
    <row r="239" ht="15.75" customHeight="1" s="216">
      <c r="D239" s="109" t="n"/>
      <c r="E239" s="109" t="n"/>
      <c r="J239" s="109" t="n"/>
      <c r="K239" s="109" t="n"/>
      <c r="L239" s="109" t="n"/>
      <c r="N239" s="109" t="n"/>
      <c r="O239" s="109" t="n"/>
      <c r="P239" s="109" t="n"/>
      <c r="T239" s="109" t="n"/>
      <c r="U239" s="109" t="n"/>
      <c r="V239" s="109" t="n"/>
      <c r="Z239" s="109" t="n"/>
      <c r="AA239" s="109" t="n"/>
      <c r="AB239" s="109" t="n"/>
      <c r="AF239" s="109" t="n"/>
      <c r="AG239" s="109" t="n"/>
      <c r="AH239" s="109" t="n"/>
      <c r="AL239" s="109" t="n"/>
      <c r="AM239" s="109" t="n"/>
      <c r="AN239" s="109" t="n"/>
    </row>
    <row r="240" ht="15.75" customHeight="1" s="216">
      <c r="D240" s="109" t="n"/>
      <c r="E240" s="109" t="n"/>
      <c r="J240" s="109" t="n"/>
      <c r="K240" s="109" t="n"/>
      <c r="L240" s="109" t="n"/>
      <c r="N240" s="109" t="n"/>
      <c r="O240" s="109" t="n"/>
      <c r="P240" s="109" t="n"/>
      <c r="T240" s="109" t="n"/>
      <c r="U240" s="109" t="n"/>
      <c r="V240" s="109" t="n"/>
      <c r="Z240" s="109" t="n"/>
      <c r="AA240" s="109" t="n"/>
      <c r="AB240" s="109" t="n"/>
      <c r="AF240" s="109" t="n"/>
      <c r="AG240" s="109" t="n"/>
      <c r="AH240" s="109" t="n"/>
      <c r="AL240" s="109" t="n"/>
      <c r="AM240" s="109" t="n"/>
      <c r="AN240" s="109" t="n"/>
    </row>
    <row r="241" ht="15.75" customHeight="1" s="216">
      <c r="D241" s="109" t="n"/>
      <c r="E241" s="109" t="n"/>
      <c r="J241" s="109" t="n"/>
      <c r="K241" s="109" t="n"/>
      <c r="L241" s="109" t="n"/>
      <c r="N241" s="109" t="n"/>
      <c r="O241" s="109" t="n"/>
      <c r="P241" s="109" t="n"/>
      <c r="T241" s="109" t="n"/>
      <c r="U241" s="109" t="n"/>
      <c r="V241" s="109" t="n"/>
      <c r="Z241" s="109" t="n"/>
      <c r="AA241" s="109" t="n"/>
      <c r="AB241" s="109" t="n"/>
      <c r="AF241" s="109" t="n"/>
      <c r="AG241" s="109" t="n"/>
      <c r="AH241" s="109" t="n"/>
      <c r="AL241" s="109" t="n"/>
      <c r="AM241" s="109" t="n"/>
      <c r="AN241" s="109" t="n"/>
    </row>
    <row r="242" ht="15.75" customHeight="1" s="216">
      <c r="D242" s="109" t="n"/>
      <c r="E242" s="109" t="n"/>
      <c r="J242" s="109" t="n"/>
      <c r="K242" s="109" t="n"/>
      <c r="L242" s="109" t="n"/>
      <c r="N242" s="109" t="n"/>
      <c r="O242" s="109" t="n"/>
      <c r="P242" s="109" t="n"/>
      <c r="T242" s="109" t="n"/>
      <c r="U242" s="109" t="n"/>
      <c r="V242" s="109" t="n"/>
      <c r="Z242" s="109" t="n"/>
      <c r="AA242" s="109" t="n"/>
      <c r="AB242" s="109" t="n"/>
      <c r="AF242" s="109" t="n"/>
      <c r="AG242" s="109" t="n"/>
      <c r="AH242" s="109" t="n"/>
      <c r="AL242" s="109" t="n"/>
      <c r="AM242" s="109" t="n"/>
      <c r="AN242" s="109" t="n"/>
    </row>
    <row r="243" ht="15.75" customHeight="1" s="216">
      <c r="D243" s="109" t="n"/>
      <c r="E243" s="109" t="n"/>
      <c r="J243" s="109" t="n"/>
      <c r="K243" s="109" t="n"/>
      <c r="L243" s="109" t="n"/>
      <c r="N243" s="109" t="n"/>
      <c r="O243" s="109" t="n"/>
      <c r="P243" s="109" t="n"/>
      <c r="T243" s="109" t="n"/>
      <c r="U243" s="109" t="n"/>
      <c r="V243" s="109" t="n"/>
      <c r="Z243" s="109" t="n"/>
      <c r="AA243" s="109" t="n"/>
      <c r="AB243" s="109" t="n"/>
      <c r="AF243" s="109" t="n"/>
      <c r="AG243" s="109" t="n"/>
      <c r="AH243" s="109" t="n"/>
      <c r="AL243" s="109" t="n"/>
      <c r="AM243" s="109" t="n"/>
      <c r="AN243" s="109" t="n"/>
    </row>
    <row r="244" ht="15.75" customHeight="1" s="216">
      <c r="D244" s="109" t="n"/>
      <c r="E244" s="109" t="n"/>
      <c r="J244" s="109" t="n"/>
      <c r="K244" s="109" t="n"/>
      <c r="L244" s="109" t="n"/>
      <c r="N244" s="109" t="n"/>
      <c r="O244" s="109" t="n"/>
      <c r="P244" s="109" t="n"/>
      <c r="T244" s="109" t="n"/>
      <c r="U244" s="109" t="n"/>
      <c r="V244" s="109" t="n"/>
      <c r="Z244" s="109" t="n"/>
      <c r="AA244" s="109" t="n"/>
      <c r="AB244" s="109" t="n"/>
      <c r="AF244" s="109" t="n"/>
      <c r="AG244" s="109" t="n"/>
      <c r="AH244" s="109" t="n"/>
      <c r="AL244" s="109" t="n"/>
      <c r="AM244" s="109" t="n"/>
      <c r="AN244" s="109" t="n"/>
    </row>
    <row r="245" ht="15.75" customHeight="1" s="216">
      <c r="D245" s="109" t="n"/>
      <c r="E245" s="109" t="n"/>
      <c r="J245" s="109" t="n"/>
      <c r="K245" s="109" t="n"/>
      <c r="L245" s="109" t="n"/>
      <c r="N245" s="109" t="n"/>
      <c r="O245" s="109" t="n"/>
      <c r="P245" s="109" t="n"/>
      <c r="T245" s="109" t="n"/>
      <c r="U245" s="109" t="n"/>
      <c r="V245" s="109" t="n"/>
      <c r="Z245" s="109" t="n"/>
      <c r="AA245" s="109" t="n"/>
      <c r="AB245" s="109" t="n"/>
      <c r="AF245" s="109" t="n"/>
      <c r="AG245" s="109" t="n"/>
      <c r="AH245" s="109" t="n"/>
      <c r="AL245" s="109" t="n"/>
      <c r="AM245" s="109" t="n"/>
      <c r="AN245" s="109" t="n"/>
    </row>
    <row r="246" ht="15.75" customHeight="1" s="216">
      <c r="D246" s="109" t="n"/>
      <c r="E246" s="109" t="n"/>
      <c r="J246" s="109" t="n"/>
      <c r="K246" s="109" t="n"/>
      <c r="L246" s="109" t="n"/>
      <c r="N246" s="109" t="n"/>
      <c r="O246" s="109" t="n"/>
      <c r="P246" s="109" t="n"/>
      <c r="T246" s="109" t="n"/>
      <c r="U246" s="109" t="n"/>
      <c r="V246" s="109" t="n"/>
      <c r="Z246" s="109" t="n"/>
      <c r="AA246" s="109" t="n"/>
      <c r="AB246" s="109" t="n"/>
      <c r="AF246" s="109" t="n"/>
      <c r="AG246" s="109" t="n"/>
      <c r="AH246" s="109" t="n"/>
      <c r="AL246" s="109" t="n"/>
      <c r="AM246" s="109" t="n"/>
      <c r="AN246" s="109" t="n"/>
    </row>
    <row r="247" ht="15.75" customHeight="1" s="216">
      <c r="D247" s="109" t="n"/>
      <c r="E247" s="109" t="n"/>
      <c r="J247" s="109" t="n"/>
      <c r="K247" s="109" t="n"/>
      <c r="L247" s="109" t="n"/>
      <c r="N247" s="109" t="n"/>
      <c r="O247" s="109" t="n"/>
      <c r="P247" s="109" t="n"/>
      <c r="T247" s="109" t="n"/>
      <c r="U247" s="109" t="n"/>
      <c r="V247" s="109" t="n"/>
      <c r="Z247" s="109" t="n"/>
      <c r="AA247" s="109" t="n"/>
      <c r="AB247" s="109" t="n"/>
      <c r="AF247" s="109" t="n"/>
      <c r="AG247" s="109" t="n"/>
      <c r="AH247" s="109" t="n"/>
      <c r="AL247" s="109" t="n"/>
      <c r="AM247" s="109" t="n"/>
      <c r="AN247" s="109" t="n"/>
    </row>
    <row r="248" ht="15.75" customHeight="1" s="216">
      <c r="D248" s="109" t="n"/>
      <c r="E248" s="109" t="n"/>
      <c r="J248" s="109" t="n"/>
      <c r="K248" s="109" t="n"/>
      <c r="L248" s="109" t="n"/>
      <c r="N248" s="109" t="n"/>
      <c r="O248" s="109" t="n"/>
      <c r="P248" s="109" t="n"/>
      <c r="T248" s="109" t="n"/>
      <c r="U248" s="109" t="n"/>
      <c r="V248" s="109" t="n"/>
      <c r="Z248" s="109" t="n"/>
      <c r="AA248" s="109" t="n"/>
      <c r="AB248" s="109" t="n"/>
      <c r="AF248" s="109" t="n"/>
      <c r="AG248" s="109" t="n"/>
      <c r="AH248" s="109" t="n"/>
      <c r="AL248" s="109" t="n"/>
      <c r="AM248" s="109" t="n"/>
      <c r="AN248" s="109" t="n"/>
    </row>
    <row r="249" ht="15.75" customHeight="1" s="216">
      <c r="D249" s="109" t="n"/>
      <c r="E249" s="109" t="n"/>
      <c r="J249" s="109" t="n"/>
      <c r="K249" s="109" t="n"/>
      <c r="L249" s="109" t="n"/>
      <c r="N249" s="109" t="n"/>
      <c r="O249" s="109" t="n"/>
      <c r="P249" s="109" t="n"/>
      <c r="T249" s="109" t="n"/>
      <c r="U249" s="109" t="n"/>
      <c r="V249" s="109" t="n"/>
      <c r="Z249" s="109" t="n"/>
      <c r="AA249" s="109" t="n"/>
      <c r="AB249" s="109" t="n"/>
      <c r="AF249" s="109" t="n"/>
      <c r="AG249" s="109" t="n"/>
      <c r="AH249" s="109" t="n"/>
      <c r="AL249" s="109" t="n"/>
      <c r="AM249" s="109" t="n"/>
      <c r="AN249" s="109" t="n"/>
    </row>
    <row r="250" ht="15.75" customHeight="1" s="216">
      <c r="D250" s="109" t="n"/>
      <c r="E250" s="109" t="n"/>
      <c r="J250" s="109" t="n"/>
      <c r="K250" s="109" t="n"/>
      <c r="L250" s="109" t="n"/>
      <c r="N250" s="109" t="n"/>
      <c r="O250" s="109" t="n"/>
      <c r="P250" s="109" t="n"/>
      <c r="T250" s="109" t="n"/>
      <c r="U250" s="109" t="n"/>
      <c r="V250" s="109" t="n"/>
      <c r="Z250" s="109" t="n"/>
      <c r="AA250" s="109" t="n"/>
      <c r="AB250" s="109" t="n"/>
      <c r="AF250" s="109" t="n"/>
      <c r="AG250" s="109" t="n"/>
      <c r="AH250" s="109" t="n"/>
      <c r="AL250" s="109" t="n"/>
      <c r="AM250" s="109" t="n"/>
      <c r="AN250" s="109" t="n"/>
    </row>
    <row r="251" ht="15.75" customHeight="1" s="216">
      <c r="D251" s="109" t="n"/>
      <c r="E251" s="109" t="n"/>
      <c r="J251" s="109" t="n"/>
      <c r="K251" s="109" t="n"/>
      <c r="L251" s="109" t="n"/>
      <c r="N251" s="109" t="n"/>
      <c r="O251" s="109" t="n"/>
      <c r="P251" s="109" t="n"/>
      <c r="T251" s="109" t="n"/>
      <c r="U251" s="109" t="n"/>
      <c r="V251" s="109" t="n"/>
      <c r="Z251" s="109" t="n"/>
      <c r="AA251" s="109" t="n"/>
      <c r="AB251" s="109" t="n"/>
      <c r="AF251" s="109" t="n"/>
      <c r="AG251" s="109" t="n"/>
      <c r="AH251" s="109" t="n"/>
      <c r="AL251" s="109" t="n"/>
      <c r="AM251" s="109" t="n"/>
      <c r="AN251" s="109" t="n"/>
    </row>
    <row r="252" ht="15.75" customHeight="1" s="216">
      <c r="D252" s="109" t="n"/>
      <c r="E252" s="109" t="n"/>
      <c r="J252" s="109" t="n"/>
      <c r="K252" s="109" t="n"/>
      <c r="L252" s="109" t="n"/>
      <c r="N252" s="109" t="n"/>
      <c r="O252" s="109" t="n"/>
      <c r="P252" s="109" t="n"/>
      <c r="T252" s="109" t="n"/>
      <c r="U252" s="109" t="n"/>
      <c r="V252" s="109" t="n"/>
      <c r="Z252" s="109" t="n"/>
      <c r="AA252" s="109" t="n"/>
      <c r="AB252" s="109" t="n"/>
      <c r="AF252" s="109" t="n"/>
      <c r="AG252" s="109" t="n"/>
      <c r="AH252" s="109" t="n"/>
      <c r="AL252" s="109" t="n"/>
      <c r="AM252" s="109" t="n"/>
      <c r="AN252" s="109" t="n"/>
    </row>
    <row r="253" ht="15.75" customHeight="1" s="216">
      <c r="D253" s="109" t="n"/>
      <c r="E253" s="109" t="n"/>
      <c r="J253" s="109" t="n"/>
      <c r="K253" s="109" t="n"/>
      <c r="L253" s="109" t="n"/>
      <c r="N253" s="109" t="n"/>
      <c r="O253" s="109" t="n"/>
      <c r="P253" s="109" t="n"/>
      <c r="T253" s="109" t="n"/>
      <c r="U253" s="109" t="n"/>
      <c r="V253" s="109" t="n"/>
      <c r="Z253" s="109" t="n"/>
      <c r="AA253" s="109" t="n"/>
      <c r="AB253" s="109" t="n"/>
      <c r="AF253" s="109" t="n"/>
      <c r="AG253" s="109" t="n"/>
      <c r="AH253" s="109" t="n"/>
      <c r="AL253" s="109" t="n"/>
      <c r="AM253" s="109" t="n"/>
      <c r="AN253" s="109" t="n"/>
    </row>
    <row r="254" ht="15.75" customHeight="1" s="216">
      <c r="D254" s="109" t="n"/>
      <c r="E254" s="109" t="n"/>
      <c r="J254" s="109" t="n"/>
      <c r="K254" s="109" t="n"/>
      <c r="L254" s="109" t="n"/>
      <c r="N254" s="109" t="n"/>
      <c r="O254" s="109" t="n"/>
      <c r="P254" s="109" t="n"/>
      <c r="T254" s="109" t="n"/>
      <c r="U254" s="109" t="n"/>
      <c r="V254" s="109" t="n"/>
      <c r="Z254" s="109" t="n"/>
      <c r="AA254" s="109" t="n"/>
      <c r="AB254" s="109" t="n"/>
      <c r="AF254" s="109" t="n"/>
      <c r="AG254" s="109" t="n"/>
      <c r="AH254" s="109" t="n"/>
      <c r="AL254" s="109" t="n"/>
      <c r="AM254" s="109" t="n"/>
      <c r="AN254" s="109" t="n"/>
    </row>
    <row r="255" ht="15.75" customHeight="1" s="216">
      <c r="D255" s="109" t="n"/>
      <c r="E255" s="109" t="n"/>
      <c r="J255" s="109" t="n"/>
      <c r="K255" s="109" t="n"/>
      <c r="L255" s="109" t="n"/>
      <c r="N255" s="109" t="n"/>
      <c r="O255" s="109" t="n"/>
      <c r="P255" s="109" t="n"/>
      <c r="T255" s="109" t="n"/>
      <c r="U255" s="109" t="n"/>
      <c r="V255" s="109" t="n"/>
      <c r="Z255" s="109" t="n"/>
      <c r="AA255" s="109" t="n"/>
      <c r="AB255" s="109" t="n"/>
      <c r="AF255" s="109" t="n"/>
      <c r="AG255" s="109" t="n"/>
      <c r="AH255" s="109" t="n"/>
      <c r="AL255" s="109" t="n"/>
      <c r="AM255" s="109" t="n"/>
      <c r="AN255" s="109" t="n"/>
    </row>
    <row r="256" ht="15.75" customHeight="1" s="216">
      <c r="D256" s="109" t="n"/>
      <c r="E256" s="109" t="n"/>
      <c r="J256" s="109" t="n"/>
      <c r="K256" s="109" t="n"/>
      <c r="L256" s="109" t="n"/>
      <c r="N256" s="109" t="n"/>
      <c r="O256" s="109" t="n"/>
      <c r="P256" s="109" t="n"/>
      <c r="T256" s="109" t="n"/>
      <c r="U256" s="109" t="n"/>
      <c r="V256" s="109" t="n"/>
      <c r="Z256" s="109" t="n"/>
      <c r="AA256" s="109" t="n"/>
      <c r="AB256" s="109" t="n"/>
      <c r="AF256" s="109" t="n"/>
      <c r="AG256" s="109" t="n"/>
      <c r="AH256" s="109" t="n"/>
      <c r="AL256" s="109" t="n"/>
      <c r="AM256" s="109" t="n"/>
      <c r="AN256" s="109" t="n"/>
    </row>
    <row r="257" ht="15.75" customHeight="1" s="216">
      <c r="D257" s="109" t="n"/>
      <c r="E257" s="109" t="n"/>
      <c r="J257" s="109" t="n"/>
      <c r="K257" s="109" t="n"/>
      <c r="L257" s="109" t="n"/>
      <c r="N257" s="109" t="n"/>
      <c r="O257" s="109" t="n"/>
      <c r="P257" s="109" t="n"/>
      <c r="T257" s="109" t="n"/>
      <c r="U257" s="109" t="n"/>
      <c r="V257" s="109" t="n"/>
      <c r="Z257" s="109" t="n"/>
      <c r="AA257" s="109" t="n"/>
      <c r="AB257" s="109" t="n"/>
      <c r="AF257" s="109" t="n"/>
      <c r="AG257" s="109" t="n"/>
      <c r="AH257" s="109" t="n"/>
      <c r="AL257" s="109" t="n"/>
      <c r="AM257" s="109" t="n"/>
      <c r="AN257" s="109" t="n"/>
    </row>
    <row r="258" ht="15.75" customHeight="1" s="216">
      <c r="D258" s="109" t="n"/>
      <c r="E258" s="109" t="n"/>
      <c r="J258" s="109" t="n"/>
      <c r="K258" s="109" t="n"/>
      <c r="L258" s="109" t="n"/>
      <c r="N258" s="109" t="n"/>
      <c r="O258" s="109" t="n"/>
      <c r="P258" s="109" t="n"/>
      <c r="T258" s="109" t="n"/>
      <c r="U258" s="109" t="n"/>
      <c r="V258" s="109" t="n"/>
      <c r="Z258" s="109" t="n"/>
      <c r="AA258" s="109" t="n"/>
      <c r="AB258" s="109" t="n"/>
      <c r="AF258" s="109" t="n"/>
      <c r="AG258" s="109" t="n"/>
      <c r="AH258" s="109" t="n"/>
      <c r="AL258" s="109" t="n"/>
      <c r="AM258" s="109" t="n"/>
      <c r="AN258" s="109" t="n"/>
    </row>
    <row r="259" ht="15.75" customHeight="1" s="216">
      <c r="D259" s="109" t="n"/>
      <c r="E259" s="109" t="n"/>
      <c r="J259" s="109" t="n"/>
      <c r="K259" s="109" t="n"/>
      <c r="L259" s="109" t="n"/>
      <c r="N259" s="109" t="n"/>
      <c r="O259" s="109" t="n"/>
      <c r="P259" s="109" t="n"/>
      <c r="T259" s="109" t="n"/>
      <c r="U259" s="109" t="n"/>
      <c r="V259" s="109" t="n"/>
      <c r="Z259" s="109" t="n"/>
      <c r="AA259" s="109" t="n"/>
      <c r="AB259" s="109" t="n"/>
      <c r="AF259" s="109" t="n"/>
      <c r="AG259" s="109" t="n"/>
      <c r="AH259" s="109" t="n"/>
      <c r="AL259" s="109" t="n"/>
      <c r="AM259" s="109" t="n"/>
      <c r="AN259" s="109" t="n"/>
    </row>
    <row r="260" ht="15.75" customHeight="1" s="216">
      <c r="D260" s="109" t="n"/>
      <c r="E260" s="109" t="n"/>
      <c r="J260" s="109" t="n"/>
      <c r="K260" s="109" t="n"/>
      <c r="L260" s="109" t="n"/>
      <c r="N260" s="109" t="n"/>
      <c r="O260" s="109" t="n"/>
      <c r="P260" s="109" t="n"/>
      <c r="T260" s="109" t="n"/>
      <c r="U260" s="109" t="n"/>
      <c r="V260" s="109" t="n"/>
      <c r="Z260" s="109" t="n"/>
      <c r="AA260" s="109" t="n"/>
      <c r="AB260" s="109" t="n"/>
      <c r="AF260" s="109" t="n"/>
      <c r="AG260" s="109" t="n"/>
      <c r="AH260" s="109" t="n"/>
      <c r="AL260" s="109" t="n"/>
      <c r="AM260" s="109" t="n"/>
      <c r="AN260" s="109" t="n"/>
    </row>
    <row r="261" ht="15.75" customHeight="1" s="216">
      <c r="D261" s="109" t="n"/>
      <c r="E261" s="109" t="n"/>
      <c r="J261" s="109" t="n"/>
      <c r="K261" s="109" t="n"/>
      <c r="L261" s="109" t="n"/>
      <c r="N261" s="109" t="n"/>
      <c r="O261" s="109" t="n"/>
      <c r="P261" s="109" t="n"/>
      <c r="T261" s="109" t="n"/>
      <c r="U261" s="109" t="n"/>
      <c r="V261" s="109" t="n"/>
      <c r="Z261" s="109" t="n"/>
      <c r="AA261" s="109" t="n"/>
      <c r="AB261" s="109" t="n"/>
      <c r="AF261" s="109" t="n"/>
      <c r="AG261" s="109" t="n"/>
      <c r="AH261" s="109" t="n"/>
      <c r="AL261" s="109" t="n"/>
      <c r="AM261" s="109" t="n"/>
      <c r="AN261" s="109" t="n"/>
    </row>
    <row r="262" ht="15.75" customHeight="1" s="216">
      <c r="D262" s="109" t="n"/>
      <c r="E262" s="109" t="n"/>
      <c r="J262" s="109" t="n"/>
      <c r="K262" s="109" t="n"/>
      <c r="L262" s="109" t="n"/>
      <c r="N262" s="109" t="n"/>
      <c r="O262" s="109" t="n"/>
      <c r="P262" s="109" t="n"/>
      <c r="T262" s="109" t="n"/>
      <c r="U262" s="109" t="n"/>
      <c r="V262" s="109" t="n"/>
      <c r="Z262" s="109" t="n"/>
      <c r="AA262" s="109" t="n"/>
      <c r="AB262" s="109" t="n"/>
      <c r="AF262" s="109" t="n"/>
      <c r="AG262" s="109" t="n"/>
      <c r="AH262" s="109" t="n"/>
      <c r="AL262" s="109" t="n"/>
      <c r="AM262" s="109" t="n"/>
      <c r="AN262" s="109" t="n"/>
    </row>
    <row r="263" ht="15.75" customHeight="1" s="216">
      <c r="D263" s="109" t="n"/>
      <c r="E263" s="109" t="n"/>
      <c r="J263" s="109" t="n"/>
      <c r="K263" s="109" t="n"/>
      <c r="L263" s="109" t="n"/>
      <c r="N263" s="109" t="n"/>
      <c r="O263" s="109" t="n"/>
      <c r="P263" s="109" t="n"/>
      <c r="T263" s="109" t="n"/>
      <c r="U263" s="109" t="n"/>
      <c r="V263" s="109" t="n"/>
      <c r="Z263" s="109" t="n"/>
      <c r="AA263" s="109" t="n"/>
      <c r="AB263" s="109" t="n"/>
      <c r="AF263" s="109" t="n"/>
      <c r="AG263" s="109" t="n"/>
      <c r="AH263" s="109" t="n"/>
      <c r="AL263" s="109" t="n"/>
      <c r="AM263" s="109" t="n"/>
      <c r="AN263" s="109" t="n"/>
    </row>
    <row r="264" ht="15.75" customHeight="1" s="216">
      <c r="D264" s="109" t="n"/>
      <c r="E264" s="109" t="n"/>
      <c r="J264" s="109" t="n"/>
      <c r="K264" s="109" t="n"/>
      <c r="L264" s="109" t="n"/>
      <c r="N264" s="109" t="n"/>
      <c r="O264" s="109" t="n"/>
      <c r="P264" s="109" t="n"/>
      <c r="T264" s="109" t="n"/>
      <c r="U264" s="109" t="n"/>
      <c r="V264" s="109" t="n"/>
      <c r="Z264" s="109" t="n"/>
      <c r="AA264" s="109" t="n"/>
      <c r="AB264" s="109" t="n"/>
      <c r="AF264" s="109" t="n"/>
      <c r="AG264" s="109" t="n"/>
      <c r="AH264" s="109" t="n"/>
      <c r="AL264" s="109" t="n"/>
      <c r="AM264" s="109" t="n"/>
      <c r="AN264" s="109" t="n"/>
    </row>
    <row r="265" ht="15.75" customHeight="1" s="216">
      <c r="D265" s="109" t="n"/>
      <c r="E265" s="109" t="n"/>
      <c r="J265" s="109" t="n"/>
      <c r="K265" s="109" t="n"/>
      <c r="L265" s="109" t="n"/>
      <c r="N265" s="109" t="n"/>
      <c r="O265" s="109" t="n"/>
      <c r="P265" s="109" t="n"/>
      <c r="T265" s="109" t="n"/>
      <c r="U265" s="109" t="n"/>
      <c r="V265" s="109" t="n"/>
      <c r="Z265" s="109" t="n"/>
      <c r="AA265" s="109" t="n"/>
      <c r="AB265" s="109" t="n"/>
      <c r="AF265" s="109" t="n"/>
      <c r="AG265" s="109" t="n"/>
      <c r="AH265" s="109" t="n"/>
      <c r="AL265" s="109" t="n"/>
      <c r="AM265" s="109" t="n"/>
      <c r="AN265" s="109" t="n"/>
    </row>
    <row r="266" ht="15.75" customHeight="1" s="216">
      <c r="D266" s="109" t="n"/>
      <c r="E266" s="109" t="n"/>
      <c r="J266" s="109" t="n"/>
      <c r="K266" s="109" t="n"/>
      <c r="L266" s="109" t="n"/>
      <c r="N266" s="109" t="n"/>
      <c r="O266" s="109" t="n"/>
      <c r="P266" s="109" t="n"/>
      <c r="T266" s="109" t="n"/>
      <c r="U266" s="109" t="n"/>
      <c r="V266" s="109" t="n"/>
      <c r="Z266" s="109" t="n"/>
      <c r="AA266" s="109" t="n"/>
      <c r="AB266" s="109" t="n"/>
      <c r="AF266" s="109" t="n"/>
      <c r="AG266" s="109" t="n"/>
      <c r="AH266" s="109" t="n"/>
      <c r="AL266" s="109" t="n"/>
      <c r="AM266" s="109" t="n"/>
      <c r="AN266" s="109" t="n"/>
    </row>
    <row r="267" ht="15.75" customHeight="1" s="216">
      <c r="D267" s="109" t="n"/>
      <c r="E267" s="109" t="n"/>
      <c r="J267" s="109" t="n"/>
      <c r="K267" s="109" t="n"/>
      <c r="L267" s="109" t="n"/>
      <c r="N267" s="109" t="n"/>
      <c r="O267" s="109" t="n"/>
      <c r="P267" s="109" t="n"/>
      <c r="T267" s="109" t="n"/>
      <c r="U267" s="109" t="n"/>
      <c r="V267" s="109" t="n"/>
      <c r="Z267" s="109" t="n"/>
      <c r="AA267" s="109" t="n"/>
      <c r="AB267" s="109" t="n"/>
      <c r="AF267" s="109" t="n"/>
      <c r="AG267" s="109" t="n"/>
      <c r="AH267" s="109" t="n"/>
      <c r="AL267" s="109" t="n"/>
      <c r="AM267" s="109" t="n"/>
      <c r="AN267" s="109" t="n"/>
    </row>
    <row r="268" ht="15.75" customHeight="1" s="216">
      <c r="D268" s="109" t="n"/>
      <c r="E268" s="109" t="n"/>
      <c r="J268" s="109" t="n"/>
      <c r="K268" s="109" t="n"/>
      <c r="L268" s="109" t="n"/>
      <c r="N268" s="109" t="n"/>
      <c r="O268" s="109" t="n"/>
      <c r="P268" s="109" t="n"/>
      <c r="T268" s="109" t="n"/>
      <c r="U268" s="109" t="n"/>
      <c r="V268" s="109" t="n"/>
      <c r="Z268" s="109" t="n"/>
      <c r="AA268" s="109" t="n"/>
      <c r="AB268" s="109" t="n"/>
      <c r="AF268" s="109" t="n"/>
      <c r="AG268" s="109" t="n"/>
      <c r="AH268" s="109" t="n"/>
      <c r="AL268" s="109" t="n"/>
      <c r="AM268" s="109" t="n"/>
      <c r="AN268" s="109" t="n"/>
    </row>
    <row r="269" ht="15.75" customHeight="1" s="216">
      <c r="D269" s="109" t="n"/>
      <c r="E269" s="109" t="n"/>
      <c r="J269" s="109" t="n"/>
      <c r="K269" s="109" t="n"/>
      <c r="L269" s="109" t="n"/>
      <c r="N269" s="109" t="n"/>
      <c r="O269" s="109" t="n"/>
      <c r="P269" s="109" t="n"/>
      <c r="T269" s="109" t="n"/>
      <c r="U269" s="109" t="n"/>
      <c r="V269" s="109" t="n"/>
      <c r="Z269" s="109" t="n"/>
      <c r="AA269" s="109" t="n"/>
      <c r="AB269" s="109" t="n"/>
      <c r="AF269" s="109" t="n"/>
      <c r="AG269" s="109" t="n"/>
      <c r="AH269" s="109" t="n"/>
      <c r="AL269" s="109" t="n"/>
      <c r="AM269" s="109" t="n"/>
      <c r="AN269" s="109" t="n"/>
    </row>
    <row r="270" ht="15.75" customHeight="1" s="216">
      <c r="D270" s="109" t="n"/>
      <c r="E270" s="109" t="n"/>
      <c r="J270" s="109" t="n"/>
      <c r="K270" s="109" t="n"/>
      <c r="L270" s="109" t="n"/>
      <c r="N270" s="109" t="n"/>
      <c r="O270" s="109" t="n"/>
      <c r="P270" s="109" t="n"/>
      <c r="T270" s="109" t="n"/>
      <c r="U270" s="109" t="n"/>
      <c r="V270" s="109" t="n"/>
      <c r="Z270" s="109" t="n"/>
      <c r="AA270" s="109" t="n"/>
      <c r="AB270" s="109" t="n"/>
      <c r="AF270" s="109" t="n"/>
      <c r="AG270" s="109" t="n"/>
      <c r="AH270" s="109" t="n"/>
      <c r="AL270" s="109" t="n"/>
      <c r="AM270" s="109" t="n"/>
      <c r="AN270" s="109" t="n"/>
    </row>
    <row r="271" ht="15.75" customHeight="1" s="216">
      <c r="D271" s="109" t="n"/>
      <c r="E271" s="109" t="n"/>
      <c r="J271" s="109" t="n"/>
      <c r="K271" s="109" t="n"/>
      <c r="L271" s="109" t="n"/>
      <c r="N271" s="109" t="n"/>
      <c r="O271" s="109" t="n"/>
      <c r="P271" s="109" t="n"/>
      <c r="T271" s="109" t="n"/>
      <c r="U271" s="109" t="n"/>
      <c r="V271" s="109" t="n"/>
      <c r="Z271" s="109" t="n"/>
      <c r="AA271" s="109" t="n"/>
      <c r="AB271" s="109" t="n"/>
      <c r="AF271" s="109" t="n"/>
      <c r="AG271" s="109" t="n"/>
      <c r="AH271" s="109" t="n"/>
      <c r="AL271" s="109" t="n"/>
      <c r="AM271" s="109" t="n"/>
      <c r="AN271" s="109" t="n"/>
    </row>
    <row r="272" ht="15.75" customHeight="1" s="216">
      <c r="D272" s="109" t="n"/>
      <c r="E272" s="109" t="n"/>
      <c r="J272" s="109" t="n"/>
      <c r="K272" s="109" t="n"/>
      <c r="L272" s="109" t="n"/>
      <c r="N272" s="109" t="n"/>
      <c r="O272" s="109" t="n"/>
      <c r="P272" s="109" t="n"/>
      <c r="T272" s="109" t="n"/>
      <c r="U272" s="109" t="n"/>
      <c r="V272" s="109" t="n"/>
      <c r="Z272" s="109" t="n"/>
      <c r="AA272" s="109" t="n"/>
      <c r="AB272" s="109" t="n"/>
      <c r="AF272" s="109" t="n"/>
      <c r="AG272" s="109" t="n"/>
      <c r="AH272" s="109" t="n"/>
      <c r="AL272" s="109" t="n"/>
      <c r="AM272" s="109" t="n"/>
      <c r="AN272" s="109" t="n"/>
    </row>
    <row r="273" ht="15.75" customHeight="1" s="216">
      <c r="D273" s="109" t="n"/>
      <c r="E273" s="109" t="n"/>
      <c r="J273" s="109" t="n"/>
      <c r="K273" s="109" t="n"/>
      <c r="L273" s="109" t="n"/>
      <c r="N273" s="109" t="n"/>
      <c r="O273" s="109" t="n"/>
      <c r="P273" s="109" t="n"/>
      <c r="T273" s="109" t="n"/>
      <c r="U273" s="109" t="n"/>
      <c r="V273" s="109" t="n"/>
      <c r="Z273" s="109" t="n"/>
      <c r="AA273" s="109" t="n"/>
      <c r="AB273" s="109" t="n"/>
      <c r="AF273" s="109" t="n"/>
      <c r="AG273" s="109" t="n"/>
      <c r="AH273" s="109" t="n"/>
      <c r="AL273" s="109" t="n"/>
      <c r="AM273" s="109" t="n"/>
      <c r="AN273" s="109" t="n"/>
    </row>
    <row r="274" ht="15.75" customHeight="1" s="216">
      <c r="D274" s="109" t="n"/>
      <c r="E274" s="109" t="n"/>
      <c r="J274" s="109" t="n"/>
      <c r="K274" s="109" t="n"/>
      <c r="L274" s="109" t="n"/>
      <c r="N274" s="109" t="n"/>
      <c r="O274" s="109" t="n"/>
      <c r="P274" s="109" t="n"/>
      <c r="T274" s="109" t="n"/>
      <c r="U274" s="109" t="n"/>
      <c r="V274" s="109" t="n"/>
      <c r="Z274" s="109" t="n"/>
      <c r="AA274" s="109" t="n"/>
      <c r="AB274" s="109" t="n"/>
      <c r="AF274" s="109" t="n"/>
      <c r="AG274" s="109" t="n"/>
      <c r="AH274" s="109" t="n"/>
      <c r="AL274" s="109" t="n"/>
      <c r="AM274" s="109" t="n"/>
      <c r="AN274" s="109" t="n"/>
    </row>
    <row r="275" ht="15.75" customHeight="1" s="216">
      <c r="D275" s="109" t="n"/>
      <c r="E275" s="109" t="n"/>
      <c r="J275" s="109" t="n"/>
      <c r="K275" s="109" t="n"/>
      <c r="L275" s="109" t="n"/>
      <c r="N275" s="109" t="n"/>
      <c r="O275" s="109" t="n"/>
      <c r="P275" s="109" t="n"/>
      <c r="T275" s="109" t="n"/>
      <c r="U275" s="109" t="n"/>
      <c r="V275" s="109" t="n"/>
      <c r="Z275" s="109" t="n"/>
      <c r="AA275" s="109" t="n"/>
      <c r="AB275" s="109" t="n"/>
      <c r="AF275" s="109" t="n"/>
      <c r="AG275" s="109" t="n"/>
      <c r="AH275" s="109" t="n"/>
      <c r="AL275" s="109" t="n"/>
      <c r="AM275" s="109" t="n"/>
      <c r="AN275" s="109" t="n"/>
    </row>
    <row r="276" ht="15.75" customHeight="1" s="216">
      <c r="D276" s="109" t="n"/>
      <c r="E276" s="109" t="n"/>
      <c r="J276" s="109" t="n"/>
      <c r="K276" s="109" t="n"/>
      <c r="L276" s="109" t="n"/>
      <c r="N276" s="109" t="n"/>
      <c r="O276" s="109" t="n"/>
      <c r="P276" s="109" t="n"/>
      <c r="T276" s="109" t="n"/>
      <c r="U276" s="109" t="n"/>
      <c r="V276" s="109" t="n"/>
      <c r="Z276" s="109" t="n"/>
      <c r="AA276" s="109" t="n"/>
      <c r="AB276" s="109" t="n"/>
      <c r="AF276" s="109" t="n"/>
      <c r="AG276" s="109" t="n"/>
      <c r="AH276" s="109" t="n"/>
      <c r="AL276" s="109" t="n"/>
      <c r="AM276" s="109" t="n"/>
      <c r="AN276" s="109" t="n"/>
    </row>
    <row r="277" ht="15.75" customHeight="1" s="216">
      <c r="D277" s="109" t="n"/>
      <c r="E277" s="109" t="n"/>
      <c r="J277" s="109" t="n"/>
      <c r="K277" s="109" t="n"/>
      <c r="L277" s="109" t="n"/>
      <c r="N277" s="109" t="n"/>
      <c r="O277" s="109" t="n"/>
      <c r="P277" s="109" t="n"/>
      <c r="T277" s="109" t="n"/>
      <c r="U277" s="109" t="n"/>
      <c r="V277" s="109" t="n"/>
      <c r="Z277" s="109" t="n"/>
      <c r="AA277" s="109" t="n"/>
      <c r="AB277" s="109" t="n"/>
      <c r="AF277" s="109" t="n"/>
      <c r="AG277" s="109" t="n"/>
      <c r="AH277" s="109" t="n"/>
      <c r="AL277" s="109" t="n"/>
      <c r="AM277" s="109" t="n"/>
      <c r="AN277" s="109" t="n"/>
    </row>
    <row r="278" ht="15.75" customHeight="1" s="216">
      <c r="D278" s="109" t="n"/>
      <c r="E278" s="109" t="n"/>
      <c r="J278" s="109" t="n"/>
      <c r="K278" s="109" t="n"/>
      <c r="L278" s="109" t="n"/>
      <c r="N278" s="109" t="n"/>
      <c r="O278" s="109" t="n"/>
      <c r="P278" s="109" t="n"/>
      <c r="T278" s="109" t="n"/>
      <c r="U278" s="109" t="n"/>
      <c r="V278" s="109" t="n"/>
      <c r="Z278" s="109" t="n"/>
      <c r="AA278" s="109" t="n"/>
      <c r="AB278" s="109" t="n"/>
      <c r="AF278" s="109" t="n"/>
      <c r="AG278" s="109" t="n"/>
      <c r="AH278" s="109" t="n"/>
      <c r="AL278" s="109" t="n"/>
      <c r="AM278" s="109" t="n"/>
      <c r="AN278" s="109" t="n"/>
    </row>
    <row r="279" ht="15.75" customHeight="1" s="216">
      <c r="D279" s="109" t="n"/>
      <c r="E279" s="109" t="n"/>
      <c r="J279" s="109" t="n"/>
      <c r="K279" s="109" t="n"/>
      <c r="L279" s="109" t="n"/>
      <c r="N279" s="109" t="n"/>
      <c r="O279" s="109" t="n"/>
      <c r="P279" s="109" t="n"/>
      <c r="T279" s="109" t="n"/>
      <c r="U279" s="109" t="n"/>
      <c r="V279" s="109" t="n"/>
      <c r="Z279" s="109" t="n"/>
      <c r="AA279" s="109" t="n"/>
      <c r="AB279" s="109" t="n"/>
      <c r="AF279" s="109" t="n"/>
      <c r="AG279" s="109" t="n"/>
      <c r="AH279" s="109" t="n"/>
      <c r="AL279" s="109" t="n"/>
      <c r="AM279" s="109" t="n"/>
      <c r="AN279" s="109" t="n"/>
    </row>
    <row r="280" ht="15.75" customHeight="1" s="216">
      <c r="D280" s="109" t="n"/>
      <c r="E280" s="109" t="n"/>
      <c r="J280" s="109" t="n"/>
      <c r="K280" s="109" t="n"/>
      <c r="L280" s="109" t="n"/>
      <c r="N280" s="109" t="n"/>
      <c r="O280" s="109" t="n"/>
      <c r="P280" s="109" t="n"/>
      <c r="T280" s="109" t="n"/>
      <c r="U280" s="109" t="n"/>
      <c r="V280" s="109" t="n"/>
      <c r="Z280" s="109" t="n"/>
      <c r="AA280" s="109" t="n"/>
      <c r="AB280" s="109" t="n"/>
      <c r="AF280" s="109" t="n"/>
      <c r="AG280" s="109" t="n"/>
      <c r="AH280" s="109" t="n"/>
      <c r="AL280" s="109" t="n"/>
      <c r="AM280" s="109" t="n"/>
      <c r="AN280" s="109" t="n"/>
    </row>
    <row r="281" ht="15.75" customHeight="1" s="216">
      <c r="D281" s="109" t="n"/>
      <c r="E281" s="109" t="n"/>
      <c r="J281" s="109" t="n"/>
      <c r="K281" s="109" t="n"/>
      <c r="L281" s="109" t="n"/>
      <c r="N281" s="109" t="n"/>
      <c r="O281" s="109" t="n"/>
      <c r="P281" s="109" t="n"/>
      <c r="T281" s="109" t="n"/>
      <c r="U281" s="109" t="n"/>
      <c r="V281" s="109" t="n"/>
      <c r="Z281" s="109" t="n"/>
      <c r="AA281" s="109" t="n"/>
      <c r="AB281" s="109" t="n"/>
      <c r="AF281" s="109" t="n"/>
      <c r="AG281" s="109" t="n"/>
      <c r="AH281" s="109" t="n"/>
      <c r="AL281" s="109" t="n"/>
      <c r="AM281" s="109" t="n"/>
      <c r="AN281" s="109" t="n"/>
    </row>
    <row r="282" ht="15.75" customHeight="1" s="216">
      <c r="D282" s="109" t="n"/>
      <c r="E282" s="109" t="n"/>
      <c r="J282" s="109" t="n"/>
      <c r="K282" s="109" t="n"/>
      <c r="L282" s="109" t="n"/>
      <c r="N282" s="109" t="n"/>
      <c r="O282" s="109" t="n"/>
      <c r="P282" s="109" t="n"/>
      <c r="T282" s="109" t="n"/>
      <c r="U282" s="109" t="n"/>
      <c r="V282" s="109" t="n"/>
      <c r="Z282" s="109" t="n"/>
      <c r="AA282" s="109" t="n"/>
      <c r="AB282" s="109" t="n"/>
      <c r="AF282" s="109" t="n"/>
      <c r="AG282" s="109" t="n"/>
      <c r="AH282" s="109" t="n"/>
      <c r="AL282" s="109" t="n"/>
      <c r="AM282" s="109" t="n"/>
      <c r="AN282" s="109" t="n"/>
    </row>
    <row r="283" ht="15.75" customHeight="1" s="216">
      <c r="D283" s="109" t="n"/>
      <c r="E283" s="109" t="n"/>
      <c r="J283" s="109" t="n"/>
      <c r="K283" s="109" t="n"/>
      <c r="L283" s="109" t="n"/>
      <c r="N283" s="109" t="n"/>
      <c r="O283" s="109" t="n"/>
      <c r="P283" s="109" t="n"/>
      <c r="T283" s="109" t="n"/>
      <c r="U283" s="109" t="n"/>
      <c r="V283" s="109" t="n"/>
      <c r="Z283" s="109" t="n"/>
      <c r="AA283" s="109" t="n"/>
      <c r="AB283" s="109" t="n"/>
      <c r="AF283" s="109" t="n"/>
      <c r="AG283" s="109" t="n"/>
      <c r="AH283" s="109" t="n"/>
      <c r="AL283" s="109" t="n"/>
      <c r="AM283" s="109" t="n"/>
      <c r="AN283" s="109" t="n"/>
    </row>
    <row r="284" ht="15.75" customHeight="1" s="216">
      <c r="D284" s="109" t="n"/>
      <c r="E284" s="109" t="n"/>
      <c r="J284" s="109" t="n"/>
      <c r="K284" s="109" t="n"/>
      <c r="L284" s="109" t="n"/>
      <c r="N284" s="109" t="n"/>
      <c r="O284" s="109" t="n"/>
      <c r="P284" s="109" t="n"/>
      <c r="T284" s="109" t="n"/>
      <c r="U284" s="109" t="n"/>
      <c r="V284" s="109" t="n"/>
      <c r="Z284" s="109" t="n"/>
      <c r="AA284" s="109" t="n"/>
      <c r="AB284" s="109" t="n"/>
      <c r="AF284" s="109" t="n"/>
      <c r="AG284" s="109" t="n"/>
      <c r="AH284" s="109" t="n"/>
      <c r="AL284" s="109" t="n"/>
      <c r="AM284" s="109" t="n"/>
      <c r="AN284" s="109" t="n"/>
    </row>
    <row r="285" ht="15.75" customHeight="1" s="216">
      <c r="D285" s="109" t="n"/>
      <c r="E285" s="109" t="n"/>
      <c r="J285" s="109" t="n"/>
      <c r="K285" s="109" t="n"/>
      <c r="L285" s="109" t="n"/>
      <c r="N285" s="109" t="n"/>
      <c r="O285" s="109" t="n"/>
      <c r="P285" s="109" t="n"/>
      <c r="T285" s="109" t="n"/>
      <c r="U285" s="109" t="n"/>
      <c r="V285" s="109" t="n"/>
      <c r="Z285" s="109" t="n"/>
      <c r="AA285" s="109" t="n"/>
      <c r="AB285" s="109" t="n"/>
      <c r="AF285" s="109" t="n"/>
      <c r="AG285" s="109" t="n"/>
      <c r="AH285" s="109" t="n"/>
      <c r="AL285" s="109" t="n"/>
      <c r="AM285" s="109" t="n"/>
      <c r="AN285" s="109" t="n"/>
    </row>
    <row r="286" ht="15.75" customHeight="1" s="216">
      <c r="D286" s="109" t="n"/>
      <c r="E286" s="109" t="n"/>
      <c r="J286" s="109" t="n"/>
      <c r="K286" s="109" t="n"/>
      <c r="L286" s="109" t="n"/>
      <c r="N286" s="109" t="n"/>
      <c r="O286" s="109" t="n"/>
      <c r="P286" s="109" t="n"/>
      <c r="T286" s="109" t="n"/>
      <c r="U286" s="109" t="n"/>
      <c r="V286" s="109" t="n"/>
      <c r="Z286" s="109" t="n"/>
      <c r="AA286" s="109" t="n"/>
      <c r="AB286" s="109" t="n"/>
      <c r="AF286" s="109" t="n"/>
      <c r="AG286" s="109" t="n"/>
      <c r="AH286" s="109" t="n"/>
      <c r="AL286" s="109" t="n"/>
      <c r="AM286" s="109" t="n"/>
      <c r="AN286" s="109" t="n"/>
    </row>
    <row r="287" ht="15.75" customHeight="1" s="216">
      <c r="D287" s="109" t="n"/>
      <c r="E287" s="109" t="n"/>
      <c r="J287" s="109" t="n"/>
      <c r="K287" s="109" t="n"/>
      <c r="L287" s="109" t="n"/>
      <c r="N287" s="109" t="n"/>
      <c r="O287" s="109" t="n"/>
      <c r="P287" s="109" t="n"/>
      <c r="T287" s="109" t="n"/>
      <c r="U287" s="109" t="n"/>
      <c r="V287" s="109" t="n"/>
      <c r="Z287" s="109" t="n"/>
      <c r="AA287" s="109" t="n"/>
      <c r="AB287" s="109" t="n"/>
      <c r="AF287" s="109" t="n"/>
      <c r="AG287" s="109" t="n"/>
      <c r="AH287" s="109" t="n"/>
      <c r="AL287" s="109" t="n"/>
      <c r="AM287" s="109" t="n"/>
      <c r="AN287" s="109" t="n"/>
    </row>
    <row r="288" ht="15.75" customHeight="1" s="216">
      <c r="D288" s="109" t="n"/>
      <c r="E288" s="109" t="n"/>
      <c r="J288" s="109" t="n"/>
      <c r="K288" s="109" t="n"/>
      <c r="L288" s="109" t="n"/>
      <c r="N288" s="109" t="n"/>
      <c r="O288" s="109" t="n"/>
      <c r="P288" s="109" t="n"/>
      <c r="T288" s="109" t="n"/>
      <c r="U288" s="109" t="n"/>
      <c r="V288" s="109" t="n"/>
      <c r="Z288" s="109" t="n"/>
      <c r="AA288" s="109" t="n"/>
      <c r="AB288" s="109" t="n"/>
      <c r="AF288" s="109" t="n"/>
      <c r="AG288" s="109" t="n"/>
      <c r="AH288" s="109" t="n"/>
      <c r="AL288" s="109" t="n"/>
      <c r="AM288" s="109" t="n"/>
      <c r="AN288" s="109" t="n"/>
    </row>
    <row r="289" ht="15.75" customHeight="1" s="216">
      <c r="D289" s="109" t="n"/>
      <c r="E289" s="109" t="n"/>
      <c r="J289" s="109" t="n"/>
      <c r="K289" s="109" t="n"/>
      <c r="L289" s="109" t="n"/>
      <c r="N289" s="109" t="n"/>
      <c r="O289" s="109" t="n"/>
      <c r="P289" s="109" t="n"/>
      <c r="T289" s="109" t="n"/>
      <c r="U289" s="109" t="n"/>
      <c r="V289" s="109" t="n"/>
      <c r="Z289" s="109" t="n"/>
      <c r="AA289" s="109" t="n"/>
      <c r="AB289" s="109" t="n"/>
      <c r="AF289" s="109" t="n"/>
      <c r="AG289" s="109" t="n"/>
      <c r="AH289" s="109" t="n"/>
      <c r="AL289" s="109" t="n"/>
      <c r="AM289" s="109" t="n"/>
      <c r="AN289" s="109" t="n"/>
    </row>
    <row r="290" ht="15.75" customHeight="1" s="216">
      <c r="D290" s="109" t="n"/>
      <c r="E290" s="109" t="n"/>
      <c r="J290" s="109" t="n"/>
      <c r="K290" s="109" t="n"/>
      <c r="L290" s="109" t="n"/>
      <c r="N290" s="109" t="n"/>
      <c r="O290" s="109" t="n"/>
      <c r="P290" s="109" t="n"/>
      <c r="T290" s="109" t="n"/>
      <c r="U290" s="109" t="n"/>
      <c r="V290" s="109" t="n"/>
      <c r="Z290" s="109" t="n"/>
      <c r="AA290" s="109" t="n"/>
      <c r="AB290" s="109" t="n"/>
      <c r="AF290" s="109" t="n"/>
      <c r="AG290" s="109" t="n"/>
      <c r="AH290" s="109" t="n"/>
      <c r="AL290" s="109" t="n"/>
      <c r="AM290" s="109" t="n"/>
      <c r="AN290" s="109" t="n"/>
    </row>
    <row r="291" ht="15.75" customHeight="1" s="216">
      <c r="D291" s="109" t="n"/>
      <c r="E291" s="109" t="n"/>
      <c r="J291" s="109" t="n"/>
      <c r="K291" s="109" t="n"/>
      <c r="L291" s="109" t="n"/>
      <c r="N291" s="109" t="n"/>
      <c r="O291" s="109" t="n"/>
      <c r="P291" s="109" t="n"/>
      <c r="T291" s="109" t="n"/>
      <c r="U291" s="109" t="n"/>
      <c r="V291" s="109" t="n"/>
      <c r="Z291" s="109" t="n"/>
      <c r="AA291" s="109" t="n"/>
      <c r="AB291" s="109" t="n"/>
      <c r="AF291" s="109" t="n"/>
      <c r="AG291" s="109" t="n"/>
      <c r="AH291" s="109" t="n"/>
      <c r="AL291" s="109" t="n"/>
      <c r="AM291" s="109" t="n"/>
      <c r="AN291" s="109" t="n"/>
    </row>
    <row r="292" ht="15.75" customHeight="1" s="216">
      <c r="D292" s="109" t="n"/>
      <c r="E292" s="109" t="n"/>
      <c r="J292" s="109" t="n"/>
      <c r="K292" s="109" t="n"/>
      <c r="L292" s="109" t="n"/>
      <c r="N292" s="109" t="n"/>
      <c r="O292" s="109" t="n"/>
      <c r="P292" s="109" t="n"/>
      <c r="T292" s="109" t="n"/>
      <c r="U292" s="109" t="n"/>
      <c r="V292" s="109" t="n"/>
      <c r="Z292" s="109" t="n"/>
      <c r="AA292" s="109" t="n"/>
      <c r="AB292" s="109" t="n"/>
      <c r="AF292" s="109" t="n"/>
      <c r="AG292" s="109" t="n"/>
      <c r="AH292" s="109" t="n"/>
      <c r="AL292" s="109" t="n"/>
      <c r="AM292" s="109" t="n"/>
      <c r="AN292" s="109" t="n"/>
    </row>
    <row r="293" ht="15.75" customHeight="1" s="216">
      <c r="D293" s="109" t="n"/>
      <c r="E293" s="109" t="n"/>
      <c r="J293" s="109" t="n"/>
      <c r="K293" s="109" t="n"/>
      <c r="L293" s="109" t="n"/>
      <c r="N293" s="109" t="n"/>
      <c r="O293" s="109" t="n"/>
      <c r="P293" s="109" t="n"/>
      <c r="T293" s="109" t="n"/>
      <c r="U293" s="109" t="n"/>
      <c r="V293" s="109" t="n"/>
      <c r="Z293" s="109" t="n"/>
      <c r="AA293" s="109" t="n"/>
      <c r="AB293" s="109" t="n"/>
      <c r="AF293" s="109" t="n"/>
      <c r="AG293" s="109" t="n"/>
      <c r="AH293" s="109" t="n"/>
      <c r="AL293" s="109" t="n"/>
      <c r="AM293" s="109" t="n"/>
      <c r="AN293" s="109" t="n"/>
    </row>
    <row r="294" ht="15.75" customHeight="1" s="216">
      <c r="D294" s="109" t="n"/>
      <c r="E294" s="109" t="n"/>
      <c r="J294" s="109" t="n"/>
      <c r="K294" s="109" t="n"/>
      <c r="L294" s="109" t="n"/>
      <c r="N294" s="109" t="n"/>
      <c r="O294" s="109" t="n"/>
      <c r="P294" s="109" t="n"/>
      <c r="T294" s="109" t="n"/>
      <c r="U294" s="109" t="n"/>
      <c r="V294" s="109" t="n"/>
      <c r="Z294" s="109" t="n"/>
      <c r="AA294" s="109" t="n"/>
      <c r="AB294" s="109" t="n"/>
      <c r="AF294" s="109" t="n"/>
      <c r="AG294" s="109" t="n"/>
      <c r="AH294" s="109" t="n"/>
      <c r="AL294" s="109" t="n"/>
      <c r="AM294" s="109" t="n"/>
      <c r="AN294" s="109" t="n"/>
    </row>
    <row r="295" ht="15.75" customHeight="1" s="216">
      <c r="D295" s="109" t="n"/>
      <c r="E295" s="109" t="n"/>
      <c r="J295" s="109" t="n"/>
      <c r="K295" s="109" t="n"/>
      <c r="L295" s="109" t="n"/>
      <c r="N295" s="109" t="n"/>
      <c r="O295" s="109" t="n"/>
      <c r="P295" s="109" t="n"/>
      <c r="T295" s="109" t="n"/>
      <c r="U295" s="109" t="n"/>
      <c r="V295" s="109" t="n"/>
      <c r="Z295" s="109" t="n"/>
      <c r="AA295" s="109" t="n"/>
      <c r="AB295" s="109" t="n"/>
      <c r="AF295" s="109" t="n"/>
      <c r="AG295" s="109" t="n"/>
      <c r="AH295" s="109" t="n"/>
      <c r="AL295" s="109" t="n"/>
      <c r="AM295" s="109" t="n"/>
      <c r="AN295" s="109" t="n"/>
    </row>
    <row r="296" ht="15.75" customHeight="1" s="216">
      <c r="D296" s="109" t="n"/>
      <c r="E296" s="109" t="n"/>
      <c r="J296" s="109" t="n"/>
      <c r="K296" s="109" t="n"/>
      <c r="L296" s="109" t="n"/>
      <c r="N296" s="109" t="n"/>
      <c r="O296" s="109" t="n"/>
      <c r="P296" s="109" t="n"/>
      <c r="T296" s="109" t="n"/>
      <c r="U296" s="109" t="n"/>
      <c r="V296" s="109" t="n"/>
      <c r="Z296" s="109" t="n"/>
      <c r="AA296" s="109" t="n"/>
      <c r="AB296" s="109" t="n"/>
      <c r="AF296" s="109" t="n"/>
      <c r="AG296" s="109" t="n"/>
      <c r="AH296" s="109" t="n"/>
      <c r="AL296" s="109" t="n"/>
      <c r="AM296" s="109" t="n"/>
      <c r="AN296" s="109" t="n"/>
    </row>
    <row r="297" ht="15.75" customHeight="1" s="216">
      <c r="D297" s="109" t="n"/>
      <c r="E297" s="109" t="n"/>
      <c r="J297" s="109" t="n"/>
      <c r="K297" s="109" t="n"/>
      <c r="L297" s="109" t="n"/>
      <c r="N297" s="109" t="n"/>
      <c r="O297" s="109" t="n"/>
      <c r="P297" s="109" t="n"/>
      <c r="T297" s="109" t="n"/>
      <c r="U297" s="109" t="n"/>
      <c r="V297" s="109" t="n"/>
      <c r="Z297" s="109" t="n"/>
      <c r="AA297" s="109" t="n"/>
      <c r="AB297" s="109" t="n"/>
      <c r="AF297" s="109" t="n"/>
      <c r="AG297" s="109" t="n"/>
      <c r="AH297" s="109" t="n"/>
      <c r="AL297" s="109" t="n"/>
      <c r="AM297" s="109" t="n"/>
      <c r="AN297" s="109" t="n"/>
    </row>
    <row r="298" ht="15.75" customHeight="1" s="216">
      <c r="D298" s="109" t="n"/>
      <c r="E298" s="109" t="n"/>
      <c r="J298" s="109" t="n"/>
      <c r="K298" s="109" t="n"/>
      <c r="L298" s="109" t="n"/>
      <c r="N298" s="109" t="n"/>
      <c r="O298" s="109" t="n"/>
      <c r="P298" s="109" t="n"/>
      <c r="T298" s="109" t="n"/>
      <c r="U298" s="109" t="n"/>
      <c r="V298" s="109" t="n"/>
      <c r="Z298" s="109" t="n"/>
      <c r="AA298" s="109" t="n"/>
      <c r="AB298" s="109" t="n"/>
      <c r="AF298" s="109" t="n"/>
      <c r="AG298" s="109" t="n"/>
      <c r="AH298" s="109" t="n"/>
      <c r="AL298" s="109" t="n"/>
      <c r="AM298" s="109" t="n"/>
      <c r="AN298" s="109" t="n"/>
    </row>
    <row r="299" ht="15.75" customHeight="1" s="216">
      <c r="D299" s="109" t="n"/>
      <c r="E299" s="109" t="n"/>
      <c r="J299" s="109" t="n"/>
      <c r="K299" s="109" t="n"/>
      <c r="L299" s="109" t="n"/>
      <c r="N299" s="109" t="n"/>
      <c r="O299" s="109" t="n"/>
      <c r="P299" s="109" t="n"/>
      <c r="T299" s="109" t="n"/>
      <c r="U299" s="109" t="n"/>
      <c r="V299" s="109" t="n"/>
      <c r="Z299" s="109" t="n"/>
      <c r="AA299" s="109" t="n"/>
      <c r="AB299" s="109" t="n"/>
      <c r="AF299" s="109" t="n"/>
      <c r="AG299" s="109" t="n"/>
      <c r="AH299" s="109" t="n"/>
      <c r="AL299" s="109" t="n"/>
      <c r="AM299" s="109" t="n"/>
      <c r="AN299" s="109" t="n"/>
    </row>
    <row r="300" ht="15.75" customHeight="1" s="216">
      <c r="D300" s="109" t="n"/>
      <c r="E300" s="109" t="n"/>
      <c r="J300" s="109" t="n"/>
      <c r="K300" s="109" t="n"/>
      <c r="L300" s="109" t="n"/>
      <c r="N300" s="109" t="n"/>
      <c r="O300" s="109" t="n"/>
      <c r="P300" s="109" t="n"/>
      <c r="T300" s="109" t="n"/>
      <c r="U300" s="109" t="n"/>
      <c r="V300" s="109" t="n"/>
      <c r="Z300" s="109" t="n"/>
      <c r="AA300" s="109" t="n"/>
      <c r="AB300" s="109" t="n"/>
      <c r="AF300" s="109" t="n"/>
      <c r="AG300" s="109" t="n"/>
      <c r="AH300" s="109" t="n"/>
      <c r="AL300" s="109" t="n"/>
      <c r="AM300" s="109" t="n"/>
      <c r="AN300" s="109" t="n"/>
    </row>
    <row r="301" ht="15.75" customHeight="1" s="216">
      <c r="D301" s="109" t="n"/>
      <c r="E301" s="109" t="n"/>
      <c r="J301" s="109" t="n"/>
      <c r="K301" s="109" t="n"/>
      <c r="L301" s="109" t="n"/>
      <c r="N301" s="109" t="n"/>
      <c r="O301" s="109" t="n"/>
      <c r="P301" s="109" t="n"/>
      <c r="T301" s="109" t="n"/>
      <c r="U301" s="109" t="n"/>
      <c r="V301" s="109" t="n"/>
      <c r="Z301" s="109" t="n"/>
      <c r="AA301" s="109" t="n"/>
      <c r="AB301" s="109" t="n"/>
      <c r="AF301" s="109" t="n"/>
      <c r="AG301" s="109" t="n"/>
      <c r="AH301" s="109" t="n"/>
      <c r="AL301" s="109" t="n"/>
      <c r="AM301" s="109" t="n"/>
      <c r="AN301" s="109" t="n"/>
    </row>
    <row r="302" ht="15.75" customHeight="1" s="216">
      <c r="D302" s="109" t="n"/>
      <c r="E302" s="109" t="n"/>
      <c r="J302" s="109" t="n"/>
      <c r="K302" s="109" t="n"/>
      <c r="L302" s="109" t="n"/>
      <c r="N302" s="109" t="n"/>
      <c r="O302" s="109" t="n"/>
      <c r="P302" s="109" t="n"/>
      <c r="T302" s="109" t="n"/>
      <c r="U302" s="109" t="n"/>
      <c r="V302" s="109" t="n"/>
      <c r="Z302" s="109" t="n"/>
      <c r="AA302" s="109" t="n"/>
      <c r="AB302" s="109" t="n"/>
      <c r="AF302" s="109" t="n"/>
      <c r="AG302" s="109" t="n"/>
      <c r="AH302" s="109" t="n"/>
      <c r="AL302" s="109" t="n"/>
      <c r="AM302" s="109" t="n"/>
      <c r="AN302" s="109" t="n"/>
    </row>
    <row r="303" ht="15.75" customHeight="1" s="216">
      <c r="D303" s="109" t="n"/>
      <c r="E303" s="109" t="n"/>
      <c r="J303" s="109" t="n"/>
      <c r="K303" s="109" t="n"/>
      <c r="L303" s="109" t="n"/>
      <c r="N303" s="109" t="n"/>
      <c r="O303" s="109" t="n"/>
      <c r="P303" s="109" t="n"/>
      <c r="T303" s="109" t="n"/>
      <c r="U303" s="109" t="n"/>
      <c r="V303" s="109" t="n"/>
      <c r="Z303" s="109" t="n"/>
      <c r="AA303" s="109" t="n"/>
      <c r="AB303" s="109" t="n"/>
      <c r="AF303" s="109" t="n"/>
      <c r="AG303" s="109" t="n"/>
      <c r="AH303" s="109" t="n"/>
      <c r="AL303" s="109" t="n"/>
      <c r="AM303" s="109" t="n"/>
      <c r="AN303" s="109" t="n"/>
    </row>
    <row r="304" ht="15.75" customHeight="1" s="216">
      <c r="D304" s="109" t="n"/>
      <c r="E304" s="109" t="n"/>
      <c r="J304" s="109" t="n"/>
      <c r="K304" s="109" t="n"/>
      <c r="L304" s="109" t="n"/>
      <c r="N304" s="109" t="n"/>
      <c r="O304" s="109" t="n"/>
      <c r="P304" s="109" t="n"/>
      <c r="T304" s="109" t="n"/>
      <c r="U304" s="109" t="n"/>
      <c r="V304" s="109" t="n"/>
      <c r="Z304" s="109" t="n"/>
      <c r="AA304" s="109" t="n"/>
      <c r="AB304" s="109" t="n"/>
      <c r="AF304" s="109" t="n"/>
      <c r="AG304" s="109" t="n"/>
      <c r="AH304" s="109" t="n"/>
      <c r="AL304" s="109" t="n"/>
      <c r="AM304" s="109" t="n"/>
      <c r="AN304" s="109" t="n"/>
    </row>
    <row r="305" ht="15.75" customHeight="1" s="216">
      <c r="D305" s="109" t="n"/>
      <c r="E305" s="109" t="n"/>
      <c r="J305" s="109" t="n"/>
      <c r="K305" s="109" t="n"/>
      <c r="L305" s="109" t="n"/>
      <c r="N305" s="109" t="n"/>
      <c r="O305" s="109" t="n"/>
      <c r="P305" s="109" t="n"/>
      <c r="T305" s="109" t="n"/>
      <c r="U305" s="109" t="n"/>
      <c r="V305" s="109" t="n"/>
      <c r="Z305" s="109" t="n"/>
      <c r="AA305" s="109" t="n"/>
      <c r="AB305" s="109" t="n"/>
      <c r="AF305" s="109" t="n"/>
      <c r="AG305" s="109" t="n"/>
      <c r="AH305" s="109" t="n"/>
      <c r="AL305" s="109" t="n"/>
      <c r="AM305" s="109" t="n"/>
      <c r="AN305" s="109" t="n"/>
    </row>
    <row r="306" ht="15.75" customHeight="1" s="216">
      <c r="D306" s="109" t="n"/>
      <c r="E306" s="109" t="n"/>
      <c r="J306" s="109" t="n"/>
      <c r="K306" s="109" t="n"/>
      <c r="L306" s="109" t="n"/>
      <c r="N306" s="109" t="n"/>
      <c r="O306" s="109" t="n"/>
      <c r="P306" s="109" t="n"/>
      <c r="T306" s="109" t="n"/>
      <c r="U306" s="109" t="n"/>
      <c r="V306" s="109" t="n"/>
      <c r="Z306" s="109" t="n"/>
      <c r="AA306" s="109" t="n"/>
      <c r="AB306" s="109" t="n"/>
      <c r="AF306" s="109" t="n"/>
      <c r="AG306" s="109" t="n"/>
      <c r="AH306" s="109" t="n"/>
      <c r="AL306" s="109" t="n"/>
      <c r="AM306" s="109" t="n"/>
      <c r="AN306" s="109" t="n"/>
    </row>
    <row r="307" ht="15.75" customHeight="1" s="216">
      <c r="D307" s="109" t="n"/>
      <c r="E307" s="109" t="n"/>
      <c r="J307" s="109" t="n"/>
      <c r="K307" s="109" t="n"/>
      <c r="L307" s="109" t="n"/>
      <c r="N307" s="109" t="n"/>
      <c r="O307" s="109" t="n"/>
      <c r="P307" s="109" t="n"/>
      <c r="T307" s="109" t="n"/>
      <c r="U307" s="109" t="n"/>
      <c r="V307" s="109" t="n"/>
      <c r="Z307" s="109" t="n"/>
      <c r="AA307" s="109" t="n"/>
      <c r="AB307" s="109" t="n"/>
      <c r="AF307" s="109" t="n"/>
      <c r="AG307" s="109" t="n"/>
      <c r="AH307" s="109" t="n"/>
      <c r="AL307" s="109" t="n"/>
      <c r="AM307" s="109" t="n"/>
      <c r="AN307" s="109" t="n"/>
    </row>
    <row r="308" ht="15.75" customHeight="1" s="216">
      <c r="D308" s="109" t="n"/>
      <c r="E308" s="109" t="n"/>
      <c r="J308" s="109" t="n"/>
      <c r="K308" s="109" t="n"/>
      <c r="L308" s="109" t="n"/>
      <c r="N308" s="109" t="n"/>
      <c r="O308" s="109" t="n"/>
      <c r="P308" s="109" t="n"/>
      <c r="T308" s="109" t="n"/>
      <c r="U308" s="109" t="n"/>
      <c r="V308" s="109" t="n"/>
      <c r="Z308" s="109" t="n"/>
      <c r="AA308" s="109" t="n"/>
      <c r="AB308" s="109" t="n"/>
      <c r="AF308" s="109" t="n"/>
      <c r="AG308" s="109" t="n"/>
      <c r="AH308" s="109" t="n"/>
      <c r="AL308" s="109" t="n"/>
      <c r="AM308" s="109" t="n"/>
      <c r="AN308" s="109" t="n"/>
    </row>
    <row r="309" ht="15.75" customHeight="1" s="216">
      <c r="D309" s="109" t="n"/>
      <c r="E309" s="109" t="n"/>
      <c r="J309" s="109" t="n"/>
      <c r="K309" s="109" t="n"/>
      <c r="L309" s="109" t="n"/>
      <c r="N309" s="109" t="n"/>
      <c r="O309" s="109" t="n"/>
      <c r="P309" s="109" t="n"/>
      <c r="T309" s="109" t="n"/>
      <c r="U309" s="109" t="n"/>
      <c r="V309" s="109" t="n"/>
      <c r="Z309" s="109" t="n"/>
      <c r="AA309" s="109" t="n"/>
      <c r="AB309" s="109" t="n"/>
      <c r="AF309" s="109" t="n"/>
      <c r="AG309" s="109" t="n"/>
      <c r="AH309" s="109" t="n"/>
      <c r="AL309" s="109" t="n"/>
      <c r="AM309" s="109" t="n"/>
      <c r="AN309" s="109" t="n"/>
    </row>
    <row r="310" ht="15.75" customHeight="1" s="216">
      <c r="D310" s="109" t="n"/>
      <c r="E310" s="109" t="n"/>
      <c r="J310" s="109" t="n"/>
      <c r="K310" s="109" t="n"/>
      <c r="L310" s="109" t="n"/>
      <c r="N310" s="109" t="n"/>
      <c r="O310" s="109" t="n"/>
      <c r="P310" s="109" t="n"/>
      <c r="T310" s="109" t="n"/>
      <c r="U310" s="109" t="n"/>
      <c r="V310" s="109" t="n"/>
      <c r="Z310" s="109" t="n"/>
      <c r="AA310" s="109" t="n"/>
      <c r="AB310" s="109" t="n"/>
      <c r="AF310" s="109" t="n"/>
      <c r="AG310" s="109" t="n"/>
      <c r="AH310" s="109" t="n"/>
      <c r="AL310" s="109" t="n"/>
      <c r="AM310" s="109" t="n"/>
      <c r="AN310" s="109" t="n"/>
    </row>
    <row r="311" ht="15.75" customHeight="1" s="216">
      <c r="D311" s="109" t="n"/>
      <c r="E311" s="109" t="n"/>
      <c r="J311" s="109" t="n"/>
      <c r="K311" s="109" t="n"/>
      <c r="L311" s="109" t="n"/>
      <c r="N311" s="109" t="n"/>
      <c r="O311" s="109" t="n"/>
      <c r="P311" s="109" t="n"/>
      <c r="T311" s="109" t="n"/>
      <c r="U311" s="109" t="n"/>
      <c r="V311" s="109" t="n"/>
      <c r="Z311" s="109" t="n"/>
      <c r="AA311" s="109" t="n"/>
      <c r="AB311" s="109" t="n"/>
      <c r="AF311" s="109" t="n"/>
      <c r="AG311" s="109" t="n"/>
      <c r="AH311" s="109" t="n"/>
      <c r="AL311" s="109" t="n"/>
      <c r="AM311" s="109" t="n"/>
      <c r="AN311" s="109" t="n"/>
    </row>
    <row r="312" ht="15.75" customHeight="1" s="216">
      <c r="D312" s="109" t="n"/>
      <c r="E312" s="109" t="n"/>
      <c r="J312" s="109" t="n"/>
      <c r="K312" s="109" t="n"/>
      <c r="L312" s="109" t="n"/>
      <c r="N312" s="109" t="n"/>
      <c r="O312" s="109" t="n"/>
      <c r="P312" s="109" t="n"/>
      <c r="T312" s="109" t="n"/>
      <c r="U312" s="109" t="n"/>
      <c r="V312" s="109" t="n"/>
      <c r="Z312" s="109" t="n"/>
      <c r="AA312" s="109" t="n"/>
      <c r="AB312" s="109" t="n"/>
      <c r="AF312" s="109" t="n"/>
      <c r="AG312" s="109" t="n"/>
      <c r="AH312" s="109" t="n"/>
      <c r="AL312" s="109" t="n"/>
      <c r="AM312" s="109" t="n"/>
      <c r="AN312" s="109" t="n"/>
    </row>
    <row r="313" ht="15.75" customHeight="1" s="216">
      <c r="D313" s="109" t="n"/>
      <c r="E313" s="109" t="n"/>
      <c r="J313" s="109" t="n"/>
      <c r="K313" s="109" t="n"/>
      <c r="L313" s="109" t="n"/>
      <c r="N313" s="109" t="n"/>
      <c r="O313" s="109" t="n"/>
      <c r="P313" s="109" t="n"/>
      <c r="T313" s="109" t="n"/>
      <c r="U313" s="109" t="n"/>
      <c r="V313" s="109" t="n"/>
      <c r="Z313" s="109" t="n"/>
      <c r="AA313" s="109" t="n"/>
      <c r="AB313" s="109" t="n"/>
      <c r="AF313" s="109" t="n"/>
      <c r="AG313" s="109" t="n"/>
      <c r="AH313" s="109" t="n"/>
      <c r="AL313" s="109" t="n"/>
      <c r="AM313" s="109" t="n"/>
      <c r="AN313" s="109" t="n"/>
    </row>
    <row r="314" ht="15.75" customHeight="1" s="216">
      <c r="D314" s="109" t="n"/>
      <c r="E314" s="109" t="n"/>
      <c r="J314" s="109" t="n"/>
      <c r="K314" s="109" t="n"/>
      <c r="L314" s="109" t="n"/>
      <c r="N314" s="109" t="n"/>
      <c r="O314" s="109" t="n"/>
      <c r="P314" s="109" t="n"/>
      <c r="T314" s="109" t="n"/>
      <c r="U314" s="109" t="n"/>
      <c r="V314" s="109" t="n"/>
      <c r="Z314" s="109" t="n"/>
      <c r="AA314" s="109" t="n"/>
      <c r="AB314" s="109" t="n"/>
      <c r="AF314" s="109" t="n"/>
      <c r="AG314" s="109" t="n"/>
      <c r="AH314" s="109" t="n"/>
      <c r="AL314" s="109" t="n"/>
      <c r="AM314" s="109" t="n"/>
      <c r="AN314" s="109" t="n"/>
    </row>
    <row r="315" ht="15.75" customHeight="1" s="216">
      <c r="D315" s="109" t="n"/>
      <c r="E315" s="109" t="n"/>
      <c r="J315" s="109" t="n"/>
      <c r="K315" s="109" t="n"/>
      <c r="L315" s="109" t="n"/>
      <c r="N315" s="109" t="n"/>
      <c r="O315" s="109" t="n"/>
      <c r="P315" s="109" t="n"/>
      <c r="T315" s="109" t="n"/>
      <c r="U315" s="109" t="n"/>
      <c r="V315" s="109" t="n"/>
      <c r="Z315" s="109" t="n"/>
      <c r="AA315" s="109" t="n"/>
      <c r="AB315" s="109" t="n"/>
      <c r="AF315" s="109" t="n"/>
      <c r="AG315" s="109" t="n"/>
      <c r="AH315" s="109" t="n"/>
      <c r="AL315" s="109" t="n"/>
      <c r="AM315" s="109" t="n"/>
      <c r="AN315" s="109" t="n"/>
    </row>
    <row r="316" ht="15.75" customHeight="1" s="216">
      <c r="D316" s="109" t="n"/>
      <c r="E316" s="109" t="n"/>
      <c r="J316" s="109" t="n"/>
      <c r="K316" s="109" t="n"/>
      <c r="L316" s="109" t="n"/>
      <c r="N316" s="109" t="n"/>
      <c r="O316" s="109" t="n"/>
      <c r="P316" s="109" t="n"/>
      <c r="T316" s="109" t="n"/>
      <c r="U316" s="109" t="n"/>
      <c r="V316" s="109" t="n"/>
      <c r="Z316" s="109" t="n"/>
      <c r="AA316" s="109" t="n"/>
      <c r="AB316" s="109" t="n"/>
      <c r="AF316" s="109" t="n"/>
      <c r="AG316" s="109" t="n"/>
      <c r="AH316" s="109" t="n"/>
      <c r="AL316" s="109" t="n"/>
      <c r="AM316" s="109" t="n"/>
      <c r="AN316" s="109" t="n"/>
    </row>
    <row r="317" ht="15.75" customHeight="1" s="216">
      <c r="D317" s="109" t="n"/>
      <c r="E317" s="109" t="n"/>
      <c r="J317" s="109" t="n"/>
      <c r="K317" s="109" t="n"/>
      <c r="L317" s="109" t="n"/>
      <c r="N317" s="109" t="n"/>
      <c r="O317" s="109" t="n"/>
      <c r="P317" s="109" t="n"/>
      <c r="T317" s="109" t="n"/>
      <c r="U317" s="109" t="n"/>
      <c r="V317" s="109" t="n"/>
      <c r="Z317" s="109" t="n"/>
      <c r="AA317" s="109" t="n"/>
      <c r="AB317" s="109" t="n"/>
      <c r="AF317" s="109" t="n"/>
      <c r="AG317" s="109" t="n"/>
      <c r="AH317" s="109" t="n"/>
      <c r="AL317" s="109" t="n"/>
      <c r="AM317" s="109" t="n"/>
      <c r="AN317" s="109" t="n"/>
    </row>
    <row r="318" ht="15.75" customHeight="1" s="216">
      <c r="D318" s="109" t="n"/>
      <c r="E318" s="109" t="n"/>
      <c r="J318" s="109" t="n"/>
      <c r="K318" s="109" t="n"/>
      <c r="L318" s="109" t="n"/>
      <c r="N318" s="109" t="n"/>
      <c r="O318" s="109" t="n"/>
      <c r="P318" s="109" t="n"/>
      <c r="T318" s="109" t="n"/>
      <c r="U318" s="109" t="n"/>
      <c r="V318" s="109" t="n"/>
      <c r="Z318" s="109" t="n"/>
      <c r="AA318" s="109" t="n"/>
      <c r="AB318" s="109" t="n"/>
      <c r="AF318" s="109" t="n"/>
      <c r="AG318" s="109" t="n"/>
      <c r="AH318" s="109" t="n"/>
      <c r="AL318" s="109" t="n"/>
      <c r="AM318" s="109" t="n"/>
      <c r="AN318" s="109" t="n"/>
    </row>
    <row r="319" ht="15.75" customHeight="1" s="216">
      <c r="D319" s="109" t="n"/>
      <c r="E319" s="109" t="n"/>
      <c r="J319" s="109" t="n"/>
      <c r="K319" s="109" t="n"/>
      <c r="L319" s="109" t="n"/>
      <c r="N319" s="109" t="n"/>
      <c r="O319" s="109" t="n"/>
      <c r="P319" s="109" t="n"/>
      <c r="T319" s="109" t="n"/>
      <c r="U319" s="109" t="n"/>
      <c r="V319" s="109" t="n"/>
      <c r="Z319" s="109" t="n"/>
      <c r="AA319" s="109" t="n"/>
      <c r="AB319" s="109" t="n"/>
      <c r="AF319" s="109" t="n"/>
      <c r="AG319" s="109" t="n"/>
      <c r="AH319" s="109" t="n"/>
      <c r="AL319" s="109" t="n"/>
      <c r="AM319" s="109" t="n"/>
      <c r="AN319" s="109" t="n"/>
    </row>
    <row r="320" ht="15.75" customHeight="1" s="216">
      <c r="D320" s="109" t="n"/>
      <c r="E320" s="109" t="n"/>
      <c r="J320" s="109" t="n"/>
      <c r="K320" s="109" t="n"/>
      <c r="L320" s="109" t="n"/>
      <c r="N320" s="109" t="n"/>
      <c r="O320" s="109" t="n"/>
      <c r="P320" s="109" t="n"/>
      <c r="T320" s="109" t="n"/>
      <c r="U320" s="109" t="n"/>
      <c r="V320" s="109" t="n"/>
      <c r="Z320" s="109" t="n"/>
      <c r="AA320" s="109" t="n"/>
      <c r="AB320" s="109" t="n"/>
      <c r="AF320" s="109" t="n"/>
      <c r="AG320" s="109" t="n"/>
      <c r="AH320" s="109" t="n"/>
      <c r="AL320" s="109" t="n"/>
      <c r="AM320" s="109" t="n"/>
      <c r="AN320" s="109" t="n"/>
    </row>
    <row r="321" ht="15.75" customHeight="1" s="216">
      <c r="D321" s="109" t="n"/>
      <c r="E321" s="109" t="n"/>
      <c r="J321" s="109" t="n"/>
      <c r="K321" s="109" t="n"/>
      <c r="L321" s="109" t="n"/>
      <c r="N321" s="109" t="n"/>
      <c r="O321" s="109" t="n"/>
      <c r="P321" s="109" t="n"/>
      <c r="T321" s="109" t="n"/>
      <c r="U321" s="109" t="n"/>
      <c r="V321" s="109" t="n"/>
      <c r="Z321" s="109" t="n"/>
      <c r="AA321" s="109" t="n"/>
      <c r="AB321" s="109" t="n"/>
      <c r="AF321" s="109" t="n"/>
      <c r="AG321" s="109" t="n"/>
      <c r="AH321" s="109" t="n"/>
      <c r="AL321" s="109" t="n"/>
      <c r="AM321" s="109" t="n"/>
      <c r="AN321" s="109" t="n"/>
    </row>
    <row r="322" ht="15.75" customHeight="1" s="216">
      <c r="D322" s="109" t="n"/>
      <c r="E322" s="109" t="n"/>
      <c r="J322" s="109" t="n"/>
      <c r="K322" s="109" t="n"/>
      <c r="L322" s="109" t="n"/>
      <c r="N322" s="109" t="n"/>
      <c r="O322" s="109" t="n"/>
      <c r="P322" s="109" t="n"/>
      <c r="T322" s="109" t="n"/>
      <c r="U322" s="109" t="n"/>
      <c r="V322" s="109" t="n"/>
      <c r="Z322" s="109" t="n"/>
      <c r="AA322" s="109" t="n"/>
      <c r="AB322" s="109" t="n"/>
      <c r="AF322" s="109" t="n"/>
      <c r="AG322" s="109" t="n"/>
      <c r="AH322" s="109" t="n"/>
      <c r="AL322" s="109" t="n"/>
      <c r="AM322" s="109" t="n"/>
      <c r="AN322" s="109" t="n"/>
    </row>
    <row r="323" ht="15.75" customHeight="1" s="216">
      <c r="D323" s="109" t="n"/>
      <c r="E323" s="109" t="n"/>
      <c r="J323" s="109" t="n"/>
      <c r="K323" s="109" t="n"/>
      <c r="L323" s="109" t="n"/>
      <c r="N323" s="109" t="n"/>
      <c r="O323" s="109" t="n"/>
      <c r="P323" s="109" t="n"/>
      <c r="T323" s="109" t="n"/>
      <c r="U323" s="109" t="n"/>
      <c r="V323" s="109" t="n"/>
      <c r="Z323" s="109" t="n"/>
      <c r="AA323" s="109" t="n"/>
      <c r="AB323" s="109" t="n"/>
      <c r="AF323" s="109" t="n"/>
      <c r="AG323" s="109" t="n"/>
      <c r="AH323" s="109" t="n"/>
      <c r="AL323" s="109" t="n"/>
      <c r="AM323" s="109" t="n"/>
      <c r="AN323" s="109" t="n"/>
    </row>
    <row r="324" ht="15.75" customHeight="1" s="216">
      <c r="D324" s="109" t="n"/>
      <c r="E324" s="109" t="n"/>
      <c r="J324" s="109" t="n"/>
      <c r="K324" s="109" t="n"/>
      <c r="L324" s="109" t="n"/>
      <c r="N324" s="109" t="n"/>
      <c r="O324" s="109" t="n"/>
      <c r="P324" s="109" t="n"/>
      <c r="T324" s="109" t="n"/>
      <c r="U324" s="109" t="n"/>
      <c r="V324" s="109" t="n"/>
      <c r="Z324" s="109" t="n"/>
      <c r="AA324" s="109" t="n"/>
      <c r="AB324" s="109" t="n"/>
      <c r="AF324" s="109" t="n"/>
      <c r="AG324" s="109" t="n"/>
      <c r="AH324" s="109" t="n"/>
      <c r="AL324" s="109" t="n"/>
      <c r="AM324" s="109" t="n"/>
      <c r="AN324" s="109" t="n"/>
    </row>
    <row r="325" ht="15.75" customHeight="1" s="216">
      <c r="D325" s="109" t="n"/>
      <c r="E325" s="109" t="n"/>
      <c r="J325" s="109" t="n"/>
      <c r="K325" s="109" t="n"/>
      <c r="L325" s="109" t="n"/>
      <c r="N325" s="109" t="n"/>
      <c r="O325" s="109" t="n"/>
      <c r="P325" s="109" t="n"/>
      <c r="T325" s="109" t="n"/>
      <c r="U325" s="109" t="n"/>
      <c r="V325" s="109" t="n"/>
      <c r="Z325" s="109" t="n"/>
      <c r="AA325" s="109" t="n"/>
      <c r="AB325" s="109" t="n"/>
      <c r="AF325" s="109" t="n"/>
      <c r="AG325" s="109" t="n"/>
      <c r="AH325" s="109" t="n"/>
      <c r="AL325" s="109" t="n"/>
      <c r="AM325" s="109" t="n"/>
      <c r="AN325" s="109" t="n"/>
    </row>
    <row r="326" ht="15.75" customHeight="1" s="216">
      <c r="D326" s="109" t="n"/>
      <c r="E326" s="109" t="n"/>
      <c r="J326" s="109" t="n"/>
      <c r="K326" s="109" t="n"/>
      <c r="L326" s="109" t="n"/>
      <c r="N326" s="109" t="n"/>
      <c r="O326" s="109" t="n"/>
      <c r="P326" s="109" t="n"/>
      <c r="T326" s="109" t="n"/>
      <c r="U326" s="109" t="n"/>
      <c r="V326" s="109" t="n"/>
      <c r="Z326" s="109" t="n"/>
      <c r="AA326" s="109" t="n"/>
      <c r="AB326" s="109" t="n"/>
      <c r="AF326" s="109" t="n"/>
      <c r="AG326" s="109" t="n"/>
      <c r="AH326" s="109" t="n"/>
      <c r="AL326" s="109" t="n"/>
      <c r="AM326" s="109" t="n"/>
      <c r="AN326" s="109" t="n"/>
    </row>
    <row r="327" ht="15.75" customHeight="1" s="216">
      <c r="D327" s="109" t="n"/>
      <c r="E327" s="109" t="n"/>
      <c r="J327" s="109" t="n"/>
      <c r="K327" s="109" t="n"/>
      <c r="L327" s="109" t="n"/>
      <c r="N327" s="109" t="n"/>
      <c r="O327" s="109" t="n"/>
      <c r="P327" s="109" t="n"/>
      <c r="T327" s="109" t="n"/>
      <c r="U327" s="109" t="n"/>
      <c r="V327" s="109" t="n"/>
      <c r="Z327" s="109" t="n"/>
      <c r="AA327" s="109" t="n"/>
      <c r="AB327" s="109" t="n"/>
      <c r="AF327" s="109" t="n"/>
      <c r="AG327" s="109" t="n"/>
      <c r="AH327" s="109" t="n"/>
      <c r="AL327" s="109" t="n"/>
      <c r="AM327" s="109" t="n"/>
      <c r="AN327" s="109" t="n"/>
    </row>
    <row r="328" ht="15.75" customHeight="1" s="216">
      <c r="D328" s="109" t="n"/>
      <c r="E328" s="109" t="n"/>
      <c r="J328" s="109" t="n"/>
      <c r="K328" s="109" t="n"/>
      <c r="L328" s="109" t="n"/>
      <c r="N328" s="109" t="n"/>
      <c r="O328" s="109" t="n"/>
      <c r="P328" s="109" t="n"/>
      <c r="T328" s="109" t="n"/>
      <c r="U328" s="109" t="n"/>
      <c r="V328" s="109" t="n"/>
      <c r="Z328" s="109" t="n"/>
      <c r="AA328" s="109" t="n"/>
      <c r="AB328" s="109" t="n"/>
      <c r="AF328" s="109" t="n"/>
      <c r="AG328" s="109" t="n"/>
      <c r="AH328" s="109" t="n"/>
      <c r="AL328" s="109" t="n"/>
      <c r="AM328" s="109" t="n"/>
      <c r="AN328" s="109" t="n"/>
    </row>
    <row r="329" ht="15.75" customHeight="1" s="216">
      <c r="D329" s="109" t="n"/>
      <c r="E329" s="109" t="n"/>
      <c r="J329" s="109" t="n"/>
      <c r="K329" s="109" t="n"/>
      <c r="L329" s="109" t="n"/>
      <c r="N329" s="109" t="n"/>
      <c r="O329" s="109" t="n"/>
      <c r="P329" s="109" t="n"/>
      <c r="T329" s="109" t="n"/>
      <c r="U329" s="109" t="n"/>
      <c r="V329" s="109" t="n"/>
      <c r="Z329" s="109" t="n"/>
      <c r="AA329" s="109" t="n"/>
      <c r="AB329" s="109" t="n"/>
      <c r="AF329" s="109" t="n"/>
      <c r="AG329" s="109" t="n"/>
      <c r="AH329" s="109" t="n"/>
      <c r="AL329" s="109" t="n"/>
      <c r="AM329" s="109" t="n"/>
      <c r="AN329" s="109" t="n"/>
    </row>
    <row r="330" ht="15.75" customHeight="1" s="216">
      <c r="D330" s="109" t="n"/>
      <c r="E330" s="109" t="n"/>
      <c r="J330" s="109" t="n"/>
      <c r="K330" s="109" t="n"/>
      <c r="L330" s="109" t="n"/>
      <c r="N330" s="109" t="n"/>
      <c r="O330" s="109" t="n"/>
      <c r="P330" s="109" t="n"/>
      <c r="T330" s="109" t="n"/>
      <c r="U330" s="109" t="n"/>
      <c r="V330" s="109" t="n"/>
      <c r="Z330" s="109" t="n"/>
      <c r="AA330" s="109" t="n"/>
      <c r="AB330" s="109" t="n"/>
      <c r="AF330" s="109" t="n"/>
      <c r="AG330" s="109" t="n"/>
      <c r="AH330" s="109" t="n"/>
      <c r="AL330" s="109" t="n"/>
      <c r="AM330" s="109" t="n"/>
      <c r="AN330" s="109" t="n"/>
    </row>
    <row r="331" ht="15.75" customHeight="1" s="216">
      <c r="D331" s="109" t="n"/>
      <c r="E331" s="109" t="n"/>
      <c r="J331" s="109" t="n"/>
      <c r="K331" s="109" t="n"/>
      <c r="L331" s="109" t="n"/>
      <c r="N331" s="109" t="n"/>
      <c r="O331" s="109" t="n"/>
      <c r="P331" s="109" t="n"/>
      <c r="T331" s="109" t="n"/>
      <c r="U331" s="109" t="n"/>
      <c r="V331" s="109" t="n"/>
      <c r="Z331" s="109" t="n"/>
      <c r="AA331" s="109" t="n"/>
      <c r="AB331" s="109" t="n"/>
      <c r="AF331" s="109" t="n"/>
      <c r="AG331" s="109" t="n"/>
      <c r="AH331" s="109" t="n"/>
      <c r="AL331" s="109" t="n"/>
      <c r="AM331" s="109" t="n"/>
      <c r="AN331" s="109" t="n"/>
    </row>
    <row r="332" ht="15.75" customHeight="1" s="216">
      <c r="D332" s="109" t="n"/>
      <c r="E332" s="109" t="n"/>
      <c r="J332" s="109" t="n"/>
      <c r="K332" s="109" t="n"/>
      <c r="L332" s="109" t="n"/>
      <c r="N332" s="109" t="n"/>
      <c r="O332" s="109" t="n"/>
      <c r="P332" s="109" t="n"/>
      <c r="T332" s="109" t="n"/>
      <c r="U332" s="109" t="n"/>
      <c r="V332" s="109" t="n"/>
      <c r="Z332" s="109" t="n"/>
      <c r="AA332" s="109" t="n"/>
      <c r="AB332" s="109" t="n"/>
      <c r="AF332" s="109" t="n"/>
      <c r="AG332" s="109" t="n"/>
      <c r="AH332" s="109" t="n"/>
      <c r="AL332" s="109" t="n"/>
      <c r="AM332" s="109" t="n"/>
      <c r="AN332" s="109" t="n"/>
    </row>
    <row r="333" ht="15.75" customHeight="1" s="216">
      <c r="D333" s="109" t="n"/>
      <c r="E333" s="109" t="n"/>
      <c r="J333" s="109" t="n"/>
      <c r="K333" s="109" t="n"/>
      <c r="L333" s="109" t="n"/>
      <c r="N333" s="109" t="n"/>
      <c r="O333" s="109" t="n"/>
      <c r="P333" s="109" t="n"/>
      <c r="T333" s="109" t="n"/>
      <c r="U333" s="109" t="n"/>
      <c r="V333" s="109" t="n"/>
      <c r="Z333" s="109" t="n"/>
      <c r="AA333" s="109" t="n"/>
      <c r="AB333" s="109" t="n"/>
      <c r="AF333" s="109" t="n"/>
      <c r="AG333" s="109" t="n"/>
      <c r="AH333" s="109" t="n"/>
      <c r="AL333" s="109" t="n"/>
      <c r="AM333" s="109" t="n"/>
      <c r="AN333" s="109" t="n"/>
    </row>
    <row r="334" ht="15.75" customHeight="1" s="216">
      <c r="D334" s="109" t="n"/>
      <c r="E334" s="109" t="n"/>
      <c r="J334" s="109" t="n"/>
      <c r="K334" s="109" t="n"/>
      <c r="L334" s="109" t="n"/>
      <c r="N334" s="109" t="n"/>
      <c r="O334" s="109" t="n"/>
      <c r="P334" s="109" t="n"/>
      <c r="T334" s="109" t="n"/>
      <c r="U334" s="109" t="n"/>
      <c r="V334" s="109" t="n"/>
      <c r="Z334" s="109" t="n"/>
      <c r="AA334" s="109" t="n"/>
      <c r="AB334" s="109" t="n"/>
      <c r="AF334" s="109" t="n"/>
      <c r="AG334" s="109" t="n"/>
      <c r="AH334" s="109" t="n"/>
      <c r="AL334" s="109" t="n"/>
      <c r="AM334" s="109" t="n"/>
      <c r="AN334" s="109" t="n"/>
    </row>
    <row r="335" ht="15.75" customHeight="1" s="216">
      <c r="D335" s="109" t="n"/>
      <c r="E335" s="109" t="n"/>
      <c r="J335" s="109" t="n"/>
      <c r="K335" s="109" t="n"/>
      <c r="L335" s="109" t="n"/>
      <c r="N335" s="109" t="n"/>
      <c r="O335" s="109" t="n"/>
      <c r="P335" s="109" t="n"/>
      <c r="T335" s="109" t="n"/>
      <c r="U335" s="109" t="n"/>
      <c r="V335" s="109" t="n"/>
      <c r="Z335" s="109" t="n"/>
      <c r="AA335" s="109" t="n"/>
      <c r="AB335" s="109" t="n"/>
      <c r="AF335" s="109" t="n"/>
      <c r="AG335" s="109" t="n"/>
      <c r="AH335" s="109" t="n"/>
      <c r="AL335" s="109" t="n"/>
      <c r="AM335" s="109" t="n"/>
      <c r="AN335" s="109" t="n"/>
    </row>
    <row r="336" ht="15.75" customHeight="1" s="216">
      <c r="D336" s="109" t="n"/>
      <c r="E336" s="109" t="n"/>
      <c r="J336" s="109" t="n"/>
      <c r="K336" s="109" t="n"/>
      <c r="L336" s="109" t="n"/>
      <c r="N336" s="109" t="n"/>
      <c r="O336" s="109" t="n"/>
      <c r="P336" s="109" t="n"/>
      <c r="T336" s="109" t="n"/>
      <c r="U336" s="109" t="n"/>
      <c r="V336" s="109" t="n"/>
      <c r="Z336" s="109" t="n"/>
      <c r="AA336" s="109" t="n"/>
      <c r="AB336" s="109" t="n"/>
      <c r="AF336" s="109" t="n"/>
      <c r="AG336" s="109" t="n"/>
      <c r="AH336" s="109" t="n"/>
      <c r="AL336" s="109" t="n"/>
      <c r="AM336" s="109" t="n"/>
      <c r="AN336" s="109" t="n"/>
    </row>
    <row r="337" ht="15.75" customHeight="1" s="216">
      <c r="D337" s="109" t="n"/>
      <c r="E337" s="109" t="n"/>
      <c r="J337" s="109" t="n"/>
      <c r="K337" s="109" t="n"/>
      <c r="L337" s="109" t="n"/>
      <c r="N337" s="109" t="n"/>
      <c r="O337" s="109" t="n"/>
      <c r="P337" s="109" t="n"/>
      <c r="T337" s="109" t="n"/>
      <c r="U337" s="109" t="n"/>
      <c r="V337" s="109" t="n"/>
      <c r="Z337" s="109" t="n"/>
      <c r="AA337" s="109" t="n"/>
      <c r="AB337" s="109" t="n"/>
      <c r="AF337" s="109" t="n"/>
      <c r="AG337" s="109" t="n"/>
      <c r="AH337" s="109" t="n"/>
      <c r="AL337" s="109" t="n"/>
      <c r="AM337" s="109" t="n"/>
      <c r="AN337" s="109" t="n"/>
    </row>
    <row r="338" ht="15.75" customHeight="1" s="216">
      <c r="D338" s="109" t="n"/>
      <c r="E338" s="109" t="n"/>
      <c r="J338" s="109" t="n"/>
      <c r="K338" s="109" t="n"/>
      <c r="L338" s="109" t="n"/>
      <c r="N338" s="109" t="n"/>
      <c r="O338" s="109" t="n"/>
      <c r="P338" s="109" t="n"/>
      <c r="T338" s="109" t="n"/>
      <c r="U338" s="109" t="n"/>
      <c r="V338" s="109" t="n"/>
      <c r="Z338" s="109" t="n"/>
      <c r="AA338" s="109" t="n"/>
      <c r="AB338" s="109" t="n"/>
      <c r="AF338" s="109" t="n"/>
      <c r="AG338" s="109" t="n"/>
      <c r="AH338" s="109" t="n"/>
      <c r="AL338" s="109" t="n"/>
      <c r="AM338" s="109" t="n"/>
      <c r="AN338" s="109" t="n"/>
    </row>
    <row r="339" ht="15.75" customHeight="1" s="216">
      <c r="D339" s="109" t="n"/>
      <c r="E339" s="109" t="n"/>
      <c r="J339" s="109" t="n"/>
      <c r="K339" s="109" t="n"/>
      <c r="L339" s="109" t="n"/>
      <c r="N339" s="109" t="n"/>
      <c r="O339" s="109" t="n"/>
      <c r="P339" s="109" t="n"/>
      <c r="T339" s="109" t="n"/>
      <c r="U339" s="109" t="n"/>
      <c r="V339" s="109" t="n"/>
      <c r="Z339" s="109" t="n"/>
      <c r="AA339" s="109" t="n"/>
      <c r="AB339" s="109" t="n"/>
      <c r="AF339" s="109" t="n"/>
      <c r="AG339" s="109" t="n"/>
      <c r="AH339" s="109" t="n"/>
      <c r="AL339" s="109" t="n"/>
      <c r="AM339" s="109" t="n"/>
      <c r="AN339" s="109" t="n"/>
    </row>
    <row r="340" ht="15.75" customHeight="1" s="216">
      <c r="D340" s="109" t="n"/>
      <c r="E340" s="109" t="n"/>
      <c r="J340" s="109" t="n"/>
      <c r="K340" s="109" t="n"/>
      <c r="L340" s="109" t="n"/>
      <c r="N340" s="109" t="n"/>
      <c r="O340" s="109" t="n"/>
      <c r="P340" s="109" t="n"/>
      <c r="T340" s="109" t="n"/>
      <c r="U340" s="109" t="n"/>
      <c r="V340" s="109" t="n"/>
      <c r="Z340" s="109" t="n"/>
      <c r="AA340" s="109" t="n"/>
      <c r="AB340" s="109" t="n"/>
      <c r="AF340" s="109" t="n"/>
      <c r="AG340" s="109" t="n"/>
      <c r="AH340" s="109" t="n"/>
      <c r="AL340" s="109" t="n"/>
      <c r="AM340" s="109" t="n"/>
      <c r="AN340" s="109" t="n"/>
    </row>
    <row r="341" ht="15.75" customHeight="1" s="216">
      <c r="D341" s="109" t="n"/>
      <c r="E341" s="109" t="n"/>
      <c r="J341" s="109" t="n"/>
      <c r="K341" s="109" t="n"/>
      <c r="L341" s="109" t="n"/>
      <c r="N341" s="109" t="n"/>
      <c r="O341" s="109" t="n"/>
      <c r="P341" s="109" t="n"/>
      <c r="T341" s="109" t="n"/>
      <c r="U341" s="109" t="n"/>
      <c r="V341" s="109" t="n"/>
      <c r="Z341" s="109" t="n"/>
      <c r="AA341" s="109" t="n"/>
      <c r="AB341" s="109" t="n"/>
      <c r="AF341" s="109" t="n"/>
      <c r="AG341" s="109" t="n"/>
      <c r="AH341" s="109" t="n"/>
      <c r="AL341" s="109" t="n"/>
      <c r="AM341" s="109" t="n"/>
      <c r="AN341" s="109" t="n"/>
    </row>
    <row r="342" ht="15.75" customHeight="1" s="216">
      <c r="D342" s="109" t="n"/>
      <c r="E342" s="109" t="n"/>
      <c r="J342" s="109" t="n"/>
      <c r="K342" s="109" t="n"/>
      <c r="L342" s="109" t="n"/>
      <c r="N342" s="109" t="n"/>
      <c r="O342" s="109" t="n"/>
      <c r="P342" s="109" t="n"/>
      <c r="T342" s="109" t="n"/>
      <c r="U342" s="109" t="n"/>
      <c r="V342" s="109" t="n"/>
      <c r="Z342" s="109" t="n"/>
      <c r="AA342" s="109" t="n"/>
      <c r="AB342" s="109" t="n"/>
      <c r="AF342" s="109" t="n"/>
      <c r="AG342" s="109" t="n"/>
      <c r="AH342" s="109" t="n"/>
      <c r="AL342" s="109" t="n"/>
      <c r="AM342" s="109" t="n"/>
      <c r="AN342" s="109" t="n"/>
    </row>
    <row r="343" ht="15.75" customHeight="1" s="216">
      <c r="D343" s="109" t="n"/>
      <c r="E343" s="109" t="n"/>
      <c r="J343" s="109" t="n"/>
      <c r="K343" s="109" t="n"/>
      <c r="L343" s="109" t="n"/>
      <c r="N343" s="109" t="n"/>
      <c r="O343" s="109" t="n"/>
      <c r="P343" s="109" t="n"/>
      <c r="T343" s="109" t="n"/>
      <c r="U343" s="109" t="n"/>
      <c r="V343" s="109" t="n"/>
      <c r="Z343" s="109" t="n"/>
      <c r="AA343" s="109" t="n"/>
      <c r="AB343" s="109" t="n"/>
      <c r="AF343" s="109" t="n"/>
      <c r="AG343" s="109" t="n"/>
      <c r="AH343" s="109" t="n"/>
      <c r="AL343" s="109" t="n"/>
      <c r="AM343" s="109" t="n"/>
      <c r="AN343" s="109" t="n"/>
    </row>
    <row r="344" ht="15.75" customHeight="1" s="216">
      <c r="D344" s="109" t="n"/>
      <c r="E344" s="109" t="n"/>
      <c r="J344" s="109" t="n"/>
      <c r="K344" s="109" t="n"/>
      <c r="L344" s="109" t="n"/>
      <c r="N344" s="109" t="n"/>
      <c r="O344" s="109" t="n"/>
      <c r="P344" s="109" t="n"/>
      <c r="T344" s="109" t="n"/>
      <c r="U344" s="109" t="n"/>
      <c r="V344" s="109" t="n"/>
      <c r="Z344" s="109" t="n"/>
      <c r="AA344" s="109" t="n"/>
      <c r="AB344" s="109" t="n"/>
      <c r="AF344" s="109" t="n"/>
      <c r="AG344" s="109" t="n"/>
      <c r="AH344" s="109" t="n"/>
      <c r="AL344" s="109" t="n"/>
      <c r="AM344" s="109" t="n"/>
      <c r="AN344" s="109" t="n"/>
    </row>
    <row r="345" ht="15.75" customHeight="1" s="216">
      <c r="D345" s="109" t="n"/>
      <c r="E345" s="109" t="n"/>
      <c r="J345" s="109" t="n"/>
      <c r="K345" s="109" t="n"/>
      <c r="L345" s="109" t="n"/>
      <c r="N345" s="109" t="n"/>
      <c r="O345" s="109" t="n"/>
      <c r="P345" s="109" t="n"/>
      <c r="T345" s="109" t="n"/>
      <c r="U345" s="109" t="n"/>
      <c r="V345" s="109" t="n"/>
      <c r="Z345" s="109" t="n"/>
      <c r="AA345" s="109" t="n"/>
      <c r="AB345" s="109" t="n"/>
      <c r="AF345" s="109" t="n"/>
      <c r="AG345" s="109" t="n"/>
      <c r="AH345" s="109" t="n"/>
      <c r="AL345" s="109" t="n"/>
      <c r="AM345" s="109" t="n"/>
      <c r="AN345" s="109" t="n"/>
    </row>
    <row r="346" ht="15.75" customHeight="1" s="216">
      <c r="D346" s="109" t="n"/>
      <c r="E346" s="109" t="n"/>
      <c r="J346" s="109" t="n"/>
      <c r="K346" s="109" t="n"/>
      <c r="L346" s="109" t="n"/>
      <c r="N346" s="109" t="n"/>
      <c r="O346" s="109" t="n"/>
      <c r="P346" s="109" t="n"/>
      <c r="T346" s="109" t="n"/>
      <c r="U346" s="109" t="n"/>
      <c r="V346" s="109" t="n"/>
      <c r="Z346" s="109" t="n"/>
      <c r="AA346" s="109" t="n"/>
      <c r="AB346" s="109" t="n"/>
      <c r="AF346" s="109" t="n"/>
      <c r="AG346" s="109" t="n"/>
      <c r="AH346" s="109" t="n"/>
      <c r="AL346" s="109" t="n"/>
      <c r="AM346" s="109" t="n"/>
      <c r="AN346" s="109" t="n"/>
    </row>
    <row r="347" ht="15.75" customHeight="1" s="216">
      <c r="D347" s="109" t="n"/>
      <c r="E347" s="109" t="n"/>
      <c r="J347" s="109" t="n"/>
      <c r="K347" s="109" t="n"/>
      <c r="L347" s="109" t="n"/>
      <c r="N347" s="109" t="n"/>
      <c r="O347" s="109" t="n"/>
      <c r="P347" s="109" t="n"/>
      <c r="T347" s="109" t="n"/>
      <c r="U347" s="109" t="n"/>
      <c r="V347" s="109" t="n"/>
      <c r="Z347" s="109" t="n"/>
      <c r="AA347" s="109" t="n"/>
      <c r="AB347" s="109" t="n"/>
      <c r="AF347" s="109" t="n"/>
      <c r="AG347" s="109" t="n"/>
      <c r="AH347" s="109" t="n"/>
      <c r="AL347" s="109" t="n"/>
      <c r="AM347" s="109" t="n"/>
      <c r="AN347" s="109" t="n"/>
    </row>
    <row r="348" ht="15.75" customHeight="1" s="216">
      <c r="D348" s="109" t="n"/>
      <c r="E348" s="109" t="n"/>
      <c r="J348" s="109" t="n"/>
      <c r="K348" s="109" t="n"/>
      <c r="L348" s="109" t="n"/>
      <c r="N348" s="109" t="n"/>
      <c r="O348" s="109" t="n"/>
      <c r="P348" s="109" t="n"/>
      <c r="T348" s="109" t="n"/>
      <c r="U348" s="109" t="n"/>
      <c r="V348" s="109" t="n"/>
      <c r="Z348" s="109" t="n"/>
      <c r="AA348" s="109" t="n"/>
      <c r="AB348" s="109" t="n"/>
      <c r="AF348" s="109" t="n"/>
      <c r="AG348" s="109" t="n"/>
      <c r="AH348" s="109" t="n"/>
      <c r="AL348" s="109" t="n"/>
      <c r="AM348" s="109" t="n"/>
      <c r="AN348" s="109" t="n"/>
    </row>
    <row r="349" ht="15.75" customHeight="1" s="216">
      <c r="D349" s="109" t="n"/>
      <c r="E349" s="109" t="n"/>
      <c r="J349" s="109" t="n"/>
      <c r="K349" s="109" t="n"/>
      <c r="L349" s="109" t="n"/>
      <c r="N349" s="109" t="n"/>
      <c r="O349" s="109" t="n"/>
      <c r="P349" s="109" t="n"/>
      <c r="T349" s="109" t="n"/>
      <c r="U349" s="109" t="n"/>
      <c r="V349" s="109" t="n"/>
      <c r="Z349" s="109" t="n"/>
      <c r="AA349" s="109" t="n"/>
      <c r="AB349" s="109" t="n"/>
      <c r="AF349" s="109" t="n"/>
      <c r="AG349" s="109" t="n"/>
      <c r="AH349" s="109" t="n"/>
      <c r="AL349" s="109" t="n"/>
      <c r="AM349" s="109" t="n"/>
      <c r="AN349" s="109" t="n"/>
    </row>
    <row r="350" ht="15.75" customHeight="1" s="216">
      <c r="D350" s="109" t="n"/>
      <c r="E350" s="109" t="n"/>
      <c r="J350" s="109" t="n"/>
      <c r="K350" s="109" t="n"/>
      <c r="L350" s="109" t="n"/>
      <c r="N350" s="109" t="n"/>
      <c r="O350" s="109" t="n"/>
      <c r="P350" s="109" t="n"/>
      <c r="T350" s="109" t="n"/>
      <c r="U350" s="109" t="n"/>
      <c r="V350" s="109" t="n"/>
      <c r="Z350" s="109" t="n"/>
      <c r="AA350" s="109" t="n"/>
      <c r="AB350" s="109" t="n"/>
      <c r="AF350" s="109" t="n"/>
      <c r="AG350" s="109" t="n"/>
      <c r="AH350" s="109" t="n"/>
      <c r="AL350" s="109" t="n"/>
      <c r="AM350" s="109" t="n"/>
      <c r="AN350" s="109" t="n"/>
    </row>
    <row r="351" ht="15.75" customHeight="1" s="216">
      <c r="D351" s="109" t="n"/>
      <c r="E351" s="109" t="n"/>
      <c r="J351" s="109" t="n"/>
      <c r="K351" s="109" t="n"/>
      <c r="L351" s="109" t="n"/>
      <c r="N351" s="109" t="n"/>
      <c r="O351" s="109" t="n"/>
      <c r="P351" s="109" t="n"/>
      <c r="T351" s="109" t="n"/>
      <c r="U351" s="109" t="n"/>
      <c r="V351" s="109" t="n"/>
      <c r="Z351" s="109" t="n"/>
      <c r="AA351" s="109" t="n"/>
      <c r="AB351" s="109" t="n"/>
      <c r="AF351" s="109" t="n"/>
      <c r="AG351" s="109" t="n"/>
      <c r="AH351" s="109" t="n"/>
      <c r="AL351" s="109" t="n"/>
      <c r="AM351" s="109" t="n"/>
      <c r="AN351" s="109" t="n"/>
    </row>
    <row r="352" ht="15.75" customHeight="1" s="216">
      <c r="D352" s="109" t="n"/>
      <c r="E352" s="109" t="n"/>
      <c r="J352" s="109" t="n"/>
      <c r="K352" s="109" t="n"/>
      <c r="L352" s="109" t="n"/>
      <c r="N352" s="109" t="n"/>
      <c r="O352" s="109" t="n"/>
      <c r="P352" s="109" t="n"/>
      <c r="T352" s="109" t="n"/>
      <c r="U352" s="109" t="n"/>
      <c r="V352" s="109" t="n"/>
      <c r="Z352" s="109" t="n"/>
      <c r="AA352" s="109" t="n"/>
      <c r="AB352" s="109" t="n"/>
      <c r="AF352" s="109" t="n"/>
      <c r="AG352" s="109" t="n"/>
      <c r="AH352" s="109" t="n"/>
      <c r="AL352" s="109" t="n"/>
      <c r="AM352" s="109" t="n"/>
      <c r="AN352" s="109" t="n"/>
    </row>
    <row r="353" ht="15.75" customHeight="1" s="216">
      <c r="D353" s="109" t="n"/>
      <c r="E353" s="109" t="n"/>
      <c r="J353" s="109" t="n"/>
      <c r="K353" s="109" t="n"/>
      <c r="L353" s="109" t="n"/>
      <c r="N353" s="109" t="n"/>
      <c r="O353" s="109" t="n"/>
      <c r="P353" s="109" t="n"/>
      <c r="T353" s="109" t="n"/>
      <c r="U353" s="109" t="n"/>
      <c r="V353" s="109" t="n"/>
      <c r="Z353" s="109" t="n"/>
      <c r="AA353" s="109" t="n"/>
      <c r="AB353" s="109" t="n"/>
      <c r="AF353" s="109" t="n"/>
      <c r="AG353" s="109" t="n"/>
      <c r="AH353" s="109" t="n"/>
      <c r="AL353" s="109" t="n"/>
      <c r="AM353" s="109" t="n"/>
      <c r="AN353" s="109" t="n"/>
    </row>
    <row r="354" ht="15.75" customHeight="1" s="216">
      <c r="D354" s="109" t="n"/>
      <c r="E354" s="109" t="n"/>
      <c r="J354" s="109" t="n"/>
      <c r="K354" s="109" t="n"/>
      <c r="L354" s="109" t="n"/>
      <c r="N354" s="109" t="n"/>
      <c r="O354" s="109" t="n"/>
      <c r="P354" s="109" t="n"/>
      <c r="T354" s="109" t="n"/>
      <c r="U354" s="109" t="n"/>
      <c r="V354" s="109" t="n"/>
      <c r="Z354" s="109" t="n"/>
      <c r="AA354" s="109" t="n"/>
      <c r="AB354" s="109" t="n"/>
      <c r="AF354" s="109" t="n"/>
      <c r="AG354" s="109" t="n"/>
      <c r="AH354" s="109" t="n"/>
      <c r="AL354" s="109" t="n"/>
      <c r="AM354" s="109" t="n"/>
      <c r="AN354" s="109" t="n"/>
    </row>
    <row r="355" ht="15.75" customHeight="1" s="216">
      <c r="D355" s="109" t="n"/>
      <c r="E355" s="109" t="n"/>
      <c r="J355" s="109" t="n"/>
      <c r="K355" s="109" t="n"/>
      <c r="L355" s="109" t="n"/>
      <c r="N355" s="109" t="n"/>
      <c r="O355" s="109" t="n"/>
      <c r="P355" s="109" t="n"/>
      <c r="T355" s="109" t="n"/>
      <c r="U355" s="109" t="n"/>
      <c r="V355" s="109" t="n"/>
      <c r="Z355" s="109" t="n"/>
      <c r="AA355" s="109" t="n"/>
      <c r="AB355" s="109" t="n"/>
      <c r="AF355" s="109" t="n"/>
      <c r="AG355" s="109" t="n"/>
      <c r="AH355" s="109" t="n"/>
      <c r="AL355" s="109" t="n"/>
      <c r="AM355" s="109" t="n"/>
      <c r="AN355" s="109" t="n"/>
    </row>
    <row r="356" ht="15.75" customHeight="1" s="216">
      <c r="D356" s="109" t="n"/>
      <c r="E356" s="109" t="n"/>
      <c r="J356" s="109" t="n"/>
      <c r="K356" s="109" t="n"/>
      <c r="L356" s="109" t="n"/>
      <c r="N356" s="109" t="n"/>
      <c r="O356" s="109" t="n"/>
      <c r="P356" s="109" t="n"/>
      <c r="T356" s="109" t="n"/>
      <c r="U356" s="109" t="n"/>
      <c r="V356" s="109" t="n"/>
      <c r="Z356" s="109" t="n"/>
      <c r="AA356" s="109" t="n"/>
      <c r="AB356" s="109" t="n"/>
      <c r="AF356" s="109" t="n"/>
      <c r="AG356" s="109" t="n"/>
      <c r="AH356" s="109" t="n"/>
      <c r="AL356" s="109" t="n"/>
      <c r="AM356" s="109" t="n"/>
      <c r="AN356" s="109" t="n"/>
    </row>
    <row r="357" ht="15.75" customHeight="1" s="216">
      <c r="D357" s="109" t="n"/>
      <c r="E357" s="109" t="n"/>
      <c r="J357" s="109" t="n"/>
      <c r="K357" s="109" t="n"/>
      <c r="L357" s="109" t="n"/>
      <c r="N357" s="109" t="n"/>
      <c r="O357" s="109" t="n"/>
      <c r="P357" s="109" t="n"/>
      <c r="T357" s="109" t="n"/>
      <c r="U357" s="109" t="n"/>
      <c r="V357" s="109" t="n"/>
      <c r="Z357" s="109" t="n"/>
      <c r="AA357" s="109" t="n"/>
      <c r="AB357" s="109" t="n"/>
      <c r="AF357" s="109" t="n"/>
      <c r="AG357" s="109" t="n"/>
      <c r="AH357" s="109" t="n"/>
      <c r="AL357" s="109" t="n"/>
      <c r="AM357" s="109" t="n"/>
      <c r="AN357" s="109" t="n"/>
    </row>
    <row r="358" ht="15.75" customHeight="1" s="216">
      <c r="D358" s="109" t="n"/>
      <c r="E358" s="109" t="n"/>
      <c r="J358" s="109" t="n"/>
      <c r="K358" s="109" t="n"/>
      <c r="L358" s="109" t="n"/>
      <c r="N358" s="109" t="n"/>
      <c r="O358" s="109" t="n"/>
      <c r="P358" s="109" t="n"/>
      <c r="T358" s="109" t="n"/>
      <c r="U358" s="109" t="n"/>
      <c r="V358" s="109" t="n"/>
      <c r="Z358" s="109" t="n"/>
      <c r="AA358" s="109" t="n"/>
      <c r="AB358" s="109" t="n"/>
      <c r="AF358" s="109" t="n"/>
      <c r="AG358" s="109" t="n"/>
      <c r="AH358" s="109" t="n"/>
      <c r="AL358" s="109" t="n"/>
      <c r="AM358" s="109" t="n"/>
      <c r="AN358" s="109" t="n"/>
    </row>
    <row r="359" ht="15.75" customHeight="1" s="216">
      <c r="D359" s="109" t="n"/>
      <c r="E359" s="109" t="n"/>
      <c r="J359" s="109" t="n"/>
      <c r="K359" s="109" t="n"/>
      <c r="L359" s="109" t="n"/>
      <c r="N359" s="109" t="n"/>
      <c r="O359" s="109" t="n"/>
      <c r="P359" s="109" t="n"/>
      <c r="T359" s="109" t="n"/>
      <c r="U359" s="109" t="n"/>
      <c r="V359" s="109" t="n"/>
      <c r="Z359" s="109" t="n"/>
      <c r="AA359" s="109" t="n"/>
      <c r="AB359" s="109" t="n"/>
      <c r="AF359" s="109" t="n"/>
      <c r="AG359" s="109" t="n"/>
      <c r="AH359" s="109" t="n"/>
      <c r="AL359" s="109" t="n"/>
      <c r="AM359" s="109" t="n"/>
      <c r="AN359" s="109" t="n"/>
    </row>
    <row r="360" ht="15.75" customHeight="1" s="216">
      <c r="D360" s="109" t="n"/>
      <c r="E360" s="109" t="n"/>
      <c r="J360" s="109" t="n"/>
      <c r="K360" s="109" t="n"/>
      <c r="L360" s="109" t="n"/>
      <c r="N360" s="109" t="n"/>
      <c r="O360" s="109" t="n"/>
      <c r="P360" s="109" t="n"/>
      <c r="T360" s="109" t="n"/>
      <c r="U360" s="109" t="n"/>
      <c r="V360" s="109" t="n"/>
      <c r="Z360" s="109" t="n"/>
      <c r="AA360" s="109" t="n"/>
      <c r="AB360" s="109" t="n"/>
      <c r="AF360" s="109" t="n"/>
      <c r="AG360" s="109" t="n"/>
      <c r="AH360" s="109" t="n"/>
      <c r="AL360" s="109" t="n"/>
      <c r="AM360" s="109" t="n"/>
      <c r="AN360" s="109" t="n"/>
    </row>
    <row r="361" ht="15.75" customHeight="1" s="216">
      <c r="D361" s="109" t="n"/>
      <c r="E361" s="109" t="n"/>
      <c r="J361" s="109" t="n"/>
      <c r="K361" s="109" t="n"/>
      <c r="L361" s="109" t="n"/>
      <c r="N361" s="109" t="n"/>
      <c r="O361" s="109" t="n"/>
      <c r="P361" s="109" t="n"/>
      <c r="T361" s="109" t="n"/>
      <c r="U361" s="109" t="n"/>
      <c r="V361" s="109" t="n"/>
      <c r="Z361" s="109" t="n"/>
      <c r="AA361" s="109" t="n"/>
      <c r="AB361" s="109" t="n"/>
      <c r="AF361" s="109" t="n"/>
      <c r="AG361" s="109" t="n"/>
      <c r="AH361" s="109" t="n"/>
      <c r="AL361" s="109" t="n"/>
      <c r="AM361" s="109" t="n"/>
      <c r="AN361" s="109" t="n"/>
    </row>
    <row r="362" ht="15.75" customHeight="1" s="216">
      <c r="D362" s="109" t="n"/>
      <c r="E362" s="109" t="n"/>
      <c r="J362" s="109" t="n"/>
      <c r="K362" s="109" t="n"/>
      <c r="L362" s="109" t="n"/>
      <c r="N362" s="109" t="n"/>
      <c r="O362" s="109" t="n"/>
      <c r="P362" s="109" t="n"/>
      <c r="T362" s="109" t="n"/>
      <c r="U362" s="109" t="n"/>
      <c r="V362" s="109" t="n"/>
      <c r="Z362" s="109" t="n"/>
      <c r="AA362" s="109" t="n"/>
      <c r="AB362" s="109" t="n"/>
      <c r="AF362" s="109" t="n"/>
      <c r="AG362" s="109" t="n"/>
      <c r="AH362" s="109" t="n"/>
      <c r="AL362" s="109" t="n"/>
      <c r="AM362" s="109" t="n"/>
      <c r="AN362" s="109" t="n"/>
    </row>
    <row r="363" ht="15.75" customHeight="1" s="216">
      <c r="D363" s="109" t="n"/>
      <c r="E363" s="109" t="n"/>
      <c r="J363" s="109" t="n"/>
      <c r="K363" s="109" t="n"/>
      <c r="L363" s="109" t="n"/>
      <c r="N363" s="109" t="n"/>
      <c r="O363" s="109" t="n"/>
      <c r="P363" s="109" t="n"/>
      <c r="T363" s="109" t="n"/>
      <c r="U363" s="109" t="n"/>
      <c r="V363" s="109" t="n"/>
      <c r="Z363" s="109" t="n"/>
      <c r="AA363" s="109" t="n"/>
      <c r="AB363" s="109" t="n"/>
      <c r="AF363" s="109" t="n"/>
      <c r="AG363" s="109" t="n"/>
      <c r="AH363" s="109" t="n"/>
      <c r="AL363" s="109" t="n"/>
      <c r="AM363" s="109" t="n"/>
      <c r="AN363" s="109" t="n"/>
    </row>
    <row r="364" ht="15.75" customHeight="1" s="216">
      <c r="D364" s="109" t="n"/>
      <c r="E364" s="109" t="n"/>
      <c r="J364" s="109" t="n"/>
      <c r="K364" s="109" t="n"/>
      <c r="L364" s="109" t="n"/>
      <c r="N364" s="109" t="n"/>
      <c r="O364" s="109" t="n"/>
      <c r="P364" s="109" t="n"/>
      <c r="T364" s="109" t="n"/>
      <c r="U364" s="109" t="n"/>
      <c r="V364" s="109" t="n"/>
      <c r="Z364" s="109" t="n"/>
      <c r="AA364" s="109" t="n"/>
      <c r="AB364" s="109" t="n"/>
      <c r="AF364" s="109" t="n"/>
      <c r="AG364" s="109" t="n"/>
      <c r="AH364" s="109" t="n"/>
      <c r="AL364" s="109" t="n"/>
      <c r="AM364" s="109" t="n"/>
      <c r="AN364" s="109" t="n"/>
    </row>
    <row r="365" ht="15.75" customHeight="1" s="216">
      <c r="D365" s="109" t="n"/>
      <c r="E365" s="109" t="n"/>
      <c r="J365" s="109" t="n"/>
      <c r="K365" s="109" t="n"/>
      <c r="L365" s="109" t="n"/>
      <c r="N365" s="109" t="n"/>
      <c r="O365" s="109" t="n"/>
      <c r="P365" s="109" t="n"/>
      <c r="T365" s="109" t="n"/>
      <c r="U365" s="109" t="n"/>
      <c r="V365" s="109" t="n"/>
      <c r="Z365" s="109" t="n"/>
      <c r="AA365" s="109" t="n"/>
      <c r="AB365" s="109" t="n"/>
      <c r="AF365" s="109" t="n"/>
      <c r="AG365" s="109" t="n"/>
      <c r="AH365" s="109" t="n"/>
      <c r="AL365" s="109" t="n"/>
      <c r="AM365" s="109" t="n"/>
      <c r="AN365" s="109" t="n"/>
    </row>
    <row r="366" ht="15.75" customHeight="1" s="216">
      <c r="D366" s="109" t="n"/>
      <c r="E366" s="109" t="n"/>
      <c r="J366" s="109" t="n"/>
      <c r="K366" s="109" t="n"/>
      <c r="L366" s="109" t="n"/>
      <c r="N366" s="109" t="n"/>
      <c r="O366" s="109" t="n"/>
      <c r="P366" s="109" t="n"/>
      <c r="T366" s="109" t="n"/>
      <c r="U366" s="109" t="n"/>
      <c r="V366" s="109" t="n"/>
      <c r="Z366" s="109" t="n"/>
      <c r="AA366" s="109" t="n"/>
      <c r="AB366" s="109" t="n"/>
      <c r="AF366" s="109" t="n"/>
      <c r="AG366" s="109" t="n"/>
      <c r="AH366" s="109" t="n"/>
      <c r="AL366" s="109" t="n"/>
      <c r="AM366" s="109" t="n"/>
      <c r="AN366" s="109" t="n"/>
    </row>
    <row r="367" ht="15.75" customHeight="1" s="216">
      <c r="D367" s="109" t="n"/>
      <c r="E367" s="109" t="n"/>
      <c r="J367" s="109" t="n"/>
      <c r="K367" s="109" t="n"/>
      <c r="L367" s="109" t="n"/>
      <c r="N367" s="109" t="n"/>
      <c r="O367" s="109" t="n"/>
      <c r="P367" s="109" t="n"/>
      <c r="T367" s="109" t="n"/>
      <c r="U367" s="109" t="n"/>
      <c r="V367" s="109" t="n"/>
      <c r="Z367" s="109" t="n"/>
      <c r="AA367" s="109" t="n"/>
      <c r="AB367" s="109" t="n"/>
      <c r="AF367" s="109" t="n"/>
      <c r="AG367" s="109" t="n"/>
      <c r="AH367" s="109" t="n"/>
      <c r="AL367" s="109" t="n"/>
      <c r="AM367" s="109" t="n"/>
      <c r="AN367" s="109" t="n"/>
    </row>
    <row r="368" ht="15.75" customHeight="1" s="216">
      <c r="D368" s="109" t="n"/>
      <c r="E368" s="109" t="n"/>
      <c r="J368" s="109" t="n"/>
      <c r="K368" s="109" t="n"/>
      <c r="L368" s="109" t="n"/>
      <c r="N368" s="109" t="n"/>
      <c r="O368" s="109" t="n"/>
      <c r="P368" s="109" t="n"/>
      <c r="T368" s="109" t="n"/>
      <c r="U368" s="109" t="n"/>
      <c r="V368" s="109" t="n"/>
      <c r="Z368" s="109" t="n"/>
      <c r="AA368" s="109" t="n"/>
      <c r="AB368" s="109" t="n"/>
      <c r="AF368" s="109" t="n"/>
      <c r="AG368" s="109" t="n"/>
      <c r="AH368" s="109" t="n"/>
      <c r="AL368" s="109" t="n"/>
      <c r="AM368" s="109" t="n"/>
      <c r="AN368" s="109" t="n"/>
    </row>
    <row r="369" ht="15.75" customHeight="1" s="216">
      <c r="D369" s="109" t="n"/>
      <c r="E369" s="109" t="n"/>
      <c r="J369" s="109" t="n"/>
      <c r="K369" s="109" t="n"/>
      <c r="L369" s="109" t="n"/>
      <c r="N369" s="109" t="n"/>
      <c r="O369" s="109" t="n"/>
      <c r="P369" s="109" t="n"/>
      <c r="T369" s="109" t="n"/>
      <c r="U369" s="109" t="n"/>
      <c r="V369" s="109" t="n"/>
      <c r="Z369" s="109" t="n"/>
      <c r="AA369" s="109" t="n"/>
      <c r="AB369" s="109" t="n"/>
      <c r="AF369" s="109" t="n"/>
      <c r="AG369" s="109" t="n"/>
      <c r="AH369" s="109" t="n"/>
      <c r="AL369" s="109" t="n"/>
      <c r="AM369" s="109" t="n"/>
      <c r="AN369" s="109" t="n"/>
    </row>
    <row r="370" ht="15.75" customHeight="1" s="216">
      <c r="D370" s="109" t="n"/>
      <c r="E370" s="109" t="n"/>
      <c r="J370" s="109" t="n"/>
      <c r="K370" s="109" t="n"/>
      <c r="L370" s="109" t="n"/>
      <c r="N370" s="109" t="n"/>
      <c r="O370" s="109" t="n"/>
      <c r="P370" s="109" t="n"/>
      <c r="T370" s="109" t="n"/>
      <c r="U370" s="109" t="n"/>
      <c r="V370" s="109" t="n"/>
      <c r="Z370" s="109" t="n"/>
      <c r="AA370" s="109" t="n"/>
      <c r="AB370" s="109" t="n"/>
      <c r="AF370" s="109" t="n"/>
      <c r="AG370" s="109" t="n"/>
      <c r="AH370" s="109" t="n"/>
      <c r="AL370" s="109" t="n"/>
      <c r="AM370" s="109" t="n"/>
      <c r="AN370" s="109" t="n"/>
    </row>
    <row r="371" ht="15.75" customHeight="1" s="216">
      <c r="D371" s="109" t="n"/>
      <c r="E371" s="109" t="n"/>
      <c r="J371" s="109" t="n"/>
      <c r="K371" s="109" t="n"/>
      <c r="L371" s="109" t="n"/>
      <c r="N371" s="109" t="n"/>
      <c r="O371" s="109" t="n"/>
      <c r="P371" s="109" t="n"/>
      <c r="T371" s="109" t="n"/>
      <c r="U371" s="109" t="n"/>
      <c r="V371" s="109" t="n"/>
      <c r="Z371" s="109" t="n"/>
      <c r="AA371" s="109" t="n"/>
      <c r="AB371" s="109" t="n"/>
      <c r="AF371" s="109" t="n"/>
      <c r="AG371" s="109" t="n"/>
      <c r="AH371" s="109" t="n"/>
      <c r="AL371" s="109" t="n"/>
      <c r="AM371" s="109" t="n"/>
      <c r="AN371" s="109" t="n"/>
    </row>
    <row r="372" ht="15.75" customHeight="1" s="216">
      <c r="D372" s="109" t="n"/>
      <c r="E372" s="109" t="n"/>
      <c r="J372" s="109" t="n"/>
      <c r="K372" s="109" t="n"/>
      <c r="L372" s="109" t="n"/>
      <c r="N372" s="109" t="n"/>
      <c r="O372" s="109" t="n"/>
      <c r="P372" s="109" t="n"/>
      <c r="T372" s="109" t="n"/>
      <c r="U372" s="109" t="n"/>
      <c r="V372" s="109" t="n"/>
      <c r="Z372" s="109" t="n"/>
      <c r="AA372" s="109" t="n"/>
      <c r="AB372" s="109" t="n"/>
      <c r="AF372" s="109" t="n"/>
      <c r="AG372" s="109" t="n"/>
      <c r="AH372" s="109" t="n"/>
      <c r="AL372" s="109" t="n"/>
      <c r="AM372" s="109" t="n"/>
      <c r="AN372" s="109" t="n"/>
    </row>
    <row r="373" ht="15.75" customHeight="1" s="216">
      <c r="D373" s="109" t="n"/>
      <c r="E373" s="109" t="n"/>
      <c r="J373" s="109" t="n"/>
      <c r="K373" s="109" t="n"/>
      <c r="L373" s="109" t="n"/>
      <c r="N373" s="109" t="n"/>
      <c r="O373" s="109" t="n"/>
      <c r="P373" s="109" t="n"/>
      <c r="T373" s="109" t="n"/>
      <c r="U373" s="109" t="n"/>
      <c r="V373" s="109" t="n"/>
      <c r="Z373" s="109" t="n"/>
      <c r="AA373" s="109" t="n"/>
      <c r="AB373" s="109" t="n"/>
      <c r="AF373" s="109" t="n"/>
      <c r="AG373" s="109" t="n"/>
      <c r="AH373" s="109" t="n"/>
      <c r="AL373" s="109" t="n"/>
      <c r="AM373" s="109" t="n"/>
      <c r="AN373" s="109" t="n"/>
    </row>
    <row r="374" ht="15.75" customHeight="1" s="216">
      <c r="D374" s="109" t="n"/>
      <c r="E374" s="109" t="n"/>
      <c r="J374" s="109" t="n"/>
      <c r="K374" s="109" t="n"/>
      <c r="L374" s="109" t="n"/>
      <c r="N374" s="109" t="n"/>
      <c r="O374" s="109" t="n"/>
      <c r="P374" s="109" t="n"/>
      <c r="T374" s="109" t="n"/>
      <c r="U374" s="109" t="n"/>
      <c r="V374" s="109" t="n"/>
      <c r="Z374" s="109" t="n"/>
      <c r="AA374" s="109" t="n"/>
      <c r="AB374" s="109" t="n"/>
      <c r="AF374" s="109" t="n"/>
      <c r="AG374" s="109" t="n"/>
      <c r="AH374" s="109" t="n"/>
      <c r="AL374" s="109" t="n"/>
      <c r="AM374" s="109" t="n"/>
      <c r="AN374" s="109" t="n"/>
    </row>
    <row r="375" ht="15.75" customHeight="1" s="216">
      <c r="D375" s="109" t="n"/>
      <c r="E375" s="109" t="n"/>
      <c r="J375" s="109" t="n"/>
      <c r="K375" s="109" t="n"/>
      <c r="L375" s="109" t="n"/>
      <c r="N375" s="109" t="n"/>
      <c r="O375" s="109" t="n"/>
      <c r="P375" s="109" t="n"/>
      <c r="T375" s="109" t="n"/>
      <c r="U375" s="109" t="n"/>
      <c r="V375" s="109" t="n"/>
      <c r="Z375" s="109" t="n"/>
      <c r="AA375" s="109" t="n"/>
      <c r="AB375" s="109" t="n"/>
      <c r="AF375" s="109" t="n"/>
      <c r="AG375" s="109" t="n"/>
      <c r="AH375" s="109" t="n"/>
      <c r="AL375" s="109" t="n"/>
      <c r="AM375" s="109" t="n"/>
      <c r="AN375" s="109" t="n"/>
    </row>
    <row r="376" ht="15.75" customHeight="1" s="216">
      <c r="D376" s="109" t="n"/>
      <c r="E376" s="109" t="n"/>
      <c r="J376" s="109" t="n"/>
      <c r="K376" s="109" t="n"/>
      <c r="L376" s="109" t="n"/>
      <c r="N376" s="109" t="n"/>
      <c r="O376" s="109" t="n"/>
      <c r="P376" s="109" t="n"/>
      <c r="T376" s="109" t="n"/>
      <c r="U376" s="109" t="n"/>
      <c r="V376" s="109" t="n"/>
      <c r="Z376" s="109" t="n"/>
      <c r="AA376" s="109" t="n"/>
      <c r="AB376" s="109" t="n"/>
      <c r="AF376" s="109" t="n"/>
      <c r="AG376" s="109" t="n"/>
      <c r="AH376" s="109" t="n"/>
      <c r="AL376" s="109" t="n"/>
      <c r="AM376" s="109" t="n"/>
      <c r="AN376" s="109" t="n"/>
    </row>
    <row r="377" ht="15.75" customHeight="1" s="216">
      <c r="D377" s="109" t="n"/>
      <c r="E377" s="109" t="n"/>
      <c r="J377" s="109" t="n"/>
      <c r="K377" s="109" t="n"/>
      <c r="L377" s="109" t="n"/>
      <c r="N377" s="109" t="n"/>
      <c r="O377" s="109" t="n"/>
      <c r="P377" s="109" t="n"/>
      <c r="T377" s="109" t="n"/>
      <c r="U377" s="109" t="n"/>
      <c r="V377" s="109" t="n"/>
      <c r="Z377" s="109" t="n"/>
      <c r="AA377" s="109" t="n"/>
      <c r="AB377" s="109" t="n"/>
      <c r="AF377" s="109" t="n"/>
      <c r="AG377" s="109" t="n"/>
      <c r="AH377" s="109" t="n"/>
      <c r="AL377" s="109" t="n"/>
      <c r="AM377" s="109" t="n"/>
      <c r="AN377" s="109" t="n"/>
    </row>
    <row r="378" ht="15.75" customHeight="1" s="216">
      <c r="D378" s="109" t="n"/>
      <c r="E378" s="109" t="n"/>
      <c r="J378" s="109" t="n"/>
      <c r="K378" s="109" t="n"/>
      <c r="L378" s="109" t="n"/>
      <c r="N378" s="109" t="n"/>
      <c r="O378" s="109" t="n"/>
      <c r="P378" s="109" t="n"/>
      <c r="T378" s="109" t="n"/>
      <c r="U378" s="109" t="n"/>
      <c r="V378" s="109" t="n"/>
      <c r="Z378" s="109" t="n"/>
      <c r="AA378" s="109" t="n"/>
      <c r="AB378" s="109" t="n"/>
      <c r="AF378" s="109" t="n"/>
      <c r="AG378" s="109" t="n"/>
      <c r="AH378" s="109" t="n"/>
      <c r="AL378" s="109" t="n"/>
      <c r="AM378" s="109" t="n"/>
      <c r="AN378" s="109" t="n"/>
    </row>
    <row r="379" ht="15.75" customHeight="1" s="216">
      <c r="D379" s="109" t="n"/>
      <c r="E379" s="109" t="n"/>
      <c r="J379" s="109" t="n"/>
      <c r="K379" s="109" t="n"/>
      <c r="L379" s="109" t="n"/>
      <c r="N379" s="109" t="n"/>
      <c r="O379" s="109" t="n"/>
      <c r="P379" s="109" t="n"/>
      <c r="T379" s="109" t="n"/>
      <c r="U379" s="109" t="n"/>
      <c r="V379" s="109" t="n"/>
      <c r="Z379" s="109" t="n"/>
      <c r="AA379" s="109" t="n"/>
      <c r="AB379" s="109" t="n"/>
      <c r="AF379" s="109" t="n"/>
      <c r="AG379" s="109" t="n"/>
      <c r="AH379" s="109" t="n"/>
      <c r="AL379" s="109" t="n"/>
      <c r="AM379" s="109" t="n"/>
      <c r="AN379" s="109" t="n"/>
    </row>
    <row r="380" ht="15.75" customHeight="1" s="216">
      <c r="D380" s="109" t="n"/>
      <c r="E380" s="109" t="n"/>
      <c r="J380" s="109" t="n"/>
      <c r="K380" s="109" t="n"/>
      <c r="L380" s="109" t="n"/>
      <c r="N380" s="109" t="n"/>
      <c r="O380" s="109" t="n"/>
      <c r="P380" s="109" t="n"/>
      <c r="T380" s="109" t="n"/>
      <c r="U380" s="109" t="n"/>
      <c r="V380" s="109" t="n"/>
      <c r="Z380" s="109" t="n"/>
      <c r="AA380" s="109" t="n"/>
      <c r="AB380" s="109" t="n"/>
      <c r="AF380" s="109" t="n"/>
      <c r="AG380" s="109" t="n"/>
      <c r="AH380" s="109" t="n"/>
      <c r="AL380" s="109" t="n"/>
      <c r="AM380" s="109" t="n"/>
      <c r="AN380" s="109" t="n"/>
    </row>
    <row r="381" ht="15.75" customHeight="1" s="216">
      <c r="D381" s="109" t="n"/>
      <c r="E381" s="109" t="n"/>
      <c r="J381" s="109" t="n"/>
      <c r="K381" s="109" t="n"/>
      <c r="L381" s="109" t="n"/>
      <c r="N381" s="109" t="n"/>
      <c r="O381" s="109" t="n"/>
      <c r="P381" s="109" t="n"/>
      <c r="T381" s="109" t="n"/>
      <c r="U381" s="109" t="n"/>
      <c r="V381" s="109" t="n"/>
      <c r="Z381" s="109" t="n"/>
      <c r="AA381" s="109" t="n"/>
      <c r="AB381" s="109" t="n"/>
      <c r="AF381" s="109" t="n"/>
      <c r="AG381" s="109" t="n"/>
      <c r="AH381" s="109" t="n"/>
      <c r="AL381" s="109" t="n"/>
      <c r="AM381" s="109" t="n"/>
      <c r="AN381" s="109" t="n"/>
    </row>
    <row r="382" ht="15.75" customHeight="1" s="216">
      <c r="D382" s="109" t="n"/>
      <c r="E382" s="109" t="n"/>
      <c r="J382" s="109" t="n"/>
      <c r="K382" s="109" t="n"/>
      <c r="L382" s="109" t="n"/>
      <c r="N382" s="109" t="n"/>
      <c r="O382" s="109" t="n"/>
      <c r="P382" s="109" t="n"/>
      <c r="T382" s="109" t="n"/>
      <c r="U382" s="109" t="n"/>
      <c r="V382" s="109" t="n"/>
      <c r="Z382" s="109" t="n"/>
      <c r="AA382" s="109" t="n"/>
      <c r="AB382" s="109" t="n"/>
      <c r="AF382" s="109" t="n"/>
      <c r="AG382" s="109" t="n"/>
      <c r="AH382" s="109" t="n"/>
      <c r="AL382" s="109" t="n"/>
      <c r="AM382" s="109" t="n"/>
      <c r="AN382" s="109" t="n"/>
    </row>
    <row r="383" ht="15.75" customHeight="1" s="216">
      <c r="D383" s="109" t="n"/>
      <c r="E383" s="109" t="n"/>
      <c r="J383" s="109" t="n"/>
      <c r="K383" s="109" t="n"/>
      <c r="L383" s="109" t="n"/>
      <c r="N383" s="109" t="n"/>
      <c r="O383" s="109" t="n"/>
      <c r="P383" s="109" t="n"/>
      <c r="T383" s="109" t="n"/>
      <c r="U383" s="109" t="n"/>
      <c r="V383" s="109" t="n"/>
      <c r="Z383" s="109" t="n"/>
      <c r="AA383" s="109" t="n"/>
      <c r="AB383" s="109" t="n"/>
      <c r="AF383" s="109" t="n"/>
      <c r="AG383" s="109" t="n"/>
      <c r="AH383" s="109" t="n"/>
      <c r="AL383" s="109" t="n"/>
      <c r="AM383" s="109" t="n"/>
      <c r="AN383" s="109" t="n"/>
    </row>
    <row r="384" ht="15.75" customHeight="1" s="216">
      <c r="D384" s="109" t="n"/>
      <c r="E384" s="109" t="n"/>
      <c r="J384" s="109" t="n"/>
      <c r="K384" s="109" t="n"/>
      <c r="L384" s="109" t="n"/>
      <c r="N384" s="109" t="n"/>
      <c r="O384" s="109" t="n"/>
      <c r="P384" s="109" t="n"/>
      <c r="T384" s="109" t="n"/>
      <c r="U384" s="109" t="n"/>
      <c r="V384" s="109" t="n"/>
      <c r="Z384" s="109" t="n"/>
      <c r="AA384" s="109" t="n"/>
      <c r="AB384" s="109" t="n"/>
      <c r="AF384" s="109" t="n"/>
      <c r="AG384" s="109" t="n"/>
      <c r="AH384" s="109" t="n"/>
      <c r="AL384" s="109" t="n"/>
      <c r="AM384" s="109" t="n"/>
      <c r="AN384" s="109" t="n"/>
    </row>
    <row r="385" ht="15.75" customHeight="1" s="216">
      <c r="D385" s="109" t="n"/>
      <c r="E385" s="109" t="n"/>
      <c r="J385" s="109" t="n"/>
      <c r="K385" s="109" t="n"/>
      <c r="L385" s="109" t="n"/>
      <c r="N385" s="109" t="n"/>
      <c r="O385" s="109" t="n"/>
      <c r="P385" s="109" t="n"/>
      <c r="T385" s="109" t="n"/>
      <c r="U385" s="109" t="n"/>
      <c r="V385" s="109" t="n"/>
      <c r="Z385" s="109" t="n"/>
      <c r="AA385" s="109" t="n"/>
      <c r="AB385" s="109" t="n"/>
      <c r="AF385" s="109" t="n"/>
      <c r="AG385" s="109" t="n"/>
      <c r="AH385" s="109" t="n"/>
      <c r="AL385" s="109" t="n"/>
      <c r="AM385" s="109" t="n"/>
      <c r="AN385" s="109" t="n"/>
    </row>
    <row r="386" ht="15.75" customHeight="1" s="216">
      <c r="D386" s="109" t="n"/>
      <c r="E386" s="109" t="n"/>
      <c r="J386" s="109" t="n"/>
      <c r="K386" s="109" t="n"/>
      <c r="L386" s="109" t="n"/>
      <c r="N386" s="109" t="n"/>
      <c r="O386" s="109" t="n"/>
      <c r="P386" s="109" t="n"/>
      <c r="T386" s="109" t="n"/>
      <c r="U386" s="109" t="n"/>
      <c r="V386" s="109" t="n"/>
      <c r="Z386" s="109" t="n"/>
      <c r="AA386" s="109" t="n"/>
      <c r="AB386" s="109" t="n"/>
      <c r="AF386" s="109" t="n"/>
      <c r="AG386" s="109" t="n"/>
      <c r="AH386" s="109" t="n"/>
      <c r="AL386" s="109" t="n"/>
      <c r="AM386" s="109" t="n"/>
      <c r="AN386" s="109" t="n"/>
    </row>
    <row r="387" ht="15.75" customHeight="1" s="216">
      <c r="D387" s="109" t="n"/>
      <c r="E387" s="109" t="n"/>
      <c r="J387" s="109" t="n"/>
      <c r="K387" s="109" t="n"/>
      <c r="L387" s="109" t="n"/>
      <c r="N387" s="109" t="n"/>
      <c r="O387" s="109" t="n"/>
      <c r="P387" s="109" t="n"/>
      <c r="T387" s="109" t="n"/>
      <c r="U387" s="109" t="n"/>
      <c r="V387" s="109" t="n"/>
      <c r="Z387" s="109" t="n"/>
      <c r="AA387" s="109" t="n"/>
      <c r="AB387" s="109" t="n"/>
      <c r="AF387" s="109" t="n"/>
      <c r="AG387" s="109" t="n"/>
      <c r="AH387" s="109" t="n"/>
      <c r="AL387" s="109" t="n"/>
      <c r="AM387" s="109" t="n"/>
      <c r="AN387" s="109" t="n"/>
    </row>
    <row r="388" ht="15.75" customHeight="1" s="216">
      <c r="D388" s="109" t="n"/>
      <c r="E388" s="109" t="n"/>
      <c r="J388" s="109" t="n"/>
      <c r="K388" s="109" t="n"/>
      <c r="L388" s="109" t="n"/>
      <c r="N388" s="109" t="n"/>
      <c r="O388" s="109" t="n"/>
      <c r="P388" s="109" t="n"/>
      <c r="T388" s="109" t="n"/>
      <c r="U388" s="109" t="n"/>
      <c r="V388" s="109" t="n"/>
      <c r="Z388" s="109" t="n"/>
      <c r="AA388" s="109" t="n"/>
      <c r="AB388" s="109" t="n"/>
      <c r="AF388" s="109" t="n"/>
      <c r="AG388" s="109" t="n"/>
      <c r="AH388" s="109" t="n"/>
      <c r="AL388" s="109" t="n"/>
      <c r="AM388" s="109" t="n"/>
      <c r="AN388" s="109" t="n"/>
    </row>
    <row r="389" ht="15.75" customHeight="1" s="216">
      <c r="D389" s="109" t="n"/>
      <c r="E389" s="109" t="n"/>
      <c r="J389" s="109" t="n"/>
      <c r="K389" s="109" t="n"/>
      <c r="L389" s="109" t="n"/>
      <c r="N389" s="109" t="n"/>
      <c r="O389" s="109" t="n"/>
      <c r="P389" s="109" t="n"/>
      <c r="T389" s="109" t="n"/>
      <c r="U389" s="109" t="n"/>
      <c r="V389" s="109" t="n"/>
      <c r="Z389" s="109" t="n"/>
      <c r="AA389" s="109" t="n"/>
      <c r="AB389" s="109" t="n"/>
      <c r="AF389" s="109" t="n"/>
      <c r="AG389" s="109" t="n"/>
      <c r="AH389" s="109" t="n"/>
      <c r="AL389" s="109" t="n"/>
      <c r="AM389" s="109" t="n"/>
      <c r="AN389" s="109" t="n"/>
    </row>
    <row r="390" ht="15.75" customHeight="1" s="216">
      <c r="D390" s="109" t="n"/>
      <c r="E390" s="109" t="n"/>
      <c r="J390" s="109" t="n"/>
      <c r="K390" s="109" t="n"/>
      <c r="L390" s="109" t="n"/>
      <c r="N390" s="109" t="n"/>
      <c r="O390" s="109" t="n"/>
      <c r="P390" s="109" t="n"/>
      <c r="T390" s="109" t="n"/>
      <c r="U390" s="109" t="n"/>
      <c r="V390" s="109" t="n"/>
      <c r="Z390" s="109" t="n"/>
      <c r="AA390" s="109" t="n"/>
      <c r="AB390" s="109" t="n"/>
      <c r="AF390" s="109" t="n"/>
      <c r="AG390" s="109" t="n"/>
      <c r="AH390" s="109" t="n"/>
      <c r="AL390" s="109" t="n"/>
      <c r="AM390" s="109" t="n"/>
      <c r="AN390" s="109" t="n"/>
    </row>
    <row r="391" ht="15.75" customHeight="1" s="216">
      <c r="D391" s="109" t="n"/>
      <c r="E391" s="109" t="n"/>
      <c r="J391" s="109" t="n"/>
      <c r="K391" s="109" t="n"/>
      <c r="L391" s="109" t="n"/>
      <c r="N391" s="109" t="n"/>
      <c r="O391" s="109" t="n"/>
      <c r="P391" s="109" t="n"/>
      <c r="T391" s="109" t="n"/>
      <c r="U391" s="109" t="n"/>
      <c r="V391" s="109" t="n"/>
      <c r="Z391" s="109" t="n"/>
      <c r="AA391" s="109" t="n"/>
      <c r="AB391" s="109" t="n"/>
      <c r="AF391" s="109" t="n"/>
      <c r="AG391" s="109" t="n"/>
      <c r="AH391" s="109" t="n"/>
      <c r="AL391" s="109" t="n"/>
      <c r="AM391" s="109" t="n"/>
      <c r="AN391" s="109" t="n"/>
    </row>
    <row r="392" ht="15.75" customHeight="1" s="216">
      <c r="D392" s="109" t="n"/>
      <c r="E392" s="109" t="n"/>
      <c r="J392" s="109" t="n"/>
      <c r="K392" s="109" t="n"/>
      <c r="L392" s="109" t="n"/>
      <c r="N392" s="109" t="n"/>
      <c r="O392" s="109" t="n"/>
      <c r="P392" s="109" t="n"/>
      <c r="T392" s="109" t="n"/>
      <c r="U392" s="109" t="n"/>
      <c r="V392" s="109" t="n"/>
      <c r="Z392" s="109" t="n"/>
      <c r="AA392" s="109" t="n"/>
      <c r="AB392" s="109" t="n"/>
      <c r="AF392" s="109" t="n"/>
      <c r="AG392" s="109" t="n"/>
      <c r="AH392" s="109" t="n"/>
      <c r="AL392" s="109" t="n"/>
      <c r="AM392" s="109" t="n"/>
      <c r="AN392" s="109" t="n"/>
    </row>
    <row r="393" ht="15.75" customHeight="1" s="216">
      <c r="D393" s="109" t="n"/>
      <c r="E393" s="109" t="n"/>
      <c r="J393" s="109" t="n"/>
      <c r="K393" s="109" t="n"/>
      <c r="L393" s="109" t="n"/>
      <c r="N393" s="109" t="n"/>
      <c r="O393" s="109" t="n"/>
      <c r="P393" s="109" t="n"/>
      <c r="T393" s="109" t="n"/>
      <c r="U393" s="109" t="n"/>
      <c r="V393" s="109" t="n"/>
      <c r="Z393" s="109" t="n"/>
      <c r="AA393" s="109" t="n"/>
      <c r="AB393" s="109" t="n"/>
      <c r="AF393" s="109" t="n"/>
      <c r="AG393" s="109" t="n"/>
      <c r="AH393" s="109" t="n"/>
      <c r="AL393" s="109" t="n"/>
      <c r="AM393" s="109" t="n"/>
      <c r="AN393" s="109" t="n"/>
    </row>
    <row r="394" ht="15.75" customHeight="1" s="216">
      <c r="D394" s="109" t="n"/>
      <c r="E394" s="109" t="n"/>
      <c r="J394" s="109" t="n"/>
      <c r="K394" s="109" t="n"/>
      <c r="L394" s="109" t="n"/>
      <c r="N394" s="109" t="n"/>
      <c r="O394" s="109" t="n"/>
      <c r="P394" s="109" t="n"/>
      <c r="T394" s="109" t="n"/>
      <c r="U394" s="109" t="n"/>
      <c r="V394" s="109" t="n"/>
      <c r="Z394" s="109" t="n"/>
      <c r="AA394" s="109" t="n"/>
      <c r="AB394" s="109" t="n"/>
      <c r="AF394" s="109" t="n"/>
      <c r="AG394" s="109" t="n"/>
      <c r="AH394" s="109" t="n"/>
      <c r="AL394" s="109" t="n"/>
      <c r="AM394" s="109" t="n"/>
      <c r="AN394" s="109" t="n"/>
    </row>
    <row r="395" ht="15.75" customHeight="1" s="216">
      <c r="D395" s="109" t="n"/>
      <c r="E395" s="109" t="n"/>
      <c r="J395" s="109" t="n"/>
      <c r="K395" s="109" t="n"/>
      <c r="L395" s="109" t="n"/>
      <c r="N395" s="109" t="n"/>
      <c r="O395" s="109" t="n"/>
      <c r="P395" s="109" t="n"/>
      <c r="T395" s="109" t="n"/>
      <c r="U395" s="109" t="n"/>
      <c r="V395" s="109" t="n"/>
      <c r="Z395" s="109" t="n"/>
      <c r="AA395" s="109" t="n"/>
      <c r="AB395" s="109" t="n"/>
      <c r="AF395" s="109" t="n"/>
      <c r="AG395" s="109" t="n"/>
      <c r="AH395" s="109" t="n"/>
      <c r="AL395" s="109" t="n"/>
      <c r="AM395" s="109" t="n"/>
      <c r="AN395" s="109" t="n"/>
    </row>
    <row r="396" ht="15.75" customHeight="1" s="216">
      <c r="D396" s="109" t="n"/>
      <c r="E396" s="109" t="n"/>
      <c r="J396" s="109" t="n"/>
      <c r="K396" s="109" t="n"/>
      <c r="L396" s="109" t="n"/>
      <c r="N396" s="109" t="n"/>
      <c r="O396" s="109" t="n"/>
      <c r="P396" s="109" t="n"/>
      <c r="T396" s="109" t="n"/>
      <c r="U396" s="109" t="n"/>
      <c r="V396" s="109" t="n"/>
      <c r="Z396" s="109" t="n"/>
      <c r="AA396" s="109" t="n"/>
      <c r="AB396" s="109" t="n"/>
      <c r="AF396" s="109" t="n"/>
      <c r="AG396" s="109" t="n"/>
      <c r="AH396" s="109" t="n"/>
      <c r="AL396" s="109" t="n"/>
      <c r="AM396" s="109" t="n"/>
      <c r="AN396" s="109" t="n"/>
    </row>
    <row r="397" ht="15.75" customHeight="1" s="216">
      <c r="D397" s="109" t="n"/>
      <c r="E397" s="109" t="n"/>
      <c r="J397" s="109" t="n"/>
      <c r="K397" s="109" t="n"/>
      <c r="L397" s="109" t="n"/>
      <c r="N397" s="109" t="n"/>
      <c r="O397" s="109" t="n"/>
      <c r="P397" s="109" t="n"/>
      <c r="T397" s="109" t="n"/>
      <c r="U397" s="109" t="n"/>
      <c r="V397" s="109" t="n"/>
      <c r="Z397" s="109" t="n"/>
      <c r="AA397" s="109" t="n"/>
      <c r="AB397" s="109" t="n"/>
      <c r="AF397" s="109" t="n"/>
      <c r="AG397" s="109" t="n"/>
      <c r="AH397" s="109" t="n"/>
      <c r="AL397" s="109" t="n"/>
      <c r="AM397" s="109" t="n"/>
      <c r="AN397" s="109" t="n"/>
    </row>
    <row r="398" ht="15.75" customHeight="1" s="216">
      <c r="D398" s="109" t="n"/>
      <c r="E398" s="109" t="n"/>
      <c r="J398" s="109" t="n"/>
      <c r="K398" s="109" t="n"/>
      <c r="L398" s="109" t="n"/>
      <c r="N398" s="109" t="n"/>
      <c r="O398" s="109" t="n"/>
      <c r="P398" s="109" t="n"/>
      <c r="T398" s="109" t="n"/>
      <c r="U398" s="109" t="n"/>
      <c r="V398" s="109" t="n"/>
      <c r="Z398" s="109" t="n"/>
      <c r="AA398" s="109" t="n"/>
      <c r="AB398" s="109" t="n"/>
      <c r="AF398" s="109" t="n"/>
      <c r="AG398" s="109" t="n"/>
      <c r="AH398" s="109" t="n"/>
      <c r="AL398" s="109" t="n"/>
      <c r="AM398" s="109" t="n"/>
      <c r="AN398" s="109" t="n"/>
    </row>
    <row r="399" ht="15.75" customHeight="1" s="216">
      <c r="D399" s="109" t="n"/>
      <c r="E399" s="109" t="n"/>
      <c r="J399" s="109" t="n"/>
      <c r="K399" s="109" t="n"/>
      <c r="L399" s="109" t="n"/>
      <c r="N399" s="109" t="n"/>
      <c r="O399" s="109" t="n"/>
      <c r="P399" s="109" t="n"/>
      <c r="T399" s="109" t="n"/>
      <c r="U399" s="109" t="n"/>
      <c r="V399" s="109" t="n"/>
      <c r="Z399" s="109" t="n"/>
      <c r="AA399" s="109" t="n"/>
      <c r="AB399" s="109" t="n"/>
      <c r="AF399" s="109" t="n"/>
      <c r="AG399" s="109" t="n"/>
      <c r="AH399" s="109" t="n"/>
      <c r="AL399" s="109" t="n"/>
      <c r="AM399" s="109" t="n"/>
      <c r="AN399" s="109" t="n"/>
    </row>
    <row r="400" ht="15.75" customHeight="1" s="216">
      <c r="D400" s="109" t="n"/>
      <c r="E400" s="109" t="n"/>
      <c r="J400" s="109" t="n"/>
      <c r="K400" s="109" t="n"/>
      <c r="L400" s="109" t="n"/>
      <c r="N400" s="109" t="n"/>
      <c r="O400" s="109" t="n"/>
      <c r="P400" s="109" t="n"/>
      <c r="T400" s="109" t="n"/>
      <c r="U400" s="109" t="n"/>
      <c r="V400" s="109" t="n"/>
      <c r="Z400" s="109" t="n"/>
      <c r="AA400" s="109" t="n"/>
      <c r="AB400" s="109" t="n"/>
      <c r="AF400" s="109" t="n"/>
      <c r="AG400" s="109" t="n"/>
      <c r="AH400" s="109" t="n"/>
      <c r="AL400" s="109" t="n"/>
      <c r="AM400" s="109" t="n"/>
      <c r="AN400" s="109" t="n"/>
    </row>
    <row r="401" ht="15.75" customHeight="1" s="216">
      <c r="D401" s="109" t="n"/>
      <c r="E401" s="109" t="n"/>
      <c r="J401" s="109" t="n"/>
      <c r="K401" s="109" t="n"/>
      <c r="L401" s="109" t="n"/>
      <c r="N401" s="109" t="n"/>
      <c r="O401" s="109" t="n"/>
      <c r="P401" s="109" t="n"/>
      <c r="T401" s="109" t="n"/>
      <c r="U401" s="109" t="n"/>
      <c r="V401" s="109" t="n"/>
      <c r="Z401" s="109" t="n"/>
      <c r="AA401" s="109" t="n"/>
      <c r="AB401" s="109" t="n"/>
      <c r="AF401" s="109" t="n"/>
      <c r="AG401" s="109" t="n"/>
      <c r="AH401" s="109" t="n"/>
      <c r="AL401" s="109" t="n"/>
      <c r="AM401" s="109" t="n"/>
      <c r="AN401" s="109" t="n"/>
    </row>
    <row r="402" ht="15.75" customHeight="1" s="216">
      <c r="D402" s="109" t="n"/>
      <c r="E402" s="109" t="n"/>
      <c r="J402" s="109" t="n"/>
      <c r="K402" s="109" t="n"/>
      <c r="L402" s="109" t="n"/>
      <c r="N402" s="109" t="n"/>
      <c r="O402" s="109" t="n"/>
      <c r="P402" s="109" t="n"/>
      <c r="T402" s="109" t="n"/>
      <c r="U402" s="109" t="n"/>
      <c r="V402" s="109" t="n"/>
      <c r="Z402" s="109" t="n"/>
      <c r="AA402" s="109" t="n"/>
      <c r="AB402" s="109" t="n"/>
      <c r="AF402" s="109" t="n"/>
      <c r="AG402" s="109" t="n"/>
      <c r="AH402" s="109" t="n"/>
      <c r="AL402" s="109" t="n"/>
      <c r="AM402" s="109" t="n"/>
      <c r="AN402" s="109" t="n"/>
    </row>
    <row r="403" ht="15.75" customHeight="1" s="216">
      <c r="D403" s="109" t="n"/>
      <c r="E403" s="109" t="n"/>
      <c r="J403" s="109" t="n"/>
      <c r="K403" s="109" t="n"/>
      <c r="L403" s="109" t="n"/>
      <c r="N403" s="109" t="n"/>
      <c r="O403" s="109" t="n"/>
      <c r="P403" s="109" t="n"/>
      <c r="T403" s="109" t="n"/>
      <c r="U403" s="109" t="n"/>
      <c r="V403" s="109" t="n"/>
      <c r="Z403" s="109" t="n"/>
      <c r="AA403" s="109" t="n"/>
      <c r="AB403" s="109" t="n"/>
      <c r="AF403" s="109" t="n"/>
      <c r="AG403" s="109" t="n"/>
      <c r="AH403" s="109" t="n"/>
      <c r="AL403" s="109" t="n"/>
      <c r="AM403" s="109" t="n"/>
      <c r="AN403" s="109" t="n"/>
    </row>
    <row r="404" ht="15.75" customHeight="1" s="216">
      <c r="D404" s="109" t="n"/>
      <c r="E404" s="109" t="n"/>
      <c r="J404" s="109" t="n"/>
      <c r="K404" s="109" t="n"/>
      <c r="L404" s="109" t="n"/>
      <c r="N404" s="109" t="n"/>
      <c r="O404" s="109" t="n"/>
      <c r="P404" s="109" t="n"/>
      <c r="T404" s="109" t="n"/>
      <c r="U404" s="109" t="n"/>
      <c r="V404" s="109" t="n"/>
      <c r="Z404" s="109" t="n"/>
      <c r="AA404" s="109" t="n"/>
      <c r="AB404" s="109" t="n"/>
      <c r="AF404" s="109" t="n"/>
      <c r="AG404" s="109" t="n"/>
      <c r="AH404" s="109" t="n"/>
      <c r="AL404" s="109" t="n"/>
      <c r="AM404" s="109" t="n"/>
      <c r="AN404" s="109" t="n"/>
    </row>
    <row r="405" ht="15.75" customHeight="1" s="216">
      <c r="D405" s="109" t="n"/>
      <c r="E405" s="109" t="n"/>
      <c r="J405" s="109" t="n"/>
      <c r="K405" s="109" t="n"/>
      <c r="L405" s="109" t="n"/>
      <c r="N405" s="109" t="n"/>
      <c r="O405" s="109" t="n"/>
      <c r="P405" s="109" t="n"/>
      <c r="T405" s="109" t="n"/>
      <c r="U405" s="109" t="n"/>
      <c r="V405" s="109" t="n"/>
      <c r="Z405" s="109" t="n"/>
      <c r="AA405" s="109" t="n"/>
      <c r="AB405" s="109" t="n"/>
      <c r="AF405" s="109" t="n"/>
      <c r="AG405" s="109" t="n"/>
      <c r="AH405" s="109" t="n"/>
      <c r="AL405" s="109" t="n"/>
      <c r="AM405" s="109" t="n"/>
      <c r="AN405" s="109" t="n"/>
    </row>
    <row r="406" ht="15.75" customHeight="1" s="216">
      <c r="D406" s="109" t="n"/>
      <c r="E406" s="109" t="n"/>
      <c r="J406" s="109" t="n"/>
      <c r="K406" s="109" t="n"/>
      <c r="L406" s="109" t="n"/>
      <c r="N406" s="109" t="n"/>
      <c r="O406" s="109" t="n"/>
      <c r="P406" s="109" t="n"/>
      <c r="T406" s="109" t="n"/>
      <c r="U406" s="109" t="n"/>
      <c r="V406" s="109" t="n"/>
      <c r="Z406" s="109" t="n"/>
      <c r="AA406" s="109" t="n"/>
      <c r="AB406" s="109" t="n"/>
      <c r="AF406" s="109" t="n"/>
      <c r="AG406" s="109" t="n"/>
      <c r="AH406" s="109" t="n"/>
      <c r="AL406" s="109" t="n"/>
      <c r="AM406" s="109" t="n"/>
      <c r="AN406" s="109" t="n"/>
    </row>
    <row r="407" ht="15.75" customHeight="1" s="216">
      <c r="D407" s="109" t="n"/>
      <c r="E407" s="109" t="n"/>
      <c r="J407" s="109" t="n"/>
      <c r="K407" s="109" t="n"/>
      <c r="L407" s="109" t="n"/>
      <c r="N407" s="109" t="n"/>
      <c r="O407" s="109" t="n"/>
      <c r="P407" s="109" t="n"/>
      <c r="T407" s="109" t="n"/>
      <c r="U407" s="109" t="n"/>
      <c r="V407" s="109" t="n"/>
      <c r="Z407" s="109" t="n"/>
      <c r="AA407" s="109" t="n"/>
      <c r="AB407" s="109" t="n"/>
      <c r="AF407" s="109" t="n"/>
      <c r="AG407" s="109" t="n"/>
      <c r="AH407" s="109" t="n"/>
      <c r="AL407" s="109" t="n"/>
      <c r="AM407" s="109" t="n"/>
      <c r="AN407" s="109" t="n"/>
    </row>
    <row r="408" ht="15.75" customHeight="1" s="216">
      <c r="D408" s="109" t="n"/>
      <c r="E408" s="109" t="n"/>
      <c r="J408" s="109" t="n"/>
      <c r="K408" s="109" t="n"/>
      <c r="L408" s="109" t="n"/>
      <c r="N408" s="109" t="n"/>
      <c r="O408" s="109" t="n"/>
      <c r="P408" s="109" t="n"/>
      <c r="T408" s="109" t="n"/>
      <c r="U408" s="109" t="n"/>
      <c r="V408" s="109" t="n"/>
      <c r="Z408" s="109" t="n"/>
      <c r="AA408" s="109" t="n"/>
      <c r="AB408" s="109" t="n"/>
      <c r="AF408" s="109" t="n"/>
      <c r="AG408" s="109" t="n"/>
      <c r="AH408" s="109" t="n"/>
      <c r="AL408" s="109" t="n"/>
      <c r="AM408" s="109" t="n"/>
      <c r="AN408" s="109" t="n"/>
    </row>
    <row r="409" ht="15.75" customHeight="1" s="216">
      <c r="D409" s="109" t="n"/>
      <c r="E409" s="109" t="n"/>
      <c r="J409" s="109" t="n"/>
      <c r="K409" s="109" t="n"/>
      <c r="L409" s="109" t="n"/>
      <c r="N409" s="109" t="n"/>
      <c r="O409" s="109" t="n"/>
      <c r="P409" s="109" t="n"/>
      <c r="T409" s="109" t="n"/>
      <c r="U409" s="109" t="n"/>
      <c r="V409" s="109" t="n"/>
      <c r="Z409" s="109" t="n"/>
      <c r="AA409" s="109" t="n"/>
      <c r="AB409" s="109" t="n"/>
      <c r="AF409" s="109" t="n"/>
      <c r="AG409" s="109" t="n"/>
      <c r="AH409" s="109" t="n"/>
      <c r="AL409" s="109" t="n"/>
      <c r="AM409" s="109" t="n"/>
      <c r="AN409" s="109" t="n"/>
    </row>
    <row r="410" ht="15.75" customHeight="1" s="216">
      <c r="D410" s="109" t="n"/>
      <c r="E410" s="109" t="n"/>
      <c r="J410" s="109" t="n"/>
      <c r="K410" s="109" t="n"/>
      <c r="L410" s="109" t="n"/>
      <c r="N410" s="109" t="n"/>
      <c r="O410" s="109" t="n"/>
      <c r="P410" s="109" t="n"/>
      <c r="T410" s="109" t="n"/>
      <c r="U410" s="109" t="n"/>
      <c r="V410" s="109" t="n"/>
      <c r="Z410" s="109" t="n"/>
      <c r="AA410" s="109" t="n"/>
      <c r="AB410" s="109" t="n"/>
      <c r="AF410" s="109" t="n"/>
      <c r="AG410" s="109" t="n"/>
      <c r="AH410" s="109" t="n"/>
      <c r="AL410" s="109" t="n"/>
      <c r="AM410" s="109" t="n"/>
      <c r="AN410" s="109" t="n"/>
    </row>
    <row r="411" ht="15.75" customHeight="1" s="216">
      <c r="D411" s="109" t="n"/>
      <c r="E411" s="109" t="n"/>
      <c r="J411" s="109" t="n"/>
      <c r="K411" s="109" t="n"/>
      <c r="L411" s="109" t="n"/>
      <c r="N411" s="109" t="n"/>
      <c r="O411" s="109" t="n"/>
      <c r="P411" s="109" t="n"/>
      <c r="T411" s="109" t="n"/>
      <c r="U411" s="109" t="n"/>
      <c r="V411" s="109" t="n"/>
      <c r="Z411" s="109" t="n"/>
      <c r="AA411" s="109" t="n"/>
      <c r="AB411" s="109" t="n"/>
      <c r="AF411" s="109" t="n"/>
      <c r="AG411" s="109" t="n"/>
      <c r="AH411" s="109" t="n"/>
      <c r="AL411" s="109" t="n"/>
      <c r="AM411" s="109" t="n"/>
      <c r="AN411" s="109" t="n"/>
    </row>
    <row r="412" ht="15.75" customHeight="1" s="216">
      <c r="D412" s="109" t="n"/>
      <c r="E412" s="109" t="n"/>
      <c r="J412" s="109" t="n"/>
      <c r="K412" s="109" t="n"/>
      <c r="L412" s="109" t="n"/>
      <c r="N412" s="109" t="n"/>
      <c r="O412" s="109" t="n"/>
      <c r="P412" s="109" t="n"/>
      <c r="T412" s="109" t="n"/>
      <c r="U412" s="109" t="n"/>
      <c r="V412" s="109" t="n"/>
      <c r="Z412" s="109" t="n"/>
      <c r="AA412" s="109" t="n"/>
      <c r="AB412" s="109" t="n"/>
      <c r="AF412" s="109" t="n"/>
      <c r="AG412" s="109" t="n"/>
      <c r="AH412" s="109" t="n"/>
      <c r="AL412" s="109" t="n"/>
      <c r="AM412" s="109" t="n"/>
      <c r="AN412" s="109" t="n"/>
    </row>
    <row r="413" ht="15.75" customHeight="1" s="216">
      <c r="D413" s="109" t="n"/>
      <c r="E413" s="109" t="n"/>
      <c r="J413" s="109" t="n"/>
      <c r="K413" s="109" t="n"/>
      <c r="L413" s="109" t="n"/>
      <c r="N413" s="109" t="n"/>
      <c r="O413" s="109" t="n"/>
      <c r="P413" s="109" t="n"/>
      <c r="T413" s="109" t="n"/>
      <c r="U413" s="109" t="n"/>
      <c r="V413" s="109" t="n"/>
      <c r="Z413" s="109" t="n"/>
      <c r="AA413" s="109" t="n"/>
      <c r="AB413" s="109" t="n"/>
      <c r="AF413" s="109" t="n"/>
      <c r="AG413" s="109" t="n"/>
      <c r="AH413" s="109" t="n"/>
      <c r="AL413" s="109" t="n"/>
      <c r="AM413" s="109" t="n"/>
      <c r="AN413" s="109" t="n"/>
    </row>
    <row r="414" ht="15.75" customHeight="1" s="216">
      <c r="D414" s="109" t="n"/>
      <c r="E414" s="109" t="n"/>
      <c r="J414" s="109" t="n"/>
      <c r="K414" s="109" t="n"/>
      <c r="L414" s="109" t="n"/>
      <c r="N414" s="109" t="n"/>
      <c r="O414" s="109" t="n"/>
      <c r="P414" s="109" t="n"/>
      <c r="T414" s="109" t="n"/>
      <c r="U414" s="109" t="n"/>
      <c r="V414" s="109" t="n"/>
      <c r="Z414" s="109" t="n"/>
      <c r="AA414" s="109" t="n"/>
      <c r="AB414" s="109" t="n"/>
      <c r="AF414" s="109" t="n"/>
      <c r="AG414" s="109" t="n"/>
      <c r="AH414" s="109" t="n"/>
      <c r="AL414" s="109" t="n"/>
      <c r="AM414" s="109" t="n"/>
      <c r="AN414" s="109" t="n"/>
    </row>
    <row r="415" ht="15.75" customHeight="1" s="216">
      <c r="D415" s="109" t="n"/>
      <c r="E415" s="109" t="n"/>
      <c r="J415" s="109" t="n"/>
      <c r="K415" s="109" t="n"/>
      <c r="L415" s="109" t="n"/>
      <c r="N415" s="109" t="n"/>
      <c r="O415" s="109" t="n"/>
      <c r="P415" s="109" t="n"/>
      <c r="T415" s="109" t="n"/>
      <c r="U415" s="109" t="n"/>
      <c r="V415" s="109" t="n"/>
      <c r="Z415" s="109" t="n"/>
      <c r="AA415" s="109" t="n"/>
      <c r="AB415" s="109" t="n"/>
      <c r="AF415" s="109" t="n"/>
      <c r="AG415" s="109" t="n"/>
      <c r="AH415" s="109" t="n"/>
      <c r="AL415" s="109" t="n"/>
      <c r="AM415" s="109" t="n"/>
      <c r="AN415" s="109" t="n"/>
    </row>
    <row r="416" ht="15.75" customHeight="1" s="216">
      <c r="D416" s="109" t="n"/>
      <c r="E416" s="109" t="n"/>
      <c r="J416" s="109" t="n"/>
      <c r="K416" s="109" t="n"/>
      <c r="L416" s="109" t="n"/>
      <c r="N416" s="109" t="n"/>
      <c r="O416" s="109" t="n"/>
      <c r="P416" s="109" t="n"/>
      <c r="T416" s="109" t="n"/>
      <c r="U416" s="109" t="n"/>
      <c r="V416" s="109" t="n"/>
      <c r="Z416" s="109" t="n"/>
      <c r="AA416" s="109" t="n"/>
      <c r="AB416" s="109" t="n"/>
      <c r="AF416" s="109" t="n"/>
      <c r="AG416" s="109" t="n"/>
      <c r="AH416" s="109" t="n"/>
      <c r="AL416" s="109" t="n"/>
      <c r="AM416" s="109" t="n"/>
      <c r="AN416" s="109" t="n"/>
    </row>
    <row r="417" ht="15.75" customHeight="1" s="216">
      <c r="D417" s="109" t="n"/>
      <c r="E417" s="109" t="n"/>
      <c r="J417" s="109" t="n"/>
      <c r="K417" s="109" t="n"/>
      <c r="L417" s="109" t="n"/>
      <c r="N417" s="109" t="n"/>
      <c r="O417" s="109" t="n"/>
      <c r="P417" s="109" t="n"/>
      <c r="T417" s="109" t="n"/>
      <c r="U417" s="109" t="n"/>
      <c r="V417" s="109" t="n"/>
      <c r="Z417" s="109" t="n"/>
      <c r="AA417" s="109" t="n"/>
      <c r="AB417" s="109" t="n"/>
      <c r="AF417" s="109" t="n"/>
      <c r="AG417" s="109" t="n"/>
      <c r="AH417" s="109" t="n"/>
      <c r="AL417" s="109" t="n"/>
      <c r="AM417" s="109" t="n"/>
      <c r="AN417" s="109" t="n"/>
    </row>
    <row r="418" ht="15.75" customHeight="1" s="216">
      <c r="D418" s="109" t="n"/>
      <c r="E418" s="109" t="n"/>
      <c r="J418" s="109" t="n"/>
      <c r="K418" s="109" t="n"/>
      <c r="L418" s="109" t="n"/>
      <c r="N418" s="109" t="n"/>
      <c r="O418" s="109" t="n"/>
      <c r="P418" s="109" t="n"/>
      <c r="T418" s="109" t="n"/>
      <c r="U418" s="109" t="n"/>
      <c r="V418" s="109" t="n"/>
      <c r="Z418" s="109" t="n"/>
      <c r="AA418" s="109" t="n"/>
      <c r="AB418" s="109" t="n"/>
      <c r="AF418" s="109" t="n"/>
      <c r="AG418" s="109" t="n"/>
      <c r="AH418" s="109" t="n"/>
      <c r="AL418" s="109" t="n"/>
      <c r="AM418" s="109" t="n"/>
      <c r="AN418" s="109" t="n"/>
    </row>
    <row r="419" ht="15.75" customHeight="1" s="216">
      <c r="D419" s="109" t="n"/>
      <c r="E419" s="109" t="n"/>
      <c r="J419" s="109" t="n"/>
      <c r="K419" s="109" t="n"/>
      <c r="L419" s="109" t="n"/>
      <c r="N419" s="109" t="n"/>
      <c r="O419" s="109" t="n"/>
      <c r="P419" s="109" t="n"/>
      <c r="T419" s="109" t="n"/>
      <c r="U419" s="109" t="n"/>
      <c r="V419" s="109" t="n"/>
      <c r="Z419" s="109" t="n"/>
      <c r="AA419" s="109" t="n"/>
      <c r="AB419" s="109" t="n"/>
      <c r="AF419" s="109" t="n"/>
      <c r="AG419" s="109" t="n"/>
      <c r="AH419" s="109" t="n"/>
      <c r="AL419" s="109" t="n"/>
      <c r="AM419" s="109" t="n"/>
      <c r="AN419" s="109" t="n"/>
    </row>
    <row r="420" ht="15.75" customHeight="1" s="216">
      <c r="D420" s="109" t="n"/>
      <c r="E420" s="109" t="n"/>
      <c r="J420" s="109" t="n"/>
      <c r="K420" s="109" t="n"/>
      <c r="L420" s="109" t="n"/>
      <c r="N420" s="109" t="n"/>
      <c r="O420" s="109" t="n"/>
      <c r="P420" s="109" t="n"/>
      <c r="T420" s="109" t="n"/>
      <c r="U420" s="109" t="n"/>
      <c r="V420" s="109" t="n"/>
      <c r="Z420" s="109" t="n"/>
      <c r="AA420" s="109" t="n"/>
      <c r="AB420" s="109" t="n"/>
      <c r="AF420" s="109" t="n"/>
      <c r="AG420" s="109" t="n"/>
      <c r="AH420" s="109" t="n"/>
      <c r="AL420" s="109" t="n"/>
      <c r="AM420" s="109" t="n"/>
      <c r="AN420" s="109" t="n"/>
    </row>
    <row r="421" ht="15.75" customHeight="1" s="216">
      <c r="D421" s="109" t="n"/>
      <c r="E421" s="109" t="n"/>
      <c r="J421" s="109" t="n"/>
      <c r="K421" s="109" t="n"/>
      <c r="L421" s="109" t="n"/>
      <c r="N421" s="109" t="n"/>
      <c r="O421" s="109" t="n"/>
      <c r="P421" s="109" t="n"/>
      <c r="T421" s="109" t="n"/>
      <c r="U421" s="109" t="n"/>
      <c r="V421" s="109" t="n"/>
      <c r="Z421" s="109" t="n"/>
      <c r="AA421" s="109" t="n"/>
      <c r="AB421" s="109" t="n"/>
      <c r="AF421" s="109" t="n"/>
      <c r="AG421" s="109" t="n"/>
      <c r="AH421" s="109" t="n"/>
      <c r="AL421" s="109" t="n"/>
      <c r="AM421" s="109" t="n"/>
      <c r="AN421" s="109" t="n"/>
    </row>
    <row r="422" ht="15.75" customHeight="1" s="216">
      <c r="D422" s="109" t="n"/>
      <c r="E422" s="109" t="n"/>
      <c r="J422" s="109" t="n"/>
      <c r="K422" s="109" t="n"/>
      <c r="L422" s="109" t="n"/>
      <c r="N422" s="109" t="n"/>
      <c r="O422" s="109" t="n"/>
      <c r="P422" s="109" t="n"/>
      <c r="T422" s="109" t="n"/>
      <c r="U422" s="109" t="n"/>
      <c r="V422" s="109" t="n"/>
      <c r="Z422" s="109" t="n"/>
      <c r="AA422" s="109" t="n"/>
      <c r="AB422" s="109" t="n"/>
      <c r="AF422" s="109" t="n"/>
      <c r="AG422" s="109" t="n"/>
      <c r="AH422" s="109" t="n"/>
      <c r="AL422" s="109" t="n"/>
      <c r="AM422" s="109" t="n"/>
      <c r="AN422" s="109" t="n"/>
    </row>
    <row r="423" ht="15.75" customHeight="1" s="216">
      <c r="D423" s="109" t="n"/>
      <c r="E423" s="109" t="n"/>
      <c r="J423" s="109" t="n"/>
      <c r="K423" s="109" t="n"/>
      <c r="L423" s="109" t="n"/>
      <c r="N423" s="109" t="n"/>
      <c r="O423" s="109" t="n"/>
      <c r="P423" s="109" t="n"/>
      <c r="T423" s="109" t="n"/>
      <c r="U423" s="109" t="n"/>
      <c r="V423" s="109" t="n"/>
      <c r="Z423" s="109" t="n"/>
      <c r="AA423" s="109" t="n"/>
      <c r="AB423" s="109" t="n"/>
      <c r="AF423" s="109" t="n"/>
      <c r="AG423" s="109" t="n"/>
      <c r="AH423" s="109" t="n"/>
      <c r="AL423" s="109" t="n"/>
      <c r="AM423" s="109" t="n"/>
      <c r="AN423" s="109" t="n"/>
    </row>
    <row r="424" ht="15.75" customHeight="1" s="216">
      <c r="D424" s="109" t="n"/>
      <c r="E424" s="109" t="n"/>
      <c r="J424" s="109" t="n"/>
      <c r="K424" s="109" t="n"/>
      <c r="L424" s="109" t="n"/>
      <c r="N424" s="109" t="n"/>
      <c r="O424" s="109" t="n"/>
      <c r="P424" s="109" t="n"/>
      <c r="T424" s="109" t="n"/>
      <c r="U424" s="109" t="n"/>
      <c r="V424" s="109" t="n"/>
      <c r="Z424" s="109" t="n"/>
      <c r="AA424" s="109" t="n"/>
      <c r="AB424" s="109" t="n"/>
      <c r="AF424" s="109" t="n"/>
      <c r="AG424" s="109" t="n"/>
      <c r="AH424" s="109" t="n"/>
      <c r="AL424" s="109" t="n"/>
      <c r="AM424" s="109" t="n"/>
      <c r="AN424" s="109" t="n"/>
    </row>
    <row r="425" ht="15.75" customHeight="1" s="216">
      <c r="D425" s="109" t="n"/>
      <c r="E425" s="109" t="n"/>
      <c r="J425" s="109" t="n"/>
      <c r="K425" s="109" t="n"/>
      <c r="L425" s="109" t="n"/>
      <c r="N425" s="109" t="n"/>
      <c r="O425" s="109" t="n"/>
      <c r="P425" s="109" t="n"/>
      <c r="T425" s="109" t="n"/>
      <c r="U425" s="109" t="n"/>
      <c r="V425" s="109" t="n"/>
      <c r="Z425" s="109" t="n"/>
      <c r="AA425" s="109" t="n"/>
      <c r="AB425" s="109" t="n"/>
      <c r="AF425" s="109" t="n"/>
      <c r="AG425" s="109" t="n"/>
      <c r="AH425" s="109" t="n"/>
      <c r="AL425" s="109" t="n"/>
      <c r="AM425" s="109" t="n"/>
      <c r="AN425" s="109" t="n"/>
    </row>
    <row r="426" ht="15.75" customHeight="1" s="216">
      <c r="D426" s="109" t="n"/>
      <c r="E426" s="109" t="n"/>
      <c r="J426" s="109" t="n"/>
      <c r="K426" s="109" t="n"/>
      <c r="L426" s="109" t="n"/>
      <c r="N426" s="109" t="n"/>
      <c r="O426" s="109" t="n"/>
      <c r="P426" s="109" t="n"/>
      <c r="T426" s="109" t="n"/>
      <c r="U426" s="109" t="n"/>
      <c r="V426" s="109" t="n"/>
      <c r="Z426" s="109" t="n"/>
      <c r="AA426" s="109" t="n"/>
      <c r="AB426" s="109" t="n"/>
      <c r="AF426" s="109" t="n"/>
      <c r="AG426" s="109" t="n"/>
      <c r="AH426" s="109" t="n"/>
      <c r="AL426" s="109" t="n"/>
      <c r="AM426" s="109" t="n"/>
      <c r="AN426" s="109" t="n"/>
    </row>
    <row r="427" ht="15.75" customHeight="1" s="216">
      <c r="D427" s="109" t="n"/>
      <c r="E427" s="109" t="n"/>
      <c r="J427" s="109" t="n"/>
      <c r="K427" s="109" t="n"/>
      <c r="L427" s="109" t="n"/>
      <c r="N427" s="109" t="n"/>
      <c r="O427" s="109" t="n"/>
      <c r="P427" s="109" t="n"/>
      <c r="T427" s="109" t="n"/>
      <c r="U427" s="109" t="n"/>
      <c r="V427" s="109" t="n"/>
      <c r="Z427" s="109" t="n"/>
      <c r="AA427" s="109" t="n"/>
      <c r="AB427" s="109" t="n"/>
      <c r="AF427" s="109" t="n"/>
      <c r="AG427" s="109" t="n"/>
      <c r="AH427" s="109" t="n"/>
      <c r="AL427" s="109" t="n"/>
      <c r="AM427" s="109" t="n"/>
      <c r="AN427" s="109" t="n"/>
    </row>
    <row r="428" ht="15.75" customHeight="1" s="216">
      <c r="D428" s="109" t="n"/>
      <c r="E428" s="109" t="n"/>
      <c r="J428" s="109" t="n"/>
      <c r="K428" s="109" t="n"/>
      <c r="L428" s="109" t="n"/>
      <c r="N428" s="109" t="n"/>
      <c r="O428" s="109" t="n"/>
      <c r="P428" s="109" t="n"/>
      <c r="T428" s="109" t="n"/>
      <c r="U428" s="109" t="n"/>
      <c r="V428" s="109" t="n"/>
      <c r="Z428" s="109" t="n"/>
      <c r="AA428" s="109" t="n"/>
      <c r="AB428" s="109" t="n"/>
      <c r="AF428" s="109" t="n"/>
      <c r="AG428" s="109" t="n"/>
      <c r="AH428" s="109" t="n"/>
      <c r="AL428" s="109" t="n"/>
      <c r="AM428" s="109" t="n"/>
      <c r="AN428" s="109" t="n"/>
    </row>
    <row r="429" ht="15.75" customHeight="1" s="216">
      <c r="D429" s="109" t="n"/>
      <c r="E429" s="109" t="n"/>
      <c r="J429" s="109" t="n"/>
      <c r="K429" s="109" t="n"/>
      <c r="L429" s="109" t="n"/>
      <c r="N429" s="109" t="n"/>
      <c r="O429" s="109" t="n"/>
      <c r="P429" s="109" t="n"/>
      <c r="T429" s="109" t="n"/>
      <c r="U429" s="109" t="n"/>
      <c r="V429" s="109" t="n"/>
      <c r="Z429" s="109" t="n"/>
      <c r="AA429" s="109" t="n"/>
      <c r="AB429" s="109" t="n"/>
      <c r="AF429" s="109" t="n"/>
      <c r="AG429" s="109" t="n"/>
      <c r="AH429" s="109" t="n"/>
      <c r="AL429" s="109" t="n"/>
      <c r="AM429" s="109" t="n"/>
      <c r="AN429" s="109" t="n"/>
    </row>
    <row r="430" ht="15.75" customHeight="1" s="216">
      <c r="D430" s="109" t="n"/>
      <c r="E430" s="109" t="n"/>
      <c r="J430" s="109" t="n"/>
      <c r="K430" s="109" t="n"/>
      <c r="L430" s="109" t="n"/>
      <c r="N430" s="109" t="n"/>
      <c r="O430" s="109" t="n"/>
      <c r="P430" s="109" t="n"/>
      <c r="T430" s="109" t="n"/>
      <c r="U430" s="109" t="n"/>
      <c r="V430" s="109" t="n"/>
      <c r="Z430" s="109" t="n"/>
      <c r="AA430" s="109" t="n"/>
      <c r="AB430" s="109" t="n"/>
      <c r="AF430" s="109" t="n"/>
      <c r="AG430" s="109" t="n"/>
      <c r="AH430" s="109" t="n"/>
      <c r="AL430" s="109" t="n"/>
      <c r="AM430" s="109" t="n"/>
      <c r="AN430" s="109" t="n"/>
    </row>
    <row r="431" ht="15.75" customHeight="1" s="216">
      <c r="D431" s="109" t="n"/>
      <c r="E431" s="109" t="n"/>
      <c r="J431" s="109" t="n"/>
      <c r="K431" s="109" t="n"/>
      <c r="L431" s="109" t="n"/>
      <c r="N431" s="109" t="n"/>
      <c r="O431" s="109" t="n"/>
      <c r="P431" s="109" t="n"/>
      <c r="T431" s="109" t="n"/>
      <c r="U431" s="109" t="n"/>
      <c r="V431" s="109" t="n"/>
      <c r="Z431" s="109" t="n"/>
      <c r="AA431" s="109" t="n"/>
      <c r="AB431" s="109" t="n"/>
      <c r="AF431" s="109" t="n"/>
      <c r="AG431" s="109" t="n"/>
      <c r="AH431" s="109" t="n"/>
      <c r="AL431" s="109" t="n"/>
      <c r="AM431" s="109" t="n"/>
      <c r="AN431" s="109" t="n"/>
    </row>
    <row r="432" ht="15.75" customHeight="1" s="216">
      <c r="D432" s="109" t="n"/>
      <c r="E432" s="109" t="n"/>
      <c r="J432" s="109" t="n"/>
      <c r="K432" s="109" t="n"/>
      <c r="L432" s="109" t="n"/>
      <c r="N432" s="109" t="n"/>
      <c r="O432" s="109" t="n"/>
      <c r="P432" s="109" t="n"/>
      <c r="T432" s="109" t="n"/>
      <c r="U432" s="109" t="n"/>
      <c r="V432" s="109" t="n"/>
      <c r="Z432" s="109" t="n"/>
      <c r="AA432" s="109" t="n"/>
      <c r="AB432" s="109" t="n"/>
      <c r="AF432" s="109" t="n"/>
      <c r="AG432" s="109" t="n"/>
      <c r="AH432" s="109" t="n"/>
      <c r="AL432" s="109" t="n"/>
      <c r="AM432" s="109" t="n"/>
      <c r="AN432" s="109" t="n"/>
    </row>
    <row r="433" ht="15.75" customHeight="1" s="216">
      <c r="D433" s="109" t="n"/>
      <c r="E433" s="109" t="n"/>
      <c r="J433" s="109" t="n"/>
      <c r="K433" s="109" t="n"/>
      <c r="L433" s="109" t="n"/>
      <c r="N433" s="109" t="n"/>
      <c r="O433" s="109" t="n"/>
      <c r="P433" s="109" t="n"/>
      <c r="T433" s="109" t="n"/>
      <c r="U433" s="109" t="n"/>
      <c r="V433" s="109" t="n"/>
      <c r="Z433" s="109" t="n"/>
      <c r="AA433" s="109" t="n"/>
      <c r="AB433" s="109" t="n"/>
      <c r="AF433" s="109" t="n"/>
      <c r="AG433" s="109" t="n"/>
      <c r="AH433" s="109" t="n"/>
      <c r="AL433" s="109" t="n"/>
      <c r="AM433" s="109" t="n"/>
      <c r="AN433" s="109" t="n"/>
    </row>
    <row r="434" ht="15.75" customHeight="1" s="216">
      <c r="D434" s="109" t="n"/>
      <c r="E434" s="109" t="n"/>
      <c r="J434" s="109" t="n"/>
      <c r="K434" s="109" t="n"/>
      <c r="L434" s="109" t="n"/>
      <c r="N434" s="109" t="n"/>
      <c r="O434" s="109" t="n"/>
      <c r="P434" s="109" t="n"/>
      <c r="T434" s="109" t="n"/>
      <c r="U434" s="109" t="n"/>
      <c r="V434" s="109" t="n"/>
      <c r="Z434" s="109" t="n"/>
      <c r="AA434" s="109" t="n"/>
      <c r="AB434" s="109" t="n"/>
      <c r="AF434" s="109" t="n"/>
      <c r="AG434" s="109" t="n"/>
      <c r="AH434" s="109" t="n"/>
      <c r="AL434" s="109" t="n"/>
      <c r="AM434" s="109" t="n"/>
      <c r="AN434" s="109" t="n"/>
    </row>
    <row r="435" ht="15.75" customHeight="1" s="216">
      <c r="D435" s="109" t="n"/>
      <c r="E435" s="109" t="n"/>
      <c r="J435" s="109" t="n"/>
      <c r="K435" s="109" t="n"/>
      <c r="L435" s="109" t="n"/>
      <c r="N435" s="109" t="n"/>
      <c r="O435" s="109" t="n"/>
      <c r="P435" s="109" t="n"/>
      <c r="T435" s="109" t="n"/>
      <c r="U435" s="109" t="n"/>
      <c r="V435" s="109" t="n"/>
      <c r="Z435" s="109" t="n"/>
      <c r="AA435" s="109" t="n"/>
      <c r="AB435" s="109" t="n"/>
      <c r="AF435" s="109" t="n"/>
      <c r="AG435" s="109" t="n"/>
      <c r="AH435" s="109" t="n"/>
      <c r="AL435" s="109" t="n"/>
      <c r="AM435" s="109" t="n"/>
      <c r="AN435" s="109" t="n"/>
    </row>
    <row r="436" ht="15.75" customHeight="1" s="216">
      <c r="D436" s="109" t="n"/>
      <c r="E436" s="109" t="n"/>
      <c r="J436" s="109" t="n"/>
      <c r="K436" s="109" t="n"/>
      <c r="L436" s="109" t="n"/>
      <c r="N436" s="109" t="n"/>
      <c r="O436" s="109" t="n"/>
      <c r="P436" s="109" t="n"/>
      <c r="T436" s="109" t="n"/>
      <c r="U436" s="109" t="n"/>
      <c r="V436" s="109" t="n"/>
      <c r="Z436" s="109" t="n"/>
      <c r="AA436" s="109" t="n"/>
      <c r="AB436" s="109" t="n"/>
      <c r="AF436" s="109" t="n"/>
      <c r="AG436" s="109" t="n"/>
      <c r="AH436" s="109" t="n"/>
      <c r="AL436" s="109" t="n"/>
      <c r="AM436" s="109" t="n"/>
      <c r="AN436" s="109" t="n"/>
    </row>
    <row r="437" ht="15.75" customHeight="1" s="216">
      <c r="D437" s="109" t="n"/>
      <c r="E437" s="109" t="n"/>
      <c r="J437" s="109" t="n"/>
      <c r="K437" s="109" t="n"/>
      <c r="L437" s="109" t="n"/>
      <c r="N437" s="109" t="n"/>
      <c r="O437" s="109" t="n"/>
      <c r="P437" s="109" t="n"/>
      <c r="T437" s="109" t="n"/>
      <c r="U437" s="109" t="n"/>
      <c r="V437" s="109" t="n"/>
      <c r="Z437" s="109" t="n"/>
      <c r="AA437" s="109" t="n"/>
      <c r="AB437" s="109" t="n"/>
      <c r="AF437" s="109" t="n"/>
      <c r="AG437" s="109" t="n"/>
      <c r="AH437" s="109" t="n"/>
      <c r="AL437" s="109" t="n"/>
      <c r="AM437" s="109" t="n"/>
      <c r="AN437" s="109" t="n"/>
    </row>
    <row r="438" ht="15.75" customHeight="1" s="216">
      <c r="D438" s="109" t="n"/>
      <c r="E438" s="109" t="n"/>
      <c r="J438" s="109" t="n"/>
      <c r="K438" s="109" t="n"/>
      <c r="L438" s="109" t="n"/>
      <c r="N438" s="109" t="n"/>
      <c r="O438" s="109" t="n"/>
      <c r="P438" s="109" t="n"/>
      <c r="T438" s="109" t="n"/>
      <c r="U438" s="109" t="n"/>
      <c r="V438" s="109" t="n"/>
      <c r="Z438" s="109" t="n"/>
      <c r="AA438" s="109" t="n"/>
      <c r="AB438" s="109" t="n"/>
      <c r="AF438" s="109" t="n"/>
      <c r="AG438" s="109" t="n"/>
      <c r="AH438" s="109" t="n"/>
      <c r="AL438" s="109" t="n"/>
      <c r="AM438" s="109" t="n"/>
      <c r="AN438" s="109" t="n"/>
    </row>
    <row r="439" ht="15.75" customHeight="1" s="216">
      <c r="D439" s="109" t="n"/>
      <c r="E439" s="109" t="n"/>
      <c r="J439" s="109" t="n"/>
      <c r="K439" s="109" t="n"/>
      <c r="L439" s="109" t="n"/>
      <c r="N439" s="109" t="n"/>
      <c r="O439" s="109" t="n"/>
      <c r="P439" s="109" t="n"/>
      <c r="T439" s="109" t="n"/>
      <c r="U439" s="109" t="n"/>
      <c r="V439" s="109" t="n"/>
      <c r="Z439" s="109" t="n"/>
      <c r="AA439" s="109" t="n"/>
      <c r="AB439" s="109" t="n"/>
      <c r="AF439" s="109" t="n"/>
      <c r="AG439" s="109" t="n"/>
      <c r="AH439" s="109" t="n"/>
      <c r="AL439" s="109" t="n"/>
      <c r="AM439" s="109" t="n"/>
      <c r="AN439" s="109" t="n"/>
    </row>
    <row r="440" ht="15.75" customHeight="1" s="216">
      <c r="D440" s="109" t="n"/>
      <c r="E440" s="109" t="n"/>
      <c r="J440" s="109" t="n"/>
      <c r="K440" s="109" t="n"/>
      <c r="L440" s="109" t="n"/>
      <c r="N440" s="109" t="n"/>
      <c r="O440" s="109" t="n"/>
      <c r="P440" s="109" t="n"/>
      <c r="T440" s="109" t="n"/>
      <c r="U440" s="109" t="n"/>
      <c r="V440" s="109" t="n"/>
      <c r="Z440" s="109" t="n"/>
      <c r="AA440" s="109" t="n"/>
      <c r="AB440" s="109" t="n"/>
      <c r="AF440" s="109" t="n"/>
      <c r="AG440" s="109" t="n"/>
      <c r="AH440" s="109" t="n"/>
      <c r="AL440" s="109" t="n"/>
      <c r="AM440" s="109" t="n"/>
      <c r="AN440" s="109" t="n"/>
    </row>
    <row r="441" ht="15.75" customHeight="1" s="216">
      <c r="D441" s="109" t="n"/>
      <c r="E441" s="109" t="n"/>
      <c r="J441" s="109" t="n"/>
      <c r="K441" s="109" t="n"/>
      <c r="L441" s="109" t="n"/>
      <c r="N441" s="109" t="n"/>
      <c r="O441" s="109" t="n"/>
      <c r="P441" s="109" t="n"/>
      <c r="T441" s="109" t="n"/>
      <c r="U441" s="109" t="n"/>
      <c r="V441" s="109" t="n"/>
      <c r="Z441" s="109" t="n"/>
      <c r="AA441" s="109" t="n"/>
      <c r="AB441" s="109" t="n"/>
      <c r="AF441" s="109" t="n"/>
      <c r="AG441" s="109" t="n"/>
      <c r="AH441" s="109" t="n"/>
      <c r="AL441" s="109" t="n"/>
      <c r="AM441" s="109" t="n"/>
      <c r="AN441" s="109" t="n"/>
    </row>
    <row r="442" ht="15.75" customHeight="1" s="216">
      <c r="D442" s="109" t="n"/>
      <c r="E442" s="109" t="n"/>
      <c r="J442" s="109" t="n"/>
      <c r="K442" s="109" t="n"/>
      <c r="L442" s="109" t="n"/>
      <c r="N442" s="109" t="n"/>
      <c r="O442" s="109" t="n"/>
      <c r="P442" s="109" t="n"/>
      <c r="T442" s="109" t="n"/>
      <c r="U442" s="109" t="n"/>
      <c r="V442" s="109" t="n"/>
      <c r="Z442" s="109" t="n"/>
      <c r="AA442" s="109" t="n"/>
      <c r="AB442" s="109" t="n"/>
      <c r="AF442" s="109" t="n"/>
      <c r="AG442" s="109" t="n"/>
      <c r="AH442" s="109" t="n"/>
      <c r="AL442" s="109" t="n"/>
      <c r="AM442" s="109" t="n"/>
      <c r="AN442" s="109" t="n"/>
    </row>
    <row r="443" ht="15.75" customHeight="1" s="216">
      <c r="D443" s="109" t="n"/>
      <c r="E443" s="109" t="n"/>
      <c r="J443" s="109" t="n"/>
      <c r="K443" s="109" t="n"/>
      <c r="L443" s="109" t="n"/>
      <c r="N443" s="109" t="n"/>
      <c r="O443" s="109" t="n"/>
      <c r="P443" s="109" t="n"/>
      <c r="T443" s="109" t="n"/>
      <c r="U443" s="109" t="n"/>
      <c r="V443" s="109" t="n"/>
      <c r="Z443" s="109" t="n"/>
      <c r="AA443" s="109" t="n"/>
      <c r="AB443" s="109" t="n"/>
      <c r="AF443" s="109" t="n"/>
      <c r="AG443" s="109" t="n"/>
      <c r="AH443" s="109" t="n"/>
      <c r="AL443" s="109" t="n"/>
      <c r="AM443" s="109" t="n"/>
      <c r="AN443" s="109" t="n"/>
    </row>
    <row r="444" ht="15.75" customHeight="1" s="216">
      <c r="D444" s="109" t="n"/>
      <c r="E444" s="109" t="n"/>
      <c r="J444" s="109" t="n"/>
      <c r="K444" s="109" t="n"/>
      <c r="L444" s="109" t="n"/>
      <c r="N444" s="109" t="n"/>
      <c r="O444" s="109" t="n"/>
      <c r="P444" s="109" t="n"/>
      <c r="T444" s="109" t="n"/>
      <c r="U444" s="109" t="n"/>
      <c r="V444" s="109" t="n"/>
      <c r="Z444" s="109" t="n"/>
      <c r="AA444" s="109" t="n"/>
      <c r="AB444" s="109" t="n"/>
      <c r="AF444" s="109" t="n"/>
      <c r="AG444" s="109" t="n"/>
      <c r="AH444" s="109" t="n"/>
      <c r="AL444" s="109" t="n"/>
      <c r="AM444" s="109" t="n"/>
      <c r="AN444" s="109" t="n"/>
    </row>
    <row r="445" ht="15.75" customHeight="1" s="216">
      <c r="D445" s="109" t="n"/>
      <c r="E445" s="109" t="n"/>
      <c r="J445" s="109" t="n"/>
      <c r="K445" s="109" t="n"/>
      <c r="L445" s="109" t="n"/>
      <c r="N445" s="109" t="n"/>
      <c r="O445" s="109" t="n"/>
      <c r="P445" s="109" t="n"/>
      <c r="T445" s="109" t="n"/>
      <c r="U445" s="109" t="n"/>
      <c r="V445" s="109" t="n"/>
      <c r="Z445" s="109" t="n"/>
      <c r="AA445" s="109" t="n"/>
      <c r="AB445" s="109" t="n"/>
      <c r="AF445" s="109" t="n"/>
      <c r="AG445" s="109" t="n"/>
      <c r="AH445" s="109" t="n"/>
      <c r="AL445" s="109" t="n"/>
      <c r="AM445" s="109" t="n"/>
      <c r="AN445" s="109" t="n"/>
    </row>
    <row r="446" ht="15.75" customHeight="1" s="216">
      <c r="D446" s="109" t="n"/>
      <c r="E446" s="109" t="n"/>
      <c r="J446" s="109" t="n"/>
      <c r="K446" s="109" t="n"/>
      <c r="L446" s="109" t="n"/>
      <c r="N446" s="109" t="n"/>
      <c r="O446" s="109" t="n"/>
      <c r="P446" s="109" t="n"/>
      <c r="T446" s="109" t="n"/>
      <c r="U446" s="109" t="n"/>
      <c r="V446" s="109" t="n"/>
      <c r="Z446" s="109" t="n"/>
      <c r="AA446" s="109" t="n"/>
      <c r="AB446" s="109" t="n"/>
      <c r="AF446" s="109" t="n"/>
      <c r="AG446" s="109" t="n"/>
      <c r="AH446" s="109" t="n"/>
      <c r="AL446" s="109" t="n"/>
      <c r="AM446" s="109" t="n"/>
      <c r="AN446" s="109" t="n"/>
    </row>
    <row r="447" ht="15.75" customHeight="1" s="216">
      <c r="D447" s="109" t="n"/>
      <c r="E447" s="109" t="n"/>
      <c r="J447" s="109" t="n"/>
      <c r="K447" s="109" t="n"/>
      <c r="L447" s="109" t="n"/>
      <c r="N447" s="109" t="n"/>
      <c r="O447" s="109" t="n"/>
      <c r="P447" s="109" t="n"/>
      <c r="T447" s="109" t="n"/>
      <c r="U447" s="109" t="n"/>
      <c r="V447" s="109" t="n"/>
      <c r="Z447" s="109" t="n"/>
      <c r="AA447" s="109" t="n"/>
      <c r="AB447" s="109" t="n"/>
      <c r="AF447" s="109" t="n"/>
      <c r="AG447" s="109" t="n"/>
      <c r="AH447" s="109" t="n"/>
      <c r="AL447" s="109" t="n"/>
      <c r="AM447" s="109" t="n"/>
      <c r="AN447" s="109" t="n"/>
    </row>
    <row r="448" ht="15.75" customHeight="1" s="216">
      <c r="D448" s="109" t="n"/>
      <c r="E448" s="109" t="n"/>
      <c r="J448" s="109" t="n"/>
      <c r="K448" s="109" t="n"/>
      <c r="L448" s="109" t="n"/>
      <c r="N448" s="109" t="n"/>
      <c r="O448" s="109" t="n"/>
      <c r="P448" s="109" t="n"/>
      <c r="T448" s="109" t="n"/>
      <c r="U448" s="109" t="n"/>
      <c r="V448" s="109" t="n"/>
      <c r="Z448" s="109" t="n"/>
      <c r="AA448" s="109" t="n"/>
      <c r="AB448" s="109" t="n"/>
      <c r="AF448" s="109" t="n"/>
      <c r="AG448" s="109" t="n"/>
      <c r="AH448" s="109" t="n"/>
      <c r="AL448" s="109" t="n"/>
      <c r="AM448" s="109" t="n"/>
      <c r="AN448" s="109" t="n"/>
    </row>
    <row r="449" ht="15.75" customHeight="1" s="216">
      <c r="D449" s="109" t="n"/>
      <c r="E449" s="109" t="n"/>
      <c r="J449" s="109" t="n"/>
      <c r="K449" s="109" t="n"/>
      <c r="L449" s="109" t="n"/>
      <c r="N449" s="109" t="n"/>
      <c r="O449" s="109" t="n"/>
      <c r="P449" s="109" t="n"/>
      <c r="T449" s="109" t="n"/>
      <c r="U449" s="109" t="n"/>
      <c r="V449" s="109" t="n"/>
      <c r="Z449" s="109" t="n"/>
      <c r="AA449" s="109" t="n"/>
      <c r="AB449" s="109" t="n"/>
      <c r="AF449" s="109" t="n"/>
      <c r="AG449" s="109" t="n"/>
      <c r="AH449" s="109" t="n"/>
      <c r="AL449" s="109" t="n"/>
      <c r="AM449" s="109" t="n"/>
      <c r="AN449" s="109" t="n"/>
    </row>
    <row r="450" ht="15.75" customHeight="1" s="216">
      <c r="D450" s="109" t="n"/>
      <c r="E450" s="109" t="n"/>
      <c r="J450" s="109" t="n"/>
      <c r="K450" s="109" t="n"/>
      <c r="L450" s="109" t="n"/>
      <c r="N450" s="109" t="n"/>
      <c r="O450" s="109" t="n"/>
      <c r="P450" s="109" t="n"/>
      <c r="T450" s="109" t="n"/>
      <c r="U450" s="109" t="n"/>
      <c r="V450" s="109" t="n"/>
      <c r="Z450" s="109" t="n"/>
      <c r="AA450" s="109" t="n"/>
      <c r="AB450" s="109" t="n"/>
      <c r="AF450" s="109" t="n"/>
      <c r="AG450" s="109" t="n"/>
      <c r="AH450" s="109" t="n"/>
      <c r="AL450" s="109" t="n"/>
      <c r="AM450" s="109" t="n"/>
      <c r="AN450" s="109" t="n"/>
    </row>
    <row r="451" ht="15.75" customHeight="1" s="216">
      <c r="D451" s="109" t="n"/>
      <c r="E451" s="109" t="n"/>
      <c r="J451" s="109" t="n"/>
      <c r="K451" s="109" t="n"/>
      <c r="L451" s="109" t="n"/>
      <c r="N451" s="109" t="n"/>
      <c r="O451" s="109" t="n"/>
      <c r="P451" s="109" t="n"/>
      <c r="T451" s="109" t="n"/>
      <c r="U451" s="109" t="n"/>
      <c r="V451" s="109" t="n"/>
      <c r="Z451" s="109" t="n"/>
      <c r="AA451" s="109" t="n"/>
      <c r="AB451" s="109" t="n"/>
      <c r="AF451" s="109" t="n"/>
      <c r="AG451" s="109" t="n"/>
      <c r="AH451" s="109" t="n"/>
      <c r="AL451" s="109" t="n"/>
      <c r="AM451" s="109" t="n"/>
      <c r="AN451" s="109" t="n"/>
    </row>
    <row r="452" ht="15.75" customHeight="1" s="216">
      <c r="D452" s="109" t="n"/>
      <c r="E452" s="109" t="n"/>
      <c r="J452" s="109" t="n"/>
      <c r="K452" s="109" t="n"/>
      <c r="L452" s="109" t="n"/>
      <c r="N452" s="109" t="n"/>
      <c r="O452" s="109" t="n"/>
      <c r="P452" s="109" t="n"/>
      <c r="T452" s="109" t="n"/>
      <c r="U452" s="109" t="n"/>
      <c r="V452" s="109" t="n"/>
      <c r="Z452" s="109" t="n"/>
      <c r="AA452" s="109" t="n"/>
      <c r="AB452" s="109" t="n"/>
      <c r="AF452" s="109" t="n"/>
      <c r="AG452" s="109" t="n"/>
      <c r="AH452" s="109" t="n"/>
      <c r="AL452" s="109" t="n"/>
      <c r="AM452" s="109" t="n"/>
      <c r="AN452" s="109" t="n"/>
    </row>
    <row r="453" ht="15.75" customHeight="1" s="216">
      <c r="D453" s="109" t="n"/>
      <c r="E453" s="109" t="n"/>
      <c r="J453" s="109" t="n"/>
      <c r="K453" s="109" t="n"/>
      <c r="L453" s="109" t="n"/>
      <c r="N453" s="109" t="n"/>
      <c r="O453" s="109" t="n"/>
      <c r="P453" s="109" t="n"/>
      <c r="T453" s="109" t="n"/>
      <c r="U453" s="109" t="n"/>
      <c r="V453" s="109" t="n"/>
      <c r="Z453" s="109" t="n"/>
      <c r="AA453" s="109" t="n"/>
      <c r="AB453" s="109" t="n"/>
      <c r="AF453" s="109" t="n"/>
      <c r="AG453" s="109" t="n"/>
      <c r="AH453" s="109" t="n"/>
      <c r="AL453" s="109" t="n"/>
      <c r="AM453" s="109" t="n"/>
      <c r="AN453" s="109" t="n"/>
    </row>
    <row r="454" ht="15.75" customHeight="1" s="216">
      <c r="D454" s="109" t="n"/>
      <c r="E454" s="109" t="n"/>
      <c r="J454" s="109" t="n"/>
      <c r="K454" s="109" t="n"/>
      <c r="L454" s="109" t="n"/>
      <c r="N454" s="109" t="n"/>
      <c r="O454" s="109" t="n"/>
      <c r="P454" s="109" t="n"/>
      <c r="T454" s="109" t="n"/>
      <c r="U454" s="109" t="n"/>
      <c r="V454" s="109" t="n"/>
      <c r="Z454" s="109" t="n"/>
      <c r="AA454" s="109" t="n"/>
      <c r="AB454" s="109" t="n"/>
      <c r="AF454" s="109" t="n"/>
      <c r="AG454" s="109" t="n"/>
      <c r="AH454" s="109" t="n"/>
      <c r="AL454" s="109" t="n"/>
      <c r="AM454" s="109" t="n"/>
      <c r="AN454" s="109" t="n"/>
    </row>
    <row r="455" ht="15.75" customHeight="1" s="216">
      <c r="D455" s="109" t="n"/>
      <c r="E455" s="109" t="n"/>
      <c r="J455" s="109" t="n"/>
      <c r="K455" s="109" t="n"/>
      <c r="L455" s="109" t="n"/>
      <c r="N455" s="109" t="n"/>
      <c r="O455" s="109" t="n"/>
      <c r="P455" s="109" t="n"/>
      <c r="T455" s="109" t="n"/>
      <c r="U455" s="109" t="n"/>
      <c r="V455" s="109" t="n"/>
      <c r="Z455" s="109" t="n"/>
      <c r="AA455" s="109" t="n"/>
      <c r="AB455" s="109" t="n"/>
      <c r="AF455" s="109" t="n"/>
      <c r="AG455" s="109" t="n"/>
      <c r="AH455" s="109" t="n"/>
      <c r="AL455" s="109" t="n"/>
      <c r="AM455" s="109" t="n"/>
      <c r="AN455" s="109" t="n"/>
    </row>
    <row r="456" ht="15.75" customHeight="1" s="216">
      <c r="D456" s="109" t="n"/>
      <c r="E456" s="109" t="n"/>
      <c r="J456" s="109" t="n"/>
      <c r="K456" s="109" t="n"/>
      <c r="L456" s="109" t="n"/>
      <c r="N456" s="109" t="n"/>
      <c r="O456" s="109" t="n"/>
      <c r="P456" s="109" t="n"/>
      <c r="T456" s="109" t="n"/>
      <c r="U456" s="109" t="n"/>
      <c r="V456" s="109" t="n"/>
      <c r="Z456" s="109" t="n"/>
      <c r="AA456" s="109" t="n"/>
      <c r="AB456" s="109" t="n"/>
      <c r="AF456" s="109" t="n"/>
      <c r="AG456" s="109" t="n"/>
      <c r="AH456" s="109" t="n"/>
      <c r="AL456" s="109" t="n"/>
      <c r="AM456" s="109" t="n"/>
      <c r="AN456" s="109" t="n"/>
    </row>
    <row r="457" ht="15.75" customHeight="1" s="216">
      <c r="D457" s="109" t="n"/>
      <c r="E457" s="109" t="n"/>
      <c r="J457" s="109" t="n"/>
      <c r="K457" s="109" t="n"/>
      <c r="L457" s="109" t="n"/>
      <c r="N457" s="109" t="n"/>
      <c r="O457" s="109" t="n"/>
      <c r="P457" s="109" t="n"/>
      <c r="T457" s="109" t="n"/>
      <c r="U457" s="109" t="n"/>
      <c r="V457" s="109" t="n"/>
      <c r="Z457" s="109" t="n"/>
      <c r="AA457" s="109" t="n"/>
      <c r="AB457" s="109" t="n"/>
      <c r="AF457" s="109" t="n"/>
      <c r="AG457" s="109" t="n"/>
      <c r="AH457" s="109" t="n"/>
      <c r="AL457" s="109" t="n"/>
      <c r="AM457" s="109" t="n"/>
      <c r="AN457" s="109" t="n"/>
    </row>
    <row r="458" ht="15.75" customHeight="1" s="216">
      <c r="D458" s="109" t="n"/>
      <c r="E458" s="109" t="n"/>
      <c r="J458" s="109" t="n"/>
      <c r="K458" s="109" t="n"/>
      <c r="L458" s="109" t="n"/>
      <c r="N458" s="109" t="n"/>
      <c r="O458" s="109" t="n"/>
      <c r="P458" s="109" t="n"/>
      <c r="T458" s="109" t="n"/>
      <c r="U458" s="109" t="n"/>
      <c r="V458" s="109" t="n"/>
      <c r="Z458" s="109" t="n"/>
      <c r="AA458" s="109" t="n"/>
      <c r="AB458" s="109" t="n"/>
      <c r="AF458" s="109" t="n"/>
      <c r="AG458" s="109" t="n"/>
      <c r="AH458" s="109" t="n"/>
      <c r="AL458" s="109" t="n"/>
      <c r="AM458" s="109" t="n"/>
      <c r="AN458" s="109" t="n"/>
    </row>
    <row r="459" ht="15.75" customHeight="1" s="216">
      <c r="D459" s="109" t="n"/>
      <c r="E459" s="109" t="n"/>
      <c r="J459" s="109" t="n"/>
      <c r="K459" s="109" t="n"/>
      <c r="L459" s="109" t="n"/>
      <c r="N459" s="109" t="n"/>
      <c r="O459" s="109" t="n"/>
      <c r="P459" s="109" t="n"/>
      <c r="T459" s="109" t="n"/>
      <c r="U459" s="109" t="n"/>
      <c r="V459" s="109" t="n"/>
      <c r="Z459" s="109" t="n"/>
      <c r="AA459" s="109" t="n"/>
      <c r="AB459" s="109" t="n"/>
      <c r="AF459" s="109" t="n"/>
      <c r="AG459" s="109" t="n"/>
      <c r="AH459" s="109" t="n"/>
      <c r="AL459" s="109" t="n"/>
      <c r="AM459" s="109" t="n"/>
      <c r="AN459" s="109" t="n"/>
    </row>
    <row r="460" ht="15.75" customHeight="1" s="216">
      <c r="D460" s="109" t="n"/>
      <c r="E460" s="109" t="n"/>
      <c r="J460" s="109" t="n"/>
      <c r="K460" s="109" t="n"/>
      <c r="L460" s="109" t="n"/>
      <c r="N460" s="109" t="n"/>
      <c r="O460" s="109" t="n"/>
      <c r="P460" s="109" t="n"/>
      <c r="T460" s="109" t="n"/>
      <c r="U460" s="109" t="n"/>
      <c r="V460" s="109" t="n"/>
      <c r="Z460" s="109" t="n"/>
      <c r="AA460" s="109" t="n"/>
      <c r="AB460" s="109" t="n"/>
      <c r="AF460" s="109" t="n"/>
      <c r="AG460" s="109" t="n"/>
      <c r="AH460" s="109" t="n"/>
      <c r="AL460" s="109" t="n"/>
      <c r="AM460" s="109" t="n"/>
      <c r="AN460" s="109" t="n"/>
    </row>
    <row r="461" ht="15.75" customHeight="1" s="216">
      <c r="D461" s="109" t="n"/>
      <c r="E461" s="109" t="n"/>
      <c r="J461" s="109" t="n"/>
      <c r="K461" s="109" t="n"/>
      <c r="L461" s="109" t="n"/>
      <c r="N461" s="109" t="n"/>
      <c r="O461" s="109" t="n"/>
      <c r="P461" s="109" t="n"/>
      <c r="T461" s="109" t="n"/>
      <c r="U461" s="109" t="n"/>
      <c r="V461" s="109" t="n"/>
      <c r="Z461" s="109" t="n"/>
      <c r="AA461" s="109" t="n"/>
      <c r="AB461" s="109" t="n"/>
      <c r="AF461" s="109" t="n"/>
      <c r="AG461" s="109" t="n"/>
      <c r="AH461" s="109" t="n"/>
      <c r="AL461" s="109" t="n"/>
      <c r="AM461" s="109" t="n"/>
      <c r="AN461" s="109" t="n"/>
    </row>
    <row r="462" ht="15.75" customHeight="1" s="216">
      <c r="D462" s="109" t="n"/>
      <c r="E462" s="109" t="n"/>
      <c r="J462" s="109" t="n"/>
      <c r="K462" s="109" t="n"/>
      <c r="L462" s="109" t="n"/>
      <c r="N462" s="109" t="n"/>
      <c r="O462" s="109" t="n"/>
      <c r="P462" s="109" t="n"/>
      <c r="T462" s="109" t="n"/>
      <c r="U462" s="109" t="n"/>
      <c r="V462" s="109" t="n"/>
      <c r="Z462" s="109" t="n"/>
      <c r="AA462" s="109" t="n"/>
      <c r="AB462" s="109" t="n"/>
      <c r="AF462" s="109" t="n"/>
      <c r="AG462" s="109" t="n"/>
      <c r="AH462" s="109" t="n"/>
      <c r="AL462" s="109" t="n"/>
      <c r="AM462" s="109" t="n"/>
      <c r="AN462" s="109" t="n"/>
    </row>
    <row r="463" ht="15.75" customHeight="1" s="216">
      <c r="D463" s="109" t="n"/>
      <c r="E463" s="109" t="n"/>
      <c r="J463" s="109" t="n"/>
      <c r="K463" s="109" t="n"/>
      <c r="L463" s="109" t="n"/>
      <c r="N463" s="109" t="n"/>
      <c r="O463" s="109" t="n"/>
      <c r="P463" s="109" t="n"/>
      <c r="T463" s="109" t="n"/>
      <c r="U463" s="109" t="n"/>
      <c r="V463" s="109" t="n"/>
      <c r="Z463" s="109" t="n"/>
      <c r="AA463" s="109" t="n"/>
      <c r="AB463" s="109" t="n"/>
      <c r="AF463" s="109" t="n"/>
      <c r="AG463" s="109" t="n"/>
      <c r="AH463" s="109" t="n"/>
      <c r="AL463" s="109" t="n"/>
      <c r="AM463" s="109" t="n"/>
      <c r="AN463" s="109" t="n"/>
    </row>
    <row r="464" ht="15.75" customHeight="1" s="216">
      <c r="D464" s="109" t="n"/>
      <c r="E464" s="109" t="n"/>
      <c r="J464" s="109" t="n"/>
      <c r="K464" s="109" t="n"/>
      <c r="L464" s="109" t="n"/>
      <c r="N464" s="109" t="n"/>
      <c r="O464" s="109" t="n"/>
      <c r="P464" s="109" t="n"/>
      <c r="T464" s="109" t="n"/>
      <c r="U464" s="109" t="n"/>
      <c r="V464" s="109" t="n"/>
      <c r="Z464" s="109" t="n"/>
      <c r="AA464" s="109" t="n"/>
      <c r="AB464" s="109" t="n"/>
      <c r="AF464" s="109" t="n"/>
      <c r="AG464" s="109" t="n"/>
      <c r="AH464" s="109" t="n"/>
      <c r="AL464" s="109" t="n"/>
      <c r="AM464" s="109" t="n"/>
      <c r="AN464" s="109" t="n"/>
    </row>
    <row r="465" ht="15.75" customHeight="1" s="216">
      <c r="D465" s="109" t="n"/>
      <c r="E465" s="109" t="n"/>
      <c r="J465" s="109" t="n"/>
      <c r="K465" s="109" t="n"/>
      <c r="L465" s="109" t="n"/>
      <c r="N465" s="109" t="n"/>
      <c r="O465" s="109" t="n"/>
      <c r="P465" s="109" t="n"/>
      <c r="T465" s="109" t="n"/>
      <c r="U465" s="109" t="n"/>
      <c r="V465" s="109" t="n"/>
      <c r="Z465" s="109" t="n"/>
      <c r="AA465" s="109" t="n"/>
      <c r="AB465" s="109" t="n"/>
      <c r="AF465" s="109" t="n"/>
      <c r="AG465" s="109" t="n"/>
      <c r="AH465" s="109" t="n"/>
      <c r="AL465" s="109" t="n"/>
      <c r="AM465" s="109" t="n"/>
      <c r="AN465" s="109" t="n"/>
    </row>
    <row r="466" ht="15.75" customHeight="1" s="216">
      <c r="D466" s="109" t="n"/>
      <c r="E466" s="109" t="n"/>
      <c r="J466" s="109" t="n"/>
      <c r="K466" s="109" t="n"/>
      <c r="L466" s="109" t="n"/>
      <c r="N466" s="109" t="n"/>
      <c r="O466" s="109" t="n"/>
      <c r="P466" s="109" t="n"/>
      <c r="T466" s="109" t="n"/>
      <c r="U466" s="109" t="n"/>
      <c r="V466" s="109" t="n"/>
      <c r="Z466" s="109" t="n"/>
      <c r="AA466" s="109" t="n"/>
      <c r="AB466" s="109" t="n"/>
      <c r="AF466" s="109" t="n"/>
      <c r="AG466" s="109" t="n"/>
      <c r="AH466" s="109" t="n"/>
      <c r="AL466" s="109" t="n"/>
      <c r="AM466" s="109" t="n"/>
      <c r="AN466" s="109" t="n"/>
    </row>
    <row r="467" ht="15.75" customHeight="1" s="216">
      <c r="D467" s="109" t="n"/>
      <c r="E467" s="109" t="n"/>
      <c r="J467" s="109" t="n"/>
      <c r="K467" s="109" t="n"/>
      <c r="L467" s="109" t="n"/>
      <c r="N467" s="109" t="n"/>
      <c r="O467" s="109" t="n"/>
      <c r="P467" s="109" t="n"/>
      <c r="T467" s="109" t="n"/>
      <c r="U467" s="109" t="n"/>
      <c r="V467" s="109" t="n"/>
      <c r="Z467" s="109" t="n"/>
      <c r="AA467" s="109" t="n"/>
      <c r="AB467" s="109" t="n"/>
      <c r="AF467" s="109" t="n"/>
      <c r="AG467" s="109" t="n"/>
      <c r="AH467" s="109" t="n"/>
      <c r="AL467" s="109" t="n"/>
      <c r="AM467" s="109" t="n"/>
      <c r="AN467" s="109" t="n"/>
    </row>
    <row r="468" ht="15.75" customHeight="1" s="216">
      <c r="D468" s="109" t="n"/>
      <c r="E468" s="109" t="n"/>
      <c r="J468" s="109" t="n"/>
      <c r="K468" s="109" t="n"/>
      <c r="L468" s="109" t="n"/>
      <c r="N468" s="109" t="n"/>
      <c r="O468" s="109" t="n"/>
      <c r="P468" s="109" t="n"/>
      <c r="T468" s="109" t="n"/>
      <c r="U468" s="109" t="n"/>
      <c r="V468" s="109" t="n"/>
      <c r="Z468" s="109" t="n"/>
      <c r="AA468" s="109" t="n"/>
      <c r="AB468" s="109" t="n"/>
      <c r="AF468" s="109" t="n"/>
      <c r="AG468" s="109" t="n"/>
      <c r="AH468" s="109" t="n"/>
      <c r="AL468" s="109" t="n"/>
      <c r="AM468" s="109" t="n"/>
      <c r="AN468" s="109" t="n"/>
    </row>
    <row r="469" ht="15.75" customHeight="1" s="216">
      <c r="D469" s="109" t="n"/>
      <c r="E469" s="109" t="n"/>
      <c r="J469" s="109" t="n"/>
      <c r="K469" s="109" t="n"/>
      <c r="L469" s="109" t="n"/>
      <c r="N469" s="109" t="n"/>
      <c r="O469" s="109" t="n"/>
      <c r="P469" s="109" t="n"/>
      <c r="T469" s="109" t="n"/>
      <c r="U469" s="109" t="n"/>
      <c r="V469" s="109" t="n"/>
      <c r="Z469" s="109" t="n"/>
      <c r="AA469" s="109" t="n"/>
      <c r="AB469" s="109" t="n"/>
      <c r="AF469" s="109" t="n"/>
      <c r="AG469" s="109" t="n"/>
      <c r="AH469" s="109" t="n"/>
      <c r="AL469" s="109" t="n"/>
      <c r="AM469" s="109" t="n"/>
      <c r="AN469" s="109" t="n"/>
    </row>
    <row r="470" ht="15.75" customHeight="1" s="216">
      <c r="D470" s="109" t="n"/>
      <c r="E470" s="109" t="n"/>
      <c r="J470" s="109" t="n"/>
      <c r="K470" s="109" t="n"/>
      <c r="L470" s="109" t="n"/>
      <c r="N470" s="109" t="n"/>
      <c r="O470" s="109" t="n"/>
      <c r="P470" s="109" t="n"/>
      <c r="T470" s="109" t="n"/>
      <c r="U470" s="109" t="n"/>
      <c r="V470" s="109" t="n"/>
      <c r="Z470" s="109" t="n"/>
      <c r="AA470" s="109" t="n"/>
      <c r="AB470" s="109" t="n"/>
      <c r="AF470" s="109" t="n"/>
      <c r="AG470" s="109" t="n"/>
      <c r="AH470" s="109" t="n"/>
      <c r="AL470" s="109" t="n"/>
      <c r="AM470" s="109" t="n"/>
      <c r="AN470" s="109" t="n"/>
    </row>
    <row r="471" ht="15.75" customHeight="1" s="216">
      <c r="D471" s="109" t="n"/>
      <c r="E471" s="109" t="n"/>
      <c r="J471" s="109" t="n"/>
      <c r="K471" s="109" t="n"/>
      <c r="L471" s="109" t="n"/>
      <c r="N471" s="109" t="n"/>
      <c r="O471" s="109" t="n"/>
      <c r="P471" s="109" t="n"/>
      <c r="T471" s="109" t="n"/>
      <c r="U471" s="109" t="n"/>
      <c r="V471" s="109" t="n"/>
      <c r="Z471" s="109" t="n"/>
      <c r="AA471" s="109" t="n"/>
      <c r="AB471" s="109" t="n"/>
      <c r="AF471" s="109" t="n"/>
      <c r="AG471" s="109" t="n"/>
      <c r="AH471" s="109" t="n"/>
      <c r="AL471" s="109" t="n"/>
      <c r="AM471" s="109" t="n"/>
      <c r="AN471" s="109" t="n"/>
    </row>
    <row r="472" ht="15.75" customHeight="1" s="216">
      <c r="D472" s="109" t="n"/>
      <c r="E472" s="109" t="n"/>
      <c r="J472" s="109" t="n"/>
      <c r="K472" s="109" t="n"/>
      <c r="L472" s="109" t="n"/>
      <c r="N472" s="109" t="n"/>
      <c r="O472" s="109" t="n"/>
      <c r="P472" s="109" t="n"/>
      <c r="T472" s="109" t="n"/>
      <c r="U472" s="109" t="n"/>
      <c r="V472" s="109" t="n"/>
      <c r="Z472" s="109" t="n"/>
      <c r="AA472" s="109" t="n"/>
      <c r="AB472" s="109" t="n"/>
      <c r="AF472" s="109" t="n"/>
      <c r="AG472" s="109" t="n"/>
      <c r="AH472" s="109" t="n"/>
      <c r="AL472" s="109" t="n"/>
      <c r="AM472" s="109" t="n"/>
      <c r="AN472" s="109" t="n"/>
    </row>
    <row r="473" ht="15.75" customHeight="1" s="216">
      <c r="D473" s="109" t="n"/>
      <c r="E473" s="109" t="n"/>
      <c r="J473" s="109" t="n"/>
      <c r="K473" s="109" t="n"/>
      <c r="L473" s="109" t="n"/>
      <c r="N473" s="109" t="n"/>
      <c r="O473" s="109" t="n"/>
      <c r="P473" s="109" t="n"/>
      <c r="T473" s="109" t="n"/>
      <c r="U473" s="109" t="n"/>
      <c r="V473" s="109" t="n"/>
      <c r="Z473" s="109" t="n"/>
      <c r="AA473" s="109" t="n"/>
      <c r="AB473" s="109" t="n"/>
      <c r="AF473" s="109" t="n"/>
      <c r="AG473" s="109" t="n"/>
      <c r="AH473" s="109" t="n"/>
      <c r="AL473" s="109" t="n"/>
      <c r="AM473" s="109" t="n"/>
      <c r="AN473" s="109" t="n"/>
    </row>
    <row r="474" ht="15.75" customHeight="1" s="216">
      <c r="D474" s="109" t="n"/>
      <c r="E474" s="109" t="n"/>
      <c r="J474" s="109" t="n"/>
      <c r="K474" s="109" t="n"/>
      <c r="L474" s="109" t="n"/>
      <c r="N474" s="109" t="n"/>
      <c r="O474" s="109" t="n"/>
      <c r="P474" s="109" t="n"/>
      <c r="T474" s="109" t="n"/>
      <c r="U474" s="109" t="n"/>
      <c r="V474" s="109" t="n"/>
      <c r="Z474" s="109" t="n"/>
      <c r="AA474" s="109" t="n"/>
      <c r="AB474" s="109" t="n"/>
      <c r="AF474" s="109" t="n"/>
      <c r="AG474" s="109" t="n"/>
      <c r="AH474" s="109" t="n"/>
      <c r="AL474" s="109" t="n"/>
      <c r="AM474" s="109" t="n"/>
      <c r="AN474" s="109" t="n"/>
    </row>
    <row r="475" ht="15.75" customHeight="1" s="216">
      <c r="D475" s="109" t="n"/>
      <c r="E475" s="109" t="n"/>
      <c r="J475" s="109" t="n"/>
      <c r="K475" s="109" t="n"/>
      <c r="L475" s="109" t="n"/>
      <c r="N475" s="109" t="n"/>
      <c r="O475" s="109" t="n"/>
      <c r="P475" s="109" t="n"/>
      <c r="T475" s="109" t="n"/>
      <c r="U475" s="109" t="n"/>
      <c r="V475" s="109" t="n"/>
      <c r="Z475" s="109" t="n"/>
      <c r="AA475" s="109" t="n"/>
      <c r="AB475" s="109" t="n"/>
      <c r="AF475" s="109" t="n"/>
      <c r="AG475" s="109" t="n"/>
      <c r="AH475" s="109" t="n"/>
      <c r="AL475" s="109" t="n"/>
      <c r="AM475" s="109" t="n"/>
      <c r="AN475" s="109" t="n"/>
    </row>
    <row r="476" ht="15.75" customHeight="1" s="216">
      <c r="D476" s="109" t="n"/>
      <c r="E476" s="109" t="n"/>
      <c r="J476" s="109" t="n"/>
      <c r="K476" s="109" t="n"/>
      <c r="L476" s="109" t="n"/>
      <c r="N476" s="109" t="n"/>
      <c r="O476" s="109" t="n"/>
      <c r="P476" s="109" t="n"/>
      <c r="T476" s="109" t="n"/>
      <c r="U476" s="109" t="n"/>
      <c r="V476" s="109" t="n"/>
      <c r="Z476" s="109" t="n"/>
      <c r="AA476" s="109" t="n"/>
      <c r="AB476" s="109" t="n"/>
      <c r="AF476" s="109" t="n"/>
      <c r="AG476" s="109" t="n"/>
      <c r="AH476" s="109" t="n"/>
      <c r="AL476" s="109" t="n"/>
      <c r="AM476" s="109" t="n"/>
      <c r="AN476" s="109" t="n"/>
    </row>
    <row r="477" ht="15.75" customHeight="1" s="216">
      <c r="D477" s="109" t="n"/>
      <c r="E477" s="109" t="n"/>
      <c r="J477" s="109" t="n"/>
      <c r="K477" s="109" t="n"/>
      <c r="L477" s="109" t="n"/>
      <c r="N477" s="109" t="n"/>
      <c r="O477" s="109" t="n"/>
      <c r="P477" s="109" t="n"/>
      <c r="T477" s="109" t="n"/>
      <c r="U477" s="109" t="n"/>
      <c r="V477" s="109" t="n"/>
      <c r="Z477" s="109" t="n"/>
      <c r="AA477" s="109" t="n"/>
      <c r="AB477" s="109" t="n"/>
      <c r="AF477" s="109" t="n"/>
      <c r="AG477" s="109" t="n"/>
      <c r="AH477" s="109" t="n"/>
      <c r="AL477" s="109" t="n"/>
      <c r="AM477" s="109" t="n"/>
      <c r="AN477" s="109" t="n"/>
    </row>
    <row r="478" ht="15.75" customHeight="1" s="216">
      <c r="D478" s="109" t="n"/>
      <c r="E478" s="109" t="n"/>
      <c r="J478" s="109" t="n"/>
      <c r="K478" s="109" t="n"/>
      <c r="L478" s="109" t="n"/>
      <c r="N478" s="109" t="n"/>
      <c r="O478" s="109" t="n"/>
      <c r="P478" s="109" t="n"/>
      <c r="T478" s="109" t="n"/>
      <c r="U478" s="109" t="n"/>
      <c r="V478" s="109" t="n"/>
      <c r="Z478" s="109" t="n"/>
      <c r="AA478" s="109" t="n"/>
      <c r="AB478" s="109" t="n"/>
      <c r="AF478" s="109" t="n"/>
      <c r="AG478" s="109" t="n"/>
      <c r="AH478" s="109" t="n"/>
      <c r="AL478" s="109" t="n"/>
      <c r="AM478" s="109" t="n"/>
      <c r="AN478" s="109" t="n"/>
    </row>
    <row r="479" ht="15.75" customHeight="1" s="216">
      <c r="D479" s="109" t="n"/>
      <c r="E479" s="109" t="n"/>
      <c r="J479" s="109" t="n"/>
      <c r="K479" s="109" t="n"/>
      <c r="L479" s="109" t="n"/>
      <c r="N479" s="109" t="n"/>
      <c r="O479" s="109" t="n"/>
      <c r="P479" s="109" t="n"/>
      <c r="T479" s="109" t="n"/>
      <c r="U479" s="109" t="n"/>
      <c r="V479" s="109" t="n"/>
      <c r="Z479" s="109" t="n"/>
      <c r="AA479" s="109" t="n"/>
      <c r="AB479" s="109" t="n"/>
      <c r="AF479" s="109" t="n"/>
      <c r="AG479" s="109" t="n"/>
      <c r="AH479" s="109" t="n"/>
      <c r="AL479" s="109" t="n"/>
      <c r="AM479" s="109" t="n"/>
      <c r="AN479" s="109" t="n"/>
    </row>
    <row r="480" ht="15.75" customHeight="1" s="216">
      <c r="D480" s="109" t="n"/>
      <c r="E480" s="109" t="n"/>
      <c r="J480" s="109" t="n"/>
      <c r="K480" s="109" t="n"/>
      <c r="L480" s="109" t="n"/>
      <c r="N480" s="109" t="n"/>
      <c r="O480" s="109" t="n"/>
      <c r="P480" s="109" t="n"/>
      <c r="T480" s="109" t="n"/>
      <c r="U480" s="109" t="n"/>
      <c r="V480" s="109" t="n"/>
      <c r="Z480" s="109" t="n"/>
      <c r="AA480" s="109" t="n"/>
      <c r="AB480" s="109" t="n"/>
      <c r="AF480" s="109" t="n"/>
      <c r="AG480" s="109" t="n"/>
      <c r="AH480" s="109" t="n"/>
      <c r="AL480" s="109" t="n"/>
      <c r="AM480" s="109" t="n"/>
      <c r="AN480" s="109" t="n"/>
    </row>
    <row r="481" ht="15.75" customHeight="1" s="216">
      <c r="D481" s="109" t="n"/>
      <c r="E481" s="109" t="n"/>
      <c r="J481" s="109" t="n"/>
      <c r="K481" s="109" t="n"/>
      <c r="L481" s="109" t="n"/>
      <c r="N481" s="109" t="n"/>
      <c r="O481" s="109" t="n"/>
      <c r="P481" s="109" t="n"/>
      <c r="T481" s="109" t="n"/>
      <c r="U481" s="109" t="n"/>
      <c r="V481" s="109" t="n"/>
      <c r="Z481" s="109" t="n"/>
      <c r="AA481" s="109" t="n"/>
      <c r="AB481" s="109" t="n"/>
      <c r="AF481" s="109" t="n"/>
      <c r="AG481" s="109" t="n"/>
      <c r="AH481" s="109" t="n"/>
      <c r="AL481" s="109" t="n"/>
      <c r="AM481" s="109" t="n"/>
      <c r="AN481" s="109" t="n"/>
    </row>
    <row r="482" ht="15.75" customHeight="1" s="216">
      <c r="D482" s="109" t="n"/>
      <c r="E482" s="109" t="n"/>
      <c r="J482" s="109" t="n"/>
      <c r="K482" s="109" t="n"/>
      <c r="L482" s="109" t="n"/>
      <c r="N482" s="109" t="n"/>
      <c r="O482" s="109" t="n"/>
      <c r="P482" s="109" t="n"/>
      <c r="T482" s="109" t="n"/>
      <c r="U482" s="109" t="n"/>
      <c r="V482" s="109" t="n"/>
      <c r="Z482" s="109" t="n"/>
      <c r="AA482" s="109" t="n"/>
      <c r="AB482" s="109" t="n"/>
      <c r="AF482" s="109" t="n"/>
      <c r="AG482" s="109" t="n"/>
      <c r="AH482" s="109" t="n"/>
      <c r="AL482" s="109" t="n"/>
      <c r="AM482" s="109" t="n"/>
      <c r="AN482" s="109" t="n"/>
    </row>
    <row r="483" ht="15.75" customHeight="1" s="216">
      <c r="D483" s="109" t="n"/>
      <c r="E483" s="109" t="n"/>
      <c r="J483" s="109" t="n"/>
      <c r="K483" s="109" t="n"/>
      <c r="L483" s="109" t="n"/>
      <c r="N483" s="109" t="n"/>
      <c r="O483" s="109" t="n"/>
      <c r="P483" s="109" t="n"/>
      <c r="T483" s="109" t="n"/>
      <c r="U483" s="109" t="n"/>
      <c r="V483" s="109" t="n"/>
      <c r="Z483" s="109" t="n"/>
      <c r="AA483" s="109" t="n"/>
      <c r="AB483" s="109" t="n"/>
      <c r="AF483" s="109" t="n"/>
      <c r="AG483" s="109" t="n"/>
      <c r="AH483" s="109" t="n"/>
      <c r="AL483" s="109" t="n"/>
      <c r="AM483" s="109" t="n"/>
      <c r="AN483" s="109" t="n"/>
    </row>
    <row r="484" ht="15.75" customHeight="1" s="216">
      <c r="D484" s="109" t="n"/>
      <c r="E484" s="109" t="n"/>
      <c r="J484" s="109" t="n"/>
      <c r="K484" s="109" t="n"/>
      <c r="L484" s="109" t="n"/>
      <c r="N484" s="109" t="n"/>
      <c r="O484" s="109" t="n"/>
      <c r="P484" s="109" t="n"/>
      <c r="T484" s="109" t="n"/>
      <c r="U484" s="109" t="n"/>
      <c r="V484" s="109" t="n"/>
      <c r="Z484" s="109" t="n"/>
      <c r="AA484" s="109" t="n"/>
      <c r="AB484" s="109" t="n"/>
      <c r="AF484" s="109" t="n"/>
      <c r="AG484" s="109" t="n"/>
      <c r="AH484" s="109" t="n"/>
      <c r="AL484" s="109" t="n"/>
      <c r="AM484" s="109" t="n"/>
      <c r="AN484" s="109" t="n"/>
    </row>
    <row r="485" ht="15.75" customHeight="1" s="216">
      <c r="D485" s="109" t="n"/>
      <c r="E485" s="109" t="n"/>
      <c r="J485" s="109" t="n"/>
      <c r="K485" s="109" t="n"/>
      <c r="L485" s="109" t="n"/>
      <c r="N485" s="109" t="n"/>
      <c r="O485" s="109" t="n"/>
      <c r="P485" s="109" t="n"/>
      <c r="T485" s="109" t="n"/>
      <c r="U485" s="109" t="n"/>
      <c r="V485" s="109" t="n"/>
      <c r="Z485" s="109" t="n"/>
      <c r="AA485" s="109" t="n"/>
      <c r="AB485" s="109" t="n"/>
      <c r="AF485" s="109" t="n"/>
      <c r="AG485" s="109" t="n"/>
      <c r="AH485" s="109" t="n"/>
      <c r="AL485" s="109" t="n"/>
      <c r="AM485" s="109" t="n"/>
      <c r="AN485" s="109" t="n"/>
    </row>
    <row r="486" ht="15.75" customHeight="1" s="216">
      <c r="D486" s="109" t="n"/>
      <c r="E486" s="109" t="n"/>
      <c r="J486" s="109" t="n"/>
      <c r="K486" s="109" t="n"/>
      <c r="L486" s="109" t="n"/>
      <c r="N486" s="109" t="n"/>
      <c r="O486" s="109" t="n"/>
      <c r="P486" s="109" t="n"/>
      <c r="T486" s="109" t="n"/>
      <c r="U486" s="109" t="n"/>
      <c r="V486" s="109" t="n"/>
      <c r="Z486" s="109" t="n"/>
      <c r="AA486" s="109" t="n"/>
      <c r="AB486" s="109" t="n"/>
      <c r="AF486" s="109" t="n"/>
      <c r="AG486" s="109" t="n"/>
      <c r="AH486" s="109" t="n"/>
      <c r="AL486" s="109" t="n"/>
      <c r="AM486" s="109" t="n"/>
      <c r="AN486" s="109" t="n"/>
    </row>
    <row r="487" ht="15.75" customHeight="1" s="216">
      <c r="D487" s="109" t="n"/>
      <c r="E487" s="109" t="n"/>
      <c r="J487" s="109" t="n"/>
      <c r="K487" s="109" t="n"/>
      <c r="L487" s="109" t="n"/>
      <c r="N487" s="109" t="n"/>
      <c r="O487" s="109" t="n"/>
      <c r="P487" s="109" t="n"/>
      <c r="T487" s="109" t="n"/>
      <c r="U487" s="109" t="n"/>
      <c r="V487" s="109" t="n"/>
      <c r="Z487" s="109" t="n"/>
      <c r="AA487" s="109" t="n"/>
      <c r="AB487" s="109" t="n"/>
      <c r="AF487" s="109" t="n"/>
      <c r="AG487" s="109" t="n"/>
      <c r="AH487" s="109" t="n"/>
      <c r="AL487" s="109" t="n"/>
      <c r="AM487" s="109" t="n"/>
      <c r="AN487" s="109" t="n"/>
    </row>
    <row r="488" ht="15.75" customHeight="1" s="216">
      <c r="D488" s="109" t="n"/>
      <c r="E488" s="109" t="n"/>
      <c r="J488" s="109" t="n"/>
      <c r="K488" s="109" t="n"/>
      <c r="L488" s="109" t="n"/>
      <c r="N488" s="109" t="n"/>
      <c r="O488" s="109" t="n"/>
      <c r="P488" s="109" t="n"/>
      <c r="T488" s="109" t="n"/>
      <c r="U488" s="109" t="n"/>
      <c r="V488" s="109" t="n"/>
      <c r="Z488" s="109" t="n"/>
      <c r="AA488" s="109" t="n"/>
      <c r="AB488" s="109" t="n"/>
      <c r="AF488" s="109" t="n"/>
      <c r="AG488" s="109" t="n"/>
      <c r="AH488" s="109" t="n"/>
      <c r="AL488" s="109" t="n"/>
      <c r="AM488" s="109" t="n"/>
      <c r="AN488" s="109" t="n"/>
    </row>
    <row r="489" ht="15.75" customHeight="1" s="216">
      <c r="D489" s="109" t="n"/>
      <c r="E489" s="109" t="n"/>
      <c r="J489" s="109" t="n"/>
      <c r="K489" s="109" t="n"/>
      <c r="L489" s="109" t="n"/>
      <c r="N489" s="109" t="n"/>
      <c r="O489" s="109" t="n"/>
      <c r="P489" s="109" t="n"/>
      <c r="T489" s="109" t="n"/>
      <c r="U489" s="109" t="n"/>
      <c r="V489" s="109" t="n"/>
      <c r="Z489" s="109" t="n"/>
      <c r="AA489" s="109" t="n"/>
      <c r="AB489" s="109" t="n"/>
      <c r="AF489" s="109" t="n"/>
      <c r="AG489" s="109" t="n"/>
      <c r="AH489" s="109" t="n"/>
      <c r="AL489" s="109" t="n"/>
      <c r="AM489" s="109" t="n"/>
      <c r="AN489" s="109" t="n"/>
    </row>
    <row r="490" ht="15.75" customHeight="1" s="216">
      <c r="D490" s="109" t="n"/>
      <c r="E490" s="109" t="n"/>
      <c r="J490" s="109" t="n"/>
      <c r="K490" s="109" t="n"/>
      <c r="L490" s="109" t="n"/>
      <c r="N490" s="109" t="n"/>
      <c r="O490" s="109" t="n"/>
      <c r="P490" s="109" t="n"/>
      <c r="T490" s="109" t="n"/>
      <c r="U490" s="109" t="n"/>
      <c r="V490" s="109" t="n"/>
      <c r="Z490" s="109" t="n"/>
      <c r="AA490" s="109" t="n"/>
      <c r="AB490" s="109" t="n"/>
      <c r="AF490" s="109" t="n"/>
      <c r="AG490" s="109" t="n"/>
      <c r="AH490" s="109" t="n"/>
      <c r="AL490" s="109" t="n"/>
      <c r="AM490" s="109" t="n"/>
      <c r="AN490" s="109" t="n"/>
    </row>
    <row r="491" ht="15.75" customHeight="1" s="216">
      <c r="D491" s="109" t="n"/>
      <c r="E491" s="109" t="n"/>
      <c r="J491" s="109" t="n"/>
      <c r="K491" s="109" t="n"/>
      <c r="L491" s="109" t="n"/>
      <c r="N491" s="109" t="n"/>
      <c r="O491" s="109" t="n"/>
      <c r="P491" s="109" t="n"/>
      <c r="T491" s="109" t="n"/>
      <c r="U491" s="109" t="n"/>
      <c r="V491" s="109" t="n"/>
      <c r="Z491" s="109" t="n"/>
      <c r="AA491" s="109" t="n"/>
      <c r="AB491" s="109" t="n"/>
      <c r="AF491" s="109" t="n"/>
      <c r="AG491" s="109" t="n"/>
      <c r="AH491" s="109" t="n"/>
      <c r="AL491" s="109" t="n"/>
      <c r="AM491" s="109" t="n"/>
      <c r="AN491" s="109" t="n"/>
    </row>
    <row r="492" ht="15.75" customHeight="1" s="216">
      <c r="D492" s="109" t="n"/>
      <c r="E492" s="109" t="n"/>
      <c r="J492" s="109" t="n"/>
      <c r="K492" s="109" t="n"/>
      <c r="L492" s="109" t="n"/>
      <c r="N492" s="109" t="n"/>
      <c r="O492" s="109" t="n"/>
      <c r="P492" s="109" t="n"/>
      <c r="T492" s="109" t="n"/>
      <c r="U492" s="109" t="n"/>
      <c r="V492" s="109" t="n"/>
      <c r="Z492" s="109" t="n"/>
      <c r="AA492" s="109" t="n"/>
      <c r="AB492" s="109" t="n"/>
      <c r="AF492" s="109" t="n"/>
      <c r="AG492" s="109" t="n"/>
      <c r="AH492" s="109" t="n"/>
      <c r="AL492" s="109" t="n"/>
      <c r="AM492" s="109" t="n"/>
      <c r="AN492" s="109" t="n"/>
    </row>
    <row r="493" ht="15.75" customHeight="1" s="216">
      <c r="D493" s="109" t="n"/>
      <c r="E493" s="109" t="n"/>
      <c r="J493" s="109" t="n"/>
      <c r="K493" s="109" t="n"/>
      <c r="L493" s="109" t="n"/>
      <c r="N493" s="109" t="n"/>
      <c r="O493" s="109" t="n"/>
      <c r="P493" s="109" t="n"/>
      <c r="T493" s="109" t="n"/>
      <c r="U493" s="109" t="n"/>
      <c r="V493" s="109" t="n"/>
      <c r="Z493" s="109" t="n"/>
      <c r="AA493" s="109" t="n"/>
      <c r="AB493" s="109" t="n"/>
      <c r="AF493" s="109" t="n"/>
      <c r="AG493" s="109" t="n"/>
      <c r="AH493" s="109" t="n"/>
      <c r="AL493" s="109" t="n"/>
      <c r="AM493" s="109" t="n"/>
      <c r="AN493" s="109" t="n"/>
    </row>
    <row r="494" ht="15.75" customHeight="1" s="216">
      <c r="D494" s="109" t="n"/>
      <c r="E494" s="109" t="n"/>
      <c r="J494" s="109" t="n"/>
      <c r="K494" s="109" t="n"/>
      <c r="L494" s="109" t="n"/>
      <c r="N494" s="109" t="n"/>
      <c r="O494" s="109" t="n"/>
      <c r="P494" s="109" t="n"/>
      <c r="T494" s="109" t="n"/>
      <c r="U494" s="109" t="n"/>
      <c r="V494" s="109" t="n"/>
      <c r="Z494" s="109" t="n"/>
      <c r="AA494" s="109" t="n"/>
      <c r="AB494" s="109" t="n"/>
      <c r="AF494" s="109" t="n"/>
      <c r="AG494" s="109" t="n"/>
      <c r="AH494" s="109" t="n"/>
      <c r="AL494" s="109" t="n"/>
      <c r="AM494" s="109" t="n"/>
      <c r="AN494" s="109" t="n"/>
    </row>
    <row r="495" ht="15.75" customHeight="1" s="216">
      <c r="D495" s="109" t="n"/>
      <c r="E495" s="109" t="n"/>
      <c r="J495" s="109" t="n"/>
      <c r="K495" s="109" t="n"/>
      <c r="L495" s="109" t="n"/>
      <c r="N495" s="109" t="n"/>
      <c r="O495" s="109" t="n"/>
      <c r="P495" s="109" t="n"/>
      <c r="T495" s="109" t="n"/>
      <c r="U495" s="109" t="n"/>
      <c r="V495" s="109" t="n"/>
      <c r="Z495" s="109" t="n"/>
      <c r="AA495" s="109" t="n"/>
      <c r="AB495" s="109" t="n"/>
      <c r="AF495" s="109" t="n"/>
      <c r="AG495" s="109" t="n"/>
      <c r="AH495" s="109" t="n"/>
      <c r="AL495" s="109" t="n"/>
      <c r="AM495" s="109" t="n"/>
      <c r="AN495" s="109" t="n"/>
    </row>
    <row r="496" ht="15.75" customHeight="1" s="216">
      <c r="D496" s="109" t="n"/>
      <c r="E496" s="109" t="n"/>
      <c r="J496" s="109" t="n"/>
      <c r="K496" s="109" t="n"/>
      <c r="L496" s="109" t="n"/>
      <c r="N496" s="109" t="n"/>
      <c r="O496" s="109" t="n"/>
      <c r="P496" s="109" t="n"/>
      <c r="T496" s="109" t="n"/>
      <c r="U496" s="109" t="n"/>
      <c r="V496" s="109" t="n"/>
      <c r="Z496" s="109" t="n"/>
      <c r="AA496" s="109" t="n"/>
      <c r="AB496" s="109" t="n"/>
      <c r="AF496" s="109" t="n"/>
      <c r="AG496" s="109" t="n"/>
      <c r="AH496" s="109" t="n"/>
      <c r="AL496" s="109" t="n"/>
      <c r="AM496" s="109" t="n"/>
      <c r="AN496" s="109" t="n"/>
    </row>
    <row r="497" ht="15.75" customHeight="1" s="216">
      <c r="D497" s="109" t="n"/>
      <c r="E497" s="109" t="n"/>
      <c r="J497" s="109" t="n"/>
      <c r="K497" s="109" t="n"/>
      <c r="L497" s="109" t="n"/>
      <c r="N497" s="109" t="n"/>
      <c r="O497" s="109" t="n"/>
      <c r="P497" s="109" t="n"/>
      <c r="T497" s="109" t="n"/>
      <c r="U497" s="109" t="n"/>
      <c r="V497" s="109" t="n"/>
      <c r="Z497" s="109" t="n"/>
      <c r="AA497" s="109" t="n"/>
      <c r="AB497" s="109" t="n"/>
      <c r="AF497" s="109" t="n"/>
      <c r="AG497" s="109" t="n"/>
      <c r="AH497" s="109" t="n"/>
      <c r="AL497" s="109" t="n"/>
      <c r="AM497" s="109" t="n"/>
      <c r="AN497" s="109" t="n"/>
    </row>
    <row r="498" ht="15.75" customHeight="1" s="216">
      <c r="D498" s="109" t="n"/>
      <c r="E498" s="109" t="n"/>
      <c r="J498" s="109" t="n"/>
      <c r="K498" s="109" t="n"/>
      <c r="L498" s="109" t="n"/>
      <c r="N498" s="109" t="n"/>
      <c r="O498" s="109" t="n"/>
      <c r="P498" s="109" t="n"/>
      <c r="T498" s="109" t="n"/>
      <c r="U498" s="109" t="n"/>
      <c r="V498" s="109" t="n"/>
      <c r="Z498" s="109" t="n"/>
      <c r="AA498" s="109" t="n"/>
      <c r="AB498" s="109" t="n"/>
      <c r="AF498" s="109" t="n"/>
      <c r="AG498" s="109" t="n"/>
      <c r="AH498" s="109" t="n"/>
      <c r="AL498" s="109" t="n"/>
      <c r="AM498" s="109" t="n"/>
      <c r="AN498" s="109" t="n"/>
    </row>
    <row r="499" ht="15.75" customHeight="1" s="216">
      <c r="D499" s="109" t="n"/>
      <c r="E499" s="109" t="n"/>
      <c r="J499" s="109" t="n"/>
      <c r="K499" s="109" t="n"/>
      <c r="L499" s="109" t="n"/>
      <c r="N499" s="109" t="n"/>
      <c r="O499" s="109" t="n"/>
      <c r="P499" s="109" t="n"/>
      <c r="T499" s="109" t="n"/>
      <c r="U499" s="109" t="n"/>
      <c r="V499" s="109" t="n"/>
      <c r="Z499" s="109" t="n"/>
      <c r="AA499" s="109" t="n"/>
      <c r="AB499" s="109" t="n"/>
      <c r="AF499" s="109" t="n"/>
      <c r="AG499" s="109" t="n"/>
      <c r="AH499" s="109" t="n"/>
      <c r="AL499" s="109" t="n"/>
      <c r="AM499" s="109" t="n"/>
      <c r="AN499" s="109" t="n"/>
    </row>
    <row r="500" ht="15.75" customHeight="1" s="216">
      <c r="D500" s="109" t="n"/>
      <c r="E500" s="109" t="n"/>
      <c r="J500" s="109" t="n"/>
      <c r="K500" s="109" t="n"/>
      <c r="L500" s="109" t="n"/>
      <c r="N500" s="109" t="n"/>
      <c r="O500" s="109" t="n"/>
      <c r="P500" s="109" t="n"/>
      <c r="T500" s="109" t="n"/>
      <c r="U500" s="109" t="n"/>
      <c r="V500" s="109" t="n"/>
      <c r="Z500" s="109" t="n"/>
      <c r="AA500" s="109" t="n"/>
      <c r="AB500" s="109" t="n"/>
      <c r="AF500" s="109" t="n"/>
      <c r="AG500" s="109" t="n"/>
      <c r="AH500" s="109" t="n"/>
      <c r="AL500" s="109" t="n"/>
      <c r="AM500" s="109" t="n"/>
      <c r="AN500" s="109" t="n"/>
    </row>
    <row r="501" ht="15.75" customHeight="1" s="216"/>
    <row r="502" ht="15.75" customHeight="1" s="216"/>
    <row r="503" ht="15.75" customHeight="1" s="216"/>
    <row r="504" ht="15.75" customHeight="1" s="216"/>
    <row r="505" ht="15.75" customHeight="1" s="216"/>
    <row r="506" ht="15.75" customHeight="1" s="216"/>
    <row r="507" ht="15.75" customHeight="1" s="216"/>
    <row r="508" ht="15.75" customHeight="1" s="216"/>
    <row r="509" ht="15.75" customHeight="1" s="216"/>
    <row r="510" ht="15.75" customHeight="1" s="216"/>
    <row r="511" ht="15.75" customHeight="1" s="216"/>
    <row r="512" ht="15.75" customHeight="1" s="216"/>
    <row r="513" ht="15.75" customHeight="1" s="216"/>
    <row r="514" ht="15.75" customHeight="1" s="216"/>
    <row r="515" ht="15.75" customHeight="1" s="216"/>
    <row r="516" ht="15.75" customHeight="1" s="216"/>
    <row r="517" ht="15.75" customHeight="1" s="216"/>
    <row r="518" ht="15.75" customHeight="1" s="216"/>
    <row r="519" ht="15.75" customHeight="1" s="216"/>
    <row r="520" ht="15.75" customHeight="1" s="216"/>
    <row r="521" ht="15.75" customHeight="1" s="216"/>
    <row r="522" ht="15.75" customHeight="1" s="216"/>
    <row r="523" ht="15.75" customHeight="1" s="216"/>
    <row r="524" ht="15.75" customHeight="1" s="216"/>
    <row r="525" ht="15.75" customHeight="1" s="216"/>
    <row r="526" ht="15.75" customHeight="1" s="216"/>
    <row r="527" ht="15.75" customHeight="1" s="216"/>
    <row r="528" ht="15.75" customHeight="1" s="216"/>
    <row r="529" ht="15.75" customHeight="1" s="216"/>
    <row r="530" ht="15.75" customHeight="1" s="216"/>
    <row r="531" ht="15.75" customHeight="1" s="216"/>
    <row r="532" ht="15.75" customHeight="1" s="216"/>
    <row r="533" ht="15.75" customHeight="1" s="216"/>
    <row r="534" ht="15.75" customHeight="1" s="216"/>
    <row r="535" ht="15.75" customHeight="1" s="216"/>
    <row r="536" ht="15.75" customHeight="1" s="216"/>
    <row r="537" ht="15.75" customHeight="1" s="216"/>
    <row r="538" ht="15.75" customHeight="1" s="216"/>
    <row r="539" ht="15.75" customHeight="1" s="216"/>
    <row r="540" ht="15.75" customHeight="1" s="216"/>
    <row r="541" ht="15.75" customHeight="1" s="216"/>
    <row r="542" ht="15.75" customHeight="1" s="216"/>
    <row r="543" ht="15.75" customHeight="1" s="216"/>
    <row r="544" ht="15.75" customHeight="1" s="216"/>
    <row r="545" ht="15.75" customHeight="1" s="216"/>
    <row r="546" ht="15.75" customHeight="1" s="216"/>
    <row r="547" ht="15.75" customHeight="1" s="216"/>
    <row r="548" ht="15.75" customHeight="1" s="216"/>
    <row r="549" ht="15.75" customHeight="1" s="216"/>
    <row r="550" ht="15.75" customHeight="1" s="216"/>
    <row r="551" ht="15.75" customHeight="1" s="216"/>
    <row r="552" ht="15.75" customHeight="1" s="216"/>
    <row r="553" ht="15.75" customHeight="1" s="216"/>
    <row r="554" ht="15.75" customHeight="1" s="216"/>
    <row r="555" ht="15.75" customHeight="1" s="216"/>
    <row r="556" ht="15.75" customHeight="1" s="216"/>
    <row r="557" ht="15.75" customHeight="1" s="216"/>
    <row r="558" ht="15.75" customHeight="1" s="216"/>
    <row r="559" ht="15.75" customHeight="1" s="216"/>
    <row r="560" ht="15.75" customHeight="1" s="216"/>
    <row r="561" ht="15.75" customHeight="1" s="216"/>
    <row r="562" ht="15.75" customHeight="1" s="216"/>
    <row r="563" ht="15.75" customHeight="1" s="216"/>
    <row r="564" ht="15.75" customHeight="1" s="216"/>
    <row r="565" ht="15.75" customHeight="1" s="216"/>
    <row r="566" ht="15.75" customHeight="1" s="216"/>
    <row r="567" ht="15.75" customHeight="1" s="216"/>
    <row r="568" ht="15.75" customHeight="1" s="216"/>
    <row r="569" ht="15.75" customHeight="1" s="216"/>
    <row r="570" ht="15.75" customHeight="1" s="216"/>
    <row r="571" ht="15.75" customHeight="1" s="216"/>
    <row r="572" ht="15.75" customHeight="1" s="216"/>
    <row r="573" ht="15.75" customHeight="1" s="216"/>
    <row r="574" ht="15.75" customHeight="1" s="216"/>
    <row r="575" ht="15.75" customHeight="1" s="216"/>
    <row r="576" ht="15.75" customHeight="1" s="216"/>
    <row r="577" ht="15.75" customHeight="1" s="216"/>
    <row r="578" ht="15.75" customHeight="1" s="216"/>
    <row r="579" ht="15.75" customHeight="1" s="216"/>
    <row r="580" ht="15.75" customHeight="1" s="216"/>
    <row r="581" ht="15.75" customHeight="1" s="216"/>
    <row r="582" ht="15.75" customHeight="1" s="216"/>
    <row r="583" ht="15.75" customHeight="1" s="216"/>
    <row r="584" ht="15.75" customHeight="1" s="216"/>
    <row r="585" ht="15.75" customHeight="1" s="216"/>
    <row r="586" ht="15.75" customHeight="1" s="216"/>
    <row r="587" ht="15.75" customHeight="1" s="216"/>
    <row r="588" ht="15.75" customHeight="1" s="216"/>
    <row r="589" ht="15.75" customHeight="1" s="216"/>
    <row r="590" ht="15.75" customHeight="1" s="216"/>
    <row r="591" ht="15.75" customHeight="1" s="216"/>
    <row r="592" ht="15.75" customHeight="1" s="216"/>
    <row r="593" ht="15.75" customHeight="1" s="216"/>
    <row r="594" ht="15.75" customHeight="1" s="216"/>
    <row r="595" ht="15.75" customHeight="1" s="216"/>
    <row r="596" ht="15.75" customHeight="1" s="216"/>
    <row r="597" ht="15.75" customHeight="1" s="216"/>
    <row r="598" ht="15.75" customHeight="1" s="216"/>
    <row r="599" ht="15.75" customHeight="1" s="216"/>
    <row r="600" ht="15.75" customHeight="1" s="216"/>
    <row r="601" ht="15.75" customHeight="1" s="216"/>
    <row r="602" ht="15.75" customHeight="1" s="216"/>
    <row r="603" ht="15.75" customHeight="1" s="216"/>
    <row r="604" ht="15.75" customHeight="1" s="216"/>
    <row r="605" ht="15.75" customHeight="1" s="216"/>
    <row r="606" ht="15.75" customHeight="1" s="216"/>
    <row r="607" ht="15.75" customHeight="1" s="216"/>
    <row r="608" ht="15.75" customHeight="1" s="216"/>
    <row r="609" ht="15.75" customHeight="1" s="216"/>
    <row r="610" ht="15.75" customHeight="1" s="216"/>
    <row r="611" ht="15.75" customHeight="1" s="216"/>
    <row r="612" ht="15.75" customHeight="1" s="216"/>
    <row r="613" ht="15.75" customHeight="1" s="216"/>
    <row r="614" ht="15.75" customHeight="1" s="216"/>
    <row r="615" ht="15.75" customHeight="1" s="216"/>
    <row r="616" ht="15.75" customHeight="1" s="216"/>
    <row r="617" ht="15.75" customHeight="1" s="216"/>
    <row r="618" ht="15.75" customHeight="1" s="216"/>
    <row r="619" ht="15.75" customHeight="1" s="216"/>
    <row r="620" ht="15.75" customHeight="1" s="216"/>
    <row r="621" ht="15.75" customHeight="1" s="216"/>
    <row r="622" ht="15.75" customHeight="1" s="216"/>
    <row r="623" ht="15.75" customHeight="1" s="216"/>
    <row r="624" ht="15.75" customHeight="1" s="216"/>
    <row r="625" ht="15.75" customHeight="1" s="216"/>
    <row r="626" ht="15.75" customHeight="1" s="216"/>
    <row r="627" ht="15.75" customHeight="1" s="216"/>
    <row r="628" ht="15.75" customHeight="1" s="216"/>
    <row r="629" ht="15.75" customHeight="1" s="216"/>
    <row r="630" ht="15.75" customHeight="1" s="216"/>
    <row r="631" ht="15.75" customHeight="1" s="216"/>
    <row r="632" ht="15.75" customHeight="1" s="216"/>
    <row r="633" ht="15.75" customHeight="1" s="216"/>
    <row r="634" ht="15.75" customHeight="1" s="216"/>
    <row r="635" ht="15.75" customHeight="1" s="216"/>
    <row r="636" ht="15.75" customHeight="1" s="216"/>
    <row r="637" ht="15.75" customHeight="1" s="216"/>
    <row r="638" ht="15.75" customHeight="1" s="216"/>
    <row r="639" ht="15.75" customHeight="1" s="216"/>
    <row r="640" ht="15.75" customHeight="1" s="216"/>
    <row r="641" ht="15.75" customHeight="1" s="216"/>
    <row r="642" ht="15.75" customHeight="1" s="216"/>
    <row r="643" ht="15.75" customHeight="1" s="216"/>
    <row r="644" ht="15.75" customHeight="1" s="216"/>
    <row r="645" ht="15.75" customHeight="1" s="216"/>
    <row r="646" ht="15.75" customHeight="1" s="216"/>
    <row r="647" ht="15.75" customHeight="1" s="216"/>
    <row r="648" ht="15.75" customHeight="1" s="216"/>
    <row r="649" ht="15.75" customHeight="1" s="216"/>
    <row r="650" ht="15.75" customHeight="1" s="216"/>
    <row r="651" ht="15.75" customHeight="1" s="216"/>
    <row r="652" ht="15.75" customHeight="1" s="216"/>
    <row r="653" ht="15.75" customHeight="1" s="216"/>
    <row r="654" ht="15.75" customHeight="1" s="216"/>
    <row r="655" ht="15.75" customHeight="1" s="216"/>
    <row r="656" ht="15.75" customHeight="1" s="216"/>
    <row r="657" ht="15.75" customHeight="1" s="216"/>
    <row r="658" ht="15.75" customHeight="1" s="216"/>
    <row r="659" ht="15.75" customHeight="1" s="216"/>
    <row r="660" ht="15.75" customHeight="1" s="216"/>
    <row r="661" ht="15.75" customHeight="1" s="216"/>
    <row r="662" ht="15.75" customHeight="1" s="216"/>
    <row r="663" ht="15.75" customHeight="1" s="216"/>
    <row r="664" ht="15.75" customHeight="1" s="216"/>
    <row r="665" ht="15.75" customHeight="1" s="216"/>
    <row r="666" ht="15.75" customHeight="1" s="216"/>
    <row r="667" ht="15.75" customHeight="1" s="216"/>
    <row r="668" ht="15.75" customHeight="1" s="216"/>
    <row r="669" ht="15.75" customHeight="1" s="216"/>
    <row r="670" ht="15.75" customHeight="1" s="216"/>
    <row r="671" ht="15.75" customHeight="1" s="216"/>
    <row r="672" ht="15.75" customHeight="1" s="216"/>
    <row r="673" ht="15.75" customHeight="1" s="216"/>
    <row r="674" ht="15.75" customHeight="1" s="216"/>
    <row r="675" ht="15.75" customHeight="1" s="216"/>
    <row r="676" ht="15.75" customHeight="1" s="216"/>
    <row r="677" ht="15.75" customHeight="1" s="216"/>
    <row r="678" ht="15.75" customHeight="1" s="216"/>
    <row r="679" ht="15.75" customHeight="1" s="216"/>
    <row r="680" ht="15.75" customHeight="1" s="216"/>
    <row r="681" ht="15.75" customHeight="1" s="216"/>
    <row r="682" ht="15.75" customHeight="1" s="216"/>
    <row r="683" ht="15.75" customHeight="1" s="216"/>
    <row r="684" ht="15.75" customHeight="1" s="216"/>
    <row r="685" ht="15.75" customHeight="1" s="216"/>
    <row r="686" ht="15.75" customHeight="1" s="216"/>
    <row r="687" ht="15.75" customHeight="1" s="216"/>
    <row r="688" ht="15.75" customHeight="1" s="216"/>
    <row r="689" ht="15.75" customHeight="1" s="216"/>
    <row r="690" ht="15.75" customHeight="1" s="216"/>
    <row r="691" ht="15.75" customHeight="1" s="216"/>
    <row r="692" ht="15.75" customHeight="1" s="216"/>
    <row r="693" ht="15.75" customHeight="1" s="216"/>
    <row r="694" ht="15.75" customHeight="1" s="216"/>
    <row r="695" ht="15.75" customHeight="1" s="216"/>
    <row r="696" ht="15.75" customHeight="1" s="216"/>
    <row r="697" ht="15.75" customHeight="1" s="216"/>
    <row r="698" ht="15.75" customHeight="1" s="216"/>
    <row r="699" ht="15.75" customHeight="1" s="216"/>
    <row r="700" ht="15.75" customHeight="1" s="216"/>
    <row r="701" ht="15.75" customHeight="1" s="216"/>
    <row r="702" ht="15.75" customHeight="1" s="216"/>
    <row r="703" ht="15.75" customHeight="1" s="216"/>
    <row r="704" ht="15.75" customHeight="1" s="216"/>
    <row r="705" ht="15.75" customHeight="1" s="216"/>
    <row r="706" ht="15.75" customHeight="1" s="216"/>
    <row r="707" ht="15.75" customHeight="1" s="216"/>
    <row r="708" ht="15.75" customHeight="1" s="216"/>
    <row r="709" ht="15.75" customHeight="1" s="216"/>
    <row r="710" ht="15.75" customHeight="1" s="216"/>
    <row r="711" ht="15.75" customHeight="1" s="216"/>
    <row r="712" ht="15.75" customHeight="1" s="216"/>
    <row r="713" ht="15.75" customHeight="1" s="216"/>
    <row r="714" ht="15.75" customHeight="1" s="216"/>
    <row r="715" ht="15.75" customHeight="1" s="216"/>
    <row r="716" ht="15.75" customHeight="1" s="216"/>
    <row r="717" ht="15.75" customHeight="1" s="216"/>
    <row r="718" ht="15.75" customHeight="1" s="216"/>
    <row r="719" ht="15.75" customHeight="1" s="216"/>
    <row r="720" ht="15.75" customHeight="1" s="216"/>
    <row r="721" ht="15.75" customHeight="1" s="216"/>
    <row r="722" ht="15.75" customHeight="1" s="216"/>
    <row r="723" ht="15.75" customHeight="1" s="216"/>
    <row r="724" ht="15.75" customHeight="1" s="216"/>
    <row r="725" ht="15.75" customHeight="1" s="216"/>
    <row r="726" ht="15.75" customHeight="1" s="216"/>
    <row r="727" ht="15.75" customHeight="1" s="216"/>
    <row r="728" ht="15.75" customHeight="1" s="216"/>
    <row r="729" ht="15.75" customHeight="1" s="216"/>
    <row r="730" ht="15.75" customHeight="1" s="216"/>
    <row r="731" ht="15.75" customHeight="1" s="216"/>
    <row r="732" ht="15.75" customHeight="1" s="216"/>
    <row r="733" ht="15.75" customHeight="1" s="216"/>
    <row r="734" ht="15.75" customHeight="1" s="216"/>
    <row r="735" ht="15.75" customHeight="1" s="216"/>
    <row r="736" ht="15.75" customHeight="1" s="216"/>
    <row r="737" ht="15.75" customHeight="1" s="216"/>
    <row r="738" ht="15.75" customHeight="1" s="216"/>
    <row r="739" ht="15.75" customHeight="1" s="216"/>
    <row r="740" ht="15.75" customHeight="1" s="216"/>
    <row r="741" ht="15.75" customHeight="1" s="216"/>
    <row r="742" ht="15.75" customHeight="1" s="216"/>
    <row r="743" ht="15.75" customHeight="1" s="216"/>
    <row r="744" ht="15.75" customHeight="1" s="216"/>
    <row r="745" ht="15.75" customHeight="1" s="216"/>
    <row r="746" ht="15.75" customHeight="1" s="216"/>
    <row r="747" ht="15.75" customHeight="1" s="216"/>
    <row r="748" ht="15.75" customHeight="1" s="216"/>
    <row r="749" ht="15.75" customHeight="1" s="216"/>
    <row r="750" ht="15.75" customHeight="1" s="216"/>
    <row r="751" ht="15.75" customHeight="1" s="216"/>
    <row r="752" ht="15.75" customHeight="1" s="216"/>
    <row r="753" ht="15.75" customHeight="1" s="216"/>
    <row r="754" ht="15.75" customHeight="1" s="216"/>
    <row r="755" ht="15.75" customHeight="1" s="216"/>
    <row r="756" ht="15.75" customHeight="1" s="216"/>
    <row r="757" ht="15.75" customHeight="1" s="216"/>
    <row r="758" ht="15.75" customHeight="1" s="216"/>
    <row r="759" ht="15.75" customHeight="1" s="216"/>
    <row r="760" ht="15.75" customHeight="1" s="216"/>
    <row r="761" ht="15.75" customHeight="1" s="216"/>
    <row r="762" ht="15.75" customHeight="1" s="216"/>
    <row r="763" ht="15.75" customHeight="1" s="216"/>
    <row r="764" ht="15.75" customHeight="1" s="216"/>
    <row r="765" ht="15.75" customHeight="1" s="216"/>
    <row r="766" ht="15.75" customHeight="1" s="216"/>
    <row r="767" ht="15.75" customHeight="1" s="216"/>
    <row r="768" ht="15.75" customHeight="1" s="216"/>
    <row r="769" ht="15.75" customHeight="1" s="216"/>
    <row r="770" ht="15.75" customHeight="1" s="216"/>
    <row r="771" ht="15.75" customHeight="1" s="216"/>
    <row r="772" ht="15.75" customHeight="1" s="216"/>
    <row r="773" ht="15.75" customHeight="1" s="216"/>
    <row r="774" ht="15.75" customHeight="1" s="216"/>
    <row r="775" ht="15.75" customHeight="1" s="216"/>
    <row r="776" ht="15.75" customHeight="1" s="216"/>
    <row r="777" ht="15.75" customHeight="1" s="216"/>
    <row r="778" ht="15.75" customHeight="1" s="216"/>
    <row r="779" ht="15.75" customHeight="1" s="216"/>
    <row r="780" ht="15.75" customHeight="1" s="216"/>
    <row r="781" ht="15.75" customHeight="1" s="216"/>
    <row r="782" ht="15.75" customHeight="1" s="216"/>
    <row r="783" ht="15.75" customHeight="1" s="216"/>
    <row r="784" ht="15.75" customHeight="1" s="216"/>
    <row r="785" ht="15.75" customHeight="1" s="216"/>
    <row r="786" ht="15.75" customHeight="1" s="216"/>
    <row r="787" ht="15.75" customHeight="1" s="216"/>
    <row r="788" ht="15.75" customHeight="1" s="216"/>
    <row r="789" ht="15.75" customHeight="1" s="216"/>
    <row r="790" ht="15.75" customHeight="1" s="216"/>
    <row r="791" ht="15.75" customHeight="1" s="216"/>
    <row r="792" ht="15.75" customHeight="1" s="216"/>
    <row r="793" ht="15.75" customHeight="1" s="216"/>
    <row r="794" ht="15.75" customHeight="1" s="216"/>
    <row r="795" ht="15.75" customHeight="1" s="216"/>
    <row r="796" ht="15.75" customHeight="1" s="216"/>
    <row r="797" ht="15.75" customHeight="1" s="216"/>
    <row r="798" ht="15.75" customHeight="1" s="216"/>
    <row r="799" ht="15.75" customHeight="1" s="216"/>
    <row r="800" ht="15.75" customHeight="1" s="216"/>
    <row r="801" ht="15.75" customHeight="1" s="216"/>
    <row r="802" ht="15.75" customHeight="1" s="216"/>
    <row r="803" ht="15.75" customHeight="1" s="216"/>
    <row r="804" ht="15.75" customHeight="1" s="216"/>
    <row r="805" ht="15.75" customHeight="1" s="216"/>
    <row r="806" ht="15.75" customHeight="1" s="216"/>
    <row r="807" ht="15.75" customHeight="1" s="216"/>
    <row r="808" ht="15.75" customHeight="1" s="216"/>
    <row r="809" ht="15.75" customHeight="1" s="216"/>
    <row r="810" ht="15.75" customHeight="1" s="216"/>
    <row r="811" ht="15.75" customHeight="1" s="216"/>
    <row r="812" ht="15.75" customHeight="1" s="216"/>
    <row r="813" ht="15.75" customHeight="1" s="216"/>
    <row r="814" ht="15.75" customHeight="1" s="216"/>
    <row r="815" ht="15.75" customHeight="1" s="216"/>
    <row r="816" ht="15.75" customHeight="1" s="216"/>
    <row r="817" ht="15.75" customHeight="1" s="216"/>
    <row r="818" ht="15.75" customHeight="1" s="216"/>
    <row r="819" ht="15.75" customHeight="1" s="216"/>
    <row r="820" ht="15.75" customHeight="1" s="216"/>
    <row r="821" ht="15.75" customHeight="1" s="216"/>
    <row r="822" ht="15.75" customHeight="1" s="216"/>
    <row r="823" ht="15.75" customHeight="1" s="216"/>
    <row r="824" ht="15.75" customHeight="1" s="216"/>
    <row r="825" ht="15.75" customHeight="1" s="216"/>
    <row r="826" ht="15.75" customHeight="1" s="216"/>
    <row r="827" ht="15.75" customHeight="1" s="216"/>
    <row r="828" ht="15.75" customHeight="1" s="216"/>
    <row r="829" ht="15.75" customHeight="1" s="216"/>
    <row r="830" ht="15.75" customHeight="1" s="216"/>
    <row r="831" ht="15.75" customHeight="1" s="216"/>
    <row r="832" ht="15.75" customHeight="1" s="216"/>
    <row r="833" ht="15.75" customHeight="1" s="216"/>
    <row r="834" ht="15.75" customHeight="1" s="216"/>
    <row r="835" ht="15.75" customHeight="1" s="216"/>
    <row r="836" ht="15.75" customHeight="1" s="216"/>
    <row r="837" ht="15.75" customHeight="1" s="216"/>
    <row r="838" ht="15.75" customHeight="1" s="216"/>
    <row r="839" ht="15.75" customHeight="1" s="216"/>
    <row r="840" ht="15.75" customHeight="1" s="216"/>
    <row r="841" ht="15.75" customHeight="1" s="216"/>
    <row r="842" ht="15.75" customHeight="1" s="216"/>
    <row r="843" ht="15.75" customHeight="1" s="216"/>
    <row r="844" ht="15.75" customHeight="1" s="216"/>
    <row r="845" ht="15.75" customHeight="1" s="216"/>
    <row r="846" ht="15.75" customHeight="1" s="216"/>
    <row r="847" ht="15.75" customHeight="1" s="216"/>
    <row r="848" ht="15.75" customHeight="1" s="216"/>
    <row r="849" ht="15.75" customHeight="1" s="216"/>
    <row r="850" ht="15.75" customHeight="1" s="216"/>
    <row r="851" ht="15.75" customHeight="1" s="216"/>
    <row r="852" ht="15.75" customHeight="1" s="216"/>
    <row r="853" ht="15.75" customHeight="1" s="216"/>
    <row r="854" ht="15.75" customHeight="1" s="216"/>
    <row r="855" ht="15.75" customHeight="1" s="216"/>
    <row r="856" ht="15.75" customHeight="1" s="216"/>
    <row r="857" ht="15.75" customHeight="1" s="216"/>
    <row r="858" ht="15.75" customHeight="1" s="216"/>
    <row r="859" ht="15.75" customHeight="1" s="216"/>
    <row r="860" ht="15.75" customHeight="1" s="216"/>
    <row r="861" ht="15.75" customHeight="1" s="216"/>
    <row r="862" ht="15.75" customHeight="1" s="216"/>
    <row r="863" ht="15.75" customHeight="1" s="216"/>
    <row r="864" ht="15.75" customHeight="1" s="216"/>
    <row r="865" ht="15.75" customHeight="1" s="216"/>
    <row r="866" ht="15.75" customHeight="1" s="216"/>
    <row r="867" ht="15.75" customHeight="1" s="216"/>
    <row r="868" ht="15.75" customHeight="1" s="216"/>
    <row r="869" ht="15.75" customHeight="1" s="216"/>
    <row r="870" ht="15.75" customHeight="1" s="216"/>
    <row r="871" ht="15.75" customHeight="1" s="216"/>
    <row r="872" ht="15.75" customHeight="1" s="216"/>
    <row r="873" ht="15.75" customHeight="1" s="216"/>
    <row r="874" ht="15.75" customHeight="1" s="216"/>
    <row r="875" ht="15.75" customHeight="1" s="216"/>
    <row r="876" ht="15.75" customHeight="1" s="216"/>
    <row r="877" ht="15.75" customHeight="1" s="216"/>
    <row r="878" ht="15.75" customHeight="1" s="216"/>
    <row r="879" ht="15.75" customHeight="1" s="216"/>
    <row r="880" ht="15.75" customHeight="1" s="216"/>
    <row r="881" ht="15.75" customHeight="1" s="216"/>
    <row r="882" ht="15.75" customHeight="1" s="216"/>
    <row r="883" ht="15.75" customHeight="1" s="216"/>
    <row r="884" ht="15.75" customHeight="1" s="216"/>
    <row r="885" ht="15.75" customHeight="1" s="216"/>
    <row r="886" ht="15.75" customHeight="1" s="216"/>
    <row r="887" ht="15.75" customHeight="1" s="216"/>
    <row r="888" ht="15.75" customHeight="1" s="216"/>
    <row r="889" ht="15.75" customHeight="1" s="216"/>
    <row r="890" ht="15.75" customHeight="1" s="216"/>
    <row r="891" ht="15.75" customHeight="1" s="216"/>
    <row r="892" ht="15.75" customHeight="1" s="216"/>
    <row r="893" ht="15.75" customHeight="1" s="216"/>
    <row r="894" ht="15.75" customHeight="1" s="216"/>
    <row r="895" ht="15.75" customHeight="1" s="216"/>
    <row r="896" ht="15.75" customHeight="1" s="216"/>
    <row r="897" ht="15.75" customHeight="1" s="216"/>
    <row r="898" ht="15.75" customHeight="1" s="216"/>
    <row r="899" ht="15.75" customHeight="1" s="216"/>
    <row r="900" ht="15.75" customHeight="1" s="216"/>
    <row r="901" ht="15.75" customHeight="1" s="216"/>
    <row r="902" ht="15.75" customHeight="1" s="216"/>
    <row r="903" ht="15.75" customHeight="1" s="216"/>
    <row r="904" ht="15.75" customHeight="1" s="216"/>
    <row r="905" ht="15.75" customHeight="1" s="216"/>
    <row r="906" ht="15.75" customHeight="1" s="216"/>
    <row r="907" ht="15.75" customHeight="1" s="216"/>
    <row r="908" ht="15.75" customHeight="1" s="216"/>
    <row r="909" ht="15.75" customHeight="1" s="216"/>
    <row r="910" ht="15.75" customHeight="1" s="216"/>
    <row r="911" ht="15.75" customHeight="1" s="216"/>
    <row r="912" ht="15.75" customHeight="1" s="216"/>
    <row r="913" ht="15.75" customHeight="1" s="216"/>
    <row r="914" ht="15.75" customHeight="1" s="216"/>
    <row r="915" ht="15.75" customHeight="1" s="216"/>
    <row r="916" ht="15.75" customHeight="1" s="216"/>
    <row r="917" ht="15.75" customHeight="1" s="216"/>
    <row r="918" ht="15.75" customHeight="1" s="216"/>
    <row r="919" ht="15.75" customHeight="1" s="216"/>
    <row r="920" ht="15.75" customHeight="1" s="216"/>
    <row r="921" ht="15.75" customHeight="1" s="216"/>
    <row r="922" ht="15.75" customHeight="1" s="216"/>
    <row r="923" ht="15.75" customHeight="1" s="216"/>
    <row r="924" ht="15.75" customHeight="1" s="216"/>
    <row r="925" ht="15.75" customHeight="1" s="216"/>
    <row r="926" ht="15.75" customHeight="1" s="216"/>
    <row r="927" ht="15.75" customHeight="1" s="216"/>
    <row r="928" ht="15.75" customHeight="1" s="216"/>
    <row r="929" ht="15.75" customHeight="1" s="216"/>
    <row r="930" ht="15.75" customHeight="1" s="216"/>
    <row r="931" ht="15.75" customHeight="1" s="216"/>
    <row r="932" ht="15.75" customHeight="1" s="216"/>
    <row r="933" ht="15.75" customHeight="1" s="216"/>
    <row r="934" ht="15.75" customHeight="1" s="216"/>
    <row r="935" ht="15.75" customHeight="1" s="216"/>
    <row r="936" ht="15.75" customHeight="1" s="216"/>
    <row r="937" ht="15.75" customHeight="1" s="216"/>
    <row r="938" ht="15.75" customHeight="1" s="216"/>
    <row r="939" ht="15.75" customHeight="1" s="216"/>
    <row r="940" ht="15.75" customHeight="1" s="216"/>
    <row r="941" ht="15.75" customHeight="1" s="216"/>
    <row r="942" ht="15.75" customHeight="1" s="216"/>
    <row r="943" ht="15.75" customHeight="1" s="216"/>
    <row r="944" ht="15.75" customHeight="1" s="216"/>
    <row r="945" ht="15.75" customHeight="1" s="216"/>
    <row r="946" ht="15.75" customHeight="1" s="216"/>
    <row r="947" ht="15.75" customHeight="1" s="216"/>
    <row r="948" ht="15.75" customHeight="1" s="216"/>
    <row r="949" ht="15.75" customHeight="1" s="216"/>
    <row r="950" ht="15.75" customHeight="1" s="216"/>
    <row r="951" ht="15.75" customHeight="1" s="216"/>
    <row r="952" ht="15.75" customHeight="1" s="216"/>
    <row r="953" ht="15.75" customHeight="1" s="216"/>
    <row r="954" ht="15.75" customHeight="1" s="216"/>
    <row r="955" ht="15.75" customHeight="1" s="216"/>
    <row r="956" ht="15.75" customHeight="1" s="216"/>
    <row r="957" ht="15.75" customHeight="1" s="216"/>
    <row r="958" ht="15.75" customHeight="1" s="216"/>
    <row r="959" ht="15.75" customHeight="1" s="216"/>
    <row r="960" ht="15.75" customHeight="1" s="216"/>
    <row r="961" ht="15.75" customHeight="1" s="216"/>
    <row r="962" ht="15.75" customHeight="1" s="216"/>
    <row r="963" ht="15.75" customHeight="1" s="216"/>
    <row r="964" ht="15.75" customHeight="1" s="216"/>
    <row r="965" ht="15.75" customHeight="1" s="216"/>
    <row r="966" ht="15.75" customHeight="1" s="216"/>
    <row r="967" ht="15.75" customHeight="1" s="216"/>
    <row r="968" ht="15.75" customHeight="1" s="216"/>
    <row r="969" ht="15.75" customHeight="1" s="216"/>
    <row r="970" ht="15.75" customHeight="1" s="216"/>
    <row r="971" ht="15.75" customHeight="1" s="216"/>
    <row r="972" ht="15.75" customHeight="1" s="216"/>
    <row r="973" ht="15.75" customHeight="1" s="216"/>
    <row r="974" ht="15.75" customHeight="1" s="216"/>
    <row r="975" ht="15.75" customHeight="1" s="216"/>
    <row r="976" ht="15.75" customHeight="1" s="216"/>
    <row r="977" ht="15.75" customHeight="1" s="216"/>
    <row r="978" ht="15.75" customHeight="1" s="216"/>
    <row r="979" ht="15.75" customHeight="1" s="216"/>
    <row r="980" ht="15.75" customHeight="1" s="216"/>
    <row r="981" ht="15.75" customHeight="1" s="216"/>
    <row r="982" ht="15.75" customHeight="1" s="216"/>
    <row r="983" ht="15.75" customHeight="1" s="216"/>
    <row r="984" ht="15.75" customHeight="1" s="216"/>
    <row r="985" ht="15.75" customHeight="1" s="216"/>
    <row r="986" ht="15.75" customHeight="1" s="216"/>
    <row r="987" ht="15.75" customHeight="1" s="216"/>
    <row r="988" ht="15.75" customHeight="1" s="216"/>
    <row r="989" ht="15.75" customHeight="1" s="216"/>
    <row r="990" ht="15.75" customHeight="1" s="216"/>
    <row r="991" ht="15.75" customHeight="1" s="216"/>
    <row r="992" ht="15.75" customHeight="1" s="216"/>
    <row r="993" ht="15.75" customHeight="1" s="216"/>
    <row r="994" ht="15.75" customHeight="1" s="216"/>
    <row r="995" ht="15.75" customHeight="1" s="216"/>
    <row r="996" ht="15.75" customHeight="1" s="216"/>
    <row r="997" ht="15.75" customHeight="1" s="216"/>
    <row r="998" ht="15.75" customHeight="1" s="216"/>
    <row r="999" ht="15.75" customHeight="1" s="216"/>
    <row r="1000" ht="15.75" customHeight="1" s="216"/>
  </sheetData>
  <autoFilter ref="A6:AU6"/>
  <mergeCells count="19">
    <mergeCell ref="AR5:AU5"/>
    <mergeCell ref="N5:S5"/>
    <mergeCell ref="C2:E2"/>
    <mergeCell ref="A5:C5"/>
    <mergeCell ref="Z5:AE5"/>
    <mergeCell ref="AF5:AK5"/>
    <mergeCell ref="AL5:AQ5"/>
    <mergeCell ref="J5:M5"/>
    <mergeCell ref="A3:B3"/>
    <mergeCell ref="G3:H3"/>
    <mergeCell ref="I3:J3"/>
    <mergeCell ref="A2:B2"/>
    <mergeCell ref="D5:I5"/>
    <mergeCell ref="C3:E3"/>
    <mergeCell ref="A4:B4"/>
    <mergeCell ref="G4:H4"/>
    <mergeCell ref="T5:Y5"/>
    <mergeCell ref="I4:J4"/>
    <mergeCell ref="C4:E4"/>
  </mergeCells>
  <conditionalFormatting sqref="O7:O500 P7:P500 U7:U500 V7:V500 AA7:AA500 AB7:AB500 AG7:AG500 AH7:AH500 AM7:AM500 AN7:AN500 AS7:AS500 AT7:AT500">
    <cfRule type="cellIs" priority="1" operator="equal" dxfId="5">
      <formula>"Pass"</formula>
    </cfRule>
    <cfRule type="cellIs" priority="2" operator="equal" dxfId="6">
      <formula>"Fail"</formula>
    </cfRule>
    <cfRule type="cellIs" priority="3" operator="equal" dxfId="7">
      <formula>"Block"</formula>
    </cfRule>
    <cfRule type="cellIs" priority="4" operator="equal" dxfId="8">
      <formula>"N/A"</formula>
    </cfRule>
  </conditionalFormatting>
  <dataValidations count="8">
    <dataValidation sqref="J7:J500" showDropDown="0" showInputMessage="0" showErrorMessage="0" allowBlank="1" type="list">
      <formula1>"AI,QC"</formula1>
    </dataValidation>
    <dataValidation sqref="E7:E500" showDropDown="0" showInputMessage="0" showErrorMessage="0" allowBlank="1" type="list">
      <formula1>"High,Medium,Low"</formula1>
    </dataValidation>
    <dataValidation sqref="P7:P500 V7:V500 AB7:AB500 AH7:AH500 AN7:AN500" showDropDown="0" showInputMessage="0" showErrorMessage="0" allowBlank="1" type="list">
      <formula1>"Pass,Fail,Block,N/A"</formula1>
    </dataValidation>
    <dataValidation sqref="N7:N500 T7:T500 Z7:Z500 AF7:AF500 AL7:AL500" showDropDown="0" showInputMessage="0" showErrorMessage="0" allowBlank="1" type="list">
      <formula1>"Yes,No,N/A"</formula1>
    </dataValidation>
    <dataValidation sqref="O7:O500 U7:U500 AA7:AA500 AG7:AG500 AM7:AM500" showDropDown="0" showInputMessage="0" showErrorMessage="0" allowBlank="1" type="list">
      <formula1>"Pass,Fail,Block,N/A,Chưa chạy"</formula1>
    </dataValidation>
    <dataValidation sqref="D7:D500" showDropDown="0" showInputMessage="0" showErrorMessage="0" allowBlank="1" type="list">
      <formula1>"Functional,UI,Integration,Database Test Case"</formula1>
    </dataValidation>
    <dataValidation sqref="K7:K500" showDropDown="0" showInputMessage="0" showErrorMessage="0" allowBlank="1" type="list">
      <formula1>"Reviewed,Pending,N/A"</formula1>
    </dataValidation>
    <dataValidation sqref="L7:L500" showDropDown="0" showInputMessage="0" showErrorMessage="0" allowBlank="1" type="list">
      <formula1>"Yes,No"</formula1>
    </dataValidation>
  </dataValidations>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AV520"/>
  <sheetViews>
    <sheetView workbookViewId="0">
      <pane xSplit="1" ySplit="6" topLeftCell="B7" activePane="bottomRight" state="frozen"/>
      <selection pane="topRight"/>
      <selection pane="bottomLeft"/>
      <selection pane="bottomRight" activeCell="A1" sqref="A1"/>
    </sheetView>
  </sheetViews>
  <sheetFormatPr baseColWidth="8" defaultColWidth="14.43" defaultRowHeight="15" customHeight="1"/>
  <cols>
    <col width="14" customWidth="1" style="216" min="1" max="2"/>
    <col width="13" customWidth="1" style="216" min="3" max="4"/>
    <col width="11" customWidth="1" style="216" min="5" max="5"/>
    <col width="34" customWidth="1" style="216" min="6" max="6"/>
    <col width="28" customWidth="1" style="216" min="7" max="7"/>
    <col width="40" customWidth="1" style="216" min="8" max="8"/>
    <col width="34" customWidth="1" style="216" min="9" max="9"/>
    <col width="10" customWidth="1" style="216" min="10" max="10"/>
    <col width="12.43" customWidth="1" style="216" min="11" max="11"/>
    <col width="14" customWidth="1" style="216" min="12" max="12"/>
    <col width="26.14" customWidth="1" style="216" min="13" max="13"/>
    <col width="9" customWidth="1" style="216" min="14" max="14"/>
    <col width="10" customWidth="1" style="216" min="15" max="15"/>
    <col width="9" customWidth="1" style="216" min="16" max="16"/>
    <col width="13" customWidth="1" style="216" min="17" max="17"/>
    <col width="11" customWidth="1" style="216" min="18" max="18"/>
    <col width="22" customWidth="1" style="216" min="19" max="19"/>
    <col width="9" customWidth="1" style="216" min="20" max="20"/>
    <col width="10" customWidth="1" style="216" min="21" max="21"/>
    <col width="9" customWidth="1" style="216" min="22" max="22"/>
    <col width="13" customWidth="1" style="216" min="23" max="23"/>
    <col width="11" customWidth="1" style="216" min="24" max="24"/>
    <col width="22" customWidth="1" style="216" min="25" max="25"/>
    <col width="9" customWidth="1" style="216" min="26" max="26"/>
    <col width="10" customWidth="1" style="216" min="27" max="27"/>
    <col width="9" customWidth="1" style="216" min="28" max="28"/>
    <col width="13" customWidth="1" style="216" min="29" max="29"/>
    <col width="11" customWidth="1" style="216" min="30" max="30"/>
    <col width="22" customWidth="1" style="216" min="31" max="31"/>
    <col width="9" customWidth="1" style="216" min="32" max="32"/>
    <col width="10" customWidth="1" style="216" min="33" max="33"/>
    <col width="9" customWidth="1" style="216" min="34" max="34"/>
    <col width="13" customWidth="1" style="216" min="35" max="35"/>
    <col width="11" customWidth="1" style="216" min="36" max="36"/>
    <col width="22" customWidth="1" style="216" min="37" max="37"/>
    <col width="9" customWidth="1" style="216" min="38" max="38"/>
    <col width="10" customWidth="1" style="216" min="39" max="39"/>
    <col width="9" customWidth="1" style="216" min="40" max="40"/>
    <col width="13" customWidth="1" style="216" min="41" max="41"/>
    <col width="11" customWidth="1" style="216" min="42" max="42"/>
    <col width="22" customWidth="1" style="216" min="43" max="43"/>
    <col width="12" customWidth="1" style="216" min="44" max="44"/>
    <col width="14" customWidth="1" style="216" min="45" max="45"/>
    <col width="11" customWidth="1" style="216" min="46" max="46"/>
    <col width="24" customWidth="1" style="216" min="47" max="47"/>
  </cols>
  <sheetData>
    <row r="1">
      <c r="A1" s="106"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row>
    <row r="2">
      <c r="A2" s="255" t="inlineStr">
        <is>
          <t>Mã chức năng</t>
        </is>
      </c>
      <c r="B2" s="218" t="n"/>
      <c r="C2" s="256" t="inlineStr">
        <is>
          <t>TC_02</t>
        </is>
      </c>
      <c r="D2" s="220" t="n"/>
      <c r="E2" s="218"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row>
    <row r="3" ht="15" customHeight="1" s="216">
      <c r="A3" s="255" t="inlineStr">
        <is>
          <t>Tên chức năng</t>
        </is>
      </c>
      <c r="B3" s="218" t="n"/>
      <c r="C3" s="256" t="inlineStr">
        <is>
          <t>Ghép nối</t>
        </is>
      </c>
      <c r="D3" s="220" t="n"/>
      <c r="E3" s="218" t="n"/>
      <c r="F3" s="1" t="n"/>
      <c r="G3" s="255" t="inlineStr">
        <is>
          <t>Version</t>
        </is>
      </c>
      <c r="H3" s="218" t="n"/>
      <c r="I3" s="174">
        <f>Summary!$C$8</f>
        <v/>
      </c>
      <c r="J3" s="218"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row>
    <row r="4" ht="15" customHeight="1" s="216">
      <c r="A4" s="255" t="inlineStr">
        <is>
          <t>Execution</t>
        </is>
      </c>
      <c r="B4" s="218" t="n"/>
      <c r="C4" s="174">
        <f>TEXT(Summary!$C$10,"DD/MM/YYYY")&amp;"  →  "&amp;TEXT(Summary!$C$11,"DD/MM/YYYY")</f>
        <v/>
      </c>
      <c r="D4" s="220" t="n"/>
      <c r="E4" s="218" t="n"/>
      <c r="F4" s="1" t="n"/>
      <c r="G4" s="255" t="inlineStr">
        <is>
          <t>PIC</t>
        </is>
      </c>
      <c r="H4" s="218" t="n"/>
      <c r="I4" s="174">
        <f>Summary!$C$13</f>
        <v/>
      </c>
      <c r="J4" s="218"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1" t="n"/>
      <c r="AL4" s="1" t="n"/>
      <c r="AM4" s="1" t="n"/>
      <c r="AN4" s="1" t="n"/>
      <c r="AO4" s="1" t="n"/>
      <c r="AP4" s="1" t="n"/>
      <c r="AQ4" s="1" t="n"/>
      <c r="AR4" s="1" t="n"/>
      <c r="AS4" s="1" t="n"/>
      <c r="AT4" s="1" t="n"/>
      <c r="AU4" s="1" t="n"/>
    </row>
    <row r="5" ht="15" customHeight="1" s="216">
      <c r="A5" s="257" t="inlineStr">
        <is>
          <t>TRACEABILITY</t>
        </is>
      </c>
      <c r="B5" s="220" t="n"/>
      <c r="C5" s="218" t="n"/>
      <c r="D5" s="246" t="inlineStr">
        <is>
          <t>TEST DESIGN</t>
        </is>
      </c>
      <c r="E5" s="220" t="n"/>
      <c r="F5" s="220" t="n"/>
      <c r="G5" s="220" t="n"/>
      <c r="H5" s="220" t="n"/>
      <c r="I5" s="218" t="n"/>
      <c r="J5" s="250" t="inlineStr">
        <is>
          <t>SDLC</t>
        </is>
      </c>
      <c r="K5" s="220" t="n"/>
      <c r="L5" s="220" t="n"/>
      <c r="M5" s="218" t="n"/>
      <c r="N5" s="258" t="inlineStr">
        <is>
          <t>ROUND 1</t>
        </is>
      </c>
      <c r="O5" s="252" t="n"/>
      <c r="P5" s="252" t="n"/>
      <c r="Q5" s="252" t="n"/>
      <c r="R5" s="252" t="n"/>
      <c r="S5" s="253" t="n"/>
      <c r="T5" s="259" t="inlineStr">
        <is>
          <t>ROUND 2</t>
        </is>
      </c>
      <c r="U5" s="252" t="n"/>
      <c r="V5" s="252" t="n"/>
      <c r="W5" s="252" t="n"/>
      <c r="X5" s="252" t="n"/>
      <c r="Y5" s="253" t="n"/>
      <c r="Z5" s="258" t="inlineStr">
        <is>
          <t>ROUND 3</t>
        </is>
      </c>
      <c r="AA5" s="252" t="n"/>
      <c r="AB5" s="252" t="n"/>
      <c r="AC5" s="252" t="n"/>
      <c r="AD5" s="252" t="n"/>
      <c r="AE5" s="253" t="n"/>
      <c r="AF5" s="259" t="inlineStr">
        <is>
          <t>ROUND 4</t>
        </is>
      </c>
      <c r="AG5" s="252" t="n"/>
      <c r="AH5" s="252" t="n"/>
      <c r="AI5" s="252" t="n"/>
      <c r="AJ5" s="252" t="n"/>
      <c r="AK5" s="253" t="n"/>
      <c r="AL5" s="258" t="inlineStr">
        <is>
          <t>ROUND 5</t>
        </is>
      </c>
      <c r="AM5" s="252" t="n"/>
      <c r="AN5" s="252" t="n"/>
      <c r="AO5" s="252" t="n"/>
      <c r="AP5" s="252" t="n"/>
      <c r="AQ5" s="253" t="n"/>
      <c r="AR5" s="262" t="inlineStr">
        <is>
          <t>KẾT QUẢ TỔNG</t>
        </is>
      </c>
      <c r="AS5" s="252" t="n"/>
      <c r="AT5" s="252" t="n"/>
      <c r="AU5" s="253" t="n"/>
    </row>
    <row r="6" ht="30" customHeight="1" s="216">
      <c r="A6" s="152" t="inlineStr">
        <is>
          <t>Testcase ID</t>
        </is>
      </c>
      <c r="B6" s="152" t="inlineStr">
        <is>
          <t>Req ID</t>
        </is>
      </c>
      <c r="C6" s="152" t="inlineStr">
        <is>
          <t>DOC Source</t>
        </is>
      </c>
      <c r="D6" s="114" t="inlineStr">
        <is>
          <t>Group</t>
        </is>
      </c>
      <c r="E6" s="114" t="inlineStr">
        <is>
          <t>Priority</t>
        </is>
      </c>
      <c r="F6" s="114" t="inlineStr">
        <is>
          <t>Test Title
(Nội dung test)</t>
        </is>
      </c>
      <c r="G6" s="114" t="inlineStr">
        <is>
          <t>Pre-condition
(Điều kiện/Dữ liệu)</t>
        </is>
      </c>
      <c r="H6" s="114" t="inlineStr">
        <is>
          <t>Test Steps
(Các bước)</t>
        </is>
      </c>
      <c r="I6" s="114" t="inlineStr">
        <is>
          <t>Expected Result
(Kết quả mong đợi)</t>
        </is>
      </c>
      <c r="J6" s="112" t="inlineStr">
        <is>
          <t>Origin</t>
        </is>
      </c>
      <c r="K6" s="112" t="inlineStr">
        <is>
          <t>Review</t>
        </is>
      </c>
      <c r="L6" s="112" t="inlineStr">
        <is>
          <t>Automated</t>
        </is>
      </c>
      <c r="M6" s="112" t="inlineStr">
        <is>
          <t>Script</t>
        </is>
      </c>
      <c r="N6" s="153" t="inlineStr">
        <is>
          <t>Vibe-test</t>
        </is>
      </c>
      <c r="O6" s="153" t="inlineStr">
        <is>
          <t>KQ Script</t>
        </is>
      </c>
      <c r="P6" s="153" t="inlineStr">
        <is>
          <t>Kết quả</t>
        </is>
      </c>
      <c r="Q6" s="153" t="inlineStr">
        <is>
          <t>Executed By</t>
        </is>
      </c>
      <c r="R6" s="153" t="inlineStr">
        <is>
          <t>ID Bugs</t>
        </is>
      </c>
      <c r="S6" s="153" t="inlineStr">
        <is>
          <t>Note</t>
        </is>
      </c>
      <c r="T6" s="153" t="inlineStr">
        <is>
          <t>Vibe-test</t>
        </is>
      </c>
      <c r="U6" s="153" t="inlineStr">
        <is>
          <t>KQ Script</t>
        </is>
      </c>
      <c r="V6" s="153" t="inlineStr">
        <is>
          <t>Kết quả</t>
        </is>
      </c>
      <c r="W6" s="153" t="inlineStr">
        <is>
          <t>Executed By</t>
        </is>
      </c>
      <c r="X6" s="153" t="inlineStr">
        <is>
          <t>ID Bugs</t>
        </is>
      </c>
      <c r="Y6" s="153" t="inlineStr">
        <is>
          <t>Note</t>
        </is>
      </c>
      <c r="Z6" s="153" t="inlineStr">
        <is>
          <t>Vibe-test</t>
        </is>
      </c>
      <c r="AA6" s="153" t="inlineStr">
        <is>
          <t>KQ Script</t>
        </is>
      </c>
      <c r="AB6" s="153" t="inlineStr">
        <is>
          <t>Kết quả</t>
        </is>
      </c>
      <c r="AC6" s="153" t="inlineStr">
        <is>
          <t>Executed By</t>
        </is>
      </c>
      <c r="AD6" s="153" t="inlineStr">
        <is>
          <t>ID Bugs</t>
        </is>
      </c>
      <c r="AE6" s="153" t="inlineStr">
        <is>
          <t>Note</t>
        </is>
      </c>
      <c r="AF6" s="153" t="inlineStr">
        <is>
          <t>Vibe-test</t>
        </is>
      </c>
      <c r="AG6" s="153" t="inlineStr">
        <is>
          <t>KQ Script</t>
        </is>
      </c>
      <c r="AH6" s="153" t="inlineStr">
        <is>
          <t>Kết quả</t>
        </is>
      </c>
      <c r="AI6" s="153" t="inlineStr">
        <is>
          <t>Executed By</t>
        </is>
      </c>
      <c r="AJ6" s="153" t="inlineStr">
        <is>
          <t>ID Bugs</t>
        </is>
      </c>
      <c r="AK6" s="153" t="inlineStr">
        <is>
          <t>Note</t>
        </is>
      </c>
      <c r="AL6" s="153" t="inlineStr">
        <is>
          <t>Vibe-test</t>
        </is>
      </c>
      <c r="AM6" s="153" t="inlineStr">
        <is>
          <t>KQ Script</t>
        </is>
      </c>
      <c r="AN6" s="153" t="inlineStr">
        <is>
          <t>Kết quả</t>
        </is>
      </c>
      <c r="AO6" s="153" t="inlineStr">
        <is>
          <t>Executed By</t>
        </is>
      </c>
      <c r="AP6" s="153" t="inlineStr">
        <is>
          <t>ID Bugs</t>
        </is>
      </c>
      <c r="AQ6" s="153" t="inlineStr">
        <is>
          <t>Note</t>
        </is>
      </c>
      <c r="AR6" s="263" t="inlineStr">
        <is>
          <t>Vibe-test
(tổng)</t>
        </is>
      </c>
      <c r="AS6" s="263" t="inlineStr">
        <is>
          <t>KQ Script
(tổng)</t>
        </is>
      </c>
      <c r="AT6" s="154" t="inlineStr">
        <is>
          <t>Status</t>
        </is>
      </c>
      <c r="AU6" s="154" t="inlineStr">
        <is>
          <t>Remark</t>
        </is>
      </c>
    </row>
    <row r="7" ht="60" customHeight="1" s="216">
      <c r="A7" s="160">
        <f>IF($F7="","",$C$2&amp;"."&amp;COUNTA($F$7:$F7)&amp;"")</f>
        <v/>
      </c>
      <c r="B7" s="160" t="inlineStr">
        <is>
          <t>REQ-ASN-003</t>
        </is>
      </c>
      <c r="C7" s="160" t="inlineStr">
        <is>
          <t>DOC-v1.1-01</t>
        </is>
      </c>
      <c r="D7" s="160" t="inlineStr">
        <is>
          <t>Functional</t>
        </is>
      </c>
      <c r="E7" s="160" t="inlineStr">
        <is>
          <t>High</t>
        </is>
      </c>
      <c r="F7" s="11" t="inlineStr">
        <is>
          <t>Check hai người vận chuyển nhận gần đồng thời chỉ một người ghép được</t>
        </is>
      </c>
      <c r="G7" s="11" t="inlineStr">
        <is>
          <t>- Tài khoản A, B và C là 3 CBNV khác nhau trên STG.
- Có 2 thiết bị Android/iOS đã cài host app FoxPro.
Test Data: 2 người vận chuyển bấm gần đồng thời (test_data_catalog §ASN v1.1, biên)</t>
        </is>
      </c>
      <c r="H7" s="11" t="inlineStr">
        <is>
          <t>1. Đăng nhập bằng tài khoản A, đăng 1 tin NEED rồi đăng xuất. (setup)
2. Đăng nhập tài khoản B trên thiết bị 1 và tài khoản C trên thiết bị 2, cùng mở màn Chi tiết tin của tin đó. (setup)
3. Trên cả hai thiết bị, nhấn "Tôi mang giúp được".
4. Nhấn "Xác nhận" trên cả hai thiết bị cách nhau dưới 2 giây.
5. Check màn hiện ra trên từng thiết bị, sau đó đăng nhập lại tài khoản A và check người vận chuyển của đơn.</t>
        </is>
      </c>
      <c r="I7" s="11" t="inlineStr">
        <is>
          <t>5. Một thiết bị mở màn Theo dõi đơn với vai người vận chuyển, thiết bị còn lại KHÔNG ghép được và hiển thị thông báo tin đã có người nhận; đơn có đúng 1 người vận chuyển là tài khoản của thiết bị ghép thành công.</t>
        </is>
      </c>
      <c r="J7" s="160" t="inlineStr">
        <is>
          <t>AI</t>
        </is>
      </c>
      <c r="K7" s="160" t="inlineStr">
        <is>
          <t>Pending</t>
        </is>
      </c>
      <c r="L7" s="160" t="inlineStr">
        <is>
          <t>No</t>
        </is>
      </c>
      <c r="M7" s="160" t="inlineStr"/>
      <c r="N7" s="264" t="inlineStr">
        <is>
          <t>Yes</t>
        </is>
      </c>
      <c r="O7" s="264" t="inlineStr"/>
      <c r="P7" s="264" t="inlineStr">
        <is>
          <t>Pass</t>
        </is>
      </c>
      <c r="Q7" s="264" t="inlineStr">
        <is>
          <t>GiangDC2</t>
        </is>
      </c>
      <c r="R7" s="264" t="inlineStr">
        <is>
          <t>FE-311</t>
        </is>
      </c>
      <c r="S7" s="264" t="inlineStr"/>
      <c r="T7" s="264" t="n"/>
      <c r="U7" s="264" t="n"/>
      <c r="V7" s="264" t="n"/>
      <c r="W7" s="264" t="n"/>
      <c r="X7" s="264" t="n"/>
      <c r="Y7" s="264" t="n"/>
      <c r="Z7" s="264" t="n"/>
      <c r="AA7" s="264" t="n"/>
      <c r="AB7" s="264" t="n"/>
      <c r="AC7" s="264" t="n"/>
      <c r="AD7" s="264" t="n"/>
      <c r="AE7" s="264" t="n"/>
      <c r="AF7" s="264" t="n"/>
      <c r="AG7" s="264" t="n"/>
      <c r="AH7" s="264" t="n"/>
      <c r="AI7" s="264" t="n"/>
      <c r="AJ7" s="264" t="n"/>
      <c r="AK7" s="264" t="n"/>
      <c r="AL7" s="264" t="n"/>
      <c r="AM7" s="264" t="n"/>
      <c r="AN7" s="264" t="n"/>
      <c r="AO7" s="264" t="n"/>
      <c r="AP7" s="264" t="n"/>
      <c r="AQ7" s="264" t="n"/>
      <c r="AR7" s="158">
        <f>IF($A7="","",IF(OR($N7="Yes",$T7="Yes",$Z7="Yes",$AF7="Yes",$AL7="Yes"),"Yes","No"))</f>
        <v/>
      </c>
      <c r="AS7" s="158">
        <f>IF($A7="","",IFERROR(IF($AM7&lt;&gt;"",$AM7,IF($AG7&lt;&gt;"",$AG7,IF($AA7&lt;&gt;"",$AA7,IF($U7&lt;&gt;"",$U7,IF($O7&lt;&gt;"",$O7,""))))),""))</f>
        <v/>
      </c>
      <c r="AT7" s="158">
        <f>IFERROR(IF($AN7&lt;&gt;"",$AN7,IF($AH7&lt;&gt;"",$AH7,IF($AB7&lt;&gt;"",$AB7,IF($V7&lt;&gt;"",$V7,IF($P7&lt;&gt;"",$P7,""))))),"")</f>
        <v/>
      </c>
      <c r="AU7" s="265" t="inlineStr">
        <is>
          <t>Mục đích: nhánh (a) — chỉ kiểm chứng được thứ tự tuần tự bằng 2 thiết bị thật; nhánh (b) automation ở `TC-ASN-024`. · Căn cứ: `DOC-v1.1-01 §8.3 BR03-02` · `§9 NFR-06`.</t>
        </is>
      </c>
    </row>
    <row r="8" ht="60" customHeight="1" s="216">
      <c r="A8" s="160">
        <f>IF($F8="","",$C$2&amp;"."&amp;COUNTA($F$7:$F8)&amp;"")</f>
        <v/>
      </c>
      <c r="B8" s="160" t="inlineStr">
        <is>
          <t>REQ-ASN-003</t>
        </is>
      </c>
      <c r="C8" s="160" t="inlineStr">
        <is>
          <t>DOC-v1.1-01</t>
        </is>
      </c>
      <c r="D8" s="160" t="inlineStr">
        <is>
          <t>Functional</t>
        </is>
      </c>
      <c r="E8" s="160" t="inlineStr">
        <is>
          <t>High</t>
        </is>
      </c>
      <c r="F8" s="11" t="inlineStr">
        <is>
          <t>Check 50 request ghép đồng thời trên cùng 1 tin giữ tỷ lệ trùng 0%</t>
        </is>
      </c>
      <c r="G8" s="11" t="inlineStr">
        <is>
          <t>- Có sẵn 1 tin NEED `POSTED` của tài khoản A.
- Có công cụ gửi 50 request ghép đồng thời tới API ghép của tin đó (concurrency/load test tool, vd JMeter/k6) — ⛔ không thực hiện bằng thao tác tay trên UI.
Test Data: 1 tin NEED POSTED; 50 request đồng thời (test_data_catalog §ASN v1.1)</t>
        </is>
      </c>
      <c r="H8" s="11" t="inlineStr">
        <is>
          <t>1. Chuẩn bị 50 request gọi API "Tôi mang giúp được" cho cùng 1 tin NEED đó, mỗi request gán 1 tài khoản Carrier/token khác nhau. (setup)
2. Gửi đồng thời toàn bộ 50 request tại cùng 1 thời điểm.
3. Đếm số request trả về thành công và check trạng thái cuối cùng của tin trên hệ thống.</t>
        </is>
      </c>
      <c r="I8" s="11" t="inlineStr">
        <is>
          <t>3. Đúng 1 request thành công (ghép được), 49 request còn lại bị từ chối; tin chỉ có đúng 1 cặp ghép active — tỷ lệ ghép trùng = **0%**.</t>
        </is>
      </c>
      <c r="J8" s="160" t="inlineStr">
        <is>
          <t>AI</t>
        </is>
      </c>
      <c r="K8" s="160" t="inlineStr">
        <is>
          <t>Pending</t>
        </is>
      </c>
      <c r="L8" s="160" t="inlineStr">
        <is>
          <t>No</t>
        </is>
      </c>
      <c r="M8" s="160" t="inlineStr"/>
      <c r="N8" s="264" t="inlineStr">
        <is>
          <t>Yes</t>
        </is>
      </c>
      <c r="O8" s="264" t="inlineStr"/>
      <c r="P8" s="264" t="inlineStr">
        <is>
          <t>Block</t>
        </is>
      </c>
      <c r="Q8" s="264" t="inlineStr">
        <is>
          <t>GiangDC2</t>
        </is>
      </c>
      <c r="R8" s="264" t="inlineStr"/>
      <c r="S8" s="264" t="inlineStr"/>
      <c r="T8" s="264" t="n"/>
      <c r="U8" s="264" t="n"/>
      <c r="V8" s="264" t="n"/>
      <c r="W8" s="264" t="n"/>
      <c r="X8" s="264" t="n"/>
      <c r="Y8" s="264" t="n"/>
      <c r="Z8" s="264" t="n"/>
      <c r="AA8" s="264" t="n"/>
      <c r="AB8" s="264" t="n"/>
      <c r="AC8" s="264" t="n"/>
      <c r="AD8" s="264" t="n"/>
      <c r="AE8" s="264" t="n"/>
      <c r="AF8" s="264" t="n"/>
      <c r="AG8" s="264" t="n"/>
      <c r="AH8" s="264" t="n"/>
      <c r="AI8" s="264" t="n"/>
      <c r="AJ8" s="264" t="n"/>
      <c r="AK8" s="264" t="n"/>
      <c r="AL8" s="264" t="n"/>
      <c r="AM8" s="264" t="n"/>
      <c r="AN8" s="264" t="n"/>
      <c r="AO8" s="264" t="n"/>
      <c r="AP8" s="264" t="n"/>
      <c r="AQ8" s="264" t="n"/>
      <c r="AR8" s="158">
        <f>IF($A8="","",IF(OR($N8="Yes",$T8="Yes",$Z8="Yes",$AF8="Yes",$AL8="Yes"),"Yes","No"))</f>
        <v/>
      </c>
      <c r="AS8" s="158">
        <f>IF($A8="","",IFERROR(IF($AM8&lt;&gt;"",$AM8,IF($AG8&lt;&gt;"",$AG8,IF($AA8&lt;&gt;"",$AA8,IF($U8&lt;&gt;"",$U8,IF($O8&lt;&gt;"",$O8,""))))),""))</f>
        <v/>
      </c>
      <c r="AT8" s="158">
        <f>IFERROR(IF($AN8&lt;&gt;"",$AN8,IF($AH8&lt;&gt;"",$AH8,IF($AB8&lt;&gt;"",$AB8,IF($V8&lt;&gt;"",$V8,IF($P8&lt;&gt;"",$P8,""))))),"")</f>
        <v/>
      </c>
      <c r="AU8" s="265" t="inlineStr">
        <is>
          <t>Mục đích: nhánh (b) của `SC-ASN-006` — ngưỡng `NFR-06`, chỉ kiểm chứng được bằng concurrency/backend test, không phải manual. · Căn cứ: `DOC-v1.1-01 §9 NFR-06`. ⚠️ Cần công cụ load/concurrency test gọi thẳng API — giao automation/backend, không nằm trong phạm vi vibe-test UI thuần. Đối chứng với `TC-ASN-006` (nhánh a, manual 2 thiết bị).</t>
        </is>
      </c>
    </row>
    <row r="9" ht="60" customHeight="1" s="216">
      <c r="A9" s="160">
        <f>IF($F9="","",$C$2&amp;"."&amp;COUNTA($F$7:$F9)&amp;"")</f>
        <v/>
      </c>
      <c r="B9" s="160" t="inlineStr">
        <is>
          <t>REQ-ASN-005</t>
        </is>
      </c>
      <c r="C9" s="160" t="inlineStr">
        <is>
          <t>DOC-v1.1-01</t>
        </is>
      </c>
      <c r="D9" s="160" t="inlineStr">
        <is>
          <t>Functional</t>
        </is>
      </c>
      <c r="E9" s="160" t="inlineStr">
        <is>
          <t>Medium</t>
        </is>
      </c>
      <c r="F9" s="11" t="inlineStr">
        <is>
          <t>Check ba phiên ba vai cùng cập nhật "Đã ghép" trong vòng 5 giây</t>
        </is>
      </c>
      <c r="G9" s="11" t="inlineStr">
        <is>
          <t>- Tài khoản A, B và C là 3 CBNV khác nhau trên STG.
- Có 3 thiết bị Android/iOS đã cài host app FoxPro.
Test Data: 3 phiên 3 vai trên 3 thiết bị; mốc đo ≤5 giây (test_data_catalog §ASN v1.1)</t>
        </is>
      </c>
      <c r="H9" s="11" t="inlineStr">
        <is>
          <t>1. Đăng nhập tài khoản A trên thiết bị 1, đăng 1 tin NEED khai C là người nhận. (setup)
2. Đăng nhập tài khoản C trên thiết bị 3, mở màn Theo dõi đơn của đơn đó. (setup)
3. Trên thiết bị 1, mở màn Theo dõi đơn của đơn vừa đăng và giữ nguyên màn. (setup)
4. Trên thiết bị 2, đăng nhập tài khoản B, nhận đơn đó và xác nhận; ghi lại thời điểm xác nhận.
5. Không thao tác kéo làm mới trên thiết bị 1 và 3; đo thời điểm trạng thái đơn đổi thành "Đã ghép" trên từng thiết bị.</t>
        </is>
      </c>
      <c r="I9" s="11" t="inlineStr">
        <is>
          <t>5. Trên cả thiết bị 1 và thiết bị 3, trạng thái đơn đổi sang "Đã ghép" trong vòng **≤5 giây** kể từ thời điểm xác nhận ở bước 4, không cần kéo làm mới hay mở lại màn.</t>
        </is>
      </c>
      <c r="J9" s="160" t="inlineStr">
        <is>
          <t>AI</t>
        </is>
      </c>
      <c r="K9" s="160" t="inlineStr">
        <is>
          <t>Pending</t>
        </is>
      </c>
      <c r="L9" s="160" t="inlineStr">
        <is>
          <t>No</t>
        </is>
      </c>
      <c r="M9" s="160" t="inlineStr"/>
      <c r="N9" s="264" t="inlineStr">
        <is>
          <t>Yes</t>
        </is>
      </c>
      <c r="O9" s="264" t="inlineStr"/>
      <c r="P9" s="264" t="inlineStr">
        <is>
          <t>Block</t>
        </is>
      </c>
      <c r="Q9" s="264" t="inlineStr">
        <is>
          <t>GiangDC2</t>
        </is>
      </c>
      <c r="R9" s="264" t="inlineStr"/>
      <c r="S9" s="264" t="inlineStr"/>
      <c r="T9" s="264" t="n"/>
      <c r="U9" s="264" t="n"/>
      <c r="V9" s="264" t="n"/>
      <c r="W9" s="264" t="n"/>
      <c r="X9" s="264" t="n"/>
      <c r="Y9" s="264" t="n"/>
      <c r="Z9" s="264" t="n"/>
      <c r="AA9" s="264" t="n"/>
      <c r="AB9" s="264" t="n"/>
      <c r="AC9" s="264" t="n"/>
      <c r="AD9" s="264" t="n"/>
      <c r="AE9" s="264" t="n"/>
      <c r="AF9" s="264" t="n"/>
      <c r="AG9" s="264" t="n"/>
      <c r="AH9" s="264" t="n"/>
      <c r="AI9" s="264" t="n"/>
      <c r="AJ9" s="264" t="n"/>
      <c r="AK9" s="264" t="n"/>
      <c r="AL9" s="264" t="n"/>
      <c r="AM9" s="264" t="n"/>
      <c r="AN9" s="264" t="n"/>
      <c r="AO9" s="264" t="n"/>
      <c r="AP9" s="264" t="n"/>
      <c r="AQ9" s="264" t="n"/>
      <c r="AR9" s="158">
        <f>IF($A9="","",IF(OR($N9="Yes",$T9="Yes",$Z9="Yes",$AF9="Yes",$AL9="Yes"),"Yes","No"))</f>
        <v/>
      </c>
      <c r="AS9" s="158">
        <f>IF($A9="","",IFERROR(IF($AM9&lt;&gt;"",$AM9,IF($AG9&lt;&gt;"",$AG9,IF($AA9&lt;&gt;"",$AA9,IF($U9&lt;&gt;"",$U9,IF($O9&lt;&gt;"",$O9,""))))),""))</f>
        <v/>
      </c>
      <c r="AT9" s="158">
        <f>IFERROR(IF($AN9&lt;&gt;"",$AN9,IF($AH9&lt;&gt;"",$AH9,IF($AB9&lt;&gt;"",$AB9,IF($V9&lt;&gt;"",$V9,IF($P9&lt;&gt;"",$P9,""))))),"")</f>
        <v/>
      </c>
      <c r="AU9" s="265" t="inlineStr">
        <is>
          <t>Mục đích: siết Expected từ định tính ("không cần làm mới", v1.0) sang định lượng **≤5 giây** theo `NFR-08`. · Căn cứ: `DOC-v1.1-01 §9 NFR-08` — "Cách đo: Integration test đa thiết bị". ⚠️ Đo bằng tay có sai số; ưu tiên automation nếu cần độ chính xác cao. · Đã sửa theo delta v1.1 (2026-09-15).</t>
        </is>
      </c>
    </row>
    <row r="10">
      <c r="A10" s="160">
        <f>IF($F10="","",$C$2&amp;"."&amp;COUNTA($F$7:$F10)&amp;"")</f>
        <v/>
      </c>
      <c r="B10" s="160" t="inlineStr">
        <is>
          <t>REQ-ASN-007</t>
        </is>
      </c>
      <c r="C10" s="160" t="inlineStr">
        <is>
          <t>DOC-v1.1-01</t>
        </is>
      </c>
      <c r="D10" s="160" t="inlineStr">
        <is>
          <t>Functional</t>
        </is>
      </c>
      <c r="E10" s="160" t="inlineStr">
        <is>
          <t>Medium</t>
        </is>
      </c>
      <c r="F10" s="11" t="inlineStr">
        <is>
          <t>Check không có thông báo khớp tuyến khi tin NEED lệch điểm giao hàng</t>
        </is>
      </c>
      <c r="G10" s="11" t="inlineStr">
        <is>
          <t>- Tin OFFER của `SEED-ASN-01` (điểm P1→P2, khoảng ngày D1-D2, buổi "Sáng"+"Chiều" — xem sheet `Seed` của chính file này) của tài khoản B đã có sẵn — không seed riêng.
- Host app FoxPro đã cài trên thiết bị Android/iOS.
Test Data: Tin NEED lệch điểm giao, buổi "Sáng", dùng `SEED-ASN-01` (test_data_catalog §ASN v1.1, nhánh invalid)</t>
        </is>
      </c>
      <c r="H10" s="11" t="inlineStr">
        <is>
          <t>1. Đăng nhập bằng tài khoản A, đăng 1 tin NEED trùng điểm lấy P1 nhưng chọn điểm giao KHÁC P2, khoảng ngày trùng D1-D2 và chọn buổi "Sáng", rồi đăng xuất. (setup)
2. Đăng nhập bằng tài khoản B, nhấn icon chuông, check danh sách thông báo.</t>
        </is>
      </c>
      <c r="I10" s="11" t="inlineStr">
        <is>
          <t>2. KHÔNG có thông báo khớp tuyến nào trỏ tới tin NEED vừa đăng ở bước 1.</t>
        </is>
      </c>
      <c r="J10" s="160" t="inlineStr">
        <is>
          <t>AI</t>
        </is>
      </c>
      <c r="K10" s="160" t="inlineStr">
        <is>
          <t>Pending</t>
        </is>
      </c>
      <c r="L10" s="160" t="inlineStr">
        <is>
          <t>No</t>
        </is>
      </c>
      <c r="M10" s="160" t="inlineStr"/>
      <c r="N10" s="264" t="inlineStr">
        <is>
          <t>Yes</t>
        </is>
      </c>
      <c r="O10" s="264" t="inlineStr"/>
      <c r="P10" s="264" t="inlineStr">
        <is>
          <t>Pass</t>
        </is>
      </c>
      <c r="Q10" s="264" t="inlineStr">
        <is>
          <t>GiangDC2</t>
        </is>
      </c>
      <c r="R10" s="264" t="inlineStr"/>
      <c r="S10" s="264" t="inlineStr"/>
      <c r="T10" s="264" t="n"/>
      <c r="U10" s="264" t="n"/>
      <c r="V10" s="264" t="n"/>
      <c r="W10" s="264" t="n"/>
      <c r="X10" s="264" t="n"/>
      <c r="Y10" s="264" t="n"/>
      <c r="Z10" s="264" t="n"/>
      <c r="AA10" s="264" t="n"/>
      <c r="AB10" s="264" t="n"/>
      <c r="AC10" s="264" t="n"/>
      <c r="AD10" s="264" t="n"/>
      <c r="AE10" s="264" t="n"/>
      <c r="AF10" s="264" t="n"/>
      <c r="AG10" s="264" t="n"/>
      <c r="AH10" s="264" t="n"/>
      <c r="AI10" s="264" t="n"/>
      <c r="AJ10" s="264" t="n"/>
      <c r="AK10" s="264" t="n"/>
      <c r="AL10" s="264" t="n"/>
      <c r="AM10" s="264" t="n"/>
      <c r="AN10" s="264" t="n"/>
      <c r="AO10" s="264" t="n"/>
      <c r="AP10" s="264" t="n"/>
      <c r="AQ10" s="264" t="n"/>
      <c r="AR10" s="158">
        <f>IF($A10="","",IF(OR($N10="Yes",$T10="Yes",$Z10="Yes",$AF10="Yes",$AL10="Yes"),"Yes","No"))</f>
        <v/>
      </c>
      <c r="AS10" s="158">
        <f>IF($A10="","",IFERROR(IF($AM10&lt;&gt;"",$AM10,IF($AG10&lt;&gt;"",$AG10,IF($AA10&lt;&gt;"",$AA10,IF($U10&lt;&gt;"",$U10,IF($O10&lt;&gt;"",$O10,""))))),""))</f>
        <v/>
      </c>
      <c r="AT10" s="158">
        <f>IFERROR(IF($AN10&lt;&gt;"",$AN10,IF($AH10&lt;&gt;"",$AH10,IF($AB10&lt;&gt;"",$AB10,IF($V10&lt;&gt;"",$V10,IF($P10&lt;&gt;"",$P10,""))))),"")</f>
        <v/>
      </c>
      <c r="AU10" s="265" t="inlineStr">
        <is>
          <t>Mục đích: nhánh (a) của `SC-ASN-011` v1.1 — vẫn là lệch điểm, không đổi bản chất so v1.0 nhưng đổi khuôn dữ liệu (Khoảng ngày + Buổi thay khung giờ đơn). · Căn cứ: `DOC-v1.1-01 §8.4 BR04-01`. · Đã sửa theo delta v1.1 (2026-09-15): đổi test data từ "khung giờ" sang "khoảng ngày + tập buổi" theo form mới. · Nhãn buổi "Sáng" theo quan sát demo 3-role 2026-09-17 (QA-obs, chưa phải chốt chính thức).</t>
        </is>
      </c>
    </row>
    <row r="11">
      <c r="A11" s="160">
        <f>IF($F11="","",$C$2&amp;"."&amp;COUNTA($F$7:$F11)&amp;"")</f>
        <v/>
      </c>
      <c r="B11" s="160" t="inlineStr">
        <is>
          <t>REQ-ASN-007</t>
        </is>
      </c>
      <c r="C11" s="160" t="inlineStr">
        <is>
          <t>DOC-v1.1-01</t>
        </is>
      </c>
      <c r="D11" s="160" t="inlineStr">
        <is>
          <t>Functional</t>
        </is>
      </c>
      <c r="E11" s="160" t="inlineStr">
        <is>
          <t>Medium</t>
        </is>
      </c>
      <c r="F11" s="11" t="inlineStr">
        <is>
          <t>Check không có thông báo khớp tuyến khi khoảng ngày không giao nhau</t>
        </is>
      </c>
      <c r="G11" s="11" t="inlineStr">
        <is>
          <t>- Tin OFFER của `SEED-ASN-01` (xem sheet `Seed` của chính file này) của tài khoản B đã có sẵn — không seed riêng.
- Host app FoxPro đã cài trên thiết bị Android/iOS.
Test Data: Tin NEED lệch khoảng ngày (không overlap), buổi "Giờ nào cũng được", dùng `SEED-ASN-01` (test_data_catalog §ASN v1.1, nhánh invalid)</t>
        </is>
      </c>
      <c r="H11" s="11" t="inlineStr">
        <is>
          <t>1. Đăng nhập bằng tài khoản A, đăng 1 tin NEED trùng điểm P1/P2 nhưng chọn khoảng ngày KHÔNG giao nhau với D1-D2 của tin OFFER, chọn buổi "Giờ nào cũng được", rồi đăng xuất. (setup)
2. Đăng nhập bằng tài khoản B, nhấn icon chuông, check danh sách thông báo.</t>
        </is>
      </c>
      <c r="I11" s="11" t="inlineStr">
        <is>
          <t>2. KHÔNG có thông báo khớp tuyến nào trỏ tới tin NEED vừa đăng ở bước 1.</t>
        </is>
      </c>
      <c r="J11" s="160" t="inlineStr">
        <is>
          <t>AI</t>
        </is>
      </c>
      <c r="K11" s="160" t="inlineStr">
        <is>
          <t>Pending</t>
        </is>
      </c>
      <c r="L11" s="160" t="inlineStr">
        <is>
          <t>No</t>
        </is>
      </c>
      <c r="M11" s="160" t="inlineStr"/>
      <c r="N11" s="264" t="inlineStr">
        <is>
          <t>Yes</t>
        </is>
      </c>
      <c r="O11" s="264" t="inlineStr"/>
      <c r="P11" s="264" t="inlineStr">
        <is>
          <t>Pass</t>
        </is>
      </c>
      <c r="Q11" s="264" t="inlineStr">
        <is>
          <t>GiangDC2</t>
        </is>
      </c>
      <c r="R11" s="264" t="inlineStr"/>
      <c r="S11" s="264" t="inlineStr"/>
      <c r="T11" s="264" t="n"/>
      <c r="U11" s="264" t="n"/>
      <c r="V11" s="264" t="n"/>
      <c r="W11" s="264" t="n"/>
      <c r="X11" s="264" t="n"/>
      <c r="Y11" s="264" t="n"/>
      <c r="Z11" s="264" t="n"/>
      <c r="AA11" s="264" t="n"/>
      <c r="AB11" s="264" t="n"/>
      <c r="AC11" s="264" t="n"/>
      <c r="AD11" s="264" t="n"/>
      <c r="AE11" s="264" t="n"/>
      <c r="AF11" s="264" t="n"/>
      <c r="AG11" s="264" t="n"/>
      <c r="AH11" s="264" t="n"/>
      <c r="AI11" s="264" t="n"/>
      <c r="AJ11" s="264" t="n"/>
      <c r="AK11" s="264" t="n"/>
      <c r="AL11" s="264" t="n"/>
      <c r="AM11" s="264" t="n"/>
      <c r="AN11" s="264" t="n"/>
      <c r="AO11" s="264" t="n"/>
      <c r="AP11" s="264" t="n"/>
      <c r="AQ11" s="264" t="n"/>
      <c r="AR11" s="158">
        <f>IF($A11="","",IF(OR($N11="Yes",$T11="Yes",$Z11="Yes",$AF11="Yes",$AL11="Yes"),"Yes","No"))</f>
        <v/>
      </c>
      <c r="AS11" s="158">
        <f>IF($A11="","",IFERROR(IF($AM11&lt;&gt;"",$AM11,IF($AG11&lt;&gt;"",$AG11,IF($AA11&lt;&gt;"",$AA11,IF($U11&lt;&gt;"",$U11,IF($O11&lt;&gt;"",$O11,""))))),""))</f>
        <v/>
      </c>
      <c r="AT11" s="158">
        <f>IFERROR(IF($AN11&lt;&gt;"",$AN11,IF($AH11&lt;&gt;"",$AH11,IF($AB11&lt;&gt;"",$AB11,IF($V11&lt;&gt;"",$V11,IF($P11&lt;&gt;"",$P11,""))))),"")</f>
        <v/>
      </c>
      <c r="AU11" s="265" t="inlineStr">
        <is>
          <t>Mục đích: nhánh (b) của `SC-ASN-011` v1.1 — thay "khung giờ tách rời hoàn toàn" (v1.0) bằng đúng định nghĩa "khoảng ngày KHÔNG overlap" chính thức; cố tình chọn buổi "Giờ nào cũng được" để khẳng định biến buổi KHÔNG cứu được khi ngày đã lệch (2 điều kiện độc lập). · Căn cứ: `DOC-v1.1-01 §8.4 BR04-01`. · Đã sửa theo delta v1.1 (2026-09-15). · Nhãn buổi theo quan sát demo 3-role 2026-09-17 (QA-obs).</t>
        </is>
      </c>
    </row>
    <row r="12">
      <c r="A12" s="160">
        <f>IF($F12="","",$C$2&amp;"."&amp;COUNTA($F$7:$F12)&amp;"")</f>
        <v/>
      </c>
      <c r="B12" s="160" t="inlineStr">
        <is>
          <t>REQ-ASN-007</t>
        </is>
      </c>
      <c r="C12" s="160" t="inlineStr">
        <is>
          <t>DOC-v1.1-01</t>
        </is>
      </c>
      <c r="D12" s="160" t="inlineStr">
        <is>
          <t>Functional</t>
        </is>
      </c>
      <c r="E12" s="160" t="inlineStr">
        <is>
          <t>Medium</t>
        </is>
      </c>
      <c r="F12" s="11" t="inlineStr">
        <is>
          <t>Check không có thông báo khớp tuyến khi ngày giao nhau nhưng buổi không chung</t>
        </is>
      </c>
      <c r="G12" s="11" t="inlineStr">
        <is>
          <t>- Tin OFFER của `SEED-ASN-01` (buổi "Sáng"+"Chiều" — xem sheet `Seed` của chính file này) của tài khoản B đã có sẵn — không seed riêng.
- Host app FoxPro đã cài trên thiết bị Android/iOS.
Test Data: Tin NEED ngày overlap nhưng buổi "Sau giờ làm" không chung với "Sáng"/"Chiều" của OFFER, dùng `SEED-ASN-01` (test_data_catalog §ASN v1.1)</t>
        </is>
      </c>
      <c r="H12" s="11" t="inlineStr">
        <is>
          <t>1. Đăng nhập bằng tài khoản A, đăng 1 tin NEED trùng điểm P1/P2, khoảng ngày có giao nhau với D1-D2 nhưng chỉ chọn buổi "Sau giờ làm" (không có buổi chung với "Sáng"/"Chiều" của tin OFFER, không chọn "Giờ nào cũng được"), rồi đăng xuất. (setup)
2. Đăng nhập bằng tài khoản B, nhấn icon chuông, check danh sách thông báo.</t>
        </is>
      </c>
      <c r="I12" s="11" t="inlineStr">
        <is>
          <t>2. KHÔNG có thông báo khớp tuyến nào trỏ tới tin NEED vừa đăng ở bước 1.</t>
        </is>
      </c>
      <c r="J12" s="160" t="inlineStr">
        <is>
          <t>AI</t>
        </is>
      </c>
      <c r="K12" s="160" t="inlineStr">
        <is>
          <t>Pending</t>
        </is>
      </c>
      <c r="L12" s="160" t="inlineStr">
        <is>
          <t>No</t>
        </is>
      </c>
      <c r="M12" s="160" t="inlineStr"/>
      <c r="N12" s="264" t="inlineStr">
        <is>
          <t>Yes</t>
        </is>
      </c>
      <c r="O12" s="264" t="inlineStr"/>
      <c r="P12" s="264" t="inlineStr">
        <is>
          <t>Pass</t>
        </is>
      </c>
      <c r="Q12" s="264" t="inlineStr">
        <is>
          <t>GiangDC2</t>
        </is>
      </c>
      <c r="R12" s="264" t="inlineStr"/>
      <c r="S12" s="264" t="inlineStr"/>
      <c r="T12" s="264" t="n"/>
      <c r="U12" s="264" t="n"/>
      <c r="V12" s="264" t="n"/>
      <c r="W12" s="264" t="n"/>
      <c r="X12" s="264" t="n"/>
      <c r="Y12" s="264" t="n"/>
      <c r="Z12" s="264" t="n"/>
      <c r="AA12" s="264" t="n"/>
      <c r="AB12" s="264" t="n"/>
      <c r="AC12" s="264" t="n"/>
      <c r="AD12" s="264" t="n"/>
      <c r="AE12" s="264" t="n"/>
      <c r="AF12" s="264" t="n"/>
      <c r="AG12" s="264" t="n"/>
      <c r="AH12" s="264" t="n"/>
      <c r="AI12" s="264" t="n"/>
      <c r="AJ12" s="264" t="n"/>
      <c r="AK12" s="264" t="n"/>
      <c r="AL12" s="264" t="n"/>
      <c r="AM12" s="264" t="n"/>
      <c r="AN12" s="264" t="n"/>
      <c r="AO12" s="264" t="n"/>
      <c r="AP12" s="264" t="n"/>
      <c r="AQ12" s="264" t="n"/>
      <c r="AR12" s="158">
        <f>IF($A12="","",IF(OR($N12="Yes",$T12="Yes",$Z12="Yes",$AF12="Yes",$AL12="Yes"),"Yes","No"))</f>
        <v/>
      </c>
      <c r="AS12" s="158">
        <f>IF($A12="","",IFERROR(IF($AM12&lt;&gt;"",$AM12,IF($AG12&lt;&gt;"",$AG12,IF($AA12&lt;&gt;"",$AA12,IF($U12&lt;&gt;"",$U12,IF($O12&lt;&gt;"",$O12,""))))),""))</f>
        <v/>
      </c>
      <c r="AT12" s="158">
        <f>IFERROR(IF($AN12&lt;&gt;"",$AN12,IF($AH12&lt;&gt;"",$AH12,IF($AB12&lt;&gt;"",$AB12,IF($V12&lt;&gt;"",$V12,IF($P12&lt;&gt;"",$P12,""))))),"")</f>
        <v/>
      </c>
      <c r="AU12" s="265" t="inlineStr">
        <is>
          <t>Mục đích: nhánh (c) — case MỚI của `SC-ASN-011` v1.1, trước đây không tách được vì chưa có định nghĩa buổi độc lập với ngày; phân biệt với nhánh (b) "ngày không overlap". · Căn cứ: `DOC-v1.1-01 §8.4 BR04-01` · `BR04-02`. · Nhãn buổi "Sau giờ làm" theo quan sát demo 3-role 2026-09-17 (QA-obs, chưa phải chốt chính thức).</t>
        </is>
      </c>
    </row>
    <row r="13">
      <c r="A13" s="160">
        <f>IF($F13="","",$C$2&amp;"."&amp;COUNTA($F$7:$F13)&amp;"")</f>
        <v/>
      </c>
      <c r="B13" s="160" t="inlineStr">
        <is>
          <t>REQ-ASN-007</t>
        </is>
      </c>
      <c r="C13" s="160" t="inlineStr">
        <is>
          <t>DOC-v1.1-01</t>
        </is>
      </c>
      <c r="D13" s="160" t="inlineStr">
        <is>
          <t>Functional</t>
        </is>
      </c>
      <c r="E13" s="160" t="inlineStr">
        <is>
          <t>Medium</t>
        </is>
      </c>
      <c r="F13" s="11" t="inlineStr">
        <is>
          <t>Check có thông báo khớp tuyến trong vòng 60 giây khi khớp đầy đủ điều kiện</t>
        </is>
      </c>
      <c r="G13" s="11" t="inlineStr">
        <is>
          <t>- Tin OFFER của `SEED-ASN-01` (buổi "Sáng"+"Chiều" — xem sheet `Seed` của chính file này) của tài khoản B đã có sẵn — không seed riêng.
- Host app FoxPro đã cài trên thiết bị Android/iOS.
Test Data: Tin NEED khớp đầy đủ 3 điều kiện, buổi "Sáng", dùng `SEED-ASN-01`; ngưỡng đo ≤60s (NFR-04) (test_data_catalog §ASN v1.1)</t>
        </is>
      </c>
      <c r="H13" s="11" t="inlineStr">
        <is>
          <t>1. Đăng nhập bằng tài khoản A, đăng 1 tin NEED trùng điểm P1/P2, khoảng ngày có giao nhau với D1-D2 và chọn buổi "Sáng" (có buổi chung với tin OFFER); ghi lại thời điểm đăng, rồi đăng xuất. (setup)
2. Đăng nhập bằng tài khoản B, nhấn icon chuông theo chu kỳ tới khi thấy thông báo hoặc quá 60 giây kể từ thời điểm đã ghi ở bước 1, check nội dung và thời điểm nhận thông báo.</t>
        </is>
      </c>
      <c r="I13" s="11" t="inlineStr">
        <is>
          <t>2. B CÓ nhận thông báo khớp tuyến trỏ tới tin NEED vừa đăng, trong vòng **≤60 giây** kể từ thời điểm đăng ở bước 1.</t>
        </is>
      </c>
      <c r="J13" s="160" t="inlineStr">
        <is>
          <t>AI</t>
        </is>
      </c>
      <c r="K13" s="160" t="inlineStr">
        <is>
          <t>Pending</t>
        </is>
      </c>
      <c r="L13" s="160" t="inlineStr">
        <is>
          <t>No</t>
        </is>
      </c>
      <c r="M13" s="160" t="inlineStr"/>
      <c r="N13" s="264" t="inlineStr">
        <is>
          <t>Yes</t>
        </is>
      </c>
      <c r="O13" s="264" t="inlineStr"/>
      <c r="P13" s="264" t="inlineStr">
        <is>
          <t>Pass</t>
        </is>
      </c>
      <c r="Q13" s="264" t="inlineStr">
        <is>
          <t>GiangDC2</t>
        </is>
      </c>
      <c r="R13" s="264" t="inlineStr"/>
      <c r="S13" s="264" t="inlineStr"/>
      <c r="T13" s="264" t="n"/>
      <c r="U13" s="264" t="n"/>
      <c r="V13" s="264" t="n"/>
      <c r="W13" s="264" t="n"/>
      <c r="X13" s="264" t="n"/>
      <c r="Y13" s="264" t="n"/>
      <c r="Z13" s="264" t="n"/>
      <c r="AA13" s="264" t="n"/>
      <c r="AB13" s="264" t="n"/>
      <c r="AC13" s="264" t="n"/>
      <c r="AD13" s="264" t="n"/>
      <c r="AE13" s="264" t="n"/>
      <c r="AF13" s="264" t="n"/>
      <c r="AG13" s="264" t="n"/>
      <c r="AH13" s="264" t="n"/>
      <c r="AI13" s="264" t="n"/>
      <c r="AJ13" s="264" t="n"/>
      <c r="AK13" s="264" t="n"/>
      <c r="AL13" s="264" t="n"/>
      <c r="AM13" s="264" t="n"/>
      <c r="AN13" s="264" t="n"/>
      <c r="AO13" s="264" t="n"/>
      <c r="AP13" s="264" t="n"/>
      <c r="AQ13" s="264" t="n"/>
      <c r="AR13" s="158">
        <f>IF($A13="","",IF(OR($N13="Yes",$T13="Yes",$Z13="Yes",$AF13="Yes",$AL13="Yes"),"Yes","No"))</f>
        <v/>
      </c>
      <c r="AS13" s="158">
        <f>IF($A13="","",IFERROR(IF($AM13&lt;&gt;"",$AM13,IF($AG13&lt;&gt;"",$AG13,IF($AA13&lt;&gt;"",$AA13,IF($U13&lt;&gt;"",$U13,IF($O13&lt;&gt;"",$O13,""))))),""))</f>
        <v/>
      </c>
      <c r="AT13" s="158">
        <f>IFERROR(IF($AN13&lt;&gt;"",$AN13,IF($AH13&lt;&gt;"",$AH13,IF($AB13&lt;&gt;"",$AB13,IF($V13&lt;&gt;"",$V13,IF($P13&lt;&gt;"",$P13,""))))),"")</f>
        <v/>
      </c>
      <c r="AU13" s="265" t="inlineStr">
        <is>
          <t>Mục đích: nhánh (d) — vế dương đối chứng với 3 nhánh âm (a)(b)(c), gắn thêm ngưỡng định lượng `NFR-04` ≤60s chưa từng assert ở `SC-ASN-009` (CARRIED, chỉ xác nhận CÓ thông báo, không đo thời gian). · Căn cứ: `DOC-v1.1-01 §8.4 BR04-01/02` · `§9 NFR-04`. · Nhãn buổi "Sáng" theo quan sát demo 3-role 2026-09-17 (QA-obs). Demo cũng xác nhận trực tiếp cơ chế sync realtime tồn tại (dùng chéo làm evidence cho `TC-ASN-008`).</t>
        </is>
      </c>
    </row>
    <row r="14">
      <c r="A14" s="160">
        <f>IF($F14="","",$C$2&amp;"."&amp;COUNTA($F$7:$F14)&amp;"")</f>
        <v/>
      </c>
      <c r="B14" s="160" t="inlineStr">
        <is>
          <t>REQ-ASN-008</t>
        </is>
      </c>
      <c r="C14" s="160" t="inlineStr">
        <is>
          <t>DOC-v1.1-01</t>
        </is>
      </c>
      <c r="D14" s="160" t="inlineStr">
        <is>
          <t>Functional</t>
        </is>
      </c>
      <c r="E14" s="160" t="inlineStr">
        <is>
          <t>Medium</t>
        </is>
      </c>
      <c r="F14" s="11" t="inlineStr">
        <is>
          <t>Check tin OFFER có 3 tin NEED khớp nhận đủ 3 thông báo</t>
        </is>
      </c>
      <c r="G14" s="11" t="inlineStr">
        <is>
          <t>- Tài khoản A và B là hai CBNV khác nhau trên STG.
- Host app FoxPro đã cài trên thiết bị Android/iOS.
Test Data: 3 tin NEED khớp tuyến, tự đăng qua UI (test_data_catalog §ASN v1.1, mốc dưới trần)</t>
        </is>
      </c>
      <c r="H14" s="11" t="inlineStr">
        <is>
          <t>1. Đăng nhập bằng tài khoản B, đăng 1 tin OFFER với điểm lấy, điểm giao, khoảng ngày và tập buổi xác định, rồi đăng xuất. (setup)
2. Đăng nhập bằng tài khoản A, đăng đúng 3 tin NEED qua wizard, mỗi tin trùng 2 điểm và giao ngày/buổi với tin OFFER đó, rồi đăng xuất. (setup)
3. Đăng nhập bằng tài khoản B, nhấn icon chuông, đếm số thông báo khớp tuyến của tin OFFER đó.</t>
        </is>
      </c>
      <c r="I14" s="11" t="inlineStr">
        <is>
          <t>3. Có đúng 3 thông báo khớp tuyến cho tin OFFER đó.</t>
        </is>
      </c>
      <c r="J14" s="160" t="inlineStr">
        <is>
          <t>AI</t>
        </is>
      </c>
      <c r="K14" s="160" t="inlineStr">
        <is>
          <t>Pending</t>
        </is>
      </c>
      <c r="L14" s="160" t="inlineStr">
        <is>
          <t>No</t>
        </is>
      </c>
      <c r="M14" s="160" t="inlineStr"/>
      <c r="N14" s="264" t="inlineStr">
        <is>
          <t>Yes</t>
        </is>
      </c>
      <c r="O14" s="264" t="inlineStr"/>
      <c r="P14" s="264" t="inlineStr">
        <is>
          <t>Pass</t>
        </is>
      </c>
      <c r="Q14" s="264" t="inlineStr">
        <is>
          <t>GiangDC2</t>
        </is>
      </c>
      <c r="R14" s="264" t="inlineStr"/>
      <c r="S14" s="264" t="inlineStr"/>
      <c r="T14" s="264" t="n"/>
      <c r="U14" s="264" t="n"/>
      <c r="V14" s="264" t="n"/>
      <c r="W14" s="264" t="n"/>
      <c r="X14" s="264" t="n"/>
      <c r="Y14" s="264" t="n"/>
      <c r="Z14" s="264" t="n"/>
      <c r="AA14" s="264" t="n"/>
      <c r="AB14" s="264" t="n"/>
      <c r="AC14" s="264" t="n"/>
      <c r="AD14" s="264" t="n"/>
      <c r="AE14" s="264" t="n"/>
      <c r="AF14" s="264" t="n"/>
      <c r="AG14" s="264" t="n"/>
      <c r="AH14" s="264" t="n"/>
      <c r="AI14" s="264" t="n"/>
      <c r="AJ14" s="264" t="n"/>
      <c r="AK14" s="264" t="n"/>
      <c r="AL14" s="264" t="n"/>
      <c r="AM14" s="264" t="n"/>
      <c r="AN14" s="264" t="n"/>
      <c r="AO14" s="264" t="n"/>
      <c r="AP14" s="264" t="n"/>
      <c r="AQ14" s="264" t="n"/>
      <c r="AR14" s="158">
        <f>IF($A14="","",IF(OR($N14="Yes",$T14="Yes",$Z14="Yes",$AF14="Yes",$AL14="Yes"),"Yes","No"))</f>
        <v/>
      </c>
      <c r="AS14" s="158">
        <f>IF($A14="","",IFERROR(IF($AM14&lt;&gt;"",$AM14,IF($AG14&lt;&gt;"",$AG14,IF($AA14&lt;&gt;"",$AA14,IF($U14&lt;&gt;"",$U14,IF($O14&lt;&gt;"",$O14,""))))),""))</f>
        <v/>
      </c>
      <c r="AT14" s="158">
        <f>IFERROR(IF($AN14&lt;&gt;"",$AN14,IF($AH14&lt;&gt;"",$AH14,IF($AB14&lt;&gt;"",$AB14,IF($V14&lt;&gt;"",$V14,IF($P14&lt;&gt;"",$P14,""))))),"")</f>
        <v/>
      </c>
      <c r="AU14" s="265" t="inlineStr">
        <is>
          <t>Mục đích: mốc dưới trần trong bộ ba 3/5/6 — xác nhận tài khoản B (người ĐĂNG TUYẾN) là người nhận thông báo và &lt;5 tin thì gửi đúng số đó, đúng kết luận `C-ASN-04(a)(c)`. · Căn cứ: `DOC-v1.1-01 §8.4 BR04-04` (dư) + kết luận BA `C-ASN-04` Resolved 2026-09-17. · Đã sửa theo delta v1.1: đổi test data OFFER sang khoảng ngày + tập buổi, giữ nguyên mốc số 3/5/6 đã BA chốt.</t>
        </is>
      </c>
    </row>
    <row r="15">
      <c r="A15" s="160">
        <f>IF($F15="","",$C$2&amp;"."&amp;COUNTA($F$7:$F15)&amp;"")</f>
        <v/>
      </c>
      <c r="B15" s="160" t="inlineStr">
        <is>
          <t>REQ-ASN-008</t>
        </is>
      </c>
      <c r="C15" s="160" t="inlineStr">
        <is>
          <t>DOC-v1.1-01</t>
        </is>
      </c>
      <c r="D15" s="160" t="inlineStr">
        <is>
          <t>Functional</t>
        </is>
      </c>
      <c r="E15" s="160" t="inlineStr">
        <is>
          <t>Medium</t>
        </is>
      </c>
      <c r="F15" s="11" t="inlineStr">
        <is>
          <t>Check tin OFFER có 5 tin NEED khớp nhận đủ 5 thông báo</t>
        </is>
      </c>
      <c r="G15" s="11" t="inlineStr">
        <is>
          <t>- Tài khoản A và B là hai CBNV khác nhau trên STG.
- Ghi lại số thông báo khớp tuyến TỒN của tài khoản B trước khi seed (baseline), vì trần 5 tính theo tài khoản.
- Host app FoxPro đã cài trên thiết bị Android/iOS.
Test Data: 5 tin NEED khớp tuyến, tự đăng qua UI; ghi baseline thông báo tồn của B (test_data_catalog §ASN v1.1, mốc đúng trần tài khoản)</t>
        </is>
      </c>
      <c r="H15" s="11" t="inlineStr">
        <is>
          <t>1. Đăng nhập bằng tài khoản B, đăng 1 tin OFFER với điểm lấy, điểm giao, khoảng ngày và tập buổi xác định, rồi đăng xuất. (setup)
2. Đăng nhập bằng tài khoản A, đăng đúng 5 tin NEED qua wizard, mỗi tin trùng 2 điểm và giao ngày/buổi với tin OFFER đó, rồi đăng xuất. (setup)
3. Đăng nhập bằng tài khoản B, nhấn icon chuông, đếm số thông báo khớp tuyến của tin OFFER đó và TỔNG số thông báo khớp tuyến của tài khoản B.</t>
        </is>
      </c>
      <c r="I15" s="11" t="inlineStr">
        <is>
          <t>3. Tổng số thông báo khớp tuyến của tài khoản B đúng bằng trần **5** (trần tính theo TÀI KHOẢN, mọi tuyến cộng dồn). Nếu B còn thông báo khớp tuyến tồn từ tin/tuyến khác thì số thông báo MỚI của tin OFFER này = 5 − số thông báo tồn.</t>
        </is>
      </c>
      <c r="J15" s="160" t="inlineStr">
        <is>
          <t>AI</t>
        </is>
      </c>
      <c r="K15" s="160" t="inlineStr">
        <is>
          <t>Pending</t>
        </is>
      </c>
      <c r="L15" s="160" t="inlineStr">
        <is>
          <t>No</t>
        </is>
      </c>
      <c r="M15" s="160" t="inlineStr"/>
      <c r="N15" s="264" t="inlineStr">
        <is>
          <t>Yes</t>
        </is>
      </c>
      <c r="O15" s="264" t="inlineStr"/>
      <c r="P15" s="264" t="inlineStr">
        <is>
          <t>Pass</t>
        </is>
      </c>
      <c r="Q15" s="264" t="inlineStr">
        <is>
          <t>GiangDC2</t>
        </is>
      </c>
      <c r="R15" s="264" t="inlineStr"/>
      <c r="S15" s="264" t="inlineStr"/>
      <c r="T15" s="264" t="n"/>
      <c r="U15" s="264" t="n"/>
      <c r="V15" s="264" t="n"/>
      <c r="W15" s="264" t="n"/>
      <c r="X15" s="264" t="n"/>
      <c r="Y15" s="264" t="n"/>
      <c r="Z15" s="264" t="n"/>
      <c r="AA15" s="264" t="n"/>
      <c r="AB15" s="264" t="n"/>
      <c r="AC15" s="264" t="n"/>
      <c r="AD15" s="264" t="n"/>
      <c r="AE15" s="264" t="n"/>
      <c r="AF15" s="264" t="n"/>
      <c r="AG15" s="264" t="n"/>
      <c r="AH15" s="264" t="n"/>
      <c r="AI15" s="264" t="n"/>
      <c r="AJ15" s="264" t="n"/>
      <c r="AK15" s="264" t="n"/>
      <c r="AL15" s="264" t="n"/>
      <c r="AM15" s="264" t="n"/>
      <c r="AN15" s="264" t="n"/>
      <c r="AO15" s="264" t="n"/>
      <c r="AP15" s="264" t="n"/>
      <c r="AQ15" s="264" t="n"/>
      <c r="AR15" s="158">
        <f>IF($A15="","",IF(OR($N15="Yes",$T15="Yes",$Z15="Yes",$AF15="Yes",$AL15="Yes"),"Yes","No"))</f>
        <v/>
      </c>
      <c r="AS15" s="158">
        <f>IF($A15="","",IFERROR(IF($AM15&lt;&gt;"",$AM15,IF($AG15&lt;&gt;"",$AG15,IF($AA15&lt;&gt;"",$AA15,IF($U15&lt;&gt;"",$U15,IF($O15&lt;&gt;"",$O15,""))))),""))</f>
        <v/>
      </c>
      <c r="AT15" s="158">
        <f>IFERROR(IF($AN15&lt;&gt;"",$AN15,IF($AH15&lt;&gt;"",$AH15,IF($AB15&lt;&gt;"",$AB15,IF($V15&lt;&gt;"",$V15,IF($P15&lt;&gt;"",$P15,""))))),"")</f>
        <v/>
      </c>
      <c r="AU15" s="265" t="inlineStr">
        <is>
          <t>Mục đích: mốc đúng trần — biên hợp lệ, cặp với `TC-ASN-017` (mốc vượt trần). · Căn cứ: `DOC-v1.1-01 §8.4 BR04-04` (dư) + `C-ASN-04` Resolved 2026-09-17. · Đã sửa theo delta v1.1: đổi test data OFFER sang khoảng ngày + tập buổi. · ✏️ Sửa 2026-09-21 (QC GiangDC2 recheck — KHÔNG phải bug): trần 5 thông báo khớp tuyến tính theo TÀI KHOẢN, mọi tuyến cộng dồn, ⛔ không phải theo từng tuyến. Căn cứ đo: VR-010 (5 tin NEED khớp → 4 thông báo mới + 1 tồn = 5). ✅ BA đã xác nhận lại 2026-09-21 (QC GiangDC2 báo lại, chưa có văn bản): trần tính theo TÀI KHOẢN — thay kết luận cũ `C-ASN-04(e)` (2026-09-17: độc lập theo từng tuyến).</t>
        </is>
      </c>
    </row>
    <row r="16">
      <c r="A16" s="160">
        <f>IF($F16="","",$C$2&amp;"."&amp;COUNTA($F$7:$F16)&amp;"")</f>
        <v/>
      </c>
      <c r="B16" s="160" t="inlineStr">
        <is>
          <t>REQ-ASN-008</t>
        </is>
      </c>
      <c r="C16" s="160" t="inlineStr">
        <is>
          <t>DOC-v1.1-01</t>
        </is>
      </c>
      <c r="D16" s="160" t="inlineStr">
        <is>
          <t>Functional</t>
        </is>
      </c>
      <c r="E16" s="160" t="inlineStr">
        <is>
          <t>Medium</t>
        </is>
      </c>
      <c r="F16" s="11" t="inlineStr">
        <is>
          <t>Check tin NEED khớp thứ 6 không sinh thêm thông báo khi tuyến đã đủ trần 5</t>
        </is>
      </c>
      <c r="G16" s="11" t="inlineStr">
        <is>
          <t>- Tài khoản A và B là hai CBNV khác nhau trên STG.
- Host app FoxPro đã cài trên thiết bị Android/iOS.
Test Data: 6 tin NEED khớp cùng 1 tuyến OFFER, tự đăng qua UI (test_data_catalog §ASN v1.1, mốc vượt trần)</t>
        </is>
      </c>
      <c r="H16" s="11" t="inlineStr">
        <is>
          <t>1. Đăng nhập bằng tài khoản B, đăng 1 tin OFFER với điểm lấy, điểm giao, khoảng ngày và tập buổi xác định. (setup)
2. Đăng nhập bằng tài khoản A, đăng đúng 5 tin NEED qua wizard, mỗi tin trùng 2 điểm và giao ngày/buổi với tin OFFER đó. (setup)
3. Đăng nhập bằng tài khoản B, nhấn icon chuông và ghi lại số thông báo khớp tuyến hiện có. (setup)
4. Đăng nhập lại tài khoản A, đăng thêm 1 tin NEED thứ 6 cũng trùng 2 điểm và giao ngày/buổi với tin OFFER đó, rồi đăng xuất. (setup)
5. Đăng nhập tài khoản B, nhấn icon chuông, đếm lại số thông báo khớp tuyến của tin OFFER đó.</t>
        </is>
      </c>
      <c r="I16" s="11" t="inlineStr">
        <is>
          <t>5. Số thông báo khớp tuyến vẫn bằng số đã ghi ở bước 3; KHÔNG có thông báo mới cho tin NEED thứ 6.</t>
        </is>
      </c>
      <c r="J16" s="160" t="inlineStr">
        <is>
          <t>AI</t>
        </is>
      </c>
      <c r="K16" s="160" t="inlineStr">
        <is>
          <t>Pending</t>
        </is>
      </c>
      <c r="L16" s="160" t="inlineStr">
        <is>
          <t>No</t>
        </is>
      </c>
      <c r="M16" s="160" t="inlineStr"/>
      <c r="N16" s="264" t="inlineStr">
        <is>
          <t>Yes</t>
        </is>
      </c>
      <c r="O16" s="264" t="inlineStr"/>
      <c r="P16" s="264" t="inlineStr">
        <is>
          <t>Pass</t>
        </is>
      </c>
      <c r="Q16" s="264" t="inlineStr">
        <is>
          <t>GiangDC2</t>
        </is>
      </c>
      <c r="R16" s="264" t="inlineStr"/>
      <c r="S16" s="264" t="inlineStr"/>
      <c r="T16" s="264" t="n"/>
      <c r="U16" s="264" t="n"/>
      <c r="V16" s="264" t="n"/>
      <c r="W16" s="264" t="n"/>
      <c r="X16" s="264" t="n"/>
      <c r="Y16" s="264" t="n"/>
      <c r="Z16" s="264" t="n"/>
      <c r="AA16" s="264" t="n"/>
      <c r="AB16" s="264" t="n"/>
      <c r="AC16" s="264" t="n"/>
      <c r="AD16" s="264" t="n"/>
      <c r="AE16" s="264" t="n"/>
      <c r="AF16" s="264" t="n"/>
      <c r="AG16" s="264" t="n"/>
      <c r="AH16" s="264" t="n"/>
      <c r="AI16" s="264" t="n"/>
      <c r="AJ16" s="264" t="n"/>
      <c r="AK16" s="264" t="n"/>
      <c r="AL16" s="264" t="n"/>
      <c r="AM16" s="264" t="n"/>
      <c r="AN16" s="264" t="n"/>
      <c r="AO16" s="264" t="n"/>
      <c r="AP16" s="264" t="n"/>
      <c r="AQ16" s="264" t="n"/>
      <c r="AR16" s="158">
        <f>IF($A16="","",IF(OR($N16="Yes",$T16="Yes",$Z16="Yes",$AF16="Yes",$AL16="Yes"),"Yes","No"))</f>
        <v/>
      </c>
      <c r="AS16" s="158">
        <f>IF($A16="","",IFERROR(IF($AM16&lt;&gt;"",$AM16,IF($AG16&lt;&gt;"",$AG16,IF($AA16&lt;&gt;"",$AA16,IF($U16&lt;&gt;"",$U16,IF($O16&lt;&gt;"",$O16,""))))),""))</f>
        <v/>
      </c>
      <c r="AT16" s="158">
        <f>IFERROR(IF($AN16&lt;&gt;"",$AN16,IF($AH16&lt;&gt;"",$AH16,IF($AB16&lt;&gt;"",$AB16,IF($V16&lt;&gt;"",$V16,IF($P16&lt;&gt;"",$P16,""))))),"")</f>
        <v/>
      </c>
      <c r="AU16" s="265" t="inlineStr">
        <is>
          <t>Mục đích: mốc vượt trần — xác nhận rule `C-ASN-04(d)`: tuyến ĐÃ đủ 5 thì KHÔNG gửi thêm cho tin mới. · Căn cứ: `DOC-v1.1-01 §8.4 BR04-04` (dư) + `C-ASN-04` Resolved 2026-09-17. ⛔ Trần KHÔNG cộng dồn theo ngày; nếu app chặn theo ngày ⇒ FAIL và log bug.</t>
        </is>
      </c>
    </row>
    <row r="17">
      <c r="A17" s="160">
        <f>IF($F17="","",$C$2&amp;"."&amp;COUNTA($F$7:$F17)&amp;"")</f>
        <v/>
      </c>
      <c r="B17" s="160" t="inlineStr">
        <is>
          <t>REQ-ASN-008</t>
        </is>
      </c>
      <c r="C17" s="160" t="inlineStr">
        <is>
          <t>DOC-v1.1-01</t>
        </is>
      </c>
      <c r="D17" s="160" t="inlineStr">
        <is>
          <t>Functional</t>
        </is>
      </c>
      <c r="E17" s="160" t="inlineStr">
        <is>
          <t>Medium</t>
        </is>
      </c>
      <c r="F17" s="11" t="inlineStr">
        <is>
          <t>Check mỗi tuyến OFFER có trần 5 thông báo độc lập, không cộng dồn</t>
        </is>
      </c>
      <c r="G17" s="11" t="inlineStr">
        <is>
          <t>- Tài khoản B đã đăng đủ 5 tin NEED khớp cho tuyến OFFER thứ nhất và đã nhận đủ 5 thông báo (tổng thông báo khớp tuyến của B = 5, đã chạm trần tài khoản) (tái dùng seed của `TC-ASN-016`) — không seed riêng.
- Host app FoxPro đã cài trên thiết bị Android/iOS.
Test Data: 2 tuyến OFFER của cùng tài khoản B, dùng chung 1 trần 5 theo tài khoản (test_data_catalog §ASN v1.1)</t>
        </is>
      </c>
      <c r="H17" s="11" t="inlineStr">
        <is>
          <t>1. Đăng nhập tài khoản B, đăng thêm 1 tin OFFER thứ hai với tuyến khác (P3→P4), rồi đăng xuất. (setup)
2. Đăng nhập tài khoản A, đăng 1 tin NEED trùng tuyến P3→P4 (ngày/buổi giao nhau với tuyến thứ hai), rồi đăng xuất. (setup)
3. Đăng nhập tài khoản B, nhấn icon chuông, check thông báo của riêng tuyến thứ hai (P3→P4) và tổng số thông báo hiện có.</t>
        </is>
      </c>
      <c r="I17" s="11" t="inlineStr">
        <is>
          <t>3. Tuyến thứ hai (P3→P4) KHÔNG nhận thông báo mới vì tài khoản B đã đạt trần 5 (trần tính theo TÀI KHOẢN, tuyến thứ hai không có slot riêng); tổng số thông báo khớp tuyến của B vẫn bằng 5.</t>
        </is>
      </c>
      <c r="J17" s="160" t="inlineStr">
        <is>
          <t>AI</t>
        </is>
      </c>
      <c r="K17" s="160" t="inlineStr">
        <is>
          <t>Pending</t>
        </is>
      </c>
      <c r="L17" s="160" t="inlineStr">
        <is>
          <t>No</t>
        </is>
      </c>
      <c r="M17" s="160" t="inlineStr"/>
      <c r="N17" s="264" t="inlineStr">
        <is>
          <t>Yes</t>
        </is>
      </c>
      <c r="O17" s="264" t="inlineStr"/>
      <c r="P17" s="264" t="inlineStr">
        <is>
          <t>Pass</t>
        </is>
      </c>
      <c r="Q17" s="264" t="inlineStr">
        <is>
          <t>GiangDC2</t>
        </is>
      </c>
      <c r="R17" s="264" t="inlineStr"/>
      <c r="S17" s="264" t="inlineStr"/>
      <c r="T17" s="264" t="n"/>
      <c r="U17" s="264" t="n"/>
      <c r="V17" s="264" t="n"/>
      <c r="W17" s="264" t="n"/>
      <c r="X17" s="264" t="n"/>
      <c r="Y17" s="264" t="n"/>
      <c r="Z17" s="264" t="n"/>
      <c r="AA17" s="264" t="n"/>
      <c r="AB17" s="264" t="n"/>
      <c r="AC17" s="264" t="n"/>
      <c r="AD17" s="264" t="n"/>
      <c r="AE17" s="264" t="n"/>
      <c r="AF17" s="264" t="n"/>
      <c r="AG17" s="264" t="n"/>
      <c r="AH17" s="264" t="n"/>
      <c r="AI17" s="264" t="n"/>
      <c r="AJ17" s="264" t="n"/>
      <c r="AK17" s="264" t="n"/>
      <c r="AL17" s="264" t="n"/>
      <c r="AM17" s="264" t="n"/>
      <c r="AN17" s="264" t="n"/>
      <c r="AO17" s="264" t="n"/>
      <c r="AP17" s="264" t="n"/>
      <c r="AQ17" s="264" t="n"/>
      <c r="AR17" s="158">
        <f>IF($A17="","",IF(OR($N17="Yes",$T17="Yes",$Z17="Yes",$AF17="Yes",$AL17="Yes"),"Yes","No"))</f>
        <v/>
      </c>
      <c r="AS17" s="158">
        <f>IF($A17="","",IFERROR(IF($AM17&lt;&gt;"",$AM17,IF($AG17&lt;&gt;"",$AG17,IF($AA17&lt;&gt;"",$AA17,IF($U17&lt;&gt;"",$U17,IF($O17&lt;&gt;"",$O17,""))))),""))</f>
        <v/>
      </c>
      <c r="AT17" s="158">
        <f>IFERROR(IF($AN17&lt;&gt;"",$AN17,IF($AH17&lt;&gt;"",$AH17,IF($AB17&lt;&gt;"",$AB17,IF($V17&lt;&gt;"",$V17,IF($P17&lt;&gt;"",$P17,""))))),"")</f>
        <v/>
      </c>
      <c r="AU17" s="265" t="inlineStr">
        <is>
          <t>Mục đích: xác nhận `C-ASN-04(e)` — trần ĐỘC LẬP theo từng tuyến (mỗi lần đăng "Tôi nhận giao hàng"); rủi ro thật nếu backend dùng chung 1 bộ đếm cho cả tài khoản. · Căn cứ: kết luận BA `C-ASN-04(e)`, `risk_assessment.md` Resolved 2026-09-17. · ✏️ Sửa 2026-09-21 (QC GiangDC2 recheck — KHÔNG phải bug): ĐẢO kỳ vọng — trần 5 tính theo TÀI KHOẢN nên tuyến thứ hai KHÔNG có slot riêng. Căn cứ đo: VR-010 (OFFER tuyến 2 + 1 tin NEED khớp, tổng vẫn 5, 0 thông báo mới). ✅ BA đã xác nhận lại 2026-09-21 (QC GiangDC2 báo lại, chưa có văn bản): trần tính theo TÀI KHOẢN — thay kết luận cũ `C-ASN-04(e)` (2026-09-17: độc lập theo từng tuyến). ⚠️ `Test Title` giữ nguyên (§10.5 không cho đổi tiêu đề) nên tiêu đề CŨ ('độc lập, không cộng dồn') mô tả rule BA cũ — đọc theo Expected.</t>
        </is>
      </c>
    </row>
    <row r="18">
      <c r="A18" s="160">
        <f>IF($F18="","",$C$2&amp;"."&amp;COUNTA($F$7:$F18)&amp;"")</f>
        <v/>
      </c>
      <c r="B18" s="160" t="inlineStr">
        <is>
          <t>REQ-ASN-009</t>
        </is>
      </c>
      <c r="C18" s="160" t="inlineStr">
        <is>
          <t>DOC-v1.1-01</t>
        </is>
      </c>
      <c r="D18" s="160" t="inlineStr">
        <is>
          <t>Functional</t>
        </is>
      </c>
      <c r="E18" s="160" t="inlineStr">
        <is>
          <t>Low</t>
        </is>
      </c>
      <c r="F18" s="11" t="inlineStr">
        <is>
          <t>Check danh sách gợi ý ưu tiên tin trùng tuyến trước, thời gian đăng sau</t>
        </is>
      </c>
      <c r="G18" s="11" t="inlineStr">
        <is>
          <t>- Tài khoản B đã đăng 1 tin OFFER (điểm P1→P2, khoảng ngày D1-D2, tập buổi S).
- Host app FoxPro đã cài trên thiết bị Android/iOS.
Test Data: 2 tin trùng tuyến ở 2 thời điểm + 1 tin không trùng tuyến đăng sớm nhất (test_data_catalog §ASN v1.1)</t>
        </is>
      </c>
      <c r="H18" s="11" t="inlineStr">
        <is>
          <t>1. Đăng nhập tài khoản A, đăng 1 tin NEED KHÔNG trùng tuyến của B (điểm khác) nhưng đăng SỚM NHẤT trong 3 tin, ghi lại thời điểm. (setup)
2. Vẫn tài khoản A, đăng tin NEED thứ hai trùng tuyến P1/P2 với B (ngày/buổi giao nhau), ghi lại thời điểm. (setup)
3. Vẫn tài khoản A, đăng tin NEED thứ ba cũng trùng tuyến P1/P2 với B, đăng sau tin thứ hai ít nhất 1 phút, ghi lại thời điểm, rồi đăng xuất. (setup)
4. Đăng nhập tài khoản B, nhấn icon chuông, ghi lại thứ tự 3 thông báo/gợi ý từ trên xuống, đối chiếu với 3 thời điểm đã ghi.</t>
        </is>
      </c>
      <c r="I18" s="11" t="inlineStr">
        <is>
          <t>4. Tin thứ hai và tin thứ ba (trùng tuyến) đều xếp TRƯỚC tin thứ nhất (không trùng tuyến) dù tin thứ nhất đăng sớm nhất; giữa tin thứ hai và tin thứ ba, tin thứ ba (đăng sau) xếp trước tin thứ hai.</t>
        </is>
      </c>
      <c r="J18" s="160" t="inlineStr">
        <is>
          <t>AI</t>
        </is>
      </c>
      <c r="K18" s="160" t="inlineStr">
        <is>
          <t>Pending</t>
        </is>
      </c>
      <c r="L18" s="160" t="inlineStr">
        <is>
          <t>No</t>
        </is>
      </c>
      <c r="M18" s="160" t="inlineStr"/>
      <c r="N18" s="264" t="inlineStr">
        <is>
          <t>Yes</t>
        </is>
      </c>
      <c r="O18" s="264" t="inlineStr"/>
      <c r="P18" s="264" t="inlineStr">
        <is>
          <t>Pass</t>
        </is>
      </c>
      <c r="Q18" s="264" t="inlineStr">
        <is>
          <t>GiangDC2</t>
        </is>
      </c>
      <c r="R18" s="264" t="inlineStr"/>
      <c r="S18" s="264" t="inlineStr"/>
      <c r="T18" s="264" t="n"/>
      <c r="U18" s="264" t="n"/>
      <c r="V18" s="264" t="n"/>
      <c r="W18" s="264" t="n"/>
      <c r="X18" s="264" t="n"/>
      <c r="Y18" s="264" t="n"/>
      <c r="Z18" s="264" t="n"/>
      <c r="AA18" s="264" t="n"/>
      <c r="AB18" s="264" t="n"/>
      <c r="AC18" s="264" t="n"/>
      <c r="AD18" s="264" t="n"/>
      <c r="AE18" s="264" t="n"/>
      <c r="AF18" s="264" t="n"/>
      <c r="AG18" s="264" t="n"/>
      <c r="AH18" s="264" t="n"/>
      <c r="AI18" s="264" t="n"/>
      <c r="AJ18" s="264" t="n"/>
      <c r="AK18" s="264" t="n"/>
      <c r="AL18" s="264" t="n"/>
      <c r="AM18" s="264" t="n"/>
      <c r="AN18" s="264" t="n"/>
      <c r="AO18" s="264" t="n"/>
      <c r="AP18" s="264" t="n"/>
      <c r="AQ18" s="264" t="n"/>
      <c r="AR18" s="158">
        <f>IF($A18="","",IF(OR($N18="Yes",$T18="Yes",$Z18="Yes",$AF18="Yes",$AL18="Yes"),"Yes","No"))</f>
        <v/>
      </c>
      <c r="AS18" s="158">
        <f>IF($A18="","",IFERROR(IF($AM18&lt;&gt;"",$AM18,IF($AG18&lt;&gt;"",$AG18,IF($AA18&lt;&gt;"",$AA18,IF($U18&lt;&gt;"",$U18,IF($O18&lt;&gt;"",$O18,""))))),""))</f>
        <v/>
      </c>
      <c r="AT18" s="158">
        <f>IFERROR(IF($AN18&lt;&gt;"",$AN18,IF($AH18&lt;&gt;"",$AH18,IF($AB18&lt;&gt;"",$AB18,IF($V18&lt;&gt;"",$V18,IF($P18&lt;&gt;"",$P18,""))))),"")</f>
        <v/>
      </c>
      <c r="AU18" s="265" t="inlineStr">
        <is>
          <t>Mục đích: làm rõ (không phải đảo) — độ gần tuyến vẫn là tầng ưu tiên số 1 (nhị phân), thời gian đăng chỉ là tầng 2 khi cùng trùng tuyến; v1.0 chỉ test được tầng 2, thiếu vế tầng 1 vs tin không trùng tuyến. · Căn cứ: `DOC-v1.1-01 §8.3 BR03-06`. · Đã sửa theo delta v1.1 (2026-09-15): thêm tin không-trùng-tuyến để kiểm chứng tầng 1.</t>
        </is>
      </c>
    </row>
    <row r="19">
      <c r="A19" s="160">
        <f>IF($F19="","",$C$2&amp;"."&amp;COUNTA($F$7:$F19)&amp;"")</f>
        <v/>
      </c>
      <c r="B19" s="160" t="inlineStr">
        <is>
          <t>REQ-ASN-013</t>
        </is>
      </c>
      <c r="C19" s="160" t="inlineStr">
        <is>
          <t>DOC-v1.1-01</t>
        </is>
      </c>
      <c r="D19" s="160" t="inlineStr">
        <is>
          <t>Functional</t>
        </is>
      </c>
      <c r="E19" s="160" t="inlineStr">
        <is>
          <t>Medium</t>
        </is>
      </c>
      <c r="F19" s="11" t="inlineStr">
        <is>
          <t>Check request đọc tin OFFER qua API bởi người ngoài bị chặn và ghi audit log</t>
        </is>
      </c>
      <c r="G19" s="11" t="inlineStr">
        <is>
          <t>- Tin OFFER đang `POSTED` của tài khoản B (không phải sở hữu của tài khoản D).
- Có sẵn công cụ gọi API trực tiếp (vd Postman) với token hợp lệ của tài khoản D, biết endpoint đọc chi tiết tin OFFER.
Test Data: Tin OFFER của B; token tài khoản D không sở hữu tin đó (test_data_catalog §ASN v1.1)</t>
        </is>
      </c>
      <c r="H19" s="11" t="inlineStr">
        <is>
          <t>1. Dùng công cụ API, gọi endpoint đọc chi tiết tin OFFER đó bằng token của tài khoản D. (setup)
2. Check response trả về và hệ thống ghi audit log.</t>
        </is>
      </c>
      <c r="I19" s="11" t="inlineStr">
        <is>
          <t>2. Request bị chặn (không trả dữ liệu tin OFFER); hệ thống ghi thêm đúng 1 dòng audit log ghi nhận request trái phép này (tài khoản D, thời điểm, tin OFFER mục tiêu).</t>
        </is>
      </c>
      <c r="J19" s="160" t="inlineStr">
        <is>
          <t>AI</t>
        </is>
      </c>
      <c r="K19" s="160" t="inlineStr">
        <is>
          <t>Pending</t>
        </is>
      </c>
      <c r="L19" s="160" t="inlineStr">
        <is>
          <t>No</t>
        </is>
      </c>
      <c r="M19" s="160" t="inlineStr"/>
      <c r="N19" s="264" t="inlineStr">
        <is>
          <t>Yes</t>
        </is>
      </c>
      <c r="O19" s="264" t="inlineStr"/>
      <c r="P19" s="264" t="inlineStr">
        <is>
          <t>Block</t>
        </is>
      </c>
      <c r="Q19" s="264" t="inlineStr">
        <is>
          <t>GiangDC2</t>
        </is>
      </c>
      <c r="R19" s="264" t="inlineStr"/>
      <c r="S19" s="264" t="inlineStr"/>
      <c r="T19" s="264" t="n"/>
      <c r="U19" s="264" t="n"/>
      <c r="V19" s="264" t="n"/>
      <c r="W19" s="264" t="n"/>
      <c r="X19" s="264" t="n"/>
      <c r="Y19" s="264" t="n"/>
      <c r="Z19" s="264" t="n"/>
      <c r="AA19" s="264" t="n"/>
      <c r="AB19" s="264" t="n"/>
      <c r="AC19" s="264" t="n"/>
      <c r="AD19" s="264" t="n"/>
      <c r="AE19" s="264" t="n"/>
      <c r="AF19" s="264" t="n"/>
      <c r="AG19" s="264" t="n"/>
      <c r="AH19" s="264" t="n"/>
      <c r="AI19" s="264" t="n"/>
      <c r="AJ19" s="264" t="n"/>
      <c r="AK19" s="264" t="n"/>
      <c r="AL19" s="264" t="n"/>
      <c r="AM19" s="264" t="n"/>
      <c r="AN19" s="264" t="n"/>
      <c r="AO19" s="264" t="n"/>
      <c r="AP19" s="264" t="n"/>
      <c r="AQ19" s="264" t="n"/>
      <c r="AR19" s="158">
        <f>IF($A19="","",IF(OR($N19="Yes",$T19="Yes",$Z19="Yes",$AF19="Yes",$AL19="Yes"),"Yes","No"))</f>
        <v/>
      </c>
      <c r="AS19" s="158">
        <f>IF($A19="","",IFERROR(IF($AM19&lt;&gt;"",$AM19,IF($AG19&lt;&gt;"",$AG19,IF($AA19&lt;&gt;"",$AA19,IF($U19&lt;&gt;"",$U19,IF($O19&lt;&gt;"",$O19,""))))),""))</f>
        <v/>
      </c>
      <c r="AT19" s="158">
        <f>IFERROR(IF($AN19&lt;&gt;"",$AN19,IF($AH19&lt;&gt;"",$AH19,IF($AB19&lt;&gt;"",$AB19,IF($V19&lt;&gt;"",$V19,IF($P19&lt;&gt;"",$P19,""))))),"")</f>
        <v/>
      </c>
      <c r="AU19" s="265" t="inlineStr">
        <is>
          <t>Mục đích: mở rộng `BR03-05`/`SC-ASN-007` (ẩn trên UI) sang tầng API — kiểm tra quyền phải ở tầng máy chủ, không chỉ ẩn giao diện. · Căn cứ: `DOC-v1.1-01 §9 NFR-11`. ⚠️ Cần công cụ gọi API trực tiếp (Postman/tương đương) — UI không có đường dẫn tới tin OFFER của người khác nên không chạy được bằng thao tác UI thuần. Giao automation/backend/security test.</t>
        </is>
      </c>
    </row>
    <row r="20">
      <c r="A20" s="160">
        <f>IF($F20="","",$C$2&amp;"."&amp;COUNTA($F$7:$F20)&amp;"")</f>
        <v/>
      </c>
      <c r="B20" s="160" t="inlineStr">
        <is>
          <t>REQ-ASN-001</t>
        </is>
      </c>
      <c r="C20" s="160" t="inlineStr">
        <is>
          <t>DOC-v1.0-01 · DOC-v1.0-02</t>
        </is>
      </c>
      <c r="D20" s="160" t="inlineStr">
        <is>
          <t>Functional</t>
        </is>
      </c>
      <c r="E20" s="160" t="inlineStr">
        <is>
          <t>High</t>
        </is>
      </c>
      <c r="F20" s="11" t="inlineStr">
        <is>
          <t>Check Carrier xác nhận "Tôi mang giúp được" đưa đơn sang trạng thái "Đã ghép"</t>
        </is>
      </c>
      <c r="G20" s="11" t="inlineStr">
        <is>
          <t>Hai tài khoản CBNV trên STG (A chủ tin, B Carrier).
Test Data: 1 tin NEED `POSTED` của tài khoản khác (test_data_catalog §ASN)</t>
        </is>
      </c>
      <c r="H20" s="11" t="inlineStr">
        <is>
          <t>1. Đăng nhập bằng tài khoản A, đăng 1 tin NEED qua wizard "+ Đăng tin" rồi đăng xuất. (setup)
2. Đăng nhập bằng tài khoản B, nhấn tab "Bảng tin" và nhấn tin của A.
3. Nhấn "Tôi mang giúp được".
4. Nhấn "Xác nhận" trên modal.
5. Nhấn tab "Hoạt động" và check card của đơn vừa nhận.</t>
        </is>
      </c>
      <c r="I20" s="11" t="inlineStr">
        <is>
          <t>4. Mở màn Theo dõi đơn của đơn vừa nhận.
5. Card đơn hiển thị badge "Đã ghép" và tài khoản B ở vai người vận chuyển.</t>
        </is>
      </c>
      <c r="J20" s="160" t="inlineStr">
        <is>
          <t>AI</t>
        </is>
      </c>
      <c r="K20" s="160" t="inlineStr">
        <is>
          <t>Pending</t>
        </is>
      </c>
      <c r="L20" s="160" t="inlineStr">
        <is>
          <t>No</t>
        </is>
      </c>
      <c r="M20" s="160" t="inlineStr"/>
      <c r="N20" s="264" t="inlineStr">
        <is>
          <t>Yes</t>
        </is>
      </c>
      <c r="O20" s="264" t="inlineStr"/>
      <c r="P20" s="264" t="inlineStr">
        <is>
          <t>Pass</t>
        </is>
      </c>
      <c r="Q20" s="264" t="inlineStr">
        <is>
          <t>GiangDC2</t>
        </is>
      </c>
      <c r="R20" s="264" t="inlineStr"/>
      <c r="S20" s="264" t="inlineStr"/>
      <c r="T20" s="264" t="n"/>
      <c r="U20" s="264" t="n"/>
      <c r="V20" s="264" t="n"/>
      <c r="W20" s="264" t="n"/>
      <c r="X20" s="264" t="n"/>
      <c r="Y20" s="264" t="n"/>
      <c r="Z20" s="264" t="n"/>
      <c r="AA20" s="264" t="n"/>
      <c r="AB20" s="264" t="n"/>
      <c r="AC20" s="264" t="n"/>
      <c r="AD20" s="264" t="n"/>
      <c r="AE20" s="264" t="n"/>
      <c r="AF20" s="264" t="n"/>
      <c r="AG20" s="264" t="n"/>
      <c r="AH20" s="264" t="n"/>
      <c r="AI20" s="264" t="n"/>
      <c r="AJ20" s="264" t="n"/>
      <c r="AK20" s="264" t="n"/>
      <c r="AL20" s="264" t="n"/>
      <c r="AM20" s="264" t="n"/>
      <c r="AN20" s="264" t="n"/>
      <c r="AO20" s="264" t="n"/>
      <c r="AP20" s="264" t="n"/>
      <c r="AQ20" s="264" t="n"/>
      <c r="AR20" s="158">
        <f>IF($A20="","",IF(OR($N20="Yes",$T20="Yes",$Z20="Yes",$AF20="Yes",$AL20="Yes"),"Yes","No"))</f>
        <v/>
      </c>
      <c r="AS20" s="158">
        <f>IF($A20="","",IFERROR(IF($AM20&lt;&gt;"",$AM20,IF($AG20&lt;&gt;"",$AG20,IF($AA20&lt;&gt;"",$AA20,IF($U20&lt;&gt;"",$U20,IF($O20&lt;&gt;"",$O20,""))))),""))</f>
        <v/>
      </c>
      <c r="AT20" s="158">
        <f>IFERROR(IF($AN20&lt;&gt;"",$AN20,IF($AH20&lt;&gt;"",$AH20,IF($AB20&lt;&gt;"",$AB20,IF($V20&lt;&gt;"",$V20,IF($P20&lt;&gt;"",$P20,""))))),"")</f>
        <v/>
      </c>
      <c r="AU20" s="265" t="inlineStr">
        <is>
          <t>Căn cứ: `BR-CON-01` §A5 L77 — transition duy nhất của module là `POSTED` → `MATCHED`.</t>
        </is>
      </c>
    </row>
    <row r="21" ht="15.75" customHeight="1" s="216">
      <c r="A21" s="160">
        <f>IF($F21="","",$C$2&amp;"."&amp;COUNTA($F$7:$F21)&amp;"")</f>
        <v/>
      </c>
      <c r="B21" s="160" t="inlineStr">
        <is>
          <t>REQ-ASN-001</t>
        </is>
      </c>
      <c r="C21" s="160" t="inlineStr">
        <is>
          <t>DOC-v1.0-02</t>
        </is>
      </c>
      <c r="D21" s="160" t="inlineStr">
        <is>
          <t>Functional</t>
        </is>
      </c>
      <c r="E21" s="160" t="inlineStr">
        <is>
          <t>Medium</t>
        </is>
      </c>
      <c r="F21" s="11" t="inlineStr">
        <is>
          <t>Check nhấn "Huỷ" trên modal xác nhận giữ đơn ở "Chờ ghép" và không lộ SĐT</t>
        </is>
      </c>
      <c r="G21" s="11" t="inlineStr">
        <is>
          <t>Hai tài khoản CBNV trên STG (A chủ tin, B Carrier).
Test Data: 1 tin NEED `POSTED` (test_data_catalog §ASN)</t>
        </is>
      </c>
      <c r="H21" s="11" t="inlineStr">
        <is>
          <t>1. Đăng nhập bằng tài khoản A, đăng 1 tin NEED rồi đăng xuất. (setup)
2. Đăng nhập bằng tài khoản B, nhấn tab "Bảng tin" và nhấn tin của A.
3. Nhấn "Tôi mang giúp được".
4. Nhấn "Huỷ" trên modal.
5. Check cụm "Người gửi" và nút CTA trên màn Chi tiết tin.</t>
        </is>
      </c>
      <c r="I21" s="11" t="inlineStr">
        <is>
          <t>4. Modal đóng, vẫn ở màn Chi tiết tin.
5. Cụm "Người gửi" KHÔNG hiển thị số điện thoại; nút "Tôi mang giúp được" vẫn hiển thị và đơn vẫn ở trạng thái "Chờ ghép".</t>
        </is>
      </c>
      <c r="J21" s="160" t="inlineStr">
        <is>
          <t>AI</t>
        </is>
      </c>
      <c r="K21" s="160" t="inlineStr">
        <is>
          <t>Pending</t>
        </is>
      </c>
      <c r="L21" s="160" t="inlineStr">
        <is>
          <t>No</t>
        </is>
      </c>
      <c r="M21" s="160" t="inlineStr"/>
      <c r="N21" s="264" t="inlineStr">
        <is>
          <t>Yes</t>
        </is>
      </c>
      <c r="O21" s="264" t="inlineStr"/>
      <c r="P21" s="264" t="inlineStr">
        <is>
          <t>Pass</t>
        </is>
      </c>
      <c r="Q21" s="264" t="inlineStr">
        <is>
          <t>GiangDC2</t>
        </is>
      </c>
      <c r="R21" s="264" t="inlineStr"/>
      <c r="S21" s="264" t="inlineStr"/>
      <c r="T21" s="264" t="n"/>
      <c r="U21" s="264" t="n"/>
      <c r="V21" s="264" t="n"/>
      <c r="W21" s="264" t="n"/>
      <c r="X21" s="264" t="n"/>
      <c r="Y21" s="264" t="n"/>
      <c r="Z21" s="264" t="n"/>
      <c r="AA21" s="264" t="n"/>
      <c r="AB21" s="264" t="n"/>
      <c r="AC21" s="264" t="n"/>
      <c r="AD21" s="264" t="n"/>
      <c r="AE21" s="264" t="n"/>
      <c r="AF21" s="264" t="n"/>
      <c r="AG21" s="264" t="n"/>
      <c r="AH21" s="264" t="n"/>
      <c r="AI21" s="264" t="n"/>
      <c r="AJ21" s="264" t="n"/>
      <c r="AK21" s="264" t="n"/>
      <c r="AL21" s="264" t="n"/>
      <c r="AM21" s="264" t="n"/>
      <c r="AN21" s="264" t="n"/>
      <c r="AO21" s="264" t="n"/>
      <c r="AP21" s="264" t="n"/>
      <c r="AQ21" s="264" t="n"/>
      <c r="AR21" s="158">
        <f>IF($A21="","",IF(OR($N21="Yes",$T21="Yes",$Z21="Yes",$AF21="Yes",$AL21="Yes"),"Yes","No"))</f>
        <v/>
      </c>
      <c r="AS21" s="158">
        <f>IF($A21="","",IFERROR(IF($AM21&lt;&gt;"",$AM21,IF($AG21&lt;&gt;"",$AG21,IF($AA21&lt;&gt;"",$AA21,IF($U21&lt;&gt;"",$U21,IF($O21&lt;&gt;"",$O21,""))))),""))</f>
        <v/>
      </c>
      <c r="AT21" s="158">
        <f>IFERROR(IF($AN21&lt;&gt;"",$AN21,IF($AH21&lt;&gt;"",$AH21,IF($AB21&lt;&gt;"",$AB21,IF($V21&lt;&gt;"",$V21,IF($P21&lt;&gt;"",$P21,""))))),"")</f>
        <v/>
      </c>
      <c r="AU21" s="265" t="inlineStr">
        <is>
          <t>Mục đích: đối chứng âm của TC-ASN-001 — modal phải huỷ được mà không tạo tác động.</t>
        </is>
      </c>
    </row>
    <row r="22" ht="15.75" customHeight="1" s="216">
      <c r="A22" s="160">
        <f>IF($F22="","",$C$2&amp;"."&amp;COUNTA($F$7:$F22)&amp;"")</f>
        <v/>
      </c>
      <c r="B22" s="160" t="inlineStr">
        <is>
          <t>REQ-ASN-001</t>
        </is>
      </c>
      <c r="C22" s="160" t="inlineStr">
        <is>
          <t>DOC-v1.0-01</t>
        </is>
      </c>
      <c r="D22" s="160" t="inlineStr">
        <is>
          <t>Functional</t>
        </is>
      </c>
      <c r="E22" s="160" t="inlineStr">
        <is>
          <t>High</t>
        </is>
      </c>
      <c r="F22" s="11" t="inlineStr">
        <is>
          <t>Check đơn ghép ngay mà chủ tin không phải thực hiện bước duyệt nào</t>
        </is>
      </c>
      <c r="G22" s="11" t="inlineStr">
        <is>
          <t>Hai tài khoản CBNV trên STG (A chủ tin, B Carrier) trên hai thiết bị khác nhau.
Test Data: 1 tin NEED `POSTED`; 2 tài khoản 2 thiết bị (test_data_catalog §ASN)</t>
        </is>
      </c>
      <c r="H22" s="11" t="inlineStr">
        <is>
          <t>1. Đăng nhập bằng tài khoản A trên thiết bị 1, đăng 1 tin NEED. (setup)
2. Đăng nhập bằng tài khoản B trên thiết bị 2, mở tin của A và nhấn "Tôi mang giúp được" rồi "Xác nhận". (setup)
3. Trên thiết bị 1, nhấn tab "Hoạt động" và mở đơn vừa được nhận.
4. Check toàn màn Theo dõi đơn tìm nút chấp nhận, duyệt hoặc phê duyệt Carrier.</t>
        </is>
      </c>
      <c r="I22" s="11" t="inlineStr">
        <is>
          <t>3. Đơn đã ở trạng thái "Đã ghép".
4. KHÔNG có nút chấp nhận, duyệt hay phê duyệt nào trên màn; chủ tin không cần thao tác để đơn được ghép.</t>
        </is>
      </c>
      <c r="J22" s="160" t="inlineStr">
        <is>
          <t>AI</t>
        </is>
      </c>
      <c r="K22" s="160" t="inlineStr">
        <is>
          <t>Pending</t>
        </is>
      </c>
      <c r="L22" s="160" t="inlineStr">
        <is>
          <t>No</t>
        </is>
      </c>
      <c r="M22" s="160" t="inlineStr"/>
      <c r="N22" s="264" t="inlineStr">
        <is>
          <t>Yes</t>
        </is>
      </c>
      <c r="O22" s="264" t="inlineStr"/>
      <c r="P22" s="264" t="inlineStr">
        <is>
          <t>Pass</t>
        </is>
      </c>
      <c r="Q22" s="264" t="inlineStr">
        <is>
          <t>GiangDC2</t>
        </is>
      </c>
      <c r="R22" s="264" t="inlineStr"/>
      <c r="S22" s="264" t="inlineStr"/>
      <c r="T22" s="264" t="n"/>
      <c r="U22" s="264" t="n"/>
      <c r="V22" s="264" t="n"/>
      <c r="W22" s="264" t="n"/>
      <c r="X22" s="264" t="n"/>
      <c r="Y22" s="264" t="n"/>
      <c r="Z22" s="264" t="n"/>
      <c r="AA22" s="264" t="n"/>
      <c r="AB22" s="264" t="n"/>
      <c r="AC22" s="264" t="n"/>
      <c r="AD22" s="264" t="n"/>
      <c r="AE22" s="264" t="n"/>
      <c r="AF22" s="264" t="n"/>
      <c r="AG22" s="264" t="n"/>
      <c r="AH22" s="264" t="n"/>
      <c r="AI22" s="264" t="n"/>
      <c r="AJ22" s="264" t="n"/>
      <c r="AK22" s="264" t="n"/>
      <c r="AL22" s="264" t="n"/>
      <c r="AM22" s="264" t="n"/>
      <c r="AN22" s="264" t="n"/>
      <c r="AO22" s="264" t="n"/>
      <c r="AP22" s="264" t="n"/>
      <c r="AQ22" s="264" t="n"/>
      <c r="AR22" s="158">
        <f>IF($A22="","",IF(OR($N22="Yes",$T22="Yes",$Z22="Yes",$AF22="Yes",$AL22="Yes"),"Yes","No"))</f>
        <v/>
      </c>
      <c r="AS22" s="158">
        <f>IF($A22="","",IFERROR(IF($AM22&lt;&gt;"",$AM22,IF($AG22&lt;&gt;"",$AG22,IF($AA22&lt;&gt;"",$AA22,IF($U22&lt;&gt;"",$U22,IF($O22&lt;&gt;"",$O22,""))))),""))</f>
        <v/>
      </c>
      <c r="AT22" s="158">
        <f>IFERROR(IF($AN22&lt;&gt;"",$AN22,IF($AH22&lt;&gt;"",$AH22,IF($AB22&lt;&gt;"",$AB22,IF($V22&lt;&gt;"",$V22,IF($P22&lt;&gt;"",$P22,""))))),"")</f>
        <v/>
      </c>
      <c r="AU22" s="265" t="inlineStr">
        <is>
          <t>Căn cứ: `BR-CON-01` §A5 L77 — cơ chế "ghép ngay", không có bước duyệt.</t>
        </is>
      </c>
    </row>
    <row r="23" ht="15.75" customHeight="1" s="216">
      <c r="A23" s="160">
        <f>IF($F23="","",$C$2&amp;"."&amp;COUNTA($F$7:$F23)&amp;"")</f>
        <v/>
      </c>
      <c r="B23" s="160" t="inlineStr">
        <is>
          <t>REQ-ASN-002</t>
        </is>
      </c>
      <c r="C23" s="160" t="inlineStr">
        <is>
          <t>DOC-v1.0-01</t>
        </is>
      </c>
      <c r="D23" s="160" t="inlineStr">
        <is>
          <t>Functional</t>
        </is>
      </c>
      <c r="E23" s="160" t="inlineStr">
        <is>
          <t>High</t>
        </is>
      </c>
      <c r="F23" s="11" t="inlineStr">
        <is>
          <t>Check sau khi ghép cả người gửi và người vận chuyển đều thấy SĐT của bên còn lại</t>
        </is>
      </c>
      <c r="G23" s="11" t="inlineStr">
        <is>
          <t>Ba tài khoản CBNV trên STG (A chủ tin, B Carrier, C người nhận) trên hai thiết bị.
Test Data: 1 đơn `MATCHED` có khai người nhận (test_data_catalog §ASN)</t>
        </is>
      </c>
      <c r="H23" s="11" t="inlineStr">
        <is>
          <t>1. Đăng nhập bằng tài khoản A trên thiết bị 1, đăng 1 tin NEED và khai tài khoản C là người nhận. (setup)
2. Đăng nhập bằng tài khoản B trên thiết bị 2, nhận đơn đó bằng "Tôi mang giúp được" và xác nhận. (setup)
3. Trên thiết bị 2, check cụm liên hệ trên màn Theo dõi đơn của tài khoản B.
4. Trên thiết bị 1, mở đơn đó và check cụm liên hệ của tài khoản A.</t>
        </is>
      </c>
      <c r="I23" s="11" t="inlineStr">
        <is>
          <t>3. Tài khoản B thấy số điện thoại của tài khoản A và số điện thoại của người nhận C.
4. Tài khoản A thấy số điện thoại của tài khoản B.</t>
        </is>
      </c>
      <c r="J23" s="160" t="inlineStr">
        <is>
          <t>AI</t>
        </is>
      </c>
      <c r="K23" s="160" t="inlineStr">
        <is>
          <t>Pending</t>
        </is>
      </c>
      <c r="L23" s="160" t="inlineStr">
        <is>
          <t>No</t>
        </is>
      </c>
      <c r="M23" s="160" t="inlineStr"/>
      <c r="N23" s="264" t="inlineStr">
        <is>
          <t>Yes</t>
        </is>
      </c>
      <c r="O23" s="264" t="inlineStr"/>
      <c r="P23" s="264" t="inlineStr">
        <is>
          <t>Pass</t>
        </is>
      </c>
      <c r="Q23" s="264" t="inlineStr">
        <is>
          <t>GiangDC2</t>
        </is>
      </c>
      <c r="R23" s="264" t="inlineStr"/>
      <c r="S23" s="264" t="inlineStr"/>
      <c r="T23" s="264" t="n"/>
      <c r="U23" s="264" t="n"/>
      <c r="V23" s="264" t="n"/>
      <c r="W23" s="264" t="n"/>
      <c r="X23" s="264" t="n"/>
      <c r="Y23" s="264" t="n"/>
      <c r="Z23" s="264" t="n"/>
      <c r="AA23" s="264" t="n"/>
      <c r="AB23" s="264" t="n"/>
      <c r="AC23" s="264" t="n"/>
      <c r="AD23" s="264" t="n"/>
      <c r="AE23" s="264" t="n"/>
      <c r="AF23" s="264" t="n"/>
      <c r="AG23" s="264" t="n"/>
      <c r="AH23" s="264" t="n"/>
      <c r="AI23" s="264" t="n"/>
      <c r="AJ23" s="264" t="n"/>
      <c r="AK23" s="264" t="n"/>
      <c r="AL23" s="264" t="n"/>
      <c r="AM23" s="264" t="n"/>
      <c r="AN23" s="264" t="n"/>
      <c r="AO23" s="264" t="n"/>
      <c r="AP23" s="264" t="n"/>
      <c r="AQ23" s="264" t="n"/>
      <c r="AR23" s="158">
        <f>IF($A23="","",IF(OR($N23="Yes",$T23="Yes",$Z23="Yes",$AF23="Yes",$AL23="Yes"),"Yes","No"))</f>
        <v/>
      </c>
      <c r="AS23" s="158">
        <f>IF($A23="","",IFERROR(IF($AM23&lt;&gt;"",$AM23,IF($AG23&lt;&gt;"",$AG23,IF($AA23&lt;&gt;"",$AA23,IF($U23&lt;&gt;"",$U23,IF($O23&lt;&gt;"",$O23,""))))),""))</f>
        <v/>
      </c>
      <c r="AT23" s="158">
        <f>IFERROR(IF($AN23&lt;&gt;"",$AN23,IF($AH23&lt;&gt;"",$AH23,IF($AB23&lt;&gt;"",$AB23,IF($V23&lt;&gt;"",$V23,IF($P23&lt;&gt;"",$P23,""))))),"")</f>
        <v/>
      </c>
      <c r="AU23" s="265" t="inlineStr">
        <is>
          <t>Căn cứ: `BR-CON-02` §A5 L78 + `OPR-07` §D7 L343 + `US-D08` L177 (Carrier thấy cả SĐT người nhận). Đây là vế dương của cặp với TC-ASN-005.</t>
        </is>
      </c>
    </row>
    <row r="24" ht="15.75" customHeight="1" s="216">
      <c r="A24" s="160">
        <f>IF($F24="","",$C$2&amp;"."&amp;COUNTA($F$7:$F24)&amp;"")</f>
        <v/>
      </c>
      <c r="B24" s="160" t="inlineStr">
        <is>
          <t>REQ-ASN-002</t>
        </is>
      </c>
      <c r="C24" s="160" t="inlineStr">
        <is>
          <t>DOC-v1.0-01</t>
        </is>
      </c>
      <c r="D24" s="160" t="inlineStr">
        <is>
          <t>Functional</t>
        </is>
      </c>
      <c r="E24" s="160" t="inlineStr">
        <is>
          <t>Medium</t>
        </is>
      </c>
      <c r="F24" s="11" t="inlineStr">
        <is>
          <t>Check người ngoài cặp ghép không thấy SĐT của hai bên trong cặp</t>
        </is>
      </c>
      <c r="G24" s="11" t="inlineStr">
        <is>
          <t>Bốn tài khoản CBNV trên STG (A chủ tin, B Carrier, C người nhận, D người ngoài cặp).
Test Data: 1 đơn `MATCHED`; 1 tài khoản ngoài cặp (test_data_catalog §ASN)</t>
        </is>
      </c>
      <c r="H24" s="11" t="inlineStr">
        <is>
          <t>1. Đăng nhập bằng tài khoản A, đăng 1 tin NEED khai C là người nhận, rồi đăng xuất. (setup)
2. Đăng nhập bằng tài khoản B, nhận đơn đó và xác nhận, rồi đăng xuất. (setup)
3. Đăng nhập bằng tài khoản D, nhấn tab "Bảng tin" và tìm tin đó.
4. Nhấn tab "Hoạt động" và tìm đơn đó ở cả hai tab con.</t>
        </is>
      </c>
      <c r="I24" s="11" t="inlineStr">
        <is>
          <t>3. Tin KHÔNG còn trên Bảng tin nên tài khoản D không mở được Chi tiết tin của tin đó.
4. Đơn KHÔNG xuất hiện ở tab "Đang diễn ra" và tab "Đã hoàn thành" của tài khoản D; không có bề mặt nào cho D thấy số điện thoại của A hoặc B.</t>
        </is>
      </c>
      <c r="J24" s="160" t="inlineStr">
        <is>
          <t>AI</t>
        </is>
      </c>
      <c r="K24" s="160" t="inlineStr">
        <is>
          <t>Pending</t>
        </is>
      </c>
      <c r="L24" s="160" t="inlineStr">
        <is>
          <t>No</t>
        </is>
      </c>
      <c r="M24" s="160" t="inlineStr"/>
      <c r="N24" s="264" t="inlineStr">
        <is>
          <t>Yes</t>
        </is>
      </c>
      <c r="O24" s="264" t="inlineStr"/>
      <c r="P24" s="264" t="inlineStr">
        <is>
          <t>Pass</t>
        </is>
      </c>
      <c r="Q24" s="264" t="inlineStr">
        <is>
          <t>GiangDC2</t>
        </is>
      </c>
      <c r="R24" s="264" t="inlineStr"/>
      <c r="S24" s="264" t="inlineStr"/>
      <c r="T24" s="264" t="n"/>
      <c r="U24" s="264" t="n"/>
      <c r="V24" s="264" t="n"/>
      <c r="W24" s="264" t="n"/>
      <c r="X24" s="264" t="n"/>
      <c r="Y24" s="264" t="n"/>
      <c r="Z24" s="264" t="n"/>
      <c r="AA24" s="264" t="n"/>
      <c r="AB24" s="264" t="n"/>
      <c r="AC24" s="264" t="n"/>
      <c r="AD24" s="264" t="n"/>
      <c r="AE24" s="264" t="n"/>
      <c r="AF24" s="264" t="n"/>
      <c r="AG24" s="264" t="n"/>
      <c r="AH24" s="264" t="n"/>
      <c r="AI24" s="264" t="n"/>
      <c r="AJ24" s="264" t="n"/>
      <c r="AK24" s="264" t="n"/>
      <c r="AL24" s="264" t="n"/>
      <c r="AM24" s="264" t="n"/>
      <c r="AN24" s="264" t="n"/>
      <c r="AO24" s="264" t="n"/>
      <c r="AP24" s="264" t="n"/>
      <c r="AQ24" s="264" t="n"/>
      <c r="AR24" s="158">
        <f>IF($A24="","",IF(OR($N24="Yes",$T24="Yes",$Z24="Yes",$AF24="Yes",$AL24="Yes"),"Yes","No"))</f>
        <v/>
      </c>
      <c r="AS24" s="158">
        <f>IF($A24="","",IFERROR(IF($AM24&lt;&gt;"",$AM24,IF($AG24&lt;&gt;"",$AG24,IF($AA24&lt;&gt;"",$AA24,IF($U24&lt;&gt;"",$U24,IF($O24&lt;&gt;"",$O24,""))))),""))</f>
        <v/>
      </c>
      <c r="AT24" s="158">
        <f>IFERROR(IF($AN24&lt;&gt;"",$AN24,IF($AH24&lt;&gt;"",$AH24,IF($AB24&lt;&gt;"",$AB24,IF($V24&lt;&gt;"",$V24,IF($P24&lt;&gt;"",$P24,""))))),"")</f>
        <v/>
      </c>
      <c r="AU24" s="265" t="inlineStr">
        <is>
          <t>Mục đích: đối chứng âm của TC-ASN-004 — quyền xem SĐT bị giới hạn đúng trong cặp ghép cộng người nhận.</t>
        </is>
      </c>
    </row>
    <row r="25" ht="15.75" customHeight="1" s="216">
      <c r="A25" s="160">
        <f>IF($F25="","",$C$2&amp;"."&amp;COUNTA($F$7:$F25)&amp;"")</f>
        <v/>
      </c>
      <c r="B25" s="160" t="inlineStr">
        <is>
          <t>REQ-ASN-004</t>
        </is>
      </c>
      <c r="C25" s="160" t="inlineStr">
        <is>
          <t>DOC-v1.0-01</t>
        </is>
      </c>
      <c r="D25" s="160" t="inlineStr">
        <is>
          <t>Functional</t>
        </is>
      </c>
      <c r="E25" s="160" t="inlineStr">
        <is>
          <t>High</t>
        </is>
      </c>
      <c r="F25" s="11" t="inlineStr">
        <is>
          <t>Check tin đã ghép biến mất khỏi Bảng tin và khỏi luồng gợi ý của Carrier khác</t>
        </is>
      </c>
      <c r="G25" s="11" t="inlineStr">
        <is>
          <t>Ba tài khoản CBNV trên STG (A chủ tin, B Carrier ghép đơn, C Carrier khác).
Test Data: 1 đơn `MATCHED` (test_data_catalog §ASN)</t>
        </is>
      </c>
      <c r="H25" s="11" t="inlineStr">
        <is>
          <t>1. Đăng nhập bằng tài khoản A, đăng 1 tin NEED rồi đăng xuất. (setup)
2. Đăng nhập bằng tài khoản B, nhận đơn đó và xác nhận, rồi đăng xuất. (setup)
3. Đăng nhập bằng tài khoản C, nhấn tab "Bảng tin" và tìm tin đó trong danh sách.
4. Nhấn icon chuông và check danh sách thông báo gợi ý của tài khoản C.</t>
        </is>
      </c>
      <c r="I25" s="11" t="inlineStr">
        <is>
          <t>3. Tin KHÔNG còn trong danh sách Bảng tin của tài khoản C.
4. Danh sách thông báo của C KHÔNG có gợi ý nào trỏ tới tin đó.</t>
        </is>
      </c>
      <c r="J25" s="160" t="inlineStr">
        <is>
          <t>AI</t>
        </is>
      </c>
      <c r="K25" s="160" t="inlineStr">
        <is>
          <t>Pending</t>
        </is>
      </c>
      <c r="L25" s="160" t="inlineStr">
        <is>
          <t>No</t>
        </is>
      </c>
      <c r="M25" s="160" t="inlineStr"/>
      <c r="N25" s="264" t="inlineStr">
        <is>
          <t>Yes</t>
        </is>
      </c>
      <c r="O25" s="264" t="inlineStr"/>
      <c r="P25" s="264" t="inlineStr">
        <is>
          <t>Pass</t>
        </is>
      </c>
      <c r="Q25" s="264" t="inlineStr">
        <is>
          <t>GiangDC2</t>
        </is>
      </c>
      <c r="R25" s="264" t="inlineStr"/>
      <c r="S25" s="264" t="inlineStr"/>
      <c r="T25" s="264" t="n"/>
      <c r="U25" s="264" t="n"/>
      <c r="V25" s="264" t="n"/>
      <c r="W25" s="264" t="n"/>
      <c r="X25" s="264" t="n"/>
      <c r="Y25" s="264" t="n"/>
      <c r="Z25" s="264" t="n"/>
      <c r="AA25" s="264" t="n"/>
      <c r="AB25" s="264" t="n"/>
      <c r="AC25" s="264" t="n"/>
      <c r="AD25" s="264" t="n"/>
      <c r="AE25" s="264" t="n"/>
      <c r="AF25" s="264" t="n"/>
      <c r="AG25" s="264" t="n"/>
      <c r="AH25" s="264" t="n"/>
      <c r="AI25" s="264" t="n"/>
      <c r="AJ25" s="264" t="n"/>
      <c r="AK25" s="264" t="n"/>
      <c r="AL25" s="264" t="n"/>
      <c r="AM25" s="264" t="n"/>
      <c r="AN25" s="264" t="n"/>
      <c r="AO25" s="264" t="n"/>
      <c r="AP25" s="264" t="n"/>
      <c r="AQ25" s="264" t="n"/>
      <c r="AR25" s="158">
        <f>IF($A25="","",IF(OR($N25="Yes",$T25="Yes",$Z25="Yes",$AF25="Yes",$AL25="Yes"),"Yes","No"))</f>
        <v/>
      </c>
      <c r="AS25" s="158">
        <f>IF($A25="","",IFERROR(IF($AM25&lt;&gt;"",$AM25,IF($AG25&lt;&gt;"",$AG25,IF($AA25&lt;&gt;"",$AA25,IF($U25&lt;&gt;"",$U25,IF($O25&lt;&gt;"",$O25,""))))),""))</f>
        <v/>
      </c>
      <c r="AT25" s="158">
        <f>IFERROR(IF($AN25&lt;&gt;"",$AN25,IF($AH25&lt;&gt;"",$AH25,IF($AB25&lt;&gt;"",$AB25,IF($V25&lt;&gt;"",$V25,IF($P25&lt;&gt;"",$P25,""))))),"")</f>
        <v/>
      </c>
      <c r="AU25" s="265" t="inlineStr">
        <is>
          <t>Căn cứ: `OPR-03` §D7 L339 + `OPR-08` §D7 L344.</t>
        </is>
      </c>
    </row>
    <row r="26" ht="15.75" customHeight="1" s="216">
      <c r="A26" s="160">
        <f>IF($F26="","",$C$2&amp;"."&amp;COUNTA($F$7:$F26)&amp;"")</f>
        <v/>
      </c>
      <c r="B26" s="160" t="inlineStr">
        <is>
          <t>REQ-ASN-006</t>
        </is>
      </c>
      <c r="C26" s="160" t="inlineStr">
        <is>
          <t>DOC-v1.0-01</t>
        </is>
      </c>
      <c r="D26" s="160" t="inlineStr">
        <is>
          <t>Functional</t>
        </is>
      </c>
      <c r="E26" s="160" t="inlineStr">
        <is>
          <t>Medium</t>
        </is>
      </c>
      <c r="F26" s="11" t="inlineStr">
        <is>
          <t>Check Carrier nhận thông báo khớp tuyến khi có tin NEED trùng cả hai điểm và giao khung giờ</t>
        </is>
      </c>
      <c r="G26" s="11" t="inlineStr">
        <is>
          <t>Hai tài khoản CBNV trên STG (B Carrier, A người đăng tin NEED).
Test Data: 1 tin OFFER + 1 tin NEED trùng 2 điểm, khung giờ giao nhau (test_data_catalog §ASN)</t>
        </is>
      </c>
      <c r="H26" s="11" t="inlineStr">
        <is>
          <t>1. Đăng nhập bằng tài khoản B, đăng 1 tin OFFER với điểm lấy hàng, điểm giao hàng và khung giờ xác định, rồi đăng xuất. (setup)
2. Đăng nhập bằng tài khoản A, đăng 1 tin NEED trùng đúng điểm lấy hàng và điểm giao hàng của tin OFFER, khung giờ giao nhau với khung của tin OFFER, rồi đăng xuất. (setup)
3. Đăng nhập bằng tài khoản B và nhấn icon chuông.
4. Nhấn vào thông báo khớp tuyến.</t>
        </is>
      </c>
      <c r="I26" s="11" t="inlineStr">
        <is>
          <t>3. Danh sách thông báo có thông báo với nội dung "Tìm thấy đơn hàng phù hợp tuyến của bạn".
4. Mở màn Chi tiết tin của đúng tin NEED đã đăng ở bước 2.</t>
        </is>
      </c>
      <c r="J26" s="160" t="inlineStr">
        <is>
          <t>AI</t>
        </is>
      </c>
      <c r="K26" s="160" t="inlineStr">
        <is>
          <t>Pending</t>
        </is>
      </c>
      <c r="L26" s="160" t="inlineStr">
        <is>
          <t>No</t>
        </is>
      </c>
      <c r="M26" s="160" t="inlineStr"/>
      <c r="N26" s="264" t="inlineStr">
        <is>
          <t>Yes</t>
        </is>
      </c>
      <c r="O26" s="264" t="inlineStr"/>
      <c r="P26" s="264" t="inlineStr">
        <is>
          <t>Pass</t>
        </is>
      </c>
      <c r="Q26" s="264" t="inlineStr">
        <is>
          <t>GiangDC2</t>
        </is>
      </c>
      <c r="R26" s="264" t="inlineStr"/>
      <c r="S26" s="264" t="inlineStr"/>
      <c r="T26" s="264" t="n"/>
      <c r="U26" s="264" t="n"/>
      <c r="V26" s="264" t="n"/>
      <c r="W26" s="264" t="n"/>
      <c r="X26" s="264" t="n"/>
      <c r="Y26" s="264" t="n"/>
      <c r="Z26" s="264" t="n"/>
      <c r="AA26" s="264" t="n"/>
      <c r="AB26" s="264" t="n"/>
      <c r="AC26" s="264" t="n"/>
      <c r="AD26" s="264" t="n"/>
      <c r="AE26" s="264" t="n"/>
      <c r="AF26" s="264" t="n"/>
      <c r="AG26" s="264" t="n"/>
      <c r="AH26" s="264" t="n"/>
      <c r="AI26" s="264" t="n"/>
      <c r="AJ26" s="264" t="n"/>
      <c r="AK26" s="264" t="n"/>
      <c r="AL26" s="264" t="n"/>
      <c r="AM26" s="264" t="n"/>
      <c r="AN26" s="264" t="n"/>
      <c r="AO26" s="264" t="n"/>
      <c r="AP26" s="264" t="n"/>
      <c r="AQ26" s="264" t="n"/>
      <c r="AR26" s="158">
        <f>IF($A26="","",IF(OR($N26="Yes",$T26="Yes",$Z26="Yes",$AF26="Yes",$AL26="Yes"),"Yes","No"))</f>
        <v/>
      </c>
      <c r="AS26" s="158">
        <f>IF($A26="","",IFERROR(IF($AM26&lt;&gt;"",$AM26,IF($AG26&lt;&gt;"",$AG26,IF($AA26&lt;&gt;"",$AA26,IF($U26&lt;&gt;"",$U26,IF($O26&lt;&gt;"",$O26,""))))),""))</f>
        <v/>
      </c>
      <c r="AT26" s="158">
        <f>IFERROR(IF($AN26&lt;&gt;"",$AN26,IF($AH26&lt;&gt;"",$AH26,IF($AB26&lt;&gt;"",$AB26,IF($V26&lt;&gt;"",$V26,IF($P26&lt;&gt;"",$P26,""))))),"")</f>
        <v/>
      </c>
      <c r="AU26" s="265" t="inlineStr">
        <is>
          <t>Căn cứ: `MTCH-01` §D3 L254 + `US-D12` §D1b L186. Nội dung thông báo còn chờ `C-NTF-01` chốt danh sách chính thức; assert theo chuỗi ở `US-D12`, lệch ⇒ dẫn `C-NTF-01`.</t>
        </is>
      </c>
    </row>
    <row r="27" ht="15.75" customHeight="1" s="216">
      <c r="A27" s="160">
        <f>IF($F27="","",$C$2&amp;"."&amp;COUNTA($F$7:$F27)&amp;"")</f>
        <v/>
      </c>
      <c r="B27" s="160" t="inlineStr">
        <is>
          <t>REQ-ASN-006</t>
        </is>
      </c>
      <c r="C27" s="160" t="inlineStr">
        <is>
          <t>DOC-v1.0-01</t>
        </is>
      </c>
      <c r="D27" s="160" t="inlineStr">
        <is>
          <t>Functional</t>
        </is>
      </c>
      <c r="E27" s="160" t="inlineStr">
        <is>
          <t>Medium</t>
        </is>
      </c>
      <c r="F27" s="11" t="inlineStr">
        <is>
          <t>Check nhấn "Nhận giao" ở tin khớp tuyến ghép đơn và mở màn Theo dõi đơn</t>
        </is>
      </c>
      <c r="G27" s="11" t="inlineStr">
        <is>
          <t>Hai tài khoản CBNV trên STG (B Carrier có tin OFFER, A người đăng tin NEED khớp tuyến).
Test Data: 1 tin NEED khớp tuyến (test_data_catalog §ASN)</t>
        </is>
      </c>
      <c r="H27" s="11" t="inlineStr">
        <is>
          <t>1. Đăng nhập bằng tài khoản B, đăng 1 tin OFFER, rồi đăng xuất. (setup)
2. Đăng nhập bằng tài khoản A, đăng 1 tin NEED trùng 2 điểm và giao khung giờ với tin OFFER, rồi đăng xuất. (setup)
3. Đăng nhập bằng tài khoản B, nhấn icon chuông và nhấn thông báo khớp tuyến để mở Chi tiết tin.
4. Nhấn nút "Nhận giao".
5. Check cụm liên hệ trên màn vừa mở.</t>
        </is>
      </c>
      <c r="I27" s="11" t="inlineStr">
        <is>
          <t>4. Mở màn Theo dõi đơn của tin đó với trạng thái "Đã ghép".
5. Cụm liên hệ hiển thị số điện thoại của người gửi.</t>
        </is>
      </c>
      <c r="J27" s="160" t="inlineStr">
        <is>
          <t>AI</t>
        </is>
      </c>
      <c r="K27" s="160" t="inlineStr">
        <is>
          <t>Pending</t>
        </is>
      </c>
      <c r="L27" s="160" t="inlineStr">
        <is>
          <t>No</t>
        </is>
      </c>
      <c r="M27" s="160" t="inlineStr"/>
      <c r="N27" s="264" t="inlineStr">
        <is>
          <t>Yes</t>
        </is>
      </c>
      <c r="O27" s="264" t="inlineStr"/>
      <c r="P27" s="264" t="inlineStr">
        <is>
          <t>Pass</t>
        </is>
      </c>
      <c r="Q27" s="264" t="inlineStr">
        <is>
          <t>GiangDC2</t>
        </is>
      </c>
      <c r="R27" s="264" t="inlineStr"/>
      <c r="S27" s="264" t="inlineStr"/>
      <c r="T27" s="264" t="n"/>
      <c r="U27" s="264" t="n"/>
      <c r="V27" s="264" t="n"/>
      <c r="W27" s="264" t="n"/>
      <c r="X27" s="264" t="n"/>
      <c r="Y27" s="264" t="n"/>
      <c r="Z27" s="264" t="n"/>
      <c r="AA27" s="264" t="n"/>
      <c r="AB27" s="264" t="n"/>
      <c r="AC27" s="264" t="n"/>
      <c r="AD27" s="264" t="n"/>
      <c r="AE27" s="264" t="n"/>
      <c r="AF27" s="264" t="n"/>
      <c r="AG27" s="264" t="n"/>
      <c r="AH27" s="264" t="n"/>
      <c r="AI27" s="264" t="n"/>
      <c r="AJ27" s="264" t="n"/>
      <c r="AK27" s="264" t="n"/>
      <c r="AL27" s="264" t="n"/>
      <c r="AM27" s="264" t="n"/>
      <c r="AN27" s="264" t="n"/>
      <c r="AO27" s="264" t="n"/>
      <c r="AP27" s="264" t="n"/>
      <c r="AQ27" s="264" t="n"/>
      <c r="AR27" s="158">
        <f>IF($A27="","",IF(OR($N27="Yes",$T27="Yes",$Z27="Yes",$AF27="Yes",$AL27="Yes"),"Yes","No"))</f>
        <v/>
      </c>
      <c r="AS27" s="158">
        <f>IF($A27="","",IFERROR(IF($AM27&lt;&gt;"",$AM27,IF($AG27&lt;&gt;"",$AG27,IF($AA27&lt;&gt;"",$AA27,IF($U27&lt;&gt;"",$U27,IF($O27&lt;&gt;"",$O27,""))))),""))</f>
        <v/>
      </c>
      <c r="AT27" s="158">
        <f>IFERROR(IF($AN27&lt;&gt;"",$AN27,IF($AH27&lt;&gt;"",$AH27,IF($AB27&lt;&gt;"",$AB27,IF($V27&lt;&gt;"",$V27,IF($P27&lt;&gt;"",$P27,""))))),"")</f>
        <v/>
      </c>
      <c r="AU27" s="265" t="inlineStr">
        <is>
          <t>Căn cứ: `US-D13` §D1b L187. Nhãn nút "Nhận giao" ở luồng khớp tuyến khác nhãn "Tôi mang giúp được" ở luồng Bảng tin — giữ đúng nhãn từng luồng, ⛔ không đồng nhất hoá.</t>
        </is>
      </c>
    </row>
    <row r="28" ht="15.75" customHeight="1" s="216">
      <c r="A28" s="160">
        <f>IF($F28="","",$C$2&amp;"."&amp;COUNTA($F$7:$F28)&amp;"")</f>
        <v/>
      </c>
      <c r="B28" s="160" t="inlineStr">
        <is>
          <t>REQ-ASN-010</t>
        </is>
      </c>
      <c r="C28" s="160" t="inlineStr">
        <is>
          <t>DOC-v1.0-01</t>
        </is>
      </c>
      <c r="D28" s="160" t="inlineStr">
        <is>
          <t>Functional</t>
        </is>
      </c>
      <c r="E28" s="160" t="inlineStr">
        <is>
          <t>High</t>
        </is>
      </c>
      <c r="F28" s="11" t="inlineStr">
        <is>
          <t>Check tài khoản không được gợi ý khớp tuyến cho tin do chính mình đăng</t>
        </is>
      </c>
      <c r="G28" s="11" t="inlineStr">
        <is>
          <t>Một tài khoản CBNV A trên STG.
Test Data: 1 tin OFFER + 1 tin NEED cùng tài khoản, trùng tuyến (test_data_catalog §ASN)</t>
        </is>
      </c>
      <c r="H28" s="11" t="inlineStr">
        <is>
          <t>1. Đăng nhập bằng tài khoản A và đăng 1 tin OFFER với điểm lấy hàng, điểm giao hàng và khung giờ xác định. (setup)
2. Vẫn bằng tài khoản A, đăng thêm 1 tin NEED trùng đúng 2 điểm và giao khung giờ với tin OFFER vừa đăng. (setup)
3. Nhấn icon chuông và check danh sách thông báo.
4. Nhấn tab "Bảng tin" và check tin NEED của chính mình.</t>
        </is>
      </c>
      <c r="I28" s="11" t="inlineStr">
        <is>
          <t>3. KHÔNG có thông báo khớp tuyến nào trỏ tới tin NEED do chính tài khoản A đăng.
4. Card tin đó có badge "Tin của bạn" và không có đường nhận đơn cho chính tài khoản A.</t>
        </is>
      </c>
      <c r="J28" s="160" t="inlineStr">
        <is>
          <t>AI</t>
        </is>
      </c>
      <c r="K28" s="160" t="inlineStr">
        <is>
          <t>Pending</t>
        </is>
      </c>
      <c r="L28" s="160" t="inlineStr">
        <is>
          <t>No</t>
        </is>
      </c>
      <c r="M28" s="160" t="inlineStr"/>
      <c r="N28" s="264" t="inlineStr">
        <is>
          <t>Yes</t>
        </is>
      </c>
      <c r="O28" s="264" t="inlineStr"/>
      <c r="P28" s="264" t="inlineStr">
        <is>
          <t>Pass</t>
        </is>
      </c>
      <c r="Q28" s="264" t="inlineStr">
        <is>
          <t>GiangDC2</t>
        </is>
      </c>
      <c r="R28" s="264" t="inlineStr"/>
      <c r="S28" s="264" t="inlineStr"/>
      <c r="T28" s="264" t="n"/>
      <c r="U28" s="264" t="n"/>
      <c r="V28" s="264" t="n"/>
      <c r="W28" s="264" t="n"/>
      <c r="X28" s="264" t="n"/>
      <c r="Y28" s="264" t="n"/>
      <c r="Z28" s="264" t="n"/>
      <c r="AA28" s="264" t="n"/>
      <c r="AB28" s="264" t="n"/>
      <c r="AC28" s="264" t="n"/>
      <c r="AD28" s="264" t="n"/>
      <c r="AE28" s="264" t="n"/>
      <c r="AF28" s="264" t="n"/>
      <c r="AG28" s="264" t="n"/>
      <c r="AH28" s="264" t="n"/>
      <c r="AI28" s="264" t="n"/>
      <c r="AJ28" s="264" t="n"/>
      <c r="AK28" s="264" t="n"/>
      <c r="AL28" s="264" t="n"/>
      <c r="AM28" s="264" t="n"/>
      <c r="AN28" s="264" t="n"/>
      <c r="AO28" s="264" t="n"/>
      <c r="AP28" s="264" t="n"/>
      <c r="AQ28" s="264" t="n"/>
      <c r="AR28" s="158">
        <f>IF($A28="","",IF(OR($N28="Yes",$T28="Yes",$Z28="Yes",$AF28="Yes",$AL28="Yes"),"Yes","No"))</f>
        <v/>
      </c>
      <c r="AS28" s="158">
        <f>IF($A28="","",IFERROR(IF($AM28&lt;&gt;"",$AM28,IF($AG28&lt;&gt;"",$AG28,IF($AA28&lt;&gt;"",$AA28,IF($U28&lt;&gt;"",$U28,IF($O28&lt;&gt;"",$O28,""))))),""))</f>
        <v/>
      </c>
      <c r="AT28" s="158">
        <f>IFERROR(IF($AN28&lt;&gt;"",$AN28,IF($AH28&lt;&gt;"",$AH28,IF($AB28&lt;&gt;"",$AB28,IF($V28&lt;&gt;"",$V28,IF($P28&lt;&gt;"",$P28,""))))),"")</f>
        <v/>
      </c>
      <c r="AU28" s="265" t="inlineStr">
        <is>
          <t>Căn cứ: `OPR-05` §D7 L341 — cùng gốc rule với `SC-FEED-011`; app gợi ý tin của chính mình ⇒ FAIL và log bug theo cùng `C-ASN-02`.</t>
        </is>
      </c>
    </row>
    <row r="29" ht="15.75" customHeight="1" s="216">
      <c r="A29" s="160">
        <f>IF($F29="","",$C$2&amp;"."&amp;COUNTA($F$7:$F29)&amp;"")</f>
        <v/>
      </c>
      <c r="B29" s="160" t="inlineStr">
        <is>
          <t>REQ-ASN-008</t>
        </is>
      </c>
      <c r="C29" s="160" t="inlineStr">
        <is>
          <t>DOC-v1.0-01</t>
        </is>
      </c>
      <c r="D29" s="160" t="inlineStr">
        <is>
          <t>Functional</t>
        </is>
      </c>
      <c r="E29" s="160" t="inlineStr">
        <is>
          <t>Medium</t>
        </is>
      </c>
      <c r="F29" s="11" t="inlineStr">
        <is>
          <t>Check Carrier chỉ được gợi ý tối đa 5 tin khi có 6 tin NEED khớp cùng tuyến</t>
        </is>
      </c>
      <c r="G29" s="11" t="inlineStr">
        <is>
          <t>Hai tài khoản CBNV trên STG (B Carrier, A người đăng tin NEED).
Test Data: 6 tin NEED khớp cùng 1 tuyến OFFER (test_data_catalog §ASN, biên vượt trần)</t>
        </is>
      </c>
      <c r="H29" s="11" t="inlineStr">
        <is>
          <t>1. Đăng nhập bằng tài khoản B, đăng 1 tin OFFER với điểm lấy hàng, điểm giao hàng và khung giờ xác định, rồi đăng xuất. (setup)
2. Nhờ dev/QA seed 6 tin NEED trùng đúng 2 điểm và giao khung giờ với tin OFFER đó. (setup)
3. Đăng nhập bằng tài khoản B và nhấn icon chuông.
4. Đếm số tin NEED khác nhau được gợi ý cho tin OFFER đó.</t>
        </is>
      </c>
      <c r="I29" s="11" t="inlineStr">
        <is>
          <t>4. Số tin NEED được gợi ý nhiều nhất là 5.</t>
        </is>
      </c>
      <c r="J29" s="160" t="inlineStr">
        <is>
          <t>AI</t>
        </is>
      </c>
      <c r="K29" s="160" t="inlineStr">
        <is>
          <t>Pending</t>
        </is>
      </c>
      <c r="L29" s="160" t="inlineStr">
        <is>
          <t>No</t>
        </is>
      </c>
      <c r="M29" s="160" t="inlineStr"/>
      <c r="N29" s="264" t="inlineStr">
        <is>
          <t>Yes</t>
        </is>
      </c>
      <c r="O29" s="264" t="inlineStr"/>
      <c r="P29" s="264" t="inlineStr">
        <is>
          <t>Pass</t>
        </is>
      </c>
      <c r="Q29" s="264" t="inlineStr">
        <is>
          <t>GiangDC2</t>
        </is>
      </c>
      <c r="R29" s="264" t="inlineStr"/>
      <c r="S29" s="264" t="inlineStr"/>
      <c r="T29" s="264" t="n"/>
      <c r="U29" s="264" t="n"/>
      <c r="V29" s="264" t="n"/>
      <c r="W29" s="264" t="n"/>
      <c r="X29" s="264" t="n"/>
      <c r="Y29" s="264" t="n"/>
      <c r="Z29" s="264" t="n"/>
      <c r="AA29" s="264" t="n"/>
      <c r="AB29" s="264" t="n"/>
      <c r="AC29" s="264" t="n"/>
      <c r="AD29" s="264" t="n"/>
      <c r="AE29" s="264" t="n"/>
      <c r="AF29" s="264" t="n"/>
      <c r="AG29" s="264" t="n"/>
      <c r="AH29" s="264" t="n"/>
      <c r="AI29" s="264" t="n"/>
      <c r="AJ29" s="264" t="n"/>
      <c r="AK29" s="264" t="n"/>
      <c r="AL29" s="264" t="n"/>
      <c r="AM29" s="264" t="n"/>
      <c r="AN29" s="264" t="n"/>
      <c r="AO29" s="264" t="n"/>
      <c r="AP29" s="264" t="n"/>
      <c r="AQ29" s="264" t="n"/>
      <c r="AR29" s="158">
        <f>IF($A29="","",IF(OR($N29="Yes",$T29="Yes",$Z29="Yes",$AF29="Yes",$AL29="Yes"),"Yes","No"))</f>
        <v/>
      </c>
      <c r="AS29" s="158">
        <f>IF($A29="","",IFERROR(IF($AM29&lt;&gt;"",$AM29,IF($AG29&lt;&gt;"",$AG29,IF($AA29&lt;&gt;"",$AA29,IF($U29&lt;&gt;"",$U29,IF($O29&lt;&gt;"",$O29,""))))),""))</f>
        <v/>
      </c>
      <c r="AT29" s="158">
        <f>IFERROR(IF($AN29&lt;&gt;"",$AN29,IF($AH29&lt;&gt;"",$AH29,IF($AB29&lt;&gt;"",$AB29,IF($V29&lt;&gt;"",$V29,IF($P29&lt;&gt;"",$P29,""))))),"")</f>
        <v/>
      </c>
      <c r="AU29" s="265" t="inlineStr">
        <is>
          <t>Mục đích: chạm trần gợi ý — dùng mốc 6 để vượt trần 5. · Căn cứ: `OPR-01` §D7 L337; mốc 3/5/6 là **giá trị BA chốt** (`KB-ASN-03`), ⛔ không thay bằng mốc khác.</t>
        </is>
      </c>
    </row>
    <row r="30" ht="15.75" customHeight="1" s="216">
      <c r="A30" s="160">
        <f>IF($F30="","",$C$2&amp;"."&amp;COUNTA($F$7:$F30)&amp;"")</f>
        <v/>
      </c>
      <c r="B30" s="160" t="inlineStr">
        <is>
          <t>REQ-ASN-009</t>
        </is>
      </c>
      <c r="C30" s="160" t="inlineStr">
        <is>
          <t>DOC-v1.0-01</t>
        </is>
      </c>
      <c r="D30" s="160" t="inlineStr">
        <is>
          <t>Functional</t>
        </is>
      </c>
      <c r="E30" s="160" t="inlineStr">
        <is>
          <t>Medium</t>
        </is>
      </c>
      <c r="F30" s="11" t="inlineStr">
        <is>
          <t>Check tin NEED đã quá hạn không xuất hiện trong gợi ý và không sinh thông báo khớp tuyến</t>
        </is>
      </c>
      <c r="G30" s="11" t="inlineStr">
        <is>
          <t>Hai tài khoản CBNV trên STG (B Carrier, A người đăng tin NEED).
Test Data: 1 tin NEED "Hết hạn" (test_data_catalog §ASN — ⛔ không seed được qua UI)</t>
        </is>
      </c>
      <c r="H30" s="11" t="inlineStr">
        <is>
          <t>1. Đăng nhập bằng tài khoản B, đăng 1 tin OFFER với điểm lấy hàng, điểm giao hàng và khung giờ xác định, rồi đăng xuất. (setup)
2. Nhờ dev/QA seed 1 tin NEED trùng 2 điểm và giao khung giờ với tin OFFER nhưng có "Đến ngày" đã trôi qua để tin chuyển trạng thái "Hết hạn". (setup)
3. Đăng nhập bằng tài khoản B, nhấn icon chuông và check danh sách thông báo.
4. Nhấn tab "Bảng tin" và tìm tin đó.</t>
        </is>
      </c>
      <c r="I30" s="11" t="inlineStr">
        <is>
          <t>3. KHÔNG có thông báo khớp tuyến nào trỏ tới tin đã hết hạn.
4. Tin đã hết hạn KHÔNG xuất hiện trong danh sách Bảng tin.</t>
        </is>
      </c>
      <c r="J30" s="160" t="inlineStr">
        <is>
          <t>AI</t>
        </is>
      </c>
      <c r="K30" s="160" t="inlineStr">
        <is>
          <t>Pending</t>
        </is>
      </c>
      <c r="L30" s="160" t="inlineStr">
        <is>
          <t>No</t>
        </is>
      </c>
      <c r="M30" s="160" t="inlineStr"/>
      <c r="N30" s="264" t="inlineStr">
        <is>
          <t>Yes</t>
        </is>
      </c>
      <c r="O30" s="264" t="inlineStr"/>
      <c r="P30" s="264" t="inlineStr">
        <is>
          <t>Pass</t>
        </is>
      </c>
      <c r="Q30" s="264" t="inlineStr">
        <is>
          <t>GiangDC2</t>
        </is>
      </c>
      <c r="R30" s="264" t="inlineStr"/>
      <c r="S30" s="264" t="inlineStr"/>
      <c r="T30" s="264" t="n"/>
      <c r="U30" s="264" t="n"/>
      <c r="V30" s="264" t="n"/>
      <c r="W30" s="264" t="n"/>
      <c r="X30" s="264" t="n"/>
      <c r="Y30" s="264" t="n"/>
      <c r="Z30" s="264" t="n"/>
      <c r="AA30" s="264" t="n"/>
      <c r="AB30" s="264" t="n"/>
      <c r="AC30" s="264" t="n"/>
      <c r="AD30" s="264" t="n"/>
      <c r="AE30" s="264" t="n"/>
      <c r="AF30" s="264" t="n"/>
      <c r="AG30" s="264" t="n"/>
      <c r="AH30" s="264" t="n"/>
      <c r="AI30" s="264" t="n"/>
      <c r="AJ30" s="264" t="n"/>
      <c r="AK30" s="264" t="n"/>
      <c r="AL30" s="264" t="n"/>
      <c r="AM30" s="264" t="n"/>
      <c r="AN30" s="264" t="n"/>
      <c r="AO30" s="264" t="n"/>
      <c r="AP30" s="264" t="n"/>
      <c r="AQ30" s="264" t="n"/>
      <c r="AR30" s="158">
        <f>IF($A30="","",IF(OR($N30="Yes",$T30="Yes",$Z30="Yes",$AF30="Yes",$AL30="Yes"),"Yes","No"))</f>
        <v/>
      </c>
      <c r="AS30" s="158">
        <f>IF($A30="","",IFERROR(IF($AM30&lt;&gt;"",$AM30,IF($AG30&lt;&gt;"",$AG30,IF($AA30&lt;&gt;"",$AA30,IF($U30&lt;&gt;"",$U30,IF($O30&lt;&gt;"",$O30,""))))),""))</f>
        <v/>
      </c>
      <c r="AT30" s="158">
        <f>IFERROR(IF($AN30&lt;&gt;"",$AN30,IF($AH30&lt;&gt;"",$AH30,IF($AB30&lt;&gt;"",$AB30,IF($V30&lt;&gt;"",$V30,IF($P30&lt;&gt;"",$P30,""))))),"")</f>
        <v/>
      </c>
      <c r="AU30" s="265" t="inlineStr">
        <is>
          <t>Căn cứ: `OPR-04` §D7 L340 + `US-D04` L166.</t>
        </is>
      </c>
    </row>
    <row r="31" ht="15.75" customHeight="1" s="216">
      <c r="A31" s="160">
        <f>IF($F31="","",$C$2&amp;"."&amp;COUNTA($F$7:$F31)&amp;"")</f>
        <v/>
      </c>
      <c r="B31" s="160" t="inlineStr">
        <is>
          <t>REQ-ASN-011</t>
        </is>
      </c>
      <c r="C31" s="160" t="inlineStr">
        <is>
          <t>DOC-v1.0-01</t>
        </is>
      </c>
      <c r="D31" s="160" t="inlineStr">
        <is>
          <t>Functional</t>
        </is>
      </c>
      <c r="E31" s="160" t="inlineStr">
        <is>
          <t>Medium</t>
        </is>
      </c>
      <c r="F31" s="11" t="inlineStr">
        <is>
          <t>Check Carrier huỷ nhận đơn trước khi lấy hàng thì tin trở lại Bảng tin và Carrier khác ghép được</t>
        </is>
      </c>
      <c r="G31" s="11" t="inlineStr">
        <is>
          <t>Ba tài khoản CBNV trên STG (A chủ tin, B Carrier đầu, C Carrier thứ hai).
Test Data: 1 đơn `MATCHED` chưa lấy hàng (test_data_catalog §ASN)</t>
        </is>
      </c>
      <c r="H31" s="11" t="inlineStr">
        <is>
          <t>1. Đăng nhập bằng tài khoản A, đăng 1 tin NEED rồi đăng xuất. (setup)
2. Đăng nhập bằng tài khoản B, nhận đơn đó và xác nhận, KHÔNG nhấn "Tôi đã lấy hàng". (setup)
3. Vẫn bằng tài khoản B, huỷ nhận đơn và nhập lý do huỷ, rồi đăng xuất.
4. Đăng nhập bằng tài khoản C, nhấn tab "Bảng tin" và tìm tin đó.
5. Nhấn tin đó, nhấn "Tôi mang giúp được" rồi "Xác nhận".</t>
        </is>
      </c>
      <c r="I31" s="11" t="inlineStr">
        <is>
          <t>3. Đơn chuyển về trạng thái "Chờ ghép".
4. Tin hiển thị lại trong danh sách Bảng tin của tài khoản C.
5. Tài khoản C ghép được đơn; đơn chuyển sang "Đã ghép" với C là người vận chuyển.</t>
        </is>
      </c>
      <c r="J31" s="160" t="inlineStr">
        <is>
          <t>AI</t>
        </is>
      </c>
      <c r="K31" s="160" t="inlineStr">
        <is>
          <t>Pending</t>
        </is>
      </c>
      <c r="L31" s="160" t="inlineStr">
        <is>
          <t>No</t>
        </is>
      </c>
      <c r="M31" s="160" t="inlineStr"/>
      <c r="N31" s="264" t="inlineStr">
        <is>
          <t>Yes</t>
        </is>
      </c>
      <c r="O31" s="264" t="inlineStr"/>
      <c r="P31" s="264" t="inlineStr">
        <is>
          <t>Pass</t>
        </is>
      </c>
      <c r="Q31" s="264" t="inlineStr">
        <is>
          <t>GiangDC2</t>
        </is>
      </c>
      <c r="R31" s="264" t="inlineStr"/>
      <c r="S31" s="264" t="inlineStr"/>
      <c r="T31" s="264" t="n"/>
      <c r="U31" s="264" t="n"/>
      <c r="V31" s="264" t="n"/>
      <c r="W31" s="264" t="n"/>
      <c r="X31" s="264" t="n"/>
      <c r="Y31" s="264" t="n"/>
      <c r="Z31" s="264" t="n"/>
      <c r="AA31" s="264" t="n"/>
      <c r="AB31" s="264" t="n"/>
      <c r="AC31" s="264" t="n"/>
      <c r="AD31" s="264" t="n"/>
      <c r="AE31" s="264" t="n"/>
      <c r="AF31" s="264" t="n"/>
      <c r="AG31" s="264" t="n"/>
      <c r="AH31" s="264" t="n"/>
      <c r="AI31" s="264" t="n"/>
      <c r="AJ31" s="264" t="n"/>
      <c r="AK31" s="264" t="n"/>
      <c r="AL31" s="264" t="n"/>
      <c r="AM31" s="264" t="n"/>
      <c r="AN31" s="264" t="n"/>
      <c r="AO31" s="264" t="n"/>
      <c r="AP31" s="264" t="n"/>
      <c r="AQ31" s="264" t="n"/>
      <c r="AR31" s="158">
        <f>IF($A31="","",IF(OR($N31="Yes",$T31="Yes",$Z31="Yes",$AF31="Yes",$AL31="Yes"),"Yes","No"))</f>
        <v/>
      </c>
      <c r="AS31" s="158">
        <f>IF($A31="","",IFERROR(IF($AM31&lt;&gt;"",$AM31,IF($AG31&lt;&gt;"",$AG31,IF($AA31&lt;&gt;"",$AA31,IF($U31&lt;&gt;"",$U31,IF($O31&lt;&gt;"",$O31,""))))),""))</f>
        <v/>
      </c>
      <c r="AT31" s="158">
        <f>IFERROR(IF($AN31&lt;&gt;"",$AN31,IF($AH31&lt;&gt;"",$AH31,IF($AB31&lt;&gt;"",$AB31,IF($V31&lt;&gt;"",$V31,IF($P31&lt;&gt;"",$P31,""))))),"")</f>
        <v/>
      </c>
      <c r="AU31" s="265" t="inlineStr">
        <is>
          <t>Căn cứ: `OPR-08` §D7 L344 + `OPR-09` §D7 L345. Nhánh huỷ nhận sau "Đang giao" bị chặn — verify ở `TC-CNL-*`.</t>
        </is>
      </c>
    </row>
    <row r="32" ht="15.75" customHeight="1" s="216">
      <c r="A32" s="160">
        <f>IF($F32="","",$C$2&amp;"."&amp;COUNTA($F$7:$F32)&amp;"")</f>
        <v/>
      </c>
      <c r="B32" s="160" t="inlineStr">
        <is>
          <t>REQ-ASN-012</t>
        </is>
      </c>
      <c r="C32" s="160" t="inlineStr">
        <is>
          <t>DOC-v1.0-06</t>
        </is>
      </c>
      <c r="D32" s="160" t="inlineStr">
        <is>
          <t>Functional</t>
        </is>
      </c>
      <c r="E32" s="160" t="inlineStr">
        <is>
          <t>Low</t>
        </is>
      </c>
      <c r="F32" s="11" t="inlineStr">
        <is>
          <t>Check đăng hai tin NEED liên tiếp tạo ra hai tin độc lập trên Bảng tin</t>
        </is>
      </c>
      <c r="G32" s="11" t="inlineStr">
        <is>
          <t>Hai tài khoản CBNV trên STG (A người đăng, B người xem).
Test Data: 2 tin NEED liên tiếp cùng tài khoản (test_data_catalog §ASN)</t>
        </is>
      </c>
      <c r="H32" s="11" t="inlineStr">
        <is>
          <t>1. Đăng nhập bằng tài khoản A, đăng tin NEED thứ nhất qua wizard "+ Đăng tin" với loại hàng "Giấy tờ, hồ sơ" và ghi lại tuyến đường. (setup)
2. Vẫn bằng tài khoản A, đăng tin NEED thứ hai với tuyến đường khác tin thứ nhất và ghi lại, rồi đăng xuất. (setup)
3. Đăng nhập bằng tài khoản B, nhấn tab "Bảng tin".
4. Đếm và đối chiếu các tin của tài khoản A trong danh sách.</t>
        </is>
      </c>
      <c r="I32" s="11" t="inlineStr">
        <is>
          <t>4. Danh sách có đúng 2 tin riêng của tài khoản A, tuyến đường khớp với 2 tin đã ghi ở bước 1 và bước 2; tin thứ hai KHÔNG ghi đè tin thứ nhất.</t>
        </is>
      </c>
      <c r="J32" s="160" t="inlineStr">
        <is>
          <t>AI</t>
        </is>
      </c>
      <c r="K32" s="160" t="inlineStr">
        <is>
          <t>Pending</t>
        </is>
      </c>
      <c r="L32" s="160" t="inlineStr">
        <is>
          <t>No</t>
        </is>
      </c>
      <c r="M32" s="160" t="inlineStr"/>
      <c r="N32" s="264" t="inlineStr">
        <is>
          <t>Yes</t>
        </is>
      </c>
      <c r="O32" s="264" t="inlineStr"/>
      <c r="P32" s="264" t="inlineStr">
        <is>
          <t>Pass</t>
        </is>
      </c>
      <c r="Q32" s="264" t="inlineStr">
        <is>
          <t>GiangDC2</t>
        </is>
      </c>
      <c r="R32" s="264" t="inlineStr"/>
      <c r="S32" s="264" t="inlineStr"/>
      <c r="T32" s="264" t="n"/>
      <c r="U32" s="264" t="n"/>
      <c r="V32" s="264" t="n"/>
      <c r="W32" s="264" t="n"/>
      <c r="X32" s="264" t="n"/>
      <c r="Y32" s="264" t="n"/>
      <c r="Z32" s="264" t="n"/>
      <c r="AA32" s="264" t="n"/>
      <c r="AB32" s="264" t="n"/>
      <c r="AC32" s="264" t="n"/>
      <c r="AD32" s="264" t="n"/>
      <c r="AE32" s="264" t="n"/>
      <c r="AF32" s="264" t="n"/>
      <c r="AG32" s="264" t="n"/>
      <c r="AH32" s="264" t="n"/>
      <c r="AI32" s="264" t="n"/>
      <c r="AJ32" s="264" t="n"/>
      <c r="AK32" s="264" t="n"/>
      <c r="AL32" s="264" t="n"/>
      <c r="AM32" s="264" t="n"/>
      <c r="AN32" s="264" t="n"/>
      <c r="AO32" s="264" t="n"/>
      <c r="AP32" s="264" t="n"/>
      <c r="AQ32" s="264" t="n"/>
      <c r="AR32" s="158">
        <f>IF($A32="","",IF(OR($N32="Yes",$T32="Yes",$Z32="Yes",$AF32="Yes",$AL32="Yes"),"Yes","No"))</f>
        <v/>
      </c>
      <c r="AS32" s="158">
        <f>IF($A32="","",IFERROR(IF($AM32&lt;&gt;"",$AM32,IF($AG32&lt;&gt;"",$AG32,IF($AA32&lt;&gt;"",$AA32,IF($U32&lt;&gt;"",$U32,IF($O32&lt;&gt;"",$O32,""))))),""))</f>
        <v/>
      </c>
      <c r="AT32" s="158">
        <f>IFERROR(IF($AN32&lt;&gt;"",$AN32,IF($AH32&lt;&gt;"",$AH32,IF($AB32&lt;&gt;"",$AB32,IF($V32&lt;&gt;"",$V32,IF($P32&lt;&gt;"",$P32,""))))),"")</f>
        <v/>
      </c>
      <c r="AU32" s="265" t="inlineStr">
        <is>
          <t>Mục đích: neo vào `C-ASN-03` Open — nghi vấn wizard không tạo listing độc lập. · Căn cứ: `DOC-v1.0-02` §7 dòng 3 ghi "Đăng tin mới sẽ ghi đè đơn đang có" nhưng đó là **giới hạn bản demo**, không phải rule nghiệp vụ (`KB-ASN-05`); assert theo hành vi nghiệp vụ đúng. App ghi đè tin cũ ⇒ FAIL và dẫn `C-ASN-03` để BA xác nhận là giới hạn demo hay bug thật.</t>
        </is>
      </c>
    </row>
    <row r="33" ht="15.75" customHeight="1" s="216">
      <c r="A33" s="160" t="n"/>
      <c r="B33" s="160" t="n"/>
      <c r="C33" s="160" t="n"/>
      <c r="D33" s="160" t="n"/>
      <c r="E33" s="160" t="n"/>
      <c r="F33" s="160" t="n"/>
      <c r="G33" s="160" t="n"/>
      <c r="H33" s="160" t="n"/>
      <c r="I33" s="160" t="n"/>
      <c r="J33" s="160" t="n"/>
      <c r="K33" s="160" t="n"/>
      <c r="L33" s="160" t="n"/>
      <c r="M33" s="160" t="n"/>
      <c r="N33" s="160" t="n"/>
      <c r="O33" s="160" t="n"/>
      <c r="P33" s="160" t="n"/>
      <c r="Q33" s="160"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61" t="n"/>
      <c r="AS33" s="161" t="n"/>
      <c r="AT33" s="1" t="n"/>
      <c r="AU33" s="1" t="n"/>
    </row>
    <row r="34" ht="15.75" customHeight="1" s="216">
      <c r="A34" s="160" t="n"/>
      <c r="B34" s="160" t="n"/>
      <c r="C34" s="160" t="n"/>
      <c r="D34" s="160" t="n"/>
      <c r="E34" s="160" t="n"/>
      <c r="F34" s="160" t="n"/>
      <c r="G34" s="160" t="n"/>
      <c r="H34" s="160" t="n"/>
      <c r="I34" s="160" t="n"/>
      <c r="J34" s="160" t="n"/>
      <c r="K34" s="160" t="n"/>
      <c r="L34" s="160" t="n"/>
      <c r="M34" s="160" t="n"/>
      <c r="N34" s="160" t="n"/>
      <c r="O34" s="160" t="n"/>
      <c r="P34" s="160" t="n"/>
      <c r="Q34" s="160"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61" t="n"/>
      <c r="AS34" s="161" t="n"/>
      <c r="AT34" s="1" t="n"/>
      <c r="AU34" s="1" t="n"/>
    </row>
    <row r="35" ht="15.75" customHeight="1" s="216">
      <c r="A35" s="160" t="n"/>
      <c r="B35" s="160" t="n"/>
      <c r="C35" s="160" t="n"/>
      <c r="D35" s="160" t="n"/>
      <c r="E35" s="160" t="n"/>
      <c r="F35" s="160" t="n"/>
      <c r="G35" s="160" t="n"/>
      <c r="H35" s="160" t="n"/>
      <c r="I35" s="160" t="n"/>
      <c r="J35" s="160" t="n"/>
      <c r="K35" s="160" t="n"/>
      <c r="L35" s="160" t="n"/>
      <c r="M35" s="160" t="n"/>
      <c r="N35" s="160" t="n"/>
      <c r="O35" s="160" t="n"/>
      <c r="P35" s="160" t="n"/>
      <c r="Q35" s="160"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61" t="n"/>
      <c r="AS35" s="161" t="n"/>
      <c r="AT35" s="1" t="n"/>
      <c r="AU35" s="1" t="n"/>
    </row>
    <row r="36" ht="15.75" customHeight="1" s="216">
      <c r="A36" s="160" t="n"/>
      <c r="B36" s="160" t="n"/>
      <c r="C36" s="160" t="n"/>
      <c r="D36" s="160" t="n"/>
      <c r="E36" s="160" t="n"/>
      <c r="F36" s="160" t="n"/>
      <c r="G36" s="160" t="n"/>
      <c r="H36" s="160" t="n"/>
      <c r="I36" s="160" t="n"/>
      <c r="J36" s="160" t="n"/>
      <c r="K36" s="160" t="n"/>
      <c r="L36" s="160" t="n"/>
      <c r="M36" s="160" t="n"/>
      <c r="N36" s="160" t="n"/>
      <c r="O36" s="160" t="n"/>
      <c r="P36" s="160" t="n"/>
      <c r="Q36" s="160"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61" t="n"/>
      <c r="AS36" s="161" t="n"/>
      <c r="AT36" s="1" t="n"/>
      <c r="AU36" s="1" t="n"/>
    </row>
    <row r="37" ht="15.75" customHeight="1" s="216">
      <c r="A37" s="160" t="n"/>
      <c r="B37" s="160" t="n"/>
      <c r="C37" s="160" t="n"/>
      <c r="D37" s="160" t="n"/>
      <c r="E37" s="160" t="n"/>
      <c r="F37" s="160" t="n"/>
      <c r="G37" s="160" t="n"/>
      <c r="H37" s="160" t="n"/>
      <c r="I37" s="160" t="n"/>
      <c r="J37" s="160" t="n"/>
      <c r="K37" s="160" t="n"/>
      <c r="L37" s="160" t="n"/>
      <c r="M37" s="160" t="n"/>
      <c r="N37" s="160" t="n"/>
      <c r="O37" s="160" t="n"/>
      <c r="P37" s="160" t="n"/>
      <c r="Q37" s="160"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61" t="n"/>
      <c r="AS37" s="161" t="n"/>
      <c r="AT37" s="1" t="n"/>
      <c r="AU37" s="1" t="n"/>
    </row>
    <row r="38" ht="15.75" customHeight="1" s="216">
      <c r="A38" s="160" t="n"/>
      <c r="B38" s="160" t="n"/>
      <c r="C38" s="160" t="n"/>
      <c r="D38" s="160" t="n"/>
      <c r="E38" s="160" t="n"/>
      <c r="F38" s="160" t="n"/>
      <c r="G38" s="160" t="n"/>
      <c r="H38" s="160" t="n"/>
      <c r="I38" s="160" t="n"/>
      <c r="J38" s="160" t="n"/>
      <c r="K38" s="160" t="n"/>
      <c r="L38" s="160" t="n"/>
      <c r="M38" s="160" t="n"/>
      <c r="N38" s="160" t="n"/>
      <c r="O38" s="160" t="n"/>
      <c r="P38" s="160" t="n"/>
      <c r="Q38" s="160"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61" t="n"/>
      <c r="AS38" s="161" t="n"/>
      <c r="AT38" s="1" t="n"/>
      <c r="AU38" s="1" t="n"/>
    </row>
    <row r="39" ht="15.75" customHeight="1" s="216">
      <c r="A39" s="160" t="n"/>
      <c r="B39" s="160" t="n"/>
      <c r="C39" s="160" t="n"/>
      <c r="D39" s="160" t="n"/>
      <c r="E39" s="160" t="n"/>
      <c r="F39" s="160" t="n"/>
      <c r="G39" s="160" t="n"/>
      <c r="H39" s="160" t="n"/>
      <c r="I39" s="160" t="n"/>
      <c r="J39" s="160" t="n"/>
      <c r="K39" s="160" t="n"/>
      <c r="L39" s="160" t="n"/>
      <c r="M39" s="160" t="n"/>
      <c r="N39" s="160" t="n"/>
      <c r="O39" s="160" t="n"/>
      <c r="P39" s="160" t="n"/>
      <c r="Q39" s="160"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61" t="n"/>
      <c r="AS39" s="161" t="n"/>
      <c r="AT39" s="1" t="n"/>
      <c r="AU39" s="1" t="n"/>
    </row>
    <row r="40" ht="15.75" customHeight="1" s="216">
      <c r="A40" s="160" t="n"/>
      <c r="B40" s="160" t="n"/>
      <c r="C40" s="160" t="n"/>
      <c r="D40" s="160" t="n"/>
      <c r="E40" s="160" t="n"/>
      <c r="F40" s="160" t="n"/>
      <c r="G40" s="160" t="n"/>
      <c r="H40" s="160" t="n"/>
      <c r="I40" s="160" t="n"/>
      <c r="J40" s="160" t="n"/>
      <c r="K40" s="160" t="n"/>
      <c r="L40" s="160" t="n"/>
      <c r="M40" s="160" t="n"/>
      <c r="N40" s="160" t="n"/>
      <c r="O40" s="160" t="n"/>
      <c r="P40" s="160" t="n"/>
      <c r="Q40" s="160"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61" t="n"/>
      <c r="AS40" s="161" t="n"/>
      <c r="AT40" s="1" t="n"/>
      <c r="AU40" s="1" t="n"/>
    </row>
    <row r="41" ht="15.75" customHeight="1" s="216">
      <c r="A41" s="160" t="n"/>
      <c r="B41" s="160" t="n"/>
      <c r="C41" s="160" t="n"/>
      <c r="D41" s="160" t="n"/>
      <c r="E41" s="160" t="n"/>
      <c r="F41" s="160" t="n"/>
      <c r="G41" s="160" t="n"/>
      <c r="H41" s="160" t="n"/>
      <c r="I41" s="160" t="n"/>
      <c r="J41" s="160" t="n"/>
      <c r="K41" s="160" t="n"/>
      <c r="L41" s="160" t="n"/>
      <c r="M41" s="160" t="n"/>
      <c r="N41" s="160" t="n"/>
      <c r="O41" s="160" t="n"/>
      <c r="P41" s="160" t="n"/>
      <c r="Q41" s="160"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61" t="n"/>
      <c r="AS41" s="161" t="n"/>
      <c r="AT41" s="1" t="n"/>
      <c r="AU41" s="1" t="n"/>
    </row>
    <row r="42" ht="15.75" customHeight="1" s="216">
      <c r="A42" s="160" t="n"/>
      <c r="B42" s="160" t="n"/>
      <c r="C42" s="160" t="n"/>
      <c r="D42" s="160" t="n"/>
      <c r="E42" s="160" t="n"/>
      <c r="F42" s="160" t="n"/>
      <c r="G42" s="160" t="n"/>
      <c r="H42" s="160" t="n"/>
      <c r="I42" s="160" t="n"/>
      <c r="J42" s="160" t="n"/>
      <c r="K42" s="160" t="n"/>
      <c r="L42" s="160" t="n"/>
      <c r="M42" s="160" t="n"/>
      <c r="N42" s="160" t="n"/>
      <c r="O42" s="160" t="n"/>
      <c r="P42" s="160" t="n"/>
      <c r="Q42" s="160"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61" t="n"/>
      <c r="AS42" s="161" t="n"/>
      <c r="AT42" s="1" t="n"/>
      <c r="AU42" s="1" t="n"/>
    </row>
    <row r="43" ht="15.75" customHeight="1" s="216">
      <c r="A43" s="160" t="n"/>
      <c r="B43" s="160" t="n"/>
      <c r="C43" s="160" t="n"/>
      <c r="D43" s="160" t="n"/>
      <c r="E43" s="160" t="n"/>
      <c r="F43" s="160" t="n"/>
      <c r="G43" s="160" t="n"/>
      <c r="H43" s="160" t="n"/>
      <c r="I43" s="160" t="n"/>
      <c r="J43" s="160" t="n"/>
      <c r="K43" s="160" t="n"/>
      <c r="L43" s="160" t="n"/>
      <c r="M43" s="160" t="n"/>
      <c r="N43" s="160" t="n"/>
      <c r="O43" s="160" t="n"/>
      <c r="P43" s="160" t="n"/>
      <c r="Q43" s="160"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61" t="n"/>
      <c r="AS43" s="161" t="n"/>
      <c r="AT43" s="1" t="n"/>
      <c r="AU43" s="1" t="n"/>
    </row>
    <row r="44" ht="15.75" customHeight="1" s="216">
      <c r="A44" s="160" t="n"/>
      <c r="B44" s="160" t="n"/>
      <c r="C44" s="160" t="n"/>
      <c r="D44" s="160" t="n"/>
      <c r="E44" s="160" t="n"/>
      <c r="F44" s="160" t="n"/>
      <c r="G44" s="160" t="n"/>
      <c r="H44" s="160" t="n"/>
      <c r="I44" s="160" t="n"/>
      <c r="J44" s="160" t="n"/>
      <c r="K44" s="160" t="n"/>
      <c r="L44" s="160" t="n"/>
      <c r="M44" s="160" t="n"/>
      <c r="N44" s="160" t="n"/>
      <c r="O44" s="160" t="n"/>
      <c r="P44" s="160" t="n"/>
      <c r="Q44" s="160"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61" t="n"/>
      <c r="AS44" s="161" t="n"/>
      <c r="AT44" s="1" t="n"/>
      <c r="AU44" s="1" t="n"/>
    </row>
    <row r="45" ht="15.75" customHeight="1" s="216">
      <c r="A45" s="160" t="n"/>
      <c r="B45" s="160" t="n"/>
      <c r="C45" s="160" t="n"/>
      <c r="D45" s="160" t="n"/>
      <c r="E45" s="160" t="n"/>
      <c r="F45" s="160" t="n"/>
      <c r="G45" s="160" t="n"/>
      <c r="H45" s="160" t="n"/>
      <c r="I45" s="160" t="n"/>
      <c r="J45" s="160" t="n"/>
      <c r="K45" s="160" t="n"/>
      <c r="L45" s="160" t="n"/>
      <c r="M45" s="160" t="n"/>
      <c r="N45" s="160" t="n"/>
      <c r="O45" s="160" t="n"/>
      <c r="P45" s="160" t="n"/>
      <c r="Q45" s="160"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61" t="n"/>
      <c r="AS45" s="161" t="n"/>
      <c r="AT45" s="1" t="n"/>
      <c r="AU45" s="1" t="n"/>
    </row>
    <row r="46" ht="15.75" customHeight="1" s="216">
      <c r="A46" s="160" t="n"/>
      <c r="B46" s="160" t="n"/>
      <c r="C46" s="160" t="n"/>
      <c r="D46" s="160" t="n"/>
      <c r="E46" s="160" t="n"/>
      <c r="F46" s="160" t="n"/>
      <c r="G46" s="160" t="n"/>
      <c r="H46" s="160" t="n"/>
      <c r="I46" s="160" t="n"/>
      <c r="J46" s="160" t="n"/>
      <c r="K46" s="160" t="n"/>
      <c r="L46" s="160" t="n"/>
      <c r="M46" s="160" t="n"/>
      <c r="N46" s="160" t="n"/>
      <c r="O46" s="160" t="n"/>
      <c r="P46" s="160" t="n"/>
      <c r="Q46" s="160"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61" t="n"/>
      <c r="AS46" s="161" t="n"/>
      <c r="AT46" s="1" t="n"/>
      <c r="AU46" s="1" t="n"/>
    </row>
    <row r="47" ht="15.75" customHeight="1" s="216">
      <c r="A47" s="160" t="n"/>
      <c r="B47" s="160" t="n"/>
      <c r="C47" s="160" t="n"/>
      <c r="D47" s="160" t="n"/>
      <c r="E47" s="160" t="n"/>
      <c r="F47" s="160" t="n"/>
      <c r="G47" s="160" t="n"/>
      <c r="H47" s="160" t="n"/>
      <c r="I47" s="160" t="n"/>
      <c r="J47" s="160" t="n"/>
      <c r="K47" s="160" t="n"/>
      <c r="L47" s="160" t="n"/>
      <c r="M47" s="160" t="n"/>
      <c r="N47" s="160" t="n"/>
      <c r="O47" s="160" t="n"/>
      <c r="P47" s="160" t="n"/>
      <c r="Q47" s="160"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61" t="n"/>
      <c r="AS47" s="161" t="n"/>
      <c r="AT47" s="1" t="n"/>
      <c r="AU47" s="1" t="n"/>
    </row>
    <row r="48" ht="15.75" customHeight="1" s="216">
      <c r="A48" s="160" t="n"/>
      <c r="B48" s="160" t="n"/>
      <c r="C48" s="160" t="n"/>
      <c r="D48" s="160" t="n"/>
      <c r="E48" s="160" t="n"/>
      <c r="F48" s="160" t="n"/>
      <c r="G48" s="160" t="n"/>
      <c r="H48" s="160" t="n"/>
      <c r="I48" s="160" t="n"/>
      <c r="J48" s="160" t="n"/>
      <c r="K48" s="160" t="n"/>
      <c r="L48" s="160" t="n"/>
      <c r="M48" s="160" t="n"/>
      <c r="N48" s="160" t="n"/>
      <c r="O48" s="160" t="n"/>
      <c r="P48" s="160" t="n"/>
      <c r="Q48" s="160"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61" t="n"/>
      <c r="AS48" s="161" t="n"/>
      <c r="AT48" s="1" t="n"/>
      <c r="AU48" s="1" t="n"/>
    </row>
    <row r="49" ht="15.75" customHeight="1" s="216">
      <c r="A49" s="160" t="n"/>
      <c r="B49" s="160" t="n"/>
      <c r="C49" s="160" t="n"/>
      <c r="D49" s="160" t="n"/>
      <c r="E49" s="160" t="n"/>
      <c r="F49" s="160" t="n"/>
      <c r="G49" s="160" t="n"/>
      <c r="H49" s="160" t="n"/>
      <c r="I49" s="160" t="n"/>
      <c r="J49" s="160" t="n"/>
      <c r="K49" s="160" t="n"/>
      <c r="L49" s="160" t="n"/>
      <c r="M49" s="160" t="n"/>
      <c r="N49" s="160" t="n"/>
      <c r="O49" s="160" t="n"/>
      <c r="P49" s="160" t="n"/>
      <c r="Q49" s="160"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61" t="n"/>
      <c r="AS49" s="161" t="n"/>
      <c r="AT49" s="1" t="n"/>
      <c r="AU49" s="1" t="n"/>
    </row>
    <row r="50" ht="15.75" customHeight="1" s="216">
      <c r="A50" s="160" t="n"/>
      <c r="B50" s="160" t="n"/>
      <c r="C50" s="160" t="n"/>
      <c r="D50" s="160" t="n"/>
      <c r="E50" s="160" t="n"/>
      <c r="F50" s="160" t="n"/>
      <c r="G50" s="160" t="n"/>
      <c r="H50" s="160" t="n"/>
      <c r="I50" s="160" t="n"/>
      <c r="J50" s="160" t="n"/>
      <c r="K50" s="160" t="n"/>
      <c r="L50" s="160" t="n"/>
      <c r="M50" s="160" t="n"/>
      <c r="N50" s="160" t="n"/>
      <c r="O50" s="160" t="n"/>
      <c r="P50" s="160" t="n"/>
      <c r="Q50" s="160"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61" t="n"/>
      <c r="AS50" s="161" t="n"/>
      <c r="AT50" s="1" t="n"/>
      <c r="AU50" s="1" t="n"/>
    </row>
    <row r="51" ht="15.75" customHeight="1" s="216">
      <c r="A51" s="160" t="n"/>
      <c r="B51" s="160" t="n"/>
      <c r="C51" s="160" t="n"/>
      <c r="D51" s="160" t="n"/>
      <c r="E51" s="160" t="n"/>
      <c r="F51" s="160" t="n"/>
      <c r="G51" s="160" t="n"/>
      <c r="H51" s="160" t="n"/>
      <c r="I51" s="160" t="n"/>
      <c r="J51" s="160" t="n"/>
      <c r="K51" s="160" t="n"/>
      <c r="L51" s="160" t="n"/>
      <c r="M51" s="160" t="n"/>
      <c r="N51" s="160" t="n"/>
      <c r="O51" s="160" t="n"/>
      <c r="P51" s="160" t="n"/>
      <c r="Q51" s="160"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61" t="n"/>
      <c r="AS51" s="161" t="n"/>
      <c r="AT51" s="1" t="n"/>
      <c r="AU51" s="1" t="n"/>
    </row>
    <row r="52" ht="15.75" customHeight="1" s="216">
      <c r="A52" s="160" t="n"/>
      <c r="B52" s="160" t="n"/>
      <c r="C52" s="160" t="n"/>
      <c r="D52" s="160" t="n"/>
      <c r="E52" s="160" t="n"/>
      <c r="F52" s="160" t="n"/>
      <c r="G52" s="160" t="n"/>
      <c r="H52" s="160" t="n"/>
      <c r="I52" s="160" t="n"/>
      <c r="J52" s="160" t="n"/>
      <c r="K52" s="160" t="n"/>
      <c r="L52" s="160" t="n"/>
      <c r="M52" s="160" t="n"/>
      <c r="N52" s="160" t="n"/>
      <c r="O52" s="160" t="n"/>
      <c r="P52" s="160" t="n"/>
      <c r="Q52" s="160"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61" t="n"/>
      <c r="AS52" s="161" t="n"/>
      <c r="AT52" s="1" t="n"/>
      <c r="AU52" s="1" t="n"/>
    </row>
    <row r="53" ht="15.75" customHeight="1" s="216">
      <c r="A53" s="160" t="n"/>
      <c r="B53" s="160" t="n"/>
      <c r="C53" s="160" t="n"/>
      <c r="D53" s="160" t="n"/>
      <c r="E53" s="160" t="n"/>
      <c r="F53" s="160" t="n"/>
      <c r="G53" s="160" t="n"/>
      <c r="H53" s="160" t="n"/>
      <c r="I53" s="160" t="n"/>
      <c r="J53" s="160" t="n"/>
      <c r="K53" s="160" t="n"/>
      <c r="L53" s="160" t="n"/>
      <c r="M53" s="160" t="n"/>
      <c r="N53" s="160" t="n"/>
      <c r="O53" s="160" t="n"/>
      <c r="P53" s="160" t="n"/>
      <c r="Q53" s="160"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61" t="n"/>
      <c r="AS53" s="161" t="n"/>
      <c r="AT53" s="1" t="n"/>
      <c r="AU53" s="1" t="n"/>
    </row>
    <row r="54" ht="15.75" customHeight="1" s="216">
      <c r="A54" s="160" t="n"/>
      <c r="B54" s="160" t="n"/>
      <c r="C54" s="160" t="n"/>
      <c r="D54" s="160" t="n"/>
      <c r="E54" s="160" t="n"/>
      <c r="F54" s="160" t="n"/>
      <c r="G54" s="160" t="n"/>
      <c r="H54" s="160" t="n"/>
      <c r="I54" s="160" t="n"/>
      <c r="J54" s="160" t="n"/>
      <c r="K54" s="160" t="n"/>
      <c r="L54" s="160" t="n"/>
      <c r="M54" s="160" t="n"/>
      <c r="N54" s="160" t="n"/>
      <c r="O54" s="160" t="n"/>
      <c r="P54" s="160" t="n"/>
      <c r="Q54" s="160"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61" t="n"/>
      <c r="AS54" s="161" t="n"/>
      <c r="AT54" s="1" t="n"/>
      <c r="AU54" s="1" t="n"/>
    </row>
    <row r="55" ht="15.75" customHeight="1" s="216">
      <c r="A55" s="160" t="n"/>
      <c r="B55" s="160" t="n"/>
      <c r="C55" s="160" t="n"/>
      <c r="D55" s="160" t="n"/>
      <c r="E55" s="160" t="n"/>
      <c r="F55" s="160" t="n"/>
      <c r="G55" s="160" t="n"/>
      <c r="H55" s="160" t="n"/>
      <c r="I55" s="160" t="n"/>
      <c r="J55" s="160" t="n"/>
      <c r="K55" s="160" t="n"/>
      <c r="L55" s="160" t="n"/>
      <c r="M55" s="160" t="n"/>
      <c r="N55" s="160" t="n"/>
      <c r="O55" s="160" t="n"/>
      <c r="P55" s="160" t="n"/>
      <c r="Q55" s="160"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61" t="n"/>
      <c r="AS55" s="161" t="n"/>
      <c r="AT55" s="1" t="n"/>
      <c r="AU55" s="1" t="n"/>
    </row>
    <row r="56" ht="15.75" customHeight="1" s="216">
      <c r="A56" s="160" t="n"/>
      <c r="B56" s="160" t="n"/>
      <c r="C56" s="160" t="n"/>
      <c r="D56" s="160" t="n"/>
      <c r="E56" s="160" t="n"/>
      <c r="F56" s="160" t="n"/>
      <c r="G56" s="160" t="n"/>
      <c r="H56" s="160" t="n"/>
      <c r="I56" s="160" t="n"/>
      <c r="J56" s="160" t="n"/>
      <c r="K56" s="160" t="n"/>
      <c r="L56" s="160" t="n"/>
      <c r="M56" s="160" t="n"/>
      <c r="N56" s="160" t="n"/>
      <c r="O56" s="160" t="n"/>
      <c r="P56" s="160" t="n"/>
      <c r="Q56" s="160"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61" t="n"/>
      <c r="AS56" s="161" t="n"/>
      <c r="AT56" s="1" t="n"/>
      <c r="AU56" s="1" t="n"/>
    </row>
    <row r="57" ht="15.75" customHeight="1" s="216">
      <c r="A57" s="160" t="n"/>
      <c r="B57" s="160" t="n"/>
      <c r="C57" s="160" t="n"/>
      <c r="D57" s="160" t="n"/>
      <c r="E57" s="160" t="n"/>
      <c r="F57" s="160" t="n"/>
      <c r="G57" s="160" t="n"/>
      <c r="H57" s="160" t="n"/>
      <c r="I57" s="160" t="n"/>
      <c r="J57" s="160" t="n"/>
      <c r="K57" s="160" t="n"/>
      <c r="L57" s="160" t="n"/>
      <c r="M57" s="160" t="n"/>
      <c r="N57" s="160" t="n"/>
      <c r="O57" s="160" t="n"/>
      <c r="P57" s="160" t="n"/>
      <c r="Q57" s="160"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61" t="n"/>
      <c r="AS57" s="161" t="n"/>
      <c r="AT57" s="1" t="n"/>
      <c r="AU57" s="1" t="n"/>
    </row>
    <row r="58" ht="15.75" customHeight="1" s="216">
      <c r="A58" s="160" t="n"/>
      <c r="B58" s="160" t="n"/>
      <c r="C58" s="160" t="n"/>
      <c r="D58" s="160" t="n"/>
      <c r="E58" s="160" t="n"/>
      <c r="F58" s="160" t="n"/>
      <c r="G58" s="160" t="n"/>
      <c r="H58" s="160" t="n"/>
      <c r="I58" s="160" t="n"/>
      <c r="J58" s="160" t="n"/>
      <c r="K58" s="160" t="n"/>
      <c r="L58" s="160" t="n"/>
      <c r="M58" s="160" t="n"/>
      <c r="N58" s="160" t="n"/>
      <c r="O58" s="160" t="n"/>
      <c r="P58" s="160" t="n"/>
      <c r="Q58" s="160"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61" t="n"/>
      <c r="AS58" s="161" t="n"/>
      <c r="AT58" s="1" t="n"/>
      <c r="AU58" s="1" t="n"/>
    </row>
    <row r="59" ht="15.75" customHeight="1" s="216">
      <c r="A59" s="160" t="n"/>
      <c r="B59" s="160" t="n"/>
      <c r="C59" s="160" t="n"/>
      <c r="D59" s="160" t="n"/>
      <c r="E59" s="160" t="n"/>
      <c r="F59" s="160" t="n"/>
      <c r="G59" s="160" t="n"/>
      <c r="H59" s="160" t="n"/>
      <c r="I59" s="160" t="n"/>
      <c r="J59" s="160" t="n"/>
      <c r="K59" s="160" t="n"/>
      <c r="L59" s="160" t="n"/>
      <c r="M59" s="160" t="n"/>
      <c r="N59" s="160" t="n"/>
      <c r="O59" s="160" t="n"/>
      <c r="P59" s="160" t="n"/>
      <c r="Q59" s="160"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61" t="n"/>
      <c r="AS59" s="161" t="n"/>
      <c r="AT59" s="1" t="n"/>
      <c r="AU59" s="1" t="n"/>
    </row>
    <row r="60" ht="15.75" customHeight="1" s="216">
      <c r="A60" s="160" t="n"/>
      <c r="B60" s="160" t="n"/>
      <c r="C60" s="160" t="n"/>
      <c r="D60" s="160" t="n"/>
      <c r="E60" s="160" t="n"/>
      <c r="F60" s="160" t="n"/>
      <c r="G60" s="160" t="n"/>
      <c r="H60" s="160" t="n"/>
      <c r="I60" s="160" t="n"/>
      <c r="J60" s="160" t="n"/>
      <c r="K60" s="160" t="n"/>
      <c r="L60" s="160" t="n"/>
      <c r="M60" s="160" t="n"/>
      <c r="N60" s="160" t="n"/>
      <c r="O60" s="160" t="n"/>
      <c r="P60" s="160" t="n"/>
      <c r="Q60" s="160"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61" t="n"/>
      <c r="AS60" s="161" t="n"/>
      <c r="AT60" s="1" t="n"/>
      <c r="AU60" s="1" t="n"/>
    </row>
    <row r="61" ht="15.75" customHeight="1" s="216">
      <c r="A61" s="1" t="n"/>
      <c r="B61" s="1" t="n"/>
      <c r="C61" s="1" t="n"/>
      <c r="D61" s="1" t="n"/>
      <c r="E61" s="181" t="n"/>
      <c r="F61" s="181" t="n"/>
      <c r="G61" s="1" t="n"/>
      <c r="H61" s="1" t="n"/>
      <c r="I61" s="1" t="n"/>
      <c r="J61" s="1" t="n"/>
      <c r="K61" s="181" t="n"/>
      <c r="L61" s="181" t="n"/>
      <c r="M61" s="181" t="n"/>
      <c r="N61" s="1" t="n"/>
      <c r="O61" s="181" t="n"/>
      <c r="P61" s="181" t="n"/>
      <c r="Q61" s="18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row>
    <row r="62" ht="15.75" customHeight="1" s="216">
      <c r="A62" s="1" t="n"/>
      <c r="B62" s="1" t="n"/>
      <c r="C62" s="1" t="n"/>
      <c r="D62" s="1" t="n"/>
      <c r="E62" s="181" t="n"/>
      <c r="F62" s="181" t="n"/>
      <c r="G62" s="1" t="n"/>
      <c r="H62" s="1" t="n"/>
      <c r="I62" s="1" t="n"/>
      <c r="J62" s="1" t="n"/>
      <c r="K62" s="181" t="n"/>
      <c r="L62" s="181" t="n"/>
      <c r="M62" s="181" t="n"/>
      <c r="N62" s="1" t="n"/>
      <c r="O62" s="181" t="n"/>
      <c r="P62" s="181" t="n"/>
      <c r="Q62" s="18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row>
    <row r="63" ht="15.75" customHeight="1" s="216">
      <c r="A63" s="1" t="n"/>
      <c r="B63" s="1" t="n"/>
      <c r="C63" s="1" t="n"/>
      <c r="D63" s="1" t="n"/>
      <c r="E63" s="181" t="n"/>
      <c r="F63" s="181" t="n"/>
      <c r="G63" s="1" t="n"/>
      <c r="H63" s="1" t="n"/>
      <c r="I63" s="1" t="n"/>
      <c r="J63" s="1" t="n"/>
      <c r="K63" s="181" t="n"/>
      <c r="L63" s="181" t="n"/>
      <c r="M63" s="181" t="n"/>
      <c r="N63" s="1" t="n"/>
      <c r="O63" s="181" t="n"/>
      <c r="P63" s="181" t="n"/>
      <c r="Q63" s="18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row>
    <row r="64" ht="15.75" customHeight="1" s="216">
      <c r="A64" s="1" t="n"/>
      <c r="B64" s="1" t="n"/>
      <c r="C64" s="1" t="n"/>
      <c r="D64" s="1" t="n"/>
      <c r="E64" s="181" t="n"/>
      <c r="F64" s="181" t="n"/>
      <c r="G64" s="1" t="n"/>
      <c r="H64" s="1" t="n"/>
      <c r="I64" s="1" t="n"/>
      <c r="J64" s="1" t="n"/>
      <c r="K64" s="181" t="n"/>
      <c r="L64" s="181" t="n"/>
      <c r="M64" s="181" t="n"/>
      <c r="N64" s="1" t="n"/>
      <c r="O64" s="181" t="n"/>
      <c r="P64" s="181" t="n"/>
      <c r="Q64" s="18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row>
    <row r="65" ht="15.75" customHeight="1" s="216">
      <c r="A65" s="1" t="n"/>
      <c r="B65" s="1" t="n"/>
      <c r="C65" s="1" t="n"/>
      <c r="D65" s="1" t="n"/>
      <c r="E65" s="181" t="n"/>
      <c r="F65" s="181" t="n"/>
      <c r="G65" s="1" t="n"/>
      <c r="H65" s="1" t="n"/>
      <c r="I65" s="1" t="n"/>
      <c r="J65" s="1" t="n"/>
      <c r="K65" s="181" t="n"/>
      <c r="L65" s="181" t="n"/>
      <c r="M65" s="181" t="n"/>
      <c r="N65" s="1" t="n"/>
      <c r="O65" s="181" t="n"/>
      <c r="P65" s="181" t="n"/>
      <c r="Q65" s="18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row>
    <row r="66" ht="15.75" customHeight="1" s="216">
      <c r="A66" s="1" t="n"/>
      <c r="B66" s="1" t="n"/>
      <c r="C66" s="1" t="n"/>
      <c r="D66" s="1" t="n"/>
      <c r="E66" s="181" t="n"/>
      <c r="F66" s="181" t="n"/>
      <c r="G66" s="1" t="n"/>
      <c r="H66" s="1" t="n"/>
      <c r="I66" s="1" t="n"/>
      <c r="J66" s="1" t="n"/>
      <c r="K66" s="181" t="n"/>
      <c r="L66" s="181" t="n"/>
      <c r="M66" s="181" t="n"/>
      <c r="N66" s="1" t="n"/>
      <c r="O66" s="181" t="n"/>
      <c r="P66" s="181" t="n"/>
      <c r="Q66" s="18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row>
    <row r="67" ht="15.75" customHeight="1" s="216">
      <c r="A67" s="1" t="n"/>
      <c r="B67" s="1" t="n"/>
      <c r="C67" s="1" t="n"/>
      <c r="D67" s="1" t="n"/>
      <c r="E67" s="181" t="n"/>
      <c r="F67" s="181" t="n"/>
      <c r="G67" s="1" t="n"/>
      <c r="H67" s="1" t="n"/>
      <c r="I67" s="1" t="n"/>
      <c r="J67" s="1" t="n"/>
      <c r="K67" s="181" t="n"/>
      <c r="L67" s="181" t="n"/>
      <c r="M67" s="181" t="n"/>
      <c r="N67" s="1" t="n"/>
      <c r="O67" s="181" t="n"/>
      <c r="P67" s="181" t="n"/>
      <c r="Q67" s="18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row>
    <row r="68" ht="15.75" customHeight="1" s="216">
      <c r="A68" s="1" t="n"/>
      <c r="B68" s="1" t="n"/>
      <c r="C68" s="1" t="n"/>
      <c r="D68" s="1" t="n"/>
      <c r="E68" s="181" t="n"/>
      <c r="F68" s="181" t="n"/>
      <c r="G68" s="1" t="n"/>
      <c r="H68" s="1" t="n"/>
      <c r="I68" s="1" t="n"/>
      <c r="J68" s="1" t="n"/>
      <c r="K68" s="181" t="n"/>
      <c r="L68" s="181" t="n"/>
      <c r="M68" s="181" t="n"/>
      <c r="N68" s="1" t="n"/>
      <c r="O68" s="181" t="n"/>
      <c r="P68" s="181" t="n"/>
      <c r="Q68" s="18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row>
    <row r="69" ht="15.75" customHeight="1" s="216">
      <c r="A69" s="1" t="n"/>
      <c r="B69" s="1" t="n"/>
      <c r="C69" s="1" t="n"/>
      <c r="D69" s="1" t="n"/>
      <c r="E69" s="181" t="n"/>
      <c r="F69" s="181" t="n"/>
      <c r="G69" s="1" t="n"/>
      <c r="H69" s="1" t="n"/>
      <c r="I69" s="1" t="n"/>
      <c r="J69" s="1" t="n"/>
      <c r="K69" s="181" t="n"/>
      <c r="L69" s="181" t="n"/>
      <c r="M69" s="181" t="n"/>
      <c r="N69" s="1" t="n"/>
      <c r="O69" s="181" t="n"/>
      <c r="P69" s="181" t="n"/>
      <c r="Q69" s="18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row>
    <row r="70" ht="15.75" customHeight="1" s="216">
      <c r="A70" s="1" t="n"/>
      <c r="B70" s="1" t="n"/>
      <c r="C70" s="1" t="n"/>
      <c r="D70" s="1" t="n"/>
      <c r="E70" s="181" t="n"/>
      <c r="F70" s="181" t="n"/>
      <c r="G70" s="1" t="n"/>
      <c r="H70" s="1" t="n"/>
      <c r="I70" s="1" t="n"/>
      <c r="J70" s="1" t="n"/>
      <c r="K70" s="181" t="n"/>
      <c r="L70" s="181" t="n"/>
      <c r="M70" s="181" t="n"/>
      <c r="N70" s="1" t="n"/>
      <c r="O70" s="181" t="n"/>
      <c r="P70" s="181" t="n"/>
      <c r="Q70" s="18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row>
    <row r="71" ht="15.75" customHeight="1" s="216">
      <c r="A71" s="1" t="n"/>
      <c r="B71" s="1" t="n"/>
      <c r="C71" s="1" t="n"/>
      <c r="D71" s="1" t="n"/>
      <c r="E71" s="181" t="n"/>
      <c r="F71" s="181" t="n"/>
      <c r="G71" s="1" t="n"/>
      <c r="H71" s="1" t="n"/>
      <c r="I71" s="1" t="n"/>
      <c r="J71" s="1" t="n"/>
      <c r="K71" s="181" t="n"/>
      <c r="L71" s="181" t="n"/>
      <c r="M71" s="181" t="n"/>
      <c r="N71" s="1" t="n"/>
      <c r="O71" s="181" t="n"/>
      <c r="P71" s="181" t="n"/>
      <c r="Q71" s="18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row>
    <row r="72" ht="15.75" customHeight="1" s="216">
      <c r="A72" s="1" t="n"/>
      <c r="B72" s="1" t="n"/>
      <c r="C72" s="1" t="n"/>
      <c r="D72" s="1" t="n"/>
      <c r="E72" s="181" t="n"/>
      <c r="F72" s="181" t="n"/>
      <c r="G72" s="1" t="n"/>
      <c r="H72" s="1" t="n"/>
      <c r="I72" s="1" t="n"/>
      <c r="J72" s="1" t="n"/>
      <c r="K72" s="181" t="n"/>
      <c r="L72" s="181" t="n"/>
      <c r="M72" s="181" t="n"/>
      <c r="N72" s="1" t="n"/>
      <c r="O72" s="181" t="n"/>
      <c r="P72" s="181" t="n"/>
      <c r="Q72" s="18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row>
    <row r="73" ht="15.75" customHeight="1" s="216">
      <c r="A73" s="1" t="n"/>
      <c r="B73" s="1" t="n"/>
      <c r="C73" s="1" t="n"/>
      <c r="D73" s="1" t="n"/>
      <c r="E73" s="181" t="n"/>
      <c r="F73" s="181" t="n"/>
      <c r="G73" s="1" t="n"/>
      <c r="H73" s="1" t="n"/>
      <c r="I73" s="1" t="n"/>
      <c r="J73" s="1" t="n"/>
      <c r="K73" s="181" t="n"/>
      <c r="L73" s="181" t="n"/>
      <c r="M73" s="181" t="n"/>
      <c r="N73" s="1" t="n"/>
      <c r="O73" s="181" t="n"/>
      <c r="P73" s="181" t="n"/>
      <c r="Q73" s="18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row>
    <row r="74" ht="15.75" customHeight="1" s="216">
      <c r="A74" s="1" t="n"/>
      <c r="B74" s="1" t="n"/>
      <c r="C74" s="1" t="n"/>
      <c r="D74" s="1" t="n"/>
      <c r="E74" s="181" t="n"/>
      <c r="F74" s="181" t="n"/>
      <c r="G74" s="1" t="n"/>
      <c r="H74" s="1" t="n"/>
      <c r="I74" s="1" t="n"/>
      <c r="J74" s="1" t="n"/>
      <c r="K74" s="181" t="n"/>
      <c r="L74" s="181" t="n"/>
      <c r="M74" s="181" t="n"/>
      <c r="N74" s="1" t="n"/>
      <c r="O74" s="181" t="n"/>
      <c r="P74" s="181" t="n"/>
      <c r="Q74" s="18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row>
    <row r="75" ht="15.75" customHeight="1" s="216">
      <c r="A75" s="1" t="n"/>
      <c r="B75" s="1" t="n"/>
      <c r="C75" s="1" t="n"/>
      <c r="D75" s="1" t="n"/>
      <c r="E75" s="181" t="n"/>
      <c r="F75" s="181" t="n"/>
      <c r="G75" s="1" t="n"/>
      <c r="H75" s="1" t="n"/>
      <c r="I75" s="1" t="n"/>
      <c r="J75" s="1" t="n"/>
      <c r="K75" s="181" t="n"/>
      <c r="L75" s="181" t="n"/>
      <c r="M75" s="181" t="n"/>
      <c r="N75" s="1" t="n"/>
      <c r="O75" s="181" t="n"/>
      <c r="P75" s="181" t="n"/>
      <c r="Q75" s="18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row>
    <row r="76" ht="15.75" customHeight="1" s="216">
      <c r="A76" s="1" t="n"/>
      <c r="B76" s="1" t="n"/>
      <c r="C76" s="1" t="n"/>
      <c r="D76" s="1" t="n"/>
      <c r="E76" s="181" t="n"/>
      <c r="F76" s="181" t="n"/>
      <c r="G76" s="1" t="n"/>
      <c r="H76" s="1" t="n"/>
      <c r="I76" s="1" t="n"/>
      <c r="J76" s="1" t="n"/>
      <c r="K76" s="181" t="n"/>
      <c r="L76" s="181" t="n"/>
      <c r="M76" s="181" t="n"/>
      <c r="N76" s="1" t="n"/>
      <c r="O76" s="181" t="n"/>
      <c r="P76" s="181" t="n"/>
      <c r="Q76" s="18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row>
    <row r="77" ht="15.75" customHeight="1" s="216">
      <c r="A77" s="1" t="n"/>
      <c r="B77" s="1" t="n"/>
      <c r="C77" s="1" t="n"/>
      <c r="D77" s="1" t="n"/>
      <c r="E77" s="181" t="n"/>
      <c r="F77" s="181" t="n"/>
      <c r="G77" s="1" t="n"/>
      <c r="H77" s="1" t="n"/>
      <c r="I77" s="1" t="n"/>
      <c r="J77" s="1" t="n"/>
      <c r="K77" s="181" t="n"/>
      <c r="L77" s="181" t="n"/>
      <c r="M77" s="181" t="n"/>
      <c r="N77" s="1" t="n"/>
      <c r="O77" s="181" t="n"/>
      <c r="P77" s="181" t="n"/>
      <c r="Q77" s="18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row>
    <row r="78" ht="15.75" customHeight="1" s="216">
      <c r="A78" s="1" t="n"/>
      <c r="B78" s="1" t="n"/>
      <c r="C78" s="1" t="n"/>
      <c r="D78" s="1" t="n"/>
      <c r="E78" s="181" t="n"/>
      <c r="F78" s="181" t="n"/>
      <c r="G78" s="1" t="n"/>
      <c r="H78" s="1" t="n"/>
      <c r="I78" s="1" t="n"/>
      <c r="J78" s="1" t="n"/>
      <c r="K78" s="181" t="n"/>
      <c r="L78" s="181" t="n"/>
      <c r="M78" s="181" t="n"/>
      <c r="N78" s="1" t="n"/>
      <c r="O78" s="181" t="n"/>
      <c r="P78" s="181" t="n"/>
      <c r="Q78" s="18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row>
    <row r="79" ht="15.75" customHeight="1" s="216">
      <c r="A79" s="1" t="n"/>
      <c r="B79" s="1" t="n"/>
      <c r="C79" s="1" t="n"/>
      <c r="D79" s="1" t="n"/>
      <c r="E79" s="181" t="n"/>
      <c r="F79" s="181" t="n"/>
      <c r="G79" s="1" t="n"/>
      <c r="H79" s="1" t="n"/>
      <c r="I79" s="1" t="n"/>
      <c r="J79" s="1" t="n"/>
      <c r="K79" s="181" t="n"/>
      <c r="L79" s="181" t="n"/>
      <c r="M79" s="181" t="n"/>
      <c r="N79" s="1" t="n"/>
      <c r="O79" s="181" t="n"/>
      <c r="P79" s="181" t="n"/>
      <c r="Q79" s="18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row>
    <row r="80" ht="15.75" customHeight="1" s="216">
      <c r="A80" s="1" t="n"/>
      <c r="B80" s="1" t="n"/>
      <c r="C80" s="1" t="n"/>
      <c r="D80" s="1" t="n"/>
      <c r="E80" s="181" t="n"/>
      <c r="F80" s="181" t="n"/>
      <c r="G80" s="1" t="n"/>
      <c r="H80" s="1" t="n"/>
      <c r="I80" s="1" t="n"/>
      <c r="J80" s="1" t="n"/>
      <c r="K80" s="181" t="n"/>
      <c r="L80" s="181" t="n"/>
      <c r="M80" s="181" t="n"/>
      <c r="N80" s="1" t="n"/>
      <c r="O80" s="181" t="n"/>
      <c r="P80" s="181" t="n"/>
      <c r="Q80" s="18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row>
    <row r="81" ht="15.75" customHeight="1" s="216">
      <c r="A81" s="1" t="n"/>
      <c r="B81" s="1" t="n"/>
      <c r="C81" s="1" t="n"/>
      <c r="D81" s="1" t="n"/>
      <c r="E81" s="181" t="n"/>
      <c r="F81" s="181" t="n"/>
      <c r="G81" s="1" t="n"/>
      <c r="H81" s="1" t="n"/>
      <c r="I81" s="1" t="n"/>
      <c r="J81" s="1" t="n"/>
      <c r="K81" s="181" t="n"/>
      <c r="L81" s="181" t="n"/>
      <c r="M81" s="181" t="n"/>
      <c r="N81" s="1" t="n"/>
      <c r="O81" s="181" t="n"/>
      <c r="P81" s="181" t="n"/>
      <c r="Q81" s="18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row>
    <row r="82" ht="15.75" customHeight="1" s="216">
      <c r="A82" s="1" t="n"/>
      <c r="B82" s="1" t="n"/>
      <c r="C82" s="1" t="n"/>
      <c r="D82" s="1" t="n"/>
      <c r="E82" s="181" t="n"/>
      <c r="F82" s="181" t="n"/>
      <c r="G82" s="1" t="n"/>
      <c r="H82" s="1" t="n"/>
      <c r="I82" s="1" t="n"/>
      <c r="J82" s="1" t="n"/>
      <c r="K82" s="181" t="n"/>
      <c r="L82" s="181" t="n"/>
      <c r="M82" s="181" t="n"/>
      <c r="N82" s="1" t="n"/>
      <c r="O82" s="181" t="n"/>
      <c r="P82" s="181" t="n"/>
      <c r="Q82" s="18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row>
    <row r="83" ht="15.75" customHeight="1" s="216">
      <c r="A83" s="1" t="n"/>
      <c r="B83" s="1" t="n"/>
      <c r="C83" s="1" t="n"/>
      <c r="D83" s="1" t="n"/>
      <c r="E83" s="181" t="n"/>
      <c r="F83" s="181" t="n"/>
      <c r="G83" s="1" t="n"/>
      <c r="H83" s="1" t="n"/>
      <c r="I83" s="1" t="n"/>
      <c r="J83" s="1" t="n"/>
      <c r="K83" s="181" t="n"/>
      <c r="L83" s="181" t="n"/>
      <c r="M83" s="181" t="n"/>
      <c r="N83" s="1" t="n"/>
      <c r="O83" s="181" t="n"/>
      <c r="P83" s="181" t="n"/>
      <c r="Q83" s="18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row>
    <row r="84" ht="15.75" customHeight="1" s="216">
      <c r="A84" s="1" t="n"/>
      <c r="B84" s="1" t="n"/>
      <c r="C84" s="1" t="n"/>
      <c r="D84" s="1" t="n"/>
      <c r="E84" s="181" t="n"/>
      <c r="F84" s="181" t="n"/>
      <c r="G84" s="1" t="n"/>
      <c r="H84" s="1" t="n"/>
      <c r="I84" s="1" t="n"/>
      <c r="J84" s="1" t="n"/>
      <c r="K84" s="181" t="n"/>
      <c r="L84" s="181" t="n"/>
      <c r="M84" s="181" t="n"/>
      <c r="N84" s="1" t="n"/>
      <c r="O84" s="181" t="n"/>
      <c r="P84" s="181" t="n"/>
      <c r="Q84" s="18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row>
    <row r="85" ht="15.75" customHeight="1" s="216">
      <c r="A85" s="1" t="n"/>
      <c r="B85" s="1" t="n"/>
      <c r="C85" s="1" t="n"/>
      <c r="D85" s="1" t="n"/>
      <c r="E85" s="181" t="n"/>
      <c r="F85" s="181" t="n"/>
      <c r="G85" s="1" t="n"/>
      <c r="H85" s="1" t="n"/>
      <c r="I85" s="1" t="n"/>
      <c r="J85" s="1" t="n"/>
      <c r="K85" s="181" t="n"/>
      <c r="L85" s="181" t="n"/>
      <c r="M85" s="181" t="n"/>
      <c r="N85" s="1" t="n"/>
      <c r="O85" s="181" t="n"/>
      <c r="P85" s="181" t="n"/>
      <c r="Q85" s="18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row>
    <row r="86" ht="15.75" customHeight="1" s="216">
      <c r="A86" s="1" t="n"/>
      <c r="B86" s="1" t="n"/>
      <c r="C86" s="1" t="n"/>
      <c r="D86" s="1" t="n"/>
      <c r="E86" s="181" t="n"/>
      <c r="F86" s="181" t="n"/>
      <c r="G86" s="1" t="n"/>
      <c r="H86" s="1" t="n"/>
      <c r="I86" s="1" t="n"/>
      <c r="J86" s="1" t="n"/>
      <c r="K86" s="181" t="n"/>
      <c r="L86" s="181" t="n"/>
      <c r="M86" s="181" t="n"/>
      <c r="N86" s="1" t="n"/>
      <c r="O86" s="181" t="n"/>
      <c r="P86" s="181" t="n"/>
      <c r="Q86" s="18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row>
    <row r="87" ht="15.75" customHeight="1" s="216">
      <c r="A87" s="1" t="n"/>
      <c r="B87" s="1" t="n"/>
      <c r="C87" s="1" t="n"/>
      <c r="D87" s="1" t="n"/>
      <c r="E87" s="181" t="n"/>
      <c r="F87" s="181" t="n"/>
      <c r="G87" s="1" t="n"/>
      <c r="H87" s="1" t="n"/>
      <c r="I87" s="1" t="n"/>
      <c r="J87" s="1" t="n"/>
      <c r="K87" s="181" t="n"/>
      <c r="L87" s="181" t="n"/>
      <c r="M87" s="181" t="n"/>
      <c r="N87" s="1" t="n"/>
      <c r="O87" s="181" t="n"/>
      <c r="P87" s="181" t="n"/>
      <c r="Q87" s="18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row>
    <row r="88" ht="15.75" customHeight="1" s="216">
      <c r="A88" s="1" t="n"/>
      <c r="B88" s="1" t="n"/>
      <c r="C88" s="1" t="n"/>
      <c r="D88" s="1" t="n"/>
      <c r="E88" s="181" t="n"/>
      <c r="F88" s="181" t="n"/>
      <c r="G88" s="1" t="n"/>
      <c r="H88" s="1" t="n"/>
      <c r="I88" s="1" t="n"/>
      <c r="J88" s="1" t="n"/>
      <c r="K88" s="181" t="n"/>
      <c r="L88" s="181" t="n"/>
      <c r="M88" s="181" t="n"/>
      <c r="N88" s="1" t="n"/>
      <c r="O88" s="181" t="n"/>
      <c r="P88" s="181" t="n"/>
      <c r="Q88" s="18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row>
    <row r="89" ht="15.75" customHeight="1" s="216">
      <c r="A89" s="1" t="n"/>
      <c r="B89" s="1" t="n"/>
      <c r="C89" s="1" t="n"/>
      <c r="D89" s="1" t="n"/>
      <c r="E89" s="181" t="n"/>
      <c r="F89" s="181" t="n"/>
      <c r="G89" s="1" t="n"/>
      <c r="H89" s="1" t="n"/>
      <c r="I89" s="1" t="n"/>
      <c r="J89" s="1" t="n"/>
      <c r="K89" s="181" t="n"/>
      <c r="L89" s="181" t="n"/>
      <c r="M89" s="181" t="n"/>
      <c r="N89" s="1" t="n"/>
      <c r="O89" s="181" t="n"/>
      <c r="P89" s="181" t="n"/>
      <c r="Q89" s="18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row>
    <row r="90" ht="15.75" customHeight="1" s="216">
      <c r="A90" s="1" t="n"/>
      <c r="B90" s="1" t="n"/>
      <c r="C90" s="1" t="n"/>
      <c r="D90" s="1" t="n"/>
      <c r="E90" s="181" t="n"/>
      <c r="F90" s="181" t="n"/>
      <c r="G90" s="1" t="n"/>
      <c r="H90" s="1" t="n"/>
      <c r="I90" s="1" t="n"/>
      <c r="J90" s="1" t="n"/>
      <c r="K90" s="181" t="n"/>
      <c r="L90" s="181" t="n"/>
      <c r="M90" s="181" t="n"/>
      <c r="N90" s="1" t="n"/>
      <c r="O90" s="181" t="n"/>
      <c r="P90" s="181" t="n"/>
      <c r="Q90" s="18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row>
    <row r="91" ht="15.75" customHeight="1" s="216">
      <c r="A91" s="1" t="n"/>
      <c r="B91" s="1" t="n"/>
      <c r="C91" s="1" t="n"/>
      <c r="D91" s="1" t="n"/>
      <c r="E91" s="181" t="n"/>
      <c r="F91" s="181" t="n"/>
      <c r="G91" s="1" t="n"/>
      <c r="H91" s="1" t="n"/>
      <c r="I91" s="1" t="n"/>
      <c r="J91" s="1" t="n"/>
      <c r="K91" s="181" t="n"/>
      <c r="L91" s="181" t="n"/>
      <c r="M91" s="181" t="n"/>
      <c r="N91" s="1" t="n"/>
      <c r="O91" s="181" t="n"/>
      <c r="P91" s="181" t="n"/>
      <c r="Q91" s="18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row>
    <row r="92" ht="15.75" customHeight="1" s="216">
      <c r="A92" s="1" t="n"/>
      <c r="B92" s="1" t="n"/>
      <c r="C92" s="1" t="n"/>
      <c r="D92" s="1" t="n"/>
      <c r="E92" s="181" t="n"/>
      <c r="F92" s="181" t="n"/>
      <c r="G92" s="1" t="n"/>
      <c r="H92" s="1" t="n"/>
      <c r="I92" s="1" t="n"/>
      <c r="J92" s="1" t="n"/>
      <c r="K92" s="181" t="n"/>
      <c r="L92" s="181" t="n"/>
      <c r="M92" s="181" t="n"/>
      <c r="N92" s="1" t="n"/>
      <c r="O92" s="181" t="n"/>
      <c r="P92" s="181" t="n"/>
      <c r="Q92" s="18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row>
    <row r="93" ht="15.75" customHeight="1" s="216">
      <c r="A93" s="1" t="n"/>
      <c r="B93" s="1" t="n"/>
      <c r="C93" s="1" t="n"/>
      <c r="D93" s="1" t="n"/>
      <c r="E93" s="181" t="n"/>
      <c r="F93" s="181" t="n"/>
      <c r="G93" s="1" t="n"/>
      <c r="H93" s="1" t="n"/>
      <c r="I93" s="1" t="n"/>
      <c r="J93" s="1" t="n"/>
      <c r="K93" s="181" t="n"/>
      <c r="L93" s="181" t="n"/>
      <c r="M93" s="181" t="n"/>
      <c r="N93" s="1" t="n"/>
      <c r="O93" s="181" t="n"/>
      <c r="P93" s="181" t="n"/>
      <c r="Q93" s="18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row>
    <row r="94" ht="15.75" customHeight="1" s="216">
      <c r="A94" s="1" t="n"/>
      <c r="B94" s="1" t="n"/>
      <c r="C94" s="1" t="n"/>
      <c r="D94" s="1" t="n"/>
      <c r="E94" s="181" t="n"/>
      <c r="F94" s="181" t="n"/>
      <c r="G94" s="1" t="n"/>
      <c r="H94" s="1" t="n"/>
      <c r="I94" s="1" t="n"/>
      <c r="J94" s="1" t="n"/>
      <c r="K94" s="181" t="n"/>
      <c r="L94" s="181" t="n"/>
      <c r="M94" s="181" t="n"/>
      <c r="N94" s="1" t="n"/>
      <c r="O94" s="181" t="n"/>
      <c r="P94" s="181" t="n"/>
      <c r="Q94" s="18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row>
    <row r="95" ht="15.75" customHeight="1" s="216">
      <c r="A95" s="1" t="n"/>
      <c r="B95" s="1" t="n"/>
      <c r="C95" s="1" t="n"/>
      <c r="D95" s="1" t="n"/>
      <c r="E95" s="181" t="n"/>
      <c r="F95" s="181" t="n"/>
      <c r="G95" s="1" t="n"/>
      <c r="H95" s="1" t="n"/>
      <c r="I95" s="1" t="n"/>
      <c r="J95" s="1" t="n"/>
      <c r="K95" s="181" t="n"/>
      <c r="L95" s="181" t="n"/>
      <c r="M95" s="181" t="n"/>
      <c r="N95" s="1" t="n"/>
      <c r="O95" s="181" t="n"/>
      <c r="P95" s="181" t="n"/>
      <c r="Q95" s="18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row>
    <row r="96" ht="15.75" customHeight="1" s="216">
      <c r="A96" s="1" t="n"/>
      <c r="B96" s="1" t="n"/>
      <c r="C96" s="1" t="n"/>
      <c r="D96" s="1" t="n"/>
      <c r="E96" s="181" t="n"/>
      <c r="F96" s="181" t="n"/>
      <c r="G96" s="1" t="n"/>
      <c r="H96" s="1" t="n"/>
      <c r="I96" s="1" t="n"/>
      <c r="J96" s="1" t="n"/>
      <c r="K96" s="181" t="n"/>
      <c r="L96" s="181" t="n"/>
      <c r="M96" s="181" t="n"/>
      <c r="N96" s="1" t="n"/>
      <c r="O96" s="181" t="n"/>
      <c r="P96" s="181" t="n"/>
      <c r="Q96" s="18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row>
    <row r="97" ht="15.75" customHeight="1" s="216">
      <c r="A97" s="1" t="n"/>
      <c r="B97" s="1" t="n"/>
      <c r="C97" s="1" t="n"/>
      <c r="D97" s="1" t="n"/>
      <c r="E97" s="181" t="n"/>
      <c r="F97" s="181" t="n"/>
      <c r="G97" s="1" t="n"/>
      <c r="H97" s="1" t="n"/>
      <c r="I97" s="1" t="n"/>
      <c r="J97" s="1" t="n"/>
      <c r="K97" s="181" t="n"/>
      <c r="L97" s="181" t="n"/>
      <c r="M97" s="181" t="n"/>
      <c r="N97" s="1" t="n"/>
      <c r="O97" s="181" t="n"/>
      <c r="P97" s="181" t="n"/>
      <c r="Q97" s="18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row>
    <row r="98" ht="15.75" customHeight="1" s="216">
      <c r="A98" s="1" t="n"/>
      <c r="B98" s="1" t="n"/>
      <c r="C98" s="1" t="n"/>
      <c r="D98" s="1" t="n"/>
      <c r="E98" s="181" t="n"/>
      <c r="F98" s="181" t="n"/>
      <c r="G98" s="1" t="n"/>
      <c r="H98" s="1" t="n"/>
      <c r="I98" s="1" t="n"/>
      <c r="J98" s="1" t="n"/>
      <c r="K98" s="181" t="n"/>
      <c r="L98" s="181" t="n"/>
      <c r="M98" s="181" t="n"/>
      <c r="N98" s="1" t="n"/>
      <c r="O98" s="181" t="n"/>
      <c r="P98" s="181" t="n"/>
      <c r="Q98" s="18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row>
    <row r="99" ht="15.75" customHeight="1" s="216">
      <c r="A99" s="1" t="n"/>
      <c r="B99" s="1" t="n"/>
      <c r="C99" s="1" t="n"/>
      <c r="D99" s="1" t="n"/>
      <c r="E99" s="181" t="n"/>
      <c r="F99" s="181" t="n"/>
      <c r="G99" s="1" t="n"/>
      <c r="H99" s="1" t="n"/>
      <c r="I99" s="1" t="n"/>
      <c r="J99" s="1" t="n"/>
      <c r="K99" s="181" t="n"/>
      <c r="L99" s="181" t="n"/>
      <c r="M99" s="181" t="n"/>
      <c r="N99" s="1" t="n"/>
      <c r="O99" s="181" t="n"/>
      <c r="P99" s="181" t="n"/>
      <c r="Q99" s="18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row>
    <row r="100" ht="15.75" customHeight="1" s="216">
      <c r="A100" s="1" t="n"/>
      <c r="B100" s="1" t="n"/>
      <c r="C100" s="1" t="n"/>
      <c r="D100" s="1" t="n"/>
      <c r="E100" s="181" t="n"/>
      <c r="F100" s="181" t="n"/>
      <c r="G100" s="1" t="n"/>
      <c r="H100" s="1" t="n"/>
      <c r="I100" s="1" t="n"/>
      <c r="J100" s="1" t="n"/>
      <c r="K100" s="181" t="n"/>
      <c r="L100" s="181" t="n"/>
      <c r="M100" s="181" t="n"/>
      <c r="N100" s="1" t="n"/>
      <c r="O100" s="181" t="n"/>
      <c r="P100" s="181" t="n"/>
      <c r="Q100" s="18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row>
    <row r="101" ht="15.75" customHeight="1" s="216">
      <c r="A101" s="1" t="n"/>
      <c r="B101" s="1" t="n"/>
      <c r="C101" s="1" t="n"/>
      <c r="D101" s="1" t="n"/>
      <c r="E101" s="181" t="n"/>
      <c r="F101" s="181" t="n"/>
      <c r="G101" s="1" t="n"/>
      <c r="H101" s="1" t="n"/>
      <c r="I101" s="1" t="n"/>
      <c r="J101" s="1" t="n"/>
      <c r="K101" s="181" t="n"/>
      <c r="L101" s="181" t="n"/>
      <c r="M101" s="181" t="n"/>
      <c r="N101" s="1" t="n"/>
      <c r="O101" s="181" t="n"/>
      <c r="P101" s="181" t="n"/>
      <c r="Q101" s="18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row>
    <row r="102" ht="15.75" customHeight="1" s="216">
      <c r="A102" s="1" t="n"/>
      <c r="B102" s="1" t="n"/>
      <c r="C102" s="1" t="n"/>
      <c r="D102" s="1" t="n"/>
      <c r="E102" s="181" t="n"/>
      <c r="F102" s="181" t="n"/>
      <c r="G102" s="1" t="n"/>
      <c r="H102" s="1" t="n"/>
      <c r="I102" s="1" t="n"/>
      <c r="J102" s="1" t="n"/>
      <c r="K102" s="181" t="n"/>
      <c r="L102" s="181" t="n"/>
      <c r="M102" s="181" t="n"/>
      <c r="N102" s="1" t="n"/>
      <c r="O102" s="181" t="n"/>
      <c r="P102" s="181" t="n"/>
      <c r="Q102" s="18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row>
    <row r="103" ht="15.75" customHeight="1" s="216">
      <c r="A103" s="1" t="n"/>
      <c r="B103" s="1" t="n"/>
      <c r="C103" s="1" t="n"/>
      <c r="D103" s="1" t="n"/>
      <c r="E103" s="181" t="n"/>
      <c r="F103" s="181" t="n"/>
      <c r="G103" s="1" t="n"/>
      <c r="H103" s="1" t="n"/>
      <c r="I103" s="1" t="n"/>
      <c r="J103" s="1" t="n"/>
      <c r="K103" s="181" t="n"/>
      <c r="L103" s="181" t="n"/>
      <c r="M103" s="181" t="n"/>
      <c r="N103" s="1" t="n"/>
      <c r="O103" s="181" t="n"/>
      <c r="P103" s="181" t="n"/>
      <c r="Q103" s="18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row>
    <row r="104" ht="15.75" customHeight="1" s="216">
      <c r="A104" s="1" t="n"/>
      <c r="B104" s="1" t="n"/>
      <c r="C104" s="1" t="n"/>
      <c r="D104" s="1" t="n"/>
      <c r="E104" s="181" t="n"/>
      <c r="F104" s="181" t="n"/>
      <c r="G104" s="1" t="n"/>
      <c r="H104" s="1" t="n"/>
      <c r="I104" s="1" t="n"/>
      <c r="J104" s="1" t="n"/>
      <c r="K104" s="181" t="n"/>
      <c r="L104" s="181" t="n"/>
      <c r="M104" s="181" t="n"/>
      <c r="N104" s="1" t="n"/>
      <c r="O104" s="181" t="n"/>
      <c r="P104" s="181" t="n"/>
      <c r="Q104" s="18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row>
    <row r="105" ht="15.75" customHeight="1" s="216">
      <c r="A105" s="1" t="n"/>
      <c r="B105" s="1" t="n"/>
      <c r="C105" s="1" t="n"/>
      <c r="D105" s="1" t="n"/>
      <c r="E105" s="181" t="n"/>
      <c r="F105" s="181" t="n"/>
      <c r="G105" s="1" t="n"/>
      <c r="H105" s="1" t="n"/>
      <c r="I105" s="1" t="n"/>
      <c r="J105" s="1" t="n"/>
      <c r="K105" s="181" t="n"/>
      <c r="L105" s="181" t="n"/>
      <c r="M105" s="181" t="n"/>
      <c r="N105" s="1" t="n"/>
      <c r="O105" s="181" t="n"/>
      <c r="P105" s="181" t="n"/>
      <c r="Q105" s="18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row>
    <row r="106" ht="15.75" customHeight="1" s="216">
      <c r="A106" s="1" t="n"/>
      <c r="B106" s="1" t="n"/>
      <c r="C106" s="1" t="n"/>
      <c r="D106" s="1" t="n"/>
      <c r="E106" s="181" t="n"/>
      <c r="F106" s="181" t="n"/>
      <c r="G106" s="1" t="n"/>
      <c r="H106" s="1" t="n"/>
      <c r="I106" s="1" t="n"/>
      <c r="J106" s="1" t="n"/>
      <c r="K106" s="181" t="n"/>
      <c r="L106" s="181" t="n"/>
      <c r="M106" s="181" t="n"/>
      <c r="N106" s="1" t="n"/>
      <c r="O106" s="181" t="n"/>
      <c r="P106" s="181" t="n"/>
      <c r="Q106" s="18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row>
    <row r="107" ht="15.75" customHeight="1" s="216">
      <c r="A107" s="1" t="n"/>
      <c r="B107" s="1" t="n"/>
      <c r="C107" s="1" t="n"/>
      <c r="D107" s="1" t="n"/>
      <c r="E107" s="181" t="n"/>
      <c r="F107" s="181" t="n"/>
      <c r="G107" s="1" t="n"/>
      <c r="H107" s="1" t="n"/>
      <c r="I107" s="1" t="n"/>
      <c r="J107" s="1" t="n"/>
      <c r="K107" s="181" t="n"/>
      <c r="L107" s="181" t="n"/>
      <c r="M107" s="181" t="n"/>
      <c r="N107" s="1" t="n"/>
      <c r="O107" s="181" t="n"/>
      <c r="P107" s="181" t="n"/>
      <c r="Q107" s="18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row>
    <row r="108" ht="15.75" customHeight="1" s="216">
      <c r="A108" s="1" t="n"/>
      <c r="B108" s="1" t="n"/>
      <c r="C108" s="1" t="n"/>
      <c r="D108" s="1" t="n"/>
      <c r="E108" s="181" t="n"/>
      <c r="F108" s="181" t="n"/>
      <c r="G108" s="1" t="n"/>
      <c r="H108" s="1" t="n"/>
      <c r="I108" s="1" t="n"/>
      <c r="J108" s="1" t="n"/>
      <c r="K108" s="181" t="n"/>
      <c r="L108" s="181" t="n"/>
      <c r="M108" s="181" t="n"/>
      <c r="N108" s="1" t="n"/>
      <c r="O108" s="181" t="n"/>
      <c r="P108" s="181" t="n"/>
      <c r="Q108" s="18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row>
    <row r="109" ht="15.75" customHeight="1" s="216">
      <c r="A109" s="1" t="n"/>
      <c r="B109" s="1" t="n"/>
      <c r="C109" s="1" t="n"/>
      <c r="D109" s="1" t="n"/>
      <c r="E109" s="181" t="n"/>
      <c r="F109" s="181" t="n"/>
      <c r="G109" s="1" t="n"/>
      <c r="H109" s="1" t="n"/>
      <c r="I109" s="1" t="n"/>
      <c r="J109" s="1" t="n"/>
      <c r="K109" s="181" t="n"/>
      <c r="L109" s="181" t="n"/>
      <c r="M109" s="181" t="n"/>
      <c r="N109" s="1" t="n"/>
      <c r="O109" s="181" t="n"/>
      <c r="P109" s="181" t="n"/>
      <c r="Q109" s="18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row>
    <row r="110" ht="15.75" customHeight="1" s="216">
      <c r="A110" s="1" t="n"/>
      <c r="B110" s="1" t="n"/>
      <c r="C110" s="1" t="n"/>
      <c r="D110" s="1" t="n"/>
      <c r="E110" s="181" t="n"/>
      <c r="F110" s="181" t="n"/>
      <c r="G110" s="1" t="n"/>
      <c r="H110" s="1" t="n"/>
      <c r="I110" s="1" t="n"/>
      <c r="J110" s="1" t="n"/>
      <c r="K110" s="181" t="n"/>
      <c r="L110" s="181" t="n"/>
      <c r="M110" s="181" t="n"/>
      <c r="N110" s="1" t="n"/>
      <c r="O110" s="181" t="n"/>
      <c r="P110" s="181" t="n"/>
      <c r="Q110" s="18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row>
    <row r="111" ht="15.75" customHeight="1" s="216">
      <c r="A111" s="1" t="n"/>
      <c r="B111" s="1" t="n"/>
      <c r="C111" s="1" t="n"/>
      <c r="D111" s="1" t="n"/>
      <c r="E111" s="181" t="n"/>
      <c r="F111" s="181" t="n"/>
      <c r="G111" s="1" t="n"/>
      <c r="H111" s="1" t="n"/>
      <c r="I111" s="1" t="n"/>
      <c r="J111" s="1" t="n"/>
      <c r="K111" s="181" t="n"/>
      <c r="L111" s="181" t="n"/>
      <c r="M111" s="181" t="n"/>
      <c r="N111" s="1" t="n"/>
      <c r="O111" s="181" t="n"/>
      <c r="P111" s="181" t="n"/>
      <c r="Q111" s="18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row>
    <row r="112" ht="15.75" customHeight="1" s="216">
      <c r="A112" s="1" t="n"/>
      <c r="B112" s="1" t="n"/>
      <c r="C112" s="1" t="n"/>
      <c r="D112" s="1" t="n"/>
      <c r="E112" s="181" t="n"/>
      <c r="F112" s="181" t="n"/>
      <c r="G112" s="1" t="n"/>
      <c r="H112" s="1" t="n"/>
      <c r="I112" s="1" t="n"/>
      <c r="J112" s="1" t="n"/>
      <c r="K112" s="181" t="n"/>
      <c r="L112" s="181" t="n"/>
      <c r="M112" s="181" t="n"/>
      <c r="N112" s="1" t="n"/>
      <c r="O112" s="181" t="n"/>
      <c r="P112" s="181" t="n"/>
      <c r="Q112" s="18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row>
    <row r="113" ht="15.75" customHeight="1" s="216">
      <c r="A113" s="1" t="n"/>
      <c r="B113" s="1" t="n"/>
      <c r="C113" s="1" t="n"/>
      <c r="D113" s="1" t="n"/>
      <c r="E113" s="181" t="n"/>
      <c r="F113" s="181" t="n"/>
      <c r="G113" s="1" t="n"/>
      <c r="H113" s="1" t="n"/>
      <c r="I113" s="1" t="n"/>
      <c r="J113" s="1" t="n"/>
      <c r="K113" s="181" t="n"/>
      <c r="L113" s="181" t="n"/>
      <c r="M113" s="181" t="n"/>
      <c r="N113" s="1" t="n"/>
      <c r="O113" s="181" t="n"/>
      <c r="P113" s="181" t="n"/>
      <c r="Q113" s="18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row>
    <row r="114" ht="15.75" customHeight="1" s="216">
      <c r="A114" s="1" t="n"/>
      <c r="B114" s="1" t="n"/>
      <c r="C114" s="1" t="n"/>
      <c r="D114" s="1" t="n"/>
      <c r="E114" s="181" t="n"/>
      <c r="F114" s="181" t="n"/>
      <c r="G114" s="1" t="n"/>
      <c r="H114" s="1" t="n"/>
      <c r="I114" s="1" t="n"/>
      <c r="J114" s="1" t="n"/>
      <c r="K114" s="181" t="n"/>
      <c r="L114" s="181" t="n"/>
      <c r="M114" s="181" t="n"/>
      <c r="N114" s="1" t="n"/>
      <c r="O114" s="181" t="n"/>
      <c r="P114" s="181" t="n"/>
      <c r="Q114" s="18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row>
    <row r="115" ht="15.75" customHeight="1" s="216">
      <c r="A115" s="1" t="n"/>
      <c r="B115" s="1" t="n"/>
      <c r="C115" s="1" t="n"/>
      <c r="D115" s="1" t="n"/>
      <c r="E115" s="181" t="n"/>
      <c r="F115" s="181" t="n"/>
      <c r="G115" s="1" t="n"/>
      <c r="H115" s="1" t="n"/>
      <c r="I115" s="1" t="n"/>
      <c r="J115" s="1" t="n"/>
      <c r="K115" s="181" t="n"/>
      <c r="L115" s="181" t="n"/>
      <c r="M115" s="181" t="n"/>
      <c r="N115" s="1" t="n"/>
      <c r="O115" s="181" t="n"/>
      <c r="P115" s="181" t="n"/>
      <c r="Q115" s="18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row>
    <row r="116" ht="15.75" customHeight="1" s="216">
      <c r="A116" s="1" t="n"/>
      <c r="B116" s="1" t="n"/>
      <c r="C116" s="1" t="n"/>
      <c r="D116" s="1" t="n"/>
      <c r="E116" s="181" t="n"/>
      <c r="F116" s="181" t="n"/>
      <c r="G116" s="1" t="n"/>
      <c r="H116" s="1" t="n"/>
      <c r="I116" s="1" t="n"/>
      <c r="J116" s="1" t="n"/>
      <c r="K116" s="181" t="n"/>
      <c r="L116" s="181" t="n"/>
      <c r="M116" s="181" t="n"/>
      <c r="N116" s="1" t="n"/>
      <c r="O116" s="181" t="n"/>
      <c r="P116" s="181" t="n"/>
      <c r="Q116" s="18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row>
    <row r="117" ht="15.75" customHeight="1" s="216">
      <c r="A117" s="1" t="n"/>
      <c r="B117" s="1" t="n"/>
      <c r="C117" s="1" t="n"/>
      <c r="D117" s="1" t="n"/>
      <c r="E117" s="181" t="n"/>
      <c r="F117" s="181" t="n"/>
      <c r="G117" s="1" t="n"/>
      <c r="H117" s="1" t="n"/>
      <c r="I117" s="1" t="n"/>
      <c r="J117" s="1" t="n"/>
      <c r="K117" s="181" t="n"/>
      <c r="L117" s="181" t="n"/>
      <c r="M117" s="181" t="n"/>
      <c r="N117" s="1" t="n"/>
      <c r="O117" s="181" t="n"/>
      <c r="P117" s="181" t="n"/>
      <c r="Q117" s="18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row>
    <row r="118" ht="15.75" customHeight="1" s="216">
      <c r="A118" s="1" t="n"/>
      <c r="B118" s="1" t="n"/>
      <c r="C118" s="1" t="n"/>
      <c r="D118" s="1" t="n"/>
      <c r="E118" s="181" t="n"/>
      <c r="F118" s="181" t="n"/>
      <c r="G118" s="1" t="n"/>
      <c r="H118" s="1" t="n"/>
      <c r="I118" s="1" t="n"/>
      <c r="J118" s="1" t="n"/>
      <c r="K118" s="181" t="n"/>
      <c r="L118" s="181" t="n"/>
      <c r="M118" s="181" t="n"/>
      <c r="N118" s="1" t="n"/>
      <c r="O118" s="181" t="n"/>
      <c r="P118" s="181" t="n"/>
      <c r="Q118" s="18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row>
    <row r="119" ht="15.75" customHeight="1" s="216">
      <c r="A119" s="1" t="n"/>
      <c r="B119" s="1" t="n"/>
      <c r="C119" s="1" t="n"/>
      <c r="D119" s="1" t="n"/>
      <c r="E119" s="181" t="n"/>
      <c r="F119" s="181" t="n"/>
      <c r="G119" s="1" t="n"/>
      <c r="H119" s="1" t="n"/>
      <c r="I119" s="1" t="n"/>
      <c r="J119" s="1" t="n"/>
      <c r="K119" s="181" t="n"/>
      <c r="L119" s="181" t="n"/>
      <c r="M119" s="181" t="n"/>
      <c r="N119" s="1" t="n"/>
      <c r="O119" s="181" t="n"/>
      <c r="P119" s="181" t="n"/>
      <c r="Q119" s="18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row>
    <row r="120" ht="15.75" customHeight="1" s="216">
      <c r="A120" s="1" t="n"/>
      <c r="B120" s="1" t="n"/>
      <c r="C120" s="1" t="n"/>
      <c r="D120" s="1" t="n"/>
      <c r="E120" s="181" t="n"/>
      <c r="F120" s="181" t="n"/>
      <c r="G120" s="1" t="n"/>
      <c r="H120" s="1" t="n"/>
      <c r="I120" s="1" t="n"/>
      <c r="J120" s="1" t="n"/>
      <c r="K120" s="181" t="n"/>
      <c r="L120" s="181" t="n"/>
      <c r="M120" s="181" t="n"/>
      <c r="N120" s="1" t="n"/>
      <c r="O120" s="181" t="n"/>
      <c r="P120" s="181" t="n"/>
      <c r="Q120" s="18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row>
    <row r="121" ht="15.75" customHeight="1" s="216">
      <c r="A121" s="1" t="n"/>
      <c r="B121" s="1" t="n"/>
      <c r="C121" s="1" t="n"/>
      <c r="D121" s="1" t="n"/>
      <c r="E121" s="181" t="n"/>
      <c r="F121" s="181" t="n"/>
      <c r="G121" s="1" t="n"/>
      <c r="H121" s="1" t="n"/>
      <c r="I121" s="1" t="n"/>
      <c r="J121" s="1" t="n"/>
      <c r="K121" s="181" t="n"/>
      <c r="L121" s="181" t="n"/>
      <c r="M121" s="181" t="n"/>
      <c r="N121" s="1" t="n"/>
      <c r="O121" s="181" t="n"/>
      <c r="P121" s="181" t="n"/>
      <c r="Q121" s="18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row>
    <row r="122" ht="15.75" customHeight="1" s="216">
      <c r="A122" s="1" t="n"/>
      <c r="B122" s="1" t="n"/>
      <c r="C122" s="1" t="n"/>
      <c r="D122" s="1" t="n"/>
      <c r="E122" s="181" t="n"/>
      <c r="F122" s="181" t="n"/>
      <c r="G122" s="1" t="n"/>
      <c r="H122" s="1" t="n"/>
      <c r="I122" s="1" t="n"/>
      <c r="J122" s="1" t="n"/>
      <c r="K122" s="181" t="n"/>
      <c r="L122" s="181" t="n"/>
      <c r="M122" s="181" t="n"/>
      <c r="N122" s="1" t="n"/>
      <c r="O122" s="181" t="n"/>
      <c r="P122" s="181" t="n"/>
      <c r="Q122" s="18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row>
    <row r="123" ht="15.75" customHeight="1" s="216">
      <c r="A123" s="1" t="n"/>
      <c r="B123" s="1" t="n"/>
      <c r="C123" s="1" t="n"/>
      <c r="D123" s="1" t="n"/>
      <c r="E123" s="181" t="n"/>
      <c r="F123" s="181" t="n"/>
      <c r="G123" s="1" t="n"/>
      <c r="H123" s="1" t="n"/>
      <c r="I123" s="1" t="n"/>
      <c r="J123" s="1" t="n"/>
      <c r="K123" s="181" t="n"/>
      <c r="L123" s="181" t="n"/>
      <c r="M123" s="181" t="n"/>
      <c r="N123" s="1" t="n"/>
      <c r="O123" s="181" t="n"/>
      <c r="P123" s="181" t="n"/>
      <c r="Q123" s="18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row>
    <row r="124" ht="15.75" customHeight="1" s="216">
      <c r="A124" s="1" t="n"/>
      <c r="B124" s="1" t="n"/>
      <c r="C124" s="1" t="n"/>
      <c r="D124" s="1" t="n"/>
      <c r="E124" s="181" t="n"/>
      <c r="F124" s="181" t="n"/>
      <c r="G124" s="1" t="n"/>
      <c r="H124" s="1" t="n"/>
      <c r="I124" s="1" t="n"/>
      <c r="J124" s="1" t="n"/>
      <c r="K124" s="181" t="n"/>
      <c r="L124" s="181" t="n"/>
      <c r="M124" s="181" t="n"/>
      <c r="N124" s="1" t="n"/>
      <c r="O124" s="181" t="n"/>
      <c r="P124" s="181" t="n"/>
      <c r="Q124" s="18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row>
    <row r="125" ht="15.75" customHeight="1" s="216">
      <c r="A125" s="1" t="n"/>
      <c r="B125" s="1" t="n"/>
      <c r="C125" s="1" t="n"/>
      <c r="D125" s="1" t="n"/>
      <c r="E125" s="181" t="n"/>
      <c r="F125" s="181" t="n"/>
      <c r="G125" s="1" t="n"/>
      <c r="H125" s="1" t="n"/>
      <c r="I125" s="1" t="n"/>
      <c r="J125" s="1" t="n"/>
      <c r="K125" s="181" t="n"/>
      <c r="L125" s="181" t="n"/>
      <c r="M125" s="181" t="n"/>
      <c r="N125" s="1" t="n"/>
      <c r="O125" s="181" t="n"/>
      <c r="P125" s="181" t="n"/>
      <c r="Q125" s="18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row>
    <row r="126" ht="15.75" customHeight="1" s="216">
      <c r="A126" s="1" t="n"/>
      <c r="B126" s="1" t="n"/>
      <c r="C126" s="1" t="n"/>
      <c r="D126" s="1" t="n"/>
      <c r="E126" s="181" t="n"/>
      <c r="F126" s="181" t="n"/>
      <c r="G126" s="1" t="n"/>
      <c r="H126" s="1" t="n"/>
      <c r="I126" s="1" t="n"/>
      <c r="J126" s="1" t="n"/>
      <c r="K126" s="181" t="n"/>
      <c r="L126" s="181" t="n"/>
      <c r="M126" s="181" t="n"/>
      <c r="N126" s="1" t="n"/>
      <c r="O126" s="181" t="n"/>
      <c r="P126" s="181" t="n"/>
      <c r="Q126" s="18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row>
    <row r="127" ht="15.75" customHeight="1" s="216">
      <c r="A127" s="1" t="n"/>
      <c r="B127" s="1" t="n"/>
      <c r="C127" s="1" t="n"/>
      <c r="D127" s="1" t="n"/>
      <c r="E127" s="181" t="n"/>
      <c r="F127" s="181" t="n"/>
      <c r="G127" s="1" t="n"/>
      <c r="H127" s="1" t="n"/>
      <c r="I127" s="1" t="n"/>
      <c r="J127" s="1" t="n"/>
      <c r="K127" s="181" t="n"/>
      <c r="L127" s="181" t="n"/>
      <c r="M127" s="181" t="n"/>
      <c r="N127" s="1" t="n"/>
      <c r="O127" s="181" t="n"/>
      <c r="P127" s="181" t="n"/>
      <c r="Q127" s="18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row>
    <row r="128" ht="15.75" customHeight="1" s="216">
      <c r="A128" s="1" t="n"/>
      <c r="B128" s="1" t="n"/>
      <c r="C128" s="1" t="n"/>
      <c r="D128" s="1" t="n"/>
      <c r="E128" s="181" t="n"/>
      <c r="F128" s="181" t="n"/>
      <c r="G128" s="1" t="n"/>
      <c r="H128" s="1" t="n"/>
      <c r="I128" s="1" t="n"/>
      <c r="J128" s="1" t="n"/>
      <c r="K128" s="181" t="n"/>
      <c r="L128" s="181" t="n"/>
      <c r="M128" s="181" t="n"/>
      <c r="N128" s="1" t="n"/>
      <c r="O128" s="181" t="n"/>
      <c r="P128" s="181" t="n"/>
      <c r="Q128" s="18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row>
    <row r="129" ht="15.75" customHeight="1" s="216">
      <c r="A129" s="1" t="n"/>
      <c r="B129" s="1" t="n"/>
      <c r="C129" s="1" t="n"/>
      <c r="D129" s="1" t="n"/>
      <c r="E129" s="181" t="n"/>
      <c r="F129" s="181" t="n"/>
      <c r="G129" s="1" t="n"/>
      <c r="H129" s="1" t="n"/>
      <c r="I129" s="1" t="n"/>
      <c r="J129" s="1" t="n"/>
      <c r="K129" s="181" t="n"/>
      <c r="L129" s="181" t="n"/>
      <c r="M129" s="181" t="n"/>
      <c r="N129" s="1" t="n"/>
      <c r="O129" s="181" t="n"/>
      <c r="P129" s="181" t="n"/>
      <c r="Q129" s="18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row>
    <row r="130" ht="15.75" customHeight="1" s="216">
      <c r="A130" s="1" t="n"/>
      <c r="B130" s="1" t="n"/>
      <c r="C130" s="1" t="n"/>
      <c r="D130" s="1" t="n"/>
      <c r="E130" s="181" t="n"/>
      <c r="F130" s="181" t="n"/>
      <c r="G130" s="1" t="n"/>
      <c r="H130" s="1" t="n"/>
      <c r="I130" s="1" t="n"/>
      <c r="J130" s="1" t="n"/>
      <c r="K130" s="181" t="n"/>
      <c r="L130" s="181" t="n"/>
      <c r="M130" s="181" t="n"/>
      <c r="N130" s="1" t="n"/>
      <c r="O130" s="181" t="n"/>
      <c r="P130" s="181" t="n"/>
      <c r="Q130" s="18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row>
    <row r="131" ht="15.75" customHeight="1" s="216">
      <c r="A131" s="1" t="n"/>
      <c r="B131" s="1" t="n"/>
      <c r="C131" s="1" t="n"/>
      <c r="D131" s="1" t="n"/>
      <c r="E131" s="181" t="n"/>
      <c r="F131" s="181" t="n"/>
      <c r="G131" s="1" t="n"/>
      <c r="H131" s="1" t="n"/>
      <c r="I131" s="1" t="n"/>
      <c r="J131" s="1" t="n"/>
      <c r="K131" s="181" t="n"/>
      <c r="L131" s="181" t="n"/>
      <c r="M131" s="181" t="n"/>
      <c r="N131" s="1" t="n"/>
      <c r="O131" s="181" t="n"/>
      <c r="P131" s="181" t="n"/>
      <c r="Q131" s="18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row>
    <row r="132" ht="15.75" customHeight="1" s="216">
      <c r="A132" s="1" t="n"/>
      <c r="B132" s="1" t="n"/>
      <c r="C132" s="1" t="n"/>
      <c r="D132" s="1" t="n"/>
      <c r="E132" s="181" t="n"/>
      <c r="F132" s="181" t="n"/>
      <c r="G132" s="1" t="n"/>
      <c r="H132" s="1" t="n"/>
      <c r="I132" s="1" t="n"/>
      <c r="J132" s="1" t="n"/>
      <c r="K132" s="181" t="n"/>
      <c r="L132" s="181" t="n"/>
      <c r="M132" s="181" t="n"/>
      <c r="N132" s="1" t="n"/>
      <c r="O132" s="181" t="n"/>
      <c r="P132" s="181" t="n"/>
      <c r="Q132" s="18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row>
    <row r="133" ht="15.75" customHeight="1" s="216">
      <c r="A133" s="1" t="n"/>
      <c r="B133" s="1" t="n"/>
      <c r="C133" s="1" t="n"/>
      <c r="D133" s="1" t="n"/>
      <c r="E133" s="181" t="n"/>
      <c r="F133" s="181" t="n"/>
      <c r="G133" s="1" t="n"/>
      <c r="H133" s="1" t="n"/>
      <c r="I133" s="1" t="n"/>
      <c r="J133" s="1" t="n"/>
      <c r="K133" s="181" t="n"/>
      <c r="L133" s="181" t="n"/>
      <c r="M133" s="181" t="n"/>
      <c r="N133" s="1" t="n"/>
      <c r="O133" s="181" t="n"/>
      <c r="P133" s="181" t="n"/>
      <c r="Q133" s="18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row>
    <row r="134" ht="15.75" customHeight="1" s="216">
      <c r="A134" s="1" t="n"/>
      <c r="B134" s="1" t="n"/>
      <c r="C134" s="1" t="n"/>
      <c r="D134" s="1" t="n"/>
      <c r="E134" s="181" t="n"/>
      <c r="F134" s="181" t="n"/>
      <c r="G134" s="1" t="n"/>
      <c r="H134" s="1" t="n"/>
      <c r="I134" s="1" t="n"/>
      <c r="J134" s="1" t="n"/>
      <c r="K134" s="181" t="n"/>
      <c r="L134" s="181" t="n"/>
      <c r="M134" s="181" t="n"/>
      <c r="N134" s="1" t="n"/>
      <c r="O134" s="181" t="n"/>
      <c r="P134" s="181" t="n"/>
      <c r="Q134" s="18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row>
    <row r="135" ht="15.75" customHeight="1" s="216">
      <c r="A135" s="1" t="n"/>
      <c r="B135" s="1" t="n"/>
      <c r="C135" s="1" t="n"/>
      <c r="D135" s="1" t="n"/>
      <c r="E135" s="181" t="n"/>
      <c r="F135" s="181" t="n"/>
      <c r="G135" s="1" t="n"/>
      <c r="H135" s="1" t="n"/>
      <c r="I135" s="1" t="n"/>
      <c r="J135" s="1" t="n"/>
      <c r="K135" s="181" t="n"/>
      <c r="L135" s="181" t="n"/>
      <c r="M135" s="181" t="n"/>
      <c r="N135" s="1" t="n"/>
      <c r="O135" s="181" t="n"/>
      <c r="P135" s="181" t="n"/>
      <c r="Q135" s="18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row>
    <row r="136" ht="15.75" customHeight="1" s="216">
      <c r="A136" s="1" t="n"/>
      <c r="B136" s="1" t="n"/>
      <c r="C136" s="1" t="n"/>
      <c r="D136" s="1" t="n"/>
      <c r="E136" s="181" t="n"/>
      <c r="F136" s="181" t="n"/>
      <c r="G136" s="1" t="n"/>
      <c r="H136" s="1" t="n"/>
      <c r="I136" s="1" t="n"/>
      <c r="J136" s="1" t="n"/>
      <c r="K136" s="181" t="n"/>
      <c r="L136" s="181" t="n"/>
      <c r="M136" s="181" t="n"/>
      <c r="N136" s="1" t="n"/>
      <c r="O136" s="181" t="n"/>
      <c r="P136" s="181" t="n"/>
      <c r="Q136" s="18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row>
    <row r="137" ht="15.75" customHeight="1" s="216">
      <c r="A137" s="1" t="n"/>
      <c r="B137" s="1" t="n"/>
      <c r="C137" s="1" t="n"/>
      <c r="D137" s="1" t="n"/>
      <c r="E137" s="181" t="n"/>
      <c r="F137" s="181" t="n"/>
      <c r="G137" s="1" t="n"/>
      <c r="H137" s="1" t="n"/>
      <c r="I137" s="1" t="n"/>
      <c r="J137" s="1" t="n"/>
      <c r="K137" s="181" t="n"/>
      <c r="L137" s="181" t="n"/>
      <c r="M137" s="181" t="n"/>
      <c r="N137" s="1" t="n"/>
      <c r="O137" s="181" t="n"/>
      <c r="P137" s="181" t="n"/>
      <c r="Q137" s="18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row>
    <row r="138" ht="15.75" customHeight="1" s="216">
      <c r="A138" s="1" t="n"/>
      <c r="B138" s="1" t="n"/>
      <c r="C138" s="1" t="n"/>
      <c r="D138" s="1" t="n"/>
      <c r="E138" s="181" t="n"/>
      <c r="F138" s="181" t="n"/>
      <c r="G138" s="1" t="n"/>
      <c r="H138" s="1" t="n"/>
      <c r="I138" s="1" t="n"/>
      <c r="J138" s="1" t="n"/>
      <c r="K138" s="181" t="n"/>
      <c r="L138" s="181" t="n"/>
      <c r="M138" s="181" t="n"/>
      <c r="N138" s="1" t="n"/>
      <c r="O138" s="181" t="n"/>
      <c r="P138" s="181" t="n"/>
      <c r="Q138" s="18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row>
    <row r="139" ht="15.75" customHeight="1" s="216">
      <c r="A139" s="1" t="n"/>
      <c r="B139" s="1" t="n"/>
      <c r="C139" s="1" t="n"/>
      <c r="D139" s="1" t="n"/>
      <c r="E139" s="181" t="n"/>
      <c r="F139" s="181" t="n"/>
      <c r="G139" s="1" t="n"/>
      <c r="H139" s="1" t="n"/>
      <c r="I139" s="1" t="n"/>
      <c r="J139" s="1" t="n"/>
      <c r="K139" s="181" t="n"/>
      <c r="L139" s="181" t="n"/>
      <c r="M139" s="181" t="n"/>
      <c r="N139" s="1" t="n"/>
      <c r="O139" s="181" t="n"/>
      <c r="P139" s="181" t="n"/>
      <c r="Q139" s="18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row>
    <row r="140" ht="15.75" customHeight="1" s="216">
      <c r="A140" s="1" t="n"/>
      <c r="B140" s="1" t="n"/>
      <c r="C140" s="1" t="n"/>
      <c r="D140" s="1" t="n"/>
      <c r="E140" s="181" t="n"/>
      <c r="F140" s="181" t="n"/>
      <c r="G140" s="1" t="n"/>
      <c r="H140" s="1" t="n"/>
      <c r="I140" s="1" t="n"/>
      <c r="J140" s="1" t="n"/>
      <c r="K140" s="181" t="n"/>
      <c r="L140" s="181" t="n"/>
      <c r="M140" s="181" t="n"/>
      <c r="N140" s="1" t="n"/>
      <c r="O140" s="181" t="n"/>
      <c r="P140" s="181" t="n"/>
      <c r="Q140" s="18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row>
    <row r="141" ht="15.75" customHeight="1" s="216">
      <c r="A141" s="1" t="n"/>
      <c r="B141" s="1" t="n"/>
      <c r="C141" s="1" t="n"/>
      <c r="D141" s="1" t="n"/>
      <c r="E141" s="181" t="n"/>
      <c r="F141" s="181" t="n"/>
      <c r="G141" s="1" t="n"/>
      <c r="H141" s="1" t="n"/>
      <c r="I141" s="1" t="n"/>
      <c r="J141" s="1" t="n"/>
      <c r="K141" s="181" t="n"/>
      <c r="L141" s="181" t="n"/>
      <c r="M141" s="181" t="n"/>
      <c r="N141" s="1" t="n"/>
      <c r="O141" s="181" t="n"/>
      <c r="P141" s="181" t="n"/>
      <c r="Q141" s="18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row>
    <row r="142" ht="15.75" customHeight="1" s="216">
      <c r="A142" s="1" t="n"/>
      <c r="B142" s="1" t="n"/>
      <c r="C142" s="1" t="n"/>
      <c r="D142" s="1" t="n"/>
      <c r="E142" s="181" t="n"/>
      <c r="F142" s="181" t="n"/>
      <c r="G142" s="1" t="n"/>
      <c r="H142" s="1" t="n"/>
      <c r="I142" s="1" t="n"/>
      <c r="J142" s="1" t="n"/>
      <c r="K142" s="181" t="n"/>
      <c r="L142" s="181" t="n"/>
      <c r="M142" s="181" t="n"/>
      <c r="N142" s="1" t="n"/>
      <c r="O142" s="181" t="n"/>
      <c r="P142" s="181" t="n"/>
      <c r="Q142" s="18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row>
    <row r="143" ht="15.75" customHeight="1" s="216">
      <c r="A143" s="1" t="n"/>
      <c r="B143" s="1" t="n"/>
      <c r="C143" s="1" t="n"/>
      <c r="D143" s="1" t="n"/>
      <c r="E143" s="181" t="n"/>
      <c r="F143" s="181" t="n"/>
      <c r="G143" s="1" t="n"/>
      <c r="H143" s="1" t="n"/>
      <c r="I143" s="1" t="n"/>
      <c r="J143" s="1" t="n"/>
      <c r="K143" s="181" t="n"/>
      <c r="L143" s="181" t="n"/>
      <c r="M143" s="181" t="n"/>
      <c r="N143" s="1" t="n"/>
      <c r="O143" s="181" t="n"/>
      <c r="P143" s="181" t="n"/>
      <c r="Q143" s="18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row>
    <row r="144" ht="15.75" customHeight="1" s="216">
      <c r="A144" s="1" t="n"/>
      <c r="B144" s="1" t="n"/>
      <c r="C144" s="1" t="n"/>
      <c r="D144" s="1" t="n"/>
      <c r="E144" s="181" t="n"/>
      <c r="F144" s="181" t="n"/>
      <c r="G144" s="1" t="n"/>
      <c r="H144" s="1" t="n"/>
      <c r="I144" s="1" t="n"/>
      <c r="J144" s="1" t="n"/>
      <c r="K144" s="181" t="n"/>
      <c r="L144" s="181" t="n"/>
      <c r="M144" s="181" t="n"/>
      <c r="N144" s="1" t="n"/>
      <c r="O144" s="181" t="n"/>
      <c r="P144" s="181" t="n"/>
      <c r="Q144" s="18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row>
    <row r="145" ht="15.75" customHeight="1" s="216">
      <c r="A145" s="1" t="n"/>
      <c r="B145" s="1" t="n"/>
      <c r="C145" s="1" t="n"/>
      <c r="D145" s="1" t="n"/>
      <c r="E145" s="181" t="n"/>
      <c r="F145" s="181" t="n"/>
      <c r="G145" s="1" t="n"/>
      <c r="H145" s="1" t="n"/>
      <c r="I145" s="1" t="n"/>
      <c r="J145" s="1" t="n"/>
      <c r="K145" s="181" t="n"/>
      <c r="L145" s="181" t="n"/>
      <c r="M145" s="181" t="n"/>
      <c r="N145" s="1" t="n"/>
      <c r="O145" s="181" t="n"/>
      <c r="P145" s="181" t="n"/>
      <c r="Q145" s="18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row>
    <row r="146" ht="15.75" customHeight="1" s="216">
      <c r="A146" s="1" t="n"/>
      <c r="B146" s="1" t="n"/>
      <c r="C146" s="1" t="n"/>
      <c r="D146" s="1" t="n"/>
      <c r="E146" s="181" t="n"/>
      <c r="F146" s="181" t="n"/>
      <c r="G146" s="1" t="n"/>
      <c r="H146" s="1" t="n"/>
      <c r="I146" s="1" t="n"/>
      <c r="J146" s="1" t="n"/>
      <c r="K146" s="181" t="n"/>
      <c r="L146" s="181" t="n"/>
      <c r="M146" s="181" t="n"/>
      <c r="N146" s="1" t="n"/>
      <c r="O146" s="181" t="n"/>
      <c r="P146" s="181" t="n"/>
      <c r="Q146" s="18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row>
    <row r="147" ht="15.75" customHeight="1" s="216">
      <c r="A147" s="1" t="n"/>
      <c r="B147" s="1" t="n"/>
      <c r="C147" s="1" t="n"/>
      <c r="D147" s="1" t="n"/>
      <c r="E147" s="181" t="n"/>
      <c r="F147" s="181" t="n"/>
      <c r="G147" s="1" t="n"/>
      <c r="H147" s="1" t="n"/>
      <c r="I147" s="1" t="n"/>
      <c r="J147" s="1" t="n"/>
      <c r="K147" s="181" t="n"/>
      <c r="L147" s="181" t="n"/>
      <c r="M147" s="181" t="n"/>
      <c r="N147" s="1" t="n"/>
      <c r="O147" s="181" t="n"/>
      <c r="P147" s="181" t="n"/>
      <c r="Q147" s="18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row>
    <row r="148" ht="15.75" customHeight="1" s="216">
      <c r="A148" s="1" t="n"/>
      <c r="B148" s="1" t="n"/>
      <c r="C148" s="1" t="n"/>
      <c r="D148" s="1" t="n"/>
      <c r="E148" s="181" t="n"/>
      <c r="F148" s="181" t="n"/>
      <c r="G148" s="1" t="n"/>
      <c r="H148" s="1" t="n"/>
      <c r="I148" s="1" t="n"/>
      <c r="J148" s="1" t="n"/>
      <c r="K148" s="181" t="n"/>
      <c r="L148" s="181" t="n"/>
      <c r="M148" s="181" t="n"/>
      <c r="N148" s="1" t="n"/>
      <c r="O148" s="181" t="n"/>
      <c r="P148" s="181" t="n"/>
      <c r="Q148" s="18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row>
    <row r="149" ht="15.75" customHeight="1" s="216">
      <c r="A149" s="1" t="n"/>
      <c r="B149" s="1" t="n"/>
      <c r="C149" s="1" t="n"/>
      <c r="D149" s="1" t="n"/>
      <c r="E149" s="181" t="n"/>
      <c r="F149" s="181" t="n"/>
      <c r="G149" s="1" t="n"/>
      <c r="H149" s="1" t="n"/>
      <c r="I149" s="1" t="n"/>
      <c r="J149" s="1" t="n"/>
      <c r="K149" s="181" t="n"/>
      <c r="L149" s="181" t="n"/>
      <c r="M149" s="181" t="n"/>
      <c r="N149" s="1" t="n"/>
      <c r="O149" s="181" t="n"/>
      <c r="P149" s="181" t="n"/>
      <c r="Q149" s="18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row>
    <row r="150" ht="15.75" customHeight="1" s="216">
      <c r="A150" s="1" t="n"/>
      <c r="B150" s="1" t="n"/>
      <c r="C150" s="1" t="n"/>
      <c r="D150" s="1" t="n"/>
      <c r="E150" s="181" t="n"/>
      <c r="F150" s="181" t="n"/>
      <c r="G150" s="1" t="n"/>
      <c r="H150" s="1" t="n"/>
      <c r="I150" s="1" t="n"/>
      <c r="J150" s="1" t="n"/>
      <c r="K150" s="181" t="n"/>
      <c r="L150" s="181" t="n"/>
      <c r="M150" s="181" t="n"/>
      <c r="N150" s="1" t="n"/>
      <c r="O150" s="181" t="n"/>
      <c r="P150" s="181" t="n"/>
      <c r="Q150" s="18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row>
    <row r="151" ht="15.75" customHeight="1" s="216">
      <c r="A151" s="1" t="n"/>
      <c r="B151" s="1" t="n"/>
      <c r="C151" s="1" t="n"/>
      <c r="D151" s="1" t="n"/>
      <c r="E151" s="181" t="n"/>
      <c r="F151" s="181" t="n"/>
      <c r="G151" s="1" t="n"/>
      <c r="H151" s="1" t="n"/>
      <c r="I151" s="1" t="n"/>
      <c r="J151" s="1" t="n"/>
      <c r="K151" s="181" t="n"/>
      <c r="L151" s="181" t="n"/>
      <c r="M151" s="181" t="n"/>
      <c r="N151" s="1" t="n"/>
      <c r="O151" s="181" t="n"/>
      <c r="P151" s="181" t="n"/>
      <c r="Q151" s="18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row>
    <row r="152" ht="15.75" customHeight="1" s="216">
      <c r="A152" s="1" t="n"/>
      <c r="B152" s="1" t="n"/>
      <c r="C152" s="1" t="n"/>
      <c r="D152" s="1" t="n"/>
      <c r="E152" s="181" t="n"/>
      <c r="F152" s="181" t="n"/>
      <c r="G152" s="1" t="n"/>
      <c r="H152" s="1" t="n"/>
      <c r="I152" s="1" t="n"/>
      <c r="J152" s="1" t="n"/>
      <c r="K152" s="181" t="n"/>
      <c r="L152" s="181" t="n"/>
      <c r="M152" s="181" t="n"/>
      <c r="N152" s="1" t="n"/>
      <c r="O152" s="181" t="n"/>
      <c r="P152" s="181" t="n"/>
      <c r="Q152" s="18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row>
    <row r="153" ht="15.75" customHeight="1" s="216">
      <c r="A153" s="1" t="n"/>
      <c r="B153" s="1" t="n"/>
      <c r="C153" s="1" t="n"/>
      <c r="D153" s="1" t="n"/>
      <c r="E153" s="181" t="n"/>
      <c r="F153" s="181" t="n"/>
      <c r="G153" s="1" t="n"/>
      <c r="H153" s="1" t="n"/>
      <c r="I153" s="1" t="n"/>
      <c r="J153" s="1" t="n"/>
      <c r="K153" s="181" t="n"/>
      <c r="L153" s="181" t="n"/>
      <c r="M153" s="181" t="n"/>
      <c r="N153" s="1" t="n"/>
      <c r="O153" s="181" t="n"/>
      <c r="P153" s="181" t="n"/>
      <c r="Q153" s="18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row>
    <row r="154" ht="15.75" customHeight="1" s="216">
      <c r="A154" s="1" t="n"/>
      <c r="B154" s="1" t="n"/>
      <c r="C154" s="1" t="n"/>
      <c r="D154" s="1" t="n"/>
      <c r="E154" s="181" t="n"/>
      <c r="F154" s="181" t="n"/>
      <c r="G154" s="1" t="n"/>
      <c r="H154" s="1" t="n"/>
      <c r="I154" s="1" t="n"/>
      <c r="J154" s="1" t="n"/>
      <c r="K154" s="181" t="n"/>
      <c r="L154" s="181" t="n"/>
      <c r="M154" s="181" t="n"/>
      <c r="N154" s="1" t="n"/>
      <c r="O154" s="181" t="n"/>
      <c r="P154" s="181" t="n"/>
      <c r="Q154" s="18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row>
    <row r="155" ht="15.75" customHeight="1" s="216">
      <c r="A155" s="1" t="n"/>
      <c r="B155" s="1" t="n"/>
      <c r="C155" s="1" t="n"/>
      <c r="D155" s="1" t="n"/>
      <c r="E155" s="181" t="n"/>
      <c r="F155" s="181" t="n"/>
      <c r="G155" s="1" t="n"/>
      <c r="H155" s="1" t="n"/>
      <c r="I155" s="1" t="n"/>
      <c r="J155" s="1" t="n"/>
      <c r="K155" s="181" t="n"/>
      <c r="L155" s="181" t="n"/>
      <c r="M155" s="181" t="n"/>
      <c r="N155" s="1" t="n"/>
      <c r="O155" s="181" t="n"/>
      <c r="P155" s="181" t="n"/>
      <c r="Q155" s="18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row>
    <row r="156" ht="15.75" customHeight="1" s="216">
      <c r="A156" s="1" t="n"/>
      <c r="B156" s="1" t="n"/>
      <c r="C156" s="1" t="n"/>
      <c r="D156" s="1" t="n"/>
      <c r="E156" s="181" t="n"/>
      <c r="F156" s="181" t="n"/>
      <c r="G156" s="1" t="n"/>
      <c r="H156" s="1" t="n"/>
      <c r="I156" s="1" t="n"/>
      <c r="J156" s="1" t="n"/>
      <c r="K156" s="181" t="n"/>
      <c r="L156" s="181" t="n"/>
      <c r="M156" s="181" t="n"/>
      <c r="N156" s="1" t="n"/>
      <c r="O156" s="181" t="n"/>
      <c r="P156" s="181" t="n"/>
      <c r="Q156" s="18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row>
    <row r="157" ht="15.75" customHeight="1" s="216">
      <c r="A157" s="1" t="n"/>
      <c r="B157" s="1" t="n"/>
      <c r="C157" s="1" t="n"/>
      <c r="D157" s="1" t="n"/>
      <c r="E157" s="181" t="n"/>
      <c r="F157" s="181" t="n"/>
      <c r="G157" s="1" t="n"/>
      <c r="H157" s="1" t="n"/>
      <c r="I157" s="1" t="n"/>
      <c r="J157" s="1" t="n"/>
      <c r="K157" s="181" t="n"/>
      <c r="L157" s="181" t="n"/>
      <c r="M157" s="181" t="n"/>
      <c r="N157" s="1" t="n"/>
      <c r="O157" s="181" t="n"/>
      <c r="P157" s="181" t="n"/>
      <c r="Q157" s="18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row>
    <row r="158" ht="15.75" customHeight="1" s="216">
      <c r="A158" s="1" t="n"/>
      <c r="B158" s="1" t="n"/>
      <c r="C158" s="1" t="n"/>
      <c r="D158" s="1" t="n"/>
      <c r="E158" s="181" t="n"/>
      <c r="F158" s="181" t="n"/>
      <c r="G158" s="1" t="n"/>
      <c r="H158" s="1" t="n"/>
      <c r="I158" s="1" t="n"/>
      <c r="J158" s="1" t="n"/>
      <c r="K158" s="181" t="n"/>
      <c r="L158" s="181" t="n"/>
      <c r="M158" s="181" t="n"/>
      <c r="N158" s="1" t="n"/>
      <c r="O158" s="181" t="n"/>
      <c r="P158" s="181" t="n"/>
      <c r="Q158" s="18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row>
    <row r="159" ht="15.75" customHeight="1" s="216">
      <c r="A159" s="1" t="n"/>
      <c r="B159" s="1" t="n"/>
      <c r="C159" s="1" t="n"/>
      <c r="D159" s="1" t="n"/>
      <c r="E159" s="181" t="n"/>
      <c r="F159" s="181" t="n"/>
      <c r="G159" s="1" t="n"/>
      <c r="H159" s="1" t="n"/>
      <c r="I159" s="1" t="n"/>
      <c r="J159" s="1" t="n"/>
      <c r="K159" s="181" t="n"/>
      <c r="L159" s="181" t="n"/>
      <c r="M159" s="181" t="n"/>
      <c r="N159" s="1" t="n"/>
      <c r="O159" s="181" t="n"/>
      <c r="P159" s="181" t="n"/>
      <c r="Q159" s="18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row>
    <row r="160" ht="15.75" customHeight="1" s="216">
      <c r="A160" s="1" t="n"/>
      <c r="B160" s="1" t="n"/>
      <c r="C160" s="1" t="n"/>
      <c r="D160" s="1" t="n"/>
      <c r="E160" s="181" t="n"/>
      <c r="F160" s="181" t="n"/>
      <c r="G160" s="1" t="n"/>
      <c r="H160" s="1" t="n"/>
      <c r="I160" s="1" t="n"/>
      <c r="J160" s="1" t="n"/>
      <c r="K160" s="181" t="n"/>
      <c r="L160" s="181" t="n"/>
      <c r="M160" s="181" t="n"/>
      <c r="N160" s="1" t="n"/>
      <c r="O160" s="181" t="n"/>
      <c r="P160" s="181" t="n"/>
      <c r="Q160" s="18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row>
    <row r="161" ht="15.75" customHeight="1" s="216">
      <c r="A161" s="1" t="n"/>
      <c r="B161" s="1" t="n"/>
      <c r="C161" s="1" t="n"/>
      <c r="D161" s="1" t="n"/>
      <c r="E161" s="181" t="n"/>
      <c r="F161" s="181" t="n"/>
      <c r="G161" s="1" t="n"/>
      <c r="H161" s="1" t="n"/>
      <c r="I161" s="1" t="n"/>
      <c r="J161" s="1" t="n"/>
      <c r="K161" s="181" t="n"/>
      <c r="L161" s="181" t="n"/>
      <c r="M161" s="181" t="n"/>
      <c r="N161" s="1" t="n"/>
      <c r="O161" s="181" t="n"/>
      <c r="P161" s="181" t="n"/>
      <c r="Q161" s="18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row>
    <row r="162" ht="15.75" customHeight="1" s="216">
      <c r="A162" s="1" t="n"/>
      <c r="B162" s="1" t="n"/>
      <c r="C162" s="1" t="n"/>
      <c r="D162" s="1" t="n"/>
      <c r="E162" s="181" t="n"/>
      <c r="F162" s="181" t="n"/>
      <c r="G162" s="1" t="n"/>
      <c r="H162" s="1" t="n"/>
      <c r="I162" s="1" t="n"/>
      <c r="J162" s="1" t="n"/>
      <c r="K162" s="181" t="n"/>
      <c r="L162" s="181" t="n"/>
      <c r="M162" s="181" t="n"/>
      <c r="N162" s="1" t="n"/>
      <c r="O162" s="181" t="n"/>
      <c r="P162" s="181" t="n"/>
      <c r="Q162" s="18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row>
    <row r="163" ht="15.75" customHeight="1" s="216">
      <c r="A163" s="1" t="n"/>
      <c r="B163" s="1" t="n"/>
      <c r="C163" s="1" t="n"/>
      <c r="D163" s="1" t="n"/>
      <c r="E163" s="181" t="n"/>
      <c r="F163" s="181" t="n"/>
      <c r="G163" s="1" t="n"/>
      <c r="H163" s="1" t="n"/>
      <c r="I163" s="1" t="n"/>
      <c r="J163" s="1" t="n"/>
      <c r="K163" s="181" t="n"/>
      <c r="L163" s="181" t="n"/>
      <c r="M163" s="181" t="n"/>
      <c r="N163" s="1" t="n"/>
      <c r="O163" s="181" t="n"/>
      <c r="P163" s="181" t="n"/>
      <c r="Q163" s="18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row>
    <row r="164" ht="15.75" customHeight="1" s="216">
      <c r="A164" s="1" t="n"/>
      <c r="B164" s="1" t="n"/>
      <c r="C164" s="1" t="n"/>
      <c r="D164" s="1" t="n"/>
      <c r="E164" s="181" t="n"/>
      <c r="F164" s="181" t="n"/>
      <c r="G164" s="1" t="n"/>
      <c r="H164" s="1" t="n"/>
      <c r="I164" s="1" t="n"/>
      <c r="J164" s="1" t="n"/>
      <c r="K164" s="181" t="n"/>
      <c r="L164" s="181" t="n"/>
      <c r="M164" s="181" t="n"/>
      <c r="N164" s="1" t="n"/>
      <c r="O164" s="181" t="n"/>
      <c r="P164" s="181" t="n"/>
      <c r="Q164" s="18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row>
    <row r="165" ht="15.75" customHeight="1" s="216">
      <c r="A165" s="1" t="n"/>
      <c r="B165" s="1" t="n"/>
      <c r="C165" s="1" t="n"/>
      <c r="D165" s="1" t="n"/>
      <c r="E165" s="181" t="n"/>
      <c r="F165" s="181" t="n"/>
      <c r="G165" s="1" t="n"/>
      <c r="H165" s="1" t="n"/>
      <c r="I165" s="1" t="n"/>
      <c r="J165" s="1" t="n"/>
      <c r="K165" s="181" t="n"/>
      <c r="L165" s="181" t="n"/>
      <c r="M165" s="181" t="n"/>
      <c r="N165" s="1" t="n"/>
      <c r="O165" s="181" t="n"/>
      <c r="P165" s="181" t="n"/>
      <c r="Q165" s="18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row>
    <row r="166" ht="15.75" customHeight="1" s="216">
      <c r="A166" s="1" t="n"/>
      <c r="B166" s="1" t="n"/>
      <c r="C166" s="1" t="n"/>
      <c r="D166" s="1" t="n"/>
      <c r="E166" s="181" t="n"/>
      <c r="F166" s="181" t="n"/>
      <c r="G166" s="1" t="n"/>
      <c r="H166" s="1" t="n"/>
      <c r="I166" s="1" t="n"/>
      <c r="J166" s="1" t="n"/>
      <c r="K166" s="181" t="n"/>
      <c r="L166" s="181" t="n"/>
      <c r="M166" s="181" t="n"/>
      <c r="N166" s="1" t="n"/>
      <c r="O166" s="181" t="n"/>
      <c r="P166" s="181" t="n"/>
      <c r="Q166" s="18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row>
    <row r="167" ht="15.75" customHeight="1" s="216">
      <c r="A167" s="1" t="n"/>
      <c r="B167" s="1" t="n"/>
      <c r="C167" s="1" t="n"/>
      <c r="D167" s="1" t="n"/>
      <c r="E167" s="181" t="n"/>
      <c r="F167" s="181" t="n"/>
      <c r="G167" s="1" t="n"/>
      <c r="H167" s="1" t="n"/>
      <c r="I167" s="1" t="n"/>
      <c r="J167" s="1" t="n"/>
      <c r="K167" s="181" t="n"/>
      <c r="L167" s="181" t="n"/>
      <c r="M167" s="181" t="n"/>
      <c r="N167" s="1" t="n"/>
      <c r="O167" s="181" t="n"/>
      <c r="P167" s="181" t="n"/>
      <c r="Q167" s="18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row>
    <row r="168" ht="15.75" customHeight="1" s="216">
      <c r="A168" s="1" t="n"/>
      <c r="B168" s="1" t="n"/>
      <c r="C168" s="1" t="n"/>
      <c r="D168" s="1" t="n"/>
      <c r="E168" s="181" t="n"/>
      <c r="F168" s="181" t="n"/>
      <c r="G168" s="1" t="n"/>
      <c r="H168" s="1" t="n"/>
      <c r="I168" s="1" t="n"/>
      <c r="J168" s="1" t="n"/>
      <c r="K168" s="181" t="n"/>
      <c r="L168" s="181" t="n"/>
      <c r="M168" s="181" t="n"/>
      <c r="N168" s="1" t="n"/>
      <c r="O168" s="181" t="n"/>
      <c r="P168" s="181" t="n"/>
      <c r="Q168" s="18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row>
    <row r="169" ht="15.75" customHeight="1" s="216">
      <c r="A169" s="1" t="n"/>
      <c r="B169" s="1" t="n"/>
      <c r="C169" s="1" t="n"/>
      <c r="D169" s="1" t="n"/>
      <c r="E169" s="181" t="n"/>
      <c r="F169" s="181" t="n"/>
      <c r="G169" s="1" t="n"/>
      <c r="H169" s="1" t="n"/>
      <c r="I169" s="1" t="n"/>
      <c r="J169" s="1" t="n"/>
      <c r="K169" s="181" t="n"/>
      <c r="L169" s="181" t="n"/>
      <c r="M169" s="181" t="n"/>
      <c r="N169" s="1" t="n"/>
      <c r="O169" s="181" t="n"/>
      <c r="P169" s="181" t="n"/>
      <c r="Q169" s="18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row>
    <row r="170" ht="15.75" customHeight="1" s="216">
      <c r="A170" s="1" t="n"/>
      <c r="B170" s="1" t="n"/>
      <c r="C170" s="1" t="n"/>
      <c r="D170" s="1" t="n"/>
      <c r="E170" s="181" t="n"/>
      <c r="F170" s="181" t="n"/>
      <c r="G170" s="1" t="n"/>
      <c r="H170" s="1" t="n"/>
      <c r="I170" s="1" t="n"/>
      <c r="J170" s="1" t="n"/>
      <c r="K170" s="181" t="n"/>
      <c r="L170" s="181" t="n"/>
      <c r="M170" s="181" t="n"/>
      <c r="N170" s="1" t="n"/>
      <c r="O170" s="181" t="n"/>
      <c r="P170" s="181" t="n"/>
      <c r="Q170" s="18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row>
    <row r="171" ht="15.75" customHeight="1" s="216">
      <c r="A171" s="1" t="n"/>
      <c r="B171" s="1" t="n"/>
      <c r="C171" s="1" t="n"/>
      <c r="D171" s="1" t="n"/>
      <c r="E171" s="181" t="n"/>
      <c r="F171" s="181" t="n"/>
      <c r="G171" s="1" t="n"/>
      <c r="H171" s="1" t="n"/>
      <c r="I171" s="1" t="n"/>
      <c r="J171" s="1" t="n"/>
      <c r="K171" s="181" t="n"/>
      <c r="L171" s="181" t="n"/>
      <c r="M171" s="181" t="n"/>
      <c r="N171" s="1" t="n"/>
      <c r="O171" s="181" t="n"/>
      <c r="P171" s="181" t="n"/>
      <c r="Q171" s="18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row>
    <row r="172" ht="15.75" customHeight="1" s="216">
      <c r="A172" s="1" t="n"/>
      <c r="B172" s="1" t="n"/>
      <c r="C172" s="1" t="n"/>
      <c r="D172" s="1" t="n"/>
      <c r="E172" s="181" t="n"/>
      <c r="F172" s="181" t="n"/>
      <c r="G172" s="1" t="n"/>
      <c r="H172" s="1" t="n"/>
      <c r="I172" s="1" t="n"/>
      <c r="J172" s="1" t="n"/>
      <c r="K172" s="181" t="n"/>
      <c r="L172" s="181" t="n"/>
      <c r="M172" s="181" t="n"/>
      <c r="N172" s="1" t="n"/>
      <c r="O172" s="181" t="n"/>
      <c r="P172" s="181" t="n"/>
      <c r="Q172" s="18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row>
    <row r="173" ht="15.75" customHeight="1" s="216">
      <c r="A173" s="1" t="n"/>
      <c r="B173" s="1" t="n"/>
      <c r="C173" s="1" t="n"/>
      <c r="D173" s="1" t="n"/>
      <c r="E173" s="181" t="n"/>
      <c r="F173" s="181" t="n"/>
      <c r="G173" s="1" t="n"/>
      <c r="H173" s="1" t="n"/>
      <c r="I173" s="1" t="n"/>
      <c r="J173" s="1" t="n"/>
      <c r="K173" s="181" t="n"/>
      <c r="L173" s="181" t="n"/>
      <c r="M173" s="181" t="n"/>
      <c r="N173" s="1" t="n"/>
      <c r="O173" s="181" t="n"/>
      <c r="P173" s="181" t="n"/>
      <c r="Q173" s="18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row>
    <row r="174" ht="15.75" customHeight="1" s="216">
      <c r="A174" s="1" t="n"/>
      <c r="B174" s="1" t="n"/>
      <c r="C174" s="1" t="n"/>
      <c r="D174" s="1" t="n"/>
      <c r="E174" s="181" t="n"/>
      <c r="F174" s="181" t="n"/>
      <c r="G174" s="1" t="n"/>
      <c r="H174" s="1" t="n"/>
      <c r="I174" s="1" t="n"/>
      <c r="J174" s="1" t="n"/>
      <c r="K174" s="181" t="n"/>
      <c r="L174" s="181" t="n"/>
      <c r="M174" s="181" t="n"/>
      <c r="N174" s="1" t="n"/>
      <c r="O174" s="181" t="n"/>
      <c r="P174" s="181" t="n"/>
      <c r="Q174" s="18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row>
    <row r="175" ht="15.75" customHeight="1" s="216">
      <c r="A175" s="1" t="n"/>
      <c r="B175" s="1" t="n"/>
      <c r="C175" s="1" t="n"/>
      <c r="D175" s="1" t="n"/>
      <c r="E175" s="181" t="n"/>
      <c r="F175" s="181" t="n"/>
      <c r="G175" s="1" t="n"/>
      <c r="H175" s="1" t="n"/>
      <c r="I175" s="1" t="n"/>
      <c r="J175" s="1" t="n"/>
      <c r="K175" s="181" t="n"/>
      <c r="L175" s="181" t="n"/>
      <c r="M175" s="181" t="n"/>
      <c r="N175" s="1" t="n"/>
      <c r="O175" s="181" t="n"/>
      <c r="P175" s="181" t="n"/>
      <c r="Q175" s="18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row>
    <row r="176" ht="15.75" customHeight="1" s="216">
      <c r="A176" s="1" t="n"/>
      <c r="B176" s="1" t="n"/>
      <c r="C176" s="1" t="n"/>
      <c r="D176" s="1" t="n"/>
      <c r="E176" s="181" t="n"/>
      <c r="F176" s="181" t="n"/>
      <c r="G176" s="1" t="n"/>
      <c r="H176" s="1" t="n"/>
      <c r="I176" s="1" t="n"/>
      <c r="J176" s="1" t="n"/>
      <c r="K176" s="181" t="n"/>
      <c r="L176" s="181" t="n"/>
      <c r="M176" s="181" t="n"/>
      <c r="N176" s="1" t="n"/>
      <c r="O176" s="181" t="n"/>
      <c r="P176" s="181" t="n"/>
      <c r="Q176" s="18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row>
    <row r="177" ht="15.75" customHeight="1" s="216">
      <c r="A177" s="1" t="n"/>
      <c r="B177" s="1" t="n"/>
      <c r="C177" s="1" t="n"/>
      <c r="D177" s="1" t="n"/>
      <c r="E177" s="181" t="n"/>
      <c r="F177" s="181" t="n"/>
      <c r="G177" s="1" t="n"/>
      <c r="H177" s="1" t="n"/>
      <c r="I177" s="1" t="n"/>
      <c r="J177" s="1" t="n"/>
      <c r="K177" s="181" t="n"/>
      <c r="L177" s="181" t="n"/>
      <c r="M177" s="181" t="n"/>
      <c r="N177" s="1" t="n"/>
      <c r="O177" s="181" t="n"/>
      <c r="P177" s="181" t="n"/>
      <c r="Q177" s="18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row>
    <row r="178" ht="15.75" customHeight="1" s="216">
      <c r="A178" s="1" t="n"/>
      <c r="B178" s="1" t="n"/>
      <c r="C178" s="1" t="n"/>
      <c r="D178" s="1" t="n"/>
      <c r="E178" s="181" t="n"/>
      <c r="F178" s="181" t="n"/>
      <c r="G178" s="1" t="n"/>
      <c r="H178" s="1" t="n"/>
      <c r="I178" s="1" t="n"/>
      <c r="J178" s="1" t="n"/>
      <c r="K178" s="181" t="n"/>
      <c r="L178" s="181" t="n"/>
      <c r="M178" s="181" t="n"/>
      <c r="N178" s="1" t="n"/>
      <c r="O178" s="181" t="n"/>
      <c r="P178" s="181" t="n"/>
      <c r="Q178" s="18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row>
    <row r="179" ht="15.75" customHeight="1" s="216">
      <c r="A179" s="1" t="n"/>
      <c r="B179" s="1" t="n"/>
      <c r="C179" s="1" t="n"/>
      <c r="D179" s="1" t="n"/>
      <c r="E179" s="181" t="n"/>
      <c r="F179" s="181" t="n"/>
      <c r="G179" s="1" t="n"/>
      <c r="H179" s="1" t="n"/>
      <c r="I179" s="1" t="n"/>
      <c r="J179" s="1" t="n"/>
      <c r="K179" s="181" t="n"/>
      <c r="L179" s="181" t="n"/>
      <c r="M179" s="181" t="n"/>
      <c r="N179" s="1" t="n"/>
      <c r="O179" s="181" t="n"/>
      <c r="P179" s="181" t="n"/>
      <c r="Q179" s="18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row>
    <row r="180" ht="15.75" customHeight="1" s="216">
      <c r="A180" s="1" t="n"/>
      <c r="B180" s="1" t="n"/>
      <c r="C180" s="1" t="n"/>
      <c r="D180" s="1" t="n"/>
      <c r="E180" s="181" t="n"/>
      <c r="F180" s="181" t="n"/>
      <c r="G180" s="1" t="n"/>
      <c r="H180" s="1" t="n"/>
      <c r="I180" s="1" t="n"/>
      <c r="J180" s="1" t="n"/>
      <c r="K180" s="181" t="n"/>
      <c r="L180" s="181" t="n"/>
      <c r="M180" s="181" t="n"/>
      <c r="N180" s="1" t="n"/>
      <c r="O180" s="181" t="n"/>
      <c r="P180" s="181" t="n"/>
      <c r="Q180" s="18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row>
    <row r="181" ht="15.75" customHeight="1" s="216">
      <c r="A181" s="1" t="n"/>
      <c r="B181" s="1" t="n"/>
      <c r="C181" s="1" t="n"/>
      <c r="D181" s="1" t="n"/>
      <c r="E181" s="181" t="n"/>
      <c r="F181" s="181" t="n"/>
      <c r="G181" s="1" t="n"/>
      <c r="H181" s="1" t="n"/>
      <c r="I181" s="1" t="n"/>
      <c r="J181" s="1" t="n"/>
      <c r="K181" s="181" t="n"/>
      <c r="L181" s="181" t="n"/>
      <c r="M181" s="181" t="n"/>
      <c r="N181" s="1" t="n"/>
      <c r="O181" s="181" t="n"/>
      <c r="P181" s="181" t="n"/>
      <c r="Q181" s="18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row>
    <row r="182" ht="15.75" customHeight="1" s="216">
      <c r="A182" s="1" t="n"/>
      <c r="B182" s="1" t="n"/>
      <c r="C182" s="1" t="n"/>
      <c r="D182" s="1" t="n"/>
      <c r="E182" s="181" t="n"/>
      <c r="F182" s="181" t="n"/>
      <c r="G182" s="1" t="n"/>
      <c r="H182" s="1" t="n"/>
      <c r="I182" s="1" t="n"/>
      <c r="J182" s="1" t="n"/>
      <c r="K182" s="181" t="n"/>
      <c r="L182" s="181" t="n"/>
      <c r="M182" s="181" t="n"/>
      <c r="N182" s="1" t="n"/>
      <c r="O182" s="181" t="n"/>
      <c r="P182" s="181" t="n"/>
      <c r="Q182" s="18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row>
    <row r="183" ht="15.75" customHeight="1" s="216">
      <c r="A183" s="1" t="n"/>
      <c r="B183" s="1" t="n"/>
      <c r="C183" s="1" t="n"/>
      <c r="D183" s="1" t="n"/>
      <c r="E183" s="181" t="n"/>
      <c r="F183" s="181" t="n"/>
      <c r="G183" s="1" t="n"/>
      <c r="H183" s="1" t="n"/>
      <c r="I183" s="1" t="n"/>
      <c r="J183" s="1" t="n"/>
      <c r="K183" s="181" t="n"/>
      <c r="L183" s="181" t="n"/>
      <c r="M183" s="181" t="n"/>
      <c r="N183" s="1" t="n"/>
      <c r="O183" s="181" t="n"/>
      <c r="P183" s="181" t="n"/>
      <c r="Q183" s="18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row>
    <row r="184" ht="15.75" customHeight="1" s="216">
      <c r="A184" s="1" t="n"/>
      <c r="B184" s="1" t="n"/>
      <c r="C184" s="1" t="n"/>
      <c r="D184" s="1" t="n"/>
      <c r="E184" s="181" t="n"/>
      <c r="F184" s="181" t="n"/>
      <c r="G184" s="1" t="n"/>
      <c r="H184" s="1" t="n"/>
      <c r="I184" s="1" t="n"/>
      <c r="J184" s="1" t="n"/>
      <c r="K184" s="181" t="n"/>
      <c r="L184" s="181" t="n"/>
      <c r="M184" s="181" t="n"/>
      <c r="N184" s="1" t="n"/>
      <c r="O184" s="181" t="n"/>
      <c r="P184" s="181" t="n"/>
      <c r="Q184" s="18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row>
    <row r="185" ht="15.75" customHeight="1" s="216">
      <c r="A185" s="1" t="n"/>
      <c r="B185" s="1" t="n"/>
      <c r="C185" s="1" t="n"/>
      <c r="D185" s="1" t="n"/>
      <c r="E185" s="181" t="n"/>
      <c r="F185" s="181" t="n"/>
      <c r="G185" s="1" t="n"/>
      <c r="H185" s="1" t="n"/>
      <c r="I185" s="1" t="n"/>
      <c r="J185" s="1" t="n"/>
      <c r="K185" s="181" t="n"/>
      <c r="L185" s="181" t="n"/>
      <c r="M185" s="181" t="n"/>
      <c r="N185" s="1" t="n"/>
      <c r="O185" s="181" t="n"/>
      <c r="P185" s="181" t="n"/>
      <c r="Q185" s="18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row>
    <row r="186" ht="15.75" customHeight="1" s="216">
      <c r="A186" s="1" t="n"/>
      <c r="B186" s="1" t="n"/>
      <c r="C186" s="1" t="n"/>
      <c r="D186" s="1" t="n"/>
      <c r="E186" s="181" t="n"/>
      <c r="F186" s="181" t="n"/>
      <c r="G186" s="1" t="n"/>
      <c r="H186" s="1" t="n"/>
      <c r="I186" s="1" t="n"/>
      <c r="J186" s="1" t="n"/>
      <c r="K186" s="181" t="n"/>
      <c r="L186" s="181" t="n"/>
      <c r="M186" s="181" t="n"/>
      <c r="N186" s="1" t="n"/>
      <c r="O186" s="181" t="n"/>
      <c r="P186" s="181" t="n"/>
      <c r="Q186" s="18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row>
    <row r="187" ht="15.75" customHeight="1" s="216">
      <c r="A187" s="1" t="n"/>
      <c r="B187" s="1" t="n"/>
      <c r="C187" s="1" t="n"/>
      <c r="D187" s="1" t="n"/>
      <c r="E187" s="181" t="n"/>
      <c r="F187" s="181" t="n"/>
      <c r="G187" s="1" t="n"/>
      <c r="H187" s="1" t="n"/>
      <c r="I187" s="1" t="n"/>
      <c r="J187" s="1" t="n"/>
      <c r="K187" s="181" t="n"/>
      <c r="L187" s="181" t="n"/>
      <c r="M187" s="181" t="n"/>
      <c r="N187" s="1" t="n"/>
      <c r="O187" s="181" t="n"/>
      <c r="P187" s="181" t="n"/>
      <c r="Q187" s="18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row>
    <row r="188" ht="15.75" customHeight="1" s="216">
      <c r="A188" s="1" t="n"/>
      <c r="B188" s="1" t="n"/>
      <c r="C188" s="1" t="n"/>
      <c r="D188" s="1" t="n"/>
      <c r="E188" s="181" t="n"/>
      <c r="F188" s="181" t="n"/>
      <c r="G188" s="1" t="n"/>
      <c r="H188" s="1" t="n"/>
      <c r="I188" s="1" t="n"/>
      <c r="J188" s="1" t="n"/>
      <c r="K188" s="181" t="n"/>
      <c r="L188" s="181" t="n"/>
      <c r="M188" s="181" t="n"/>
      <c r="N188" s="1" t="n"/>
      <c r="O188" s="181" t="n"/>
      <c r="P188" s="181" t="n"/>
      <c r="Q188" s="18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row>
    <row r="189" ht="15.75" customHeight="1" s="216">
      <c r="A189" s="1" t="n"/>
      <c r="B189" s="1" t="n"/>
      <c r="C189" s="1" t="n"/>
      <c r="D189" s="1" t="n"/>
      <c r="E189" s="181" t="n"/>
      <c r="F189" s="181" t="n"/>
      <c r="G189" s="1" t="n"/>
      <c r="H189" s="1" t="n"/>
      <c r="I189" s="1" t="n"/>
      <c r="J189" s="1" t="n"/>
      <c r="K189" s="181" t="n"/>
      <c r="L189" s="181" t="n"/>
      <c r="M189" s="181" t="n"/>
      <c r="N189" s="1" t="n"/>
      <c r="O189" s="181" t="n"/>
      <c r="P189" s="181" t="n"/>
      <c r="Q189" s="18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row>
    <row r="190" ht="15.75" customHeight="1" s="216">
      <c r="A190" s="1" t="n"/>
      <c r="B190" s="1" t="n"/>
      <c r="C190" s="1" t="n"/>
      <c r="D190" s="1" t="n"/>
      <c r="E190" s="181" t="n"/>
      <c r="F190" s="181" t="n"/>
      <c r="G190" s="1" t="n"/>
      <c r="H190" s="1" t="n"/>
      <c r="I190" s="1" t="n"/>
      <c r="J190" s="1" t="n"/>
      <c r="K190" s="181" t="n"/>
      <c r="L190" s="181" t="n"/>
      <c r="M190" s="181" t="n"/>
      <c r="N190" s="1" t="n"/>
      <c r="O190" s="181" t="n"/>
      <c r="P190" s="181" t="n"/>
      <c r="Q190" s="18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row>
    <row r="191" ht="15.75" customHeight="1" s="216">
      <c r="A191" s="1" t="n"/>
      <c r="B191" s="1" t="n"/>
      <c r="C191" s="1" t="n"/>
      <c r="D191" s="1" t="n"/>
      <c r="E191" s="181" t="n"/>
      <c r="F191" s="181" t="n"/>
      <c r="G191" s="1" t="n"/>
      <c r="H191" s="1" t="n"/>
      <c r="I191" s="1" t="n"/>
      <c r="J191" s="1" t="n"/>
      <c r="K191" s="181" t="n"/>
      <c r="L191" s="181" t="n"/>
      <c r="M191" s="181" t="n"/>
      <c r="N191" s="1" t="n"/>
      <c r="O191" s="181" t="n"/>
      <c r="P191" s="181" t="n"/>
      <c r="Q191" s="18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row>
    <row r="192" ht="15.75" customHeight="1" s="216">
      <c r="A192" s="1" t="n"/>
      <c r="B192" s="1" t="n"/>
      <c r="C192" s="1" t="n"/>
      <c r="D192" s="1" t="n"/>
      <c r="E192" s="181" t="n"/>
      <c r="F192" s="181" t="n"/>
      <c r="G192" s="1" t="n"/>
      <c r="H192" s="1" t="n"/>
      <c r="I192" s="1" t="n"/>
      <c r="J192" s="1" t="n"/>
      <c r="K192" s="181" t="n"/>
      <c r="L192" s="181" t="n"/>
      <c r="M192" s="181" t="n"/>
      <c r="N192" s="1" t="n"/>
      <c r="O192" s="181" t="n"/>
      <c r="P192" s="181" t="n"/>
      <c r="Q192" s="18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row>
    <row r="193" ht="15.75" customHeight="1" s="216">
      <c r="A193" s="1" t="n"/>
      <c r="B193" s="1" t="n"/>
      <c r="C193" s="1" t="n"/>
      <c r="D193" s="1" t="n"/>
      <c r="E193" s="181" t="n"/>
      <c r="F193" s="181" t="n"/>
      <c r="G193" s="1" t="n"/>
      <c r="H193" s="1" t="n"/>
      <c r="I193" s="1" t="n"/>
      <c r="J193" s="1" t="n"/>
      <c r="K193" s="181" t="n"/>
      <c r="L193" s="181" t="n"/>
      <c r="M193" s="181" t="n"/>
      <c r="N193" s="1" t="n"/>
      <c r="O193" s="181" t="n"/>
      <c r="P193" s="181" t="n"/>
      <c r="Q193" s="18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row>
    <row r="194" ht="15.75" customHeight="1" s="216">
      <c r="A194" s="1" t="n"/>
      <c r="B194" s="1" t="n"/>
      <c r="C194" s="1" t="n"/>
      <c r="D194" s="1" t="n"/>
      <c r="E194" s="181" t="n"/>
      <c r="F194" s="181" t="n"/>
      <c r="G194" s="1" t="n"/>
      <c r="H194" s="1" t="n"/>
      <c r="I194" s="1" t="n"/>
      <c r="J194" s="1" t="n"/>
      <c r="K194" s="181" t="n"/>
      <c r="L194" s="181" t="n"/>
      <c r="M194" s="181" t="n"/>
      <c r="N194" s="1" t="n"/>
      <c r="O194" s="181" t="n"/>
      <c r="P194" s="181" t="n"/>
      <c r="Q194" s="18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row>
    <row r="195" ht="15.75" customHeight="1" s="216">
      <c r="A195" s="1" t="n"/>
      <c r="B195" s="1" t="n"/>
      <c r="C195" s="1" t="n"/>
      <c r="D195" s="1" t="n"/>
      <c r="E195" s="181" t="n"/>
      <c r="F195" s="181" t="n"/>
      <c r="G195" s="1" t="n"/>
      <c r="H195" s="1" t="n"/>
      <c r="I195" s="1" t="n"/>
      <c r="J195" s="1" t="n"/>
      <c r="K195" s="181" t="n"/>
      <c r="L195" s="181" t="n"/>
      <c r="M195" s="181" t="n"/>
      <c r="N195" s="1" t="n"/>
      <c r="O195" s="181" t="n"/>
      <c r="P195" s="181" t="n"/>
      <c r="Q195" s="18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row>
    <row r="196" ht="15.75" customHeight="1" s="216">
      <c r="A196" s="1" t="n"/>
      <c r="B196" s="1" t="n"/>
      <c r="C196" s="1" t="n"/>
      <c r="D196" s="1" t="n"/>
      <c r="E196" s="181" t="n"/>
      <c r="F196" s="181" t="n"/>
      <c r="G196" s="1" t="n"/>
      <c r="H196" s="1" t="n"/>
      <c r="I196" s="1" t="n"/>
      <c r="J196" s="1" t="n"/>
      <c r="K196" s="181" t="n"/>
      <c r="L196" s="181" t="n"/>
      <c r="M196" s="181" t="n"/>
      <c r="N196" s="1" t="n"/>
      <c r="O196" s="181" t="n"/>
      <c r="P196" s="181" t="n"/>
      <c r="Q196" s="18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row>
    <row r="197" ht="15.75" customHeight="1" s="216">
      <c r="A197" s="1" t="n"/>
      <c r="B197" s="1" t="n"/>
      <c r="C197" s="1" t="n"/>
      <c r="D197" s="1" t="n"/>
      <c r="E197" s="181" t="n"/>
      <c r="F197" s="181" t="n"/>
      <c r="G197" s="1" t="n"/>
      <c r="H197" s="1" t="n"/>
      <c r="I197" s="1" t="n"/>
      <c r="J197" s="1" t="n"/>
      <c r="K197" s="181" t="n"/>
      <c r="L197" s="181" t="n"/>
      <c r="M197" s="181" t="n"/>
      <c r="N197" s="1" t="n"/>
      <c r="O197" s="181" t="n"/>
      <c r="P197" s="181" t="n"/>
      <c r="Q197" s="18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row>
    <row r="198" ht="15.75" customHeight="1" s="216">
      <c r="A198" s="1" t="n"/>
      <c r="B198" s="1" t="n"/>
      <c r="C198" s="1" t="n"/>
      <c r="D198" s="1" t="n"/>
      <c r="E198" s="181" t="n"/>
      <c r="F198" s="181" t="n"/>
      <c r="G198" s="1" t="n"/>
      <c r="H198" s="1" t="n"/>
      <c r="I198" s="1" t="n"/>
      <c r="J198" s="1" t="n"/>
      <c r="K198" s="181" t="n"/>
      <c r="L198" s="181" t="n"/>
      <c r="M198" s="181" t="n"/>
      <c r="N198" s="1" t="n"/>
      <c r="O198" s="181" t="n"/>
      <c r="P198" s="181" t="n"/>
      <c r="Q198" s="18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row>
    <row r="199" ht="15.75" customHeight="1" s="216">
      <c r="A199" s="1" t="n"/>
      <c r="B199" s="1" t="n"/>
      <c r="C199" s="1" t="n"/>
      <c r="D199" s="1" t="n"/>
      <c r="E199" s="181" t="n"/>
      <c r="F199" s="181" t="n"/>
      <c r="G199" s="1" t="n"/>
      <c r="H199" s="1" t="n"/>
      <c r="I199" s="1" t="n"/>
      <c r="J199" s="1" t="n"/>
      <c r="K199" s="181" t="n"/>
      <c r="L199" s="181" t="n"/>
      <c r="M199" s="181" t="n"/>
      <c r="N199" s="1" t="n"/>
      <c r="O199" s="181" t="n"/>
      <c r="P199" s="181" t="n"/>
      <c r="Q199" s="18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row>
    <row r="200" ht="15.75" customHeight="1" s="216">
      <c r="A200" s="1" t="n"/>
      <c r="B200" s="1" t="n"/>
      <c r="C200" s="1" t="n"/>
      <c r="D200" s="1" t="n"/>
      <c r="E200" s="181" t="n"/>
      <c r="F200" s="181" t="n"/>
      <c r="G200" s="1" t="n"/>
      <c r="H200" s="1" t="n"/>
      <c r="I200" s="1" t="n"/>
      <c r="J200" s="1" t="n"/>
      <c r="K200" s="181" t="n"/>
      <c r="L200" s="181" t="n"/>
      <c r="M200" s="181" t="n"/>
      <c r="N200" s="1" t="n"/>
      <c r="O200" s="181" t="n"/>
      <c r="P200" s="181" t="n"/>
      <c r="Q200" s="18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row>
    <row r="201" ht="15.75" customHeight="1" s="216">
      <c r="A201" s="1" t="n"/>
      <c r="B201" s="1" t="n"/>
      <c r="C201" s="1" t="n"/>
      <c r="D201" s="1" t="n"/>
      <c r="E201" s="181" t="n"/>
      <c r="F201" s="181" t="n"/>
      <c r="G201" s="1" t="n"/>
      <c r="H201" s="1" t="n"/>
      <c r="I201" s="1" t="n"/>
      <c r="J201" s="1" t="n"/>
      <c r="K201" s="181" t="n"/>
      <c r="L201" s="181" t="n"/>
      <c r="M201" s="181" t="n"/>
      <c r="N201" s="1" t="n"/>
      <c r="O201" s="181" t="n"/>
      <c r="P201" s="181" t="n"/>
      <c r="Q201" s="18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row>
    <row r="202" ht="15.75" customHeight="1" s="216">
      <c r="A202" s="1" t="n"/>
      <c r="B202" s="1" t="n"/>
      <c r="C202" s="1" t="n"/>
      <c r="D202" s="1" t="n"/>
      <c r="E202" s="181" t="n"/>
      <c r="F202" s="181" t="n"/>
      <c r="G202" s="1" t="n"/>
      <c r="H202" s="1" t="n"/>
      <c r="I202" s="1" t="n"/>
      <c r="J202" s="1" t="n"/>
      <c r="K202" s="181" t="n"/>
      <c r="L202" s="181" t="n"/>
      <c r="M202" s="181" t="n"/>
      <c r="N202" s="1" t="n"/>
      <c r="O202" s="181" t="n"/>
      <c r="P202" s="181" t="n"/>
      <c r="Q202" s="18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row>
    <row r="203" ht="15.75" customHeight="1" s="216">
      <c r="A203" s="1" t="n"/>
      <c r="B203" s="1" t="n"/>
      <c r="C203" s="1" t="n"/>
      <c r="D203" s="1" t="n"/>
      <c r="E203" s="181" t="n"/>
      <c r="F203" s="181" t="n"/>
      <c r="G203" s="1" t="n"/>
      <c r="H203" s="1" t="n"/>
      <c r="I203" s="1" t="n"/>
      <c r="J203" s="1" t="n"/>
      <c r="K203" s="181" t="n"/>
      <c r="L203" s="181" t="n"/>
      <c r="M203" s="181" t="n"/>
      <c r="N203" s="1" t="n"/>
      <c r="O203" s="181" t="n"/>
      <c r="P203" s="181" t="n"/>
      <c r="Q203" s="18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row>
    <row r="204" ht="15.75" customHeight="1" s="216">
      <c r="A204" s="1" t="n"/>
      <c r="B204" s="1" t="n"/>
      <c r="C204" s="1" t="n"/>
      <c r="D204" s="1" t="n"/>
      <c r="E204" s="181" t="n"/>
      <c r="F204" s="181" t="n"/>
      <c r="G204" s="1" t="n"/>
      <c r="H204" s="1" t="n"/>
      <c r="I204" s="1" t="n"/>
      <c r="J204" s="1" t="n"/>
      <c r="K204" s="181" t="n"/>
      <c r="L204" s="181" t="n"/>
      <c r="M204" s="181" t="n"/>
      <c r="N204" s="1" t="n"/>
      <c r="O204" s="181" t="n"/>
      <c r="P204" s="181" t="n"/>
      <c r="Q204" s="18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row>
    <row r="205" ht="15.75" customHeight="1" s="216">
      <c r="A205" s="1" t="n"/>
      <c r="B205" s="1" t="n"/>
      <c r="C205" s="1" t="n"/>
      <c r="D205" s="1" t="n"/>
      <c r="E205" s="181" t="n"/>
      <c r="F205" s="181" t="n"/>
      <c r="G205" s="1" t="n"/>
      <c r="H205" s="1" t="n"/>
      <c r="I205" s="1" t="n"/>
      <c r="J205" s="1" t="n"/>
      <c r="K205" s="181" t="n"/>
      <c r="L205" s="181" t="n"/>
      <c r="M205" s="181" t="n"/>
      <c r="N205" s="1" t="n"/>
      <c r="O205" s="181" t="n"/>
      <c r="P205" s="181" t="n"/>
      <c r="Q205" s="18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row>
    <row r="206" ht="15.75" customHeight="1" s="216">
      <c r="A206" s="1" t="n"/>
      <c r="B206" s="1" t="n"/>
      <c r="C206" s="1" t="n"/>
      <c r="D206" s="1" t="n"/>
      <c r="E206" s="181" t="n"/>
      <c r="F206" s="181" t="n"/>
      <c r="G206" s="1" t="n"/>
      <c r="H206" s="1" t="n"/>
      <c r="I206" s="1" t="n"/>
      <c r="J206" s="1" t="n"/>
      <c r="K206" s="181" t="n"/>
      <c r="L206" s="181" t="n"/>
      <c r="M206" s="181" t="n"/>
      <c r="N206" s="1" t="n"/>
      <c r="O206" s="181" t="n"/>
      <c r="P206" s="181" t="n"/>
      <c r="Q206" s="18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row>
    <row r="207" ht="15.75" customHeight="1" s="216">
      <c r="A207" s="1" t="n"/>
      <c r="B207" s="1" t="n"/>
      <c r="C207" s="1" t="n"/>
      <c r="D207" s="1" t="n"/>
      <c r="E207" s="181" t="n"/>
      <c r="F207" s="181" t="n"/>
      <c r="G207" s="1" t="n"/>
      <c r="H207" s="1" t="n"/>
      <c r="I207" s="1" t="n"/>
      <c r="J207" s="1" t="n"/>
      <c r="K207" s="181" t="n"/>
      <c r="L207" s="181" t="n"/>
      <c r="M207" s="181" t="n"/>
      <c r="N207" s="1" t="n"/>
      <c r="O207" s="181" t="n"/>
      <c r="P207" s="181" t="n"/>
      <c r="Q207" s="18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row>
    <row r="208" ht="15.75" customHeight="1" s="216">
      <c r="A208" s="1" t="n"/>
      <c r="B208" s="1" t="n"/>
      <c r="C208" s="1" t="n"/>
      <c r="D208" s="1" t="n"/>
      <c r="E208" s="181" t="n"/>
      <c r="F208" s="181" t="n"/>
      <c r="G208" s="1" t="n"/>
      <c r="H208" s="1" t="n"/>
      <c r="I208" s="1" t="n"/>
      <c r="J208" s="1" t="n"/>
      <c r="K208" s="181" t="n"/>
      <c r="L208" s="181" t="n"/>
      <c r="M208" s="181" t="n"/>
      <c r="N208" s="1" t="n"/>
      <c r="O208" s="181" t="n"/>
      <c r="P208" s="181" t="n"/>
      <c r="Q208" s="18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row>
    <row r="209" ht="15.75" customHeight="1" s="216">
      <c r="A209" s="1" t="n"/>
      <c r="B209" s="1" t="n"/>
      <c r="C209" s="1" t="n"/>
      <c r="D209" s="1" t="n"/>
      <c r="E209" s="181" t="n"/>
      <c r="F209" s="181" t="n"/>
      <c r="G209" s="1" t="n"/>
      <c r="H209" s="1" t="n"/>
      <c r="I209" s="1" t="n"/>
      <c r="J209" s="1" t="n"/>
      <c r="K209" s="181" t="n"/>
      <c r="L209" s="181" t="n"/>
      <c r="M209" s="181" t="n"/>
      <c r="N209" s="1" t="n"/>
      <c r="O209" s="181" t="n"/>
      <c r="P209" s="181" t="n"/>
      <c r="Q209" s="18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row>
    <row r="210" ht="15.75" customHeight="1" s="216">
      <c r="A210" s="1" t="n"/>
      <c r="B210" s="1" t="n"/>
      <c r="C210" s="1" t="n"/>
      <c r="D210" s="1" t="n"/>
      <c r="E210" s="181" t="n"/>
      <c r="F210" s="181" t="n"/>
      <c r="G210" s="1" t="n"/>
      <c r="H210" s="1" t="n"/>
      <c r="I210" s="1" t="n"/>
      <c r="J210" s="1" t="n"/>
      <c r="K210" s="181" t="n"/>
      <c r="L210" s="181" t="n"/>
      <c r="M210" s="181" t="n"/>
      <c r="N210" s="1" t="n"/>
      <c r="O210" s="181" t="n"/>
      <c r="P210" s="181" t="n"/>
      <c r="Q210" s="18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row>
    <row r="211" ht="15.75" customHeight="1" s="216">
      <c r="A211" s="1" t="n"/>
      <c r="B211" s="1" t="n"/>
      <c r="C211" s="1" t="n"/>
      <c r="D211" s="1" t="n"/>
      <c r="E211" s="181" t="n"/>
      <c r="F211" s="181" t="n"/>
      <c r="G211" s="1" t="n"/>
      <c r="H211" s="1" t="n"/>
      <c r="I211" s="1" t="n"/>
      <c r="J211" s="1" t="n"/>
      <c r="K211" s="181" t="n"/>
      <c r="L211" s="181" t="n"/>
      <c r="M211" s="181" t="n"/>
      <c r="N211" s="1" t="n"/>
      <c r="O211" s="181" t="n"/>
      <c r="P211" s="181" t="n"/>
      <c r="Q211" s="18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row>
    <row r="212" ht="15.75" customHeight="1" s="216">
      <c r="A212" s="1" t="n"/>
      <c r="B212" s="1" t="n"/>
      <c r="C212" s="1" t="n"/>
      <c r="D212" s="1" t="n"/>
      <c r="E212" s="181" t="n"/>
      <c r="F212" s="181" t="n"/>
      <c r="G212" s="1" t="n"/>
      <c r="H212" s="1" t="n"/>
      <c r="I212" s="1" t="n"/>
      <c r="J212" s="1" t="n"/>
      <c r="K212" s="181" t="n"/>
      <c r="L212" s="181" t="n"/>
      <c r="M212" s="181" t="n"/>
      <c r="N212" s="1" t="n"/>
      <c r="O212" s="181" t="n"/>
      <c r="P212" s="181" t="n"/>
      <c r="Q212" s="18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row>
    <row r="213" ht="15.75" customHeight="1" s="216">
      <c r="A213" s="1" t="n"/>
      <c r="B213" s="1" t="n"/>
      <c r="C213" s="1" t="n"/>
      <c r="D213" s="1" t="n"/>
      <c r="E213" s="181" t="n"/>
      <c r="F213" s="181" t="n"/>
      <c r="G213" s="1" t="n"/>
      <c r="H213" s="1" t="n"/>
      <c r="I213" s="1" t="n"/>
      <c r="J213" s="1" t="n"/>
      <c r="K213" s="181" t="n"/>
      <c r="L213" s="181" t="n"/>
      <c r="M213" s="181" t="n"/>
      <c r="N213" s="1" t="n"/>
      <c r="O213" s="181" t="n"/>
      <c r="P213" s="181" t="n"/>
      <c r="Q213" s="18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row>
    <row r="214" ht="15.75" customHeight="1" s="216">
      <c r="A214" s="1" t="n"/>
      <c r="B214" s="1" t="n"/>
      <c r="C214" s="1" t="n"/>
      <c r="D214" s="1" t="n"/>
      <c r="E214" s="181" t="n"/>
      <c r="F214" s="181" t="n"/>
      <c r="G214" s="1" t="n"/>
      <c r="H214" s="1" t="n"/>
      <c r="I214" s="1" t="n"/>
      <c r="J214" s="1" t="n"/>
      <c r="K214" s="181" t="n"/>
      <c r="L214" s="181" t="n"/>
      <c r="M214" s="181" t="n"/>
      <c r="N214" s="1" t="n"/>
      <c r="O214" s="181" t="n"/>
      <c r="P214" s="181" t="n"/>
      <c r="Q214" s="18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row>
    <row r="215" ht="15.75" customHeight="1" s="216">
      <c r="A215" s="1" t="n"/>
      <c r="B215" s="1" t="n"/>
      <c r="C215" s="1" t="n"/>
      <c r="D215" s="1" t="n"/>
      <c r="E215" s="181" t="n"/>
      <c r="F215" s="181" t="n"/>
      <c r="G215" s="1" t="n"/>
      <c r="H215" s="1" t="n"/>
      <c r="I215" s="1" t="n"/>
      <c r="J215" s="1" t="n"/>
      <c r="K215" s="181" t="n"/>
      <c r="L215" s="181" t="n"/>
      <c r="M215" s="181" t="n"/>
      <c r="N215" s="1" t="n"/>
      <c r="O215" s="181" t="n"/>
      <c r="P215" s="181" t="n"/>
      <c r="Q215" s="18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row>
    <row r="216" ht="15.75" customHeight="1" s="216">
      <c r="A216" s="1" t="n"/>
      <c r="B216" s="1" t="n"/>
      <c r="C216" s="1" t="n"/>
      <c r="D216" s="1" t="n"/>
      <c r="E216" s="181" t="n"/>
      <c r="F216" s="181" t="n"/>
      <c r="G216" s="1" t="n"/>
      <c r="H216" s="1" t="n"/>
      <c r="I216" s="1" t="n"/>
      <c r="J216" s="1" t="n"/>
      <c r="K216" s="181" t="n"/>
      <c r="L216" s="181" t="n"/>
      <c r="M216" s="181" t="n"/>
      <c r="N216" s="1" t="n"/>
      <c r="O216" s="181" t="n"/>
      <c r="P216" s="181" t="n"/>
      <c r="Q216" s="18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row>
    <row r="217" ht="15.75" customHeight="1" s="216">
      <c r="A217" s="1" t="n"/>
      <c r="B217" s="1" t="n"/>
      <c r="C217" s="1" t="n"/>
      <c r="D217" s="1" t="n"/>
      <c r="E217" s="181" t="n"/>
      <c r="F217" s="181" t="n"/>
      <c r="G217" s="1" t="n"/>
      <c r="H217" s="1" t="n"/>
      <c r="I217" s="1" t="n"/>
      <c r="J217" s="1" t="n"/>
      <c r="K217" s="181" t="n"/>
      <c r="L217" s="181" t="n"/>
      <c r="M217" s="181" t="n"/>
      <c r="N217" s="1" t="n"/>
      <c r="O217" s="181" t="n"/>
      <c r="P217" s="181" t="n"/>
      <c r="Q217" s="18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row>
    <row r="218" ht="15.75" customHeight="1" s="216">
      <c r="A218" s="1" t="n"/>
      <c r="B218" s="1" t="n"/>
      <c r="C218" s="1" t="n"/>
      <c r="D218" s="1" t="n"/>
      <c r="E218" s="181" t="n"/>
      <c r="F218" s="181" t="n"/>
      <c r="G218" s="1" t="n"/>
      <c r="H218" s="1" t="n"/>
      <c r="I218" s="1" t="n"/>
      <c r="J218" s="1" t="n"/>
      <c r="K218" s="181" t="n"/>
      <c r="L218" s="181" t="n"/>
      <c r="M218" s="181" t="n"/>
      <c r="N218" s="1" t="n"/>
      <c r="O218" s="181" t="n"/>
      <c r="P218" s="181" t="n"/>
      <c r="Q218" s="18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row>
    <row r="219" ht="15.75" customHeight="1" s="216">
      <c r="A219" s="1" t="n"/>
      <c r="B219" s="1" t="n"/>
      <c r="C219" s="1" t="n"/>
      <c r="D219" s="1" t="n"/>
      <c r="E219" s="181" t="n"/>
      <c r="F219" s="181" t="n"/>
      <c r="G219" s="1" t="n"/>
      <c r="H219" s="1" t="n"/>
      <c r="I219" s="1" t="n"/>
      <c r="J219" s="1" t="n"/>
      <c r="K219" s="181" t="n"/>
      <c r="L219" s="181" t="n"/>
      <c r="M219" s="181" t="n"/>
      <c r="N219" s="1" t="n"/>
      <c r="O219" s="181" t="n"/>
      <c r="P219" s="181" t="n"/>
      <c r="Q219" s="18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row>
    <row r="220" ht="15.75" customHeight="1" s="216">
      <c r="A220" s="1" t="n"/>
      <c r="B220" s="1" t="n"/>
      <c r="C220" s="1" t="n"/>
      <c r="D220" s="1" t="n"/>
      <c r="E220" s="181" t="n"/>
      <c r="F220" s="181" t="n"/>
      <c r="G220" s="1" t="n"/>
      <c r="H220" s="1" t="n"/>
      <c r="I220" s="1" t="n"/>
      <c r="J220" s="1" t="n"/>
      <c r="K220" s="181" t="n"/>
      <c r="L220" s="181" t="n"/>
      <c r="M220" s="181" t="n"/>
      <c r="N220" s="1" t="n"/>
      <c r="O220" s="181" t="n"/>
      <c r="P220" s="181" t="n"/>
      <c r="Q220" s="18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row>
    <row r="221" ht="15.75" customHeight="1" s="216">
      <c r="D221" s="109" t="n"/>
      <c r="E221" s="109" t="n"/>
      <c r="J221" s="109" t="n"/>
      <c r="K221" s="109" t="n"/>
      <c r="L221" s="109" t="n"/>
      <c r="N221" s="109" t="n"/>
      <c r="O221" s="109" t="n"/>
      <c r="P221" s="109" t="n"/>
      <c r="T221" s="109" t="n"/>
      <c r="U221" s="109" t="n"/>
      <c r="V221" s="109" t="n"/>
      <c r="Z221" s="109" t="n"/>
      <c r="AA221" s="109" t="n"/>
      <c r="AB221" s="109" t="n"/>
      <c r="AF221" s="109" t="n"/>
      <c r="AG221" s="109" t="n"/>
      <c r="AH221" s="109" t="n"/>
      <c r="AL221" s="109" t="n"/>
      <c r="AM221" s="109" t="n"/>
      <c r="AN221" s="109" t="n"/>
    </row>
    <row r="222" ht="15.75" customHeight="1" s="216">
      <c r="D222" s="109" t="n"/>
      <c r="E222" s="109" t="n"/>
      <c r="J222" s="109" t="n"/>
      <c r="K222" s="109" t="n"/>
      <c r="L222" s="109" t="n"/>
      <c r="N222" s="109" t="n"/>
      <c r="O222" s="109" t="n"/>
      <c r="P222" s="109" t="n"/>
      <c r="T222" s="109" t="n"/>
      <c r="U222" s="109" t="n"/>
      <c r="V222" s="109" t="n"/>
      <c r="Z222" s="109" t="n"/>
      <c r="AA222" s="109" t="n"/>
      <c r="AB222" s="109" t="n"/>
      <c r="AF222" s="109" t="n"/>
      <c r="AG222" s="109" t="n"/>
      <c r="AH222" s="109" t="n"/>
      <c r="AL222" s="109" t="n"/>
      <c r="AM222" s="109" t="n"/>
      <c r="AN222" s="109" t="n"/>
    </row>
    <row r="223" ht="15.75" customHeight="1" s="216">
      <c r="D223" s="109" t="n"/>
      <c r="E223" s="109" t="n"/>
      <c r="J223" s="109" t="n"/>
      <c r="K223" s="109" t="n"/>
      <c r="L223" s="109" t="n"/>
      <c r="N223" s="109" t="n"/>
      <c r="O223" s="109" t="n"/>
      <c r="P223" s="109" t="n"/>
      <c r="T223" s="109" t="n"/>
      <c r="U223" s="109" t="n"/>
      <c r="V223" s="109" t="n"/>
      <c r="Z223" s="109" t="n"/>
      <c r="AA223" s="109" t="n"/>
      <c r="AB223" s="109" t="n"/>
      <c r="AF223" s="109" t="n"/>
      <c r="AG223" s="109" t="n"/>
      <c r="AH223" s="109" t="n"/>
      <c r="AL223" s="109" t="n"/>
      <c r="AM223" s="109" t="n"/>
      <c r="AN223" s="109" t="n"/>
    </row>
    <row r="224" ht="15.75" customHeight="1" s="216">
      <c r="D224" s="109" t="n"/>
      <c r="E224" s="109" t="n"/>
      <c r="J224" s="109" t="n"/>
      <c r="K224" s="109" t="n"/>
      <c r="L224" s="109" t="n"/>
      <c r="N224" s="109" t="n"/>
      <c r="O224" s="109" t="n"/>
      <c r="P224" s="109" t="n"/>
      <c r="T224" s="109" t="n"/>
      <c r="U224" s="109" t="n"/>
      <c r="V224" s="109" t="n"/>
      <c r="Z224" s="109" t="n"/>
      <c r="AA224" s="109" t="n"/>
      <c r="AB224" s="109" t="n"/>
      <c r="AF224" s="109" t="n"/>
      <c r="AG224" s="109" t="n"/>
      <c r="AH224" s="109" t="n"/>
      <c r="AL224" s="109" t="n"/>
      <c r="AM224" s="109" t="n"/>
      <c r="AN224" s="109" t="n"/>
    </row>
    <row r="225" ht="15.75" customHeight="1" s="216">
      <c r="D225" s="109" t="n"/>
      <c r="E225" s="109" t="n"/>
      <c r="J225" s="109" t="n"/>
      <c r="K225" s="109" t="n"/>
      <c r="L225" s="109" t="n"/>
      <c r="N225" s="109" t="n"/>
      <c r="O225" s="109" t="n"/>
      <c r="P225" s="109" t="n"/>
      <c r="T225" s="109" t="n"/>
      <c r="U225" s="109" t="n"/>
      <c r="V225" s="109" t="n"/>
      <c r="Z225" s="109" t="n"/>
      <c r="AA225" s="109" t="n"/>
      <c r="AB225" s="109" t="n"/>
      <c r="AF225" s="109" t="n"/>
      <c r="AG225" s="109" t="n"/>
      <c r="AH225" s="109" t="n"/>
      <c r="AL225" s="109" t="n"/>
      <c r="AM225" s="109" t="n"/>
      <c r="AN225" s="109" t="n"/>
    </row>
    <row r="226" ht="15.75" customHeight="1" s="216">
      <c r="D226" s="109" t="n"/>
      <c r="E226" s="109" t="n"/>
      <c r="J226" s="109" t="n"/>
      <c r="K226" s="109" t="n"/>
      <c r="L226" s="109" t="n"/>
      <c r="N226" s="109" t="n"/>
      <c r="O226" s="109" t="n"/>
      <c r="P226" s="109" t="n"/>
      <c r="T226" s="109" t="n"/>
      <c r="U226" s="109" t="n"/>
      <c r="V226" s="109" t="n"/>
      <c r="Z226" s="109" t="n"/>
      <c r="AA226" s="109" t="n"/>
      <c r="AB226" s="109" t="n"/>
      <c r="AF226" s="109" t="n"/>
      <c r="AG226" s="109" t="n"/>
      <c r="AH226" s="109" t="n"/>
      <c r="AL226" s="109" t="n"/>
      <c r="AM226" s="109" t="n"/>
      <c r="AN226" s="109" t="n"/>
    </row>
    <row r="227" ht="15.75" customHeight="1" s="216">
      <c r="D227" s="109" t="n"/>
      <c r="E227" s="109" t="n"/>
      <c r="J227" s="109" t="n"/>
      <c r="K227" s="109" t="n"/>
      <c r="L227" s="109" t="n"/>
      <c r="N227" s="109" t="n"/>
      <c r="O227" s="109" t="n"/>
      <c r="P227" s="109" t="n"/>
      <c r="T227" s="109" t="n"/>
      <c r="U227" s="109" t="n"/>
      <c r="V227" s="109" t="n"/>
      <c r="Z227" s="109" t="n"/>
      <c r="AA227" s="109" t="n"/>
      <c r="AB227" s="109" t="n"/>
      <c r="AF227" s="109" t="n"/>
      <c r="AG227" s="109" t="n"/>
      <c r="AH227" s="109" t="n"/>
      <c r="AL227" s="109" t="n"/>
      <c r="AM227" s="109" t="n"/>
      <c r="AN227" s="109" t="n"/>
    </row>
    <row r="228" ht="15.75" customHeight="1" s="216">
      <c r="D228" s="109" t="n"/>
      <c r="E228" s="109" t="n"/>
      <c r="J228" s="109" t="n"/>
      <c r="K228" s="109" t="n"/>
      <c r="L228" s="109" t="n"/>
      <c r="N228" s="109" t="n"/>
      <c r="O228" s="109" t="n"/>
      <c r="P228" s="109" t="n"/>
      <c r="T228" s="109" t="n"/>
      <c r="U228" s="109" t="n"/>
      <c r="V228" s="109" t="n"/>
      <c r="Z228" s="109" t="n"/>
      <c r="AA228" s="109" t="n"/>
      <c r="AB228" s="109" t="n"/>
      <c r="AF228" s="109" t="n"/>
      <c r="AG228" s="109" t="n"/>
      <c r="AH228" s="109" t="n"/>
      <c r="AL228" s="109" t="n"/>
      <c r="AM228" s="109" t="n"/>
      <c r="AN228" s="109" t="n"/>
    </row>
    <row r="229" ht="15.75" customHeight="1" s="216">
      <c r="D229" s="109" t="n"/>
      <c r="E229" s="109" t="n"/>
      <c r="J229" s="109" t="n"/>
      <c r="K229" s="109" t="n"/>
      <c r="L229" s="109" t="n"/>
      <c r="N229" s="109" t="n"/>
      <c r="O229" s="109" t="n"/>
      <c r="P229" s="109" t="n"/>
      <c r="T229" s="109" t="n"/>
      <c r="U229" s="109" t="n"/>
      <c r="V229" s="109" t="n"/>
      <c r="Z229" s="109" t="n"/>
      <c r="AA229" s="109" t="n"/>
      <c r="AB229" s="109" t="n"/>
      <c r="AF229" s="109" t="n"/>
      <c r="AG229" s="109" t="n"/>
      <c r="AH229" s="109" t="n"/>
      <c r="AL229" s="109" t="n"/>
      <c r="AM229" s="109" t="n"/>
      <c r="AN229" s="109" t="n"/>
    </row>
    <row r="230" ht="15.75" customHeight="1" s="216">
      <c r="D230" s="109" t="n"/>
      <c r="E230" s="109" t="n"/>
      <c r="J230" s="109" t="n"/>
      <c r="K230" s="109" t="n"/>
      <c r="L230" s="109" t="n"/>
      <c r="N230" s="109" t="n"/>
      <c r="O230" s="109" t="n"/>
      <c r="P230" s="109" t="n"/>
      <c r="T230" s="109" t="n"/>
      <c r="U230" s="109" t="n"/>
      <c r="V230" s="109" t="n"/>
      <c r="Z230" s="109" t="n"/>
      <c r="AA230" s="109" t="n"/>
      <c r="AB230" s="109" t="n"/>
      <c r="AF230" s="109" t="n"/>
      <c r="AG230" s="109" t="n"/>
      <c r="AH230" s="109" t="n"/>
      <c r="AL230" s="109" t="n"/>
      <c r="AM230" s="109" t="n"/>
      <c r="AN230" s="109" t="n"/>
    </row>
    <row r="231" ht="15.75" customHeight="1" s="216">
      <c r="D231" s="109" t="n"/>
      <c r="E231" s="109" t="n"/>
      <c r="J231" s="109" t="n"/>
      <c r="K231" s="109" t="n"/>
      <c r="L231" s="109" t="n"/>
      <c r="N231" s="109" t="n"/>
      <c r="O231" s="109" t="n"/>
      <c r="P231" s="109" t="n"/>
      <c r="T231" s="109" t="n"/>
      <c r="U231" s="109" t="n"/>
      <c r="V231" s="109" t="n"/>
      <c r="Z231" s="109" t="n"/>
      <c r="AA231" s="109" t="n"/>
      <c r="AB231" s="109" t="n"/>
      <c r="AF231" s="109" t="n"/>
      <c r="AG231" s="109" t="n"/>
      <c r="AH231" s="109" t="n"/>
      <c r="AL231" s="109" t="n"/>
      <c r="AM231" s="109" t="n"/>
      <c r="AN231" s="109" t="n"/>
    </row>
    <row r="232" ht="15.75" customHeight="1" s="216">
      <c r="D232" s="109" t="n"/>
      <c r="E232" s="109" t="n"/>
      <c r="J232" s="109" t="n"/>
      <c r="K232" s="109" t="n"/>
      <c r="L232" s="109" t="n"/>
      <c r="N232" s="109" t="n"/>
      <c r="O232" s="109" t="n"/>
      <c r="P232" s="109" t="n"/>
      <c r="T232" s="109" t="n"/>
      <c r="U232" s="109" t="n"/>
      <c r="V232" s="109" t="n"/>
      <c r="Z232" s="109" t="n"/>
      <c r="AA232" s="109" t="n"/>
      <c r="AB232" s="109" t="n"/>
      <c r="AF232" s="109" t="n"/>
      <c r="AG232" s="109" t="n"/>
      <c r="AH232" s="109" t="n"/>
      <c r="AL232" s="109" t="n"/>
      <c r="AM232" s="109" t="n"/>
      <c r="AN232" s="109" t="n"/>
    </row>
    <row r="233" ht="15.75" customHeight="1" s="216">
      <c r="D233" s="109" t="n"/>
      <c r="E233" s="109" t="n"/>
      <c r="J233" s="109" t="n"/>
      <c r="K233" s="109" t="n"/>
      <c r="L233" s="109" t="n"/>
      <c r="N233" s="109" t="n"/>
      <c r="O233" s="109" t="n"/>
      <c r="P233" s="109" t="n"/>
      <c r="T233" s="109" t="n"/>
      <c r="U233" s="109" t="n"/>
      <c r="V233" s="109" t="n"/>
      <c r="Z233" s="109" t="n"/>
      <c r="AA233" s="109" t="n"/>
      <c r="AB233" s="109" t="n"/>
      <c r="AF233" s="109" t="n"/>
      <c r="AG233" s="109" t="n"/>
      <c r="AH233" s="109" t="n"/>
      <c r="AL233" s="109" t="n"/>
      <c r="AM233" s="109" t="n"/>
      <c r="AN233" s="109" t="n"/>
    </row>
    <row r="234" ht="15.75" customHeight="1" s="216">
      <c r="D234" s="109" t="n"/>
      <c r="E234" s="109" t="n"/>
      <c r="J234" s="109" t="n"/>
      <c r="K234" s="109" t="n"/>
      <c r="L234" s="109" t="n"/>
      <c r="N234" s="109" t="n"/>
      <c r="O234" s="109" t="n"/>
      <c r="P234" s="109" t="n"/>
      <c r="T234" s="109" t="n"/>
      <c r="U234" s="109" t="n"/>
      <c r="V234" s="109" t="n"/>
      <c r="Z234" s="109" t="n"/>
      <c r="AA234" s="109" t="n"/>
      <c r="AB234" s="109" t="n"/>
      <c r="AF234" s="109" t="n"/>
      <c r="AG234" s="109" t="n"/>
      <c r="AH234" s="109" t="n"/>
      <c r="AL234" s="109" t="n"/>
      <c r="AM234" s="109" t="n"/>
      <c r="AN234" s="109" t="n"/>
    </row>
    <row r="235" ht="15.75" customHeight="1" s="216">
      <c r="D235" s="109" t="n"/>
      <c r="E235" s="109" t="n"/>
      <c r="J235" s="109" t="n"/>
      <c r="K235" s="109" t="n"/>
      <c r="L235" s="109" t="n"/>
      <c r="N235" s="109" t="n"/>
      <c r="O235" s="109" t="n"/>
      <c r="P235" s="109" t="n"/>
      <c r="T235" s="109" t="n"/>
      <c r="U235" s="109" t="n"/>
      <c r="V235" s="109" t="n"/>
      <c r="Z235" s="109" t="n"/>
      <c r="AA235" s="109" t="n"/>
      <c r="AB235" s="109" t="n"/>
      <c r="AF235" s="109" t="n"/>
      <c r="AG235" s="109" t="n"/>
      <c r="AH235" s="109" t="n"/>
      <c r="AL235" s="109" t="n"/>
      <c r="AM235" s="109" t="n"/>
      <c r="AN235" s="109" t="n"/>
    </row>
    <row r="236" ht="15.75" customHeight="1" s="216">
      <c r="D236" s="109" t="n"/>
      <c r="E236" s="109" t="n"/>
      <c r="J236" s="109" t="n"/>
      <c r="K236" s="109" t="n"/>
      <c r="L236" s="109" t="n"/>
      <c r="N236" s="109" t="n"/>
      <c r="O236" s="109" t="n"/>
      <c r="P236" s="109" t="n"/>
      <c r="T236" s="109" t="n"/>
      <c r="U236" s="109" t="n"/>
      <c r="V236" s="109" t="n"/>
      <c r="Z236" s="109" t="n"/>
      <c r="AA236" s="109" t="n"/>
      <c r="AB236" s="109" t="n"/>
      <c r="AF236" s="109" t="n"/>
      <c r="AG236" s="109" t="n"/>
      <c r="AH236" s="109" t="n"/>
      <c r="AL236" s="109" t="n"/>
      <c r="AM236" s="109" t="n"/>
      <c r="AN236" s="109" t="n"/>
    </row>
    <row r="237" ht="15.75" customHeight="1" s="216">
      <c r="D237" s="109" t="n"/>
      <c r="E237" s="109" t="n"/>
      <c r="J237" s="109" t="n"/>
      <c r="K237" s="109" t="n"/>
      <c r="L237" s="109" t="n"/>
      <c r="N237" s="109" t="n"/>
      <c r="O237" s="109" t="n"/>
      <c r="P237" s="109" t="n"/>
      <c r="T237" s="109" t="n"/>
      <c r="U237" s="109" t="n"/>
      <c r="V237" s="109" t="n"/>
      <c r="Z237" s="109" t="n"/>
      <c r="AA237" s="109" t="n"/>
      <c r="AB237" s="109" t="n"/>
      <c r="AF237" s="109" t="n"/>
      <c r="AG237" s="109" t="n"/>
      <c r="AH237" s="109" t="n"/>
      <c r="AL237" s="109" t="n"/>
      <c r="AM237" s="109" t="n"/>
      <c r="AN237" s="109" t="n"/>
    </row>
    <row r="238" ht="15.75" customHeight="1" s="216">
      <c r="D238" s="109" t="n"/>
      <c r="E238" s="109" t="n"/>
      <c r="J238" s="109" t="n"/>
      <c r="K238" s="109" t="n"/>
      <c r="L238" s="109" t="n"/>
      <c r="N238" s="109" t="n"/>
      <c r="O238" s="109" t="n"/>
      <c r="P238" s="109" t="n"/>
      <c r="T238" s="109" t="n"/>
      <c r="U238" s="109" t="n"/>
      <c r="V238" s="109" t="n"/>
      <c r="Z238" s="109" t="n"/>
      <c r="AA238" s="109" t="n"/>
      <c r="AB238" s="109" t="n"/>
      <c r="AF238" s="109" t="n"/>
      <c r="AG238" s="109" t="n"/>
      <c r="AH238" s="109" t="n"/>
      <c r="AL238" s="109" t="n"/>
      <c r="AM238" s="109" t="n"/>
      <c r="AN238" s="109" t="n"/>
    </row>
    <row r="239" ht="15.75" customHeight="1" s="216">
      <c r="D239" s="109" t="n"/>
      <c r="E239" s="109" t="n"/>
      <c r="J239" s="109" t="n"/>
      <c r="K239" s="109" t="n"/>
      <c r="L239" s="109" t="n"/>
      <c r="N239" s="109" t="n"/>
      <c r="O239" s="109" t="n"/>
      <c r="P239" s="109" t="n"/>
      <c r="T239" s="109" t="n"/>
      <c r="U239" s="109" t="n"/>
      <c r="V239" s="109" t="n"/>
      <c r="Z239" s="109" t="n"/>
      <c r="AA239" s="109" t="n"/>
      <c r="AB239" s="109" t="n"/>
      <c r="AF239" s="109" t="n"/>
      <c r="AG239" s="109" t="n"/>
      <c r="AH239" s="109" t="n"/>
      <c r="AL239" s="109" t="n"/>
      <c r="AM239" s="109" t="n"/>
      <c r="AN239" s="109" t="n"/>
    </row>
    <row r="240" ht="15.75" customHeight="1" s="216">
      <c r="D240" s="109" t="n"/>
      <c r="E240" s="109" t="n"/>
      <c r="J240" s="109" t="n"/>
      <c r="K240" s="109" t="n"/>
      <c r="L240" s="109" t="n"/>
      <c r="N240" s="109" t="n"/>
      <c r="O240" s="109" t="n"/>
      <c r="P240" s="109" t="n"/>
      <c r="T240" s="109" t="n"/>
      <c r="U240" s="109" t="n"/>
      <c r="V240" s="109" t="n"/>
      <c r="Z240" s="109" t="n"/>
      <c r="AA240" s="109" t="n"/>
      <c r="AB240" s="109" t="n"/>
      <c r="AF240" s="109" t="n"/>
      <c r="AG240" s="109" t="n"/>
      <c r="AH240" s="109" t="n"/>
      <c r="AL240" s="109" t="n"/>
      <c r="AM240" s="109" t="n"/>
      <c r="AN240" s="109" t="n"/>
    </row>
    <row r="241" ht="15.75" customHeight="1" s="216">
      <c r="D241" s="109" t="n"/>
      <c r="E241" s="109" t="n"/>
      <c r="J241" s="109" t="n"/>
      <c r="K241" s="109" t="n"/>
      <c r="L241" s="109" t="n"/>
      <c r="N241" s="109" t="n"/>
      <c r="O241" s="109" t="n"/>
      <c r="P241" s="109" t="n"/>
      <c r="T241" s="109" t="n"/>
      <c r="U241" s="109" t="n"/>
      <c r="V241" s="109" t="n"/>
      <c r="Z241" s="109" t="n"/>
      <c r="AA241" s="109" t="n"/>
      <c r="AB241" s="109" t="n"/>
      <c r="AF241" s="109" t="n"/>
      <c r="AG241" s="109" t="n"/>
      <c r="AH241" s="109" t="n"/>
      <c r="AL241" s="109" t="n"/>
      <c r="AM241" s="109" t="n"/>
      <c r="AN241" s="109" t="n"/>
    </row>
    <row r="242" ht="15.75" customHeight="1" s="216">
      <c r="D242" s="109" t="n"/>
      <c r="E242" s="109" t="n"/>
      <c r="J242" s="109" t="n"/>
      <c r="K242" s="109" t="n"/>
      <c r="L242" s="109" t="n"/>
      <c r="N242" s="109" t="n"/>
      <c r="O242" s="109" t="n"/>
      <c r="P242" s="109" t="n"/>
      <c r="T242" s="109" t="n"/>
      <c r="U242" s="109" t="n"/>
      <c r="V242" s="109" t="n"/>
      <c r="Z242" s="109" t="n"/>
      <c r="AA242" s="109" t="n"/>
      <c r="AB242" s="109" t="n"/>
      <c r="AF242" s="109" t="n"/>
      <c r="AG242" s="109" t="n"/>
      <c r="AH242" s="109" t="n"/>
      <c r="AL242" s="109" t="n"/>
      <c r="AM242" s="109" t="n"/>
      <c r="AN242" s="109" t="n"/>
    </row>
    <row r="243" ht="15.75" customHeight="1" s="216">
      <c r="D243" s="109" t="n"/>
      <c r="E243" s="109" t="n"/>
      <c r="J243" s="109" t="n"/>
      <c r="K243" s="109" t="n"/>
      <c r="L243" s="109" t="n"/>
      <c r="N243" s="109" t="n"/>
      <c r="O243" s="109" t="n"/>
      <c r="P243" s="109" t="n"/>
      <c r="T243" s="109" t="n"/>
      <c r="U243" s="109" t="n"/>
      <c r="V243" s="109" t="n"/>
      <c r="Z243" s="109" t="n"/>
      <c r="AA243" s="109" t="n"/>
      <c r="AB243" s="109" t="n"/>
      <c r="AF243" s="109" t="n"/>
      <c r="AG243" s="109" t="n"/>
      <c r="AH243" s="109" t="n"/>
      <c r="AL243" s="109" t="n"/>
      <c r="AM243" s="109" t="n"/>
      <c r="AN243" s="109" t="n"/>
    </row>
    <row r="244" ht="15.75" customHeight="1" s="216">
      <c r="D244" s="109" t="n"/>
      <c r="E244" s="109" t="n"/>
      <c r="J244" s="109" t="n"/>
      <c r="K244" s="109" t="n"/>
      <c r="L244" s="109" t="n"/>
      <c r="N244" s="109" t="n"/>
      <c r="O244" s="109" t="n"/>
      <c r="P244" s="109" t="n"/>
      <c r="T244" s="109" t="n"/>
      <c r="U244" s="109" t="n"/>
      <c r="V244" s="109" t="n"/>
      <c r="Z244" s="109" t="n"/>
      <c r="AA244" s="109" t="n"/>
      <c r="AB244" s="109" t="n"/>
      <c r="AF244" s="109" t="n"/>
      <c r="AG244" s="109" t="n"/>
      <c r="AH244" s="109" t="n"/>
      <c r="AL244" s="109" t="n"/>
      <c r="AM244" s="109" t="n"/>
      <c r="AN244" s="109" t="n"/>
    </row>
    <row r="245" ht="15.75" customHeight="1" s="216">
      <c r="D245" s="109" t="n"/>
      <c r="E245" s="109" t="n"/>
      <c r="J245" s="109" t="n"/>
      <c r="K245" s="109" t="n"/>
      <c r="L245" s="109" t="n"/>
      <c r="N245" s="109" t="n"/>
      <c r="O245" s="109" t="n"/>
      <c r="P245" s="109" t="n"/>
      <c r="T245" s="109" t="n"/>
      <c r="U245" s="109" t="n"/>
      <c r="V245" s="109" t="n"/>
      <c r="Z245" s="109" t="n"/>
      <c r="AA245" s="109" t="n"/>
      <c r="AB245" s="109" t="n"/>
      <c r="AF245" s="109" t="n"/>
      <c r="AG245" s="109" t="n"/>
      <c r="AH245" s="109" t="n"/>
      <c r="AL245" s="109" t="n"/>
      <c r="AM245" s="109" t="n"/>
      <c r="AN245" s="109" t="n"/>
    </row>
    <row r="246" ht="15.75" customHeight="1" s="216">
      <c r="D246" s="109" t="n"/>
      <c r="E246" s="109" t="n"/>
      <c r="J246" s="109" t="n"/>
      <c r="K246" s="109" t="n"/>
      <c r="L246" s="109" t="n"/>
      <c r="N246" s="109" t="n"/>
      <c r="O246" s="109" t="n"/>
      <c r="P246" s="109" t="n"/>
      <c r="T246" s="109" t="n"/>
      <c r="U246" s="109" t="n"/>
      <c r="V246" s="109" t="n"/>
      <c r="Z246" s="109" t="n"/>
      <c r="AA246" s="109" t="n"/>
      <c r="AB246" s="109" t="n"/>
      <c r="AF246" s="109" t="n"/>
      <c r="AG246" s="109" t="n"/>
      <c r="AH246" s="109" t="n"/>
      <c r="AL246" s="109" t="n"/>
      <c r="AM246" s="109" t="n"/>
      <c r="AN246" s="109" t="n"/>
    </row>
    <row r="247" ht="15.75" customHeight="1" s="216">
      <c r="D247" s="109" t="n"/>
      <c r="E247" s="109" t="n"/>
      <c r="J247" s="109" t="n"/>
      <c r="K247" s="109" t="n"/>
      <c r="L247" s="109" t="n"/>
      <c r="N247" s="109" t="n"/>
      <c r="O247" s="109" t="n"/>
      <c r="P247" s="109" t="n"/>
      <c r="T247" s="109" t="n"/>
      <c r="U247" s="109" t="n"/>
      <c r="V247" s="109" t="n"/>
      <c r="Z247" s="109" t="n"/>
      <c r="AA247" s="109" t="n"/>
      <c r="AB247" s="109" t="n"/>
      <c r="AF247" s="109" t="n"/>
      <c r="AG247" s="109" t="n"/>
      <c r="AH247" s="109" t="n"/>
      <c r="AL247" s="109" t="n"/>
      <c r="AM247" s="109" t="n"/>
      <c r="AN247" s="109" t="n"/>
    </row>
    <row r="248" ht="15.75" customHeight="1" s="216">
      <c r="D248" s="109" t="n"/>
      <c r="E248" s="109" t="n"/>
      <c r="J248" s="109" t="n"/>
      <c r="K248" s="109" t="n"/>
      <c r="L248" s="109" t="n"/>
      <c r="N248" s="109" t="n"/>
      <c r="O248" s="109" t="n"/>
      <c r="P248" s="109" t="n"/>
      <c r="T248" s="109" t="n"/>
      <c r="U248" s="109" t="n"/>
      <c r="V248" s="109" t="n"/>
      <c r="Z248" s="109" t="n"/>
      <c r="AA248" s="109" t="n"/>
      <c r="AB248" s="109" t="n"/>
      <c r="AF248" s="109" t="n"/>
      <c r="AG248" s="109" t="n"/>
      <c r="AH248" s="109" t="n"/>
      <c r="AL248" s="109" t="n"/>
      <c r="AM248" s="109" t="n"/>
      <c r="AN248" s="109" t="n"/>
    </row>
    <row r="249" ht="15.75" customHeight="1" s="216">
      <c r="D249" s="109" t="n"/>
      <c r="E249" s="109" t="n"/>
      <c r="J249" s="109" t="n"/>
      <c r="K249" s="109" t="n"/>
      <c r="L249" s="109" t="n"/>
      <c r="N249" s="109" t="n"/>
      <c r="O249" s="109" t="n"/>
      <c r="P249" s="109" t="n"/>
      <c r="T249" s="109" t="n"/>
      <c r="U249" s="109" t="n"/>
      <c r="V249" s="109" t="n"/>
      <c r="Z249" s="109" t="n"/>
      <c r="AA249" s="109" t="n"/>
      <c r="AB249" s="109" t="n"/>
      <c r="AF249" s="109" t="n"/>
      <c r="AG249" s="109" t="n"/>
      <c r="AH249" s="109" t="n"/>
      <c r="AL249" s="109" t="n"/>
      <c r="AM249" s="109" t="n"/>
      <c r="AN249" s="109" t="n"/>
    </row>
    <row r="250" ht="15.75" customHeight="1" s="216">
      <c r="D250" s="109" t="n"/>
      <c r="E250" s="109" t="n"/>
      <c r="J250" s="109" t="n"/>
      <c r="K250" s="109" t="n"/>
      <c r="L250" s="109" t="n"/>
      <c r="N250" s="109" t="n"/>
      <c r="O250" s="109" t="n"/>
      <c r="P250" s="109" t="n"/>
      <c r="T250" s="109" t="n"/>
      <c r="U250" s="109" t="n"/>
      <c r="V250" s="109" t="n"/>
      <c r="Z250" s="109" t="n"/>
      <c r="AA250" s="109" t="n"/>
      <c r="AB250" s="109" t="n"/>
      <c r="AF250" s="109" t="n"/>
      <c r="AG250" s="109" t="n"/>
      <c r="AH250" s="109" t="n"/>
      <c r="AL250" s="109" t="n"/>
      <c r="AM250" s="109" t="n"/>
      <c r="AN250" s="109" t="n"/>
    </row>
    <row r="251" ht="15.75" customHeight="1" s="216">
      <c r="D251" s="109" t="n"/>
      <c r="E251" s="109" t="n"/>
      <c r="J251" s="109" t="n"/>
      <c r="K251" s="109" t="n"/>
      <c r="L251" s="109" t="n"/>
      <c r="N251" s="109" t="n"/>
      <c r="O251" s="109" t="n"/>
      <c r="P251" s="109" t="n"/>
      <c r="T251" s="109" t="n"/>
      <c r="U251" s="109" t="n"/>
      <c r="V251" s="109" t="n"/>
      <c r="Z251" s="109" t="n"/>
      <c r="AA251" s="109" t="n"/>
      <c r="AB251" s="109" t="n"/>
      <c r="AF251" s="109" t="n"/>
      <c r="AG251" s="109" t="n"/>
      <c r="AH251" s="109" t="n"/>
      <c r="AL251" s="109" t="n"/>
      <c r="AM251" s="109" t="n"/>
      <c r="AN251" s="109" t="n"/>
    </row>
    <row r="252" ht="15.75" customHeight="1" s="216">
      <c r="D252" s="109" t="n"/>
      <c r="E252" s="109" t="n"/>
      <c r="J252" s="109" t="n"/>
      <c r="K252" s="109" t="n"/>
      <c r="L252" s="109" t="n"/>
      <c r="N252" s="109" t="n"/>
      <c r="O252" s="109" t="n"/>
      <c r="P252" s="109" t="n"/>
      <c r="T252" s="109" t="n"/>
      <c r="U252" s="109" t="n"/>
      <c r="V252" s="109" t="n"/>
      <c r="Z252" s="109" t="n"/>
      <c r="AA252" s="109" t="n"/>
      <c r="AB252" s="109" t="n"/>
      <c r="AF252" s="109" t="n"/>
      <c r="AG252" s="109" t="n"/>
      <c r="AH252" s="109" t="n"/>
      <c r="AL252" s="109" t="n"/>
      <c r="AM252" s="109" t="n"/>
      <c r="AN252" s="109" t="n"/>
    </row>
    <row r="253" ht="15.75" customHeight="1" s="216">
      <c r="D253" s="109" t="n"/>
      <c r="E253" s="109" t="n"/>
      <c r="J253" s="109" t="n"/>
      <c r="K253" s="109" t="n"/>
      <c r="L253" s="109" t="n"/>
      <c r="N253" s="109" t="n"/>
      <c r="O253" s="109" t="n"/>
      <c r="P253" s="109" t="n"/>
      <c r="T253" s="109" t="n"/>
      <c r="U253" s="109" t="n"/>
      <c r="V253" s="109" t="n"/>
      <c r="Z253" s="109" t="n"/>
      <c r="AA253" s="109" t="n"/>
      <c r="AB253" s="109" t="n"/>
      <c r="AF253" s="109" t="n"/>
      <c r="AG253" s="109" t="n"/>
      <c r="AH253" s="109" t="n"/>
      <c r="AL253" s="109" t="n"/>
      <c r="AM253" s="109" t="n"/>
      <c r="AN253" s="109" t="n"/>
    </row>
    <row r="254" ht="15.75" customHeight="1" s="216">
      <c r="D254" s="109" t="n"/>
      <c r="E254" s="109" t="n"/>
      <c r="J254" s="109" t="n"/>
      <c r="K254" s="109" t="n"/>
      <c r="L254" s="109" t="n"/>
      <c r="N254" s="109" t="n"/>
      <c r="O254" s="109" t="n"/>
      <c r="P254" s="109" t="n"/>
      <c r="T254" s="109" t="n"/>
      <c r="U254" s="109" t="n"/>
      <c r="V254" s="109" t="n"/>
      <c r="Z254" s="109" t="n"/>
      <c r="AA254" s="109" t="n"/>
      <c r="AB254" s="109" t="n"/>
      <c r="AF254" s="109" t="n"/>
      <c r="AG254" s="109" t="n"/>
      <c r="AH254" s="109" t="n"/>
      <c r="AL254" s="109" t="n"/>
      <c r="AM254" s="109" t="n"/>
      <c r="AN254" s="109" t="n"/>
    </row>
    <row r="255" ht="15.75" customHeight="1" s="216">
      <c r="D255" s="109" t="n"/>
      <c r="E255" s="109" t="n"/>
      <c r="J255" s="109" t="n"/>
      <c r="K255" s="109" t="n"/>
      <c r="L255" s="109" t="n"/>
      <c r="N255" s="109" t="n"/>
      <c r="O255" s="109" t="n"/>
      <c r="P255" s="109" t="n"/>
      <c r="T255" s="109" t="n"/>
      <c r="U255" s="109" t="n"/>
      <c r="V255" s="109" t="n"/>
      <c r="Z255" s="109" t="n"/>
      <c r="AA255" s="109" t="n"/>
      <c r="AB255" s="109" t="n"/>
      <c r="AF255" s="109" t="n"/>
      <c r="AG255" s="109" t="n"/>
      <c r="AH255" s="109" t="n"/>
      <c r="AL255" s="109" t="n"/>
      <c r="AM255" s="109" t="n"/>
      <c r="AN255" s="109" t="n"/>
    </row>
    <row r="256" ht="15.75" customHeight="1" s="216">
      <c r="D256" s="109" t="n"/>
      <c r="E256" s="109" t="n"/>
      <c r="J256" s="109" t="n"/>
      <c r="K256" s="109" t="n"/>
      <c r="L256" s="109" t="n"/>
      <c r="N256" s="109" t="n"/>
      <c r="O256" s="109" t="n"/>
      <c r="P256" s="109" t="n"/>
      <c r="T256" s="109" t="n"/>
      <c r="U256" s="109" t="n"/>
      <c r="V256" s="109" t="n"/>
      <c r="Z256" s="109" t="n"/>
      <c r="AA256" s="109" t="n"/>
      <c r="AB256" s="109" t="n"/>
      <c r="AF256" s="109" t="n"/>
      <c r="AG256" s="109" t="n"/>
      <c r="AH256" s="109" t="n"/>
      <c r="AL256" s="109" t="n"/>
      <c r="AM256" s="109" t="n"/>
      <c r="AN256" s="109" t="n"/>
    </row>
    <row r="257" ht="15.75" customHeight="1" s="216">
      <c r="D257" s="109" t="n"/>
      <c r="E257" s="109" t="n"/>
      <c r="J257" s="109" t="n"/>
      <c r="K257" s="109" t="n"/>
      <c r="L257" s="109" t="n"/>
      <c r="N257" s="109" t="n"/>
      <c r="O257" s="109" t="n"/>
      <c r="P257" s="109" t="n"/>
      <c r="T257" s="109" t="n"/>
      <c r="U257" s="109" t="n"/>
      <c r="V257" s="109" t="n"/>
      <c r="Z257" s="109" t="n"/>
      <c r="AA257" s="109" t="n"/>
      <c r="AB257" s="109" t="n"/>
      <c r="AF257" s="109" t="n"/>
      <c r="AG257" s="109" t="n"/>
      <c r="AH257" s="109" t="n"/>
      <c r="AL257" s="109" t="n"/>
      <c r="AM257" s="109" t="n"/>
      <c r="AN257" s="109" t="n"/>
    </row>
    <row r="258" ht="15.75" customHeight="1" s="216">
      <c r="D258" s="109" t="n"/>
      <c r="E258" s="109" t="n"/>
      <c r="J258" s="109" t="n"/>
      <c r="K258" s="109" t="n"/>
      <c r="L258" s="109" t="n"/>
      <c r="N258" s="109" t="n"/>
      <c r="O258" s="109" t="n"/>
      <c r="P258" s="109" t="n"/>
      <c r="T258" s="109" t="n"/>
      <c r="U258" s="109" t="n"/>
      <c r="V258" s="109" t="n"/>
      <c r="Z258" s="109" t="n"/>
      <c r="AA258" s="109" t="n"/>
      <c r="AB258" s="109" t="n"/>
      <c r="AF258" s="109" t="n"/>
      <c r="AG258" s="109" t="n"/>
      <c r="AH258" s="109" t="n"/>
      <c r="AL258" s="109" t="n"/>
      <c r="AM258" s="109" t="n"/>
      <c r="AN258" s="109" t="n"/>
    </row>
    <row r="259" ht="15.75" customHeight="1" s="216">
      <c r="D259" s="109" t="n"/>
      <c r="E259" s="109" t="n"/>
      <c r="J259" s="109" t="n"/>
      <c r="K259" s="109" t="n"/>
      <c r="L259" s="109" t="n"/>
      <c r="N259" s="109" t="n"/>
      <c r="O259" s="109" t="n"/>
      <c r="P259" s="109" t="n"/>
      <c r="T259" s="109" t="n"/>
      <c r="U259" s="109" t="n"/>
      <c r="V259" s="109" t="n"/>
      <c r="Z259" s="109" t="n"/>
      <c r="AA259" s="109" t="n"/>
      <c r="AB259" s="109" t="n"/>
      <c r="AF259" s="109" t="n"/>
      <c r="AG259" s="109" t="n"/>
      <c r="AH259" s="109" t="n"/>
      <c r="AL259" s="109" t="n"/>
      <c r="AM259" s="109" t="n"/>
      <c r="AN259" s="109" t="n"/>
    </row>
    <row r="260" ht="15.75" customHeight="1" s="216">
      <c r="D260" s="109" t="n"/>
      <c r="E260" s="109" t="n"/>
      <c r="J260" s="109" t="n"/>
      <c r="K260" s="109" t="n"/>
      <c r="L260" s="109" t="n"/>
      <c r="N260" s="109" t="n"/>
      <c r="O260" s="109" t="n"/>
      <c r="P260" s="109" t="n"/>
      <c r="T260" s="109" t="n"/>
      <c r="U260" s="109" t="n"/>
      <c r="V260" s="109" t="n"/>
      <c r="Z260" s="109" t="n"/>
      <c r="AA260" s="109" t="n"/>
      <c r="AB260" s="109" t="n"/>
      <c r="AF260" s="109" t="n"/>
      <c r="AG260" s="109" t="n"/>
      <c r="AH260" s="109" t="n"/>
      <c r="AL260" s="109" t="n"/>
      <c r="AM260" s="109" t="n"/>
      <c r="AN260" s="109" t="n"/>
    </row>
    <row r="261" ht="15.75" customHeight="1" s="216">
      <c r="D261" s="109" t="n"/>
      <c r="E261" s="109" t="n"/>
      <c r="J261" s="109" t="n"/>
      <c r="K261" s="109" t="n"/>
      <c r="L261" s="109" t="n"/>
      <c r="N261" s="109" t="n"/>
      <c r="O261" s="109" t="n"/>
      <c r="P261" s="109" t="n"/>
      <c r="T261" s="109" t="n"/>
      <c r="U261" s="109" t="n"/>
      <c r="V261" s="109" t="n"/>
      <c r="Z261" s="109" t="n"/>
      <c r="AA261" s="109" t="n"/>
      <c r="AB261" s="109" t="n"/>
      <c r="AF261" s="109" t="n"/>
      <c r="AG261" s="109" t="n"/>
      <c r="AH261" s="109" t="n"/>
      <c r="AL261" s="109" t="n"/>
      <c r="AM261" s="109" t="n"/>
      <c r="AN261" s="109" t="n"/>
    </row>
    <row r="262" ht="15.75" customHeight="1" s="216">
      <c r="D262" s="109" t="n"/>
      <c r="E262" s="109" t="n"/>
      <c r="J262" s="109" t="n"/>
      <c r="K262" s="109" t="n"/>
      <c r="L262" s="109" t="n"/>
      <c r="N262" s="109" t="n"/>
      <c r="O262" s="109" t="n"/>
      <c r="P262" s="109" t="n"/>
      <c r="T262" s="109" t="n"/>
      <c r="U262" s="109" t="n"/>
      <c r="V262" s="109" t="n"/>
      <c r="Z262" s="109" t="n"/>
      <c r="AA262" s="109" t="n"/>
      <c r="AB262" s="109" t="n"/>
      <c r="AF262" s="109" t="n"/>
      <c r="AG262" s="109" t="n"/>
      <c r="AH262" s="109" t="n"/>
      <c r="AL262" s="109" t="n"/>
      <c r="AM262" s="109" t="n"/>
      <c r="AN262" s="109" t="n"/>
    </row>
    <row r="263" ht="15.75" customHeight="1" s="216">
      <c r="D263" s="109" t="n"/>
      <c r="E263" s="109" t="n"/>
      <c r="J263" s="109" t="n"/>
      <c r="K263" s="109" t="n"/>
      <c r="L263" s="109" t="n"/>
      <c r="N263" s="109" t="n"/>
      <c r="O263" s="109" t="n"/>
      <c r="P263" s="109" t="n"/>
      <c r="T263" s="109" t="n"/>
      <c r="U263" s="109" t="n"/>
      <c r="V263" s="109" t="n"/>
      <c r="Z263" s="109" t="n"/>
      <c r="AA263" s="109" t="n"/>
      <c r="AB263" s="109" t="n"/>
      <c r="AF263" s="109" t="n"/>
      <c r="AG263" s="109" t="n"/>
      <c r="AH263" s="109" t="n"/>
      <c r="AL263" s="109" t="n"/>
      <c r="AM263" s="109" t="n"/>
      <c r="AN263" s="109" t="n"/>
    </row>
    <row r="264" ht="15.75" customHeight="1" s="216">
      <c r="D264" s="109" t="n"/>
      <c r="E264" s="109" t="n"/>
      <c r="J264" s="109" t="n"/>
      <c r="K264" s="109" t="n"/>
      <c r="L264" s="109" t="n"/>
      <c r="N264" s="109" t="n"/>
      <c r="O264" s="109" t="n"/>
      <c r="P264" s="109" t="n"/>
      <c r="T264" s="109" t="n"/>
      <c r="U264" s="109" t="n"/>
      <c r="V264" s="109" t="n"/>
      <c r="Z264" s="109" t="n"/>
      <c r="AA264" s="109" t="n"/>
      <c r="AB264" s="109" t="n"/>
      <c r="AF264" s="109" t="n"/>
      <c r="AG264" s="109" t="n"/>
      <c r="AH264" s="109" t="n"/>
      <c r="AL264" s="109" t="n"/>
      <c r="AM264" s="109" t="n"/>
      <c r="AN264" s="109" t="n"/>
    </row>
    <row r="265" ht="15.75" customHeight="1" s="216">
      <c r="D265" s="109" t="n"/>
      <c r="E265" s="109" t="n"/>
      <c r="J265" s="109" t="n"/>
      <c r="K265" s="109" t="n"/>
      <c r="L265" s="109" t="n"/>
      <c r="N265" s="109" t="n"/>
      <c r="O265" s="109" t="n"/>
      <c r="P265" s="109" t="n"/>
      <c r="T265" s="109" t="n"/>
      <c r="U265" s="109" t="n"/>
      <c r="V265" s="109" t="n"/>
      <c r="Z265" s="109" t="n"/>
      <c r="AA265" s="109" t="n"/>
      <c r="AB265" s="109" t="n"/>
      <c r="AF265" s="109" t="n"/>
      <c r="AG265" s="109" t="n"/>
      <c r="AH265" s="109" t="n"/>
      <c r="AL265" s="109" t="n"/>
      <c r="AM265" s="109" t="n"/>
      <c r="AN265" s="109" t="n"/>
    </row>
    <row r="266" ht="15.75" customHeight="1" s="216">
      <c r="D266" s="109" t="n"/>
      <c r="E266" s="109" t="n"/>
      <c r="J266" s="109" t="n"/>
      <c r="K266" s="109" t="n"/>
      <c r="L266" s="109" t="n"/>
      <c r="N266" s="109" t="n"/>
      <c r="O266" s="109" t="n"/>
      <c r="P266" s="109" t="n"/>
      <c r="T266" s="109" t="n"/>
      <c r="U266" s="109" t="n"/>
      <c r="V266" s="109" t="n"/>
      <c r="Z266" s="109" t="n"/>
      <c r="AA266" s="109" t="n"/>
      <c r="AB266" s="109" t="n"/>
      <c r="AF266" s="109" t="n"/>
      <c r="AG266" s="109" t="n"/>
      <c r="AH266" s="109" t="n"/>
      <c r="AL266" s="109" t="n"/>
      <c r="AM266" s="109" t="n"/>
      <c r="AN266" s="109" t="n"/>
    </row>
    <row r="267" ht="15.75" customHeight="1" s="216">
      <c r="D267" s="109" t="n"/>
      <c r="E267" s="109" t="n"/>
      <c r="J267" s="109" t="n"/>
      <c r="K267" s="109" t="n"/>
      <c r="L267" s="109" t="n"/>
      <c r="N267" s="109" t="n"/>
      <c r="O267" s="109" t="n"/>
      <c r="P267" s="109" t="n"/>
      <c r="T267" s="109" t="n"/>
      <c r="U267" s="109" t="n"/>
      <c r="V267" s="109" t="n"/>
      <c r="Z267" s="109" t="n"/>
      <c r="AA267" s="109" t="n"/>
      <c r="AB267" s="109" t="n"/>
      <c r="AF267" s="109" t="n"/>
      <c r="AG267" s="109" t="n"/>
      <c r="AH267" s="109" t="n"/>
      <c r="AL267" s="109" t="n"/>
      <c r="AM267" s="109" t="n"/>
      <c r="AN267" s="109" t="n"/>
    </row>
    <row r="268" ht="15.75" customHeight="1" s="216">
      <c r="D268" s="109" t="n"/>
      <c r="E268" s="109" t="n"/>
      <c r="J268" s="109" t="n"/>
      <c r="K268" s="109" t="n"/>
      <c r="L268" s="109" t="n"/>
      <c r="N268" s="109" t="n"/>
      <c r="O268" s="109" t="n"/>
      <c r="P268" s="109" t="n"/>
      <c r="T268" s="109" t="n"/>
      <c r="U268" s="109" t="n"/>
      <c r="V268" s="109" t="n"/>
      <c r="Z268" s="109" t="n"/>
      <c r="AA268" s="109" t="n"/>
      <c r="AB268" s="109" t="n"/>
      <c r="AF268" s="109" t="n"/>
      <c r="AG268" s="109" t="n"/>
      <c r="AH268" s="109" t="n"/>
      <c r="AL268" s="109" t="n"/>
      <c r="AM268" s="109" t="n"/>
      <c r="AN268" s="109" t="n"/>
    </row>
    <row r="269" ht="15.75" customHeight="1" s="216">
      <c r="D269" s="109" t="n"/>
      <c r="E269" s="109" t="n"/>
      <c r="J269" s="109" t="n"/>
      <c r="K269" s="109" t="n"/>
      <c r="L269" s="109" t="n"/>
      <c r="N269" s="109" t="n"/>
      <c r="O269" s="109" t="n"/>
      <c r="P269" s="109" t="n"/>
      <c r="T269" s="109" t="n"/>
      <c r="U269" s="109" t="n"/>
      <c r="V269" s="109" t="n"/>
      <c r="Z269" s="109" t="n"/>
      <c r="AA269" s="109" t="n"/>
      <c r="AB269" s="109" t="n"/>
      <c r="AF269" s="109" t="n"/>
      <c r="AG269" s="109" t="n"/>
      <c r="AH269" s="109" t="n"/>
      <c r="AL269" s="109" t="n"/>
      <c r="AM269" s="109" t="n"/>
      <c r="AN269" s="109" t="n"/>
    </row>
    <row r="270" ht="15.75" customHeight="1" s="216">
      <c r="D270" s="109" t="n"/>
      <c r="E270" s="109" t="n"/>
      <c r="J270" s="109" t="n"/>
      <c r="K270" s="109" t="n"/>
      <c r="L270" s="109" t="n"/>
      <c r="N270" s="109" t="n"/>
      <c r="O270" s="109" t="n"/>
      <c r="P270" s="109" t="n"/>
      <c r="T270" s="109" t="n"/>
      <c r="U270" s="109" t="n"/>
      <c r="V270" s="109" t="n"/>
      <c r="Z270" s="109" t="n"/>
      <c r="AA270" s="109" t="n"/>
      <c r="AB270" s="109" t="n"/>
      <c r="AF270" s="109" t="n"/>
      <c r="AG270" s="109" t="n"/>
      <c r="AH270" s="109" t="n"/>
      <c r="AL270" s="109" t="n"/>
      <c r="AM270" s="109" t="n"/>
      <c r="AN270" s="109" t="n"/>
    </row>
    <row r="271" ht="15.75" customHeight="1" s="216">
      <c r="D271" s="109" t="n"/>
      <c r="E271" s="109" t="n"/>
      <c r="J271" s="109" t="n"/>
      <c r="K271" s="109" t="n"/>
      <c r="L271" s="109" t="n"/>
      <c r="N271" s="109" t="n"/>
      <c r="O271" s="109" t="n"/>
      <c r="P271" s="109" t="n"/>
      <c r="T271" s="109" t="n"/>
      <c r="U271" s="109" t="n"/>
      <c r="V271" s="109" t="n"/>
      <c r="Z271" s="109" t="n"/>
      <c r="AA271" s="109" t="n"/>
      <c r="AB271" s="109" t="n"/>
      <c r="AF271" s="109" t="n"/>
      <c r="AG271" s="109" t="n"/>
      <c r="AH271" s="109" t="n"/>
      <c r="AL271" s="109" t="n"/>
      <c r="AM271" s="109" t="n"/>
      <c r="AN271" s="109" t="n"/>
    </row>
    <row r="272" ht="15.75" customHeight="1" s="216">
      <c r="D272" s="109" t="n"/>
      <c r="E272" s="109" t="n"/>
      <c r="J272" s="109" t="n"/>
      <c r="K272" s="109" t="n"/>
      <c r="L272" s="109" t="n"/>
      <c r="N272" s="109" t="n"/>
      <c r="O272" s="109" t="n"/>
      <c r="P272" s="109" t="n"/>
      <c r="T272" s="109" t="n"/>
      <c r="U272" s="109" t="n"/>
      <c r="V272" s="109" t="n"/>
      <c r="Z272" s="109" t="n"/>
      <c r="AA272" s="109" t="n"/>
      <c r="AB272" s="109" t="n"/>
      <c r="AF272" s="109" t="n"/>
      <c r="AG272" s="109" t="n"/>
      <c r="AH272" s="109" t="n"/>
      <c r="AL272" s="109" t="n"/>
      <c r="AM272" s="109" t="n"/>
      <c r="AN272" s="109" t="n"/>
    </row>
    <row r="273" ht="15.75" customHeight="1" s="216">
      <c r="D273" s="109" t="n"/>
      <c r="E273" s="109" t="n"/>
      <c r="J273" s="109" t="n"/>
      <c r="K273" s="109" t="n"/>
      <c r="L273" s="109" t="n"/>
      <c r="N273" s="109" t="n"/>
      <c r="O273" s="109" t="n"/>
      <c r="P273" s="109" t="n"/>
      <c r="T273" s="109" t="n"/>
      <c r="U273" s="109" t="n"/>
      <c r="V273" s="109" t="n"/>
      <c r="Z273" s="109" t="n"/>
      <c r="AA273" s="109" t="n"/>
      <c r="AB273" s="109" t="n"/>
      <c r="AF273" s="109" t="n"/>
      <c r="AG273" s="109" t="n"/>
      <c r="AH273" s="109" t="n"/>
      <c r="AL273" s="109" t="n"/>
      <c r="AM273" s="109" t="n"/>
      <c r="AN273" s="109" t="n"/>
    </row>
    <row r="274" ht="15.75" customHeight="1" s="216">
      <c r="D274" s="109" t="n"/>
      <c r="E274" s="109" t="n"/>
      <c r="J274" s="109" t="n"/>
      <c r="K274" s="109" t="n"/>
      <c r="L274" s="109" t="n"/>
      <c r="N274" s="109" t="n"/>
      <c r="O274" s="109" t="n"/>
      <c r="P274" s="109" t="n"/>
      <c r="T274" s="109" t="n"/>
      <c r="U274" s="109" t="n"/>
      <c r="V274" s="109" t="n"/>
      <c r="Z274" s="109" t="n"/>
      <c r="AA274" s="109" t="n"/>
      <c r="AB274" s="109" t="n"/>
      <c r="AF274" s="109" t="n"/>
      <c r="AG274" s="109" t="n"/>
      <c r="AH274" s="109" t="n"/>
      <c r="AL274" s="109" t="n"/>
      <c r="AM274" s="109" t="n"/>
      <c r="AN274" s="109" t="n"/>
    </row>
    <row r="275" ht="15.75" customHeight="1" s="216">
      <c r="D275" s="109" t="n"/>
      <c r="E275" s="109" t="n"/>
      <c r="J275" s="109" t="n"/>
      <c r="K275" s="109" t="n"/>
      <c r="L275" s="109" t="n"/>
      <c r="N275" s="109" t="n"/>
      <c r="O275" s="109" t="n"/>
      <c r="P275" s="109" t="n"/>
      <c r="T275" s="109" t="n"/>
      <c r="U275" s="109" t="n"/>
      <c r="V275" s="109" t="n"/>
      <c r="Z275" s="109" t="n"/>
      <c r="AA275" s="109" t="n"/>
      <c r="AB275" s="109" t="n"/>
      <c r="AF275" s="109" t="n"/>
      <c r="AG275" s="109" t="n"/>
      <c r="AH275" s="109" t="n"/>
      <c r="AL275" s="109" t="n"/>
      <c r="AM275" s="109" t="n"/>
      <c r="AN275" s="109" t="n"/>
    </row>
    <row r="276" ht="15.75" customHeight="1" s="216">
      <c r="D276" s="109" t="n"/>
      <c r="E276" s="109" t="n"/>
      <c r="J276" s="109" t="n"/>
      <c r="K276" s="109" t="n"/>
      <c r="L276" s="109" t="n"/>
      <c r="N276" s="109" t="n"/>
      <c r="O276" s="109" t="n"/>
      <c r="P276" s="109" t="n"/>
      <c r="T276" s="109" t="n"/>
      <c r="U276" s="109" t="n"/>
      <c r="V276" s="109" t="n"/>
      <c r="Z276" s="109" t="n"/>
      <c r="AA276" s="109" t="n"/>
      <c r="AB276" s="109" t="n"/>
      <c r="AF276" s="109" t="n"/>
      <c r="AG276" s="109" t="n"/>
      <c r="AH276" s="109" t="n"/>
      <c r="AL276" s="109" t="n"/>
      <c r="AM276" s="109" t="n"/>
      <c r="AN276" s="109" t="n"/>
    </row>
    <row r="277" ht="15.75" customHeight="1" s="216">
      <c r="D277" s="109" t="n"/>
      <c r="E277" s="109" t="n"/>
      <c r="J277" s="109" t="n"/>
      <c r="K277" s="109" t="n"/>
      <c r="L277" s="109" t="n"/>
      <c r="N277" s="109" t="n"/>
      <c r="O277" s="109" t="n"/>
      <c r="P277" s="109" t="n"/>
      <c r="T277" s="109" t="n"/>
      <c r="U277" s="109" t="n"/>
      <c r="V277" s="109" t="n"/>
      <c r="Z277" s="109" t="n"/>
      <c r="AA277" s="109" t="n"/>
      <c r="AB277" s="109" t="n"/>
      <c r="AF277" s="109" t="n"/>
      <c r="AG277" s="109" t="n"/>
      <c r="AH277" s="109" t="n"/>
      <c r="AL277" s="109" t="n"/>
      <c r="AM277" s="109" t="n"/>
      <c r="AN277" s="109" t="n"/>
    </row>
    <row r="278" ht="15.75" customHeight="1" s="216">
      <c r="D278" s="109" t="n"/>
      <c r="E278" s="109" t="n"/>
      <c r="J278" s="109" t="n"/>
      <c r="K278" s="109" t="n"/>
      <c r="L278" s="109" t="n"/>
      <c r="N278" s="109" t="n"/>
      <c r="O278" s="109" t="n"/>
      <c r="P278" s="109" t="n"/>
      <c r="T278" s="109" t="n"/>
      <c r="U278" s="109" t="n"/>
      <c r="V278" s="109" t="n"/>
      <c r="Z278" s="109" t="n"/>
      <c r="AA278" s="109" t="n"/>
      <c r="AB278" s="109" t="n"/>
      <c r="AF278" s="109" t="n"/>
      <c r="AG278" s="109" t="n"/>
      <c r="AH278" s="109" t="n"/>
      <c r="AL278" s="109" t="n"/>
      <c r="AM278" s="109" t="n"/>
      <c r="AN278" s="109" t="n"/>
    </row>
    <row r="279" ht="15.75" customHeight="1" s="216">
      <c r="D279" s="109" t="n"/>
      <c r="E279" s="109" t="n"/>
      <c r="J279" s="109" t="n"/>
      <c r="K279" s="109" t="n"/>
      <c r="L279" s="109" t="n"/>
      <c r="N279" s="109" t="n"/>
      <c r="O279" s="109" t="n"/>
      <c r="P279" s="109" t="n"/>
      <c r="T279" s="109" t="n"/>
      <c r="U279" s="109" t="n"/>
      <c r="V279" s="109" t="n"/>
      <c r="Z279" s="109" t="n"/>
      <c r="AA279" s="109" t="n"/>
      <c r="AB279" s="109" t="n"/>
      <c r="AF279" s="109" t="n"/>
      <c r="AG279" s="109" t="n"/>
      <c r="AH279" s="109" t="n"/>
      <c r="AL279" s="109" t="n"/>
      <c r="AM279" s="109" t="n"/>
      <c r="AN279" s="109" t="n"/>
    </row>
    <row r="280" ht="15.75" customHeight="1" s="216">
      <c r="D280" s="109" t="n"/>
      <c r="E280" s="109" t="n"/>
      <c r="J280" s="109" t="n"/>
      <c r="K280" s="109" t="n"/>
      <c r="L280" s="109" t="n"/>
      <c r="N280" s="109" t="n"/>
      <c r="O280" s="109" t="n"/>
      <c r="P280" s="109" t="n"/>
      <c r="T280" s="109" t="n"/>
      <c r="U280" s="109" t="n"/>
      <c r="V280" s="109" t="n"/>
      <c r="Z280" s="109" t="n"/>
      <c r="AA280" s="109" t="n"/>
      <c r="AB280" s="109" t="n"/>
      <c r="AF280" s="109" t="n"/>
      <c r="AG280" s="109" t="n"/>
      <c r="AH280" s="109" t="n"/>
      <c r="AL280" s="109" t="n"/>
      <c r="AM280" s="109" t="n"/>
      <c r="AN280" s="109" t="n"/>
    </row>
    <row r="281" ht="15.75" customHeight="1" s="216">
      <c r="D281" s="109" t="n"/>
      <c r="E281" s="109" t="n"/>
      <c r="J281" s="109" t="n"/>
      <c r="K281" s="109" t="n"/>
      <c r="L281" s="109" t="n"/>
      <c r="N281" s="109" t="n"/>
      <c r="O281" s="109" t="n"/>
      <c r="P281" s="109" t="n"/>
      <c r="T281" s="109" t="n"/>
      <c r="U281" s="109" t="n"/>
      <c r="V281" s="109" t="n"/>
      <c r="Z281" s="109" t="n"/>
      <c r="AA281" s="109" t="n"/>
      <c r="AB281" s="109" t="n"/>
      <c r="AF281" s="109" t="n"/>
      <c r="AG281" s="109" t="n"/>
      <c r="AH281" s="109" t="n"/>
      <c r="AL281" s="109" t="n"/>
      <c r="AM281" s="109" t="n"/>
      <c r="AN281" s="109" t="n"/>
    </row>
    <row r="282" ht="15.75" customHeight="1" s="216">
      <c r="D282" s="109" t="n"/>
      <c r="E282" s="109" t="n"/>
      <c r="J282" s="109" t="n"/>
      <c r="K282" s="109" t="n"/>
      <c r="L282" s="109" t="n"/>
      <c r="N282" s="109" t="n"/>
      <c r="O282" s="109" t="n"/>
      <c r="P282" s="109" t="n"/>
      <c r="T282" s="109" t="n"/>
      <c r="U282" s="109" t="n"/>
      <c r="V282" s="109" t="n"/>
      <c r="Z282" s="109" t="n"/>
      <c r="AA282" s="109" t="n"/>
      <c r="AB282" s="109" t="n"/>
      <c r="AF282" s="109" t="n"/>
      <c r="AG282" s="109" t="n"/>
      <c r="AH282" s="109" t="n"/>
      <c r="AL282" s="109" t="n"/>
      <c r="AM282" s="109" t="n"/>
      <c r="AN282" s="109" t="n"/>
    </row>
    <row r="283" ht="15.75" customHeight="1" s="216">
      <c r="D283" s="109" t="n"/>
      <c r="E283" s="109" t="n"/>
      <c r="J283" s="109" t="n"/>
      <c r="K283" s="109" t="n"/>
      <c r="L283" s="109" t="n"/>
      <c r="N283" s="109" t="n"/>
      <c r="O283" s="109" t="n"/>
      <c r="P283" s="109" t="n"/>
      <c r="T283" s="109" t="n"/>
      <c r="U283" s="109" t="n"/>
      <c r="V283" s="109" t="n"/>
      <c r="Z283" s="109" t="n"/>
      <c r="AA283" s="109" t="n"/>
      <c r="AB283" s="109" t="n"/>
      <c r="AF283" s="109" t="n"/>
      <c r="AG283" s="109" t="n"/>
      <c r="AH283" s="109" t="n"/>
      <c r="AL283" s="109" t="n"/>
      <c r="AM283" s="109" t="n"/>
      <c r="AN283" s="109" t="n"/>
    </row>
    <row r="284" ht="15.75" customHeight="1" s="216">
      <c r="D284" s="109" t="n"/>
      <c r="E284" s="109" t="n"/>
      <c r="J284" s="109" t="n"/>
      <c r="K284" s="109" t="n"/>
      <c r="L284" s="109" t="n"/>
      <c r="N284" s="109" t="n"/>
      <c r="O284" s="109" t="n"/>
      <c r="P284" s="109" t="n"/>
      <c r="T284" s="109" t="n"/>
      <c r="U284" s="109" t="n"/>
      <c r="V284" s="109" t="n"/>
      <c r="Z284" s="109" t="n"/>
      <c r="AA284" s="109" t="n"/>
      <c r="AB284" s="109" t="n"/>
      <c r="AF284" s="109" t="n"/>
      <c r="AG284" s="109" t="n"/>
      <c r="AH284" s="109" t="n"/>
      <c r="AL284" s="109" t="n"/>
      <c r="AM284" s="109" t="n"/>
      <c r="AN284" s="109" t="n"/>
    </row>
    <row r="285" ht="15.75" customHeight="1" s="216">
      <c r="D285" s="109" t="n"/>
      <c r="E285" s="109" t="n"/>
      <c r="J285" s="109" t="n"/>
      <c r="K285" s="109" t="n"/>
      <c r="L285" s="109" t="n"/>
      <c r="N285" s="109" t="n"/>
      <c r="O285" s="109" t="n"/>
      <c r="P285" s="109" t="n"/>
      <c r="T285" s="109" t="n"/>
      <c r="U285" s="109" t="n"/>
      <c r="V285" s="109" t="n"/>
      <c r="Z285" s="109" t="n"/>
      <c r="AA285" s="109" t="n"/>
      <c r="AB285" s="109" t="n"/>
      <c r="AF285" s="109" t="n"/>
      <c r="AG285" s="109" t="n"/>
      <c r="AH285" s="109" t="n"/>
      <c r="AL285" s="109" t="n"/>
      <c r="AM285" s="109" t="n"/>
      <c r="AN285" s="109" t="n"/>
    </row>
    <row r="286" ht="15.75" customHeight="1" s="216">
      <c r="D286" s="109" t="n"/>
      <c r="E286" s="109" t="n"/>
      <c r="J286" s="109" t="n"/>
      <c r="K286" s="109" t="n"/>
      <c r="L286" s="109" t="n"/>
      <c r="N286" s="109" t="n"/>
      <c r="O286" s="109" t="n"/>
      <c r="P286" s="109" t="n"/>
      <c r="T286" s="109" t="n"/>
      <c r="U286" s="109" t="n"/>
      <c r="V286" s="109" t="n"/>
      <c r="Z286" s="109" t="n"/>
      <c r="AA286" s="109" t="n"/>
      <c r="AB286" s="109" t="n"/>
      <c r="AF286" s="109" t="n"/>
      <c r="AG286" s="109" t="n"/>
      <c r="AH286" s="109" t="n"/>
      <c r="AL286" s="109" t="n"/>
      <c r="AM286" s="109" t="n"/>
      <c r="AN286" s="109" t="n"/>
    </row>
    <row r="287" ht="15.75" customHeight="1" s="216">
      <c r="D287" s="109" t="n"/>
      <c r="E287" s="109" t="n"/>
      <c r="J287" s="109" t="n"/>
      <c r="K287" s="109" t="n"/>
      <c r="L287" s="109" t="n"/>
      <c r="N287" s="109" t="n"/>
      <c r="O287" s="109" t="n"/>
      <c r="P287" s="109" t="n"/>
      <c r="T287" s="109" t="n"/>
      <c r="U287" s="109" t="n"/>
      <c r="V287" s="109" t="n"/>
      <c r="Z287" s="109" t="n"/>
      <c r="AA287" s="109" t="n"/>
      <c r="AB287" s="109" t="n"/>
      <c r="AF287" s="109" t="n"/>
      <c r="AG287" s="109" t="n"/>
      <c r="AH287" s="109" t="n"/>
      <c r="AL287" s="109" t="n"/>
      <c r="AM287" s="109" t="n"/>
      <c r="AN287" s="109" t="n"/>
    </row>
    <row r="288" ht="15.75" customHeight="1" s="216">
      <c r="D288" s="109" t="n"/>
      <c r="E288" s="109" t="n"/>
      <c r="J288" s="109" t="n"/>
      <c r="K288" s="109" t="n"/>
      <c r="L288" s="109" t="n"/>
      <c r="N288" s="109" t="n"/>
      <c r="O288" s="109" t="n"/>
      <c r="P288" s="109" t="n"/>
      <c r="T288" s="109" t="n"/>
      <c r="U288" s="109" t="n"/>
      <c r="V288" s="109" t="n"/>
      <c r="Z288" s="109" t="n"/>
      <c r="AA288" s="109" t="n"/>
      <c r="AB288" s="109" t="n"/>
      <c r="AF288" s="109" t="n"/>
      <c r="AG288" s="109" t="n"/>
      <c r="AH288" s="109" t="n"/>
      <c r="AL288" s="109" t="n"/>
      <c r="AM288" s="109" t="n"/>
      <c r="AN288" s="109" t="n"/>
    </row>
    <row r="289" ht="15.75" customHeight="1" s="216">
      <c r="D289" s="109" t="n"/>
      <c r="E289" s="109" t="n"/>
      <c r="J289" s="109" t="n"/>
      <c r="K289" s="109" t="n"/>
      <c r="L289" s="109" t="n"/>
      <c r="N289" s="109" t="n"/>
      <c r="O289" s="109" t="n"/>
      <c r="P289" s="109" t="n"/>
      <c r="T289" s="109" t="n"/>
      <c r="U289" s="109" t="n"/>
      <c r="V289" s="109" t="n"/>
      <c r="Z289" s="109" t="n"/>
      <c r="AA289" s="109" t="n"/>
      <c r="AB289" s="109" t="n"/>
      <c r="AF289" s="109" t="n"/>
      <c r="AG289" s="109" t="n"/>
      <c r="AH289" s="109" t="n"/>
      <c r="AL289" s="109" t="n"/>
      <c r="AM289" s="109" t="n"/>
      <c r="AN289" s="109" t="n"/>
    </row>
    <row r="290" ht="15.75" customHeight="1" s="216">
      <c r="D290" s="109" t="n"/>
      <c r="E290" s="109" t="n"/>
      <c r="J290" s="109" t="n"/>
      <c r="K290" s="109" t="n"/>
      <c r="L290" s="109" t="n"/>
      <c r="N290" s="109" t="n"/>
      <c r="O290" s="109" t="n"/>
      <c r="P290" s="109" t="n"/>
      <c r="T290" s="109" t="n"/>
      <c r="U290" s="109" t="n"/>
      <c r="V290" s="109" t="n"/>
      <c r="Z290" s="109" t="n"/>
      <c r="AA290" s="109" t="n"/>
      <c r="AB290" s="109" t="n"/>
      <c r="AF290" s="109" t="n"/>
      <c r="AG290" s="109" t="n"/>
      <c r="AH290" s="109" t="n"/>
      <c r="AL290" s="109" t="n"/>
      <c r="AM290" s="109" t="n"/>
      <c r="AN290" s="109" t="n"/>
    </row>
    <row r="291" ht="15.75" customHeight="1" s="216">
      <c r="D291" s="109" t="n"/>
      <c r="E291" s="109" t="n"/>
      <c r="J291" s="109" t="n"/>
      <c r="K291" s="109" t="n"/>
      <c r="L291" s="109" t="n"/>
      <c r="N291" s="109" t="n"/>
      <c r="O291" s="109" t="n"/>
      <c r="P291" s="109" t="n"/>
      <c r="T291" s="109" t="n"/>
      <c r="U291" s="109" t="n"/>
      <c r="V291" s="109" t="n"/>
      <c r="Z291" s="109" t="n"/>
      <c r="AA291" s="109" t="n"/>
      <c r="AB291" s="109" t="n"/>
      <c r="AF291" s="109" t="n"/>
      <c r="AG291" s="109" t="n"/>
      <c r="AH291" s="109" t="n"/>
      <c r="AL291" s="109" t="n"/>
      <c r="AM291" s="109" t="n"/>
      <c r="AN291" s="109" t="n"/>
    </row>
    <row r="292" ht="15.75" customHeight="1" s="216">
      <c r="D292" s="109" t="n"/>
      <c r="E292" s="109" t="n"/>
      <c r="J292" s="109" t="n"/>
      <c r="K292" s="109" t="n"/>
      <c r="L292" s="109" t="n"/>
      <c r="N292" s="109" t="n"/>
      <c r="O292" s="109" t="n"/>
      <c r="P292" s="109" t="n"/>
      <c r="T292" s="109" t="n"/>
      <c r="U292" s="109" t="n"/>
      <c r="V292" s="109" t="n"/>
      <c r="Z292" s="109" t="n"/>
      <c r="AA292" s="109" t="n"/>
      <c r="AB292" s="109" t="n"/>
      <c r="AF292" s="109" t="n"/>
      <c r="AG292" s="109" t="n"/>
      <c r="AH292" s="109" t="n"/>
      <c r="AL292" s="109" t="n"/>
      <c r="AM292" s="109" t="n"/>
      <c r="AN292" s="109" t="n"/>
    </row>
    <row r="293" ht="15.75" customHeight="1" s="216">
      <c r="D293" s="109" t="n"/>
      <c r="E293" s="109" t="n"/>
      <c r="J293" s="109" t="n"/>
      <c r="K293" s="109" t="n"/>
      <c r="L293" s="109" t="n"/>
      <c r="N293" s="109" t="n"/>
      <c r="O293" s="109" t="n"/>
      <c r="P293" s="109" t="n"/>
      <c r="T293" s="109" t="n"/>
      <c r="U293" s="109" t="n"/>
      <c r="V293" s="109" t="n"/>
      <c r="Z293" s="109" t="n"/>
      <c r="AA293" s="109" t="n"/>
      <c r="AB293" s="109" t="n"/>
      <c r="AF293" s="109" t="n"/>
      <c r="AG293" s="109" t="n"/>
      <c r="AH293" s="109" t="n"/>
      <c r="AL293" s="109" t="n"/>
      <c r="AM293" s="109" t="n"/>
      <c r="AN293" s="109" t="n"/>
    </row>
    <row r="294" ht="15.75" customHeight="1" s="216">
      <c r="D294" s="109" t="n"/>
      <c r="E294" s="109" t="n"/>
      <c r="J294" s="109" t="n"/>
      <c r="K294" s="109" t="n"/>
      <c r="L294" s="109" t="n"/>
      <c r="N294" s="109" t="n"/>
      <c r="O294" s="109" t="n"/>
      <c r="P294" s="109" t="n"/>
      <c r="T294" s="109" t="n"/>
      <c r="U294" s="109" t="n"/>
      <c r="V294" s="109" t="n"/>
      <c r="Z294" s="109" t="n"/>
      <c r="AA294" s="109" t="n"/>
      <c r="AB294" s="109" t="n"/>
      <c r="AF294" s="109" t="n"/>
      <c r="AG294" s="109" t="n"/>
      <c r="AH294" s="109" t="n"/>
      <c r="AL294" s="109" t="n"/>
      <c r="AM294" s="109" t="n"/>
      <c r="AN294" s="109" t="n"/>
    </row>
    <row r="295" ht="15.75" customHeight="1" s="216">
      <c r="D295" s="109" t="n"/>
      <c r="E295" s="109" t="n"/>
      <c r="J295" s="109" t="n"/>
      <c r="K295" s="109" t="n"/>
      <c r="L295" s="109" t="n"/>
      <c r="N295" s="109" t="n"/>
      <c r="O295" s="109" t="n"/>
      <c r="P295" s="109" t="n"/>
      <c r="T295" s="109" t="n"/>
      <c r="U295" s="109" t="n"/>
      <c r="V295" s="109" t="n"/>
      <c r="Z295" s="109" t="n"/>
      <c r="AA295" s="109" t="n"/>
      <c r="AB295" s="109" t="n"/>
      <c r="AF295" s="109" t="n"/>
      <c r="AG295" s="109" t="n"/>
      <c r="AH295" s="109" t="n"/>
      <c r="AL295" s="109" t="n"/>
      <c r="AM295" s="109" t="n"/>
      <c r="AN295" s="109" t="n"/>
    </row>
    <row r="296" ht="15.75" customHeight="1" s="216">
      <c r="D296" s="109" t="n"/>
      <c r="E296" s="109" t="n"/>
      <c r="J296" s="109" t="n"/>
      <c r="K296" s="109" t="n"/>
      <c r="L296" s="109" t="n"/>
      <c r="N296" s="109" t="n"/>
      <c r="O296" s="109" t="n"/>
      <c r="P296" s="109" t="n"/>
      <c r="T296" s="109" t="n"/>
      <c r="U296" s="109" t="n"/>
      <c r="V296" s="109" t="n"/>
      <c r="Z296" s="109" t="n"/>
      <c r="AA296" s="109" t="n"/>
      <c r="AB296" s="109" t="n"/>
      <c r="AF296" s="109" t="n"/>
      <c r="AG296" s="109" t="n"/>
      <c r="AH296" s="109" t="n"/>
      <c r="AL296" s="109" t="n"/>
      <c r="AM296" s="109" t="n"/>
      <c r="AN296" s="109" t="n"/>
    </row>
    <row r="297" ht="15.75" customHeight="1" s="216">
      <c r="D297" s="109" t="n"/>
      <c r="E297" s="109" t="n"/>
      <c r="J297" s="109" t="n"/>
      <c r="K297" s="109" t="n"/>
      <c r="L297" s="109" t="n"/>
      <c r="N297" s="109" t="n"/>
      <c r="O297" s="109" t="n"/>
      <c r="P297" s="109" t="n"/>
      <c r="T297" s="109" t="n"/>
      <c r="U297" s="109" t="n"/>
      <c r="V297" s="109" t="n"/>
      <c r="Z297" s="109" t="n"/>
      <c r="AA297" s="109" t="n"/>
      <c r="AB297" s="109" t="n"/>
      <c r="AF297" s="109" t="n"/>
      <c r="AG297" s="109" t="n"/>
      <c r="AH297" s="109" t="n"/>
      <c r="AL297" s="109" t="n"/>
      <c r="AM297" s="109" t="n"/>
      <c r="AN297" s="109" t="n"/>
    </row>
    <row r="298" ht="15.75" customHeight="1" s="216">
      <c r="D298" s="109" t="n"/>
      <c r="E298" s="109" t="n"/>
      <c r="J298" s="109" t="n"/>
      <c r="K298" s="109" t="n"/>
      <c r="L298" s="109" t="n"/>
      <c r="N298" s="109" t="n"/>
      <c r="O298" s="109" t="n"/>
      <c r="P298" s="109" t="n"/>
      <c r="T298" s="109" t="n"/>
      <c r="U298" s="109" t="n"/>
      <c r="V298" s="109" t="n"/>
      <c r="Z298" s="109" t="n"/>
      <c r="AA298" s="109" t="n"/>
      <c r="AB298" s="109" t="n"/>
      <c r="AF298" s="109" t="n"/>
      <c r="AG298" s="109" t="n"/>
      <c r="AH298" s="109" t="n"/>
      <c r="AL298" s="109" t="n"/>
      <c r="AM298" s="109" t="n"/>
      <c r="AN298" s="109" t="n"/>
    </row>
    <row r="299" ht="15.75" customHeight="1" s="216">
      <c r="D299" s="109" t="n"/>
      <c r="E299" s="109" t="n"/>
      <c r="J299" s="109" t="n"/>
      <c r="K299" s="109" t="n"/>
      <c r="L299" s="109" t="n"/>
      <c r="N299" s="109" t="n"/>
      <c r="O299" s="109" t="n"/>
      <c r="P299" s="109" t="n"/>
      <c r="T299" s="109" t="n"/>
      <c r="U299" s="109" t="n"/>
      <c r="V299" s="109" t="n"/>
      <c r="Z299" s="109" t="n"/>
      <c r="AA299" s="109" t="n"/>
      <c r="AB299" s="109" t="n"/>
      <c r="AF299" s="109" t="n"/>
      <c r="AG299" s="109" t="n"/>
      <c r="AH299" s="109" t="n"/>
      <c r="AL299" s="109" t="n"/>
      <c r="AM299" s="109" t="n"/>
      <c r="AN299" s="109" t="n"/>
    </row>
    <row r="300" ht="15.75" customHeight="1" s="216">
      <c r="D300" s="109" t="n"/>
      <c r="E300" s="109" t="n"/>
      <c r="J300" s="109" t="n"/>
      <c r="K300" s="109" t="n"/>
      <c r="L300" s="109" t="n"/>
      <c r="N300" s="109" t="n"/>
      <c r="O300" s="109" t="n"/>
      <c r="P300" s="109" t="n"/>
      <c r="T300" s="109" t="n"/>
      <c r="U300" s="109" t="n"/>
      <c r="V300" s="109" t="n"/>
      <c r="Z300" s="109" t="n"/>
      <c r="AA300" s="109" t="n"/>
      <c r="AB300" s="109" t="n"/>
      <c r="AF300" s="109" t="n"/>
      <c r="AG300" s="109" t="n"/>
      <c r="AH300" s="109" t="n"/>
      <c r="AL300" s="109" t="n"/>
      <c r="AM300" s="109" t="n"/>
      <c r="AN300" s="109" t="n"/>
    </row>
    <row r="301" ht="15.75" customHeight="1" s="216">
      <c r="D301" s="109" t="n"/>
      <c r="E301" s="109" t="n"/>
      <c r="J301" s="109" t="n"/>
      <c r="K301" s="109" t="n"/>
      <c r="L301" s="109" t="n"/>
      <c r="N301" s="109" t="n"/>
      <c r="O301" s="109" t="n"/>
      <c r="P301" s="109" t="n"/>
      <c r="T301" s="109" t="n"/>
      <c r="U301" s="109" t="n"/>
      <c r="V301" s="109" t="n"/>
      <c r="Z301" s="109" t="n"/>
      <c r="AA301" s="109" t="n"/>
      <c r="AB301" s="109" t="n"/>
      <c r="AF301" s="109" t="n"/>
      <c r="AG301" s="109" t="n"/>
      <c r="AH301" s="109" t="n"/>
      <c r="AL301" s="109" t="n"/>
      <c r="AM301" s="109" t="n"/>
      <c r="AN301" s="109" t="n"/>
    </row>
    <row r="302" ht="15.75" customHeight="1" s="216">
      <c r="D302" s="109" t="n"/>
      <c r="E302" s="109" t="n"/>
      <c r="J302" s="109" t="n"/>
      <c r="K302" s="109" t="n"/>
      <c r="L302" s="109" t="n"/>
      <c r="N302" s="109" t="n"/>
      <c r="O302" s="109" t="n"/>
      <c r="P302" s="109" t="n"/>
      <c r="T302" s="109" t="n"/>
      <c r="U302" s="109" t="n"/>
      <c r="V302" s="109" t="n"/>
      <c r="Z302" s="109" t="n"/>
      <c r="AA302" s="109" t="n"/>
      <c r="AB302" s="109" t="n"/>
      <c r="AF302" s="109" t="n"/>
      <c r="AG302" s="109" t="n"/>
      <c r="AH302" s="109" t="n"/>
      <c r="AL302" s="109" t="n"/>
      <c r="AM302" s="109" t="n"/>
      <c r="AN302" s="109" t="n"/>
    </row>
    <row r="303" ht="15.75" customHeight="1" s="216">
      <c r="D303" s="109" t="n"/>
      <c r="E303" s="109" t="n"/>
      <c r="J303" s="109" t="n"/>
      <c r="K303" s="109" t="n"/>
      <c r="L303" s="109" t="n"/>
      <c r="N303" s="109" t="n"/>
      <c r="O303" s="109" t="n"/>
      <c r="P303" s="109" t="n"/>
      <c r="T303" s="109" t="n"/>
      <c r="U303" s="109" t="n"/>
      <c r="V303" s="109" t="n"/>
      <c r="Z303" s="109" t="n"/>
      <c r="AA303" s="109" t="n"/>
      <c r="AB303" s="109" t="n"/>
      <c r="AF303" s="109" t="n"/>
      <c r="AG303" s="109" t="n"/>
      <c r="AH303" s="109" t="n"/>
      <c r="AL303" s="109" t="n"/>
      <c r="AM303" s="109" t="n"/>
      <c r="AN303" s="109" t="n"/>
    </row>
    <row r="304" ht="15.75" customHeight="1" s="216">
      <c r="D304" s="109" t="n"/>
      <c r="E304" s="109" t="n"/>
      <c r="J304" s="109" t="n"/>
      <c r="K304" s="109" t="n"/>
      <c r="L304" s="109" t="n"/>
      <c r="N304" s="109" t="n"/>
      <c r="O304" s="109" t="n"/>
      <c r="P304" s="109" t="n"/>
      <c r="T304" s="109" t="n"/>
      <c r="U304" s="109" t="n"/>
      <c r="V304" s="109" t="n"/>
      <c r="Z304" s="109" t="n"/>
      <c r="AA304" s="109" t="n"/>
      <c r="AB304" s="109" t="n"/>
      <c r="AF304" s="109" t="n"/>
      <c r="AG304" s="109" t="n"/>
      <c r="AH304" s="109" t="n"/>
      <c r="AL304" s="109" t="n"/>
      <c r="AM304" s="109" t="n"/>
      <c r="AN304" s="109" t="n"/>
    </row>
    <row r="305" ht="15.75" customHeight="1" s="216">
      <c r="D305" s="109" t="n"/>
      <c r="E305" s="109" t="n"/>
      <c r="J305" s="109" t="n"/>
      <c r="K305" s="109" t="n"/>
      <c r="L305" s="109" t="n"/>
      <c r="N305" s="109" t="n"/>
      <c r="O305" s="109" t="n"/>
      <c r="P305" s="109" t="n"/>
      <c r="T305" s="109" t="n"/>
      <c r="U305" s="109" t="n"/>
      <c r="V305" s="109" t="n"/>
      <c r="Z305" s="109" t="n"/>
      <c r="AA305" s="109" t="n"/>
      <c r="AB305" s="109" t="n"/>
      <c r="AF305" s="109" t="n"/>
      <c r="AG305" s="109" t="n"/>
      <c r="AH305" s="109" t="n"/>
      <c r="AL305" s="109" t="n"/>
      <c r="AM305" s="109" t="n"/>
      <c r="AN305" s="109" t="n"/>
    </row>
    <row r="306" ht="15.75" customHeight="1" s="216">
      <c r="D306" s="109" t="n"/>
      <c r="E306" s="109" t="n"/>
      <c r="J306" s="109" t="n"/>
      <c r="K306" s="109" t="n"/>
      <c r="L306" s="109" t="n"/>
      <c r="N306" s="109" t="n"/>
      <c r="O306" s="109" t="n"/>
      <c r="P306" s="109" t="n"/>
      <c r="T306" s="109" t="n"/>
      <c r="U306" s="109" t="n"/>
      <c r="V306" s="109" t="n"/>
      <c r="Z306" s="109" t="n"/>
      <c r="AA306" s="109" t="n"/>
      <c r="AB306" s="109" t="n"/>
      <c r="AF306" s="109" t="n"/>
      <c r="AG306" s="109" t="n"/>
      <c r="AH306" s="109" t="n"/>
      <c r="AL306" s="109" t="n"/>
      <c r="AM306" s="109" t="n"/>
      <c r="AN306" s="109" t="n"/>
    </row>
    <row r="307" ht="15.75" customHeight="1" s="216">
      <c r="D307" s="109" t="n"/>
      <c r="E307" s="109" t="n"/>
      <c r="J307" s="109" t="n"/>
      <c r="K307" s="109" t="n"/>
      <c r="L307" s="109" t="n"/>
      <c r="N307" s="109" t="n"/>
      <c r="O307" s="109" t="n"/>
      <c r="P307" s="109" t="n"/>
      <c r="T307" s="109" t="n"/>
      <c r="U307" s="109" t="n"/>
      <c r="V307" s="109" t="n"/>
      <c r="Z307" s="109" t="n"/>
      <c r="AA307" s="109" t="n"/>
      <c r="AB307" s="109" t="n"/>
      <c r="AF307" s="109" t="n"/>
      <c r="AG307" s="109" t="n"/>
      <c r="AH307" s="109" t="n"/>
      <c r="AL307" s="109" t="n"/>
      <c r="AM307" s="109" t="n"/>
      <c r="AN307" s="109" t="n"/>
    </row>
    <row r="308" ht="15.75" customHeight="1" s="216">
      <c r="D308" s="109" t="n"/>
      <c r="E308" s="109" t="n"/>
      <c r="J308" s="109" t="n"/>
      <c r="K308" s="109" t="n"/>
      <c r="L308" s="109" t="n"/>
      <c r="N308" s="109" t="n"/>
      <c r="O308" s="109" t="n"/>
      <c r="P308" s="109" t="n"/>
      <c r="T308" s="109" t="n"/>
      <c r="U308" s="109" t="n"/>
      <c r="V308" s="109" t="n"/>
      <c r="Z308" s="109" t="n"/>
      <c r="AA308" s="109" t="n"/>
      <c r="AB308" s="109" t="n"/>
      <c r="AF308" s="109" t="n"/>
      <c r="AG308" s="109" t="n"/>
      <c r="AH308" s="109" t="n"/>
      <c r="AL308" s="109" t="n"/>
      <c r="AM308" s="109" t="n"/>
      <c r="AN308" s="109" t="n"/>
    </row>
    <row r="309" ht="15.75" customHeight="1" s="216">
      <c r="D309" s="109" t="n"/>
      <c r="E309" s="109" t="n"/>
      <c r="J309" s="109" t="n"/>
      <c r="K309" s="109" t="n"/>
      <c r="L309" s="109" t="n"/>
      <c r="N309" s="109" t="n"/>
      <c r="O309" s="109" t="n"/>
      <c r="P309" s="109" t="n"/>
      <c r="T309" s="109" t="n"/>
      <c r="U309" s="109" t="n"/>
      <c r="V309" s="109" t="n"/>
      <c r="Z309" s="109" t="n"/>
      <c r="AA309" s="109" t="n"/>
      <c r="AB309" s="109" t="n"/>
      <c r="AF309" s="109" t="n"/>
      <c r="AG309" s="109" t="n"/>
      <c r="AH309" s="109" t="n"/>
      <c r="AL309" s="109" t="n"/>
      <c r="AM309" s="109" t="n"/>
      <c r="AN309" s="109" t="n"/>
    </row>
    <row r="310" ht="15.75" customHeight="1" s="216">
      <c r="D310" s="109" t="n"/>
      <c r="E310" s="109" t="n"/>
      <c r="J310" s="109" t="n"/>
      <c r="K310" s="109" t="n"/>
      <c r="L310" s="109" t="n"/>
      <c r="N310" s="109" t="n"/>
      <c r="O310" s="109" t="n"/>
      <c r="P310" s="109" t="n"/>
      <c r="T310" s="109" t="n"/>
      <c r="U310" s="109" t="n"/>
      <c r="V310" s="109" t="n"/>
      <c r="Z310" s="109" t="n"/>
      <c r="AA310" s="109" t="n"/>
      <c r="AB310" s="109" t="n"/>
      <c r="AF310" s="109" t="n"/>
      <c r="AG310" s="109" t="n"/>
      <c r="AH310" s="109" t="n"/>
      <c r="AL310" s="109" t="n"/>
      <c r="AM310" s="109" t="n"/>
      <c r="AN310" s="109" t="n"/>
    </row>
    <row r="311" ht="15.75" customHeight="1" s="216">
      <c r="D311" s="109" t="n"/>
      <c r="E311" s="109" t="n"/>
      <c r="J311" s="109" t="n"/>
      <c r="K311" s="109" t="n"/>
      <c r="L311" s="109" t="n"/>
      <c r="N311" s="109" t="n"/>
      <c r="O311" s="109" t="n"/>
      <c r="P311" s="109" t="n"/>
      <c r="T311" s="109" t="n"/>
      <c r="U311" s="109" t="n"/>
      <c r="V311" s="109" t="n"/>
      <c r="Z311" s="109" t="n"/>
      <c r="AA311" s="109" t="n"/>
      <c r="AB311" s="109" t="n"/>
      <c r="AF311" s="109" t="n"/>
      <c r="AG311" s="109" t="n"/>
      <c r="AH311" s="109" t="n"/>
      <c r="AL311" s="109" t="n"/>
      <c r="AM311" s="109" t="n"/>
      <c r="AN311" s="109" t="n"/>
    </row>
    <row r="312" ht="15.75" customHeight="1" s="216">
      <c r="D312" s="109" t="n"/>
      <c r="E312" s="109" t="n"/>
      <c r="J312" s="109" t="n"/>
      <c r="K312" s="109" t="n"/>
      <c r="L312" s="109" t="n"/>
      <c r="N312" s="109" t="n"/>
      <c r="O312" s="109" t="n"/>
      <c r="P312" s="109" t="n"/>
      <c r="T312" s="109" t="n"/>
      <c r="U312" s="109" t="n"/>
      <c r="V312" s="109" t="n"/>
      <c r="Z312" s="109" t="n"/>
      <c r="AA312" s="109" t="n"/>
      <c r="AB312" s="109" t="n"/>
      <c r="AF312" s="109" t="n"/>
      <c r="AG312" s="109" t="n"/>
      <c r="AH312" s="109" t="n"/>
      <c r="AL312" s="109" t="n"/>
      <c r="AM312" s="109" t="n"/>
      <c r="AN312" s="109" t="n"/>
    </row>
    <row r="313" ht="15.75" customHeight="1" s="216">
      <c r="D313" s="109" t="n"/>
      <c r="E313" s="109" t="n"/>
      <c r="J313" s="109" t="n"/>
      <c r="K313" s="109" t="n"/>
      <c r="L313" s="109" t="n"/>
      <c r="N313" s="109" t="n"/>
      <c r="O313" s="109" t="n"/>
      <c r="P313" s="109" t="n"/>
      <c r="T313" s="109" t="n"/>
      <c r="U313" s="109" t="n"/>
      <c r="V313" s="109" t="n"/>
      <c r="Z313" s="109" t="n"/>
      <c r="AA313" s="109" t="n"/>
      <c r="AB313" s="109" t="n"/>
      <c r="AF313" s="109" t="n"/>
      <c r="AG313" s="109" t="n"/>
      <c r="AH313" s="109" t="n"/>
      <c r="AL313" s="109" t="n"/>
      <c r="AM313" s="109" t="n"/>
      <c r="AN313" s="109" t="n"/>
    </row>
    <row r="314" ht="15.75" customHeight="1" s="216">
      <c r="D314" s="109" t="n"/>
      <c r="E314" s="109" t="n"/>
      <c r="J314" s="109" t="n"/>
      <c r="K314" s="109" t="n"/>
      <c r="L314" s="109" t="n"/>
      <c r="N314" s="109" t="n"/>
      <c r="O314" s="109" t="n"/>
      <c r="P314" s="109" t="n"/>
      <c r="T314" s="109" t="n"/>
      <c r="U314" s="109" t="n"/>
      <c r="V314" s="109" t="n"/>
      <c r="Z314" s="109" t="n"/>
      <c r="AA314" s="109" t="n"/>
      <c r="AB314" s="109" t="n"/>
      <c r="AF314" s="109" t="n"/>
      <c r="AG314" s="109" t="n"/>
      <c r="AH314" s="109" t="n"/>
      <c r="AL314" s="109" t="n"/>
      <c r="AM314" s="109" t="n"/>
      <c r="AN314" s="109" t="n"/>
    </row>
    <row r="315" ht="15.75" customHeight="1" s="216">
      <c r="D315" s="109" t="n"/>
      <c r="E315" s="109" t="n"/>
      <c r="J315" s="109" t="n"/>
      <c r="K315" s="109" t="n"/>
      <c r="L315" s="109" t="n"/>
      <c r="N315" s="109" t="n"/>
      <c r="O315" s="109" t="n"/>
      <c r="P315" s="109" t="n"/>
      <c r="T315" s="109" t="n"/>
      <c r="U315" s="109" t="n"/>
      <c r="V315" s="109" t="n"/>
      <c r="Z315" s="109" t="n"/>
      <c r="AA315" s="109" t="n"/>
      <c r="AB315" s="109" t="n"/>
      <c r="AF315" s="109" t="n"/>
      <c r="AG315" s="109" t="n"/>
      <c r="AH315" s="109" t="n"/>
      <c r="AL315" s="109" t="n"/>
      <c r="AM315" s="109" t="n"/>
      <c r="AN315" s="109" t="n"/>
    </row>
    <row r="316" ht="15.75" customHeight="1" s="216">
      <c r="D316" s="109" t="n"/>
      <c r="E316" s="109" t="n"/>
      <c r="J316" s="109" t="n"/>
      <c r="K316" s="109" t="n"/>
      <c r="L316" s="109" t="n"/>
      <c r="N316" s="109" t="n"/>
      <c r="O316" s="109" t="n"/>
      <c r="P316" s="109" t="n"/>
      <c r="T316" s="109" t="n"/>
      <c r="U316" s="109" t="n"/>
      <c r="V316" s="109" t="n"/>
      <c r="Z316" s="109" t="n"/>
      <c r="AA316" s="109" t="n"/>
      <c r="AB316" s="109" t="n"/>
      <c r="AF316" s="109" t="n"/>
      <c r="AG316" s="109" t="n"/>
      <c r="AH316" s="109" t="n"/>
      <c r="AL316" s="109" t="n"/>
      <c r="AM316" s="109" t="n"/>
      <c r="AN316" s="109" t="n"/>
    </row>
    <row r="317" ht="15.75" customHeight="1" s="216">
      <c r="D317" s="109" t="n"/>
      <c r="E317" s="109" t="n"/>
      <c r="J317" s="109" t="n"/>
      <c r="K317" s="109" t="n"/>
      <c r="L317" s="109" t="n"/>
      <c r="N317" s="109" t="n"/>
      <c r="O317" s="109" t="n"/>
      <c r="P317" s="109" t="n"/>
      <c r="T317" s="109" t="n"/>
      <c r="U317" s="109" t="n"/>
      <c r="V317" s="109" t="n"/>
      <c r="Z317" s="109" t="n"/>
      <c r="AA317" s="109" t="n"/>
      <c r="AB317" s="109" t="n"/>
      <c r="AF317" s="109" t="n"/>
      <c r="AG317" s="109" t="n"/>
      <c r="AH317" s="109" t="n"/>
      <c r="AL317" s="109" t="n"/>
      <c r="AM317" s="109" t="n"/>
      <c r="AN317" s="109" t="n"/>
    </row>
    <row r="318" ht="15.75" customHeight="1" s="216">
      <c r="D318" s="109" t="n"/>
      <c r="E318" s="109" t="n"/>
      <c r="J318" s="109" t="n"/>
      <c r="K318" s="109" t="n"/>
      <c r="L318" s="109" t="n"/>
      <c r="N318" s="109" t="n"/>
      <c r="O318" s="109" t="n"/>
      <c r="P318" s="109" t="n"/>
      <c r="T318" s="109" t="n"/>
      <c r="U318" s="109" t="n"/>
      <c r="V318" s="109" t="n"/>
      <c r="Z318" s="109" t="n"/>
      <c r="AA318" s="109" t="n"/>
      <c r="AB318" s="109" t="n"/>
      <c r="AF318" s="109" t="n"/>
      <c r="AG318" s="109" t="n"/>
      <c r="AH318" s="109" t="n"/>
      <c r="AL318" s="109" t="n"/>
      <c r="AM318" s="109" t="n"/>
      <c r="AN318" s="109" t="n"/>
    </row>
    <row r="319" ht="15.75" customHeight="1" s="216">
      <c r="D319" s="109" t="n"/>
      <c r="E319" s="109" t="n"/>
      <c r="J319" s="109" t="n"/>
      <c r="K319" s="109" t="n"/>
      <c r="L319" s="109" t="n"/>
      <c r="N319" s="109" t="n"/>
      <c r="O319" s="109" t="n"/>
      <c r="P319" s="109" t="n"/>
      <c r="T319" s="109" t="n"/>
      <c r="U319" s="109" t="n"/>
      <c r="V319" s="109" t="n"/>
      <c r="Z319" s="109" t="n"/>
      <c r="AA319" s="109" t="n"/>
      <c r="AB319" s="109" t="n"/>
      <c r="AF319" s="109" t="n"/>
      <c r="AG319" s="109" t="n"/>
      <c r="AH319" s="109" t="n"/>
      <c r="AL319" s="109" t="n"/>
      <c r="AM319" s="109" t="n"/>
      <c r="AN319" s="109" t="n"/>
    </row>
    <row r="320" ht="15.75" customHeight="1" s="216">
      <c r="D320" s="109" t="n"/>
      <c r="E320" s="109" t="n"/>
      <c r="J320" s="109" t="n"/>
      <c r="K320" s="109" t="n"/>
      <c r="L320" s="109" t="n"/>
      <c r="N320" s="109" t="n"/>
      <c r="O320" s="109" t="n"/>
      <c r="P320" s="109" t="n"/>
      <c r="T320" s="109" t="n"/>
      <c r="U320" s="109" t="n"/>
      <c r="V320" s="109" t="n"/>
      <c r="Z320" s="109" t="n"/>
      <c r="AA320" s="109" t="n"/>
      <c r="AB320" s="109" t="n"/>
      <c r="AF320" s="109" t="n"/>
      <c r="AG320" s="109" t="n"/>
      <c r="AH320" s="109" t="n"/>
      <c r="AL320" s="109" t="n"/>
      <c r="AM320" s="109" t="n"/>
      <c r="AN320" s="109" t="n"/>
    </row>
    <row r="321" ht="15.75" customHeight="1" s="216">
      <c r="D321" s="109" t="n"/>
      <c r="E321" s="109" t="n"/>
      <c r="J321" s="109" t="n"/>
      <c r="K321" s="109" t="n"/>
      <c r="L321" s="109" t="n"/>
      <c r="N321" s="109" t="n"/>
      <c r="O321" s="109" t="n"/>
      <c r="P321" s="109" t="n"/>
      <c r="T321" s="109" t="n"/>
      <c r="U321" s="109" t="n"/>
      <c r="V321" s="109" t="n"/>
      <c r="Z321" s="109" t="n"/>
      <c r="AA321" s="109" t="n"/>
      <c r="AB321" s="109" t="n"/>
      <c r="AF321" s="109" t="n"/>
      <c r="AG321" s="109" t="n"/>
      <c r="AH321" s="109" t="n"/>
      <c r="AL321" s="109" t="n"/>
      <c r="AM321" s="109" t="n"/>
      <c r="AN321" s="109" t="n"/>
    </row>
    <row r="322" ht="15.75" customHeight="1" s="216">
      <c r="D322" s="109" t="n"/>
      <c r="E322" s="109" t="n"/>
      <c r="J322" s="109" t="n"/>
      <c r="K322" s="109" t="n"/>
      <c r="L322" s="109" t="n"/>
      <c r="N322" s="109" t="n"/>
      <c r="O322" s="109" t="n"/>
      <c r="P322" s="109" t="n"/>
      <c r="T322" s="109" t="n"/>
      <c r="U322" s="109" t="n"/>
      <c r="V322" s="109" t="n"/>
      <c r="Z322" s="109" t="n"/>
      <c r="AA322" s="109" t="n"/>
      <c r="AB322" s="109" t="n"/>
      <c r="AF322" s="109" t="n"/>
      <c r="AG322" s="109" t="n"/>
      <c r="AH322" s="109" t="n"/>
      <c r="AL322" s="109" t="n"/>
      <c r="AM322" s="109" t="n"/>
      <c r="AN322" s="109" t="n"/>
    </row>
    <row r="323" ht="15.75" customHeight="1" s="216">
      <c r="D323" s="109" t="n"/>
      <c r="E323" s="109" t="n"/>
      <c r="J323" s="109" t="n"/>
      <c r="K323" s="109" t="n"/>
      <c r="L323" s="109" t="n"/>
      <c r="N323" s="109" t="n"/>
      <c r="O323" s="109" t="n"/>
      <c r="P323" s="109" t="n"/>
      <c r="T323" s="109" t="n"/>
      <c r="U323" s="109" t="n"/>
      <c r="V323" s="109" t="n"/>
      <c r="Z323" s="109" t="n"/>
      <c r="AA323" s="109" t="n"/>
      <c r="AB323" s="109" t="n"/>
      <c r="AF323" s="109" t="n"/>
      <c r="AG323" s="109" t="n"/>
      <c r="AH323" s="109" t="n"/>
      <c r="AL323" s="109" t="n"/>
      <c r="AM323" s="109" t="n"/>
      <c r="AN323" s="109" t="n"/>
    </row>
    <row r="324" ht="15.75" customHeight="1" s="216">
      <c r="D324" s="109" t="n"/>
      <c r="E324" s="109" t="n"/>
      <c r="J324" s="109" t="n"/>
      <c r="K324" s="109" t="n"/>
      <c r="L324" s="109" t="n"/>
      <c r="N324" s="109" t="n"/>
      <c r="O324" s="109" t="n"/>
      <c r="P324" s="109" t="n"/>
      <c r="T324" s="109" t="n"/>
      <c r="U324" s="109" t="n"/>
      <c r="V324" s="109" t="n"/>
      <c r="Z324" s="109" t="n"/>
      <c r="AA324" s="109" t="n"/>
      <c r="AB324" s="109" t="n"/>
      <c r="AF324" s="109" t="n"/>
      <c r="AG324" s="109" t="n"/>
      <c r="AH324" s="109" t="n"/>
      <c r="AL324" s="109" t="n"/>
      <c r="AM324" s="109" t="n"/>
      <c r="AN324" s="109" t="n"/>
    </row>
    <row r="325" ht="15.75" customHeight="1" s="216">
      <c r="D325" s="109" t="n"/>
      <c r="E325" s="109" t="n"/>
      <c r="J325" s="109" t="n"/>
      <c r="K325" s="109" t="n"/>
      <c r="L325" s="109" t="n"/>
      <c r="N325" s="109" t="n"/>
      <c r="O325" s="109" t="n"/>
      <c r="P325" s="109" t="n"/>
      <c r="T325" s="109" t="n"/>
      <c r="U325" s="109" t="n"/>
      <c r="V325" s="109" t="n"/>
      <c r="Z325" s="109" t="n"/>
      <c r="AA325" s="109" t="n"/>
      <c r="AB325" s="109" t="n"/>
      <c r="AF325" s="109" t="n"/>
      <c r="AG325" s="109" t="n"/>
      <c r="AH325" s="109" t="n"/>
      <c r="AL325" s="109" t="n"/>
      <c r="AM325" s="109" t="n"/>
      <c r="AN325" s="109" t="n"/>
    </row>
    <row r="326" ht="15.75" customHeight="1" s="216">
      <c r="D326" s="109" t="n"/>
      <c r="E326" s="109" t="n"/>
      <c r="J326" s="109" t="n"/>
      <c r="K326" s="109" t="n"/>
      <c r="L326" s="109" t="n"/>
      <c r="N326" s="109" t="n"/>
      <c r="O326" s="109" t="n"/>
      <c r="P326" s="109" t="n"/>
      <c r="T326" s="109" t="n"/>
      <c r="U326" s="109" t="n"/>
      <c r="V326" s="109" t="n"/>
      <c r="Z326" s="109" t="n"/>
      <c r="AA326" s="109" t="n"/>
      <c r="AB326" s="109" t="n"/>
      <c r="AF326" s="109" t="n"/>
      <c r="AG326" s="109" t="n"/>
      <c r="AH326" s="109" t="n"/>
      <c r="AL326" s="109" t="n"/>
      <c r="AM326" s="109" t="n"/>
      <c r="AN326" s="109" t="n"/>
    </row>
    <row r="327" ht="15.75" customHeight="1" s="216">
      <c r="D327" s="109" t="n"/>
      <c r="E327" s="109" t="n"/>
      <c r="J327" s="109" t="n"/>
      <c r="K327" s="109" t="n"/>
      <c r="L327" s="109" t="n"/>
      <c r="N327" s="109" t="n"/>
      <c r="O327" s="109" t="n"/>
      <c r="P327" s="109" t="n"/>
      <c r="T327" s="109" t="n"/>
      <c r="U327" s="109" t="n"/>
      <c r="V327" s="109" t="n"/>
      <c r="Z327" s="109" t="n"/>
      <c r="AA327" s="109" t="n"/>
      <c r="AB327" s="109" t="n"/>
      <c r="AF327" s="109" t="n"/>
      <c r="AG327" s="109" t="n"/>
      <c r="AH327" s="109" t="n"/>
      <c r="AL327" s="109" t="n"/>
      <c r="AM327" s="109" t="n"/>
      <c r="AN327" s="109" t="n"/>
    </row>
    <row r="328" ht="15.75" customHeight="1" s="216">
      <c r="D328" s="109" t="n"/>
      <c r="E328" s="109" t="n"/>
      <c r="J328" s="109" t="n"/>
      <c r="K328" s="109" t="n"/>
      <c r="L328" s="109" t="n"/>
      <c r="N328" s="109" t="n"/>
      <c r="O328" s="109" t="n"/>
      <c r="P328" s="109" t="n"/>
      <c r="T328" s="109" t="n"/>
      <c r="U328" s="109" t="n"/>
      <c r="V328" s="109" t="n"/>
      <c r="Z328" s="109" t="n"/>
      <c r="AA328" s="109" t="n"/>
      <c r="AB328" s="109" t="n"/>
      <c r="AF328" s="109" t="n"/>
      <c r="AG328" s="109" t="n"/>
      <c r="AH328" s="109" t="n"/>
      <c r="AL328" s="109" t="n"/>
      <c r="AM328" s="109" t="n"/>
      <c r="AN328" s="109" t="n"/>
    </row>
    <row r="329" ht="15.75" customHeight="1" s="216">
      <c r="D329" s="109" t="n"/>
      <c r="E329" s="109" t="n"/>
      <c r="J329" s="109" t="n"/>
      <c r="K329" s="109" t="n"/>
      <c r="L329" s="109" t="n"/>
      <c r="N329" s="109" t="n"/>
      <c r="O329" s="109" t="n"/>
      <c r="P329" s="109" t="n"/>
      <c r="T329" s="109" t="n"/>
      <c r="U329" s="109" t="n"/>
      <c r="V329" s="109" t="n"/>
      <c r="Z329" s="109" t="n"/>
      <c r="AA329" s="109" t="n"/>
      <c r="AB329" s="109" t="n"/>
      <c r="AF329" s="109" t="n"/>
      <c r="AG329" s="109" t="n"/>
      <c r="AH329" s="109" t="n"/>
      <c r="AL329" s="109" t="n"/>
      <c r="AM329" s="109" t="n"/>
      <c r="AN329" s="109" t="n"/>
    </row>
    <row r="330" ht="15.75" customHeight="1" s="216">
      <c r="D330" s="109" t="n"/>
      <c r="E330" s="109" t="n"/>
      <c r="J330" s="109" t="n"/>
      <c r="K330" s="109" t="n"/>
      <c r="L330" s="109" t="n"/>
      <c r="N330" s="109" t="n"/>
      <c r="O330" s="109" t="n"/>
      <c r="P330" s="109" t="n"/>
      <c r="T330" s="109" t="n"/>
      <c r="U330" s="109" t="n"/>
      <c r="V330" s="109" t="n"/>
      <c r="Z330" s="109" t="n"/>
      <c r="AA330" s="109" t="n"/>
      <c r="AB330" s="109" t="n"/>
      <c r="AF330" s="109" t="n"/>
      <c r="AG330" s="109" t="n"/>
      <c r="AH330" s="109" t="n"/>
      <c r="AL330" s="109" t="n"/>
      <c r="AM330" s="109" t="n"/>
      <c r="AN330" s="109" t="n"/>
    </row>
    <row r="331" ht="15.75" customHeight="1" s="216">
      <c r="D331" s="109" t="n"/>
      <c r="E331" s="109" t="n"/>
      <c r="J331" s="109" t="n"/>
      <c r="K331" s="109" t="n"/>
      <c r="L331" s="109" t="n"/>
      <c r="N331" s="109" t="n"/>
      <c r="O331" s="109" t="n"/>
      <c r="P331" s="109" t="n"/>
      <c r="T331" s="109" t="n"/>
      <c r="U331" s="109" t="n"/>
      <c r="V331" s="109" t="n"/>
      <c r="Z331" s="109" t="n"/>
      <c r="AA331" s="109" t="n"/>
      <c r="AB331" s="109" t="n"/>
      <c r="AF331" s="109" t="n"/>
      <c r="AG331" s="109" t="n"/>
      <c r="AH331" s="109" t="n"/>
      <c r="AL331" s="109" t="n"/>
      <c r="AM331" s="109" t="n"/>
      <c r="AN331" s="109" t="n"/>
    </row>
    <row r="332" ht="15.75" customHeight="1" s="216">
      <c r="D332" s="109" t="n"/>
      <c r="E332" s="109" t="n"/>
      <c r="J332" s="109" t="n"/>
      <c r="K332" s="109" t="n"/>
      <c r="L332" s="109" t="n"/>
      <c r="N332" s="109" t="n"/>
      <c r="O332" s="109" t="n"/>
      <c r="P332" s="109" t="n"/>
      <c r="T332" s="109" t="n"/>
      <c r="U332" s="109" t="n"/>
      <c r="V332" s="109" t="n"/>
      <c r="Z332" s="109" t="n"/>
      <c r="AA332" s="109" t="n"/>
      <c r="AB332" s="109" t="n"/>
      <c r="AF332" s="109" t="n"/>
      <c r="AG332" s="109" t="n"/>
      <c r="AH332" s="109" t="n"/>
      <c r="AL332" s="109" t="n"/>
      <c r="AM332" s="109" t="n"/>
      <c r="AN332" s="109" t="n"/>
    </row>
    <row r="333" ht="15.75" customHeight="1" s="216">
      <c r="D333" s="109" t="n"/>
      <c r="E333" s="109" t="n"/>
      <c r="J333" s="109" t="n"/>
      <c r="K333" s="109" t="n"/>
      <c r="L333" s="109" t="n"/>
      <c r="N333" s="109" t="n"/>
      <c r="O333" s="109" t="n"/>
      <c r="P333" s="109" t="n"/>
      <c r="T333" s="109" t="n"/>
      <c r="U333" s="109" t="n"/>
      <c r="V333" s="109" t="n"/>
      <c r="Z333" s="109" t="n"/>
      <c r="AA333" s="109" t="n"/>
      <c r="AB333" s="109" t="n"/>
      <c r="AF333" s="109" t="n"/>
      <c r="AG333" s="109" t="n"/>
      <c r="AH333" s="109" t="n"/>
      <c r="AL333" s="109" t="n"/>
      <c r="AM333" s="109" t="n"/>
      <c r="AN333" s="109" t="n"/>
    </row>
    <row r="334" ht="15.75" customHeight="1" s="216">
      <c r="D334" s="109" t="n"/>
      <c r="E334" s="109" t="n"/>
      <c r="J334" s="109" t="n"/>
      <c r="K334" s="109" t="n"/>
      <c r="L334" s="109" t="n"/>
      <c r="N334" s="109" t="n"/>
      <c r="O334" s="109" t="n"/>
      <c r="P334" s="109" t="n"/>
      <c r="T334" s="109" t="n"/>
      <c r="U334" s="109" t="n"/>
      <c r="V334" s="109" t="n"/>
      <c r="Z334" s="109" t="n"/>
      <c r="AA334" s="109" t="n"/>
      <c r="AB334" s="109" t="n"/>
      <c r="AF334" s="109" t="n"/>
      <c r="AG334" s="109" t="n"/>
      <c r="AH334" s="109" t="n"/>
      <c r="AL334" s="109" t="n"/>
      <c r="AM334" s="109" t="n"/>
      <c r="AN334" s="109" t="n"/>
    </row>
    <row r="335" ht="15.75" customHeight="1" s="216">
      <c r="D335" s="109" t="n"/>
      <c r="E335" s="109" t="n"/>
      <c r="J335" s="109" t="n"/>
      <c r="K335" s="109" t="n"/>
      <c r="L335" s="109" t="n"/>
      <c r="N335" s="109" t="n"/>
      <c r="O335" s="109" t="n"/>
      <c r="P335" s="109" t="n"/>
      <c r="T335" s="109" t="n"/>
      <c r="U335" s="109" t="n"/>
      <c r="V335" s="109" t="n"/>
      <c r="Z335" s="109" t="n"/>
      <c r="AA335" s="109" t="n"/>
      <c r="AB335" s="109" t="n"/>
      <c r="AF335" s="109" t="n"/>
      <c r="AG335" s="109" t="n"/>
      <c r="AH335" s="109" t="n"/>
      <c r="AL335" s="109" t="n"/>
      <c r="AM335" s="109" t="n"/>
      <c r="AN335" s="109" t="n"/>
    </row>
    <row r="336" ht="15.75" customHeight="1" s="216">
      <c r="D336" s="109" t="n"/>
      <c r="E336" s="109" t="n"/>
      <c r="J336" s="109" t="n"/>
      <c r="K336" s="109" t="n"/>
      <c r="L336" s="109" t="n"/>
      <c r="N336" s="109" t="n"/>
      <c r="O336" s="109" t="n"/>
      <c r="P336" s="109" t="n"/>
      <c r="T336" s="109" t="n"/>
      <c r="U336" s="109" t="n"/>
      <c r="V336" s="109" t="n"/>
      <c r="Z336" s="109" t="n"/>
      <c r="AA336" s="109" t="n"/>
      <c r="AB336" s="109" t="n"/>
      <c r="AF336" s="109" t="n"/>
      <c r="AG336" s="109" t="n"/>
      <c r="AH336" s="109" t="n"/>
      <c r="AL336" s="109" t="n"/>
      <c r="AM336" s="109" t="n"/>
      <c r="AN336" s="109" t="n"/>
    </row>
    <row r="337" ht="15.75" customHeight="1" s="216">
      <c r="D337" s="109" t="n"/>
      <c r="E337" s="109" t="n"/>
      <c r="J337" s="109" t="n"/>
      <c r="K337" s="109" t="n"/>
      <c r="L337" s="109" t="n"/>
      <c r="N337" s="109" t="n"/>
      <c r="O337" s="109" t="n"/>
      <c r="P337" s="109" t="n"/>
      <c r="T337" s="109" t="n"/>
      <c r="U337" s="109" t="n"/>
      <c r="V337" s="109" t="n"/>
      <c r="Z337" s="109" t="n"/>
      <c r="AA337" s="109" t="n"/>
      <c r="AB337" s="109" t="n"/>
      <c r="AF337" s="109" t="n"/>
      <c r="AG337" s="109" t="n"/>
      <c r="AH337" s="109" t="n"/>
      <c r="AL337" s="109" t="n"/>
      <c r="AM337" s="109" t="n"/>
      <c r="AN337" s="109" t="n"/>
    </row>
    <row r="338" ht="15.75" customHeight="1" s="216">
      <c r="D338" s="109" t="n"/>
      <c r="E338" s="109" t="n"/>
      <c r="J338" s="109" t="n"/>
      <c r="K338" s="109" t="n"/>
      <c r="L338" s="109" t="n"/>
      <c r="N338" s="109" t="n"/>
      <c r="O338" s="109" t="n"/>
      <c r="P338" s="109" t="n"/>
      <c r="T338" s="109" t="n"/>
      <c r="U338" s="109" t="n"/>
      <c r="V338" s="109" t="n"/>
      <c r="Z338" s="109" t="n"/>
      <c r="AA338" s="109" t="n"/>
      <c r="AB338" s="109" t="n"/>
      <c r="AF338" s="109" t="n"/>
      <c r="AG338" s="109" t="n"/>
      <c r="AH338" s="109" t="n"/>
      <c r="AL338" s="109" t="n"/>
      <c r="AM338" s="109" t="n"/>
      <c r="AN338" s="109" t="n"/>
    </row>
    <row r="339" ht="15.75" customHeight="1" s="216">
      <c r="D339" s="109" t="n"/>
      <c r="E339" s="109" t="n"/>
      <c r="J339" s="109" t="n"/>
      <c r="K339" s="109" t="n"/>
      <c r="L339" s="109" t="n"/>
      <c r="N339" s="109" t="n"/>
      <c r="O339" s="109" t="n"/>
      <c r="P339" s="109" t="n"/>
      <c r="T339" s="109" t="n"/>
      <c r="U339" s="109" t="n"/>
      <c r="V339" s="109" t="n"/>
      <c r="Z339" s="109" t="n"/>
      <c r="AA339" s="109" t="n"/>
      <c r="AB339" s="109" t="n"/>
      <c r="AF339" s="109" t="n"/>
      <c r="AG339" s="109" t="n"/>
      <c r="AH339" s="109" t="n"/>
      <c r="AL339" s="109" t="n"/>
      <c r="AM339" s="109" t="n"/>
      <c r="AN339" s="109" t="n"/>
    </row>
    <row r="340" ht="15.75" customHeight="1" s="216">
      <c r="D340" s="109" t="n"/>
      <c r="E340" s="109" t="n"/>
      <c r="J340" s="109" t="n"/>
      <c r="K340" s="109" t="n"/>
      <c r="L340" s="109" t="n"/>
      <c r="N340" s="109" t="n"/>
      <c r="O340" s="109" t="n"/>
      <c r="P340" s="109" t="n"/>
      <c r="T340" s="109" t="n"/>
      <c r="U340" s="109" t="n"/>
      <c r="V340" s="109" t="n"/>
      <c r="Z340" s="109" t="n"/>
      <c r="AA340" s="109" t="n"/>
      <c r="AB340" s="109" t="n"/>
      <c r="AF340" s="109" t="n"/>
      <c r="AG340" s="109" t="n"/>
      <c r="AH340" s="109" t="n"/>
      <c r="AL340" s="109" t="n"/>
      <c r="AM340" s="109" t="n"/>
      <c r="AN340" s="109" t="n"/>
    </row>
    <row r="341" ht="15.75" customHeight="1" s="216">
      <c r="D341" s="109" t="n"/>
      <c r="E341" s="109" t="n"/>
      <c r="J341" s="109" t="n"/>
      <c r="K341" s="109" t="n"/>
      <c r="L341" s="109" t="n"/>
      <c r="N341" s="109" t="n"/>
      <c r="O341" s="109" t="n"/>
      <c r="P341" s="109" t="n"/>
      <c r="T341" s="109" t="n"/>
      <c r="U341" s="109" t="n"/>
      <c r="V341" s="109" t="n"/>
      <c r="Z341" s="109" t="n"/>
      <c r="AA341" s="109" t="n"/>
      <c r="AB341" s="109" t="n"/>
      <c r="AF341" s="109" t="n"/>
      <c r="AG341" s="109" t="n"/>
      <c r="AH341" s="109" t="n"/>
      <c r="AL341" s="109" t="n"/>
      <c r="AM341" s="109" t="n"/>
      <c r="AN341" s="109" t="n"/>
    </row>
    <row r="342" ht="15.75" customHeight="1" s="216">
      <c r="D342" s="109" t="n"/>
      <c r="E342" s="109" t="n"/>
      <c r="J342" s="109" t="n"/>
      <c r="K342" s="109" t="n"/>
      <c r="L342" s="109" t="n"/>
      <c r="N342" s="109" t="n"/>
      <c r="O342" s="109" t="n"/>
      <c r="P342" s="109" t="n"/>
      <c r="T342" s="109" t="n"/>
      <c r="U342" s="109" t="n"/>
      <c r="V342" s="109" t="n"/>
      <c r="Z342" s="109" t="n"/>
      <c r="AA342" s="109" t="n"/>
      <c r="AB342" s="109" t="n"/>
      <c r="AF342" s="109" t="n"/>
      <c r="AG342" s="109" t="n"/>
      <c r="AH342" s="109" t="n"/>
      <c r="AL342" s="109" t="n"/>
      <c r="AM342" s="109" t="n"/>
      <c r="AN342" s="109" t="n"/>
    </row>
    <row r="343" ht="15.75" customHeight="1" s="216">
      <c r="D343" s="109" t="n"/>
      <c r="E343" s="109" t="n"/>
      <c r="J343" s="109" t="n"/>
      <c r="K343" s="109" t="n"/>
      <c r="L343" s="109" t="n"/>
      <c r="N343" s="109" t="n"/>
      <c r="O343" s="109" t="n"/>
      <c r="P343" s="109" t="n"/>
      <c r="T343" s="109" t="n"/>
      <c r="U343" s="109" t="n"/>
      <c r="V343" s="109" t="n"/>
      <c r="Z343" s="109" t="n"/>
      <c r="AA343" s="109" t="n"/>
      <c r="AB343" s="109" t="n"/>
      <c r="AF343" s="109" t="n"/>
      <c r="AG343" s="109" t="n"/>
      <c r="AH343" s="109" t="n"/>
      <c r="AL343" s="109" t="n"/>
      <c r="AM343" s="109" t="n"/>
      <c r="AN343" s="109" t="n"/>
    </row>
    <row r="344" ht="15.75" customHeight="1" s="216">
      <c r="D344" s="109" t="n"/>
      <c r="E344" s="109" t="n"/>
      <c r="J344" s="109" t="n"/>
      <c r="K344" s="109" t="n"/>
      <c r="L344" s="109" t="n"/>
      <c r="N344" s="109" t="n"/>
      <c r="O344" s="109" t="n"/>
      <c r="P344" s="109" t="n"/>
      <c r="T344" s="109" t="n"/>
      <c r="U344" s="109" t="n"/>
      <c r="V344" s="109" t="n"/>
      <c r="Z344" s="109" t="n"/>
      <c r="AA344" s="109" t="n"/>
      <c r="AB344" s="109" t="n"/>
      <c r="AF344" s="109" t="n"/>
      <c r="AG344" s="109" t="n"/>
      <c r="AH344" s="109" t="n"/>
      <c r="AL344" s="109" t="n"/>
      <c r="AM344" s="109" t="n"/>
      <c r="AN344" s="109" t="n"/>
    </row>
    <row r="345" ht="15.75" customHeight="1" s="216">
      <c r="D345" s="109" t="n"/>
      <c r="E345" s="109" t="n"/>
      <c r="J345" s="109" t="n"/>
      <c r="K345" s="109" t="n"/>
      <c r="L345" s="109" t="n"/>
      <c r="N345" s="109" t="n"/>
      <c r="O345" s="109" t="n"/>
      <c r="P345" s="109" t="n"/>
      <c r="T345" s="109" t="n"/>
      <c r="U345" s="109" t="n"/>
      <c r="V345" s="109" t="n"/>
      <c r="Z345" s="109" t="n"/>
      <c r="AA345" s="109" t="n"/>
      <c r="AB345" s="109" t="n"/>
      <c r="AF345" s="109" t="n"/>
      <c r="AG345" s="109" t="n"/>
      <c r="AH345" s="109" t="n"/>
      <c r="AL345" s="109" t="n"/>
      <c r="AM345" s="109" t="n"/>
      <c r="AN345" s="109" t="n"/>
    </row>
    <row r="346" ht="15.75" customHeight="1" s="216">
      <c r="D346" s="109" t="n"/>
      <c r="E346" s="109" t="n"/>
      <c r="J346" s="109" t="n"/>
      <c r="K346" s="109" t="n"/>
      <c r="L346" s="109" t="n"/>
      <c r="N346" s="109" t="n"/>
      <c r="O346" s="109" t="n"/>
      <c r="P346" s="109" t="n"/>
      <c r="T346" s="109" t="n"/>
      <c r="U346" s="109" t="n"/>
      <c r="V346" s="109" t="n"/>
      <c r="Z346" s="109" t="n"/>
      <c r="AA346" s="109" t="n"/>
      <c r="AB346" s="109" t="n"/>
      <c r="AF346" s="109" t="n"/>
      <c r="AG346" s="109" t="n"/>
      <c r="AH346" s="109" t="n"/>
      <c r="AL346" s="109" t="n"/>
      <c r="AM346" s="109" t="n"/>
      <c r="AN346" s="109" t="n"/>
    </row>
    <row r="347" ht="15.75" customHeight="1" s="216">
      <c r="D347" s="109" t="n"/>
      <c r="E347" s="109" t="n"/>
      <c r="J347" s="109" t="n"/>
      <c r="K347" s="109" t="n"/>
      <c r="L347" s="109" t="n"/>
      <c r="N347" s="109" t="n"/>
      <c r="O347" s="109" t="n"/>
      <c r="P347" s="109" t="n"/>
      <c r="T347" s="109" t="n"/>
      <c r="U347" s="109" t="n"/>
      <c r="V347" s="109" t="n"/>
      <c r="Z347" s="109" t="n"/>
      <c r="AA347" s="109" t="n"/>
      <c r="AB347" s="109" t="n"/>
      <c r="AF347" s="109" t="n"/>
      <c r="AG347" s="109" t="n"/>
      <c r="AH347" s="109" t="n"/>
      <c r="AL347" s="109" t="n"/>
      <c r="AM347" s="109" t="n"/>
      <c r="AN347" s="109" t="n"/>
    </row>
    <row r="348" ht="15.75" customHeight="1" s="216">
      <c r="D348" s="109" t="n"/>
      <c r="E348" s="109" t="n"/>
      <c r="J348" s="109" t="n"/>
      <c r="K348" s="109" t="n"/>
      <c r="L348" s="109" t="n"/>
      <c r="N348" s="109" t="n"/>
      <c r="O348" s="109" t="n"/>
      <c r="P348" s="109" t="n"/>
      <c r="T348" s="109" t="n"/>
      <c r="U348" s="109" t="n"/>
      <c r="V348" s="109" t="n"/>
      <c r="Z348" s="109" t="n"/>
      <c r="AA348" s="109" t="n"/>
      <c r="AB348" s="109" t="n"/>
      <c r="AF348" s="109" t="n"/>
      <c r="AG348" s="109" t="n"/>
      <c r="AH348" s="109" t="n"/>
      <c r="AL348" s="109" t="n"/>
      <c r="AM348" s="109" t="n"/>
      <c r="AN348" s="109" t="n"/>
    </row>
    <row r="349" ht="15.75" customHeight="1" s="216">
      <c r="D349" s="109" t="n"/>
      <c r="E349" s="109" t="n"/>
      <c r="J349" s="109" t="n"/>
      <c r="K349" s="109" t="n"/>
      <c r="L349" s="109" t="n"/>
      <c r="N349" s="109" t="n"/>
      <c r="O349" s="109" t="n"/>
      <c r="P349" s="109" t="n"/>
      <c r="T349" s="109" t="n"/>
      <c r="U349" s="109" t="n"/>
      <c r="V349" s="109" t="n"/>
      <c r="Z349" s="109" t="n"/>
      <c r="AA349" s="109" t="n"/>
      <c r="AB349" s="109" t="n"/>
      <c r="AF349" s="109" t="n"/>
      <c r="AG349" s="109" t="n"/>
      <c r="AH349" s="109" t="n"/>
      <c r="AL349" s="109" t="n"/>
      <c r="AM349" s="109" t="n"/>
      <c r="AN349" s="109" t="n"/>
    </row>
    <row r="350" ht="15.75" customHeight="1" s="216">
      <c r="D350" s="109" t="n"/>
      <c r="E350" s="109" t="n"/>
      <c r="J350" s="109" t="n"/>
      <c r="K350" s="109" t="n"/>
      <c r="L350" s="109" t="n"/>
      <c r="N350" s="109" t="n"/>
      <c r="O350" s="109" t="n"/>
      <c r="P350" s="109" t="n"/>
      <c r="T350" s="109" t="n"/>
      <c r="U350" s="109" t="n"/>
      <c r="V350" s="109" t="n"/>
      <c r="Z350" s="109" t="n"/>
      <c r="AA350" s="109" t="n"/>
      <c r="AB350" s="109" t="n"/>
      <c r="AF350" s="109" t="n"/>
      <c r="AG350" s="109" t="n"/>
      <c r="AH350" s="109" t="n"/>
      <c r="AL350" s="109" t="n"/>
      <c r="AM350" s="109" t="n"/>
      <c r="AN350" s="109" t="n"/>
    </row>
    <row r="351" ht="15.75" customHeight="1" s="216">
      <c r="D351" s="109" t="n"/>
      <c r="E351" s="109" t="n"/>
      <c r="J351" s="109" t="n"/>
      <c r="K351" s="109" t="n"/>
      <c r="L351" s="109" t="n"/>
      <c r="N351" s="109" t="n"/>
      <c r="O351" s="109" t="n"/>
      <c r="P351" s="109" t="n"/>
      <c r="T351" s="109" t="n"/>
      <c r="U351" s="109" t="n"/>
      <c r="V351" s="109" t="n"/>
      <c r="Z351" s="109" t="n"/>
      <c r="AA351" s="109" t="n"/>
      <c r="AB351" s="109" t="n"/>
      <c r="AF351" s="109" t="n"/>
      <c r="AG351" s="109" t="n"/>
      <c r="AH351" s="109" t="n"/>
      <c r="AL351" s="109" t="n"/>
      <c r="AM351" s="109" t="n"/>
      <c r="AN351" s="109" t="n"/>
    </row>
    <row r="352" ht="15.75" customHeight="1" s="216">
      <c r="D352" s="109" t="n"/>
      <c r="E352" s="109" t="n"/>
      <c r="J352" s="109" t="n"/>
      <c r="K352" s="109" t="n"/>
      <c r="L352" s="109" t="n"/>
      <c r="N352" s="109" t="n"/>
      <c r="O352" s="109" t="n"/>
      <c r="P352" s="109" t="n"/>
      <c r="T352" s="109" t="n"/>
      <c r="U352" s="109" t="n"/>
      <c r="V352" s="109" t="n"/>
      <c r="Z352" s="109" t="n"/>
      <c r="AA352" s="109" t="n"/>
      <c r="AB352" s="109" t="n"/>
      <c r="AF352" s="109" t="n"/>
      <c r="AG352" s="109" t="n"/>
      <c r="AH352" s="109" t="n"/>
      <c r="AL352" s="109" t="n"/>
      <c r="AM352" s="109" t="n"/>
      <c r="AN352" s="109" t="n"/>
    </row>
    <row r="353" ht="15.75" customHeight="1" s="216">
      <c r="D353" s="109" t="n"/>
      <c r="E353" s="109" t="n"/>
      <c r="J353" s="109" t="n"/>
      <c r="K353" s="109" t="n"/>
      <c r="L353" s="109" t="n"/>
      <c r="N353" s="109" t="n"/>
      <c r="O353" s="109" t="n"/>
      <c r="P353" s="109" t="n"/>
      <c r="T353" s="109" t="n"/>
      <c r="U353" s="109" t="n"/>
      <c r="V353" s="109" t="n"/>
      <c r="Z353" s="109" t="n"/>
      <c r="AA353" s="109" t="n"/>
      <c r="AB353" s="109" t="n"/>
      <c r="AF353" s="109" t="n"/>
      <c r="AG353" s="109" t="n"/>
      <c r="AH353" s="109" t="n"/>
      <c r="AL353" s="109" t="n"/>
      <c r="AM353" s="109" t="n"/>
      <c r="AN353" s="109" t="n"/>
    </row>
    <row r="354" ht="15.75" customHeight="1" s="216">
      <c r="D354" s="109" t="n"/>
      <c r="E354" s="109" t="n"/>
      <c r="J354" s="109" t="n"/>
      <c r="K354" s="109" t="n"/>
      <c r="L354" s="109" t="n"/>
      <c r="N354" s="109" t="n"/>
      <c r="O354" s="109" t="n"/>
      <c r="P354" s="109" t="n"/>
      <c r="T354" s="109" t="n"/>
      <c r="U354" s="109" t="n"/>
      <c r="V354" s="109" t="n"/>
      <c r="Z354" s="109" t="n"/>
      <c r="AA354" s="109" t="n"/>
      <c r="AB354" s="109" t="n"/>
      <c r="AF354" s="109" t="n"/>
      <c r="AG354" s="109" t="n"/>
      <c r="AH354" s="109" t="n"/>
      <c r="AL354" s="109" t="n"/>
      <c r="AM354" s="109" t="n"/>
      <c r="AN354" s="109" t="n"/>
    </row>
    <row r="355" ht="15.75" customHeight="1" s="216">
      <c r="D355" s="109" t="n"/>
      <c r="E355" s="109" t="n"/>
      <c r="J355" s="109" t="n"/>
      <c r="K355" s="109" t="n"/>
      <c r="L355" s="109" t="n"/>
      <c r="N355" s="109" t="n"/>
      <c r="O355" s="109" t="n"/>
      <c r="P355" s="109" t="n"/>
      <c r="T355" s="109" t="n"/>
      <c r="U355" s="109" t="n"/>
      <c r="V355" s="109" t="n"/>
      <c r="Z355" s="109" t="n"/>
      <c r="AA355" s="109" t="n"/>
      <c r="AB355" s="109" t="n"/>
      <c r="AF355" s="109" t="n"/>
      <c r="AG355" s="109" t="n"/>
      <c r="AH355" s="109" t="n"/>
      <c r="AL355" s="109" t="n"/>
      <c r="AM355" s="109" t="n"/>
      <c r="AN355" s="109" t="n"/>
    </row>
    <row r="356" ht="15.75" customHeight="1" s="216">
      <c r="D356" s="109" t="n"/>
      <c r="E356" s="109" t="n"/>
      <c r="J356" s="109" t="n"/>
      <c r="K356" s="109" t="n"/>
      <c r="L356" s="109" t="n"/>
      <c r="N356" s="109" t="n"/>
      <c r="O356" s="109" t="n"/>
      <c r="P356" s="109" t="n"/>
      <c r="T356" s="109" t="n"/>
      <c r="U356" s="109" t="n"/>
      <c r="V356" s="109" t="n"/>
      <c r="Z356" s="109" t="n"/>
      <c r="AA356" s="109" t="n"/>
      <c r="AB356" s="109" t="n"/>
      <c r="AF356" s="109" t="n"/>
      <c r="AG356" s="109" t="n"/>
      <c r="AH356" s="109" t="n"/>
      <c r="AL356" s="109" t="n"/>
      <c r="AM356" s="109" t="n"/>
      <c r="AN356" s="109" t="n"/>
    </row>
    <row r="357" ht="15.75" customHeight="1" s="216">
      <c r="D357" s="109" t="n"/>
      <c r="E357" s="109" t="n"/>
      <c r="J357" s="109" t="n"/>
      <c r="K357" s="109" t="n"/>
      <c r="L357" s="109" t="n"/>
      <c r="N357" s="109" t="n"/>
      <c r="O357" s="109" t="n"/>
      <c r="P357" s="109" t="n"/>
      <c r="T357" s="109" t="n"/>
      <c r="U357" s="109" t="n"/>
      <c r="V357" s="109" t="n"/>
      <c r="Z357" s="109" t="n"/>
      <c r="AA357" s="109" t="n"/>
      <c r="AB357" s="109" t="n"/>
      <c r="AF357" s="109" t="n"/>
      <c r="AG357" s="109" t="n"/>
      <c r="AH357" s="109" t="n"/>
      <c r="AL357" s="109" t="n"/>
      <c r="AM357" s="109" t="n"/>
      <c r="AN357" s="109" t="n"/>
    </row>
    <row r="358" ht="15.75" customHeight="1" s="216">
      <c r="D358" s="109" t="n"/>
      <c r="E358" s="109" t="n"/>
      <c r="J358" s="109" t="n"/>
      <c r="K358" s="109" t="n"/>
      <c r="L358" s="109" t="n"/>
      <c r="N358" s="109" t="n"/>
      <c r="O358" s="109" t="n"/>
      <c r="P358" s="109" t="n"/>
      <c r="T358" s="109" t="n"/>
      <c r="U358" s="109" t="n"/>
      <c r="V358" s="109" t="n"/>
      <c r="Z358" s="109" t="n"/>
      <c r="AA358" s="109" t="n"/>
      <c r="AB358" s="109" t="n"/>
      <c r="AF358" s="109" t="n"/>
      <c r="AG358" s="109" t="n"/>
      <c r="AH358" s="109" t="n"/>
      <c r="AL358" s="109" t="n"/>
      <c r="AM358" s="109" t="n"/>
      <c r="AN358" s="109" t="n"/>
    </row>
    <row r="359" ht="15.75" customHeight="1" s="216">
      <c r="D359" s="109" t="n"/>
      <c r="E359" s="109" t="n"/>
      <c r="J359" s="109" t="n"/>
      <c r="K359" s="109" t="n"/>
      <c r="L359" s="109" t="n"/>
      <c r="N359" s="109" t="n"/>
      <c r="O359" s="109" t="n"/>
      <c r="P359" s="109" t="n"/>
      <c r="T359" s="109" t="n"/>
      <c r="U359" s="109" t="n"/>
      <c r="V359" s="109" t="n"/>
      <c r="Z359" s="109" t="n"/>
      <c r="AA359" s="109" t="n"/>
      <c r="AB359" s="109" t="n"/>
      <c r="AF359" s="109" t="n"/>
      <c r="AG359" s="109" t="n"/>
      <c r="AH359" s="109" t="n"/>
      <c r="AL359" s="109" t="n"/>
      <c r="AM359" s="109" t="n"/>
      <c r="AN359" s="109" t="n"/>
    </row>
    <row r="360" ht="15.75" customHeight="1" s="216">
      <c r="D360" s="109" t="n"/>
      <c r="E360" s="109" t="n"/>
      <c r="J360" s="109" t="n"/>
      <c r="K360" s="109" t="n"/>
      <c r="L360" s="109" t="n"/>
      <c r="N360" s="109" t="n"/>
      <c r="O360" s="109" t="n"/>
      <c r="P360" s="109" t="n"/>
      <c r="T360" s="109" t="n"/>
      <c r="U360" s="109" t="n"/>
      <c r="V360" s="109" t="n"/>
      <c r="Z360" s="109" t="n"/>
      <c r="AA360" s="109" t="n"/>
      <c r="AB360" s="109" t="n"/>
      <c r="AF360" s="109" t="n"/>
      <c r="AG360" s="109" t="n"/>
      <c r="AH360" s="109" t="n"/>
      <c r="AL360" s="109" t="n"/>
      <c r="AM360" s="109" t="n"/>
      <c r="AN360" s="109" t="n"/>
    </row>
    <row r="361" ht="15.75" customHeight="1" s="216">
      <c r="D361" s="109" t="n"/>
      <c r="E361" s="109" t="n"/>
      <c r="J361" s="109" t="n"/>
      <c r="K361" s="109" t="n"/>
      <c r="L361" s="109" t="n"/>
      <c r="N361" s="109" t="n"/>
      <c r="O361" s="109" t="n"/>
      <c r="P361" s="109" t="n"/>
      <c r="T361" s="109" t="n"/>
      <c r="U361" s="109" t="n"/>
      <c r="V361" s="109" t="n"/>
      <c r="Z361" s="109" t="n"/>
      <c r="AA361" s="109" t="n"/>
      <c r="AB361" s="109" t="n"/>
      <c r="AF361" s="109" t="n"/>
      <c r="AG361" s="109" t="n"/>
      <c r="AH361" s="109" t="n"/>
      <c r="AL361" s="109" t="n"/>
      <c r="AM361" s="109" t="n"/>
      <c r="AN361" s="109" t="n"/>
    </row>
    <row r="362" ht="15.75" customHeight="1" s="216">
      <c r="D362" s="109" t="n"/>
      <c r="E362" s="109" t="n"/>
      <c r="J362" s="109" t="n"/>
      <c r="K362" s="109" t="n"/>
      <c r="L362" s="109" t="n"/>
      <c r="N362" s="109" t="n"/>
      <c r="O362" s="109" t="n"/>
      <c r="P362" s="109" t="n"/>
      <c r="T362" s="109" t="n"/>
      <c r="U362" s="109" t="n"/>
      <c r="V362" s="109" t="n"/>
      <c r="Z362" s="109" t="n"/>
      <c r="AA362" s="109" t="n"/>
      <c r="AB362" s="109" t="n"/>
      <c r="AF362" s="109" t="n"/>
      <c r="AG362" s="109" t="n"/>
      <c r="AH362" s="109" t="n"/>
      <c r="AL362" s="109" t="n"/>
      <c r="AM362" s="109" t="n"/>
      <c r="AN362" s="109" t="n"/>
    </row>
    <row r="363" ht="15.75" customHeight="1" s="216">
      <c r="D363" s="109" t="n"/>
      <c r="E363" s="109" t="n"/>
      <c r="J363" s="109" t="n"/>
      <c r="K363" s="109" t="n"/>
      <c r="L363" s="109" t="n"/>
      <c r="N363" s="109" t="n"/>
      <c r="O363" s="109" t="n"/>
      <c r="P363" s="109" t="n"/>
      <c r="T363" s="109" t="n"/>
      <c r="U363" s="109" t="n"/>
      <c r="V363" s="109" t="n"/>
      <c r="Z363" s="109" t="n"/>
      <c r="AA363" s="109" t="n"/>
      <c r="AB363" s="109" t="n"/>
      <c r="AF363" s="109" t="n"/>
      <c r="AG363" s="109" t="n"/>
      <c r="AH363" s="109" t="n"/>
      <c r="AL363" s="109" t="n"/>
      <c r="AM363" s="109" t="n"/>
      <c r="AN363" s="109" t="n"/>
    </row>
    <row r="364" ht="15.75" customHeight="1" s="216">
      <c r="D364" s="109" t="n"/>
      <c r="E364" s="109" t="n"/>
      <c r="J364" s="109" t="n"/>
      <c r="K364" s="109" t="n"/>
      <c r="L364" s="109" t="n"/>
      <c r="N364" s="109" t="n"/>
      <c r="O364" s="109" t="n"/>
      <c r="P364" s="109" t="n"/>
      <c r="T364" s="109" t="n"/>
      <c r="U364" s="109" t="n"/>
      <c r="V364" s="109" t="n"/>
      <c r="Z364" s="109" t="n"/>
      <c r="AA364" s="109" t="n"/>
      <c r="AB364" s="109" t="n"/>
      <c r="AF364" s="109" t="n"/>
      <c r="AG364" s="109" t="n"/>
      <c r="AH364" s="109" t="n"/>
      <c r="AL364" s="109" t="n"/>
      <c r="AM364" s="109" t="n"/>
      <c r="AN364" s="109" t="n"/>
    </row>
    <row r="365" ht="15.75" customHeight="1" s="216">
      <c r="D365" s="109" t="n"/>
      <c r="E365" s="109" t="n"/>
      <c r="J365" s="109" t="n"/>
      <c r="K365" s="109" t="n"/>
      <c r="L365" s="109" t="n"/>
      <c r="N365" s="109" t="n"/>
      <c r="O365" s="109" t="n"/>
      <c r="P365" s="109" t="n"/>
      <c r="T365" s="109" t="n"/>
      <c r="U365" s="109" t="n"/>
      <c r="V365" s="109" t="n"/>
      <c r="Z365" s="109" t="n"/>
      <c r="AA365" s="109" t="n"/>
      <c r="AB365" s="109" t="n"/>
      <c r="AF365" s="109" t="n"/>
      <c r="AG365" s="109" t="n"/>
      <c r="AH365" s="109" t="n"/>
      <c r="AL365" s="109" t="n"/>
      <c r="AM365" s="109" t="n"/>
      <c r="AN365" s="109" t="n"/>
    </row>
    <row r="366" ht="15.75" customHeight="1" s="216">
      <c r="D366" s="109" t="n"/>
      <c r="E366" s="109" t="n"/>
      <c r="J366" s="109" t="n"/>
      <c r="K366" s="109" t="n"/>
      <c r="L366" s="109" t="n"/>
      <c r="N366" s="109" t="n"/>
      <c r="O366" s="109" t="n"/>
      <c r="P366" s="109" t="n"/>
      <c r="T366" s="109" t="n"/>
      <c r="U366" s="109" t="n"/>
      <c r="V366" s="109" t="n"/>
      <c r="Z366" s="109" t="n"/>
      <c r="AA366" s="109" t="n"/>
      <c r="AB366" s="109" t="n"/>
      <c r="AF366" s="109" t="n"/>
      <c r="AG366" s="109" t="n"/>
      <c r="AH366" s="109" t="n"/>
      <c r="AL366" s="109" t="n"/>
      <c r="AM366" s="109" t="n"/>
      <c r="AN366" s="109" t="n"/>
    </row>
    <row r="367" ht="15.75" customHeight="1" s="216">
      <c r="D367" s="109" t="n"/>
      <c r="E367" s="109" t="n"/>
      <c r="J367" s="109" t="n"/>
      <c r="K367" s="109" t="n"/>
      <c r="L367" s="109" t="n"/>
      <c r="N367" s="109" t="n"/>
      <c r="O367" s="109" t="n"/>
      <c r="P367" s="109" t="n"/>
      <c r="T367" s="109" t="n"/>
      <c r="U367" s="109" t="n"/>
      <c r="V367" s="109" t="n"/>
      <c r="Z367" s="109" t="n"/>
      <c r="AA367" s="109" t="n"/>
      <c r="AB367" s="109" t="n"/>
      <c r="AF367" s="109" t="n"/>
      <c r="AG367" s="109" t="n"/>
      <c r="AH367" s="109" t="n"/>
      <c r="AL367" s="109" t="n"/>
      <c r="AM367" s="109" t="n"/>
      <c r="AN367" s="109" t="n"/>
    </row>
    <row r="368" ht="15.75" customHeight="1" s="216">
      <c r="D368" s="109" t="n"/>
      <c r="E368" s="109" t="n"/>
      <c r="J368" s="109" t="n"/>
      <c r="K368" s="109" t="n"/>
      <c r="L368" s="109" t="n"/>
      <c r="N368" s="109" t="n"/>
      <c r="O368" s="109" t="n"/>
      <c r="P368" s="109" t="n"/>
      <c r="T368" s="109" t="n"/>
      <c r="U368" s="109" t="n"/>
      <c r="V368" s="109" t="n"/>
      <c r="Z368" s="109" t="n"/>
      <c r="AA368" s="109" t="n"/>
      <c r="AB368" s="109" t="n"/>
      <c r="AF368" s="109" t="n"/>
      <c r="AG368" s="109" t="n"/>
      <c r="AH368" s="109" t="n"/>
      <c r="AL368" s="109" t="n"/>
      <c r="AM368" s="109" t="n"/>
      <c r="AN368" s="109" t="n"/>
    </row>
    <row r="369" ht="15.75" customHeight="1" s="216">
      <c r="D369" s="109" t="n"/>
      <c r="E369" s="109" t="n"/>
      <c r="J369" s="109" t="n"/>
      <c r="K369" s="109" t="n"/>
      <c r="L369" s="109" t="n"/>
      <c r="N369" s="109" t="n"/>
      <c r="O369" s="109" t="n"/>
      <c r="P369" s="109" t="n"/>
      <c r="T369" s="109" t="n"/>
      <c r="U369" s="109" t="n"/>
      <c r="V369" s="109" t="n"/>
      <c r="Z369" s="109" t="n"/>
      <c r="AA369" s="109" t="n"/>
      <c r="AB369" s="109" t="n"/>
      <c r="AF369" s="109" t="n"/>
      <c r="AG369" s="109" t="n"/>
      <c r="AH369" s="109" t="n"/>
      <c r="AL369" s="109" t="n"/>
      <c r="AM369" s="109" t="n"/>
      <c r="AN369" s="109" t="n"/>
    </row>
    <row r="370" ht="15.75" customHeight="1" s="216">
      <c r="D370" s="109" t="n"/>
      <c r="E370" s="109" t="n"/>
      <c r="J370" s="109" t="n"/>
      <c r="K370" s="109" t="n"/>
      <c r="L370" s="109" t="n"/>
      <c r="N370" s="109" t="n"/>
      <c r="O370" s="109" t="n"/>
      <c r="P370" s="109" t="n"/>
      <c r="T370" s="109" t="n"/>
      <c r="U370" s="109" t="n"/>
      <c r="V370" s="109" t="n"/>
      <c r="Z370" s="109" t="n"/>
      <c r="AA370" s="109" t="n"/>
      <c r="AB370" s="109" t="n"/>
      <c r="AF370" s="109" t="n"/>
      <c r="AG370" s="109" t="n"/>
      <c r="AH370" s="109" t="n"/>
      <c r="AL370" s="109" t="n"/>
      <c r="AM370" s="109" t="n"/>
      <c r="AN370" s="109" t="n"/>
    </row>
    <row r="371" ht="15.75" customHeight="1" s="216">
      <c r="D371" s="109" t="n"/>
      <c r="E371" s="109" t="n"/>
      <c r="J371" s="109" t="n"/>
      <c r="K371" s="109" t="n"/>
      <c r="L371" s="109" t="n"/>
      <c r="N371" s="109" t="n"/>
      <c r="O371" s="109" t="n"/>
      <c r="P371" s="109" t="n"/>
      <c r="T371" s="109" t="n"/>
      <c r="U371" s="109" t="n"/>
      <c r="V371" s="109" t="n"/>
      <c r="Z371" s="109" t="n"/>
      <c r="AA371" s="109" t="n"/>
      <c r="AB371" s="109" t="n"/>
      <c r="AF371" s="109" t="n"/>
      <c r="AG371" s="109" t="n"/>
      <c r="AH371" s="109" t="n"/>
      <c r="AL371" s="109" t="n"/>
      <c r="AM371" s="109" t="n"/>
      <c r="AN371" s="109" t="n"/>
    </row>
    <row r="372" ht="15.75" customHeight="1" s="216">
      <c r="D372" s="109" t="n"/>
      <c r="E372" s="109" t="n"/>
      <c r="J372" s="109" t="n"/>
      <c r="K372" s="109" t="n"/>
      <c r="L372" s="109" t="n"/>
      <c r="N372" s="109" t="n"/>
      <c r="O372" s="109" t="n"/>
      <c r="P372" s="109" t="n"/>
      <c r="T372" s="109" t="n"/>
      <c r="U372" s="109" t="n"/>
      <c r="V372" s="109" t="n"/>
      <c r="Z372" s="109" t="n"/>
      <c r="AA372" s="109" t="n"/>
      <c r="AB372" s="109" t="n"/>
      <c r="AF372" s="109" t="n"/>
      <c r="AG372" s="109" t="n"/>
      <c r="AH372" s="109" t="n"/>
      <c r="AL372" s="109" t="n"/>
      <c r="AM372" s="109" t="n"/>
      <c r="AN372" s="109" t="n"/>
    </row>
    <row r="373" ht="15.75" customHeight="1" s="216">
      <c r="D373" s="109" t="n"/>
      <c r="E373" s="109" t="n"/>
      <c r="J373" s="109" t="n"/>
      <c r="K373" s="109" t="n"/>
      <c r="L373" s="109" t="n"/>
      <c r="N373" s="109" t="n"/>
      <c r="O373" s="109" t="n"/>
      <c r="P373" s="109" t="n"/>
      <c r="T373" s="109" t="n"/>
      <c r="U373" s="109" t="n"/>
      <c r="V373" s="109" t="n"/>
      <c r="Z373" s="109" t="n"/>
      <c r="AA373" s="109" t="n"/>
      <c r="AB373" s="109" t="n"/>
      <c r="AF373" s="109" t="n"/>
      <c r="AG373" s="109" t="n"/>
      <c r="AH373" s="109" t="n"/>
      <c r="AL373" s="109" t="n"/>
      <c r="AM373" s="109" t="n"/>
      <c r="AN373" s="109" t="n"/>
    </row>
    <row r="374" ht="15.75" customHeight="1" s="216">
      <c r="D374" s="109" t="n"/>
      <c r="E374" s="109" t="n"/>
      <c r="J374" s="109" t="n"/>
      <c r="K374" s="109" t="n"/>
      <c r="L374" s="109" t="n"/>
      <c r="N374" s="109" t="n"/>
      <c r="O374" s="109" t="n"/>
      <c r="P374" s="109" t="n"/>
      <c r="T374" s="109" t="n"/>
      <c r="U374" s="109" t="n"/>
      <c r="V374" s="109" t="n"/>
      <c r="Z374" s="109" t="n"/>
      <c r="AA374" s="109" t="n"/>
      <c r="AB374" s="109" t="n"/>
      <c r="AF374" s="109" t="n"/>
      <c r="AG374" s="109" t="n"/>
      <c r="AH374" s="109" t="n"/>
      <c r="AL374" s="109" t="n"/>
      <c r="AM374" s="109" t="n"/>
      <c r="AN374" s="109" t="n"/>
    </row>
    <row r="375" ht="15.75" customHeight="1" s="216">
      <c r="D375" s="109" t="n"/>
      <c r="E375" s="109" t="n"/>
      <c r="J375" s="109" t="n"/>
      <c r="K375" s="109" t="n"/>
      <c r="L375" s="109" t="n"/>
      <c r="N375" s="109" t="n"/>
      <c r="O375" s="109" t="n"/>
      <c r="P375" s="109" t="n"/>
      <c r="T375" s="109" t="n"/>
      <c r="U375" s="109" t="n"/>
      <c r="V375" s="109" t="n"/>
      <c r="Z375" s="109" t="n"/>
      <c r="AA375" s="109" t="n"/>
      <c r="AB375" s="109" t="n"/>
      <c r="AF375" s="109" t="n"/>
      <c r="AG375" s="109" t="n"/>
      <c r="AH375" s="109" t="n"/>
      <c r="AL375" s="109" t="n"/>
      <c r="AM375" s="109" t="n"/>
      <c r="AN375" s="109" t="n"/>
    </row>
    <row r="376" ht="15.75" customHeight="1" s="216">
      <c r="D376" s="109" t="n"/>
      <c r="E376" s="109" t="n"/>
      <c r="J376" s="109" t="n"/>
      <c r="K376" s="109" t="n"/>
      <c r="L376" s="109" t="n"/>
      <c r="N376" s="109" t="n"/>
      <c r="O376" s="109" t="n"/>
      <c r="P376" s="109" t="n"/>
      <c r="T376" s="109" t="n"/>
      <c r="U376" s="109" t="n"/>
      <c r="V376" s="109" t="n"/>
      <c r="Z376" s="109" t="n"/>
      <c r="AA376" s="109" t="n"/>
      <c r="AB376" s="109" t="n"/>
      <c r="AF376" s="109" t="n"/>
      <c r="AG376" s="109" t="n"/>
      <c r="AH376" s="109" t="n"/>
      <c r="AL376" s="109" t="n"/>
      <c r="AM376" s="109" t="n"/>
      <c r="AN376" s="109" t="n"/>
    </row>
    <row r="377" ht="15.75" customHeight="1" s="216">
      <c r="D377" s="109" t="n"/>
      <c r="E377" s="109" t="n"/>
      <c r="J377" s="109" t="n"/>
      <c r="K377" s="109" t="n"/>
      <c r="L377" s="109" t="n"/>
      <c r="N377" s="109" t="n"/>
      <c r="O377" s="109" t="n"/>
      <c r="P377" s="109" t="n"/>
      <c r="T377" s="109" t="n"/>
      <c r="U377" s="109" t="n"/>
      <c r="V377" s="109" t="n"/>
      <c r="Z377" s="109" t="n"/>
      <c r="AA377" s="109" t="n"/>
      <c r="AB377" s="109" t="n"/>
      <c r="AF377" s="109" t="n"/>
      <c r="AG377" s="109" t="n"/>
      <c r="AH377" s="109" t="n"/>
      <c r="AL377" s="109" t="n"/>
      <c r="AM377" s="109" t="n"/>
      <c r="AN377" s="109" t="n"/>
    </row>
    <row r="378" ht="15.75" customHeight="1" s="216">
      <c r="D378" s="109" t="n"/>
      <c r="E378" s="109" t="n"/>
      <c r="J378" s="109" t="n"/>
      <c r="K378" s="109" t="n"/>
      <c r="L378" s="109" t="n"/>
      <c r="N378" s="109" t="n"/>
      <c r="O378" s="109" t="n"/>
      <c r="P378" s="109" t="n"/>
      <c r="T378" s="109" t="n"/>
      <c r="U378" s="109" t="n"/>
      <c r="V378" s="109" t="n"/>
      <c r="Z378" s="109" t="n"/>
      <c r="AA378" s="109" t="n"/>
      <c r="AB378" s="109" t="n"/>
      <c r="AF378" s="109" t="n"/>
      <c r="AG378" s="109" t="n"/>
      <c r="AH378" s="109" t="n"/>
      <c r="AL378" s="109" t="n"/>
      <c r="AM378" s="109" t="n"/>
      <c r="AN378" s="109" t="n"/>
    </row>
    <row r="379" ht="15.75" customHeight="1" s="216">
      <c r="D379" s="109" t="n"/>
      <c r="E379" s="109" t="n"/>
      <c r="J379" s="109" t="n"/>
      <c r="K379" s="109" t="n"/>
      <c r="L379" s="109" t="n"/>
      <c r="N379" s="109" t="n"/>
      <c r="O379" s="109" t="n"/>
      <c r="P379" s="109" t="n"/>
      <c r="T379" s="109" t="n"/>
      <c r="U379" s="109" t="n"/>
      <c r="V379" s="109" t="n"/>
      <c r="Z379" s="109" t="n"/>
      <c r="AA379" s="109" t="n"/>
      <c r="AB379" s="109" t="n"/>
      <c r="AF379" s="109" t="n"/>
      <c r="AG379" s="109" t="n"/>
      <c r="AH379" s="109" t="n"/>
      <c r="AL379" s="109" t="n"/>
      <c r="AM379" s="109" t="n"/>
      <c r="AN379" s="109" t="n"/>
    </row>
    <row r="380" ht="15.75" customHeight="1" s="216">
      <c r="D380" s="109" t="n"/>
      <c r="E380" s="109" t="n"/>
      <c r="J380" s="109" t="n"/>
      <c r="K380" s="109" t="n"/>
      <c r="L380" s="109" t="n"/>
      <c r="N380" s="109" t="n"/>
      <c r="O380" s="109" t="n"/>
      <c r="P380" s="109" t="n"/>
      <c r="T380" s="109" t="n"/>
      <c r="U380" s="109" t="n"/>
      <c r="V380" s="109" t="n"/>
      <c r="Z380" s="109" t="n"/>
      <c r="AA380" s="109" t="n"/>
      <c r="AB380" s="109" t="n"/>
      <c r="AF380" s="109" t="n"/>
      <c r="AG380" s="109" t="n"/>
      <c r="AH380" s="109" t="n"/>
      <c r="AL380" s="109" t="n"/>
      <c r="AM380" s="109" t="n"/>
      <c r="AN380" s="109" t="n"/>
    </row>
    <row r="381" ht="15.75" customHeight="1" s="216">
      <c r="D381" s="109" t="n"/>
      <c r="E381" s="109" t="n"/>
      <c r="J381" s="109" t="n"/>
      <c r="K381" s="109" t="n"/>
      <c r="L381" s="109" t="n"/>
      <c r="N381" s="109" t="n"/>
      <c r="O381" s="109" t="n"/>
      <c r="P381" s="109" t="n"/>
      <c r="T381" s="109" t="n"/>
      <c r="U381" s="109" t="n"/>
      <c r="V381" s="109" t="n"/>
      <c r="Z381" s="109" t="n"/>
      <c r="AA381" s="109" t="n"/>
      <c r="AB381" s="109" t="n"/>
      <c r="AF381" s="109" t="n"/>
      <c r="AG381" s="109" t="n"/>
      <c r="AH381" s="109" t="n"/>
      <c r="AL381" s="109" t="n"/>
      <c r="AM381" s="109" t="n"/>
      <c r="AN381" s="109" t="n"/>
    </row>
    <row r="382" ht="15.75" customHeight="1" s="216">
      <c r="D382" s="109" t="n"/>
      <c r="E382" s="109" t="n"/>
      <c r="J382" s="109" t="n"/>
      <c r="K382" s="109" t="n"/>
      <c r="L382" s="109" t="n"/>
      <c r="N382" s="109" t="n"/>
      <c r="O382" s="109" t="n"/>
      <c r="P382" s="109" t="n"/>
      <c r="T382" s="109" t="n"/>
      <c r="U382" s="109" t="n"/>
      <c r="V382" s="109" t="n"/>
      <c r="Z382" s="109" t="n"/>
      <c r="AA382" s="109" t="n"/>
      <c r="AB382" s="109" t="n"/>
      <c r="AF382" s="109" t="n"/>
      <c r="AG382" s="109" t="n"/>
      <c r="AH382" s="109" t="n"/>
      <c r="AL382" s="109" t="n"/>
      <c r="AM382" s="109" t="n"/>
      <c r="AN382" s="109" t="n"/>
    </row>
    <row r="383" ht="15.75" customHeight="1" s="216">
      <c r="D383" s="109" t="n"/>
      <c r="E383" s="109" t="n"/>
      <c r="J383" s="109" t="n"/>
      <c r="K383" s="109" t="n"/>
      <c r="L383" s="109" t="n"/>
      <c r="N383" s="109" t="n"/>
      <c r="O383" s="109" t="n"/>
      <c r="P383" s="109" t="n"/>
      <c r="T383" s="109" t="n"/>
      <c r="U383" s="109" t="n"/>
      <c r="V383" s="109" t="n"/>
      <c r="Z383" s="109" t="n"/>
      <c r="AA383" s="109" t="n"/>
      <c r="AB383" s="109" t="n"/>
      <c r="AF383" s="109" t="n"/>
      <c r="AG383" s="109" t="n"/>
      <c r="AH383" s="109" t="n"/>
      <c r="AL383" s="109" t="n"/>
      <c r="AM383" s="109" t="n"/>
      <c r="AN383" s="109" t="n"/>
    </row>
    <row r="384" ht="15.75" customHeight="1" s="216">
      <c r="D384" s="109" t="n"/>
      <c r="E384" s="109" t="n"/>
      <c r="J384" s="109" t="n"/>
      <c r="K384" s="109" t="n"/>
      <c r="L384" s="109" t="n"/>
      <c r="N384" s="109" t="n"/>
      <c r="O384" s="109" t="n"/>
      <c r="P384" s="109" t="n"/>
      <c r="T384" s="109" t="n"/>
      <c r="U384" s="109" t="n"/>
      <c r="V384" s="109" t="n"/>
      <c r="Z384" s="109" t="n"/>
      <c r="AA384" s="109" t="n"/>
      <c r="AB384" s="109" t="n"/>
      <c r="AF384" s="109" t="n"/>
      <c r="AG384" s="109" t="n"/>
      <c r="AH384" s="109" t="n"/>
      <c r="AL384" s="109" t="n"/>
      <c r="AM384" s="109" t="n"/>
      <c r="AN384" s="109" t="n"/>
    </row>
    <row r="385" ht="15.75" customHeight="1" s="216">
      <c r="D385" s="109" t="n"/>
      <c r="E385" s="109" t="n"/>
      <c r="J385" s="109" t="n"/>
      <c r="K385" s="109" t="n"/>
      <c r="L385" s="109" t="n"/>
      <c r="N385" s="109" t="n"/>
      <c r="O385" s="109" t="n"/>
      <c r="P385" s="109" t="n"/>
      <c r="T385" s="109" t="n"/>
      <c r="U385" s="109" t="n"/>
      <c r="V385" s="109" t="n"/>
      <c r="Z385" s="109" t="n"/>
      <c r="AA385" s="109" t="n"/>
      <c r="AB385" s="109" t="n"/>
      <c r="AF385" s="109" t="n"/>
      <c r="AG385" s="109" t="n"/>
      <c r="AH385" s="109" t="n"/>
      <c r="AL385" s="109" t="n"/>
      <c r="AM385" s="109" t="n"/>
      <c r="AN385" s="109" t="n"/>
    </row>
    <row r="386" ht="15.75" customHeight="1" s="216">
      <c r="D386" s="109" t="n"/>
      <c r="E386" s="109" t="n"/>
      <c r="J386" s="109" t="n"/>
      <c r="K386" s="109" t="n"/>
      <c r="L386" s="109" t="n"/>
      <c r="N386" s="109" t="n"/>
      <c r="O386" s="109" t="n"/>
      <c r="P386" s="109" t="n"/>
      <c r="T386" s="109" t="n"/>
      <c r="U386" s="109" t="n"/>
      <c r="V386" s="109" t="n"/>
      <c r="Z386" s="109" t="n"/>
      <c r="AA386" s="109" t="n"/>
      <c r="AB386" s="109" t="n"/>
      <c r="AF386" s="109" t="n"/>
      <c r="AG386" s="109" t="n"/>
      <c r="AH386" s="109" t="n"/>
      <c r="AL386" s="109" t="n"/>
      <c r="AM386" s="109" t="n"/>
      <c r="AN386" s="109" t="n"/>
    </row>
    <row r="387" ht="15.75" customHeight="1" s="216">
      <c r="D387" s="109" t="n"/>
      <c r="E387" s="109" t="n"/>
      <c r="J387" s="109" t="n"/>
      <c r="K387" s="109" t="n"/>
      <c r="L387" s="109" t="n"/>
      <c r="N387" s="109" t="n"/>
      <c r="O387" s="109" t="n"/>
      <c r="P387" s="109" t="n"/>
      <c r="T387" s="109" t="n"/>
      <c r="U387" s="109" t="n"/>
      <c r="V387" s="109" t="n"/>
      <c r="Z387" s="109" t="n"/>
      <c r="AA387" s="109" t="n"/>
      <c r="AB387" s="109" t="n"/>
      <c r="AF387" s="109" t="n"/>
      <c r="AG387" s="109" t="n"/>
      <c r="AH387" s="109" t="n"/>
      <c r="AL387" s="109" t="n"/>
      <c r="AM387" s="109" t="n"/>
      <c r="AN387" s="109" t="n"/>
    </row>
    <row r="388" ht="15.75" customHeight="1" s="216">
      <c r="D388" s="109" t="n"/>
      <c r="E388" s="109" t="n"/>
      <c r="J388" s="109" t="n"/>
      <c r="K388" s="109" t="n"/>
      <c r="L388" s="109" t="n"/>
      <c r="N388" s="109" t="n"/>
      <c r="O388" s="109" t="n"/>
      <c r="P388" s="109" t="n"/>
      <c r="T388" s="109" t="n"/>
      <c r="U388" s="109" t="n"/>
      <c r="V388" s="109" t="n"/>
      <c r="Z388" s="109" t="n"/>
      <c r="AA388" s="109" t="n"/>
      <c r="AB388" s="109" t="n"/>
      <c r="AF388" s="109" t="n"/>
      <c r="AG388" s="109" t="n"/>
      <c r="AH388" s="109" t="n"/>
      <c r="AL388" s="109" t="n"/>
      <c r="AM388" s="109" t="n"/>
      <c r="AN388" s="109" t="n"/>
    </row>
    <row r="389" ht="15.75" customHeight="1" s="216">
      <c r="D389" s="109" t="n"/>
      <c r="E389" s="109" t="n"/>
      <c r="J389" s="109" t="n"/>
      <c r="K389" s="109" t="n"/>
      <c r="L389" s="109" t="n"/>
      <c r="N389" s="109" t="n"/>
      <c r="O389" s="109" t="n"/>
      <c r="P389" s="109" t="n"/>
      <c r="T389" s="109" t="n"/>
      <c r="U389" s="109" t="n"/>
      <c r="V389" s="109" t="n"/>
      <c r="Z389" s="109" t="n"/>
      <c r="AA389" s="109" t="n"/>
      <c r="AB389" s="109" t="n"/>
      <c r="AF389" s="109" t="n"/>
      <c r="AG389" s="109" t="n"/>
      <c r="AH389" s="109" t="n"/>
      <c r="AL389" s="109" t="n"/>
      <c r="AM389" s="109" t="n"/>
      <c r="AN389" s="109" t="n"/>
    </row>
    <row r="390" ht="15.75" customHeight="1" s="216">
      <c r="D390" s="109" t="n"/>
      <c r="E390" s="109" t="n"/>
      <c r="J390" s="109" t="n"/>
      <c r="K390" s="109" t="n"/>
      <c r="L390" s="109" t="n"/>
      <c r="N390" s="109" t="n"/>
      <c r="O390" s="109" t="n"/>
      <c r="P390" s="109" t="n"/>
      <c r="T390" s="109" t="n"/>
      <c r="U390" s="109" t="n"/>
      <c r="V390" s="109" t="n"/>
      <c r="Z390" s="109" t="n"/>
      <c r="AA390" s="109" t="n"/>
      <c r="AB390" s="109" t="n"/>
      <c r="AF390" s="109" t="n"/>
      <c r="AG390" s="109" t="n"/>
      <c r="AH390" s="109" t="n"/>
      <c r="AL390" s="109" t="n"/>
      <c r="AM390" s="109" t="n"/>
      <c r="AN390" s="109" t="n"/>
    </row>
    <row r="391" ht="15.75" customHeight="1" s="216">
      <c r="D391" s="109" t="n"/>
      <c r="E391" s="109" t="n"/>
      <c r="J391" s="109" t="n"/>
      <c r="K391" s="109" t="n"/>
      <c r="L391" s="109" t="n"/>
      <c r="N391" s="109" t="n"/>
      <c r="O391" s="109" t="n"/>
      <c r="P391" s="109" t="n"/>
      <c r="T391" s="109" t="n"/>
      <c r="U391" s="109" t="n"/>
      <c r="V391" s="109" t="n"/>
      <c r="Z391" s="109" t="n"/>
      <c r="AA391" s="109" t="n"/>
      <c r="AB391" s="109" t="n"/>
      <c r="AF391" s="109" t="n"/>
      <c r="AG391" s="109" t="n"/>
      <c r="AH391" s="109" t="n"/>
      <c r="AL391" s="109" t="n"/>
      <c r="AM391" s="109" t="n"/>
      <c r="AN391" s="109" t="n"/>
    </row>
    <row r="392" ht="15.75" customHeight="1" s="216">
      <c r="D392" s="109" t="n"/>
      <c r="E392" s="109" t="n"/>
      <c r="J392" s="109" t="n"/>
      <c r="K392" s="109" t="n"/>
      <c r="L392" s="109" t="n"/>
      <c r="N392" s="109" t="n"/>
      <c r="O392" s="109" t="n"/>
      <c r="P392" s="109" t="n"/>
      <c r="T392" s="109" t="n"/>
      <c r="U392" s="109" t="n"/>
      <c r="V392" s="109" t="n"/>
      <c r="Z392" s="109" t="n"/>
      <c r="AA392" s="109" t="n"/>
      <c r="AB392" s="109" t="n"/>
      <c r="AF392" s="109" t="n"/>
      <c r="AG392" s="109" t="n"/>
      <c r="AH392" s="109" t="n"/>
      <c r="AL392" s="109" t="n"/>
      <c r="AM392" s="109" t="n"/>
      <c r="AN392" s="109" t="n"/>
    </row>
    <row r="393" ht="15.75" customHeight="1" s="216">
      <c r="D393" s="109" t="n"/>
      <c r="E393" s="109" t="n"/>
      <c r="J393" s="109" t="n"/>
      <c r="K393" s="109" t="n"/>
      <c r="L393" s="109" t="n"/>
      <c r="N393" s="109" t="n"/>
      <c r="O393" s="109" t="n"/>
      <c r="P393" s="109" t="n"/>
      <c r="T393" s="109" t="n"/>
      <c r="U393" s="109" t="n"/>
      <c r="V393" s="109" t="n"/>
      <c r="Z393" s="109" t="n"/>
      <c r="AA393" s="109" t="n"/>
      <c r="AB393" s="109" t="n"/>
      <c r="AF393" s="109" t="n"/>
      <c r="AG393" s="109" t="n"/>
      <c r="AH393" s="109" t="n"/>
      <c r="AL393" s="109" t="n"/>
      <c r="AM393" s="109" t="n"/>
      <c r="AN393" s="109" t="n"/>
    </row>
    <row r="394" ht="15.75" customHeight="1" s="216">
      <c r="D394" s="109" t="n"/>
      <c r="E394" s="109" t="n"/>
      <c r="J394" s="109" t="n"/>
      <c r="K394" s="109" t="n"/>
      <c r="L394" s="109" t="n"/>
      <c r="N394" s="109" t="n"/>
      <c r="O394" s="109" t="n"/>
      <c r="P394" s="109" t="n"/>
      <c r="T394" s="109" t="n"/>
      <c r="U394" s="109" t="n"/>
      <c r="V394" s="109" t="n"/>
      <c r="Z394" s="109" t="n"/>
      <c r="AA394" s="109" t="n"/>
      <c r="AB394" s="109" t="n"/>
      <c r="AF394" s="109" t="n"/>
      <c r="AG394" s="109" t="n"/>
      <c r="AH394" s="109" t="n"/>
      <c r="AL394" s="109" t="n"/>
      <c r="AM394" s="109" t="n"/>
      <c r="AN394" s="109" t="n"/>
    </row>
    <row r="395" ht="15.75" customHeight="1" s="216">
      <c r="D395" s="109" t="n"/>
      <c r="E395" s="109" t="n"/>
      <c r="J395" s="109" t="n"/>
      <c r="K395" s="109" t="n"/>
      <c r="L395" s="109" t="n"/>
      <c r="N395" s="109" t="n"/>
      <c r="O395" s="109" t="n"/>
      <c r="P395" s="109" t="n"/>
      <c r="T395" s="109" t="n"/>
      <c r="U395" s="109" t="n"/>
      <c r="V395" s="109" t="n"/>
      <c r="Z395" s="109" t="n"/>
      <c r="AA395" s="109" t="n"/>
      <c r="AB395" s="109" t="n"/>
      <c r="AF395" s="109" t="n"/>
      <c r="AG395" s="109" t="n"/>
      <c r="AH395" s="109" t="n"/>
      <c r="AL395" s="109" t="n"/>
      <c r="AM395" s="109" t="n"/>
      <c r="AN395" s="109" t="n"/>
    </row>
    <row r="396" ht="15.75" customHeight="1" s="216">
      <c r="D396" s="109" t="n"/>
      <c r="E396" s="109" t="n"/>
      <c r="J396" s="109" t="n"/>
      <c r="K396" s="109" t="n"/>
      <c r="L396" s="109" t="n"/>
      <c r="N396" s="109" t="n"/>
      <c r="O396" s="109" t="n"/>
      <c r="P396" s="109" t="n"/>
      <c r="T396" s="109" t="n"/>
      <c r="U396" s="109" t="n"/>
      <c r="V396" s="109" t="n"/>
      <c r="Z396" s="109" t="n"/>
      <c r="AA396" s="109" t="n"/>
      <c r="AB396" s="109" t="n"/>
      <c r="AF396" s="109" t="n"/>
      <c r="AG396" s="109" t="n"/>
      <c r="AH396" s="109" t="n"/>
      <c r="AL396" s="109" t="n"/>
      <c r="AM396" s="109" t="n"/>
      <c r="AN396" s="109" t="n"/>
    </row>
    <row r="397" ht="15.75" customHeight="1" s="216">
      <c r="D397" s="109" t="n"/>
      <c r="E397" s="109" t="n"/>
      <c r="J397" s="109" t="n"/>
      <c r="K397" s="109" t="n"/>
      <c r="L397" s="109" t="n"/>
      <c r="N397" s="109" t="n"/>
      <c r="O397" s="109" t="n"/>
      <c r="P397" s="109" t="n"/>
      <c r="T397" s="109" t="n"/>
      <c r="U397" s="109" t="n"/>
      <c r="V397" s="109" t="n"/>
      <c r="Z397" s="109" t="n"/>
      <c r="AA397" s="109" t="n"/>
      <c r="AB397" s="109" t="n"/>
      <c r="AF397" s="109" t="n"/>
      <c r="AG397" s="109" t="n"/>
      <c r="AH397" s="109" t="n"/>
      <c r="AL397" s="109" t="n"/>
      <c r="AM397" s="109" t="n"/>
      <c r="AN397" s="109" t="n"/>
    </row>
    <row r="398" ht="15.75" customHeight="1" s="216">
      <c r="D398" s="109" t="n"/>
      <c r="E398" s="109" t="n"/>
      <c r="J398" s="109" t="n"/>
      <c r="K398" s="109" t="n"/>
      <c r="L398" s="109" t="n"/>
      <c r="N398" s="109" t="n"/>
      <c r="O398" s="109" t="n"/>
      <c r="P398" s="109" t="n"/>
      <c r="T398" s="109" t="n"/>
      <c r="U398" s="109" t="n"/>
      <c r="V398" s="109" t="n"/>
      <c r="Z398" s="109" t="n"/>
      <c r="AA398" s="109" t="n"/>
      <c r="AB398" s="109" t="n"/>
      <c r="AF398" s="109" t="n"/>
      <c r="AG398" s="109" t="n"/>
      <c r="AH398" s="109" t="n"/>
      <c r="AL398" s="109" t="n"/>
      <c r="AM398" s="109" t="n"/>
      <c r="AN398" s="109" t="n"/>
    </row>
    <row r="399" ht="15.75" customHeight="1" s="216">
      <c r="D399" s="109" t="n"/>
      <c r="E399" s="109" t="n"/>
      <c r="J399" s="109" t="n"/>
      <c r="K399" s="109" t="n"/>
      <c r="L399" s="109" t="n"/>
      <c r="N399" s="109" t="n"/>
      <c r="O399" s="109" t="n"/>
      <c r="P399" s="109" t="n"/>
      <c r="T399" s="109" t="n"/>
      <c r="U399" s="109" t="n"/>
      <c r="V399" s="109" t="n"/>
      <c r="Z399" s="109" t="n"/>
      <c r="AA399" s="109" t="n"/>
      <c r="AB399" s="109" t="n"/>
      <c r="AF399" s="109" t="n"/>
      <c r="AG399" s="109" t="n"/>
      <c r="AH399" s="109" t="n"/>
      <c r="AL399" s="109" t="n"/>
      <c r="AM399" s="109" t="n"/>
      <c r="AN399" s="109" t="n"/>
    </row>
    <row r="400" ht="15.75" customHeight="1" s="216">
      <c r="D400" s="109" t="n"/>
      <c r="E400" s="109" t="n"/>
      <c r="J400" s="109" t="n"/>
      <c r="K400" s="109" t="n"/>
      <c r="L400" s="109" t="n"/>
      <c r="N400" s="109" t="n"/>
      <c r="O400" s="109" t="n"/>
      <c r="P400" s="109" t="n"/>
      <c r="T400" s="109" t="n"/>
      <c r="U400" s="109" t="n"/>
      <c r="V400" s="109" t="n"/>
      <c r="Z400" s="109" t="n"/>
      <c r="AA400" s="109" t="n"/>
      <c r="AB400" s="109" t="n"/>
      <c r="AF400" s="109" t="n"/>
      <c r="AG400" s="109" t="n"/>
      <c r="AH400" s="109" t="n"/>
      <c r="AL400" s="109" t="n"/>
      <c r="AM400" s="109" t="n"/>
      <c r="AN400" s="109" t="n"/>
    </row>
    <row r="401" ht="15.75" customHeight="1" s="216">
      <c r="D401" s="109" t="n"/>
      <c r="E401" s="109" t="n"/>
      <c r="J401" s="109" t="n"/>
      <c r="K401" s="109" t="n"/>
      <c r="L401" s="109" t="n"/>
      <c r="N401" s="109" t="n"/>
      <c r="O401" s="109" t="n"/>
      <c r="P401" s="109" t="n"/>
      <c r="T401" s="109" t="n"/>
      <c r="U401" s="109" t="n"/>
      <c r="V401" s="109" t="n"/>
      <c r="Z401" s="109" t="n"/>
      <c r="AA401" s="109" t="n"/>
      <c r="AB401" s="109" t="n"/>
      <c r="AF401" s="109" t="n"/>
      <c r="AG401" s="109" t="n"/>
      <c r="AH401" s="109" t="n"/>
      <c r="AL401" s="109" t="n"/>
      <c r="AM401" s="109" t="n"/>
      <c r="AN401" s="109" t="n"/>
    </row>
    <row r="402" ht="15.75" customHeight="1" s="216">
      <c r="D402" s="109" t="n"/>
      <c r="E402" s="109" t="n"/>
      <c r="J402" s="109" t="n"/>
      <c r="K402" s="109" t="n"/>
      <c r="L402" s="109" t="n"/>
      <c r="N402" s="109" t="n"/>
      <c r="O402" s="109" t="n"/>
      <c r="P402" s="109" t="n"/>
      <c r="T402" s="109" t="n"/>
      <c r="U402" s="109" t="n"/>
      <c r="V402" s="109" t="n"/>
      <c r="Z402" s="109" t="n"/>
      <c r="AA402" s="109" t="n"/>
      <c r="AB402" s="109" t="n"/>
      <c r="AF402" s="109" t="n"/>
      <c r="AG402" s="109" t="n"/>
      <c r="AH402" s="109" t="n"/>
      <c r="AL402" s="109" t="n"/>
      <c r="AM402" s="109" t="n"/>
      <c r="AN402" s="109" t="n"/>
    </row>
    <row r="403" ht="15.75" customHeight="1" s="216">
      <c r="D403" s="109" t="n"/>
      <c r="E403" s="109" t="n"/>
      <c r="J403" s="109" t="n"/>
      <c r="K403" s="109" t="n"/>
      <c r="L403" s="109" t="n"/>
      <c r="N403" s="109" t="n"/>
      <c r="O403" s="109" t="n"/>
      <c r="P403" s="109" t="n"/>
      <c r="T403" s="109" t="n"/>
      <c r="U403" s="109" t="n"/>
      <c r="V403" s="109" t="n"/>
      <c r="Z403" s="109" t="n"/>
      <c r="AA403" s="109" t="n"/>
      <c r="AB403" s="109" t="n"/>
      <c r="AF403" s="109" t="n"/>
      <c r="AG403" s="109" t="n"/>
      <c r="AH403" s="109" t="n"/>
      <c r="AL403" s="109" t="n"/>
      <c r="AM403" s="109" t="n"/>
      <c r="AN403" s="109" t="n"/>
    </row>
    <row r="404" ht="15.75" customHeight="1" s="216">
      <c r="D404" s="109" t="n"/>
      <c r="E404" s="109" t="n"/>
      <c r="J404" s="109" t="n"/>
      <c r="K404" s="109" t="n"/>
      <c r="L404" s="109" t="n"/>
      <c r="N404" s="109" t="n"/>
      <c r="O404" s="109" t="n"/>
      <c r="P404" s="109" t="n"/>
      <c r="T404" s="109" t="n"/>
      <c r="U404" s="109" t="n"/>
      <c r="V404" s="109" t="n"/>
      <c r="Z404" s="109" t="n"/>
      <c r="AA404" s="109" t="n"/>
      <c r="AB404" s="109" t="n"/>
      <c r="AF404" s="109" t="n"/>
      <c r="AG404" s="109" t="n"/>
      <c r="AH404" s="109" t="n"/>
      <c r="AL404" s="109" t="n"/>
      <c r="AM404" s="109" t="n"/>
      <c r="AN404" s="109" t="n"/>
    </row>
    <row r="405" ht="15.75" customHeight="1" s="216">
      <c r="D405" s="109" t="n"/>
      <c r="E405" s="109" t="n"/>
      <c r="J405" s="109" t="n"/>
      <c r="K405" s="109" t="n"/>
      <c r="L405" s="109" t="n"/>
      <c r="N405" s="109" t="n"/>
      <c r="O405" s="109" t="n"/>
      <c r="P405" s="109" t="n"/>
      <c r="T405" s="109" t="n"/>
      <c r="U405" s="109" t="n"/>
      <c r="V405" s="109" t="n"/>
      <c r="Z405" s="109" t="n"/>
      <c r="AA405" s="109" t="n"/>
      <c r="AB405" s="109" t="n"/>
      <c r="AF405" s="109" t="n"/>
      <c r="AG405" s="109" t="n"/>
      <c r="AH405" s="109" t="n"/>
      <c r="AL405" s="109" t="n"/>
      <c r="AM405" s="109" t="n"/>
      <c r="AN405" s="109" t="n"/>
    </row>
    <row r="406" ht="15.75" customHeight="1" s="216">
      <c r="D406" s="109" t="n"/>
      <c r="E406" s="109" t="n"/>
      <c r="J406" s="109" t="n"/>
      <c r="K406" s="109" t="n"/>
      <c r="L406" s="109" t="n"/>
      <c r="N406" s="109" t="n"/>
      <c r="O406" s="109" t="n"/>
      <c r="P406" s="109" t="n"/>
      <c r="T406" s="109" t="n"/>
      <c r="U406" s="109" t="n"/>
      <c r="V406" s="109" t="n"/>
      <c r="Z406" s="109" t="n"/>
      <c r="AA406" s="109" t="n"/>
      <c r="AB406" s="109" t="n"/>
      <c r="AF406" s="109" t="n"/>
      <c r="AG406" s="109" t="n"/>
      <c r="AH406" s="109" t="n"/>
      <c r="AL406" s="109" t="n"/>
      <c r="AM406" s="109" t="n"/>
      <c r="AN406" s="109" t="n"/>
    </row>
    <row r="407" ht="15.75" customHeight="1" s="216">
      <c r="D407" s="109" t="n"/>
      <c r="E407" s="109" t="n"/>
      <c r="J407" s="109" t="n"/>
      <c r="K407" s="109" t="n"/>
      <c r="L407" s="109" t="n"/>
      <c r="N407" s="109" t="n"/>
      <c r="O407" s="109" t="n"/>
      <c r="P407" s="109" t="n"/>
      <c r="T407" s="109" t="n"/>
      <c r="U407" s="109" t="n"/>
      <c r="V407" s="109" t="n"/>
      <c r="Z407" s="109" t="n"/>
      <c r="AA407" s="109" t="n"/>
      <c r="AB407" s="109" t="n"/>
      <c r="AF407" s="109" t="n"/>
      <c r="AG407" s="109" t="n"/>
      <c r="AH407" s="109" t="n"/>
      <c r="AL407" s="109" t="n"/>
      <c r="AM407" s="109" t="n"/>
      <c r="AN407" s="109" t="n"/>
    </row>
    <row r="408" ht="15.75" customHeight="1" s="216">
      <c r="D408" s="109" t="n"/>
      <c r="E408" s="109" t="n"/>
      <c r="J408" s="109" t="n"/>
      <c r="K408" s="109" t="n"/>
      <c r="L408" s="109" t="n"/>
      <c r="N408" s="109" t="n"/>
      <c r="O408" s="109" t="n"/>
      <c r="P408" s="109" t="n"/>
      <c r="T408" s="109" t="n"/>
      <c r="U408" s="109" t="n"/>
      <c r="V408" s="109" t="n"/>
      <c r="Z408" s="109" t="n"/>
      <c r="AA408" s="109" t="n"/>
      <c r="AB408" s="109" t="n"/>
      <c r="AF408" s="109" t="n"/>
      <c r="AG408" s="109" t="n"/>
      <c r="AH408" s="109" t="n"/>
      <c r="AL408" s="109" t="n"/>
      <c r="AM408" s="109" t="n"/>
      <c r="AN408" s="109" t="n"/>
    </row>
    <row r="409" ht="15.75" customHeight="1" s="216">
      <c r="D409" s="109" t="n"/>
      <c r="E409" s="109" t="n"/>
      <c r="J409" s="109" t="n"/>
      <c r="K409" s="109" t="n"/>
      <c r="L409" s="109" t="n"/>
      <c r="N409" s="109" t="n"/>
      <c r="O409" s="109" t="n"/>
      <c r="P409" s="109" t="n"/>
      <c r="T409" s="109" t="n"/>
      <c r="U409" s="109" t="n"/>
      <c r="V409" s="109" t="n"/>
      <c r="Z409" s="109" t="n"/>
      <c r="AA409" s="109" t="n"/>
      <c r="AB409" s="109" t="n"/>
      <c r="AF409" s="109" t="n"/>
      <c r="AG409" s="109" t="n"/>
      <c r="AH409" s="109" t="n"/>
      <c r="AL409" s="109" t="n"/>
      <c r="AM409" s="109" t="n"/>
      <c r="AN409" s="109" t="n"/>
    </row>
    <row r="410" ht="15.75" customHeight="1" s="216">
      <c r="D410" s="109" t="n"/>
      <c r="E410" s="109" t="n"/>
      <c r="J410" s="109" t="n"/>
      <c r="K410" s="109" t="n"/>
      <c r="L410" s="109" t="n"/>
      <c r="N410" s="109" t="n"/>
      <c r="O410" s="109" t="n"/>
      <c r="P410" s="109" t="n"/>
      <c r="T410" s="109" t="n"/>
      <c r="U410" s="109" t="n"/>
      <c r="V410" s="109" t="n"/>
      <c r="Z410" s="109" t="n"/>
      <c r="AA410" s="109" t="n"/>
      <c r="AB410" s="109" t="n"/>
      <c r="AF410" s="109" t="n"/>
      <c r="AG410" s="109" t="n"/>
      <c r="AH410" s="109" t="n"/>
      <c r="AL410" s="109" t="n"/>
      <c r="AM410" s="109" t="n"/>
      <c r="AN410" s="109" t="n"/>
    </row>
    <row r="411" ht="15.75" customHeight="1" s="216">
      <c r="D411" s="109" t="n"/>
      <c r="E411" s="109" t="n"/>
      <c r="J411" s="109" t="n"/>
      <c r="K411" s="109" t="n"/>
      <c r="L411" s="109" t="n"/>
      <c r="N411" s="109" t="n"/>
      <c r="O411" s="109" t="n"/>
      <c r="P411" s="109" t="n"/>
      <c r="T411" s="109" t="n"/>
      <c r="U411" s="109" t="n"/>
      <c r="V411" s="109" t="n"/>
      <c r="Z411" s="109" t="n"/>
      <c r="AA411" s="109" t="n"/>
      <c r="AB411" s="109" t="n"/>
      <c r="AF411" s="109" t="n"/>
      <c r="AG411" s="109" t="n"/>
      <c r="AH411" s="109" t="n"/>
      <c r="AL411" s="109" t="n"/>
      <c r="AM411" s="109" t="n"/>
      <c r="AN411" s="109" t="n"/>
    </row>
    <row r="412" ht="15.75" customHeight="1" s="216">
      <c r="D412" s="109" t="n"/>
      <c r="E412" s="109" t="n"/>
      <c r="J412" s="109" t="n"/>
      <c r="K412" s="109" t="n"/>
      <c r="L412" s="109" t="n"/>
      <c r="N412" s="109" t="n"/>
      <c r="O412" s="109" t="n"/>
      <c r="P412" s="109" t="n"/>
      <c r="T412" s="109" t="n"/>
      <c r="U412" s="109" t="n"/>
      <c r="V412" s="109" t="n"/>
      <c r="Z412" s="109" t="n"/>
      <c r="AA412" s="109" t="n"/>
      <c r="AB412" s="109" t="n"/>
      <c r="AF412" s="109" t="n"/>
      <c r="AG412" s="109" t="n"/>
      <c r="AH412" s="109" t="n"/>
      <c r="AL412" s="109" t="n"/>
      <c r="AM412" s="109" t="n"/>
      <c r="AN412" s="109" t="n"/>
    </row>
    <row r="413" ht="15.75" customHeight="1" s="216">
      <c r="D413" s="109" t="n"/>
      <c r="E413" s="109" t="n"/>
      <c r="J413" s="109" t="n"/>
      <c r="K413" s="109" t="n"/>
      <c r="L413" s="109" t="n"/>
      <c r="N413" s="109" t="n"/>
      <c r="O413" s="109" t="n"/>
      <c r="P413" s="109" t="n"/>
      <c r="T413" s="109" t="n"/>
      <c r="U413" s="109" t="n"/>
      <c r="V413" s="109" t="n"/>
      <c r="Z413" s="109" t="n"/>
      <c r="AA413" s="109" t="n"/>
      <c r="AB413" s="109" t="n"/>
      <c r="AF413" s="109" t="n"/>
      <c r="AG413" s="109" t="n"/>
      <c r="AH413" s="109" t="n"/>
      <c r="AL413" s="109" t="n"/>
      <c r="AM413" s="109" t="n"/>
      <c r="AN413" s="109" t="n"/>
    </row>
    <row r="414" ht="15.75" customHeight="1" s="216">
      <c r="D414" s="109" t="n"/>
      <c r="E414" s="109" t="n"/>
      <c r="J414" s="109" t="n"/>
      <c r="K414" s="109" t="n"/>
      <c r="L414" s="109" t="n"/>
      <c r="N414" s="109" t="n"/>
      <c r="O414" s="109" t="n"/>
      <c r="P414" s="109" t="n"/>
      <c r="T414" s="109" t="n"/>
      <c r="U414" s="109" t="n"/>
      <c r="V414" s="109" t="n"/>
      <c r="Z414" s="109" t="n"/>
      <c r="AA414" s="109" t="n"/>
      <c r="AB414" s="109" t="n"/>
      <c r="AF414" s="109" t="n"/>
      <c r="AG414" s="109" t="n"/>
      <c r="AH414" s="109" t="n"/>
      <c r="AL414" s="109" t="n"/>
      <c r="AM414" s="109" t="n"/>
      <c r="AN414" s="109" t="n"/>
    </row>
    <row r="415" ht="15.75" customHeight="1" s="216">
      <c r="D415" s="109" t="n"/>
      <c r="E415" s="109" t="n"/>
      <c r="J415" s="109" t="n"/>
      <c r="K415" s="109" t="n"/>
      <c r="L415" s="109" t="n"/>
      <c r="N415" s="109" t="n"/>
      <c r="O415" s="109" t="n"/>
      <c r="P415" s="109" t="n"/>
      <c r="T415" s="109" t="n"/>
      <c r="U415" s="109" t="n"/>
      <c r="V415" s="109" t="n"/>
      <c r="Z415" s="109" t="n"/>
      <c r="AA415" s="109" t="n"/>
      <c r="AB415" s="109" t="n"/>
      <c r="AF415" s="109" t="n"/>
      <c r="AG415" s="109" t="n"/>
      <c r="AH415" s="109" t="n"/>
      <c r="AL415" s="109" t="n"/>
      <c r="AM415" s="109" t="n"/>
      <c r="AN415" s="109" t="n"/>
    </row>
    <row r="416" ht="15.75" customHeight="1" s="216">
      <c r="D416" s="109" t="n"/>
      <c r="E416" s="109" t="n"/>
      <c r="J416" s="109" t="n"/>
      <c r="K416" s="109" t="n"/>
      <c r="L416" s="109" t="n"/>
      <c r="N416" s="109" t="n"/>
      <c r="O416" s="109" t="n"/>
      <c r="P416" s="109" t="n"/>
      <c r="T416" s="109" t="n"/>
      <c r="U416" s="109" t="n"/>
      <c r="V416" s="109" t="n"/>
      <c r="Z416" s="109" t="n"/>
      <c r="AA416" s="109" t="n"/>
      <c r="AB416" s="109" t="n"/>
      <c r="AF416" s="109" t="n"/>
      <c r="AG416" s="109" t="n"/>
      <c r="AH416" s="109" t="n"/>
      <c r="AL416" s="109" t="n"/>
      <c r="AM416" s="109" t="n"/>
      <c r="AN416" s="109" t="n"/>
    </row>
    <row r="417" ht="15.75" customHeight="1" s="216">
      <c r="D417" s="109" t="n"/>
      <c r="E417" s="109" t="n"/>
      <c r="J417" s="109" t="n"/>
      <c r="K417" s="109" t="n"/>
      <c r="L417" s="109" t="n"/>
      <c r="N417" s="109" t="n"/>
      <c r="O417" s="109" t="n"/>
      <c r="P417" s="109" t="n"/>
      <c r="T417" s="109" t="n"/>
      <c r="U417" s="109" t="n"/>
      <c r="V417" s="109" t="n"/>
      <c r="Z417" s="109" t="n"/>
      <c r="AA417" s="109" t="n"/>
      <c r="AB417" s="109" t="n"/>
      <c r="AF417" s="109" t="n"/>
      <c r="AG417" s="109" t="n"/>
      <c r="AH417" s="109" t="n"/>
      <c r="AL417" s="109" t="n"/>
      <c r="AM417" s="109" t="n"/>
      <c r="AN417" s="109" t="n"/>
    </row>
    <row r="418" ht="15.75" customHeight="1" s="216">
      <c r="D418" s="109" t="n"/>
      <c r="E418" s="109" t="n"/>
      <c r="J418" s="109" t="n"/>
      <c r="K418" s="109" t="n"/>
      <c r="L418" s="109" t="n"/>
      <c r="N418" s="109" t="n"/>
      <c r="O418" s="109" t="n"/>
      <c r="P418" s="109" t="n"/>
      <c r="T418" s="109" t="n"/>
      <c r="U418" s="109" t="n"/>
      <c r="V418" s="109" t="n"/>
      <c r="Z418" s="109" t="n"/>
      <c r="AA418" s="109" t="n"/>
      <c r="AB418" s="109" t="n"/>
      <c r="AF418" s="109" t="n"/>
      <c r="AG418" s="109" t="n"/>
      <c r="AH418" s="109" t="n"/>
      <c r="AL418" s="109" t="n"/>
      <c r="AM418" s="109" t="n"/>
      <c r="AN418" s="109" t="n"/>
    </row>
    <row r="419" ht="15.75" customHeight="1" s="216">
      <c r="D419" s="109" t="n"/>
      <c r="E419" s="109" t="n"/>
      <c r="J419" s="109" t="n"/>
      <c r="K419" s="109" t="n"/>
      <c r="L419" s="109" t="n"/>
      <c r="N419" s="109" t="n"/>
      <c r="O419" s="109" t="n"/>
      <c r="P419" s="109" t="n"/>
      <c r="T419" s="109" t="n"/>
      <c r="U419" s="109" t="n"/>
      <c r="V419" s="109" t="n"/>
      <c r="Z419" s="109" t="n"/>
      <c r="AA419" s="109" t="n"/>
      <c r="AB419" s="109" t="n"/>
      <c r="AF419" s="109" t="n"/>
      <c r="AG419" s="109" t="n"/>
      <c r="AH419" s="109" t="n"/>
      <c r="AL419" s="109" t="n"/>
      <c r="AM419" s="109" t="n"/>
      <c r="AN419" s="109" t="n"/>
    </row>
    <row r="420" ht="15.75" customHeight="1" s="216">
      <c r="D420" s="109" t="n"/>
      <c r="E420" s="109" t="n"/>
      <c r="J420" s="109" t="n"/>
      <c r="K420" s="109" t="n"/>
      <c r="L420" s="109" t="n"/>
      <c r="N420" s="109" t="n"/>
      <c r="O420" s="109" t="n"/>
      <c r="P420" s="109" t="n"/>
      <c r="T420" s="109" t="n"/>
      <c r="U420" s="109" t="n"/>
      <c r="V420" s="109" t="n"/>
      <c r="Z420" s="109" t="n"/>
      <c r="AA420" s="109" t="n"/>
      <c r="AB420" s="109" t="n"/>
      <c r="AF420" s="109" t="n"/>
      <c r="AG420" s="109" t="n"/>
      <c r="AH420" s="109" t="n"/>
      <c r="AL420" s="109" t="n"/>
      <c r="AM420" s="109" t="n"/>
      <c r="AN420" s="109" t="n"/>
    </row>
    <row r="421" ht="15.75" customHeight="1" s="216">
      <c r="D421" s="109" t="n"/>
      <c r="E421" s="109" t="n"/>
      <c r="J421" s="109" t="n"/>
      <c r="K421" s="109" t="n"/>
      <c r="L421" s="109" t="n"/>
      <c r="N421" s="109" t="n"/>
      <c r="O421" s="109" t="n"/>
      <c r="P421" s="109" t="n"/>
      <c r="T421" s="109" t="n"/>
      <c r="U421" s="109" t="n"/>
      <c r="V421" s="109" t="n"/>
      <c r="Z421" s="109" t="n"/>
      <c r="AA421" s="109" t="n"/>
      <c r="AB421" s="109" t="n"/>
      <c r="AF421" s="109" t="n"/>
      <c r="AG421" s="109" t="n"/>
      <c r="AH421" s="109" t="n"/>
      <c r="AL421" s="109" t="n"/>
      <c r="AM421" s="109" t="n"/>
      <c r="AN421" s="109" t="n"/>
    </row>
    <row r="422" ht="15.75" customHeight="1" s="216">
      <c r="D422" s="109" t="n"/>
      <c r="E422" s="109" t="n"/>
      <c r="J422" s="109" t="n"/>
      <c r="K422" s="109" t="n"/>
      <c r="L422" s="109" t="n"/>
      <c r="N422" s="109" t="n"/>
      <c r="O422" s="109" t="n"/>
      <c r="P422" s="109" t="n"/>
      <c r="T422" s="109" t="n"/>
      <c r="U422" s="109" t="n"/>
      <c r="V422" s="109" t="n"/>
      <c r="Z422" s="109" t="n"/>
      <c r="AA422" s="109" t="n"/>
      <c r="AB422" s="109" t="n"/>
      <c r="AF422" s="109" t="n"/>
      <c r="AG422" s="109" t="n"/>
      <c r="AH422" s="109" t="n"/>
      <c r="AL422" s="109" t="n"/>
      <c r="AM422" s="109" t="n"/>
      <c r="AN422" s="109" t="n"/>
    </row>
    <row r="423" ht="15.75" customHeight="1" s="216">
      <c r="D423" s="109" t="n"/>
      <c r="E423" s="109" t="n"/>
      <c r="J423" s="109" t="n"/>
      <c r="K423" s="109" t="n"/>
      <c r="L423" s="109" t="n"/>
      <c r="N423" s="109" t="n"/>
      <c r="O423" s="109" t="n"/>
      <c r="P423" s="109" t="n"/>
      <c r="T423" s="109" t="n"/>
      <c r="U423" s="109" t="n"/>
      <c r="V423" s="109" t="n"/>
      <c r="Z423" s="109" t="n"/>
      <c r="AA423" s="109" t="n"/>
      <c r="AB423" s="109" t="n"/>
      <c r="AF423" s="109" t="n"/>
      <c r="AG423" s="109" t="n"/>
      <c r="AH423" s="109" t="n"/>
      <c r="AL423" s="109" t="n"/>
      <c r="AM423" s="109" t="n"/>
      <c r="AN423" s="109" t="n"/>
    </row>
    <row r="424" ht="15.75" customHeight="1" s="216">
      <c r="D424" s="109" t="n"/>
      <c r="E424" s="109" t="n"/>
      <c r="J424" s="109" t="n"/>
      <c r="K424" s="109" t="n"/>
      <c r="L424" s="109" t="n"/>
      <c r="N424" s="109" t="n"/>
      <c r="O424" s="109" t="n"/>
      <c r="P424" s="109" t="n"/>
      <c r="T424" s="109" t="n"/>
      <c r="U424" s="109" t="n"/>
      <c r="V424" s="109" t="n"/>
      <c r="Z424" s="109" t="n"/>
      <c r="AA424" s="109" t="n"/>
      <c r="AB424" s="109" t="n"/>
      <c r="AF424" s="109" t="n"/>
      <c r="AG424" s="109" t="n"/>
      <c r="AH424" s="109" t="n"/>
      <c r="AL424" s="109" t="n"/>
      <c r="AM424" s="109" t="n"/>
      <c r="AN424" s="109" t="n"/>
    </row>
    <row r="425" ht="15.75" customHeight="1" s="216">
      <c r="D425" s="109" t="n"/>
      <c r="E425" s="109" t="n"/>
      <c r="J425" s="109" t="n"/>
      <c r="K425" s="109" t="n"/>
      <c r="L425" s="109" t="n"/>
      <c r="N425" s="109" t="n"/>
      <c r="O425" s="109" t="n"/>
      <c r="P425" s="109" t="n"/>
      <c r="T425" s="109" t="n"/>
      <c r="U425" s="109" t="n"/>
      <c r="V425" s="109" t="n"/>
      <c r="Z425" s="109" t="n"/>
      <c r="AA425" s="109" t="n"/>
      <c r="AB425" s="109" t="n"/>
      <c r="AF425" s="109" t="n"/>
      <c r="AG425" s="109" t="n"/>
      <c r="AH425" s="109" t="n"/>
      <c r="AL425" s="109" t="n"/>
      <c r="AM425" s="109" t="n"/>
      <c r="AN425" s="109" t="n"/>
    </row>
    <row r="426" ht="15.75" customHeight="1" s="216">
      <c r="D426" s="109" t="n"/>
      <c r="E426" s="109" t="n"/>
      <c r="J426" s="109" t="n"/>
      <c r="K426" s="109" t="n"/>
      <c r="L426" s="109" t="n"/>
      <c r="N426" s="109" t="n"/>
      <c r="O426" s="109" t="n"/>
      <c r="P426" s="109" t="n"/>
      <c r="T426" s="109" t="n"/>
      <c r="U426" s="109" t="n"/>
      <c r="V426" s="109" t="n"/>
      <c r="Z426" s="109" t="n"/>
      <c r="AA426" s="109" t="n"/>
      <c r="AB426" s="109" t="n"/>
      <c r="AF426" s="109" t="n"/>
      <c r="AG426" s="109" t="n"/>
      <c r="AH426" s="109" t="n"/>
      <c r="AL426" s="109" t="n"/>
      <c r="AM426" s="109" t="n"/>
      <c r="AN426" s="109" t="n"/>
    </row>
    <row r="427" ht="15.75" customHeight="1" s="216">
      <c r="D427" s="109" t="n"/>
      <c r="E427" s="109" t="n"/>
      <c r="J427" s="109" t="n"/>
      <c r="K427" s="109" t="n"/>
      <c r="L427" s="109" t="n"/>
      <c r="N427" s="109" t="n"/>
      <c r="O427" s="109" t="n"/>
      <c r="P427" s="109" t="n"/>
      <c r="T427" s="109" t="n"/>
      <c r="U427" s="109" t="n"/>
      <c r="V427" s="109" t="n"/>
      <c r="Z427" s="109" t="n"/>
      <c r="AA427" s="109" t="n"/>
      <c r="AB427" s="109" t="n"/>
      <c r="AF427" s="109" t="n"/>
      <c r="AG427" s="109" t="n"/>
      <c r="AH427" s="109" t="n"/>
      <c r="AL427" s="109" t="n"/>
      <c r="AM427" s="109" t="n"/>
      <c r="AN427" s="109" t="n"/>
    </row>
    <row r="428" ht="15.75" customHeight="1" s="216">
      <c r="D428" s="109" t="n"/>
      <c r="E428" s="109" t="n"/>
      <c r="J428" s="109" t="n"/>
      <c r="K428" s="109" t="n"/>
      <c r="L428" s="109" t="n"/>
      <c r="N428" s="109" t="n"/>
      <c r="O428" s="109" t="n"/>
      <c r="P428" s="109" t="n"/>
      <c r="T428" s="109" t="n"/>
      <c r="U428" s="109" t="n"/>
      <c r="V428" s="109" t="n"/>
      <c r="Z428" s="109" t="n"/>
      <c r="AA428" s="109" t="n"/>
      <c r="AB428" s="109" t="n"/>
      <c r="AF428" s="109" t="n"/>
      <c r="AG428" s="109" t="n"/>
      <c r="AH428" s="109" t="n"/>
      <c r="AL428" s="109" t="n"/>
      <c r="AM428" s="109" t="n"/>
      <c r="AN428" s="109" t="n"/>
    </row>
    <row r="429" ht="15.75" customHeight="1" s="216">
      <c r="D429" s="109" t="n"/>
      <c r="E429" s="109" t="n"/>
      <c r="J429" s="109" t="n"/>
      <c r="K429" s="109" t="n"/>
      <c r="L429" s="109" t="n"/>
      <c r="N429" s="109" t="n"/>
      <c r="O429" s="109" t="n"/>
      <c r="P429" s="109" t="n"/>
      <c r="T429" s="109" t="n"/>
      <c r="U429" s="109" t="n"/>
      <c r="V429" s="109" t="n"/>
      <c r="Z429" s="109" t="n"/>
      <c r="AA429" s="109" t="n"/>
      <c r="AB429" s="109" t="n"/>
      <c r="AF429" s="109" t="n"/>
      <c r="AG429" s="109" t="n"/>
      <c r="AH429" s="109" t="n"/>
      <c r="AL429" s="109" t="n"/>
      <c r="AM429" s="109" t="n"/>
      <c r="AN429" s="109" t="n"/>
    </row>
    <row r="430" ht="15.75" customHeight="1" s="216">
      <c r="D430" s="109" t="n"/>
      <c r="E430" s="109" t="n"/>
      <c r="J430" s="109" t="n"/>
      <c r="K430" s="109" t="n"/>
      <c r="L430" s="109" t="n"/>
      <c r="N430" s="109" t="n"/>
      <c r="O430" s="109" t="n"/>
      <c r="P430" s="109" t="n"/>
      <c r="T430" s="109" t="n"/>
      <c r="U430" s="109" t="n"/>
      <c r="V430" s="109" t="n"/>
      <c r="Z430" s="109" t="n"/>
      <c r="AA430" s="109" t="n"/>
      <c r="AB430" s="109" t="n"/>
      <c r="AF430" s="109" t="n"/>
      <c r="AG430" s="109" t="n"/>
      <c r="AH430" s="109" t="n"/>
      <c r="AL430" s="109" t="n"/>
      <c r="AM430" s="109" t="n"/>
      <c r="AN430" s="109" t="n"/>
    </row>
    <row r="431" ht="15.75" customHeight="1" s="216">
      <c r="D431" s="109" t="n"/>
      <c r="E431" s="109" t="n"/>
      <c r="J431" s="109" t="n"/>
      <c r="K431" s="109" t="n"/>
      <c r="L431" s="109" t="n"/>
      <c r="N431" s="109" t="n"/>
      <c r="O431" s="109" t="n"/>
      <c r="P431" s="109" t="n"/>
      <c r="T431" s="109" t="n"/>
      <c r="U431" s="109" t="n"/>
      <c r="V431" s="109" t="n"/>
      <c r="Z431" s="109" t="n"/>
      <c r="AA431" s="109" t="n"/>
      <c r="AB431" s="109" t="n"/>
      <c r="AF431" s="109" t="n"/>
      <c r="AG431" s="109" t="n"/>
      <c r="AH431" s="109" t="n"/>
      <c r="AL431" s="109" t="n"/>
      <c r="AM431" s="109" t="n"/>
      <c r="AN431" s="109" t="n"/>
    </row>
    <row r="432" ht="15.75" customHeight="1" s="216">
      <c r="D432" s="109" t="n"/>
      <c r="E432" s="109" t="n"/>
      <c r="J432" s="109" t="n"/>
      <c r="K432" s="109" t="n"/>
      <c r="L432" s="109" t="n"/>
      <c r="N432" s="109" t="n"/>
      <c r="O432" s="109" t="n"/>
      <c r="P432" s="109" t="n"/>
      <c r="T432" s="109" t="n"/>
      <c r="U432" s="109" t="n"/>
      <c r="V432" s="109" t="n"/>
      <c r="Z432" s="109" t="n"/>
      <c r="AA432" s="109" t="n"/>
      <c r="AB432" s="109" t="n"/>
      <c r="AF432" s="109" t="n"/>
      <c r="AG432" s="109" t="n"/>
      <c r="AH432" s="109" t="n"/>
      <c r="AL432" s="109" t="n"/>
      <c r="AM432" s="109" t="n"/>
      <c r="AN432" s="109" t="n"/>
    </row>
    <row r="433" ht="15.75" customHeight="1" s="216">
      <c r="D433" s="109" t="n"/>
      <c r="E433" s="109" t="n"/>
      <c r="J433" s="109" t="n"/>
      <c r="K433" s="109" t="n"/>
      <c r="L433" s="109" t="n"/>
      <c r="N433" s="109" t="n"/>
      <c r="O433" s="109" t="n"/>
      <c r="P433" s="109" t="n"/>
      <c r="T433" s="109" t="n"/>
      <c r="U433" s="109" t="n"/>
      <c r="V433" s="109" t="n"/>
      <c r="Z433" s="109" t="n"/>
      <c r="AA433" s="109" t="n"/>
      <c r="AB433" s="109" t="n"/>
      <c r="AF433" s="109" t="n"/>
      <c r="AG433" s="109" t="n"/>
      <c r="AH433" s="109" t="n"/>
      <c r="AL433" s="109" t="n"/>
      <c r="AM433" s="109" t="n"/>
      <c r="AN433" s="109" t="n"/>
    </row>
    <row r="434" ht="15.75" customHeight="1" s="216">
      <c r="D434" s="109" t="n"/>
      <c r="E434" s="109" t="n"/>
      <c r="J434" s="109" t="n"/>
      <c r="K434" s="109" t="n"/>
      <c r="L434" s="109" t="n"/>
      <c r="N434" s="109" t="n"/>
      <c r="O434" s="109" t="n"/>
      <c r="P434" s="109" t="n"/>
      <c r="T434" s="109" t="n"/>
      <c r="U434" s="109" t="n"/>
      <c r="V434" s="109" t="n"/>
      <c r="Z434" s="109" t="n"/>
      <c r="AA434" s="109" t="n"/>
      <c r="AB434" s="109" t="n"/>
      <c r="AF434" s="109" t="n"/>
      <c r="AG434" s="109" t="n"/>
      <c r="AH434" s="109" t="n"/>
      <c r="AL434" s="109" t="n"/>
      <c r="AM434" s="109" t="n"/>
      <c r="AN434" s="109" t="n"/>
    </row>
    <row r="435" ht="15.75" customHeight="1" s="216">
      <c r="D435" s="109" t="n"/>
      <c r="E435" s="109" t="n"/>
      <c r="J435" s="109" t="n"/>
      <c r="K435" s="109" t="n"/>
      <c r="L435" s="109" t="n"/>
      <c r="N435" s="109" t="n"/>
      <c r="O435" s="109" t="n"/>
      <c r="P435" s="109" t="n"/>
      <c r="T435" s="109" t="n"/>
      <c r="U435" s="109" t="n"/>
      <c r="V435" s="109" t="n"/>
      <c r="Z435" s="109" t="n"/>
      <c r="AA435" s="109" t="n"/>
      <c r="AB435" s="109" t="n"/>
      <c r="AF435" s="109" t="n"/>
      <c r="AG435" s="109" t="n"/>
      <c r="AH435" s="109" t="n"/>
      <c r="AL435" s="109" t="n"/>
      <c r="AM435" s="109" t="n"/>
      <c r="AN435" s="109" t="n"/>
    </row>
    <row r="436" ht="15.75" customHeight="1" s="216">
      <c r="D436" s="109" t="n"/>
      <c r="E436" s="109" t="n"/>
      <c r="J436" s="109" t="n"/>
      <c r="K436" s="109" t="n"/>
      <c r="L436" s="109" t="n"/>
      <c r="N436" s="109" t="n"/>
      <c r="O436" s="109" t="n"/>
      <c r="P436" s="109" t="n"/>
      <c r="T436" s="109" t="n"/>
      <c r="U436" s="109" t="n"/>
      <c r="V436" s="109" t="n"/>
      <c r="Z436" s="109" t="n"/>
      <c r="AA436" s="109" t="n"/>
      <c r="AB436" s="109" t="n"/>
      <c r="AF436" s="109" t="n"/>
      <c r="AG436" s="109" t="n"/>
      <c r="AH436" s="109" t="n"/>
      <c r="AL436" s="109" t="n"/>
      <c r="AM436" s="109" t="n"/>
      <c r="AN436" s="109" t="n"/>
    </row>
    <row r="437" ht="15.75" customHeight="1" s="216">
      <c r="D437" s="109" t="n"/>
      <c r="E437" s="109" t="n"/>
      <c r="J437" s="109" t="n"/>
      <c r="K437" s="109" t="n"/>
      <c r="L437" s="109" t="n"/>
      <c r="N437" s="109" t="n"/>
      <c r="O437" s="109" t="n"/>
      <c r="P437" s="109" t="n"/>
      <c r="T437" s="109" t="n"/>
      <c r="U437" s="109" t="n"/>
      <c r="V437" s="109" t="n"/>
      <c r="Z437" s="109" t="n"/>
      <c r="AA437" s="109" t="n"/>
      <c r="AB437" s="109" t="n"/>
      <c r="AF437" s="109" t="n"/>
      <c r="AG437" s="109" t="n"/>
      <c r="AH437" s="109" t="n"/>
      <c r="AL437" s="109" t="n"/>
      <c r="AM437" s="109" t="n"/>
      <c r="AN437" s="109" t="n"/>
    </row>
    <row r="438" ht="15.75" customHeight="1" s="216">
      <c r="D438" s="109" t="n"/>
      <c r="E438" s="109" t="n"/>
      <c r="J438" s="109" t="n"/>
      <c r="K438" s="109" t="n"/>
      <c r="L438" s="109" t="n"/>
      <c r="N438" s="109" t="n"/>
      <c r="O438" s="109" t="n"/>
      <c r="P438" s="109" t="n"/>
      <c r="T438" s="109" t="n"/>
      <c r="U438" s="109" t="n"/>
      <c r="V438" s="109" t="n"/>
      <c r="Z438" s="109" t="n"/>
      <c r="AA438" s="109" t="n"/>
      <c r="AB438" s="109" t="n"/>
      <c r="AF438" s="109" t="n"/>
      <c r="AG438" s="109" t="n"/>
      <c r="AH438" s="109" t="n"/>
      <c r="AL438" s="109" t="n"/>
      <c r="AM438" s="109" t="n"/>
      <c r="AN438" s="109" t="n"/>
    </row>
    <row r="439" ht="15.75" customHeight="1" s="216">
      <c r="D439" s="109" t="n"/>
      <c r="E439" s="109" t="n"/>
      <c r="J439" s="109" t="n"/>
      <c r="K439" s="109" t="n"/>
      <c r="L439" s="109" t="n"/>
      <c r="N439" s="109" t="n"/>
      <c r="O439" s="109" t="n"/>
      <c r="P439" s="109" t="n"/>
      <c r="T439" s="109" t="n"/>
      <c r="U439" s="109" t="n"/>
      <c r="V439" s="109" t="n"/>
      <c r="Z439" s="109" t="n"/>
      <c r="AA439" s="109" t="n"/>
      <c r="AB439" s="109" t="n"/>
      <c r="AF439" s="109" t="n"/>
      <c r="AG439" s="109" t="n"/>
      <c r="AH439" s="109" t="n"/>
      <c r="AL439" s="109" t="n"/>
      <c r="AM439" s="109" t="n"/>
      <c r="AN439" s="109" t="n"/>
    </row>
    <row r="440" ht="15.75" customHeight="1" s="216">
      <c r="D440" s="109" t="n"/>
      <c r="E440" s="109" t="n"/>
      <c r="J440" s="109" t="n"/>
      <c r="K440" s="109" t="n"/>
      <c r="L440" s="109" t="n"/>
      <c r="N440" s="109" t="n"/>
      <c r="O440" s="109" t="n"/>
      <c r="P440" s="109" t="n"/>
      <c r="T440" s="109" t="n"/>
      <c r="U440" s="109" t="n"/>
      <c r="V440" s="109" t="n"/>
      <c r="Z440" s="109" t="n"/>
      <c r="AA440" s="109" t="n"/>
      <c r="AB440" s="109" t="n"/>
      <c r="AF440" s="109" t="n"/>
      <c r="AG440" s="109" t="n"/>
      <c r="AH440" s="109" t="n"/>
      <c r="AL440" s="109" t="n"/>
      <c r="AM440" s="109" t="n"/>
      <c r="AN440" s="109" t="n"/>
    </row>
    <row r="441" ht="15.75" customHeight="1" s="216">
      <c r="D441" s="109" t="n"/>
      <c r="E441" s="109" t="n"/>
      <c r="J441" s="109" t="n"/>
      <c r="K441" s="109" t="n"/>
      <c r="L441" s="109" t="n"/>
      <c r="N441" s="109" t="n"/>
      <c r="O441" s="109" t="n"/>
      <c r="P441" s="109" t="n"/>
      <c r="T441" s="109" t="n"/>
      <c r="U441" s="109" t="n"/>
      <c r="V441" s="109" t="n"/>
      <c r="Z441" s="109" t="n"/>
      <c r="AA441" s="109" t="n"/>
      <c r="AB441" s="109" t="n"/>
      <c r="AF441" s="109" t="n"/>
      <c r="AG441" s="109" t="n"/>
      <c r="AH441" s="109" t="n"/>
      <c r="AL441" s="109" t="n"/>
      <c r="AM441" s="109" t="n"/>
      <c r="AN441" s="109" t="n"/>
    </row>
    <row r="442" ht="15.75" customHeight="1" s="216">
      <c r="D442" s="109" t="n"/>
      <c r="E442" s="109" t="n"/>
      <c r="J442" s="109" t="n"/>
      <c r="K442" s="109" t="n"/>
      <c r="L442" s="109" t="n"/>
      <c r="N442" s="109" t="n"/>
      <c r="O442" s="109" t="n"/>
      <c r="P442" s="109" t="n"/>
      <c r="T442" s="109" t="n"/>
      <c r="U442" s="109" t="n"/>
      <c r="V442" s="109" t="n"/>
      <c r="Z442" s="109" t="n"/>
      <c r="AA442" s="109" t="n"/>
      <c r="AB442" s="109" t="n"/>
      <c r="AF442" s="109" t="n"/>
      <c r="AG442" s="109" t="n"/>
      <c r="AH442" s="109" t="n"/>
      <c r="AL442" s="109" t="n"/>
      <c r="AM442" s="109" t="n"/>
      <c r="AN442" s="109" t="n"/>
    </row>
    <row r="443" ht="15.75" customHeight="1" s="216">
      <c r="D443" s="109" t="n"/>
      <c r="E443" s="109" t="n"/>
      <c r="J443" s="109" t="n"/>
      <c r="K443" s="109" t="n"/>
      <c r="L443" s="109" t="n"/>
      <c r="N443" s="109" t="n"/>
      <c r="O443" s="109" t="n"/>
      <c r="P443" s="109" t="n"/>
      <c r="T443" s="109" t="n"/>
      <c r="U443" s="109" t="n"/>
      <c r="V443" s="109" t="n"/>
      <c r="Z443" s="109" t="n"/>
      <c r="AA443" s="109" t="n"/>
      <c r="AB443" s="109" t="n"/>
      <c r="AF443" s="109" t="n"/>
      <c r="AG443" s="109" t="n"/>
      <c r="AH443" s="109" t="n"/>
      <c r="AL443" s="109" t="n"/>
      <c r="AM443" s="109" t="n"/>
      <c r="AN443" s="109" t="n"/>
    </row>
    <row r="444" ht="15.75" customHeight="1" s="216">
      <c r="D444" s="109" t="n"/>
      <c r="E444" s="109" t="n"/>
      <c r="J444" s="109" t="n"/>
      <c r="K444" s="109" t="n"/>
      <c r="L444" s="109" t="n"/>
      <c r="N444" s="109" t="n"/>
      <c r="O444" s="109" t="n"/>
      <c r="P444" s="109" t="n"/>
      <c r="T444" s="109" t="n"/>
      <c r="U444" s="109" t="n"/>
      <c r="V444" s="109" t="n"/>
      <c r="Z444" s="109" t="n"/>
      <c r="AA444" s="109" t="n"/>
      <c r="AB444" s="109" t="n"/>
      <c r="AF444" s="109" t="n"/>
      <c r="AG444" s="109" t="n"/>
      <c r="AH444" s="109" t="n"/>
      <c r="AL444" s="109" t="n"/>
      <c r="AM444" s="109" t="n"/>
      <c r="AN444" s="109" t="n"/>
    </row>
    <row r="445" ht="15.75" customHeight="1" s="216">
      <c r="D445" s="109" t="n"/>
      <c r="E445" s="109" t="n"/>
      <c r="J445" s="109" t="n"/>
      <c r="K445" s="109" t="n"/>
      <c r="L445" s="109" t="n"/>
      <c r="N445" s="109" t="n"/>
      <c r="O445" s="109" t="n"/>
      <c r="P445" s="109" t="n"/>
      <c r="T445" s="109" t="n"/>
      <c r="U445" s="109" t="n"/>
      <c r="V445" s="109" t="n"/>
      <c r="Z445" s="109" t="n"/>
      <c r="AA445" s="109" t="n"/>
      <c r="AB445" s="109" t="n"/>
      <c r="AF445" s="109" t="n"/>
      <c r="AG445" s="109" t="n"/>
      <c r="AH445" s="109" t="n"/>
      <c r="AL445" s="109" t="n"/>
      <c r="AM445" s="109" t="n"/>
      <c r="AN445" s="109" t="n"/>
    </row>
    <row r="446" ht="15.75" customHeight="1" s="216">
      <c r="D446" s="109" t="n"/>
      <c r="E446" s="109" t="n"/>
      <c r="J446" s="109" t="n"/>
      <c r="K446" s="109" t="n"/>
      <c r="L446" s="109" t="n"/>
      <c r="N446" s="109" t="n"/>
      <c r="O446" s="109" t="n"/>
      <c r="P446" s="109" t="n"/>
      <c r="T446" s="109" t="n"/>
      <c r="U446" s="109" t="n"/>
      <c r="V446" s="109" t="n"/>
      <c r="Z446" s="109" t="n"/>
      <c r="AA446" s="109" t="n"/>
      <c r="AB446" s="109" t="n"/>
      <c r="AF446" s="109" t="n"/>
      <c r="AG446" s="109" t="n"/>
      <c r="AH446" s="109" t="n"/>
      <c r="AL446" s="109" t="n"/>
      <c r="AM446" s="109" t="n"/>
      <c r="AN446" s="109" t="n"/>
    </row>
    <row r="447" ht="15.75" customHeight="1" s="216">
      <c r="D447" s="109" t="n"/>
      <c r="E447" s="109" t="n"/>
      <c r="J447" s="109" t="n"/>
      <c r="K447" s="109" t="n"/>
      <c r="L447" s="109" t="n"/>
      <c r="N447" s="109" t="n"/>
      <c r="O447" s="109" t="n"/>
      <c r="P447" s="109" t="n"/>
      <c r="T447" s="109" t="n"/>
      <c r="U447" s="109" t="n"/>
      <c r="V447" s="109" t="n"/>
      <c r="Z447" s="109" t="n"/>
      <c r="AA447" s="109" t="n"/>
      <c r="AB447" s="109" t="n"/>
      <c r="AF447" s="109" t="n"/>
      <c r="AG447" s="109" t="n"/>
      <c r="AH447" s="109" t="n"/>
      <c r="AL447" s="109" t="n"/>
      <c r="AM447" s="109" t="n"/>
      <c r="AN447" s="109" t="n"/>
    </row>
    <row r="448" ht="15.75" customHeight="1" s="216">
      <c r="D448" s="109" t="n"/>
      <c r="E448" s="109" t="n"/>
      <c r="J448" s="109" t="n"/>
      <c r="K448" s="109" t="n"/>
      <c r="L448" s="109" t="n"/>
      <c r="N448" s="109" t="n"/>
      <c r="O448" s="109" t="n"/>
      <c r="P448" s="109" t="n"/>
      <c r="T448" s="109" t="n"/>
      <c r="U448" s="109" t="n"/>
      <c r="V448" s="109" t="n"/>
      <c r="Z448" s="109" t="n"/>
      <c r="AA448" s="109" t="n"/>
      <c r="AB448" s="109" t="n"/>
      <c r="AF448" s="109" t="n"/>
      <c r="AG448" s="109" t="n"/>
      <c r="AH448" s="109" t="n"/>
      <c r="AL448" s="109" t="n"/>
      <c r="AM448" s="109" t="n"/>
      <c r="AN448" s="109" t="n"/>
    </row>
    <row r="449" ht="15.75" customHeight="1" s="216">
      <c r="D449" s="109" t="n"/>
      <c r="E449" s="109" t="n"/>
      <c r="J449" s="109" t="n"/>
      <c r="K449" s="109" t="n"/>
      <c r="L449" s="109" t="n"/>
      <c r="N449" s="109" t="n"/>
      <c r="O449" s="109" t="n"/>
      <c r="P449" s="109" t="n"/>
      <c r="T449" s="109" t="n"/>
      <c r="U449" s="109" t="n"/>
      <c r="V449" s="109" t="n"/>
      <c r="Z449" s="109" t="n"/>
      <c r="AA449" s="109" t="n"/>
      <c r="AB449" s="109" t="n"/>
      <c r="AF449" s="109" t="n"/>
      <c r="AG449" s="109" t="n"/>
      <c r="AH449" s="109" t="n"/>
      <c r="AL449" s="109" t="n"/>
      <c r="AM449" s="109" t="n"/>
      <c r="AN449" s="109" t="n"/>
    </row>
    <row r="450" ht="15.75" customHeight="1" s="216">
      <c r="D450" s="109" t="n"/>
      <c r="E450" s="109" t="n"/>
      <c r="J450" s="109" t="n"/>
      <c r="K450" s="109" t="n"/>
      <c r="L450" s="109" t="n"/>
      <c r="N450" s="109" t="n"/>
      <c r="O450" s="109" t="n"/>
      <c r="P450" s="109" t="n"/>
      <c r="T450" s="109" t="n"/>
      <c r="U450" s="109" t="n"/>
      <c r="V450" s="109" t="n"/>
      <c r="Z450" s="109" t="n"/>
      <c r="AA450" s="109" t="n"/>
      <c r="AB450" s="109" t="n"/>
      <c r="AF450" s="109" t="n"/>
      <c r="AG450" s="109" t="n"/>
      <c r="AH450" s="109" t="n"/>
      <c r="AL450" s="109" t="n"/>
      <c r="AM450" s="109" t="n"/>
      <c r="AN450" s="109" t="n"/>
    </row>
    <row r="451" ht="15.75" customHeight="1" s="216">
      <c r="D451" s="109" t="n"/>
      <c r="E451" s="109" t="n"/>
      <c r="J451" s="109" t="n"/>
      <c r="K451" s="109" t="n"/>
      <c r="L451" s="109" t="n"/>
      <c r="N451" s="109" t="n"/>
      <c r="O451" s="109" t="n"/>
      <c r="P451" s="109" t="n"/>
      <c r="T451" s="109" t="n"/>
      <c r="U451" s="109" t="n"/>
      <c r="V451" s="109" t="n"/>
      <c r="Z451" s="109" t="n"/>
      <c r="AA451" s="109" t="n"/>
      <c r="AB451" s="109" t="n"/>
      <c r="AF451" s="109" t="n"/>
      <c r="AG451" s="109" t="n"/>
      <c r="AH451" s="109" t="n"/>
      <c r="AL451" s="109" t="n"/>
      <c r="AM451" s="109" t="n"/>
      <c r="AN451" s="109" t="n"/>
    </row>
    <row r="452" ht="15.75" customHeight="1" s="216">
      <c r="D452" s="109" t="n"/>
      <c r="E452" s="109" t="n"/>
      <c r="J452" s="109" t="n"/>
      <c r="K452" s="109" t="n"/>
      <c r="L452" s="109" t="n"/>
      <c r="N452" s="109" t="n"/>
      <c r="O452" s="109" t="n"/>
      <c r="P452" s="109" t="n"/>
      <c r="T452" s="109" t="n"/>
      <c r="U452" s="109" t="n"/>
      <c r="V452" s="109" t="n"/>
      <c r="Z452" s="109" t="n"/>
      <c r="AA452" s="109" t="n"/>
      <c r="AB452" s="109" t="n"/>
      <c r="AF452" s="109" t="n"/>
      <c r="AG452" s="109" t="n"/>
      <c r="AH452" s="109" t="n"/>
      <c r="AL452" s="109" t="n"/>
      <c r="AM452" s="109" t="n"/>
      <c r="AN452" s="109" t="n"/>
    </row>
    <row r="453" ht="15.75" customHeight="1" s="216">
      <c r="D453" s="109" t="n"/>
      <c r="E453" s="109" t="n"/>
      <c r="J453" s="109" t="n"/>
      <c r="K453" s="109" t="n"/>
      <c r="L453" s="109" t="n"/>
      <c r="N453" s="109" t="n"/>
      <c r="O453" s="109" t="n"/>
      <c r="P453" s="109" t="n"/>
      <c r="T453" s="109" t="n"/>
      <c r="U453" s="109" t="n"/>
      <c r="V453" s="109" t="n"/>
      <c r="Z453" s="109" t="n"/>
      <c r="AA453" s="109" t="n"/>
      <c r="AB453" s="109" t="n"/>
      <c r="AF453" s="109" t="n"/>
      <c r="AG453" s="109" t="n"/>
      <c r="AH453" s="109" t="n"/>
      <c r="AL453" s="109" t="n"/>
      <c r="AM453" s="109" t="n"/>
      <c r="AN453" s="109" t="n"/>
    </row>
    <row r="454" ht="15.75" customHeight="1" s="216">
      <c r="D454" s="109" t="n"/>
      <c r="E454" s="109" t="n"/>
      <c r="J454" s="109" t="n"/>
      <c r="K454" s="109" t="n"/>
      <c r="L454" s="109" t="n"/>
      <c r="N454" s="109" t="n"/>
      <c r="O454" s="109" t="n"/>
      <c r="P454" s="109" t="n"/>
      <c r="T454" s="109" t="n"/>
      <c r="U454" s="109" t="n"/>
      <c r="V454" s="109" t="n"/>
      <c r="Z454" s="109" t="n"/>
      <c r="AA454" s="109" t="n"/>
      <c r="AB454" s="109" t="n"/>
      <c r="AF454" s="109" t="n"/>
      <c r="AG454" s="109" t="n"/>
      <c r="AH454" s="109" t="n"/>
      <c r="AL454" s="109" t="n"/>
      <c r="AM454" s="109" t="n"/>
      <c r="AN454" s="109" t="n"/>
    </row>
    <row r="455" ht="15.75" customHeight="1" s="216">
      <c r="D455" s="109" t="n"/>
      <c r="E455" s="109" t="n"/>
      <c r="J455" s="109" t="n"/>
      <c r="K455" s="109" t="n"/>
      <c r="L455" s="109" t="n"/>
      <c r="N455" s="109" t="n"/>
      <c r="O455" s="109" t="n"/>
      <c r="P455" s="109" t="n"/>
      <c r="T455" s="109" t="n"/>
      <c r="U455" s="109" t="n"/>
      <c r="V455" s="109" t="n"/>
      <c r="Z455" s="109" t="n"/>
      <c r="AA455" s="109" t="n"/>
      <c r="AB455" s="109" t="n"/>
      <c r="AF455" s="109" t="n"/>
      <c r="AG455" s="109" t="n"/>
      <c r="AH455" s="109" t="n"/>
      <c r="AL455" s="109" t="n"/>
      <c r="AM455" s="109" t="n"/>
      <c r="AN455" s="109" t="n"/>
    </row>
    <row r="456" ht="15.75" customHeight="1" s="216">
      <c r="D456" s="109" t="n"/>
      <c r="E456" s="109" t="n"/>
      <c r="J456" s="109" t="n"/>
      <c r="K456" s="109" t="n"/>
      <c r="L456" s="109" t="n"/>
      <c r="N456" s="109" t="n"/>
      <c r="O456" s="109" t="n"/>
      <c r="P456" s="109" t="n"/>
      <c r="T456" s="109" t="n"/>
      <c r="U456" s="109" t="n"/>
      <c r="V456" s="109" t="n"/>
      <c r="Z456" s="109" t="n"/>
      <c r="AA456" s="109" t="n"/>
      <c r="AB456" s="109" t="n"/>
      <c r="AF456" s="109" t="n"/>
      <c r="AG456" s="109" t="n"/>
      <c r="AH456" s="109" t="n"/>
      <c r="AL456" s="109" t="n"/>
      <c r="AM456" s="109" t="n"/>
      <c r="AN456" s="109" t="n"/>
    </row>
    <row r="457" ht="15.75" customHeight="1" s="216">
      <c r="D457" s="109" t="n"/>
      <c r="E457" s="109" t="n"/>
      <c r="J457" s="109" t="n"/>
      <c r="K457" s="109" t="n"/>
      <c r="L457" s="109" t="n"/>
      <c r="N457" s="109" t="n"/>
      <c r="O457" s="109" t="n"/>
      <c r="P457" s="109" t="n"/>
      <c r="T457" s="109" t="n"/>
      <c r="U457" s="109" t="n"/>
      <c r="V457" s="109" t="n"/>
      <c r="Z457" s="109" t="n"/>
      <c r="AA457" s="109" t="n"/>
      <c r="AB457" s="109" t="n"/>
      <c r="AF457" s="109" t="n"/>
      <c r="AG457" s="109" t="n"/>
      <c r="AH457" s="109" t="n"/>
      <c r="AL457" s="109" t="n"/>
      <c r="AM457" s="109" t="n"/>
      <c r="AN457" s="109" t="n"/>
    </row>
    <row r="458" ht="15.75" customHeight="1" s="216">
      <c r="D458" s="109" t="n"/>
      <c r="E458" s="109" t="n"/>
      <c r="J458" s="109" t="n"/>
      <c r="K458" s="109" t="n"/>
      <c r="L458" s="109" t="n"/>
      <c r="N458" s="109" t="n"/>
      <c r="O458" s="109" t="n"/>
      <c r="P458" s="109" t="n"/>
      <c r="T458" s="109" t="n"/>
      <c r="U458" s="109" t="n"/>
      <c r="V458" s="109" t="n"/>
      <c r="Z458" s="109" t="n"/>
      <c r="AA458" s="109" t="n"/>
      <c r="AB458" s="109" t="n"/>
      <c r="AF458" s="109" t="n"/>
      <c r="AG458" s="109" t="n"/>
      <c r="AH458" s="109" t="n"/>
      <c r="AL458" s="109" t="n"/>
      <c r="AM458" s="109" t="n"/>
      <c r="AN458" s="109" t="n"/>
    </row>
    <row r="459" ht="15.75" customHeight="1" s="216">
      <c r="D459" s="109" t="n"/>
      <c r="E459" s="109" t="n"/>
      <c r="J459" s="109" t="n"/>
      <c r="K459" s="109" t="n"/>
      <c r="L459" s="109" t="n"/>
      <c r="N459" s="109" t="n"/>
      <c r="O459" s="109" t="n"/>
      <c r="P459" s="109" t="n"/>
      <c r="T459" s="109" t="n"/>
      <c r="U459" s="109" t="n"/>
      <c r="V459" s="109" t="n"/>
      <c r="Z459" s="109" t="n"/>
      <c r="AA459" s="109" t="n"/>
      <c r="AB459" s="109" t="n"/>
      <c r="AF459" s="109" t="n"/>
      <c r="AG459" s="109" t="n"/>
      <c r="AH459" s="109" t="n"/>
      <c r="AL459" s="109" t="n"/>
      <c r="AM459" s="109" t="n"/>
      <c r="AN459" s="109" t="n"/>
    </row>
    <row r="460" ht="15.75" customHeight="1" s="216">
      <c r="D460" s="109" t="n"/>
      <c r="E460" s="109" t="n"/>
      <c r="J460" s="109" t="n"/>
      <c r="K460" s="109" t="n"/>
      <c r="L460" s="109" t="n"/>
      <c r="N460" s="109" t="n"/>
      <c r="O460" s="109" t="n"/>
      <c r="P460" s="109" t="n"/>
      <c r="T460" s="109" t="n"/>
      <c r="U460" s="109" t="n"/>
      <c r="V460" s="109" t="n"/>
      <c r="Z460" s="109" t="n"/>
      <c r="AA460" s="109" t="n"/>
      <c r="AB460" s="109" t="n"/>
      <c r="AF460" s="109" t="n"/>
      <c r="AG460" s="109" t="n"/>
      <c r="AH460" s="109" t="n"/>
      <c r="AL460" s="109" t="n"/>
      <c r="AM460" s="109" t="n"/>
      <c r="AN460" s="109" t="n"/>
    </row>
    <row r="461" ht="15.75" customHeight="1" s="216">
      <c r="D461" s="109" t="n"/>
      <c r="E461" s="109" t="n"/>
      <c r="J461" s="109" t="n"/>
      <c r="K461" s="109" t="n"/>
      <c r="L461" s="109" t="n"/>
      <c r="N461" s="109" t="n"/>
      <c r="O461" s="109" t="n"/>
      <c r="P461" s="109" t="n"/>
      <c r="T461" s="109" t="n"/>
      <c r="U461" s="109" t="n"/>
      <c r="V461" s="109" t="n"/>
      <c r="Z461" s="109" t="n"/>
      <c r="AA461" s="109" t="n"/>
      <c r="AB461" s="109" t="n"/>
      <c r="AF461" s="109" t="n"/>
      <c r="AG461" s="109" t="n"/>
      <c r="AH461" s="109" t="n"/>
      <c r="AL461" s="109" t="n"/>
      <c r="AM461" s="109" t="n"/>
      <c r="AN461" s="109" t="n"/>
    </row>
    <row r="462" ht="15.75" customHeight="1" s="216">
      <c r="D462" s="109" t="n"/>
      <c r="E462" s="109" t="n"/>
      <c r="J462" s="109" t="n"/>
      <c r="K462" s="109" t="n"/>
      <c r="L462" s="109" t="n"/>
      <c r="N462" s="109" t="n"/>
      <c r="O462" s="109" t="n"/>
      <c r="P462" s="109" t="n"/>
      <c r="T462" s="109" t="n"/>
      <c r="U462" s="109" t="n"/>
      <c r="V462" s="109" t="n"/>
      <c r="Z462" s="109" t="n"/>
      <c r="AA462" s="109" t="n"/>
      <c r="AB462" s="109" t="n"/>
      <c r="AF462" s="109" t="n"/>
      <c r="AG462" s="109" t="n"/>
      <c r="AH462" s="109" t="n"/>
      <c r="AL462" s="109" t="n"/>
      <c r="AM462" s="109" t="n"/>
      <c r="AN462" s="109" t="n"/>
    </row>
    <row r="463" ht="15.75" customHeight="1" s="216">
      <c r="D463" s="109" t="n"/>
      <c r="E463" s="109" t="n"/>
      <c r="J463" s="109" t="n"/>
      <c r="K463" s="109" t="n"/>
      <c r="L463" s="109" t="n"/>
      <c r="N463" s="109" t="n"/>
      <c r="O463" s="109" t="n"/>
      <c r="P463" s="109" t="n"/>
      <c r="T463" s="109" t="n"/>
      <c r="U463" s="109" t="n"/>
      <c r="V463" s="109" t="n"/>
      <c r="Z463" s="109" t="n"/>
      <c r="AA463" s="109" t="n"/>
      <c r="AB463" s="109" t="n"/>
      <c r="AF463" s="109" t="n"/>
      <c r="AG463" s="109" t="n"/>
      <c r="AH463" s="109" t="n"/>
      <c r="AL463" s="109" t="n"/>
      <c r="AM463" s="109" t="n"/>
      <c r="AN463" s="109" t="n"/>
    </row>
    <row r="464" ht="15.75" customHeight="1" s="216">
      <c r="D464" s="109" t="n"/>
      <c r="E464" s="109" t="n"/>
      <c r="J464" s="109" t="n"/>
      <c r="K464" s="109" t="n"/>
      <c r="L464" s="109" t="n"/>
      <c r="N464" s="109" t="n"/>
      <c r="O464" s="109" t="n"/>
      <c r="P464" s="109" t="n"/>
      <c r="T464" s="109" t="n"/>
      <c r="U464" s="109" t="n"/>
      <c r="V464" s="109" t="n"/>
      <c r="Z464" s="109" t="n"/>
      <c r="AA464" s="109" t="n"/>
      <c r="AB464" s="109" t="n"/>
      <c r="AF464" s="109" t="n"/>
      <c r="AG464" s="109" t="n"/>
      <c r="AH464" s="109" t="n"/>
      <c r="AL464" s="109" t="n"/>
      <c r="AM464" s="109" t="n"/>
      <c r="AN464" s="109" t="n"/>
    </row>
    <row r="465" ht="15.75" customHeight="1" s="216">
      <c r="D465" s="109" t="n"/>
      <c r="E465" s="109" t="n"/>
      <c r="J465" s="109" t="n"/>
      <c r="K465" s="109" t="n"/>
      <c r="L465" s="109" t="n"/>
      <c r="N465" s="109" t="n"/>
      <c r="O465" s="109" t="n"/>
      <c r="P465" s="109" t="n"/>
      <c r="T465" s="109" t="n"/>
      <c r="U465" s="109" t="n"/>
      <c r="V465" s="109" t="n"/>
      <c r="Z465" s="109" t="n"/>
      <c r="AA465" s="109" t="n"/>
      <c r="AB465" s="109" t="n"/>
      <c r="AF465" s="109" t="n"/>
      <c r="AG465" s="109" t="n"/>
      <c r="AH465" s="109" t="n"/>
      <c r="AL465" s="109" t="n"/>
      <c r="AM465" s="109" t="n"/>
      <c r="AN465" s="109" t="n"/>
    </row>
    <row r="466" ht="15.75" customHeight="1" s="216">
      <c r="D466" s="109" t="n"/>
      <c r="E466" s="109" t="n"/>
      <c r="J466" s="109" t="n"/>
      <c r="K466" s="109" t="n"/>
      <c r="L466" s="109" t="n"/>
      <c r="N466" s="109" t="n"/>
      <c r="O466" s="109" t="n"/>
      <c r="P466" s="109" t="n"/>
      <c r="T466" s="109" t="n"/>
      <c r="U466" s="109" t="n"/>
      <c r="V466" s="109" t="n"/>
      <c r="Z466" s="109" t="n"/>
      <c r="AA466" s="109" t="n"/>
      <c r="AB466" s="109" t="n"/>
      <c r="AF466" s="109" t="n"/>
      <c r="AG466" s="109" t="n"/>
      <c r="AH466" s="109" t="n"/>
      <c r="AL466" s="109" t="n"/>
      <c r="AM466" s="109" t="n"/>
      <c r="AN466" s="109" t="n"/>
    </row>
    <row r="467" ht="15.75" customHeight="1" s="216">
      <c r="D467" s="109" t="n"/>
      <c r="E467" s="109" t="n"/>
      <c r="J467" s="109" t="n"/>
      <c r="K467" s="109" t="n"/>
      <c r="L467" s="109" t="n"/>
      <c r="N467" s="109" t="n"/>
      <c r="O467" s="109" t="n"/>
      <c r="P467" s="109" t="n"/>
      <c r="T467" s="109" t="n"/>
      <c r="U467" s="109" t="n"/>
      <c r="V467" s="109" t="n"/>
      <c r="Z467" s="109" t="n"/>
      <c r="AA467" s="109" t="n"/>
      <c r="AB467" s="109" t="n"/>
      <c r="AF467" s="109" t="n"/>
      <c r="AG467" s="109" t="n"/>
      <c r="AH467" s="109" t="n"/>
      <c r="AL467" s="109" t="n"/>
      <c r="AM467" s="109" t="n"/>
      <c r="AN467" s="109" t="n"/>
    </row>
    <row r="468" ht="15.75" customHeight="1" s="216">
      <c r="D468" s="109" t="n"/>
      <c r="E468" s="109" t="n"/>
      <c r="J468" s="109" t="n"/>
      <c r="K468" s="109" t="n"/>
      <c r="L468" s="109" t="n"/>
      <c r="N468" s="109" t="n"/>
      <c r="O468" s="109" t="n"/>
      <c r="P468" s="109" t="n"/>
      <c r="T468" s="109" t="n"/>
      <c r="U468" s="109" t="n"/>
      <c r="V468" s="109" t="n"/>
      <c r="Z468" s="109" t="n"/>
      <c r="AA468" s="109" t="n"/>
      <c r="AB468" s="109" t="n"/>
      <c r="AF468" s="109" t="n"/>
      <c r="AG468" s="109" t="n"/>
      <c r="AH468" s="109" t="n"/>
      <c r="AL468" s="109" t="n"/>
      <c r="AM468" s="109" t="n"/>
      <c r="AN468" s="109" t="n"/>
    </row>
    <row r="469" ht="15.75" customHeight="1" s="216">
      <c r="D469" s="109" t="n"/>
      <c r="E469" s="109" t="n"/>
      <c r="J469" s="109" t="n"/>
      <c r="K469" s="109" t="n"/>
      <c r="L469" s="109" t="n"/>
      <c r="N469" s="109" t="n"/>
      <c r="O469" s="109" t="n"/>
      <c r="P469" s="109" t="n"/>
      <c r="T469" s="109" t="n"/>
      <c r="U469" s="109" t="n"/>
      <c r="V469" s="109" t="n"/>
      <c r="Z469" s="109" t="n"/>
      <c r="AA469" s="109" t="n"/>
      <c r="AB469" s="109" t="n"/>
      <c r="AF469" s="109" t="n"/>
      <c r="AG469" s="109" t="n"/>
      <c r="AH469" s="109" t="n"/>
      <c r="AL469" s="109" t="n"/>
      <c r="AM469" s="109" t="n"/>
      <c r="AN469" s="109" t="n"/>
    </row>
    <row r="470" ht="15.75" customHeight="1" s="216">
      <c r="D470" s="109" t="n"/>
      <c r="E470" s="109" t="n"/>
      <c r="J470" s="109" t="n"/>
      <c r="K470" s="109" t="n"/>
      <c r="L470" s="109" t="n"/>
      <c r="N470" s="109" t="n"/>
      <c r="O470" s="109" t="n"/>
      <c r="P470" s="109" t="n"/>
      <c r="T470" s="109" t="n"/>
      <c r="U470" s="109" t="n"/>
      <c r="V470" s="109" t="n"/>
      <c r="Z470" s="109" t="n"/>
      <c r="AA470" s="109" t="n"/>
      <c r="AB470" s="109" t="n"/>
      <c r="AF470" s="109" t="n"/>
      <c r="AG470" s="109" t="n"/>
      <c r="AH470" s="109" t="n"/>
      <c r="AL470" s="109" t="n"/>
      <c r="AM470" s="109" t="n"/>
      <c r="AN470" s="109" t="n"/>
    </row>
    <row r="471" ht="15.75" customHeight="1" s="216">
      <c r="D471" s="109" t="n"/>
      <c r="E471" s="109" t="n"/>
      <c r="J471" s="109" t="n"/>
      <c r="K471" s="109" t="n"/>
      <c r="L471" s="109" t="n"/>
      <c r="N471" s="109" t="n"/>
      <c r="O471" s="109" t="n"/>
      <c r="P471" s="109" t="n"/>
      <c r="T471" s="109" t="n"/>
      <c r="U471" s="109" t="n"/>
      <c r="V471" s="109" t="n"/>
      <c r="Z471" s="109" t="n"/>
      <c r="AA471" s="109" t="n"/>
      <c r="AB471" s="109" t="n"/>
      <c r="AF471" s="109" t="n"/>
      <c r="AG471" s="109" t="n"/>
      <c r="AH471" s="109" t="n"/>
      <c r="AL471" s="109" t="n"/>
      <c r="AM471" s="109" t="n"/>
      <c r="AN471" s="109" t="n"/>
    </row>
    <row r="472" ht="15.75" customHeight="1" s="216">
      <c r="D472" s="109" t="n"/>
      <c r="E472" s="109" t="n"/>
      <c r="J472" s="109" t="n"/>
      <c r="K472" s="109" t="n"/>
      <c r="L472" s="109" t="n"/>
      <c r="N472" s="109" t="n"/>
      <c r="O472" s="109" t="n"/>
      <c r="P472" s="109" t="n"/>
      <c r="T472" s="109" t="n"/>
      <c r="U472" s="109" t="n"/>
      <c r="V472" s="109" t="n"/>
      <c r="Z472" s="109" t="n"/>
      <c r="AA472" s="109" t="n"/>
      <c r="AB472" s="109" t="n"/>
      <c r="AF472" s="109" t="n"/>
      <c r="AG472" s="109" t="n"/>
      <c r="AH472" s="109" t="n"/>
      <c r="AL472" s="109" t="n"/>
      <c r="AM472" s="109" t="n"/>
      <c r="AN472" s="109" t="n"/>
    </row>
    <row r="473" ht="15.75" customHeight="1" s="216">
      <c r="D473" s="109" t="n"/>
      <c r="E473" s="109" t="n"/>
      <c r="J473" s="109" t="n"/>
      <c r="K473" s="109" t="n"/>
      <c r="L473" s="109" t="n"/>
      <c r="N473" s="109" t="n"/>
      <c r="O473" s="109" t="n"/>
      <c r="P473" s="109" t="n"/>
      <c r="T473" s="109" t="n"/>
      <c r="U473" s="109" t="n"/>
      <c r="V473" s="109" t="n"/>
      <c r="Z473" s="109" t="n"/>
      <c r="AA473" s="109" t="n"/>
      <c r="AB473" s="109" t="n"/>
      <c r="AF473" s="109" t="n"/>
      <c r="AG473" s="109" t="n"/>
      <c r="AH473" s="109" t="n"/>
      <c r="AL473" s="109" t="n"/>
      <c r="AM473" s="109" t="n"/>
      <c r="AN473" s="109" t="n"/>
    </row>
    <row r="474" ht="15.75" customHeight="1" s="216">
      <c r="D474" s="109" t="n"/>
      <c r="E474" s="109" t="n"/>
      <c r="J474" s="109" t="n"/>
      <c r="K474" s="109" t="n"/>
      <c r="L474" s="109" t="n"/>
      <c r="N474" s="109" t="n"/>
      <c r="O474" s="109" t="n"/>
      <c r="P474" s="109" t="n"/>
      <c r="T474" s="109" t="n"/>
      <c r="U474" s="109" t="n"/>
      <c r="V474" s="109" t="n"/>
      <c r="Z474" s="109" t="n"/>
      <c r="AA474" s="109" t="n"/>
      <c r="AB474" s="109" t="n"/>
      <c r="AF474" s="109" t="n"/>
      <c r="AG474" s="109" t="n"/>
      <c r="AH474" s="109" t="n"/>
      <c r="AL474" s="109" t="n"/>
      <c r="AM474" s="109" t="n"/>
      <c r="AN474" s="109" t="n"/>
    </row>
    <row r="475" ht="15.75" customHeight="1" s="216">
      <c r="D475" s="109" t="n"/>
      <c r="E475" s="109" t="n"/>
      <c r="J475" s="109" t="n"/>
      <c r="K475" s="109" t="n"/>
      <c r="L475" s="109" t="n"/>
      <c r="N475" s="109" t="n"/>
      <c r="O475" s="109" t="n"/>
      <c r="P475" s="109" t="n"/>
      <c r="T475" s="109" t="n"/>
      <c r="U475" s="109" t="n"/>
      <c r="V475" s="109" t="n"/>
      <c r="Z475" s="109" t="n"/>
      <c r="AA475" s="109" t="n"/>
      <c r="AB475" s="109" t="n"/>
      <c r="AF475" s="109" t="n"/>
      <c r="AG475" s="109" t="n"/>
      <c r="AH475" s="109" t="n"/>
      <c r="AL475" s="109" t="n"/>
      <c r="AM475" s="109" t="n"/>
      <c r="AN475" s="109" t="n"/>
    </row>
    <row r="476" ht="15.75" customHeight="1" s="216">
      <c r="D476" s="109" t="n"/>
      <c r="E476" s="109" t="n"/>
      <c r="J476" s="109" t="n"/>
      <c r="K476" s="109" t="n"/>
      <c r="L476" s="109" t="n"/>
      <c r="N476" s="109" t="n"/>
      <c r="O476" s="109" t="n"/>
      <c r="P476" s="109" t="n"/>
      <c r="T476" s="109" t="n"/>
      <c r="U476" s="109" t="n"/>
      <c r="V476" s="109" t="n"/>
      <c r="Z476" s="109" t="n"/>
      <c r="AA476" s="109" t="n"/>
      <c r="AB476" s="109" t="n"/>
      <c r="AF476" s="109" t="n"/>
      <c r="AG476" s="109" t="n"/>
      <c r="AH476" s="109" t="n"/>
      <c r="AL476" s="109" t="n"/>
      <c r="AM476" s="109" t="n"/>
      <c r="AN476" s="109" t="n"/>
    </row>
    <row r="477" ht="15.75" customHeight="1" s="216">
      <c r="D477" s="109" t="n"/>
      <c r="E477" s="109" t="n"/>
      <c r="J477" s="109" t="n"/>
      <c r="K477" s="109" t="n"/>
      <c r="L477" s="109" t="n"/>
      <c r="N477" s="109" t="n"/>
      <c r="O477" s="109" t="n"/>
      <c r="P477" s="109" t="n"/>
      <c r="T477" s="109" t="n"/>
      <c r="U477" s="109" t="n"/>
      <c r="V477" s="109" t="n"/>
      <c r="Z477" s="109" t="n"/>
      <c r="AA477" s="109" t="n"/>
      <c r="AB477" s="109" t="n"/>
      <c r="AF477" s="109" t="n"/>
      <c r="AG477" s="109" t="n"/>
      <c r="AH477" s="109" t="n"/>
      <c r="AL477" s="109" t="n"/>
      <c r="AM477" s="109" t="n"/>
      <c r="AN477" s="109" t="n"/>
    </row>
    <row r="478" ht="15.75" customHeight="1" s="216">
      <c r="D478" s="109" t="n"/>
      <c r="E478" s="109" t="n"/>
      <c r="J478" s="109" t="n"/>
      <c r="K478" s="109" t="n"/>
      <c r="L478" s="109" t="n"/>
      <c r="N478" s="109" t="n"/>
      <c r="O478" s="109" t="n"/>
      <c r="P478" s="109" t="n"/>
      <c r="T478" s="109" t="n"/>
      <c r="U478" s="109" t="n"/>
      <c r="V478" s="109" t="n"/>
      <c r="Z478" s="109" t="n"/>
      <c r="AA478" s="109" t="n"/>
      <c r="AB478" s="109" t="n"/>
      <c r="AF478" s="109" t="n"/>
      <c r="AG478" s="109" t="n"/>
      <c r="AH478" s="109" t="n"/>
      <c r="AL478" s="109" t="n"/>
      <c r="AM478" s="109" t="n"/>
      <c r="AN478" s="109" t="n"/>
    </row>
    <row r="479" ht="15.75" customHeight="1" s="216">
      <c r="D479" s="109" t="n"/>
      <c r="E479" s="109" t="n"/>
      <c r="J479" s="109" t="n"/>
      <c r="K479" s="109" t="n"/>
      <c r="L479" s="109" t="n"/>
      <c r="N479" s="109" t="n"/>
      <c r="O479" s="109" t="n"/>
      <c r="P479" s="109" t="n"/>
      <c r="T479" s="109" t="n"/>
      <c r="U479" s="109" t="n"/>
      <c r="V479" s="109" t="n"/>
      <c r="Z479" s="109" t="n"/>
      <c r="AA479" s="109" t="n"/>
      <c r="AB479" s="109" t="n"/>
      <c r="AF479" s="109" t="n"/>
      <c r="AG479" s="109" t="n"/>
      <c r="AH479" s="109" t="n"/>
      <c r="AL479" s="109" t="n"/>
      <c r="AM479" s="109" t="n"/>
      <c r="AN479" s="109" t="n"/>
    </row>
    <row r="480" ht="15.75" customHeight="1" s="216">
      <c r="D480" s="109" t="n"/>
      <c r="E480" s="109" t="n"/>
      <c r="J480" s="109" t="n"/>
      <c r="K480" s="109" t="n"/>
      <c r="L480" s="109" t="n"/>
      <c r="N480" s="109" t="n"/>
      <c r="O480" s="109" t="n"/>
      <c r="P480" s="109" t="n"/>
      <c r="T480" s="109" t="n"/>
      <c r="U480" s="109" t="n"/>
      <c r="V480" s="109" t="n"/>
      <c r="Z480" s="109" t="n"/>
      <c r="AA480" s="109" t="n"/>
      <c r="AB480" s="109" t="n"/>
      <c r="AF480" s="109" t="n"/>
      <c r="AG480" s="109" t="n"/>
      <c r="AH480" s="109" t="n"/>
      <c r="AL480" s="109" t="n"/>
      <c r="AM480" s="109" t="n"/>
      <c r="AN480" s="109" t="n"/>
    </row>
    <row r="481" ht="15.75" customHeight="1" s="216">
      <c r="D481" s="109" t="n"/>
      <c r="E481" s="109" t="n"/>
      <c r="J481" s="109" t="n"/>
      <c r="K481" s="109" t="n"/>
      <c r="L481" s="109" t="n"/>
      <c r="N481" s="109" t="n"/>
      <c r="O481" s="109" t="n"/>
      <c r="P481" s="109" t="n"/>
      <c r="T481" s="109" t="n"/>
      <c r="U481" s="109" t="n"/>
      <c r="V481" s="109" t="n"/>
      <c r="Z481" s="109" t="n"/>
      <c r="AA481" s="109" t="n"/>
      <c r="AB481" s="109" t="n"/>
      <c r="AF481" s="109" t="n"/>
      <c r="AG481" s="109" t="n"/>
      <c r="AH481" s="109" t="n"/>
      <c r="AL481" s="109" t="n"/>
      <c r="AM481" s="109" t="n"/>
      <c r="AN481" s="109" t="n"/>
    </row>
    <row r="482" ht="15.75" customHeight="1" s="216">
      <c r="D482" s="109" t="n"/>
      <c r="E482" s="109" t="n"/>
      <c r="J482" s="109" t="n"/>
      <c r="K482" s="109" t="n"/>
      <c r="L482" s="109" t="n"/>
      <c r="N482" s="109" t="n"/>
      <c r="O482" s="109" t="n"/>
      <c r="P482" s="109" t="n"/>
      <c r="T482" s="109" t="n"/>
      <c r="U482" s="109" t="n"/>
      <c r="V482" s="109" t="n"/>
      <c r="Z482" s="109" t="n"/>
      <c r="AA482" s="109" t="n"/>
      <c r="AB482" s="109" t="n"/>
      <c r="AF482" s="109" t="n"/>
      <c r="AG482" s="109" t="n"/>
      <c r="AH482" s="109" t="n"/>
      <c r="AL482" s="109" t="n"/>
      <c r="AM482" s="109" t="n"/>
      <c r="AN482" s="109" t="n"/>
    </row>
    <row r="483" ht="15.75" customHeight="1" s="216">
      <c r="D483" s="109" t="n"/>
      <c r="E483" s="109" t="n"/>
      <c r="J483" s="109" t="n"/>
      <c r="K483" s="109" t="n"/>
      <c r="L483" s="109" t="n"/>
      <c r="N483" s="109" t="n"/>
      <c r="O483" s="109" t="n"/>
      <c r="P483" s="109" t="n"/>
      <c r="T483" s="109" t="n"/>
      <c r="U483" s="109" t="n"/>
      <c r="V483" s="109" t="n"/>
      <c r="Z483" s="109" t="n"/>
      <c r="AA483" s="109" t="n"/>
      <c r="AB483" s="109" t="n"/>
      <c r="AF483" s="109" t="n"/>
      <c r="AG483" s="109" t="n"/>
      <c r="AH483" s="109" t="n"/>
      <c r="AL483" s="109" t="n"/>
      <c r="AM483" s="109" t="n"/>
      <c r="AN483" s="109" t="n"/>
    </row>
    <row r="484" ht="15.75" customHeight="1" s="216">
      <c r="D484" s="109" t="n"/>
      <c r="E484" s="109" t="n"/>
      <c r="J484" s="109" t="n"/>
      <c r="K484" s="109" t="n"/>
      <c r="L484" s="109" t="n"/>
      <c r="N484" s="109" t="n"/>
      <c r="O484" s="109" t="n"/>
      <c r="P484" s="109" t="n"/>
      <c r="T484" s="109" t="n"/>
      <c r="U484" s="109" t="n"/>
      <c r="V484" s="109" t="n"/>
      <c r="Z484" s="109" t="n"/>
      <c r="AA484" s="109" t="n"/>
      <c r="AB484" s="109" t="n"/>
      <c r="AF484" s="109" t="n"/>
      <c r="AG484" s="109" t="n"/>
      <c r="AH484" s="109" t="n"/>
      <c r="AL484" s="109" t="n"/>
      <c r="AM484" s="109" t="n"/>
      <c r="AN484" s="109" t="n"/>
    </row>
    <row r="485" ht="15.75" customHeight="1" s="216">
      <c r="D485" s="109" t="n"/>
      <c r="E485" s="109" t="n"/>
      <c r="J485" s="109" t="n"/>
      <c r="K485" s="109" t="n"/>
      <c r="L485" s="109" t="n"/>
      <c r="N485" s="109" t="n"/>
      <c r="O485" s="109" t="n"/>
      <c r="P485" s="109" t="n"/>
      <c r="T485" s="109" t="n"/>
      <c r="U485" s="109" t="n"/>
      <c r="V485" s="109" t="n"/>
      <c r="Z485" s="109" t="n"/>
      <c r="AA485" s="109" t="n"/>
      <c r="AB485" s="109" t="n"/>
      <c r="AF485" s="109" t="n"/>
      <c r="AG485" s="109" t="n"/>
      <c r="AH485" s="109" t="n"/>
      <c r="AL485" s="109" t="n"/>
      <c r="AM485" s="109" t="n"/>
      <c r="AN485" s="109" t="n"/>
    </row>
    <row r="486" ht="15.75" customHeight="1" s="216">
      <c r="D486" s="109" t="n"/>
      <c r="E486" s="109" t="n"/>
      <c r="J486" s="109" t="n"/>
      <c r="K486" s="109" t="n"/>
      <c r="L486" s="109" t="n"/>
      <c r="N486" s="109" t="n"/>
      <c r="O486" s="109" t="n"/>
      <c r="P486" s="109" t="n"/>
      <c r="T486" s="109" t="n"/>
      <c r="U486" s="109" t="n"/>
      <c r="V486" s="109" t="n"/>
      <c r="Z486" s="109" t="n"/>
      <c r="AA486" s="109" t="n"/>
      <c r="AB486" s="109" t="n"/>
      <c r="AF486" s="109" t="n"/>
      <c r="AG486" s="109" t="n"/>
      <c r="AH486" s="109" t="n"/>
      <c r="AL486" s="109" t="n"/>
      <c r="AM486" s="109" t="n"/>
      <c r="AN486" s="109" t="n"/>
    </row>
    <row r="487" ht="15.75" customHeight="1" s="216">
      <c r="D487" s="109" t="n"/>
      <c r="E487" s="109" t="n"/>
      <c r="J487" s="109" t="n"/>
      <c r="K487" s="109" t="n"/>
      <c r="L487" s="109" t="n"/>
      <c r="N487" s="109" t="n"/>
      <c r="O487" s="109" t="n"/>
      <c r="P487" s="109" t="n"/>
      <c r="T487" s="109" t="n"/>
      <c r="U487" s="109" t="n"/>
      <c r="V487" s="109" t="n"/>
      <c r="Z487" s="109" t="n"/>
      <c r="AA487" s="109" t="n"/>
      <c r="AB487" s="109" t="n"/>
      <c r="AF487" s="109" t="n"/>
      <c r="AG487" s="109" t="n"/>
      <c r="AH487" s="109" t="n"/>
      <c r="AL487" s="109" t="n"/>
      <c r="AM487" s="109" t="n"/>
      <c r="AN487" s="109" t="n"/>
    </row>
    <row r="488" ht="15.75" customHeight="1" s="216">
      <c r="D488" s="109" t="n"/>
      <c r="E488" s="109" t="n"/>
      <c r="J488" s="109" t="n"/>
      <c r="K488" s="109" t="n"/>
      <c r="L488" s="109" t="n"/>
      <c r="N488" s="109" t="n"/>
      <c r="O488" s="109" t="n"/>
      <c r="P488" s="109" t="n"/>
      <c r="T488" s="109" t="n"/>
      <c r="U488" s="109" t="n"/>
      <c r="V488" s="109" t="n"/>
      <c r="Z488" s="109" t="n"/>
      <c r="AA488" s="109" t="n"/>
      <c r="AB488" s="109" t="n"/>
      <c r="AF488" s="109" t="n"/>
      <c r="AG488" s="109" t="n"/>
      <c r="AH488" s="109" t="n"/>
      <c r="AL488" s="109" t="n"/>
      <c r="AM488" s="109" t="n"/>
      <c r="AN488" s="109" t="n"/>
    </row>
    <row r="489" ht="15.75" customHeight="1" s="216">
      <c r="D489" s="109" t="n"/>
      <c r="E489" s="109" t="n"/>
      <c r="J489" s="109" t="n"/>
      <c r="K489" s="109" t="n"/>
      <c r="L489" s="109" t="n"/>
      <c r="N489" s="109" t="n"/>
      <c r="O489" s="109" t="n"/>
      <c r="P489" s="109" t="n"/>
      <c r="T489" s="109" t="n"/>
      <c r="U489" s="109" t="n"/>
      <c r="V489" s="109" t="n"/>
      <c r="Z489" s="109" t="n"/>
      <c r="AA489" s="109" t="n"/>
      <c r="AB489" s="109" t="n"/>
      <c r="AF489" s="109" t="n"/>
      <c r="AG489" s="109" t="n"/>
      <c r="AH489" s="109" t="n"/>
      <c r="AL489" s="109" t="n"/>
      <c r="AM489" s="109" t="n"/>
      <c r="AN489" s="109" t="n"/>
    </row>
    <row r="490" ht="15.75" customHeight="1" s="216">
      <c r="D490" s="109" t="n"/>
      <c r="E490" s="109" t="n"/>
      <c r="J490" s="109" t="n"/>
      <c r="K490" s="109" t="n"/>
      <c r="L490" s="109" t="n"/>
      <c r="N490" s="109" t="n"/>
      <c r="O490" s="109" t="n"/>
      <c r="P490" s="109" t="n"/>
      <c r="T490" s="109" t="n"/>
      <c r="U490" s="109" t="n"/>
      <c r="V490" s="109" t="n"/>
      <c r="Z490" s="109" t="n"/>
      <c r="AA490" s="109" t="n"/>
      <c r="AB490" s="109" t="n"/>
      <c r="AF490" s="109" t="n"/>
      <c r="AG490" s="109" t="n"/>
      <c r="AH490" s="109" t="n"/>
      <c r="AL490" s="109" t="n"/>
      <c r="AM490" s="109" t="n"/>
      <c r="AN490" s="109" t="n"/>
    </row>
    <row r="491" ht="15.75" customHeight="1" s="216">
      <c r="D491" s="109" t="n"/>
      <c r="E491" s="109" t="n"/>
      <c r="J491" s="109" t="n"/>
      <c r="K491" s="109" t="n"/>
      <c r="L491" s="109" t="n"/>
      <c r="N491" s="109" t="n"/>
      <c r="O491" s="109" t="n"/>
      <c r="P491" s="109" t="n"/>
      <c r="T491" s="109" t="n"/>
      <c r="U491" s="109" t="n"/>
      <c r="V491" s="109" t="n"/>
      <c r="Z491" s="109" t="n"/>
      <c r="AA491" s="109" t="n"/>
      <c r="AB491" s="109" t="n"/>
      <c r="AF491" s="109" t="n"/>
      <c r="AG491" s="109" t="n"/>
      <c r="AH491" s="109" t="n"/>
      <c r="AL491" s="109" t="n"/>
      <c r="AM491" s="109" t="n"/>
      <c r="AN491" s="109" t="n"/>
    </row>
    <row r="492" ht="15.75" customHeight="1" s="216">
      <c r="D492" s="109" t="n"/>
      <c r="E492" s="109" t="n"/>
      <c r="J492" s="109" t="n"/>
      <c r="K492" s="109" t="n"/>
      <c r="L492" s="109" t="n"/>
      <c r="N492" s="109" t="n"/>
      <c r="O492" s="109" t="n"/>
      <c r="P492" s="109" t="n"/>
      <c r="T492" s="109" t="n"/>
      <c r="U492" s="109" t="n"/>
      <c r="V492" s="109" t="n"/>
      <c r="Z492" s="109" t="n"/>
      <c r="AA492" s="109" t="n"/>
      <c r="AB492" s="109" t="n"/>
      <c r="AF492" s="109" t="n"/>
      <c r="AG492" s="109" t="n"/>
      <c r="AH492" s="109" t="n"/>
      <c r="AL492" s="109" t="n"/>
      <c r="AM492" s="109" t="n"/>
      <c r="AN492" s="109" t="n"/>
    </row>
    <row r="493" ht="15.75" customHeight="1" s="216">
      <c r="D493" s="109" t="n"/>
      <c r="E493" s="109" t="n"/>
      <c r="J493" s="109" t="n"/>
      <c r="K493" s="109" t="n"/>
      <c r="L493" s="109" t="n"/>
      <c r="N493" s="109" t="n"/>
      <c r="O493" s="109" t="n"/>
      <c r="P493" s="109" t="n"/>
      <c r="T493" s="109" t="n"/>
      <c r="U493" s="109" t="n"/>
      <c r="V493" s="109" t="n"/>
      <c r="Z493" s="109" t="n"/>
      <c r="AA493" s="109" t="n"/>
      <c r="AB493" s="109" t="n"/>
      <c r="AF493" s="109" t="n"/>
      <c r="AG493" s="109" t="n"/>
      <c r="AH493" s="109" t="n"/>
      <c r="AL493" s="109" t="n"/>
      <c r="AM493" s="109" t="n"/>
      <c r="AN493" s="109" t="n"/>
    </row>
    <row r="494" ht="15.75" customHeight="1" s="216">
      <c r="D494" s="109" t="n"/>
      <c r="E494" s="109" t="n"/>
      <c r="J494" s="109" t="n"/>
      <c r="K494" s="109" t="n"/>
      <c r="L494" s="109" t="n"/>
      <c r="N494" s="109" t="n"/>
      <c r="O494" s="109" t="n"/>
      <c r="P494" s="109" t="n"/>
      <c r="T494" s="109" t="n"/>
      <c r="U494" s="109" t="n"/>
      <c r="V494" s="109" t="n"/>
      <c r="Z494" s="109" t="n"/>
      <c r="AA494" s="109" t="n"/>
      <c r="AB494" s="109" t="n"/>
      <c r="AF494" s="109" t="n"/>
      <c r="AG494" s="109" t="n"/>
      <c r="AH494" s="109" t="n"/>
      <c r="AL494" s="109" t="n"/>
      <c r="AM494" s="109" t="n"/>
      <c r="AN494" s="109" t="n"/>
    </row>
    <row r="495" ht="15.75" customHeight="1" s="216">
      <c r="D495" s="109" t="n"/>
      <c r="E495" s="109" t="n"/>
      <c r="J495" s="109" t="n"/>
      <c r="K495" s="109" t="n"/>
      <c r="L495" s="109" t="n"/>
      <c r="N495" s="109" t="n"/>
      <c r="O495" s="109" t="n"/>
      <c r="P495" s="109" t="n"/>
      <c r="T495" s="109" t="n"/>
      <c r="U495" s="109" t="n"/>
      <c r="V495" s="109" t="n"/>
      <c r="Z495" s="109" t="n"/>
      <c r="AA495" s="109" t="n"/>
      <c r="AB495" s="109" t="n"/>
      <c r="AF495" s="109" t="n"/>
      <c r="AG495" s="109" t="n"/>
      <c r="AH495" s="109" t="n"/>
      <c r="AL495" s="109" t="n"/>
      <c r="AM495" s="109" t="n"/>
      <c r="AN495" s="109" t="n"/>
    </row>
    <row r="496" ht="15.75" customHeight="1" s="216">
      <c r="D496" s="109" t="n"/>
      <c r="E496" s="109" t="n"/>
      <c r="J496" s="109" t="n"/>
      <c r="K496" s="109" t="n"/>
      <c r="L496" s="109" t="n"/>
      <c r="N496" s="109" t="n"/>
      <c r="O496" s="109" t="n"/>
      <c r="P496" s="109" t="n"/>
      <c r="T496" s="109" t="n"/>
      <c r="U496" s="109" t="n"/>
      <c r="V496" s="109" t="n"/>
      <c r="Z496" s="109" t="n"/>
      <c r="AA496" s="109" t="n"/>
      <c r="AB496" s="109" t="n"/>
      <c r="AF496" s="109" t="n"/>
      <c r="AG496" s="109" t="n"/>
      <c r="AH496" s="109" t="n"/>
      <c r="AL496" s="109" t="n"/>
      <c r="AM496" s="109" t="n"/>
      <c r="AN496" s="109" t="n"/>
    </row>
    <row r="497" ht="15.75" customHeight="1" s="216">
      <c r="D497" s="109" t="n"/>
      <c r="E497" s="109" t="n"/>
      <c r="J497" s="109" t="n"/>
      <c r="K497" s="109" t="n"/>
      <c r="L497" s="109" t="n"/>
      <c r="N497" s="109" t="n"/>
      <c r="O497" s="109" t="n"/>
      <c r="P497" s="109" t="n"/>
      <c r="T497" s="109" t="n"/>
      <c r="U497" s="109" t="n"/>
      <c r="V497" s="109" t="n"/>
      <c r="Z497" s="109" t="n"/>
      <c r="AA497" s="109" t="n"/>
      <c r="AB497" s="109" t="n"/>
      <c r="AF497" s="109" t="n"/>
      <c r="AG497" s="109" t="n"/>
      <c r="AH497" s="109" t="n"/>
      <c r="AL497" s="109" t="n"/>
      <c r="AM497" s="109" t="n"/>
      <c r="AN497" s="109" t="n"/>
    </row>
    <row r="498" ht="15.75" customHeight="1" s="216">
      <c r="D498" s="109" t="n"/>
      <c r="E498" s="109" t="n"/>
      <c r="J498" s="109" t="n"/>
      <c r="K498" s="109" t="n"/>
      <c r="L498" s="109" t="n"/>
      <c r="N498" s="109" t="n"/>
      <c r="O498" s="109" t="n"/>
      <c r="P498" s="109" t="n"/>
      <c r="T498" s="109" t="n"/>
      <c r="U498" s="109" t="n"/>
      <c r="V498" s="109" t="n"/>
      <c r="Z498" s="109" t="n"/>
      <c r="AA498" s="109" t="n"/>
      <c r="AB498" s="109" t="n"/>
      <c r="AF498" s="109" t="n"/>
      <c r="AG498" s="109" t="n"/>
      <c r="AH498" s="109" t="n"/>
      <c r="AL498" s="109" t="n"/>
      <c r="AM498" s="109" t="n"/>
      <c r="AN498" s="109" t="n"/>
    </row>
    <row r="499" ht="15.75" customHeight="1" s="216">
      <c r="D499" s="109" t="n"/>
      <c r="E499" s="109" t="n"/>
      <c r="J499" s="109" t="n"/>
      <c r="K499" s="109" t="n"/>
      <c r="L499" s="109" t="n"/>
      <c r="N499" s="109" t="n"/>
      <c r="O499" s="109" t="n"/>
      <c r="P499" s="109" t="n"/>
      <c r="T499" s="109" t="n"/>
      <c r="U499" s="109" t="n"/>
      <c r="V499" s="109" t="n"/>
      <c r="Z499" s="109" t="n"/>
      <c r="AA499" s="109" t="n"/>
      <c r="AB499" s="109" t="n"/>
      <c r="AF499" s="109" t="n"/>
      <c r="AG499" s="109" t="n"/>
      <c r="AH499" s="109" t="n"/>
      <c r="AL499" s="109" t="n"/>
      <c r="AM499" s="109" t="n"/>
      <c r="AN499" s="109" t="n"/>
    </row>
    <row r="500" ht="15.75" customHeight="1" s="216">
      <c r="D500" s="109" t="n"/>
      <c r="E500" s="109" t="n"/>
      <c r="J500" s="109" t="n"/>
      <c r="K500" s="109" t="n"/>
      <c r="L500" s="109" t="n"/>
      <c r="N500" s="109" t="n"/>
      <c r="O500" s="109" t="n"/>
      <c r="P500" s="109" t="n"/>
      <c r="T500" s="109" t="n"/>
      <c r="U500" s="109" t="n"/>
      <c r="V500" s="109" t="n"/>
      <c r="Z500" s="109" t="n"/>
      <c r="AA500" s="109" t="n"/>
      <c r="AB500" s="109" t="n"/>
      <c r="AF500" s="109" t="n"/>
      <c r="AG500" s="109" t="n"/>
      <c r="AH500" s="109" t="n"/>
      <c r="AL500" s="109" t="n"/>
      <c r="AM500" s="109" t="n"/>
      <c r="AN500" s="109" t="n"/>
    </row>
    <row r="501" ht="15.75" customHeight="1" s="216"/>
    <row r="502" ht="15.75" customHeight="1" s="216"/>
    <row r="503" ht="15.75" customHeight="1" s="216"/>
    <row r="504" ht="15.75" customHeight="1" s="216"/>
    <row r="505" ht="15.75" customHeight="1" s="216"/>
    <row r="506" ht="15.75" customHeight="1" s="216"/>
    <row r="507" ht="15.75" customHeight="1" s="216"/>
    <row r="508" ht="15.75" customHeight="1" s="216"/>
    <row r="509" ht="15.75" customHeight="1" s="216"/>
    <row r="510" ht="15.75" customHeight="1" s="216"/>
    <row r="511" ht="15.75" customHeight="1" s="216"/>
    <row r="512" ht="15.75" customHeight="1" s="216"/>
    <row r="513" ht="15.75" customHeight="1" s="216"/>
    <row r="514" ht="15.75" customHeight="1" s="216"/>
    <row r="515" ht="15.75" customHeight="1" s="216"/>
    <row r="516" ht="15.75" customHeight="1" s="216"/>
    <row r="517" ht="15.75" customHeight="1" s="216"/>
    <row r="518" ht="15.75" customHeight="1" s="216"/>
    <row r="519" ht="15.75" customHeight="1" s="216"/>
    <row r="520" ht="15.75" customHeight="1" s="216"/>
    <row r="521" ht="15.75" customHeight="1" s="216"/>
    <row r="522" ht="15.75" customHeight="1" s="216"/>
    <row r="523" ht="15.75" customHeight="1" s="216"/>
    <row r="524" ht="15.75" customHeight="1" s="216"/>
    <row r="525" ht="15.75" customHeight="1" s="216"/>
    <row r="526" ht="15.75" customHeight="1" s="216"/>
    <row r="527" ht="15.75" customHeight="1" s="216"/>
    <row r="528" ht="15.75" customHeight="1" s="216"/>
    <row r="529" ht="15.75" customHeight="1" s="216"/>
    <row r="530" ht="15.75" customHeight="1" s="216"/>
    <row r="531" ht="15.75" customHeight="1" s="216"/>
    <row r="532" ht="15.75" customHeight="1" s="216"/>
    <row r="533" ht="15.75" customHeight="1" s="216"/>
    <row r="534" ht="15.75" customHeight="1" s="216"/>
    <row r="535" ht="15.75" customHeight="1" s="216"/>
    <row r="536" ht="15.75" customHeight="1" s="216"/>
    <row r="537" ht="15.75" customHeight="1" s="216"/>
    <row r="538" ht="15.75" customHeight="1" s="216"/>
    <row r="539" ht="15.75" customHeight="1" s="216"/>
    <row r="540" ht="15.75" customHeight="1" s="216"/>
    <row r="541" ht="15.75" customHeight="1" s="216"/>
    <row r="542" ht="15.75" customHeight="1" s="216"/>
    <row r="543" ht="15.75" customHeight="1" s="216"/>
    <row r="544" ht="15.75" customHeight="1" s="216"/>
    <row r="545" ht="15.75" customHeight="1" s="216"/>
    <row r="546" ht="15.75" customHeight="1" s="216"/>
    <row r="547" ht="15.75" customHeight="1" s="216"/>
    <row r="548" ht="15.75" customHeight="1" s="216"/>
    <row r="549" ht="15.75" customHeight="1" s="216"/>
    <row r="550" ht="15.75" customHeight="1" s="216"/>
    <row r="551" ht="15.75" customHeight="1" s="216"/>
    <row r="552" ht="15.75" customHeight="1" s="216"/>
    <row r="553" ht="15.75" customHeight="1" s="216"/>
    <row r="554" ht="15.75" customHeight="1" s="216"/>
    <row r="555" ht="15.75" customHeight="1" s="216"/>
    <row r="556" ht="15.75" customHeight="1" s="216"/>
    <row r="557" ht="15.75" customHeight="1" s="216"/>
    <row r="558" ht="15.75" customHeight="1" s="216"/>
    <row r="559" ht="15.75" customHeight="1" s="216"/>
    <row r="560" ht="15.75" customHeight="1" s="216"/>
    <row r="561" ht="15.75" customHeight="1" s="216"/>
    <row r="562" ht="15.75" customHeight="1" s="216"/>
    <row r="563" ht="15.75" customHeight="1" s="216"/>
    <row r="564" ht="15.75" customHeight="1" s="216"/>
    <row r="565" ht="15.75" customHeight="1" s="216"/>
    <row r="566" ht="15.75" customHeight="1" s="216"/>
    <row r="567" ht="15.75" customHeight="1" s="216"/>
    <row r="568" ht="15.75" customHeight="1" s="216"/>
    <row r="569" ht="15.75" customHeight="1" s="216"/>
    <row r="570" ht="15.75" customHeight="1" s="216"/>
    <row r="571" ht="15.75" customHeight="1" s="216"/>
    <row r="572" ht="15.75" customHeight="1" s="216"/>
    <row r="573" ht="15.75" customHeight="1" s="216"/>
    <row r="574" ht="15.75" customHeight="1" s="216"/>
    <row r="575" ht="15.75" customHeight="1" s="216"/>
    <row r="576" ht="15.75" customHeight="1" s="216"/>
    <row r="577" ht="15.75" customHeight="1" s="216"/>
    <row r="578" ht="15.75" customHeight="1" s="216"/>
    <row r="579" ht="15.75" customHeight="1" s="216"/>
    <row r="580" ht="15.75" customHeight="1" s="216"/>
    <row r="581" ht="15.75" customHeight="1" s="216"/>
    <row r="582" ht="15.75" customHeight="1" s="216"/>
    <row r="583" ht="15.75" customHeight="1" s="216"/>
    <row r="584" ht="15.75" customHeight="1" s="216"/>
    <row r="585" ht="15.75" customHeight="1" s="216"/>
    <row r="586" ht="15.75" customHeight="1" s="216"/>
    <row r="587" ht="15.75" customHeight="1" s="216"/>
    <row r="588" ht="15.75" customHeight="1" s="216"/>
    <row r="589" ht="15.75" customHeight="1" s="216"/>
    <row r="590" ht="15.75" customHeight="1" s="216"/>
    <row r="591" ht="15.75" customHeight="1" s="216"/>
    <row r="592" ht="15.75" customHeight="1" s="216"/>
    <row r="593" ht="15.75" customHeight="1" s="216"/>
    <row r="594" ht="15.75" customHeight="1" s="216"/>
    <row r="595" ht="15.75" customHeight="1" s="216"/>
    <row r="596" ht="15.75" customHeight="1" s="216"/>
    <row r="597" ht="15.75" customHeight="1" s="216"/>
    <row r="598" ht="15.75" customHeight="1" s="216"/>
    <row r="599" ht="15.75" customHeight="1" s="216"/>
    <row r="600" ht="15.75" customHeight="1" s="216"/>
    <row r="601" ht="15.75" customHeight="1" s="216"/>
    <row r="602" ht="15.75" customHeight="1" s="216"/>
    <row r="603" ht="15.75" customHeight="1" s="216"/>
    <row r="604" ht="15.75" customHeight="1" s="216"/>
    <row r="605" ht="15.75" customHeight="1" s="216"/>
    <row r="606" ht="15.75" customHeight="1" s="216"/>
    <row r="607" ht="15.75" customHeight="1" s="216"/>
    <row r="608" ht="15.75" customHeight="1" s="216"/>
    <row r="609" ht="15.75" customHeight="1" s="216"/>
    <row r="610" ht="15.75" customHeight="1" s="216"/>
    <row r="611" ht="15.75" customHeight="1" s="216"/>
    <row r="612" ht="15.75" customHeight="1" s="216"/>
    <row r="613" ht="15.75" customHeight="1" s="216"/>
    <row r="614" ht="15.75" customHeight="1" s="216"/>
    <row r="615" ht="15.75" customHeight="1" s="216"/>
    <row r="616" ht="15.75" customHeight="1" s="216"/>
    <row r="617" ht="15.75" customHeight="1" s="216"/>
    <row r="618" ht="15.75" customHeight="1" s="216"/>
    <row r="619" ht="15.75" customHeight="1" s="216"/>
    <row r="620" ht="15.75" customHeight="1" s="216"/>
    <row r="621" ht="15.75" customHeight="1" s="216"/>
    <row r="622" ht="15.75" customHeight="1" s="216"/>
    <row r="623" ht="15.75" customHeight="1" s="216"/>
    <row r="624" ht="15.75" customHeight="1" s="216"/>
    <row r="625" ht="15.75" customHeight="1" s="216"/>
    <row r="626" ht="15.75" customHeight="1" s="216"/>
    <row r="627" ht="15.75" customHeight="1" s="216"/>
    <row r="628" ht="15.75" customHeight="1" s="216"/>
    <row r="629" ht="15.75" customHeight="1" s="216"/>
    <row r="630" ht="15.75" customHeight="1" s="216"/>
    <row r="631" ht="15.75" customHeight="1" s="216"/>
    <row r="632" ht="15.75" customHeight="1" s="216"/>
    <row r="633" ht="15.75" customHeight="1" s="216"/>
    <row r="634" ht="15.75" customHeight="1" s="216"/>
    <row r="635" ht="15.75" customHeight="1" s="216"/>
    <row r="636" ht="15.75" customHeight="1" s="216"/>
    <row r="637" ht="15.75" customHeight="1" s="216"/>
    <row r="638" ht="15.75" customHeight="1" s="216"/>
    <row r="639" ht="15.75" customHeight="1" s="216"/>
    <row r="640" ht="15.75" customHeight="1" s="216"/>
    <row r="641" ht="15.75" customHeight="1" s="216"/>
    <row r="642" ht="15.75" customHeight="1" s="216"/>
    <row r="643" ht="15.75" customHeight="1" s="216"/>
    <row r="644" ht="15.75" customHeight="1" s="216"/>
    <row r="645" ht="15.75" customHeight="1" s="216"/>
    <row r="646" ht="15.75" customHeight="1" s="216"/>
    <row r="647" ht="15.75" customHeight="1" s="216"/>
    <row r="648" ht="15.75" customHeight="1" s="216"/>
    <row r="649" ht="15.75" customHeight="1" s="216"/>
    <row r="650" ht="15.75" customHeight="1" s="216"/>
    <row r="651" ht="15.75" customHeight="1" s="216"/>
    <row r="652" ht="15.75" customHeight="1" s="216"/>
    <row r="653" ht="15.75" customHeight="1" s="216"/>
    <row r="654" ht="15.75" customHeight="1" s="216"/>
    <row r="655" ht="15.75" customHeight="1" s="216"/>
    <row r="656" ht="15.75" customHeight="1" s="216"/>
    <row r="657" ht="15.75" customHeight="1" s="216"/>
    <row r="658" ht="15.75" customHeight="1" s="216"/>
    <row r="659" ht="15.75" customHeight="1" s="216"/>
    <row r="660" ht="15.75" customHeight="1" s="216"/>
    <row r="661" ht="15.75" customHeight="1" s="216"/>
    <row r="662" ht="15.75" customHeight="1" s="216"/>
    <row r="663" ht="15.75" customHeight="1" s="216"/>
    <row r="664" ht="15.75" customHeight="1" s="216"/>
    <row r="665" ht="15.75" customHeight="1" s="216"/>
    <row r="666" ht="15.75" customHeight="1" s="216"/>
    <row r="667" ht="15.75" customHeight="1" s="216"/>
    <row r="668" ht="15.75" customHeight="1" s="216"/>
    <row r="669" ht="15.75" customHeight="1" s="216"/>
    <row r="670" ht="15.75" customHeight="1" s="216"/>
    <row r="671" ht="15.75" customHeight="1" s="216"/>
    <row r="672" ht="15.75" customHeight="1" s="216"/>
    <row r="673" ht="15.75" customHeight="1" s="216"/>
    <row r="674" ht="15.75" customHeight="1" s="216"/>
    <row r="675" ht="15.75" customHeight="1" s="216"/>
    <row r="676" ht="15.75" customHeight="1" s="216"/>
    <row r="677" ht="15.75" customHeight="1" s="216"/>
    <row r="678" ht="15.75" customHeight="1" s="216"/>
    <row r="679" ht="15.75" customHeight="1" s="216"/>
    <row r="680" ht="15.75" customHeight="1" s="216"/>
    <row r="681" ht="15.75" customHeight="1" s="216"/>
    <row r="682" ht="15.75" customHeight="1" s="216"/>
    <row r="683" ht="15.75" customHeight="1" s="216"/>
    <row r="684" ht="15.75" customHeight="1" s="216"/>
    <row r="685" ht="15.75" customHeight="1" s="216"/>
    <row r="686" ht="15.75" customHeight="1" s="216"/>
    <row r="687" ht="15.75" customHeight="1" s="216"/>
    <row r="688" ht="15.75" customHeight="1" s="216"/>
    <row r="689" ht="15.75" customHeight="1" s="216"/>
    <row r="690" ht="15.75" customHeight="1" s="216"/>
    <row r="691" ht="15.75" customHeight="1" s="216"/>
    <row r="692" ht="15.75" customHeight="1" s="216"/>
    <row r="693" ht="15.75" customHeight="1" s="216"/>
    <row r="694" ht="15.75" customHeight="1" s="216"/>
    <row r="695" ht="15.75" customHeight="1" s="216"/>
    <row r="696" ht="15.75" customHeight="1" s="216"/>
    <row r="697" ht="15.75" customHeight="1" s="216"/>
    <row r="698" ht="15.75" customHeight="1" s="216"/>
    <row r="699" ht="15.75" customHeight="1" s="216"/>
    <row r="700" ht="15.75" customHeight="1" s="216"/>
    <row r="701" ht="15.75" customHeight="1" s="216"/>
    <row r="702" ht="15.75" customHeight="1" s="216"/>
    <row r="703" ht="15.75" customHeight="1" s="216"/>
    <row r="704" ht="15.75" customHeight="1" s="216"/>
    <row r="705" ht="15.75" customHeight="1" s="216"/>
    <row r="706" ht="15.75" customHeight="1" s="216"/>
    <row r="707" ht="15.75" customHeight="1" s="216"/>
    <row r="708" ht="15.75" customHeight="1" s="216"/>
    <row r="709" ht="15.75" customHeight="1" s="216"/>
    <row r="710" ht="15.75" customHeight="1" s="216"/>
    <row r="711" ht="15.75" customHeight="1" s="216"/>
    <row r="712" ht="15.75" customHeight="1" s="216"/>
    <row r="713" ht="15.75" customHeight="1" s="216"/>
    <row r="714" ht="15.75" customHeight="1" s="216"/>
    <row r="715" ht="15.75" customHeight="1" s="216"/>
    <row r="716" ht="15.75" customHeight="1" s="216"/>
    <row r="717" ht="15.75" customHeight="1" s="216"/>
    <row r="718" ht="15.75" customHeight="1" s="216"/>
    <row r="719" ht="15.75" customHeight="1" s="216"/>
    <row r="720" ht="15.75" customHeight="1" s="216"/>
    <row r="721" ht="15.75" customHeight="1" s="216"/>
    <row r="722" ht="15.75" customHeight="1" s="216"/>
    <row r="723" ht="15.75" customHeight="1" s="216"/>
    <row r="724" ht="15.75" customHeight="1" s="216"/>
    <row r="725" ht="15.75" customHeight="1" s="216"/>
    <row r="726" ht="15.75" customHeight="1" s="216"/>
    <row r="727" ht="15.75" customHeight="1" s="216"/>
    <row r="728" ht="15.75" customHeight="1" s="216"/>
    <row r="729" ht="15.75" customHeight="1" s="216"/>
    <row r="730" ht="15.75" customHeight="1" s="216"/>
    <row r="731" ht="15.75" customHeight="1" s="216"/>
    <row r="732" ht="15.75" customHeight="1" s="216"/>
    <row r="733" ht="15.75" customHeight="1" s="216"/>
    <row r="734" ht="15.75" customHeight="1" s="216"/>
    <row r="735" ht="15.75" customHeight="1" s="216"/>
    <row r="736" ht="15.75" customHeight="1" s="216"/>
    <row r="737" ht="15.75" customHeight="1" s="216"/>
    <row r="738" ht="15.75" customHeight="1" s="216"/>
    <row r="739" ht="15.75" customHeight="1" s="216"/>
    <row r="740" ht="15.75" customHeight="1" s="216"/>
    <row r="741" ht="15.75" customHeight="1" s="216"/>
    <row r="742" ht="15.75" customHeight="1" s="216"/>
    <row r="743" ht="15.75" customHeight="1" s="216"/>
    <row r="744" ht="15.75" customHeight="1" s="216"/>
    <row r="745" ht="15.75" customHeight="1" s="216"/>
    <row r="746" ht="15.75" customHeight="1" s="216"/>
    <row r="747" ht="15.75" customHeight="1" s="216"/>
    <row r="748" ht="15.75" customHeight="1" s="216"/>
    <row r="749" ht="15.75" customHeight="1" s="216"/>
    <row r="750" ht="15.75" customHeight="1" s="216"/>
    <row r="751" ht="15.75" customHeight="1" s="216"/>
    <row r="752" ht="15.75" customHeight="1" s="216"/>
    <row r="753" ht="15.75" customHeight="1" s="216"/>
    <row r="754" ht="15.75" customHeight="1" s="216"/>
    <row r="755" ht="15.75" customHeight="1" s="216"/>
    <row r="756" ht="15.75" customHeight="1" s="216"/>
    <row r="757" ht="15.75" customHeight="1" s="216"/>
    <row r="758" ht="15.75" customHeight="1" s="216"/>
    <row r="759" ht="15.75" customHeight="1" s="216"/>
    <row r="760" ht="15.75" customHeight="1" s="216"/>
    <row r="761" ht="15.75" customHeight="1" s="216"/>
    <row r="762" ht="15.75" customHeight="1" s="216"/>
    <row r="763" ht="15.75" customHeight="1" s="216"/>
    <row r="764" ht="15.75" customHeight="1" s="216"/>
    <row r="765" ht="15.75" customHeight="1" s="216"/>
    <row r="766" ht="15.75" customHeight="1" s="216"/>
    <row r="767" ht="15.75" customHeight="1" s="216"/>
    <row r="768" ht="15.75" customHeight="1" s="216"/>
    <row r="769" ht="15.75" customHeight="1" s="216"/>
    <row r="770" ht="15.75" customHeight="1" s="216"/>
    <row r="771" ht="15.75" customHeight="1" s="216"/>
    <row r="772" ht="15.75" customHeight="1" s="216"/>
    <row r="773" ht="15.75" customHeight="1" s="216"/>
    <row r="774" ht="15.75" customHeight="1" s="216"/>
    <row r="775" ht="15.75" customHeight="1" s="216"/>
    <row r="776" ht="15.75" customHeight="1" s="216"/>
    <row r="777" ht="15.75" customHeight="1" s="216"/>
    <row r="778" ht="15.75" customHeight="1" s="216"/>
    <row r="779" ht="15.75" customHeight="1" s="216"/>
    <row r="780" ht="15.75" customHeight="1" s="216"/>
    <row r="781" ht="15.75" customHeight="1" s="216"/>
    <row r="782" ht="15.75" customHeight="1" s="216"/>
    <row r="783" ht="15.75" customHeight="1" s="216"/>
    <row r="784" ht="15.75" customHeight="1" s="216"/>
    <row r="785" ht="15.75" customHeight="1" s="216"/>
    <row r="786" ht="15.75" customHeight="1" s="216"/>
    <row r="787" ht="15.75" customHeight="1" s="216"/>
    <row r="788" ht="15.75" customHeight="1" s="216"/>
    <row r="789" ht="15.75" customHeight="1" s="216"/>
    <row r="790" ht="15.75" customHeight="1" s="216"/>
    <row r="791" ht="15.75" customHeight="1" s="216"/>
    <row r="792" ht="15.75" customHeight="1" s="216"/>
    <row r="793" ht="15.75" customHeight="1" s="216"/>
    <row r="794" ht="15.75" customHeight="1" s="216"/>
    <row r="795" ht="15.75" customHeight="1" s="216"/>
    <row r="796" ht="15.75" customHeight="1" s="216"/>
    <row r="797" ht="15.75" customHeight="1" s="216"/>
    <row r="798" ht="15.75" customHeight="1" s="216"/>
    <row r="799" ht="15.75" customHeight="1" s="216"/>
    <row r="800" ht="15.75" customHeight="1" s="216"/>
    <row r="801" ht="15.75" customHeight="1" s="216"/>
    <row r="802" ht="15.75" customHeight="1" s="216"/>
    <row r="803" ht="15.75" customHeight="1" s="216"/>
    <row r="804" ht="15.75" customHeight="1" s="216"/>
    <row r="805" ht="15.75" customHeight="1" s="216"/>
    <row r="806" ht="15.75" customHeight="1" s="216"/>
    <row r="807" ht="15.75" customHeight="1" s="216"/>
    <row r="808" ht="15.75" customHeight="1" s="216"/>
    <row r="809" ht="15.75" customHeight="1" s="216"/>
    <row r="810" ht="15.75" customHeight="1" s="216"/>
    <row r="811" ht="15.75" customHeight="1" s="216"/>
    <row r="812" ht="15.75" customHeight="1" s="216"/>
    <row r="813" ht="15.75" customHeight="1" s="216"/>
    <row r="814" ht="15.75" customHeight="1" s="216"/>
    <row r="815" ht="15.75" customHeight="1" s="216"/>
    <row r="816" ht="15.75" customHeight="1" s="216"/>
    <row r="817" ht="15.75" customHeight="1" s="216"/>
    <row r="818" ht="15.75" customHeight="1" s="216"/>
    <row r="819" ht="15.75" customHeight="1" s="216"/>
    <row r="820" ht="15.75" customHeight="1" s="216"/>
    <row r="821" ht="15.75" customHeight="1" s="216"/>
    <row r="822" ht="15.75" customHeight="1" s="216"/>
    <row r="823" ht="15.75" customHeight="1" s="216"/>
    <row r="824" ht="15.75" customHeight="1" s="216"/>
    <row r="825" ht="15.75" customHeight="1" s="216"/>
    <row r="826" ht="15.75" customHeight="1" s="216"/>
    <row r="827" ht="15.75" customHeight="1" s="216"/>
    <row r="828" ht="15.75" customHeight="1" s="216"/>
    <row r="829" ht="15.75" customHeight="1" s="216"/>
    <row r="830" ht="15.75" customHeight="1" s="216"/>
    <row r="831" ht="15.75" customHeight="1" s="216"/>
    <row r="832" ht="15.75" customHeight="1" s="216"/>
    <row r="833" ht="15.75" customHeight="1" s="216"/>
    <row r="834" ht="15.75" customHeight="1" s="216"/>
    <row r="835" ht="15.75" customHeight="1" s="216"/>
    <row r="836" ht="15.75" customHeight="1" s="216"/>
    <row r="837" ht="15.75" customHeight="1" s="216"/>
    <row r="838" ht="15.75" customHeight="1" s="216"/>
    <row r="839" ht="15.75" customHeight="1" s="216"/>
    <row r="840" ht="15.75" customHeight="1" s="216"/>
    <row r="841" ht="15.75" customHeight="1" s="216"/>
    <row r="842" ht="15.75" customHeight="1" s="216"/>
    <row r="843" ht="15.75" customHeight="1" s="216"/>
    <row r="844" ht="15.75" customHeight="1" s="216"/>
    <row r="845" ht="15.75" customHeight="1" s="216"/>
    <row r="846" ht="15.75" customHeight="1" s="216"/>
    <row r="847" ht="15.75" customHeight="1" s="216"/>
    <row r="848" ht="15.75" customHeight="1" s="216"/>
    <row r="849" ht="15.75" customHeight="1" s="216"/>
    <row r="850" ht="15.75" customHeight="1" s="216"/>
    <row r="851" ht="15.75" customHeight="1" s="216"/>
    <row r="852" ht="15.75" customHeight="1" s="216"/>
    <row r="853" ht="15.75" customHeight="1" s="216"/>
    <row r="854" ht="15.75" customHeight="1" s="216"/>
    <row r="855" ht="15.75" customHeight="1" s="216"/>
    <row r="856" ht="15.75" customHeight="1" s="216"/>
    <row r="857" ht="15.75" customHeight="1" s="216"/>
    <row r="858" ht="15.75" customHeight="1" s="216"/>
    <row r="859" ht="15.75" customHeight="1" s="216"/>
    <row r="860" ht="15.75" customHeight="1" s="216"/>
    <row r="861" ht="15.75" customHeight="1" s="216"/>
    <row r="862" ht="15.75" customHeight="1" s="216"/>
    <row r="863" ht="15.75" customHeight="1" s="216"/>
    <row r="864" ht="15.75" customHeight="1" s="216"/>
    <row r="865" ht="15.75" customHeight="1" s="216"/>
    <row r="866" ht="15.75" customHeight="1" s="216"/>
    <row r="867" ht="15.75" customHeight="1" s="216"/>
    <row r="868" ht="15.75" customHeight="1" s="216"/>
    <row r="869" ht="15.75" customHeight="1" s="216"/>
    <row r="870" ht="15.75" customHeight="1" s="216"/>
    <row r="871" ht="15.75" customHeight="1" s="216"/>
    <row r="872" ht="15.75" customHeight="1" s="216"/>
    <row r="873" ht="15.75" customHeight="1" s="216"/>
    <row r="874" ht="15.75" customHeight="1" s="216"/>
    <row r="875" ht="15.75" customHeight="1" s="216"/>
    <row r="876" ht="15.75" customHeight="1" s="216"/>
    <row r="877" ht="15.75" customHeight="1" s="216"/>
    <row r="878" ht="15.75" customHeight="1" s="216"/>
    <row r="879" ht="15.75" customHeight="1" s="216"/>
    <row r="880" ht="15.75" customHeight="1" s="216"/>
    <row r="881" ht="15.75" customHeight="1" s="216"/>
    <row r="882" ht="15.75" customHeight="1" s="216"/>
    <row r="883" ht="15.75" customHeight="1" s="216"/>
    <row r="884" ht="15.75" customHeight="1" s="216"/>
    <row r="885" ht="15.75" customHeight="1" s="216"/>
    <row r="886" ht="15.75" customHeight="1" s="216"/>
    <row r="887" ht="15.75" customHeight="1" s="216"/>
    <row r="888" ht="15.75" customHeight="1" s="216"/>
    <row r="889" ht="15.75" customHeight="1" s="216"/>
    <row r="890" ht="15.75" customHeight="1" s="216"/>
    <row r="891" ht="15.75" customHeight="1" s="216"/>
    <row r="892" ht="15.75" customHeight="1" s="216"/>
    <row r="893" ht="15.75" customHeight="1" s="216"/>
    <row r="894" ht="15.75" customHeight="1" s="216"/>
    <row r="895" ht="15.75" customHeight="1" s="216"/>
    <row r="896" ht="15.75" customHeight="1" s="216"/>
    <row r="897" ht="15.75" customHeight="1" s="216"/>
    <row r="898" ht="15.75" customHeight="1" s="216"/>
    <row r="899" ht="15.75" customHeight="1" s="216"/>
    <row r="900" ht="15.75" customHeight="1" s="216"/>
    <row r="901" ht="15.75" customHeight="1" s="216"/>
    <row r="902" ht="15.75" customHeight="1" s="216"/>
    <row r="903" ht="15.75" customHeight="1" s="216"/>
    <row r="904" ht="15.75" customHeight="1" s="216"/>
    <row r="905" ht="15.75" customHeight="1" s="216"/>
    <row r="906" ht="15.75" customHeight="1" s="216"/>
    <row r="907" ht="15.75" customHeight="1" s="216"/>
    <row r="908" ht="15.75" customHeight="1" s="216"/>
    <row r="909" ht="15.75" customHeight="1" s="216"/>
    <row r="910" ht="15.75" customHeight="1" s="216"/>
    <row r="911" ht="15.75" customHeight="1" s="216"/>
    <row r="912" ht="15.75" customHeight="1" s="216"/>
    <row r="913" ht="15.75" customHeight="1" s="216"/>
    <row r="914" ht="15.75" customHeight="1" s="216"/>
    <row r="915" ht="15.75" customHeight="1" s="216"/>
    <row r="916" ht="15.75" customHeight="1" s="216"/>
    <row r="917" ht="15.75" customHeight="1" s="216"/>
    <row r="918" ht="15.75" customHeight="1" s="216"/>
    <row r="919" ht="15.75" customHeight="1" s="216"/>
    <row r="920" ht="15.75" customHeight="1" s="216"/>
    <row r="921" ht="15.75" customHeight="1" s="216"/>
    <row r="922" ht="15.75" customHeight="1" s="216"/>
    <row r="923" ht="15.75" customHeight="1" s="216"/>
    <row r="924" ht="15.75" customHeight="1" s="216"/>
    <row r="925" ht="15.75" customHeight="1" s="216"/>
    <row r="926" ht="15.75" customHeight="1" s="216"/>
    <row r="927" ht="15.75" customHeight="1" s="216"/>
    <row r="928" ht="15.75" customHeight="1" s="216"/>
    <row r="929" ht="15.75" customHeight="1" s="216"/>
    <row r="930" ht="15.75" customHeight="1" s="216"/>
    <row r="931" ht="15.75" customHeight="1" s="216"/>
    <row r="932" ht="15.75" customHeight="1" s="216"/>
    <row r="933" ht="15.75" customHeight="1" s="216"/>
    <row r="934" ht="15.75" customHeight="1" s="216"/>
    <row r="935" ht="15.75" customHeight="1" s="216"/>
    <row r="936" ht="15.75" customHeight="1" s="216"/>
    <row r="937" ht="15.75" customHeight="1" s="216"/>
    <row r="938" ht="15.75" customHeight="1" s="216"/>
    <row r="939" ht="15.75" customHeight="1" s="216"/>
    <row r="940" ht="15.75" customHeight="1" s="216"/>
    <row r="941" ht="15.75" customHeight="1" s="216"/>
    <row r="942" ht="15.75" customHeight="1" s="216"/>
    <row r="943" ht="15.75" customHeight="1" s="216"/>
    <row r="944" ht="15.75" customHeight="1" s="216"/>
    <row r="945" ht="15.75" customHeight="1" s="216"/>
    <row r="946" ht="15.75" customHeight="1" s="216"/>
    <row r="947" ht="15.75" customHeight="1" s="216"/>
    <row r="948" ht="15.75" customHeight="1" s="216"/>
    <row r="949" ht="15.75" customHeight="1" s="216"/>
    <row r="950" ht="15.75" customHeight="1" s="216"/>
    <row r="951" ht="15.75" customHeight="1" s="216"/>
    <row r="952" ht="15.75" customHeight="1" s="216"/>
    <row r="953" ht="15.75" customHeight="1" s="216"/>
    <row r="954" ht="15.75" customHeight="1" s="216"/>
    <row r="955" ht="15.75" customHeight="1" s="216"/>
    <row r="956" ht="15.75" customHeight="1" s="216"/>
    <row r="957" ht="15.75" customHeight="1" s="216"/>
    <row r="958" ht="15.75" customHeight="1" s="216"/>
    <row r="959" ht="15.75" customHeight="1" s="216"/>
    <row r="960" ht="15.75" customHeight="1" s="216"/>
    <row r="961" ht="15.75" customHeight="1" s="216"/>
    <row r="962" ht="15.75" customHeight="1" s="216"/>
    <row r="963" ht="15.75" customHeight="1" s="216"/>
    <row r="964" ht="15.75" customHeight="1" s="216"/>
    <row r="965" ht="15.75" customHeight="1" s="216"/>
    <row r="966" ht="15.75" customHeight="1" s="216"/>
    <row r="967" ht="15.75" customHeight="1" s="216"/>
    <row r="968" ht="15.75" customHeight="1" s="216"/>
    <row r="969" ht="15.75" customHeight="1" s="216"/>
    <row r="970" ht="15.75" customHeight="1" s="216"/>
    <row r="971" ht="15.75" customHeight="1" s="216"/>
    <row r="972" ht="15.75" customHeight="1" s="216"/>
    <row r="973" ht="15.75" customHeight="1" s="216"/>
    <row r="974" ht="15.75" customHeight="1" s="216"/>
    <row r="975" ht="15.75" customHeight="1" s="216"/>
    <row r="976" ht="15.75" customHeight="1" s="216"/>
    <row r="977" ht="15.75" customHeight="1" s="216"/>
    <row r="978" ht="15.75" customHeight="1" s="216"/>
    <row r="979" ht="15.75" customHeight="1" s="216"/>
    <row r="980" ht="15.75" customHeight="1" s="216"/>
    <row r="981" ht="15.75" customHeight="1" s="216"/>
    <row r="982" ht="15.75" customHeight="1" s="216"/>
    <row r="983" ht="15.75" customHeight="1" s="216"/>
    <row r="984" ht="15.75" customHeight="1" s="216"/>
    <row r="985" ht="15.75" customHeight="1" s="216"/>
    <row r="986" ht="15.75" customHeight="1" s="216"/>
    <row r="987" ht="15.75" customHeight="1" s="216"/>
    <row r="988" ht="15.75" customHeight="1" s="216"/>
    <row r="989" ht="15.75" customHeight="1" s="216"/>
    <row r="990" ht="15.75" customHeight="1" s="216"/>
    <row r="991" ht="15.75" customHeight="1" s="216"/>
    <row r="992" ht="15.75" customHeight="1" s="216"/>
    <row r="993" ht="15.75" customHeight="1" s="216"/>
    <row r="994" ht="15.75" customHeight="1" s="216"/>
    <row r="995" ht="15.75" customHeight="1" s="216"/>
    <row r="996" ht="15.75" customHeight="1" s="216"/>
    <row r="997" ht="15.75" customHeight="1" s="216"/>
    <row r="998" ht="15.75" customHeight="1" s="216"/>
    <row r="999" ht="15.75" customHeight="1" s="216"/>
    <row r="1000" ht="15.75" customHeight="1" s="216"/>
  </sheetData>
  <autoFilter ref="A6:AU6"/>
  <mergeCells count="19">
    <mergeCell ref="AR5:AU5"/>
    <mergeCell ref="N5:S5"/>
    <mergeCell ref="C2:E2"/>
    <mergeCell ref="A5:C5"/>
    <mergeCell ref="Z5:AE5"/>
    <mergeCell ref="AF5:AK5"/>
    <mergeCell ref="AL5:AQ5"/>
    <mergeCell ref="J5:M5"/>
    <mergeCell ref="A3:B3"/>
    <mergeCell ref="G3:H3"/>
    <mergeCell ref="I3:J3"/>
    <mergeCell ref="A2:B2"/>
    <mergeCell ref="D5:I5"/>
    <mergeCell ref="C3:E3"/>
    <mergeCell ref="A4:B4"/>
    <mergeCell ref="G4:H4"/>
    <mergeCell ref="T5:Y5"/>
    <mergeCell ref="I4:J4"/>
    <mergeCell ref="C4:E4"/>
  </mergeCells>
  <conditionalFormatting sqref="O7:O500 P7:P500 U7:U500 V7:V500 AA7:AA500 AB7:AB500 AG7:AG500 AH7:AH500 AM7:AM500 AN7:AN500 AS7:AS500 AT7:AT500">
    <cfRule type="cellIs" priority="1" operator="equal" dxfId="5">
      <formula>"Pass"</formula>
    </cfRule>
    <cfRule type="cellIs" priority="2" operator="equal" dxfId="6">
      <formula>"Fail"</formula>
    </cfRule>
    <cfRule type="cellIs" priority="3" operator="equal" dxfId="7">
      <formula>"Block"</formula>
    </cfRule>
    <cfRule type="cellIs" priority="4" operator="equal" dxfId="8">
      <formula>"N/A"</formula>
    </cfRule>
  </conditionalFormatting>
  <dataValidations count="8">
    <dataValidation sqref="J7:J500" showDropDown="0" showInputMessage="0" showErrorMessage="0" allowBlank="1" type="list">
      <formula1>"AI,QC"</formula1>
    </dataValidation>
    <dataValidation sqref="E7:E500" showDropDown="0" showInputMessage="0" showErrorMessage="0" allowBlank="1" type="list">
      <formula1>"High,Medium,Low"</formula1>
    </dataValidation>
    <dataValidation sqref="P7:P500 V7:V500 AB7:AB500 AH7:AH500 AN7:AN500" showDropDown="0" showInputMessage="0" showErrorMessage="0" allowBlank="1" type="list">
      <formula1>"Pass,Fail,Block,N/A"</formula1>
    </dataValidation>
    <dataValidation sqref="N7:N500 T7:T500 Z7:Z500 AF7:AF500 AL7:AL500" showDropDown="0" showInputMessage="0" showErrorMessage="0" allowBlank="1" type="list">
      <formula1>"Yes,No,N/A"</formula1>
    </dataValidation>
    <dataValidation sqref="O7:O500 U7:U500 AA7:AA500 AG7:AG500 AM7:AM500" showDropDown="0" showInputMessage="0" showErrorMessage="0" allowBlank="1" type="list">
      <formula1>"Pass,Fail,Block,N/A,Chưa chạy"</formula1>
    </dataValidation>
    <dataValidation sqref="D7:D500" showDropDown="0" showInputMessage="0" showErrorMessage="0" allowBlank="1" type="list">
      <formula1>"Functional,UI,Integration,Database Test Case"</formula1>
    </dataValidation>
    <dataValidation sqref="K7:K500" showDropDown="0" showInputMessage="0" showErrorMessage="0" allowBlank="1" type="list">
      <formula1>"Reviewed,Pending,N/A"</formula1>
    </dataValidation>
    <dataValidation sqref="L7:L500" showDropDown="0" showInputMessage="0" showErrorMessage="0" allowBlank="1" type="list">
      <formula1>"Yes,No"</formula1>
    </dataValidation>
  </dataValidations>
  <pageMargins left="0.75" right="0.75" top="1" bottom="1" header="0" footer="0"/>
  <pageSetup orientation="landscape" fitToHeight="0"/>
</worksheet>
</file>

<file path=xl/worksheets/sheet11.xml><?xml version="1.0" encoding="utf-8"?>
<worksheet xmlns="http://schemas.openxmlformats.org/spreadsheetml/2006/main">
  <sheetPr>
    <outlinePr summaryBelow="1" summaryRight="1"/>
    <pageSetUpPr fitToPage="1"/>
  </sheetPr>
  <dimension ref="A1:AV520"/>
  <sheetViews>
    <sheetView workbookViewId="0">
      <pane xSplit="1" ySplit="6" topLeftCell="B7" activePane="bottomRight" state="frozen"/>
      <selection pane="topRight"/>
      <selection pane="bottomLeft"/>
      <selection pane="bottomRight" activeCell="A1" sqref="A1"/>
    </sheetView>
  </sheetViews>
  <sheetFormatPr baseColWidth="8" defaultColWidth="14.43" defaultRowHeight="15" customHeight="1"/>
  <cols>
    <col width="14" customWidth="1" style="216" min="1" max="2"/>
    <col width="13" customWidth="1" style="216" min="3" max="4"/>
    <col width="11" customWidth="1" style="216" min="5" max="5"/>
    <col width="34" customWidth="1" style="216" min="6" max="6"/>
    <col width="28" customWidth="1" style="216" min="7" max="7"/>
    <col width="40" customWidth="1" style="216" min="8" max="8"/>
    <col width="34" customWidth="1" style="216" min="9" max="9"/>
    <col width="10" customWidth="1" style="216" min="10" max="10"/>
    <col width="12.43" customWidth="1" style="216" min="11" max="11"/>
    <col width="14" customWidth="1" style="216" min="12" max="12"/>
    <col width="26.14" customWidth="1" style="216" min="13" max="13"/>
    <col width="9" customWidth="1" style="216" min="14" max="14"/>
    <col width="10" customWidth="1" style="216" min="15" max="15"/>
    <col width="9" customWidth="1" style="216" min="16" max="16"/>
    <col width="13" customWidth="1" style="216" min="17" max="17"/>
    <col width="11" customWidth="1" style="216" min="18" max="18"/>
    <col width="22" customWidth="1" style="216" min="19" max="19"/>
    <col width="9" customWidth="1" style="216" min="20" max="20"/>
    <col width="10" customWidth="1" style="216" min="21" max="21"/>
    <col width="9" customWidth="1" style="216" min="22" max="22"/>
    <col width="13" customWidth="1" style="216" min="23" max="23"/>
    <col width="11" customWidth="1" style="216" min="24" max="24"/>
    <col width="22" customWidth="1" style="216" min="25" max="25"/>
    <col width="9" customWidth="1" style="216" min="26" max="26"/>
    <col width="10" customWidth="1" style="216" min="27" max="27"/>
    <col width="9" customWidth="1" style="216" min="28" max="28"/>
    <col width="13" customWidth="1" style="216" min="29" max="29"/>
    <col width="11" customWidth="1" style="216" min="30" max="30"/>
    <col width="22" customWidth="1" style="216" min="31" max="31"/>
    <col width="9" customWidth="1" style="216" min="32" max="32"/>
    <col width="10" customWidth="1" style="216" min="33" max="33"/>
    <col width="9" customWidth="1" style="216" min="34" max="34"/>
    <col width="13" customWidth="1" style="216" min="35" max="35"/>
    <col width="11" customWidth="1" style="216" min="36" max="36"/>
    <col width="22" customWidth="1" style="216" min="37" max="37"/>
    <col width="9" customWidth="1" style="216" min="38" max="38"/>
    <col width="10" customWidth="1" style="216" min="39" max="39"/>
    <col width="9" customWidth="1" style="216" min="40" max="40"/>
    <col width="13" customWidth="1" style="216" min="41" max="41"/>
    <col width="11" customWidth="1" style="216" min="42" max="42"/>
    <col width="22" customWidth="1" style="216" min="43" max="43"/>
    <col width="12" customWidth="1" style="216" min="44" max="44"/>
    <col width="14" customWidth="1" style="216" min="45" max="45"/>
    <col width="11" customWidth="1" style="216" min="46" max="46"/>
    <col width="24" customWidth="1" style="216" min="47" max="47"/>
  </cols>
  <sheetData>
    <row r="1">
      <c r="A1" s="106"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row>
    <row r="2">
      <c r="A2" s="255" t="inlineStr">
        <is>
          <t>Mã chức năng</t>
        </is>
      </c>
      <c r="B2" s="218" t="n"/>
      <c r="C2" s="256" t="inlineStr">
        <is>
          <t>TC_03</t>
        </is>
      </c>
      <c r="D2" s="220" t="n"/>
      <c r="E2" s="218"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row>
    <row r="3" ht="15" customHeight="1" s="216">
      <c r="A3" s="255" t="inlineStr">
        <is>
          <t>Tên chức năng</t>
        </is>
      </c>
      <c r="B3" s="218" t="n"/>
      <c r="C3" s="256" t="inlineStr">
        <is>
          <t>Huỷ đơn - Huỷ nhận đơn</t>
        </is>
      </c>
      <c r="D3" s="220" t="n"/>
      <c r="E3" s="218" t="n"/>
      <c r="F3" s="1" t="n"/>
      <c r="G3" s="255" t="inlineStr">
        <is>
          <t>Version</t>
        </is>
      </c>
      <c r="H3" s="218" t="n"/>
      <c r="I3" s="174">
        <f>Summary!$C$8</f>
        <v/>
      </c>
      <c r="J3" s="218"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row>
    <row r="4" ht="15" customHeight="1" s="216">
      <c r="A4" s="255" t="inlineStr">
        <is>
          <t>Execution</t>
        </is>
      </c>
      <c r="B4" s="218" t="n"/>
      <c r="C4" s="174">
        <f>TEXT(Summary!$C$10,"DD/MM/YYYY")&amp;"  →  "&amp;TEXT(Summary!$C$11,"DD/MM/YYYY")</f>
        <v/>
      </c>
      <c r="D4" s="220" t="n"/>
      <c r="E4" s="218" t="n"/>
      <c r="F4" s="1" t="n"/>
      <c r="G4" s="255" t="inlineStr">
        <is>
          <t>PIC</t>
        </is>
      </c>
      <c r="H4" s="218" t="n"/>
      <c r="I4" s="174">
        <f>Summary!$C$13</f>
        <v/>
      </c>
      <c r="J4" s="218"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1" t="n"/>
      <c r="AL4" s="1" t="n"/>
      <c r="AM4" s="1" t="n"/>
      <c r="AN4" s="1" t="n"/>
      <c r="AO4" s="1" t="n"/>
      <c r="AP4" s="1" t="n"/>
      <c r="AQ4" s="1" t="n"/>
      <c r="AR4" s="1" t="n"/>
      <c r="AS4" s="1" t="n"/>
      <c r="AT4" s="1" t="n"/>
      <c r="AU4" s="1" t="n"/>
    </row>
    <row r="5" ht="15" customHeight="1" s="216">
      <c r="A5" s="257" t="inlineStr">
        <is>
          <t>TRACEABILITY</t>
        </is>
      </c>
      <c r="B5" s="220" t="n"/>
      <c r="C5" s="218" t="n"/>
      <c r="D5" s="246" t="inlineStr">
        <is>
          <t>TEST DESIGN</t>
        </is>
      </c>
      <c r="E5" s="220" t="n"/>
      <c r="F5" s="220" t="n"/>
      <c r="G5" s="220" t="n"/>
      <c r="H5" s="220" t="n"/>
      <c r="I5" s="218" t="n"/>
      <c r="J5" s="250" t="inlineStr">
        <is>
          <t>SDLC</t>
        </is>
      </c>
      <c r="K5" s="220" t="n"/>
      <c r="L5" s="220" t="n"/>
      <c r="M5" s="218" t="n"/>
      <c r="N5" s="258" t="inlineStr">
        <is>
          <t>ROUND 1</t>
        </is>
      </c>
      <c r="O5" s="252" t="n"/>
      <c r="P5" s="252" t="n"/>
      <c r="Q5" s="252" t="n"/>
      <c r="R5" s="252" t="n"/>
      <c r="S5" s="253" t="n"/>
      <c r="T5" s="259" t="inlineStr">
        <is>
          <t>ROUND 2</t>
        </is>
      </c>
      <c r="U5" s="252" t="n"/>
      <c r="V5" s="252" t="n"/>
      <c r="W5" s="252" t="n"/>
      <c r="X5" s="252" t="n"/>
      <c r="Y5" s="253" t="n"/>
      <c r="Z5" s="258" t="inlineStr">
        <is>
          <t>ROUND 3</t>
        </is>
      </c>
      <c r="AA5" s="252" t="n"/>
      <c r="AB5" s="252" t="n"/>
      <c r="AC5" s="252" t="n"/>
      <c r="AD5" s="252" t="n"/>
      <c r="AE5" s="253" t="n"/>
      <c r="AF5" s="259" t="inlineStr">
        <is>
          <t>ROUND 4</t>
        </is>
      </c>
      <c r="AG5" s="252" t="n"/>
      <c r="AH5" s="252" t="n"/>
      <c r="AI5" s="252" t="n"/>
      <c r="AJ5" s="252" t="n"/>
      <c r="AK5" s="253" t="n"/>
      <c r="AL5" s="258" t="inlineStr">
        <is>
          <t>ROUND 5</t>
        </is>
      </c>
      <c r="AM5" s="252" t="n"/>
      <c r="AN5" s="252" t="n"/>
      <c r="AO5" s="252" t="n"/>
      <c r="AP5" s="252" t="n"/>
      <c r="AQ5" s="253" t="n"/>
      <c r="AR5" s="262" t="inlineStr">
        <is>
          <t>KẾT QUẢ TỔNG</t>
        </is>
      </c>
      <c r="AS5" s="252" t="n"/>
      <c r="AT5" s="252" t="n"/>
      <c r="AU5" s="253" t="n"/>
    </row>
    <row r="6" ht="30" customHeight="1" s="216">
      <c r="A6" s="152" t="inlineStr">
        <is>
          <t>Testcase ID</t>
        </is>
      </c>
      <c r="B6" s="152" t="inlineStr">
        <is>
          <t>Req ID</t>
        </is>
      </c>
      <c r="C6" s="152" t="inlineStr">
        <is>
          <t>DOC Source</t>
        </is>
      </c>
      <c r="D6" s="114" t="inlineStr">
        <is>
          <t>Group</t>
        </is>
      </c>
      <c r="E6" s="114" t="inlineStr">
        <is>
          <t>Priority</t>
        </is>
      </c>
      <c r="F6" s="114" t="inlineStr">
        <is>
          <t>Test Title
(Nội dung test)</t>
        </is>
      </c>
      <c r="G6" s="114" t="inlineStr">
        <is>
          <t>Pre-condition
(Điều kiện/Dữ liệu)</t>
        </is>
      </c>
      <c r="H6" s="114" t="inlineStr">
        <is>
          <t>Test Steps
(Các bước)</t>
        </is>
      </c>
      <c r="I6" s="114" t="inlineStr">
        <is>
          <t>Expected Result
(Kết quả mong đợi)</t>
        </is>
      </c>
      <c r="J6" s="112" t="inlineStr">
        <is>
          <t>Origin</t>
        </is>
      </c>
      <c r="K6" s="112" t="inlineStr">
        <is>
          <t>Review</t>
        </is>
      </c>
      <c r="L6" s="112" t="inlineStr">
        <is>
          <t>Automated</t>
        </is>
      </c>
      <c r="M6" s="112" t="inlineStr">
        <is>
          <t>Script</t>
        </is>
      </c>
      <c r="N6" s="153" t="inlineStr">
        <is>
          <t>Vibe-test</t>
        </is>
      </c>
      <c r="O6" s="153" t="inlineStr">
        <is>
          <t>KQ Script</t>
        </is>
      </c>
      <c r="P6" s="153" t="inlineStr">
        <is>
          <t>Kết quả</t>
        </is>
      </c>
      <c r="Q6" s="153" t="inlineStr">
        <is>
          <t>Executed By</t>
        </is>
      </c>
      <c r="R6" s="153" t="inlineStr">
        <is>
          <t>ID Bugs</t>
        </is>
      </c>
      <c r="S6" s="153" t="inlineStr">
        <is>
          <t>Note</t>
        </is>
      </c>
      <c r="T6" s="153" t="inlineStr">
        <is>
          <t>Vibe-test</t>
        </is>
      </c>
      <c r="U6" s="153" t="inlineStr">
        <is>
          <t>KQ Script</t>
        </is>
      </c>
      <c r="V6" s="153" t="inlineStr">
        <is>
          <t>Kết quả</t>
        </is>
      </c>
      <c r="W6" s="153" t="inlineStr">
        <is>
          <t>Executed By</t>
        </is>
      </c>
      <c r="X6" s="153" t="inlineStr">
        <is>
          <t>ID Bugs</t>
        </is>
      </c>
      <c r="Y6" s="153" t="inlineStr">
        <is>
          <t>Note</t>
        </is>
      </c>
      <c r="Z6" s="153" t="inlineStr">
        <is>
          <t>Vibe-test</t>
        </is>
      </c>
      <c r="AA6" s="153" t="inlineStr">
        <is>
          <t>KQ Script</t>
        </is>
      </c>
      <c r="AB6" s="153" t="inlineStr">
        <is>
          <t>Kết quả</t>
        </is>
      </c>
      <c r="AC6" s="153" t="inlineStr">
        <is>
          <t>Executed By</t>
        </is>
      </c>
      <c r="AD6" s="153" t="inlineStr">
        <is>
          <t>ID Bugs</t>
        </is>
      </c>
      <c r="AE6" s="153" t="inlineStr">
        <is>
          <t>Note</t>
        </is>
      </c>
      <c r="AF6" s="153" t="inlineStr">
        <is>
          <t>Vibe-test</t>
        </is>
      </c>
      <c r="AG6" s="153" t="inlineStr">
        <is>
          <t>KQ Script</t>
        </is>
      </c>
      <c r="AH6" s="153" t="inlineStr">
        <is>
          <t>Kết quả</t>
        </is>
      </c>
      <c r="AI6" s="153" t="inlineStr">
        <is>
          <t>Executed By</t>
        </is>
      </c>
      <c r="AJ6" s="153" t="inlineStr">
        <is>
          <t>ID Bugs</t>
        </is>
      </c>
      <c r="AK6" s="153" t="inlineStr">
        <is>
          <t>Note</t>
        </is>
      </c>
      <c r="AL6" s="153" t="inlineStr">
        <is>
          <t>Vibe-test</t>
        </is>
      </c>
      <c r="AM6" s="153" t="inlineStr">
        <is>
          <t>KQ Script</t>
        </is>
      </c>
      <c r="AN6" s="153" t="inlineStr">
        <is>
          <t>Kết quả</t>
        </is>
      </c>
      <c r="AO6" s="153" t="inlineStr">
        <is>
          <t>Executed By</t>
        </is>
      </c>
      <c r="AP6" s="153" t="inlineStr">
        <is>
          <t>ID Bugs</t>
        </is>
      </c>
      <c r="AQ6" s="153" t="inlineStr">
        <is>
          <t>Note</t>
        </is>
      </c>
      <c r="AR6" s="263" t="inlineStr">
        <is>
          <t>Vibe-test
(tổng)</t>
        </is>
      </c>
      <c r="AS6" s="263" t="inlineStr">
        <is>
          <t>KQ Script
(tổng)</t>
        </is>
      </c>
      <c r="AT6" s="154" t="inlineStr">
        <is>
          <t>Status</t>
        </is>
      </c>
      <c r="AU6" s="154" t="inlineStr">
        <is>
          <t>Remark</t>
        </is>
      </c>
    </row>
    <row r="7" ht="60" customHeight="1" s="216">
      <c r="A7" s="160">
        <f>IF($F7="","",$C$2&amp;"."&amp;COUNTA($F$7:$F7)&amp;"")</f>
        <v/>
      </c>
      <c r="B7" s="160" t="inlineStr">
        <is>
          <t>REQ-CNL-002</t>
        </is>
      </c>
      <c r="C7" s="160" t="inlineStr">
        <is>
          <t>DOC-v1.1-01</t>
        </is>
      </c>
      <c r="D7" s="160" t="inlineStr">
        <is>
          <t>Functional</t>
        </is>
      </c>
      <c r="E7" s="160" t="inlineStr">
        <is>
          <t>Medium</t>
        </is>
      </c>
      <c r="F7" s="11" t="inlineStr">
        <is>
          <t>Check lý do huỷ 4 ký tự bị chặn ngay từ nút xác nhận</t>
        </is>
      </c>
      <c r="G7" s="11" t="inlineStr">
        <is>
          <t>- Tài khoản A là CBNV có hồ sơ đầy đủ trên STG.
- Host app FoxPro đã cài trên thiết bị Android/iOS.
Test Data: Lý do 4 ký tự "abcd" (test_data_catalog §CNL v1.1, biên dưới)</t>
        </is>
      </c>
      <c r="H7" s="11" t="inlineStr">
        <is>
          <t>1. Đăng nhập bằng tài khoản A và đăng 1 tin NEED qua wizard "+ Đăng tin". (setup)
2. Nhấn tab "Hoạt động", mở đơn vừa đăng và nhấn "Huỷ đơn". (setup)
3. Nhập "abcd" vào ô lý do.
4. Check trạng thái nút "Xác nhận" và vùng dưới ô lý do.</t>
        </is>
      </c>
      <c r="I7" s="11" t="inlineStr">
        <is>
          <t>4. Nút "Xác nhận" ở trạng thái vô hiệu hoá ngay (không phải bấm được rồi mới báo lỗi); hiện lỗi ngay dưới ô lý do; trạng thái đơn không đổi.</t>
        </is>
      </c>
      <c r="J7" s="160" t="inlineStr">
        <is>
          <t>AI</t>
        </is>
      </c>
      <c r="K7" s="160" t="inlineStr">
        <is>
          <t>Pending</t>
        </is>
      </c>
      <c r="L7" s="160" t="inlineStr">
        <is>
          <t>No</t>
        </is>
      </c>
      <c r="M7" s="160" t="inlineStr"/>
      <c r="N7" s="264" t="inlineStr">
        <is>
          <t>Yes</t>
        </is>
      </c>
      <c r="O7" s="264" t="inlineStr"/>
      <c r="P7" s="264" t="inlineStr">
        <is>
          <t>Fail</t>
        </is>
      </c>
      <c r="Q7" s="264" t="inlineStr">
        <is>
          <t>GiangDC2</t>
        </is>
      </c>
      <c r="R7" s="264" t="inlineStr">
        <is>
          <t>FE-320</t>
        </is>
      </c>
      <c r="S7" s="264" t="inlineStr"/>
      <c r="T7" s="264" t="n"/>
      <c r="U7" s="264" t="n"/>
      <c r="V7" s="264" t="n"/>
      <c r="W7" s="264" t="n"/>
      <c r="X7" s="264" t="n"/>
      <c r="Y7" s="264" t="n"/>
      <c r="Z7" s="264" t="n"/>
      <c r="AA7" s="264" t="n"/>
      <c r="AB7" s="264" t="n"/>
      <c r="AC7" s="264" t="n"/>
      <c r="AD7" s="264" t="n"/>
      <c r="AE7" s="264" t="n"/>
      <c r="AF7" s="264" t="n"/>
      <c r="AG7" s="264" t="n"/>
      <c r="AH7" s="264" t="n"/>
      <c r="AI7" s="264" t="n"/>
      <c r="AJ7" s="264" t="n"/>
      <c r="AK7" s="264" t="n"/>
      <c r="AL7" s="264" t="n"/>
      <c r="AM7" s="264" t="n"/>
      <c r="AN7" s="264" t="n"/>
      <c r="AO7" s="264" t="n"/>
      <c r="AP7" s="264" t="n"/>
      <c r="AQ7" s="264" t="n"/>
      <c r="AR7" s="158">
        <f>IF($A7="","",IF(OR($N7="Yes",$T7="Yes",$Z7="Yes",$AF7="Yes",$AL7="Yes"),"Yes","No"))</f>
        <v/>
      </c>
      <c r="AS7" s="158">
        <f>IF($A7="","",IFERROR(IF($AM7&lt;&gt;"",$AM7,IF($AG7&lt;&gt;"",$AG7,IF($AA7&lt;&gt;"",$AA7,IF($U7&lt;&gt;"",$U7,IF($O7&lt;&gt;"",$O7,""))))),""))</f>
        <v/>
      </c>
      <c r="AT7" s="158">
        <f>IFERROR(IF($AN7&lt;&gt;"",$AN7,IF($AH7&lt;&gt;"",$AH7,IF($AB7&lt;&gt;"",$AB7,IF($V7&lt;&gt;"",$V7,IF($P7&lt;&gt;"",$P7,""))))),"")</f>
        <v/>
      </c>
      <c r="AU7" s="265" t="inlineStr">
        <is>
          <t>Mục đích: siết thêm 2 chi tiết Then mà v1.0 chưa có — nút vô hiệu hoá SẴN (không phải bấm rồi báo lỗi) và lỗi hiện đúng vị trí dưới ô lý do. · Căn cứ: `BR11-01` + `VAL-04` + `AC-25.1.03` (PRD phê duyệt, không còn là override QA). ⚠ Dự kiến FAIL — app hiện cho qua ⇒ log bug, ⛔ không hạ chuẩn TC theo hành vi app. · Đã sửa theo analyze v1.1 (2026-09-15): bỏ vế "5 ký tự được nhận" — đã có `TC-CNL-003` (CARRIED) cover, tránh trùng. · Đã sửa theo §10.4 (2026-09-17): gộp 3 điểm quan sát (nút khoá · lỗi đúng vị trí · trạng thái đơn) vào 1 Expected ở step cuối.</t>
        </is>
      </c>
    </row>
    <row r="8" ht="60" customHeight="1" s="216">
      <c r="A8" s="160">
        <f>IF($F8="","",$C$2&amp;"."&amp;COUNTA($F$7:$F8)&amp;"")</f>
        <v/>
      </c>
      <c r="B8" s="160" t="inlineStr">
        <is>
          <t>REQ-CNL-002</t>
        </is>
      </c>
      <c r="C8" s="160" t="inlineStr">
        <is>
          <t>DOC-v1.1-01</t>
        </is>
      </c>
      <c r="D8" s="160" t="inlineStr">
        <is>
          <t>Functional</t>
        </is>
      </c>
      <c r="E8" s="160" t="inlineStr">
        <is>
          <t>Low</t>
        </is>
      </c>
      <c r="F8" s="11" t="inlineStr">
        <is>
          <t>Check lý do huỷ gồm năm dấu cách bị chặn sau khi cắt khoảng trắng</t>
        </is>
      </c>
      <c r="G8" s="11" t="inlineStr">
        <is>
          <t>- Tài khoản A là CBNV có hồ sơ đầy đủ trên STG.
- Host app FoxPro đã cài trên thiết bị Android/iOS.
Test Data: Lý do gồm 5 dấu cách (test_data_catalog §CNL v1.1, biên)</t>
        </is>
      </c>
      <c r="H8" s="11" t="inlineStr">
        <is>
          <t>1. Đăng nhập bằng tài khoản A và đăng 1 tin NEED qua wizard "+ Đăng tin". (setup)
2. Nhấn tab "Hoạt động", mở đơn vừa đăng và nhấn "Huỷ đơn". (setup)
3. Nhập đúng 5 dấu cách vào ô lý do.
4. Check trạng thái nút "Xác nhận".</t>
        </is>
      </c>
      <c r="I8" s="11" t="inlineStr">
        <is>
          <t>4. Nút "Xác nhận" ở trạng thái vô hiệu hoá, không nhấn được (sau khi tự cắt khoảng trắng đầu/cuối thì lý do rỗng).</t>
        </is>
      </c>
      <c r="J8" s="160" t="inlineStr">
        <is>
          <t>AI</t>
        </is>
      </c>
      <c r="K8" s="160" t="inlineStr">
        <is>
          <t>Pending</t>
        </is>
      </c>
      <c r="L8" s="160" t="inlineStr">
        <is>
          <t>No</t>
        </is>
      </c>
      <c r="M8" s="160" t="inlineStr"/>
      <c r="N8" s="264" t="inlineStr">
        <is>
          <t>Yes</t>
        </is>
      </c>
      <c r="O8" s="264" t="inlineStr"/>
      <c r="P8" s="264" t="inlineStr">
        <is>
          <t>Pass</t>
        </is>
      </c>
      <c r="Q8" s="264" t="inlineStr">
        <is>
          <t>GiangDC2</t>
        </is>
      </c>
      <c r="R8" s="264" t="inlineStr"/>
      <c r="S8" s="264" t="inlineStr"/>
      <c r="T8" s="264" t="n"/>
      <c r="U8" s="264" t="n"/>
      <c r="V8" s="264" t="n"/>
      <c r="W8" s="264" t="n"/>
      <c r="X8" s="264" t="n"/>
      <c r="Y8" s="264" t="n"/>
      <c r="Z8" s="264" t="n"/>
      <c r="AA8" s="264" t="n"/>
      <c r="AB8" s="264" t="n"/>
      <c r="AC8" s="264" t="n"/>
      <c r="AD8" s="264" t="n"/>
      <c r="AE8" s="264" t="n"/>
      <c r="AF8" s="264" t="n"/>
      <c r="AG8" s="264" t="n"/>
      <c r="AH8" s="264" t="n"/>
      <c r="AI8" s="264" t="n"/>
      <c r="AJ8" s="264" t="n"/>
      <c r="AK8" s="264" t="n"/>
      <c r="AL8" s="264" t="n"/>
      <c r="AM8" s="264" t="n"/>
      <c r="AN8" s="264" t="n"/>
      <c r="AO8" s="264" t="n"/>
      <c r="AP8" s="264" t="n"/>
      <c r="AQ8" s="264" t="n"/>
      <c r="AR8" s="158">
        <f>IF($A8="","",IF(OR($N8="Yes",$T8="Yes",$Z8="Yes",$AF8="Yes",$AL8="Yes"),"Yes","No"))</f>
        <v/>
      </c>
      <c r="AS8" s="158">
        <f>IF($A8="","",IFERROR(IF($AM8&lt;&gt;"",$AM8,IF($AG8&lt;&gt;"",$AG8,IF($AA8&lt;&gt;"",$AA8,IF($U8&lt;&gt;"",$U8,IF($O8&lt;&gt;"",$O8,""))))),""))</f>
        <v/>
      </c>
      <c r="AT8" s="158">
        <f>IFERROR(IF($AN8&lt;&gt;"",$AN8,IF($AH8&lt;&gt;"",$AH8,IF($AB8&lt;&gt;"",$AB8,IF($V8&lt;&gt;"",$V8,IF($P8&lt;&gt;"",$P8,""))))),"")</f>
        <v/>
      </c>
      <c r="AU8" s="265" t="inlineStr">
        <is>
          <t>Mục đích: mốc thứ tư trong bộ boundary lý do (rỗng → 4 ký tự → 5 ký tự → 5 dấu cách). · Căn cứ: `VAL-03` (trim) + `VAL-04` (PRD phê duyệt, không còn là override QA). ⚠ Dự kiến FAIL — `KB-CNL-02` đã live-verify app cho qua ⇒ log bug. · ⚠️ Biên "5 dấu cách" dễ bị gõ nhầm thành "     x" khi nhập tay — ghi rõ trong Test Data để tester không tự ý gõ sai.</t>
        </is>
      </c>
    </row>
    <row r="9" ht="60" customHeight="1" s="216">
      <c r="A9" s="160">
        <f>IF($F9="","",$C$2&amp;"."&amp;COUNTA($F$7:$F9)&amp;"")</f>
        <v/>
      </c>
      <c r="B9" s="160" t="inlineStr">
        <is>
          <t>REQ-CNL-003, REQ-CNL-007</t>
        </is>
      </c>
      <c r="C9" s="160" t="inlineStr">
        <is>
          <t>DOC-v1.1-01</t>
        </is>
      </c>
      <c r="D9" s="160" t="inlineStr">
        <is>
          <t>Functional</t>
        </is>
      </c>
      <c r="E9" s="160" t="inlineStr">
        <is>
          <t>Medium</t>
        </is>
      </c>
      <c r="F9" s="11" t="inlineStr">
        <is>
          <t>Check nút "Báo cáo sự cố" tồn tại cho vai Người gửi khi đơn đang giao</t>
        </is>
      </c>
      <c r="G9" s="11" t="inlineStr">
        <is>
          <t>- Đơn đã ở checkpoint 2 (`IN_TRANSIT`/Đang giao) của `SEED-DLV-01` (xem sheet `Seed` của chính file này) — không seed riêng.
- Host app FoxPro đã cài trên thiết bị Android/iOS.
Test Data: Đơn `IN_TRANSIT` của `SEED-DLV-01` (test_data_catalog §CNL v1.1)</t>
        </is>
      </c>
      <c r="H9" s="11" t="inlineStr">
        <is>
          <t>1. Đăng nhập bằng tài khoản A (Người gửi), mở màn Theo dõi đơn của đơn đó. (setup)
2. Check góc trên bên phải màn Theo dõi đơn.</t>
        </is>
      </c>
      <c r="I9" s="11" t="inlineStr">
        <is>
          <t>2. Có nút "Báo cáo sự cố"; nhấn vào mở được luồng báo sự cố.</t>
        </is>
      </c>
      <c r="J9" s="160" t="inlineStr">
        <is>
          <t>AI</t>
        </is>
      </c>
      <c r="K9" s="160" t="inlineStr">
        <is>
          <t>Pending</t>
        </is>
      </c>
      <c r="L9" s="160" t="inlineStr">
        <is>
          <t>No</t>
        </is>
      </c>
      <c r="M9" s="160" t="inlineStr"/>
      <c r="N9" s="264" t="inlineStr">
        <is>
          <t>Yes</t>
        </is>
      </c>
      <c r="O9" s="264" t="inlineStr"/>
      <c r="P9" s="264" t="inlineStr">
        <is>
          <t>Pass</t>
        </is>
      </c>
      <c r="Q9" s="264" t="inlineStr">
        <is>
          <t>GiangDC2</t>
        </is>
      </c>
      <c r="R9" s="264" t="inlineStr"/>
      <c r="S9" s="264" t="inlineStr"/>
      <c r="T9" s="264" t="n"/>
      <c r="U9" s="264" t="n"/>
      <c r="V9" s="264" t="n"/>
      <c r="W9" s="264" t="n"/>
      <c r="X9" s="264" t="n"/>
      <c r="Y9" s="264" t="n"/>
      <c r="Z9" s="264" t="n"/>
      <c r="AA9" s="264" t="n"/>
      <c r="AB9" s="264" t="n"/>
      <c r="AC9" s="264" t="n"/>
      <c r="AD9" s="264" t="n"/>
      <c r="AE9" s="264" t="n"/>
      <c r="AF9" s="264" t="n"/>
      <c r="AG9" s="264" t="n"/>
      <c r="AH9" s="264" t="n"/>
      <c r="AI9" s="264" t="n"/>
      <c r="AJ9" s="264" t="n"/>
      <c r="AK9" s="264" t="n"/>
      <c r="AL9" s="264" t="n"/>
      <c r="AM9" s="264" t="n"/>
      <c r="AN9" s="264" t="n"/>
      <c r="AO9" s="264" t="n"/>
      <c r="AP9" s="264" t="n"/>
      <c r="AQ9" s="264" t="n"/>
      <c r="AR9" s="158">
        <f>IF($A9="","",IF(OR($N9="Yes",$T9="Yes",$Z9="Yes",$AF9="Yes",$AL9="Yes"),"Yes","No"))</f>
        <v/>
      </c>
      <c r="AS9" s="158">
        <f>IF($A9="","",IFERROR(IF($AM9&lt;&gt;"",$AM9,IF($AG9&lt;&gt;"",$AG9,IF($AA9&lt;&gt;"",$AA9,IF($U9&lt;&gt;"",$U9,IF($O9&lt;&gt;"",$O9,""))))),""))</f>
        <v/>
      </c>
      <c r="AT9" s="158">
        <f>IFERROR(IF($AN9&lt;&gt;"",$AN9,IF($AH9&lt;&gt;"",$AH9,IF($AB9&lt;&gt;"",$AB9,IF($V9&lt;&gt;"",$V9,IF($P9&lt;&gt;"",$P9,""))))),"")</f>
        <v/>
      </c>
      <c r="AU9" s="265" t="inlineStr">
        <is>
          <t>🔴 Bản v1.0 cùng ID assert KHÔNG có chức năng này — kỳ vọng ngược hoàn toàn, phải dùng bản v1.1. · Căn cứ: `§4 SCOPES` In-scope + `§8.16` + `AC-25.2.01`. ⚠ Dự kiến FAIL nếu STG chưa build `FR16` ⇒ log gap PRD↔app, ⛔ không diễn giải thành "vẫn out of scope". · Đọc chéo `TS` — chỉ kiểm nút tồn tại + mở được, KHÔNG lặp nội dung form/ảnh (home ở `SC-TS-008..015`). · Đã sửa theo §10.4 (2026-09-17): tách riêng theo vai — vai Người vận chuyển ở `TC-CNL-015`, vai Người nhận ở `TC-CNL-016` (mỗi vai độc lập, có thể fail riêng theo `BR11-04` "bất kỳ vai trò nào").</t>
        </is>
      </c>
    </row>
    <row r="10">
      <c r="A10" s="160">
        <f>IF($F10="","",$C$2&amp;"."&amp;COUNTA($F$7:$F10)&amp;"")</f>
        <v/>
      </c>
      <c r="B10" s="160" t="inlineStr">
        <is>
          <t>REQ-CNL-003, REQ-CNL-007</t>
        </is>
      </c>
      <c r="C10" s="160" t="inlineStr">
        <is>
          <t>DOC-v1.1-01</t>
        </is>
      </c>
      <c r="D10" s="160" t="inlineStr">
        <is>
          <t>Functional</t>
        </is>
      </c>
      <c r="E10" s="160" t="inlineStr">
        <is>
          <t>Medium</t>
        </is>
      </c>
      <c r="F10" s="11" t="inlineStr">
        <is>
          <t>Check nút "Báo cáo sự cố" tồn tại cho vai Người vận chuyển khi đơn đang giao</t>
        </is>
      </c>
      <c r="G10" s="11" t="inlineStr">
        <is>
          <t>- Đơn đã ở checkpoint 2 (`IN_TRANSIT`/Đang giao) của `SEED-DLV-01` (xem sheet `Seed` của chính file này) — không seed riêng.
- Host app FoxPro đã cài trên thiết bị Android/iOS.
Test Data: Đơn `IN_TRANSIT` của `SEED-DLV-01` (test_data_catalog §CNL v1.1)</t>
        </is>
      </c>
      <c r="H10" s="11" t="inlineStr">
        <is>
          <t>1. Đăng nhập bằng tài khoản B (Người vận chuyển), mở màn Theo dõi đơn của đơn đó. (setup)
2. Check góc trên bên phải màn Theo dõi đơn.</t>
        </is>
      </c>
      <c r="I10" s="11" t="inlineStr">
        <is>
          <t>2. Có nút "Báo cáo sự cố"; nhấn vào mở được luồng báo sự cố.</t>
        </is>
      </c>
      <c r="J10" s="160" t="inlineStr">
        <is>
          <t>AI</t>
        </is>
      </c>
      <c r="K10" s="160" t="inlineStr">
        <is>
          <t>Pending</t>
        </is>
      </c>
      <c r="L10" s="160" t="inlineStr">
        <is>
          <t>No</t>
        </is>
      </c>
      <c r="M10" s="160" t="inlineStr"/>
      <c r="N10" s="264" t="inlineStr">
        <is>
          <t>Yes</t>
        </is>
      </c>
      <c r="O10" s="264" t="inlineStr"/>
      <c r="P10" s="264" t="inlineStr">
        <is>
          <t>Pass</t>
        </is>
      </c>
      <c r="Q10" s="264" t="inlineStr">
        <is>
          <t>GiangDC2</t>
        </is>
      </c>
      <c r="R10" s="264" t="inlineStr"/>
      <c r="S10" s="264" t="inlineStr"/>
      <c r="T10" s="264" t="n"/>
      <c r="U10" s="264" t="n"/>
      <c r="V10" s="264" t="n"/>
      <c r="W10" s="264" t="n"/>
      <c r="X10" s="264" t="n"/>
      <c r="Y10" s="264" t="n"/>
      <c r="Z10" s="264" t="n"/>
      <c r="AA10" s="264" t="n"/>
      <c r="AB10" s="264" t="n"/>
      <c r="AC10" s="264" t="n"/>
      <c r="AD10" s="264" t="n"/>
      <c r="AE10" s="264" t="n"/>
      <c r="AF10" s="264" t="n"/>
      <c r="AG10" s="264" t="n"/>
      <c r="AH10" s="264" t="n"/>
      <c r="AI10" s="264" t="n"/>
      <c r="AJ10" s="264" t="n"/>
      <c r="AK10" s="264" t="n"/>
      <c r="AL10" s="264" t="n"/>
      <c r="AM10" s="264" t="n"/>
      <c r="AN10" s="264" t="n"/>
      <c r="AO10" s="264" t="n"/>
      <c r="AP10" s="264" t="n"/>
      <c r="AQ10" s="264" t="n"/>
      <c r="AR10" s="158">
        <f>IF($A10="","",IF(OR($N10="Yes",$T10="Yes",$Z10="Yes",$AF10="Yes",$AL10="Yes"),"Yes","No"))</f>
        <v/>
      </c>
      <c r="AS10" s="158">
        <f>IF($A10="","",IFERROR(IF($AM10&lt;&gt;"",$AM10,IF($AG10&lt;&gt;"",$AG10,IF($AA10&lt;&gt;"",$AA10,IF($U10&lt;&gt;"",$U10,IF($O10&lt;&gt;"",$O10,""))))),""))</f>
        <v/>
      </c>
      <c r="AT10" s="158">
        <f>IFERROR(IF($AN10&lt;&gt;"",$AN10,IF($AH10&lt;&gt;"",$AH10,IF($AB10&lt;&gt;"",$AB10,IF($V10&lt;&gt;"",$V10,IF($P10&lt;&gt;"",$P10,""))))),"")</f>
        <v/>
      </c>
      <c r="AU10" s="265" t="inlineStr">
        <is>
          <t>Mục đích: vai độc lập với `TC-CNL-006` (vai Người gửi) — `BR11-04` yêu cầu "bất kỳ vai trò nào", mỗi vai có thể fail riêng. · Căn cứ: giống `TC-CNL-006`. · Đọc chéo `TS` — chỉ kiểm nút tồn tại, không lặp nội dung form (home `SC-TS-008..015`). TC mới tách theo §10.4 (2026-09-17), không có ID cũ 1-1.</t>
        </is>
      </c>
    </row>
    <row r="11">
      <c r="A11" s="160">
        <f>IF($F11="","",$C$2&amp;"."&amp;COUNTA($F$7:$F11)&amp;"")</f>
        <v/>
      </c>
      <c r="B11" s="160" t="inlineStr">
        <is>
          <t>REQ-CNL-003, REQ-CNL-007</t>
        </is>
      </c>
      <c r="C11" s="160" t="inlineStr">
        <is>
          <t>DOC-v1.1-01</t>
        </is>
      </c>
      <c r="D11" s="160" t="inlineStr">
        <is>
          <t>Functional</t>
        </is>
      </c>
      <c r="E11" s="160" t="inlineStr">
        <is>
          <t>Medium</t>
        </is>
      </c>
      <c r="F11" s="11" t="inlineStr">
        <is>
          <t>Check nút "Báo cáo sự cố" tồn tại cho vai Người nhận khi đơn đang giao</t>
        </is>
      </c>
      <c r="G11" s="11" t="inlineStr">
        <is>
          <t>- Đơn đã ở checkpoint 2 (`IN_TRANSIT`/Đang giao) của `SEED-DLV-01` (xem sheet `Seed` của chính file này) — không seed riêng.
- Host app FoxPro đã cài trên thiết bị Android/iOS.
Test Data: Đơn `IN_TRANSIT` của `SEED-DLV-01` (test_data_catalog §CNL v1.1)</t>
        </is>
      </c>
      <c r="H11" s="11" t="inlineStr">
        <is>
          <t>1. Đăng nhập bằng tài khoản C (Người nhận), mở màn Theo dõi đơn của đơn đó. (setup)
2. Check góc trên bên phải màn Theo dõi đơn.</t>
        </is>
      </c>
      <c r="I11" s="11" t="inlineStr">
        <is>
          <t>2. Có nút "Báo cáo sự cố"; nhấn vào mở được luồng báo sự cố.</t>
        </is>
      </c>
      <c r="J11" s="160" t="inlineStr">
        <is>
          <t>AI</t>
        </is>
      </c>
      <c r="K11" s="160" t="inlineStr">
        <is>
          <t>Pending</t>
        </is>
      </c>
      <c r="L11" s="160" t="inlineStr">
        <is>
          <t>No</t>
        </is>
      </c>
      <c r="M11" s="160" t="inlineStr"/>
      <c r="N11" s="264" t="inlineStr">
        <is>
          <t>Yes</t>
        </is>
      </c>
      <c r="O11" s="264" t="inlineStr"/>
      <c r="P11" s="264" t="inlineStr">
        <is>
          <t>Pass</t>
        </is>
      </c>
      <c r="Q11" s="264" t="inlineStr">
        <is>
          <t>GiangDC2</t>
        </is>
      </c>
      <c r="R11" s="264" t="inlineStr"/>
      <c r="S11" s="264" t="inlineStr"/>
      <c r="T11" s="264" t="n"/>
      <c r="U11" s="264" t="n"/>
      <c r="V11" s="264" t="n"/>
      <c r="W11" s="264" t="n"/>
      <c r="X11" s="264" t="n"/>
      <c r="Y11" s="264" t="n"/>
      <c r="Z11" s="264" t="n"/>
      <c r="AA11" s="264" t="n"/>
      <c r="AB11" s="264" t="n"/>
      <c r="AC11" s="264" t="n"/>
      <c r="AD11" s="264" t="n"/>
      <c r="AE11" s="264" t="n"/>
      <c r="AF11" s="264" t="n"/>
      <c r="AG11" s="264" t="n"/>
      <c r="AH11" s="264" t="n"/>
      <c r="AI11" s="264" t="n"/>
      <c r="AJ11" s="264" t="n"/>
      <c r="AK11" s="264" t="n"/>
      <c r="AL11" s="264" t="n"/>
      <c r="AM11" s="264" t="n"/>
      <c r="AN11" s="264" t="n"/>
      <c r="AO11" s="264" t="n"/>
      <c r="AP11" s="264" t="n"/>
      <c r="AQ11" s="264" t="n"/>
      <c r="AR11" s="158">
        <f>IF($A11="","",IF(OR($N11="Yes",$T11="Yes",$Z11="Yes",$AF11="Yes",$AL11="Yes"),"Yes","No"))</f>
        <v/>
      </c>
      <c r="AS11" s="158">
        <f>IF($A11="","",IFERROR(IF($AM11&lt;&gt;"",$AM11,IF($AG11&lt;&gt;"",$AG11,IF($AA11&lt;&gt;"",$AA11,IF($U11&lt;&gt;"",$U11,IF($O11&lt;&gt;"",$O11,""))))),""))</f>
        <v/>
      </c>
      <c r="AT11" s="158">
        <f>IFERROR(IF($AN11&lt;&gt;"",$AN11,IF($AH11&lt;&gt;"",$AH11,IF($AB11&lt;&gt;"",$AB11,IF($V11&lt;&gt;"",$V11,IF($P11&lt;&gt;"",$P11,""))))),"")</f>
        <v/>
      </c>
      <c r="AU11" s="265" t="inlineStr">
        <is>
          <t>Mục đích: vai độc lập với `TC-CNL-006`/`015` — `BR11-04` yêu cầu "bất kỳ vai trò nào". · Căn cứ: giống `TC-CNL-006`. · Đọc chéo `TS` — chỉ kiểm nút tồn tại, không lặp nội dung form (home `SC-TS-008..015`). TC mới tách theo §10.4 (2026-09-17), không có ID cũ 1-1.</t>
        </is>
      </c>
    </row>
    <row r="12">
      <c r="A12" s="160">
        <f>IF($F12="","",$C$2&amp;"."&amp;COUNTA($F$7:$F12)&amp;"")</f>
        <v/>
      </c>
      <c r="B12" s="160" t="inlineStr">
        <is>
          <t>REQ-CNL-006</t>
        </is>
      </c>
      <c r="C12" s="160" t="inlineStr">
        <is>
          <t>DOC-v1.1-01</t>
        </is>
      </c>
      <c r="D12" s="160" t="inlineStr">
        <is>
          <t>Functional</t>
        </is>
      </c>
      <c r="E12" s="160" t="inlineStr">
        <is>
          <t>Medium</t>
        </is>
      </c>
      <c r="F12" s="11" t="inlineStr">
        <is>
          <t>Check huỷ đơn ghi log đủ vai trò, lý do và thời điểm</t>
        </is>
      </c>
      <c r="G12" s="11" t="inlineStr">
        <is>
          <t>- Tài khoản A và B là hai CBNV khác nhau trên STG.
- Host app FoxPro đã cài trên thiết bị Android/iOS.
Test Data: Đơn `MATCHED`; block LỊCH SỬ đã có mốc trước đó (test_data_catalog §CNL v1.1)</t>
        </is>
      </c>
      <c r="H12" s="11" t="inlineStr">
        <is>
          <t>1. Đăng nhập bằng tài khoản A, đăng 1 tin NEED, nhờ tài khoản B nhận đơn để đơn sang "Đã ghép". (setup)
2. Mở màn Theo dõi đơn của đơn đó, mở block LỊCH SỬ. (setup)
3. Ghi lại số dòng log hiện có.
4. Nhấn "Huỷ đơn".
5. Nhập lý do "Huy vi trung lich".
6. Nhấn "Xác nhận".
7. Không rời màn Theo dõi đơn, mở lại block LỊCH SỬ.
8. Check số dòng log mới và nội dung dòng đó.</t>
        </is>
      </c>
      <c r="I12" s="11" t="inlineStr">
        <is>
          <t>8. Block LỊCH SỬ có nhiều hơn số dòng đã ghi ở bước 3 đúng 1 dòng; dòng mới ghi đúng nhãn hành động huỷ đơn của Người gửi (KHÔNG phải nhãn "Đã huỷ nhận đơn" của luồng huỷ nhận), kèm danh tính người thực hiện (app ghi tên người, không ghi vai trò — chấp nhận theo hành vi nhất quán toàn app), lý do "Huy vi trung lich" và thời điểm (timestamp) huỷ.</t>
        </is>
      </c>
      <c r="J12" s="160" t="inlineStr">
        <is>
          <t>AI</t>
        </is>
      </c>
      <c r="K12" s="160" t="inlineStr">
        <is>
          <t>Pending</t>
        </is>
      </c>
      <c r="L12" s="160" t="inlineStr">
        <is>
          <t>No</t>
        </is>
      </c>
      <c r="M12" s="160" t="inlineStr"/>
      <c r="N12" s="264" t="inlineStr">
        <is>
          <t>Yes</t>
        </is>
      </c>
      <c r="O12" s="264" t="inlineStr"/>
      <c r="P12" s="264" t="inlineStr">
        <is>
          <t>Fail</t>
        </is>
      </c>
      <c r="Q12" s="264" t="inlineStr">
        <is>
          <t>GiangDC2</t>
        </is>
      </c>
      <c r="R12" s="264" t="inlineStr">
        <is>
          <t>FE-319</t>
        </is>
      </c>
      <c r="S12" s="264" t="inlineStr"/>
      <c r="T12" s="264" t="n"/>
      <c r="U12" s="264" t="n"/>
      <c r="V12" s="264" t="n"/>
      <c r="W12" s="264" t="n"/>
      <c r="X12" s="264" t="n"/>
      <c r="Y12" s="264" t="n"/>
      <c r="Z12" s="264" t="n"/>
      <c r="AA12" s="264" t="n"/>
      <c r="AB12" s="264" t="n"/>
      <c r="AC12" s="264" t="n"/>
      <c r="AD12" s="264" t="n"/>
      <c r="AE12" s="264" t="n"/>
      <c r="AF12" s="264" t="n"/>
      <c r="AG12" s="264" t="n"/>
      <c r="AH12" s="264" t="n"/>
      <c r="AI12" s="264" t="n"/>
      <c r="AJ12" s="264" t="n"/>
      <c r="AK12" s="264" t="n"/>
      <c r="AL12" s="264" t="n"/>
      <c r="AM12" s="264" t="n"/>
      <c r="AN12" s="264" t="n"/>
      <c r="AO12" s="264" t="n"/>
      <c r="AP12" s="264" t="n"/>
      <c r="AQ12" s="264" t="n"/>
      <c r="AR12" s="158">
        <f>IF($A12="","",IF(OR($N12="Yes",$T12="Yes",$Z12="Yes",$AF12="Yes",$AL12="Yes"),"Yes","No"))</f>
        <v/>
      </c>
      <c r="AS12" s="158">
        <f>IF($A12="","",IFERROR(IF($AM12&lt;&gt;"",$AM12,IF($AG12&lt;&gt;"",$AG12,IF($AA12&lt;&gt;"",$AA12,IF($U12&lt;&gt;"",$U12,IF($O12&lt;&gt;"",$O12,""))))),""))</f>
        <v/>
      </c>
      <c r="AT12" s="158">
        <f>IFERROR(IF($AN12&lt;&gt;"",$AN12,IF($AH12&lt;&gt;"",$AH12,IF($AB12&lt;&gt;"",$AB12,IF($V12&lt;&gt;"",$V12,IF($P12&lt;&gt;"",$P12,""))))),"")</f>
        <v/>
      </c>
      <c r="AU12" s="265" t="inlineStr">
        <is>
          <t>Mục đích: `BR11-02` đòi đủ 3 thành phần (vai trò · lý do · thời điểm) — v1.0 chỉ assert 2, thiếu timestamp. · Căn cứ: `BR11-02` + `AC-25.1.01` (PRD phê duyệt, không còn là override QA). ⚠ Dự kiến FAIL — app hiện chỉ hiện banner, không ghi log ⇒ log bug. · Kiểm chéo cùng lô với `SC-TS-003` + `SC-DLV-062` — cùng vỡ thì gộp 1 bug report. · Đã sửa theo analyze v1.1 (2026-09-15): thêm assert thời điểm (timestamp) vào Expected. · 🔁 Đính chính 2026-09-22 (QC): vế "ghi vai trò" đổi thành "ghi tên người" (app nhất quán ghi tên ở mọi dòng LỊCH SỬ, không riêng dòng huỷ) — BUG-035 đã xoá, không phải bug. Vế nhãn hành động sai ("Đã huỷ nhận đơn" thay vì nhãn đúng của huỷ đơn) vẫn là lỗi độc lập, còn giữ ở BUG-034 — verdict TC này vẫn FAIL vì lý do này.</t>
        </is>
      </c>
    </row>
    <row r="13">
      <c r="A13" s="160">
        <f>IF($F13="","",$C$2&amp;"."&amp;COUNTA($F$7:$F13)&amp;"")</f>
        <v/>
      </c>
      <c r="B13" s="160" t="inlineStr">
        <is>
          <t>REQ-CNL-006</t>
        </is>
      </c>
      <c r="C13" s="160" t="inlineStr">
        <is>
          <t>DOC-v1.1-01</t>
        </is>
      </c>
      <c r="D13" s="160" t="inlineStr">
        <is>
          <t>Functional</t>
        </is>
      </c>
      <c r="E13" s="160" t="inlineStr">
        <is>
          <t>High</t>
        </is>
      </c>
      <c r="F13" s="11" t="inlineStr">
        <is>
          <t>Check huỷ nhận đơn giữ nguyên log ghép cũ và đơn về lại bảng tin</t>
        </is>
      </c>
      <c r="G13" s="11" t="inlineStr">
        <is>
          <t>- Tài khoản A và B là hai CBNV khác nhau trên STG.
- Host app FoxPro đã cài trên thiết bị Android/iOS.
Test Data: Đơn `MATCHED`; block LỊCH SỬ có dòng "Ghép thành công" (test_data_catalog §CNL v1.1)</t>
        </is>
      </c>
      <c r="H13" s="11" t="inlineStr">
        <is>
          <t>1. Đăng nhập bằng tài khoản A, đăng 1 tin NEED rồi đăng xuất. (setup)
2. Đăng nhập bằng tài khoản B, nhận đơn đó và xác nhận. (setup)
3. Mở màn Theo dõi đơn, mở block LỊCH SỬ. (setup)
4. Check sự tồn tại của dòng "Ghép thành công". (setup)
5. Nhấn "✕ Huỷ nhận đơn".
6. Nhập lý do "Doi ca lam viec".
7. Nhấn "Xác nhận".
8. Không rời màn Theo dõi đơn, mở lại block LỊCH SỬ.
9. Điều hướng đến "Bảng tin" và tìm đơn đó.</t>
        </is>
      </c>
      <c r="I13" s="11" t="inlineStr">
        <is>
          <t>9. Dòng "Ghép thành công" vẫn còn trong block LỊCH SỬ ở bước 8 (không bị xoá), có thêm 1 dòng log ghi đúng nhãn hành động huỷ nhận "Đã huỷ nhận đơn" kèm danh tính người thực hiện (app ghi tên người, không ghi vai trò — chấp nhận theo hành vi nhất quán toàn app) và lý do "Doi ca lam viec"; đơn chuyển về trạng thái "Chờ ghép" và hiện lại trên bảng tin.</t>
        </is>
      </c>
      <c r="J13" s="160" t="inlineStr">
        <is>
          <t>AI</t>
        </is>
      </c>
      <c r="K13" s="160" t="inlineStr">
        <is>
          <t>Pending</t>
        </is>
      </c>
      <c r="L13" s="160" t="inlineStr">
        <is>
          <t>No</t>
        </is>
      </c>
      <c r="M13" s="160" t="inlineStr"/>
      <c r="N13" s="264" t="inlineStr">
        <is>
          <t>Yes</t>
        </is>
      </c>
      <c r="O13" s="264" t="inlineStr"/>
      <c r="P13" s="264" t="inlineStr">
        <is>
          <t>Pass</t>
        </is>
      </c>
      <c r="Q13" s="264" t="inlineStr">
        <is>
          <t>GiangDC2</t>
        </is>
      </c>
      <c r="R13" s="264" t="inlineStr"/>
      <c r="S13" s="264" t="inlineStr"/>
      <c r="T13" s="264" t="n"/>
      <c r="U13" s="264" t="n"/>
      <c r="V13" s="264" t="n"/>
      <c r="W13" s="264" t="n"/>
      <c r="X13" s="264" t="n"/>
      <c r="Y13" s="264" t="n"/>
      <c r="Z13" s="264" t="n"/>
      <c r="AA13" s="264" t="n"/>
      <c r="AB13" s="264" t="n"/>
      <c r="AC13" s="264" t="n"/>
      <c r="AD13" s="264" t="n"/>
      <c r="AE13" s="264" t="n"/>
      <c r="AF13" s="264" t="n"/>
      <c r="AG13" s="264" t="n"/>
      <c r="AH13" s="264" t="n"/>
      <c r="AI13" s="264" t="n"/>
      <c r="AJ13" s="264" t="n"/>
      <c r="AK13" s="264" t="n"/>
      <c r="AL13" s="264" t="n"/>
      <c r="AM13" s="264" t="n"/>
      <c r="AN13" s="264" t="n"/>
      <c r="AO13" s="264" t="n"/>
      <c r="AP13" s="264" t="n"/>
      <c r="AQ13" s="264" t="n"/>
      <c r="AR13" s="158">
        <f>IF($A13="","",IF(OR($N13="Yes",$T13="Yes",$Z13="Yes",$AF13="Yes",$AL13="Yes"),"Yes","No"))</f>
        <v/>
      </c>
      <c r="AS13" s="158">
        <f>IF($A13="","",IFERROR(IF($AM13&lt;&gt;"",$AM13,IF($AG13&lt;&gt;"",$AG13,IF($AA13&lt;&gt;"",$AA13,IF($U13&lt;&gt;"",$U13,IF($O13&lt;&gt;"",$O13,""))))),""))</f>
        <v/>
      </c>
      <c r="AT13" s="158">
        <f>IFERROR(IF($AN13&lt;&gt;"",$AN13,IF($AH13&lt;&gt;"",$AH13,IF($AB13&lt;&gt;"",$AB13,IF($V13&lt;&gt;"",$V13,IF($P13&lt;&gt;"",$P13,""))))),"")</f>
        <v/>
      </c>
      <c r="AU13" s="265" t="inlineStr">
        <is>
          <t>Mục đích: log phải bất biến — xoá dòng cũ là phá tính bằng chứng của cả timeline; đồng thời đơn phải quay lại vòng đời bình thường, không mắc kẹt. · Căn cứ: `BR11-03` + `AC-25.1.02` (PRD phê duyệt, không còn là override QA — trước dựa `BR-INT-04` suy diễn). ⚠ Dự kiến FAIL — `KB-CNL-01` đã live-verify app XOÁ dòng "Ghép thành công" ⇒ log bug. · Cùng nhóm rule truy vết "bằng chứng đã ghi thì bất biến" — chạy cùng lô với `SC-USR-017`/`SC-ORD-065`/`SC-DLV-062`, cùng vỡ thì gộp 1 bug report. · Đã sửa theo §10.4 (2026-09-17): gộp 2 điểm kiểm (log giữ nguyên + đơn về POSTED/hiện lại bảng tin) vào 1 Expected ở step cuối; bỏ Expected ở step 4 (chỉ còn observation baseline, không phải case fail độc lập). · 🔁 Đính chính 2026-09-22 (QC): vế "ghi vai trò" đổi thành "ghi tên người" (chấp nhận, nhất quán toàn app) — BUG-035 đã xoá. Không còn vướng mắc nào khác ⇒ verdict FAIL → PASS.</t>
        </is>
      </c>
    </row>
    <row r="14">
      <c r="A14" s="160">
        <f>IF($F14="","",$C$2&amp;"."&amp;COUNTA($F$7:$F14)&amp;"")</f>
        <v/>
      </c>
      <c r="B14" s="160" t="inlineStr">
        <is>
          <t>REQ-CNL-008</t>
        </is>
      </c>
      <c r="C14" s="160" t="inlineStr">
        <is>
          <t>DOC-v1.1-01</t>
        </is>
      </c>
      <c r="D14" s="160" t="inlineStr">
        <is>
          <t>Functional</t>
        </is>
      </c>
      <c r="E14" s="160" t="inlineStr">
        <is>
          <t>High</t>
        </is>
      </c>
      <c r="F14" s="11" t="inlineStr">
        <is>
          <t>Check chỉ còn đúng 2 đường thoát cho vai Người gửi sau khi đơn đang giao</t>
        </is>
      </c>
      <c r="G14" s="11" t="inlineStr">
        <is>
          <t>- Đơn đã ở checkpoint 2 (`IN_TRANSIT`/Đang giao) của `SEED-DLV-01` (xem sheet `Seed` của chính file này) — không seed riêng.
- Host app FoxPro đã cài trên thiết bị Android/iOS.
Test Data: Đơn `IN_TRANSIT` của `SEED-DLV-01` (test_data_catalog §CNL v1.1)</t>
        </is>
      </c>
      <c r="H14" s="11" t="inlineStr">
        <is>
          <t>1. Đăng nhập bằng tài khoản A (Người gửi), mở màn Theo dõi đơn của đơn đó. (setup)
2. Rà toàn bộ nút hành động trên màn.</t>
        </is>
      </c>
      <c r="I14" s="11" t="inlineStr">
        <is>
          <t>2. KHÔNG còn nút huỷ đơn thường nào; chỉ còn đúng 1 nút hành động liên quan: "Báo cáo sự cố". KHÔNG có nút "hoàn hàng" nào ở màn này của Người gửi — hoàn hàng (RETURNING) là hành động do Người vận chuyển khởi tạo (FR09), Người gửi không có control kích hoạt trực tiếp.</t>
        </is>
      </c>
      <c r="J14" s="160" t="inlineStr">
        <is>
          <t>AI</t>
        </is>
      </c>
      <c r="K14" s="160" t="inlineStr">
        <is>
          <t>Pending</t>
        </is>
      </c>
      <c r="L14" s="160" t="inlineStr">
        <is>
          <t>No</t>
        </is>
      </c>
      <c r="M14" s="160" t="inlineStr"/>
      <c r="N14" s="264" t="inlineStr">
        <is>
          <t>Yes</t>
        </is>
      </c>
      <c r="O14" s="264" t="inlineStr"/>
      <c r="P14" s="264" t="inlineStr">
        <is>
          <t>Pass</t>
        </is>
      </c>
      <c r="Q14" s="264" t="inlineStr">
        <is>
          <t>GiangDC2</t>
        </is>
      </c>
      <c r="R14" s="264" t="inlineStr"/>
      <c r="S14" s="264" t="inlineStr"/>
      <c r="T14" s="264" t="n"/>
      <c r="U14" s="264" t="n"/>
      <c r="V14" s="264" t="n"/>
      <c r="W14" s="264" t="n"/>
      <c r="X14" s="264" t="n"/>
      <c r="Y14" s="264" t="n"/>
      <c r="Z14" s="264" t="n"/>
      <c r="AA14" s="264" t="n"/>
      <c r="AB14" s="264" t="n"/>
      <c r="AC14" s="264" t="n"/>
      <c r="AD14" s="264" t="n"/>
      <c r="AE14" s="264" t="n"/>
      <c r="AF14" s="264" t="n"/>
      <c r="AG14" s="264" t="n"/>
      <c r="AH14" s="264" t="n"/>
      <c r="AI14" s="264" t="n"/>
      <c r="AJ14" s="264" t="n"/>
      <c r="AK14" s="264" t="n"/>
      <c r="AL14" s="264" t="n"/>
      <c r="AM14" s="264" t="n"/>
      <c r="AN14" s="264" t="n"/>
      <c r="AO14" s="264" t="n"/>
      <c r="AP14" s="264" t="n"/>
      <c r="AQ14" s="264" t="n"/>
      <c r="AR14" s="158">
        <f>IF($A14="","",IF(OR($N14="Yes",$T14="Yes",$Z14="Yes",$AF14="Yes",$AL14="Yes"),"Yes","No"))</f>
        <v/>
      </c>
      <c r="AS14" s="158">
        <f>IF($A14="","",IFERROR(IF($AM14&lt;&gt;"",$AM14,IF($AG14&lt;&gt;"",$AG14,IF($AA14&lt;&gt;"",$AA14,IF($U14&lt;&gt;"",$U14,IF($O14&lt;&gt;"",$O14,""))))),""))</f>
        <v/>
      </c>
      <c r="AT14" s="158">
        <f>IFERROR(IF($AN14&lt;&gt;"",$AN14,IF($AH14&lt;&gt;"",$AH14,IF($AB14&lt;&gt;"",$AB14,IF($V14&lt;&gt;"",$V14,IF($P14&lt;&gt;"",$P14,""))))),"")</f>
        <v/>
      </c>
      <c r="AU14" s="265" t="inlineStr">
        <is>
          <t>Căn cứ: `AC-25.2.01` + `BR11-04` ("bất kỳ vai trò nào") — chỉ đảm bảo ở MỨC TRẠNG THÁI (hoàn hàng vẫn là 1 trong 2 lối thoát hợp lệ của đơn), KHÔNG đặt tên nút UI. Đọc chéo `DLV` `FR09` §8.9 (trang 43) — trigger thật của RETURNING là Người vận chuyển chọn "Cầm hàng về" ở màn "Xử lý đơn hàng", không phải nút trên màn Theo dõi đơn của Sender/Receiver. Và `TS` (`SC-TS-008..015` — home của form "báo sự cố"). · Đã sửa theo §10.4 (2026-09-17): tách theo vai — vai Người vận chuyển ở `TC-CNL-018`, vai Người nhận ở `TC-CNL-019`. · 🔁 Đính chính 2026-09-22 (QC, sau khi đối chiếu PRD gốc): bỏ giả định nút "Yêu cầu hoàn hàng" trên màn Sender/Receiver — không tồn tại trong PRD, TC viết sai. BUG-033 đã xoá, verdict FAIL → PASS.</t>
        </is>
      </c>
    </row>
    <row r="15">
      <c r="A15" s="160">
        <f>IF($F15="","",$C$2&amp;"."&amp;COUNTA($F$7:$F15)&amp;"")</f>
        <v/>
      </c>
      <c r="B15" s="160" t="inlineStr">
        <is>
          <t>REQ-CNL-008</t>
        </is>
      </c>
      <c r="C15" s="160" t="inlineStr">
        <is>
          <t>DOC-v1.1-01</t>
        </is>
      </c>
      <c r="D15" s="160" t="inlineStr">
        <is>
          <t>Functional</t>
        </is>
      </c>
      <c r="E15" s="160" t="inlineStr">
        <is>
          <t>High</t>
        </is>
      </c>
      <c r="F15" s="11" t="inlineStr">
        <is>
          <t>Check chỉ còn đúng 2 đường thoát cho vai Người vận chuyển sau khi đơn đang giao</t>
        </is>
      </c>
      <c r="G15" s="11" t="inlineStr">
        <is>
          <t>- Đơn đã ở checkpoint 2 (`IN_TRANSIT`/Đang giao) của `SEED-DLV-01` (xem sheet `Seed` của chính file này) — không seed riêng.
- Host app FoxPro đã cài trên thiết bị Android/iOS.
Test Data: Đơn `IN_TRANSIT` của `SEED-DLV-01` (test_data_catalog §CNL v1.1)</t>
        </is>
      </c>
      <c r="H15" s="11" t="inlineStr">
        <is>
          <t>1. Đăng nhập bằng tài khoản B (Người vận chuyển), mở màn Theo dõi đơn của đơn đó. (setup)
2. Rà toàn bộ nút hành động trên màn.</t>
        </is>
      </c>
      <c r="I15" s="11" t="inlineStr">
        <is>
          <t>2. KHÔNG còn nút huỷ đơn thường nào; có nút "Báo cáo sự cố" VÀ đường vào luồng hoàn hàng đi qua màn giao hàng: bấm nút "Đã đến địa điểm giao hàng" → màn "Xử lý đơn hàng" → chọn chế độ "Cầm hàng về" (FR09). KHÔNG có một nút riêng tên "Yêu cầu hoàn hàng" trên màn Theo dõi đơn.</t>
        </is>
      </c>
      <c r="J15" s="160" t="inlineStr">
        <is>
          <t>AI</t>
        </is>
      </c>
      <c r="K15" s="160" t="inlineStr">
        <is>
          <t>Pending</t>
        </is>
      </c>
      <c r="L15" s="160" t="inlineStr">
        <is>
          <t>No</t>
        </is>
      </c>
      <c r="M15" s="160" t="inlineStr"/>
      <c r="N15" s="264" t="inlineStr">
        <is>
          <t>Yes</t>
        </is>
      </c>
      <c r="O15" s="264" t="inlineStr"/>
      <c r="P15" s="264" t="inlineStr">
        <is>
          <t>Pass</t>
        </is>
      </c>
      <c r="Q15" s="264" t="inlineStr">
        <is>
          <t>GiangDC2</t>
        </is>
      </c>
      <c r="R15" s="264" t="inlineStr">
        <is>
          <t>FE-327</t>
        </is>
      </c>
      <c r="S15" s="264" t="inlineStr"/>
      <c r="T15" s="264" t="n"/>
      <c r="U15" s="264" t="n"/>
      <c r="V15" s="264" t="n"/>
      <c r="W15" s="264" t="n"/>
      <c r="X15" s="264" t="n"/>
      <c r="Y15" s="264" t="n"/>
      <c r="Z15" s="264" t="n"/>
      <c r="AA15" s="264" t="n"/>
      <c r="AB15" s="264" t="n"/>
      <c r="AC15" s="264" t="n"/>
      <c r="AD15" s="264" t="n"/>
      <c r="AE15" s="264" t="n"/>
      <c r="AF15" s="264" t="n"/>
      <c r="AG15" s="264" t="n"/>
      <c r="AH15" s="264" t="n"/>
      <c r="AI15" s="264" t="n"/>
      <c r="AJ15" s="264" t="n"/>
      <c r="AK15" s="264" t="n"/>
      <c r="AL15" s="264" t="n"/>
      <c r="AM15" s="264" t="n"/>
      <c r="AN15" s="264" t="n"/>
      <c r="AO15" s="264" t="n"/>
      <c r="AP15" s="264" t="n"/>
      <c r="AQ15" s="264" t="n"/>
      <c r="AR15" s="158">
        <f>IF($A15="","",IF(OR($N15="Yes",$T15="Yes",$Z15="Yes",$AF15="Yes",$AL15="Yes"),"Yes","No"))</f>
        <v/>
      </c>
      <c r="AS15" s="158">
        <f>IF($A15="","",IFERROR(IF($AM15&lt;&gt;"",$AM15,IF($AG15&lt;&gt;"",$AG15,IF($AA15&lt;&gt;"",$AA15,IF($U15&lt;&gt;"",$U15,IF($O15&lt;&gt;"",$O15,""))))),""))</f>
        <v/>
      </c>
      <c r="AT15" s="158">
        <f>IFERROR(IF($AN15&lt;&gt;"",$AN15,IF($AH15&lt;&gt;"",$AH15,IF($AB15&lt;&gt;"",$AB15,IF($V15&lt;&gt;"",$V15,IF($P15&lt;&gt;"",$P15,""))))),"")</f>
        <v/>
      </c>
      <c r="AU15" s="265" t="inlineStr">
        <is>
          <t>Mục đích: vai độc lập với `TC-CNL-017`/`019` — `BR11-04` yêu cầu "bất kỳ vai trò nào". · Căn cứ: giống `TC-CNL-017`. · Đọc chéo `DLV`/`TS`, không lặp nội dung luồng con. TC mới tách theo §10.4 (2026-09-17), không có ID cũ 1-1. · 🔁 Đính chính 2026-09-22 (QC): chỉ vai Người vận chuyển mới có đường vào hoàn hàng (qua FR09 "Xử lý đơn hàng" → "Cầm hàng về"), không phải nút riêng "Yêu cầu hoàn hàng". BUG-033 đã xoá, verdict FAIL → PASS. · 🔁 Đính chính 2026-09-22 (QC, bổ sung): chốt tên chính thức nút vào luồng hoàn hàng ở v1.1 là "Đã đến địa điểm giao hàng" (đổi tên so với "Đã giao cho người nhận" của v1.0) — STG hiện CHƯA đổi theo tên mới (evidence VR-018 2026-09-21), xem BUG-044.</t>
        </is>
      </c>
    </row>
    <row r="16">
      <c r="A16" s="160">
        <f>IF($F16="","",$C$2&amp;"."&amp;COUNTA($F$7:$F16)&amp;"")</f>
        <v/>
      </c>
      <c r="B16" s="160" t="inlineStr">
        <is>
          <t>REQ-CNL-008</t>
        </is>
      </c>
      <c r="C16" s="160" t="inlineStr">
        <is>
          <t>DOC-v1.1-01</t>
        </is>
      </c>
      <c r="D16" s="160" t="inlineStr">
        <is>
          <t>Functional</t>
        </is>
      </c>
      <c r="E16" s="160" t="inlineStr">
        <is>
          <t>High</t>
        </is>
      </c>
      <c r="F16" s="11" t="inlineStr">
        <is>
          <t>Check chỉ còn đúng 2 đường thoát cho vai Người nhận sau khi đơn đang giao</t>
        </is>
      </c>
      <c r="G16" s="11" t="inlineStr">
        <is>
          <t>- Đơn đã ở checkpoint 2 (`IN_TRANSIT`/Đang giao) của `SEED-DLV-01` (xem sheet `Seed` của chính file này) — không seed riêng.
- Host app FoxPro đã cài trên thiết bị Android/iOS.
Test Data: Đơn `IN_TRANSIT` của `SEED-DLV-01` (test_data_catalog §CNL v1.1)</t>
        </is>
      </c>
      <c r="H16" s="11" t="inlineStr">
        <is>
          <t>1. Đăng nhập bằng tài khoản C (Người nhận), mở màn Theo dõi đơn của đơn đó. (setup)
2. Rà toàn bộ nút hành động trên màn.</t>
        </is>
      </c>
      <c r="I16" s="11" t="inlineStr">
        <is>
          <t>2. KHÔNG còn nút huỷ đơn thường nào; chỉ còn đúng 1 nút hành động liên quan: "Báo cáo sự cố". KHÔNG có nút "hoàn hàng" nào ở màn này của Người nhận — hoàn hàng (RETURNING) là hành động do Người vận chuyển khởi tạo (FR09), Người nhận không có control kích hoạt trực tiếp.</t>
        </is>
      </c>
      <c r="J16" s="160" t="inlineStr">
        <is>
          <t>AI</t>
        </is>
      </c>
      <c r="K16" s="160" t="inlineStr">
        <is>
          <t>Pending</t>
        </is>
      </c>
      <c r="L16" s="160" t="inlineStr">
        <is>
          <t>No</t>
        </is>
      </c>
      <c r="M16" s="160" t="inlineStr"/>
      <c r="N16" s="264" t="inlineStr">
        <is>
          <t>Yes</t>
        </is>
      </c>
      <c r="O16" s="264" t="inlineStr"/>
      <c r="P16" s="264" t="inlineStr">
        <is>
          <t>Pass</t>
        </is>
      </c>
      <c r="Q16" s="264" t="inlineStr">
        <is>
          <t>GiangDC2</t>
        </is>
      </c>
      <c r="R16" s="264" t="inlineStr"/>
      <c r="S16" s="264" t="inlineStr"/>
      <c r="T16" s="264" t="n"/>
      <c r="U16" s="264" t="n"/>
      <c r="V16" s="264" t="n"/>
      <c r="W16" s="264" t="n"/>
      <c r="X16" s="264" t="n"/>
      <c r="Y16" s="264" t="n"/>
      <c r="Z16" s="264" t="n"/>
      <c r="AA16" s="264" t="n"/>
      <c r="AB16" s="264" t="n"/>
      <c r="AC16" s="264" t="n"/>
      <c r="AD16" s="264" t="n"/>
      <c r="AE16" s="264" t="n"/>
      <c r="AF16" s="264" t="n"/>
      <c r="AG16" s="264" t="n"/>
      <c r="AH16" s="264" t="n"/>
      <c r="AI16" s="264" t="n"/>
      <c r="AJ16" s="264" t="n"/>
      <c r="AK16" s="264" t="n"/>
      <c r="AL16" s="264" t="n"/>
      <c r="AM16" s="264" t="n"/>
      <c r="AN16" s="264" t="n"/>
      <c r="AO16" s="264" t="n"/>
      <c r="AP16" s="264" t="n"/>
      <c r="AQ16" s="264" t="n"/>
      <c r="AR16" s="158">
        <f>IF($A16="","",IF(OR($N16="Yes",$T16="Yes",$Z16="Yes",$AF16="Yes",$AL16="Yes"),"Yes","No"))</f>
        <v/>
      </c>
      <c r="AS16" s="158">
        <f>IF($A16="","",IFERROR(IF($AM16&lt;&gt;"",$AM16,IF($AG16&lt;&gt;"",$AG16,IF($AA16&lt;&gt;"",$AA16,IF($U16&lt;&gt;"",$U16,IF($O16&lt;&gt;"",$O16,""))))),""))</f>
        <v/>
      </c>
      <c r="AT16" s="158">
        <f>IFERROR(IF($AN16&lt;&gt;"",$AN16,IF($AH16&lt;&gt;"",$AH16,IF($AB16&lt;&gt;"",$AB16,IF($V16&lt;&gt;"",$V16,IF($P16&lt;&gt;"",$P16,""))))),"")</f>
        <v/>
      </c>
      <c r="AU16" s="265" t="inlineStr">
        <is>
          <t>Mục đích: vai độc lập với `TC-CNL-017`/`018` — `BR11-04` yêu cầu "bất kỳ vai trò nào". · Căn cứ: giống `TC-CNL-017`. · Đọc chéo `DLV`/`TS`, không lặp nội dung luồng con. TC mới tách theo §10.4 (2026-09-17), không có ID cũ 1-1. · 🔁 Đính chính 2026-09-22 (QC): bỏ giả định nút "Yêu cầu hoàn hàng" trên màn Người nhận — không tồn tại trong PRD. BUG-033 đã xoá, verdict FAIL → PASS.</t>
        </is>
      </c>
    </row>
    <row r="17">
      <c r="A17" s="160">
        <f>IF($F17="","",$C$2&amp;"."&amp;COUNTA($F$7:$F17)&amp;"")</f>
        <v/>
      </c>
      <c r="B17" s="160" t="inlineStr">
        <is>
          <t>REQ-CNL-008</t>
        </is>
      </c>
      <c r="C17" s="160" t="inlineStr">
        <is>
          <t>DOC-v1.1-01</t>
        </is>
      </c>
      <c r="D17" s="160" t="inlineStr">
        <is>
          <t>Functional</t>
        </is>
      </c>
      <c r="E17" s="160" t="inlineStr">
        <is>
          <t>Medium</t>
        </is>
      </c>
      <c r="F17" s="11" t="inlineStr">
        <is>
          <t>Check đơn ở trạng thái sự cố không tự chuyển hoàn thành</t>
        </is>
      </c>
      <c r="G17" s="11" t="inlineStr">
        <is>
          <t>- Đơn đã ở trạng thái `INCIDENT` qua luồng báo sự cố (`FR16`).
- Host app FoxPro đã cài trên thiết bị Android/iOS.
Test Data: Đơn `INCIDENT` (test_data_catalog §CNL v1.1) — ⚠ có thể chưa seed được nếu STG chưa build `FR16`</t>
        </is>
      </c>
      <c r="H17" s="11" t="inlineStr">
        <is>
          <t>1. Đăng nhập bằng tài khoản C (Người nhận) của đơn `INCIDENT`, mở màn Theo dõi đơn. (setup)
2. Rà toàn bộ nút hành động và nội dung màn.</t>
        </is>
      </c>
      <c r="I17" s="11" t="inlineStr">
        <is>
          <t>2. KHÔNG có nút "Xác nhận đã nhận hàng" khả dụng để chuyển trạng thái đơn; màn nêu rõ đơn đang chờ admin hỗ trợ, KHÔNG tự chuyển sang "Hoàn thành".</t>
        </is>
      </c>
      <c r="J17" s="160" t="inlineStr">
        <is>
          <t>AI</t>
        </is>
      </c>
      <c r="K17" s="160" t="inlineStr">
        <is>
          <t>Pending</t>
        </is>
      </c>
      <c r="L17" s="160" t="inlineStr">
        <is>
          <t>No</t>
        </is>
      </c>
      <c r="M17" s="160" t="inlineStr"/>
      <c r="N17" s="264" t="inlineStr">
        <is>
          <t>Yes</t>
        </is>
      </c>
      <c r="O17" s="264" t="inlineStr"/>
      <c r="P17" s="264" t="inlineStr">
        <is>
          <t>Block</t>
        </is>
      </c>
      <c r="Q17" s="264" t="inlineStr">
        <is>
          <t>GiangDC2</t>
        </is>
      </c>
      <c r="R17" s="264" t="inlineStr"/>
      <c r="S17" s="264" t="inlineStr"/>
      <c r="T17" s="264" t="n"/>
      <c r="U17" s="264" t="n"/>
      <c r="V17" s="264" t="n"/>
      <c r="W17" s="264" t="n"/>
      <c r="X17" s="264" t="n"/>
      <c r="Y17" s="264" t="n"/>
      <c r="Z17" s="264" t="n"/>
      <c r="AA17" s="264" t="n"/>
      <c r="AB17" s="264" t="n"/>
      <c r="AC17" s="264" t="n"/>
      <c r="AD17" s="264" t="n"/>
      <c r="AE17" s="264" t="n"/>
      <c r="AF17" s="264" t="n"/>
      <c r="AG17" s="264" t="n"/>
      <c r="AH17" s="264" t="n"/>
      <c r="AI17" s="264" t="n"/>
      <c r="AJ17" s="264" t="n"/>
      <c r="AK17" s="264" t="n"/>
      <c r="AL17" s="264" t="n"/>
      <c r="AM17" s="264" t="n"/>
      <c r="AN17" s="264" t="n"/>
      <c r="AO17" s="264" t="n"/>
      <c r="AP17" s="264" t="n"/>
      <c r="AQ17" s="264" t="n"/>
      <c r="AR17" s="158">
        <f>IF($A17="","",IF(OR($N17="Yes",$T17="Yes",$Z17="Yes",$AF17="Yes",$AL17="Yes"),"Yes","No"))</f>
        <v/>
      </c>
      <c r="AS17" s="158">
        <f>IF($A17="","",IFERROR(IF($AM17&lt;&gt;"",$AM17,IF($AG17&lt;&gt;"",$AG17,IF($AA17&lt;&gt;"",$AA17,IF($U17&lt;&gt;"",$U17,IF($O17&lt;&gt;"",$O17,""))))),""))</f>
        <v/>
      </c>
      <c r="AT17" s="158">
        <f>IFERROR(IF($AN17&lt;&gt;"",$AN17,IF($AH17&lt;&gt;"",$AH17,IF($AB17&lt;&gt;"",$AB17,IF($V17&lt;&gt;"",$V17,IF($P17&lt;&gt;"",$P17,""))))),"")</f>
        <v/>
      </c>
      <c r="AU17" s="265" t="inlineStr">
        <is>
          <t>⚠️ Verdict đúng khi STG chưa build `INCIDENT`/`FR16` là **BLOCKED**, ⛔ không đánh PASS vì "không thấy đơn tự chuyển". · Căn cứ: `AC-25.2.01`. · ⛔ Không assert trạng thái đích cụ thể sau khi admin xử lý — `C-CNL-03` chốt trạng thái đích tuỳ dev. · ⛔ Không assert banner/thông báo "đang được hỗ trợ" — BA xác nhận người dùng không nhận thông báo gì trong lúc chờ.</t>
        </is>
      </c>
    </row>
    <row r="18">
      <c r="A18" s="160">
        <f>IF($F18="","",$C$2&amp;"."&amp;COUNTA($F$7:$F18)&amp;"")</f>
        <v/>
      </c>
      <c r="B18" s="160" t="inlineStr">
        <is>
          <t>REQ-CNL-003</t>
        </is>
      </c>
      <c r="C18" s="160" t="inlineStr">
        <is>
          <t>DOC-v1.1-01</t>
        </is>
      </c>
      <c r="D18" s="160" t="inlineStr">
        <is>
          <t>Functional</t>
        </is>
      </c>
      <c r="E18" s="160" t="inlineStr">
        <is>
          <t>Medium</t>
        </is>
      </c>
      <c r="F18" s="11" t="inlineStr">
        <is>
          <t>Check huỷ đơn bị chặn khi đơn còn hiện Đã ghép nhưng người vận chuyển đã bấm lấy hàng</t>
        </is>
      </c>
      <c r="G18" s="11" t="inlineStr">
        <is>
          <t>- Đơn đang ở "Đã ghép" (`MATCHED`), sẵn 2 phiên đăng nhập song song: tài khoản A (Người gửi) và tài khoản B (Người vận chuyển).
- Host app FoxPro đã cài trên thiết bị Android/iOS.
Test Data: 2 phiên song song A (Người gửi) + B (Người vận chuyển); đơn `MATCHED`, popup "Tôi đã lấy hàng" đang mở ở phiên B (test_data_catalog §CNL v1.1, ô biên duy nhất của delta)</t>
        </is>
      </c>
      <c r="H18" s="11" t="inlineStr">
        <is>
          <t>1. Trên phiên B, nhấn nút "Tôi đã lấy hàng" nhưng CHƯA xác nhận popup (giữ popup đang mở).
2. Trên phiên A, mở màn Theo dõi đơn của đơn đó và nhấn "Huỷ đơn".</t>
        </is>
      </c>
      <c r="I18" s="11" t="inlineStr">
        <is>
          <t>2. Huỷ bị chặn (không mở được popup nhập lý do, hoặc hiển thị lỗi ngăn huỷ).</t>
        </is>
      </c>
      <c r="J18" s="160" t="inlineStr">
        <is>
          <t>AI</t>
        </is>
      </c>
      <c r="K18" s="160" t="inlineStr">
        <is>
          <t>Pending</t>
        </is>
      </c>
      <c r="L18" s="160" t="inlineStr">
        <is>
          <t>No</t>
        </is>
      </c>
      <c r="M18" s="160" t="inlineStr"/>
      <c r="N18" s="264" t="inlineStr">
        <is>
          <t>Yes</t>
        </is>
      </c>
      <c r="O18" s="264" t="inlineStr"/>
      <c r="P18" s="264" t="inlineStr">
        <is>
          <t>Block</t>
        </is>
      </c>
      <c r="Q18" s="264" t="inlineStr">
        <is>
          <t>GiangDC2</t>
        </is>
      </c>
      <c r="R18" s="264" t="inlineStr"/>
      <c r="S18" s="264" t="inlineStr"/>
      <c r="T18" s="264" t="n"/>
      <c r="U18" s="264" t="n"/>
      <c r="V18" s="264" t="n"/>
      <c r="W18" s="264" t="n"/>
      <c r="X18" s="264" t="n"/>
      <c r="Y18" s="264" t="n"/>
      <c r="Z18" s="264" t="n"/>
      <c r="AA18" s="264" t="n"/>
      <c r="AB18" s="264" t="n"/>
      <c r="AC18" s="264" t="n"/>
      <c r="AD18" s="264" t="n"/>
      <c r="AE18" s="264" t="n"/>
      <c r="AF18" s="264" t="n"/>
      <c r="AG18" s="264" t="n"/>
      <c r="AH18" s="264" t="n"/>
      <c r="AI18" s="264" t="n"/>
      <c r="AJ18" s="264" t="n"/>
      <c r="AK18" s="264" t="n"/>
      <c r="AL18" s="264" t="n"/>
      <c r="AM18" s="264" t="n"/>
      <c r="AN18" s="264" t="n"/>
      <c r="AO18" s="264" t="n"/>
      <c r="AP18" s="264" t="n"/>
      <c r="AQ18" s="264" t="n"/>
      <c r="AR18" s="158">
        <f>IF($A18="","",IF(OR($N18="Yes",$T18="Yes",$Z18="Yes",$AF18="Yes",$AL18="Yes"),"Yes","No"))</f>
        <v/>
      </c>
      <c r="AS18" s="158">
        <f>IF($A18="","",IFERROR(IF($AM18&lt;&gt;"",$AM18,IF($AG18&lt;&gt;"",$AG18,IF($AA18&lt;&gt;"",$AA18,IF($U18&lt;&gt;"",$U18,IF($O18&lt;&gt;"",$O18,""))))),""))</f>
        <v/>
      </c>
      <c r="AT18" s="158">
        <f>IFERROR(IF($AN18&lt;&gt;"",$AN18,IF($AH18&lt;&gt;"",$AH18,IF($AB18&lt;&gt;"",$AB18,IF($V18&lt;&gt;"",$V18,IF($P18&lt;&gt;"",$P18,""))))),"")</f>
        <v/>
      </c>
      <c r="AU18" s="265" t="inlineStr">
        <is>
          <t>⭐ Vùng dễ có lỗi race thật — nếu backend chỉ kiểm `status == MATCHED` mà không kiểm hành động đã bấm thì huỷ sẽ lọt qua. · Căn cứ: PRD đổi cách phát biểu ngưỡng từ trạng thái sang hành động (`§8.11 Pre-Conditions` + `AC-25.1.01` — "MATCHED khi CHƯA bấm Tôi đã lấy hàng", không phải "MATCHED" đơn thuần). · Cần thao tác đồng thời 2 phiên trong cùng khoảnh khắc — không dựng được bằng 1 tài khoản.</t>
        </is>
      </c>
    </row>
    <row r="19">
      <c r="A19" s="160">
        <f>IF($F19="","",$C$2&amp;"."&amp;COUNTA($F$7:$F19)&amp;"")</f>
        <v/>
      </c>
      <c r="B19" s="160" t="inlineStr">
        <is>
          <t>REQ-CNL-009</t>
        </is>
      </c>
      <c r="C19" s="160" t="inlineStr">
        <is>
          <t>DOC-v1.1-01</t>
        </is>
      </c>
      <c r="D19" s="160" t="inlineStr">
        <is>
          <t>Functional</t>
        </is>
      </c>
      <c r="E19" s="160" t="inlineStr">
        <is>
          <t>Low</t>
        </is>
      </c>
      <c r="F19" s="11" t="inlineStr">
        <is>
          <t>Check không tồn tại bề mặt Admin vận hành trong app end-user</t>
        </is>
      </c>
      <c r="G19" s="11" t="inlineStr">
        <is>
          <t>- Tài khoản A là CBNV thường (không có vai Admin) trên STG.
- Host app FoxPro đã cài trên thiết bị Android/iOS.
Test Data: Giá trị assert-absent: bề mặt "Admin vận hành" (test_data_catalog §CNL v1.1)</t>
        </is>
      </c>
      <c r="H19" s="11" t="inlineStr">
        <is>
          <t>1. Đăng nhập bằng tài khoản A. (setup)
2. Rà toàn bộ màn Theo dõi đơn và trang Cá nhân tìm chức năng huỷ/can thiệp của "Admin vận hành".</t>
        </is>
      </c>
      <c r="I19" s="11" t="inlineStr">
        <is>
          <t>2. KHÔNG có bề mặt Admin nào (không màn, không field, không nút) trong app end-user.</t>
        </is>
      </c>
      <c r="J19" s="160" t="inlineStr">
        <is>
          <t>AI</t>
        </is>
      </c>
      <c r="K19" s="160" t="inlineStr">
        <is>
          <t>Pending</t>
        </is>
      </c>
      <c r="L19" s="160" t="inlineStr">
        <is>
          <t>No</t>
        </is>
      </c>
      <c r="M19" s="160" t="inlineStr"/>
      <c r="N19" s="264" t="inlineStr">
        <is>
          <t>Yes</t>
        </is>
      </c>
      <c r="O19" s="264" t="inlineStr"/>
      <c r="P19" s="264" t="inlineStr">
        <is>
          <t>Pass</t>
        </is>
      </c>
      <c r="Q19" s="264" t="inlineStr">
        <is>
          <t>GiangDC2</t>
        </is>
      </c>
      <c r="R19" s="264" t="inlineStr"/>
      <c r="S19" s="264" t="inlineStr"/>
      <c r="T19" s="264" t="n"/>
      <c r="U19" s="264" t="n"/>
      <c r="V19" s="264" t="n"/>
      <c r="W19" s="264" t="n"/>
      <c r="X19" s="264" t="n"/>
      <c r="Y19" s="264" t="n"/>
      <c r="Z19" s="264" t="n"/>
      <c r="AA19" s="264" t="n"/>
      <c r="AB19" s="264" t="n"/>
      <c r="AC19" s="264" t="n"/>
      <c r="AD19" s="264" t="n"/>
      <c r="AE19" s="264" t="n"/>
      <c r="AF19" s="264" t="n"/>
      <c r="AG19" s="264" t="n"/>
      <c r="AH19" s="264" t="n"/>
      <c r="AI19" s="264" t="n"/>
      <c r="AJ19" s="264" t="n"/>
      <c r="AK19" s="264" t="n"/>
      <c r="AL19" s="264" t="n"/>
      <c r="AM19" s="264" t="n"/>
      <c r="AN19" s="264" t="n"/>
      <c r="AO19" s="264" t="n"/>
      <c r="AP19" s="264" t="n"/>
      <c r="AQ19" s="264" t="n"/>
      <c r="AR19" s="158">
        <f>IF($A19="","",IF(OR($N19="Yes",$T19="Yes",$Z19="Yes",$AF19="Yes",$AL19="Yes"),"Yes","No"))</f>
        <v/>
      </c>
      <c r="AS19" s="158">
        <f>IF($A19="","",IFERROR(IF($AM19&lt;&gt;"",$AM19,IF($AG19&lt;&gt;"",$AG19,IF($AA19&lt;&gt;"",$AA19,IF($U19&lt;&gt;"",$U19,IF($O19&lt;&gt;"",$O19,""))))),""))</f>
        <v/>
      </c>
      <c r="AT19" s="158">
        <f>IFERROR(IF($AN19&lt;&gt;"",$AN19,IF($AH19&lt;&gt;"",$AH19,IF($AB19&lt;&gt;"",$AB19,IF($V19&lt;&gt;"",$V19,IF($P19&lt;&gt;"",$P19,""))))),"")</f>
        <v/>
      </c>
      <c r="AU19" s="265" t="inlineStr">
        <is>
          <t>`[GAP]` theo `Project_rule §10.1` — PRD nêu actor "Admin vận hành" nhưng không mô tả bề mặt nào ⇒ ghi nhận thiếu vắng, ⛔ không viết TC khẳng định hành vi Admin. · Căn cứ: `C-CNL-03` Resolved 2026-09-16 — dev xử lý tay qua Google Form ngoài app, không có tool/màn. · Gap nghiệp vụ cần nêu PM: nếu chỉ admin đóng được `INCIDENT` mà không có đường tới admin, đơn có thể treo vĩnh viễn.</t>
        </is>
      </c>
    </row>
    <row r="20">
      <c r="A20" s="160">
        <f>IF($F20="","",$C$2&amp;"."&amp;COUNTA($F$7:$F20)&amp;"")</f>
        <v/>
      </c>
      <c r="B20" s="160" t="inlineStr">
        <is>
          <t>REQ-CNL-001</t>
        </is>
      </c>
      <c r="C20" s="160" t="inlineStr">
        <is>
          <t>DOC-v1.0-01</t>
        </is>
      </c>
      <c r="D20" s="160" t="inlineStr">
        <is>
          <t>Functional</t>
        </is>
      </c>
      <c r="E20" s="160" t="inlineStr">
        <is>
          <t>High</t>
        </is>
      </c>
      <c r="F20" s="11" t="inlineStr">
        <is>
          <t>Check người gửi huỷ đơn ở "Chờ ghép" đưa đơn sang "Đã huỷ" và rút tin khỏi Bảng tin</t>
        </is>
      </c>
      <c r="G20" s="11" t="inlineStr">
        <is>
          <t>Hai tài khoản CBNV trên STG (A người gửi, B người xem).
Test Data: Đơn `POSTED`; lý do ≥5 ký tự (test_data_catalog §CNL)</t>
        </is>
      </c>
      <c r="H20" s="11" t="inlineStr">
        <is>
          <t>1. Đăng nhập bằng tài khoản A, đăng 1 tin NEED qua wizard "+ Đăng tin" và ghi lại tuyến đường. (setup)
2. Nhấn tab "Hoạt động" và mở đơn vừa đăng.
3. Nhấn "Huỷ đơn".
4. Nhập lý do huỷ "Khong con nhu cau gui" vào ô lý do.
5. Nhấn "Xác nhận".
6. Đăng xuất, đăng nhập bằng tài khoản B và nhấn tab "Bảng tin".</t>
        </is>
      </c>
      <c r="I20" s="11" t="inlineStr">
        <is>
          <t>5. Đơn chuyển sang trạng thái "Đã huỷ"; màn hiển thị banner "Đơn hàng đã bị huỷ".
6. Danh sách Bảng tin KHÔNG còn tin có tuyến đường đã ghi ở bước 1.</t>
        </is>
      </c>
      <c r="J20" s="160" t="inlineStr">
        <is>
          <t>AI</t>
        </is>
      </c>
      <c r="K20" s="160" t="inlineStr">
        <is>
          <t>Pending</t>
        </is>
      </c>
      <c r="L20" s="160" t="inlineStr">
        <is>
          <t>No</t>
        </is>
      </c>
      <c r="M20" s="160" t="inlineStr"/>
      <c r="N20" s="264" t="inlineStr"/>
      <c r="O20" s="264" t="inlineStr"/>
      <c r="P20" s="264" t="inlineStr"/>
      <c r="Q20" s="264" t="inlineStr"/>
      <c r="R20" s="264" t="inlineStr"/>
      <c r="S20" s="264" t="inlineStr"/>
      <c r="T20" s="264" t="n"/>
      <c r="U20" s="264" t="n"/>
      <c r="V20" s="264" t="n"/>
      <c r="W20" s="264" t="n"/>
      <c r="X20" s="264" t="n"/>
      <c r="Y20" s="264" t="n"/>
      <c r="Z20" s="264" t="n"/>
      <c r="AA20" s="264" t="n"/>
      <c r="AB20" s="264" t="n"/>
      <c r="AC20" s="264" t="n"/>
      <c r="AD20" s="264" t="n"/>
      <c r="AE20" s="264" t="n"/>
      <c r="AF20" s="264" t="n"/>
      <c r="AG20" s="264" t="n"/>
      <c r="AH20" s="264" t="n"/>
      <c r="AI20" s="264" t="n"/>
      <c r="AJ20" s="264" t="n"/>
      <c r="AK20" s="264" t="n"/>
      <c r="AL20" s="264" t="n"/>
      <c r="AM20" s="264" t="n"/>
      <c r="AN20" s="264" t="n"/>
      <c r="AO20" s="264" t="n"/>
      <c r="AP20" s="264" t="n"/>
      <c r="AQ20" s="264" t="n"/>
      <c r="AR20" s="158">
        <f>IF($A20="","",IF(OR($N20="Yes",$T20="Yes",$Z20="Yes",$AF20="Yes",$AL20="Yes"),"Yes","No"))</f>
        <v/>
      </c>
      <c r="AS20" s="158">
        <f>IF($A20="","",IFERROR(IF($AM20&lt;&gt;"",$AM20,IF($AG20&lt;&gt;"",$AG20,IF($AA20&lt;&gt;"",$AA20,IF($U20&lt;&gt;"",$U20,IF($O20&lt;&gt;"",$O20,""))))),""))</f>
        <v/>
      </c>
      <c r="AT20" s="158">
        <f>IFERROR(IF($AN20&lt;&gt;"",$AN20,IF($AH20&lt;&gt;"",$AH20,IF($AB20&lt;&gt;"",$AB20,IF($V20&lt;&gt;"",$V20,IF($P20&lt;&gt;"",$P20,""))))),"")</f>
        <v/>
      </c>
      <c r="AU20" s="265" t="inlineStr">
        <is>
          <t>Căn cứ: `US-D16` §D1b L195 + `OPR-11` §D7 L347.</t>
        </is>
      </c>
    </row>
    <row r="21" ht="15.75" customHeight="1" s="216">
      <c r="A21" s="160">
        <f>IF($F21="","",$C$2&amp;"."&amp;COUNTA($F$7:$F21)&amp;"")</f>
        <v/>
      </c>
      <c r="B21" s="160" t="inlineStr">
        <is>
          <t>REQ-CNL-001</t>
        </is>
      </c>
      <c r="C21" s="160" t="inlineStr">
        <is>
          <t>DOC-v1.0-01</t>
        </is>
      </c>
      <c r="D21" s="160" t="inlineStr">
        <is>
          <t>Functional</t>
        </is>
      </c>
      <c r="E21" s="160" t="inlineStr">
        <is>
          <t>High</t>
        </is>
      </c>
      <c r="F21" s="11" t="inlineStr">
        <is>
          <t>Check người gửi huỷ đơn ở "Đã ghép" thì cả người vận chuyển và người nhận thấy đơn đã huỷ</t>
        </is>
      </c>
      <c r="G21" s="11" t="inlineStr">
        <is>
          <t>Ba tài khoản CBNV trên STG (A người gửi, B người vận chuyển, C người nhận) trên hai thiết bị.
Test Data: Đơn `MATCHED` chưa lấy hàng; 3 tài khoản 3 vai (test_data_catalog §CNL)</t>
        </is>
      </c>
      <c r="H21" s="11" t="inlineStr">
        <is>
          <t>1. Đăng nhập tài khoản A trên thiết bị 1, đăng 1 tin NEED khai C là người nhận. (setup)
2. Đăng nhập tài khoản B trên thiết bị 2, nhận đơn đó và xác nhận, KHÔNG nhấn "Tôi đã lấy hàng". (setup)
3. Trên thiết bị 1, mở đơn đó, nhấn "Huỷ đơn", nhập lý do "Doi lich gui hang" và nhấn "Xác nhận".
4. Trên thiết bị 2, mở đơn đó bằng tài khoản B và check trạng thái.
5. Trên thiết bị 2, đăng nhập tài khoản C, mở đơn đó và check trạng thái.</t>
        </is>
      </c>
      <c r="I21" s="11" t="inlineStr">
        <is>
          <t>3. Đơn chuyển sang trạng thái "Đã huỷ".
4. Tài khoản B thấy đơn ở trạng thái "Đã huỷ" kèm banner "Đơn hàng đã bị huỷ".
5. Tài khoản C thấy đơn ở trạng thái "Đã huỷ" kèm banner "Đơn hàng đã bị huỷ".</t>
        </is>
      </c>
      <c r="J21" s="160" t="inlineStr">
        <is>
          <t>AI</t>
        </is>
      </c>
      <c r="K21" s="160" t="inlineStr">
        <is>
          <t>Pending</t>
        </is>
      </c>
      <c r="L21" s="160" t="inlineStr">
        <is>
          <t>No</t>
        </is>
      </c>
      <c r="M21" s="160" t="inlineStr"/>
      <c r="N21" s="264" t="inlineStr"/>
      <c r="O21" s="264" t="inlineStr"/>
      <c r="P21" s="264" t="inlineStr"/>
      <c r="Q21" s="264" t="inlineStr"/>
      <c r="R21" s="264" t="inlineStr"/>
      <c r="S21" s="264" t="inlineStr"/>
      <c r="T21" s="264" t="n"/>
      <c r="U21" s="264" t="n"/>
      <c r="V21" s="264" t="n"/>
      <c r="W21" s="264" t="n"/>
      <c r="X21" s="264" t="n"/>
      <c r="Y21" s="264" t="n"/>
      <c r="Z21" s="264" t="n"/>
      <c r="AA21" s="264" t="n"/>
      <c r="AB21" s="264" t="n"/>
      <c r="AC21" s="264" t="n"/>
      <c r="AD21" s="264" t="n"/>
      <c r="AE21" s="264" t="n"/>
      <c r="AF21" s="264" t="n"/>
      <c r="AG21" s="264" t="n"/>
      <c r="AH21" s="264" t="n"/>
      <c r="AI21" s="264" t="n"/>
      <c r="AJ21" s="264" t="n"/>
      <c r="AK21" s="264" t="n"/>
      <c r="AL21" s="264" t="n"/>
      <c r="AM21" s="264" t="n"/>
      <c r="AN21" s="264" t="n"/>
      <c r="AO21" s="264" t="n"/>
      <c r="AP21" s="264" t="n"/>
      <c r="AQ21" s="264" t="n"/>
      <c r="AR21" s="158">
        <f>IF($A21="","",IF(OR($N21="Yes",$T21="Yes",$Z21="Yes",$AF21="Yes",$AL21="Yes"),"Yes","No"))</f>
        <v/>
      </c>
      <c r="AS21" s="158">
        <f>IF($A21="","",IFERROR(IF($AM21&lt;&gt;"",$AM21,IF($AG21&lt;&gt;"",$AG21,IF($AA21&lt;&gt;"",$AA21,IF($U21&lt;&gt;"",$U21,IF($O21&lt;&gt;"",$O21,""))))),""))</f>
        <v/>
      </c>
      <c r="AT21" s="158">
        <f>IFERROR(IF($AN21&lt;&gt;"",$AN21,IF($AH21&lt;&gt;"",$AH21,IF($AB21&lt;&gt;"",$AB21,IF($V21&lt;&gt;"",$V21,IF($P21&lt;&gt;"",$P21,""))))),"")</f>
        <v/>
      </c>
      <c r="AU21" s="265" t="inlineStr">
        <is>
          <t>Căn cứ: `BR-INT-05` §A5 L81 + `OPR-11` §D7 L347 — quyền huỷ của người gửi còn hiệu lực tới trước "Đang giao".</t>
        </is>
      </c>
    </row>
    <row r="22" ht="15.75" customHeight="1" s="216">
      <c r="A22" s="160">
        <f>IF($F22="","",$C$2&amp;"."&amp;COUNTA($F$7:$F22)&amp;"")</f>
        <v/>
      </c>
      <c r="B22" s="160" t="inlineStr">
        <is>
          <t>REQ-CNL-001</t>
        </is>
      </c>
      <c r="C22" s="160" t="inlineStr">
        <is>
          <t>DOC-v1.0-01</t>
        </is>
      </c>
      <c r="D22" s="160" t="inlineStr">
        <is>
          <t>Functional</t>
        </is>
      </c>
      <c r="E22" s="160" t="inlineStr">
        <is>
          <t>Medium</t>
        </is>
      </c>
      <c r="F22" s="11" t="inlineStr">
        <is>
          <t>Check nút "Xác nhận" trong popup huỷ đơn bị khoá khi ô lý do để trống</t>
        </is>
      </c>
      <c r="G22" s="11" t="inlineStr">
        <is>
          <t>Tài khoản A trên STG là người gửi của 1 đơn ở "Chờ ghép".
Test Data: Lý do rỗng và lý do ≥5 ký tự (test_data_catalog §CNL)</t>
        </is>
      </c>
      <c r="H22" s="11" t="inlineStr">
        <is>
          <t>1. Đăng nhập bằng tài khoản A và đăng 1 tin NEED qua wizard "+ Đăng tin". (setup)
2. Nhấn tab "Hoạt động", mở đơn vừa đăng và nhấn "Huỷ đơn".
3. Check trạng thái nút "Xác nhận" khi ô lý do đang trống.
4. Nhập lý do "Khong con nhu cau" vào ô lý do.
5. Check lại trạng thái nút "Xác nhận".</t>
        </is>
      </c>
      <c r="I22" s="11" t="inlineStr">
        <is>
          <t>3. Nút "Xác nhận" ở trạng thái bị khoá, không nhấn được.
5. Nút "Xác nhận" chuyển sang trạng thái bật, nhấn được.</t>
        </is>
      </c>
      <c r="J22" s="160" t="inlineStr">
        <is>
          <t>AI</t>
        </is>
      </c>
      <c r="K22" s="160" t="inlineStr">
        <is>
          <t>Pending</t>
        </is>
      </c>
      <c r="L22" s="160" t="inlineStr">
        <is>
          <t>No</t>
        </is>
      </c>
      <c r="M22" s="160" t="inlineStr"/>
      <c r="N22" s="264" t="inlineStr"/>
      <c r="O22" s="264" t="inlineStr"/>
      <c r="P22" s="264" t="inlineStr"/>
      <c r="Q22" s="264" t="inlineStr"/>
      <c r="R22" s="264" t="inlineStr"/>
      <c r="S22" s="264" t="inlineStr"/>
      <c r="T22" s="264" t="n"/>
      <c r="U22" s="264" t="n"/>
      <c r="V22" s="264" t="n"/>
      <c r="W22" s="264" t="n"/>
      <c r="X22" s="264" t="n"/>
      <c r="Y22" s="264" t="n"/>
      <c r="Z22" s="264" t="n"/>
      <c r="AA22" s="264" t="n"/>
      <c r="AB22" s="264" t="n"/>
      <c r="AC22" s="264" t="n"/>
      <c r="AD22" s="264" t="n"/>
      <c r="AE22" s="264" t="n"/>
      <c r="AF22" s="264" t="n"/>
      <c r="AG22" s="264" t="n"/>
      <c r="AH22" s="264" t="n"/>
      <c r="AI22" s="264" t="n"/>
      <c r="AJ22" s="264" t="n"/>
      <c r="AK22" s="264" t="n"/>
      <c r="AL22" s="264" t="n"/>
      <c r="AM22" s="264" t="n"/>
      <c r="AN22" s="264" t="n"/>
      <c r="AO22" s="264" t="n"/>
      <c r="AP22" s="264" t="n"/>
      <c r="AQ22" s="264" t="n"/>
      <c r="AR22" s="158">
        <f>IF($A22="","",IF(OR($N22="Yes",$T22="Yes",$Z22="Yes",$AF22="Yes",$AL22="Yes"),"Yes","No"))</f>
        <v/>
      </c>
      <c r="AS22" s="158">
        <f>IF($A22="","",IFERROR(IF($AM22&lt;&gt;"",$AM22,IF($AG22&lt;&gt;"",$AG22,IF($AA22&lt;&gt;"",$AA22,IF($U22&lt;&gt;"",$U22,IF($O22&lt;&gt;"",$O22,""))))),""))</f>
        <v/>
      </c>
      <c r="AT22" s="158">
        <f>IFERROR(IF($AN22&lt;&gt;"",$AN22,IF($AH22&lt;&gt;"",$AH22,IF($AB22&lt;&gt;"",$AB22,IF($V22&lt;&gt;"",$V22,IF($P22&lt;&gt;"",$P22,""))))),"")</f>
        <v/>
      </c>
      <c r="AU22" s="265" t="inlineStr">
        <is>
          <t>Mục đích: mốc "rỗng" là mốc duy nhất trong 4 mốc lý do mà app chặn đúng — dùng làm đối chứng dương cho TC-CNL-004 và TC-CNL-012.</t>
        </is>
      </c>
    </row>
    <row r="23" ht="15.75" customHeight="1" s="216">
      <c r="A23" s="160">
        <f>IF($F23="","",$C$2&amp;"."&amp;COUNTA($F$7:$F23)&amp;"")</f>
        <v/>
      </c>
      <c r="B23" s="160" t="inlineStr">
        <is>
          <t>REQ-CNL-003</t>
        </is>
      </c>
      <c r="C23" s="160" t="inlineStr">
        <is>
          <t>DOC-v1.0-01</t>
        </is>
      </c>
      <c r="D23" s="160" t="inlineStr">
        <is>
          <t>Functional</t>
        </is>
      </c>
      <c r="E23" s="160" t="inlineStr">
        <is>
          <t>High</t>
        </is>
      </c>
      <c r="F23" s="11" t="inlineStr">
        <is>
          <t>Check đơn ở "Đang giao" không vai nào huỷ được</t>
        </is>
      </c>
      <c r="G23" s="11" t="inlineStr">
        <is>
          <t>Ba tài khoản CBNV trên STG (A người gửi, B người vận chuyển, C người nhận).
Test Data: Đơn `IN_TRANSIT`; 3 tài khoản 3 vai (test_data_catalog §CNL)</t>
        </is>
      </c>
      <c r="H23" s="11" t="inlineStr">
        <is>
          <t>1. Nhờ dev/QA seed 1 đơn ở trạng thái "Đang giao" với đủ 3 vai trên 3 tài khoản. (setup)
2. Đăng nhập bằng tài khoản A, mở đơn đó và check toàn màn Theo dõi đơn tìm nút "Huỷ đơn".
3. Đăng nhập bằng tài khoản B, mở đơn đó và check toàn màn tìm nút "Huỷ đơn" hoặc "✕ Huỷ nhận đơn".
4. Đăng nhập bằng tài khoản C, mở đơn đó và check toàn màn tìm nút "Huỷ đơn".</t>
        </is>
      </c>
      <c r="I23" s="11" t="inlineStr">
        <is>
          <t>2. KHÔNG có nút "Huỷ đơn" trên màn của tài khoản A.
3. KHÔNG có nút "Huỷ đơn" và KHÔNG có nút "✕ Huỷ nhận đơn" trên màn của tài khoản B.
4. KHÔNG có nút "Huỷ đơn" trên màn của tài khoản C.</t>
        </is>
      </c>
      <c r="J23" s="160" t="inlineStr">
        <is>
          <t>AI</t>
        </is>
      </c>
      <c r="K23" s="160" t="inlineStr">
        <is>
          <t>Pending</t>
        </is>
      </c>
      <c r="L23" s="160" t="inlineStr">
        <is>
          <t>No</t>
        </is>
      </c>
      <c r="M23" s="160" t="inlineStr"/>
      <c r="N23" s="264" t="inlineStr"/>
      <c r="O23" s="264" t="inlineStr"/>
      <c r="P23" s="264" t="inlineStr"/>
      <c r="Q23" s="264" t="inlineStr"/>
      <c r="R23" s="264" t="inlineStr"/>
      <c r="S23" s="264" t="inlineStr"/>
      <c r="T23" s="264" t="n"/>
      <c r="U23" s="264" t="n"/>
      <c r="V23" s="264" t="n"/>
      <c r="W23" s="264" t="n"/>
      <c r="X23" s="264" t="n"/>
      <c r="Y23" s="264" t="n"/>
      <c r="Z23" s="264" t="n"/>
      <c r="AA23" s="264" t="n"/>
      <c r="AB23" s="264" t="n"/>
      <c r="AC23" s="264" t="n"/>
      <c r="AD23" s="264" t="n"/>
      <c r="AE23" s="264" t="n"/>
      <c r="AF23" s="264" t="n"/>
      <c r="AG23" s="264" t="n"/>
      <c r="AH23" s="264" t="n"/>
      <c r="AI23" s="264" t="n"/>
      <c r="AJ23" s="264" t="n"/>
      <c r="AK23" s="264" t="n"/>
      <c r="AL23" s="264" t="n"/>
      <c r="AM23" s="264" t="n"/>
      <c r="AN23" s="264" t="n"/>
      <c r="AO23" s="264" t="n"/>
      <c r="AP23" s="264" t="n"/>
      <c r="AQ23" s="264" t="n"/>
      <c r="AR23" s="158">
        <f>IF($A23="","",IF(OR($N23="Yes",$T23="Yes",$Z23="Yes",$AF23="Yes",$AL23="Yes"),"Yes","No"))</f>
        <v/>
      </c>
      <c r="AS23" s="158">
        <f>IF($A23="","",IFERROR(IF($AM23&lt;&gt;"",$AM23,IF($AG23&lt;&gt;"",$AG23,IF($AA23&lt;&gt;"",$AA23,IF($U23&lt;&gt;"",$U23,IF($O23&lt;&gt;"",$O23,""))))),""))</f>
        <v/>
      </c>
      <c r="AT23" s="158">
        <f>IFERROR(IF($AN23&lt;&gt;"",$AN23,IF($AH23&lt;&gt;"",$AH23,IF($AB23&lt;&gt;"",$AB23,IF($V23&lt;&gt;"",$V23,IF($P23&lt;&gt;"",$P23,""))))),"")</f>
        <v/>
      </c>
      <c r="AU23" s="265" t="inlineStr">
        <is>
          <t>Mục đích: phủ hàng "Đang giao" của ma trận quyền huỷ — ranh giới mất quyền huỷ là "Đã ghép" → "Đang giao". · Căn cứ: `OPR-11` §D7 L347 "KHÔNG ai được huỷ" + `BR-ASN-03` §D4 L264.</t>
        </is>
      </c>
    </row>
    <row r="24" ht="15.75" customHeight="1" s="216">
      <c r="A24" s="160">
        <f>IF($F24="","",$C$2&amp;"."&amp;COUNTA($F$7:$F24)&amp;"")</f>
        <v/>
      </c>
      <c r="B24" s="160" t="inlineStr">
        <is>
          <t>REQ-CNL-004</t>
        </is>
      </c>
      <c r="C24" s="160" t="inlineStr">
        <is>
          <t>DOC-v1.0-01</t>
        </is>
      </c>
      <c r="D24" s="160" t="inlineStr">
        <is>
          <t>Functional</t>
        </is>
      </c>
      <c r="E24" s="160" t="inlineStr">
        <is>
          <t>High</t>
        </is>
      </c>
      <c r="F24" s="11" t="inlineStr">
        <is>
          <t>Check người vận chuyển huỷ nhận đơn thì đơn về "Chờ ghép" chứ không chuyển "Đã huỷ"</t>
        </is>
      </c>
      <c r="G24" s="11" t="inlineStr">
        <is>
          <t>Hai tài khoản CBNV trên STG (A người gửi, B người vận chuyển).
Test Data: Đơn `MATCHED` chưa lấy hàng (test_data_catalog §CNL)</t>
        </is>
      </c>
      <c r="H24" s="11" t="inlineStr">
        <is>
          <t>1. Đăng nhập bằng tài khoản A, đăng 1 tin NEED và ghi lại tuyến đường, rồi đăng xuất. (setup)
2. Đăng nhập bằng tài khoản B, nhận đơn đó và xác nhận, KHÔNG nhấn "Tôi đã lấy hàng". (setup)
3. Nhấn "✕ Huỷ nhận đơn".
4. Nhập lý do "Xe bi hong giua duong" vào ô lý do và nhấn "Xác nhận".
5. Nhấn tab "Bảng tin" và tìm tin có tuyến đường đã ghi ở bước 1.</t>
        </is>
      </c>
      <c r="I24" s="11" t="inlineStr">
        <is>
          <t>4. Đơn chuyển về trạng thái "Chờ ghép"; đơn KHÔNG mang trạng thái "Đã huỷ".
5. Tin hiển thị lại trong danh sách Bảng tin.</t>
        </is>
      </c>
      <c r="J24" s="160" t="inlineStr">
        <is>
          <t>AI</t>
        </is>
      </c>
      <c r="K24" s="160" t="inlineStr">
        <is>
          <t>Pending</t>
        </is>
      </c>
      <c r="L24" s="160" t="inlineStr">
        <is>
          <t>No</t>
        </is>
      </c>
      <c r="M24" s="160" t="inlineStr"/>
      <c r="N24" s="264" t="inlineStr"/>
      <c r="O24" s="264" t="inlineStr"/>
      <c r="P24" s="264" t="inlineStr"/>
      <c r="Q24" s="264" t="inlineStr"/>
      <c r="R24" s="264" t="inlineStr"/>
      <c r="S24" s="264" t="inlineStr"/>
      <c r="T24" s="264" t="n"/>
      <c r="U24" s="264" t="n"/>
      <c r="V24" s="264" t="n"/>
      <c r="W24" s="264" t="n"/>
      <c r="X24" s="264" t="n"/>
      <c r="Y24" s="264" t="n"/>
      <c r="Z24" s="264" t="n"/>
      <c r="AA24" s="264" t="n"/>
      <c r="AB24" s="264" t="n"/>
      <c r="AC24" s="264" t="n"/>
      <c r="AD24" s="264" t="n"/>
      <c r="AE24" s="264" t="n"/>
      <c r="AF24" s="264" t="n"/>
      <c r="AG24" s="264" t="n"/>
      <c r="AH24" s="264" t="n"/>
      <c r="AI24" s="264" t="n"/>
      <c r="AJ24" s="264" t="n"/>
      <c r="AK24" s="264" t="n"/>
      <c r="AL24" s="264" t="n"/>
      <c r="AM24" s="264" t="n"/>
      <c r="AN24" s="264" t="n"/>
      <c r="AO24" s="264" t="n"/>
      <c r="AP24" s="264" t="n"/>
      <c r="AQ24" s="264" t="n"/>
      <c r="AR24" s="158">
        <f>IF($A24="","",IF(OR($N24="Yes",$T24="Yes",$Z24="Yes",$AF24="Yes",$AL24="Yes"),"Yes","No"))</f>
        <v/>
      </c>
      <c r="AS24" s="158">
        <f>IF($A24="","",IFERROR(IF($AM24&lt;&gt;"",$AM24,IF($AG24&lt;&gt;"",$AG24,IF($AA24&lt;&gt;"",$AA24,IF($U24&lt;&gt;"",$U24,IF($O24&lt;&gt;"",$O24,""))))),""))</f>
        <v/>
      </c>
      <c r="AT24" s="158">
        <f>IFERROR(IF($AN24&lt;&gt;"",$AN24,IF($AH24&lt;&gt;"",$AH24,IF($AB24&lt;&gt;"",$AB24,IF($V24&lt;&gt;"",$V24,IF($P24&lt;&gt;"",$P24,""))))),"")</f>
        <v/>
      </c>
      <c r="AU24" s="265" t="inlineStr">
        <is>
          <t>Mục đích: chốt khác biệt cốt lõi giữa "Huỷ nhận đơn" (về `POSTED`) và "Huỷ đơn" (`CANCELLED`). · Căn cứ: `OPR-09` §D7 L345 + `US-D16` §D1b L195.</t>
        </is>
      </c>
    </row>
    <row r="25" ht="15.75" customHeight="1" s="216">
      <c r="A25" s="160">
        <f>IF($F25="","",$C$2&amp;"."&amp;COUNTA($F$7:$F25)&amp;"")</f>
        <v/>
      </c>
      <c r="B25" s="160" t="inlineStr">
        <is>
          <t>REQ-CNL-005</t>
        </is>
      </c>
      <c r="C25" s="160" t="inlineStr">
        <is>
          <t>DOC-v1.0-01</t>
        </is>
      </c>
      <c r="D25" s="160" t="inlineStr">
        <is>
          <t>Functional</t>
        </is>
      </c>
      <c r="E25" s="160" t="inlineStr">
        <is>
          <t>Medium</t>
        </is>
      </c>
      <c r="F25" s="11" t="inlineStr">
        <is>
          <t>Check các bên còn lại thấy rõ vai của người huỷ kèm lý do đã nhập</t>
        </is>
      </c>
      <c r="G25" s="11" t="inlineStr">
        <is>
          <t>Ba tài khoản CBNV trên STG (A người gửi, B người vận chuyển, C người nhận) trên hai thiết bị.
Test Data: Đơn `MATCHED`; lý do ≥5 ký tự (test_data_catalog §CNL)</t>
        </is>
      </c>
      <c r="H25" s="11" t="inlineStr">
        <is>
          <t>1. Đăng nhập tài khoản A trên thiết bị 1, đăng 1 tin NEED khai C là người nhận. (setup)
2. Đăng nhập tài khoản B trên thiết bị 2, nhận đơn đó và xác nhận. (setup)
3. Trên thiết bị 1, mở đơn đó, nhấn "Huỷ đơn", nhập lý do "Nguoi nhan da tu di lay" và nhấn "Xác nhận".
4. Trên thiết bị 2, mở đơn đó bằng tài khoản B và check thông tin hiển thị về việc huỷ.
5. Nhấn icon chuông trên thiết bị 2 và check thông báo về đơn bị huỷ.</t>
        </is>
      </c>
      <c r="I25" s="11" t="inlineStr">
        <is>
          <t>4. Màn của tài khoản B hiển thị vai của người huỷ là "Người gửi" và lý do đúng chuỗi "Nguoi nhan da tu di lay".
5. Thông báo về đơn bị huỷ nêu rõ vai người huỷ là "Người gửi".</t>
        </is>
      </c>
      <c r="J25" s="160" t="inlineStr">
        <is>
          <t>AI</t>
        </is>
      </c>
      <c r="K25" s="160" t="inlineStr">
        <is>
          <t>Pending</t>
        </is>
      </c>
      <c r="L25" s="160" t="inlineStr">
        <is>
          <t>No</t>
        </is>
      </c>
      <c r="M25" s="160" t="inlineStr"/>
      <c r="N25" s="264" t="inlineStr"/>
      <c r="O25" s="264" t="inlineStr"/>
      <c r="P25" s="264" t="inlineStr"/>
      <c r="Q25" s="264" t="inlineStr"/>
      <c r="R25" s="264" t="inlineStr"/>
      <c r="S25" s="264" t="inlineStr"/>
      <c r="T25" s="264" t="n"/>
      <c r="U25" s="264" t="n"/>
      <c r="V25" s="264" t="n"/>
      <c r="W25" s="264" t="n"/>
      <c r="X25" s="264" t="n"/>
      <c r="Y25" s="264" t="n"/>
      <c r="Z25" s="264" t="n"/>
      <c r="AA25" s="264" t="n"/>
      <c r="AB25" s="264" t="n"/>
      <c r="AC25" s="264" t="n"/>
      <c r="AD25" s="264" t="n"/>
      <c r="AE25" s="264" t="n"/>
      <c r="AF25" s="264" t="n"/>
      <c r="AG25" s="264" t="n"/>
      <c r="AH25" s="264" t="n"/>
      <c r="AI25" s="264" t="n"/>
      <c r="AJ25" s="264" t="n"/>
      <c r="AK25" s="264" t="n"/>
      <c r="AL25" s="264" t="n"/>
      <c r="AM25" s="264" t="n"/>
      <c r="AN25" s="264" t="n"/>
      <c r="AO25" s="264" t="n"/>
      <c r="AP25" s="264" t="n"/>
      <c r="AQ25" s="264" t="n"/>
      <c r="AR25" s="158">
        <f>IF($A25="","",IF(OR($N25="Yes",$T25="Yes",$Z25="Yes",$AF25="Yes",$AL25="Yes"),"Yes","No"))</f>
        <v/>
      </c>
      <c r="AS25" s="158">
        <f>IF($A25="","",IFERROR(IF($AM25&lt;&gt;"",$AM25,IF($AG25&lt;&gt;"",$AG25,IF($AA25&lt;&gt;"",$AA25,IF($U25&lt;&gt;"",$U25,IF($O25&lt;&gt;"",$O25,""))))),""))</f>
        <v/>
      </c>
      <c r="AT25" s="158">
        <f>IFERROR(IF($AN25&lt;&gt;"",$AN25,IF($AH25&lt;&gt;"",$AH25,IF($AB25&lt;&gt;"",$AB25,IF($V25&lt;&gt;"",$V25,IF($P25&lt;&gt;"",$P25,""))))),"")</f>
        <v/>
      </c>
      <c r="AU25" s="265" t="inlineStr">
        <is>
          <t>Căn cứ: `§D2` L233 + `CNL-01` §D3 L257. Danh sách loại thông báo chính thức còn chờ `C-NTF-01`; lệch nội dung thông báo ⇒ dẫn `C-NTF-01`, không sửa TC.</t>
        </is>
      </c>
    </row>
    <row r="26" ht="15.75" customHeight="1" s="216">
      <c r="A26" s="160">
        <f>IF($F26="","",$C$2&amp;"."&amp;COUNTA($F$7:$F26)&amp;"")</f>
        <v/>
      </c>
      <c r="B26" s="160" t="inlineStr">
        <is>
          <t>REQ-CNL-005</t>
        </is>
      </c>
      <c r="C26" s="160" t="inlineStr">
        <is>
          <t>DOC-v1.0-01</t>
        </is>
      </c>
      <c r="D26" s="160" t="inlineStr">
        <is>
          <t>Functional</t>
        </is>
      </c>
      <c r="E26" s="160" t="inlineStr">
        <is>
          <t>Medium</t>
        </is>
      </c>
      <c r="F26" s="11" t="inlineStr">
        <is>
          <t>Check ba phiên của ba vai cùng cập nhật trạng thái huỷ mà không cần làm mới thủ công</t>
        </is>
      </c>
      <c r="G26" s="11" t="inlineStr">
        <is>
          <t>Ba tài khoản CBNV trên STG (A người gửi, B người vận chuyển, C người nhận) trên ba thiết bị khác nhau.
Test Data: Đơn `MATCHED`; 3 phiên 3 vai trên 3 thiết bị (test_data_catalog §CNL)</t>
        </is>
      </c>
      <c r="H26" s="11" t="inlineStr">
        <is>
          <t>1. Đăng nhập tài khoản A trên thiết bị 1, đăng 1 tin NEED khai C là người nhận. (setup)
2. Đăng nhập tài khoản B trên thiết bị 2, nhận đơn đó và xác nhận. (setup)
3. Trên thiết bị 2 và thiết bị 3, đăng nhập tài khoản B và C rồi mở màn Theo dõi đơn của đơn đó, giữ nguyên màn.
4. Trên thiết bị 1, nhấn "Huỷ đơn", nhập lý do "Huy don kiem tra realtime" và nhấn "Xác nhận".
5. Không thao tác kéo làm mới, check trạng thái đơn trên thiết bị 2 và thiết bị 3.</t>
        </is>
      </c>
      <c r="I26" s="11" t="inlineStr">
        <is>
          <t>5. Trên cả thiết bị 2 và thiết bị 3, trạng thái đơn đổi sang "Đã huỷ" kèm banner "Đơn hàng đã bị huỷ" mà không cần kéo làm mới hay mở lại màn.</t>
        </is>
      </c>
      <c r="J26" s="160" t="inlineStr">
        <is>
          <t>AI</t>
        </is>
      </c>
      <c r="K26" s="160" t="inlineStr">
        <is>
          <t>Pending</t>
        </is>
      </c>
      <c r="L26" s="160" t="inlineStr">
        <is>
          <t>No</t>
        </is>
      </c>
      <c r="M26" s="160" t="inlineStr"/>
      <c r="N26" s="264" t="inlineStr"/>
      <c r="O26" s="264" t="inlineStr"/>
      <c r="P26" s="264" t="inlineStr"/>
      <c r="Q26" s="264" t="inlineStr"/>
      <c r="R26" s="264" t="inlineStr"/>
      <c r="S26" s="264" t="inlineStr"/>
      <c r="T26" s="264" t="n"/>
      <c r="U26" s="264" t="n"/>
      <c r="V26" s="264" t="n"/>
      <c r="W26" s="264" t="n"/>
      <c r="X26" s="264" t="n"/>
      <c r="Y26" s="264" t="n"/>
      <c r="Z26" s="264" t="n"/>
      <c r="AA26" s="264" t="n"/>
      <c r="AB26" s="264" t="n"/>
      <c r="AC26" s="264" t="n"/>
      <c r="AD26" s="264" t="n"/>
      <c r="AE26" s="264" t="n"/>
      <c r="AF26" s="264" t="n"/>
      <c r="AG26" s="264" t="n"/>
      <c r="AH26" s="264" t="n"/>
      <c r="AI26" s="264" t="n"/>
      <c r="AJ26" s="264" t="n"/>
      <c r="AK26" s="264" t="n"/>
      <c r="AL26" s="264" t="n"/>
      <c r="AM26" s="264" t="n"/>
      <c r="AN26" s="264" t="n"/>
      <c r="AO26" s="264" t="n"/>
      <c r="AP26" s="264" t="n"/>
      <c r="AQ26" s="264" t="n"/>
      <c r="AR26" s="158">
        <f>IF($A26="","",IF(OR($N26="Yes",$T26="Yes",$Z26="Yes",$AF26="Yes",$AL26="Yes"),"Yes","No"))</f>
        <v/>
      </c>
      <c r="AS26" s="158">
        <f>IF($A26="","",IFERROR(IF($AM26&lt;&gt;"",$AM26,IF($AG26&lt;&gt;"",$AG26,IF($AA26&lt;&gt;"",$AA26,IF($U26&lt;&gt;"",$U26,IF($O26&lt;&gt;"",$O26,""))))),""))</f>
        <v/>
      </c>
      <c r="AT26" s="158">
        <f>IFERROR(IF($AN26&lt;&gt;"",$AN26,IF($AH26&lt;&gt;"",$AH26,IF($AB26&lt;&gt;"",$AB26,IF($V26&lt;&gt;"",$V26,IF($P26&lt;&gt;"",$P26,""))))),"")</f>
        <v/>
      </c>
      <c r="AU26" s="265" t="inlineStr">
        <is>
          <t>Căn cứ: `BR-INT-05` §A5 L81 + `§D2` L233. Không assert độ trễ cụ thể — chưa có đặc tả ngưỡng.</t>
        </is>
      </c>
    </row>
    <row r="27" ht="15.75" customHeight="1" s="216">
      <c r="A27" s="160">
        <f>IF($F27="","",$C$2&amp;"."&amp;COUNTA($F$7:$F27)&amp;"")</f>
        <v/>
      </c>
      <c r="B27" s="160" t="inlineStr">
        <is>
          <t>REQ-CNL-005</t>
        </is>
      </c>
      <c r="C27" s="160" t="inlineStr">
        <is>
          <t>DOC-v1.0-01</t>
        </is>
      </c>
      <c r="D27" s="160" t="inlineStr">
        <is>
          <t>Functional</t>
        </is>
      </c>
      <c r="E27" s="160" t="inlineStr">
        <is>
          <t>Medium</t>
        </is>
      </c>
      <c r="F27" s="11" t="inlineStr">
        <is>
          <t>Check quyền huỷ của ba vai khi đơn ở trạng thái "Chờ ghép"</t>
        </is>
      </c>
      <c r="G27" s="11" t="inlineStr">
        <is>
          <t>Ba tài khoản CBNV trên STG (A người gửi, C người nhận được khai, D người ngoài đơn).
Test Data: Đơn `POSTED` có khai người nhận (test_data_catalog §CNL)</t>
        </is>
      </c>
      <c r="H27" s="11" t="inlineStr">
        <is>
          <t>1. Đăng nhập bằng tài khoản A, đăng 1 tin NEED khai C là người nhận. (setup)
2. Vẫn bằng tài khoản A, mở đơn đó và check sự tồn tại của nút "Huỷ đơn".
3. Đăng nhập bằng tài khoản C, mở đơn đó từ tab "Hoạt động" và check sự tồn tại của nút "Huỷ đơn".
4. Đăng nhập bằng tài khoản D, nhấn tab "Hoạt động" và tìm đơn đó ở cả hai tab con.</t>
        </is>
      </c>
      <c r="I27" s="11" t="inlineStr">
        <is>
          <t>2. Màn của tài khoản A có nút "Huỷ đơn".
3. Màn của tài khoản C có nút "Huỷ đơn".
4. Đơn KHÔNG xuất hiện trong danh sách của tài khoản D nên tài khoản D không có đường huỷ đơn.</t>
        </is>
      </c>
      <c r="J27" s="160" t="inlineStr">
        <is>
          <t>AI</t>
        </is>
      </c>
      <c r="K27" s="160" t="inlineStr">
        <is>
          <t>Pending</t>
        </is>
      </c>
      <c r="L27" s="160" t="inlineStr">
        <is>
          <t>No</t>
        </is>
      </c>
      <c r="M27" s="160" t="inlineStr"/>
      <c r="N27" s="264" t="inlineStr"/>
      <c r="O27" s="264" t="inlineStr"/>
      <c r="P27" s="264" t="inlineStr"/>
      <c r="Q27" s="264" t="inlineStr"/>
      <c r="R27" s="264" t="inlineStr"/>
      <c r="S27" s="264" t="inlineStr"/>
      <c r="T27" s="264" t="n"/>
      <c r="U27" s="264" t="n"/>
      <c r="V27" s="264" t="n"/>
      <c r="W27" s="264" t="n"/>
      <c r="X27" s="264" t="n"/>
      <c r="Y27" s="264" t="n"/>
      <c r="Z27" s="264" t="n"/>
      <c r="AA27" s="264" t="n"/>
      <c r="AB27" s="264" t="n"/>
      <c r="AC27" s="264" t="n"/>
      <c r="AD27" s="264" t="n"/>
      <c r="AE27" s="264" t="n"/>
      <c r="AF27" s="264" t="n"/>
      <c r="AG27" s="264" t="n"/>
      <c r="AH27" s="264" t="n"/>
      <c r="AI27" s="264" t="n"/>
      <c r="AJ27" s="264" t="n"/>
      <c r="AK27" s="264" t="n"/>
      <c r="AL27" s="264" t="n"/>
      <c r="AM27" s="264" t="n"/>
      <c r="AN27" s="264" t="n"/>
      <c r="AO27" s="264" t="n"/>
      <c r="AP27" s="264" t="n"/>
      <c r="AQ27" s="264" t="n"/>
      <c r="AR27" s="158">
        <f>IF($A27="","",IF(OR($N27="Yes",$T27="Yes",$Z27="Yes",$AF27="Yes",$AL27="Yes"),"Yes","No"))</f>
        <v/>
      </c>
      <c r="AS27" s="158">
        <f>IF($A27="","",IFERROR(IF($AM27&lt;&gt;"",$AM27,IF($AG27&lt;&gt;"",$AG27,IF($AA27&lt;&gt;"",$AA27,IF($U27&lt;&gt;"",$U27,IF($O27&lt;&gt;"",$O27,""))))),""))</f>
        <v/>
      </c>
      <c r="AT27" s="158">
        <f>IFERROR(IF($AN27&lt;&gt;"",$AN27,IF($AH27&lt;&gt;"",$AH27,IF($AB27&lt;&gt;"",$AB27,IF($V27&lt;&gt;"",$V27,IF($P27&lt;&gt;"",$P27,""))))),"")</f>
        <v/>
      </c>
      <c r="AU27" s="265" t="inlineStr">
        <is>
          <t>Mục đích: phủ hàng "Chờ ghép" của ma trận quyền huỷ 3 vai × 3 trạng thái. · Căn cứ: permission matrix `§D4` L285 + `OPR-11` §D7 L347 — người gửi và người nhận huỷ được trước "Đang giao"; ở trạng thái này đơn chưa có người vận chuyển nên hàng Carrier không áp dụng. Vai `Admin` trong matrix ⛔ không test được (`C-TS-01` out of scope).</t>
        </is>
      </c>
    </row>
    <row r="28" ht="15.75" customHeight="1" s="216">
      <c r="A28" s="160">
        <f>IF($F28="","",$C$2&amp;"."&amp;COUNTA($F$7:$F28)&amp;"")</f>
        <v/>
      </c>
      <c r="B28" s="160" t="inlineStr">
        <is>
          <t>REQ-CNL-005</t>
        </is>
      </c>
      <c r="C28" s="160" t="inlineStr">
        <is>
          <t>DOC-v1.0-01</t>
        </is>
      </c>
      <c r="D28" s="160" t="inlineStr">
        <is>
          <t>Functional</t>
        </is>
      </c>
      <c r="E28" s="160" t="inlineStr">
        <is>
          <t>Medium</t>
        </is>
      </c>
      <c r="F28" s="11" t="inlineStr">
        <is>
          <t>Check quyền huỷ của ba vai khi đơn ở trạng thái "Đã ghép"</t>
        </is>
      </c>
      <c r="G28" s="11" t="inlineStr">
        <is>
          <t>Ba tài khoản CBNV trên STG (A người gửi, B người vận chuyển, C người nhận).
Test Data: Đơn `MATCHED` chưa lấy hàng; 3 tài khoản 3 vai (test_data_catalog §CNL)</t>
        </is>
      </c>
      <c r="H28" s="11" t="inlineStr">
        <is>
          <t>1. Đăng nhập bằng tài khoản A, đăng 1 tin NEED khai C là người nhận, rồi đăng xuất. (setup)
2. Đăng nhập bằng tài khoản B, nhận đơn đó và xác nhận, KHÔNG nhấn "Tôi đã lấy hàng". (setup)
3. Vẫn bằng tài khoản B, check các nút huỷ trên màn Theo dõi đơn.
4. Đăng nhập bằng tài khoản A, mở đơn đó và check các nút huỷ.
5. Đăng nhập bằng tài khoản C, mở đơn đó và check các nút huỷ.</t>
        </is>
      </c>
      <c r="I28" s="11" t="inlineStr">
        <is>
          <t>3. Màn của tài khoản B có nút "✕ Huỷ nhận đơn" và KHÔNG có nút "Huỷ đơn".
4. Màn của tài khoản A có nút "Huỷ đơn".
5. Màn của tài khoản C có nút "Huỷ đơn".</t>
        </is>
      </c>
      <c r="J28" s="160" t="inlineStr">
        <is>
          <t>AI</t>
        </is>
      </c>
      <c r="K28" s="160" t="inlineStr">
        <is>
          <t>Pending</t>
        </is>
      </c>
      <c r="L28" s="160" t="inlineStr">
        <is>
          <t>No</t>
        </is>
      </c>
      <c r="M28" s="160" t="inlineStr"/>
      <c r="N28" s="264" t="inlineStr"/>
      <c r="O28" s="264" t="inlineStr"/>
      <c r="P28" s="264" t="inlineStr"/>
      <c r="Q28" s="264" t="inlineStr"/>
      <c r="R28" s="264" t="inlineStr"/>
      <c r="S28" s="264" t="inlineStr"/>
      <c r="T28" s="264" t="n"/>
      <c r="U28" s="264" t="n"/>
      <c r="V28" s="264" t="n"/>
      <c r="W28" s="264" t="n"/>
      <c r="X28" s="264" t="n"/>
      <c r="Y28" s="264" t="n"/>
      <c r="Z28" s="264" t="n"/>
      <c r="AA28" s="264" t="n"/>
      <c r="AB28" s="264" t="n"/>
      <c r="AC28" s="264" t="n"/>
      <c r="AD28" s="264" t="n"/>
      <c r="AE28" s="264" t="n"/>
      <c r="AF28" s="264" t="n"/>
      <c r="AG28" s="264" t="n"/>
      <c r="AH28" s="264" t="n"/>
      <c r="AI28" s="264" t="n"/>
      <c r="AJ28" s="264" t="n"/>
      <c r="AK28" s="264" t="n"/>
      <c r="AL28" s="264" t="n"/>
      <c r="AM28" s="264" t="n"/>
      <c r="AN28" s="264" t="n"/>
      <c r="AO28" s="264" t="n"/>
      <c r="AP28" s="264" t="n"/>
      <c r="AQ28" s="264" t="n"/>
      <c r="AR28" s="158">
        <f>IF($A28="","",IF(OR($N28="Yes",$T28="Yes",$Z28="Yes",$AF28="Yes",$AL28="Yes"),"Yes","No"))</f>
        <v/>
      </c>
      <c r="AS28" s="158">
        <f>IF($A28="","",IFERROR(IF($AM28&lt;&gt;"",$AM28,IF($AG28&lt;&gt;"",$AG28,IF($AA28&lt;&gt;"",$AA28,IF($U28&lt;&gt;"",$U28,IF($O28&lt;&gt;"",$O28,""))))),""))</f>
        <v/>
      </c>
      <c r="AT28" s="158">
        <f>IFERROR(IF($AN28&lt;&gt;"",$AN28,IF($AH28&lt;&gt;"",$AH28,IF($AB28&lt;&gt;"",$AB28,IF($V28&lt;&gt;"",$V28,IF($P28&lt;&gt;"",$P28,""))))),"")</f>
        <v/>
      </c>
      <c r="AU28" s="265" t="inlineStr">
        <is>
          <t>Mục đích: phủ hàng "Đã ghép" của ma trận — đây là trạng thái duy nhất cả 3 vai đều có đường huỷ, nhưng **Carrier dùng hành động khác** (huỷ nhận, không phải huỷ đơn). · Căn cứ: permission matrix `§D4` L285 + `OPR-09` §D7 L345.</t>
        </is>
      </c>
    </row>
    <row r="29" ht="15.75" customHeight="1" s="216">
      <c r="A29" s="160" t="n"/>
      <c r="B29" s="160" t="n"/>
      <c r="C29" s="160" t="n"/>
      <c r="D29" s="160" t="n"/>
      <c r="E29" s="160" t="n"/>
      <c r="F29" s="160" t="n"/>
      <c r="G29" s="160" t="n"/>
      <c r="H29" s="160" t="n"/>
      <c r="I29" s="160" t="n"/>
      <c r="J29" s="160" t="n"/>
      <c r="K29" s="160" t="n"/>
      <c r="L29" s="160" t="n"/>
      <c r="M29" s="160" t="n"/>
      <c r="N29" s="160" t="n"/>
      <c r="O29" s="160" t="n"/>
      <c r="P29" s="160" t="n"/>
      <c r="Q29" s="160"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61" t="n"/>
      <c r="AS29" s="161" t="n"/>
      <c r="AT29" s="1" t="n"/>
      <c r="AU29" s="1" t="n"/>
    </row>
    <row r="30" ht="15.75" customHeight="1" s="216">
      <c r="A30" s="160" t="n"/>
      <c r="B30" s="160" t="n"/>
      <c r="C30" s="160" t="n"/>
      <c r="D30" s="160" t="n"/>
      <c r="E30" s="160" t="n"/>
      <c r="F30" s="160" t="n"/>
      <c r="G30" s="160" t="n"/>
      <c r="H30" s="160" t="n"/>
      <c r="I30" s="160" t="n"/>
      <c r="J30" s="160" t="n"/>
      <c r="K30" s="160" t="n"/>
      <c r="L30" s="160" t="n"/>
      <c r="M30" s="160" t="n"/>
      <c r="N30" s="160" t="n"/>
      <c r="O30" s="160" t="n"/>
      <c r="P30" s="160" t="n"/>
      <c r="Q30" s="160"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61" t="n"/>
      <c r="AS30" s="161" t="n"/>
      <c r="AT30" s="1" t="n"/>
      <c r="AU30" s="1" t="n"/>
    </row>
    <row r="31" ht="15.75" customHeight="1" s="216">
      <c r="A31" s="160" t="n"/>
      <c r="B31" s="160" t="n"/>
      <c r="C31" s="160" t="n"/>
      <c r="D31" s="160" t="n"/>
      <c r="E31" s="160" t="n"/>
      <c r="F31" s="160" t="n"/>
      <c r="G31" s="160" t="n"/>
      <c r="H31" s="160" t="n"/>
      <c r="I31" s="160" t="n"/>
      <c r="J31" s="160" t="n"/>
      <c r="K31" s="160" t="n"/>
      <c r="L31" s="160" t="n"/>
      <c r="M31" s="160" t="n"/>
      <c r="N31" s="160" t="n"/>
      <c r="O31" s="160" t="n"/>
      <c r="P31" s="160" t="n"/>
      <c r="Q31" s="160"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61" t="n"/>
      <c r="AS31" s="161" t="n"/>
      <c r="AT31" s="1" t="n"/>
      <c r="AU31" s="1" t="n"/>
    </row>
    <row r="32" ht="15.75" customHeight="1" s="216">
      <c r="A32" s="160" t="n"/>
      <c r="B32" s="160" t="n"/>
      <c r="C32" s="160" t="n"/>
      <c r="D32" s="160" t="n"/>
      <c r="E32" s="160" t="n"/>
      <c r="F32" s="160" t="n"/>
      <c r="G32" s="160" t="n"/>
      <c r="H32" s="160" t="n"/>
      <c r="I32" s="160" t="n"/>
      <c r="J32" s="160" t="n"/>
      <c r="K32" s="160" t="n"/>
      <c r="L32" s="160" t="n"/>
      <c r="M32" s="160" t="n"/>
      <c r="N32" s="160" t="n"/>
      <c r="O32" s="160" t="n"/>
      <c r="P32" s="160" t="n"/>
      <c r="Q32" s="160"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61" t="n"/>
      <c r="AS32" s="161" t="n"/>
      <c r="AT32" s="1" t="n"/>
      <c r="AU32" s="1" t="n"/>
    </row>
    <row r="33" ht="15.75" customHeight="1" s="216">
      <c r="A33" s="160" t="n"/>
      <c r="B33" s="160" t="n"/>
      <c r="C33" s="160" t="n"/>
      <c r="D33" s="160" t="n"/>
      <c r="E33" s="160" t="n"/>
      <c r="F33" s="160" t="n"/>
      <c r="G33" s="160" t="n"/>
      <c r="H33" s="160" t="n"/>
      <c r="I33" s="160" t="n"/>
      <c r="J33" s="160" t="n"/>
      <c r="K33" s="160" t="n"/>
      <c r="L33" s="160" t="n"/>
      <c r="M33" s="160" t="n"/>
      <c r="N33" s="160" t="n"/>
      <c r="O33" s="160" t="n"/>
      <c r="P33" s="160" t="n"/>
      <c r="Q33" s="160"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61" t="n"/>
      <c r="AS33" s="161" t="n"/>
      <c r="AT33" s="1" t="n"/>
      <c r="AU33" s="1" t="n"/>
    </row>
    <row r="34" ht="15.75" customHeight="1" s="216">
      <c r="A34" s="160" t="n"/>
      <c r="B34" s="160" t="n"/>
      <c r="C34" s="160" t="n"/>
      <c r="D34" s="160" t="n"/>
      <c r="E34" s="160" t="n"/>
      <c r="F34" s="160" t="n"/>
      <c r="G34" s="160" t="n"/>
      <c r="H34" s="160" t="n"/>
      <c r="I34" s="160" t="n"/>
      <c r="J34" s="160" t="n"/>
      <c r="K34" s="160" t="n"/>
      <c r="L34" s="160" t="n"/>
      <c r="M34" s="160" t="n"/>
      <c r="N34" s="160" t="n"/>
      <c r="O34" s="160" t="n"/>
      <c r="P34" s="160" t="n"/>
      <c r="Q34" s="160"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61" t="n"/>
      <c r="AS34" s="161" t="n"/>
      <c r="AT34" s="1" t="n"/>
      <c r="AU34" s="1" t="n"/>
    </row>
    <row r="35" ht="15.75" customHeight="1" s="216">
      <c r="A35" s="160" t="n"/>
      <c r="B35" s="160" t="n"/>
      <c r="C35" s="160" t="n"/>
      <c r="D35" s="160" t="n"/>
      <c r="E35" s="160" t="n"/>
      <c r="F35" s="160" t="n"/>
      <c r="G35" s="160" t="n"/>
      <c r="H35" s="160" t="n"/>
      <c r="I35" s="160" t="n"/>
      <c r="J35" s="160" t="n"/>
      <c r="K35" s="160" t="n"/>
      <c r="L35" s="160" t="n"/>
      <c r="M35" s="160" t="n"/>
      <c r="N35" s="160" t="n"/>
      <c r="O35" s="160" t="n"/>
      <c r="P35" s="160" t="n"/>
      <c r="Q35" s="160"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61" t="n"/>
      <c r="AS35" s="161" t="n"/>
      <c r="AT35" s="1" t="n"/>
      <c r="AU35" s="1" t="n"/>
    </row>
    <row r="36" ht="15.75" customHeight="1" s="216">
      <c r="A36" s="160" t="n"/>
      <c r="B36" s="160" t="n"/>
      <c r="C36" s="160" t="n"/>
      <c r="D36" s="160" t="n"/>
      <c r="E36" s="160" t="n"/>
      <c r="F36" s="160" t="n"/>
      <c r="G36" s="160" t="n"/>
      <c r="H36" s="160" t="n"/>
      <c r="I36" s="160" t="n"/>
      <c r="J36" s="160" t="n"/>
      <c r="K36" s="160" t="n"/>
      <c r="L36" s="160" t="n"/>
      <c r="M36" s="160" t="n"/>
      <c r="N36" s="160" t="n"/>
      <c r="O36" s="160" t="n"/>
      <c r="P36" s="160" t="n"/>
      <c r="Q36" s="160"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61" t="n"/>
      <c r="AS36" s="161" t="n"/>
      <c r="AT36" s="1" t="n"/>
      <c r="AU36" s="1" t="n"/>
    </row>
    <row r="37" ht="15.75" customHeight="1" s="216">
      <c r="A37" s="160" t="n"/>
      <c r="B37" s="160" t="n"/>
      <c r="C37" s="160" t="n"/>
      <c r="D37" s="160" t="n"/>
      <c r="E37" s="160" t="n"/>
      <c r="F37" s="160" t="n"/>
      <c r="G37" s="160" t="n"/>
      <c r="H37" s="160" t="n"/>
      <c r="I37" s="160" t="n"/>
      <c r="J37" s="160" t="n"/>
      <c r="K37" s="160" t="n"/>
      <c r="L37" s="160" t="n"/>
      <c r="M37" s="160" t="n"/>
      <c r="N37" s="160" t="n"/>
      <c r="O37" s="160" t="n"/>
      <c r="P37" s="160" t="n"/>
      <c r="Q37" s="160"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61" t="n"/>
      <c r="AS37" s="161" t="n"/>
      <c r="AT37" s="1" t="n"/>
      <c r="AU37" s="1" t="n"/>
    </row>
    <row r="38" ht="15.75" customHeight="1" s="216">
      <c r="A38" s="160" t="n"/>
      <c r="B38" s="160" t="n"/>
      <c r="C38" s="160" t="n"/>
      <c r="D38" s="160" t="n"/>
      <c r="E38" s="160" t="n"/>
      <c r="F38" s="160" t="n"/>
      <c r="G38" s="160" t="n"/>
      <c r="H38" s="160" t="n"/>
      <c r="I38" s="160" t="n"/>
      <c r="J38" s="160" t="n"/>
      <c r="K38" s="160" t="n"/>
      <c r="L38" s="160" t="n"/>
      <c r="M38" s="160" t="n"/>
      <c r="N38" s="160" t="n"/>
      <c r="O38" s="160" t="n"/>
      <c r="P38" s="160" t="n"/>
      <c r="Q38" s="160"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61" t="n"/>
      <c r="AS38" s="161" t="n"/>
      <c r="AT38" s="1" t="n"/>
      <c r="AU38" s="1" t="n"/>
    </row>
    <row r="39" ht="15.75" customHeight="1" s="216">
      <c r="A39" s="160" t="n"/>
      <c r="B39" s="160" t="n"/>
      <c r="C39" s="160" t="n"/>
      <c r="D39" s="160" t="n"/>
      <c r="E39" s="160" t="n"/>
      <c r="F39" s="160" t="n"/>
      <c r="G39" s="160" t="n"/>
      <c r="H39" s="160" t="n"/>
      <c r="I39" s="160" t="n"/>
      <c r="J39" s="160" t="n"/>
      <c r="K39" s="160" t="n"/>
      <c r="L39" s="160" t="n"/>
      <c r="M39" s="160" t="n"/>
      <c r="N39" s="160" t="n"/>
      <c r="O39" s="160" t="n"/>
      <c r="P39" s="160" t="n"/>
      <c r="Q39" s="160"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61" t="n"/>
      <c r="AS39" s="161" t="n"/>
      <c r="AT39" s="1" t="n"/>
      <c r="AU39" s="1" t="n"/>
    </row>
    <row r="40" ht="15.75" customHeight="1" s="216">
      <c r="A40" s="160" t="n"/>
      <c r="B40" s="160" t="n"/>
      <c r="C40" s="160" t="n"/>
      <c r="D40" s="160" t="n"/>
      <c r="E40" s="160" t="n"/>
      <c r="F40" s="160" t="n"/>
      <c r="G40" s="160" t="n"/>
      <c r="H40" s="160" t="n"/>
      <c r="I40" s="160" t="n"/>
      <c r="J40" s="160" t="n"/>
      <c r="K40" s="160" t="n"/>
      <c r="L40" s="160" t="n"/>
      <c r="M40" s="160" t="n"/>
      <c r="N40" s="160" t="n"/>
      <c r="O40" s="160" t="n"/>
      <c r="P40" s="160" t="n"/>
      <c r="Q40" s="160"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61" t="n"/>
      <c r="AS40" s="161" t="n"/>
      <c r="AT40" s="1" t="n"/>
      <c r="AU40" s="1" t="n"/>
    </row>
    <row r="41" ht="15.75" customHeight="1" s="216">
      <c r="A41" s="160" t="n"/>
      <c r="B41" s="160" t="n"/>
      <c r="C41" s="160" t="n"/>
      <c r="D41" s="160" t="n"/>
      <c r="E41" s="160" t="n"/>
      <c r="F41" s="160" t="n"/>
      <c r="G41" s="160" t="n"/>
      <c r="H41" s="160" t="n"/>
      <c r="I41" s="160" t="n"/>
      <c r="J41" s="160" t="n"/>
      <c r="K41" s="160" t="n"/>
      <c r="L41" s="160" t="n"/>
      <c r="M41" s="160" t="n"/>
      <c r="N41" s="160" t="n"/>
      <c r="O41" s="160" t="n"/>
      <c r="P41" s="160" t="n"/>
      <c r="Q41" s="160"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61" t="n"/>
      <c r="AS41" s="161" t="n"/>
      <c r="AT41" s="1" t="n"/>
      <c r="AU41" s="1" t="n"/>
    </row>
    <row r="42" ht="15.75" customHeight="1" s="216">
      <c r="A42" s="160" t="n"/>
      <c r="B42" s="160" t="n"/>
      <c r="C42" s="160" t="n"/>
      <c r="D42" s="160" t="n"/>
      <c r="E42" s="160" t="n"/>
      <c r="F42" s="160" t="n"/>
      <c r="G42" s="160" t="n"/>
      <c r="H42" s="160" t="n"/>
      <c r="I42" s="160" t="n"/>
      <c r="J42" s="160" t="n"/>
      <c r="K42" s="160" t="n"/>
      <c r="L42" s="160" t="n"/>
      <c r="M42" s="160" t="n"/>
      <c r="N42" s="160" t="n"/>
      <c r="O42" s="160" t="n"/>
      <c r="P42" s="160" t="n"/>
      <c r="Q42" s="160"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61" t="n"/>
      <c r="AS42" s="161" t="n"/>
      <c r="AT42" s="1" t="n"/>
      <c r="AU42" s="1" t="n"/>
    </row>
    <row r="43" ht="15.75" customHeight="1" s="216">
      <c r="A43" s="160" t="n"/>
      <c r="B43" s="160" t="n"/>
      <c r="C43" s="160" t="n"/>
      <c r="D43" s="160" t="n"/>
      <c r="E43" s="160" t="n"/>
      <c r="F43" s="160" t="n"/>
      <c r="G43" s="160" t="n"/>
      <c r="H43" s="160" t="n"/>
      <c r="I43" s="160" t="n"/>
      <c r="J43" s="160" t="n"/>
      <c r="K43" s="160" t="n"/>
      <c r="L43" s="160" t="n"/>
      <c r="M43" s="160" t="n"/>
      <c r="N43" s="160" t="n"/>
      <c r="O43" s="160" t="n"/>
      <c r="P43" s="160" t="n"/>
      <c r="Q43" s="160"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61" t="n"/>
      <c r="AS43" s="161" t="n"/>
      <c r="AT43" s="1" t="n"/>
      <c r="AU43" s="1" t="n"/>
    </row>
    <row r="44" ht="15.75" customHeight="1" s="216">
      <c r="A44" s="160" t="n"/>
      <c r="B44" s="160" t="n"/>
      <c r="C44" s="160" t="n"/>
      <c r="D44" s="160" t="n"/>
      <c r="E44" s="160" t="n"/>
      <c r="F44" s="160" t="n"/>
      <c r="G44" s="160" t="n"/>
      <c r="H44" s="160" t="n"/>
      <c r="I44" s="160" t="n"/>
      <c r="J44" s="160" t="n"/>
      <c r="K44" s="160" t="n"/>
      <c r="L44" s="160" t="n"/>
      <c r="M44" s="160" t="n"/>
      <c r="N44" s="160" t="n"/>
      <c r="O44" s="160" t="n"/>
      <c r="P44" s="160" t="n"/>
      <c r="Q44" s="160"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61" t="n"/>
      <c r="AS44" s="161" t="n"/>
      <c r="AT44" s="1" t="n"/>
      <c r="AU44" s="1" t="n"/>
    </row>
    <row r="45" ht="15.75" customHeight="1" s="216">
      <c r="A45" s="160" t="n"/>
      <c r="B45" s="160" t="n"/>
      <c r="C45" s="160" t="n"/>
      <c r="D45" s="160" t="n"/>
      <c r="E45" s="160" t="n"/>
      <c r="F45" s="160" t="n"/>
      <c r="G45" s="160" t="n"/>
      <c r="H45" s="160" t="n"/>
      <c r="I45" s="160" t="n"/>
      <c r="J45" s="160" t="n"/>
      <c r="K45" s="160" t="n"/>
      <c r="L45" s="160" t="n"/>
      <c r="M45" s="160" t="n"/>
      <c r="N45" s="160" t="n"/>
      <c r="O45" s="160" t="n"/>
      <c r="P45" s="160" t="n"/>
      <c r="Q45" s="160"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61" t="n"/>
      <c r="AS45" s="161" t="n"/>
      <c r="AT45" s="1" t="n"/>
      <c r="AU45" s="1" t="n"/>
    </row>
    <row r="46" ht="15.75" customHeight="1" s="216">
      <c r="A46" s="160" t="n"/>
      <c r="B46" s="160" t="n"/>
      <c r="C46" s="160" t="n"/>
      <c r="D46" s="160" t="n"/>
      <c r="E46" s="160" t="n"/>
      <c r="F46" s="160" t="n"/>
      <c r="G46" s="160" t="n"/>
      <c r="H46" s="160" t="n"/>
      <c r="I46" s="160" t="n"/>
      <c r="J46" s="160" t="n"/>
      <c r="K46" s="160" t="n"/>
      <c r="L46" s="160" t="n"/>
      <c r="M46" s="160" t="n"/>
      <c r="N46" s="160" t="n"/>
      <c r="O46" s="160" t="n"/>
      <c r="P46" s="160" t="n"/>
      <c r="Q46" s="160"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61" t="n"/>
      <c r="AS46" s="161" t="n"/>
      <c r="AT46" s="1" t="n"/>
      <c r="AU46" s="1" t="n"/>
    </row>
    <row r="47" ht="15.75" customHeight="1" s="216">
      <c r="A47" s="160" t="n"/>
      <c r="B47" s="160" t="n"/>
      <c r="C47" s="160" t="n"/>
      <c r="D47" s="160" t="n"/>
      <c r="E47" s="160" t="n"/>
      <c r="F47" s="160" t="n"/>
      <c r="G47" s="160" t="n"/>
      <c r="H47" s="160" t="n"/>
      <c r="I47" s="160" t="n"/>
      <c r="J47" s="160" t="n"/>
      <c r="K47" s="160" t="n"/>
      <c r="L47" s="160" t="n"/>
      <c r="M47" s="160" t="n"/>
      <c r="N47" s="160" t="n"/>
      <c r="O47" s="160" t="n"/>
      <c r="P47" s="160" t="n"/>
      <c r="Q47" s="160"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61" t="n"/>
      <c r="AS47" s="161" t="n"/>
      <c r="AT47" s="1" t="n"/>
      <c r="AU47" s="1" t="n"/>
    </row>
    <row r="48" ht="15.75" customHeight="1" s="216">
      <c r="A48" s="160" t="n"/>
      <c r="B48" s="160" t="n"/>
      <c r="C48" s="160" t="n"/>
      <c r="D48" s="160" t="n"/>
      <c r="E48" s="160" t="n"/>
      <c r="F48" s="160" t="n"/>
      <c r="G48" s="160" t="n"/>
      <c r="H48" s="160" t="n"/>
      <c r="I48" s="160" t="n"/>
      <c r="J48" s="160" t="n"/>
      <c r="K48" s="160" t="n"/>
      <c r="L48" s="160" t="n"/>
      <c r="M48" s="160" t="n"/>
      <c r="N48" s="160" t="n"/>
      <c r="O48" s="160" t="n"/>
      <c r="P48" s="160" t="n"/>
      <c r="Q48" s="160"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61" t="n"/>
      <c r="AS48" s="161" t="n"/>
      <c r="AT48" s="1" t="n"/>
      <c r="AU48" s="1" t="n"/>
    </row>
    <row r="49" ht="15.75" customHeight="1" s="216">
      <c r="A49" s="160" t="n"/>
      <c r="B49" s="160" t="n"/>
      <c r="C49" s="160" t="n"/>
      <c r="D49" s="160" t="n"/>
      <c r="E49" s="160" t="n"/>
      <c r="F49" s="160" t="n"/>
      <c r="G49" s="160" t="n"/>
      <c r="H49" s="160" t="n"/>
      <c r="I49" s="160" t="n"/>
      <c r="J49" s="160" t="n"/>
      <c r="K49" s="160" t="n"/>
      <c r="L49" s="160" t="n"/>
      <c r="M49" s="160" t="n"/>
      <c r="N49" s="160" t="n"/>
      <c r="O49" s="160" t="n"/>
      <c r="P49" s="160" t="n"/>
      <c r="Q49" s="160"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61" t="n"/>
      <c r="AS49" s="161" t="n"/>
      <c r="AT49" s="1" t="n"/>
      <c r="AU49" s="1" t="n"/>
    </row>
    <row r="50" ht="15.75" customHeight="1" s="216">
      <c r="A50" s="160" t="n"/>
      <c r="B50" s="160" t="n"/>
      <c r="C50" s="160" t="n"/>
      <c r="D50" s="160" t="n"/>
      <c r="E50" s="160" t="n"/>
      <c r="F50" s="160" t="n"/>
      <c r="G50" s="160" t="n"/>
      <c r="H50" s="160" t="n"/>
      <c r="I50" s="160" t="n"/>
      <c r="J50" s="160" t="n"/>
      <c r="K50" s="160" t="n"/>
      <c r="L50" s="160" t="n"/>
      <c r="M50" s="160" t="n"/>
      <c r="N50" s="160" t="n"/>
      <c r="O50" s="160" t="n"/>
      <c r="P50" s="160" t="n"/>
      <c r="Q50" s="160"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61" t="n"/>
      <c r="AS50" s="161" t="n"/>
      <c r="AT50" s="1" t="n"/>
      <c r="AU50" s="1" t="n"/>
    </row>
    <row r="51" ht="15.75" customHeight="1" s="216">
      <c r="A51" s="160" t="n"/>
      <c r="B51" s="160" t="n"/>
      <c r="C51" s="160" t="n"/>
      <c r="D51" s="160" t="n"/>
      <c r="E51" s="160" t="n"/>
      <c r="F51" s="160" t="n"/>
      <c r="G51" s="160" t="n"/>
      <c r="H51" s="160" t="n"/>
      <c r="I51" s="160" t="n"/>
      <c r="J51" s="160" t="n"/>
      <c r="K51" s="160" t="n"/>
      <c r="L51" s="160" t="n"/>
      <c r="M51" s="160" t="n"/>
      <c r="N51" s="160" t="n"/>
      <c r="O51" s="160" t="n"/>
      <c r="P51" s="160" t="n"/>
      <c r="Q51" s="160"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61" t="n"/>
      <c r="AS51" s="161" t="n"/>
      <c r="AT51" s="1" t="n"/>
      <c r="AU51" s="1" t="n"/>
    </row>
    <row r="52" ht="15.75" customHeight="1" s="216">
      <c r="A52" s="160" t="n"/>
      <c r="B52" s="160" t="n"/>
      <c r="C52" s="160" t="n"/>
      <c r="D52" s="160" t="n"/>
      <c r="E52" s="160" t="n"/>
      <c r="F52" s="160" t="n"/>
      <c r="G52" s="160" t="n"/>
      <c r="H52" s="160" t="n"/>
      <c r="I52" s="160" t="n"/>
      <c r="J52" s="160" t="n"/>
      <c r="K52" s="160" t="n"/>
      <c r="L52" s="160" t="n"/>
      <c r="M52" s="160" t="n"/>
      <c r="N52" s="160" t="n"/>
      <c r="O52" s="160" t="n"/>
      <c r="P52" s="160" t="n"/>
      <c r="Q52" s="160"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61" t="n"/>
      <c r="AS52" s="161" t="n"/>
      <c r="AT52" s="1" t="n"/>
      <c r="AU52" s="1" t="n"/>
    </row>
    <row r="53" ht="15.75" customHeight="1" s="216">
      <c r="A53" s="160" t="n"/>
      <c r="B53" s="160" t="n"/>
      <c r="C53" s="160" t="n"/>
      <c r="D53" s="160" t="n"/>
      <c r="E53" s="160" t="n"/>
      <c r="F53" s="160" t="n"/>
      <c r="G53" s="160" t="n"/>
      <c r="H53" s="160" t="n"/>
      <c r="I53" s="160" t="n"/>
      <c r="J53" s="160" t="n"/>
      <c r="K53" s="160" t="n"/>
      <c r="L53" s="160" t="n"/>
      <c r="M53" s="160" t="n"/>
      <c r="N53" s="160" t="n"/>
      <c r="O53" s="160" t="n"/>
      <c r="P53" s="160" t="n"/>
      <c r="Q53" s="160"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61" t="n"/>
      <c r="AS53" s="161" t="n"/>
      <c r="AT53" s="1" t="n"/>
      <c r="AU53" s="1" t="n"/>
    </row>
    <row r="54" ht="15.75" customHeight="1" s="216">
      <c r="A54" s="160" t="n"/>
      <c r="B54" s="160" t="n"/>
      <c r="C54" s="160" t="n"/>
      <c r="D54" s="160" t="n"/>
      <c r="E54" s="160" t="n"/>
      <c r="F54" s="160" t="n"/>
      <c r="G54" s="160" t="n"/>
      <c r="H54" s="160" t="n"/>
      <c r="I54" s="160" t="n"/>
      <c r="J54" s="160" t="n"/>
      <c r="K54" s="160" t="n"/>
      <c r="L54" s="160" t="n"/>
      <c r="M54" s="160" t="n"/>
      <c r="N54" s="160" t="n"/>
      <c r="O54" s="160" t="n"/>
      <c r="P54" s="160" t="n"/>
      <c r="Q54" s="160"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61" t="n"/>
      <c r="AS54" s="161" t="n"/>
      <c r="AT54" s="1" t="n"/>
      <c r="AU54" s="1" t="n"/>
    </row>
    <row r="55" ht="15.75" customHeight="1" s="216">
      <c r="A55" s="160" t="n"/>
      <c r="B55" s="160" t="n"/>
      <c r="C55" s="160" t="n"/>
      <c r="D55" s="160" t="n"/>
      <c r="E55" s="160" t="n"/>
      <c r="F55" s="160" t="n"/>
      <c r="G55" s="160" t="n"/>
      <c r="H55" s="160" t="n"/>
      <c r="I55" s="160" t="n"/>
      <c r="J55" s="160" t="n"/>
      <c r="K55" s="160" t="n"/>
      <c r="L55" s="160" t="n"/>
      <c r="M55" s="160" t="n"/>
      <c r="N55" s="160" t="n"/>
      <c r="O55" s="160" t="n"/>
      <c r="P55" s="160" t="n"/>
      <c r="Q55" s="160"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61" t="n"/>
      <c r="AS55" s="161" t="n"/>
      <c r="AT55" s="1" t="n"/>
      <c r="AU55" s="1" t="n"/>
    </row>
    <row r="56" ht="15.75" customHeight="1" s="216">
      <c r="A56" s="160" t="n"/>
      <c r="B56" s="160" t="n"/>
      <c r="C56" s="160" t="n"/>
      <c r="D56" s="160" t="n"/>
      <c r="E56" s="160" t="n"/>
      <c r="F56" s="160" t="n"/>
      <c r="G56" s="160" t="n"/>
      <c r="H56" s="160" t="n"/>
      <c r="I56" s="160" t="n"/>
      <c r="J56" s="160" t="n"/>
      <c r="K56" s="160" t="n"/>
      <c r="L56" s="160" t="n"/>
      <c r="M56" s="160" t="n"/>
      <c r="N56" s="160" t="n"/>
      <c r="O56" s="160" t="n"/>
      <c r="P56" s="160" t="n"/>
      <c r="Q56" s="160"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61" t="n"/>
      <c r="AS56" s="161" t="n"/>
      <c r="AT56" s="1" t="n"/>
      <c r="AU56" s="1" t="n"/>
    </row>
    <row r="57" ht="15.75" customHeight="1" s="216">
      <c r="A57" s="160" t="n"/>
      <c r="B57" s="160" t="n"/>
      <c r="C57" s="160" t="n"/>
      <c r="D57" s="160" t="n"/>
      <c r="E57" s="160" t="n"/>
      <c r="F57" s="160" t="n"/>
      <c r="G57" s="160" t="n"/>
      <c r="H57" s="160" t="n"/>
      <c r="I57" s="160" t="n"/>
      <c r="J57" s="160" t="n"/>
      <c r="K57" s="160" t="n"/>
      <c r="L57" s="160" t="n"/>
      <c r="M57" s="160" t="n"/>
      <c r="N57" s="160" t="n"/>
      <c r="O57" s="160" t="n"/>
      <c r="P57" s="160" t="n"/>
      <c r="Q57" s="160"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61" t="n"/>
      <c r="AS57" s="161" t="n"/>
      <c r="AT57" s="1" t="n"/>
      <c r="AU57" s="1" t="n"/>
    </row>
    <row r="58" ht="15.75" customHeight="1" s="216">
      <c r="A58" s="160" t="n"/>
      <c r="B58" s="160" t="n"/>
      <c r="C58" s="160" t="n"/>
      <c r="D58" s="160" t="n"/>
      <c r="E58" s="160" t="n"/>
      <c r="F58" s="160" t="n"/>
      <c r="G58" s="160" t="n"/>
      <c r="H58" s="160" t="n"/>
      <c r="I58" s="160" t="n"/>
      <c r="J58" s="160" t="n"/>
      <c r="K58" s="160" t="n"/>
      <c r="L58" s="160" t="n"/>
      <c r="M58" s="160" t="n"/>
      <c r="N58" s="160" t="n"/>
      <c r="O58" s="160" t="n"/>
      <c r="P58" s="160" t="n"/>
      <c r="Q58" s="160"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61" t="n"/>
      <c r="AS58" s="161" t="n"/>
      <c r="AT58" s="1" t="n"/>
      <c r="AU58" s="1" t="n"/>
    </row>
    <row r="59" ht="15.75" customHeight="1" s="216">
      <c r="A59" s="160" t="n"/>
      <c r="B59" s="160" t="n"/>
      <c r="C59" s="160" t="n"/>
      <c r="D59" s="160" t="n"/>
      <c r="E59" s="160" t="n"/>
      <c r="F59" s="160" t="n"/>
      <c r="G59" s="160" t="n"/>
      <c r="H59" s="160" t="n"/>
      <c r="I59" s="160" t="n"/>
      <c r="J59" s="160" t="n"/>
      <c r="K59" s="160" t="n"/>
      <c r="L59" s="160" t="n"/>
      <c r="M59" s="160" t="n"/>
      <c r="N59" s="160" t="n"/>
      <c r="O59" s="160" t="n"/>
      <c r="P59" s="160" t="n"/>
      <c r="Q59" s="160"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61" t="n"/>
      <c r="AS59" s="161" t="n"/>
      <c r="AT59" s="1" t="n"/>
      <c r="AU59" s="1" t="n"/>
    </row>
    <row r="60" ht="15.75" customHeight="1" s="216">
      <c r="A60" s="160" t="n"/>
      <c r="B60" s="160" t="n"/>
      <c r="C60" s="160" t="n"/>
      <c r="D60" s="160" t="n"/>
      <c r="E60" s="160" t="n"/>
      <c r="F60" s="160" t="n"/>
      <c r="G60" s="160" t="n"/>
      <c r="H60" s="160" t="n"/>
      <c r="I60" s="160" t="n"/>
      <c r="J60" s="160" t="n"/>
      <c r="K60" s="160" t="n"/>
      <c r="L60" s="160" t="n"/>
      <c r="M60" s="160" t="n"/>
      <c r="N60" s="160" t="n"/>
      <c r="O60" s="160" t="n"/>
      <c r="P60" s="160" t="n"/>
      <c r="Q60" s="160"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61" t="n"/>
      <c r="AS60" s="161" t="n"/>
      <c r="AT60" s="1" t="n"/>
      <c r="AU60" s="1" t="n"/>
    </row>
    <row r="61" ht="15.75" customHeight="1" s="216">
      <c r="A61" s="1" t="n"/>
      <c r="B61" s="1" t="n"/>
      <c r="C61" s="1" t="n"/>
      <c r="D61" s="1" t="n"/>
      <c r="E61" s="181" t="n"/>
      <c r="F61" s="181" t="n"/>
      <c r="G61" s="1" t="n"/>
      <c r="H61" s="1" t="n"/>
      <c r="I61" s="1" t="n"/>
      <c r="J61" s="1" t="n"/>
      <c r="K61" s="181" t="n"/>
      <c r="L61" s="181" t="n"/>
      <c r="M61" s="181" t="n"/>
      <c r="N61" s="1" t="n"/>
      <c r="O61" s="181" t="n"/>
      <c r="P61" s="181" t="n"/>
      <c r="Q61" s="18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row>
    <row r="62" ht="15.75" customHeight="1" s="216">
      <c r="A62" s="1" t="n"/>
      <c r="B62" s="1" t="n"/>
      <c r="C62" s="1" t="n"/>
      <c r="D62" s="1" t="n"/>
      <c r="E62" s="181" t="n"/>
      <c r="F62" s="181" t="n"/>
      <c r="G62" s="1" t="n"/>
      <c r="H62" s="1" t="n"/>
      <c r="I62" s="1" t="n"/>
      <c r="J62" s="1" t="n"/>
      <c r="K62" s="181" t="n"/>
      <c r="L62" s="181" t="n"/>
      <c r="M62" s="181" t="n"/>
      <c r="N62" s="1" t="n"/>
      <c r="O62" s="181" t="n"/>
      <c r="P62" s="181" t="n"/>
      <c r="Q62" s="18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row>
    <row r="63" ht="15.75" customHeight="1" s="216">
      <c r="A63" s="1" t="n"/>
      <c r="B63" s="1" t="n"/>
      <c r="C63" s="1" t="n"/>
      <c r="D63" s="1" t="n"/>
      <c r="E63" s="181" t="n"/>
      <c r="F63" s="181" t="n"/>
      <c r="G63" s="1" t="n"/>
      <c r="H63" s="1" t="n"/>
      <c r="I63" s="1" t="n"/>
      <c r="J63" s="1" t="n"/>
      <c r="K63" s="181" t="n"/>
      <c r="L63" s="181" t="n"/>
      <c r="M63" s="181" t="n"/>
      <c r="N63" s="1" t="n"/>
      <c r="O63" s="181" t="n"/>
      <c r="P63" s="181" t="n"/>
      <c r="Q63" s="18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row>
    <row r="64" ht="15.75" customHeight="1" s="216">
      <c r="A64" s="1" t="n"/>
      <c r="B64" s="1" t="n"/>
      <c r="C64" s="1" t="n"/>
      <c r="D64" s="1" t="n"/>
      <c r="E64" s="181" t="n"/>
      <c r="F64" s="181" t="n"/>
      <c r="G64" s="1" t="n"/>
      <c r="H64" s="1" t="n"/>
      <c r="I64" s="1" t="n"/>
      <c r="J64" s="1" t="n"/>
      <c r="K64" s="181" t="n"/>
      <c r="L64" s="181" t="n"/>
      <c r="M64" s="181" t="n"/>
      <c r="N64" s="1" t="n"/>
      <c r="O64" s="181" t="n"/>
      <c r="P64" s="181" t="n"/>
      <c r="Q64" s="18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row>
    <row r="65" ht="15.75" customHeight="1" s="216">
      <c r="A65" s="1" t="n"/>
      <c r="B65" s="1" t="n"/>
      <c r="C65" s="1" t="n"/>
      <c r="D65" s="1" t="n"/>
      <c r="E65" s="181" t="n"/>
      <c r="F65" s="181" t="n"/>
      <c r="G65" s="1" t="n"/>
      <c r="H65" s="1" t="n"/>
      <c r="I65" s="1" t="n"/>
      <c r="J65" s="1" t="n"/>
      <c r="K65" s="181" t="n"/>
      <c r="L65" s="181" t="n"/>
      <c r="M65" s="181" t="n"/>
      <c r="N65" s="1" t="n"/>
      <c r="O65" s="181" t="n"/>
      <c r="P65" s="181" t="n"/>
      <c r="Q65" s="18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row>
    <row r="66" ht="15.75" customHeight="1" s="216">
      <c r="A66" s="1" t="n"/>
      <c r="B66" s="1" t="n"/>
      <c r="C66" s="1" t="n"/>
      <c r="D66" s="1" t="n"/>
      <c r="E66" s="181" t="n"/>
      <c r="F66" s="181" t="n"/>
      <c r="G66" s="1" t="n"/>
      <c r="H66" s="1" t="n"/>
      <c r="I66" s="1" t="n"/>
      <c r="J66" s="1" t="n"/>
      <c r="K66" s="181" t="n"/>
      <c r="L66" s="181" t="n"/>
      <c r="M66" s="181" t="n"/>
      <c r="N66" s="1" t="n"/>
      <c r="O66" s="181" t="n"/>
      <c r="P66" s="181" t="n"/>
      <c r="Q66" s="18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row>
    <row r="67" ht="15.75" customHeight="1" s="216">
      <c r="A67" s="1" t="n"/>
      <c r="B67" s="1" t="n"/>
      <c r="C67" s="1" t="n"/>
      <c r="D67" s="1" t="n"/>
      <c r="E67" s="181" t="n"/>
      <c r="F67" s="181" t="n"/>
      <c r="G67" s="1" t="n"/>
      <c r="H67" s="1" t="n"/>
      <c r="I67" s="1" t="n"/>
      <c r="J67" s="1" t="n"/>
      <c r="K67" s="181" t="n"/>
      <c r="L67" s="181" t="n"/>
      <c r="M67" s="181" t="n"/>
      <c r="N67" s="1" t="n"/>
      <c r="O67" s="181" t="n"/>
      <c r="P67" s="181" t="n"/>
      <c r="Q67" s="18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row>
    <row r="68" ht="15.75" customHeight="1" s="216">
      <c r="A68" s="1" t="n"/>
      <c r="B68" s="1" t="n"/>
      <c r="C68" s="1" t="n"/>
      <c r="D68" s="1" t="n"/>
      <c r="E68" s="181" t="n"/>
      <c r="F68" s="181" t="n"/>
      <c r="G68" s="1" t="n"/>
      <c r="H68" s="1" t="n"/>
      <c r="I68" s="1" t="n"/>
      <c r="J68" s="1" t="n"/>
      <c r="K68" s="181" t="n"/>
      <c r="L68" s="181" t="n"/>
      <c r="M68" s="181" t="n"/>
      <c r="N68" s="1" t="n"/>
      <c r="O68" s="181" t="n"/>
      <c r="P68" s="181" t="n"/>
      <c r="Q68" s="18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row>
    <row r="69" ht="15.75" customHeight="1" s="216">
      <c r="A69" s="1" t="n"/>
      <c r="B69" s="1" t="n"/>
      <c r="C69" s="1" t="n"/>
      <c r="D69" s="1" t="n"/>
      <c r="E69" s="181" t="n"/>
      <c r="F69" s="181" t="n"/>
      <c r="G69" s="1" t="n"/>
      <c r="H69" s="1" t="n"/>
      <c r="I69" s="1" t="n"/>
      <c r="J69" s="1" t="n"/>
      <c r="K69" s="181" t="n"/>
      <c r="L69" s="181" t="n"/>
      <c r="M69" s="181" t="n"/>
      <c r="N69" s="1" t="n"/>
      <c r="O69" s="181" t="n"/>
      <c r="P69" s="181" t="n"/>
      <c r="Q69" s="18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row>
    <row r="70" ht="15.75" customHeight="1" s="216">
      <c r="A70" s="1" t="n"/>
      <c r="B70" s="1" t="n"/>
      <c r="C70" s="1" t="n"/>
      <c r="D70" s="1" t="n"/>
      <c r="E70" s="181" t="n"/>
      <c r="F70" s="181" t="n"/>
      <c r="G70" s="1" t="n"/>
      <c r="H70" s="1" t="n"/>
      <c r="I70" s="1" t="n"/>
      <c r="J70" s="1" t="n"/>
      <c r="K70" s="181" t="n"/>
      <c r="L70" s="181" t="n"/>
      <c r="M70" s="181" t="n"/>
      <c r="N70" s="1" t="n"/>
      <c r="O70" s="181" t="n"/>
      <c r="P70" s="181" t="n"/>
      <c r="Q70" s="18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row>
    <row r="71" ht="15.75" customHeight="1" s="216">
      <c r="A71" s="1" t="n"/>
      <c r="B71" s="1" t="n"/>
      <c r="C71" s="1" t="n"/>
      <c r="D71" s="1" t="n"/>
      <c r="E71" s="181" t="n"/>
      <c r="F71" s="181" t="n"/>
      <c r="G71" s="1" t="n"/>
      <c r="H71" s="1" t="n"/>
      <c r="I71" s="1" t="n"/>
      <c r="J71" s="1" t="n"/>
      <c r="K71" s="181" t="n"/>
      <c r="L71" s="181" t="n"/>
      <c r="M71" s="181" t="n"/>
      <c r="N71" s="1" t="n"/>
      <c r="O71" s="181" t="n"/>
      <c r="P71" s="181" t="n"/>
      <c r="Q71" s="18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row>
    <row r="72" ht="15.75" customHeight="1" s="216">
      <c r="A72" s="1" t="n"/>
      <c r="B72" s="1" t="n"/>
      <c r="C72" s="1" t="n"/>
      <c r="D72" s="1" t="n"/>
      <c r="E72" s="181" t="n"/>
      <c r="F72" s="181" t="n"/>
      <c r="G72" s="1" t="n"/>
      <c r="H72" s="1" t="n"/>
      <c r="I72" s="1" t="n"/>
      <c r="J72" s="1" t="n"/>
      <c r="K72" s="181" t="n"/>
      <c r="L72" s="181" t="n"/>
      <c r="M72" s="181" t="n"/>
      <c r="N72" s="1" t="n"/>
      <c r="O72" s="181" t="n"/>
      <c r="P72" s="181" t="n"/>
      <c r="Q72" s="18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row>
    <row r="73" ht="15.75" customHeight="1" s="216">
      <c r="A73" s="1" t="n"/>
      <c r="B73" s="1" t="n"/>
      <c r="C73" s="1" t="n"/>
      <c r="D73" s="1" t="n"/>
      <c r="E73" s="181" t="n"/>
      <c r="F73" s="181" t="n"/>
      <c r="G73" s="1" t="n"/>
      <c r="H73" s="1" t="n"/>
      <c r="I73" s="1" t="n"/>
      <c r="J73" s="1" t="n"/>
      <c r="K73" s="181" t="n"/>
      <c r="L73" s="181" t="n"/>
      <c r="M73" s="181" t="n"/>
      <c r="N73" s="1" t="n"/>
      <c r="O73" s="181" t="n"/>
      <c r="P73" s="181" t="n"/>
      <c r="Q73" s="18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row>
    <row r="74" ht="15.75" customHeight="1" s="216">
      <c r="A74" s="1" t="n"/>
      <c r="B74" s="1" t="n"/>
      <c r="C74" s="1" t="n"/>
      <c r="D74" s="1" t="n"/>
      <c r="E74" s="181" t="n"/>
      <c r="F74" s="181" t="n"/>
      <c r="G74" s="1" t="n"/>
      <c r="H74" s="1" t="n"/>
      <c r="I74" s="1" t="n"/>
      <c r="J74" s="1" t="n"/>
      <c r="K74" s="181" t="n"/>
      <c r="L74" s="181" t="n"/>
      <c r="M74" s="181" t="n"/>
      <c r="N74" s="1" t="n"/>
      <c r="O74" s="181" t="n"/>
      <c r="P74" s="181" t="n"/>
      <c r="Q74" s="18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row>
    <row r="75" ht="15.75" customHeight="1" s="216">
      <c r="A75" s="1" t="n"/>
      <c r="B75" s="1" t="n"/>
      <c r="C75" s="1" t="n"/>
      <c r="D75" s="1" t="n"/>
      <c r="E75" s="181" t="n"/>
      <c r="F75" s="181" t="n"/>
      <c r="G75" s="1" t="n"/>
      <c r="H75" s="1" t="n"/>
      <c r="I75" s="1" t="n"/>
      <c r="J75" s="1" t="n"/>
      <c r="K75" s="181" t="n"/>
      <c r="L75" s="181" t="n"/>
      <c r="M75" s="181" t="n"/>
      <c r="N75" s="1" t="n"/>
      <c r="O75" s="181" t="n"/>
      <c r="P75" s="181" t="n"/>
      <c r="Q75" s="18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row>
    <row r="76" ht="15.75" customHeight="1" s="216">
      <c r="A76" s="1" t="n"/>
      <c r="B76" s="1" t="n"/>
      <c r="C76" s="1" t="n"/>
      <c r="D76" s="1" t="n"/>
      <c r="E76" s="181" t="n"/>
      <c r="F76" s="181" t="n"/>
      <c r="G76" s="1" t="n"/>
      <c r="H76" s="1" t="n"/>
      <c r="I76" s="1" t="n"/>
      <c r="J76" s="1" t="n"/>
      <c r="K76" s="181" t="n"/>
      <c r="L76" s="181" t="n"/>
      <c r="M76" s="181" t="n"/>
      <c r="N76" s="1" t="n"/>
      <c r="O76" s="181" t="n"/>
      <c r="P76" s="181" t="n"/>
      <c r="Q76" s="18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row>
    <row r="77" ht="15.75" customHeight="1" s="216">
      <c r="A77" s="1" t="n"/>
      <c r="B77" s="1" t="n"/>
      <c r="C77" s="1" t="n"/>
      <c r="D77" s="1" t="n"/>
      <c r="E77" s="181" t="n"/>
      <c r="F77" s="181" t="n"/>
      <c r="G77" s="1" t="n"/>
      <c r="H77" s="1" t="n"/>
      <c r="I77" s="1" t="n"/>
      <c r="J77" s="1" t="n"/>
      <c r="K77" s="181" t="n"/>
      <c r="L77" s="181" t="n"/>
      <c r="M77" s="181" t="n"/>
      <c r="N77" s="1" t="n"/>
      <c r="O77" s="181" t="n"/>
      <c r="P77" s="181" t="n"/>
      <c r="Q77" s="18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row>
    <row r="78" ht="15.75" customHeight="1" s="216">
      <c r="A78" s="1" t="n"/>
      <c r="B78" s="1" t="n"/>
      <c r="C78" s="1" t="n"/>
      <c r="D78" s="1" t="n"/>
      <c r="E78" s="181" t="n"/>
      <c r="F78" s="181" t="n"/>
      <c r="G78" s="1" t="n"/>
      <c r="H78" s="1" t="n"/>
      <c r="I78" s="1" t="n"/>
      <c r="J78" s="1" t="n"/>
      <c r="K78" s="181" t="n"/>
      <c r="L78" s="181" t="n"/>
      <c r="M78" s="181" t="n"/>
      <c r="N78" s="1" t="n"/>
      <c r="O78" s="181" t="n"/>
      <c r="P78" s="181" t="n"/>
      <c r="Q78" s="18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row>
    <row r="79" ht="15.75" customHeight="1" s="216">
      <c r="A79" s="1" t="n"/>
      <c r="B79" s="1" t="n"/>
      <c r="C79" s="1" t="n"/>
      <c r="D79" s="1" t="n"/>
      <c r="E79" s="181" t="n"/>
      <c r="F79" s="181" t="n"/>
      <c r="G79" s="1" t="n"/>
      <c r="H79" s="1" t="n"/>
      <c r="I79" s="1" t="n"/>
      <c r="J79" s="1" t="n"/>
      <c r="K79" s="181" t="n"/>
      <c r="L79" s="181" t="n"/>
      <c r="M79" s="181" t="n"/>
      <c r="N79" s="1" t="n"/>
      <c r="O79" s="181" t="n"/>
      <c r="P79" s="181" t="n"/>
      <c r="Q79" s="18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row>
    <row r="80" ht="15.75" customHeight="1" s="216">
      <c r="A80" s="1" t="n"/>
      <c r="B80" s="1" t="n"/>
      <c r="C80" s="1" t="n"/>
      <c r="D80" s="1" t="n"/>
      <c r="E80" s="181" t="n"/>
      <c r="F80" s="181" t="n"/>
      <c r="G80" s="1" t="n"/>
      <c r="H80" s="1" t="n"/>
      <c r="I80" s="1" t="n"/>
      <c r="J80" s="1" t="n"/>
      <c r="K80" s="181" t="n"/>
      <c r="L80" s="181" t="n"/>
      <c r="M80" s="181" t="n"/>
      <c r="N80" s="1" t="n"/>
      <c r="O80" s="181" t="n"/>
      <c r="P80" s="181" t="n"/>
      <c r="Q80" s="18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row>
    <row r="81" ht="15.75" customHeight="1" s="216">
      <c r="A81" s="1" t="n"/>
      <c r="B81" s="1" t="n"/>
      <c r="C81" s="1" t="n"/>
      <c r="D81" s="1" t="n"/>
      <c r="E81" s="181" t="n"/>
      <c r="F81" s="181" t="n"/>
      <c r="G81" s="1" t="n"/>
      <c r="H81" s="1" t="n"/>
      <c r="I81" s="1" t="n"/>
      <c r="J81" s="1" t="n"/>
      <c r="K81" s="181" t="n"/>
      <c r="L81" s="181" t="n"/>
      <c r="M81" s="181" t="n"/>
      <c r="N81" s="1" t="n"/>
      <c r="O81" s="181" t="n"/>
      <c r="P81" s="181" t="n"/>
      <c r="Q81" s="18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row>
    <row r="82" ht="15.75" customHeight="1" s="216">
      <c r="A82" s="1" t="n"/>
      <c r="B82" s="1" t="n"/>
      <c r="C82" s="1" t="n"/>
      <c r="D82" s="1" t="n"/>
      <c r="E82" s="181" t="n"/>
      <c r="F82" s="181" t="n"/>
      <c r="G82" s="1" t="n"/>
      <c r="H82" s="1" t="n"/>
      <c r="I82" s="1" t="n"/>
      <c r="J82" s="1" t="n"/>
      <c r="K82" s="181" t="n"/>
      <c r="L82" s="181" t="n"/>
      <c r="M82" s="181" t="n"/>
      <c r="N82" s="1" t="n"/>
      <c r="O82" s="181" t="n"/>
      <c r="P82" s="181" t="n"/>
      <c r="Q82" s="18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row>
    <row r="83" ht="15.75" customHeight="1" s="216">
      <c r="A83" s="1" t="n"/>
      <c r="B83" s="1" t="n"/>
      <c r="C83" s="1" t="n"/>
      <c r="D83" s="1" t="n"/>
      <c r="E83" s="181" t="n"/>
      <c r="F83" s="181" t="n"/>
      <c r="G83" s="1" t="n"/>
      <c r="H83" s="1" t="n"/>
      <c r="I83" s="1" t="n"/>
      <c r="J83" s="1" t="n"/>
      <c r="K83" s="181" t="n"/>
      <c r="L83" s="181" t="n"/>
      <c r="M83" s="181" t="n"/>
      <c r="N83" s="1" t="n"/>
      <c r="O83" s="181" t="n"/>
      <c r="P83" s="181" t="n"/>
      <c r="Q83" s="18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row>
    <row r="84" ht="15.75" customHeight="1" s="216">
      <c r="A84" s="1" t="n"/>
      <c r="B84" s="1" t="n"/>
      <c r="C84" s="1" t="n"/>
      <c r="D84" s="1" t="n"/>
      <c r="E84" s="181" t="n"/>
      <c r="F84" s="181" t="n"/>
      <c r="G84" s="1" t="n"/>
      <c r="H84" s="1" t="n"/>
      <c r="I84" s="1" t="n"/>
      <c r="J84" s="1" t="n"/>
      <c r="K84" s="181" t="n"/>
      <c r="L84" s="181" t="n"/>
      <c r="M84" s="181" t="n"/>
      <c r="N84" s="1" t="n"/>
      <c r="O84" s="181" t="n"/>
      <c r="P84" s="181" t="n"/>
      <c r="Q84" s="18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row>
    <row r="85" ht="15.75" customHeight="1" s="216">
      <c r="A85" s="1" t="n"/>
      <c r="B85" s="1" t="n"/>
      <c r="C85" s="1" t="n"/>
      <c r="D85" s="1" t="n"/>
      <c r="E85" s="181" t="n"/>
      <c r="F85" s="181" t="n"/>
      <c r="G85" s="1" t="n"/>
      <c r="H85" s="1" t="n"/>
      <c r="I85" s="1" t="n"/>
      <c r="J85" s="1" t="n"/>
      <c r="K85" s="181" t="n"/>
      <c r="L85" s="181" t="n"/>
      <c r="M85" s="181" t="n"/>
      <c r="N85" s="1" t="n"/>
      <c r="O85" s="181" t="n"/>
      <c r="P85" s="181" t="n"/>
      <c r="Q85" s="18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row>
    <row r="86" ht="15.75" customHeight="1" s="216">
      <c r="A86" s="1" t="n"/>
      <c r="B86" s="1" t="n"/>
      <c r="C86" s="1" t="n"/>
      <c r="D86" s="1" t="n"/>
      <c r="E86" s="181" t="n"/>
      <c r="F86" s="181" t="n"/>
      <c r="G86" s="1" t="n"/>
      <c r="H86" s="1" t="n"/>
      <c r="I86" s="1" t="n"/>
      <c r="J86" s="1" t="n"/>
      <c r="K86" s="181" t="n"/>
      <c r="L86" s="181" t="n"/>
      <c r="M86" s="181" t="n"/>
      <c r="N86" s="1" t="n"/>
      <c r="O86" s="181" t="n"/>
      <c r="P86" s="181" t="n"/>
      <c r="Q86" s="18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row>
    <row r="87" ht="15.75" customHeight="1" s="216">
      <c r="A87" s="1" t="n"/>
      <c r="B87" s="1" t="n"/>
      <c r="C87" s="1" t="n"/>
      <c r="D87" s="1" t="n"/>
      <c r="E87" s="181" t="n"/>
      <c r="F87" s="181" t="n"/>
      <c r="G87" s="1" t="n"/>
      <c r="H87" s="1" t="n"/>
      <c r="I87" s="1" t="n"/>
      <c r="J87" s="1" t="n"/>
      <c r="K87" s="181" t="n"/>
      <c r="L87" s="181" t="n"/>
      <c r="M87" s="181" t="n"/>
      <c r="N87" s="1" t="n"/>
      <c r="O87" s="181" t="n"/>
      <c r="P87" s="181" t="n"/>
      <c r="Q87" s="18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row>
    <row r="88" ht="15.75" customHeight="1" s="216">
      <c r="A88" s="1" t="n"/>
      <c r="B88" s="1" t="n"/>
      <c r="C88" s="1" t="n"/>
      <c r="D88" s="1" t="n"/>
      <c r="E88" s="181" t="n"/>
      <c r="F88" s="181" t="n"/>
      <c r="G88" s="1" t="n"/>
      <c r="H88" s="1" t="n"/>
      <c r="I88" s="1" t="n"/>
      <c r="J88" s="1" t="n"/>
      <c r="K88" s="181" t="n"/>
      <c r="L88" s="181" t="n"/>
      <c r="M88" s="181" t="n"/>
      <c r="N88" s="1" t="n"/>
      <c r="O88" s="181" t="n"/>
      <c r="P88" s="181" t="n"/>
      <c r="Q88" s="18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row>
    <row r="89" ht="15.75" customHeight="1" s="216">
      <c r="A89" s="1" t="n"/>
      <c r="B89" s="1" t="n"/>
      <c r="C89" s="1" t="n"/>
      <c r="D89" s="1" t="n"/>
      <c r="E89" s="181" t="n"/>
      <c r="F89" s="181" t="n"/>
      <c r="G89" s="1" t="n"/>
      <c r="H89" s="1" t="n"/>
      <c r="I89" s="1" t="n"/>
      <c r="J89" s="1" t="n"/>
      <c r="K89" s="181" t="n"/>
      <c r="L89" s="181" t="n"/>
      <c r="M89" s="181" t="n"/>
      <c r="N89" s="1" t="n"/>
      <c r="O89" s="181" t="n"/>
      <c r="P89" s="181" t="n"/>
      <c r="Q89" s="18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row>
    <row r="90" ht="15.75" customHeight="1" s="216">
      <c r="A90" s="1" t="n"/>
      <c r="B90" s="1" t="n"/>
      <c r="C90" s="1" t="n"/>
      <c r="D90" s="1" t="n"/>
      <c r="E90" s="181" t="n"/>
      <c r="F90" s="181" t="n"/>
      <c r="G90" s="1" t="n"/>
      <c r="H90" s="1" t="n"/>
      <c r="I90" s="1" t="n"/>
      <c r="J90" s="1" t="n"/>
      <c r="K90" s="181" t="n"/>
      <c r="L90" s="181" t="n"/>
      <c r="M90" s="181" t="n"/>
      <c r="N90" s="1" t="n"/>
      <c r="O90" s="181" t="n"/>
      <c r="P90" s="181" t="n"/>
      <c r="Q90" s="18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row>
    <row r="91" ht="15.75" customHeight="1" s="216">
      <c r="A91" s="1" t="n"/>
      <c r="B91" s="1" t="n"/>
      <c r="C91" s="1" t="n"/>
      <c r="D91" s="1" t="n"/>
      <c r="E91" s="181" t="n"/>
      <c r="F91" s="181" t="n"/>
      <c r="G91" s="1" t="n"/>
      <c r="H91" s="1" t="n"/>
      <c r="I91" s="1" t="n"/>
      <c r="J91" s="1" t="n"/>
      <c r="K91" s="181" t="n"/>
      <c r="L91" s="181" t="n"/>
      <c r="M91" s="181" t="n"/>
      <c r="N91" s="1" t="n"/>
      <c r="O91" s="181" t="n"/>
      <c r="P91" s="181" t="n"/>
      <c r="Q91" s="18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row>
    <row r="92" ht="15.75" customHeight="1" s="216">
      <c r="A92" s="1" t="n"/>
      <c r="B92" s="1" t="n"/>
      <c r="C92" s="1" t="n"/>
      <c r="D92" s="1" t="n"/>
      <c r="E92" s="181" t="n"/>
      <c r="F92" s="181" t="n"/>
      <c r="G92" s="1" t="n"/>
      <c r="H92" s="1" t="n"/>
      <c r="I92" s="1" t="n"/>
      <c r="J92" s="1" t="n"/>
      <c r="K92" s="181" t="n"/>
      <c r="L92" s="181" t="n"/>
      <c r="M92" s="181" t="n"/>
      <c r="N92" s="1" t="n"/>
      <c r="O92" s="181" t="n"/>
      <c r="P92" s="181" t="n"/>
      <c r="Q92" s="18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row>
    <row r="93" ht="15.75" customHeight="1" s="216">
      <c r="A93" s="1" t="n"/>
      <c r="B93" s="1" t="n"/>
      <c r="C93" s="1" t="n"/>
      <c r="D93" s="1" t="n"/>
      <c r="E93" s="181" t="n"/>
      <c r="F93" s="181" t="n"/>
      <c r="G93" s="1" t="n"/>
      <c r="H93" s="1" t="n"/>
      <c r="I93" s="1" t="n"/>
      <c r="J93" s="1" t="n"/>
      <c r="K93" s="181" t="n"/>
      <c r="L93" s="181" t="n"/>
      <c r="M93" s="181" t="n"/>
      <c r="N93" s="1" t="n"/>
      <c r="O93" s="181" t="n"/>
      <c r="P93" s="181" t="n"/>
      <c r="Q93" s="18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row>
    <row r="94" ht="15.75" customHeight="1" s="216">
      <c r="A94" s="1" t="n"/>
      <c r="B94" s="1" t="n"/>
      <c r="C94" s="1" t="n"/>
      <c r="D94" s="1" t="n"/>
      <c r="E94" s="181" t="n"/>
      <c r="F94" s="181" t="n"/>
      <c r="G94" s="1" t="n"/>
      <c r="H94" s="1" t="n"/>
      <c r="I94" s="1" t="n"/>
      <c r="J94" s="1" t="n"/>
      <c r="K94" s="181" t="n"/>
      <c r="L94" s="181" t="n"/>
      <c r="M94" s="181" t="n"/>
      <c r="N94" s="1" t="n"/>
      <c r="O94" s="181" t="n"/>
      <c r="P94" s="181" t="n"/>
      <c r="Q94" s="18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row>
    <row r="95" ht="15.75" customHeight="1" s="216">
      <c r="A95" s="1" t="n"/>
      <c r="B95" s="1" t="n"/>
      <c r="C95" s="1" t="n"/>
      <c r="D95" s="1" t="n"/>
      <c r="E95" s="181" t="n"/>
      <c r="F95" s="181" t="n"/>
      <c r="G95" s="1" t="n"/>
      <c r="H95" s="1" t="n"/>
      <c r="I95" s="1" t="n"/>
      <c r="J95" s="1" t="n"/>
      <c r="K95" s="181" t="n"/>
      <c r="L95" s="181" t="n"/>
      <c r="M95" s="181" t="n"/>
      <c r="N95" s="1" t="n"/>
      <c r="O95" s="181" t="n"/>
      <c r="P95" s="181" t="n"/>
      <c r="Q95" s="18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row>
    <row r="96" ht="15.75" customHeight="1" s="216">
      <c r="A96" s="1" t="n"/>
      <c r="B96" s="1" t="n"/>
      <c r="C96" s="1" t="n"/>
      <c r="D96" s="1" t="n"/>
      <c r="E96" s="181" t="n"/>
      <c r="F96" s="181" t="n"/>
      <c r="G96" s="1" t="n"/>
      <c r="H96" s="1" t="n"/>
      <c r="I96" s="1" t="n"/>
      <c r="J96" s="1" t="n"/>
      <c r="K96" s="181" t="n"/>
      <c r="L96" s="181" t="n"/>
      <c r="M96" s="181" t="n"/>
      <c r="N96" s="1" t="n"/>
      <c r="O96" s="181" t="n"/>
      <c r="P96" s="181" t="n"/>
      <c r="Q96" s="18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row>
    <row r="97" ht="15.75" customHeight="1" s="216">
      <c r="A97" s="1" t="n"/>
      <c r="B97" s="1" t="n"/>
      <c r="C97" s="1" t="n"/>
      <c r="D97" s="1" t="n"/>
      <c r="E97" s="181" t="n"/>
      <c r="F97" s="181" t="n"/>
      <c r="G97" s="1" t="n"/>
      <c r="H97" s="1" t="n"/>
      <c r="I97" s="1" t="n"/>
      <c r="J97" s="1" t="n"/>
      <c r="K97" s="181" t="n"/>
      <c r="L97" s="181" t="n"/>
      <c r="M97" s="181" t="n"/>
      <c r="N97" s="1" t="n"/>
      <c r="O97" s="181" t="n"/>
      <c r="P97" s="181" t="n"/>
      <c r="Q97" s="18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row>
    <row r="98" ht="15.75" customHeight="1" s="216">
      <c r="A98" s="1" t="n"/>
      <c r="B98" s="1" t="n"/>
      <c r="C98" s="1" t="n"/>
      <c r="D98" s="1" t="n"/>
      <c r="E98" s="181" t="n"/>
      <c r="F98" s="181" t="n"/>
      <c r="G98" s="1" t="n"/>
      <c r="H98" s="1" t="n"/>
      <c r="I98" s="1" t="n"/>
      <c r="J98" s="1" t="n"/>
      <c r="K98" s="181" t="n"/>
      <c r="L98" s="181" t="n"/>
      <c r="M98" s="181" t="n"/>
      <c r="N98" s="1" t="n"/>
      <c r="O98" s="181" t="n"/>
      <c r="P98" s="181" t="n"/>
      <c r="Q98" s="18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row>
    <row r="99" ht="15.75" customHeight="1" s="216">
      <c r="A99" s="1" t="n"/>
      <c r="B99" s="1" t="n"/>
      <c r="C99" s="1" t="n"/>
      <c r="D99" s="1" t="n"/>
      <c r="E99" s="181" t="n"/>
      <c r="F99" s="181" t="n"/>
      <c r="G99" s="1" t="n"/>
      <c r="H99" s="1" t="n"/>
      <c r="I99" s="1" t="n"/>
      <c r="J99" s="1" t="n"/>
      <c r="K99" s="181" t="n"/>
      <c r="L99" s="181" t="n"/>
      <c r="M99" s="181" t="n"/>
      <c r="N99" s="1" t="n"/>
      <c r="O99" s="181" t="n"/>
      <c r="P99" s="181" t="n"/>
      <c r="Q99" s="18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row>
    <row r="100" ht="15.75" customHeight="1" s="216">
      <c r="A100" s="1" t="n"/>
      <c r="B100" s="1" t="n"/>
      <c r="C100" s="1" t="n"/>
      <c r="D100" s="1" t="n"/>
      <c r="E100" s="181" t="n"/>
      <c r="F100" s="181" t="n"/>
      <c r="G100" s="1" t="n"/>
      <c r="H100" s="1" t="n"/>
      <c r="I100" s="1" t="n"/>
      <c r="J100" s="1" t="n"/>
      <c r="K100" s="181" t="n"/>
      <c r="L100" s="181" t="n"/>
      <c r="M100" s="181" t="n"/>
      <c r="N100" s="1" t="n"/>
      <c r="O100" s="181" t="n"/>
      <c r="P100" s="181" t="n"/>
      <c r="Q100" s="18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row>
    <row r="101" ht="15.75" customHeight="1" s="216">
      <c r="A101" s="1" t="n"/>
      <c r="B101" s="1" t="n"/>
      <c r="C101" s="1" t="n"/>
      <c r="D101" s="1" t="n"/>
      <c r="E101" s="181" t="n"/>
      <c r="F101" s="181" t="n"/>
      <c r="G101" s="1" t="n"/>
      <c r="H101" s="1" t="n"/>
      <c r="I101" s="1" t="n"/>
      <c r="J101" s="1" t="n"/>
      <c r="K101" s="181" t="n"/>
      <c r="L101" s="181" t="n"/>
      <c r="M101" s="181" t="n"/>
      <c r="N101" s="1" t="n"/>
      <c r="O101" s="181" t="n"/>
      <c r="P101" s="181" t="n"/>
      <c r="Q101" s="18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row>
    <row r="102" ht="15.75" customHeight="1" s="216">
      <c r="A102" s="1" t="n"/>
      <c r="B102" s="1" t="n"/>
      <c r="C102" s="1" t="n"/>
      <c r="D102" s="1" t="n"/>
      <c r="E102" s="181" t="n"/>
      <c r="F102" s="181" t="n"/>
      <c r="G102" s="1" t="n"/>
      <c r="H102" s="1" t="n"/>
      <c r="I102" s="1" t="n"/>
      <c r="J102" s="1" t="n"/>
      <c r="K102" s="181" t="n"/>
      <c r="L102" s="181" t="n"/>
      <c r="M102" s="181" t="n"/>
      <c r="N102" s="1" t="n"/>
      <c r="O102" s="181" t="n"/>
      <c r="P102" s="181" t="n"/>
      <c r="Q102" s="18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row>
    <row r="103" ht="15.75" customHeight="1" s="216">
      <c r="A103" s="1" t="n"/>
      <c r="B103" s="1" t="n"/>
      <c r="C103" s="1" t="n"/>
      <c r="D103" s="1" t="n"/>
      <c r="E103" s="181" t="n"/>
      <c r="F103" s="181" t="n"/>
      <c r="G103" s="1" t="n"/>
      <c r="H103" s="1" t="n"/>
      <c r="I103" s="1" t="n"/>
      <c r="J103" s="1" t="n"/>
      <c r="K103" s="181" t="n"/>
      <c r="L103" s="181" t="n"/>
      <c r="M103" s="181" t="n"/>
      <c r="N103" s="1" t="n"/>
      <c r="O103" s="181" t="n"/>
      <c r="P103" s="181" t="n"/>
      <c r="Q103" s="18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row>
    <row r="104" ht="15.75" customHeight="1" s="216">
      <c r="A104" s="1" t="n"/>
      <c r="B104" s="1" t="n"/>
      <c r="C104" s="1" t="n"/>
      <c r="D104" s="1" t="n"/>
      <c r="E104" s="181" t="n"/>
      <c r="F104" s="181" t="n"/>
      <c r="G104" s="1" t="n"/>
      <c r="H104" s="1" t="n"/>
      <c r="I104" s="1" t="n"/>
      <c r="J104" s="1" t="n"/>
      <c r="K104" s="181" t="n"/>
      <c r="L104" s="181" t="n"/>
      <c r="M104" s="181" t="n"/>
      <c r="N104" s="1" t="n"/>
      <c r="O104" s="181" t="n"/>
      <c r="P104" s="181" t="n"/>
      <c r="Q104" s="18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row>
    <row r="105" ht="15.75" customHeight="1" s="216">
      <c r="A105" s="1" t="n"/>
      <c r="B105" s="1" t="n"/>
      <c r="C105" s="1" t="n"/>
      <c r="D105" s="1" t="n"/>
      <c r="E105" s="181" t="n"/>
      <c r="F105" s="181" t="n"/>
      <c r="G105" s="1" t="n"/>
      <c r="H105" s="1" t="n"/>
      <c r="I105" s="1" t="n"/>
      <c r="J105" s="1" t="n"/>
      <c r="K105" s="181" t="n"/>
      <c r="L105" s="181" t="n"/>
      <c r="M105" s="181" t="n"/>
      <c r="N105" s="1" t="n"/>
      <c r="O105" s="181" t="n"/>
      <c r="P105" s="181" t="n"/>
      <c r="Q105" s="18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row>
    <row r="106" ht="15.75" customHeight="1" s="216">
      <c r="A106" s="1" t="n"/>
      <c r="B106" s="1" t="n"/>
      <c r="C106" s="1" t="n"/>
      <c r="D106" s="1" t="n"/>
      <c r="E106" s="181" t="n"/>
      <c r="F106" s="181" t="n"/>
      <c r="G106" s="1" t="n"/>
      <c r="H106" s="1" t="n"/>
      <c r="I106" s="1" t="n"/>
      <c r="J106" s="1" t="n"/>
      <c r="K106" s="181" t="n"/>
      <c r="L106" s="181" t="n"/>
      <c r="M106" s="181" t="n"/>
      <c r="N106" s="1" t="n"/>
      <c r="O106" s="181" t="n"/>
      <c r="P106" s="181" t="n"/>
      <c r="Q106" s="18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row>
    <row r="107" ht="15.75" customHeight="1" s="216">
      <c r="A107" s="1" t="n"/>
      <c r="B107" s="1" t="n"/>
      <c r="C107" s="1" t="n"/>
      <c r="D107" s="1" t="n"/>
      <c r="E107" s="181" t="n"/>
      <c r="F107" s="181" t="n"/>
      <c r="G107" s="1" t="n"/>
      <c r="H107" s="1" t="n"/>
      <c r="I107" s="1" t="n"/>
      <c r="J107" s="1" t="n"/>
      <c r="K107" s="181" t="n"/>
      <c r="L107" s="181" t="n"/>
      <c r="M107" s="181" t="n"/>
      <c r="N107" s="1" t="n"/>
      <c r="O107" s="181" t="n"/>
      <c r="P107" s="181" t="n"/>
      <c r="Q107" s="18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row>
    <row r="108" ht="15.75" customHeight="1" s="216">
      <c r="A108" s="1" t="n"/>
      <c r="B108" s="1" t="n"/>
      <c r="C108" s="1" t="n"/>
      <c r="D108" s="1" t="n"/>
      <c r="E108" s="181" t="n"/>
      <c r="F108" s="181" t="n"/>
      <c r="G108" s="1" t="n"/>
      <c r="H108" s="1" t="n"/>
      <c r="I108" s="1" t="n"/>
      <c r="J108" s="1" t="n"/>
      <c r="K108" s="181" t="n"/>
      <c r="L108" s="181" t="n"/>
      <c r="M108" s="181" t="n"/>
      <c r="N108" s="1" t="n"/>
      <c r="O108" s="181" t="n"/>
      <c r="P108" s="181" t="n"/>
      <c r="Q108" s="18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row>
    <row r="109" ht="15.75" customHeight="1" s="216">
      <c r="A109" s="1" t="n"/>
      <c r="B109" s="1" t="n"/>
      <c r="C109" s="1" t="n"/>
      <c r="D109" s="1" t="n"/>
      <c r="E109" s="181" t="n"/>
      <c r="F109" s="181" t="n"/>
      <c r="G109" s="1" t="n"/>
      <c r="H109" s="1" t="n"/>
      <c r="I109" s="1" t="n"/>
      <c r="J109" s="1" t="n"/>
      <c r="K109" s="181" t="n"/>
      <c r="L109" s="181" t="n"/>
      <c r="M109" s="181" t="n"/>
      <c r="N109" s="1" t="n"/>
      <c r="O109" s="181" t="n"/>
      <c r="P109" s="181" t="n"/>
      <c r="Q109" s="18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row>
    <row r="110" ht="15.75" customHeight="1" s="216">
      <c r="A110" s="1" t="n"/>
      <c r="B110" s="1" t="n"/>
      <c r="C110" s="1" t="n"/>
      <c r="D110" s="1" t="n"/>
      <c r="E110" s="181" t="n"/>
      <c r="F110" s="181" t="n"/>
      <c r="G110" s="1" t="n"/>
      <c r="H110" s="1" t="n"/>
      <c r="I110" s="1" t="n"/>
      <c r="J110" s="1" t="n"/>
      <c r="K110" s="181" t="n"/>
      <c r="L110" s="181" t="n"/>
      <c r="M110" s="181" t="n"/>
      <c r="N110" s="1" t="n"/>
      <c r="O110" s="181" t="n"/>
      <c r="P110" s="181" t="n"/>
      <c r="Q110" s="18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row>
    <row r="111" ht="15.75" customHeight="1" s="216">
      <c r="A111" s="1" t="n"/>
      <c r="B111" s="1" t="n"/>
      <c r="C111" s="1" t="n"/>
      <c r="D111" s="1" t="n"/>
      <c r="E111" s="181" t="n"/>
      <c r="F111" s="181" t="n"/>
      <c r="G111" s="1" t="n"/>
      <c r="H111" s="1" t="n"/>
      <c r="I111" s="1" t="n"/>
      <c r="J111" s="1" t="n"/>
      <c r="K111" s="181" t="n"/>
      <c r="L111" s="181" t="n"/>
      <c r="M111" s="181" t="n"/>
      <c r="N111" s="1" t="n"/>
      <c r="O111" s="181" t="n"/>
      <c r="P111" s="181" t="n"/>
      <c r="Q111" s="18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row>
    <row r="112" ht="15.75" customHeight="1" s="216">
      <c r="A112" s="1" t="n"/>
      <c r="B112" s="1" t="n"/>
      <c r="C112" s="1" t="n"/>
      <c r="D112" s="1" t="n"/>
      <c r="E112" s="181" t="n"/>
      <c r="F112" s="181" t="n"/>
      <c r="G112" s="1" t="n"/>
      <c r="H112" s="1" t="n"/>
      <c r="I112" s="1" t="n"/>
      <c r="J112" s="1" t="n"/>
      <c r="K112" s="181" t="n"/>
      <c r="L112" s="181" t="n"/>
      <c r="M112" s="181" t="n"/>
      <c r="N112" s="1" t="n"/>
      <c r="O112" s="181" t="n"/>
      <c r="P112" s="181" t="n"/>
      <c r="Q112" s="18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row>
    <row r="113" ht="15.75" customHeight="1" s="216">
      <c r="A113" s="1" t="n"/>
      <c r="B113" s="1" t="n"/>
      <c r="C113" s="1" t="n"/>
      <c r="D113" s="1" t="n"/>
      <c r="E113" s="181" t="n"/>
      <c r="F113" s="181" t="n"/>
      <c r="G113" s="1" t="n"/>
      <c r="H113" s="1" t="n"/>
      <c r="I113" s="1" t="n"/>
      <c r="J113" s="1" t="n"/>
      <c r="K113" s="181" t="n"/>
      <c r="L113" s="181" t="n"/>
      <c r="M113" s="181" t="n"/>
      <c r="N113" s="1" t="n"/>
      <c r="O113" s="181" t="n"/>
      <c r="P113" s="181" t="n"/>
      <c r="Q113" s="18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row>
    <row r="114" ht="15.75" customHeight="1" s="216">
      <c r="A114" s="1" t="n"/>
      <c r="B114" s="1" t="n"/>
      <c r="C114" s="1" t="n"/>
      <c r="D114" s="1" t="n"/>
      <c r="E114" s="181" t="n"/>
      <c r="F114" s="181" t="n"/>
      <c r="G114" s="1" t="n"/>
      <c r="H114" s="1" t="n"/>
      <c r="I114" s="1" t="n"/>
      <c r="J114" s="1" t="n"/>
      <c r="K114" s="181" t="n"/>
      <c r="L114" s="181" t="n"/>
      <c r="M114" s="181" t="n"/>
      <c r="N114" s="1" t="n"/>
      <c r="O114" s="181" t="n"/>
      <c r="P114" s="181" t="n"/>
      <c r="Q114" s="18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row>
    <row r="115" ht="15.75" customHeight="1" s="216">
      <c r="A115" s="1" t="n"/>
      <c r="B115" s="1" t="n"/>
      <c r="C115" s="1" t="n"/>
      <c r="D115" s="1" t="n"/>
      <c r="E115" s="181" t="n"/>
      <c r="F115" s="181" t="n"/>
      <c r="G115" s="1" t="n"/>
      <c r="H115" s="1" t="n"/>
      <c r="I115" s="1" t="n"/>
      <c r="J115" s="1" t="n"/>
      <c r="K115" s="181" t="n"/>
      <c r="L115" s="181" t="n"/>
      <c r="M115" s="181" t="n"/>
      <c r="N115" s="1" t="n"/>
      <c r="O115" s="181" t="n"/>
      <c r="P115" s="181" t="n"/>
      <c r="Q115" s="18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row>
    <row r="116" ht="15.75" customHeight="1" s="216">
      <c r="A116" s="1" t="n"/>
      <c r="B116" s="1" t="n"/>
      <c r="C116" s="1" t="n"/>
      <c r="D116" s="1" t="n"/>
      <c r="E116" s="181" t="n"/>
      <c r="F116" s="181" t="n"/>
      <c r="G116" s="1" t="n"/>
      <c r="H116" s="1" t="n"/>
      <c r="I116" s="1" t="n"/>
      <c r="J116" s="1" t="n"/>
      <c r="K116" s="181" t="n"/>
      <c r="L116" s="181" t="n"/>
      <c r="M116" s="181" t="n"/>
      <c r="N116" s="1" t="n"/>
      <c r="O116" s="181" t="n"/>
      <c r="P116" s="181" t="n"/>
      <c r="Q116" s="18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row>
    <row r="117" ht="15.75" customHeight="1" s="216">
      <c r="A117" s="1" t="n"/>
      <c r="B117" s="1" t="n"/>
      <c r="C117" s="1" t="n"/>
      <c r="D117" s="1" t="n"/>
      <c r="E117" s="181" t="n"/>
      <c r="F117" s="181" t="n"/>
      <c r="G117" s="1" t="n"/>
      <c r="H117" s="1" t="n"/>
      <c r="I117" s="1" t="n"/>
      <c r="J117" s="1" t="n"/>
      <c r="K117" s="181" t="n"/>
      <c r="L117" s="181" t="n"/>
      <c r="M117" s="181" t="n"/>
      <c r="N117" s="1" t="n"/>
      <c r="O117" s="181" t="n"/>
      <c r="P117" s="181" t="n"/>
      <c r="Q117" s="18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row>
    <row r="118" ht="15.75" customHeight="1" s="216">
      <c r="A118" s="1" t="n"/>
      <c r="B118" s="1" t="n"/>
      <c r="C118" s="1" t="n"/>
      <c r="D118" s="1" t="n"/>
      <c r="E118" s="181" t="n"/>
      <c r="F118" s="181" t="n"/>
      <c r="G118" s="1" t="n"/>
      <c r="H118" s="1" t="n"/>
      <c r="I118" s="1" t="n"/>
      <c r="J118" s="1" t="n"/>
      <c r="K118" s="181" t="n"/>
      <c r="L118" s="181" t="n"/>
      <c r="M118" s="181" t="n"/>
      <c r="N118" s="1" t="n"/>
      <c r="O118" s="181" t="n"/>
      <c r="P118" s="181" t="n"/>
      <c r="Q118" s="18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row>
    <row r="119" ht="15.75" customHeight="1" s="216">
      <c r="A119" s="1" t="n"/>
      <c r="B119" s="1" t="n"/>
      <c r="C119" s="1" t="n"/>
      <c r="D119" s="1" t="n"/>
      <c r="E119" s="181" t="n"/>
      <c r="F119" s="181" t="n"/>
      <c r="G119" s="1" t="n"/>
      <c r="H119" s="1" t="n"/>
      <c r="I119" s="1" t="n"/>
      <c r="J119" s="1" t="n"/>
      <c r="K119" s="181" t="n"/>
      <c r="L119" s="181" t="n"/>
      <c r="M119" s="181" t="n"/>
      <c r="N119" s="1" t="n"/>
      <c r="O119" s="181" t="n"/>
      <c r="P119" s="181" t="n"/>
      <c r="Q119" s="18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row>
    <row r="120" ht="15.75" customHeight="1" s="216">
      <c r="A120" s="1" t="n"/>
      <c r="B120" s="1" t="n"/>
      <c r="C120" s="1" t="n"/>
      <c r="D120" s="1" t="n"/>
      <c r="E120" s="181" t="n"/>
      <c r="F120" s="181" t="n"/>
      <c r="G120" s="1" t="n"/>
      <c r="H120" s="1" t="n"/>
      <c r="I120" s="1" t="n"/>
      <c r="J120" s="1" t="n"/>
      <c r="K120" s="181" t="n"/>
      <c r="L120" s="181" t="n"/>
      <c r="M120" s="181" t="n"/>
      <c r="N120" s="1" t="n"/>
      <c r="O120" s="181" t="n"/>
      <c r="P120" s="181" t="n"/>
      <c r="Q120" s="18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row>
    <row r="121" ht="15.75" customHeight="1" s="216">
      <c r="A121" s="1" t="n"/>
      <c r="B121" s="1" t="n"/>
      <c r="C121" s="1" t="n"/>
      <c r="D121" s="1" t="n"/>
      <c r="E121" s="181" t="n"/>
      <c r="F121" s="181" t="n"/>
      <c r="G121" s="1" t="n"/>
      <c r="H121" s="1" t="n"/>
      <c r="I121" s="1" t="n"/>
      <c r="J121" s="1" t="n"/>
      <c r="K121" s="181" t="n"/>
      <c r="L121" s="181" t="n"/>
      <c r="M121" s="181" t="n"/>
      <c r="N121" s="1" t="n"/>
      <c r="O121" s="181" t="n"/>
      <c r="P121" s="181" t="n"/>
      <c r="Q121" s="18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row>
    <row r="122" ht="15.75" customHeight="1" s="216">
      <c r="A122" s="1" t="n"/>
      <c r="B122" s="1" t="n"/>
      <c r="C122" s="1" t="n"/>
      <c r="D122" s="1" t="n"/>
      <c r="E122" s="181" t="n"/>
      <c r="F122" s="181" t="n"/>
      <c r="G122" s="1" t="n"/>
      <c r="H122" s="1" t="n"/>
      <c r="I122" s="1" t="n"/>
      <c r="J122" s="1" t="n"/>
      <c r="K122" s="181" t="n"/>
      <c r="L122" s="181" t="n"/>
      <c r="M122" s="181" t="n"/>
      <c r="N122" s="1" t="n"/>
      <c r="O122" s="181" t="n"/>
      <c r="P122" s="181" t="n"/>
      <c r="Q122" s="18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row>
    <row r="123" ht="15.75" customHeight="1" s="216">
      <c r="A123" s="1" t="n"/>
      <c r="B123" s="1" t="n"/>
      <c r="C123" s="1" t="n"/>
      <c r="D123" s="1" t="n"/>
      <c r="E123" s="181" t="n"/>
      <c r="F123" s="181" t="n"/>
      <c r="G123" s="1" t="n"/>
      <c r="H123" s="1" t="n"/>
      <c r="I123" s="1" t="n"/>
      <c r="J123" s="1" t="n"/>
      <c r="K123" s="181" t="n"/>
      <c r="L123" s="181" t="n"/>
      <c r="M123" s="181" t="n"/>
      <c r="N123" s="1" t="n"/>
      <c r="O123" s="181" t="n"/>
      <c r="P123" s="181" t="n"/>
      <c r="Q123" s="18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row>
    <row r="124" ht="15.75" customHeight="1" s="216">
      <c r="A124" s="1" t="n"/>
      <c r="B124" s="1" t="n"/>
      <c r="C124" s="1" t="n"/>
      <c r="D124" s="1" t="n"/>
      <c r="E124" s="181" t="n"/>
      <c r="F124" s="181" t="n"/>
      <c r="G124" s="1" t="n"/>
      <c r="H124" s="1" t="n"/>
      <c r="I124" s="1" t="n"/>
      <c r="J124" s="1" t="n"/>
      <c r="K124" s="181" t="n"/>
      <c r="L124" s="181" t="n"/>
      <c r="M124" s="181" t="n"/>
      <c r="N124" s="1" t="n"/>
      <c r="O124" s="181" t="n"/>
      <c r="P124" s="181" t="n"/>
      <c r="Q124" s="18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row>
    <row r="125" ht="15.75" customHeight="1" s="216">
      <c r="A125" s="1" t="n"/>
      <c r="B125" s="1" t="n"/>
      <c r="C125" s="1" t="n"/>
      <c r="D125" s="1" t="n"/>
      <c r="E125" s="181" t="n"/>
      <c r="F125" s="181" t="n"/>
      <c r="G125" s="1" t="n"/>
      <c r="H125" s="1" t="n"/>
      <c r="I125" s="1" t="n"/>
      <c r="J125" s="1" t="n"/>
      <c r="K125" s="181" t="n"/>
      <c r="L125" s="181" t="n"/>
      <c r="M125" s="181" t="n"/>
      <c r="N125" s="1" t="n"/>
      <c r="O125" s="181" t="n"/>
      <c r="P125" s="181" t="n"/>
      <c r="Q125" s="18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row>
    <row r="126" ht="15.75" customHeight="1" s="216">
      <c r="A126" s="1" t="n"/>
      <c r="B126" s="1" t="n"/>
      <c r="C126" s="1" t="n"/>
      <c r="D126" s="1" t="n"/>
      <c r="E126" s="181" t="n"/>
      <c r="F126" s="181" t="n"/>
      <c r="G126" s="1" t="n"/>
      <c r="H126" s="1" t="n"/>
      <c r="I126" s="1" t="n"/>
      <c r="J126" s="1" t="n"/>
      <c r="K126" s="181" t="n"/>
      <c r="L126" s="181" t="n"/>
      <c r="M126" s="181" t="n"/>
      <c r="N126" s="1" t="n"/>
      <c r="O126" s="181" t="n"/>
      <c r="P126" s="181" t="n"/>
      <c r="Q126" s="18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row>
    <row r="127" ht="15.75" customHeight="1" s="216">
      <c r="A127" s="1" t="n"/>
      <c r="B127" s="1" t="n"/>
      <c r="C127" s="1" t="n"/>
      <c r="D127" s="1" t="n"/>
      <c r="E127" s="181" t="n"/>
      <c r="F127" s="181" t="n"/>
      <c r="G127" s="1" t="n"/>
      <c r="H127" s="1" t="n"/>
      <c r="I127" s="1" t="n"/>
      <c r="J127" s="1" t="n"/>
      <c r="K127" s="181" t="n"/>
      <c r="L127" s="181" t="n"/>
      <c r="M127" s="181" t="n"/>
      <c r="N127" s="1" t="n"/>
      <c r="O127" s="181" t="n"/>
      <c r="P127" s="181" t="n"/>
      <c r="Q127" s="18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row>
    <row r="128" ht="15.75" customHeight="1" s="216">
      <c r="A128" s="1" t="n"/>
      <c r="B128" s="1" t="n"/>
      <c r="C128" s="1" t="n"/>
      <c r="D128" s="1" t="n"/>
      <c r="E128" s="181" t="n"/>
      <c r="F128" s="181" t="n"/>
      <c r="G128" s="1" t="n"/>
      <c r="H128" s="1" t="n"/>
      <c r="I128" s="1" t="n"/>
      <c r="J128" s="1" t="n"/>
      <c r="K128" s="181" t="n"/>
      <c r="L128" s="181" t="n"/>
      <c r="M128" s="181" t="n"/>
      <c r="N128" s="1" t="n"/>
      <c r="O128" s="181" t="n"/>
      <c r="P128" s="181" t="n"/>
      <c r="Q128" s="18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row>
    <row r="129" ht="15.75" customHeight="1" s="216">
      <c r="A129" s="1" t="n"/>
      <c r="B129" s="1" t="n"/>
      <c r="C129" s="1" t="n"/>
      <c r="D129" s="1" t="n"/>
      <c r="E129" s="181" t="n"/>
      <c r="F129" s="181" t="n"/>
      <c r="G129" s="1" t="n"/>
      <c r="H129" s="1" t="n"/>
      <c r="I129" s="1" t="n"/>
      <c r="J129" s="1" t="n"/>
      <c r="K129" s="181" t="n"/>
      <c r="L129" s="181" t="n"/>
      <c r="M129" s="181" t="n"/>
      <c r="N129" s="1" t="n"/>
      <c r="O129" s="181" t="n"/>
      <c r="P129" s="181" t="n"/>
      <c r="Q129" s="18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row>
    <row r="130" ht="15.75" customHeight="1" s="216">
      <c r="A130" s="1" t="n"/>
      <c r="B130" s="1" t="n"/>
      <c r="C130" s="1" t="n"/>
      <c r="D130" s="1" t="n"/>
      <c r="E130" s="181" t="n"/>
      <c r="F130" s="181" t="n"/>
      <c r="G130" s="1" t="n"/>
      <c r="H130" s="1" t="n"/>
      <c r="I130" s="1" t="n"/>
      <c r="J130" s="1" t="n"/>
      <c r="K130" s="181" t="n"/>
      <c r="L130" s="181" t="n"/>
      <c r="M130" s="181" t="n"/>
      <c r="N130" s="1" t="n"/>
      <c r="O130" s="181" t="n"/>
      <c r="P130" s="181" t="n"/>
      <c r="Q130" s="18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row>
    <row r="131" ht="15.75" customHeight="1" s="216">
      <c r="A131" s="1" t="n"/>
      <c r="B131" s="1" t="n"/>
      <c r="C131" s="1" t="n"/>
      <c r="D131" s="1" t="n"/>
      <c r="E131" s="181" t="n"/>
      <c r="F131" s="181" t="n"/>
      <c r="G131" s="1" t="n"/>
      <c r="H131" s="1" t="n"/>
      <c r="I131" s="1" t="n"/>
      <c r="J131" s="1" t="n"/>
      <c r="K131" s="181" t="n"/>
      <c r="L131" s="181" t="n"/>
      <c r="M131" s="181" t="n"/>
      <c r="N131" s="1" t="n"/>
      <c r="O131" s="181" t="n"/>
      <c r="P131" s="181" t="n"/>
      <c r="Q131" s="18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row>
    <row r="132" ht="15.75" customHeight="1" s="216">
      <c r="A132" s="1" t="n"/>
      <c r="B132" s="1" t="n"/>
      <c r="C132" s="1" t="n"/>
      <c r="D132" s="1" t="n"/>
      <c r="E132" s="181" t="n"/>
      <c r="F132" s="181" t="n"/>
      <c r="G132" s="1" t="n"/>
      <c r="H132" s="1" t="n"/>
      <c r="I132" s="1" t="n"/>
      <c r="J132" s="1" t="n"/>
      <c r="K132" s="181" t="n"/>
      <c r="L132" s="181" t="n"/>
      <c r="M132" s="181" t="n"/>
      <c r="N132" s="1" t="n"/>
      <c r="O132" s="181" t="n"/>
      <c r="P132" s="181" t="n"/>
      <c r="Q132" s="18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row>
    <row r="133" ht="15.75" customHeight="1" s="216">
      <c r="A133" s="1" t="n"/>
      <c r="B133" s="1" t="n"/>
      <c r="C133" s="1" t="n"/>
      <c r="D133" s="1" t="n"/>
      <c r="E133" s="181" t="n"/>
      <c r="F133" s="181" t="n"/>
      <c r="G133" s="1" t="n"/>
      <c r="H133" s="1" t="n"/>
      <c r="I133" s="1" t="n"/>
      <c r="J133" s="1" t="n"/>
      <c r="K133" s="181" t="n"/>
      <c r="L133" s="181" t="n"/>
      <c r="M133" s="181" t="n"/>
      <c r="N133" s="1" t="n"/>
      <c r="O133" s="181" t="n"/>
      <c r="P133" s="181" t="n"/>
      <c r="Q133" s="18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row>
    <row r="134" ht="15.75" customHeight="1" s="216">
      <c r="A134" s="1" t="n"/>
      <c r="B134" s="1" t="n"/>
      <c r="C134" s="1" t="n"/>
      <c r="D134" s="1" t="n"/>
      <c r="E134" s="181" t="n"/>
      <c r="F134" s="181" t="n"/>
      <c r="G134" s="1" t="n"/>
      <c r="H134" s="1" t="n"/>
      <c r="I134" s="1" t="n"/>
      <c r="J134" s="1" t="n"/>
      <c r="K134" s="181" t="n"/>
      <c r="L134" s="181" t="n"/>
      <c r="M134" s="181" t="n"/>
      <c r="N134" s="1" t="n"/>
      <c r="O134" s="181" t="n"/>
      <c r="P134" s="181" t="n"/>
      <c r="Q134" s="18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row>
    <row r="135" ht="15.75" customHeight="1" s="216">
      <c r="A135" s="1" t="n"/>
      <c r="B135" s="1" t="n"/>
      <c r="C135" s="1" t="n"/>
      <c r="D135" s="1" t="n"/>
      <c r="E135" s="181" t="n"/>
      <c r="F135" s="181" t="n"/>
      <c r="G135" s="1" t="n"/>
      <c r="H135" s="1" t="n"/>
      <c r="I135" s="1" t="n"/>
      <c r="J135" s="1" t="n"/>
      <c r="K135" s="181" t="n"/>
      <c r="L135" s="181" t="n"/>
      <c r="M135" s="181" t="n"/>
      <c r="N135" s="1" t="n"/>
      <c r="O135" s="181" t="n"/>
      <c r="P135" s="181" t="n"/>
      <c r="Q135" s="18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row>
    <row r="136" ht="15.75" customHeight="1" s="216">
      <c r="A136" s="1" t="n"/>
      <c r="B136" s="1" t="n"/>
      <c r="C136" s="1" t="n"/>
      <c r="D136" s="1" t="n"/>
      <c r="E136" s="181" t="n"/>
      <c r="F136" s="181" t="n"/>
      <c r="G136" s="1" t="n"/>
      <c r="H136" s="1" t="n"/>
      <c r="I136" s="1" t="n"/>
      <c r="J136" s="1" t="n"/>
      <c r="K136" s="181" t="n"/>
      <c r="L136" s="181" t="n"/>
      <c r="M136" s="181" t="n"/>
      <c r="N136" s="1" t="n"/>
      <c r="O136" s="181" t="n"/>
      <c r="P136" s="181" t="n"/>
      <c r="Q136" s="18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row>
    <row r="137" ht="15.75" customHeight="1" s="216">
      <c r="A137" s="1" t="n"/>
      <c r="B137" s="1" t="n"/>
      <c r="C137" s="1" t="n"/>
      <c r="D137" s="1" t="n"/>
      <c r="E137" s="181" t="n"/>
      <c r="F137" s="181" t="n"/>
      <c r="G137" s="1" t="n"/>
      <c r="H137" s="1" t="n"/>
      <c r="I137" s="1" t="n"/>
      <c r="J137" s="1" t="n"/>
      <c r="K137" s="181" t="n"/>
      <c r="L137" s="181" t="n"/>
      <c r="M137" s="181" t="n"/>
      <c r="N137" s="1" t="n"/>
      <c r="O137" s="181" t="n"/>
      <c r="P137" s="181" t="n"/>
      <c r="Q137" s="18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row>
    <row r="138" ht="15.75" customHeight="1" s="216">
      <c r="A138" s="1" t="n"/>
      <c r="B138" s="1" t="n"/>
      <c r="C138" s="1" t="n"/>
      <c r="D138" s="1" t="n"/>
      <c r="E138" s="181" t="n"/>
      <c r="F138" s="181" t="n"/>
      <c r="G138" s="1" t="n"/>
      <c r="H138" s="1" t="n"/>
      <c r="I138" s="1" t="n"/>
      <c r="J138" s="1" t="n"/>
      <c r="K138" s="181" t="n"/>
      <c r="L138" s="181" t="n"/>
      <c r="M138" s="181" t="n"/>
      <c r="N138" s="1" t="n"/>
      <c r="O138" s="181" t="n"/>
      <c r="P138" s="181" t="n"/>
      <c r="Q138" s="18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row>
    <row r="139" ht="15.75" customHeight="1" s="216">
      <c r="A139" s="1" t="n"/>
      <c r="B139" s="1" t="n"/>
      <c r="C139" s="1" t="n"/>
      <c r="D139" s="1" t="n"/>
      <c r="E139" s="181" t="n"/>
      <c r="F139" s="181" t="n"/>
      <c r="G139" s="1" t="n"/>
      <c r="H139" s="1" t="n"/>
      <c r="I139" s="1" t="n"/>
      <c r="J139" s="1" t="n"/>
      <c r="K139" s="181" t="n"/>
      <c r="L139" s="181" t="n"/>
      <c r="M139" s="181" t="n"/>
      <c r="N139" s="1" t="n"/>
      <c r="O139" s="181" t="n"/>
      <c r="P139" s="181" t="n"/>
      <c r="Q139" s="18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row>
    <row r="140" ht="15.75" customHeight="1" s="216">
      <c r="A140" s="1" t="n"/>
      <c r="B140" s="1" t="n"/>
      <c r="C140" s="1" t="n"/>
      <c r="D140" s="1" t="n"/>
      <c r="E140" s="181" t="n"/>
      <c r="F140" s="181" t="n"/>
      <c r="G140" s="1" t="n"/>
      <c r="H140" s="1" t="n"/>
      <c r="I140" s="1" t="n"/>
      <c r="J140" s="1" t="n"/>
      <c r="K140" s="181" t="n"/>
      <c r="L140" s="181" t="n"/>
      <c r="M140" s="181" t="n"/>
      <c r="N140" s="1" t="n"/>
      <c r="O140" s="181" t="n"/>
      <c r="P140" s="181" t="n"/>
      <c r="Q140" s="18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row>
    <row r="141" ht="15.75" customHeight="1" s="216">
      <c r="A141" s="1" t="n"/>
      <c r="B141" s="1" t="n"/>
      <c r="C141" s="1" t="n"/>
      <c r="D141" s="1" t="n"/>
      <c r="E141" s="181" t="n"/>
      <c r="F141" s="181" t="n"/>
      <c r="G141" s="1" t="n"/>
      <c r="H141" s="1" t="n"/>
      <c r="I141" s="1" t="n"/>
      <c r="J141" s="1" t="n"/>
      <c r="K141" s="181" t="n"/>
      <c r="L141" s="181" t="n"/>
      <c r="M141" s="181" t="n"/>
      <c r="N141" s="1" t="n"/>
      <c r="O141" s="181" t="n"/>
      <c r="P141" s="181" t="n"/>
      <c r="Q141" s="18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row>
    <row r="142" ht="15.75" customHeight="1" s="216">
      <c r="A142" s="1" t="n"/>
      <c r="B142" s="1" t="n"/>
      <c r="C142" s="1" t="n"/>
      <c r="D142" s="1" t="n"/>
      <c r="E142" s="181" t="n"/>
      <c r="F142" s="181" t="n"/>
      <c r="G142" s="1" t="n"/>
      <c r="H142" s="1" t="n"/>
      <c r="I142" s="1" t="n"/>
      <c r="J142" s="1" t="n"/>
      <c r="K142" s="181" t="n"/>
      <c r="L142" s="181" t="n"/>
      <c r="M142" s="181" t="n"/>
      <c r="N142" s="1" t="n"/>
      <c r="O142" s="181" t="n"/>
      <c r="P142" s="181" t="n"/>
      <c r="Q142" s="18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row>
    <row r="143" ht="15.75" customHeight="1" s="216">
      <c r="A143" s="1" t="n"/>
      <c r="B143" s="1" t="n"/>
      <c r="C143" s="1" t="n"/>
      <c r="D143" s="1" t="n"/>
      <c r="E143" s="181" t="n"/>
      <c r="F143" s="181" t="n"/>
      <c r="G143" s="1" t="n"/>
      <c r="H143" s="1" t="n"/>
      <c r="I143" s="1" t="n"/>
      <c r="J143" s="1" t="n"/>
      <c r="K143" s="181" t="n"/>
      <c r="L143" s="181" t="n"/>
      <c r="M143" s="181" t="n"/>
      <c r="N143" s="1" t="n"/>
      <c r="O143" s="181" t="n"/>
      <c r="P143" s="181" t="n"/>
      <c r="Q143" s="18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row>
    <row r="144" ht="15.75" customHeight="1" s="216">
      <c r="A144" s="1" t="n"/>
      <c r="B144" s="1" t="n"/>
      <c r="C144" s="1" t="n"/>
      <c r="D144" s="1" t="n"/>
      <c r="E144" s="181" t="n"/>
      <c r="F144" s="181" t="n"/>
      <c r="G144" s="1" t="n"/>
      <c r="H144" s="1" t="n"/>
      <c r="I144" s="1" t="n"/>
      <c r="J144" s="1" t="n"/>
      <c r="K144" s="181" t="n"/>
      <c r="L144" s="181" t="n"/>
      <c r="M144" s="181" t="n"/>
      <c r="N144" s="1" t="n"/>
      <c r="O144" s="181" t="n"/>
      <c r="P144" s="181" t="n"/>
      <c r="Q144" s="18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row>
    <row r="145" ht="15.75" customHeight="1" s="216">
      <c r="A145" s="1" t="n"/>
      <c r="B145" s="1" t="n"/>
      <c r="C145" s="1" t="n"/>
      <c r="D145" s="1" t="n"/>
      <c r="E145" s="181" t="n"/>
      <c r="F145" s="181" t="n"/>
      <c r="G145" s="1" t="n"/>
      <c r="H145" s="1" t="n"/>
      <c r="I145" s="1" t="n"/>
      <c r="J145" s="1" t="n"/>
      <c r="K145" s="181" t="n"/>
      <c r="L145" s="181" t="n"/>
      <c r="M145" s="181" t="n"/>
      <c r="N145" s="1" t="n"/>
      <c r="O145" s="181" t="n"/>
      <c r="P145" s="181" t="n"/>
      <c r="Q145" s="18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row>
    <row r="146" ht="15.75" customHeight="1" s="216">
      <c r="A146" s="1" t="n"/>
      <c r="B146" s="1" t="n"/>
      <c r="C146" s="1" t="n"/>
      <c r="D146" s="1" t="n"/>
      <c r="E146" s="181" t="n"/>
      <c r="F146" s="181" t="n"/>
      <c r="G146" s="1" t="n"/>
      <c r="H146" s="1" t="n"/>
      <c r="I146" s="1" t="n"/>
      <c r="J146" s="1" t="n"/>
      <c r="K146" s="181" t="n"/>
      <c r="L146" s="181" t="n"/>
      <c r="M146" s="181" t="n"/>
      <c r="N146" s="1" t="n"/>
      <c r="O146" s="181" t="n"/>
      <c r="P146" s="181" t="n"/>
      <c r="Q146" s="18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row>
    <row r="147" ht="15.75" customHeight="1" s="216">
      <c r="A147" s="1" t="n"/>
      <c r="B147" s="1" t="n"/>
      <c r="C147" s="1" t="n"/>
      <c r="D147" s="1" t="n"/>
      <c r="E147" s="181" t="n"/>
      <c r="F147" s="181" t="n"/>
      <c r="G147" s="1" t="n"/>
      <c r="H147" s="1" t="n"/>
      <c r="I147" s="1" t="n"/>
      <c r="J147" s="1" t="n"/>
      <c r="K147" s="181" t="n"/>
      <c r="L147" s="181" t="n"/>
      <c r="M147" s="181" t="n"/>
      <c r="N147" s="1" t="n"/>
      <c r="O147" s="181" t="n"/>
      <c r="P147" s="181" t="n"/>
      <c r="Q147" s="18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row>
    <row r="148" ht="15.75" customHeight="1" s="216">
      <c r="A148" s="1" t="n"/>
      <c r="B148" s="1" t="n"/>
      <c r="C148" s="1" t="n"/>
      <c r="D148" s="1" t="n"/>
      <c r="E148" s="181" t="n"/>
      <c r="F148" s="181" t="n"/>
      <c r="G148" s="1" t="n"/>
      <c r="H148" s="1" t="n"/>
      <c r="I148" s="1" t="n"/>
      <c r="J148" s="1" t="n"/>
      <c r="K148" s="181" t="n"/>
      <c r="L148" s="181" t="n"/>
      <c r="M148" s="181" t="n"/>
      <c r="N148" s="1" t="n"/>
      <c r="O148" s="181" t="n"/>
      <c r="P148" s="181" t="n"/>
      <c r="Q148" s="18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row>
    <row r="149" ht="15.75" customHeight="1" s="216">
      <c r="A149" s="1" t="n"/>
      <c r="B149" s="1" t="n"/>
      <c r="C149" s="1" t="n"/>
      <c r="D149" s="1" t="n"/>
      <c r="E149" s="181" t="n"/>
      <c r="F149" s="181" t="n"/>
      <c r="G149" s="1" t="n"/>
      <c r="H149" s="1" t="n"/>
      <c r="I149" s="1" t="n"/>
      <c r="J149" s="1" t="n"/>
      <c r="K149" s="181" t="n"/>
      <c r="L149" s="181" t="n"/>
      <c r="M149" s="181" t="n"/>
      <c r="N149" s="1" t="n"/>
      <c r="O149" s="181" t="n"/>
      <c r="P149" s="181" t="n"/>
      <c r="Q149" s="18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row>
    <row r="150" ht="15.75" customHeight="1" s="216">
      <c r="A150" s="1" t="n"/>
      <c r="B150" s="1" t="n"/>
      <c r="C150" s="1" t="n"/>
      <c r="D150" s="1" t="n"/>
      <c r="E150" s="181" t="n"/>
      <c r="F150" s="181" t="n"/>
      <c r="G150" s="1" t="n"/>
      <c r="H150" s="1" t="n"/>
      <c r="I150" s="1" t="n"/>
      <c r="J150" s="1" t="n"/>
      <c r="K150" s="181" t="n"/>
      <c r="L150" s="181" t="n"/>
      <c r="M150" s="181" t="n"/>
      <c r="N150" s="1" t="n"/>
      <c r="O150" s="181" t="n"/>
      <c r="P150" s="181" t="n"/>
      <c r="Q150" s="18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row>
    <row r="151" ht="15.75" customHeight="1" s="216">
      <c r="A151" s="1" t="n"/>
      <c r="B151" s="1" t="n"/>
      <c r="C151" s="1" t="n"/>
      <c r="D151" s="1" t="n"/>
      <c r="E151" s="181" t="n"/>
      <c r="F151" s="181" t="n"/>
      <c r="G151" s="1" t="n"/>
      <c r="H151" s="1" t="n"/>
      <c r="I151" s="1" t="n"/>
      <c r="J151" s="1" t="n"/>
      <c r="K151" s="181" t="n"/>
      <c r="L151" s="181" t="n"/>
      <c r="M151" s="181" t="n"/>
      <c r="N151" s="1" t="n"/>
      <c r="O151" s="181" t="n"/>
      <c r="P151" s="181" t="n"/>
      <c r="Q151" s="18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row>
    <row r="152" ht="15.75" customHeight="1" s="216">
      <c r="A152" s="1" t="n"/>
      <c r="B152" s="1" t="n"/>
      <c r="C152" s="1" t="n"/>
      <c r="D152" s="1" t="n"/>
      <c r="E152" s="181" t="n"/>
      <c r="F152" s="181" t="n"/>
      <c r="G152" s="1" t="n"/>
      <c r="H152" s="1" t="n"/>
      <c r="I152" s="1" t="n"/>
      <c r="J152" s="1" t="n"/>
      <c r="K152" s="181" t="n"/>
      <c r="L152" s="181" t="n"/>
      <c r="M152" s="181" t="n"/>
      <c r="N152" s="1" t="n"/>
      <c r="O152" s="181" t="n"/>
      <c r="P152" s="181" t="n"/>
      <c r="Q152" s="18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row>
    <row r="153" ht="15.75" customHeight="1" s="216">
      <c r="A153" s="1" t="n"/>
      <c r="B153" s="1" t="n"/>
      <c r="C153" s="1" t="n"/>
      <c r="D153" s="1" t="n"/>
      <c r="E153" s="181" t="n"/>
      <c r="F153" s="181" t="n"/>
      <c r="G153" s="1" t="n"/>
      <c r="H153" s="1" t="n"/>
      <c r="I153" s="1" t="n"/>
      <c r="J153" s="1" t="n"/>
      <c r="K153" s="181" t="n"/>
      <c r="L153" s="181" t="n"/>
      <c r="M153" s="181" t="n"/>
      <c r="N153" s="1" t="n"/>
      <c r="O153" s="181" t="n"/>
      <c r="P153" s="181" t="n"/>
      <c r="Q153" s="18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row>
    <row r="154" ht="15.75" customHeight="1" s="216">
      <c r="A154" s="1" t="n"/>
      <c r="B154" s="1" t="n"/>
      <c r="C154" s="1" t="n"/>
      <c r="D154" s="1" t="n"/>
      <c r="E154" s="181" t="n"/>
      <c r="F154" s="181" t="n"/>
      <c r="G154" s="1" t="n"/>
      <c r="H154" s="1" t="n"/>
      <c r="I154" s="1" t="n"/>
      <c r="J154" s="1" t="n"/>
      <c r="K154" s="181" t="n"/>
      <c r="L154" s="181" t="n"/>
      <c r="M154" s="181" t="n"/>
      <c r="N154" s="1" t="n"/>
      <c r="O154" s="181" t="n"/>
      <c r="P154" s="181" t="n"/>
      <c r="Q154" s="18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row>
    <row r="155" ht="15.75" customHeight="1" s="216">
      <c r="A155" s="1" t="n"/>
      <c r="B155" s="1" t="n"/>
      <c r="C155" s="1" t="n"/>
      <c r="D155" s="1" t="n"/>
      <c r="E155" s="181" t="n"/>
      <c r="F155" s="181" t="n"/>
      <c r="G155" s="1" t="n"/>
      <c r="H155" s="1" t="n"/>
      <c r="I155" s="1" t="n"/>
      <c r="J155" s="1" t="n"/>
      <c r="K155" s="181" t="n"/>
      <c r="L155" s="181" t="n"/>
      <c r="M155" s="181" t="n"/>
      <c r="N155" s="1" t="n"/>
      <c r="O155" s="181" t="n"/>
      <c r="P155" s="181" t="n"/>
      <c r="Q155" s="18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row>
    <row r="156" ht="15.75" customHeight="1" s="216">
      <c r="A156" s="1" t="n"/>
      <c r="B156" s="1" t="n"/>
      <c r="C156" s="1" t="n"/>
      <c r="D156" s="1" t="n"/>
      <c r="E156" s="181" t="n"/>
      <c r="F156" s="181" t="n"/>
      <c r="G156" s="1" t="n"/>
      <c r="H156" s="1" t="n"/>
      <c r="I156" s="1" t="n"/>
      <c r="J156" s="1" t="n"/>
      <c r="K156" s="181" t="n"/>
      <c r="L156" s="181" t="n"/>
      <c r="M156" s="181" t="n"/>
      <c r="N156" s="1" t="n"/>
      <c r="O156" s="181" t="n"/>
      <c r="P156" s="181" t="n"/>
      <c r="Q156" s="18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row>
    <row r="157" ht="15.75" customHeight="1" s="216">
      <c r="A157" s="1" t="n"/>
      <c r="B157" s="1" t="n"/>
      <c r="C157" s="1" t="n"/>
      <c r="D157" s="1" t="n"/>
      <c r="E157" s="181" t="n"/>
      <c r="F157" s="181" t="n"/>
      <c r="G157" s="1" t="n"/>
      <c r="H157" s="1" t="n"/>
      <c r="I157" s="1" t="n"/>
      <c r="J157" s="1" t="n"/>
      <c r="K157" s="181" t="n"/>
      <c r="L157" s="181" t="n"/>
      <c r="M157" s="181" t="n"/>
      <c r="N157" s="1" t="n"/>
      <c r="O157" s="181" t="n"/>
      <c r="P157" s="181" t="n"/>
      <c r="Q157" s="18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row>
    <row r="158" ht="15.75" customHeight="1" s="216">
      <c r="A158" s="1" t="n"/>
      <c r="B158" s="1" t="n"/>
      <c r="C158" s="1" t="n"/>
      <c r="D158" s="1" t="n"/>
      <c r="E158" s="181" t="n"/>
      <c r="F158" s="181" t="n"/>
      <c r="G158" s="1" t="n"/>
      <c r="H158" s="1" t="n"/>
      <c r="I158" s="1" t="n"/>
      <c r="J158" s="1" t="n"/>
      <c r="K158" s="181" t="n"/>
      <c r="L158" s="181" t="n"/>
      <c r="M158" s="181" t="n"/>
      <c r="N158" s="1" t="n"/>
      <c r="O158" s="181" t="n"/>
      <c r="P158" s="181" t="n"/>
      <c r="Q158" s="18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row>
    <row r="159" ht="15.75" customHeight="1" s="216">
      <c r="A159" s="1" t="n"/>
      <c r="B159" s="1" t="n"/>
      <c r="C159" s="1" t="n"/>
      <c r="D159" s="1" t="n"/>
      <c r="E159" s="181" t="n"/>
      <c r="F159" s="181" t="n"/>
      <c r="G159" s="1" t="n"/>
      <c r="H159" s="1" t="n"/>
      <c r="I159" s="1" t="n"/>
      <c r="J159" s="1" t="n"/>
      <c r="K159" s="181" t="n"/>
      <c r="L159" s="181" t="n"/>
      <c r="M159" s="181" t="n"/>
      <c r="N159" s="1" t="n"/>
      <c r="O159" s="181" t="n"/>
      <c r="P159" s="181" t="n"/>
      <c r="Q159" s="18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row>
    <row r="160" ht="15.75" customHeight="1" s="216">
      <c r="A160" s="1" t="n"/>
      <c r="B160" s="1" t="n"/>
      <c r="C160" s="1" t="n"/>
      <c r="D160" s="1" t="n"/>
      <c r="E160" s="181" t="n"/>
      <c r="F160" s="181" t="n"/>
      <c r="G160" s="1" t="n"/>
      <c r="H160" s="1" t="n"/>
      <c r="I160" s="1" t="n"/>
      <c r="J160" s="1" t="n"/>
      <c r="K160" s="181" t="n"/>
      <c r="L160" s="181" t="n"/>
      <c r="M160" s="181" t="n"/>
      <c r="N160" s="1" t="n"/>
      <c r="O160" s="181" t="n"/>
      <c r="P160" s="181" t="n"/>
      <c r="Q160" s="18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row>
    <row r="161" ht="15.75" customHeight="1" s="216">
      <c r="A161" s="1" t="n"/>
      <c r="B161" s="1" t="n"/>
      <c r="C161" s="1" t="n"/>
      <c r="D161" s="1" t="n"/>
      <c r="E161" s="181" t="n"/>
      <c r="F161" s="181" t="n"/>
      <c r="G161" s="1" t="n"/>
      <c r="H161" s="1" t="n"/>
      <c r="I161" s="1" t="n"/>
      <c r="J161" s="1" t="n"/>
      <c r="K161" s="181" t="n"/>
      <c r="L161" s="181" t="n"/>
      <c r="M161" s="181" t="n"/>
      <c r="N161" s="1" t="n"/>
      <c r="O161" s="181" t="n"/>
      <c r="P161" s="181" t="n"/>
      <c r="Q161" s="18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row>
    <row r="162" ht="15.75" customHeight="1" s="216">
      <c r="A162" s="1" t="n"/>
      <c r="B162" s="1" t="n"/>
      <c r="C162" s="1" t="n"/>
      <c r="D162" s="1" t="n"/>
      <c r="E162" s="181" t="n"/>
      <c r="F162" s="181" t="n"/>
      <c r="G162" s="1" t="n"/>
      <c r="H162" s="1" t="n"/>
      <c r="I162" s="1" t="n"/>
      <c r="J162" s="1" t="n"/>
      <c r="K162" s="181" t="n"/>
      <c r="L162" s="181" t="n"/>
      <c r="M162" s="181" t="n"/>
      <c r="N162" s="1" t="n"/>
      <c r="O162" s="181" t="n"/>
      <c r="P162" s="181" t="n"/>
      <c r="Q162" s="18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row>
    <row r="163" ht="15.75" customHeight="1" s="216">
      <c r="A163" s="1" t="n"/>
      <c r="B163" s="1" t="n"/>
      <c r="C163" s="1" t="n"/>
      <c r="D163" s="1" t="n"/>
      <c r="E163" s="181" t="n"/>
      <c r="F163" s="181" t="n"/>
      <c r="G163" s="1" t="n"/>
      <c r="H163" s="1" t="n"/>
      <c r="I163" s="1" t="n"/>
      <c r="J163" s="1" t="n"/>
      <c r="K163" s="181" t="n"/>
      <c r="L163" s="181" t="n"/>
      <c r="M163" s="181" t="n"/>
      <c r="N163" s="1" t="n"/>
      <c r="O163" s="181" t="n"/>
      <c r="P163" s="181" t="n"/>
      <c r="Q163" s="18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row>
    <row r="164" ht="15.75" customHeight="1" s="216">
      <c r="A164" s="1" t="n"/>
      <c r="B164" s="1" t="n"/>
      <c r="C164" s="1" t="n"/>
      <c r="D164" s="1" t="n"/>
      <c r="E164" s="181" t="n"/>
      <c r="F164" s="181" t="n"/>
      <c r="G164" s="1" t="n"/>
      <c r="H164" s="1" t="n"/>
      <c r="I164" s="1" t="n"/>
      <c r="J164" s="1" t="n"/>
      <c r="K164" s="181" t="n"/>
      <c r="L164" s="181" t="n"/>
      <c r="M164" s="181" t="n"/>
      <c r="N164" s="1" t="n"/>
      <c r="O164" s="181" t="n"/>
      <c r="P164" s="181" t="n"/>
      <c r="Q164" s="18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row>
    <row r="165" ht="15.75" customHeight="1" s="216">
      <c r="A165" s="1" t="n"/>
      <c r="B165" s="1" t="n"/>
      <c r="C165" s="1" t="n"/>
      <c r="D165" s="1" t="n"/>
      <c r="E165" s="181" t="n"/>
      <c r="F165" s="181" t="n"/>
      <c r="G165" s="1" t="n"/>
      <c r="H165" s="1" t="n"/>
      <c r="I165" s="1" t="n"/>
      <c r="J165" s="1" t="n"/>
      <c r="K165" s="181" t="n"/>
      <c r="L165" s="181" t="n"/>
      <c r="M165" s="181" t="n"/>
      <c r="N165" s="1" t="n"/>
      <c r="O165" s="181" t="n"/>
      <c r="P165" s="181" t="n"/>
      <c r="Q165" s="18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row>
    <row r="166" ht="15.75" customHeight="1" s="216">
      <c r="A166" s="1" t="n"/>
      <c r="B166" s="1" t="n"/>
      <c r="C166" s="1" t="n"/>
      <c r="D166" s="1" t="n"/>
      <c r="E166" s="181" t="n"/>
      <c r="F166" s="181" t="n"/>
      <c r="G166" s="1" t="n"/>
      <c r="H166" s="1" t="n"/>
      <c r="I166" s="1" t="n"/>
      <c r="J166" s="1" t="n"/>
      <c r="K166" s="181" t="n"/>
      <c r="L166" s="181" t="n"/>
      <c r="M166" s="181" t="n"/>
      <c r="N166" s="1" t="n"/>
      <c r="O166" s="181" t="n"/>
      <c r="P166" s="181" t="n"/>
      <c r="Q166" s="18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row>
    <row r="167" ht="15.75" customHeight="1" s="216">
      <c r="A167" s="1" t="n"/>
      <c r="B167" s="1" t="n"/>
      <c r="C167" s="1" t="n"/>
      <c r="D167" s="1" t="n"/>
      <c r="E167" s="181" t="n"/>
      <c r="F167" s="181" t="n"/>
      <c r="G167" s="1" t="n"/>
      <c r="H167" s="1" t="n"/>
      <c r="I167" s="1" t="n"/>
      <c r="J167" s="1" t="n"/>
      <c r="K167" s="181" t="n"/>
      <c r="L167" s="181" t="n"/>
      <c r="M167" s="181" t="n"/>
      <c r="N167" s="1" t="n"/>
      <c r="O167" s="181" t="n"/>
      <c r="P167" s="181" t="n"/>
      <c r="Q167" s="18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row>
    <row r="168" ht="15.75" customHeight="1" s="216">
      <c r="A168" s="1" t="n"/>
      <c r="B168" s="1" t="n"/>
      <c r="C168" s="1" t="n"/>
      <c r="D168" s="1" t="n"/>
      <c r="E168" s="181" t="n"/>
      <c r="F168" s="181" t="n"/>
      <c r="G168" s="1" t="n"/>
      <c r="H168" s="1" t="n"/>
      <c r="I168" s="1" t="n"/>
      <c r="J168" s="1" t="n"/>
      <c r="K168" s="181" t="n"/>
      <c r="L168" s="181" t="n"/>
      <c r="M168" s="181" t="n"/>
      <c r="N168" s="1" t="n"/>
      <c r="O168" s="181" t="n"/>
      <c r="P168" s="181" t="n"/>
      <c r="Q168" s="18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row>
    <row r="169" ht="15.75" customHeight="1" s="216">
      <c r="A169" s="1" t="n"/>
      <c r="B169" s="1" t="n"/>
      <c r="C169" s="1" t="n"/>
      <c r="D169" s="1" t="n"/>
      <c r="E169" s="181" t="n"/>
      <c r="F169" s="181" t="n"/>
      <c r="G169" s="1" t="n"/>
      <c r="H169" s="1" t="n"/>
      <c r="I169" s="1" t="n"/>
      <c r="J169" s="1" t="n"/>
      <c r="K169" s="181" t="n"/>
      <c r="L169" s="181" t="n"/>
      <c r="M169" s="181" t="n"/>
      <c r="N169" s="1" t="n"/>
      <c r="O169" s="181" t="n"/>
      <c r="P169" s="181" t="n"/>
      <c r="Q169" s="18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row>
    <row r="170" ht="15.75" customHeight="1" s="216">
      <c r="A170" s="1" t="n"/>
      <c r="B170" s="1" t="n"/>
      <c r="C170" s="1" t="n"/>
      <c r="D170" s="1" t="n"/>
      <c r="E170" s="181" t="n"/>
      <c r="F170" s="181" t="n"/>
      <c r="G170" s="1" t="n"/>
      <c r="H170" s="1" t="n"/>
      <c r="I170" s="1" t="n"/>
      <c r="J170" s="1" t="n"/>
      <c r="K170" s="181" t="n"/>
      <c r="L170" s="181" t="n"/>
      <c r="M170" s="181" t="n"/>
      <c r="N170" s="1" t="n"/>
      <c r="O170" s="181" t="n"/>
      <c r="P170" s="181" t="n"/>
      <c r="Q170" s="18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row>
    <row r="171" ht="15.75" customHeight="1" s="216">
      <c r="A171" s="1" t="n"/>
      <c r="B171" s="1" t="n"/>
      <c r="C171" s="1" t="n"/>
      <c r="D171" s="1" t="n"/>
      <c r="E171" s="181" t="n"/>
      <c r="F171" s="181" t="n"/>
      <c r="G171" s="1" t="n"/>
      <c r="H171" s="1" t="n"/>
      <c r="I171" s="1" t="n"/>
      <c r="J171" s="1" t="n"/>
      <c r="K171" s="181" t="n"/>
      <c r="L171" s="181" t="n"/>
      <c r="M171" s="181" t="n"/>
      <c r="N171" s="1" t="n"/>
      <c r="O171" s="181" t="n"/>
      <c r="P171" s="181" t="n"/>
      <c r="Q171" s="18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row>
    <row r="172" ht="15.75" customHeight="1" s="216">
      <c r="A172" s="1" t="n"/>
      <c r="B172" s="1" t="n"/>
      <c r="C172" s="1" t="n"/>
      <c r="D172" s="1" t="n"/>
      <c r="E172" s="181" t="n"/>
      <c r="F172" s="181" t="n"/>
      <c r="G172" s="1" t="n"/>
      <c r="H172" s="1" t="n"/>
      <c r="I172" s="1" t="n"/>
      <c r="J172" s="1" t="n"/>
      <c r="K172" s="181" t="n"/>
      <c r="L172" s="181" t="n"/>
      <c r="M172" s="181" t="n"/>
      <c r="N172" s="1" t="n"/>
      <c r="O172" s="181" t="n"/>
      <c r="P172" s="181" t="n"/>
      <c r="Q172" s="18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row>
    <row r="173" ht="15.75" customHeight="1" s="216">
      <c r="A173" s="1" t="n"/>
      <c r="B173" s="1" t="n"/>
      <c r="C173" s="1" t="n"/>
      <c r="D173" s="1" t="n"/>
      <c r="E173" s="181" t="n"/>
      <c r="F173" s="181" t="n"/>
      <c r="G173" s="1" t="n"/>
      <c r="H173" s="1" t="n"/>
      <c r="I173" s="1" t="n"/>
      <c r="J173" s="1" t="n"/>
      <c r="K173" s="181" t="n"/>
      <c r="L173" s="181" t="n"/>
      <c r="M173" s="181" t="n"/>
      <c r="N173" s="1" t="n"/>
      <c r="O173" s="181" t="n"/>
      <c r="P173" s="181" t="n"/>
      <c r="Q173" s="18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row>
    <row r="174" ht="15.75" customHeight="1" s="216">
      <c r="A174" s="1" t="n"/>
      <c r="B174" s="1" t="n"/>
      <c r="C174" s="1" t="n"/>
      <c r="D174" s="1" t="n"/>
      <c r="E174" s="181" t="n"/>
      <c r="F174" s="181" t="n"/>
      <c r="G174" s="1" t="n"/>
      <c r="H174" s="1" t="n"/>
      <c r="I174" s="1" t="n"/>
      <c r="J174" s="1" t="n"/>
      <c r="K174" s="181" t="n"/>
      <c r="L174" s="181" t="n"/>
      <c r="M174" s="181" t="n"/>
      <c r="N174" s="1" t="n"/>
      <c r="O174" s="181" t="n"/>
      <c r="P174" s="181" t="n"/>
      <c r="Q174" s="18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row>
    <row r="175" ht="15.75" customHeight="1" s="216">
      <c r="A175" s="1" t="n"/>
      <c r="B175" s="1" t="n"/>
      <c r="C175" s="1" t="n"/>
      <c r="D175" s="1" t="n"/>
      <c r="E175" s="181" t="n"/>
      <c r="F175" s="181" t="n"/>
      <c r="G175" s="1" t="n"/>
      <c r="H175" s="1" t="n"/>
      <c r="I175" s="1" t="n"/>
      <c r="J175" s="1" t="n"/>
      <c r="K175" s="181" t="n"/>
      <c r="L175" s="181" t="n"/>
      <c r="M175" s="181" t="n"/>
      <c r="N175" s="1" t="n"/>
      <c r="O175" s="181" t="n"/>
      <c r="P175" s="181" t="n"/>
      <c r="Q175" s="18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row>
    <row r="176" ht="15.75" customHeight="1" s="216">
      <c r="A176" s="1" t="n"/>
      <c r="B176" s="1" t="n"/>
      <c r="C176" s="1" t="n"/>
      <c r="D176" s="1" t="n"/>
      <c r="E176" s="181" t="n"/>
      <c r="F176" s="181" t="n"/>
      <c r="G176" s="1" t="n"/>
      <c r="H176" s="1" t="n"/>
      <c r="I176" s="1" t="n"/>
      <c r="J176" s="1" t="n"/>
      <c r="K176" s="181" t="n"/>
      <c r="L176" s="181" t="n"/>
      <c r="M176" s="181" t="n"/>
      <c r="N176" s="1" t="n"/>
      <c r="O176" s="181" t="n"/>
      <c r="P176" s="181" t="n"/>
      <c r="Q176" s="18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row>
    <row r="177" ht="15.75" customHeight="1" s="216">
      <c r="A177" s="1" t="n"/>
      <c r="B177" s="1" t="n"/>
      <c r="C177" s="1" t="n"/>
      <c r="D177" s="1" t="n"/>
      <c r="E177" s="181" t="n"/>
      <c r="F177" s="181" t="n"/>
      <c r="G177" s="1" t="n"/>
      <c r="H177" s="1" t="n"/>
      <c r="I177" s="1" t="n"/>
      <c r="J177" s="1" t="n"/>
      <c r="K177" s="181" t="n"/>
      <c r="L177" s="181" t="n"/>
      <c r="M177" s="181" t="n"/>
      <c r="N177" s="1" t="n"/>
      <c r="O177" s="181" t="n"/>
      <c r="P177" s="181" t="n"/>
      <c r="Q177" s="18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row>
    <row r="178" ht="15.75" customHeight="1" s="216">
      <c r="A178" s="1" t="n"/>
      <c r="B178" s="1" t="n"/>
      <c r="C178" s="1" t="n"/>
      <c r="D178" s="1" t="n"/>
      <c r="E178" s="181" t="n"/>
      <c r="F178" s="181" t="n"/>
      <c r="G178" s="1" t="n"/>
      <c r="H178" s="1" t="n"/>
      <c r="I178" s="1" t="n"/>
      <c r="J178" s="1" t="n"/>
      <c r="K178" s="181" t="n"/>
      <c r="L178" s="181" t="n"/>
      <c r="M178" s="181" t="n"/>
      <c r="N178" s="1" t="n"/>
      <c r="O178" s="181" t="n"/>
      <c r="P178" s="181" t="n"/>
      <c r="Q178" s="18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row>
    <row r="179" ht="15.75" customHeight="1" s="216">
      <c r="A179" s="1" t="n"/>
      <c r="B179" s="1" t="n"/>
      <c r="C179" s="1" t="n"/>
      <c r="D179" s="1" t="n"/>
      <c r="E179" s="181" t="n"/>
      <c r="F179" s="181" t="n"/>
      <c r="G179" s="1" t="n"/>
      <c r="H179" s="1" t="n"/>
      <c r="I179" s="1" t="n"/>
      <c r="J179" s="1" t="n"/>
      <c r="K179" s="181" t="n"/>
      <c r="L179" s="181" t="n"/>
      <c r="M179" s="181" t="n"/>
      <c r="N179" s="1" t="n"/>
      <c r="O179" s="181" t="n"/>
      <c r="P179" s="181" t="n"/>
      <c r="Q179" s="18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row>
    <row r="180" ht="15.75" customHeight="1" s="216">
      <c r="A180" s="1" t="n"/>
      <c r="B180" s="1" t="n"/>
      <c r="C180" s="1" t="n"/>
      <c r="D180" s="1" t="n"/>
      <c r="E180" s="181" t="n"/>
      <c r="F180" s="181" t="n"/>
      <c r="G180" s="1" t="n"/>
      <c r="H180" s="1" t="n"/>
      <c r="I180" s="1" t="n"/>
      <c r="J180" s="1" t="n"/>
      <c r="K180" s="181" t="n"/>
      <c r="L180" s="181" t="n"/>
      <c r="M180" s="181" t="n"/>
      <c r="N180" s="1" t="n"/>
      <c r="O180" s="181" t="n"/>
      <c r="P180" s="181" t="n"/>
      <c r="Q180" s="18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row>
    <row r="181" ht="15.75" customHeight="1" s="216">
      <c r="A181" s="1" t="n"/>
      <c r="B181" s="1" t="n"/>
      <c r="C181" s="1" t="n"/>
      <c r="D181" s="1" t="n"/>
      <c r="E181" s="181" t="n"/>
      <c r="F181" s="181" t="n"/>
      <c r="G181" s="1" t="n"/>
      <c r="H181" s="1" t="n"/>
      <c r="I181" s="1" t="n"/>
      <c r="J181" s="1" t="n"/>
      <c r="K181" s="181" t="n"/>
      <c r="L181" s="181" t="n"/>
      <c r="M181" s="181" t="n"/>
      <c r="N181" s="1" t="n"/>
      <c r="O181" s="181" t="n"/>
      <c r="P181" s="181" t="n"/>
      <c r="Q181" s="18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row>
    <row r="182" ht="15.75" customHeight="1" s="216">
      <c r="A182" s="1" t="n"/>
      <c r="B182" s="1" t="n"/>
      <c r="C182" s="1" t="n"/>
      <c r="D182" s="1" t="n"/>
      <c r="E182" s="181" t="n"/>
      <c r="F182" s="181" t="n"/>
      <c r="G182" s="1" t="n"/>
      <c r="H182" s="1" t="n"/>
      <c r="I182" s="1" t="n"/>
      <c r="J182" s="1" t="n"/>
      <c r="K182" s="181" t="n"/>
      <c r="L182" s="181" t="n"/>
      <c r="M182" s="181" t="n"/>
      <c r="N182" s="1" t="n"/>
      <c r="O182" s="181" t="n"/>
      <c r="P182" s="181" t="n"/>
      <c r="Q182" s="18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row>
    <row r="183" ht="15.75" customHeight="1" s="216">
      <c r="A183" s="1" t="n"/>
      <c r="B183" s="1" t="n"/>
      <c r="C183" s="1" t="n"/>
      <c r="D183" s="1" t="n"/>
      <c r="E183" s="181" t="n"/>
      <c r="F183" s="181" t="n"/>
      <c r="G183" s="1" t="n"/>
      <c r="H183" s="1" t="n"/>
      <c r="I183" s="1" t="n"/>
      <c r="J183" s="1" t="n"/>
      <c r="K183" s="181" t="n"/>
      <c r="L183" s="181" t="n"/>
      <c r="M183" s="181" t="n"/>
      <c r="N183" s="1" t="n"/>
      <c r="O183" s="181" t="n"/>
      <c r="P183" s="181" t="n"/>
      <c r="Q183" s="18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row>
    <row r="184" ht="15.75" customHeight="1" s="216">
      <c r="A184" s="1" t="n"/>
      <c r="B184" s="1" t="n"/>
      <c r="C184" s="1" t="n"/>
      <c r="D184" s="1" t="n"/>
      <c r="E184" s="181" t="n"/>
      <c r="F184" s="181" t="n"/>
      <c r="G184" s="1" t="n"/>
      <c r="H184" s="1" t="n"/>
      <c r="I184" s="1" t="n"/>
      <c r="J184" s="1" t="n"/>
      <c r="K184" s="181" t="n"/>
      <c r="L184" s="181" t="n"/>
      <c r="M184" s="181" t="n"/>
      <c r="N184" s="1" t="n"/>
      <c r="O184" s="181" t="n"/>
      <c r="P184" s="181" t="n"/>
      <c r="Q184" s="18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row>
    <row r="185" ht="15.75" customHeight="1" s="216">
      <c r="A185" s="1" t="n"/>
      <c r="B185" s="1" t="n"/>
      <c r="C185" s="1" t="n"/>
      <c r="D185" s="1" t="n"/>
      <c r="E185" s="181" t="n"/>
      <c r="F185" s="181" t="n"/>
      <c r="G185" s="1" t="n"/>
      <c r="H185" s="1" t="n"/>
      <c r="I185" s="1" t="n"/>
      <c r="J185" s="1" t="n"/>
      <c r="K185" s="181" t="n"/>
      <c r="L185" s="181" t="n"/>
      <c r="M185" s="181" t="n"/>
      <c r="N185" s="1" t="n"/>
      <c r="O185" s="181" t="n"/>
      <c r="P185" s="181" t="n"/>
      <c r="Q185" s="18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row>
    <row r="186" ht="15.75" customHeight="1" s="216">
      <c r="A186" s="1" t="n"/>
      <c r="B186" s="1" t="n"/>
      <c r="C186" s="1" t="n"/>
      <c r="D186" s="1" t="n"/>
      <c r="E186" s="181" t="n"/>
      <c r="F186" s="181" t="n"/>
      <c r="G186" s="1" t="n"/>
      <c r="H186" s="1" t="n"/>
      <c r="I186" s="1" t="n"/>
      <c r="J186" s="1" t="n"/>
      <c r="K186" s="181" t="n"/>
      <c r="L186" s="181" t="n"/>
      <c r="M186" s="181" t="n"/>
      <c r="N186" s="1" t="n"/>
      <c r="O186" s="181" t="n"/>
      <c r="P186" s="181" t="n"/>
      <c r="Q186" s="18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row>
    <row r="187" ht="15.75" customHeight="1" s="216">
      <c r="A187" s="1" t="n"/>
      <c r="B187" s="1" t="n"/>
      <c r="C187" s="1" t="n"/>
      <c r="D187" s="1" t="n"/>
      <c r="E187" s="181" t="n"/>
      <c r="F187" s="181" t="n"/>
      <c r="G187" s="1" t="n"/>
      <c r="H187" s="1" t="n"/>
      <c r="I187" s="1" t="n"/>
      <c r="J187" s="1" t="n"/>
      <c r="K187" s="181" t="n"/>
      <c r="L187" s="181" t="n"/>
      <c r="M187" s="181" t="n"/>
      <c r="N187" s="1" t="n"/>
      <c r="O187" s="181" t="n"/>
      <c r="P187" s="181" t="n"/>
      <c r="Q187" s="18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row>
    <row r="188" ht="15.75" customHeight="1" s="216">
      <c r="A188" s="1" t="n"/>
      <c r="B188" s="1" t="n"/>
      <c r="C188" s="1" t="n"/>
      <c r="D188" s="1" t="n"/>
      <c r="E188" s="181" t="n"/>
      <c r="F188" s="181" t="n"/>
      <c r="G188" s="1" t="n"/>
      <c r="H188" s="1" t="n"/>
      <c r="I188" s="1" t="n"/>
      <c r="J188" s="1" t="n"/>
      <c r="K188" s="181" t="n"/>
      <c r="L188" s="181" t="n"/>
      <c r="M188" s="181" t="n"/>
      <c r="N188" s="1" t="n"/>
      <c r="O188" s="181" t="n"/>
      <c r="P188" s="181" t="n"/>
      <c r="Q188" s="18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row>
    <row r="189" ht="15.75" customHeight="1" s="216">
      <c r="A189" s="1" t="n"/>
      <c r="B189" s="1" t="n"/>
      <c r="C189" s="1" t="n"/>
      <c r="D189" s="1" t="n"/>
      <c r="E189" s="181" t="n"/>
      <c r="F189" s="181" t="n"/>
      <c r="G189" s="1" t="n"/>
      <c r="H189" s="1" t="n"/>
      <c r="I189" s="1" t="n"/>
      <c r="J189" s="1" t="n"/>
      <c r="K189" s="181" t="n"/>
      <c r="L189" s="181" t="n"/>
      <c r="M189" s="181" t="n"/>
      <c r="N189" s="1" t="n"/>
      <c r="O189" s="181" t="n"/>
      <c r="P189" s="181" t="n"/>
      <c r="Q189" s="18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row>
    <row r="190" ht="15.75" customHeight="1" s="216">
      <c r="A190" s="1" t="n"/>
      <c r="B190" s="1" t="n"/>
      <c r="C190" s="1" t="n"/>
      <c r="D190" s="1" t="n"/>
      <c r="E190" s="181" t="n"/>
      <c r="F190" s="181" t="n"/>
      <c r="G190" s="1" t="n"/>
      <c r="H190" s="1" t="n"/>
      <c r="I190" s="1" t="n"/>
      <c r="J190" s="1" t="n"/>
      <c r="K190" s="181" t="n"/>
      <c r="L190" s="181" t="n"/>
      <c r="M190" s="181" t="n"/>
      <c r="N190" s="1" t="n"/>
      <c r="O190" s="181" t="n"/>
      <c r="P190" s="181" t="n"/>
      <c r="Q190" s="18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row>
    <row r="191" ht="15.75" customHeight="1" s="216">
      <c r="A191" s="1" t="n"/>
      <c r="B191" s="1" t="n"/>
      <c r="C191" s="1" t="n"/>
      <c r="D191" s="1" t="n"/>
      <c r="E191" s="181" t="n"/>
      <c r="F191" s="181" t="n"/>
      <c r="G191" s="1" t="n"/>
      <c r="H191" s="1" t="n"/>
      <c r="I191" s="1" t="n"/>
      <c r="J191" s="1" t="n"/>
      <c r="K191" s="181" t="n"/>
      <c r="L191" s="181" t="n"/>
      <c r="M191" s="181" t="n"/>
      <c r="N191" s="1" t="n"/>
      <c r="O191" s="181" t="n"/>
      <c r="P191" s="181" t="n"/>
      <c r="Q191" s="18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row>
    <row r="192" ht="15.75" customHeight="1" s="216">
      <c r="A192" s="1" t="n"/>
      <c r="B192" s="1" t="n"/>
      <c r="C192" s="1" t="n"/>
      <c r="D192" s="1" t="n"/>
      <c r="E192" s="181" t="n"/>
      <c r="F192" s="181" t="n"/>
      <c r="G192" s="1" t="n"/>
      <c r="H192" s="1" t="n"/>
      <c r="I192" s="1" t="n"/>
      <c r="J192" s="1" t="n"/>
      <c r="K192" s="181" t="n"/>
      <c r="L192" s="181" t="n"/>
      <c r="M192" s="181" t="n"/>
      <c r="N192" s="1" t="n"/>
      <c r="O192" s="181" t="n"/>
      <c r="P192" s="181" t="n"/>
      <c r="Q192" s="18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row>
    <row r="193" ht="15.75" customHeight="1" s="216">
      <c r="A193" s="1" t="n"/>
      <c r="B193" s="1" t="n"/>
      <c r="C193" s="1" t="n"/>
      <c r="D193" s="1" t="n"/>
      <c r="E193" s="181" t="n"/>
      <c r="F193" s="181" t="n"/>
      <c r="G193" s="1" t="n"/>
      <c r="H193" s="1" t="n"/>
      <c r="I193" s="1" t="n"/>
      <c r="J193" s="1" t="n"/>
      <c r="K193" s="181" t="n"/>
      <c r="L193" s="181" t="n"/>
      <c r="M193" s="181" t="n"/>
      <c r="N193" s="1" t="n"/>
      <c r="O193" s="181" t="n"/>
      <c r="P193" s="181" t="n"/>
      <c r="Q193" s="18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row>
    <row r="194" ht="15.75" customHeight="1" s="216">
      <c r="A194" s="1" t="n"/>
      <c r="B194" s="1" t="n"/>
      <c r="C194" s="1" t="n"/>
      <c r="D194" s="1" t="n"/>
      <c r="E194" s="181" t="n"/>
      <c r="F194" s="181" t="n"/>
      <c r="G194" s="1" t="n"/>
      <c r="H194" s="1" t="n"/>
      <c r="I194" s="1" t="n"/>
      <c r="J194" s="1" t="n"/>
      <c r="K194" s="181" t="n"/>
      <c r="L194" s="181" t="n"/>
      <c r="M194" s="181" t="n"/>
      <c r="N194" s="1" t="n"/>
      <c r="O194" s="181" t="n"/>
      <c r="P194" s="181" t="n"/>
      <c r="Q194" s="18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row>
    <row r="195" ht="15.75" customHeight="1" s="216">
      <c r="A195" s="1" t="n"/>
      <c r="B195" s="1" t="n"/>
      <c r="C195" s="1" t="n"/>
      <c r="D195" s="1" t="n"/>
      <c r="E195" s="181" t="n"/>
      <c r="F195" s="181" t="n"/>
      <c r="G195" s="1" t="n"/>
      <c r="H195" s="1" t="n"/>
      <c r="I195" s="1" t="n"/>
      <c r="J195" s="1" t="n"/>
      <c r="K195" s="181" t="n"/>
      <c r="L195" s="181" t="n"/>
      <c r="M195" s="181" t="n"/>
      <c r="N195" s="1" t="n"/>
      <c r="O195" s="181" t="n"/>
      <c r="P195" s="181" t="n"/>
      <c r="Q195" s="18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row>
    <row r="196" ht="15.75" customHeight="1" s="216">
      <c r="A196" s="1" t="n"/>
      <c r="B196" s="1" t="n"/>
      <c r="C196" s="1" t="n"/>
      <c r="D196" s="1" t="n"/>
      <c r="E196" s="181" t="n"/>
      <c r="F196" s="181" t="n"/>
      <c r="G196" s="1" t="n"/>
      <c r="H196" s="1" t="n"/>
      <c r="I196" s="1" t="n"/>
      <c r="J196" s="1" t="n"/>
      <c r="K196" s="181" t="n"/>
      <c r="L196" s="181" t="n"/>
      <c r="M196" s="181" t="n"/>
      <c r="N196" s="1" t="n"/>
      <c r="O196" s="181" t="n"/>
      <c r="P196" s="181" t="n"/>
      <c r="Q196" s="18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row>
    <row r="197" ht="15.75" customHeight="1" s="216">
      <c r="A197" s="1" t="n"/>
      <c r="B197" s="1" t="n"/>
      <c r="C197" s="1" t="n"/>
      <c r="D197" s="1" t="n"/>
      <c r="E197" s="181" t="n"/>
      <c r="F197" s="181" t="n"/>
      <c r="G197" s="1" t="n"/>
      <c r="H197" s="1" t="n"/>
      <c r="I197" s="1" t="n"/>
      <c r="J197" s="1" t="n"/>
      <c r="K197" s="181" t="n"/>
      <c r="L197" s="181" t="n"/>
      <c r="M197" s="181" t="n"/>
      <c r="N197" s="1" t="n"/>
      <c r="O197" s="181" t="n"/>
      <c r="P197" s="181" t="n"/>
      <c r="Q197" s="18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row>
    <row r="198" ht="15.75" customHeight="1" s="216">
      <c r="A198" s="1" t="n"/>
      <c r="B198" s="1" t="n"/>
      <c r="C198" s="1" t="n"/>
      <c r="D198" s="1" t="n"/>
      <c r="E198" s="181" t="n"/>
      <c r="F198" s="181" t="n"/>
      <c r="G198" s="1" t="n"/>
      <c r="H198" s="1" t="n"/>
      <c r="I198" s="1" t="n"/>
      <c r="J198" s="1" t="n"/>
      <c r="K198" s="181" t="n"/>
      <c r="L198" s="181" t="n"/>
      <c r="M198" s="181" t="n"/>
      <c r="N198" s="1" t="n"/>
      <c r="O198" s="181" t="n"/>
      <c r="P198" s="181" t="n"/>
      <c r="Q198" s="18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row>
    <row r="199" ht="15.75" customHeight="1" s="216">
      <c r="A199" s="1" t="n"/>
      <c r="B199" s="1" t="n"/>
      <c r="C199" s="1" t="n"/>
      <c r="D199" s="1" t="n"/>
      <c r="E199" s="181" t="n"/>
      <c r="F199" s="181" t="n"/>
      <c r="G199" s="1" t="n"/>
      <c r="H199" s="1" t="n"/>
      <c r="I199" s="1" t="n"/>
      <c r="J199" s="1" t="n"/>
      <c r="K199" s="181" t="n"/>
      <c r="L199" s="181" t="n"/>
      <c r="M199" s="181" t="n"/>
      <c r="N199" s="1" t="n"/>
      <c r="O199" s="181" t="n"/>
      <c r="P199" s="181" t="n"/>
      <c r="Q199" s="18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row>
    <row r="200" ht="15.75" customHeight="1" s="216">
      <c r="A200" s="1" t="n"/>
      <c r="B200" s="1" t="n"/>
      <c r="C200" s="1" t="n"/>
      <c r="D200" s="1" t="n"/>
      <c r="E200" s="181" t="n"/>
      <c r="F200" s="181" t="n"/>
      <c r="G200" s="1" t="n"/>
      <c r="H200" s="1" t="n"/>
      <c r="I200" s="1" t="n"/>
      <c r="J200" s="1" t="n"/>
      <c r="K200" s="181" t="n"/>
      <c r="L200" s="181" t="n"/>
      <c r="M200" s="181" t="n"/>
      <c r="N200" s="1" t="n"/>
      <c r="O200" s="181" t="n"/>
      <c r="P200" s="181" t="n"/>
      <c r="Q200" s="18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row>
    <row r="201" ht="15.75" customHeight="1" s="216">
      <c r="A201" s="1" t="n"/>
      <c r="B201" s="1" t="n"/>
      <c r="C201" s="1" t="n"/>
      <c r="D201" s="1" t="n"/>
      <c r="E201" s="181" t="n"/>
      <c r="F201" s="181" t="n"/>
      <c r="G201" s="1" t="n"/>
      <c r="H201" s="1" t="n"/>
      <c r="I201" s="1" t="n"/>
      <c r="J201" s="1" t="n"/>
      <c r="K201" s="181" t="n"/>
      <c r="L201" s="181" t="n"/>
      <c r="M201" s="181" t="n"/>
      <c r="N201" s="1" t="n"/>
      <c r="O201" s="181" t="n"/>
      <c r="P201" s="181" t="n"/>
      <c r="Q201" s="18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row>
    <row r="202" ht="15.75" customHeight="1" s="216">
      <c r="A202" s="1" t="n"/>
      <c r="B202" s="1" t="n"/>
      <c r="C202" s="1" t="n"/>
      <c r="D202" s="1" t="n"/>
      <c r="E202" s="181" t="n"/>
      <c r="F202" s="181" t="n"/>
      <c r="G202" s="1" t="n"/>
      <c r="H202" s="1" t="n"/>
      <c r="I202" s="1" t="n"/>
      <c r="J202" s="1" t="n"/>
      <c r="K202" s="181" t="n"/>
      <c r="L202" s="181" t="n"/>
      <c r="M202" s="181" t="n"/>
      <c r="N202" s="1" t="n"/>
      <c r="O202" s="181" t="n"/>
      <c r="P202" s="181" t="n"/>
      <c r="Q202" s="18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row>
    <row r="203" ht="15.75" customHeight="1" s="216">
      <c r="A203" s="1" t="n"/>
      <c r="B203" s="1" t="n"/>
      <c r="C203" s="1" t="n"/>
      <c r="D203" s="1" t="n"/>
      <c r="E203" s="181" t="n"/>
      <c r="F203" s="181" t="n"/>
      <c r="G203" s="1" t="n"/>
      <c r="H203" s="1" t="n"/>
      <c r="I203" s="1" t="n"/>
      <c r="J203" s="1" t="n"/>
      <c r="K203" s="181" t="n"/>
      <c r="L203" s="181" t="n"/>
      <c r="M203" s="181" t="n"/>
      <c r="N203" s="1" t="n"/>
      <c r="O203" s="181" t="n"/>
      <c r="P203" s="181" t="n"/>
      <c r="Q203" s="18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row>
    <row r="204" ht="15.75" customHeight="1" s="216">
      <c r="A204" s="1" t="n"/>
      <c r="B204" s="1" t="n"/>
      <c r="C204" s="1" t="n"/>
      <c r="D204" s="1" t="n"/>
      <c r="E204" s="181" t="n"/>
      <c r="F204" s="181" t="n"/>
      <c r="G204" s="1" t="n"/>
      <c r="H204" s="1" t="n"/>
      <c r="I204" s="1" t="n"/>
      <c r="J204" s="1" t="n"/>
      <c r="K204" s="181" t="n"/>
      <c r="L204" s="181" t="n"/>
      <c r="M204" s="181" t="n"/>
      <c r="N204" s="1" t="n"/>
      <c r="O204" s="181" t="n"/>
      <c r="P204" s="181" t="n"/>
      <c r="Q204" s="18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row>
    <row r="205" ht="15.75" customHeight="1" s="216">
      <c r="A205" s="1" t="n"/>
      <c r="B205" s="1" t="n"/>
      <c r="C205" s="1" t="n"/>
      <c r="D205" s="1" t="n"/>
      <c r="E205" s="181" t="n"/>
      <c r="F205" s="181" t="n"/>
      <c r="G205" s="1" t="n"/>
      <c r="H205" s="1" t="n"/>
      <c r="I205" s="1" t="n"/>
      <c r="J205" s="1" t="n"/>
      <c r="K205" s="181" t="n"/>
      <c r="L205" s="181" t="n"/>
      <c r="M205" s="181" t="n"/>
      <c r="N205" s="1" t="n"/>
      <c r="O205" s="181" t="n"/>
      <c r="P205" s="181" t="n"/>
      <c r="Q205" s="18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row>
    <row r="206" ht="15.75" customHeight="1" s="216">
      <c r="A206" s="1" t="n"/>
      <c r="B206" s="1" t="n"/>
      <c r="C206" s="1" t="n"/>
      <c r="D206" s="1" t="n"/>
      <c r="E206" s="181" t="n"/>
      <c r="F206" s="181" t="n"/>
      <c r="G206" s="1" t="n"/>
      <c r="H206" s="1" t="n"/>
      <c r="I206" s="1" t="n"/>
      <c r="J206" s="1" t="n"/>
      <c r="K206" s="181" t="n"/>
      <c r="L206" s="181" t="n"/>
      <c r="M206" s="181" t="n"/>
      <c r="N206" s="1" t="n"/>
      <c r="O206" s="181" t="n"/>
      <c r="P206" s="181" t="n"/>
      <c r="Q206" s="18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row>
    <row r="207" ht="15.75" customHeight="1" s="216">
      <c r="A207" s="1" t="n"/>
      <c r="B207" s="1" t="n"/>
      <c r="C207" s="1" t="n"/>
      <c r="D207" s="1" t="n"/>
      <c r="E207" s="181" t="n"/>
      <c r="F207" s="181" t="n"/>
      <c r="G207" s="1" t="n"/>
      <c r="H207" s="1" t="n"/>
      <c r="I207" s="1" t="n"/>
      <c r="J207" s="1" t="n"/>
      <c r="K207" s="181" t="n"/>
      <c r="L207" s="181" t="n"/>
      <c r="M207" s="181" t="n"/>
      <c r="N207" s="1" t="n"/>
      <c r="O207" s="181" t="n"/>
      <c r="P207" s="181" t="n"/>
      <c r="Q207" s="18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row>
    <row r="208" ht="15.75" customHeight="1" s="216">
      <c r="A208" s="1" t="n"/>
      <c r="B208" s="1" t="n"/>
      <c r="C208" s="1" t="n"/>
      <c r="D208" s="1" t="n"/>
      <c r="E208" s="181" t="n"/>
      <c r="F208" s="181" t="n"/>
      <c r="G208" s="1" t="n"/>
      <c r="H208" s="1" t="n"/>
      <c r="I208" s="1" t="n"/>
      <c r="J208" s="1" t="n"/>
      <c r="K208" s="181" t="n"/>
      <c r="L208" s="181" t="n"/>
      <c r="M208" s="181" t="n"/>
      <c r="N208" s="1" t="n"/>
      <c r="O208" s="181" t="n"/>
      <c r="P208" s="181" t="n"/>
      <c r="Q208" s="18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row>
    <row r="209" ht="15.75" customHeight="1" s="216">
      <c r="A209" s="1" t="n"/>
      <c r="B209" s="1" t="n"/>
      <c r="C209" s="1" t="n"/>
      <c r="D209" s="1" t="n"/>
      <c r="E209" s="181" t="n"/>
      <c r="F209" s="181" t="n"/>
      <c r="G209" s="1" t="n"/>
      <c r="H209" s="1" t="n"/>
      <c r="I209" s="1" t="n"/>
      <c r="J209" s="1" t="n"/>
      <c r="K209" s="181" t="n"/>
      <c r="L209" s="181" t="n"/>
      <c r="M209" s="181" t="n"/>
      <c r="N209" s="1" t="n"/>
      <c r="O209" s="181" t="n"/>
      <c r="P209" s="181" t="n"/>
      <c r="Q209" s="18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row>
    <row r="210" ht="15.75" customHeight="1" s="216">
      <c r="A210" s="1" t="n"/>
      <c r="B210" s="1" t="n"/>
      <c r="C210" s="1" t="n"/>
      <c r="D210" s="1" t="n"/>
      <c r="E210" s="181" t="n"/>
      <c r="F210" s="181" t="n"/>
      <c r="G210" s="1" t="n"/>
      <c r="H210" s="1" t="n"/>
      <c r="I210" s="1" t="n"/>
      <c r="J210" s="1" t="n"/>
      <c r="K210" s="181" t="n"/>
      <c r="L210" s="181" t="n"/>
      <c r="M210" s="181" t="n"/>
      <c r="N210" s="1" t="n"/>
      <c r="O210" s="181" t="n"/>
      <c r="P210" s="181" t="n"/>
      <c r="Q210" s="18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row>
    <row r="211" ht="15.75" customHeight="1" s="216">
      <c r="A211" s="1" t="n"/>
      <c r="B211" s="1" t="n"/>
      <c r="C211" s="1" t="n"/>
      <c r="D211" s="1" t="n"/>
      <c r="E211" s="181" t="n"/>
      <c r="F211" s="181" t="n"/>
      <c r="G211" s="1" t="n"/>
      <c r="H211" s="1" t="n"/>
      <c r="I211" s="1" t="n"/>
      <c r="J211" s="1" t="n"/>
      <c r="K211" s="181" t="n"/>
      <c r="L211" s="181" t="n"/>
      <c r="M211" s="181" t="n"/>
      <c r="N211" s="1" t="n"/>
      <c r="O211" s="181" t="n"/>
      <c r="P211" s="181" t="n"/>
      <c r="Q211" s="18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row>
    <row r="212" ht="15.75" customHeight="1" s="216">
      <c r="A212" s="1" t="n"/>
      <c r="B212" s="1" t="n"/>
      <c r="C212" s="1" t="n"/>
      <c r="D212" s="1" t="n"/>
      <c r="E212" s="181" t="n"/>
      <c r="F212" s="181" t="n"/>
      <c r="G212" s="1" t="n"/>
      <c r="H212" s="1" t="n"/>
      <c r="I212" s="1" t="n"/>
      <c r="J212" s="1" t="n"/>
      <c r="K212" s="181" t="n"/>
      <c r="L212" s="181" t="n"/>
      <c r="M212" s="181" t="n"/>
      <c r="N212" s="1" t="n"/>
      <c r="O212" s="181" t="n"/>
      <c r="P212" s="181" t="n"/>
      <c r="Q212" s="18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row>
    <row r="213" ht="15.75" customHeight="1" s="216">
      <c r="A213" s="1" t="n"/>
      <c r="B213" s="1" t="n"/>
      <c r="C213" s="1" t="n"/>
      <c r="D213" s="1" t="n"/>
      <c r="E213" s="181" t="n"/>
      <c r="F213" s="181" t="n"/>
      <c r="G213" s="1" t="n"/>
      <c r="H213" s="1" t="n"/>
      <c r="I213" s="1" t="n"/>
      <c r="J213" s="1" t="n"/>
      <c r="K213" s="181" t="n"/>
      <c r="L213" s="181" t="n"/>
      <c r="M213" s="181" t="n"/>
      <c r="N213" s="1" t="n"/>
      <c r="O213" s="181" t="n"/>
      <c r="P213" s="181" t="n"/>
      <c r="Q213" s="18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row>
    <row r="214" ht="15.75" customHeight="1" s="216">
      <c r="A214" s="1" t="n"/>
      <c r="B214" s="1" t="n"/>
      <c r="C214" s="1" t="n"/>
      <c r="D214" s="1" t="n"/>
      <c r="E214" s="181" t="n"/>
      <c r="F214" s="181" t="n"/>
      <c r="G214" s="1" t="n"/>
      <c r="H214" s="1" t="n"/>
      <c r="I214" s="1" t="n"/>
      <c r="J214" s="1" t="n"/>
      <c r="K214" s="181" t="n"/>
      <c r="L214" s="181" t="n"/>
      <c r="M214" s="181" t="n"/>
      <c r="N214" s="1" t="n"/>
      <c r="O214" s="181" t="n"/>
      <c r="P214" s="181" t="n"/>
      <c r="Q214" s="18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row>
    <row r="215" ht="15.75" customHeight="1" s="216">
      <c r="A215" s="1" t="n"/>
      <c r="B215" s="1" t="n"/>
      <c r="C215" s="1" t="n"/>
      <c r="D215" s="1" t="n"/>
      <c r="E215" s="181" t="n"/>
      <c r="F215" s="181" t="n"/>
      <c r="G215" s="1" t="n"/>
      <c r="H215" s="1" t="n"/>
      <c r="I215" s="1" t="n"/>
      <c r="J215" s="1" t="n"/>
      <c r="K215" s="181" t="n"/>
      <c r="L215" s="181" t="n"/>
      <c r="M215" s="181" t="n"/>
      <c r="N215" s="1" t="n"/>
      <c r="O215" s="181" t="n"/>
      <c r="P215" s="181" t="n"/>
      <c r="Q215" s="18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row>
    <row r="216" ht="15.75" customHeight="1" s="216">
      <c r="A216" s="1" t="n"/>
      <c r="B216" s="1" t="n"/>
      <c r="C216" s="1" t="n"/>
      <c r="D216" s="1" t="n"/>
      <c r="E216" s="181" t="n"/>
      <c r="F216" s="181" t="n"/>
      <c r="G216" s="1" t="n"/>
      <c r="H216" s="1" t="n"/>
      <c r="I216" s="1" t="n"/>
      <c r="J216" s="1" t="n"/>
      <c r="K216" s="181" t="n"/>
      <c r="L216" s="181" t="n"/>
      <c r="M216" s="181" t="n"/>
      <c r="N216" s="1" t="n"/>
      <c r="O216" s="181" t="n"/>
      <c r="P216" s="181" t="n"/>
      <c r="Q216" s="18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row>
    <row r="217" ht="15.75" customHeight="1" s="216">
      <c r="A217" s="1" t="n"/>
      <c r="B217" s="1" t="n"/>
      <c r="C217" s="1" t="n"/>
      <c r="D217" s="1" t="n"/>
      <c r="E217" s="181" t="n"/>
      <c r="F217" s="181" t="n"/>
      <c r="G217" s="1" t="n"/>
      <c r="H217" s="1" t="n"/>
      <c r="I217" s="1" t="n"/>
      <c r="J217" s="1" t="n"/>
      <c r="K217" s="181" t="n"/>
      <c r="L217" s="181" t="n"/>
      <c r="M217" s="181" t="n"/>
      <c r="N217" s="1" t="n"/>
      <c r="O217" s="181" t="n"/>
      <c r="P217" s="181" t="n"/>
      <c r="Q217" s="18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row>
    <row r="218" ht="15.75" customHeight="1" s="216">
      <c r="A218" s="1" t="n"/>
      <c r="B218" s="1" t="n"/>
      <c r="C218" s="1" t="n"/>
      <c r="D218" s="1" t="n"/>
      <c r="E218" s="181" t="n"/>
      <c r="F218" s="181" t="n"/>
      <c r="G218" s="1" t="n"/>
      <c r="H218" s="1" t="n"/>
      <c r="I218" s="1" t="n"/>
      <c r="J218" s="1" t="n"/>
      <c r="K218" s="181" t="n"/>
      <c r="L218" s="181" t="n"/>
      <c r="M218" s="181" t="n"/>
      <c r="N218" s="1" t="n"/>
      <c r="O218" s="181" t="n"/>
      <c r="P218" s="181" t="n"/>
      <c r="Q218" s="18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row>
    <row r="219" ht="15.75" customHeight="1" s="216">
      <c r="A219" s="1" t="n"/>
      <c r="B219" s="1" t="n"/>
      <c r="C219" s="1" t="n"/>
      <c r="D219" s="1" t="n"/>
      <c r="E219" s="181" t="n"/>
      <c r="F219" s="181" t="n"/>
      <c r="G219" s="1" t="n"/>
      <c r="H219" s="1" t="n"/>
      <c r="I219" s="1" t="n"/>
      <c r="J219" s="1" t="n"/>
      <c r="K219" s="181" t="n"/>
      <c r="L219" s="181" t="n"/>
      <c r="M219" s="181" t="n"/>
      <c r="N219" s="1" t="n"/>
      <c r="O219" s="181" t="n"/>
      <c r="P219" s="181" t="n"/>
      <c r="Q219" s="18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row>
    <row r="220" ht="15.75" customHeight="1" s="216">
      <c r="A220" s="1" t="n"/>
      <c r="B220" s="1" t="n"/>
      <c r="C220" s="1" t="n"/>
      <c r="D220" s="1" t="n"/>
      <c r="E220" s="181" t="n"/>
      <c r="F220" s="181" t="n"/>
      <c r="G220" s="1" t="n"/>
      <c r="H220" s="1" t="n"/>
      <c r="I220" s="1" t="n"/>
      <c r="J220" s="1" t="n"/>
      <c r="K220" s="181" t="n"/>
      <c r="L220" s="181" t="n"/>
      <c r="M220" s="181" t="n"/>
      <c r="N220" s="1" t="n"/>
      <c r="O220" s="181" t="n"/>
      <c r="P220" s="181" t="n"/>
      <c r="Q220" s="18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row>
    <row r="221" ht="15.75" customHeight="1" s="216">
      <c r="D221" s="109" t="n"/>
      <c r="E221" s="109" t="n"/>
      <c r="J221" s="109" t="n"/>
      <c r="K221" s="109" t="n"/>
      <c r="L221" s="109" t="n"/>
      <c r="N221" s="109" t="n"/>
      <c r="O221" s="109" t="n"/>
      <c r="P221" s="109" t="n"/>
      <c r="T221" s="109" t="n"/>
      <c r="U221" s="109" t="n"/>
      <c r="V221" s="109" t="n"/>
      <c r="Z221" s="109" t="n"/>
      <c r="AA221" s="109" t="n"/>
      <c r="AB221" s="109" t="n"/>
      <c r="AF221" s="109" t="n"/>
      <c r="AG221" s="109" t="n"/>
      <c r="AH221" s="109" t="n"/>
      <c r="AL221" s="109" t="n"/>
      <c r="AM221" s="109" t="n"/>
      <c r="AN221" s="109" t="n"/>
    </row>
    <row r="222" ht="15.75" customHeight="1" s="216">
      <c r="D222" s="109" t="n"/>
      <c r="E222" s="109" t="n"/>
      <c r="J222" s="109" t="n"/>
      <c r="K222" s="109" t="n"/>
      <c r="L222" s="109" t="n"/>
      <c r="N222" s="109" t="n"/>
      <c r="O222" s="109" t="n"/>
      <c r="P222" s="109" t="n"/>
      <c r="T222" s="109" t="n"/>
      <c r="U222" s="109" t="n"/>
      <c r="V222" s="109" t="n"/>
      <c r="Z222" s="109" t="n"/>
      <c r="AA222" s="109" t="n"/>
      <c r="AB222" s="109" t="n"/>
      <c r="AF222" s="109" t="n"/>
      <c r="AG222" s="109" t="n"/>
      <c r="AH222" s="109" t="n"/>
      <c r="AL222" s="109" t="n"/>
      <c r="AM222" s="109" t="n"/>
      <c r="AN222" s="109" t="n"/>
    </row>
    <row r="223" ht="15.75" customHeight="1" s="216">
      <c r="D223" s="109" t="n"/>
      <c r="E223" s="109" t="n"/>
      <c r="J223" s="109" t="n"/>
      <c r="K223" s="109" t="n"/>
      <c r="L223" s="109" t="n"/>
      <c r="N223" s="109" t="n"/>
      <c r="O223" s="109" t="n"/>
      <c r="P223" s="109" t="n"/>
      <c r="T223" s="109" t="n"/>
      <c r="U223" s="109" t="n"/>
      <c r="V223" s="109" t="n"/>
      <c r="Z223" s="109" t="n"/>
      <c r="AA223" s="109" t="n"/>
      <c r="AB223" s="109" t="n"/>
      <c r="AF223" s="109" t="n"/>
      <c r="AG223" s="109" t="n"/>
      <c r="AH223" s="109" t="n"/>
      <c r="AL223" s="109" t="n"/>
      <c r="AM223" s="109" t="n"/>
      <c r="AN223" s="109" t="n"/>
    </row>
    <row r="224" ht="15.75" customHeight="1" s="216">
      <c r="D224" s="109" t="n"/>
      <c r="E224" s="109" t="n"/>
      <c r="J224" s="109" t="n"/>
      <c r="K224" s="109" t="n"/>
      <c r="L224" s="109" t="n"/>
      <c r="N224" s="109" t="n"/>
      <c r="O224" s="109" t="n"/>
      <c r="P224" s="109" t="n"/>
      <c r="T224" s="109" t="n"/>
      <c r="U224" s="109" t="n"/>
      <c r="V224" s="109" t="n"/>
      <c r="Z224" s="109" t="n"/>
      <c r="AA224" s="109" t="n"/>
      <c r="AB224" s="109" t="n"/>
      <c r="AF224" s="109" t="n"/>
      <c r="AG224" s="109" t="n"/>
      <c r="AH224" s="109" t="n"/>
      <c r="AL224" s="109" t="n"/>
      <c r="AM224" s="109" t="n"/>
      <c r="AN224" s="109" t="n"/>
    </row>
    <row r="225" ht="15.75" customHeight="1" s="216">
      <c r="D225" s="109" t="n"/>
      <c r="E225" s="109" t="n"/>
      <c r="J225" s="109" t="n"/>
      <c r="K225" s="109" t="n"/>
      <c r="L225" s="109" t="n"/>
      <c r="N225" s="109" t="n"/>
      <c r="O225" s="109" t="n"/>
      <c r="P225" s="109" t="n"/>
      <c r="T225" s="109" t="n"/>
      <c r="U225" s="109" t="n"/>
      <c r="V225" s="109" t="n"/>
      <c r="Z225" s="109" t="n"/>
      <c r="AA225" s="109" t="n"/>
      <c r="AB225" s="109" t="n"/>
      <c r="AF225" s="109" t="n"/>
      <c r="AG225" s="109" t="n"/>
      <c r="AH225" s="109" t="n"/>
      <c r="AL225" s="109" t="n"/>
      <c r="AM225" s="109" t="n"/>
      <c r="AN225" s="109" t="n"/>
    </row>
    <row r="226" ht="15.75" customHeight="1" s="216">
      <c r="D226" s="109" t="n"/>
      <c r="E226" s="109" t="n"/>
      <c r="J226" s="109" t="n"/>
      <c r="K226" s="109" t="n"/>
      <c r="L226" s="109" t="n"/>
      <c r="N226" s="109" t="n"/>
      <c r="O226" s="109" t="n"/>
      <c r="P226" s="109" t="n"/>
      <c r="T226" s="109" t="n"/>
      <c r="U226" s="109" t="n"/>
      <c r="V226" s="109" t="n"/>
      <c r="Z226" s="109" t="n"/>
      <c r="AA226" s="109" t="n"/>
      <c r="AB226" s="109" t="n"/>
      <c r="AF226" s="109" t="n"/>
      <c r="AG226" s="109" t="n"/>
      <c r="AH226" s="109" t="n"/>
      <c r="AL226" s="109" t="n"/>
      <c r="AM226" s="109" t="n"/>
      <c r="AN226" s="109" t="n"/>
    </row>
    <row r="227" ht="15.75" customHeight="1" s="216">
      <c r="D227" s="109" t="n"/>
      <c r="E227" s="109" t="n"/>
      <c r="J227" s="109" t="n"/>
      <c r="K227" s="109" t="n"/>
      <c r="L227" s="109" t="n"/>
      <c r="N227" s="109" t="n"/>
      <c r="O227" s="109" t="n"/>
      <c r="P227" s="109" t="n"/>
      <c r="T227" s="109" t="n"/>
      <c r="U227" s="109" t="n"/>
      <c r="V227" s="109" t="n"/>
      <c r="Z227" s="109" t="n"/>
      <c r="AA227" s="109" t="n"/>
      <c r="AB227" s="109" t="n"/>
      <c r="AF227" s="109" t="n"/>
      <c r="AG227" s="109" t="n"/>
      <c r="AH227" s="109" t="n"/>
      <c r="AL227" s="109" t="n"/>
      <c r="AM227" s="109" t="n"/>
      <c r="AN227" s="109" t="n"/>
    </row>
    <row r="228" ht="15.75" customHeight="1" s="216">
      <c r="D228" s="109" t="n"/>
      <c r="E228" s="109" t="n"/>
      <c r="J228" s="109" t="n"/>
      <c r="K228" s="109" t="n"/>
      <c r="L228" s="109" t="n"/>
      <c r="N228" s="109" t="n"/>
      <c r="O228" s="109" t="n"/>
      <c r="P228" s="109" t="n"/>
      <c r="T228" s="109" t="n"/>
      <c r="U228" s="109" t="n"/>
      <c r="V228" s="109" t="n"/>
      <c r="Z228" s="109" t="n"/>
      <c r="AA228" s="109" t="n"/>
      <c r="AB228" s="109" t="n"/>
      <c r="AF228" s="109" t="n"/>
      <c r="AG228" s="109" t="n"/>
      <c r="AH228" s="109" t="n"/>
      <c r="AL228" s="109" t="n"/>
      <c r="AM228" s="109" t="n"/>
      <c r="AN228" s="109" t="n"/>
    </row>
    <row r="229" ht="15.75" customHeight="1" s="216">
      <c r="D229" s="109" t="n"/>
      <c r="E229" s="109" t="n"/>
      <c r="J229" s="109" t="n"/>
      <c r="K229" s="109" t="n"/>
      <c r="L229" s="109" t="n"/>
      <c r="N229" s="109" t="n"/>
      <c r="O229" s="109" t="n"/>
      <c r="P229" s="109" t="n"/>
      <c r="T229" s="109" t="n"/>
      <c r="U229" s="109" t="n"/>
      <c r="V229" s="109" t="n"/>
      <c r="Z229" s="109" t="n"/>
      <c r="AA229" s="109" t="n"/>
      <c r="AB229" s="109" t="n"/>
      <c r="AF229" s="109" t="n"/>
      <c r="AG229" s="109" t="n"/>
      <c r="AH229" s="109" t="n"/>
      <c r="AL229" s="109" t="n"/>
      <c r="AM229" s="109" t="n"/>
      <c r="AN229" s="109" t="n"/>
    </row>
    <row r="230" ht="15.75" customHeight="1" s="216">
      <c r="D230" s="109" t="n"/>
      <c r="E230" s="109" t="n"/>
      <c r="J230" s="109" t="n"/>
      <c r="K230" s="109" t="n"/>
      <c r="L230" s="109" t="n"/>
      <c r="N230" s="109" t="n"/>
      <c r="O230" s="109" t="n"/>
      <c r="P230" s="109" t="n"/>
      <c r="T230" s="109" t="n"/>
      <c r="U230" s="109" t="n"/>
      <c r="V230" s="109" t="n"/>
      <c r="Z230" s="109" t="n"/>
      <c r="AA230" s="109" t="n"/>
      <c r="AB230" s="109" t="n"/>
      <c r="AF230" s="109" t="n"/>
      <c r="AG230" s="109" t="n"/>
      <c r="AH230" s="109" t="n"/>
      <c r="AL230" s="109" t="n"/>
      <c r="AM230" s="109" t="n"/>
      <c r="AN230" s="109" t="n"/>
    </row>
    <row r="231" ht="15.75" customHeight="1" s="216">
      <c r="D231" s="109" t="n"/>
      <c r="E231" s="109" t="n"/>
      <c r="J231" s="109" t="n"/>
      <c r="K231" s="109" t="n"/>
      <c r="L231" s="109" t="n"/>
      <c r="N231" s="109" t="n"/>
      <c r="O231" s="109" t="n"/>
      <c r="P231" s="109" t="n"/>
      <c r="T231" s="109" t="n"/>
      <c r="U231" s="109" t="n"/>
      <c r="V231" s="109" t="n"/>
      <c r="Z231" s="109" t="n"/>
      <c r="AA231" s="109" t="n"/>
      <c r="AB231" s="109" t="n"/>
      <c r="AF231" s="109" t="n"/>
      <c r="AG231" s="109" t="n"/>
      <c r="AH231" s="109" t="n"/>
      <c r="AL231" s="109" t="n"/>
      <c r="AM231" s="109" t="n"/>
      <c r="AN231" s="109" t="n"/>
    </row>
    <row r="232" ht="15.75" customHeight="1" s="216">
      <c r="D232" s="109" t="n"/>
      <c r="E232" s="109" t="n"/>
      <c r="J232" s="109" t="n"/>
      <c r="K232" s="109" t="n"/>
      <c r="L232" s="109" t="n"/>
      <c r="N232" s="109" t="n"/>
      <c r="O232" s="109" t="n"/>
      <c r="P232" s="109" t="n"/>
      <c r="T232" s="109" t="n"/>
      <c r="U232" s="109" t="n"/>
      <c r="V232" s="109" t="n"/>
      <c r="Z232" s="109" t="n"/>
      <c r="AA232" s="109" t="n"/>
      <c r="AB232" s="109" t="n"/>
      <c r="AF232" s="109" t="n"/>
      <c r="AG232" s="109" t="n"/>
      <c r="AH232" s="109" t="n"/>
      <c r="AL232" s="109" t="n"/>
      <c r="AM232" s="109" t="n"/>
      <c r="AN232" s="109" t="n"/>
    </row>
    <row r="233" ht="15.75" customHeight="1" s="216">
      <c r="D233" s="109" t="n"/>
      <c r="E233" s="109" t="n"/>
      <c r="J233" s="109" t="n"/>
      <c r="K233" s="109" t="n"/>
      <c r="L233" s="109" t="n"/>
      <c r="N233" s="109" t="n"/>
      <c r="O233" s="109" t="n"/>
      <c r="P233" s="109" t="n"/>
      <c r="T233" s="109" t="n"/>
      <c r="U233" s="109" t="n"/>
      <c r="V233" s="109" t="n"/>
      <c r="Z233" s="109" t="n"/>
      <c r="AA233" s="109" t="n"/>
      <c r="AB233" s="109" t="n"/>
      <c r="AF233" s="109" t="n"/>
      <c r="AG233" s="109" t="n"/>
      <c r="AH233" s="109" t="n"/>
      <c r="AL233" s="109" t="n"/>
      <c r="AM233" s="109" t="n"/>
      <c r="AN233" s="109" t="n"/>
    </row>
    <row r="234" ht="15.75" customHeight="1" s="216">
      <c r="D234" s="109" t="n"/>
      <c r="E234" s="109" t="n"/>
      <c r="J234" s="109" t="n"/>
      <c r="K234" s="109" t="n"/>
      <c r="L234" s="109" t="n"/>
      <c r="N234" s="109" t="n"/>
      <c r="O234" s="109" t="n"/>
      <c r="P234" s="109" t="n"/>
      <c r="T234" s="109" t="n"/>
      <c r="U234" s="109" t="n"/>
      <c r="V234" s="109" t="n"/>
      <c r="Z234" s="109" t="n"/>
      <c r="AA234" s="109" t="n"/>
      <c r="AB234" s="109" t="n"/>
      <c r="AF234" s="109" t="n"/>
      <c r="AG234" s="109" t="n"/>
      <c r="AH234" s="109" t="n"/>
      <c r="AL234" s="109" t="n"/>
      <c r="AM234" s="109" t="n"/>
      <c r="AN234" s="109" t="n"/>
    </row>
    <row r="235" ht="15.75" customHeight="1" s="216">
      <c r="D235" s="109" t="n"/>
      <c r="E235" s="109" t="n"/>
      <c r="J235" s="109" t="n"/>
      <c r="K235" s="109" t="n"/>
      <c r="L235" s="109" t="n"/>
      <c r="N235" s="109" t="n"/>
      <c r="O235" s="109" t="n"/>
      <c r="P235" s="109" t="n"/>
      <c r="T235" s="109" t="n"/>
      <c r="U235" s="109" t="n"/>
      <c r="V235" s="109" t="n"/>
      <c r="Z235" s="109" t="n"/>
      <c r="AA235" s="109" t="n"/>
      <c r="AB235" s="109" t="n"/>
      <c r="AF235" s="109" t="n"/>
      <c r="AG235" s="109" t="n"/>
      <c r="AH235" s="109" t="n"/>
      <c r="AL235" s="109" t="n"/>
      <c r="AM235" s="109" t="n"/>
      <c r="AN235" s="109" t="n"/>
    </row>
    <row r="236" ht="15.75" customHeight="1" s="216">
      <c r="D236" s="109" t="n"/>
      <c r="E236" s="109" t="n"/>
      <c r="J236" s="109" t="n"/>
      <c r="K236" s="109" t="n"/>
      <c r="L236" s="109" t="n"/>
      <c r="N236" s="109" t="n"/>
      <c r="O236" s="109" t="n"/>
      <c r="P236" s="109" t="n"/>
      <c r="T236" s="109" t="n"/>
      <c r="U236" s="109" t="n"/>
      <c r="V236" s="109" t="n"/>
      <c r="Z236" s="109" t="n"/>
      <c r="AA236" s="109" t="n"/>
      <c r="AB236" s="109" t="n"/>
      <c r="AF236" s="109" t="n"/>
      <c r="AG236" s="109" t="n"/>
      <c r="AH236" s="109" t="n"/>
      <c r="AL236" s="109" t="n"/>
      <c r="AM236" s="109" t="n"/>
      <c r="AN236" s="109" t="n"/>
    </row>
    <row r="237" ht="15.75" customHeight="1" s="216">
      <c r="D237" s="109" t="n"/>
      <c r="E237" s="109" t="n"/>
      <c r="J237" s="109" t="n"/>
      <c r="K237" s="109" t="n"/>
      <c r="L237" s="109" t="n"/>
      <c r="N237" s="109" t="n"/>
      <c r="O237" s="109" t="n"/>
      <c r="P237" s="109" t="n"/>
      <c r="T237" s="109" t="n"/>
      <c r="U237" s="109" t="n"/>
      <c r="V237" s="109" t="n"/>
      <c r="Z237" s="109" t="n"/>
      <c r="AA237" s="109" t="n"/>
      <c r="AB237" s="109" t="n"/>
      <c r="AF237" s="109" t="n"/>
      <c r="AG237" s="109" t="n"/>
      <c r="AH237" s="109" t="n"/>
      <c r="AL237" s="109" t="n"/>
      <c r="AM237" s="109" t="n"/>
      <c r="AN237" s="109" t="n"/>
    </row>
    <row r="238" ht="15.75" customHeight="1" s="216">
      <c r="D238" s="109" t="n"/>
      <c r="E238" s="109" t="n"/>
      <c r="J238" s="109" t="n"/>
      <c r="K238" s="109" t="n"/>
      <c r="L238" s="109" t="n"/>
      <c r="N238" s="109" t="n"/>
      <c r="O238" s="109" t="n"/>
      <c r="P238" s="109" t="n"/>
      <c r="T238" s="109" t="n"/>
      <c r="U238" s="109" t="n"/>
      <c r="V238" s="109" t="n"/>
      <c r="Z238" s="109" t="n"/>
      <c r="AA238" s="109" t="n"/>
      <c r="AB238" s="109" t="n"/>
      <c r="AF238" s="109" t="n"/>
      <c r="AG238" s="109" t="n"/>
      <c r="AH238" s="109" t="n"/>
      <c r="AL238" s="109" t="n"/>
      <c r="AM238" s="109" t="n"/>
      <c r="AN238" s="109" t="n"/>
    </row>
    <row r="239" ht="15.75" customHeight="1" s="216">
      <c r="D239" s="109" t="n"/>
      <c r="E239" s="109" t="n"/>
      <c r="J239" s="109" t="n"/>
      <c r="K239" s="109" t="n"/>
      <c r="L239" s="109" t="n"/>
      <c r="N239" s="109" t="n"/>
      <c r="O239" s="109" t="n"/>
      <c r="P239" s="109" t="n"/>
      <c r="T239" s="109" t="n"/>
      <c r="U239" s="109" t="n"/>
      <c r="V239" s="109" t="n"/>
      <c r="Z239" s="109" t="n"/>
      <c r="AA239" s="109" t="n"/>
      <c r="AB239" s="109" t="n"/>
      <c r="AF239" s="109" t="n"/>
      <c r="AG239" s="109" t="n"/>
      <c r="AH239" s="109" t="n"/>
      <c r="AL239" s="109" t="n"/>
      <c r="AM239" s="109" t="n"/>
      <c r="AN239" s="109" t="n"/>
    </row>
    <row r="240" ht="15.75" customHeight="1" s="216">
      <c r="D240" s="109" t="n"/>
      <c r="E240" s="109" t="n"/>
      <c r="J240" s="109" t="n"/>
      <c r="K240" s="109" t="n"/>
      <c r="L240" s="109" t="n"/>
      <c r="N240" s="109" t="n"/>
      <c r="O240" s="109" t="n"/>
      <c r="P240" s="109" t="n"/>
      <c r="T240" s="109" t="n"/>
      <c r="U240" s="109" t="n"/>
      <c r="V240" s="109" t="n"/>
      <c r="Z240" s="109" t="n"/>
      <c r="AA240" s="109" t="n"/>
      <c r="AB240" s="109" t="n"/>
      <c r="AF240" s="109" t="n"/>
      <c r="AG240" s="109" t="n"/>
      <c r="AH240" s="109" t="n"/>
      <c r="AL240" s="109" t="n"/>
      <c r="AM240" s="109" t="n"/>
      <c r="AN240" s="109" t="n"/>
    </row>
    <row r="241" ht="15.75" customHeight="1" s="216">
      <c r="D241" s="109" t="n"/>
      <c r="E241" s="109" t="n"/>
      <c r="J241" s="109" t="n"/>
      <c r="K241" s="109" t="n"/>
      <c r="L241" s="109" t="n"/>
      <c r="N241" s="109" t="n"/>
      <c r="O241" s="109" t="n"/>
      <c r="P241" s="109" t="n"/>
      <c r="T241" s="109" t="n"/>
      <c r="U241" s="109" t="n"/>
      <c r="V241" s="109" t="n"/>
      <c r="Z241" s="109" t="n"/>
      <c r="AA241" s="109" t="n"/>
      <c r="AB241" s="109" t="n"/>
      <c r="AF241" s="109" t="n"/>
      <c r="AG241" s="109" t="n"/>
      <c r="AH241" s="109" t="n"/>
      <c r="AL241" s="109" t="n"/>
      <c r="AM241" s="109" t="n"/>
      <c r="AN241" s="109" t="n"/>
    </row>
    <row r="242" ht="15.75" customHeight="1" s="216">
      <c r="D242" s="109" t="n"/>
      <c r="E242" s="109" t="n"/>
      <c r="J242" s="109" t="n"/>
      <c r="K242" s="109" t="n"/>
      <c r="L242" s="109" t="n"/>
      <c r="N242" s="109" t="n"/>
      <c r="O242" s="109" t="n"/>
      <c r="P242" s="109" t="n"/>
      <c r="T242" s="109" t="n"/>
      <c r="U242" s="109" t="n"/>
      <c r="V242" s="109" t="n"/>
      <c r="Z242" s="109" t="n"/>
      <c r="AA242" s="109" t="n"/>
      <c r="AB242" s="109" t="n"/>
      <c r="AF242" s="109" t="n"/>
      <c r="AG242" s="109" t="n"/>
      <c r="AH242" s="109" t="n"/>
      <c r="AL242" s="109" t="n"/>
      <c r="AM242" s="109" t="n"/>
      <c r="AN242" s="109" t="n"/>
    </row>
    <row r="243" ht="15.75" customHeight="1" s="216">
      <c r="D243" s="109" t="n"/>
      <c r="E243" s="109" t="n"/>
      <c r="J243" s="109" t="n"/>
      <c r="K243" s="109" t="n"/>
      <c r="L243" s="109" t="n"/>
      <c r="N243" s="109" t="n"/>
      <c r="O243" s="109" t="n"/>
      <c r="P243" s="109" t="n"/>
      <c r="T243" s="109" t="n"/>
      <c r="U243" s="109" t="n"/>
      <c r="V243" s="109" t="n"/>
      <c r="Z243" s="109" t="n"/>
      <c r="AA243" s="109" t="n"/>
      <c r="AB243" s="109" t="n"/>
      <c r="AF243" s="109" t="n"/>
      <c r="AG243" s="109" t="n"/>
      <c r="AH243" s="109" t="n"/>
      <c r="AL243" s="109" t="n"/>
      <c r="AM243" s="109" t="n"/>
      <c r="AN243" s="109" t="n"/>
    </row>
    <row r="244" ht="15.75" customHeight="1" s="216">
      <c r="D244" s="109" t="n"/>
      <c r="E244" s="109" t="n"/>
      <c r="J244" s="109" t="n"/>
      <c r="K244" s="109" t="n"/>
      <c r="L244" s="109" t="n"/>
      <c r="N244" s="109" t="n"/>
      <c r="O244" s="109" t="n"/>
      <c r="P244" s="109" t="n"/>
      <c r="T244" s="109" t="n"/>
      <c r="U244" s="109" t="n"/>
      <c r="V244" s="109" t="n"/>
      <c r="Z244" s="109" t="n"/>
      <c r="AA244" s="109" t="n"/>
      <c r="AB244" s="109" t="n"/>
      <c r="AF244" s="109" t="n"/>
      <c r="AG244" s="109" t="n"/>
      <c r="AH244" s="109" t="n"/>
      <c r="AL244" s="109" t="n"/>
      <c r="AM244" s="109" t="n"/>
      <c r="AN244" s="109" t="n"/>
    </row>
    <row r="245" ht="15.75" customHeight="1" s="216">
      <c r="D245" s="109" t="n"/>
      <c r="E245" s="109" t="n"/>
      <c r="J245" s="109" t="n"/>
      <c r="K245" s="109" t="n"/>
      <c r="L245" s="109" t="n"/>
      <c r="N245" s="109" t="n"/>
      <c r="O245" s="109" t="n"/>
      <c r="P245" s="109" t="n"/>
      <c r="T245" s="109" t="n"/>
      <c r="U245" s="109" t="n"/>
      <c r="V245" s="109" t="n"/>
      <c r="Z245" s="109" t="n"/>
      <c r="AA245" s="109" t="n"/>
      <c r="AB245" s="109" t="n"/>
      <c r="AF245" s="109" t="n"/>
      <c r="AG245" s="109" t="n"/>
      <c r="AH245" s="109" t="n"/>
      <c r="AL245" s="109" t="n"/>
      <c r="AM245" s="109" t="n"/>
      <c r="AN245" s="109" t="n"/>
    </row>
    <row r="246" ht="15.75" customHeight="1" s="216">
      <c r="D246" s="109" t="n"/>
      <c r="E246" s="109" t="n"/>
      <c r="J246" s="109" t="n"/>
      <c r="K246" s="109" t="n"/>
      <c r="L246" s="109" t="n"/>
      <c r="N246" s="109" t="n"/>
      <c r="O246" s="109" t="n"/>
      <c r="P246" s="109" t="n"/>
      <c r="T246" s="109" t="n"/>
      <c r="U246" s="109" t="n"/>
      <c r="V246" s="109" t="n"/>
      <c r="Z246" s="109" t="n"/>
      <c r="AA246" s="109" t="n"/>
      <c r="AB246" s="109" t="n"/>
      <c r="AF246" s="109" t="n"/>
      <c r="AG246" s="109" t="n"/>
      <c r="AH246" s="109" t="n"/>
      <c r="AL246" s="109" t="n"/>
      <c r="AM246" s="109" t="n"/>
      <c r="AN246" s="109" t="n"/>
    </row>
    <row r="247" ht="15.75" customHeight="1" s="216">
      <c r="D247" s="109" t="n"/>
      <c r="E247" s="109" t="n"/>
      <c r="J247" s="109" t="n"/>
      <c r="K247" s="109" t="n"/>
      <c r="L247" s="109" t="n"/>
      <c r="N247" s="109" t="n"/>
      <c r="O247" s="109" t="n"/>
      <c r="P247" s="109" t="n"/>
      <c r="T247" s="109" t="n"/>
      <c r="U247" s="109" t="n"/>
      <c r="V247" s="109" t="n"/>
      <c r="Z247" s="109" t="n"/>
      <c r="AA247" s="109" t="n"/>
      <c r="AB247" s="109" t="n"/>
      <c r="AF247" s="109" t="n"/>
      <c r="AG247" s="109" t="n"/>
      <c r="AH247" s="109" t="n"/>
      <c r="AL247" s="109" t="n"/>
      <c r="AM247" s="109" t="n"/>
      <c r="AN247" s="109" t="n"/>
    </row>
    <row r="248" ht="15.75" customHeight="1" s="216">
      <c r="D248" s="109" t="n"/>
      <c r="E248" s="109" t="n"/>
      <c r="J248" s="109" t="n"/>
      <c r="K248" s="109" t="n"/>
      <c r="L248" s="109" t="n"/>
      <c r="N248" s="109" t="n"/>
      <c r="O248" s="109" t="n"/>
      <c r="P248" s="109" t="n"/>
      <c r="T248" s="109" t="n"/>
      <c r="U248" s="109" t="n"/>
      <c r="V248" s="109" t="n"/>
      <c r="Z248" s="109" t="n"/>
      <c r="AA248" s="109" t="n"/>
      <c r="AB248" s="109" t="n"/>
      <c r="AF248" s="109" t="n"/>
      <c r="AG248" s="109" t="n"/>
      <c r="AH248" s="109" t="n"/>
      <c r="AL248" s="109" t="n"/>
      <c r="AM248" s="109" t="n"/>
      <c r="AN248" s="109" t="n"/>
    </row>
    <row r="249" ht="15.75" customHeight="1" s="216">
      <c r="D249" s="109" t="n"/>
      <c r="E249" s="109" t="n"/>
      <c r="J249" s="109" t="n"/>
      <c r="K249" s="109" t="n"/>
      <c r="L249" s="109" t="n"/>
      <c r="N249" s="109" t="n"/>
      <c r="O249" s="109" t="n"/>
      <c r="P249" s="109" t="n"/>
      <c r="T249" s="109" t="n"/>
      <c r="U249" s="109" t="n"/>
      <c r="V249" s="109" t="n"/>
      <c r="Z249" s="109" t="n"/>
      <c r="AA249" s="109" t="n"/>
      <c r="AB249" s="109" t="n"/>
      <c r="AF249" s="109" t="n"/>
      <c r="AG249" s="109" t="n"/>
      <c r="AH249" s="109" t="n"/>
      <c r="AL249" s="109" t="n"/>
      <c r="AM249" s="109" t="n"/>
      <c r="AN249" s="109" t="n"/>
    </row>
    <row r="250" ht="15.75" customHeight="1" s="216">
      <c r="D250" s="109" t="n"/>
      <c r="E250" s="109" t="n"/>
      <c r="J250" s="109" t="n"/>
      <c r="K250" s="109" t="n"/>
      <c r="L250" s="109" t="n"/>
      <c r="N250" s="109" t="n"/>
      <c r="O250" s="109" t="n"/>
      <c r="P250" s="109" t="n"/>
      <c r="T250" s="109" t="n"/>
      <c r="U250" s="109" t="n"/>
      <c r="V250" s="109" t="n"/>
      <c r="Z250" s="109" t="n"/>
      <c r="AA250" s="109" t="n"/>
      <c r="AB250" s="109" t="n"/>
      <c r="AF250" s="109" t="n"/>
      <c r="AG250" s="109" t="n"/>
      <c r="AH250" s="109" t="n"/>
      <c r="AL250" s="109" t="n"/>
      <c r="AM250" s="109" t="n"/>
      <c r="AN250" s="109" t="n"/>
    </row>
    <row r="251" ht="15.75" customHeight="1" s="216">
      <c r="D251" s="109" t="n"/>
      <c r="E251" s="109" t="n"/>
      <c r="J251" s="109" t="n"/>
      <c r="K251" s="109" t="n"/>
      <c r="L251" s="109" t="n"/>
      <c r="N251" s="109" t="n"/>
      <c r="O251" s="109" t="n"/>
      <c r="P251" s="109" t="n"/>
      <c r="T251" s="109" t="n"/>
      <c r="U251" s="109" t="n"/>
      <c r="V251" s="109" t="n"/>
      <c r="Z251" s="109" t="n"/>
      <c r="AA251" s="109" t="n"/>
      <c r="AB251" s="109" t="n"/>
      <c r="AF251" s="109" t="n"/>
      <c r="AG251" s="109" t="n"/>
      <c r="AH251" s="109" t="n"/>
      <c r="AL251" s="109" t="n"/>
      <c r="AM251" s="109" t="n"/>
      <c r="AN251" s="109" t="n"/>
    </row>
    <row r="252" ht="15.75" customHeight="1" s="216">
      <c r="D252" s="109" t="n"/>
      <c r="E252" s="109" t="n"/>
      <c r="J252" s="109" t="n"/>
      <c r="K252" s="109" t="n"/>
      <c r="L252" s="109" t="n"/>
      <c r="N252" s="109" t="n"/>
      <c r="O252" s="109" t="n"/>
      <c r="P252" s="109" t="n"/>
      <c r="T252" s="109" t="n"/>
      <c r="U252" s="109" t="n"/>
      <c r="V252" s="109" t="n"/>
      <c r="Z252" s="109" t="n"/>
      <c r="AA252" s="109" t="n"/>
      <c r="AB252" s="109" t="n"/>
      <c r="AF252" s="109" t="n"/>
      <c r="AG252" s="109" t="n"/>
      <c r="AH252" s="109" t="n"/>
      <c r="AL252" s="109" t="n"/>
      <c r="AM252" s="109" t="n"/>
      <c r="AN252" s="109" t="n"/>
    </row>
    <row r="253" ht="15.75" customHeight="1" s="216">
      <c r="D253" s="109" t="n"/>
      <c r="E253" s="109" t="n"/>
      <c r="J253" s="109" t="n"/>
      <c r="K253" s="109" t="n"/>
      <c r="L253" s="109" t="n"/>
      <c r="N253" s="109" t="n"/>
      <c r="O253" s="109" t="n"/>
      <c r="P253" s="109" t="n"/>
      <c r="T253" s="109" t="n"/>
      <c r="U253" s="109" t="n"/>
      <c r="V253" s="109" t="n"/>
      <c r="Z253" s="109" t="n"/>
      <c r="AA253" s="109" t="n"/>
      <c r="AB253" s="109" t="n"/>
      <c r="AF253" s="109" t="n"/>
      <c r="AG253" s="109" t="n"/>
      <c r="AH253" s="109" t="n"/>
      <c r="AL253" s="109" t="n"/>
      <c r="AM253" s="109" t="n"/>
      <c r="AN253" s="109" t="n"/>
    </row>
    <row r="254" ht="15.75" customHeight="1" s="216">
      <c r="D254" s="109" t="n"/>
      <c r="E254" s="109" t="n"/>
      <c r="J254" s="109" t="n"/>
      <c r="K254" s="109" t="n"/>
      <c r="L254" s="109" t="n"/>
      <c r="N254" s="109" t="n"/>
      <c r="O254" s="109" t="n"/>
      <c r="P254" s="109" t="n"/>
      <c r="T254" s="109" t="n"/>
      <c r="U254" s="109" t="n"/>
      <c r="V254" s="109" t="n"/>
      <c r="Z254" s="109" t="n"/>
      <c r="AA254" s="109" t="n"/>
      <c r="AB254" s="109" t="n"/>
      <c r="AF254" s="109" t="n"/>
      <c r="AG254" s="109" t="n"/>
      <c r="AH254" s="109" t="n"/>
      <c r="AL254" s="109" t="n"/>
      <c r="AM254" s="109" t="n"/>
      <c r="AN254" s="109" t="n"/>
    </row>
    <row r="255" ht="15.75" customHeight="1" s="216">
      <c r="D255" s="109" t="n"/>
      <c r="E255" s="109" t="n"/>
      <c r="J255" s="109" t="n"/>
      <c r="K255" s="109" t="n"/>
      <c r="L255" s="109" t="n"/>
      <c r="N255" s="109" t="n"/>
      <c r="O255" s="109" t="n"/>
      <c r="P255" s="109" t="n"/>
      <c r="T255" s="109" t="n"/>
      <c r="U255" s="109" t="n"/>
      <c r="V255" s="109" t="n"/>
      <c r="Z255" s="109" t="n"/>
      <c r="AA255" s="109" t="n"/>
      <c r="AB255" s="109" t="n"/>
      <c r="AF255" s="109" t="n"/>
      <c r="AG255" s="109" t="n"/>
      <c r="AH255" s="109" t="n"/>
      <c r="AL255" s="109" t="n"/>
      <c r="AM255" s="109" t="n"/>
      <c r="AN255" s="109" t="n"/>
    </row>
    <row r="256" ht="15.75" customHeight="1" s="216">
      <c r="D256" s="109" t="n"/>
      <c r="E256" s="109" t="n"/>
      <c r="J256" s="109" t="n"/>
      <c r="K256" s="109" t="n"/>
      <c r="L256" s="109" t="n"/>
      <c r="N256" s="109" t="n"/>
      <c r="O256" s="109" t="n"/>
      <c r="P256" s="109" t="n"/>
      <c r="T256" s="109" t="n"/>
      <c r="U256" s="109" t="n"/>
      <c r="V256" s="109" t="n"/>
      <c r="Z256" s="109" t="n"/>
      <c r="AA256" s="109" t="n"/>
      <c r="AB256" s="109" t="n"/>
      <c r="AF256" s="109" t="n"/>
      <c r="AG256" s="109" t="n"/>
      <c r="AH256" s="109" t="n"/>
      <c r="AL256" s="109" t="n"/>
      <c r="AM256" s="109" t="n"/>
      <c r="AN256" s="109" t="n"/>
    </row>
    <row r="257" ht="15.75" customHeight="1" s="216">
      <c r="D257" s="109" t="n"/>
      <c r="E257" s="109" t="n"/>
      <c r="J257" s="109" t="n"/>
      <c r="K257" s="109" t="n"/>
      <c r="L257" s="109" t="n"/>
      <c r="N257" s="109" t="n"/>
      <c r="O257" s="109" t="n"/>
      <c r="P257" s="109" t="n"/>
      <c r="T257" s="109" t="n"/>
      <c r="U257" s="109" t="n"/>
      <c r="V257" s="109" t="n"/>
      <c r="Z257" s="109" t="n"/>
      <c r="AA257" s="109" t="n"/>
      <c r="AB257" s="109" t="n"/>
      <c r="AF257" s="109" t="n"/>
      <c r="AG257" s="109" t="n"/>
      <c r="AH257" s="109" t="n"/>
      <c r="AL257" s="109" t="n"/>
      <c r="AM257" s="109" t="n"/>
      <c r="AN257" s="109" t="n"/>
    </row>
    <row r="258" ht="15.75" customHeight="1" s="216">
      <c r="D258" s="109" t="n"/>
      <c r="E258" s="109" t="n"/>
      <c r="J258" s="109" t="n"/>
      <c r="K258" s="109" t="n"/>
      <c r="L258" s="109" t="n"/>
      <c r="N258" s="109" t="n"/>
      <c r="O258" s="109" t="n"/>
      <c r="P258" s="109" t="n"/>
      <c r="T258" s="109" t="n"/>
      <c r="U258" s="109" t="n"/>
      <c r="V258" s="109" t="n"/>
      <c r="Z258" s="109" t="n"/>
      <c r="AA258" s="109" t="n"/>
      <c r="AB258" s="109" t="n"/>
      <c r="AF258" s="109" t="n"/>
      <c r="AG258" s="109" t="n"/>
      <c r="AH258" s="109" t="n"/>
      <c r="AL258" s="109" t="n"/>
      <c r="AM258" s="109" t="n"/>
      <c r="AN258" s="109" t="n"/>
    </row>
    <row r="259" ht="15.75" customHeight="1" s="216">
      <c r="D259" s="109" t="n"/>
      <c r="E259" s="109" t="n"/>
      <c r="J259" s="109" t="n"/>
      <c r="K259" s="109" t="n"/>
      <c r="L259" s="109" t="n"/>
      <c r="N259" s="109" t="n"/>
      <c r="O259" s="109" t="n"/>
      <c r="P259" s="109" t="n"/>
      <c r="T259" s="109" t="n"/>
      <c r="U259" s="109" t="n"/>
      <c r="V259" s="109" t="n"/>
      <c r="Z259" s="109" t="n"/>
      <c r="AA259" s="109" t="n"/>
      <c r="AB259" s="109" t="n"/>
      <c r="AF259" s="109" t="n"/>
      <c r="AG259" s="109" t="n"/>
      <c r="AH259" s="109" t="n"/>
      <c r="AL259" s="109" t="n"/>
      <c r="AM259" s="109" t="n"/>
      <c r="AN259" s="109" t="n"/>
    </row>
    <row r="260" ht="15.75" customHeight="1" s="216">
      <c r="D260" s="109" t="n"/>
      <c r="E260" s="109" t="n"/>
      <c r="J260" s="109" t="n"/>
      <c r="K260" s="109" t="n"/>
      <c r="L260" s="109" t="n"/>
      <c r="N260" s="109" t="n"/>
      <c r="O260" s="109" t="n"/>
      <c r="P260" s="109" t="n"/>
      <c r="T260" s="109" t="n"/>
      <c r="U260" s="109" t="n"/>
      <c r="V260" s="109" t="n"/>
      <c r="Z260" s="109" t="n"/>
      <c r="AA260" s="109" t="n"/>
      <c r="AB260" s="109" t="n"/>
      <c r="AF260" s="109" t="n"/>
      <c r="AG260" s="109" t="n"/>
      <c r="AH260" s="109" t="n"/>
      <c r="AL260" s="109" t="n"/>
      <c r="AM260" s="109" t="n"/>
      <c r="AN260" s="109" t="n"/>
    </row>
    <row r="261" ht="15.75" customHeight="1" s="216">
      <c r="D261" s="109" t="n"/>
      <c r="E261" s="109" t="n"/>
      <c r="J261" s="109" t="n"/>
      <c r="K261" s="109" t="n"/>
      <c r="L261" s="109" t="n"/>
      <c r="N261" s="109" t="n"/>
      <c r="O261" s="109" t="n"/>
      <c r="P261" s="109" t="n"/>
      <c r="T261" s="109" t="n"/>
      <c r="U261" s="109" t="n"/>
      <c r="V261" s="109" t="n"/>
      <c r="Z261" s="109" t="n"/>
      <c r="AA261" s="109" t="n"/>
      <c r="AB261" s="109" t="n"/>
      <c r="AF261" s="109" t="n"/>
      <c r="AG261" s="109" t="n"/>
      <c r="AH261" s="109" t="n"/>
      <c r="AL261" s="109" t="n"/>
      <c r="AM261" s="109" t="n"/>
      <c r="AN261" s="109" t="n"/>
    </row>
    <row r="262" ht="15.75" customHeight="1" s="216">
      <c r="D262" s="109" t="n"/>
      <c r="E262" s="109" t="n"/>
      <c r="J262" s="109" t="n"/>
      <c r="K262" s="109" t="n"/>
      <c r="L262" s="109" t="n"/>
      <c r="N262" s="109" t="n"/>
      <c r="O262" s="109" t="n"/>
      <c r="P262" s="109" t="n"/>
      <c r="T262" s="109" t="n"/>
      <c r="U262" s="109" t="n"/>
      <c r="V262" s="109" t="n"/>
      <c r="Z262" s="109" t="n"/>
      <c r="AA262" s="109" t="n"/>
      <c r="AB262" s="109" t="n"/>
      <c r="AF262" s="109" t="n"/>
      <c r="AG262" s="109" t="n"/>
      <c r="AH262" s="109" t="n"/>
      <c r="AL262" s="109" t="n"/>
      <c r="AM262" s="109" t="n"/>
      <c r="AN262" s="109" t="n"/>
    </row>
    <row r="263" ht="15.75" customHeight="1" s="216">
      <c r="D263" s="109" t="n"/>
      <c r="E263" s="109" t="n"/>
      <c r="J263" s="109" t="n"/>
      <c r="K263" s="109" t="n"/>
      <c r="L263" s="109" t="n"/>
      <c r="N263" s="109" t="n"/>
      <c r="O263" s="109" t="n"/>
      <c r="P263" s="109" t="n"/>
      <c r="T263" s="109" t="n"/>
      <c r="U263" s="109" t="n"/>
      <c r="V263" s="109" t="n"/>
      <c r="Z263" s="109" t="n"/>
      <c r="AA263" s="109" t="n"/>
      <c r="AB263" s="109" t="n"/>
      <c r="AF263" s="109" t="n"/>
      <c r="AG263" s="109" t="n"/>
      <c r="AH263" s="109" t="n"/>
      <c r="AL263" s="109" t="n"/>
      <c r="AM263" s="109" t="n"/>
      <c r="AN263" s="109" t="n"/>
    </row>
    <row r="264" ht="15.75" customHeight="1" s="216">
      <c r="D264" s="109" t="n"/>
      <c r="E264" s="109" t="n"/>
      <c r="J264" s="109" t="n"/>
      <c r="K264" s="109" t="n"/>
      <c r="L264" s="109" t="n"/>
      <c r="N264" s="109" t="n"/>
      <c r="O264" s="109" t="n"/>
      <c r="P264" s="109" t="n"/>
      <c r="T264" s="109" t="n"/>
      <c r="U264" s="109" t="n"/>
      <c r="V264" s="109" t="n"/>
      <c r="Z264" s="109" t="n"/>
      <c r="AA264" s="109" t="n"/>
      <c r="AB264" s="109" t="n"/>
      <c r="AF264" s="109" t="n"/>
      <c r="AG264" s="109" t="n"/>
      <c r="AH264" s="109" t="n"/>
      <c r="AL264" s="109" t="n"/>
      <c r="AM264" s="109" t="n"/>
      <c r="AN264" s="109" t="n"/>
    </row>
    <row r="265" ht="15.75" customHeight="1" s="216">
      <c r="D265" s="109" t="n"/>
      <c r="E265" s="109" t="n"/>
      <c r="J265" s="109" t="n"/>
      <c r="K265" s="109" t="n"/>
      <c r="L265" s="109" t="n"/>
      <c r="N265" s="109" t="n"/>
      <c r="O265" s="109" t="n"/>
      <c r="P265" s="109" t="n"/>
      <c r="T265" s="109" t="n"/>
      <c r="U265" s="109" t="n"/>
      <c r="V265" s="109" t="n"/>
      <c r="Z265" s="109" t="n"/>
      <c r="AA265" s="109" t="n"/>
      <c r="AB265" s="109" t="n"/>
      <c r="AF265" s="109" t="n"/>
      <c r="AG265" s="109" t="n"/>
      <c r="AH265" s="109" t="n"/>
      <c r="AL265" s="109" t="n"/>
      <c r="AM265" s="109" t="n"/>
      <c r="AN265" s="109" t="n"/>
    </row>
    <row r="266" ht="15.75" customHeight="1" s="216">
      <c r="D266" s="109" t="n"/>
      <c r="E266" s="109" t="n"/>
      <c r="J266" s="109" t="n"/>
      <c r="K266" s="109" t="n"/>
      <c r="L266" s="109" t="n"/>
      <c r="N266" s="109" t="n"/>
      <c r="O266" s="109" t="n"/>
      <c r="P266" s="109" t="n"/>
      <c r="T266" s="109" t="n"/>
      <c r="U266" s="109" t="n"/>
      <c r="V266" s="109" t="n"/>
      <c r="Z266" s="109" t="n"/>
      <c r="AA266" s="109" t="n"/>
      <c r="AB266" s="109" t="n"/>
      <c r="AF266" s="109" t="n"/>
      <c r="AG266" s="109" t="n"/>
      <c r="AH266" s="109" t="n"/>
      <c r="AL266" s="109" t="n"/>
      <c r="AM266" s="109" t="n"/>
      <c r="AN266" s="109" t="n"/>
    </row>
    <row r="267" ht="15.75" customHeight="1" s="216">
      <c r="D267" s="109" t="n"/>
      <c r="E267" s="109" t="n"/>
      <c r="J267" s="109" t="n"/>
      <c r="K267" s="109" t="n"/>
      <c r="L267" s="109" t="n"/>
      <c r="N267" s="109" t="n"/>
      <c r="O267" s="109" t="n"/>
      <c r="P267" s="109" t="n"/>
      <c r="T267" s="109" t="n"/>
      <c r="U267" s="109" t="n"/>
      <c r="V267" s="109" t="n"/>
      <c r="Z267" s="109" t="n"/>
      <c r="AA267" s="109" t="n"/>
      <c r="AB267" s="109" t="n"/>
      <c r="AF267" s="109" t="n"/>
      <c r="AG267" s="109" t="n"/>
      <c r="AH267" s="109" t="n"/>
      <c r="AL267" s="109" t="n"/>
      <c r="AM267" s="109" t="n"/>
      <c r="AN267" s="109" t="n"/>
    </row>
    <row r="268" ht="15.75" customHeight="1" s="216">
      <c r="D268" s="109" t="n"/>
      <c r="E268" s="109" t="n"/>
      <c r="J268" s="109" t="n"/>
      <c r="K268" s="109" t="n"/>
      <c r="L268" s="109" t="n"/>
      <c r="N268" s="109" t="n"/>
      <c r="O268" s="109" t="n"/>
      <c r="P268" s="109" t="n"/>
      <c r="T268" s="109" t="n"/>
      <c r="U268" s="109" t="n"/>
      <c r="V268" s="109" t="n"/>
      <c r="Z268" s="109" t="n"/>
      <c r="AA268" s="109" t="n"/>
      <c r="AB268" s="109" t="n"/>
      <c r="AF268" s="109" t="n"/>
      <c r="AG268" s="109" t="n"/>
      <c r="AH268" s="109" t="n"/>
      <c r="AL268" s="109" t="n"/>
      <c r="AM268" s="109" t="n"/>
      <c r="AN268" s="109" t="n"/>
    </row>
    <row r="269" ht="15.75" customHeight="1" s="216">
      <c r="D269" s="109" t="n"/>
      <c r="E269" s="109" t="n"/>
      <c r="J269" s="109" t="n"/>
      <c r="K269" s="109" t="n"/>
      <c r="L269" s="109" t="n"/>
      <c r="N269" s="109" t="n"/>
      <c r="O269" s="109" t="n"/>
      <c r="P269" s="109" t="n"/>
      <c r="T269" s="109" t="n"/>
      <c r="U269" s="109" t="n"/>
      <c r="V269" s="109" t="n"/>
      <c r="Z269" s="109" t="n"/>
      <c r="AA269" s="109" t="n"/>
      <c r="AB269" s="109" t="n"/>
      <c r="AF269" s="109" t="n"/>
      <c r="AG269" s="109" t="n"/>
      <c r="AH269" s="109" t="n"/>
      <c r="AL269" s="109" t="n"/>
      <c r="AM269" s="109" t="n"/>
      <c r="AN269" s="109" t="n"/>
    </row>
    <row r="270" ht="15.75" customHeight="1" s="216">
      <c r="D270" s="109" t="n"/>
      <c r="E270" s="109" t="n"/>
      <c r="J270" s="109" t="n"/>
      <c r="K270" s="109" t="n"/>
      <c r="L270" s="109" t="n"/>
      <c r="N270" s="109" t="n"/>
      <c r="O270" s="109" t="n"/>
      <c r="P270" s="109" t="n"/>
      <c r="T270" s="109" t="n"/>
      <c r="U270" s="109" t="n"/>
      <c r="V270" s="109" t="n"/>
      <c r="Z270" s="109" t="n"/>
      <c r="AA270" s="109" t="n"/>
      <c r="AB270" s="109" t="n"/>
      <c r="AF270" s="109" t="n"/>
      <c r="AG270" s="109" t="n"/>
      <c r="AH270" s="109" t="n"/>
      <c r="AL270" s="109" t="n"/>
      <c r="AM270" s="109" t="n"/>
      <c r="AN270" s="109" t="n"/>
    </row>
    <row r="271" ht="15.75" customHeight="1" s="216">
      <c r="D271" s="109" t="n"/>
      <c r="E271" s="109" t="n"/>
      <c r="J271" s="109" t="n"/>
      <c r="K271" s="109" t="n"/>
      <c r="L271" s="109" t="n"/>
      <c r="N271" s="109" t="n"/>
      <c r="O271" s="109" t="n"/>
      <c r="P271" s="109" t="n"/>
      <c r="T271" s="109" t="n"/>
      <c r="U271" s="109" t="n"/>
      <c r="V271" s="109" t="n"/>
      <c r="Z271" s="109" t="n"/>
      <c r="AA271" s="109" t="n"/>
      <c r="AB271" s="109" t="n"/>
      <c r="AF271" s="109" t="n"/>
      <c r="AG271" s="109" t="n"/>
      <c r="AH271" s="109" t="n"/>
      <c r="AL271" s="109" t="n"/>
      <c r="AM271" s="109" t="n"/>
      <c r="AN271" s="109" t="n"/>
    </row>
    <row r="272" ht="15.75" customHeight="1" s="216">
      <c r="D272" s="109" t="n"/>
      <c r="E272" s="109" t="n"/>
      <c r="J272" s="109" t="n"/>
      <c r="K272" s="109" t="n"/>
      <c r="L272" s="109" t="n"/>
      <c r="N272" s="109" t="n"/>
      <c r="O272" s="109" t="n"/>
      <c r="P272" s="109" t="n"/>
      <c r="T272" s="109" t="n"/>
      <c r="U272" s="109" t="n"/>
      <c r="V272" s="109" t="n"/>
      <c r="Z272" s="109" t="n"/>
      <c r="AA272" s="109" t="n"/>
      <c r="AB272" s="109" t="n"/>
      <c r="AF272" s="109" t="n"/>
      <c r="AG272" s="109" t="n"/>
      <c r="AH272" s="109" t="n"/>
      <c r="AL272" s="109" t="n"/>
      <c r="AM272" s="109" t="n"/>
      <c r="AN272" s="109" t="n"/>
    </row>
    <row r="273" ht="15.75" customHeight="1" s="216">
      <c r="D273" s="109" t="n"/>
      <c r="E273" s="109" t="n"/>
      <c r="J273" s="109" t="n"/>
      <c r="K273" s="109" t="n"/>
      <c r="L273" s="109" t="n"/>
      <c r="N273" s="109" t="n"/>
      <c r="O273" s="109" t="n"/>
      <c r="P273" s="109" t="n"/>
      <c r="T273" s="109" t="n"/>
      <c r="U273" s="109" t="n"/>
      <c r="V273" s="109" t="n"/>
      <c r="Z273" s="109" t="n"/>
      <c r="AA273" s="109" t="n"/>
      <c r="AB273" s="109" t="n"/>
      <c r="AF273" s="109" t="n"/>
      <c r="AG273" s="109" t="n"/>
      <c r="AH273" s="109" t="n"/>
      <c r="AL273" s="109" t="n"/>
      <c r="AM273" s="109" t="n"/>
      <c r="AN273" s="109" t="n"/>
    </row>
    <row r="274" ht="15.75" customHeight="1" s="216">
      <c r="D274" s="109" t="n"/>
      <c r="E274" s="109" t="n"/>
      <c r="J274" s="109" t="n"/>
      <c r="K274" s="109" t="n"/>
      <c r="L274" s="109" t="n"/>
      <c r="N274" s="109" t="n"/>
      <c r="O274" s="109" t="n"/>
      <c r="P274" s="109" t="n"/>
      <c r="T274" s="109" t="n"/>
      <c r="U274" s="109" t="n"/>
      <c r="V274" s="109" t="n"/>
      <c r="Z274" s="109" t="n"/>
      <c r="AA274" s="109" t="n"/>
      <c r="AB274" s="109" t="n"/>
      <c r="AF274" s="109" t="n"/>
      <c r="AG274" s="109" t="n"/>
      <c r="AH274" s="109" t="n"/>
      <c r="AL274" s="109" t="n"/>
      <c r="AM274" s="109" t="n"/>
      <c r="AN274" s="109" t="n"/>
    </row>
    <row r="275" ht="15.75" customHeight="1" s="216">
      <c r="D275" s="109" t="n"/>
      <c r="E275" s="109" t="n"/>
      <c r="J275" s="109" t="n"/>
      <c r="K275" s="109" t="n"/>
      <c r="L275" s="109" t="n"/>
      <c r="N275" s="109" t="n"/>
      <c r="O275" s="109" t="n"/>
      <c r="P275" s="109" t="n"/>
      <c r="T275" s="109" t="n"/>
      <c r="U275" s="109" t="n"/>
      <c r="V275" s="109" t="n"/>
      <c r="Z275" s="109" t="n"/>
      <c r="AA275" s="109" t="n"/>
      <c r="AB275" s="109" t="n"/>
      <c r="AF275" s="109" t="n"/>
      <c r="AG275" s="109" t="n"/>
      <c r="AH275" s="109" t="n"/>
      <c r="AL275" s="109" t="n"/>
      <c r="AM275" s="109" t="n"/>
      <c r="AN275" s="109" t="n"/>
    </row>
    <row r="276" ht="15.75" customHeight="1" s="216">
      <c r="D276" s="109" t="n"/>
      <c r="E276" s="109" t="n"/>
      <c r="J276" s="109" t="n"/>
      <c r="K276" s="109" t="n"/>
      <c r="L276" s="109" t="n"/>
      <c r="N276" s="109" t="n"/>
      <c r="O276" s="109" t="n"/>
      <c r="P276" s="109" t="n"/>
      <c r="T276" s="109" t="n"/>
      <c r="U276" s="109" t="n"/>
      <c r="V276" s="109" t="n"/>
      <c r="Z276" s="109" t="n"/>
      <c r="AA276" s="109" t="n"/>
      <c r="AB276" s="109" t="n"/>
      <c r="AF276" s="109" t="n"/>
      <c r="AG276" s="109" t="n"/>
      <c r="AH276" s="109" t="n"/>
      <c r="AL276" s="109" t="n"/>
      <c r="AM276" s="109" t="n"/>
      <c r="AN276" s="109" t="n"/>
    </row>
    <row r="277" ht="15.75" customHeight="1" s="216">
      <c r="D277" s="109" t="n"/>
      <c r="E277" s="109" t="n"/>
      <c r="J277" s="109" t="n"/>
      <c r="K277" s="109" t="n"/>
      <c r="L277" s="109" t="n"/>
      <c r="N277" s="109" t="n"/>
      <c r="O277" s="109" t="n"/>
      <c r="P277" s="109" t="n"/>
      <c r="T277" s="109" t="n"/>
      <c r="U277" s="109" t="n"/>
      <c r="V277" s="109" t="n"/>
      <c r="Z277" s="109" t="n"/>
      <c r="AA277" s="109" t="n"/>
      <c r="AB277" s="109" t="n"/>
      <c r="AF277" s="109" t="n"/>
      <c r="AG277" s="109" t="n"/>
      <c r="AH277" s="109" t="n"/>
      <c r="AL277" s="109" t="n"/>
      <c r="AM277" s="109" t="n"/>
      <c r="AN277" s="109" t="n"/>
    </row>
    <row r="278" ht="15.75" customHeight="1" s="216">
      <c r="D278" s="109" t="n"/>
      <c r="E278" s="109" t="n"/>
      <c r="J278" s="109" t="n"/>
      <c r="K278" s="109" t="n"/>
      <c r="L278" s="109" t="n"/>
      <c r="N278" s="109" t="n"/>
      <c r="O278" s="109" t="n"/>
      <c r="P278" s="109" t="n"/>
      <c r="T278" s="109" t="n"/>
      <c r="U278" s="109" t="n"/>
      <c r="V278" s="109" t="n"/>
      <c r="Z278" s="109" t="n"/>
      <c r="AA278" s="109" t="n"/>
      <c r="AB278" s="109" t="n"/>
      <c r="AF278" s="109" t="n"/>
      <c r="AG278" s="109" t="n"/>
      <c r="AH278" s="109" t="n"/>
      <c r="AL278" s="109" t="n"/>
      <c r="AM278" s="109" t="n"/>
      <c r="AN278" s="109" t="n"/>
    </row>
    <row r="279" ht="15.75" customHeight="1" s="216">
      <c r="D279" s="109" t="n"/>
      <c r="E279" s="109" t="n"/>
      <c r="J279" s="109" t="n"/>
      <c r="K279" s="109" t="n"/>
      <c r="L279" s="109" t="n"/>
      <c r="N279" s="109" t="n"/>
      <c r="O279" s="109" t="n"/>
      <c r="P279" s="109" t="n"/>
      <c r="T279" s="109" t="n"/>
      <c r="U279" s="109" t="n"/>
      <c r="V279" s="109" t="n"/>
      <c r="Z279" s="109" t="n"/>
      <c r="AA279" s="109" t="n"/>
      <c r="AB279" s="109" t="n"/>
      <c r="AF279" s="109" t="n"/>
      <c r="AG279" s="109" t="n"/>
      <c r="AH279" s="109" t="n"/>
      <c r="AL279" s="109" t="n"/>
      <c r="AM279" s="109" t="n"/>
      <c r="AN279" s="109" t="n"/>
    </row>
    <row r="280" ht="15.75" customHeight="1" s="216">
      <c r="D280" s="109" t="n"/>
      <c r="E280" s="109" t="n"/>
      <c r="J280" s="109" t="n"/>
      <c r="K280" s="109" t="n"/>
      <c r="L280" s="109" t="n"/>
      <c r="N280" s="109" t="n"/>
      <c r="O280" s="109" t="n"/>
      <c r="P280" s="109" t="n"/>
      <c r="T280" s="109" t="n"/>
      <c r="U280" s="109" t="n"/>
      <c r="V280" s="109" t="n"/>
      <c r="Z280" s="109" t="n"/>
      <c r="AA280" s="109" t="n"/>
      <c r="AB280" s="109" t="n"/>
      <c r="AF280" s="109" t="n"/>
      <c r="AG280" s="109" t="n"/>
      <c r="AH280" s="109" t="n"/>
      <c r="AL280" s="109" t="n"/>
      <c r="AM280" s="109" t="n"/>
      <c r="AN280" s="109" t="n"/>
    </row>
    <row r="281" ht="15.75" customHeight="1" s="216">
      <c r="D281" s="109" t="n"/>
      <c r="E281" s="109" t="n"/>
      <c r="J281" s="109" t="n"/>
      <c r="K281" s="109" t="n"/>
      <c r="L281" s="109" t="n"/>
      <c r="N281" s="109" t="n"/>
      <c r="O281" s="109" t="n"/>
      <c r="P281" s="109" t="n"/>
      <c r="T281" s="109" t="n"/>
      <c r="U281" s="109" t="n"/>
      <c r="V281" s="109" t="n"/>
      <c r="Z281" s="109" t="n"/>
      <c r="AA281" s="109" t="n"/>
      <c r="AB281" s="109" t="n"/>
      <c r="AF281" s="109" t="n"/>
      <c r="AG281" s="109" t="n"/>
      <c r="AH281" s="109" t="n"/>
      <c r="AL281" s="109" t="n"/>
      <c r="AM281" s="109" t="n"/>
      <c r="AN281" s="109" t="n"/>
    </row>
    <row r="282" ht="15.75" customHeight="1" s="216">
      <c r="D282" s="109" t="n"/>
      <c r="E282" s="109" t="n"/>
      <c r="J282" s="109" t="n"/>
      <c r="K282" s="109" t="n"/>
      <c r="L282" s="109" t="n"/>
      <c r="N282" s="109" t="n"/>
      <c r="O282" s="109" t="n"/>
      <c r="P282" s="109" t="n"/>
      <c r="T282" s="109" t="n"/>
      <c r="U282" s="109" t="n"/>
      <c r="V282" s="109" t="n"/>
      <c r="Z282" s="109" t="n"/>
      <c r="AA282" s="109" t="n"/>
      <c r="AB282" s="109" t="n"/>
      <c r="AF282" s="109" t="n"/>
      <c r="AG282" s="109" t="n"/>
      <c r="AH282" s="109" t="n"/>
      <c r="AL282" s="109" t="n"/>
      <c r="AM282" s="109" t="n"/>
      <c r="AN282" s="109" t="n"/>
    </row>
    <row r="283" ht="15.75" customHeight="1" s="216">
      <c r="D283" s="109" t="n"/>
      <c r="E283" s="109" t="n"/>
      <c r="J283" s="109" t="n"/>
      <c r="K283" s="109" t="n"/>
      <c r="L283" s="109" t="n"/>
      <c r="N283" s="109" t="n"/>
      <c r="O283" s="109" t="n"/>
      <c r="P283" s="109" t="n"/>
      <c r="T283" s="109" t="n"/>
      <c r="U283" s="109" t="n"/>
      <c r="V283" s="109" t="n"/>
      <c r="Z283" s="109" t="n"/>
      <c r="AA283" s="109" t="n"/>
      <c r="AB283" s="109" t="n"/>
      <c r="AF283" s="109" t="n"/>
      <c r="AG283" s="109" t="n"/>
      <c r="AH283" s="109" t="n"/>
      <c r="AL283" s="109" t="n"/>
      <c r="AM283" s="109" t="n"/>
      <c r="AN283" s="109" t="n"/>
    </row>
    <row r="284" ht="15.75" customHeight="1" s="216">
      <c r="D284" s="109" t="n"/>
      <c r="E284" s="109" t="n"/>
      <c r="J284" s="109" t="n"/>
      <c r="K284" s="109" t="n"/>
      <c r="L284" s="109" t="n"/>
      <c r="N284" s="109" t="n"/>
      <c r="O284" s="109" t="n"/>
      <c r="P284" s="109" t="n"/>
      <c r="T284" s="109" t="n"/>
      <c r="U284" s="109" t="n"/>
      <c r="V284" s="109" t="n"/>
      <c r="Z284" s="109" t="n"/>
      <c r="AA284" s="109" t="n"/>
      <c r="AB284" s="109" t="n"/>
      <c r="AF284" s="109" t="n"/>
      <c r="AG284" s="109" t="n"/>
      <c r="AH284" s="109" t="n"/>
      <c r="AL284" s="109" t="n"/>
      <c r="AM284" s="109" t="n"/>
      <c r="AN284" s="109" t="n"/>
    </row>
    <row r="285" ht="15.75" customHeight="1" s="216">
      <c r="D285" s="109" t="n"/>
      <c r="E285" s="109" t="n"/>
      <c r="J285" s="109" t="n"/>
      <c r="K285" s="109" t="n"/>
      <c r="L285" s="109" t="n"/>
      <c r="N285" s="109" t="n"/>
      <c r="O285" s="109" t="n"/>
      <c r="P285" s="109" t="n"/>
      <c r="T285" s="109" t="n"/>
      <c r="U285" s="109" t="n"/>
      <c r="V285" s="109" t="n"/>
      <c r="Z285" s="109" t="n"/>
      <c r="AA285" s="109" t="n"/>
      <c r="AB285" s="109" t="n"/>
      <c r="AF285" s="109" t="n"/>
      <c r="AG285" s="109" t="n"/>
      <c r="AH285" s="109" t="n"/>
      <c r="AL285" s="109" t="n"/>
      <c r="AM285" s="109" t="n"/>
      <c r="AN285" s="109" t="n"/>
    </row>
    <row r="286" ht="15.75" customHeight="1" s="216">
      <c r="D286" s="109" t="n"/>
      <c r="E286" s="109" t="n"/>
      <c r="J286" s="109" t="n"/>
      <c r="K286" s="109" t="n"/>
      <c r="L286" s="109" t="n"/>
      <c r="N286" s="109" t="n"/>
      <c r="O286" s="109" t="n"/>
      <c r="P286" s="109" t="n"/>
      <c r="T286" s="109" t="n"/>
      <c r="U286" s="109" t="n"/>
      <c r="V286" s="109" t="n"/>
      <c r="Z286" s="109" t="n"/>
      <c r="AA286" s="109" t="n"/>
      <c r="AB286" s="109" t="n"/>
      <c r="AF286" s="109" t="n"/>
      <c r="AG286" s="109" t="n"/>
      <c r="AH286" s="109" t="n"/>
      <c r="AL286" s="109" t="n"/>
      <c r="AM286" s="109" t="n"/>
      <c r="AN286" s="109" t="n"/>
    </row>
    <row r="287" ht="15.75" customHeight="1" s="216">
      <c r="D287" s="109" t="n"/>
      <c r="E287" s="109" t="n"/>
      <c r="J287" s="109" t="n"/>
      <c r="K287" s="109" t="n"/>
      <c r="L287" s="109" t="n"/>
      <c r="N287" s="109" t="n"/>
      <c r="O287" s="109" t="n"/>
      <c r="P287" s="109" t="n"/>
      <c r="T287" s="109" t="n"/>
      <c r="U287" s="109" t="n"/>
      <c r="V287" s="109" t="n"/>
      <c r="Z287" s="109" t="n"/>
      <c r="AA287" s="109" t="n"/>
      <c r="AB287" s="109" t="n"/>
      <c r="AF287" s="109" t="n"/>
      <c r="AG287" s="109" t="n"/>
      <c r="AH287" s="109" t="n"/>
      <c r="AL287" s="109" t="n"/>
      <c r="AM287" s="109" t="n"/>
      <c r="AN287" s="109" t="n"/>
    </row>
    <row r="288" ht="15.75" customHeight="1" s="216">
      <c r="D288" s="109" t="n"/>
      <c r="E288" s="109" t="n"/>
      <c r="J288" s="109" t="n"/>
      <c r="K288" s="109" t="n"/>
      <c r="L288" s="109" t="n"/>
      <c r="N288" s="109" t="n"/>
      <c r="O288" s="109" t="n"/>
      <c r="P288" s="109" t="n"/>
      <c r="T288" s="109" t="n"/>
      <c r="U288" s="109" t="n"/>
      <c r="V288" s="109" t="n"/>
      <c r="Z288" s="109" t="n"/>
      <c r="AA288" s="109" t="n"/>
      <c r="AB288" s="109" t="n"/>
      <c r="AF288" s="109" t="n"/>
      <c r="AG288" s="109" t="n"/>
      <c r="AH288" s="109" t="n"/>
      <c r="AL288" s="109" t="n"/>
      <c r="AM288" s="109" t="n"/>
      <c r="AN288" s="109" t="n"/>
    </row>
    <row r="289" ht="15.75" customHeight="1" s="216">
      <c r="D289" s="109" t="n"/>
      <c r="E289" s="109" t="n"/>
      <c r="J289" s="109" t="n"/>
      <c r="K289" s="109" t="n"/>
      <c r="L289" s="109" t="n"/>
      <c r="N289" s="109" t="n"/>
      <c r="O289" s="109" t="n"/>
      <c r="P289" s="109" t="n"/>
      <c r="T289" s="109" t="n"/>
      <c r="U289" s="109" t="n"/>
      <c r="V289" s="109" t="n"/>
      <c r="Z289" s="109" t="n"/>
      <c r="AA289" s="109" t="n"/>
      <c r="AB289" s="109" t="n"/>
      <c r="AF289" s="109" t="n"/>
      <c r="AG289" s="109" t="n"/>
      <c r="AH289" s="109" t="n"/>
      <c r="AL289" s="109" t="n"/>
      <c r="AM289" s="109" t="n"/>
      <c r="AN289" s="109" t="n"/>
    </row>
    <row r="290" ht="15.75" customHeight="1" s="216">
      <c r="D290" s="109" t="n"/>
      <c r="E290" s="109" t="n"/>
      <c r="J290" s="109" t="n"/>
      <c r="K290" s="109" t="n"/>
      <c r="L290" s="109" t="n"/>
      <c r="N290" s="109" t="n"/>
      <c r="O290" s="109" t="n"/>
      <c r="P290" s="109" t="n"/>
      <c r="T290" s="109" t="n"/>
      <c r="U290" s="109" t="n"/>
      <c r="V290" s="109" t="n"/>
      <c r="Z290" s="109" t="n"/>
      <c r="AA290" s="109" t="n"/>
      <c r="AB290" s="109" t="n"/>
      <c r="AF290" s="109" t="n"/>
      <c r="AG290" s="109" t="n"/>
      <c r="AH290" s="109" t="n"/>
      <c r="AL290" s="109" t="n"/>
      <c r="AM290" s="109" t="n"/>
      <c r="AN290" s="109" t="n"/>
    </row>
    <row r="291" ht="15.75" customHeight="1" s="216">
      <c r="D291" s="109" t="n"/>
      <c r="E291" s="109" t="n"/>
      <c r="J291" s="109" t="n"/>
      <c r="K291" s="109" t="n"/>
      <c r="L291" s="109" t="n"/>
      <c r="N291" s="109" t="n"/>
      <c r="O291" s="109" t="n"/>
      <c r="P291" s="109" t="n"/>
      <c r="T291" s="109" t="n"/>
      <c r="U291" s="109" t="n"/>
      <c r="V291" s="109" t="n"/>
      <c r="Z291" s="109" t="n"/>
      <c r="AA291" s="109" t="n"/>
      <c r="AB291" s="109" t="n"/>
      <c r="AF291" s="109" t="n"/>
      <c r="AG291" s="109" t="n"/>
      <c r="AH291" s="109" t="n"/>
      <c r="AL291" s="109" t="n"/>
      <c r="AM291" s="109" t="n"/>
      <c r="AN291" s="109" t="n"/>
    </row>
    <row r="292" ht="15.75" customHeight="1" s="216">
      <c r="D292" s="109" t="n"/>
      <c r="E292" s="109" t="n"/>
      <c r="J292" s="109" t="n"/>
      <c r="K292" s="109" t="n"/>
      <c r="L292" s="109" t="n"/>
      <c r="N292" s="109" t="n"/>
      <c r="O292" s="109" t="n"/>
      <c r="P292" s="109" t="n"/>
      <c r="T292" s="109" t="n"/>
      <c r="U292" s="109" t="n"/>
      <c r="V292" s="109" t="n"/>
      <c r="Z292" s="109" t="n"/>
      <c r="AA292" s="109" t="n"/>
      <c r="AB292" s="109" t="n"/>
      <c r="AF292" s="109" t="n"/>
      <c r="AG292" s="109" t="n"/>
      <c r="AH292" s="109" t="n"/>
      <c r="AL292" s="109" t="n"/>
      <c r="AM292" s="109" t="n"/>
      <c r="AN292" s="109" t="n"/>
    </row>
    <row r="293" ht="15.75" customHeight="1" s="216">
      <c r="D293" s="109" t="n"/>
      <c r="E293" s="109" t="n"/>
      <c r="J293" s="109" t="n"/>
      <c r="K293" s="109" t="n"/>
      <c r="L293" s="109" t="n"/>
      <c r="N293" s="109" t="n"/>
      <c r="O293" s="109" t="n"/>
      <c r="P293" s="109" t="n"/>
      <c r="T293" s="109" t="n"/>
      <c r="U293" s="109" t="n"/>
      <c r="V293" s="109" t="n"/>
      <c r="Z293" s="109" t="n"/>
      <c r="AA293" s="109" t="n"/>
      <c r="AB293" s="109" t="n"/>
      <c r="AF293" s="109" t="n"/>
      <c r="AG293" s="109" t="n"/>
      <c r="AH293" s="109" t="n"/>
      <c r="AL293" s="109" t="n"/>
      <c r="AM293" s="109" t="n"/>
      <c r="AN293" s="109" t="n"/>
    </row>
    <row r="294" ht="15.75" customHeight="1" s="216">
      <c r="D294" s="109" t="n"/>
      <c r="E294" s="109" t="n"/>
      <c r="J294" s="109" t="n"/>
      <c r="K294" s="109" t="n"/>
      <c r="L294" s="109" t="n"/>
      <c r="N294" s="109" t="n"/>
      <c r="O294" s="109" t="n"/>
      <c r="P294" s="109" t="n"/>
      <c r="T294" s="109" t="n"/>
      <c r="U294" s="109" t="n"/>
      <c r="V294" s="109" t="n"/>
      <c r="Z294" s="109" t="n"/>
      <c r="AA294" s="109" t="n"/>
      <c r="AB294" s="109" t="n"/>
      <c r="AF294" s="109" t="n"/>
      <c r="AG294" s="109" t="n"/>
      <c r="AH294" s="109" t="n"/>
      <c r="AL294" s="109" t="n"/>
      <c r="AM294" s="109" t="n"/>
      <c r="AN294" s="109" t="n"/>
    </row>
    <row r="295" ht="15.75" customHeight="1" s="216">
      <c r="D295" s="109" t="n"/>
      <c r="E295" s="109" t="n"/>
      <c r="J295" s="109" t="n"/>
      <c r="K295" s="109" t="n"/>
      <c r="L295" s="109" t="n"/>
      <c r="N295" s="109" t="n"/>
      <c r="O295" s="109" t="n"/>
      <c r="P295" s="109" t="n"/>
      <c r="T295" s="109" t="n"/>
      <c r="U295" s="109" t="n"/>
      <c r="V295" s="109" t="n"/>
      <c r="Z295" s="109" t="n"/>
      <c r="AA295" s="109" t="n"/>
      <c r="AB295" s="109" t="n"/>
      <c r="AF295" s="109" t="n"/>
      <c r="AG295" s="109" t="n"/>
      <c r="AH295" s="109" t="n"/>
      <c r="AL295" s="109" t="n"/>
      <c r="AM295" s="109" t="n"/>
      <c r="AN295" s="109" t="n"/>
    </row>
    <row r="296" ht="15.75" customHeight="1" s="216">
      <c r="D296" s="109" t="n"/>
      <c r="E296" s="109" t="n"/>
      <c r="J296" s="109" t="n"/>
      <c r="K296" s="109" t="n"/>
      <c r="L296" s="109" t="n"/>
      <c r="N296" s="109" t="n"/>
      <c r="O296" s="109" t="n"/>
      <c r="P296" s="109" t="n"/>
      <c r="T296" s="109" t="n"/>
      <c r="U296" s="109" t="n"/>
      <c r="V296" s="109" t="n"/>
      <c r="Z296" s="109" t="n"/>
      <c r="AA296" s="109" t="n"/>
      <c r="AB296" s="109" t="n"/>
      <c r="AF296" s="109" t="n"/>
      <c r="AG296" s="109" t="n"/>
      <c r="AH296" s="109" t="n"/>
      <c r="AL296" s="109" t="n"/>
      <c r="AM296" s="109" t="n"/>
      <c r="AN296" s="109" t="n"/>
    </row>
    <row r="297" ht="15.75" customHeight="1" s="216">
      <c r="D297" s="109" t="n"/>
      <c r="E297" s="109" t="n"/>
      <c r="J297" s="109" t="n"/>
      <c r="K297" s="109" t="n"/>
      <c r="L297" s="109" t="n"/>
      <c r="N297" s="109" t="n"/>
      <c r="O297" s="109" t="n"/>
      <c r="P297" s="109" t="n"/>
      <c r="T297" s="109" t="n"/>
      <c r="U297" s="109" t="n"/>
      <c r="V297" s="109" t="n"/>
      <c r="Z297" s="109" t="n"/>
      <c r="AA297" s="109" t="n"/>
      <c r="AB297" s="109" t="n"/>
      <c r="AF297" s="109" t="n"/>
      <c r="AG297" s="109" t="n"/>
      <c r="AH297" s="109" t="n"/>
      <c r="AL297" s="109" t="n"/>
      <c r="AM297" s="109" t="n"/>
      <c r="AN297" s="109" t="n"/>
    </row>
    <row r="298" ht="15.75" customHeight="1" s="216">
      <c r="D298" s="109" t="n"/>
      <c r="E298" s="109" t="n"/>
      <c r="J298" s="109" t="n"/>
      <c r="K298" s="109" t="n"/>
      <c r="L298" s="109" t="n"/>
      <c r="N298" s="109" t="n"/>
      <c r="O298" s="109" t="n"/>
      <c r="P298" s="109" t="n"/>
      <c r="T298" s="109" t="n"/>
      <c r="U298" s="109" t="n"/>
      <c r="V298" s="109" t="n"/>
      <c r="Z298" s="109" t="n"/>
      <c r="AA298" s="109" t="n"/>
      <c r="AB298" s="109" t="n"/>
      <c r="AF298" s="109" t="n"/>
      <c r="AG298" s="109" t="n"/>
      <c r="AH298" s="109" t="n"/>
      <c r="AL298" s="109" t="n"/>
      <c r="AM298" s="109" t="n"/>
      <c r="AN298" s="109" t="n"/>
    </row>
    <row r="299" ht="15.75" customHeight="1" s="216">
      <c r="D299" s="109" t="n"/>
      <c r="E299" s="109" t="n"/>
      <c r="J299" s="109" t="n"/>
      <c r="K299" s="109" t="n"/>
      <c r="L299" s="109" t="n"/>
      <c r="N299" s="109" t="n"/>
      <c r="O299" s="109" t="n"/>
      <c r="P299" s="109" t="n"/>
      <c r="T299" s="109" t="n"/>
      <c r="U299" s="109" t="n"/>
      <c r="V299" s="109" t="n"/>
      <c r="Z299" s="109" t="n"/>
      <c r="AA299" s="109" t="n"/>
      <c r="AB299" s="109" t="n"/>
      <c r="AF299" s="109" t="n"/>
      <c r="AG299" s="109" t="n"/>
      <c r="AH299" s="109" t="n"/>
      <c r="AL299" s="109" t="n"/>
      <c r="AM299" s="109" t="n"/>
      <c r="AN299" s="109" t="n"/>
    </row>
    <row r="300" ht="15.75" customHeight="1" s="216">
      <c r="D300" s="109" t="n"/>
      <c r="E300" s="109" t="n"/>
      <c r="J300" s="109" t="n"/>
      <c r="K300" s="109" t="n"/>
      <c r="L300" s="109" t="n"/>
      <c r="N300" s="109" t="n"/>
      <c r="O300" s="109" t="n"/>
      <c r="P300" s="109" t="n"/>
      <c r="T300" s="109" t="n"/>
      <c r="U300" s="109" t="n"/>
      <c r="V300" s="109" t="n"/>
      <c r="Z300" s="109" t="n"/>
      <c r="AA300" s="109" t="n"/>
      <c r="AB300" s="109" t="n"/>
      <c r="AF300" s="109" t="n"/>
      <c r="AG300" s="109" t="n"/>
      <c r="AH300" s="109" t="n"/>
      <c r="AL300" s="109" t="n"/>
      <c r="AM300" s="109" t="n"/>
      <c r="AN300" s="109" t="n"/>
    </row>
    <row r="301" ht="15.75" customHeight="1" s="216">
      <c r="D301" s="109" t="n"/>
      <c r="E301" s="109" t="n"/>
      <c r="J301" s="109" t="n"/>
      <c r="K301" s="109" t="n"/>
      <c r="L301" s="109" t="n"/>
      <c r="N301" s="109" t="n"/>
      <c r="O301" s="109" t="n"/>
      <c r="P301" s="109" t="n"/>
      <c r="T301" s="109" t="n"/>
      <c r="U301" s="109" t="n"/>
      <c r="V301" s="109" t="n"/>
      <c r="Z301" s="109" t="n"/>
      <c r="AA301" s="109" t="n"/>
      <c r="AB301" s="109" t="n"/>
      <c r="AF301" s="109" t="n"/>
      <c r="AG301" s="109" t="n"/>
      <c r="AH301" s="109" t="n"/>
      <c r="AL301" s="109" t="n"/>
      <c r="AM301" s="109" t="n"/>
      <c r="AN301" s="109" t="n"/>
    </row>
    <row r="302" ht="15.75" customHeight="1" s="216">
      <c r="D302" s="109" t="n"/>
      <c r="E302" s="109" t="n"/>
      <c r="J302" s="109" t="n"/>
      <c r="K302" s="109" t="n"/>
      <c r="L302" s="109" t="n"/>
      <c r="N302" s="109" t="n"/>
      <c r="O302" s="109" t="n"/>
      <c r="P302" s="109" t="n"/>
      <c r="T302" s="109" t="n"/>
      <c r="U302" s="109" t="n"/>
      <c r="V302" s="109" t="n"/>
      <c r="Z302" s="109" t="n"/>
      <c r="AA302" s="109" t="n"/>
      <c r="AB302" s="109" t="n"/>
      <c r="AF302" s="109" t="n"/>
      <c r="AG302" s="109" t="n"/>
      <c r="AH302" s="109" t="n"/>
      <c r="AL302" s="109" t="n"/>
      <c r="AM302" s="109" t="n"/>
      <c r="AN302" s="109" t="n"/>
    </row>
    <row r="303" ht="15.75" customHeight="1" s="216">
      <c r="D303" s="109" t="n"/>
      <c r="E303" s="109" t="n"/>
      <c r="J303" s="109" t="n"/>
      <c r="K303" s="109" t="n"/>
      <c r="L303" s="109" t="n"/>
      <c r="N303" s="109" t="n"/>
      <c r="O303" s="109" t="n"/>
      <c r="P303" s="109" t="n"/>
      <c r="T303" s="109" t="n"/>
      <c r="U303" s="109" t="n"/>
      <c r="V303" s="109" t="n"/>
      <c r="Z303" s="109" t="n"/>
      <c r="AA303" s="109" t="n"/>
      <c r="AB303" s="109" t="n"/>
      <c r="AF303" s="109" t="n"/>
      <c r="AG303" s="109" t="n"/>
      <c r="AH303" s="109" t="n"/>
      <c r="AL303" s="109" t="n"/>
      <c r="AM303" s="109" t="n"/>
      <c r="AN303" s="109" t="n"/>
    </row>
    <row r="304" ht="15.75" customHeight="1" s="216">
      <c r="D304" s="109" t="n"/>
      <c r="E304" s="109" t="n"/>
      <c r="J304" s="109" t="n"/>
      <c r="K304" s="109" t="n"/>
      <c r="L304" s="109" t="n"/>
      <c r="N304" s="109" t="n"/>
      <c r="O304" s="109" t="n"/>
      <c r="P304" s="109" t="n"/>
      <c r="T304" s="109" t="n"/>
      <c r="U304" s="109" t="n"/>
      <c r="V304" s="109" t="n"/>
      <c r="Z304" s="109" t="n"/>
      <c r="AA304" s="109" t="n"/>
      <c r="AB304" s="109" t="n"/>
      <c r="AF304" s="109" t="n"/>
      <c r="AG304" s="109" t="n"/>
      <c r="AH304" s="109" t="n"/>
      <c r="AL304" s="109" t="n"/>
      <c r="AM304" s="109" t="n"/>
      <c r="AN304" s="109" t="n"/>
    </row>
    <row r="305" ht="15.75" customHeight="1" s="216">
      <c r="D305" s="109" t="n"/>
      <c r="E305" s="109" t="n"/>
      <c r="J305" s="109" t="n"/>
      <c r="K305" s="109" t="n"/>
      <c r="L305" s="109" t="n"/>
      <c r="N305" s="109" t="n"/>
      <c r="O305" s="109" t="n"/>
      <c r="P305" s="109" t="n"/>
      <c r="T305" s="109" t="n"/>
      <c r="U305" s="109" t="n"/>
      <c r="V305" s="109" t="n"/>
      <c r="Z305" s="109" t="n"/>
      <c r="AA305" s="109" t="n"/>
      <c r="AB305" s="109" t="n"/>
      <c r="AF305" s="109" t="n"/>
      <c r="AG305" s="109" t="n"/>
      <c r="AH305" s="109" t="n"/>
      <c r="AL305" s="109" t="n"/>
      <c r="AM305" s="109" t="n"/>
      <c r="AN305" s="109" t="n"/>
    </row>
    <row r="306" ht="15.75" customHeight="1" s="216">
      <c r="D306" s="109" t="n"/>
      <c r="E306" s="109" t="n"/>
      <c r="J306" s="109" t="n"/>
      <c r="K306" s="109" t="n"/>
      <c r="L306" s="109" t="n"/>
      <c r="N306" s="109" t="n"/>
      <c r="O306" s="109" t="n"/>
      <c r="P306" s="109" t="n"/>
      <c r="T306" s="109" t="n"/>
      <c r="U306" s="109" t="n"/>
      <c r="V306" s="109" t="n"/>
      <c r="Z306" s="109" t="n"/>
      <c r="AA306" s="109" t="n"/>
      <c r="AB306" s="109" t="n"/>
      <c r="AF306" s="109" t="n"/>
      <c r="AG306" s="109" t="n"/>
      <c r="AH306" s="109" t="n"/>
      <c r="AL306" s="109" t="n"/>
      <c r="AM306" s="109" t="n"/>
      <c r="AN306" s="109" t="n"/>
    </row>
    <row r="307" ht="15.75" customHeight="1" s="216">
      <c r="D307" s="109" t="n"/>
      <c r="E307" s="109" t="n"/>
      <c r="J307" s="109" t="n"/>
      <c r="K307" s="109" t="n"/>
      <c r="L307" s="109" t="n"/>
      <c r="N307" s="109" t="n"/>
      <c r="O307" s="109" t="n"/>
      <c r="P307" s="109" t="n"/>
      <c r="T307" s="109" t="n"/>
      <c r="U307" s="109" t="n"/>
      <c r="V307" s="109" t="n"/>
      <c r="Z307" s="109" t="n"/>
      <c r="AA307" s="109" t="n"/>
      <c r="AB307" s="109" t="n"/>
      <c r="AF307" s="109" t="n"/>
      <c r="AG307" s="109" t="n"/>
      <c r="AH307" s="109" t="n"/>
      <c r="AL307" s="109" t="n"/>
      <c r="AM307" s="109" t="n"/>
      <c r="AN307" s="109" t="n"/>
    </row>
    <row r="308" ht="15.75" customHeight="1" s="216">
      <c r="D308" s="109" t="n"/>
      <c r="E308" s="109" t="n"/>
      <c r="J308" s="109" t="n"/>
      <c r="K308" s="109" t="n"/>
      <c r="L308" s="109" t="n"/>
      <c r="N308" s="109" t="n"/>
      <c r="O308" s="109" t="n"/>
      <c r="P308" s="109" t="n"/>
      <c r="T308" s="109" t="n"/>
      <c r="U308" s="109" t="n"/>
      <c r="V308" s="109" t="n"/>
      <c r="Z308" s="109" t="n"/>
      <c r="AA308" s="109" t="n"/>
      <c r="AB308" s="109" t="n"/>
      <c r="AF308" s="109" t="n"/>
      <c r="AG308" s="109" t="n"/>
      <c r="AH308" s="109" t="n"/>
      <c r="AL308" s="109" t="n"/>
      <c r="AM308" s="109" t="n"/>
      <c r="AN308" s="109" t="n"/>
    </row>
    <row r="309" ht="15.75" customHeight="1" s="216">
      <c r="D309" s="109" t="n"/>
      <c r="E309" s="109" t="n"/>
      <c r="J309" s="109" t="n"/>
      <c r="K309" s="109" t="n"/>
      <c r="L309" s="109" t="n"/>
      <c r="N309" s="109" t="n"/>
      <c r="O309" s="109" t="n"/>
      <c r="P309" s="109" t="n"/>
      <c r="T309" s="109" t="n"/>
      <c r="U309" s="109" t="n"/>
      <c r="V309" s="109" t="n"/>
      <c r="Z309" s="109" t="n"/>
      <c r="AA309" s="109" t="n"/>
      <c r="AB309" s="109" t="n"/>
      <c r="AF309" s="109" t="n"/>
      <c r="AG309" s="109" t="n"/>
      <c r="AH309" s="109" t="n"/>
      <c r="AL309" s="109" t="n"/>
      <c r="AM309" s="109" t="n"/>
      <c r="AN309" s="109" t="n"/>
    </row>
    <row r="310" ht="15.75" customHeight="1" s="216">
      <c r="D310" s="109" t="n"/>
      <c r="E310" s="109" t="n"/>
      <c r="J310" s="109" t="n"/>
      <c r="K310" s="109" t="n"/>
      <c r="L310" s="109" t="n"/>
      <c r="N310" s="109" t="n"/>
      <c r="O310" s="109" t="n"/>
      <c r="P310" s="109" t="n"/>
      <c r="T310" s="109" t="n"/>
      <c r="U310" s="109" t="n"/>
      <c r="V310" s="109" t="n"/>
      <c r="Z310" s="109" t="n"/>
      <c r="AA310" s="109" t="n"/>
      <c r="AB310" s="109" t="n"/>
      <c r="AF310" s="109" t="n"/>
      <c r="AG310" s="109" t="n"/>
      <c r="AH310" s="109" t="n"/>
      <c r="AL310" s="109" t="n"/>
      <c r="AM310" s="109" t="n"/>
      <c r="AN310" s="109" t="n"/>
    </row>
    <row r="311" ht="15.75" customHeight="1" s="216">
      <c r="D311" s="109" t="n"/>
      <c r="E311" s="109" t="n"/>
      <c r="J311" s="109" t="n"/>
      <c r="K311" s="109" t="n"/>
      <c r="L311" s="109" t="n"/>
      <c r="N311" s="109" t="n"/>
      <c r="O311" s="109" t="n"/>
      <c r="P311" s="109" t="n"/>
      <c r="T311" s="109" t="n"/>
      <c r="U311" s="109" t="n"/>
      <c r="V311" s="109" t="n"/>
      <c r="Z311" s="109" t="n"/>
      <c r="AA311" s="109" t="n"/>
      <c r="AB311" s="109" t="n"/>
      <c r="AF311" s="109" t="n"/>
      <c r="AG311" s="109" t="n"/>
      <c r="AH311" s="109" t="n"/>
      <c r="AL311" s="109" t="n"/>
      <c r="AM311" s="109" t="n"/>
      <c r="AN311" s="109" t="n"/>
    </row>
    <row r="312" ht="15.75" customHeight="1" s="216">
      <c r="D312" s="109" t="n"/>
      <c r="E312" s="109" t="n"/>
      <c r="J312" s="109" t="n"/>
      <c r="K312" s="109" t="n"/>
      <c r="L312" s="109" t="n"/>
      <c r="N312" s="109" t="n"/>
      <c r="O312" s="109" t="n"/>
      <c r="P312" s="109" t="n"/>
      <c r="T312" s="109" t="n"/>
      <c r="U312" s="109" t="n"/>
      <c r="V312" s="109" t="n"/>
      <c r="Z312" s="109" t="n"/>
      <c r="AA312" s="109" t="n"/>
      <c r="AB312" s="109" t="n"/>
      <c r="AF312" s="109" t="n"/>
      <c r="AG312" s="109" t="n"/>
      <c r="AH312" s="109" t="n"/>
      <c r="AL312" s="109" t="n"/>
      <c r="AM312" s="109" t="n"/>
      <c r="AN312" s="109" t="n"/>
    </row>
    <row r="313" ht="15.75" customHeight="1" s="216">
      <c r="D313" s="109" t="n"/>
      <c r="E313" s="109" t="n"/>
      <c r="J313" s="109" t="n"/>
      <c r="K313" s="109" t="n"/>
      <c r="L313" s="109" t="n"/>
      <c r="N313" s="109" t="n"/>
      <c r="O313" s="109" t="n"/>
      <c r="P313" s="109" t="n"/>
      <c r="T313" s="109" t="n"/>
      <c r="U313" s="109" t="n"/>
      <c r="V313" s="109" t="n"/>
      <c r="Z313" s="109" t="n"/>
      <c r="AA313" s="109" t="n"/>
      <c r="AB313" s="109" t="n"/>
      <c r="AF313" s="109" t="n"/>
      <c r="AG313" s="109" t="n"/>
      <c r="AH313" s="109" t="n"/>
      <c r="AL313" s="109" t="n"/>
      <c r="AM313" s="109" t="n"/>
      <c r="AN313" s="109" t="n"/>
    </row>
    <row r="314" ht="15.75" customHeight="1" s="216">
      <c r="D314" s="109" t="n"/>
      <c r="E314" s="109" t="n"/>
      <c r="J314" s="109" t="n"/>
      <c r="K314" s="109" t="n"/>
      <c r="L314" s="109" t="n"/>
      <c r="N314" s="109" t="n"/>
      <c r="O314" s="109" t="n"/>
      <c r="P314" s="109" t="n"/>
      <c r="T314" s="109" t="n"/>
      <c r="U314" s="109" t="n"/>
      <c r="V314" s="109" t="n"/>
      <c r="Z314" s="109" t="n"/>
      <c r="AA314" s="109" t="n"/>
      <c r="AB314" s="109" t="n"/>
      <c r="AF314" s="109" t="n"/>
      <c r="AG314" s="109" t="n"/>
      <c r="AH314" s="109" t="n"/>
      <c r="AL314" s="109" t="n"/>
      <c r="AM314" s="109" t="n"/>
      <c r="AN314" s="109" t="n"/>
    </row>
    <row r="315" ht="15.75" customHeight="1" s="216">
      <c r="D315" s="109" t="n"/>
      <c r="E315" s="109" t="n"/>
      <c r="J315" s="109" t="n"/>
      <c r="K315" s="109" t="n"/>
      <c r="L315" s="109" t="n"/>
      <c r="N315" s="109" t="n"/>
      <c r="O315" s="109" t="n"/>
      <c r="P315" s="109" t="n"/>
      <c r="T315" s="109" t="n"/>
      <c r="U315" s="109" t="n"/>
      <c r="V315" s="109" t="n"/>
      <c r="Z315" s="109" t="n"/>
      <c r="AA315" s="109" t="n"/>
      <c r="AB315" s="109" t="n"/>
      <c r="AF315" s="109" t="n"/>
      <c r="AG315" s="109" t="n"/>
      <c r="AH315" s="109" t="n"/>
      <c r="AL315" s="109" t="n"/>
      <c r="AM315" s="109" t="n"/>
      <c r="AN315" s="109" t="n"/>
    </row>
    <row r="316" ht="15.75" customHeight="1" s="216">
      <c r="D316" s="109" t="n"/>
      <c r="E316" s="109" t="n"/>
      <c r="J316" s="109" t="n"/>
      <c r="K316" s="109" t="n"/>
      <c r="L316" s="109" t="n"/>
      <c r="N316" s="109" t="n"/>
      <c r="O316" s="109" t="n"/>
      <c r="P316" s="109" t="n"/>
      <c r="T316" s="109" t="n"/>
      <c r="U316" s="109" t="n"/>
      <c r="V316" s="109" t="n"/>
      <c r="Z316" s="109" t="n"/>
      <c r="AA316" s="109" t="n"/>
      <c r="AB316" s="109" t="n"/>
      <c r="AF316" s="109" t="n"/>
      <c r="AG316" s="109" t="n"/>
      <c r="AH316" s="109" t="n"/>
      <c r="AL316" s="109" t="n"/>
      <c r="AM316" s="109" t="n"/>
      <c r="AN316" s="109" t="n"/>
    </row>
    <row r="317" ht="15.75" customHeight="1" s="216">
      <c r="D317" s="109" t="n"/>
      <c r="E317" s="109" t="n"/>
      <c r="J317" s="109" t="n"/>
      <c r="K317" s="109" t="n"/>
      <c r="L317" s="109" t="n"/>
      <c r="N317" s="109" t="n"/>
      <c r="O317" s="109" t="n"/>
      <c r="P317" s="109" t="n"/>
      <c r="T317" s="109" t="n"/>
      <c r="U317" s="109" t="n"/>
      <c r="V317" s="109" t="n"/>
      <c r="Z317" s="109" t="n"/>
      <c r="AA317" s="109" t="n"/>
      <c r="AB317" s="109" t="n"/>
      <c r="AF317" s="109" t="n"/>
      <c r="AG317" s="109" t="n"/>
      <c r="AH317" s="109" t="n"/>
      <c r="AL317" s="109" t="n"/>
      <c r="AM317" s="109" t="n"/>
      <c r="AN317" s="109" t="n"/>
    </row>
    <row r="318" ht="15.75" customHeight="1" s="216">
      <c r="D318" s="109" t="n"/>
      <c r="E318" s="109" t="n"/>
      <c r="J318" s="109" t="n"/>
      <c r="K318" s="109" t="n"/>
      <c r="L318" s="109" t="n"/>
      <c r="N318" s="109" t="n"/>
      <c r="O318" s="109" t="n"/>
      <c r="P318" s="109" t="n"/>
      <c r="T318" s="109" t="n"/>
      <c r="U318" s="109" t="n"/>
      <c r="V318" s="109" t="n"/>
      <c r="Z318" s="109" t="n"/>
      <c r="AA318" s="109" t="n"/>
      <c r="AB318" s="109" t="n"/>
      <c r="AF318" s="109" t="n"/>
      <c r="AG318" s="109" t="n"/>
      <c r="AH318" s="109" t="n"/>
      <c r="AL318" s="109" t="n"/>
      <c r="AM318" s="109" t="n"/>
      <c r="AN318" s="109" t="n"/>
    </row>
    <row r="319" ht="15.75" customHeight="1" s="216">
      <c r="D319" s="109" t="n"/>
      <c r="E319" s="109" t="n"/>
      <c r="J319" s="109" t="n"/>
      <c r="K319" s="109" t="n"/>
      <c r="L319" s="109" t="n"/>
      <c r="N319" s="109" t="n"/>
      <c r="O319" s="109" t="n"/>
      <c r="P319" s="109" t="n"/>
      <c r="T319" s="109" t="n"/>
      <c r="U319" s="109" t="n"/>
      <c r="V319" s="109" t="n"/>
      <c r="Z319" s="109" t="n"/>
      <c r="AA319" s="109" t="n"/>
      <c r="AB319" s="109" t="n"/>
      <c r="AF319" s="109" t="n"/>
      <c r="AG319" s="109" t="n"/>
      <c r="AH319" s="109" t="n"/>
      <c r="AL319" s="109" t="n"/>
      <c r="AM319" s="109" t="n"/>
      <c r="AN319" s="109" t="n"/>
    </row>
    <row r="320" ht="15.75" customHeight="1" s="216">
      <c r="D320" s="109" t="n"/>
      <c r="E320" s="109" t="n"/>
      <c r="J320" s="109" t="n"/>
      <c r="K320" s="109" t="n"/>
      <c r="L320" s="109" t="n"/>
      <c r="N320" s="109" t="n"/>
      <c r="O320" s="109" t="n"/>
      <c r="P320" s="109" t="n"/>
      <c r="T320" s="109" t="n"/>
      <c r="U320" s="109" t="n"/>
      <c r="V320" s="109" t="n"/>
      <c r="Z320" s="109" t="n"/>
      <c r="AA320" s="109" t="n"/>
      <c r="AB320" s="109" t="n"/>
      <c r="AF320" s="109" t="n"/>
      <c r="AG320" s="109" t="n"/>
      <c r="AH320" s="109" t="n"/>
      <c r="AL320" s="109" t="n"/>
      <c r="AM320" s="109" t="n"/>
      <c r="AN320" s="109" t="n"/>
    </row>
    <row r="321" ht="15.75" customHeight="1" s="216">
      <c r="D321" s="109" t="n"/>
      <c r="E321" s="109" t="n"/>
      <c r="J321" s="109" t="n"/>
      <c r="K321" s="109" t="n"/>
      <c r="L321" s="109" t="n"/>
      <c r="N321" s="109" t="n"/>
      <c r="O321" s="109" t="n"/>
      <c r="P321" s="109" t="n"/>
      <c r="T321" s="109" t="n"/>
      <c r="U321" s="109" t="n"/>
      <c r="V321" s="109" t="n"/>
      <c r="Z321" s="109" t="n"/>
      <c r="AA321" s="109" t="n"/>
      <c r="AB321" s="109" t="n"/>
      <c r="AF321" s="109" t="n"/>
      <c r="AG321" s="109" t="n"/>
      <c r="AH321" s="109" t="n"/>
      <c r="AL321" s="109" t="n"/>
      <c r="AM321" s="109" t="n"/>
      <c r="AN321" s="109" t="n"/>
    </row>
    <row r="322" ht="15.75" customHeight="1" s="216">
      <c r="D322" s="109" t="n"/>
      <c r="E322" s="109" t="n"/>
      <c r="J322" s="109" t="n"/>
      <c r="K322" s="109" t="n"/>
      <c r="L322" s="109" t="n"/>
      <c r="N322" s="109" t="n"/>
      <c r="O322" s="109" t="n"/>
      <c r="P322" s="109" t="n"/>
      <c r="T322" s="109" t="n"/>
      <c r="U322" s="109" t="n"/>
      <c r="V322" s="109" t="n"/>
      <c r="Z322" s="109" t="n"/>
      <c r="AA322" s="109" t="n"/>
      <c r="AB322" s="109" t="n"/>
      <c r="AF322" s="109" t="n"/>
      <c r="AG322" s="109" t="n"/>
      <c r="AH322" s="109" t="n"/>
      <c r="AL322" s="109" t="n"/>
      <c r="AM322" s="109" t="n"/>
      <c r="AN322" s="109" t="n"/>
    </row>
    <row r="323" ht="15.75" customHeight="1" s="216">
      <c r="D323" s="109" t="n"/>
      <c r="E323" s="109" t="n"/>
      <c r="J323" s="109" t="n"/>
      <c r="K323" s="109" t="n"/>
      <c r="L323" s="109" t="n"/>
      <c r="N323" s="109" t="n"/>
      <c r="O323" s="109" t="n"/>
      <c r="P323" s="109" t="n"/>
      <c r="T323" s="109" t="n"/>
      <c r="U323" s="109" t="n"/>
      <c r="V323" s="109" t="n"/>
      <c r="Z323" s="109" t="n"/>
      <c r="AA323" s="109" t="n"/>
      <c r="AB323" s="109" t="n"/>
      <c r="AF323" s="109" t="n"/>
      <c r="AG323" s="109" t="n"/>
      <c r="AH323" s="109" t="n"/>
      <c r="AL323" s="109" t="n"/>
      <c r="AM323" s="109" t="n"/>
      <c r="AN323" s="109" t="n"/>
    </row>
    <row r="324" ht="15.75" customHeight="1" s="216">
      <c r="D324" s="109" t="n"/>
      <c r="E324" s="109" t="n"/>
      <c r="J324" s="109" t="n"/>
      <c r="K324" s="109" t="n"/>
      <c r="L324" s="109" t="n"/>
      <c r="N324" s="109" t="n"/>
      <c r="O324" s="109" t="n"/>
      <c r="P324" s="109" t="n"/>
      <c r="T324" s="109" t="n"/>
      <c r="U324" s="109" t="n"/>
      <c r="V324" s="109" t="n"/>
      <c r="Z324" s="109" t="n"/>
      <c r="AA324" s="109" t="n"/>
      <c r="AB324" s="109" t="n"/>
      <c r="AF324" s="109" t="n"/>
      <c r="AG324" s="109" t="n"/>
      <c r="AH324" s="109" t="n"/>
      <c r="AL324" s="109" t="n"/>
      <c r="AM324" s="109" t="n"/>
      <c r="AN324" s="109" t="n"/>
    </row>
    <row r="325" ht="15.75" customHeight="1" s="216">
      <c r="D325" s="109" t="n"/>
      <c r="E325" s="109" t="n"/>
      <c r="J325" s="109" t="n"/>
      <c r="K325" s="109" t="n"/>
      <c r="L325" s="109" t="n"/>
      <c r="N325" s="109" t="n"/>
      <c r="O325" s="109" t="n"/>
      <c r="P325" s="109" t="n"/>
      <c r="T325" s="109" t="n"/>
      <c r="U325" s="109" t="n"/>
      <c r="V325" s="109" t="n"/>
      <c r="Z325" s="109" t="n"/>
      <c r="AA325" s="109" t="n"/>
      <c r="AB325" s="109" t="n"/>
      <c r="AF325" s="109" t="n"/>
      <c r="AG325" s="109" t="n"/>
      <c r="AH325" s="109" t="n"/>
      <c r="AL325" s="109" t="n"/>
      <c r="AM325" s="109" t="n"/>
      <c r="AN325" s="109" t="n"/>
    </row>
    <row r="326" ht="15.75" customHeight="1" s="216">
      <c r="D326" s="109" t="n"/>
      <c r="E326" s="109" t="n"/>
      <c r="J326" s="109" t="n"/>
      <c r="K326" s="109" t="n"/>
      <c r="L326" s="109" t="n"/>
      <c r="N326" s="109" t="n"/>
      <c r="O326" s="109" t="n"/>
      <c r="P326" s="109" t="n"/>
      <c r="T326" s="109" t="n"/>
      <c r="U326" s="109" t="n"/>
      <c r="V326" s="109" t="n"/>
      <c r="Z326" s="109" t="n"/>
      <c r="AA326" s="109" t="n"/>
      <c r="AB326" s="109" t="n"/>
      <c r="AF326" s="109" t="n"/>
      <c r="AG326" s="109" t="n"/>
      <c r="AH326" s="109" t="n"/>
      <c r="AL326" s="109" t="n"/>
      <c r="AM326" s="109" t="n"/>
      <c r="AN326" s="109" t="n"/>
    </row>
    <row r="327" ht="15.75" customHeight="1" s="216">
      <c r="D327" s="109" t="n"/>
      <c r="E327" s="109" t="n"/>
      <c r="J327" s="109" t="n"/>
      <c r="K327" s="109" t="n"/>
      <c r="L327" s="109" t="n"/>
      <c r="N327" s="109" t="n"/>
      <c r="O327" s="109" t="n"/>
      <c r="P327" s="109" t="n"/>
      <c r="T327" s="109" t="n"/>
      <c r="U327" s="109" t="n"/>
      <c r="V327" s="109" t="n"/>
      <c r="Z327" s="109" t="n"/>
      <c r="AA327" s="109" t="n"/>
      <c r="AB327" s="109" t="n"/>
      <c r="AF327" s="109" t="n"/>
      <c r="AG327" s="109" t="n"/>
      <c r="AH327" s="109" t="n"/>
      <c r="AL327" s="109" t="n"/>
      <c r="AM327" s="109" t="n"/>
      <c r="AN327" s="109" t="n"/>
    </row>
    <row r="328" ht="15.75" customHeight="1" s="216">
      <c r="D328" s="109" t="n"/>
      <c r="E328" s="109" t="n"/>
      <c r="J328" s="109" t="n"/>
      <c r="K328" s="109" t="n"/>
      <c r="L328" s="109" t="n"/>
      <c r="N328" s="109" t="n"/>
      <c r="O328" s="109" t="n"/>
      <c r="P328" s="109" t="n"/>
      <c r="T328" s="109" t="n"/>
      <c r="U328" s="109" t="n"/>
      <c r="V328" s="109" t="n"/>
      <c r="Z328" s="109" t="n"/>
      <c r="AA328" s="109" t="n"/>
      <c r="AB328" s="109" t="n"/>
      <c r="AF328" s="109" t="n"/>
      <c r="AG328" s="109" t="n"/>
      <c r="AH328" s="109" t="n"/>
      <c r="AL328" s="109" t="n"/>
      <c r="AM328" s="109" t="n"/>
      <c r="AN328" s="109" t="n"/>
    </row>
    <row r="329" ht="15.75" customHeight="1" s="216">
      <c r="D329" s="109" t="n"/>
      <c r="E329" s="109" t="n"/>
      <c r="J329" s="109" t="n"/>
      <c r="K329" s="109" t="n"/>
      <c r="L329" s="109" t="n"/>
      <c r="N329" s="109" t="n"/>
      <c r="O329" s="109" t="n"/>
      <c r="P329" s="109" t="n"/>
      <c r="T329" s="109" t="n"/>
      <c r="U329" s="109" t="n"/>
      <c r="V329" s="109" t="n"/>
      <c r="Z329" s="109" t="n"/>
      <c r="AA329" s="109" t="n"/>
      <c r="AB329" s="109" t="n"/>
      <c r="AF329" s="109" t="n"/>
      <c r="AG329" s="109" t="n"/>
      <c r="AH329" s="109" t="n"/>
      <c r="AL329" s="109" t="n"/>
      <c r="AM329" s="109" t="n"/>
      <c r="AN329" s="109" t="n"/>
    </row>
    <row r="330" ht="15.75" customHeight="1" s="216">
      <c r="D330" s="109" t="n"/>
      <c r="E330" s="109" t="n"/>
      <c r="J330" s="109" t="n"/>
      <c r="K330" s="109" t="n"/>
      <c r="L330" s="109" t="n"/>
      <c r="N330" s="109" t="n"/>
      <c r="O330" s="109" t="n"/>
      <c r="P330" s="109" t="n"/>
      <c r="T330" s="109" t="n"/>
      <c r="U330" s="109" t="n"/>
      <c r="V330" s="109" t="n"/>
      <c r="Z330" s="109" t="n"/>
      <c r="AA330" s="109" t="n"/>
      <c r="AB330" s="109" t="n"/>
      <c r="AF330" s="109" t="n"/>
      <c r="AG330" s="109" t="n"/>
      <c r="AH330" s="109" t="n"/>
      <c r="AL330" s="109" t="n"/>
      <c r="AM330" s="109" t="n"/>
      <c r="AN330" s="109" t="n"/>
    </row>
    <row r="331" ht="15.75" customHeight="1" s="216">
      <c r="D331" s="109" t="n"/>
      <c r="E331" s="109" t="n"/>
      <c r="J331" s="109" t="n"/>
      <c r="K331" s="109" t="n"/>
      <c r="L331" s="109" t="n"/>
      <c r="N331" s="109" t="n"/>
      <c r="O331" s="109" t="n"/>
      <c r="P331" s="109" t="n"/>
      <c r="T331" s="109" t="n"/>
      <c r="U331" s="109" t="n"/>
      <c r="V331" s="109" t="n"/>
      <c r="Z331" s="109" t="n"/>
      <c r="AA331" s="109" t="n"/>
      <c r="AB331" s="109" t="n"/>
      <c r="AF331" s="109" t="n"/>
      <c r="AG331" s="109" t="n"/>
      <c r="AH331" s="109" t="n"/>
      <c r="AL331" s="109" t="n"/>
      <c r="AM331" s="109" t="n"/>
      <c r="AN331" s="109" t="n"/>
    </row>
    <row r="332" ht="15.75" customHeight="1" s="216">
      <c r="D332" s="109" t="n"/>
      <c r="E332" s="109" t="n"/>
      <c r="J332" s="109" t="n"/>
      <c r="K332" s="109" t="n"/>
      <c r="L332" s="109" t="n"/>
      <c r="N332" s="109" t="n"/>
      <c r="O332" s="109" t="n"/>
      <c r="P332" s="109" t="n"/>
      <c r="T332" s="109" t="n"/>
      <c r="U332" s="109" t="n"/>
      <c r="V332" s="109" t="n"/>
      <c r="Z332" s="109" t="n"/>
      <c r="AA332" s="109" t="n"/>
      <c r="AB332" s="109" t="n"/>
      <c r="AF332" s="109" t="n"/>
      <c r="AG332" s="109" t="n"/>
      <c r="AH332" s="109" t="n"/>
      <c r="AL332" s="109" t="n"/>
      <c r="AM332" s="109" t="n"/>
      <c r="AN332" s="109" t="n"/>
    </row>
    <row r="333" ht="15.75" customHeight="1" s="216">
      <c r="D333" s="109" t="n"/>
      <c r="E333" s="109" t="n"/>
      <c r="J333" s="109" t="n"/>
      <c r="K333" s="109" t="n"/>
      <c r="L333" s="109" t="n"/>
      <c r="N333" s="109" t="n"/>
      <c r="O333" s="109" t="n"/>
      <c r="P333" s="109" t="n"/>
      <c r="T333" s="109" t="n"/>
      <c r="U333" s="109" t="n"/>
      <c r="V333" s="109" t="n"/>
      <c r="Z333" s="109" t="n"/>
      <c r="AA333" s="109" t="n"/>
      <c r="AB333" s="109" t="n"/>
      <c r="AF333" s="109" t="n"/>
      <c r="AG333" s="109" t="n"/>
      <c r="AH333" s="109" t="n"/>
      <c r="AL333" s="109" t="n"/>
      <c r="AM333" s="109" t="n"/>
      <c r="AN333" s="109" t="n"/>
    </row>
    <row r="334" ht="15.75" customHeight="1" s="216">
      <c r="D334" s="109" t="n"/>
      <c r="E334" s="109" t="n"/>
      <c r="J334" s="109" t="n"/>
      <c r="K334" s="109" t="n"/>
      <c r="L334" s="109" t="n"/>
      <c r="N334" s="109" t="n"/>
      <c r="O334" s="109" t="n"/>
      <c r="P334" s="109" t="n"/>
      <c r="T334" s="109" t="n"/>
      <c r="U334" s="109" t="n"/>
      <c r="V334" s="109" t="n"/>
      <c r="Z334" s="109" t="n"/>
      <c r="AA334" s="109" t="n"/>
      <c r="AB334" s="109" t="n"/>
      <c r="AF334" s="109" t="n"/>
      <c r="AG334" s="109" t="n"/>
      <c r="AH334" s="109" t="n"/>
      <c r="AL334" s="109" t="n"/>
      <c r="AM334" s="109" t="n"/>
      <c r="AN334" s="109" t="n"/>
    </row>
    <row r="335" ht="15.75" customHeight="1" s="216">
      <c r="D335" s="109" t="n"/>
      <c r="E335" s="109" t="n"/>
      <c r="J335" s="109" t="n"/>
      <c r="K335" s="109" t="n"/>
      <c r="L335" s="109" t="n"/>
      <c r="N335" s="109" t="n"/>
      <c r="O335" s="109" t="n"/>
      <c r="P335" s="109" t="n"/>
      <c r="T335" s="109" t="n"/>
      <c r="U335" s="109" t="n"/>
      <c r="V335" s="109" t="n"/>
      <c r="Z335" s="109" t="n"/>
      <c r="AA335" s="109" t="n"/>
      <c r="AB335" s="109" t="n"/>
      <c r="AF335" s="109" t="n"/>
      <c r="AG335" s="109" t="n"/>
      <c r="AH335" s="109" t="n"/>
      <c r="AL335" s="109" t="n"/>
      <c r="AM335" s="109" t="n"/>
      <c r="AN335" s="109" t="n"/>
    </row>
    <row r="336" ht="15.75" customHeight="1" s="216">
      <c r="D336" s="109" t="n"/>
      <c r="E336" s="109" t="n"/>
      <c r="J336" s="109" t="n"/>
      <c r="K336" s="109" t="n"/>
      <c r="L336" s="109" t="n"/>
      <c r="N336" s="109" t="n"/>
      <c r="O336" s="109" t="n"/>
      <c r="P336" s="109" t="n"/>
      <c r="T336" s="109" t="n"/>
      <c r="U336" s="109" t="n"/>
      <c r="V336" s="109" t="n"/>
      <c r="Z336" s="109" t="n"/>
      <c r="AA336" s="109" t="n"/>
      <c r="AB336" s="109" t="n"/>
      <c r="AF336" s="109" t="n"/>
      <c r="AG336" s="109" t="n"/>
      <c r="AH336" s="109" t="n"/>
      <c r="AL336" s="109" t="n"/>
      <c r="AM336" s="109" t="n"/>
      <c r="AN336" s="109" t="n"/>
    </row>
    <row r="337" ht="15.75" customHeight="1" s="216">
      <c r="D337" s="109" t="n"/>
      <c r="E337" s="109" t="n"/>
      <c r="J337" s="109" t="n"/>
      <c r="K337" s="109" t="n"/>
      <c r="L337" s="109" t="n"/>
      <c r="N337" s="109" t="n"/>
      <c r="O337" s="109" t="n"/>
      <c r="P337" s="109" t="n"/>
      <c r="T337" s="109" t="n"/>
      <c r="U337" s="109" t="n"/>
      <c r="V337" s="109" t="n"/>
      <c r="Z337" s="109" t="n"/>
      <c r="AA337" s="109" t="n"/>
      <c r="AB337" s="109" t="n"/>
      <c r="AF337" s="109" t="n"/>
      <c r="AG337" s="109" t="n"/>
      <c r="AH337" s="109" t="n"/>
      <c r="AL337" s="109" t="n"/>
      <c r="AM337" s="109" t="n"/>
      <c r="AN337" s="109" t="n"/>
    </row>
    <row r="338" ht="15.75" customHeight="1" s="216">
      <c r="D338" s="109" t="n"/>
      <c r="E338" s="109" t="n"/>
      <c r="J338" s="109" t="n"/>
      <c r="K338" s="109" t="n"/>
      <c r="L338" s="109" t="n"/>
      <c r="N338" s="109" t="n"/>
      <c r="O338" s="109" t="n"/>
      <c r="P338" s="109" t="n"/>
      <c r="T338" s="109" t="n"/>
      <c r="U338" s="109" t="n"/>
      <c r="V338" s="109" t="n"/>
      <c r="Z338" s="109" t="n"/>
      <c r="AA338" s="109" t="n"/>
      <c r="AB338" s="109" t="n"/>
      <c r="AF338" s="109" t="n"/>
      <c r="AG338" s="109" t="n"/>
      <c r="AH338" s="109" t="n"/>
      <c r="AL338" s="109" t="n"/>
      <c r="AM338" s="109" t="n"/>
      <c r="AN338" s="109" t="n"/>
    </row>
    <row r="339" ht="15.75" customHeight="1" s="216">
      <c r="D339" s="109" t="n"/>
      <c r="E339" s="109" t="n"/>
      <c r="J339" s="109" t="n"/>
      <c r="K339" s="109" t="n"/>
      <c r="L339" s="109" t="n"/>
      <c r="N339" s="109" t="n"/>
      <c r="O339" s="109" t="n"/>
      <c r="P339" s="109" t="n"/>
      <c r="T339" s="109" t="n"/>
      <c r="U339" s="109" t="n"/>
      <c r="V339" s="109" t="n"/>
      <c r="Z339" s="109" t="n"/>
      <c r="AA339" s="109" t="n"/>
      <c r="AB339" s="109" t="n"/>
      <c r="AF339" s="109" t="n"/>
      <c r="AG339" s="109" t="n"/>
      <c r="AH339" s="109" t="n"/>
      <c r="AL339" s="109" t="n"/>
      <c r="AM339" s="109" t="n"/>
      <c r="AN339" s="109" t="n"/>
    </row>
    <row r="340" ht="15.75" customHeight="1" s="216">
      <c r="D340" s="109" t="n"/>
      <c r="E340" s="109" t="n"/>
      <c r="J340" s="109" t="n"/>
      <c r="K340" s="109" t="n"/>
      <c r="L340" s="109" t="n"/>
      <c r="N340" s="109" t="n"/>
      <c r="O340" s="109" t="n"/>
      <c r="P340" s="109" t="n"/>
      <c r="T340" s="109" t="n"/>
      <c r="U340" s="109" t="n"/>
      <c r="V340" s="109" t="n"/>
      <c r="Z340" s="109" t="n"/>
      <c r="AA340" s="109" t="n"/>
      <c r="AB340" s="109" t="n"/>
      <c r="AF340" s="109" t="n"/>
      <c r="AG340" s="109" t="n"/>
      <c r="AH340" s="109" t="n"/>
      <c r="AL340" s="109" t="n"/>
      <c r="AM340" s="109" t="n"/>
      <c r="AN340" s="109" t="n"/>
    </row>
    <row r="341" ht="15.75" customHeight="1" s="216">
      <c r="D341" s="109" t="n"/>
      <c r="E341" s="109" t="n"/>
      <c r="J341" s="109" t="n"/>
      <c r="K341" s="109" t="n"/>
      <c r="L341" s="109" t="n"/>
      <c r="N341" s="109" t="n"/>
      <c r="O341" s="109" t="n"/>
      <c r="P341" s="109" t="n"/>
      <c r="T341" s="109" t="n"/>
      <c r="U341" s="109" t="n"/>
      <c r="V341" s="109" t="n"/>
      <c r="Z341" s="109" t="n"/>
      <c r="AA341" s="109" t="n"/>
      <c r="AB341" s="109" t="n"/>
      <c r="AF341" s="109" t="n"/>
      <c r="AG341" s="109" t="n"/>
      <c r="AH341" s="109" t="n"/>
      <c r="AL341" s="109" t="n"/>
      <c r="AM341" s="109" t="n"/>
      <c r="AN341" s="109" t="n"/>
    </row>
    <row r="342" ht="15.75" customHeight="1" s="216">
      <c r="D342" s="109" t="n"/>
      <c r="E342" s="109" t="n"/>
      <c r="J342" s="109" t="n"/>
      <c r="K342" s="109" t="n"/>
      <c r="L342" s="109" t="n"/>
      <c r="N342" s="109" t="n"/>
      <c r="O342" s="109" t="n"/>
      <c r="P342" s="109" t="n"/>
      <c r="T342" s="109" t="n"/>
      <c r="U342" s="109" t="n"/>
      <c r="V342" s="109" t="n"/>
      <c r="Z342" s="109" t="n"/>
      <c r="AA342" s="109" t="n"/>
      <c r="AB342" s="109" t="n"/>
      <c r="AF342" s="109" t="n"/>
      <c r="AG342" s="109" t="n"/>
      <c r="AH342" s="109" t="n"/>
      <c r="AL342" s="109" t="n"/>
      <c r="AM342" s="109" t="n"/>
      <c r="AN342" s="109" t="n"/>
    </row>
    <row r="343" ht="15.75" customHeight="1" s="216">
      <c r="D343" s="109" t="n"/>
      <c r="E343" s="109" t="n"/>
      <c r="J343" s="109" t="n"/>
      <c r="K343" s="109" t="n"/>
      <c r="L343" s="109" t="n"/>
      <c r="N343" s="109" t="n"/>
      <c r="O343" s="109" t="n"/>
      <c r="P343" s="109" t="n"/>
      <c r="T343" s="109" t="n"/>
      <c r="U343" s="109" t="n"/>
      <c r="V343" s="109" t="n"/>
      <c r="Z343" s="109" t="n"/>
      <c r="AA343" s="109" t="n"/>
      <c r="AB343" s="109" t="n"/>
      <c r="AF343" s="109" t="n"/>
      <c r="AG343" s="109" t="n"/>
      <c r="AH343" s="109" t="n"/>
      <c r="AL343" s="109" t="n"/>
      <c r="AM343" s="109" t="n"/>
      <c r="AN343" s="109" t="n"/>
    </row>
    <row r="344" ht="15.75" customHeight="1" s="216">
      <c r="D344" s="109" t="n"/>
      <c r="E344" s="109" t="n"/>
      <c r="J344" s="109" t="n"/>
      <c r="K344" s="109" t="n"/>
      <c r="L344" s="109" t="n"/>
      <c r="N344" s="109" t="n"/>
      <c r="O344" s="109" t="n"/>
      <c r="P344" s="109" t="n"/>
      <c r="T344" s="109" t="n"/>
      <c r="U344" s="109" t="n"/>
      <c r="V344" s="109" t="n"/>
      <c r="Z344" s="109" t="n"/>
      <c r="AA344" s="109" t="n"/>
      <c r="AB344" s="109" t="n"/>
      <c r="AF344" s="109" t="n"/>
      <c r="AG344" s="109" t="n"/>
      <c r="AH344" s="109" t="n"/>
      <c r="AL344" s="109" t="n"/>
      <c r="AM344" s="109" t="n"/>
      <c r="AN344" s="109" t="n"/>
    </row>
    <row r="345" ht="15.75" customHeight="1" s="216">
      <c r="D345" s="109" t="n"/>
      <c r="E345" s="109" t="n"/>
      <c r="J345" s="109" t="n"/>
      <c r="K345" s="109" t="n"/>
      <c r="L345" s="109" t="n"/>
      <c r="N345" s="109" t="n"/>
      <c r="O345" s="109" t="n"/>
      <c r="P345" s="109" t="n"/>
      <c r="T345" s="109" t="n"/>
      <c r="U345" s="109" t="n"/>
      <c r="V345" s="109" t="n"/>
      <c r="Z345" s="109" t="n"/>
      <c r="AA345" s="109" t="n"/>
      <c r="AB345" s="109" t="n"/>
      <c r="AF345" s="109" t="n"/>
      <c r="AG345" s="109" t="n"/>
      <c r="AH345" s="109" t="n"/>
      <c r="AL345" s="109" t="n"/>
      <c r="AM345" s="109" t="n"/>
      <c r="AN345" s="109" t="n"/>
    </row>
    <row r="346" ht="15.75" customHeight="1" s="216">
      <c r="D346" s="109" t="n"/>
      <c r="E346" s="109" t="n"/>
      <c r="J346" s="109" t="n"/>
      <c r="K346" s="109" t="n"/>
      <c r="L346" s="109" t="n"/>
      <c r="N346" s="109" t="n"/>
      <c r="O346" s="109" t="n"/>
      <c r="P346" s="109" t="n"/>
      <c r="T346" s="109" t="n"/>
      <c r="U346" s="109" t="n"/>
      <c r="V346" s="109" t="n"/>
      <c r="Z346" s="109" t="n"/>
      <c r="AA346" s="109" t="n"/>
      <c r="AB346" s="109" t="n"/>
      <c r="AF346" s="109" t="n"/>
      <c r="AG346" s="109" t="n"/>
      <c r="AH346" s="109" t="n"/>
      <c r="AL346" s="109" t="n"/>
      <c r="AM346" s="109" t="n"/>
      <c r="AN346" s="109" t="n"/>
    </row>
    <row r="347" ht="15.75" customHeight="1" s="216">
      <c r="D347" s="109" t="n"/>
      <c r="E347" s="109" t="n"/>
      <c r="J347" s="109" t="n"/>
      <c r="K347" s="109" t="n"/>
      <c r="L347" s="109" t="n"/>
      <c r="N347" s="109" t="n"/>
      <c r="O347" s="109" t="n"/>
      <c r="P347" s="109" t="n"/>
      <c r="T347" s="109" t="n"/>
      <c r="U347" s="109" t="n"/>
      <c r="V347" s="109" t="n"/>
      <c r="Z347" s="109" t="n"/>
      <c r="AA347" s="109" t="n"/>
      <c r="AB347" s="109" t="n"/>
      <c r="AF347" s="109" t="n"/>
      <c r="AG347" s="109" t="n"/>
      <c r="AH347" s="109" t="n"/>
      <c r="AL347" s="109" t="n"/>
      <c r="AM347" s="109" t="n"/>
      <c r="AN347" s="109" t="n"/>
    </row>
    <row r="348" ht="15.75" customHeight="1" s="216">
      <c r="D348" s="109" t="n"/>
      <c r="E348" s="109" t="n"/>
      <c r="J348" s="109" t="n"/>
      <c r="K348" s="109" t="n"/>
      <c r="L348" s="109" t="n"/>
      <c r="N348" s="109" t="n"/>
      <c r="O348" s="109" t="n"/>
      <c r="P348" s="109" t="n"/>
      <c r="T348" s="109" t="n"/>
      <c r="U348" s="109" t="n"/>
      <c r="V348" s="109" t="n"/>
      <c r="Z348" s="109" t="n"/>
      <c r="AA348" s="109" t="n"/>
      <c r="AB348" s="109" t="n"/>
      <c r="AF348" s="109" t="n"/>
      <c r="AG348" s="109" t="n"/>
      <c r="AH348" s="109" t="n"/>
      <c r="AL348" s="109" t="n"/>
      <c r="AM348" s="109" t="n"/>
      <c r="AN348" s="109" t="n"/>
    </row>
    <row r="349" ht="15.75" customHeight="1" s="216">
      <c r="D349" s="109" t="n"/>
      <c r="E349" s="109" t="n"/>
      <c r="J349" s="109" t="n"/>
      <c r="K349" s="109" t="n"/>
      <c r="L349" s="109" t="n"/>
      <c r="N349" s="109" t="n"/>
      <c r="O349" s="109" t="n"/>
      <c r="P349" s="109" t="n"/>
      <c r="T349" s="109" t="n"/>
      <c r="U349" s="109" t="n"/>
      <c r="V349" s="109" t="n"/>
      <c r="Z349" s="109" t="n"/>
      <c r="AA349" s="109" t="n"/>
      <c r="AB349" s="109" t="n"/>
      <c r="AF349" s="109" t="n"/>
      <c r="AG349" s="109" t="n"/>
      <c r="AH349" s="109" t="n"/>
      <c r="AL349" s="109" t="n"/>
      <c r="AM349" s="109" t="n"/>
      <c r="AN349" s="109" t="n"/>
    </row>
    <row r="350" ht="15.75" customHeight="1" s="216">
      <c r="D350" s="109" t="n"/>
      <c r="E350" s="109" t="n"/>
      <c r="J350" s="109" t="n"/>
      <c r="K350" s="109" t="n"/>
      <c r="L350" s="109" t="n"/>
      <c r="N350" s="109" t="n"/>
      <c r="O350" s="109" t="n"/>
      <c r="P350" s="109" t="n"/>
      <c r="T350" s="109" t="n"/>
      <c r="U350" s="109" t="n"/>
      <c r="V350" s="109" t="n"/>
      <c r="Z350" s="109" t="n"/>
      <c r="AA350" s="109" t="n"/>
      <c r="AB350" s="109" t="n"/>
      <c r="AF350" s="109" t="n"/>
      <c r="AG350" s="109" t="n"/>
      <c r="AH350" s="109" t="n"/>
      <c r="AL350" s="109" t="n"/>
      <c r="AM350" s="109" t="n"/>
      <c r="AN350" s="109" t="n"/>
    </row>
    <row r="351" ht="15.75" customHeight="1" s="216">
      <c r="D351" s="109" t="n"/>
      <c r="E351" s="109" t="n"/>
      <c r="J351" s="109" t="n"/>
      <c r="K351" s="109" t="n"/>
      <c r="L351" s="109" t="n"/>
      <c r="N351" s="109" t="n"/>
      <c r="O351" s="109" t="n"/>
      <c r="P351" s="109" t="n"/>
      <c r="T351" s="109" t="n"/>
      <c r="U351" s="109" t="n"/>
      <c r="V351" s="109" t="n"/>
      <c r="Z351" s="109" t="n"/>
      <c r="AA351" s="109" t="n"/>
      <c r="AB351" s="109" t="n"/>
      <c r="AF351" s="109" t="n"/>
      <c r="AG351" s="109" t="n"/>
      <c r="AH351" s="109" t="n"/>
      <c r="AL351" s="109" t="n"/>
      <c r="AM351" s="109" t="n"/>
      <c r="AN351" s="109" t="n"/>
    </row>
    <row r="352" ht="15.75" customHeight="1" s="216">
      <c r="D352" s="109" t="n"/>
      <c r="E352" s="109" t="n"/>
      <c r="J352" s="109" t="n"/>
      <c r="K352" s="109" t="n"/>
      <c r="L352" s="109" t="n"/>
      <c r="N352" s="109" t="n"/>
      <c r="O352" s="109" t="n"/>
      <c r="P352" s="109" t="n"/>
      <c r="T352" s="109" t="n"/>
      <c r="U352" s="109" t="n"/>
      <c r="V352" s="109" t="n"/>
      <c r="Z352" s="109" t="n"/>
      <c r="AA352" s="109" t="n"/>
      <c r="AB352" s="109" t="n"/>
      <c r="AF352" s="109" t="n"/>
      <c r="AG352" s="109" t="n"/>
      <c r="AH352" s="109" t="n"/>
      <c r="AL352" s="109" t="n"/>
      <c r="AM352" s="109" t="n"/>
      <c r="AN352" s="109" t="n"/>
    </row>
    <row r="353" ht="15.75" customHeight="1" s="216">
      <c r="D353" s="109" t="n"/>
      <c r="E353" s="109" t="n"/>
      <c r="J353" s="109" t="n"/>
      <c r="K353" s="109" t="n"/>
      <c r="L353" s="109" t="n"/>
      <c r="N353" s="109" t="n"/>
      <c r="O353" s="109" t="n"/>
      <c r="P353" s="109" t="n"/>
      <c r="T353" s="109" t="n"/>
      <c r="U353" s="109" t="n"/>
      <c r="V353" s="109" t="n"/>
      <c r="Z353" s="109" t="n"/>
      <c r="AA353" s="109" t="n"/>
      <c r="AB353" s="109" t="n"/>
      <c r="AF353" s="109" t="n"/>
      <c r="AG353" s="109" t="n"/>
      <c r="AH353" s="109" t="n"/>
      <c r="AL353" s="109" t="n"/>
      <c r="AM353" s="109" t="n"/>
      <c r="AN353" s="109" t="n"/>
    </row>
    <row r="354" ht="15.75" customHeight="1" s="216">
      <c r="D354" s="109" t="n"/>
      <c r="E354" s="109" t="n"/>
      <c r="J354" s="109" t="n"/>
      <c r="K354" s="109" t="n"/>
      <c r="L354" s="109" t="n"/>
      <c r="N354" s="109" t="n"/>
      <c r="O354" s="109" t="n"/>
      <c r="P354" s="109" t="n"/>
      <c r="T354" s="109" t="n"/>
      <c r="U354" s="109" t="n"/>
      <c r="V354" s="109" t="n"/>
      <c r="Z354" s="109" t="n"/>
      <c r="AA354" s="109" t="n"/>
      <c r="AB354" s="109" t="n"/>
      <c r="AF354" s="109" t="n"/>
      <c r="AG354" s="109" t="n"/>
      <c r="AH354" s="109" t="n"/>
      <c r="AL354" s="109" t="n"/>
      <c r="AM354" s="109" t="n"/>
      <c r="AN354" s="109" t="n"/>
    </row>
    <row r="355" ht="15.75" customHeight="1" s="216">
      <c r="D355" s="109" t="n"/>
      <c r="E355" s="109" t="n"/>
      <c r="J355" s="109" t="n"/>
      <c r="K355" s="109" t="n"/>
      <c r="L355" s="109" t="n"/>
      <c r="N355" s="109" t="n"/>
      <c r="O355" s="109" t="n"/>
      <c r="P355" s="109" t="n"/>
      <c r="T355" s="109" t="n"/>
      <c r="U355" s="109" t="n"/>
      <c r="V355" s="109" t="n"/>
      <c r="Z355" s="109" t="n"/>
      <c r="AA355" s="109" t="n"/>
      <c r="AB355" s="109" t="n"/>
      <c r="AF355" s="109" t="n"/>
      <c r="AG355" s="109" t="n"/>
      <c r="AH355" s="109" t="n"/>
      <c r="AL355" s="109" t="n"/>
      <c r="AM355" s="109" t="n"/>
      <c r="AN355" s="109" t="n"/>
    </row>
    <row r="356" ht="15.75" customHeight="1" s="216">
      <c r="D356" s="109" t="n"/>
      <c r="E356" s="109" t="n"/>
      <c r="J356" s="109" t="n"/>
      <c r="K356" s="109" t="n"/>
      <c r="L356" s="109" t="n"/>
      <c r="N356" s="109" t="n"/>
      <c r="O356" s="109" t="n"/>
      <c r="P356" s="109" t="n"/>
      <c r="T356" s="109" t="n"/>
      <c r="U356" s="109" t="n"/>
      <c r="V356" s="109" t="n"/>
      <c r="Z356" s="109" t="n"/>
      <c r="AA356" s="109" t="n"/>
      <c r="AB356" s="109" t="n"/>
      <c r="AF356" s="109" t="n"/>
      <c r="AG356" s="109" t="n"/>
      <c r="AH356" s="109" t="n"/>
      <c r="AL356" s="109" t="n"/>
      <c r="AM356" s="109" t="n"/>
      <c r="AN356" s="109" t="n"/>
    </row>
    <row r="357" ht="15.75" customHeight="1" s="216">
      <c r="D357" s="109" t="n"/>
      <c r="E357" s="109" t="n"/>
      <c r="J357" s="109" t="n"/>
      <c r="K357" s="109" t="n"/>
      <c r="L357" s="109" t="n"/>
      <c r="N357" s="109" t="n"/>
      <c r="O357" s="109" t="n"/>
      <c r="P357" s="109" t="n"/>
      <c r="T357" s="109" t="n"/>
      <c r="U357" s="109" t="n"/>
      <c r="V357" s="109" t="n"/>
      <c r="Z357" s="109" t="n"/>
      <c r="AA357" s="109" t="n"/>
      <c r="AB357" s="109" t="n"/>
      <c r="AF357" s="109" t="n"/>
      <c r="AG357" s="109" t="n"/>
      <c r="AH357" s="109" t="n"/>
      <c r="AL357" s="109" t="n"/>
      <c r="AM357" s="109" t="n"/>
      <c r="AN357" s="109" t="n"/>
    </row>
    <row r="358" ht="15.75" customHeight="1" s="216">
      <c r="D358" s="109" t="n"/>
      <c r="E358" s="109" t="n"/>
      <c r="J358" s="109" t="n"/>
      <c r="K358" s="109" t="n"/>
      <c r="L358" s="109" t="n"/>
      <c r="N358" s="109" t="n"/>
      <c r="O358" s="109" t="n"/>
      <c r="P358" s="109" t="n"/>
      <c r="T358" s="109" t="n"/>
      <c r="U358" s="109" t="n"/>
      <c r="V358" s="109" t="n"/>
      <c r="Z358" s="109" t="n"/>
      <c r="AA358" s="109" t="n"/>
      <c r="AB358" s="109" t="n"/>
      <c r="AF358" s="109" t="n"/>
      <c r="AG358" s="109" t="n"/>
      <c r="AH358" s="109" t="n"/>
      <c r="AL358" s="109" t="n"/>
      <c r="AM358" s="109" t="n"/>
      <c r="AN358" s="109" t="n"/>
    </row>
    <row r="359" ht="15.75" customHeight="1" s="216">
      <c r="D359" s="109" t="n"/>
      <c r="E359" s="109" t="n"/>
      <c r="J359" s="109" t="n"/>
      <c r="K359" s="109" t="n"/>
      <c r="L359" s="109" t="n"/>
      <c r="N359" s="109" t="n"/>
      <c r="O359" s="109" t="n"/>
      <c r="P359" s="109" t="n"/>
      <c r="T359" s="109" t="n"/>
      <c r="U359" s="109" t="n"/>
      <c r="V359" s="109" t="n"/>
      <c r="Z359" s="109" t="n"/>
      <c r="AA359" s="109" t="n"/>
      <c r="AB359" s="109" t="n"/>
      <c r="AF359" s="109" t="n"/>
      <c r="AG359" s="109" t="n"/>
      <c r="AH359" s="109" t="n"/>
      <c r="AL359" s="109" t="n"/>
      <c r="AM359" s="109" t="n"/>
      <c r="AN359" s="109" t="n"/>
    </row>
    <row r="360" ht="15.75" customHeight="1" s="216">
      <c r="D360" s="109" t="n"/>
      <c r="E360" s="109" t="n"/>
      <c r="J360" s="109" t="n"/>
      <c r="K360" s="109" t="n"/>
      <c r="L360" s="109" t="n"/>
      <c r="N360" s="109" t="n"/>
      <c r="O360" s="109" t="n"/>
      <c r="P360" s="109" t="n"/>
      <c r="T360" s="109" t="n"/>
      <c r="U360" s="109" t="n"/>
      <c r="V360" s="109" t="n"/>
      <c r="Z360" s="109" t="n"/>
      <c r="AA360" s="109" t="n"/>
      <c r="AB360" s="109" t="n"/>
      <c r="AF360" s="109" t="n"/>
      <c r="AG360" s="109" t="n"/>
      <c r="AH360" s="109" t="n"/>
      <c r="AL360" s="109" t="n"/>
      <c r="AM360" s="109" t="n"/>
      <c r="AN360" s="109" t="n"/>
    </row>
    <row r="361" ht="15.75" customHeight="1" s="216">
      <c r="D361" s="109" t="n"/>
      <c r="E361" s="109" t="n"/>
      <c r="J361" s="109" t="n"/>
      <c r="K361" s="109" t="n"/>
      <c r="L361" s="109" t="n"/>
      <c r="N361" s="109" t="n"/>
      <c r="O361" s="109" t="n"/>
      <c r="P361" s="109" t="n"/>
      <c r="T361" s="109" t="n"/>
      <c r="U361" s="109" t="n"/>
      <c r="V361" s="109" t="n"/>
      <c r="Z361" s="109" t="n"/>
      <c r="AA361" s="109" t="n"/>
      <c r="AB361" s="109" t="n"/>
      <c r="AF361" s="109" t="n"/>
      <c r="AG361" s="109" t="n"/>
      <c r="AH361" s="109" t="n"/>
      <c r="AL361" s="109" t="n"/>
      <c r="AM361" s="109" t="n"/>
      <c r="AN361" s="109" t="n"/>
    </row>
    <row r="362" ht="15.75" customHeight="1" s="216">
      <c r="D362" s="109" t="n"/>
      <c r="E362" s="109" t="n"/>
      <c r="J362" s="109" t="n"/>
      <c r="K362" s="109" t="n"/>
      <c r="L362" s="109" t="n"/>
      <c r="N362" s="109" t="n"/>
      <c r="O362" s="109" t="n"/>
      <c r="P362" s="109" t="n"/>
      <c r="T362" s="109" t="n"/>
      <c r="U362" s="109" t="n"/>
      <c r="V362" s="109" t="n"/>
      <c r="Z362" s="109" t="n"/>
      <c r="AA362" s="109" t="n"/>
      <c r="AB362" s="109" t="n"/>
      <c r="AF362" s="109" t="n"/>
      <c r="AG362" s="109" t="n"/>
      <c r="AH362" s="109" t="n"/>
      <c r="AL362" s="109" t="n"/>
      <c r="AM362" s="109" t="n"/>
      <c r="AN362" s="109" t="n"/>
    </row>
    <row r="363" ht="15.75" customHeight="1" s="216">
      <c r="D363" s="109" t="n"/>
      <c r="E363" s="109" t="n"/>
      <c r="J363" s="109" t="n"/>
      <c r="K363" s="109" t="n"/>
      <c r="L363" s="109" t="n"/>
      <c r="N363" s="109" t="n"/>
      <c r="O363" s="109" t="n"/>
      <c r="P363" s="109" t="n"/>
      <c r="T363" s="109" t="n"/>
      <c r="U363" s="109" t="n"/>
      <c r="V363" s="109" t="n"/>
      <c r="Z363" s="109" t="n"/>
      <c r="AA363" s="109" t="n"/>
      <c r="AB363" s="109" t="n"/>
      <c r="AF363" s="109" t="n"/>
      <c r="AG363" s="109" t="n"/>
      <c r="AH363" s="109" t="n"/>
      <c r="AL363" s="109" t="n"/>
      <c r="AM363" s="109" t="n"/>
      <c r="AN363" s="109" t="n"/>
    </row>
    <row r="364" ht="15.75" customHeight="1" s="216">
      <c r="D364" s="109" t="n"/>
      <c r="E364" s="109" t="n"/>
      <c r="J364" s="109" t="n"/>
      <c r="K364" s="109" t="n"/>
      <c r="L364" s="109" t="n"/>
      <c r="N364" s="109" t="n"/>
      <c r="O364" s="109" t="n"/>
      <c r="P364" s="109" t="n"/>
      <c r="T364" s="109" t="n"/>
      <c r="U364" s="109" t="n"/>
      <c r="V364" s="109" t="n"/>
      <c r="Z364" s="109" t="n"/>
      <c r="AA364" s="109" t="n"/>
      <c r="AB364" s="109" t="n"/>
      <c r="AF364" s="109" t="n"/>
      <c r="AG364" s="109" t="n"/>
      <c r="AH364" s="109" t="n"/>
      <c r="AL364" s="109" t="n"/>
      <c r="AM364" s="109" t="n"/>
      <c r="AN364" s="109" t="n"/>
    </row>
    <row r="365" ht="15.75" customHeight="1" s="216">
      <c r="D365" s="109" t="n"/>
      <c r="E365" s="109" t="n"/>
      <c r="J365" s="109" t="n"/>
      <c r="K365" s="109" t="n"/>
      <c r="L365" s="109" t="n"/>
      <c r="N365" s="109" t="n"/>
      <c r="O365" s="109" t="n"/>
      <c r="P365" s="109" t="n"/>
      <c r="T365" s="109" t="n"/>
      <c r="U365" s="109" t="n"/>
      <c r="V365" s="109" t="n"/>
      <c r="Z365" s="109" t="n"/>
      <c r="AA365" s="109" t="n"/>
      <c r="AB365" s="109" t="n"/>
      <c r="AF365" s="109" t="n"/>
      <c r="AG365" s="109" t="n"/>
      <c r="AH365" s="109" t="n"/>
      <c r="AL365" s="109" t="n"/>
      <c r="AM365" s="109" t="n"/>
      <c r="AN365" s="109" t="n"/>
    </row>
    <row r="366" ht="15.75" customHeight="1" s="216">
      <c r="D366" s="109" t="n"/>
      <c r="E366" s="109" t="n"/>
      <c r="J366" s="109" t="n"/>
      <c r="K366" s="109" t="n"/>
      <c r="L366" s="109" t="n"/>
      <c r="N366" s="109" t="n"/>
      <c r="O366" s="109" t="n"/>
      <c r="P366" s="109" t="n"/>
      <c r="T366" s="109" t="n"/>
      <c r="U366" s="109" t="n"/>
      <c r="V366" s="109" t="n"/>
      <c r="Z366" s="109" t="n"/>
      <c r="AA366" s="109" t="n"/>
      <c r="AB366" s="109" t="n"/>
      <c r="AF366" s="109" t="n"/>
      <c r="AG366" s="109" t="n"/>
      <c r="AH366" s="109" t="n"/>
      <c r="AL366" s="109" t="n"/>
      <c r="AM366" s="109" t="n"/>
      <c r="AN366" s="109" t="n"/>
    </row>
    <row r="367" ht="15.75" customHeight="1" s="216">
      <c r="D367" s="109" t="n"/>
      <c r="E367" s="109" t="n"/>
      <c r="J367" s="109" t="n"/>
      <c r="K367" s="109" t="n"/>
      <c r="L367" s="109" t="n"/>
      <c r="N367" s="109" t="n"/>
      <c r="O367" s="109" t="n"/>
      <c r="P367" s="109" t="n"/>
      <c r="T367" s="109" t="n"/>
      <c r="U367" s="109" t="n"/>
      <c r="V367" s="109" t="n"/>
      <c r="Z367" s="109" t="n"/>
      <c r="AA367" s="109" t="n"/>
      <c r="AB367" s="109" t="n"/>
      <c r="AF367" s="109" t="n"/>
      <c r="AG367" s="109" t="n"/>
      <c r="AH367" s="109" t="n"/>
      <c r="AL367" s="109" t="n"/>
      <c r="AM367" s="109" t="n"/>
      <c r="AN367" s="109" t="n"/>
    </row>
    <row r="368" ht="15.75" customHeight="1" s="216">
      <c r="D368" s="109" t="n"/>
      <c r="E368" s="109" t="n"/>
      <c r="J368" s="109" t="n"/>
      <c r="K368" s="109" t="n"/>
      <c r="L368" s="109" t="n"/>
      <c r="N368" s="109" t="n"/>
      <c r="O368" s="109" t="n"/>
      <c r="P368" s="109" t="n"/>
      <c r="T368" s="109" t="n"/>
      <c r="U368" s="109" t="n"/>
      <c r="V368" s="109" t="n"/>
      <c r="Z368" s="109" t="n"/>
      <c r="AA368" s="109" t="n"/>
      <c r="AB368" s="109" t="n"/>
      <c r="AF368" s="109" t="n"/>
      <c r="AG368" s="109" t="n"/>
      <c r="AH368" s="109" t="n"/>
      <c r="AL368" s="109" t="n"/>
      <c r="AM368" s="109" t="n"/>
      <c r="AN368" s="109" t="n"/>
    </row>
    <row r="369" ht="15.75" customHeight="1" s="216">
      <c r="D369" s="109" t="n"/>
      <c r="E369" s="109" t="n"/>
      <c r="J369" s="109" t="n"/>
      <c r="K369" s="109" t="n"/>
      <c r="L369" s="109" t="n"/>
      <c r="N369" s="109" t="n"/>
      <c r="O369" s="109" t="n"/>
      <c r="P369" s="109" t="n"/>
      <c r="T369" s="109" t="n"/>
      <c r="U369" s="109" t="n"/>
      <c r="V369" s="109" t="n"/>
      <c r="Z369" s="109" t="n"/>
      <c r="AA369" s="109" t="n"/>
      <c r="AB369" s="109" t="n"/>
      <c r="AF369" s="109" t="n"/>
      <c r="AG369" s="109" t="n"/>
      <c r="AH369" s="109" t="n"/>
      <c r="AL369" s="109" t="n"/>
      <c r="AM369" s="109" t="n"/>
      <c r="AN369" s="109" t="n"/>
    </row>
    <row r="370" ht="15.75" customHeight="1" s="216">
      <c r="D370" s="109" t="n"/>
      <c r="E370" s="109" t="n"/>
      <c r="J370" s="109" t="n"/>
      <c r="K370" s="109" t="n"/>
      <c r="L370" s="109" t="n"/>
      <c r="N370" s="109" t="n"/>
      <c r="O370" s="109" t="n"/>
      <c r="P370" s="109" t="n"/>
      <c r="T370" s="109" t="n"/>
      <c r="U370" s="109" t="n"/>
      <c r="V370" s="109" t="n"/>
      <c r="Z370" s="109" t="n"/>
      <c r="AA370" s="109" t="n"/>
      <c r="AB370" s="109" t="n"/>
      <c r="AF370" s="109" t="n"/>
      <c r="AG370" s="109" t="n"/>
      <c r="AH370" s="109" t="n"/>
      <c r="AL370" s="109" t="n"/>
      <c r="AM370" s="109" t="n"/>
      <c r="AN370" s="109" t="n"/>
    </row>
    <row r="371" ht="15.75" customHeight="1" s="216">
      <c r="D371" s="109" t="n"/>
      <c r="E371" s="109" t="n"/>
      <c r="J371" s="109" t="n"/>
      <c r="K371" s="109" t="n"/>
      <c r="L371" s="109" t="n"/>
      <c r="N371" s="109" t="n"/>
      <c r="O371" s="109" t="n"/>
      <c r="P371" s="109" t="n"/>
      <c r="T371" s="109" t="n"/>
      <c r="U371" s="109" t="n"/>
      <c r="V371" s="109" t="n"/>
      <c r="Z371" s="109" t="n"/>
      <c r="AA371" s="109" t="n"/>
      <c r="AB371" s="109" t="n"/>
      <c r="AF371" s="109" t="n"/>
      <c r="AG371" s="109" t="n"/>
      <c r="AH371" s="109" t="n"/>
      <c r="AL371" s="109" t="n"/>
      <c r="AM371" s="109" t="n"/>
      <c r="AN371" s="109" t="n"/>
    </row>
    <row r="372" ht="15.75" customHeight="1" s="216">
      <c r="D372" s="109" t="n"/>
      <c r="E372" s="109" t="n"/>
      <c r="J372" s="109" t="n"/>
      <c r="K372" s="109" t="n"/>
      <c r="L372" s="109" t="n"/>
      <c r="N372" s="109" t="n"/>
      <c r="O372" s="109" t="n"/>
      <c r="P372" s="109" t="n"/>
      <c r="T372" s="109" t="n"/>
      <c r="U372" s="109" t="n"/>
      <c r="V372" s="109" t="n"/>
      <c r="Z372" s="109" t="n"/>
      <c r="AA372" s="109" t="n"/>
      <c r="AB372" s="109" t="n"/>
      <c r="AF372" s="109" t="n"/>
      <c r="AG372" s="109" t="n"/>
      <c r="AH372" s="109" t="n"/>
      <c r="AL372" s="109" t="n"/>
      <c r="AM372" s="109" t="n"/>
      <c r="AN372" s="109" t="n"/>
    </row>
    <row r="373" ht="15.75" customHeight="1" s="216">
      <c r="D373" s="109" t="n"/>
      <c r="E373" s="109" t="n"/>
      <c r="J373" s="109" t="n"/>
      <c r="K373" s="109" t="n"/>
      <c r="L373" s="109" t="n"/>
      <c r="N373" s="109" t="n"/>
      <c r="O373" s="109" t="n"/>
      <c r="P373" s="109" t="n"/>
      <c r="T373" s="109" t="n"/>
      <c r="U373" s="109" t="n"/>
      <c r="V373" s="109" t="n"/>
      <c r="Z373" s="109" t="n"/>
      <c r="AA373" s="109" t="n"/>
      <c r="AB373" s="109" t="n"/>
      <c r="AF373" s="109" t="n"/>
      <c r="AG373" s="109" t="n"/>
      <c r="AH373" s="109" t="n"/>
      <c r="AL373" s="109" t="n"/>
      <c r="AM373" s="109" t="n"/>
      <c r="AN373" s="109" t="n"/>
    </row>
    <row r="374" ht="15.75" customHeight="1" s="216">
      <c r="D374" s="109" t="n"/>
      <c r="E374" s="109" t="n"/>
      <c r="J374" s="109" t="n"/>
      <c r="K374" s="109" t="n"/>
      <c r="L374" s="109" t="n"/>
      <c r="N374" s="109" t="n"/>
      <c r="O374" s="109" t="n"/>
      <c r="P374" s="109" t="n"/>
      <c r="T374" s="109" t="n"/>
      <c r="U374" s="109" t="n"/>
      <c r="V374" s="109" t="n"/>
      <c r="Z374" s="109" t="n"/>
      <c r="AA374" s="109" t="n"/>
      <c r="AB374" s="109" t="n"/>
      <c r="AF374" s="109" t="n"/>
      <c r="AG374" s="109" t="n"/>
      <c r="AH374" s="109" t="n"/>
      <c r="AL374" s="109" t="n"/>
      <c r="AM374" s="109" t="n"/>
      <c r="AN374" s="109" t="n"/>
    </row>
    <row r="375" ht="15.75" customHeight="1" s="216">
      <c r="D375" s="109" t="n"/>
      <c r="E375" s="109" t="n"/>
      <c r="J375" s="109" t="n"/>
      <c r="K375" s="109" t="n"/>
      <c r="L375" s="109" t="n"/>
      <c r="N375" s="109" t="n"/>
      <c r="O375" s="109" t="n"/>
      <c r="P375" s="109" t="n"/>
      <c r="T375" s="109" t="n"/>
      <c r="U375" s="109" t="n"/>
      <c r="V375" s="109" t="n"/>
      <c r="Z375" s="109" t="n"/>
      <c r="AA375" s="109" t="n"/>
      <c r="AB375" s="109" t="n"/>
      <c r="AF375" s="109" t="n"/>
      <c r="AG375" s="109" t="n"/>
      <c r="AH375" s="109" t="n"/>
      <c r="AL375" s="109" t="n"/>
      <c r="AM375" s="109" t="n"/>
      <c r="AN375" s="109" t="n"/>
    </row>
    <row r="376" ht="15.75" customHeight="1" s="216">
      <c r="D376" s="109" t="n"/>
      <c r="E376" s="109" t="n"/>
      <c r="J376" s="109" t="n"/>
      <c r="K376" s="109" t="n"/>
      <c r="L376" s="109" t="n"/>
      <c r="N376" s="109" t="n"/>
      <c r="O376" s="109" t="n"/>
      <c r="P376" s="109" t="n"/>
      <c r="T376" s="109" t="n"/>
      <c r="U376" s="109" t="n"/>
      <c r="V376" s="109" t="n"/>
      <c r="Z376" s="109" t="n"/>
      <c r="AA376" s="109" t="n"/>
      <c r="AB376" s="109" t="n"/>
      <c r="AF376" s="109" t="n"/>
      <c r="AG376" s="109" t="n"/>
      <c r="AH376" s="109" t="n"/>
      <c r="AL376" s="109" t="n"/>
      <c r="AM376" s="109" t="n"/>
      <c r="AN376" s="109" t="n"/>
    </row>
    <row r="377" ht="15.75" customHeight="1" s="216">
      <c r="D377" s="109" t="n"/>
      <c r="E377" s="109" t="n"/>
      <c r="J377" s="109" t="n"/>
      <c r="K377" s="109" t="n"/>
      <c r="L377" s="109" t="n"/>
      <c r="N377" s="109" t="n"/>
      <c r="O377" s="109" t="n"/>
      <c r="P377" s="109" t="n"/>
      <c r="T377" s="109" t="n"/>
      <c r="U377" s="109" t="n"/>
      <c r="V377" s="109" t="n"/>
      <c r="Z377" s="109" t="n"/>
      <c r="AA377" s="109" t="n"/>
      <c r="AB377" s="109" t="n"/>
      <c r="AF377" s="109" t="n"/>
      <c r="AG377" s="109" t="n"/>
      <c r="AH377" s="109" t="n"/>
      <c r="AL377" s="109" t="n"/>
      <c r="AM377" s="109" t="n"/>
      <c r="AN377" s="109" t="n"/>
    </row>
    <row r="378" ht="15.75" customHeight="1" s="216">
      <c r="D378" s="109" t="n"/>
      <c r="E378" s="109" t="n"/>
      <c r="J378" s="109" t="n"/>
      <c r="K378" s="109" t="n"/>
      <c r="L378" s="109" t="n"/>
      <c r="N378" s="109" t="n"/>
      <c r="O378" s="109" t="n"/>
      <c r="P378" s="109" t="n"/>
      <c r="T378" s="109" t="n"/>
      <c r="U378" s="109" t="n"/>
      <c r="V378" s="109" t="n"/>
      <c r="Z378" s="109" t="n"/>
      <c r="AA378" s="109" t="n"/>
      <c r="AB378" s="109" t="n"/>
      <c r="AF378" s="109" t="n"/>
      <c r="AG378" s="109" t="n"/>
      <c r="AH378" s="109" t="n"/>
      <c r="AL378" s="109" t="n"/>
      <c r="AM378" s="109" t="n"/>
      <c r="AN378" s="109" t="n"/>
    </row>
    <row r="379" ht="15.75" customHeight="1" s="216">
      <c r="D379" s="109" t="n"/>
      <c r="E379" s="109" t="n"/>
      <c r="J379" s="109" t="n"/>
      <c r="K379" s="109" t="n"/>
      <c r="L379" s="109" t="n"/>
      <c r="N379" s="109" t="n"/>
      <c r="O379" s="109" t="n"/>
      <c r="P379" s="109" t="n"/>
      <c r="T379" s="109" t="n"/>
      <c r="U379" s="109" t="n"/>
      <c r="V379" s="109" t="n"/>
      <c r="Z379" s="109" t="n"/>
      <c r="AA379" s="109" t="n"/>
      <c r="AB379" s="109" t="n"/>
      <c r="AF379" s="109" t="n"/>
      <c r="AG379" s="109" t="n"/>
      <c r="AH379" s="109" t="n"/>
      <c r="AL379" s="109" t="n"/>
      <c r="AM379" s="109" t="n"/>
      <c r="AN379" s="109" t="n"/>
    </row>
    <row r="380" ht="15.75" customHeight="1" s="216">
      <c r="D380" s="109" t="n"/>
      <c r="E380" s="109" t="n"/>
      <c r="J380" s="109" t="n"/>
      <c r="K380" s="109" t="n"/>
      <c r="L380" s="109" t="n"/>
      <c r="N380" s="109" t="n"/>
      <c r="O380" s="109" t="n"/>
      <c r="P380" s="109" t="n"/>
      <c r="T380" s="109" t="n"/>
      <c r="U380" s="109" t="n"/>
      <c r="V380" s="109" t="n"/>
      <c r="Z380" s="109" t="n"/>
      <c r="AA380" s="109" t="n"/>
      <c r="AB380" s="109" t="n"/>
      <c r="AF380" s="109" t="n"/>
      <c r="AG380" s="109" t="n"/>
      <c r="AH380" s="109" t="n"/>
      <c r="AL380" s="109" t="n"/>
      <c r="AM380" s="109" t="n"/>
      <c r="AN380" s="109" t="n"/>
    </row>
    <row r="381" ht="15.75" customHeight="1" s="216">
      <c r="D381" s="109" t="n"/>
      <c r="E381" s="109" t="n"/>
      <c r="J381" s="109" t="n"/>
      <c r="K381" s="109" t="n"/>
      <c r="L381" s="109" t="n"/>
      <c r="N381" s="109" t="n"/>
      <c r="O381" s="109" t="n"/>
      <c r="P381" s="109" t="n"/>
      <c r="T381" s="109" t="n"/>
      <c r="U381" s="109" t="n"/>
      <c r="V381" s="109" t="n"/>
      <c r="Z381" s="109" t="n"/>
      <c r="AA381" s="109" t="n"/>
      <c r="AB381" s="109" t="n"/>
      <c r="AF381" s="109" t="n"/>
      <c r="AG381" s="109" t="n"/>
      <c r="AH381" s="109" t="n"/>
      <c r="AL381" s="109" t="n"/>
      <c r="AM381" s="109" t="n"/>
      <c r="AN381" s="109" t="n"/>
    </row>
    <row r="382" ht="15.75" customHeight="1" s="216">
      <c r="D382" s="109" t="n"/>
      <c r="E382" s="109" t="n"/>
      <c r="J382" s="109" t="n"/>
      <c r="K382" s="109" t="n"/>
      <c r="L382" s="109" t="n"/>
      <c r="N382" s="109" t="n"/>
      <c r="O382" s="109" t="n"/>
      <c r="P382" s="109" t="n"/>
      <c r="T382" s="109" t="n"/>
      <c r="U382" s="109" t="n"/>
      <c r="V382" s="109" t="n"/>
      <c r="Z382" s="109" t="n"/>
      <c r="AA382" s="109" t="n"/>
      <c r="AB382" s="109" t="n"/>
      <c r="AF382" s="109" t="n"/>
      <c r="AG382" s="109" t="n"/>
      <c r="AH382" s="109" t="n"/>
      <c r="AL382" s="109" t="n"/>
      <c r="AM382" s="109" t="n"/>
      <c r="AN382" s="109" t="n"/>
    </row>
    <row r="383" ht="15.75" customHeight="1" s="216">
      <c r="D383" s="109" t="n"/>
      <c r="E383" s="109" t="n"/>
      <c r="J383" s="109" t="n"/>
      <c r="K383" s="109" t="n"/>
      <c r="L383" s="109" t="n"/>
      <c r="N383" s="109" t="n"/>
      <c r="O383" s="109" t="n"/>
      <c r="P383" s="109" t="n"/>
      <c r="T383" s="109" t="n"/>
      <c r="U383" s="109" t="n"/>
      <c r="V383" s="109" t="n"/>
      <c r="Z383" s="109" t="n"/>
      <c r="AA383" s="109" t="n"/>
      <c r="AB383" s="109" t="n"/>
      <c r="AF383" s="109" t="n"/>
      <c r="AG383" s="109" t="n"/>
      <c r="AH383" s="109" t="n"/>
      <c r="AL383" s="109" t="n"/>
      <c r="AM383" s="109" t="n"/>
      <c r="AN383" s="109" t="n"/>
    </row>
    <row r="384" ht="15.75" customHeight="1" s="216">
      <c r="D384" s="109" t="n"/>
      <c r="E384" s="109" t="n"/>
      <c r="J384" s="109" t="n"/>
      <c r="K384" s="109" t="n"/>
      <c r="L384" s="109" t="n"/>
      <c r="N384" s="109" t="n"/>
      <c r="O384" s="109" t="n"/>
      <c r="P384" s="109" t="n"/>
      <c r="T384" s="109" t="n"/>
      <c r="U384" s="109" t="n"/>
      <c r="V384" s="109" t="n"/>
      <c r="Z384" s="109" t="n"/>
      <c r="AA384" s="109" t="n"/>
      <c r="AB384" s="109" t="n"/>
      <c r="AF384" s="109" t="n"/>
      <c r="AG384" s="109" t="n"/>
      <c r="AH384" s="109" t="n"/>
      <c r="AL384" s="109" t="n"/>
      <c r="AM384" s="109" t="n"/>
      <c r="AN384" s="109" t="n"/>
    </row>
    <row r="385" ht="15.75" customHeight="1" s="216">
      <c r="D385" s="109" t="n"/>
      <c r="E385" s="109" t="n"/>
      <c r="J385" s="109" t="n"/>
      <c r="K385" s="109" t="n"/>
      <c r="L385" s="109" t="n"/>
      <c r="N385" s="109" t="n"/>
      <c r="O385" s="109" t="n"/>
      <c r="P385" s="109" t="n"/>
      <c r="T385" s="109" t="n"/>
      <c r="U385" s="109" t="n"/>
      <c r="V385" s="109" t="n"/>
      <c r="Z385" s="109" t="n"/>
      <c r="AA385" s="109" t="n"/>
      <c r="AB385" s="109" t="n"/>
      <c r="AF385" s="109" t="n"/>
      <c r="AG385" s="109" t="n"/>
      <c r="AH385" s="109" t="n"/>
      <c r="AL385" s="109" t="n"/>
      <c r="AM385" s="109" t="n"/>
      <c r="AN385" s="109" t="n"/>
    </row>
    <row r="386" ht="15.75" customHeight="1" s="216">
      <c r="D386" s="109" t="n"/>
      <c r="E386" s="109" t="n"/>
      <c r="J386" s="109" t="n"/>
      <c r="K386" s="109" t="n"/>
      <c r="L386" s="109" t="n"/>
      <c r="N386" s="109" t="n"/>
      <c r="O386" s="109" t="n"/>
      <c r="P386" s="109" t="n"/>
      <c r="T386" s="109" t="n"/>
      <c r="U386" s="109" t="n"/>
      <c r="V386" s="109" t="n"/>
      <c r="Z386" s="109" t="n"/>
      <c r="AA386" s="109" t="n"/>
      <c r="AB386" s="109" t="n"/>
      <c r="AF386" s="109" t="n"/>
      <c r="AG386" s="109" t="n"/>
      <c r="AH386" s="109" t="n"/>
      <c r="AL386" s="109" t="n"/>
      <c r="AM386" s="109" t="n"/>
      <c r="AN386" s="109" t="n"/>
    </row>
    <row r="387" ht="15.75" customHeight="1" s="216">
      <c r="D387" s="109" t="n"/>
      <c r="E387" s="109" t="n"/>
      <c r="J387" s="109" t="n"/>
      <c r="K387" s="109" t="n"/>
      <c r="L387" s="109" t="n"/>
      <c r="N387" s="109" t="n"/>
      <c r="O387" s="109" t="n"/>
      <c r="P387" s="109" t="n"/>
      <c r="T387" s="109" t="n"/>
      <c r="U387" s="109" t="n"/>
      <c r="V387" s="109" t="n"/>
      <c r="Z387" s="109" t="n"/>
      <c r="AA387" s="109" t="n"/>
      <c r="AB387" s="109" t="n"/>
      <c r="AF387" s="109" t="n"/>
      <c r="AG387" s="109" t="n"/>
      <c r="AH387" s="109" t="n"/>
      <c r="AL387" s="109" t="n"/>
      <c r="AM387" s="109" t="n"/>
      <c r="AN387" s="109" t="n"/>
    </row>
    <row r="388" ht="15.75" customHeight="1" s="216">
      <c r="D388" s="109" t="n"/>
      <c r="E388" s="109" t="n"/>
      <c r="J388" s="109" t="n"/>
      <c r="K388" s="109" t="n"/>
      <c r="L388" s="109" t="n"/>
      <c r="N388" s="109" t="n"/>
      <c r="O388" s="109" t="n"/>
      <c r="P388" s="109" t="n"/>
      <c r="T388" s="109" t="n"/>
      <c r="U388" s="109" t="n"/>
      <c r="V388" s="109" t="n"/>
      <c r="Z388" s="109" t="n"/>
      <c r="AA388" s="109" t="n"/>
      <c r="AB388" s="109" t="n"/>
      <c r="AF388" s="109" t="n"/>
      <c r="AG388" s="109" t="n"/>
      <c r="AH388" s="109" t="n"/>
      <c r="AL388" s="109" t="n"/>
      <c r="AM388" s="109" t="n"/>
      <c r="AN388" s="109" t="n"/>
    </row>
    <row r="389" ht="15.75" customHeight="1" s="216">
      <c r="D389" s="109" t="n"/>
      <c r="E389" s="109" t="n"/>
      <c r="J389" s="109" t="n"/>
      <c r="K389" s="109" t="n"/>
      <c r="L389" s="109" t="n"/>
      <c r="N389" s="109" t="n"/>
      <c r="O389" s="109" t="n"/>
      <c r="P389" s="109" t="n"/>
      <c r="T389" s="109" t="n"/>
      <c r="U389" s="109" t="n"/>
      <c r="V389" s="109" t="n"/>
      <c r="Z389" s="109" t="n"/>
      <c r="AA389" s="109" t="n"/>
      <c r="AB389" s="109" t="n"/>
      <c r="AF389" s="109" t="n"/>
      <c r="AG389" s="109" t="n"/>
      <c r="AH389" s="109" t="n"/>
      <c r="AL389" s="109" t="n"/>
      <c r="AM389" s="109" t="n"/>
      <c r="AN389" s="109" t="n"/>
    </row>
    <row r="390" ht="15.75" customHeight="1" s="216">
      <c r="D390" s="109" t="n"/>
      <c r="E390" s="109" t="n"/>
      <c r="J390" s="109" t="n"/>
      <c r="K390" s="109" t="n"/>
      <c r="L390" s="109" t="n"/>
      <c r="N390" s="109" t="n"/>
      <c r="O390" s="109" t="n"/>
      <c r="P390" s="109" t="n"/>
      <c r="T390" s="109" t="n"/>
      <c r="U390" s="109" t="n"/>
      <c r="V390" s="109" t="n"/>
      <c r="Z390" s="109" t="n"/>
      <c r="AA390" s="109" t="n"/>
      <c r="AB390" s="109" t="n"/>
      <c r="AF390" s="109" t="n"/>
      <c r="AG390" s="109" t="n"/>
      <c r="AH390" s="109" t="n"/>
      <c r="AL390" s="109" t="n"/>
      <c r="AM390" s="109" t="n"/>
      <c r="AN390" s="109" t="n"/>
    </row>
    <row r="391" ht="15.75" customHeight="1" s="216">
      <c r="D391" s="109" t="n"/>
      <c r="E391" s="109" t="n"/>
      <c r="J391" s="109" t="n"/>
      <c r="K391" s="109" t="n"/>
      <c r="L391" s="109" t="n"/>
      <c r="N391" s="109" t="n"/>
      <c r="O391" s="109" t="n"/>
      <c r="P391" s="109" t="n"/>
      <c r="T391" s="109" t="n"/>
      <c r="U391" s="109" t="n"/>
      <c r="V391" s="109" t="n"/>
      <c r="Z391" s="109" t="n"/>
      <c r="AA391" s="109" t="n"/>
      <c r="AB391" s="109" t="n"/>
      <c r="AF391" s="109" t="n"/>
      <c r="AG391" s="109" t="n"/>
      <c r="AH391" s="109" t="n"/>
      <c r="AL391" s="109" t="n"/>
      <c r="AM391" s="109" t="n"/>
      <c r="AN391" s="109" t="n"/>
    </row>
    <row r="392" ht="15.75" customHeight="1" s="216">
      <c r="D392" s="109" t="n"/>
      <c r="E392" s="109" t="n"/>
      <c r="J392" s="109" t="n"/>
      <c r="K392" s="109" t="n"/>
      <c r="L392" s="109" t="n"/>
      <c r="N392" s="109" t="n"/>
      <c r="O392" s="109" t="n"/>
      <c r="P392" s="109" t="n"/>
      <c r="T392" s="109" t="n"/>
      <c r="U392" s="109" t="n"/>
      <c r="V392" s="109" t="n"/>
      <c r="Z392" s="109" t="n"/>
      <c r="AA392" s="109" t="n"/>
      <c r="AB392" s="109" t="n"/>
      <c r="AF392" s="109" t="n"/>
      <c r="AG392" s="109" t="n"/>
      <c r="AH392" s="109" t="n"/>
      <c r="AL392" s="109" t="n"/>
      <c r="AM392" s="109" t="n"/>
      <c r="AN392" s="109" t="n"/>
    </row>
    <row r="393" ht="15.75" customHeight="1" s="216">
      <c r="D393" s="109" t="n"/>
      <c r="E393" s="109" t="n"/>
      <c r="J393" s="109" t="n"/>
      <c r="K393" s="109" t="n"/>
      <c r="L393" s="109" t="n"/>
      <c r="N393" s="109" t="n"/>
      <c r="O393" s="109" t="n"/>
      <c r="P393" s="109" t="n"/>
      <c r="T393" s="109" t="n"/>
      <c r="U393" s="109" t="n"/>
      <c r="V393" s="109" t="n"/>
      <c r="Z393" s="109" t="n"/>
      <c r="AA393" s="109" t="n"/>
      <c r="AB393" s="109" t="n"/>
      <c r="AF393" s="109" t="n"/>
      <c r="AG393" s="109" t="n"/>
      <c r="AH393" s="109" t="n"/>
      <c r="AL393" s="109" t="n"/>
      <c r="AM393" s="109" t="n"/>
      <c r="AN393" s="109" t="n"/>
    </row>
    <row r="394" ht="15.75" customHeight="1" s="216">
      <c r="D394" s="109" t="n"/>
      <c r="E394" s="109" t="n"/>
      <c r="J394" s="109" t="n"/>
      <c r="K394" s="109" t="n"/>
      <c r="L394" s="109" t="n"/>
      <c r="N394" s="109" t="n"/>
      <c r="O394" s="109" t="n"/>
      <c r="P394" s="109" t="n"/>
      <c r="T394" s="109" t="n"/>
      <c r="U394" s="109" t="n"/>
      <c r="V394" s="109" t="n"/>
      <c r="Z394" s="109" t="n"/>
      <c r="AA394" s="109" t="n"/>
      <c r="AB394" s="109" t="n"/>
      <c r="AF394" s="109" t="n"/>
      <c r="AG394" s="109" t="n"/>
      <c r="AH394" s="109" t="n"/>
      <c r="AL394" s="109" t="n"/>
      <c r="AM394" s="109" t="n"/>
      <c r="AN394" s="109" t="n"/>
    </row>
    <row r="395" ht="15.75" customHeight="1" s="216">
      <c r="D395" s="109" t="n"/>
      <c r="E395" s="109" t="n"/>
      <c r="J395" s="109" t="n"/>
      <c r="K395" s="109" t="n"/>
      <c r="L395" s="109" t="n"/>
      <c r="N395" s="109" t="n"/>
      <c r="O395" s="109" t="n"/>
      <c r="P395" s="109" t="n"/>
      <c r="T395" s="109" t="n"/>
      <c r="U395" s="109" t="n"/>
      <c r="V395" s="109" t="n"/>
      <c r="Z395" s="109" t="n"/>
      <c r="AA395" s="109" t="n"/>
      <c r="AB395" s="109" t="n"/>
      <c r="AF395" s="109" t="n"/>
      <c r="AG395" s="109" t="n"/>
      <c r="AH395" s="109" t="n"/>
      <c r="AL395" s="109" t="n"/>
      <c r="AM395" s="109" t="n"/>
      <c r="AN395" s="109" t="n"/>
    </row>
    <row r="396" ht="15.75" customHeight="1" s="216">
      <c r="D396" s="109" t="n"/>
      <c r="E396" s="109" t="n"/>
      <c r="J396" s="109" t="n"/>
      <c r="K396" s="109" t="n"/>
      <c r="L396" s="109" t="n"/>
      <c r="N396" s="109" t="n"/>
      <c r="O396" s="109" t="n"/>
      <c r="P396" s="109" t="n"/>
      <c r="T396" s="109" t="n"/>
      <c r="U396" s="109" t="n"/>
      <c r="V396" s="109" t="n"/>
      <c r="Z396" s="109" t="n"/>
      <c r="AA396" s="109" t="n"/>
      <c r="AB396" s="109" t="n"/>
      <c r="AF396" s="109" t="n"/>
      <c r="AG396" s="109" t="n"/>
      <c r="AH396" s="109" t="n"/>
      <c r="AL396" s="109" t="n"/>
      <c r="AM396" s="109" t="n"/>
      <c r="AN396" s="109" t="n"/>
    </row>
    <row r="397" ht="15.75" customHeight="1" s="216">
      <c r="D397" s="109" t="n"/>
      <c r="E397" s="109" t="n"/>
      <c r="J397" s="109" t="n"/>
      <c r="K397" s="109" t="n"/>
      <c r="L397" s="109" t="n"/>
      <c r="N397" s="109" t="n"/>
      <c r="O397" s="109" t="n"/>
      <c r="P397" s="109" t="n"/>
      <c r="T397" s="109" t="n"/>
      <c r="U397" s="109" t="n"/>
      <c r="V397" s="109" t="n"/>
      <c r="Z397" s="109" t="n"/>
      <c r="AA397" s="109" t="n"/>
      <c r="AB397" s="109" t="n"/>
      <c r="AF397" s="109" t="n"/>
      <c r="AG397" s="109" t="n"/>
      <c r="AH397" s="109" t="n"/>
      <c r="AL397" s="109" t="n"/>
      <c r="AM397" s="109" t="n"/>
      <c r="AN397" s="109" t="n"/>
    </row>
    <row r="398" ht="15.75" customHeight="1" s="216">
      <c r="D398" s="109" t="n"/>
      <c r="E398" s="109" t="n"/>
      <c r="J398" s="109" t="n"/>
      <c r="K398" s="109" t="n"/>
      <c r="L398" s="109" t="n"/>
      <c r="N398" s="109" t="n"/>
      <c r="O398" s="109" t="n"/>
      <c r="P398" s="109" t="n"/>
      <c r="T398" s="109" t="n"/>
      <c r="U398" s="109" t="n"/>
      <c r="V398" s="109" t="n"/>
      <c r="Z398" s="109" t="n"/>
      <c r="AA398" s="109" t="n"/>
      <c r="AB398" s="109" t="n"/>
      <c r="AF398" s="109" t="n"/>
      <c r="AG398" s="109" t="n"/>
      <c r="AH398" s="109" t="n"/>
      <c r="AL398" s="109" t="n"/>
      <c r="AM398" s="109" t="n"/>
      <c r="AN398" s="109" t="n"/>
    </row>
    <row r="399" ht="15.75" customHeight="1" s="216">
      <c r="D399" s="109" t="n"/>
      <c r="E399" s="109" t="n"/>
      <c r="J399" s="109" t="n"/>
      <c r="K399" s="109" t="n"/>
      <c r="L399" s="109" t="n"/>
      <c r="N399" s="109" t="n"/>
      <c r="O399" s="109" t="n"/>
      <c r="P399" s="109" t="n"/>
      <c r="T399" s="109" t="n"/>
      <c r="U399" s="109" t="n"/>
      <c r="V399" s="109" t="n"/>
      <c r="Z399" s="109" t="n"/>
      <c r="AA399" s="109" t="n"/>
      <c r="AB399" s="109" t="n"/>
      <c r="AF399" s="109" t="n"/>
      <c r="AG399" s="109" t="n"/>
      <c r="AH399" s="109" t="n"/>
      <c r="AL399" s="109" t="n"/>
      <c r="AM399" s="109" t="n"/>
      <c r="AN399" s="109" t="n"/>
    </row>
    <row r="400" ht="15.75" customHeight="1" s="216">
      <c r="D400" s="109" t="n"/>
      <c r="E400" s="109" t="n"/>
      <c r="J400" s="109" t="n"/>
      <c r="K400" s="109" t="n"/>
      <c r="L400" s="109" t="n"/>
      <c r="N400" s="109" t="n"/>
      <c r="O400" s="109" t="n"/>
      <c r="P400" s="109" t="n"/>
      <c r="T400" s="109" t="n"/>
      <c r="U400" s="109" t="n"/>
      <c r="V400" s="109" t="n"/>
      <c r="Z400" s="109" t="n"/>
      <c r="AA400" s="109" t="n"/>
      <c r="AB400" s="109" t="n"/>
      <c r="AF400" s="109" t="n"/>
      <c r="AG400" s="109" t="n"/>
      <c r="AH400" s="109" t="n"/>
      <c r="AL400" s="109" t="n"/>
      <c r="AM400" s="109" t="n"/>
      <c r="AN400" s="109" t="n"/>
    </row>
    <row r="401" ht="15.75" customHeight="1" s="216">
      <c r="D401" s="109" t="n"/>
      <c r="E401" s="109" t="n"/>
      <c r="J401" s="109" t="n"/>
      <c r="K401" s="109" t="n"/>
      <c r="L401" s="109" t="n"/>
      <c r="N401" s="109" t="n"/>
      <c r="O401" s="109" t="n"/>
      <c r="P401" s="109" t="n"/>
      <c r="T401" s="109" t="n"/>
      <c r="U401" s="109" t="n"/>
      <c r="V401" s="109" t="n"/>
      <c r="Z401" s="109" t="n"/>
      <c r="AA401" s="109" t="n"/>
      <c r="AB401" s="109" t="n"/>
      <c r="AF401" s="109" t="n"/>
      <c r="AG401" s="109" t="n"/>
      <c r="AH401" s="109" t="n"/>
      <c r="AL401" s="109" t="n"/>
      <c r="AM401" s="109" t="n"/>
      <c r="AN401" s="109" t="n"/>
    </row>
    <row r="402" ht="15.75" customHeight="1" s="216">
      <c r="D402" s="109" t="n"/>
      <c r="E402" s="109" t="n"/>
      <c r="J402" s="109" t="n"/>
      <c r="K402" s="109" t="n"/>
      <c r="L402" s="109" t="n"/>
      <c r="N402" s="109" t="n"/>
      <c r="O402" s="109" t="n"/>
      <c r="P402" s="109" t="n"/>
      <c r="T402" s="109" t="n"/>
      <c r="U402" s="109" t="n"/>
      <c r="V402" s="109" t="n"/>
      <c r="Z402" s="109" t="n"/>
      <c r="AA402" s="109" t="n"/>
      <c r="AB402" s="109" t="n"/>
      <c r="AF402" s="109" t="n"/>
      <c r="AG402" s="109" t="n"/>
      <c r="AH402" s="109" t="n"/>
      <c r="AL402" s="109" t="n"/>
      <c r="AM402" s="109" t="n"/>
      <c r="AN402" s="109" t="n"/>
    </row>
    <row r="403" ht="15.75" customHeight="1" s="216">
      <c r="D403" s="109" t="n"/>
      <c r="E403" s="109" t="n"/>
      <c r="J403" s="109" t="n"/>
      <c r="K403" s="109" t="n"/>
      <c r="L403" s="109" t="n"/>
      <c r="N403" s="109" t="n"/>
      <c r="O403" s="109" t="n"/>
      <c r="P403" s="109" t="n"/>
      <c r="T403" s="109" t="n"/>
      <c r="U403" s="109" t="n"/>
      <c r="V403" s="109" t="n"/>
      <c r="Z403" s="109" t="n"/>
      <c r="AA403" s="109" t="n"/>
      <c r="AB403" s="109" t="n"/>
      <c r="AF403" s="109" t="n"/>
      <c r="AG403" s="109" t="n"/>
      <c r="AH403" s="109" t="n"/>
      <c r="AL403" s="109" t="n"/>
      <c r="AM403" s="109" t="n"/>
      <c r="AN403" s="109" t="n"/>
    </row>
    <row r="404" ht="15.75" customHeight="1" s="216">
      <c r="D404" s="109" t="n"/>
      <c r="E404" s="109" t="n"/>
      <c r="J404" s="109" t="n"/>
      <c r="K404" s="109" t="n"/>
      <c r="L404" s="109" t="n"/>
      <c r="N404" s="109" t="n"/>
      <c r="O404" s="109" t="n"/>
      <c r="P404" s="109" t="n"/>
      <c r="T404" s="109" t="n"/>
      <c r="U404" s="109" t="n"/>
      <c r="V404" s="109" t="n"/>
      <c r="Z404" s="109" t="n"/>
      <c r="AA404" s="109" t="n"/>
      <c r="AB404" s="109" t="n"/>
      <c r="AF404" s="109" t="n"/>
      <c r="AG404" s="109" t="n"/>
      <c r="AH404" s="109" t="n"/>
      <c r="AL404" s="109" t="n"/>
      <c r="AM404" s="109" t="n"/>
      <c r="AN404" s="109" t="n"/>
    </row>
    <row r="405" ht="15.75" customHeight="1" s="216">
      <c r="D405" s="109" t="n"/>
      <c r="E405" s="109" t="n"/>
      <c r="J405" s="109" t="n"/>
      <c r="K405" s="109" t="n"/>
      <c r="L405" s="109" t="n"/>
      <c r="N405" s="109" t="n"/>
      <c r="O405" s="109" t="n"/>
      <c r="P405" s="109" t="n"/>
      <c r="T405" s="109" t="n"/>
      <c r="U405" s="109" t="n"/>
      <c r="V405" s="109" t="n"/>
      <c r="Z405" s="109" t="n"/>
      <c r="AA405" s="109" t="n"/>
      <c r="AB405" s="109" t="n"/>
      <c r="AF405" s="109" t="n"/>
      <c r="AG405" s="109" t="n"/>
      <c r="AH405" s="109" t="n"/>
      <c r="AL405" s="109" t="n"/>
      <c r="AM405" s="109" t="n"/>
      <c r="AN405" s="109" t="n"/>
    </row>
    <row r="406" ht="15.75" customHeight="1" s="216">
      <c r="D406" s="109" t="n"/>
      <c r="E406" s="109" t="n"/>
      <c r="J406" s="109" t="n"/>
      <c r="K406" s="109" t="n"/>
      <c r="L406" s="109" t="n"/>
      <c r="N406" s="109" t="n"/>
      <c r="O406" s="109" t="n"/>
      <c r="P406" s="109" t="n"/>
      <c r="T406" s="109" t="n"/>
      <c r="U406" s="109" t="n"/>
      <c r="V406" s="109" t="n"/>
      <c r="Z406" s="109" t="n"/>
      <c r="AA406" s="109" t="n"/>
      <c r="AB406" s="109" t="n"/>
      <c r="AF406" s="109" t="n"/>
      <c r="AG406" s="109" t="n"/>
      <c r="AH406" s="109" t="n"/>
      <c r="AL406" s="109" t="n"/>
      <c r="AM406" s="109" t="n"/>
      <c r="AN406" s="109" t="n"/>
    </row>
    <row r="407" ht="15.75" customHeight="1" s="216">
      <c r="D407" s="109" t="n"/>
      <c r="E407" s="109" t="n"/>
      <c r="J407" s="109" t="n"/>
      <c r="K407" s="109" t="n"/>
      <c r="L407" s="109" t="n"/>
      <c r="N407" s="109" t="n"/>
      <c r="O407" s="109" t="n"/>
      <c r="P407" s="109" t="n"/>
      <c r="T407" s="109" t="n"/>
      <c r="U407" s="109" t="n"/>
      <c r="V407" s="109" t="n"/>
      <c r="Z407" s="109" t="n"/>
      <c r="AA407" s="109" t="n"/>
      <c r="AB407" s="109" t="n"/>
      <c r="AF407" s="109" t="n"/>
      <c r="AG407" s="109" t="n"/>
      <c r="AH407" s="109" t="n"/>
      <c r="AL407" s="109" t="n"/>
      <c r="AM407" s="109" t="n"/>
      <c r="AN407" s="109" t="n"/>
    </row>
    <row r="408" ht="15.75" customHeight="1" s="216">
      <c r="D408" s="109" t="n"/>
      <c r="E408" s="109" t="n"/>
      <c r="J408" s="109" t="n"/>
      <c r="K408" s="109" t="n"/>
      <c r="L408" s="109" t="n"/>
      <c r="N408" s="109" t="n"/>
      <c r="O408" s="109" t="n"/>
      <c r="P408" s="109" t="n"/>
      <c r="T408" s="109" t="n"/>
      <c r="U408" s="109" t="n"/>
      <c r="V408" s="109" t="n"/>
      <c r="Z408" s="109" t="n"/>
      <c r="AA408" s="109" t="n"/>
      <c r="AB408" s="109" t="n"/>
      <c r="AF408" s="109" t="n"/>
      <c r="AG408" s="109" t="n"/>
      <c r="AH408" s="109" t="n"/>
      <c r="AL408" s="109" t="n"/>
      <c r="AM408" s="109" t="n"/>
      <c r="AN408" s="109" t="n"/>
    </row>
    <row r="409" ht="15.75" customHeight="1" s="216">
      <c r="D409" s="109" t="n"/>
      <c r="E409" s="109" t="n"/>
      <c r="J409" s="109" t="n"/>
      <c r="K409" s="109" t="n"/>
      <c r="L409" s="109" t="n"/>
      <c r="N409" s="109" t="n"/>
      <c r="O409" s="109" t="n"/>
      <c r="P409" s="109" t="n"/>
      <c r="T409" s="109" t="n"/>
      <c r="U409" s="109" t="n"/>
      <c r="V409" s="109" t="n"/>
      <c r="Z409" s="109" t="n"/>
      <c r="AA409" s="109" t="n"/>
      <c r="AB409" s="109" t="n"/>
      <c r="AF409" s="109" t="n"/>
      <c r="AG409" s="109" t="n"/>
      <c r="AH409" s="109" t="n"/>
      <c r="AL409" s="109" t="n"/>
      <c r="AM409" s="109" t="n"/>
      <c r="AN409" s="109" t="n"/>
    </row>
    <row r="410" ht="15.75" customHeight="1" s="216">
      <c r="D410" s="109" t="n"/>
      <c r="E410" s="109" t="n"/>
      <c r="J410" s="109" t="n"/>
      <c r="K410" s="109" t="n"/>
      <c r="L410" s="109" t="n"/>
      <c r="N410" s="109" t="n"/>
      <c r="O410" s="109" t="n"/>
      <c r="P410" s="109" t="n"/>
      <c r="T410" s="109" t="n"/>
      <c r="U410" s="109" t="n"/>
      <c r="V410" s="109" t="n"/>
      <c r="Z410" s="109" t="n"/>
      <c r="AA410" s="109" t="n"/>
      <c r="AB410" s="109" t="n"/>
      <c r="AF410" s="109" t="n"/>
      <c r="AG410" s="109" t="n"/>
      <c r="AH410" s="109" t="n"/>
      <c r="AL410" s="109" t="n"/>
      <c r="AM410" s="109" t="n"/>
      <c r="AN410" s="109" t="n"/>
    </row>
    <row r="411" ht="15.75" customHeight="1" s="216">
      <c r="D411" s="109" t="n"/>
      <c r="E411" s="109" t="n"/>
      <c r="J411" s="109" t="n"/>
      <c r="K411" s="109" t="n"/>
      <c r="L411" s="109" t="n"/>
      <c r="N411" s="109" t="n"/>
      <c r="O411" s="109" t="n"/>
      <c r="P411" s="109" t="n"/>
      <c r="T411" s="109" t="n"/>
      <c r="U411" s="109" t="n"/>
      <c r="V411" s="109" t="n"/>
      <c r="Z411" s="109" t="n"/>
      <c r="AA411" s="109" t="n"/>
      <c r="AB411" s="109" t="n"/>
      <c r="AF411" s="109" t="n"/>
      <c r="AG411" s="109" t="n"/>
      <c r="AH411" s="109" t="n"/>
      <c r="AL411" s="109" t="n"/>
      <c r="AM411" s="109" t="n"/>
      <c r="AN411" s="109" t="n"/>
    </row>
    <row r="412" ht="15.75" customHeight="1" s="216">
      <c r="D412" s="109" t="n"/>
      <c r="E412" s="109" t="n"/>
      <c r="J412" s="109" t="n"/>
      <c r="K412" s="109" t="n"/>
      <c r="L412" s="109" t="n"/>
      <c r="N412" s="109" t="n"/>
      <c r="O412" s="109" t="n"/>
      <c r="P412" s="109" t="n"/>
      <c r="T412" s="109" t="n"/>
      <c r="U412" s="109" t="n"/>
      <c r="V412" s="109" t="n"/>
      <c r="Z412" s="109" t="n"/>
      <c r="AA412" s="109" t="n"/>
      <c r="AB412" s="109" t="n"/>
      <c r="AF412" s="109" t="n"/>
      <c r="AG412" s="109" t="n"/>
      <c r="AH412" s="109" t="n"/>
      <c r="AL412" s="109" t="n"/>
      <c r="AM412" s="109" t="n"/>
      <c r="AN412" s="109" t="n"/>
    </row>
    <row r="413" ht="15.75" customHeight="1" s="216">
      <c r="D413" s="109" t="n"/>
      <c r="E413" s="109" t="n"/>
      <c r="J413" s="109" t="n"/>
      <c r="K413" s="109" t="n"/>
      <c r="L413" s="109" t="n"/>
      <c r="N413" s="109" t="n"/>
      <c r="O413" s="109" t="n"/>
      <c r="P413" s="109" t="n"/>
      <c r="T413" s="109" t="n"/>
      <c r="U413" s="109" t="n"/>
      <c r="V413" s="109" t="n"/>
      <c r="Z413" s="109" t="n"/>
      <c r="AA413" s="109" t="n"/>
      <c r="AB413" s="109" t="n"/>
      <c r="AF413" s="109" t="n"/>
      <c r="AG413" s="109" t="n"/>
      <c r="AH413" s="109" t="n"/>
      <c r="AL413" s="109" t="n"/>
      <c r="AM413" s="109" t="n"/>
      <c r="AN413" s="109" t="n"/>
    </row>
    <row r="414" ht="15.75" customHeight="1" s="216">
      <c r="D414" s="109" t="n"/>
      <c r="E414" s="109" t="n"/>
      <c r="J414" s="109" t="n"/>
      <c r="K414" s="109" t="n"/>
      <c r="L414" s="109" t="n"/>
      <c r="N414" s="109" t="n"/>
      <c r="O414" s="109" t="n"/>
      <c r="P414" s="109" t="n"/>
      <c r="T414" s="109" t="n"/>
      <c r="U414" s="109" t="n"/>
      <c r="V414" s="109" t="n"/>
      <c r="Z414" s="109" t="n"/>
      <c r="AA414" s="109" t="n"/>
      <c r="AB414" s="109" t="n"/>
      <c r="AF414" s="109" t="n"/>
      <c r="AG414" s="109" t="n"/>
      <c r="AH414" s="109" t="n"/>
      <c r="AL414" s="109" t="n"/>
      <c r="AM414" s="109" t="n"/>
      <c r="AN414" s="109" t="n"/>
    </row>
    <row r="415" ht="15.75" customHeight="1" s="216">
      <c r="D415" s="109" t="n"/>
      <c r="E415" s="109" t="n"/>
      <c r="J415" s="109" t="n"/>
      <c r="K415" s="109" t="n"/>
      <c r="L415" s="109" t="n"/>
      <c r="N415" s="109" t="n"/>
      <c r="O415" s="109" t="n"/>
      <c r="P415" s="109" t="n"/>
      <c r="T415" s="109" t="n"/>
      <c r="U415" s="109" t="n"/>
      <c r="V415" s="109" t="n"/>
      <c r="Z415" s="109" t="n"/>
      <c r="AA415" s="109" t="n"/>
      <c r="AB415" s="109" t="n"/>
      <c r="AF415" s="109" t="n"/>
      <c r="AG415" s="109" t="n"/>
      <c r="AH415" s="109" t="n"/>
      <c r="AL415" s="109" t="n"/>
      <c r="AM415" s="109" t="n"/>
      <c r="AN415" s="109" t="n"/>
    </row>
    <row r="416" ht="15.75" customHeight="1" s="216">
      <c r="D416" s="109" t="n"/>
      <c r="E416" s="109" t="n"/>
      <c r="J416" s="109" t="n"/>
      <c r="K416" s="109" t="n"/>
      <c r="L416" s="109" t="n"/>
      <c r="N416" s="109" t="n"/>
      <c r="O416" s="109" t="n"/>
      <c r="P416" s="109" t="n"/>
      <c r="T416" s="109" t="n"/>
      <c r="U416" s="109" t="n"/>
      <c r="V416" s="109" t="n"/>
      <c r="Z416" s="109" t="n"/>
      <c r="AA416" s="109" t="n"/>
      <c r="AB416" s="109" t="n"/>
      <c r="AF416" s="109" t="n"/>
      <c r="AG416" s="109" t="n"/>
      <c r="AH416" s="109" t="n"/>
      <c r="AL416" s="109" t="n"/>
      <c r="AM416" s="109" t="n"/>
      <c r="AN416" s="109" t="n"/>
    </row>
    <row r="417" ht="15.75" customHeight="1" s="216">
      <c r="D417" s="109" t="n"/>
      <c r="E417" s="109" t="n"/>
      <c r="J417" s="109" t="n"/>
      <c r="K417" s="109" t="n"/>
      <c r="L417" s="109" t="n"/>
      <c r="N417" s="109" t="n"/>
      <c r="O417" s="109" t="n"/>
      <c r="P417" s="109" t="n"/>
      <c r="T417" s="109" t="n"/>
      <c r="U417" s="109" t="n"/>
      <c r="V417" s="109" t="n"/>
      <c r="Z417" s="109" t="n"/>
      <c r="AA417" s="109" t="n"/>
      <c r="AB417" s="109" t="n"/>
      <c r="AF417" s="109" t="n"/>
      <c r="AG417" s="109" t="n"/>
      <c r="AH417" s="109" t="n"/>
      <c r="AL417" s="109" t="n"/>
      <c r="AM417" s="109" t="n"/>
      <c r="AN417" s="109" t="n"/>
    </row>
    <row r="418" ht="15.75" customHeight="1" s="216">
      <c r="D418" s="109" t="n"/>
      <c r="E418" s="109" t="n"/>
      <c r="J418" s="109" t="n"/>
      <c r="K418" s="109" t="n"/>
      <c r="L418" s="109" t="n"/>
      <c r="N418" s="109" t="n"/>
      <c r="O418" s="109" t="n"/>
      <c r="P418" s="109" t="n"/>
      <c r="T418" s="109" t="n"/>
      <c r="U418" s="109" t="n"/>
      <c r="V418" s="109" t="n"/>
      <c r="Z418" s="109" t="n"/>
      <c r="AA418" s="109" t="n"/>
      <c r="AB418" s="109" t="n"/>
      <c r="AF418" s="109" t="n"/>
      <c r="AG418" s="109" t="n"/>
      <c r="AH418" s="109" t="n"/>
      <c r="AL418" s="109" t="n"/>
      <c r="AM418" s="109" t="n"/>
      <c r="AN418" s="109" t="n"/>
    </row>
    <row r="419" ht="15.75" customHeight="1" s="216">
      <c r="D419" s="109" t="n"/>
      <c r="E419" s="109" t="n"/>
      <c r="J419" s="109" t="n"/>
      <c r="K419" s="109" t="n"/>
      <c r="L419" s="109" t="n"/>
      <c r="N419" s="109" t="n"/>
      <c r="O419" s="109" t="n"/>
      <c r="P419" s="109" t="n"/>
      <c r="T419" s="109" t="n"/>
      <c r="U419" s="109" t="n"/>
      <c r="V419" s="109" t="n"/>
      <c r="Z419" s="109" t="n"/>
      <c r="AA419" s="109" t="n"/>
      <c r="AB419" s="109" t="n"/>
      <c r="AF419" s="109" t="n"/>
      <c r="AG419" s="109" t="n"/>
      <c r="AH419" s="109" t="n"/>
      <c r="AL419" s="109" t="n"/>
      <c r="AM419" s="109" t="n"/>
      <c r="AN419" s="109" t="n"/>
    </row>
    <row r="420" ht="15.75" customHeight="1" s="216">
      <c r="D420" s="109" t="n"/>
      <c r="E420" s="109" t="n"/>
      <c r="J420" s="109" t="n"/>
      <c r="K420" s="109" t="n"/>
      <c r="L420" s="109" t="n"/>
      <c r="N420" s="109" t="n"/>
      <c r="O420" s="109" t="n"/>
      <c r="P420" s="109" t="n"/>
      <c r="T420" s="109" t="n"/>
      <c r="U420" s="109" t="n"/>
      <c r="V420" s="109" t="n"/>
      <c r="Z420" s="109" t="n"/>
      <c r="AA420" s="109" t="n"/>
      <c r="AB420" s="109" t="n"/>
      <c r="AF420" s="109" t="n"/>
      <c r="AG420" s="109" t="n"/>
      <c r="AH420" s="109" t="n"/>
      <c r="AL420" s="109" t="n"/>
      <c r="AM420" s="109" t="n"/>
      <c r="AN420" s="109" t="n"/>
    </row>
    <row r="421" ht="15.75" customHeight="1" s="216">
      <c r="D421" s="109" t="n"/>
      <c r="E421" s="109" t="n"/>
      <c r="J421" s="109" t="n"/>
      <c r="K421" s="109" t="n"/>
      <c r="L421" s="109" t="n"/>
      <c r="N421" s="109" t="n"/>
      <c r="O421" s="109" t="n"/>
      <c r="P421" s="109" t="n"/>
      <c r="T421" s="109" t="n"/>
      <c r="U421" s="109" t="n"/>
      <c r="V421" s="109" t="n"/>
      <c r="Z421" s="109" t="n"/>
      <c r="AA421" s="109" t="n"/>
      <c r="AB421" s="109" t="n"/>
      <c r="AF421" s="109" t="n"/>
      <c r="AG421" s="109" t="n"/>
      <c r="AH421" s="109" t="n"/>
      <c r="AL421" s="109" t="n"/>
      <c r="AM421" s="109" t="n"/>
      <c r="AN421" s="109" t="n"/>
    </row>
    <row r="422" ht="15.75" customHeight="1" s="216">
      <c r="D422" s="109" t="n"/>
      <c r="E422" s="109" t="n"/>
      <c r="J422" s="109" t="n"/>
      <c r="K422" s="109" t="n"/>
      <c r="L422" s="109" t="n"/>
      <c r="N422" s="109" t="n"/>
      <c r="O422" s="109" t="n"/>
      <c r="P422" s="109" t="n"/>
      <c r="T422" s="109" t="n"/>
      <c r="U422" s="109" t="n"/>
      <c r="V422" s="109" t="n"/>
      <c r="Z422" s="109" t="n"/>
      <c r="AA422" s="109" t="n"/>
      <c r="AB422" s="109" t="n"/>
      <c r="AF422" s="109" t="n"/>
      <c r="AG422" s="109" t="n"/>
      <c r="AH422" s="109" t="n"/>
      <c r="AL422" s="109" t="n"/>
      <c r="AM422" s="109" t="n"/>
      <c r="AN422" s="109" t="n"/>
    </row>
    <row r="423" ht="15.75" customHeight="1" s="216">
      <c r="D423" s="109" t="n"/>
      <c r="E423" s="109" t="n"/>
      <c r="J423" s="109" t="n"/>
      <c r="K423" s="109" t="n"/>
      <c r="L423" s="109" t="n"/>
      <c r="N423" s="109" t="n"/>
      <c r="O423" s="109" t="n"/>
      <c r="P423" s="109" t="n"/>
      <c r="T423" s="109" t="n"/>
      <c r="U423" s="109" t="n"/>
      <c r="V423" s="109" t="n"/>
      <c r="Z423" s="109" t="n"/>
      <c r="AA423" s="109" t="n"/>
      <c r="AB423" s="109" t="n"/>
      <c r="AF423" s="109" t="n"/>
      <c r="AG423" s="109" t="n"/>
      <c r="AH423" s="109" t="n"/>
      <c r="AL423" s="109" t="n"/>
      <c r="AM423" s="109" t="n"/>
      <c r="AN423" s="109" t="n"/>
    </row>
    <row r="424" ht="15.75" customHeight="1" s="216">
      <c r="D424" s="109" t="n"/>
      <c r="E424" s="109" t="n"/>
      <c r="J424" s="109" t="n"/>
      <c r="K424" s="109" t="n"/>
      <c r="L424" s="109" t="n"/>
      <c r="N424" s="109" t="n"/>
      <c r="O424" s="109" t="n"/>
      <c r="P424" s="109" t="n"/>
      <c r="T424" s="109" t="n"/>
      <c r="U424" s="109" t="n"/>
      <c r="V424" s="109" t="n"/>
      <c r="Z424" s="109" t="n"/>
      <c r="AA424" s="109" t="n"/>
      <c r="AB424" s="109" t="n"/>
      <c r="AF424" s="109" t="n"/>
      <c r="AG424" s="109" t="n"/>
      <c r="AH424" s="109" t="n"/>
      <c r="AL424" s="109" t="n"/>
      <c r="AM424" s="109" t="n"/>
      <c r="AN424" s="109" t="n"/>
    </row>
    <row r="425" ht="15.75" customHeight="1" s="216">
      <c r="D425" s="109" t="n"/>
      <c r="E425" s="109" t="n"/>
      <c r="J425" s="109" t="n"/>
      <c r="K425" s="109" t="n"/>
      <c r="L425" s="109" t="n"/>
      <c r="N425" s="109" t="n"/>
      <c r="O425" s="109" t="n"/>
      <c r="P425" s="109" t="n"/>
      <c r="T425" s="109" t="n"/>
      <c r="U425" s="109" t="n"/>
      <c r="V425" s="109" t="n"/>
      <c r="Z425" s="109" t="n"/>
      <c r="AA425" s="109" t="n"/>
      <c r="AB425" s="109" t="n"/>
      <c r="AF425" s="109" t="n"/>
      <c r="AG425" s="109" t="n"/>
      <c r="AH425" s="109" t="n"/>
      <c r="AL425" s="109" t="n"/>
      <c r="AM425" s="109" t="n"/>
      <c r="AN425" s="109" t="n"/>
    </row>
    <row r="426" ht="15.75" customHeight="1" s="216">
      <c r="D426" s="109" t="n"/>
      <c r="E426" s="109" t="n"/>
      <c r="J426" s="109" t="n"/>
      <c r="K426" s="109" t="n"/>
      <c r="L426" s="109" t="n"/>
      <c r="N426" s="109" t="n"/>
      <c r="O426" s="109" t="n"/>
      <c r="P426" s="109" t="n"/>
      <c r="T426" s="109" t="n"/>
      <c r="U426" s="109" t="n"/>
      <c r="V426" s="109" t="n"/>
      <c r="Z426" s="109" t="n"/>
      <c r="AA426" s="109" t="n"/>
      <c r="AB426" s="109" t="n"/>
      <c r="AF426" s="109" t="n"/>
      <c r="AG426" s="109" t="n"/>
      <c r="AH426" s="109" t="n"/>
      <c r="AL426" s="109" t="n"/>
      <c r="AM426" s="109" t="n"/>
      <c r="AN426" s="109" t="n"/>
    </row>
    <row r="427" ht="15.75" customHeight="1" s="216">
      <c r="D427" s="109" t="n"/>
      <c r="E427" s="109" t="n"/>
      <c r="J427" s="109" t="n"/>
      <c r="K427" s="109" t="n"/>
      <c r="L427" s="109" t="n"/>
      <c r="N427" s="109" t="n"/>
      <c r="O427" s="109" t="n"/>
      <c r="P427" s="109" t="n"/>
      <c r="T427" s="109" t="n"/>
      <c r="U427" s="109" t="n"/>
      <c r="V427" s="109" t="n"/>
      <c r="Z427" s="109" t="n"/>
      <c r="AA427" s="109" t="n"/>
      <c r="AB427" s="109" t="n"/>
      <c r="AF427" s="109" t="n"/>
      <c r="AG427" s="109" t="n"/>
      <c r="AH427" s="109" t="n"/>
      <c r="AL427" s="109" t="n"/>
      <c r="AM427" s="109" t="n"/>
      <c r="AN427" s="109" t="n"/>
    </row>
    <row r="428" ht="15.75" customHeight="1" s="216">
      <c r="D428" s="109" t="n"/>
      <c r="E428" s="109" t="n"/>
      <c r="J428" s="109" t="n"/>
      <c r="K428" s="109" t="n"/>
      <c r="L428" s="109" t="n"/>
      <c r="N428" s="109" t="n"/>
      <c r="O428" s="109" t="n"/>
      <c r="P428" s="109" t="n"/>
      <c r="T428" s="109" t="n"/>
      <c r="U428" s="109" t="n"/>
      <c r="V428" s="109" t="n"/>
      <c r="Z428" s="109" t="n"/>
      <c r="AA428" s="109" t="n"/>
      <c r="AB428" s="109" t="n"/>
      <c r="AF428" s="109" t="n"/>
      <c r="AG428" s="109" t="n"/>
      <c r="AH428" s="109" t="n"/>
      <c r="AL428" s="109" t="n"/>
      <c r="AM428" s="109" t="n"/>
      <c r="AN428" s="109" t="n"/>
    </row>
    <row r="429" ht="15.75" customHeight="1" s="216">
      <c r="D429" s="109" t="n"/>
      <c r="E429" s="109" t="n"/>
      <c r="J429" s="109" t="n"/>
      <c r="K429" s="109" t="n"/>
      <c r="L429" s="109" t="n"/>
      <c r="N429" s="109" t="n"/>
      <c r="O429" s="109" t="n"/>
      <c r="P429" s="109" t="n"/>
      <c r="T429" s="109" t="n"/>
      <c r="U429" s="109" t="n"/>
      <c r="V429" s="109" t="n"/>
      <c r="Z429" s="109" t="n"/>
      <c r="AA429" s="109" t="n"/>
      <c r="AB429" s="109" t="n"/>
      <c r="AF429" s="109" t="n"/>
      <c r="AG429" s="109" t="n"/>
      <c r="AH429" s="109" t="n"/>
      <c r="AL429" s="109" t="n"/>
      <c r="AM429" s="109" t="n"/>
      <c r="AN429" s="109" t="n"/>
    </row>
    <row r="430" ht="15.75" customHeight="1" s="216">
      <c r="D430" s="109" t="n"/>
      <c r="E430" s="109" t="n"/>
      <c r="J430" s="109" t="n"/>
      <c r="K430" s="109" t="n"/>
      <c r="L430" s="109" t="n"/>
      <c r="N430" s="109" t="n"/>
      <c r="O430" s="109" t="n"/>
      <c r="P430" s="109" t="n"/>
      <c r="T430" s="109" t="n"/>
      <c r="U430" s="109" t="n"/>
      <c r="V430" s="109" t="n"/>
      <c r="Z430" s="109" t="n"/>
      <c r="AA430" s="109" t="n"/>
      <c r="AB430" s="109" t="n"/>
      <c r="AF430" s="109" t="n"/>
      <c r="AG430" s="109" t="n"/>
      <c r="AH430" s="109" t="n"/>
      <c r="AL430" s="109" t="n"/>
      <c r="AM430" s="109" t="n"/>
      <c r="AN430" s="109" t="n"/>
    </row>
    <row r="431" ht="15.75" customHeight="1" s="216">
      <c r="D431" s="109" t="n"/>
      <c r="E431" s="109" t="n"/>
      <c r="J431" s="109" t="n"/>
      <c r="K431" s="109" t="n"/>
      <c r="L431" s="109" t="n"/>
      <c r="N431" s="109" t="n"/>
      <c r="O431" s="109" t="n"/>
      <c r="P431" s="109" t="n"/>
      <c r="T431" s="109" t="n"/>
      <c r="U431" s="109" t="n"/>
      <c r="V431" s="109" t="n"/>
      <c r="Z431" s="109" t="n"/>
      <c r="AA431" s="109" t="n"/>
      <c r="AB431" s="109" t="n"/>
      <c r="AF431" s="109" t="n"/>
      <c r="AG431" s="109" t="n"/>
      <c r="AH431" s="109" t="n"/>
      <c r="AL431" s="109" t="n"/>
      <c r="AM431" s="109" t="n"/>
      <c r="AN431" s="109" t="n"/>
    </row>
    <row r="432" ht="15.75" customHeight="1" s="216">
      <c r="D432" s="109" t="n"/>
      <c r="E432" s="109" t="n"/>
      <c r="J432" s="109" t="n"/>
      <c r="K432" s="109" t="n"/>
      <c r="L432" s="109" t="n"/>
      <c r="N432" s="109" t="n"/>
      <c r="O432" s="109" t="n"/>
      <c r="P432" s="109" t="n"/>
      <c r="T432" s="109" t="n"/>
      <c r="U432" s="109" t="n"/>
      <c r="V432" s="109" t="n"/>
      <c r="Z432" s="109" t="n"/>
      <c r="AA432" s="109" t="n"/>
      <c r="AB432" s="109" t="n"/>
      <c r="AF432" s="109" t="n"/>
      <c r="AG432" s="109" t="n"/>
      <c r="AH432" s="109" t="n"/>
      <c r="AL432" s="109" t="n"/>
      <c r="AM432" s="109" t="n"/>
      <c r="AN432" s="109" t="n"/>
    </row>
    <row r="433" ht="15.75" customHeight="1" s="216">
      <c r="D433" s="109" t="n"/>
      <c r="E433" s="109" t="n"/>
      <c r="J433" s="109" t="n"/>
      <c r="K433" s="109" t="n"/>
      <c r="L433" s="109" t="n"/>
      <c r="N433" s="109" t="n"/>
      <c r="O433" s="109" t="n"/>
      <c r="P433" s="109" t="n"/>
      <c r="T433" s="109" t="n"/>
      <c r="U433" s="109" t="n"/>
      <c r="V433" s="109" t="n"/>
      <c r="Z433" s="109" t="n"/>
      <c r="AA433" s="109" t="n"/>
      <c r="AB433" s="109" t="n"/>
      <c r="AF433" s="109" t="n"/>
      <c r="AG433" s="109" t="n"/>
      <c r="AH433" s="109" t="n"/>
      <c r="AL433" s="109" t="n"/>
      <c r="AM433" s="109" t="n"/>
      <c r="AN433" s="109" t="n"/>
    </row>
    <row r="434" ht="15.75" customHeight="1" s="216">
      <c r="D434" s="109" t="n"/>
      <c r="E434" s="109" t="n"/>
      <c r="J434" s="109" t="n"/>
      <c r="K434" s="109" t="n"/>
      <c r="L434" s="109" t="n"/>
      <c r="N434" s="109" t="n"/>
      <c r="O434" s="109" t="n"/>
      <c r="P434" s="109" t="n"/>
      <c r="T434" s="109" t="n"/>
      <c r="U434" s="109" t="n"/>
      <c r="V434" s="109" t="n"/>
      <c r="Z434" s="109" t="n"/>
      <c r="AA434" s="109" t="n"/>
      <c r="AB434" s="109" t="n"/>
      <c r="AF434" s="109" t="n"/>
      <c r="AG434" s="109" t="n"/>
      <c r="AH434" s="109" t="n"/>
      <c r="AL434" s="109" t="n"/>
      <c r="AM434" s="109" t="n"/>
      <c r="AN434" s="109" t="n"/>
    </row>
    <row r="435" ht="15.75" customHeight="1" s="216">
      <c r="D435" s="109" t="n"/>
      <c r="E435" s="109" t="n"/>
      <c r="J435" s="109" t="n"/>
      <c r="K435" s="109" t="n"/>
      <c r="L435" s="109" t="n"/>
      <c r="N435" s="109" t="n"/>
      <c r="O435" s="109" t="n"/>
      <c r="P435" s="109" t="n"/>
      <c r="T435" s="109" t="n"/>
      <c r="U435" s="109" t="n"/>
      <c r="V435" s="109" t="n"/>
      <c r="Z435" s="109" t="n"/>
      <c r="AA435" s="109" t="n"/>
      <c r="AB435" s="109" t="n"/>
      <c r="AF435" s="109" t="n"/>
      <c r="AG435" s="109" t="n"/>
      <c r="AH435" s="109" t="n"/>
      <c r="AL435" s="109" t="n"/>
      <c r="AM435" s="109" t="n"/>
      <c r="AN435" s="109" t="n"/>
    </row>
    <row r="436" ht="15.75" customHeight="1" s="216">
      <c r="D436" s="109" t="n"/>
      <c r="E436" s="109" t="n"/>
      <c r="J436" s="109" t="n"/>
      <c r="K436" s="109" t="n"/>
      <c r="L436" s="109" t="n"/>
      <c r="N436" s="109" t="n"/>
      <c r="O436" s="109" t="n"/>
      <c r="P436" s="109" t="n"/>
      <c r="T436" s="109" t="n"/>
      <c r="U436" s="109" t="n"/>
      <c r="V436" s="109" t="n"/>
      <c r="Z436" s="109" t="n"/>
      <c r="AA436" s="109" t="n"/>
      <c r="AB436" s="109" t="n"/>
      <c r="AF436" s="109" t="n"/>
      <c r="AG436" s="109" t="n"/>
      <c r="AH436" s="109" t="n"/>
      <c r="AL436" s="109" t="n"/>
      <c r="AM436" s="109" t="n"/>
      <c r="AN436" s="109" t="n"/>
    </row>
    <row r="437" ht="15.75" customHeight="1" s="216">
      <c r="D437" s="109" t="n"/>
      <c r="E437" s="109" t="n"/>
      <c r="J437" s="109" t="n"/>
      <c r="K437" s="109" t="n"/>
      <c r="L437" s="109" t="n"/>
      <c r="N437" s="109" t="n"/>
      <c r="O437" s="109" t="n"/>
      <c r="P437" s="109" t="n"/>
      <c r="T437" s="109" t="n"/>
      <c r="U437" s="109" t="n"/>
      <c r="V437" s="109" t="n"/>
      <c r="Z437" s="109" t="n"/>
      <c r="AA437" s="109" t="n"/>
      <c r="AB437" s="109" t="n"/>
      <c r="AF437" s="109" t="n"/>
      <c r="AG437" s="109" t="n"/>
      <c r="AH437" s="109" t="n"/>
      <c r="AL437" s="109" t="n"/>
      <c r="AM437" s="109" t="n"/>
      <c r="AN437" s="109" t="n"/>
    </row>
    <row r="438" ht="15.75" customHeight="1" s="216">
      <c r="D438" s="109" t="n"/>
      <c r="E438" s="109" t="n"/>
      <c r="J438" s="109" t="n"/>
      <c r="K438" s="109" t="n"/>
      <c r="L438" s="109" t="n"/>
      <c r="N438" s="109" t="n"/>
      <c r="O438" s="109" t="n"/>
      <c r="P438" s="109" t="n"/>
      <c r="T438" s="109" t="n"/>
      <c r="U438" s="109" t="n"/>
      <c r="V438" s="109" t="n"/>
      <c r="Z438" s="109" t="n"/>
      <c r="AA438" s="109" t="n"/>
      <c r="AB438" s="109" t="n"/>
      <c r="AF438" s="109" t="n"/>
      <c r="AG438" s="109" t="n"/>
      <c r="AH438" s="109" t="n"/>
      <c r="AL438" s="109" t="n"/>
      <c r="AM438" s="109" t="n"/>
      <c r="AN438" s="109" t="n"/>
    </row>
    <row r="439" ht="15.75" customHeight="1" s="216">
      <c r="D439" s="109" t="n"/>
      <c r="E439" s="109" t="n"/>
      <c r="J439" s="109" t="n"/>
      <c r="K439" s="109" t="n"/>
      <c r="L439" s="109" t="n"/>
      <c r="N439" s="109" t="n"/>
      <c r="O439" s="109" t="n"/>
      <c r="P439" s="109" t="n"/>
      <c r="T439" s="109" t="n"/>
      <c r="U439" s="109" t="n"/>
      <c r="V439" s="109" t="n"/>
      <c r="Z439" s="109" t="n"/>
      <c r="AA439" s="109" t="n"/>
      <c r="AB439" s="109" t="n"/>
      <c r="AF439" s="109" t="n"/>
      <c r="AG439" s="109" t="n"/>
      <c r="AH439" s="109" t="n"/>
      <c r="AL439" s="109" t="n"/>
      <c r="AM439" s="109" t="n"/>
      <c r="AN439" s="109" t="n"/>
    </row>
    <row r="440" ht="15.75" customHeight="1" s="216">
      <c r="D440" s="109" t="n"/>
      <c r="E440" s="109" t="n"/>
      <c r="J440" s="109" t="n"/>
      <c r="K440" s="109" t="n"/>
      <c r="L440" s="109" t="n"/>
      <c r="N440" s="109" t="n"/>
      <c r="O440" s="109" t="n"/>
      <c r="P440" s="109" t="n"/>
      <c r="T440" s="109" t="n"/>
      <c r="U440" s="109" t="n"/>
      <c r="V440" s="109" t="n"/>
      <c r="Z440" s="109" t="n"/>
      <c r="AA440" s="109" t="n"/>
      <c r="AB440" s="109" t="n"/>
      <c r="AF440" s="109" t="n"/>
      <c r="AG440" s="109" t="n"/>
      <c r="AH440" s="109" t="n"/>
      <c r="AL440" s="109" t="n"/>
      <c r="AM440" s="109" t="n"/>
      <c r="AN440" s="109" t="n"/>
    </row>
    <row r="441" ht="15.75" customHeight="1" s="216">
      <c r="D441" s="109" t="n"/>
      <c r="E441" s="109" t="n"/>
      <c r="J441" s="109" t="n"/>
      <c r="K441" s="109" t="n"/>
      <c r="L441" s="109" t="n"/>
      <c r="N441" s="109" t="n"/>
      <c r="O441" s="109" t="n"/>
      <c r="P441" s="109" t="n"/>
      <c r="T441" s="109" t="n"/>
      <c r="U441" s="109" t="n"/>
      <c r="V441" s="109" t="n"/>
      <c r="Z441" s="109" t="n"/>
      <c r="AA441" s="109" t="n"/>
      <c r="AB441" s="109" t="n"/>
      <c r="AF441" s="109" t="n"/>
      <c r="AG441" s="109" t="n"/>
      <c r="AH441" s="109" t="n"/>
      <c r="AL441" s="109" t="n"/>
      <c r="AM441" s="109" t="n"/>
      <c r="AN441" s="109" t="n"/>
    </row>
    <row r="442" ht="15.75" customHeight="1" s="216">
      <c r="D442" s="109" t="n"/>
      <c r="E442" s="109" t="n"/>
      <c r="J442" s="109" t="n"/>
      <c r="K442" s="109" t="n"/>
      <c r="L442" s="109" t="n"/>
      <c r="N442" s="109" t="n"/>
      <c r="O442" s="109" t="n"/>
      <c r="P442" s="109" t="n"/>
      <c r="T442" s="109" t="n"/>
      <c r="U442" s="109" t="n"/>
      <c r="V442" s="109" t="n"/>
      <c r="Z442" s="109" t="n"/>
      <c r="AA442" s="109" t="n"/>
      <c r="AB442" s="109" t="n"/>
      <c r="AF442" s="109" t="n"/>
      <c r="AG442" s="109" t="n"/>
      <c r="AH442" s="109" t="n"/>
      <c r="AL442" s="109" t="n"/>
      <c r="AM442" s="109" t="n"/>
      <c r="AN442" s="109" t="n"/>
    </row>
    <row r="443" ht="15.75" customHeight="1" s="216">
      <c r="D443" s="109" t="n"/>
      <c r="E443" s="109" t="n"/>
      <c r="J443" s="109" t="n"/>
      <c r="K443" s="109" t="n"/>
      <c r="L443" s="109" t="n"/>
      <c r="N443" s="109" t="n"/>
      <c r="O443" s="109" t="n"/>
      <c r="P443" s="109" t="n"/>
      <c r="T443" s="109" t="n"/>
      <c r="U443" s="109" t="n"/>
      <c r="V443" s="109" t="n"/>
      <c r="Z443" s="109" t="n"/>
      <c r="AA443" s="109" t="n"/>
      <c r="AB443" s="109" t="n"/>
      <c r="AF443" s="109" t="n"/>
      <c r="AG443" s="109" t="n"/>
      <c r="AH443" s="109" t="n"/>
      <c r="AL443" s="109" t="n"/>
      <c r="AM443" s="109" t="n"/>
      <c r="AN443" s="109" t="n"/>
    </row>
    <row r="444" ht="15.75" customHeight="1" s="216">
      <c r="D444" s="109" t="n"/>
      <c r="E444" s="109" t="n"/>
      <c r="J444" s="109" t="n"/>
      <c r="K444" s="109" t="n"/>
      <c r="L444" s="109" t="n"/>
      <c r="N444" s="109" t="n"/>
      <c r="O444" s="109" t="n"/>
      <c r="P444" s="109" t="n"/>
      <c r="T444" s="109" t="n"/>
      <c r="U444" s="109" t="n"/>
      <c r="V444" s="109" t="n"/>
      <c r="Z444" s="109" t="n"/>
      <c r="AA444" s="109" t="n"/>
      <c r="AB444" s="109" t="n"/>
      <c r="AF444" s="109" t="n"/>
      <c r="AG444" s="109" t="n"/>
      <c r="AH444" s="109" t="n"/>
      <c r="AL444" s="109" t="n"/>
      <c r="AM444" s="109" t="n"/>
      <c r="AN444" s="109" t="n"/>
    </row>
    <row r="445" ht="15.75" customHeight="1" s="216">
      <c r="D445" s="109" t="n"/>
      <c r="E445" s="109" t="n"/>
      <c r="J445" s="109" t="n"/>
      <c r="K445" s="109" t="n"/>
      <c r="L445" s="109" t="n"/>
      <c r="N445" s="109" t="n"/>
      <c r="O445" s="109" t="n"/>
      <c r="P445" s="109" t="n"/>
      <c r="T445" s="109" t="n"/>
      <c r="U445" s="109" t="n"/>
      <c r="V445" s="109" t="n"/>
      <c r="Z445" s="109" t="n"/>
      <c r="AA445" s="109" t="n"/>
      <c r="AB445" s="109" t="n"/>
      <c r="AF445" s="109" t="n"/>
      <c r="AG445" s="109" t="n"/>
      <c r="AH445" s="109" t="n"/>
      <c r="AL445" s="109" t="n"/>
      <c r="AM445" s="109" t="n"/>
      <c r="AN445" s="109" t="n"/>
    </row>
    <row r="446" ht="15.75" customHeight="1" s="216">
      <c r="D446" s="109" t="n"/>
      <c r="E446" s="109" t="n"/>
      <c r="J446" s="109" t="n"/>
      <c r="K446" s="109" t="n"/>
      <c r="L446" s="109" t="n"/>
      <c r="N446" s="109" t="n"/>
      <c r="O446" s="109" t="n"/>
      <c r="P446" s="109" t="n"/>
      <c r="T446" s="109" t="n"/>
      <c r="U446" s="109" t="n"/>
      <c r="V446" s="109" t="n"/>
      <c r="Z446" s="109" t="n"/>
      <c r="AA446" s="109" t="n"/>
      <c r="AB446" s="109" t="n"/>
      <c r="AF446" s="109" t="n"/>
      <c r="AG446" s="109" t="n"/>
      <c r="AH446" s="109" t="n"/>
      <c r="AL446" s="109" t="n"/>
      <c r="AM446" s="109" t="n"/>
      <c r="AN446" s="109" t="n"/>
    </row>
    <row r="447" ht="15.75" customHeight="1" s="216">
      <c r="D447" s="109" t="n"/>
      <c r="E447" s="109" t="n"/>
      <c r="J447" s="109" t="n"/>
      <c r="K447" s="109" t="n"/>
      <c r="L447" s="109" t="n"/>
      <c r="N447" s="109" t="n"/>
      <c r="O447" s="109" t="n"/>
      <c r="P447" s="109" t="n"/>
      <c r="T447" s="109" t="n"/>
      <c r="U447" s="109" t="n"/>
      <c r="V447" s="109" t="n"/>
      <c r="Z447" s="109" t="n"/>
      <c r="AA447" s="109" t="n"/>
      <c r="AB447" s="109" t="n"/>
      <c r="AF447" s="109" t="n"/>
      <c r="AG447" s="109" t="n"/>
      <c r="AH447" s="109" t="n"/>
      <c r="AL447" s="109" t="n"/>
      <c r="AM447" s="109" t="n"/>
      <c r="AN447" s="109" t="n"/>
    </row>
    <row r="448" ht="15.75" customHeight="1" s="216">
      <c r="D448" s="109" t="n"/>
      <c r="E448" s="109" t="n"/>
      <c r="J448" s="109" t="n"/>
      <c r="K448" s="109" t="n"/>
      <c r="L448" s="109" t="n"/>
      <c r="N448" s="109" t="n"/>
      <c r="O448" s="109" t="n"/>
      <c r="P448" s="109" t="n"/>
      <c r="T448" s="109" t="n"/>
      <c r="U448" s="109" t="n"/>
      <c r="V448" s="109" t="n"/>
      <c r="Z448" s="109" t="n"/>
      <c r="AA448" s="109" t="n"/>
      <c r="AB448" s="109" t="n"/>
      <c r="AF448" s="109" t="n"/>
      <c r="AG448" s="109" t="n"/>
      <c r="AH448" s="109" t="n"/>
      <c r="AL448" s="109" t="n"/>
      <c r="AM448" s="109" t="n"/>
      <c r="AN448" s="109" t="n"/>
    </row>
    <row r="449" ht="15.75" customHeight="1" s="216">
      <c r="D449" s="109" t="n"/>
      <c r="E449" s="109" t="n"/>
      <c r="J449" s="109" t="n"/>
      <c r="K449" s="109" t="n"/>
      <c r="L449" s="109" t="n"/>
      <c r="N449" s="109" t="n"/>
      <c r="O449" s="109" t="n"/>
      <c r="P449" s="109" t="n"/>
      <c r="T449" s="109" t="n"/>
      <c r="U449" s="109" t="n"/>
      <c r="V449" s="109" t="n"/>
      <c r="Z449" s="109" t="n"/>
      <c r="AA449" s="109" t="n"/>
      <c r="AB449" s="109" t="n"/>
      <c r="AF449" s="109" t="n"/>
      <c r="AG449" s="109" t="n"/>
      <c r="AH449" s="109" t="n"/>
      <c r="AL449" s="109" t="n"/>
      <c r="AM449" s="109" t="n"/>
      <c r="AN449" s="109" t="n"/>
    </row>
    <row r="450" ht="15.75" customHeight="1" s="216">
      <c r="D450" s="109" t="n"/>
      <c r="E450" s="109" t="n"/>
      <c r="J450" s="109" t="n"/>
      <c r="K450" s="109" t="n"/>
      <c r="L450" s="109" t="n"/>
      <c r="N450" s="109" t="n"/>
      <c r="O450" s="109" t="n"/>
      <c r="P450" s="109" t="n"/>
      <c r="T450" s="109" t="n"/>
      <c r="U450" s="109" t="n"/>
      <c r="V450" s="109" t="n"/>
      <c r="Z450" s="109" t="n"/>
      <c r="AA450" s="109" t="n"/>
      <c r="AB450" s="109" t="n"/>
      <c r="AF450" s="109" t="n"/>
      <c r="AG450" s="109" t="n"/>
      <c r="AH450" s="109" t="n"/>
      <c r="AL450" s="109" t="n"/>
      <c r="AM450" s="109" t="n"/>
      <c r="AN450" s="109" t="n"/>
    </row>
    <row r="451" ht="15.75" customHeight="1" s="216">
      <c r="D451" s="109" t="n"/>
      <c r="E451" s="109" t="n"/>
      <c r="J451" s="109" t="n"/>
      <c r="K451" s="109" t="n"/>
      <c r="L451" s="109" t="n"/>
      <c r="N451" s="109" t="n"/>
      <c r="O451" s="109" t="n"/>
      <c r="P451" s="109" t="n"/>
      <c r="T451" s="109" t="n"/>
      <c r="U451" s="109" t="n"/>
      <c r="V451" s="109" t="n"/>
      <c r="Z451" s="109" t="n"/>
      <c r="AA451" s="109" t="n"/>
      <c r="AB451" s="109" t="n"/>
      <c r="AF451" s="109" t="n"/>
      <c r="AG451" s="109" t="n"/>
      <c r="AH451" s="109" t="n"/>
      <c r="AL451" s="109" t="n"/>
      <c r="AM451" s="109" t="n"/>
      <c r="AN451" s="109" t="n"/>
    </row>
    <row r="452" ht="15.75" customHeight="1" s="216">
      <c r="D452" s="109" t="n"/>
      <c r="E452" s="109" t="n"/>
      <c r="J452" s="109" t="n"/>
      <c r="K452" s="109" t="n"/>
      <c r="L452" s="109" t="n"/>
      <c r="N452" s="109" t="n"/>
      <c r="O452" s="109" t="n"/>
      <c r="P452" s="109" t="n"/>
      <c r="T452" s="109" t="n"/>
      <c r="U452" s="109" t="n"/>
      <c r="V452" s="109" t="n"/>
      <c r="Z452" s="109" t="n"/>
      <c r="AA452" s="109" t="n"/>
      <c r="AB452" s="109" t="n"/>
      <c r="AF452" s="109" t="n"/>
      <c r="AG452" s="109" t="n"/>
      <c r="AH452" s="109" t="n"/>
      <c r="AL452" s="109" t="n"/>
      <c r="AM452" s="109" t="n"/>
      <c r="AN452" s="109" t="n"/>
    </row>
    <row r="453" ht="15.75" customHeight="1" s="216">
      <c r="D453" s="109" t="n"/>
      <c r="E453" s="109" t="n"/>
      <c r="J453" s="109" t="n"/>
      <c r="K453" s="109" t="n"/>
      <c r="L453" s="109" t="n"/>
      <c r="N453" s="109" t="n"/>
      <c r="O453" s="109" t="n"/>
      <c r="P453" s="109" t="n"/>
      <c r="T453" s="109" t="n"/>
      <c r="U453" s="109" t="n"/>
      <c r="V453" s="109" t="n"/>
      <c r="Z453" s="109" t="n"/>
      <c r="AA453" s="109" t="n"/>
      <c r="AB453" s="109" t="n"/>
      <c r="AF453" s="109" t="n"/>
      <c r="AG453" s="109" t="n"/>
      <c r="AH453" s="109" t="n"/>
      <c r="AL453" s="109" t="n"/>
      <c r="AM453" s="109" t="n"/>
      <c r="AN453" s="109" t="n"/>
    </row>
    <row r="454" ht="15.75" customHeight="1" s="216">
      <c r="D454" s="109" t="n"/>
      <c r="E454" s="109" t="n"/>
      <c r="J454" s="109" t="n"/>
      <c r="K454" s="109" t="n"/>
      <c r="L454" s="109" t="n"/>
      <c r="N454" s="109" t="n"/>
      <c r="O454" s="109" t="n"/>
      <c r="P454" s="109" t="n"/>
      <c r="T454" s="109" t="n"/>
      <c r="U454" s="109" t="n"/>
      <c r="V454" s="109" t="n"/>
      <c r="Z454" s="109" t="n"/>
      <c r="AA454" s="109" t="n"/>
      <c r="AB454" s="109" t="n"/>
      <c r="AF454" s="109" t="n"/>
      <c r="AG454" s="109" t="n"/>
      <c r="AH454" s="109" t="n"/>
      <c r="AL454" s="109" t="n"/>
      <c r="AM454" s="109" t="n"/>
      <c r="AN454" s="109" t="n"/>
    </row>
    <row r="455" ht="15.75" customHeight="1" s="216">
      <c r="D455" s="109" t="n"/>
      <c r="E455" s="109" t="n"/>
      <c r="J455" s="109" t="n"/>
      <c r="K455" s="109" t="n"/>
      <c r="L455" s="109" t="n"/>
      <c r="N455" s="109" t="n"/>
      <c r="O455" s="109" t="n"/>
      <c r="P455" s="109" t="n"/>
      <c r="T455" s="109" t="n"/>
      <c r="U455" s="109" t="n"/>
      <c r="V455" s="109" t="n"/>
      <c r="Z455" s="109" t="n"/>
      <c r="AA455" s="109" t="n"/>
      <c r="AB455" s="109" t="n"/>
      <c r="AF455" s="109" t="n"/>
      <c r="AG455" s="109" t="n"/>
      <c r="AH455" s="109" t="n"/>
      <c r="AL455" s="109" t="n"/>
      <c r="AM455" s="109" t="n"/>
      <c r="AN455" s="109" t="n"/>
    </row>
    <row r="456" ht="15.75" customHeight="1" s="216">
      <c r="D456" s="109" t="n"/>
      <c r="E456" s="109" t="n"/>
      <c r="J456" s="109" t="n"/>
      <c r="K456" s="109" t="n"/>
      <c r="L456" s="109" t="n"/>
      <c r="N456" s="109" t="n"/>
      <c r="O456" s="109" t="n"/>
      <c r="P456" s="109" t="n"/>
      <c r="T456" s="109" t="n"/>
      <c r="U456" s="109" t="n"/>
      <c r="V456" s="109" t="n"/>
      <c r="Z456" s="109" t="n"/>
      <c r="AA456" s="109" t="n"/>
      <c r="AB456" s="109" t="n"/>
      <c r="AF456" s="109" t="n"/>
      <c r="AG456" s="109" t="n"/>
      <c r="AH456" s="109" t="n"/>
      <c r="AL456" s="109" t="n"/>
      <c r="AM456" s="109" t="n"/>
      <c r="AN456" s="109" t="n"/>
    </row>
    <row r="457" ht="15.75" customHeight="1" s="216">
      <c r="D457" s="109" t="n"/>
      <c r="E457" s="109" t="n"/>
      <c r="J457" s="109" t="n"/>
      <c r="K457" s="109" t="n"/>
      <c r="L457" s="109" t="n"/>
      <c r="N457" s="109" t="n"/>
      <c r="O457" s="109" t="n"/>
      <c r="P457" s="109" t="n"/>
      <c r="T457" s="109" t="n"/>
      <c r="U457" s="109" t="n"/>
      <c r="V457" s="109" t="n"/>
      <c r="Z457" s="109" t="n"/>
      <c r="AA457" s="109" t="n"/>
      <c r="AB457" s="109" t="n"/>
      <c r="AF457" s="109" t="n"/>
      <c r="AG457" s="109" t="n"/>
      <c r="AH457" s="109" t="n"/>
      <c r="AL457" s="109" t="n"/>
      <c r="AM457" s="109" t="n"/>
      <c r="AN457" s="109" t="n"/>
    </row>
    <row r="458" ht="15.75" customHeight="1" s="216">
      <c r="D458" s="109" t="n"/>
      <c r="E458" s="109" t="n"/>
      <c r="J458" s="109" t="n"/>
      <c r="K458" s="109" t="n"/>
      <c r="L458" s="109" t="n"/>
      <c r="N458" s="109" t="n"/>
      <c r="O458" s="109" t="n"/>
      <c r="P458" s="109" t="n"/>
      <c r="T458" s="109" t="n"/>
      <c r="U458" s="109" t="n"/>
      <c r="V458" s="109" t="n"/>
      <c r="Z458" s="109" t="n"/>
      <c r="AA458" s="109" t="n"/>
      <c r="AB458" s="109" t="n"/>
      <c r="AF458" s="109" t="n"/>
      <c r="AG458" s="109" t="n"/>
      <c r="AH458" s="109" t="n"/>
      <c r="AL458" s="109" t="n"/>
      <c r="AM458" s="109" t="n"/>
      <c r="AN458" s="109" t="n"/>
    </row>
    <row r="459" ht="15.75" customHeight="1" s="216">
      <c r="D459" s="109" t="n"/>
      <c r="E459" s="109" t="n"/>
      <c r="J459" s="109" t="n"/>
      <c r="K459" s="109" t="n"/>
      <c r="L459" s="109" t="n"/>
      <c r="N459" s="109" t="n"/>
      <c r="O459" s="109" t="n"/>
      <c r="P459" s="109" t="n"/>
      <c r="T459" s="109" t="n"/>
      <c r="U459" s="109" t="n"/>
      <c r="V459" s="109" t="n"/>
      <c r="Z459" s="109" t="n"/>
      <c r="AA459" s="109" t="n"/>
      <c r="AB459" s="109" t="n"/>
      <c r="AF459" s="109" t="n"/>
      <c r="AG459" s="109" t="n"/>
      <c r="AH459" s="109" t="n"/>
      <c r="AL459" s="109" t="n"/>
      <c r="AM459" s="109" t="n"/>
      <c r="AN459" s="109" t="n"/>
    </row>
    <row r="460" ht="15.75" customHeight="1" s="216">
      <c r="D460" s="109" t="n"/>
      <c r="E460" s="109" t="n"/>
      <c r="J460" s="109" t="n"/>
      <c r="K460" s="109" t="n"/>
      <c r="L460" s="109" t="n"/>
      <c r="N460" s="109" t="n"/>
      <c r="O460" s="109" t="n"/>
      <c r="P460" s="109" t="n"/>
      <c r="T460" s="109" t="n"/>
      <c r="U460" s="109" t="n"/>
      <c r="V460" s="109" t="n"/>
      <c r="Z460" s="109" t="n"/>
      <c r="AA460" s="109" t="n"/>
      <c r="AB460" s="109" t="n"/>
      <c r="AF460" s="109" t="n"/>
      <c r="AG460" s="109" t="n"/>
      <c r="AH460" s="109" t="n"/>
      <c r="AL460" s="109" t="n"/>
      <c r="AM460" s="109" t="n"/>
      <c r="AN460" s="109" t="n"/>
    </row>
    <row r="461" ht="15.75" customHeight="1" s="216">
      <c r="D461" s="109" t="n"/>
      <c r="E461" s="109" t="n"/>
      <c r="J461" s="109" t="n"/>
      <c r="K461" s="109" t="n"/>
      <c r="L461" s="109" t="n"/>
      <c r="N461" s="109" t="n"/>
      <c r="O461" s="109" t="n"/>
      <c r="P461" s="109" t="n"/>
      <c r="T461" s="109" t="n"/>
      <c r="U461" s="109" t="n"/>
      <c r="V461" s="109" t="n"/>
      <c r="Z461" s="109" t="n"/>
      <c r="AA461" s="109" t="n"/>
      <c r="AB461" s="109" t="n"/>
      <c r="AF461" s="109" t="n"/>
      <c r="AG461" s="109" t="n"/>
      <c r="AH461" s="109" t="n"/>
      <c r="AL461" s="109" t="n"/>
      <c r="AM461" s="109" t="n"/>
      <c r="AN461" s="109" t="n"/>
    </row>
    <row r="462" ht="15.75" customHeight="1" s="216">
      <c r="D462" s="109" t="n"/>
      <c r="E462" s="109" t="n"/>
      <c r="J462" s="109" t="n"/>
      <c r="K462" s="109" t="n"/>
      <c r="L462" s="109" t="n"/>
      <c r="N462" s="109" t="n"/>
      <c r="O462" s="109" t="n"/>
      <c r="P462" s="109" t="n"/>
      <c r="T462" s="109" t="n"/>
      <c r="U462" s="109" t="n"/>
      <c r="V462" s="109" t="n"/>
      <c r="Z462" s="109" t="n"/>
      <c r="AA462" s="109" t="n"/>
      <c r="AB462" s="109" t="n"/>
      <c r="AF462" s="109" t="n"/>
      <c r="AG462" s="109" t="n"/>
      <c r="AH462" s="109" t="n"/>
      <c r="AL462" s="109" t="n"/>
      <c r="AM462" s="109" t="n"/>
      <c r="AN462" s="109" t="n"/>
    </row>
    <row r="463" ht="15.75" customHeight="1" s="216">
      <c r="D463" s="109" t="n"/>
      <c r="E463" s="109" t="n"/>
      <c r="J463" s="109" t="n"/>
      <c r="K463" s="109" t="n"/>
      <c r="L463" s="109" t="n"/>
      <c r="N463" s="109" t="n"/>
      <c r="O463" s="109" t="n"/>
      <c r="P463" s="109" t="n"/>
      <c r="T463" s="109" t="n"/>
      <c r="U463" s="109" t="n"/>
      <c r="V463" s="109" t="n"/>
      <c r="Z463" s="109" t="n"/>
      <c r="AA463" s="109" t="n"/>
      <c r="AB463" s="109" t="n"/>
      <c r="AF463" s="109" t="n"/>
      <c r="AG463" s="109" t="n"/>
      <c r="AH463" s="109" t="n"/>
      <c r="AL463" s="109" t="n"/>
      <c r="AM463" s="109" t="n"/>
      <c r="AN463" s="109" t="n"/>
    </row>
    <row r="464" ht="15.75" customHeight="1" s="216">
      <c r="D464" s="109" t="n"/>
      <c r="E464" s="109" t="n"/>
      <c r="J464" s="109" t="n"/>
      <c r="K464" s="109" t="n"/>
      <c r="L464" s="109" t="n"/>
      <c r="N464" s="109" t="n"/>
      <c r="O464" s="109" t="n"/>
      <c r="P464" s="109" t="n"/>
      <c r="T464" s="109" t="n"/>
      <c r="U464" s="109" t="n"/>
      <c r="V464" s="109" t="n"/>
      <c r="Z464" s="109" t="n"/>
      <c r="AA464" s="109" t="n"/>
      <c r="AB464" s="109" t="n"/>
      <c r="AF464" s="109" t="n"/>
      <c r="AG464" s="109" t="n"/>
      <c r="AH464" s="109" t="n"/>
      <c r="AL464" s="109" t="n"/>
      <c r="AM464" s="109" t="n"/>
      <c r="AN464" s="109" t="n"/>
    </row>
    <row r="465" ht="15.75" customHeight="1" s="216">
      <c r="D465" s="109" t="n"/>
      <c r="E465" s="109" t="n"/>
      <c r="J465" s="109" t="n"/>
      <c r="K465" s="109" t="n"/>
      <c r="L465" s="109" t="n"/>
      <c r="N465" s="109" t="n"/>
      <c r="O465" s="109" t="n"/>
      <c r="P465" s="109" t="n"/>
      <c r="T465" s="109" t="n"/>
      <c r="U465" s="109" t="n"/>
      <c r="V465" s="109" t="n"/>
      <c r="Z465" s="109" t="n"/>
      <c r="AA465" s="109" t="n"/>
      <c r="AB465" s="109" t="n"/>
      <c r="AF465" s="109" t="n"/>
      <c r="AG465" s="109" t="n"/>
      <c r="AH465" s="109" t="n"/>
      <c r="AL465" s="109" t="n"/>
      <c r="AM465" s="109" t="n"/>
      <c r="AN465" s="109" t="n"/>
    </row>
    <row r="466" ht="15.75" customHeight="1" s="216">
      <c r="D466" s="109" t="n"/>
      <c r="E466" s="109" t="n"/>
      <c r="J466" s="109" t="n"/>
      <c r="K466" s="109" t="n"/>
      <c r="L466" s="109" t="n"/>
      <c r="N466" s="109" t="n"/>
      <c r="O466" s="109" t="n"/>
      <c r="P466" s="109" t="n"/>
      <c r="T466" s="109" t="n"/>
      <c r="U466" s="109" t="n"/>
      <c r="V466" s="109" t="n"/>
      <c r="Z466" s="109" t="n"/>
      <c r="AA466" s="109" t="n"/>
      <c r="AB466" s="109" t="n"/>
      <c r="AF466" s="109" t="n"/>
      <c r="AG466" s="109" t="n"/>
      <c r="AH466" s="109" t="n"/>
      <c r="AL466" s="109" t="n"/>
      <c r="AM466" s="109" t="n"/>
      <c r="AN466" s="109" t="n"/>
    </row>
    <row r="467" ht="15.75" customHeight="1" s="216">
      <c r="D467" s="109" t="n"/>
      <c r="E467" s="109" t="n"/>
      <c r="J467" s="109" t="n"/>
      <c r="K467" s="109" t="n"/>
      <c r="L467" s="109" t="n"/>
      <c r="N467" s="109" t="n"/>
      <c r="O467" s="109" t="n"/>
      <c r="P467" s="109" t="n"/>
      <c r="T467" s="109" t="n"/>
      <c r="U467" s="109" t="n"/>
      <c r="V467" s="109" t="n"/>
      <c r="Z467" s="109" t="n"/>
      <c r="AA467" s="109" t="n"/>
      <c r="AB467" s="109" t="n"/>
      <c r="AF467" s="109" t="n"/>
      <c r="AG467" s="109" t="n"/>
      <c r="AH467" s="109" t="n"/>
      <c r="AL467" s="109" t="n"/>
      <c r="AM467" s="109" t="n"/>
      <c r="AN467" s="109" t="n"/>
    </row>
    <row r="468" ht="15.75" customHeight="1" s="216">
      <c r="D468" s="109" t="n"/>
      <c r="E468" s="109" t="n"/>
      <c r="J468" s="109" t="n"/>
      <c r="K468" s="109" t="n"/>
      <c r="L468" s="109" t="n"/>
      <c r="N468" s="109" t="n"/>
      <c r="O468" s="109" t="n"/>
      <c r="P468" s="109" t="n"/>
      <c r="T468" s="109" t="n"/>
      <c r="U468" s="109" t="n"/>
      <c r="V468" s="109" t="n"/>
      <c r="Z468" s="109" t="n"/>
      <c r="AA468" s="109" t="n"/>
      <c r="AB468" s="109" t="n"/>
      <c r="AF468" s="109" t="n"/>
      <c r="AG468" s="109" t="n"/>
      <c r="AH468" s="109" t="n"/>
      <c r="AL468" s="109" t="n"/>
      <c r="AM468" s="109" t="n"/>
      <c r="AN468" s="109" t="n"/>
    </row>
    <row r="469" ht="15.75" customHeight="1" s="216">
      <c r="D469" s="109" t="n"/>
      <c r="E469" s="109" t="n"/>
      <c r="J469" s="109" t="n"/>
      <c r="K469" s="109" t="n"/>
      <c r="L469" s="109" t="n"/>
      <c r="N469" s="109" t="n"/>
      <c r="O469" s="109" t="n"/>
      <c r="P469" s="109" t="n"/>
      <c r="T469" s="109" t="n"/>
      <c r="U469" s="109" t="n"/>
      <c r="V469" s="109" t="n"/>
      <c r="Z469" s="109" t="n"/>
      <c r="AA469" s="109" t="n"/>
      <c r="AB469" s="109" t="n"/>
      <c r="AF469" s="109" t="n"/>
      <c r="AG469" s="109" t="n"/>
      <c r="AH469" s="109" t="n"/>
      <c r="AL469" s="109" t="n"/>
      <c r="AM469" s="109" t="n"/>
      <c r="AN469" s="109" t="n"/>
    </row>
    <row r="470" ht="15.75" customHeight="1" s="216">
      <c r="D470" s="109" t="n"/>
      <c r="E470" s="109" t="n"/>
      <c r="J470" s="109" t="n"/>
      <c r="K470" s="109" t="n"/>
      <c r="L470" s="109" t="n"/>
      <c r="N470" s="109" t="n"/>
      <c r="O470" s="109" t="n"/>
      <c r="P470" s="109" t="n"/>
      <c r="T470" s="109" t="n"/>
      <c r="U470" s="109" t="n"/>
      <c r="V470" s="109" t="n"/>
      <c r="Z470" s="109" t="n"/>
      <c r="AA470" s="109" t="n"/>
      <c r="AB470" s="109" t="n"/>
      <c r="AF470" s="109" t="n"/>
      <c r="AG470" s="109" t="n"/>
      <c r="AH470" s="109" t="n"/>
      <c r="AL470" s="109" t="n"/>
      <c r="AM470" s="109" t="n"/>
      <c r="AN470" s="109" t="n"/>
    </row>
    <row r="471" ht="15.75" customHeight="1" s="216">
      <c r="D471" s="109" t="n"/>
      <c r="E471" s="109" t="n"/>
      <c r="J471" s="109" t="n"/>
      <c r="K471" s="109" t="n"/>
      <c r="L471" s="109" t="n"/>
      <c r="N471" s="109" t="n"/>
      <c r="O471" s="109" t="n"/>
      <c r="P471" s="109" t="n"/>
      <c r="T471" s="109" t="n"/>
      <c r="U471" s="109" t="n"/>
      <c r="V471" s="109" t="n"/>
      <c r="Z471" s="109" t="n"/>
      <c r="AA471" s="109" t="n"/>
      <c r="AB471" s="109" t="n"/>
      <c r="AF471" s="109" t="n"/>
      <c r="AG471" s="109" t="n"/>
      <c r="AH471" s="109" t="n"/>
      <c r="AL471" s="109" t="n"/>
      <c r="AM471" s="109" t="n"/>
      <c r="AN471" s="109" t="n"/>
    </row>
    <row r="472" ht="15.75" customHeight="1" s="216">
      <c r="D472" s="109" t="n"/>
      <c r="E472" s="109" t="n"/>
      <c r="J472" s="109" t="n"/>
      <c r="K472" s="109" t="n"/>
      <c r="L472" s="109" t="n"/>
      <c r="N472" s="109" t="n"/>
      <c r="O472" s="109" t="n"/>
      <c r="P472" s="109" t="n"/>
      <c r="T472" s="109" t="n"/>
      <c r="U472" s="109" t="n"/>
      <c r="V472" s="109" t="n"/>
      <c r="Z472" s="109" t="n"/>
      <c r="AA472" s="109" t="n"/>
      <c r="AB472" s="109" t="n"/>
      <c r="AF472" s="109" t="n"/>
      <c r="AG472" s="109" t="n"/>
      <c r="AH472" s="109" t="n"/>
      <c r="AL472" s="109" t="n"/>
      <c r="AM472" s="109" t="n"/>
      <c r="AN472" s="109" t="n"/>
    </row>
    <row r="473" ht="15.75" customHeight="1" s="216">
      <c r="D473" s="109" t="n"/>
      <c r="E473" s="109" t="n"/>
      <c r="J473" s="109" t="n"/>
      <c r="K473" s="109" t="n"/>
      <c r="L473" s="109" t="n"/>
      <c r="N473" s="109" t="n"/>
      <c r="O473" s="109" t="n"/>
      <c r="P473" s="109" t="n"/>
      <c r="T473" s="109" t="n"/>
      <c r="U473" s="109" t="n"/>
      <c r="V473" s="109" t="n"/>
      <c r="Z473" s="109" t="n"/>
      <c r="AA473" s="109" t="n"/>
      <c r="AB473" s="109" t="n"/>
      <c r="AF473" s="109" t="n"/>
      <c r="AG473" s="109" t="n"/>
      <c r="AH473" s="109" t="n"/>
      <c r="AL473" s="109" t="n"/>
      <c r="AM473" s="109" t="n"/>
      <c r="AN473" s="109" t="n"/>
    </row>
    <row r="474" ht="15.75" customHeight="1" s="216">
      <c r="D474" s="109" t="n"/>
      <c r="E474" s="109" t="n"/>
      <c r="J474" s="109" t="n"/>
      <c r="K474" s="109" t="n"/>
      <c r="L474" s="109" t="n"/>
      <c r="N474" s="109" t="n"/>
      <c r="O474" s="109" t="n"/>
      <c r="P474" s="109" t="n"/>
      <c r="T474" s="109" t="n"/>
      <c r="U474" s="109" t="n"/>
      <c r="V474" s="109" t="n"/>
      <c r="Z474" s="109" t="n"/>
      <c r="AA474" s="109" t="n"/>
      <c r="AB474" s="109" t="n"/>
      <c r="AF474" s="109" t="n"/>
      <c r="AG474" s="109" t="n"/>
      <c r="AH474" s="109" t="n"/>
      <c r="AL474" s="109" t="n"/>
      <c r="AM474" s="109" t="n"/>
      <c r="AN474" s="109" t="n"/>
    </row>
    <row r="475" ht="15.75" customHeight="1" s="216">
      <c r="D475" s="109" t="n"/>
      <c r="E475" s="109" t="n"/>
      <c r="J475" s="109" t="n"/>
      <c r="K475" s="109" t="n"/>
      <c r="L475" s="109" t="n"/>
      <c r="N475" s="109" t="n"/>
      <c r="O475" s="109" t="n"/>
      <c r="P475" s="109" t="n"/>
      <c r="T475" s="109" t="n"/>
      <c r="U475" s="109" t="n"/>
      <c r="V475" s="109" t="n"/>
      <c r="Z475" s="109" t="n"/>
      <c r="AA475" s="109" t="n"/>
      <c r="AB475" s="109" t="n"/>
      <c r="AF475" s="109" t="n"/>
      <c r="AG475" s="109" t="n"/>
      <c r="AH475" s="109" t="n"/>
      <c r="AL475" s="109" t="n"/>
      <c r="AM475" s="109" t="n"/>
      <c r="AN475" s="109" t="n"/>
    </row>
    <row r="476" ht="15.75" customHeight="1" s="216">
      <c r="D476" s="109" t="n"/>
      <c r="E476" s="109" t="n"/>
      <c r="J476" s="109" t="n"/>
      <c r="K476" s="109" t="n"/>
      <c r="L476" s="109" t="n"/>
      <c r="N476" s="109" t="n"/>
      <c r="O476" s="109" t="n"/>
      <c r="P476" s="109" t="n"/>
      <c r="T476" s="109" t="n"/>
      <c r="U476" s="109" t="n"/>
      <c r="V476" s="109" t="n"/>
      <c r="Z476" s="109" t="n"/>
      <c r="AA476" s="109" t="n"/>
      <c r="AB476" s="109" t="n"/>
      <c r="AF476" s="109" t="n"/>
      <c r="AG476" s="109" t="n"/>
      <c r="AH476" s="109" t="n"/>
      <c r="AL476" s="109" t="n"/>
      <c r="AM476" s="109" t="n"/>
      <c r="AN476" s="109" t="n"/>
    </row>
    <row r="477" ht="15.75" customHeight="1" s="216">
      <c r="D477" s="109" t="n"/>
      <c r="E477" s="109" t="n"/>
      <c r="J477" s="109" t="n"/>
      <c r="K477" s="109" t="n"/>
      <c r="L477" s="109" t="n"/>
      <c r="N477" s="109" t="n"/>
      <c r="O477" s="109" t="n"/>
      <c r="P477" s="109" t="n"/>
      <c r="T477" s="109" t="n"/>
      <c r="U477" s="109" t="n"/>
      <c r="V477" s="109" t="n"/>
      <c r="Z477" s="109" t="n"/>
      <c r="AA477" s="109" t="n"/>
      <c r="AB477" s="109" t="n"/>
      <c r="AF477" s="109" t="n"/>
      <c r="AG477" s="109" t="n"/>
      <c r="AH477" s="109" t="n"/>
      <c r="AL477" s="109" t="n"/>
      <c r="AM477" s="109" t="n"/>
      <c r="AN477" s="109" t="n"/>
    </row>
    <row r="478" ht="15.75" customHeight="1" s="216">
      <c r="D478" s="109" t="n"/>
      <c r="E478" s="109" t="n"/>
      <c r="J478" s="109" t="n"/>
      <c r="K478" s="109" t="n"/>
      <c r="L478" s="109" t="n"/>
      <c r="N478" s="109" t="n"/>
      <c r="O478" s="109" t="n"/>
      <c r="P478" s="109" t="n"/>
      <c r="T478" s="109" t="n"/>
      <c r="U478" s="109" t="n"/>
      <c r="V478" s="109" t="n"/>
      <c r="Z478" s="109" t="n"/>
      <c r="AA478" s="109" t="n"/>
      <c r="AB478" s="109" t="n"/>
      <c r="AF478" s="109" t="n"/>
      <c r="AG478" s="109" t="n"/>
      <c r="AH478" s="109" t="n"/>
      <c r="AL478" s="109" t="n"/>
      <c r="AM478" s="109" t="n"/>
      <c r="AN478" s="109" t="n"/>
    </row>
    <row r="479" ht="15.75" customHeight="1" s="216">
      <c r="D479" s="109" t="n"/>
      <c r="E479" s="109" t="n"/>
      <c r="J479" s="109" t="n"/>
      <c r="K479" s="109" t="n"/>
      <c r="L479" s="109" t="n"/>
      <c r="N479" s="109" t="n"/>
      <c r="O479" s="109" t="n"/>
      <c r="P479" s="109" t="n"/>
      <c r="T479" s="109" t="n"/>
      <c r="U479" s="109" t="n"/>
      <c r="V479" s="109" t="n"/>
      <c r="Z479" s="109" t="n"/>
      <c r="AA479" s="109" t="n"/>
      <c r="AB479" s="109" t="n"/>
      <c r="AF479" s="109" t="n"/>
      <c r="AG479" s="109" t="n"/>
      <c r="AH479" s="109" t="n"/>
      <c r="AL479" s="109" t="n"/>
      <c r="AM479" s="109" t="n"/>
      <c r="AN479" s="109" t="n"/>
    </row>
    <row r="480" ht="15.75" customHeight="1" s="216">
      <c r="D480" s="109" t="n"/>
      <c r="E480" s="109" t="n"/>
      <c r="J480" s="109" t="n"/>
      <c r="K480" s="109" t="n"/>
      <c r="L480" s="109" t="n"/>
      <c r="N480" s="109" t="n"/>
      <c r="O480" s="109" t="n"/>
      <c r="P480" s="109" t="n"/>
      <c r="T480" s="109" t="n"/>
      <c r="U480" s="109" t="n"/>
      <c r="V480" s="109" t="n"/>
      <c r="Z480" s="109" t="n"/>
      <c r="AA480" s="109" t="n"/>
      <c r="AB480" s="109" t="n"/>
      <c r="AF480" s="109" t="n"/>
      <c r="AG480" s="109" t="n"/>
      <c r="AH480" s="109" t="n"/>
      <c r="AL480" s="109" t="n"/>
      <c r="AM480" s="109" t="n"/>
      <c r="AN480" s="109" t="n"/>
    </row>
    <row r="481" ht="15.75" customHeight="1" s="216">
      <c r="D481" s="109" t="n"/>
      <c r="E481" s="109" t="n"/>
      <c r="J481" s="109" t="n"/>
      <c r="K481" s="109" t="n"/>
      <c r="L481" s="109" t="n"/>
      <c r="N481" s="109" t="n"/>
      <c r="O481" s="109" t="n"/>
      <c r="P481" s="109" t="n"/>
      <c r="T481" s="109" t="n"/>
      <c r="U481" s="109" t="n"/>
      <c r="V481" s="109" t="n"/>
      <c r="Z481" s="109" t="n"/>
      <c r="AA481" s="109" t="n"/>
      <c r="AB481" s="109" t="n"/>
      <c r="AF481" s="109" t="n"/>
      <c r="AG481" s="109" t="n"/>
      <c r="AH481" s="109" t="n"/>
      <c r="AL481" s="109" t="n"/>
      <c r="AM481" s="109" t="n"/>
      <c r="AN481" s="109" t="n"/>
    </row>
    <row r="482" ht="15.75" customHeight="1" s="216">
      <c r="D482" s="109" t="n"/>
      <c r="E482" s="109" t="n"/>
      <c r="J482" s="109" t="n"/>
      <c r="K482" s="109" t="n"/>
      <c r="L482" s="109" t="n"/>
      <c r="N482" s="109" t="n"/>
      <c r="O482" s="109" t="n"/>
      <c r="P482" s="109" t="n"/>
      <c r="T482" s="109" t="n"/>
      <c r="U482" s="109" t="n"/>
      <c r="V482" s="109" t="n"/>
      <c r="Z482" s="109" t="n"/>
      <c r="AA482" s="109" t="n"/>
      <c r="AB482" s="109" t="n"/>
      <c r="AF482" s="109" t="n"/>
      <c r="AG482" s="109" t="n"/>
      <c r="AH482" s="109" t="n"/>
      <c r="AL482" s="109" t="n"/>
      <c r="AM482" s="109" t="n"/>
      <c r="AN482" s="109" t="n"/>
    </row>
    <row r="483" ht="15.75" customHeight="1" s="216">
      <c r="D483" s="109" t="n"/>
      <c r="E483" s="109" t="n"/>
      <c r="J483" s="109" t="n"/>
      <c r="K483" s="109" t="n"/>
      <c r="L483" s="109" t="n"/>
      <c r="N483" s="109" t="n"/>
      <c r="O483" s="109" t="n"/>
      <c r="P483" s="109" t="n"/>
      <c r="T483" s="109" t="n"/>
      <c r="U483" s="109" t="n"/>
      <c r="V483" s="109" t="n"/>
      <c r="Z483" s="109" t="n"/>
      <c r="AA483" s="109" t="n"/>
      <c r="AB483" s="109" t="n"/>
      <c r="AF483" s="109" t="n"/>
      <c r="AG483" s="109" t="n"/>
      <c r="AH483" s="109" t="n"/>
      <c r="AL483" s="109" t="n"/>
      <c r="AM483" s="109" t="n"/>
      <c r="AN483" s="109" t="n"/>
    </row>
    <row r="484" ht="15.75" customHeight="1" s="216">
      <c r="D484" s="109" t="n"/>
      <c r="E484" s="109" t="n"/>
      <c r="J484" s="109" t="n"/>
      <c r="K484" s="109" t="n"/>
      <c r="L484" s="109" t="n"/>
      <c r="N484" s="109" t="n"/>
      <c r="O484" s="109" t="n"/>
      <c r="P484" s="109" t="n"/>
      <c r="T484" s="109" t="n"/>
      <c r="U484" s="109" t="n"/>
      <c r="V484" s="109" t="n"/>
      <c r="Z484" s="109" t="n"/>
      <c r="AA484" s="109" t="n"/>
      <c r="AB484" s="109" t="n"/>
      <c r="AF484" s="109" t="n"/>
      <c r="AG484" s="109" t="n"/>
      <c r="AH484" s="109" t="n"/>
      <c r="AL484" s="109" t="n"/>
      <c r="AM484" s="109" t="n"/>
      <c r="AN484" s="109" t="n"/>
    </row>
    <row r="485" ht="15.75" customHeight="1" s="216">
      <c r="D485" s="109" t="n"/>
      <c r="E485" s="109" t="n"/>
      <c r="J485" s="109" t="n"/>
      <c r="K485" s="109" t="n"/>
      <c r="L485" s="109" t="n"/>
      <c r="N485" s="109" t="n"/>
      <c r="O485" s="109" t="n"/>
      <c r="P485" s="109" t="n"/>
      <c r="T485" s="109" t="n"/>
      <c r="U485" s="109" t="n"/>
      <c r="V485" s="109" t="n"/>
      <c r="Z485" s="109" t="n"/>
      <c r="AA485" s="109" t="n"/>
      <c r="AB485" s="109" t="n"/>
      <c r="AF485" s="109" t="n"/>
      <c r="AG485" s="109" t="n"/>
      <c r="AH485" s="109" t="n"/>
      <c r="AL485" s="109" t="n"/>
      <c r="AM485" s="109" t="n"/>
      <c r="AN485" s="109" t="n"/>
    </row>
    <row r="486" ht="15.75" customHeight="1" s="216">
      <c r="D486" s="109" t="n"/>
      <c r="E486" s="109" t="n"/>
      <c r="J486" s="109" t="n"/>
      <c r="K486" s="109" t="n"/>
      <c r="L486" s="109" t="n"/>
      <c r="N486" s="109" t="n"/>
      <c r="O486" s="109" t="n"/>
      <c r="P486" s="109" t="n"/>
      <c r="T486" s="109" t="n"/>
      <c r="U486" s="109" t="n"/>
      <c r="V486" s="109" t="n"/>
      <c r="Z486" s="109" t="n"/>
      <c r="AA486" s="109" t="n"/>
      <c r="AB486" s="109" t="n"/>
      <c r="AF486" s="109" t="n"/>
      <c r="AG486" s="109" t="n"/>
      <c r="AH486" s="109" t="n"/>
      <c r="AL486" s="109" t="n"/>
      <c r="AM486" s="109" t="n"/>
      <c r="AN486" s="109" t="n"/>
    </row>
    <row r="487" ht="15.75" customHeight="1" s="216">
      <c r="D487" s="109" t="n"/>
      <c r="E487" s="109" t="n"/>
      <c r="J487" s="109" t="n"/>
      <c r="K487" s="109" t="n"/>
      <c r="L487" s="109" t="n"/>
      <c r="N487" s="109" t="n"/>
      <c r="O487" s="109" t="n"/>
      <c r="P487" s="109" t="n"/>
      <c r="T487" s="109" t="n"/>
      <c r="U487" s="109" t="n"/>
      <c r="V487" s="109" t="n"/>
      <c r="Z487" s="109" t="n"/>
      <c r="AA487" s="109" t="n"/>
      <c r="AB487" s="109" t="n"/>
      <c r="AF487" s="109" t="n"/>
      <c r="AG487" s="109" t="n"/>
      <c r="AH487" s="109" t="n"/>
      <c r="AL487" s="109" t="n"/>
      <c r="AM487" s="109" t="n"/>
      <c r="AN487" s="109" t="n"/>
    </row>
    <row r="488" ht="15.75" customHeight="1" s="216">
      <c r="D488" s="109" t="n"/>
      <c r="E488" s="109" t="n"/>
      <c r="J488" s="109" t="n"/>
      <c r="K488" s="109" t="n"/>
      <c r="L488" s="109" t="n"/>
      <c r="N488" s="109" t="n"/>
      <c r="O488" s="109" t="n"/>
      <c r="P488" s="109" t="n"/>
      <c r="T488" s="109" t="n"/>
      <c r="U488" s="109" t="n"/>
      <c r="V488" s="109" t="n"/>
      <c r="Z488" s="109" t="n"/>
      <c r="AA488" s="109" t="n"/>
      <c r="AB488" s="109" t="n"/>
      <c r="AF488" s="109" t="n"/>
      <c r="AG488" s="109" t="n"/>
      <c r="AH488" s="109" t="n"/>
      <c r="AL488" s="109" t="n"/>
      <c r="AM488" s="109" t="n"/>
      <c r="AN488" s="109" t="n"/>
    </row>
    <row r="489" ht="15.75" customHeight="1" s="216">
      <c r="D489" s="109" t="n"/>
      <c r="E489" s="109" t="n"/>
      <c r="J489" s="109" t="n"/>
      <c r="K489" s="109" t="n"/>
      <c r="L489" s="109" t="n"/>
      <c r="N489" s="109" t="n"/>
      <c r="O489" s="109" t="n"/>
      <c r="P489" s="109" t="n"/>
      <c r="T489" s="109" t="n"/>
      <c r="U489" s="109" t="n"/>
      <c r="V489" s="109" t="n"/>
      <c r="Z489" s="109" t="n"/>
      <c r="AA489" s="109" t="n"/>
      <c r="AB489" s="109" t="n"/>
      <c r="AF489" s="109" t="n"/>
      <c r="AG489" s="109" t="n"/>
      <c r="AH489" s="109" t="n"/>
      <c r="AL489" s="109" t="n"/>
      <c r="AM489" s="109" t="n"/>
      <c r="AN489" s="109" t="n"/>
    </row>
    <row r="490" ht="15.75" customHeight="1" s="216">
      <c r="D490" s="109" t="n"/>
      <c r="E490" s="109" t="n"/>
      <c r="J490" s="109" t="n"/>
      <c r="K490" s="109" t="n"/>
      <c r="L490" s="109" t="n"/>
      <c r="N490" s="109" t="n"/>
      <c r="O490" s="109" t="n"/>
      <c r="P490" s="109" t="n"/>
      <c r="T490" s="109" t="n"/>
      <c r="U490" s="109" t="n"/>
      <c r="V490" s="109" t="n"/>
      <c r="Z490" s="109" t="n"/>
      <c r="AA490" s="109" t="n"/>
      <c r="AB490" s="109" t="n"/>
      <c r="AF490" s="109" t="n"/>
      <c r="AG490" s="109" t="n"/>
      <c r="AH490" s="109" t="n"/>
      <c r="AL490" s="109" t="n"/>
      <c r="AM490" s="109" t="n"/>
      <c r="AN490" s="109" t="n"/>
    </row>
    <row r="491" ht="15.75" customHeight="1" s="216">
      <c r="D491" s="109" t="n"/>
      <c r="E491" s="109" t="n"/>
      <c r="J491" s="109" t="n"/>
      <c r="K491" s="109" t="n"/>
      <c r="L491" s="109" t="n"/>
      <c r="N491" s="109" t="n"/>
      <c r="O491" s="109" t="n"/>
      <c r="P491" s="109" t="n"/>
      <c r="T491" s="109" t="n"/>
      <c r="U491" s="109" t="n"/>
      <c r="V491" s="109" t="n"/>
      <c r="Z491" s="109" t="n"/>
      <c r="AA491" s="109" t="n"/>
      <c r="AB491" s="109" t="n"/>
      <c r="AF491" s="109" t="n"/>
      <c r="AG491" s="109" t="n"/>
      <c r="AH491" s="109" t="n"/>
      <c r="AL491" s="109" t="n"/>
      <c r="AM491" s="109" t="n"/>
      <c r="AN491" s="109" t="n"/>
    </row>
    <row r="492" ht="15.75" customHeight="1" s="216">
      <c r="D492" s="109" t="n"/>
      <c r="E492" s="109" t="n"/>
      <c r="J492" s="109" t="n"/>
      <c r="K492" s="109" t="n"/>
      <c r="L492" s="109" t="n"/>
      <c r="N492" s="109" t="n"/>
      <c r="O492" s="109" t="n"/>
      <c r="P492" s="109" t="n"/>
      <c r="T492" s="109" t="n"/>
      <c r="U492" s="109" t="n"/>
      <c r="V492" s="109" t="n"/>
      <c r="Z492" s="109" t="n"/>
      <c r="AA492" s="109" t="n"/>
      <c r="AB492" s="109" t="n"/>
      <c r="AF492" s="109" t="n"/>
      <c r="AG492" s="109" t="n"/>
      <c r="AH492" s="109" t="n"/>
      <c r="AL492" s="109" t="n"/>
      <c r="AM492" s="109" t="n"/>
      <c r="AN492" s="109" t="n"/>
    </row>
    <row r="493" ht="15.75" customHeight="1" s="216">
      <c r="D493" s="109" t="n"/>
      <c r="E493" s="109" t="n"/>
      <c r="J493" s="109" t="n"/>
      <c r="K493" s="109" t="n"/>
      <c r="L493" s="109" t="n"/>
      <c r="N493" s="109" t="n"/>
      <c r="O493" s="109" t="n"/>
      <c r="P493" s="109" t="n"/>
      <c r="T493" s="109" t="n"/>
      <c r="U493" s="109" t="n"/>
      <c r="V493" s="109" t="n"/>
      <c r="Z493" s="109" t="n"/>
      <c r="AA493" s="109" t="n"/>
      <c r="AB493" s="109" t="n"/>
      <c r="AF493" s="109" t="n"/>
      <c r="AG493" s="109" t="n"/>
      <c r="AH493" s="109" t="n"/>
      <c r="AL493" s="109" t="n"/>
      <c r="AM493" s="109" t="n"/>
      <c r="AN493" s="109" t="n"/>
    </row>
    <row r="494" ht="15.75" customHeight="1" s="216">
      <c r="D494" s="109" t="n"/>
      <c r="E494" s="109" t="n"/>
      <c r="J494" s="109" t="n"/>
      <c r="K494" s="109" t="n"/>
      <c r="L494" s="109" t="n"/>
      <c r="N494" s="109" t="n"/>
      <c r="O494" s="109" t="n"/>
      <c r="P494" s="109" t="n"/>
      <c r="T494" s="109" t="n"/>
      <c r="U494" s="109" t="n"/>
      <c r="V494" s="109" t="n"/>
      <c r="Z494" s="109" t="n"/>
      <c r="AA494" s="109" t="n"/>
      <c r="AB494" s="109" t="n"/>
      <c r="AF494" s="109" t="n"/>
      <c r="AG494" s="109" t="n"/>
      <c r="AH494" s="109" t="n"/>
      <c r="AL494" s="109" t="n"/>
      <c r="AM494" s="109" t="n"/>
      <c r="AN494" s="109" t="n"/>
    </row>
    <row r="495" ht="15.75" customHeight="1" s="216">
      <c r="D495" s="109" t="n"/>
      <c r="E495" s="109" t="n"/>
      <c r="J495" s="109" t="n"/>
      <c r="K495" s="109" t="n"/>
      <c r="L495" s="109" t="n"/>
      <c r="N495" s="109" t="n"/>
      <c r="O495" s="109" t="n"/>
      <c r="P495" s="109" t="n"/>
      <c r="T495" s="109" t="n"/>
      <c r="U495" s="109" t="n"/>
      <c r="V495" s="109" t="n"/>
      <c r="Z495" s="109" t="n"/>
      <c r="AA495" s="109" t="n"/>
      <c r="AB495" s="109" t="n"/>
      <c r="AF495" s="109" t="n"/>
      <c r="AG495" s="109" t="n"/>
      <c r="AH495" s="109" t="n"/>
      <c r="AL495" s="109" t="n"/>
      <c r="AM495" s="109" t="n"/>
      <c r="AN495" s="109" t="n"/>
    </row>
    <row r="496" ht="15.75" customHeight="1" s="216">
      <c r="D496" s="109" t="n"/>
      <c r="E496" s="109" t="n"/>
      <c r="J496" s="109" t="n"/>
      <c r="K496" s="109" t="n"/>
      <c r="L496" s="109" t="n"/>
      <c r="N496" s="109" t="n"/>
      <c r="O496" s="109" t="n"/>
      <c r="P496" s="109" t="n"/>
      <c r="T496" s="109" t="n"/>
      <c r="U496" s="109" t="n"/>
      <c r="V496" s="109" t="n"/>
      <c r="Z496" s="109" t="n"/>
      <c r="AA496" s="109" t="n"/>
      <c r="AB496" s="109" t="n"/>
      <c r="AF496" s="109" t="n"/>
      <c r="AG496" s="109" t="n"/>
      <c r="AH496" s="109" t="n"/>
      <c r="AL496" s="109" t="n"/>
      <c r="AM496" s="109" t="n"/>
      <c r="AN496" s="109" t="n"/>
    </row>
    <row r="497" ht="15.75" customHeight="1" s="216">
      <c r="D497" s="109" t="n"/>
      <c r="E497" s="109" t="n"/>
      <c r="J497" s="109" t="n"/>
      <c r="K497" s="109" t="n"/>
      <c r="L497" s="109" t="n"/>
      <c r="N497" s="109" t="n"/>
      <c r="O497" s="109" t="n"/>
      <c r="P497" s="109" t="n"/>
      <c r="T497" s="109" t="n"/>
      <c r="U497" s="109" t="n"/>
      <c r="V497" s="109" t="n"/>
      <c r="Z497" s="109" t="n"/>
      <c r="AA497" s="109" t="n"/>
      <c r="AB497" s="109" t="n"/>
      <c r="AF497" s="109" t="n"/>
      <c r="AG497" s="109" t="n"/>
      <c r="AH497" s="109" t="n"/>
      <c r="AL497" s="109" t="n"/>
      <c r="AM497" s="109" t="n"/>
      <c r="AN497" s="109" t="n"/>
    </row>
    <row r="498" ht="15.75" customHeight="1" s="216">
      <c r="D498" s="109" t="n"/>
      <c r="E498" s="109" t="n"/>
      <c r="J498" s="109" t="n"/>
      <c r="K498" s="109" t="n"/>
      <c r="L498" s="109" t="n"/>
      <c r="N498" s="109" t="n"/>
      <c r="O498" s="109" t="n"/>
      <c r="P498" s="109" t="n"/>
      <c r="T498" s="109" t="n"/>
      <c r="U498" s="109" t="n"/>
      <c r="V498" s="109" t="n"/>
      <c r="Z498" s="109" t="n"/>
      <c r="AA498" s="109" t="n"/>
      <c r="AB498" s="109" t="n"/>
      <c r="AF498" s="109" t="n"/>
      <c r="AG498" s="109" t="n"/>
      <c r="AH498" s="109" t="n"/>
      <c r="AL498" s="109" t="n"/>
      <c r="AM498" s="109" t="n"/>
      <c r="AN498" s="109" t="n"/>
    </row>
    <row r="499" ht="15.75" customHeight="1" s="216">
      <c r="D499" s="109" t="n"/>
      <c r="E499" s="109" t="n"/>
      <c r="J499" s="109" t="n"/>
      <c r="K499" s="109" t="n"/>
      <c r="L499" s="109" t="n"/>
      <c r="N499" s="109" t="n"/>
      <c r="O499" s="109" t="n"/>
      <c r="P499" s="109" t="n"/>
      <c r="T499" s="109" t="n"/>
      <c r="U499" s="109" t="n"/>
      <c r="V499" s="109" t="n"/>
      <c r="Z499" s="109" t="n"/>
      <c r="AA499" s="109" t="n"/>
      <c r="AB499" s="109" t="n"/>
      <c r="AF499" s="109" t="n"/>
      <c r="AG499" s="109" t="n"/>
      <c r="AH499" s="109" t="n"/>
      <c r="AL499" s="109" t="n"/>
      <c r="AM499" s="109" t="n"/>
      <c r="AN499" s="109" t="n"/>
    </row>
    <row r="500" ht="15.75" customHeight="1" s="216">
      <c r="D500" s="109" t="n"/>
      <c r="E500" s="109" t="n"/>
      <c r="J500" s="109" t="n"/>
      <c r="K500" s="109" t="n"/>
      <c r="L500" s="109" t="n"/>
      <c r="N500" s="109" t="n"/>
      <c r="O500" s="109" t="n"/>
      <c r="P500" s="109" t="n"/>
      <c r="T500" s="109" t="n"/>
      <c r="U500" s="109" t="n"/>
      <c r="V500" s="109" t="n"/>
      <c r="Z500" s="109" t="n"/>
      <c r="AA500" s="109" t="n"/>
      <c r="AB500" s="109" t="n"/>
      <c r="AF500" s="109" t="n"/>
      <c r="AG500" s="109" t="n"/>
      <c r="AH500" s="109" t="n"/>
      <c r="AL500" s="109" t="n"/>
      <c r="AM500" s="109" t="n"/>
      <c r="AN500" s="109" t="n"/>
    </row>
    <row r="501" ht="15.75" customHeight="1" s="216"/>
    <row r="502" ht="15.75" customHeight="1" s="216"/>
    <row r="503" ht="15.75" customHeight="1" s="216"/>
    <row r="504" ht="15.75" customHeight="1" s="216"/>
    <row r="505" ht="15.75" customHeight="1" s="216"/>
    <row r="506" ht="15.75" customHeight="1" s="216"/>
    <row r="507" ht="15.75" customHeight="1" s="216"/>
    <row r="508" ht="15.75" customHeight="1" s="216"/>
    <row r="509" ht="15.75" customHeight="1" s="216"/>
    <row r="510" ht="15.75" customHeight="1" s="216"/>
    <row r="511" ht="15.75" customHeight="1" s="216"/>
    <row r="512" ht="15.75" customHeight="1" s="216"/>
    <row r="513" ht="15.75" customHeight="1" s="216"/>
    <row r="514" ht="15.75" customHeight="1" s="216"/>
    <row r="515" ht="15.75" customHeight="1" s="216"/>
    <row r="516" ht="15.75" customHeight="1" s="216"/>
    <row r="517" ht="15.75" customHeight="1" s="216"/>
    <row r="518" ht="15.75" customHeight="1" s="216"/>
    <row r="519" ht="15.75" customHeight="1" s="216"/>
    <row r="520" ht="15.75" customHeight="1" s="216"/>
    <row r="521" ht="15.75" customHeight="1" s="216"/>
    <row r="522" ht="15.75" customHeight="1" s="216"/>
    <row r="523" ht="15.75" customHeight="1" s="216"/>
    <row r="524" ht="15.75" customHeight="1" s="216"/>
    <row r="525" ht="15.75" customHeight="1" s="216"/>
    <row r="526" ht="15.75" customHeight="1" s="216"/>
    <row r="527" ht="15.75" customHeight="1" s="216"/>
    <row r="528" ht="15.75" customHeight="1" s="216"/>
    <row r="529" ht="15.75" customHeight="1" s="216"/>
    <row r="530" ht="15.75" customHeight="1" s="216"/>
    <row r="531" ht="15.75" customHeight="1" s="216"/>
    <row r="532" ht="15.75" customHeight="1" s="216"/>
    <row r="533" ht="15.75" customHeight="1" s="216"/>
    <row r="534" ht="15.75" customHeight="1" s="216"/>
    <row r="535" ht="15.75" customHeight="1" s="216"/>
    <row r="536" ht="15.75" customHeight="1" s="216"/>
    <row r="537" ht="15.75" customHeight="1" s="216"/>
    <row r="538" ht="15.75" customHeight="1" s="216"/>
    <row r="539" ht="15.75" customHeight="1" s="216"/>
    <row r="540" ht="15.75" customHeight="1" s="216"/>
    <row r="541" ht="15.75" customHeight="1" s="216"/>
    <row r="542" ht="15.75" customHeight="1" s="216"/>
    <row r="543" ht="15.75" customHeight="1" s="216"/>
    <row r="544" ht="15.75" customHeight="1" s="216"/>
    <row r="545" ht="15.75" customHeight="1" s="216"/>
    <row r="546" ht="15.75" customHeight="1" s="216"/>
    <row r="547" ht="15.75" customHeight="1" s="216"/>
    <row r="548" ht="15.75" customHeight="1" s="216"/>
    <row r="549" ht="15.75" customHeight="1" s="216"/>
    <row r="550" ht="15.75" customHeight="1" s="216"/>
    <row r="551" ht="15.75" customHeight="1" s="216"/>
    <row r="552" ht="15.75" customHeight="1" s="216"/>
    <row r="553" ht="15.75" customHeight="1" s="216"/>
    <row r="554" ht="15.75" customHeight="1" s="216"/>
    <row r="555" ht="15.75" customHeight="1" s="216"/>
    <row r="556" ht="15.75" customHeight="1" s="216"/>
    <row r="557" ht="15.75" customHeight="1" s="216"/>
    <row r="558" ht="15.75" customHeight="1" s="216"/>
    <row r="559" ht="15.75" customHeight="1" s="216"/>
    <row r="560" ht="15.75" customHeight="1" s="216"/>
    <row r="561" ht="15.75" customHeight="1" s="216"/>
    <row r="562" ht="15.75" customHeight="1" s="216"/>
    <row r="563" ht="15.75" customHeight="1" s="216"/>
    <row r="564" ht="15.75" customHeight="1" s="216"/>
    <row r="565" ht="15.75" customHeight="1" s="216"/>
    <row r="566" ht="15.75" customHeight="1" s="216"/>
    <row r="567" ht="15.75" customHeight="1" s="216"/>
    <row r="568" ht="15.75" customHeight="1" s="216"/>
    <row r="569" ht="15.75" customHeight="1" s="216"/>
    <row r="570" ht="15.75" customHeight="1" s="216"/>
    <row r="571" ht="15.75" customHeight="1" s="216"/>
    <row r="572" ht="15.75" customHeight="1" s="216"/>
    <row r="573" ht="15.75" customHeight="1" s="216"/>
    <row r="574" ht="15.75" customHeight="1" s="216"/>
    <row r="575" ht="15.75" customHeight="1" s="216"/>
    <row r="576" ht="15.75" customHeight="1" s="216"/>
    <row r="577" ht="15.75" customHeight="1" s="216"/>
    <row r="578" ht="15.75" customHeight="1" s="216"/>
    <row r="579" ht="15.75" customHeight="1" s="216"/>
    <row r="580" ht="15.75" customHeight="1" s="216"/>
    <row r="581" ht="15.75" customHeight="1" s="216"/>
    <row r="582" ht="15.75" customHeight="1" s="216"/>
    <row r="583" ht="15.75" customHeight="1" s="216"/>
    <row r="584" ht="15.75" customHeight="1" s="216"/>
    <row r="585" ht="15.75" customHeight="1" s="216"/>
    <row r="586" ht="15.75" customHeight="1" s="216"/>
    <row r="587" ht="15.75" customHeight="1" s="216"/>
    <row r="588" ht="15.75" customHeight="1" s="216"/>
    <row r="589" ht="15.75" customHeight="1" s="216"/>
    <row r="590" ht="15.75" customHeight="1" s="216"/>
    <row r="591" ht="15.75" customHeight="1" s="216"/>
    <row r="592" ht="15.75" customHeight="1" s="216"/>
    <row r="593" ht="15.75" customHeight="1" s="216"/>
    <row r="594" ht="15.75" customHeight="1" s="216"/>
    <row r="595" ht="15.75" customHeight="1" s="216"/>
    <row r="596" ht="15.75" customHeight="1" s="216"/>
    <row r="597" ht="15.75" customHeight="1" s="216"/>
    <row r="598" ht="15.75" customHeight="1" s="216"/>
    <row r="599" ht="15.75" customHeight="1" s="216"/>
    <row r="600" ht="15.75" customHeight="1" s="216"/>
    <row r="601" ht="15.75" customHeight="1" s="216"/>
    <row r="602" ht="15.75" customHeight="1" s="216"/>
    <row r="603" ht="15.75" customHeight="1" s="216"/>
    <row r="604" ht="15.75" customHeight="1" s="216"/>
    <row r="605" ht="15.75" customHeight="1" s="216"/>
    <row r="606" ht="15.75" customHeight="1" s="216"/>
    <row r="607" ht="15.75" customHeight="1" s="216"/>
    <row r="608" ht="15.75" customHeight="1" s="216"/>
    <row r="609" ht="15.75" customHeight="1" s="216"/>
    <row r="610" ht="15.75" customHeight="1" s="216"/>
    <row r="611" ht="15.75" customHeight="1" s="216"/>
    <row r="612" ht="15.75" customHeight="1" s="216"/>
    <row r="613" ht="15.75" customHeight="1" s="216"/>
    <row r="614" ht="15.75" customHeight="1" s="216"/>
    <row r="615" ht="15.75" customHeight="1" s="216"/>
    <row r="616" ht="15.75" customHeight="1" s="216"/>
    <row r="617" ht="15.75" customHeight="1" s="216"/>
    <row r="618" ht="15.75" customHeight="1" s="216"/>
    <row r="619" ht="15.75" customHeight="1" s="216"/>
    <row r="620" ht="15.75" customHeight="1" s="216"/>
    <row r="621" ht="15.75" customHeight="1" s="216"/>
    <row r="622" ht="15.75" customHeight="1" s="216"/>
    <row r="623" ht="15.75" customHeight="1" s="216"/>
    <row r="624" ht="15.75" customHeight="1" s="216"/>
    <row r="625" ht="15.75" customHeight="1" s="216"/>
    <row r="626" ht="15.75" customHeight="1" s="216"/>
    <row r="627" ht="15.75" customHeight="1" s="216"/>
    <row r="628" ht="15.75" customHeight="1" s="216"/>
    <row r="629" ht="15.75" customHeight="1" s="216"/>
    <row r="630" ht="15.75" customHeight="1" s="216"/>
    <row r="631" ht="15.75" customHeight="1" s="216"/>
    <row r="632" ht="15.75" customHeight="1" s="216"/>
    <row r="633" ht="15.75" customHeight="1" s="216"/>
    <row r="634" ht="15.75" customHeight="1" s="216"/>
    <row r="635" ht="15.75" customHeight="1" s="216"/>
    <row r="636" ht="15.75" customHeight="1" s="216"/>
    <row r="637" ht="15.75" customHeight="1" s="216"/>
    <row r="638" ht="15.75" customHeight="1" s="216"/>
    <row r="639" ht="15.75" customHeight="1" s="216"/>
    <row r="640" ht="15.75" customHeight="1" s="216"/>
    <row r="641" ht="15.75" customHeight="1" s="216"/>
    <row r="642" ht="15.75" customHeight="1" s="216"/>
    <row r="643" ht="15.75" customHeight="1" s="216"/>
    <row r="644" ht="15.75" customHeight="1" s="216"/>
    <row r="645" ht="15.75" customHeight="1" s="216"/>
    <row r="646" ht="15.75" customHeight="1" s="216"/>
    <row r="647" ht="15.75" customHeight="1" s="216"/>
    <row r="648" ht="15.75" customHeight="1" s="216"/>
    <row r="649" ht="15.75" customHeight="1" s="216"/>
    <row r="650" ht="15.75" customHeight="1" s="216"/>
    <row r="651" ht="15.75" customHeight="1" s="216"/>
    <row r="652" ht="15.75" customHeight="1" s="216"/>
    <row r="653" ht="15.75" customHeight="1" s="216"/>
    <row r="654" ht="15.75" customHeight="1" s="216"/>
    <row r="655" ht="15.75" customHeight="1" s="216"/>
    <row r="656" ht="15.75" customHeight="1" s="216"/>
    <row r="657" ht="15.75" customHeight="1" s="216"/>
    <row r="658" ht="15.75" customHeight="1" s="216"/>
    <row r="659" ht="15.75" customHeight="1" s="216"/>
    <row r="660" ht="15.75" customHeight="1" s="216"/>
    <row r="661" ht="15.75" customHeight="1" s="216"/>
    <row r="662" ht="15.75" customHeight="1" s="216"/>
    <row r="663" ht="15.75" customHeight="1" s="216"/>
    <row r="664" ht="15.75" customHeight="1" s="216"/>
    <row r="665" ht="15.75" customHeight="1" s="216"/>
    <row r="666" ht="15.75" customHeight="1" s="216"/>
    <row r="667" ht="15.75" customHeight="1" s="216"/>
    <row r="668" ht="15.75" customHeight="1" s="216"/>
    <row r="669" ht="15.75" customHeight="1" s="216"/>
    <row r="670" ht="15.75" customHeight="1" s="216"/>
    <row r="671" ht="15.75" customHeight="1" s="216"/>
    <row r="672" ht="15.75" customHeight="1" s="216"/>
    <row r="673" ht="15.75" customHeight="1" s="216"/>
    <row r="674" ht="15.75" customHeight="1" s="216"/>
    <row r="675" ht="15.75" customHeight="1" s="216"/>
    <row r="676" ht="15.75" customHeight="1" s="216"/>
    <row r="677" ht="15.75" customHeight="1" s="216"/>
    <row r="678" ht="15.75" customHeight="1" s="216"/>
    <row r="679" ht="15.75" customHeight="1" s="216"/>
    <row r="680" ht="15.75" customHeight="1" s="216"/>
    <row r="681" ht="15.75" customHeight="1" s="216"/>
    <row r="682" ht="15.75" customHeight="1" s="216"/>
    <row r="683" ht="15.75" customHeight="1" s="216"/>
    <row r="684" ht="15.75" customHeight="1" s="216"/>
    <row r="685" ht="15.75" customHeight="1" s="216"/>
    <row r="686" ht="15.75" customHeight="1" s="216"/>
    <row r="687" ht="15.75" customHeight="1" s="216"/>
    <row r="688" ht="15.75" customHeight="1" s="216"/>
    <row r="689" ht="15.75" customHeight="1" s="216"/>
    <row r="690" ht="15.75" customHeight="1" s="216"/>
    <row r="691" ht="15.75" customHeight="1" s="216"/>
    <row r="692" ht="15.75" customHeight="1" s="216"/>
    <row r="693" ht="15.75" customHeight="1" s="216"/>
    <row r="694" ht="15.75" customHeight="1" s="216"/>
    <row r="695" ht="15.75" customHeight="1" s="216"/>
    <row r="696" ht="15.75" customHeight="1" s="216"/>
    <row r="697" ht="15.75" customHeight="1" s="216"/>
    <row r="698" ht="15.75" customHeight="1" s="216"/>
    <row r="699" ht="15.75" customHeight="1" s="216"/>
    <row r="700" ht="15.75" customHeight="1" s="216"/>
    <row r="701" ht="15.75" customHeight="1" s="216"/>
    <row r="702" ht="15.75" customHeight="1" s="216"/>
    <row r="703" ht="15.75" customHeight="1" s="216"/>
    <row r="704" ht="15.75" customHeight="1" s="216"/>
    <row r="705" ht="15.75" customHeight="1" s="216"/>
    <row r="706" ht="15.75" customHeight="1" s="216"/>
    <row r="707" ht="15.75" customHeight="1" s="216"/>
    <row r="708" ht="15.75" customHeight="1" s="216"/>
    <row r="709" ht="15.75" customHeight="1" s="216"/>
    <row r="710" ht="15.75" customHeight="1" s="216"/>
    <row r="711" ht="15.75" customHeight="1" s="216"/>
    <row r="712" ht="15.75" customHeight="1" s="216"/>
    <row r="713" ht="15.75" customHeight="1" s="216"/>
    <row r="714" ht="15.75" customHeight="1" s="216"/>
    <row r="715" ht="15.75" customHeight="1" s="216"/>
    <row r="716" ht="15.75" customHeight="1" s="216"/>
    <row r="717" ht="15.75" customHeight="1" s="216"/>
    <row r="718" ht="15.75" customHeight="1" s="216"/>
    <row r="719" ht="15.75" customHeight="1" s="216"/>
    <row r="720" ht="15.75" customHeight="1" s="216"/>
    <row r="721" ht="15.75" customHeight="1" s="216"/>
    <row r="722" ht="15.75" customHeight="1" s="216"/>
    <row r="723" ht="15.75" customHeight="1" s="216"/>
    <row r="724" ht="15.75" customHeight="1" s="216"/>
    <row r="725" ht="15.75" customHeight="1" s="216"/>
    <row r="726" ht="15.75" customHeight="1" s="216"/>
    <row r="727" ht="15.75" customHeight="1" s="216"/>
    <row r="728" ht="15.75" customHeight="1" s="216"/>
    <row r="729" ht="15.75" customHeight="1" s="216"/>
    <row r="730" ht="15.75" customHeight="1" s="216"/>
    <row r="731" ht="15.75" customHeight="1" s="216"/>
    <row r="732" ht="15.75" customHeight="1" s="216"/>
    <row r="733" ht="15.75" customHeight="1" s="216"/>
    <row r="734" ht="15.75" customHeight="1" s="216"/>
    <row r="735" ht="15.75" customHeight="1" s="216"/>
    <row r="736" ht="15.75" customHeight="1" s="216"/>
    <row r="737" ht="15.75" customHeight="1" s="216"/>
    <row r="738" ht="15.75" customHeight="1" s="216"/>
    <row r="739" ht="15.75" customHeight="1" s="216"/>
    <row r="740" ht="15.75" customHeight="1" s="216"/>
    <row r="741" ht="15.75" customHeight="1" s="216"/>
    <row r="742" ht="15.75" customHeight="1" s="216"/>
    <row r="743" ht="15.75" customHeight="1" s="216"/>
    <row r="744" ht="15.75" customHeight="1" s="216"/>
    <row r="745" ht="15.75" customHeight="1" s="216"/>
    <row r="746" ht="15.75" customHeight="1" s="216"/>
    <row r="747" ht="15.75" customHeight="1" s="216"/>
    <row r="748" ht="15.75" customHeight="1" s="216"/>
    <row r="749" ht="15.75" customHeight="1" s="216"/>
    <row r="750" ht="15.75" customHeight="1" s="216"/>
    <row r="751" ht="15.75" customHeight="1" s="216"/>
    <row r="752" ht="15.75" customHeight="1" s="216"/>
    <row r="753" ht="15.75" customHeight="1" s="216"/>
    <row r="754" ht="15.75" customHeight="1" s="216"/>
    <row r="755" ht="15.75" customHeight="1" s="216"/>
    <row r="756" ht="15.75" customHeight="1" s="216"/>
    <row r="757" ht="15.75" customHeight="1" s="216"/>
    <row r="758" ht="15.75" customHeight="1" s="216"/>
    <row r="759" ht="15.75" customHeight="1" s="216"/>
    <row r="760" ht="15.75" customHeight="1" s="216"/>
    <row r="761" ht="15.75" customHeight="1" s="216"/>
    <row r="762" ht="15.75" customHeight="1" s="216"/>
    <row r="763" ht="15.75" customHeight="1" s="216"/>
    <row r="764" ht="15.75" customHeight="1" s="216"/>
    <row r="765" ht="15.75" customHeight="1" s="216"/>
    <row r="766" ht="15.75" customHeight="1" s="216"/>
    <row r="767" ht="15.75" customHeight="1" s="216"/>
    <row r="768" ht="15.75" customHeight="1" s="216"/>
    <row r="769" ht="15.75" customHeight="1" s="216"/>
    <row r="770" ht="15.75" customHeight="1" s="216"/>
    <row r="771" ht="15.75" customHeight="1" s="216"/>
    <row r="772" ht="15.75" customHeight="1" s="216"/>
    <row r="773" ht="15.75" customHeight="1" s="216"/>
    <row r="774" ht="15.75" customHeight="1" s="216"/>
    <row r="775" ht="15.75" customHeight="1" s="216"/>
    <row r="776" ht="15.75" customHeight="1" s="216"/>
    <row r="777" ht="15.75" customHeight="1" s="216"/>
    <row r="778" ht="15.75" customHeight="1" s="216"/>
    <row r="779" ht="15.75" customHeight="1" s="216"/>
    <row r="780" ht="15.75" customHeight="1" s="216"/>
    <row r="781" ht="15.75" customHeight="1" s="216"/>
    <row r="782" ht="15.75" customHeight="1" s="216"/>
    <row r="783" ht="15.75" customHeight="1" s="216"/>
    <row r="784" ht="15.75" customHeight="1" s="216"/>
    <row r="785" ht="15.75" customHeight="1" s="216"/>
    <row r="786" ht="15.75" customHeight="1" s="216"/>
    <row r="787" ht="15.75" customHeight="1" s="216"/>
    <row r="788" ht="15.75" customHeight="1" s="216"/>
    <row r="789" ht="15.75" customHeight="1" s="216"/>
    <row r="790" ht="15.75" customHeight="1" s="216"/>
    <row r="791" ht="15.75" customHeight="1" s="216"/>
    <row r="792" ht="15.75" customHeight="1" s="216"/>
    <row r="793" ht="15.75" customHeight="1" s="216"/>
    <row r="794" ht="15.75" customHeight="1" s="216"/>
    <row r="795" ht="15.75" customHeight="1" s="216"/>
    <row r="796" ht="15.75" customHeight="1" s="216"/>
    <row r="797" ht="15.75" customHeight="1" s="216"/>
    <row r="798" ht="15.75" customHeight="1" s="216"/>
    <row r="799" ht="15.75" customHeight="1" s="216"/>
    <row r="800" ht="15.75" customHeight="1" s="216"/>
    <row r="801" ht="15.75" customHeight="1" s="216"/>
    <row r="802" ht="15.75" customHeight="1" s="216"/>
    <row r="803" ht="15.75" customHeight="1" s="216"/>
    <row r="804" ht="15.75" customHeight="1" s="216"/>
    <row r="805" ht="15.75" customHeight="1" s="216"/>
    <row r="806" ht="15.75" customHeight="1" s="216"/>
    <row r="807" ht="15.75" customHeight="1" s="216"/>
    <row r="808" ht="15.75" customHeight="1" s="216"/>
    <row r="809" ht="15.75" customHeight="1" s="216"/>
    <row r="810" ht="15.75" customHeight="1" s="216"/>
    <row r="811" ht="15.75" customHeight="1" s="216"/>
    <row r="812" ht="15.75" customHeight="1" s="216"/>
    <row r="813" ht="15.75" customHeight="1" s="216"/>
    <row r="814" ht="15.75" customHeight="1" s="216"/>
    <row r="815" ht="15.75" customHeight="1" s="216"/>
    <row r="816" ht="15.75" customHeight="1" s="216"/>
    <row r="817" ht="15.75" customHeight="1" s="216"/>
    <row r="818" ht="15.75" customHeight="1" s="216"/>
    <row r="819" ht="15.75" customHeight="1" s="216"/>
    <row r="820" ht="15.75" customHeight="1" s="216"/>
    <row r="821" ht="15.75" customHeight="1" s="216"/>
    <row r="822" ht="15.75" customHeight="1" s="216"/>
    <row r="823" ht="15.75" customHeight="1" s="216"/>
    <row r="824" ht="15.75" customHeight="1" s="216"/>
    <row r="825" ht="15.75" customHeight="1" s="216"/>
    <row r="826" ht="15.75" customHeight="1" s="216"/>
    <row r="827" ht="15.75" customHeight="1" s="216"/>
    <row r="828" ht="15.75" customHeight="1" s="216"/>
    <row r="829" ht="15.75" customHeight="1" s="216"/>
    <row r="830" ht="15.75" customHeight="1" s="216"/>
    <row r="831" ht="15.75" customHeight="1" s="216"/>
    <row r="832" ht="15.75" customHeight="1" s="216"/>
    <row r="833" ht="15.75" customHeight="1" s="216"/>
    <row r="834" ht="15.75" customHeight="1" s="216"/>
    <row r="835" ht="15.75" customHeight="1" s="216"/>
    <row r="836" ht="15.75" customHeight="1" s="216"/>
    <row r="837" ht="15.75" customHeight="1" s="216"/>
    <row r="838" ht="15.75" customHeight="1" s="216"/>
    <row r="839" ht="15.75" customHeight="1" s="216"/>
    <row r="840" ht="15.75" customHeight="1" s="216"/>
    <row r="841" ht="15.75" customHeight="1" s="216"/>
    <row r="842" ht="15.75" customHeight="1" s="216"/>
    <row r="843" ht="15.75" customHeight="1" s="216"/>
    <row r="844" ht="15.75" customHeight="1" s="216"/>
    <row r="845" ht="15.75" customHeight="1" s="216"/>
    <row r="846" ht="15.75" customHeight="1" s="216"/>
    <row r="847" ht="15.75" customHeight="1" s="216"/>
    <row r="848" ht="15.75" customHeight="1" s="216"/>
    <row r="849" ht="15.75" customHeight="1" s="216"/>
    <row r="850" ht="15.75" customHeight="1" s="216"/>
    <row r="851" ht="15.75" customHeight="1" s="216"/>
    <row r="852" ht="15.75" customHeight="1" s="216"/>
    <row r="853" ht="15.75" customHeight="1" s="216"/>
    <row r="854" ht="15.75" customHeight="1" s="216"/>
    <row r="855" ht="15.75" customHeight="1" s="216"/>
    <row r="856" ht="15.75" customHeight="1" s="216"/>
    <row r="857" ht="15.75" customHeight="1" s="216"/>
    <row r="858" ht="15.75" customHeight="1" s="216"/>
    <row r="859" ht="15.75" customHeight="1" s="216"/>
    <row r="860" ht="15.75" customHeight="1" s="216"/>
    <row r="861" ht="15.75" customHeight="1" s="216"/>
    <row r="862" ht="15.75" customHeight="1" s="216"/>
    <row r="863" ht="15.75" customHeight="1" s="216"/>
    <row r="864" ht="15.75" customHeight="1" s="216"/>
    <row r="865" ht="15.75" customHeight="1" s="216"/>
    <row r="866" ht="15.75" customHeight="1" s="216"/>
    <row r="867" ht="15.75" customHeight="1" s="216"/>
    <row r="868" ht="15.75" customHeight="1" s="216"/>
    <row r="869" ht="15.75" customHeight="1" s="216"/>
    <row r="870" ht="15.75" customHeight="1" s="216"/>
    <row r="871" ht="15.75" customHeight="1" s="216"/>
    <row r="872" ht="15.75" customHeight="1" s="216"/>
    <row r="873" ht="15.75" customHeight="1" s="216"/>
    <row r="874" ht="15.75" customHeight="1" s="216"/>
    <row r="875" ht="15.75" customHeight="1" s="216"/>
    <row r="876" ht="15.75" customHeight="1" s="216"/>
    <row r="877" ht="15.75" customHeight="1" s="216"/>
    <row r="878" ht="15.75" customHeight="1" s="216"/>
    <row r="879" ht="15.75" customHeight="1" s="216"/>
    <row r="880" ht="15.75" customHeight="1" s="216"/>
    <row r="881" ht="15.75" customHeight="1" s="216"/>
    <row r="882" ht="15.75" customHeight="1" s="216"/>
    <row r="883" ht="15.75" customHeight="1" s="216"/>
    <row r="884" ht="15.75" customHeight="1" s="216"/>
    <row r="885" ht="15.75" customHeight="1" s="216"/>
    <row r="886" ht="15.75" customHeight="1" s="216"/>
    <row r="887" ht="15.75" customHeight="1" s="216"/>
    <row r="888" ht="15.75" customHeight="1" s="216"/>
    <row r="889" ht="15.75" customHeight="1" s="216"/>
    <row r="890" ht="15.75" customHeight="1" s="216"/>
    <row r="891" ht="15.75" customHeight="1" s="216"/>
    <row r="892" ht="15.75" customHeight="1" s="216"/>
    <row r="893" ht="15.75" customHeight="1" s="216"/>
    <row r="894" ht="15.75" customHeight="1" s="216"/>
    <row r="895" ht="15.75" customHeight="1" s="216"/>
    <row r="896" ht="15.75" customHeight="1" s="216"/>
    <row r="897" ht="15.75" customHeight="1" s="216"/>
    <row r="898" ht="15.75" customHeight="1" s="216"/>
    <row r="899" ht="15.75" customHeight="1" s="216"/>
    <row r="900" ht="15.75" customHeight="1" s="216"/>
    <row r="901" ht="15.75" customHeight="1" s="216"/>
    <row r="902" ht="15.75" customHeight="1" s="216"/>
    <row r="903" ht="15.75" customHeight="1" s="216"/>
    <row r="904" ht="15.75" customHeight="1" s="216"/>
    <row r="905" ht="15.75" customHeight="1" s="216"/>
    <row r="906" ht="15.75" customHeight="1" s="216"/>
    <row r="907" ht="15.75" customHeight="1" s="216"/>
    <row r="908" ht="15.75" customHeight="1" s="216"/>
    <row r="909" ht="15.75" customHeight="1" s="216"/>
    <row r="910" ht="15.75" customHeight="1" s="216"/>
    <row r="911" ht="15.75" customHeight="1" s="216"/>
    <row r="912" ht="15.75" customHeight="1" s="216"/>
    <row r="913" ht="15.75" customHeight="1" s="216"/>
    <row r="914" ht="15.75" customHeight="1" s="216"/>
    <row r="915" ht="15.75" customHeight="1" s="216"/>
    <row r="916" ht="15.75" customHeight="1" s="216"/>
    <row r="917" ht="15.75" customHeight="1" s="216"/>
    <row r="918" ht="15.75" customHeight="1" s="216"/>
    <row r="919" ht="15.75" customHeight="1" s="216"/>
    <row r="920" ht="15.75" customHeight="1" s="216"/>
    <row r="921" ht="15.75" customHeight="1" s="216"/>
    <row r="922" ht="15.75" customHeight="1" s="216"/>
    <row r="923" ht="15.75" customHeight="1" s="216"/>
    <row r="924" ht="15.75" customHeight="1" s="216"/>
    <row r="925" ht="15.75" customHeight="1" s="216"/>
    <row r="926" ht="15.75" customHeight="1" s="216"/>
    <row r="927" ht="15.75" customHeight="1" s="216"/>
    <row r="928" ht="15.75" customHeight="1" s="216"/>
    <row r="929" ht="15.75" customHeight="1" s="216"/>
    <row r="930" ht="15.75" customHeight="1" s="216"/>
    <row r="931" ht="15.75" customHeight="1" s="216"/>
    <row r="932" ht="15.75" customHeight="1" s="216"/>
    <row r="933" ht="15.75" customHeight="1" s="216"/>
    <row r="934" ht="15.75" customHeight="1" s="216"/>
    <row r="935" ht="15.75" customHeight="1" s="216"/>
    <row r="936" ht="15.75" customHeight="1" s="216"/>
    <row r="937" ht="15.75" customHeight="1" s="216"/>
    <row r="938" ht="15.75" customHeight="1" s="216"/>
    <row r="939" ht="15.75" customHeight="1" s="216"/>
    <row r="940" ht="15.75" customHeight="1" s="216"/>
    <row r="941" ht="15.75" customHeight="1" s="216"/>
    <row r="942" ht="15.75" customHeight="1" s="216"/>
    <row r="943" ht="15.75" customHeight="1" s="216"/>
    <row r="944" ht="15.75" customHeight="1" s="216"/>
    <row r="945" ht="15.75" customHeight="1" s="216"/>
    <row r="946" ht="15.75" customHeight="1" s="216"/>
    <row r="947" ht="15.75" customHeight="1" s="216"/>
    <row r="948" ht="15.75" customHeight="1" s="216"/>
    <row r="949" ht="15.75" customHeight="1" s="216"/>
    <row r="950" ht="15.75" customHeight="1" s="216"/>
    <row r="951" ht="15.75" customHeight="1" s="216"/>
    <row r="952" ht="15.75" customHeight="1" s="216"/>
    <row r="953" ht="15.75" customHeight="1" s="216"/>
    <row r="954" ht="15.75" customHeight="1" s="216"/>
    <row r="955" ht="15.75" customHeight="1" s="216"/>
    <row r="956" ht="15.75" customHeight="1" s="216"/>
    <row r="957" ht="15.75" customHeight="1" s="216"/>
    <row r="958" ht="15.75" customHeight="1" s="216"/>
    <row r="959" ht="15.75" customHeight="1" s="216"/>
    <row r="960" ht="15.75" customHeight="1" s="216"/>
    <row r="961" ht="15.75" customHeight="1" s="216"/>
    <row r="962" ht="15.75" customHeight="1" s="216"/>
    <row r="963" ht="15.75" customHeight="1" s="216"/>
    <row r="964" ht="15.75" customHeight="1" s="216"/>
    <row r="965" ht="15.75" customHeight="1" s="216"/>
    <row r="966" ht="15.75" customHeight="1" s="216"/>
    <row r="967" ht="15.75" customHeight="1" s="216"/>
    <row r="968" ht="15.75" customHeight="1" s="216"/>
    <row r="969" ht="15.75" customHeight="1" s="216"/>
    <row r="970" ht="15.75" customHeight="1" s="216"/>
    <row r="971" ht="15.75" customHeight="1" s="216"/>
    <row r="972" ht="15.75" customHeight="1" s="216"/>
    <row r="973" ht="15.75" customHeight="1" s="216"/>
    <row r="974" ht="15.75" customHeight="1" s="216"/>
    <row r="975" ht="15.75" customHeight="1" s="216"/>
    <row r="976" ht="15.75" customHeight="1" s="216"/>
    <row r="977" ht="15.75" customHeight="1" s="216"/>
    <row r="978" ht="15.75" customHeight="1" s="216"/>
    <row r="979" ht="15.75" customHeight="1" s="216"/>
    <row r="980" ht="15.75" customHeight="1" s="216"/>
    <row r="981" ht="15.75" customHeight="1" s="216"/>
    <row r="982" ht="15.75" customHeight="1" s="216"/>
    <row r="983" ht="15.75" customHeight="1" s="216"/>
    <row r="984" ht="15.75" customHeight="1" s="216"/>
    <row r="985" ht="15.75" customHeight="1" s="216"/>
    <row r="986" ht="15.75" customHeight="1" s="216"/>
    <row r="987" ht="15.75" customHeight="1" s="216"/>
    <row r="988" ht="15.75" customHeight="1" s="216"/>
    <row r="989" ht="15.75" customHeight="1" s="216"/>
    <row r="990" ht="15.75" customHeight="1" s="216"/>
    <row r="991" ht="15.75" customHeight="1" s="216"/>
    <row r="992" ht="15.75" customHeight="1" s="216"/>
    <row r="993" ht="15.75" customHeight="1" s="216"/>
    <row r="994" ht="15.75" customHeight="1" s="216"/>
    <row r="995" ht="15.75" customHeight="1" s="216"/>
    <row r="996" ht="15.75" customHeight="1" s="216"/>
    <row r="997" ht="15.75" customHeight="1" s="216"/>
    <row r="998" ht="15.75" customHeight="1" s="216"/>
    <row r="999" ht="15.75" customHeight="1" s="216"/>
    <row r="1000" ht="15.75" customHeight="1" s="216"/>
  </sheetData>
  <autoFilter ref="A6:AU6"/>
  <mergeCells count="19">
    <mergeCell ref="AR5:AU5"/>
    <mergeCell ref="N5:S5"/>
    <mergeCell ref="C2:E2"/>
    <mergeCell ref="A5:C5"/>
    <mergeCell ref="Z5:AE5"/>
    <mergeCell ref="AF5:AK5"/>
    <mergeCell ref="AL5:AQ5"/>
    <mergeCell ref="J5:M5"/>
    <mergeCell ref="A3:B3"/>
    <mergeCell ref="G3:H3"/>
    <mergeCell ref="I3:J3"/>
    <mergeCell ref="A2:B2"/>
    <mergeCell ref="D5:I5"/>
    <mergeCell ref="C3:E3"/>
    <mergeCell ref="A4:B4"/>
    <mergeCell ref="G4:H4"/>
    <mergeCell ref="T5:Y5"/>
    <mergeCell ref="I4:J4"/>
    <mergeCell ref="C4:E4"/>
  </mergeCells>
  <conditionalFormatting sqref="O7:O500 P7:P500 U7:U500 V7:V500 AA7:AA500 AB7:AB500 AG7:AG500 AH7:AH500 AM7:AM500 AN7:AN500 AS7:AS500 AT7:AT500">
    <cfRule type="cellIs" priority="1" operator="equal" dxfId="5">
      <formula>"Pass"</formula>
    </cfRule>
    <cfRule type="cellIs" priority="2" operator="equal" dxfId="6">
      <formula>"Fail"</formula>
    </cfRule>
    <cfRule type="cellIs" priority="3" operator="equal" dxfId="7">
      <formula>"Block"</formula>
    </cfRule>
    <cfRule type="cellIs" priority="4" operator="equal" dxfId="8">
      <formula>"N/A"</formula>
    </cfRule>
  </conditionalFormatting>
  <dataValidations count="8">
    <dataValidation sqref="J7:J500" showDropDown="0" showInputMessage="0" showErrorMessage="0" allowBlank="1" type="list">
      <formula1>"AI,QC"</formula1>
    </dataValidation>
    <dataValidation sqref="E7:E500" showDropDown="0" showInputMessage="0" showErrorMessage="0" allowBlank="1" type="list">
      <formula1>"High,Medium,Low"</formula1>
    </dataValidation>
    <dataValidation sqref="P7:P500 V7:V500 AB7:AB500 AH7:AH500 AN7:AN500" showDropDown="0" showInputMessage="0" showErrorMessage="0" allowBlank="1" type="list">
      <formula1>"Pass,Fail,Block,N/A"</formula1>
    </dataValidation>
    <dataValidation sqref="N7:N500 T7:T500 Z7:Z500 AF7:AF500 AL7:AL500" showDropDown="0" showInputMessage="0" showErrorMessage="0" allowBlank="1" type="list">
      <formula1>"Yes,No,N/A"</formula1>
    </dataValidation>
    <dataValidation sqref="O7:O500 U7:U500 AA7:AA500 AG7:AG500 AM7:AM500" showDropDown="0" showInputMessage="0" showErrorMessage="0" allowBlank="1" type="list">
      <formula1>"Pass,Fail,Block,N/A,Chưa chạy"</formula1>
    </dataValidation>
    <dataValidation sqref="D7:D500" showDropDown="0" showInputMessage="0" showErrorMessage="0" allowBlank="1" type="list">
      <formula1>"Functional,UI,Integration,Database Test Case"</formula1>
    </dataValidation>
    <dataValidation sqref="K7:K500" showDropDown="0" showInputMessage="0" showErrorMessage="0" allowBlank="1" type="list">
      <formula1>"Reviewed,Pending,N/A"</formula1>
    </dataValidation>
    <dataValidation sqref="L7:L500" showDropDown="0" showInputMessage="0" showErrorMessage="0" allowBlank="1" type="list">
      <formula1>"Yes,No"</formula1>
    </dataValidation>
  </dataValidations>
  <pageMargins left="0.75" right="0.75" top="1" bottom="1" header="0" footer="0"/>
  <pageSetup orientation="landscape" fitToHeight="0"/>
</worksheet>
</file>

<file path=xl/worksheets/sheet12.xml><?xml version="1.0" encoding="utf-8"?>
<worksheet xmlns="http://schemas.openxmlformats.org/spreadsheetml/2006/main">
  <sheetPr>
    <outlinePr summaryBelow="1" summaryRight="1"/>
    <pageSetUpPr fitToPage="1"/>
  </sheetPr>
  <dimension ref="A1:AV520"/>
  <sheetViews>
    <sheetView workbookViewId="0">
      <pane xSplit="1" ySplit="6" topLeftCell="B7" activePane="bottomRight" state="frozen"/>
      <selection pane="topRight"/>
      <selection pane="bottomLeft"/>
      <selection pane="bottomRight" activeCell="A1" sqref="A1"/>
    </sheetView>
  </sheetViews>
  <sheetFormatPr baseColWidth="8" defaultColWidth="14.43" defaultRowHeight="15" customHeight="1"/>
  <cols>
    <col width="14" customWidth="1" style="216" min="1" max="2"/>
    <col width="13" customWidth="1" style="216" min="3" max="4"/>
    <col width="11" customWidth="1" style="216" min="5" max="5"/>
    <col width="34" customWidth="1" style="216" min="6" max="6"/>
    <col width="28" customWidth="1" style="216" min="7" max="7"/>
    <col width="40" customWidth="1" style="216" min="8" max="8"/>
    <col width="34" customWidth="1" style="216" min="9" max="9"/>
    <col width="10" customWidth="1" style="216" min="10" max="10"/>
    <col width="12.43" customWidth="1" style="216" min="11" max="11"/>
    <col width="14" customWidth="1" style="216" min="12" max="12"/>
    <col width="26.14" customWidth="1" style="216" min="13" max="13"/>
    <col width="9" customWidth="1" style="216" min="14" max="14"/>
    <col width="10" customWidth="1" style="216" min="15" max="15"/>
    <col width="9" customWidth="1" style="216" min="16" max="16"/>
    <col width="13" customWidth="1" style="216" min="17" max="17"/>
    <col width="11" customWidth="1" style="216" min="18" max="18"/>
    <col width="22" customWidth="1" style="216" min="19" max="19"/>
    <col width="9" customWidth="1" style="216" min="20" max="20"/>
    <col width="10" customWidth="1" style="216" min="21" max="21"/>
    <col width="9" customWidth="1" style="216" min="22" max="22"/>
    <col width="13" customWidth="1" style="216" min="23" max="23"/>
    <col width="11" customWidth="1" style="216" min="24" max="24"/>
    <col width="22" customWidth="1" style="216" min="25" max="25"/>
    <col width="9" customWidth="1" style="216" min="26" max="26"/>
    <col width="10" customWidth="1" style="216" min="27" max="27"/>
    <col width="9" customWidth="1" style="216" min="28" max="28"/>
    <col width="13" customWidth="1" style="216" min="29" max="29"/>
    <col width="11" customWidth="1" style="216" min="30" max="30"/>
    <col width="22" customWidth="1" style="216" min="31" max="31"/>
    <col width="9" customWidth="1" style="216" min="32" max="32"/>
    <col width="10" customWidth="1" style="216" min="33" max="33"/>
    <col width="9" customWidth="1" style="216" min="34" max="34"/>
    <col width="13" customWidth="1" style="216" min="35" max="35"/>
    <col width="11" customWidth="1" style="216" min="36" max="36"/>
    <col width="22" customWidth="1" style="216" min="37" max="37"/>
    <col width="9" customWidth="1" style="216" min="38" max="38"/>
    <col width="10" customWidth="1" style="216" min="39" max="39"/>
    <col width="9" customWidth="1" style="216" min="40" max="40"/>
    <col width="13" customWidth="1" style="216" min="41" max="41"/>
    <col width="11" customWidth="1" style="216" min="42" max="42"/>
    <col width="22" customWidth="1" style="216" min="43" max="43"/>
    <col width="12" customWidth="1" style="216" min="44" max="44"/>
    <col width="14" customWidth="1" style="216" min="45" max="45"/>
    <col width="11" customWidth="1" style="216" min="46" max="46"/>
    <col width="24" customWidth="1" style="216" min="47" max="47"/>
  </cols>
  <sheetData>
    <row r="1">
      <c r="A1" s="106"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row>
    <row r="2">
      <c r="A2" s="255" t="inlineStr">
        <is>
          <t>Mã chức năng</t>
        </is>
      </c>
      <c r="B2" s="218" t="n"/>
      <c r="C2" s="256" t="inlineStr">
        <is>
          <t>TC_04</t>
        </is>
      </c>
      <c r="D2" s="220" t="n"/>
      <c r="E2" s="218"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row>
    <row r="3" ht="15" customHeight="1" s="216">
      <c r="A3" s="255" t="inlineStr">
        <is>
          <t>Tên chức năng</t>
        </is>
      </c>
      <c r="B3" s="218" t="n"/>
      <c r="C3" s="256" t="inlineStr">
        <is>
          <t>Giao nhận &amp; Theo dõi đơn</t>
        </is>
      </c>
      <c r="D3" s="220" t="n"/>
      <c r="E3" s="218" t="n"/>
      <c r="F3" s="1" t="n"/>
      <c r="G3" s="255" t="inlineStr">
        <is>
          <t>Version</t>
        </is>
      </c>
      <c r="H3" s="218" t="n"/>
      <c r="I3" s="174">
        <f>Summary!$C$8</f>
        <v/>
      </c>
      <c r="J3" s="218"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row>
    <row r="4" ht="15" customHeight="1" s="216">
      <c r="A4" s="255" t="inlineStr">
        <is>
          <t>Execution</t>
        </is>
      </c>
      <c r="B4" s="218" t="n"/>
      <c r="C4" s="174">
        <f>TEXT(Summary!$C$10,"DD/MM/YYYY")&amp;"  →  "&amp;TEXT(Summary!$C$11,"DD/MM/YYYY")</f>
        <v/>
      </c>
      <c r="D4" s="220" t="n"/>
      <c r="E4" s="218" t="n"/>
      <c r="F4" s="1" t="n"/>
      <c r="G4" s="255" t="inlineStr">
        <is>
          <t>PIC</t>
        </is>
      </c>
      <c r="H4" s="218" t="n"/>
      <c r="I4" s="174">
        <f>Summary!$C$13</f>
        <v/>
      </c>
      <c r="J4" s="218"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1" t="n"/>
      <c r="AL4" s="1" t="n"/>
      <c r="AM4" s="1" t="n"/>
      <c r="AN4" s="1" t="n"/>
      <c r="AO4" s="1" t="n"/>
      <c r="AP4" s="1" t="n"/>
      <c r="AQ4" s="1" t="n"/>
      <c r="AR4" s="1" t="n"/>
      <c r="AS4" s="1" t="n"/>
      <c r="AT4" s="1" t="n"/>
      <c r="AU4" s="1" t="n"/>
    </row>
    <row r="5" ht="15" customHeight="1" s="216">
      <c r="A5" s="257" t="inlineStr">
        <is>
          <t>TRACEABILITY</t>
        </is>
      </c>
      <c r="B5" s="220" t="n"/>
      <c r="C5" s="218" t="n"/>
      <c r="D5" s="246" t="inlineStr">
        <is>
          <t>TEST DESIGN</t>
        </is>
      </c>
      <c r="E5" s="220" t="n"/>
      <c r="F5" s="220" t="n"/>
      <c r="G5" s="220" t="n"/>
      <c r="H5" s="220" t="n"/>
      <c r="I5" s="218" t="n"/>
      <c r="J5" s="250" t="inlineStr">
        <is>
          <t>SDLC</t>
        </is>
      </c>
      <c r="K5" s="220" t="n"/>
      <c r="L5" s="220" t="n"/>
      <c r="M5" s="218" t="n"/>
      <c r="N5" s="258" t="inlineStr">
        <is>
          <t>ROUND 1</t>
        </is>
      </c>
      <c r="O5" s="252" t="n"/>
      <c r="P5" s="252" t="n"/>
      <c r="Q5" s="252" t="n"/>
      <c r="R5" s="252" t="n"/>
      <c r="S5" s="253" t="n"/>
      <c r="T5" s="259" t="inlineStr">
        <is>
          <t>ROUND 2</t>
        </is>
      </c>
      <c r="U5" s="252" t="n"/>
      <c r="V5" s="252" t="n"/>
      <c r="W5" s="252" t="n"/>
      <c r="X5" s="252" t="n"/>
      <c r="Y5" s="253" t="n"/>
      <c r="Z5" s="258" t="inlineStr">
        <is>
          <t>ROUND 3</t>
        </is>
      </c>
      <c r="AA5" s="252" t="n"/>
      <c r="AB5" s="252" t="n"/>
      <c r="AC5" s="252" t="n"/>
      <c r="AD5" s="252" t="n"/>
      <c r="AE5" s="253" t="n"/>
      <c r="AF5" s="259" t="inlineStr">
        <is>
          <t>ROUND 4</t>
        </is>
      </c>
      <c r="AG5" s="252" t="n"/>
      <c r="AH5" s="252" t="n"/>
      <c r="AI5" s="252" t="n"/>
      <c r="AJ5" s="252" t="n"/>
      <c r="AK5" s="253" t="n"/>
      <c r="AL5" s="258" t="inlineStr">
        <is>
          <t>ROUND 5</t>
        </is>
      </c>
      <c r="AM5" s="252" t="n"/>
      <c r="AN5" s="252" t="n"/>
      <c r="AO5" s="252" t="n"/>
      <c r="AP5" s="252" t="n"/>
      <c r="AQ5" s="253" t="n"/>
      <c r="AR5" s="262" t="inlineStr">
        <is>
          <t>KẾT QUẢ TỔNG</t>
        </is>
      </c>
      <c r="AS5" s="252" t="n"/>
      <c r="AT5" s="252" t="n"/>
      <c r="AU5" s="253" t="n"/>
    </row>
    <row r="6" ht="30" customHeight="1" s="216">
      <c r="A6" s="152" t="inlineStr">
        <is>
          <t>Testcase ID</t>
        </is>
      </c>
      <c r="B6" s="152" t="inlineStr">
        <is>
          <t>Req ID</t>
        </is>
      </c>
      <c r="C6" s="152" t="inlineStr">
        <is>
          <t>DOC Source</t>
        </is>
      </c>
      <c r="D6" s="114" t="inlineStr">
        <is>
          <t>Group</t>
        </is>
      </c>
      <c r="E6" s="114" t="inlineStr">
        <is>
          <t>Priority</t>
        </is>
      </c>
      <c r="F6" s="114" t="inlineStr">
        <is>
          <t>Test Title
(Nội dung test)</t>
        </is>
      </c>
      <c r="G6" s="114" t="inlineStr">
        <is>
          <t>Pre-condition
(Điều kiện/Dữ liệu)</t>
        </is>
      </c>
      <c r="H6" s="114" t="inlineStr">
        <is>
          <t>Test Steps
(Các bước)</t>
        </is>
      </c>
      <c r="I6" s="114" t="inlineStr">
        <is>
          <t>Expected Result
(Kết quả mong đợi)</t>
        </is>
      </c>
      <c r="J6" s="112" t="inlineStr">
        <is>
          <t>Origin</t>
        </is>
      </c>
      <c r="K6" s="112" t="inlineStr">
        <is>
          <t>Review</t>
        </is>
      </c>
      <c r="L6" s="112" t="inlineStr">
        <is>
          <t>Automated</t>
        </is>
      </c>
      <c r="M6" s="112" t="inlineStr">
        <is>
          <t>Script</t>
        </is>
      </c>
      <c r="N6" s="153" t="inlineStr">
        <is>
          <t>Vibe-test</t>
        </is>
      </c>
      <c r="O6" s="153" t="inlineStr">
        <is>
          <t>KQ Script</t>
        </is>
      </c>
      <c r="P6" s="153" t="inlineStr">
        <is>
          <t>Kết quả</t>
        </is>
      </c>
      <c r="Q6" s="153" t="inlineStr">
        <is>
          <t>Executed By</t>
        </is>
      </c>
      <c r="R6" s="153" t="inlineStr">
        <is>
          <t>ID Bugs</t>
        </is>
      </c>
      <c r="S6" s="153" t="inlineStr">
        <is>
          <t>Note</t>
        </is>
      </c>
      <c r="T6" s="153" t="inlineStr">
        <is>
          <t>Vibe-test</t>
        </is>
      </c>
      <c r="U6" s="153" t="inlineStr">
        <is>
          <t>KQ Script</t>
        </is>
      </c>
      <c r="V6" s="153" t="inlineStr">
        <is>
          <t>Kết quả</t>
        </is>
      </c>
      <c r="W6" s="153" t="inlineStr">
        <is>
          <t>Executed By</t>
        </is>
      </c>
      <c r="X6" s="153" t="inlineStr">
        <is>
          <t>ID Bugs</t>
        </is>
      </c>
      <c r="Y6" s="153" t="inlineStr">
        <is>
          <t>Note</t>
        </is>
      </c>
      <c r="Z6" s="153" t="inlineStr">
        <is>
          <t>Vibe-test</t>
        </is>
      </c>
      <c r="AA6" s="153" t="inlineStr">
        <is>
          <t>KQ Script</t>
        </is>
      </c>
      <c r="AB6" s="153" t="inlineStr">
        <is>
          <t>Kết quả</t>
        </is>
      </c>
      <c r="AC6" s="153" t="inlineStr">
        <is>
          <t>Executed By</t>
        </is>
      </c>
      <c r="AD6" s="153" t="inlineStr">
        <is>
          <t>ID Bugs</t>
        </is>
      </c>
      <c r="AE6" s="153" t="inlineStr">
        <is>
          <t>Note</t>
        </is>
      </c>
      <c r="AF6" s="153" t="inlineStr">
        <is>
          <t>Vibe-test</t>
        </is>
      </c>
      <c r="AG6" s="153" t="inlineStr">
        <is>
          <t>KQ Script</t>
        </is>
      </c>
      <c r="AH6" s="153" t="inlineStr">
        <is>
          <t>Kết quả</t>
        </is>
      </c>
      <c r="AI6" s="153" t="inlineStr">
        <is>
          <t>Executed By</t>
        </is>
      </c>
      <c r="AJ6" s="153" t="inlineStr">
        <is>
          <t>ID Bugs</t>
        </is>
      </c>
      <c r="AK6" s="153" t="inlineStr">
        <is>
          <t>Note</t>
        </is>
      </c>
      <c r="AL6" s="153" t="inlineStr">
        <is>
          <t>Vibe-test</t>
        </is>
      </c>
      <c r="AM6" s="153" t="inlineStr">
        <is>
          <t>KQ Script</t>
        </is>
      </c>
      <c r="AN6" s="153" t="inlineStr">
        <is>
          <t>Kết quả</t>
        </is>
      </c>
      <c r="AO6" s="153" t="inlineStr">
        <is>
          <t>Executed By</t>
        </is>
      </c>
      <c r="AP6" s="153" t="inlineStr">
        <is>
          <t>ID Bugs</t>
        </is>
      </c>
      <c r="AQ6" s="153" t="inlineStr">
        <is>
          <t>Note</t>
        </is>
      </c>
      <c r="AR6" s="263" t="inlineStr">
        <is>
          <t>Vibe-test
(tổng)</t>
        </is>
      </c>
      <c r="AS6" s="263" t="inlineStr">
        <is>
          <t>KQ Script
(tổng)</t>
        </is>
      </c>
      <c r="AT6" s="154" t="inlineStr">
        <is>
          <t>Status</t>
        </is>
      </c>
      <c r="AU6" s="154" t="inlineStr">
        <is>
          <t>Remark</t>
        </is>
      </c>
    </row>
    <row r="7" ht="60" customHeight="1" s="216">
      <c r="A7" s="160">
        <f>IF($F7="","",$C$2&amp;"."&amp;COUNTA($F$7:$F7)&amp;"")</f>
        <v/>
      </c>
      <c r="B7" s="160" t="inlineStr">
        <is>
          <t>REQ-DLV-002</t>
        </is>
      </c>
      <c r="C7" s="160" t="inlineStr">
        <is>
          <t>DOC-v1.1-01</t>
        </is>
      </c>
      <c r="D7" s="160" t="inlineStr">
        <is>
          <t>UI</t>
        </is>
      </c>
      <c r="E7" s="160" t="inlineStr">
        <is>
          <t>Medium</t>
        </is>
      </c>
      <c r="F7" s="11" t="inlineStr">
        <is>
          <t>Check người gửi thấy nhãn xem lịch hẹn giao lại khi đơn hẹn giao lại</t>
        </is>
      </c>
      <c r="G7" s="11" t="inlineStr">
        <is>
          <t>- Tài khoản A, B, C là ba CBNV khác nhau trên STG.
- Host app FoxPro đã cài trên thiết bị Android/iOS.
Test Data: Đơn `RESCHEDULED`; vai người gửi (test_data_catalog §DLV — Trạng thái đơn mở rộng)</t>
        </is>
      </c>
      <c r="H7" s="11"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giao lại sau", nhập lịch hẹn hợp lệ và xác nhận, rồi đăng xuất. (setup)
4. Đăng nhập bằng tài khoản A, nhấn tab "Hoạt động" và mở đơn đó. (setup)
5. Check nhãn hành động chính trên màn Theo dõi đơn.</t>
        </is>
      </c>
      <c r="I7" s="11" t="inlineStr">
        <is>
          <t>5. Nhãn hành động chính hiển thị "Xem lịch hẹn giao lại".</t>
        </is>
      </c>
      <c r="J7" s="160" t="inlineStr">
        <is>
          <t>AI</t>
        </is>
      </c>
      <c r="K7" s="160" t="inlineStr">
        <is>
          <t>Pending</t>
        </is>
      </c>
      <c r="L7" s="160" t="inlineStr">
        <is>
          <t>No</t>
        </is>
      </c>
      <c r="M7" s="160" t="inlineStr"/>
      <c r="N7" s="264" t="inlineStr"/>
      <c r="O7" s="264" t="inlineStr"/>
      <c r="P7" s="264" t="inlineStr"/>
      <c r="Q7" s="264" t="inlineStr"/>
      <c r="R7" s="264" t="inlineStr"/>
      <c r="S7" s="264" t="inlineStr"/>
      <c r="T7" s="264" t="n"/>
      <c r="U7" s="264" t="n"/>
      <c r="V7" s="264" t="n"/>
      <c r="W7" s="264" t="n"/>
      <c r="X7" s="264" t="n"/>
      <c r="Y7" s="264" t="n"/>
      <c r="Z7" s="264" t="n"/>
      <c r="AA7" s="264" t="n"/>
      <c r="AB7" s="264" t="n"/>
      <c r="AC7" s="264" t="n"/>
      <c r="AD7" s="264" t="n"/>
      <c r="AE7" s="264" t="n"/>
      <c r="AF7" s="264" t="n"/>
      <c r="AG7" s="264" t="n"/>
      <c r="AH7" s="264" t="n"/>
      <c r="AI7" s="264" t="n"/>
      <c r="AJ7" s="264" t="n"/>
      <c r="AK7" s="264" t="n"/>
      <c r="AL7" s="264" t="n"/>
      <c r="AM7" s="264" t="n"/>
      <c r="AN7" s="264" t="n"/>
      <c r="AO7" s="264" t="n"/>
      <c r="AP7" s="264" t="n"/>
      <c r="AQ7" s="264" t="n"/>
      <c r="AR7" s="158">
        <f>IF($A7="","",IF(OR($N7="Yes",$T7="Yes",$Z7="Yes",$AF7="Yes",$AL7="Yes"),"Yes","No"))</f>
        <v/>
      </c>
      <c r="AS7" s="158">
        <f>IF($A7="","",IFERROR(IF($AM7&lt;&gt;"",$AM7,IF($AG7&lt;&gt;"",$AG7,IF($AA7&lt;&gt;"",$AA7,IF($U7&lt;&gt;"",$U7,IF($O7&lt;&gt;"",$O7,""))))),""))</f>
        <v/>
      </c>
      <c r="AT7" s="158">
        <f>IFERROR(IF($AN7&lt;&gt;"",$AN7,IF($AH7&lt;&gt;"",$AH7,IF($AB7&lt;&gt;"",$AB7,IF($V7&lt;&gt;"",$V7,IF($P7&lt;&gt;"",$P7,""))))),"")</f>
        <v/>
      </c>
      <c r="AU7" s="265" t="inlineStr">
        <is>
          <t>Mục đích: 1 trong 3 ô vai của nhóm trạng thái `RESCHEDULED` — mỗi vai fail độc lập. · Căn cứ: `DOC-v1.1-01` §8.12.3 dòng RESCHEDULED. ⚠ Thanh timeline vẫn hiện đúng 5 mốc và mốc "Đang giao" đang active — đây là thiết kế đã chốt (`C-DLV-05(d)` Resolved 2026-09-17), ⛔ không FAIL vì thiếu mốc mới.</t>
        </is>
      </c>
    </row>
    <row r="8" ht="60" customHeight="1" s="216">
      <c r="A8" s="160">
        <f>IF($F8="","",$C$2&amp;"."&amp;COUNTA($F$7:$F8)&amp;"")</f>
        <v/>
      </c>
      <c r="B8" s="160" t="inlineStr">
        <is>
          <t>REQ-DLV-002</t>
        </is>
      </c>
      <c r="C8" s="160" t="inlineStr">
        <is>
          <t>DOC-v1.1-01</t>
        </is>
      </c>
      <c r="D8" s="160" t="inlineStr">
        <is>
          <t>UI</t>
        </is>
      </c>
      <c r="E8" s="160" t="inlineStr">
        <is>
          <t>Medium</t>
        </is>
      </c>
      <c r="F8" s="11" t="inlineStr">
        <is>
          <t>Check người vận chuyển thấy nhãn giao lại theo lịch khi đơn hẹn giao lại</t>
        </is>
      </c>
      <c r="G8" s="11" t="inlineStr">
        <is>
          <t>- Tài khoản A, B, C là ba CBNV khác nhau trên STG.
- Host app FoxPro đã cài trên thiết bị Android/iOS.
Test Data: Đơn `RESCHEDULED`; vai người vận chuyển (test_data_catalog §DLV — Trạng thái đơn mở rộng)</t>
        </is>
      </c>
      <c r="H8" s="11"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giao lại sau", nhập lịch hẹn hợp lệ và xác nhận. (setup)
4. Nhấn tab "Hoạt động" và mở lại đơn đó. (setup)
5. Check nhãn hành động chính trên màn Theo dõi đơn.</t>
        </is>
      </c>
      <c r="I8" s="11" t="inlineStr">
        <is>
          <t>5. Nhãn hành động chính hiển thị "Giao lại theo lịch" và nhấn được để mở lại màn giao hàng.</t>
        </is>
      </c>
      <c r="J8" s="160" t="inlineStr">
        <is>
          <t>AI</t>
        </is>
      </c>
      <c r="K8" s="160" t="inlineStr">
        <is>
          <t>Pending</t>
        </is>
      </c>
      <c r="L8" s="160" t="inlineStr">
        <is>
          <t>No</t>
        </is>
      </c>
      <c r="M8" s="160" t="inlineStr"/>
      <c r="N8" s="264" t="inlineStr"/>
      <c r="O8" s="264" t="inlineStr"/>
      <c r="P8" s="264" t="inlineStr"/>
      <c r="Q8" s="264" t="inlineStr"/>
      <c r="R8" s="264" t="inlineStr"/>
      <c r="S8" s="264" t="inlineStr"/>
      <c r="T8" s="264" t="n"/>
      <c r="U8" s="264" t="n"/>
      <c r="V8" s="264" t="n"/>
      <c r="W8" s="264" t="n"/>
      <c r="X8" s="264" t="n"/>
      <c r="Y8" s="264" t="n"/>
      <c r="Z8" s="264" t="n"/>
      <c r="AA8" s="264" t="n"/>
      <c r="AB8" s="264" t="n"/>
      <c r="AC8" s="264" t="n"/>
      <c r="AD8" s="264" t="n"/>
      <c r="AE8" s="264" t="n"/>
      <c r="AF8" s="264" t="n"/>
      <c r="AG8" s="264" t="n"/>
      <c r="AH8" s="264" t="n"/>
      <c r="AI8" s="264" t="n"/>
      <c r="AJ8" s="264" t="n"/>
      <c r="AK8" s="264" t="n"/>
      <c r="AL8" s="264" t="n"/>
      <c r="AM8" s="264" t="n"/>
      <c r="AN8" s="264" t="n"/>
      <c r="AO8" s="264" t="n"/>
      <c r="AP8" s="264" t="n"/>
      <c r="AQ8" s="264" t="n"/>
      <c r="AR8" s="158">
        <f>IF($A8="","",IF(OR($N8="Yes",$T8="Yes",$Z8="Yes",$AF8="Yes",$AL8="Yes"),"Yes","No"))</f>
        <v/>
      </c>
      <c r="AS8" s="158">
        <f>IF($A8="","",IFERROR(IF($AM8&lt;&gt;"",$AM8,IF($AG8&lt;&gt;"",$AG8,IF($AA8&lt;&gt;"",$AA8,IF($U8&lt;&gt;"",$U8,IF($O8&lt;&gt;"",$O8,""))))),""))</f>
        <v/>
      </c>
      <c r="AT8" s="158">
        <f>IFERROR(IF($AN8&lt;&gt;"",$AN8,IF($AH8&lt;&gt;"",$AH8,IF($AB8&lt;&gt;"",$AB8,IF($V8&lt;&gt;"",$V8,IF($P8&lt;&gt;"",$P8,""))))),"")</f>
        <v/>
      </c>
      <c r="AU8" s="265" t="inlineStr">
        <is>
          <t>Căn cứ: `DOC-v1.1-01` §8.12.3 dòng RESCHEDULED — đây là vai DUY NHẤT có nút hành động thật ở trạng thái này, 2 vai kia chỉ xem.</t>
        </is>
      </c>
    </row>
    <row r="9" ht="60" customHeight="1" s="216">
      <c r="A9" s="160">
        <f>IF($F9="","",$C$2&amp;"."&amp;COUNTA($F$7:$F9)&amp;"")</f>
        <v/>
      </c>
      <c r="B9" s="160" t="inlineStr">
        <is>
          <t>REQ-DLV-002</t>
        </is>
      </c>
      <c r="C9" s="160" t="inlineStr">
        <is>
          <t>DOC-v1.1-01</t>
        </is>
      </c>
      <c r="D9" s="160" t="inlineStr">
        <is>
          <t>UI</t>
        </is>
      </c>
      <c r="E9" s="160" t="inlineStr">
        <is>
          <t>Medium</t>
        </is>
      </c>
      <c r="F9" s="11" t="inlineStr">
        <is>
          <t>Check người nhận thấy nhãn xem lịch hẹn khi đơn hẹn giao lại</t>
        </is>
      </c>
      <c r="G9" s="11" t="inlineStr">
        <is>
          <t>- Tài khoản A, B, C là ba CBNV khác nhau trên STG.
- Host app FoxPro đã cài trên thiết bị Android/iOS.
Test Data: Đơn `RESCHEDULED`; vai người nhận (test_data_catalog §DLV — Trạng thái đơn mở rộng)</t>
        </is>
      </c>
      <c r="H9" s="11"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giao lại sau", nhập lịch hẹn hợp lệ và xác nhận, rồi đăng xuất. (setup)
4. Đăng nhập bằng tài khoản C, nhấn tab "Hoạt động" và mở đơn đó. (setup)
5. Check nhãn hành động chính trên màn Theo dõi đơn.</t>
        </is>
      </c>
      <c r="I9" s="11" t="inlineStr">
        <is>
          <t>5. Nhãn hành động chính hiển thị "Xem lịch hẹn" và KHÔNG có nút giao lại nào.</t>
        </is>
      </c>
      <c r="J9" s="160" t="inlineStr">
        <is>
          <t>AI</t>
        </is>
      </c>
      <c r="K9" s="160" t="inlineStr">
        <is>
          <t>Pending</t>
        </is>
      </c>
      <c r="L9" s="160" t="inlineStr">
        <is>
          <t>No</t>
        </is>
      </c>
      <c r="M9" s="160" t="inlineStr"/>
      <c r="N9" s="264" t="inlineStr"/>
      <c r="O9" s="264" t="inlineStr"/>
      <c r="P9" s="264" t="inlineStr"/>
      <c r="Q9" s="264" t="inlineStr"/>
      <c r="R9" s="264" t="inlineStr"/>
      <c r="S9" s="264" t="inlineStr"/>
      <c r="T9" s="264" t="n"/>
      <c r="U9" s="264" t="n"/>
      <c r="V9" s="264" t="n"/>
      <c r="W9" s="264" t="n"/>
      <c r="X9" s="264" t="n"/>
      <c r="Y9" s="264" t="n"/>
      <c r="Z9" s="264" t="n"/>
      <c r="AA9" s="264" t="n"/>
      <c r="AB9" s="264" t="n"/>
      <c r="AC9" s="264" t="n"/>
      <c r="AD9" s="264" t="n"/>
      <c r="AE9" s="264" t="n"/>
      <c r="AF9" s="264" t="n"/>
      <c r="AG9" s="264" t="n"/>
      <c r="AH9" s="264" t="n"/>
      <c r="AI9" s="264" t="n"/>
      <c r="AJ9" s="264" t="n"/>
      <c r="AK9" s="264" t="n"/>
      <c r="AL9" s="264" t="n"/>
      <c r="AM9" s="264" t="n"/>
      <c r="AN9" s="264" t="n"/>
      <c r="AO9" s="264" t="n"/>
      <c r="AP9" s="264" t="n"/>
      <c r="AQ9" s="264" t="n"/>
      <c r="AR9" s="158">
        <f>IF($A9="","",IF(OR($N9="Yes",$T9="Yes",$Z9="Yes",$AF9="Yes",$AL9="Yes"),"Yes","No"))</f>
        <v/>
      </c>
      <c r="AS9" s="158">
        <f>IF($A9="","",IFERROR(IF($AM9&lt;&gt;"",$AM9,IF($AG9&lt;&gt;"",$AG9,IF($AA9&lt;&gt;"",$AA9,IF($U9&lt;&gt;"",$U9,IF($O9&lt;&gt;"",$O9,""))))),""))</f>
        <v/>
      </c>
      <c r="AT9" s="158">
        <f>IFERROR(IF($AN9&lt;&gt;"",$AN9,IF($AH9&lt;&gt;"",$AH9,IF($AB9&lt;&gt;"",$AB9,IF($V9&lt;&gt;"",$V9,IF($P9&lt;&gt;"",$P9,""))))),"")</f>
        <v/>
      </c>
      <c r="AU9" s="265" t="inlineStr">
        <is>
          <t>Mục đích: đối chứng với TC-DLV-032 — quyền giao lại chỉ thuộc người vận chuyển. · Căn cứ: `DOC-v1.1-01` §8.12.3 dòng RESCHEDULED.</t>
        </is>
      </c>
    </row>
    <row r="10">
      <c r="A10" s="160">
        <f>IF($F10="","",$C$2&amp;"."&amp;COUNTA($F$7:$F10)&amp;"")</f>
        <v/>
      </c>
      <c r="B10" s="160" t="inlineStr">
        <is>
          <t>REQ-DLV-002</t>
        </is>
      </c>
      <c r="C10" s="160" t="inlineStr">
        <is>
          <t>DOC-v1.1-01</t>
        </is>
      </c>
      <c r="D10" s="160" t="inlineStr">
        <is>
          <t>UI</t>
        </is>
      </c>
      <c r="E10" s="160" t="inlineStr">
        <is>
          <t>Medium</t>
        </is>
      </c>
      <c r="F10" s="11" t="inlineStr">
        <is>
          <t>Check người gửi thấy nút xác nhận đã nhận lại hàng khi đơn đang hoàn hàng</t>
        </is>
      </c>
      <c r="G10" s="11" t="inlineStr">
        <is>
          <t>- Tài khoản A, B, C là ba CBNV khác nhau trên STG.
- Host app FoxPro đã cài trên thiết bị Android/iOS.
Test Data: Đơn `RETURNING`; vai người gửi (test_data_catalog §DLV — Trạng thái đơn mở rộng)</t>
        </is>
      </c>
      <c r="H10" s="11"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rồi đăng xuất. (setup)
4. Đăng nhập bằng tài khoản A, nhấn tab "Hoạt động" và mở đơn đó. (setup)
5. Check nhãn hành động chính trên màn Theo dõi đơn.</t>
        </is>
      </c>
      <c r="I10" s="11" t="inlineStr">
        <is>
          <t>5. Nhãn hành động chính hiển thị "Xác nhận đã nhận lại hàng" ở trạng thái enable và màn có mục xem lịch hẹn trả hàng.</t>
        </is>
      </c>
      <c r="J10" s="160" t="inlineStr">
        <is>
          <t>AI</t>
        </is>
      </c>
      <c r="K10" s="160" t="inlineStr">
        <is>
          <t>Pending</t>
        </is>
      </c>
      <c r="L10" s="160" t="inlineStr">
        <is>
          <t>No</t>
        </is>
      </c>
      <c r="M10" s="160" t="inlineStr"/>
      <c r="N10" s="264" t="inlineStr"/>
      <c r="O10" s="264" t="inlineStr"/>
      <c r="P10" s="264" t="inlineStr"/>
      <c r="Q10" s="264" t="inlineStr"/>
      <c r="R10" s="264" t="inlineStr"/>
      <c r="S10" s="264" t="inlineStr"/>
      <c r="T10" s="264" t="n"/>
      <c r="U10" s="264" t="n"/>
      <c r="V10" s="264" t="n"/>
      <c r="W10" s="264" t="n"/>
      <c r="X10" s="264" t="n"/>
      <c r="Y10" s="264" t="n"/>
      <c r="Z10" s="264" t="n"/>
      <c r="AA10" s="264" t="n"/>
      <c r="AB10" s="264" t="n"/>
      <c r="AC10" s="264" t="n"/>
      <c r="AD10" s="264" t="n"/>
      <c r="AE10" s="264" t="n"/>
      <c r="AF10" s="264" t="n"/>
      <c r="AG10" s="264" t="n"/>
      <c r="AH10" s="264" t="n"/>
      <c r="AI10" s="264" t="n"/>
      <c r="AJ10" s="264" t="n"/>
      <c r="AK10" s="264" t="n"/>
      <c r="AL10" s="264" t="n"/>
      <c r="AM10" s="264" t="n"/>
      <c r="AN10" s="264" t="n"/>
      <c r="AO10" s="264" t="n"/>
      <c r="AP10" s="264" t="n"/>
      <c r="AQ10" s="264" t="n"/>
      <c r="AR10" s="158">
        <f>IF($A10="","",IF(OR($N10="Yes",$T10="Yes",$Z10="Yes",$AF10="Yes",$AL10="Yes"),"Yes","No"))</f>
        <v/>
      </c>
      <c r="AS10" s="158">
        <f>IF($A10="","",IFERROR(IF($AM10&lt;&gt;"",$AM10,IF($AG10&lt;&gt;"",$AG10,IF($AA10&lt;&gt;"",$AA10,IF($U10&lt;&gt;"",$U10,IF($O10&lt;&gt;"",$O10,""))))),""))</f>
        <v/>
      </c>
      <c r="AT10" s="158">
        <f>IFERROR(IF($AN10&lt;&gt;"",$AN10,IF($AH10&lt;&gt;"",$AH10,IF($AB10&lt;&gt;"",$AB10,IF($V10&lt;&gt;"",$V10,IF($P10&lt;&gt;"",$P10,""))))),"")</f>
        <v/>
      </c>
      <c r="AU10" s="265" t="inlineStr">
        <is>
          <t>Mục đích: người gửi là vai DUY NHẤT đóng được đơn ở nhánh hoàn hàng — cặp với TC-DLV-063. · Căn cứ: `DOC-v1.1-01` §8.12.3 dòng RETURNING.</t>
        </is>
      </c>
    </row>
    <row r="11">
      <c r="A11" s="160">
        <f>IF($F11="","",$C$2&amp;"."&amp;COUNTA($F$7:$F11)&amp;"")</f>
        <v/>
      </c>
      <c r="B11" s="160" t="inlineStr">
        <is>
          <t>REQ-DLV-002</t>
        </is>
      </c>
      <c r="C11" s="160" t="inlineStr">
        <is>
          <t>DOC-v1.1-01</t>
        </is>
      </c>
      <c r="D11" s="160" t="inlineStr">
        <is>
          <t>UI</t>
        </is>
      </c>
      <c r="E11" s="160" t="inlineStr">
        <is>
          <t>Medium</t>
        </is>
      </c>
      <c r="F11" s="11" t="inlineStr">
        <is>
          <t>Check người vận chuyển thấy nhãn xem lịch hẹn trả hàng khi đơn đang hoàn hàng</t>
        </is>
      </c>
      <c r="G11" s="11" t="inlineStr">
        <is>
          <t>- Tài khoản A, B, C là ba CBNV khác nhau trên STG.
- Host app FoxPro đã cài trên thiết bị Android/iOS.
Test Data: Đơn `RETURNING`; vai người vận chuyển (test_data_catalog §DLV — Trạng thái đơn mở rộng)</t>
        </is>
      </c>
      <c r="H11" s="11"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(setup)
4. Nhấn tab "Hoạt động" và mở lại đơn đó. (setup)
5. Check nhãn hành động chính trên màn Theo dõi đơn.</t>
        </is>
      </c>
      <c r="I11" s="11" t="inlineStr">
        <is>
          <t>5. Nhãn hành động chính hiển thị "Xem lịch hẹn trả hàng" và KHÔNG có nút xác nhận đóng đơn.</t>
        </is>
      </c>
      <c r="J11" s="160" t="inlineStr">
        <is>
          <t>AI</t>
        </is>
      </c>
      <c r="K11" s="160" t="inlineStr">
        <is>
          <t>Pending</t>
        </is>
      </c>
      <c r="L11" s="160" t="inlineStr">
        <is>
          <t>No</t>
        </is>
      </c>
      <c r="M11" s="160" t="inlineStr"/>
      <c r="N11" s="264" t="inlineStr"/>
      <c r="O11" s="264" t="inlineStr"/>
      <c r="P11" s="264" t="inlineStr"/>
      <c r="Q11" s="264" t="inlineStr"/>
      <c r="R11" s="264" t="inlineStr"/>
      <c r="S11" s="264" t="inlineStr"/>
      <c r="T11" s="264" t="n"/>
      <c r="U11" s="264" t="n"/>
      <c r="V11" s="264" t="n"/>
      <c r="W11" s="264" t="n"/>
      <c r="X11" s="264" t="n"/>
      <c r="Y11" s="264" t="n"/>
      <c r="Z11" s="264" t="n"/>
      <c r="AA11" s="264" t="n"/>
      <c r="AB11" s="264" t="n"/>
      <c r="AC11" s="264" t="n"/>
      <c r="AD11" s="264" t="n"/>
      <c r="AE11" s="264" t="n"/>
      <c r="AF11" s="264" t="n"/>
      <c r="AG11" s="264" t="n"/>
      <c r="AH11" s="264" t="n"/>
      <c r="AI11" s="264" t="n"/>
      <c r="AJ11" s="264" t="n"/>
      <c r="AK11" s="264" t="n"/>
      <c r="AL11" s="264" t="n"/>
      <c r="AM11" s="264" t="n"/>
      <c r="AN11" s="264" t="n"/>
      <c r="AO11" s="264" t="n"/>
      <c r="AP11" s="264" t="n"/>
      <c r="AQ11" s="264" t="n"/>
      <c r="AR11" s="158">
        <f>IF($A11="","",IF(OR($N11="Yes",$T11="Yes",$Z11="Yes",$AF11="Yes",$AL11="Yes"),"Yes","No"))</f>
        <v/>
      </c>
      <c r="AS11" s="158">
        <f>IF($A11="","",IFERROR(IF($AM11&lt;&gt;"",$AM11,IF($AG11&lt;&gt;"",$AG11,IF($AA11&lt;&gt;"",$AA11,IF($U11&lt;&gt;"",$U11,IF($O11&lt;&gt;"",$O11,""))))),""))</f>
        <v/>
      </c>
      <c r="AT11" s="158">
        <f>IFERROR(IF($AN11&lt;&gt;"",$AN11,IF($AH11&lt;&gt;"",$AH11,IF($AB11&lt;&gt;"",$AB11,IF($V11&lt;&gt;"",$V11,IF($P11&lt;&gt;"",$P11,""))))),"")</f>
        <v/>
      </c>
      <c r="AU11" s="265" t="inlineStr">
        <is>
          <t>Căn cứ: `DOC-v1.1-01` §8.12.3 dòng RETURNING.</t>
        </is>
      </c>
    </row>
    <row r="12">
      <c r="A12" s="160">
        <f>IF($F12="","",$C$2&amp;"."&amp;COUNTA($F$7:$F12)&amp;"")</f>
        <v/>
      </c>
      <c r="B12" s="160" t="inlineStr">
        <is>
          <t>REQ-DLV-002</t>
        </is>
      </c>
      <c r="C12" s="160" t="inlineStr">
        <is>
          <t>DOC-v1.1-01</t>
        </is>
      </c>
      <c r="D12" s="160" t="inlineStr">
        <is>
          <t>UI</t>
        </is>
      </c>
      <c r="E12" s="160" t="inlineStr">
        <is>
          <t>Medium</t>
        </is>
      </c>
      <c r="F12" s="11" t="inlineStr">
        <is>
          <t>Check người nhận thấy nhãn xem lý do hoàn hàng khi đơn đang hoàn hàng</t>
        </is>
      </c>
      <c r="G12" s="11" t="inlineStr">
        <is>
          <t>- Tài khoản A, B, C là ba CBNV khác nhau trên STG.
- Host app FoxPro đã cài trên thiết bị Android/iOS.
Test Data: Đơn `RETURNING`; vai người nhận (test_data_catalog §DLV — Trạng thái đơn mở rộng)</t>
        </is>
      </c>
      <c r="H12" s="11"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rồi đăng xuất. (setup)
4. Đăng nhập bằng tài khoản C, nhấn tab "Hoạt động" và mở đơn đó. (setup)
5. Check nhãn hành động chính trên màn Theo dõi đơn.</t>
        </is>
      </c>
      <c r="I12" s="11" t="inlineStr">
        <is>
          <t>5. Nhãn hành động chính hiển thị "Xem lý do hoàn hàng".</t>
        </is>
      </c>
      <c r="J12" s="160" t="inlineStr">
        <is>
          <t>AI</t>
        </is>
      </c>
      <c r="K12" s="160" t="inlineStr">
        <is>
          <t>Pending</t>
        </is>
      </c>
      <c r="L12" s="160" t="inlineStr">
        <is>
          <t>No</t>
        </is>
      </c>
      <c r="M12" s="160" t="inlineStr"/>
      <c r="N12" s="264" t="inlineStr"/>
      <c r="O12" s="264" t="inlineStr"/>
      <c r="P12" s="264" t="inlineStr"/>
      <c r="Q12" s="264" t="inlineStr"/>
      <c r="R12" s="264" t="inlineStr"/>
      <c r="S12" s="264" t="inlineStr"/>
      <c r="T12" s="264" t="n"/>
      <c r="U12" s="264" t="n"/>
      <c r="V12" s="264" t="n"/>
      <c r="W12" s="264" t="n"/>
      <c r="X12" s="264" t="n"/>
      <c r="Y12" s="264" t="n"/>
      <c r="Z12" s="264" t="n"/>
      <c r="AA12" s="264" t="n"/>
      <c r="AB12" s="264" t="n"/>
      <c r="AC12" s="264" t="n"/>
      <c r="AD12" s="264" t="n"/>
      <c r="AE12" s="264" t="n"/>
      <c r="AF12" s="264" t="n"/>
      <c r="AG12" s="264" t="n"/>
      <c r="AH12" s="264" t="n"/>
      <c r="AI12" s="264" t="n"/>
      <c r="AJ12" s="264" t="n"/>
      <c r="AK12" s="264" t="n"/>
      <c r="AL12" s="264" t="n"/>
      <c r="AM12" s="264" t="n"/>
      <c r="AN12" s="264" t="n"/>
      <c r="AO12" s="264" t="n"/>
      <c r="AP12" s="264" t="n"/>
      <c r="AQ12" s="264" t="n"/>
      <c r="AR12" s="158">
        <f>IF($A12="","",IF(OR($N12="Yes",$T12="Yes",$Z12="Yes",$AF12="Yes",$AL12="Yes"),"Yes","No"))</f>
        <v/>
      </c>
      <c r="AS12" s="158">
        <f>IF($A12="","",IFERROR(IF($AM12&lt;&gt;"",$AM12,IF($AG12&lt;&gt;"",$AG12,IF($AA12&lt;&gt;"",$AA12,IF($U12&lt;&gt;"",$U12,IF($O12&lt;&gt;"",$O12,""))))),""))</f>
        <v/>
      </c>
      <c r="AT12" s="158">
        <f>IFERROR(IF($AN12&lt;&gt;"",$AN12,IF($AH12&lt;&gt;"",$AH12,IF($AB12&lt;&gt;"",$AB12,IF($V12&lt;&gt;"",$V12,IF($P12&lt;&gt;"",$P12,""))))),"")</f>
        <v/>
      </c>
      <c r="AU12" s="265" t="inlineStr">
        <is>
          <t>Căn cứ: `DOC-v1.1-01` §8.12.3 dòng RETURNING.</t>
        </is>
      </c>
    </row>
    <row r="13">
      <c r="A13" s="160">
        <f>IF($F13="","",$C$2&amp;"."&amp;COUNTA($F$7:$F13)&amp;"")</f>
        <v/>
      </c>
      <c r="B13" s="160" t="inlineStr">
        <is>
          <t>REQ-DLV-002</t>
        </is>
      </c>
      <c r="C13" s="160" t="inlineStr">
        <is>
          <t>DOC-v1.1-01</t>
        </is>
      </c>
      <c r="D13" s="160" t="inlineStr">
        <is>
          <t>UI</t>
        </is>
      </c>
      <c r="E13" s="160" t="inlineStr">
        <is>
          <t>Low</t>
        </is>
      </c>
      <c r="F13" s="11" t="inlineStr">
        <is>
          <t>Check người gửi thấy nhãn xem lý do và đăng lại ở ba trạng thái đóng</t>
        </is>
      </c>
      <c r="G13" s="11" t="inlineStr">
        <is>
          <t>- Tài khoản A, B, C là ba CBNV khác nhau trên STG.
- Host app FoxPro đã cài trên thiết bị Android/iOS.
Test Data: Đơn `RETURNED`, `CANCELLED`, `EXPIRED`; vai người gửi (test_data_catalog §DLV — Trạng thái đơn mở rộng)</t>
        </is>
      </c>
      <c r="H13" s="11"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rồi đăng xuất. (setup)
4. Đăng nhập bằng tài khoản A, nhấn tab "Hoạt động", mở đơn đó và nhấn "Xác nhận đã nhận lại hàng". (setup)
5. Đăng 1 tin NEED khác rồi huỷ đơn đó, và để 1 tin NEED thứ ba quá "Đến ngày" mà không ai nhận. (setup)
6. Mở lần lượt cả ba đơn ở tab "Đã hoàn thành" và check nhãn hành động chính của từng đơn.</t>
        </is>
      </c>
      <c r="I13" s="11" t="inlineStr">
        <is>
          <t>6. Cả ba đơn đều hiển thị nhãn "Xem lý do" kèm lựa chọn "Đăng lại".</t>
        </is>
      </c>
      <c r="J13" s="160" t="inlineStr">
        <is>
          <t>AI</t>
        </is>
      </c>
      <c r="K13" s="160" t="inlineStr">
        <is>
          <t>Pending</t>
        </is>
      </c>
      <c r="L13" s="160" t="inlineStr">
        <is>
          <t>No</t>
        </is>
      </c>
      <c r="M13" s="160" t="inlineStr"/>
      <c r="N13" s="264" t="inlineStr"/>
      <c r="O13" s="264" t="inlineStr"/>
      <c r="P13" s="264" t="inlineStr"/>
      <c r="Q13" s="264" t="inlineStr"/>
      <c r="R13" s="264" t="inlineStr"/>
      <c r="S13" s="264" t="inlineStr"/>
      <c r="T13" s="264" t="n"/>
      <c r="U13" s="264" t="n"/>
      <c r="V13" s="264" t="n"/>
      <c r="W13" s="264" t="n"/>
      <c r="X13" s="264" t="n"/>
      <c r="Y13" s="264" t="n"/>
      <c r="Z13" s="264" t="n"/>
      <c r="AA13" s="264" t="n"/>
      <c r="AB13" s="264" t="n"/>
      <c r="AC13" s="264" t="n"/>
      <c r="AD13" s="264" t="n"/>
      <c r="AE13" s="264" t="n"/>
      <c r="AF13" s="264" t="n"/>
      <c r="AG13" s="264" t="n"/>
      <c r="AH13" s="264" t="n"/>
      <c r="AI13" s="264" t="n"/>
      <c r="AJ13" s="264" t="n"/>
      <c r="AK13" s="264" t="n"/>
      <c r="AL13" s="264" t="n"/>
      <c r="AM13" s="264" t="n"/>
      <c r="AN13" s="264" t="n"/>
      <c r="AO13" s="264" t="n"/>
      <c r="AP13" s="264" t="n"/>
      <c r="AQ13" s="264" t="n"/>
      <c r="AR13" s="158">
        <f>IF($A13="","",IF(OR($N13="Yes",$T13="Yes",$Z13="Yes",$AF13="Yes",$AL13="Yes"),"Yes","No"))</f>
        <v/>
      </c>
      <c r="AS13" s="158">
        <f>IF($A13="","",IFERROR(IF($AM13&lt;&gt;"",$AM13,IF($AG13&lt;&gt;"",$AG13,IF($AA13&lt;&gt;"",$AA13,IF($U13&lt;&gt;"",$U13,IF($O13&lt;&gt;"",$O13,""))))),""))</f>
        <v/>
      </c>
      <c r="AT13" s="158">
        <f>IFERROR(IF($AN13&lt;&gt;"",$AN13,IF($AH13&lt;&gt;"",$AH13,IF($AB13&lt;&gt;"",$AB13,IF($V13&lt;&gt;"",$V13,IF($P13&lt;&gt;"",$P13,""))))),"")</f>
        <v/>
      </c>
      <c r="AU13" s="265" t="inlineStr">
        <is>
          <t>Mục đích: nhóm ba trạng thái đóng phải cho CÙNG một nhãn — lệch giữa ba đơn mới là defect. · Căn cứ: `DOC-v1.1-01` §8.12.3 dòng nhóm đóng (PRD chỉ mô tả cấp danh mục, không có microcopy riêng cho từng trạng thái).</t>
        </is>
      </c>
    </row>
    <row r="14">
      <c r="A14" s="160">
        <f>IF($F14="","",$C$2&amp;"."&amp;COUNTA($F$7:$F14)&amp;"")</f>
        <v/>
      </c>
      <c r="B14" s="160" t="inlineStr">
        <is>
          <t>REQ-DLV-002</t>
        </is>
      </c>
      <c r="C14" s="160" t="inlineStr">
        <is>
          <t>DOC-v1.1-01</t>
        </is>
      </c>
      <c r="D14" s="160" t="inlineStr">
        <is>
          <t>UI</t>
        </is>
      </c>
      <c r="E14" s="160" t="inlineStr">
        <is>
          <t>Low</t>
        </is>
      </c>
      <c r="F14" s="11" t="inlineStr">
        <is>
          <t>Check người vận chuyển chỉ thấy nhãn xem lý do ở ba trạng thái đóng</t>
        </is>
      </c>
      <c r="G14" s="11" t="inlineStr">
        <is>
          <t>- Tài khoản A, B, C là ba CBNV khác nhau trên STG.
- Host app FoxPro đã cài trên thiết bị Android/iOS.
Test Data: Đơn `RETURNED`; vai người vận chuyển (test_data_catalog §DLV — Trạng thái đơn mở rộng)</t>
        </is>
      </c>
      <c r="H14" s="11"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(setup)
4. Đăng nhập bằng tài khoản A, mở đơn đó và nhấn "Xác nhận đã nhận lại hàng", rồi đăng xuất. (setup)
5. Đăng nhập lại bằng tài khoản B, nhấn tab "Hoạt động" và mở đơn đó ở tab "Đã hoàn thành". (setup)
6. Check nhãn hành động chính trên màn Theo dõi đơn.</t>
        </is>
      </c>
      <c r="I14" s="11" t="inlineStr">
        <is>
          <t>6. Nhãn hành động chính hiển thị "Xem lý do" và KHÔNG có lựa chọn "Đăng lại".</t>
        </is>
      </c>
      <c r="J14" s="160" t="inlineStr">
        <is>
          <t>AI</t>
        </is>
      </c>
      <c r="K14" s="160" t="inlineStr">
        <is>
          <t>Pending</t>
        </is>
      </c>
      <c r="L14" s="160" t="inlineStr">
        <is>
          <t>No</t>
        </is>
      </c>
      <c r="M14" s="160" t="inlineStr"/>
      <c r="N14" s="264" t="inlineStr"/>
      <c r="O14" s="264" t="inlineStr"/>
      <c r="P14" s="264" t="inlineStr"/>
      <c r="Q14" s="264" t="inlineStr"/>
      <c r="R14" s="264" t="inlineStr"/>
      <c r="S14" s="264" t="inlineStr"/>
      <c r="T14" s="264" t="n"/>
      <c r="U14" s="264" t="n"/>
      <c r="V14" s="264" t="n"/>
      <c r="W14" s="264" t="n"/>
      <c r="X14" s="264" t="n"/>
      <c r="Y14" s="264" t="n"/>
      <c r="Z14" s="264" t="n"/>
      <c r="AA14" s="264" t="n"/>
      <c r="AB14" s="264" t="n"/>
      <c r="AC14" s="264" t="n"/>
      <c r="AD14" s="264" t="n"/>
      <c r="AE14" s="264" t="n"/>
      <c r="AF14" s="264" t="n"/>
      <c r="AG14" s="264" t="n"/>
      <c r="AH14" s="264" t="n"/>
      <c r="AI14" s="264" t="n"/>
      <c r="AJ14" s="264" t="n"/>
      <c r="AK14" s="264" t="n"/>
      <c r="AL14" s="264" t="n"/>
      <c r="AM14" s="264" t="n"/>
      <c r="AN14" s="264" t="n"/>
      <c r="AO14" s="264" t="n"/>
      <c r="AP14" s="264" t="n"/>
      <c r="AQ14" s="264" t="n"/>
      <c r="AR14" s="158">
        <f>IF($A14="","",IF(OR($N14="Yes",$T14="Yes",$Z14="Yes",$AF14="Yes",$AL14="Yes"),"Yes","No"))</f>
        <v/>
      </c>
      <c r="AS14" s="158">
        <f>IF($A14="","",IFERROR(IF($AM14&lt;&gt;"",$AM14,IF($AG14&lt;&gt;"",$AG14,IF($AA14&lt;&gt;"",$AA14,IF($U14&lt;&gt;"",$U14,IF($O14&lt;&gt;"",$O14,""))))),""))</f>
        <v/>
      </c>
      <c r="AT14" s="158">
        <f>IFERROR(IF($AN14&lt;&gt;"",$AN14,IF($AH14&lt;&gt;"",$AH14,IF($AB14&lt;&gt;"",$AB14,IF($V14&lt;&gt;"",$V14,IF($P14&lt;&gt;"",$P14,""))))),"")</f>
        <v/>
      </c>
      <c r="AU14" s="265" t="inlineStr">
        <is>
          <t>Mục đích: đối chứng với TC-DLV-037 — quyền đăng lại chỉ thuộc người gửi. · Căn cứ: `DOC-v1.1-01` §8.12.3 dòng nhóm đóng.</t>
        </is>
      </c>
    </row>
    <row r="15">
      <c r="A15" s="160">
        <f>IF($F15="","",$C$2&amp;"."&amp;COUNTA($F$7:$F15)&amp;"")</f>
        <v/>
      </c>
      <c r="B15" s="160" t="inlineStr">
        <is>
          <t>REQ-DLV-002</t>
        </is>
      </c>
      <c r="C15" s="160" t="inlineStr">
        <is>
          <t>DOC-v1.1-01</t>
        </is>
      </c>
      <c r="D15" s="160" t="inlineStr">
        <is>
          <t>UI</t>
        </is>
      </c>
      <c r="E15" s="160" t="inlineStr">
        <is>
          <t>Low</t>
        </is>
      </c>
      <c r="F15" s="11" t="inlineStr">
        <is>
          <t>Check người nhận chỉ thấy nhãn xem lý do ở ba trạng thái đóng</t>
        </is>
      </c>
      <c r="G15" s="11" t="inlineStr">
        <is>
          <t>- Tài khoản A, B, C là ba CBNV khác nhau trên STG.
- Host app FoxPro đã cài trên thiết bị Android/iOS.
Test Data: Đơn `RETURNED`; vai người nhận (test_data_catalog §DLV — Trạng thái đơn mở rộng)</t>
        </is>
      </c>
      <c r="H15" s="11"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rồi đăng xuất. (setup)
4. Đăng nhập bằng tài khoản A, mở đơn đó và nhấn "Xác nhận đã nhận lại hàng", rồi đăng xuất. (setup)
5. Đăng nhập bằng tài khoản C, nhấn tab "Hoạt động" và mở đơn đó ở tab "Đã hoàn thành". (setup)
6. Check nhãn hành động chính trên màn Theo dõi đơn.</t>
        </is>
      </c>
      <c r="I15" s="11" t="inlineStr">
        <is>
          <t>6. Nhãn hành động chính hiển thị "Xem lý do" và KHÔNG có lựa chọn "Đăng lại".</t>
        </is>
      </c>
      <c r="J15" s="160" t="inlineStr">
        <is>
          <t>AI</t>
        </is>
      </c>
      <c r="K15" s="160" t="inlineStr">
        <is>
          <t>Pending</t>
        </is>
      </c>
      <c r="L15" s="160" t="inlineStr">
        <is>
          <t>No</t>
        </is>
      </c>
      <c r="M15" s="160" t="inlineStr"/>
      <c r="N15" s="264" t="inlineStr"/>
      <c r="O15" s="264" t="inlineStr"/>
      <c r="P15" s="264" t="inlineStr"/>
      <c r="Q15" s="264" t="inlineStr"/>
      <c r="R15" s="264" t="inlineStr"/>
      <c r="S15" s="264" t="inlineStr"/>
      <c r="T15" s="264" t="n"/>
      <c r="U15" s="264" t="n"/>
      <c r="V15" s="264" t="n"/>
      <c r="W15" s="264" t="n"/>
      <c r="X15" s="264" t="n"/>
      <c r="Y15" s="264" t="n"/>
      <c r="Z15" s="264" t="n"/>
      <c r="AA15" s="264" t="n"/>
      <c r="AB15" s="264" t="n"/>
      <c r="AC15" s="264" t="n"/>
      <c r="AD15" s="264" t="n"/>
      <c r="AE15" s="264" t="n"/>
      <c r="AF15" s="264" t="n"/>
      <c r="AG15" s="264" t="n"/>
      <c r="AH15" s="264" t="n"/>
      <c r="AI15" s="264" t="n"/>
      <c r="AJ15" s="264" t="n"/>
      <c r="AK15" s="264" t="n"/>
      <c r="AL15" s="264" t="n"/>
      <c r="AM15" s="264" t="n"/>
      <c r="AN15" s="264" t="n"/>
      <c r="AO15" s="264" t="n"/>
      <c r="AP15" s="264" t="n"/>
      <c r="AQ15" s="264" t="n"/>
      <c r="AR15" s="158">
        <f>IF($A15="","",IF(OR($N15="Yes",$T15="Yes",$Z15="Yes",$AF15="Yes",$AL15="Yes"),"Yes","No"))</f>
        <v/>
      </c>
      <c r="AS15" s="158">
        <f>IF($A15="","",IFERROR(IF($AM15&lt;&gt;"",$AM15,IF($AG15&lt;&gt;"",$AG15,IF($AA15&lt;&gt;"",$AA15,IF($U15&lt;&gt;"",$U15,IF($O15&lt;&gt;"",$O15,""))))),""))</f>
        <v/>
      </c>
      <c r="AT15" s="158">
        <f>IFERROR(IF($AN15&lt;&gt;"",$AN15,IF($AH15&lt;&gt;"",$AH15,IF($AB15&lt;&gt;"",$AB15,IF($V15&lt;&gt;"",$V15,IF($P15&lt;&gt;"",$P15,""))))),"")</f>
        <v/>
      </c>
      <c r="AU15" s="265" t="inlineStr">
        <is>
          <t>Căn cứ: `DOC-v1.1-01` §8.12.3 dòng nhóm đóng.</t>
        </is>
      </c>
    </row>
    <row r="16">
      <c r="A16" s="160">
        <f>IF($F16="","",$C$2&amp;"."&amp;COUNTA($F$7:$F16)&amp;"")</f>
        <v/>
      </c>
      <c r="B16" s="160" t="inlineStr">
        <is>
          <t>REQ-DLV-007</t>
        </is>
      </c>
      <c r="C16" s="160" t="inlineStr">
        <is>
          <t>DOC-v1.1-01</t>
        </is>
      </c>
      <c r="D16" s="160" t="inlineStr">
        <is>
          <t>Functional</t>
        </is>
      </c>
      <c r="E16" s="160" t="inlineStr">
        <is>
          <t>Medium</t>
        </is>
      </c>
      <c r="F16" s="11" t="inlineStr">
        <is>
          <t>Check đơn có báo cáo sự cố không tự chuyển sang hoàn thành sau các mốc nhắc</t>
        </is>
      </c>
      <c r="G16" s="11" t="inlineStr">
        <is>
          <t>- Tài khoản A, B, C là ba CBNV khác nhau trên STG.
- Host app FoxPro đã cài trên thiết bị Android/iOS.
- Dev/QA hỗ trợ lùi timestamp đơn để vượt mốc 2 giờ và 4 giờ — ⛔ không tái tạo được qua UI.
Test Data: Đơn `INCIDENT` đã vượt mốc 2h và 4h = `SEED-DLV-04` (test_data_catalog §DLV — Trạng thái đơn mở rộng)</t>
        </is>
      </c>
      <c r="H16" s="11" t="inlineStr">
        <is>
          <t>1. Đăng nhập bằng tài khoản A, đăng 1 tin NEED khai tài khoản C là người nhận, rồi đăng xuất. (setup)
2. Đăng nhập bằng tài khoản B, nhận đơn đó, nhấn "Tôi đã lấy hàng" và xác nhận. (setup)
3. Nhấn "Báo cáo sự cố", gửi form báo sự cố cho đơn này, rồi đăng xuất. (setup)
4. Nhờ dev/QA lùi timestamp của đơn để vượt qua cả mốc 2 giờ và mốc 4 giờ. (setup)
5. Đăng nhập bằng tài khoản A, nhấn tab "Hoạt động" và mở đơn đó. (setup)
6. Check trạng thái đơn và tab chứa đơn.</t>
        </is>
      </c>
      <c r="I16" s="11" t="inlineStr">
        <is>
          <t>6. Đơn KHÔNG ở trạng thái "Hoàn thành" và vẫn nằm ở tab "Đang diễn ra".</t>
        </is>
      </c>
      <c r="J16" s="160" t="inlineStr">
        <is>
          <t>AI</t>
        </is>
      </c>
      <c r="K16" s="160" t="inlineStr">
        <is>
          <t>Pending</t>
        </is>
      </c>
      <c r="L16" s="160" t="inlineStr">
        <is>
          <t>No</t>
        </is>
      </c>
      <c r="M16" s="160" t="inlineStr"/>
      <c r="N16" s="264" t="inlineStr"/>
      <c r="O16" s="264" t="inlineStr"/>
      <c r="P16" s="264" t="inlineStr"/>
      <c r="Q16" s="264" t="inlineStr"/>
      <c r="R16" s="264" t="inlineStr"/>
      <c r="S16" s="264" t="inlineStr"/>
      <c r="T16" s="264" t="n"/>
      <c r="U16" s="264" t="n"/>
      <c r="V16" s="264" t="n"/>
      <c r="W16" s="264" t="n"/>
      <c r="X16" s="264" t="n"/>
      <c r="Y16" s="264" t="n"/>
      <c r="Z16" s="264" t="n"/>
      <c r="AA16" s="264" t="n"/>
      <c r="AB16" s="264" t="n"/>
      <c r="AC16" s="264" t="n"/>
      <c r="AD16" s="264" t="n"/>
      <c r="AE16" s="264" t="n"/>
      <c r="AF16" s="264" t="n"/>
      <c r="AG16" s="264" t="n"/>
      <c r="AH16" s="264" t="n"/>
      <c r="AI16" s="264" t="n"/>
      <c r="AJ16" s="264" t="n"/>
      <c r="AK16" s="264" t="n"/>
      <c r="AL16" s="264" t="n"/>
      <c r="AM16" s="264" t="n"/>
      <c r="AN16" s="264" t="n"/>
      <c r="AO16" s="264" t="n"/>
      <c r="AP16" s="264" t="n"/>
      <c r="AQ16" s="264" t="n"/>
      <c r="AR16" s="158">
        <f>IF($A16="","",IF(OR($N16="Yes",$T16="Yes",$Z16="Yes",$AF16="Yes",$AL16="Yes"),"Yes","No"))</f>
        <v/>
      </c>
      <c r="AS16" s="158">
        <f>IF($A16="","",IFERROR(IF($AM16&lt;&gt;"",$AM16,IF($AG16&lt;&gt;"",$AG16,IF($AA16&lt;&gt;"",$AA16,IF($U16&lt;&gt;"",$U16,IF($O16&lt;&gt;"",$O16,""))))),""))</f>
        <v/>
      </c>
      <c r="AT16" s="158">
        <f>IFERROR(IF($AN16&lt;&gt;"",$AN16,IF($AH16&lt;&gt;"",$AH16,IF($AB16&lt;&gt;"",$AB16,IF($V16&lt;&gt;"",$V16,IF($P16&lt;&gt;"",$P16,""))))),"")</f>
        <v/>
      </c>
      <c r="AU16" s="265" t="inlineStr">
        <is>
          <t>Mục đích: chốt ranh giới nhánh sự cố ⟷ luồng tự đóng thường — dễ lập trình sai thành "quá giờ thì đóng". · Căn cứ: `DOC-v1.1-01` §8.10.1 BR10-04 (SC mới gắn REQ giữ ID, không sửa `SC-DLV-024` v1.0 vốn đúng cho nhánh thường). ⛔ Không assert vế "admin xử lý" — role admin out of scope v1.1 (`C-DLV-07` Resolved 2026-09-17).</t>
        </is>
      </c>
    </row>
    <row r="17">
      <c r="A17" s="160">
        <f>IF($F17="","",$C$2&amp;"."&amp;COUNTA($F$7:$F17)&amp;"")</f>
        <v/>
      </c>
      <c r="B17" s="160" t="inlineStr">
        <is>
          <t>REQ-DLV-012</t>
        </is>
      </c>
      <c r="C17" s="160" t="inlineStr">
        <is>
          <t>DOC-v1.1-01</t>
        </is>
      </c>
      <c r="D17" s="160" t="inlineStr">
        <is>
          <t>Functional</t>
        </is>
      </c>
      <c r="E17" s="160" t="inlineStr">
        <is>
          <t>Low</t>
        </is>
      </c>
      <c r="F17" s="11" t="inlineStr">
        <is>
          <t>Check đính ảnh lúc lấy hàng lưu được kèm mốc và đơn chuyển đang giao</t>
        </is>
      </c>
      <c r="G17" s="11" t="inlineStr">
        <is>
          <t>- Tài khoản A, B, C là ba CBNV khác nhau trên STG.
- Host app FoxPro đã cài trên thiết bị Android/iOS.
- Thư viện ảnh thiết bị có sẵn ≥5 ảnh JPG, mỗi ảnh ≤5MB.
Test Data: 1 ảnh JPG ≤5MB (test_data_catalog §DLV — Ảnh lúc lấy hàng)</t>
        </is>
      </c>
      <c r="H17" s="11" t="inlineStr">
        <is>
          <t>1. Đăng nhập bằng tài khoản A, đăng 1 tin NEED khai tài khoản C là người nhận, rồi đăng xuất. (setup)
2. Đăng nhập bằng tài khoản B, nhận đơn đó và xác nhận. (setup)
3. Nhấn "Tôi đã lấy hàng".
4. Đính 1 ảnh JPG từ thư viện thiết bị.
5. Nhấn "Xác nhận".
6. Mở lại đơn đó và check trạng thái đơn cùng nội dung block "LỊCH SỬ".</t>
        </is>
      </c>
      <c r="I17" s="11" t="inlineStr">
        <is>
          <t>6. Đơn ở trạng thái "Đang giao"; block "LỊCH SỬ" có mốc "Tôi đã lấy hàng" kèm dấu hiệu có ảnh bằng chứng và mở xem được đúng ảnh vừa đính.</t>
        </is>
      </c>
      <c r="J17" s="160" t="inlineStr">
        <is>
          <t>AI</t>
        </is>
      </c>
      <c r="K17" s="160" t="inlineStr">
        <is>
          <t>Pending</t>
        </is>
      </c>
      <c r="L17" s="160" t="inlineStr">
        <is>
          <t>No</t>
        </is>
      </c>
      <c r="M17" s="160" t="inlineStr"/>
      <c r="N17" s="264" t="inlineStr">
        <is>
          <t>Yes</t>
        </is>
      </c>
      <c r="O17" s="264" t="inlineStr"/>
      <c r="P17" s="264" t="inlineStr">
        <is>
          <t>Pass</t>
        </is>
      </c>
      <c r="Q17" s="264" t="inlineStr">
        <is>
          <t>GiangDC2</t>
        </is>
      </c>
      <c r="R17" s="264" t="inlineStr"/>
      <c r="S17" s="264" t="inlineStr"/>
      <c r="T17" s="264" t="n"/>
      <c r="U17" s="264" t="n"/>
      <c r="V17" s="264" t="n"/>
      <c r="W17" s="264" t="n"/>
      <c r="X17" s="264" t="n"/>
      <c r="Y17" s="264" t="n"/>
      <c r="Z17" s="264" t="n"/>
      <c r="AA17" s="264" t="n"/>
      <c r="AB17" s="264" t="n"/>
      <c r="AC17" s="264" t="n"/>
      <c r="AD17" s="264" t="n"/>
      <c r="AE17" s="264" t="n"/>
      <c r="AF17" s="264" t="n"/>
      <c r="AG17" s="264" t="n"/>
      <c r="AH17" s="264" t="n"/>
      <c r="AI17" s="264" t="n"/>
      <c r="AJ17" s="264" t="n"/>
      <c r="AK17" s="264" t="n"/>
      <c r="AL17" s="264" t="n"/>
      <c r="AM17" s="264" t="n"/>
      <c r="AN17" s="264" t="n"/>
      <c r="AO17" s="264" t="n"/>
      <c r="AP17" s="264" t="n"/>
      <c r="AQ17" s="264" t="n"/>
      <c r="AR17" s="158">
        <f>IF($A17="","",IF(OR($N17="Yes",$T17="Yes",$Z17="Yes",$AF17="Yes",$AL17="Yes"),"Yes","No"))</f>
        <v/>
      </c>
      <c r="AS17" s="158">
        <f>IF($A17="","",IFERROR(IF($AM17&lt;&gt;"",$AM17,IF($AG17&lt;&gt;"",$AG17,IF($AA17&lt;&gt;"",$AA17,IF($U17&lt;&gt;"",$U17,IF($O17&lt;&gt;"",$O17,""))))),""))</f>
        <v/>
      </c>
      <c r="AT17" s="158">
        <f>IFERROR(IF($AN17&lt;&gt;"",$AN17,IF($AH17&lt;&gt;"",$AH17,IF($AB17&lt;&gt;"",$AB17,IF($V17&lt;&gt;"",$V17,IF($P17&lt;&gt;"",$P17,""))))),"")</f>
        <v/>
      </c>
      <c r="AU17" s="265" t="inlineStr">
        <is>
          <t>Căn cứ: `DOC-v1.1-01` §8.6.1 BR06-01 — `C-DLV-04` Resolved 2026-09-15 (ảnh lúc lấy hàng có tồn tại). ⚠ `RISK-DLV-11`: popup "Tôi đã lấy hàng" trên demo chưa thấy field ảnh — không thấy ô đính ảnh trên STG ⇒ log bug, ⛔ không sửa TC theo demo.</t>
        </is>
      </c>
    </row>
    <row r="18">
      <c r="A18" s="160">
        <f>IF($F18="","",$C$2&amp;"."&amp;COUNTA($F$7:$F18)&amp;"")</f>
        <v/>
      </c>
      <c r="B18" s="160" t="inlineStr">
        <is>
          <t>REQ-DLV-012</t>
        </is>
      </c>
      <c r="C18" s="160" t="inlineStr">
        <is>
          <t>DOC-v1.1-01</t>
        </is>
      </c>
      <c r="D18" s="160" t="inlineStr">
        <is>
          <t>Functional</t>
        </is>
      </c>
      <c r="E18" s="160" t="inlineStr">
        <is>
          <t>Low</t>
        </is>
      </c>
      <c r="F18" s="11" t="inlineStr">
        <is>
          <t>Check xác nhận đã lấy hàng vẫn thành công khi không đính ảnh nào</t>
        </is>
      </c>
      <c r="G18" s="11" t="inlineStr">
        <is>
          <t>- Tài khoản A, B, C là ba CBNV khác nhau trên STG.
- Host app FoxPro đã cài trên thiết bị Android/iOS.
Test Data: 0 ảnh — biên dưới hợp lệ (test_data_catalog §DLV — Ảnh lúc lấy hàng)</t>
        </is>
      </c>
      <c r="H18" s="11" t="inlineStr">
        <is>
          <t>1. Đăng nhập bằng tài khoản A, đăng 1 tin NEED khai tài khoản C là người nhận, rồi đăng xuất. (setup)
2. Đăng nhập bằng tài khoản B, nhận đơn đó và xác nhận. (setup)
3. Nhấn "Tôi đã lấy hàng".
4. Nhấn "Xác nhận" mà KHÔNG đính ảnh nào.
5. Check trạng thái đơn trên màn Theo dõi đơn.</t>
        </is>
      </c>
      <c r="I18" s="11" t="inlineStr">
        <is>
          <t>5. Đơn chuyển sang trạng thái "Đang giao" bình thường, không có thông báo lỗi đòi ảnh.</t>
        </is>
      </c>
      <c r="J18" s="160" t="inlineStr">
        <is>
          <t>AI</t>
        </is>
      </c>
      <c r="K18" s="160" t="inlineStr">
        <is>
          <t>Pending</t>
        </is>
      </c>
      <c r="L18" s="160" t="inlineStr">
        <is>
          <t>No</t>
        </is>
      </c>
      <c r="M18" s="160" t="inlineStr"/>
      <c r="N18" s="264" t="inlineStr">
        <is>
          <t>Yes</t>
        </is>
      </c>
      <c r="O18" s="264" t="inlineStr"/>
      <c r="P18" s="264" t="inlineStr">
        <is>
          <t>Pass</t>
        </is>
      </c>
      <c r="Q18" s="264" t="inlineStr">
        <is>
          <t>GiangDC2</t>
        </is>
      </c>
      <c r="R18" s="264" t="inlineStr"/>
      <c r="S18" s="264" t="inlineStr"/>
      <c r="T18" s="264" t="n"/>
      <c r="U18" s="264" t="n"/>
      <c r="V18" s="264" t="n"/>
      <c r="W18" s="264" t="n"/>
      <c r="X18" s="264" t="n"/>
      <c r="Y18" s="264" t="n"/>
      <c r="Z18" s="264" t="n"/>
      <c r="AA18" s="264" t="n"/>
      <c r="AB18" s="264" t="n"/>
      <c r="AC18" s="264" t="n"/>
      <c r="AD18" s="264" t="n"/>
      <c r="AE18" s="264" t="n"/>
      <c r="AF18" s="264" t="n"/>
      <c r="AG18" s="264" t="n"/>
      <c r="AH18" s="264" t="n"/>
      <c r="AI18" s="264" t="n"/>
      <c r="AJ18" s="264" t="n"/>
      <c r="AK18" s="264" t="n"/>
      <c r="AL18" s="264" t="n"/>
      <c r="AM18" s="264" t="n"/>
      <c r="AN18" s="264" t="n"/>
      <c r="AO18" s="264" t="n"/>
      <c r="AP18" s="264" t="n"/>
      <c r="AQ18" s="264" t="n"/>
      <c r="AR18" s="158">
        <f>IF($A18="","",IF(OR($N18="Yes",$T18="Yes",$Z18="Yes",$AF18="Yes",$AL18="Yes"),"Yes","No"))</f>
        <v/>
      </c>
      <c r="AS18" s="158">
        <f>IF($A18="","",IFERROR(IF($AM18&lt;&gt;"",$AM18,IF($AG18&lt;&gt;"",$AG18,IF($AA18&lt;&gt;"",$AA18,IF($U18&lt;&gt;"",$U18,IF($O18&lt;&gt;"",$O18,""))))),""))</f>
        <v/>
      </c>
      <c r="AT18" s="158">
        <f>IFERROR(IF($AN18&lt;&gt;"",$AN18,IF($AH18&lt;&gt;"",$AH18,IF($AB18&lt;&gt;"",$AB18,IF($V18&lt;&gt;"",$V18,IF($P18&lt;&gt;"",$P18,""))))),"")</f>
        <v/>
      </c>
      <c r="AU18" s="265" t="inlineStr">
        <is>
          <t>Mục đích: cặp biên dưới với TC-DLV-041 — ảnh lúc lấy hàng là tuỳ chọn, khác hẳn ảnh lúc giao hàng (bắt buộc ≥1, xem TC-DLV-047). · Căn cứ: `DOC-v1.1-01` §8.6.1 BR06-01 *"tuỳ chọn nhưng được khuyến nghị mạnh"*.</t>
        </is>
      </c>
    </row>
    <row r="19">
      <c r="A19" s="160">
        <f>IF($F19="","",$C$2&amp;"."&amp;COUNTA($F$7:$F19)&amp;"")</f>
        <v/>
      </c>
      <c r="B19" s="160" t="inlineStr">
        <is>
          <t>REQ-DLV-017</t>
        </is>
      </c>
      <c r="C19" s="160" t="inlineStr">
        <is>
          <t>DOC-v1.1-01 · DOC-v1.1-03</t>
        </is>
      </c>
      <c r="D19" s="160" t="inlineStr">
        <is>
          <t>Functional</t>
        </is>
      </c>
      <c r="E19" s="160" t="inlineStr">
        <is>
          <t>High</t>
        </is>
      </c>
      <c r="F19" s="11" t="inlineStr">
        <is>
          <t>Check giao tận tay người nhận chuyển đơn sang đã giao và ghi đúng mốc nhật ký</t>
        </is>
      </c>
      <c r="G19" s="11" t="inlineStr">
        <is>
          <t>- Tài khoản A, B, C là ba CBNV khác nhau trên STG.
- Host app FoxPro đã cài trên thiết bị Android/iOS.
- Thư viện ảnh thiết bị có sẵn ≥5 ảnh JPG, mỗi ảnh ≤5MB.
Test Data: Đơn `IN_TRANSIT` đơn #1 của `SEED-DLV-02`; đối tượng nhận "Người nhận" + 1 ảnh bằng chứng (test_data_catalog §DLV — Đối tượng nhận, Ảnh bằng chứng giao hàng)</t>
        </is>
      </c>
      <c r="H19" s="11" t="inlineStr">
        <is>
          <t>1. Đăng nhập bằng tài khoản A, đăng 1 tin NEED khai tài khoản C là người nhận, rồi đăng xuất. (setup)
2. Đăng nhập bằng tài khoản B, nhận đơn đó, nhấn "Tôi đã lấy hàng" và xác nhận. (setup)
3. Nhấn "Đã đến địa điểm giao hàng" để mở màn "Xác nhận đã giao".
4. Chọn "Người nhận" ở field "Giao cho".
5. Đính 1 ảnh JPG từ thư viện thiết bị.
6. Nhấn "Xác nhận đã giao hàng" và đồng ý ở popup xác nhận.
7. Check trạng thái đơn và dòng mới nhất ở block "LỊCH SỬ".</t>
        </is>
      </c>
      <c r="I19" s="11" t="inlineStr">
        <is>
          <t>7. Đơn chuyển sang trạng thái "Đã giao"; block "LỊCH SỬ" có dòng mới "Đã giao tận tay người nhận" kèm thời điểm.</t>
        </is>
      </c>
      <c r="J19" s="160" t="inlineStr">
        <is>
          <t>AI</t>
        </is>
      </c>
      <c r="K19" s="160" t="inlineStr">
        <is>
          <t>Pending</t>
        </is>
      </c>
      <c r="L19" s="160" t="inlineStr">
        <is>
          <t>No</t>
        </is>
      </c>
      <c r="M19" s="160" t="inlineStr"/>
      <c r="N19" s="264" t="inlineStr">
        <is>
          <t>Yes</t>
        </is>
      </c>
      <c r="O19" s="264" t="inlineStr"/>
      <c r="P19" s="264" t="inlineStr">
        <is>
          <t>Pass</t>
        </is>
      </c>
      <c r="Q19" s="264" t="inlineStr">
        <is>
          <t>GiangDC2</t>
        </is>
      </c>
      <c r="R19" s="264" t="inlineStr">
        <is>
          <t>FE-327</t>
        </is>
      </c>
      <c r="S19" s="264" t="inlineStr"/>
      <c r="T19" s="264" t="n"/>
      <c r="U19" s="264" t="n"/>
      <c r="V19" s="264" t="n"/>
      <c r="W19" s="264" t="n"/>
      <c r="X19" s="264" t="n"/>
      <c r="Y19" s="264" t="n"/>
      <c r="Z19" s="264" t="n"/>
      <c r="AA19" s="264" t="n"/>
      <c r="AB19" s="264" t="n"/>
      <c r="AC19" s="264" t="n"/>
      <c r="AD19" s="264" t="n"/>
      <c r="AE19" s="264" t="n"/>
      <c r="AF19" s="264" t="n"/>
      <c r="AG19" s="264" t="n"/>
      <c r="AH19" s="264" t="n"/>
      <c r="AI19" s="264" t="n"/>
      <c r="AJ19" s="264" t="n"/>
      <c r="AK19" s="264" t="n"/>
      <c r="AL19" s="264" t="n"/>
      <c r="AM19" s="264" t="n"/>
      <c r="AN19" s="264" t="n"/>
      <c r="AO19" s="264" t="n"/>
      <c r="AP19" s="264" t="n"/>
      <c r="AQ19" s="264" t="n"/>
      <c r="AR19" s="158">
        <f>IF($A19="","",IF(OR($N19="Yes",$T19="Yes",$Z19="Yes",$AF19="Yes",$AL19="Yes"),"Yes","No"))</f>
        <v/>
      </c>
      <c r="AS19" s="158">
        <f>IF($A19="","",IFERROR(IF($AM19&lt;&gt;"",$AM19,IF($AG19&lt;&gt;"",$AG19,IF($AA19&lt;&gt;"",$AA19,IF($U19&lt;&gt;"",$U19,IF($O19&lt;&gt;"",$O19,""))))),""))</f>
        <v/>
      </c>
      <c r="AT19" s="158">
        <f>IFERROR(IF($AN19&lt;&gt;"",$AN19,IF($AH19&lt;&gt;"",$AH19,IF($AB19&lt;&gt;"",$AB19,IF($V19&lt;&gt;"",$V19,IF($P19&lt;&gt;"",$P19,""))))),"")</f>
        <v/>
      </c>
      <c r="AU19" s="265" t="inlineStr">
        <is>
          <t>Mục đích: luồng chính của `FR07` mở rộng — 3 nhánh còn lại (TC-DLV-044/045/046) đều rẽ từ đúng màn này. · Căn cứ: `DOC-v1.1-01` §8.7.2 + §8.12.4 mẫu câu 1. `RISK-DLV-08` đã Confirmed qua demo 2026-09-16 (luồng submit chạy đúng); vẫn double-check locator trên STG trước khi hardening. · 🔁 Đính chính 2026-09-22 (QC): bước 3 nêu rõ tên nút chính thức "Đã đến địa điểm giao hàng" (v1.1, đổi tên so với "Đã giao cho người nhận" của v1.0) — STG hiện chưa đổi tên, xem BUG-044.</t>
        </is>
      </c>
    </row>
    <row r="20">
      <c r="A20" s="160">
        <f>IF($F20="","",$C$2&amp;"."&amp;COUNTA($F$7:$F20)&amp;"")</f>
        <v/>
      </c>
      <c r="B20" s="160" t="inlineStr">
        <is>
          <t>REQ-DLV-017</t>
        </is>
      </c>
      <c r="C20" s="160" t="inlineStr">
        <is>
          <t>DOC-v1.1-01 · DOC-v1.1-03</t>
        </is>
      </c>
      <c r="D20" s="160" t="inlineStr">
        <is>
          <t>Functional</t>
        </is>
      </c>
      <c r="E20" s="160" t="inlineStr">
        <is>
          <t>High</t>
        </is>
      </c>
      <c r="F20" s="11" t="inlineStr">
        <is>
          <t>Check giao cho người được uỷ quyền tự sinh uỷ quyền bởi người nhận và ghi đúng nhật ký</t>
        </is>
      </c>
      <c r="G20" s="11" t="inlineStr">
        <is>
          <t>- Tài khoản A, B, C là ba CBNV khác nhau trên STG.
- Host app FoxPro đã cài trên thiết bị Android/iOS.
- Thư viện ảnh thiết bị có sẵn ≥5 ảnh JPG, mỗi ảnh ≤5MB.
Test Data: Đơn `IN_TRANSIT` đơn #2 của `SEED-DLV-02`; tên 12 ký tự + SĐT hợp lệ (test_data_catalog §DLV — Tên người nhận thay, SĐT người nhận thay)</t>
        </is>
      </c>
      <c r="H20" s="11" t="inlineStr">
        <is>
          <t>1. Đăng nhập bằng tài khoản A, đăng 1 tin NEED khai tài khoản C là người nhận, rồi đăng xuất. (setup)
2. Đăng nhập bằng tài khoản B, nhận đơn đó, nhấn "Tôi đã lấy hàng" và xác nhận. (setup)
3. Nhấn "Đã đến địa điểm giao hàng" để mở màn "Xác nhận đã giao".
4. Chọn "Người được uỷ quyền" ở field "Giao cho".
5. Nhập "Nguyễn Văn Bảy" vào ô tên người nhận thay.
6. Nhập "0912345678" vào ô số điện thoại người nhận thay.
7. Đính 1 ảnh JPG từ thư viện thiết bị.
8. Nhấn "Xác nhận đã giao hàng" và đồng ý ở popup xác nhận.
9. Check trạng thái đơn và dòng mới nhất ở block "LỊCH SỬ".</t>
        </is>
      </c>
      <c r="I20" s="11" t="inlineStr">
        <is>
          <t>9. Đơn chuyển sang trạng thái "Đã giao"; block "LỊCH SỬ" có dòng mới "Đã giao cho người được uỷ quyền — Nguyễn Văn Bảy · 0912345678 — uỷ quyền bởi Người nhận".</t>
        </is>
      </c>
      <c r="J20" s="160" t="inlineStr">
        <is>
          <t>AI</t>
        </is>
      </c>
      <c r="K20" s="160" t="inlineStr">
        <is>
          <t>Pending</t>
        </is>
      </c>
      <c r="L20" s="160" t="inlineStr">
        <is>
          <t>No</t>
        </is>
      </c>
      <c r="M20" s="160" t="inlineStr"/>
      <c r="N20" s="264" t="inlineStr"/>
      <c r="O20" s="264" t="inlineStr"/>
      <c r="P20" s="264" t="inlineStr"/>
      <c r="Q20" s="264" t="inlineStr"/>
      <c r="R20" s="264" t="inlineStr"/>
      <c r="S20" s="264" t="inlineStr"/>
      <c r="T20" s="264" t="n"/>
      <c r="U20" s="264" t="n"/>
      <c r="V20" s="264" t="n"/>
      <c r="W20" s="264" t="n"/>
      <c r="X20" s="264" t="n"/>
      <c r="Y20" s="264" t="n"/>
      <c r="Z20" s="264" t="n"/>
      <c r="AA20" s="264" t="n"/>
      <c r="AB20" s="264" t="n"/>
      <c r="AC20" s="264" t="n"/>
      <c r="AD20" s="264" t="n"/>
      <c r="AE20" s="264" t="n"/>
      <c r="AF20" s="264" t="n"/>
      <c r="AG20" s="264" t="n"/>
      <c r="AH20" s="264" t="n"/>
      <c r="AI20" s="264" t="n"/>
      <c r="AJ20" s="264" t="n"/>
      <c r="AK20" s="264" t="n"/>
      <c r="AL20" s="264" t="n"/>
      <c r="AM20" s="264" t="n"/>
      <c r="AN20" s="264" t="n"/>
      <c r="AO20" s="264" t="n"/>
      <c r="AP20" s="264" t="n"/>
      <c r="AQ20" s="264" t="n"/>
      <c r="AR20" s="158">
        <f>IF($A20="","",IF(OR($N20="Yes",$T20="Yes",$Z20="Yes",$AF20="Yes",$AL20="Yes"),"Yes","No"))</f>
        <v/>
      </c>
      <c r="AS20" s="158">
        <f>IF($A20="","",IFERROR(IF($AM20&lt;&gt;"",$AM20,IF($AG20&lt;&gt;"",$AG20,IF($AA20&lt;&gt;"",$AA20,IF($U20&lt;&gt;"",$U20,IF($O20&lt;&gt;"",$O20,""))))),""))</f>
        <v/>
      </c>
      <c r="AT20" s="158">
        <f>IFERROR(IF($AN20&lt;&gt;"",$AN20,IF($AH20&lt;&gt;"",$AH20,IF($AB20&lt;&gt;"",$AB20,IF($V20&lt;&gt;"",$V20,IF($P20&lt;&gt;"",$P20,""))))),"")</f>
        <v/>
      </c>
      <c r="AU20" s="265" t="inlineStr">
        <is>
          <t>Mục đích: chốt giá trị tự sinh của "Uỷ quyền bởi" theo MÀN VÀO chứ không theo loại đối tượng nhận — đối chứng âm là TC-DLV-051 (vào từ màn "Liên hệ người gửi" thì tự sinh "Người gửi"). · Căn cứ: `DOC-v1.1-01` §8.7.1 BR07-03/BR07-04/BR07-05 + §8.12.4 mẫu câu 2. Trường "Uỷ quyền bởi" chỉ đọc, không sửa được. · 🔁 Đính chính 2026-09-22 (QC): bước 3 nêu rõ tên nút chính thức "Đã đến địa điểm giao hàng" (v1.1, đổi tên so với "Đã giao cho người nhận" của v1.0) — STG hiện chưa đổi tên, xem BUG-044.</t>
        </is>
      </c>
    </row>
    <row r="21" ht="15.75" customHeight="1" s="216">
      <c r="A21" s="160">
        <f>IF($F21="","",$C$2&amp;"."&amp;COUNTA($F$7:$F21)&amp;"")</f>
        <v/>
      </c>
      <c r="B21" s="160" t="inlineStr">
        <is>
          <t>REQ-DLV-017</t>
        </is>
      </c>
      <c r="C21" s="160" t="inlineStr">
        <is>
          <t>DOC-v1.1-01 · DOC-v1.1-03</t>
        </is>
      </c>
      <c r="D21" s="160" t="inlineStr">
        <is>
          <t>Functional</t>
        </is>
      </c>
      <c r="E21" s="160" t="inlineStr">
        <is>
          <t>Medium</t>
        </is>
      </c>
      <c r="F21" s="11" t="inlineStr">
        <is>
          <t>Check gửi quầy lễ tân bắt buộc hai ô người trực quầy và ghi đúng tên vào nhật ký</t>
        </is>
      </c>
      <c r="G21" s="11" t="inlineStr">
        <is>
          <t>- Tài khoản A, B, C là ba CBNV khác nhau trên STG.
- Host app FoxPro đã cài trên thiết bị Android/iOS.
- Thư viện ảnh thiết bị có sẵn ≥5 ảnh JPG, mỗi ảnh ≤5MB.
Test Data: Đơn `IN_TRANSIT` đơn #3 của `SEED-DLV-02`; tên người trực quầy cụ thể + SĐT hợp lệ (test_data_catalog §DLV — Tên người trực quầy)</t>
        </is>
      </c>
      <c r="H21" s="11" t="inlineStr">
        <is>
          <t>1. Đăng nhập bằng tài khoản A, đăng 1 tin NEED khai tài khoản C là người nhận, rồi đăng xuất. (setup)
2. Đăng nhập bằng tài khoản B, nhận đơn đó, nhấn "Tôi đã lấy hàng" và xác nhận. (setup)
3. Nhấn "Đã đến địa điểm giao hàng" để mở màn "Xác nhận đã giao".
4. Chọn "Quầy lễ tân" ở field "Giao cho".
5. Đính 1 ảnh JPG rồi nhấn "Xác nhận đã giao hàng" khi vẫn để trống cả hai ô của khối "NGƯỜI NHẬN TẠI QUẦY".
6. Nhập "Trần Thị Lan" vào ô "Họ tên người trực quầy".
7. Nhập "0987654321" vào ô "Số điện thoại".
8. Nhấn "Xác nhận đã giao hàng" và đồng ý ở popup xác nhận.
9. Check trạng thái đơn và dòng mới nhất ở block "LỊCH SỬ".</t>
        </is>
      </c>
      <c r="I21" s="11" t="inlineStr">
        <is>
          <t>9. Đơn chuyển sang trạng thái "Đã giao"; block "LỊCH SỬ" có dòng mới "Đã gửi tại quầy lễ tân — Trần Thị Lan".</t>
        </is>
      </c>
      <c r="J21" s="160" t="inlineStr">
        <is>
          <t>AI</t>
        </is>
      </c>
      <c r="K21" s="160" t="inlineStr">
        <is>
          <t>Pending</t>
        </is>
      </c>
      <c r="L21" s="160" t="inlineStr">
        <is>
          <t>No</t>
        </is>
      </c>
      <c r="M21" s="160" t="inlineStr"/>
      <c r="N21" s="264" t="inlineStr"/>
      <c r="O21" s="264" t="inlineStr"/>
      <c r="P21" s="264" t="inlineStr"/>
      <c r="Q21" s="264" t="inlineStr"/>
      <c r="R21" s="264" t="inlineStr"/>
      <c r="S21" s="264" t="inlineStr"/>
      <c r="T21" s="264" t="n"/>
      <c r="U21" s="264" t="n"/>
      <c r="V21" s="264" t="n"/>
      <c r="W21" s="264" t="n"/>
      <c r="X21" s="264" t="n"/>
      <c r="Y21" s="264" t="n"/>
      <c r="Z21" s="264" t="n"/>
      <c r="AA21" s="264" t="n"/>
      <c r="AB21" s="264" t="n"/>
      <c r="AC21" s="264" t="n"/>
      <c r="AD21" s="264" t="n"/>
      <c r="AE21" s="264" t="n"/>
      <c r="AF21" s="264" t="n"/>
      <c r="AG21" s="264" t="n"/>
      <c r="AH21" s="264" t="n"/>
      <c r="AI21" s="264" t="n"/>
      <c r="AJ21" s="264" t="n"/>
      <c r="AK21" s="264" t="n"/>
      <c r="AL21" s="264" t="n"/>
      <c r="AM21" s="264" t="n"/>
      <c r="AN21" s="264" t="n"/>
      <c r="AO21" s="264" t="n"/>
      <c r="AP21" s="264" t="n"/>
      <c r="AQ21" s="264" t="n"/>
      <c r="AR21" s="158">
        <f>IF($A21="","",IF(OR($N21="Yes",$T21="Yes",$Z21="Yes",$AF21="Yes",$AL21="Yes"),"Yes","No"))</f>
        <v/>
      </c>
      <c r="AS21" s="158">
        <f>IF($A21="","",IFERROR(IF($AM21&lt;&gt;"",$AM21,IF($AG21&lt;&gt;"",$AG21,IF($AA21&lt;&gt;"",$AA21,IF($U21&lt;&gt;"",$U21,IF($O21&lt;&gt;"",$O21,""))))),""))</f>
        <v/>
      </c>
      <c r="AT21" s="158">
        <f>IFERROR(IF($AN21&lt;&gt;"",$AN21,IF($AH21&lt;&gt;"",$AH21,IF($AB21&lt;&gt;"",$AB21,IF($V21&lt;&gt;"",$V21,IF($P21&lt;&gt;"",$P21,""))))),"")</f>
        <v/>
      </c>
      <c r="AU21" s="265" t="inlineStr">
        <is>
          <t>Mục đích: step 5 là vế âm gộp trong cùng TC — submit khi 2 ô trống phải không đi được, nên step 9 mới quan sát được kết quả dương. · Căn cứ: `C-DLV-06` Resolved 2026-09-17 (BA *"trên UI có dấu * bắt buộc mà"*, QA submit thử với 2 ô trống thì form không đi) + `DOC-v1.1-01` §8.7.1 BR07-03 + §8.12.4 mẫu câu 3. ⛔ Chưa assert cờ "không liên lạc được" và `NTF-05`/`NTF-11` — `C-DLV-08` (a)(b) còn Partially, QA tự xác minh qua block "LỊCH SỬ" trước khi siết TC. · 🔁 Đính chính 2026-09-22 (QC): bước 3 nêu rõ tên nút chính thức "Đã đến địa điểm giao hàng" (v1.1, đổi tên so với "Đã giao cho người nhận" của v1.0) — STG hiện chưa đổi tên, xem BUG-044.</t>
        </is>
      </c>
    </row>
    <row r="22" ht="15.75" customHeight="1" s="216">
      <c r="A22" s="160">
        <f>IF($F22="","",$C$2&amp;"."&amp;COUNTA($F$7:$F22)&amp;"")</f>
        <v/>
      </c>
      <c r="B22" s="160" t="inlineStr">
        <is>
          <t>REQ-DLV-017</t>
        </is>
      </c>
      <c r="C22" s="160" t="inlineStr">
        <is>
          <t>DOC-v1.1-01 · DOC-v1.1-03</t>
        </is>
      </c>
      <c r="D22" s="160" t="inlineStr">
        <is>
          <t>Functional</t>
        </is>
      </c>
      <c r="E22" s="160" t="inlineStr">
        <is>
          <t>Medium</t>
        </is>
      </c>
      <c r="F22" s="11" t="inlineStr">
        <is>
          <t>Check gửi quầy bảo vệ ghi đúng mẫu câu nhật ký riêng của quầy bảo vệ</t>
        </is>
      </c>
      <c r="G22" s="11" t="inlineStr">
        <is>
          <t>- Tài khoản A, B, C là ba CBNV khác nhau trên STG.
- Host app FoxPro đã cài trên thiết bị Android/iOS.
- Thư viện ảnh thiết bị có sẵn ≥5 ảnh JPG, mỗi ảnh ≤5MB.
Test Data: Đơn `IN_TRANSIT` đơn #4 của `SEED-DLV-02`; tên người trực quầy cụ thể + SĐT hợp lệ (test_data_catalog §DLV — Tên người trực quầy)</t>
        </is>
      </c>
      <c r="H22" s="11" t="inlineStr">
        <is>
          <t>1. Đăng nhập bằng tài khoản A, đăng 1 tin NEED khai tài khoản C là người nhận, rồi đăng xuất. (setup)
2. Đăng nhập bằng tài khoản B, nhận đơn đó, nhấn "Tôi đã lấy hàng" và xác nhận. (setup)
3. Nhấn "Đã đến địa điểm giao hàng" để mở màn "Xác nhận đã giao".
4. Chọn "Quầy bảo vệ" ở field "Giao cho".
5. Nhập "Lê Văn Tám" vào ô "Họ tên người trực quầy".
6. Nhập "0901112223" vào ô "Số điện thoại".
7. Đính 1 ảnh JPG từ thư viện thiết bị.
8. Nhấn "Xác nhận đã giao hàng" và đồng ý ở popup xác nhận.
9. Check dòng mới nhất ở block "LỊCH SỬ".</t>
        </is>
      </c>
      <c r="I22" s="11" t="inlineStr">
        <is>
          <t>9. Block "LỊCH SỬ" có dòng mới "Đã gửi tại quầy bảo vệ — Lê Văn Tám", ⛔ KHÔNG dùng chữ "quầy lễ tân".</t>
        </is>
      </c>
      <c r="J22" s="160" t="inlineStr">
        <is>
          <t>AI</t>
        </is>
      </c>
      <c r="K22" s="160" t="inlineStr">
        <is>
          <t>Pending</t>
        </is>
      </c>
      <c r="L22" s="160" t="inlineStr">
        <is>
          <t>No</t>
        </is>
      </c>
      <c r="M22" s="160" t="inlineStr"/>
      <c r="N22" s="264" t="inlineStr"/>
      <c r="O22" s="264" t="inlineStr"/>
      <c r="P22" s="264" t="inlineStr"/>
      <c r="Q22" s="264" t="inlineStr"/>
      <c r="R22" s="264" t="inlineStr"/>
      <c r="S22" s="264" t="inlineStr"/>
      <c r="T22" s="264" t="n"/>
      <c r="U22" s="264" t="n"/>
      <c r="V22" s="264" t="n"/>
      <c r="W22" s="264" t="n"/>
      <c r="X22" s="264" t="n"/>
      <c r="Y22" s="264" t="n"/>
      <c r="Z22" s="264" t="n"/>
      <c r="AA22" s="264" t="n"/>
      <c r="AB22" s="264" t="n"/>
      <c r="AC22" s="264" t="n"/>
      <c r="AD22" s="264" t="n"/>
      <c r="AE22" s="264" t="n"/>
      <c r="AF22" s="264" t="n"/>
      <c r="AG22" s="264" t="n"/>
      <c r="AH22" s="264" t="n"/>
      <c r="AI22" s="264" t="n"/>
      <c r="AJ22" s="264" t="n"/>
      <c r="AK22" s="264" t="n"/>
      <c r="AL22" s="264" t="n"/>
      <c r="AM22" s="264" t="n"/>
      <c r="AN22" s="264" t="n"/>
      <c r="AO22" s="264" t="n"/>
      <c r="AP22" s="264" t="n"/>
      <c r="AQ22" s="264" t="n"/>
      <c r="AR22" s="158">
        <f>IF($A22="","",IF(OR($N22="Yes",$T22="Yes",$Z22="Yes",$AF22="Yes",$AL22="Yes"),"Yes","No"))</f>
        <v/>
      </c>
      <c r="AS22" s="158">
        <f>IF($A22="","",IFERROR(IF($AM22&lt;&gt;"",$AM22,IF($AG22&lt;&gt;"",$AG22,IF($AA22&lt;&gt;"",$AA22,IF($U22&lt;&gt;"",$U22,IF($O22&lt;&gt;"",$O22,""))))),""))</f>
        <v/>
      </c>
      <c r="AT22" s="158">
        <f>IFERROR(IF($AN22&lt;&gt;"",$AN22,IF($AH22&lt;&gt;"",$AH22,IF($AB22&lt;&gt;"",$AB22,IF($V22&lt;&gt;"",$V22,IF($P22&lt;&gt;"",$P22,""))))),"")</f>
        <v/>
      </c>
      <c r="AU22" s="265" t="inlineStr">
        <is>
          <t>Mục đích: cặp với TC-DLV-045 — hai quầy dùng hai mẫu câu nhật ký khác nhau, lập trình gộp 1 chuỗi là defect. · Căn cứ: `DOC-v1.1-01` §8.7.1 BR07-03 + §8.12.4 mẫu câu 4. ⛔ Chưa assert cờ/`NTF` — `C-DLV-08` (a)(b) còn Partially. · 🔁 Đính chính 2026-09-22 (QC): bước 3 nêu rõ tên nút chính thức "Đã đến địa điểm giao hàng" (v1.1, đổi tên so với "Đã giao cho người nhận" của v1.0) — STG hiện chưa đổi tên, xem BUG-044.</t>
        </is>
      </c>
    </row>
    <row r="23" ht="15.75" customHeight="1" s="216">
      <c r="A23" s="160">
        <f>IF($F23="","",$C$2&amp;"."&amp;COUNTA($F$7:$F23)&amp;"")</f>
        <v/>
      </c>
      <c r="B23" s="160" t="inlineStr">
        <is>
          <t>REQ-DLV-017</t>
        </is>
      </c>
      <c r="C23" s="160" t="inlineStr">
        <is>
          <t>DOC-v1.1-01</t>
        </is>
      </c>
      <c r="D23" s="160" t="inlineStr">
        <is>
          <t>Functional</t>
        </is>
      </c>
      <c r="E23" s="160" t="inlineStr">
        <is>
          <t>Medium</t>
        </is>
      </c>
      <c r="F23" s="11" t="inlineStr">
        <is>
          <t>Check nút xác nhận đã giao hàng chỉ bật sau khi đính ảnh bằng chứng đầu tiên</t>
        </is>
      </c>
      <c r="G23" s="11" t="inlineStr">
        <is>
          <t>- Tài khoản A, B, C là ba CBNV khác nhau trên STG.
- Host app FoxPro đã cài trên thiết bị Android/iOS.
- Thư viện ảnh thiết bị có sẵn ≥5 ảnh JPG, mỗi ảnh ≤5MB.
Test Data: Đơn `IN_TRANSIT` đơn #1 của `SEED-DLV-02`; 0 ảnh (chặn) và 1 ảnh (biên dưới hợp lệ) (test_data_catalog §DLV — Ảnh bằng chứng giao hàng)</t>
        </is>
      </c>
      <c r="H23" s="11" t="inlineStr">
        <is>
          <t>1. Đăng nhập bằng tài khoản A, đăng 1 tin NEED khai tài khoản C là người nhận, rồi đăng xuất. (setup)
2. Đăng nhập bằng tài khoản B, nhận đơn đó, nhấn "Tôi đã lấy hàng" và xác nhận. (setup)
3. Nhấn "Đã đến địa điểm giao hàng" để mở màn "Xác nhận đã giao".
4. Chọn "Người nhận" ở field "Giao cho" mà chưa đính ảnh nào.
5. Check trạng thái nút "Xác nhận đã giao hàng".
6. Đính 1 ảnh JPG từ thư viện thiết bị.
7. Check lại trạng thái nút "Xác nhận đã giao hàng".</t>
        </is>
      </c>
      <c r="I23" s="11" t="inlineStr">
        <is>
          <t>7. Nút "Xác nhận đã giao hàng" ở trạng thái disable tại step 5 khi chưa có ảnh, và chuyển sang enable ngay sau khi đính ảnh đầu tiên.</t>
        </is>
      </c>
      <c r="J23" s="160" t="inlineStr">
        <is>
          <t>AI</t>
        </is>
      </c>
      <c r="K23" s="160" t="inlineStr">
        <is>
          <t>Pending</t>
        </is>
      </c>
      <c r="L23" s="160" t="inlineStr">
        <is>
          <t>No</t>
        </is>
      </c>
      <c r="M23" s="160" t="inlineStr"/>
      <c r="N23" s="264" t="inlineStr"/>
      <c r="O23" s="264" t="inlineStr"/>
      <c r="P23" s="264" t="inlineStr"/>
      <c r="Q23" s="264" t="inlineStr"/>
      <c r="R23" s="264" t="inlineStr"/>
      <c r="S23" s="264" t="inlineStr"/>
      <c r="T23" s="264" t="n"/>
      <c r="U23" s="264" t="n"/>
      <c r="V23" s="264" t="n"/>
      <c r="W23" s="264" t="n"/>
      <c r="X23" s="264" t="n"/>
      <c r="Y23" s="264" t="n"/>
      <c r="Z23" s="264" t="n"/>
      <c r="AA23" s="264" t="n"/>
      <c r="AB23" s="264" t="n"/>
      <c r="AC23" s="264" t="n"/>
      <c r="AD23" s="264" t="n"/>
      <c r="AE23" s="264" t="n"/>
      <c r="AF23" s="264" t="n"/>
      <c r="AG23" s="264" t="n"/>
      <c r="AH23" s="264" t="n"/>
      <c r="AI23" s="264" t="n"/>
      <c r="AJ23" s="264" t="n"/>
      <c r="AK23" s="264" t="n"/>
      <c r="AL23" s="264" t="n"/>
      <c r="AM23" s="264" t="n"/>
      <c r="AN23" s="264" t="n"/>
      <c r="AO23" s="264" t="n"/>
      <c r="AP23" s="264" t="n"/>
      <c r="AQ23" s="264" t="n"/>
      <c r="AR23" s="158">
        <f>IF($A23="","",IF(OR($N23="Yes",$T23="Yes",$Z23="Yes",$AF23="Yes",$AL23="Yes"),"Yes","No"))</f>
        <v/>
      </c>
      <c r="AS23" s="158">
        <f>IF($A23="","",IFERROR(IF($AM23&lt;&gt;"",$AM23,IF($AG23&lt;&gt;"",$AG23,IF($AA23&lt;&gt;"",$AA23,IF($U23&lt;&gt;"",$U23,IF($O23&lt;&gt;"",$O23,""))))),""))</f>
        <v/>
      </c>
      <c r="AT23" s="158">
        <f>IFERROR(IF($AN23&lt;&gt;"",$AN23,IF($AH23&lt;&gt;"",$AH23,IF($AB23&lt;&gt;"",$AB23,IF($V23&lt;&gt;"",$V23,IF($P23&lt;&gt;"",$P23,""))))),"")</f>
        <v/>
      </c>
      <c r="AU23" s="265" t="inlineStr">
        <is>
          <t>Mục đích: cặp biên dưới 0⟷1 của ảnh bằng chứng lúc giao — ngược hẳn ảnh lúc lấy hàng (TC-DLV-042, 0 ảnh vẫn hợp lệ). · Căn cứ: `DOC-v1.1-01` §8.7.1 BR07-02. Chạy TRƯỚC TC-DLV-043 trên cùng đơn #1 vì TC đó sẽ đẩy đơn sang "Đã giao". · 🔁 Đính chính 2026-09-22 (QC): bước 3 nêu rõ tên nút chính thức "Đã đến địa điểm giao hàng" (v1.1, đổi tên so với "Đã giao cho người nhận" của v1.0) — STG hiện chưa đổi tên, xem BUG-044.</t>
        </is>
      </c>
    </row>
    <row r="24" ht="15.75" customHeight="1" s="216">
      <c r="A24" s="160">
        <f>IF($F24="","",$C$2&amp;"."&amp;COUNTA($F$7:$F24)&amp;"")</f>
        <v/>
      </c>
      <c r="B24" s="160" t="inlineStr">
        <is>
          <t>REQ-DLV-017</t>
        </is>
      </c>
      <c r="C24" s="160" t="inlineStr">
        <is>
          <t>DOC-v1.1-01</t>
        </is>
      </c>
      <c r="D24" s="160" t="inlineStr">
        <is>
          <t>Functional</t>
        </is>
      </c>
      <c r="E24" s="160" t="inlineStr">
        <is>
          <t>Medium</t>
        </is>
      </c>
      <c r="F24" s="11" t="inlineStr">
        <is>
          <t>Check ảnh bằng chứng đã gắn mốc nhật ký không xoá được từ màn theo dõi đơn</t>
        </is>
      </c>
      <c r="G24" s="11" t="inlineStr">
        <is>
          <t>- Tài khoản A, B, C là ba CBNV khác nhau trên STG.
- Host app FoxPro đã cài trên thiết bị Android/iOS.
- Thư viện ảnh thiết bị có sẵn ≥5 ảnh JPG, mỗi ảnh ≤5MB.
Test Data: Đơn `DELIVERED` có 1 ảnh bằng chứng = `SEED-DLV-05` (test_data_catalog §DLV — Ảnh bằng chứng giao hàng)</t>
        </is>
      </c>
      <c r="H24"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"Người nhận", đính 1 ảnh JPG rồi nhấn "Xác nhận đã giao hàng" và đồng ý ở popup. (setup)
4. Mở block "LỊCH SỬ" và mở ảnh bằng chứng vừa ghi.
5. Nhấn giữ vào ảnh và tìm thao tác xoá ảnh.
6. Check ảnh bằng chứng ở mốc "Đã giao" sau khi đã thử xoá.</t>
        </is>
      </c>
      <c r="I24" s="11" t="inlineStr">
        <is>
          <t>6. KHÔNG có thao tác xoá nào khả dụng và ảnh bằng chứng vẫn còn nguyên ở mốc nhật ký.</t>
        </is>
      </c>
      <c r="J24" s="160" t="inlineStr">
        <is>
          <t>AI</t>
        </is>
      </c>
      <c r="K24" s="160" t="inlineStr">
        <is>
          <t>Pending</t>
        </is>
      </c>
      <c r="L24" s="160" t="inlineStr">
        <is>
          <t>No</t>
        </is>
      </c>
      <c r="M24" s="160" t="inlineStr"/>
      <c r="N24" s="264" t="inlineStr"/>
      <c r="O24" s="264" t="inlineStr"/>
      <c r="P24" s="264" t="inlineStr"/>
      <c r="Q24" s="264" t="inlineStr"/>
      <c r="R24" s="264" t="inlineStr"/>
      <c r="S24" s="264" t="inlineStr"/>
      <c r="T24" s="264" t="n"/>
      <c r="U24" s="264" t="n"/>
      <c r="V24" s="264" t="n"/>
      <c r="W24" s="264" t="n"/>
      <c r="X24" s="264" t="n"/>
      <c r="Y24" s="264" t="n"/>
      <c r="Z24" s="264" t="n"/>
      <c r="AA24" s="264" t="n"/>
      <c r="AB24" s="264" t="n"/>
      <c r="AC24" s="264" t="n"/>
      <c r="AD24" s="264" t="n"/>
      <c r="AE24" s="264" t="n"/>
      <c r="AF24" s="264" t="n"/>
      <c r="AG24" s="264" t="n"/>
      <c r="AH24" s="264" t="n"/>
      <c r="AI24" s="264" t="n"/>
      <c r="AJ24" s="264" t="n"/>
      <c r="AK24" s="264" t="n"/>
      <c r="AL24" s="264" t="n"/>
      <c r="AM24" s="264" t="n"/>
      <c r="AN24" s="264" t="n"/>
      <c r="AO24" s="264" t="n"/>
      <c r="AP24" s="264" t="n"/>
      <c r="AQ24" s="264" t="n"/>
      <c r="AR24" s="158">
        <f>IF($A24="","",IF(OR($N24="Yes",$T24="Yes",$Z24="Yes",$AF24="Yes",$AL24="Yes"),"Yes","No"))</f>
        <v/>
      </c>
      <c r="AS24" s="158">
        <f>IF($A24="","",IFERROR(IF($AM24&lt;&gt;"",$AM24,IF($AG24&lt;&gt;"",$AG24,IF($AA24&lt;&gt;"",$AA24,IF($U24&lt;&gt;"",$U24,IF($O24&lt;&gt;"",$O24,""))))),""))</f>
        <v/>
      </c>
      <c r="AT24" s="158">
        <f>IFERROR(IF($AN24&lt;&gt;"",$AN24,IF($AH24&lt;&gt;"",$AH24,IF($AB24&lt;&gt;"",$AB24,IF($V24&lt;&gt;"",$V24,IF($P24&lt;&gt;"",$P24,""))))),"")</f>
        <v/>
      </c>
      <c r="AU24" s="265" t="inlineStr">
        <is>
          <t>Căn cứ: `DOC-v1.1-01` §8.7.1 BR07-07 — ảnh gắn vào mốc nhật ký là bất biến. Liên quan cùng nhóm bất biến với TC-DLV-078 (log append-only).</t>
        </is>
      </c>
    </row>
    <row r="25" ht="15.75" customHeight="1" s="216">
      <c r="A25" s="160">
        <f>IF($F25="","",$C$2&amp;"."&amp;COUNTA($F$7:$F25)&amp;"")</f>
        <v/>
      </c>
      <c r="B25" s="160" t="inlineStr">
        <is>
          <t>REQ-DLV-017</t>
        </is>
      </c>
      <c r="C25" s="160" t="inlineStr">
        <is>
          <t>DOC-v1.1-01</t>
        </is>
      </c>
      <c r="D25" s="160" t="inlineStr">
        <is>
          <t>Functional</t>
        </is>
      </c>
      <c r="E25" s="160" t="inlineStr">
        <is>
          <t>Medium</t>
        </is>
      </c>
      <c r="F25" s="11" t="inlineStr">
        <is>
          <t>Check huỷ ở popup xác nhận giao hàng không ghi mốc và giữ nguyên trạng thái đơn</t>
        </is>
      </c>
      <c r="G25" s="11" t="inlineStr">
        <is>
          <t>- Tài khoản A, B, C là ba CBNV khác nhau trên STG.
- Host app FoxPro đã cài trên thiết bị Android/iOS.
- Thư viện ảnh thiết bị có sẵn ≥5 ảnh JPG, mỗi ảnh ≤5MB.
Test Data: Đơn `IN_TRANSIT` đơn #1 của `SEED-DLV-02` (test_data_catalog §DLV — Trạng thái đơn mở rộng)</t>
        </is>
      </c>
      <c r="H25"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"Người nhận" và đính 1 ảnh JPG. (setup)
4. Nhấn "Xác nhận đã giao hàng".
5. Check nội dung popup xác nhận.
6. Nhấn nút huỷ ở popup.
7. Check trạng thái đơn và số dòng ở block "LỊCH SỬ".</t>
        </is>
      </c>
      <c r="I25" s="11" t="inlineStr">
        <is>
          <t>7. Đơn vẫn ở trạng thái "Đang giao" và block "LỊCH SỬ" KHÔNG có dòng mốc mới nào được thêm.</t>
        </is>
      </c>
      <c r="J25" s="160" t="inlineStr">
        <is>
          <t>AI</t>
        </is>
      </c>
      <c r="K25" s="160" t="inlineStr">
        <is>
          <t>Pending</t>
        </is>
      </c>
      <c r="L25" s="160" t="inlineStr">
        <is>
          <t>No</t>
        </is>
      </c>
      <c r="M25" s="160" t="inlineStr"/>
      <c r="N25" s="264" t="inlineStr"/>
      <c r="O25" s="264" t="inlineStr"/>
      <c r="P25" s="264" t="inlineStr"/>
      <c r="Q25" s="264" t="inlineStr"/>
      <c r="R25" s="264" t="inlineStr"/>
      <c r="S25" s="264" t="inlineStr"/>
      <c r="T25" s="264" t="n"/>
      <c r="U25" s="264" t="n"/>
      <c r="V25" s="264" t="n"/>
      <c r="W25" s="264" t="n"/>
      <c r="X25" s="264" t="n"/>
      <c r="Y25" s="264" t="n"/>
      <c r="Z25" s="264" t="n"/>
      <c r="AA25" s="264" t="n"/>
      <c r="AB25" s="264" t="n"/>
      <c r="AC25" s="264" t="n"/>
      <c r="AD25" s="264" t="n"/>
      <c r="AE25" s="264" t="n"/>
      <c r="AF25" s="264" t="n"/>
      <c r="AG25" s="264" t="n"/>
      <c r="AH25" s="264" t="n"/>
      <c r="AI25" s="264" t="n"/>
      <c r="AJ25" s="264" t="n"/>
      <c r="AK25" s="264" t="n"/>
      <c r="AL25" s="264" t="n"/>
      <c r="AM25" s="264" t="n"/>
      <c r="AN25" s="264" t="n"/>
      <c r="AO25" s="264" t="n"/>
      <c r="AP25" s="264" t="n"/>
      <c r="AQ25" s="264" t="n"/>
      <c r="AR25" s="158">
        <f>IF($A25="","",IF(OR($N25="Yes",$T25="Yes",$Z25="Yes",$AF25="Yes",$AL25="Yes"),"Yes","No"))</f>
        <v/>
      </c>
      <c r="AS25" s="158">
        <f>IF($A25="","",IFERROR(IF($AM25&lt;&gt;"",$AM25,IF($AG25&lt;&gt;"",$AG25,IF($AA25&lt;&gt;"",$AA25,IF($U25&lt;&gt;"",$U25,IF($O25&lt;&gt;"",$O25,""))))),""))</f>
        <v/>
      </c>
      <c r="AT25" s="158">
        <f>IFERROR(IF($AN25&lt;&gt;"",$AN25,IF($AH25&lt;&gt;"",$AH25,IF($AB25&lt;&gt;"",$AB25,IF($V25&lt;&gt;"",$V25,IF($P25&lt;&gt;"",$P25,""))))),"")</f>
        <v/>
      </c>
      <c r="AU25" s="265" t="inlineStr">
        <is>
          <t>Mục đích: đối chứng âm cho TC-DLV-043 — popup phải là gate thật, không phải thông báo trang trí. · Căn cứ: `DOC-v1.1-01` §8.7.1 BR07-06 (popup nêu rõ hệ quả không thể hoàn tác trước khi ghi mốc). Chạy TRƯỚC TC-DLV-043 trên cùng đơn #1.</t>
        </is>
      </c>
    </row>
    <row r="26" ht="15.75" customHeight="1" s="216">
      <c r="A26" s="160">
        <f>IF($F26="","",$C$2&amp;"."&amp;COUNTA($F$7:$F26)&amp;"")</f>
        <v/>
      </c>
      <c r="B26" s="160" t="inlineStr">
        <is>
          <t>REQ-DLV-018</t>
        </is>
      </c>
      <c r="C26" s="160" t="inlineStr">
        <is>
          <t>DOC-v1.1-01 · DOC-v1.1-03</t>
        </is>
      </c>
      <c r="D26" s="160" t="inlineStr">
        <is>
          <t>UI</t>
        </is>
      </c>
      <c r="E26" s="160" t="inlineStr">
        <is>
          <t>Medium</t>
        </is>
      </c>
      <c r="F26" s="11" t="inlineStr">
        <is>
          <t>Check luồng không liên lạc được đi đúng bốn tầng và ba phương án đúng thứ tự</t>
        </is>
      </c>
      <c r="G26" s="11" t="inlineStr">
        <is>
          <t>- Tài khoản A, B, C là ba CBNV khác nhau trên STG.
- Host app FoxPro đã cài trên thiết bị Android/iOS.
Test Data: Đơn `IN_TRANSIT` = `SEED-DLV-03` (test_data_catalog §DLV — Trạng thái đơn mở rộng)</t>
        </is>
      </c>
      <c r="H26"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và nhấn "Không thể liên lạc cho người nhận?".
4. Check tên màn vừa mở và các thành phần trên màn đó.
5. Nhấn "Không thể liên lạc với người gửi và người nhận?".
6. Check tiêu đề và hai lựa chọn của modal vừa hiện.
7. Nhấn "Xử lý đơn hàng".
8. Check tên màn vừa mở và thứ tự các phương án trên màn đó.</t>
        </is>
      </c>
      <c r="I26" s="11" t="inlineStr">
        <is>
          <t>8. Màn "Xử lý đơn hàng" hiển thị đúng ba phương án theo thứ tự từ trên xuống: "Gửi tại chốt bảo vệ", "Gửi tại quầy lễ tân", "Cầm hàng về".</t>
        </is>
      </c>
      <c r="J26" s="160" t="inlineStr">
        <is>
          <t>AI</t>
        </is>
      </c>
      <c r="K26" s="160" t="inlineStr">
        <is>
          <t>Pending</t>
        </is>
      </c>
      <c r="L26" s="160" t="inlineStr">
        <is>
          <t>No</t>
        </is>
      </c>
      <c r="M26" s="160" t="inlineStr"/>
      <c r="N26" s="264" t="inlineStr">
        <is>
          <t>Yes</t>
        </is>
      </c>
      <c r="O26" s="264" t="inlineStr"/>
      <c r="P26" s="264" t="inlineStr">
        <is>
          <t>Pass</t>
        </is>
      </c>
      <c r="Q26" s="264" t="inlineStr">
        <is>
          <t>GiangDC2</t>
        </is>
      </c>
      <c r="R26" s="264" t="inlineStr"/>
      <c r="S26" s="264" t="inlineStr"/>
      <c r="T26" s="264" t="n"/>
      <c r="U26" s="264" t="n"/>
      <c r="V26" s="264" t="n"/>
      <c r="W26" s="264" t="n"/>
      <c r="X26" s="264" t="n"/>
      <c r="Y26" s="264" t="n"/>
      <c r="Z26" s="264" t="n"/>
      <c r="AA26" s="264" t="n"/>
      <c r="AB26" s="264" t="n"/>
      <c r="AC26" s="264" t="n"/>
      <c r="AD26" s="264" t="n"/>
      <c r="AE26" s="264" t="n"/>
      <c r="AF26" s="264" t="n"/>
      <c r="AG26" s="264" t="n"/>
      <c r="AH26" s="264" t="n"/>
      <c r="AI26" s="264" t="n"/>
      <c r="AJ26" s="264" t="n"/>
      <c r="AK26" s="264" t="n"/>
      <c r="AL26" s="264" t="n"/>
      <c r="AM26" s="264" t="n"/>
      <c r="AN26" s="264" t="n"/>
      <c r="AO26" s="264" t="n"/>
      <c r="AP26" s="264" t="n"/>
      <c r="AQ26" s="264" t="n"/>
      <c r="AR26" s="158">
        <f>IF($A26="","",IF(OR($N26="Yes",$T26="Yes",$Z26="Yes",$AF26="Yes",$AL26="Yes"),"Yes","No"))</f>
        <v/>
      </c>
      <c r="AS26" s="158">
        <f>IF($A26="","",IFERROR(IF($AM26&lt;&gt;"",$AM26,IF($AG26&lt;&gt;"",$AG26,IF($AA26&lt;&gt;"",$AA26,IF($U26&lt;&gt;"",$U26,IF($O26&lt;&gt;"",$O26,""))))),""))</f>
        <v/>
      </c>
      <c r="AT26" s="158">
        <f>IFERROR(IF($AN26&lt;&gt;"",$AN26,IF($AH26&lt;&gt;"",$AH26,IF($AB26&lt;&gt;"",$AB26,IF($V26&lt;&gt;"",$V26,IF($P26&lt;&gt;"",$P26,""))))),"")</f>
        <v/>
      </c>
      <c r="AU26" s="265" t="inlineStr">
        <is>
          <t>Mục đích: `BR08-02` ghi thứ tự NGƯỢC (lễ tân trước bảo vệ) và mô tả 1 danh sách 4 bước — assert theo PRD sẽ FAIL oan. · Căn cứ: `C-DLV-06` **Resolved 2026-09-17** — cấu trúc 4 tầng (màn "Xác nhận đã giao" → màn "Liên hệ người gửi" → modal "Chưa liên lạc được?" → màn "Xử lý đơn hàng") và thứ tự bảo-vệ-trước là oracle chính thức, khớp `AC-17.1.01`/`§8.8.2`. App lệch bản này ⇒ log bug và dẫn `C-DLV-06`, ⛔ không sửa TC theo `BR08-02`.</t>
        </is>
      </c>
    </row>
    <row r="27" ht="15.75" customHeight="1" s="216">
      <c r="A27" s="160">
        <f>IF($F27="","",$C$2&amp;"."&amp;COUNTA($F$7:$F27)&amp;"")</f>
        <v/>
      </c>
      <c r="B27" s="160" t="inlineStr">
        <is>
          <t>REQ-DLV-018</t>
        </is>
      </c>
      <c r="C27" s="160" t="inlineStr">
        <is>
          <t>DOC-v1.1-01 · DOC-v1.1-03</t>
        </is>
      </c>
      <c r="D27" s="160" t="inlineStr">
        <is>
          <t>Functional</t>
        </is>
      </c>
      <c r="E27" s="160" t="inlineStr">
        <is>
          <t>Medium</t>
        </is>
      </c>
      <c r="F27" s="11" t="inlineStr">
        <is>
          <t>Check màn liên hệ người gửi để trống ô người nhận thay và tự sinh uỷ quyền bởi người gửi</t>
        </is>
      </c>
      <c r="G27" s="11" t="inlineStr">
        <is>
          <t>- Tài khoản A, B, C là ba CBNV khác nhau trên STG.
- Host app FoxPro đã cài trên thiết bị Android/iOS.
Test Data: Đơn `IN_TRANSIT` = `SEED-DLV-03` (test_data_catalog §DLV — Tên người nhận thay)</t>
        </is>
      </c>
      <c r="H27"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và nhấn "Không thể liên lạc cho người nhận?". (setup)
4. Chọn "Người được uỷ quyền" ở field "Giao cho" trên màn "Liên hệ người gửi".
5. Check giá trị hai ô tên và số điện thoại người nhận thay, dòng "Uỷ quyền bởi", khu vực liên hệ người gửi và dấu bắt buộc của ô ảnh.</t>
        </is>
      </c>
      <c r="I27" s="11" t="inlineStr">
        <is>
          <t>5. Hai ô tên và số điện thoại người nhận thay để TRỐNG, dòng "Uỷ quyền bởi" hiển thị "Người gửi" ở trạng thái chỉ đọc, màn hiện số điện thoại người gửi kèm nút gọi, và ô ảnh mang dấu bắt buộc.</t>
        </is>
      </c>
      <c r="J27" s="160" t="inlineStr">
        <is>
          <t>AI</t>
        </is>
      </c>
      <c r="K27" s="160" t="inlineStr">
        <is>
          <t>Pending</t>
        </is>
      </c>
      <c r="L27" s="160" t="inlineStr">
        <is>
          <t>No</t>
        </is>
      </c>
      <c r="M27" s="160" t="inlineStr"/>
      <c r="N27" s="264" t="inlineStr"/>
      <c r="O27" s="264" t="inlineStr"/>
      <c r="P27" s="264" t="inlineStr"/>
      <c r="Q27" s="264" t="inlineStr"/>
      <c r="R27" s="264" t="inlineStr"/>
      <c r="S27" s="264" t="inlineStr"/>
      <c r="T27" s="264" t="n"/>
      <c r="U27" s="264" t="n"/>
      <c r="V27" s="264" t="n"/>
      <c r="W27" s="264" t="n"/>
      <c r="X27" s="264" t="n"/>
      <c r="Y27" s="264" t="n"/>
      <c r="Z27" s="264" t="n"/>
      <c r="AA27" s="264" t="n"/>
      <c r="AB27" s="264" t="n"/>
      <c r="AC27" s="264" t="n"/>
      <c r="AD27" s="264" t="n"/>
      <c r="AE27" s="264" t="n"/>
      <c r="AF27" s="264" t="n"/>
      <c r="AG27" s="264" t="n"/>
      <c r="AH27" s="264" t="n"/>
      <c r="AI27" s="264" t="n"/>
      <c r="AJ27" s="264" t="n"/>
      <c r="AK27" s="264" t="n"/>
      <c r="AL27" s="264" t="n"/>
      <c r="AM27" s="264" t="n"/>
      <c r="AN27" s="264" t="n"/>
      <c r="AO27" s="264" t="n"/>
      <c r="AP27" s="264" t="n"/>
      <c r="AQ27" s="264" t="n"/>
      <c r="AR27" s="158">
        <f>IF($A27="","",IF(OR($N27="Yes",$T27="Yes",$Z27="Yes",$AF27="Yes",$AL27="Yes"),"Yes","No"))</f>
        <v/>
      </c>
      <c r="AS27" s="158">
        <f>IF($A27="","",IFERROR(IF($AM27&lt;&gt;"",$AM27,IF($AG27&lt;&gt;"",$AG27,IF($AA27&lt;&gt;"",$AA27,IF($U27&lt;&gt;"",$U27,IF($O27&lt;&gt;"",$O27,""))))),""))</f>
        <v/>
      </c>
      <c r="AT27" s="158">
        <f>IFERROR(IF($AN27&lt;&gt;"",$AN27,IF($AH27&lt;&gt;"",$AH27,IF($AB27&lt;&gt;"",$AB27,IF($V27&lt;&gt;"",$V27,IF($P27&lt;&gt;"",$P27,""))))),"")</f>
        <v/>
      </c>
      <c r="AU27" s="265" t="inlineStr">
        <is>
          <t>Mục đích: đối chứng với TC-DLV-044 — cùng loại đối tượng nhận nhưng khác MÀN VÀO nên "Uỷ quyền bởi" phải ra giá trị ngược lại; và ở màn này ⛔ KHÔNG prefill người uỷ quyền người gửi đã khai. · Căn cứ: `DOC-v1.1-01` §8.8.1 BR08-03 + §8.7.1 BR07-05. Gộp bốn quan sát vào 1 step Check cuối theo `Project_rule §10.4` mục 1 — cả bốn thuộc cùng một trạng thái tĩnh của màn.</t>
        </is>
      </c>
    </row>
    <row r="28" ht="15.75" customHeight="1" s="216">
      <c r="A28" s="160">
        <f>IF($F28="","",$C$2&amp;"."&amp;COUNTA($F$7:$F28)&amp;"")</f>
        <v/>
      </c>
      <c r="B28" s="160" t="inlineStr">
        <is>
          <t>REQ-DLV-018</t>
        </is>
      </c>
      <c r="C28" s="160" t="inlineStr">
        <is>
          <t>DOC-v1.1-01</t>
        </is>
      </c>
      <c r="D28" s="160" t="inlineStr">
        <is>
          <t>Functional</t>
        </is>
      </c>
      <c r="E28" s="160" t="inlineStr">
        <is>
          <t>Medium</t>
        </is>
      </c>
      <c r="F28" s="11" t="inlineStr">
        <is>
          <t>Check gửi quầy từ màn xử lý đơn hàng chuyển đơn sang đã giao khi nhập đủ tên và ảnh</t>
        </is>
      </c>
      <c r="G28" s="11" t="inlineStr">
        <is>
          <t>- Tài khoản A, B, C là ba CBNV khác nhau trên STG.
- Host app FoxPro đã cài trên thiết bị Android/iOS.
- Thư viện ảnh thiết bị có sẵn ≥5 ảnh JPG, mỗi ảnh ≤5MB.
Test Data: Đơn `IN_TRANSIT` = `SEED-DLV-03`; tên người trực quầy cụ thể + SĐT hợp lệ (test_data_catalog §DLV — Tên người trực quầy)</t>
        </is>
      </c>
      <c r="H28"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nhấn "Không thể liên lạc với người gửi và người nhận?" rồi nhấn "Xử lý đơn hàng". (setup)
4. Nhấn "Gửi tại quầy lễ tân".
5. Nhập "Phạm Thị Hoa" vào ô "Họ tên người trực quầy".
6. Nhập "0933444555" vào ô "Số điện thoại".
7. Đính 1 ảnh JPG từ thư viện thiết bị.
8. Nhấn nút xác nhận và đồng ý ở popup xác nhận.
9. Check trạng thái đơn và dòng mới nhất ở block "LỊCH SỬ".</t>
        </is>
      </c>
      <c r="I28" s="11" t="inlineStr">
        <is>
          <t>9. Đơn chuyển sang trạng thái "Đã giao"; block "LỊCH SỬ" có dòng mới "Đã gửi tại quầy lễ tân — Phạm Thị Hoa".</t>
        </is>
      </c>
      <c r="J28" s="160" t="inlineStr">
        <is>
          <t>AI</t>
        </is>
      </c>
      <c r="K28" s="160" t="inlineStr">
        <is>
          <t>Pending</t>
        </is>
      </c>
      <c r="L28" s="160" t="inlineStr">
        <is>
          <t>No</t>
        </is>
      </c>
      <c r="M28" s="160" t="inlineStr"/>
      <c r="N28" s="264" t="inlineStr"/>
      <c r="O28" s="264" t="inlineStr"/>
      <c r="P28" s="264" t="inlineStr"/>
      <c r="Q28" s="264" t="inlineStr"/>
      <c r="R28" s="264" t="inlineStr"/>
      <c r="S28" s="264" t="inlineStr"/>
      <c r="T28" s="264" t="n"/>
      <c r="U28" s="264" t="n"/>
      <c r="V28" s="264" t="n"/>
      <c r="W28" s="264" t="n"/>
      <c r="X28" s="264" t="n"/>
      <c r="Y28" s="264" t="n"/>
      <c r="Z28" s="264" t="n"/>
      <c r="AA28" s="264" t="n"/>
      <c r="AB28" s="264" t="n"/>
      <c r="AC28" s="264" t="n"/>
      <c r="AD28" s="264" t="n"/>
      <c r="AE28" s="264" t="n"/>
      <c r="AF28" s="264" t="n"/>
      <c r="AG28" s="264" t="n"/>
      <c r="AH28" s="264" t="n"/>
      <c r="AI28" s="264" t="n"/>
      <c r="AJ28" s="264" t="n"/>
      <c r="AK28" s="264" t="n"/>
      <c r="AL28" s="264" t="n"/>
      <c r="AM28" s="264" t="n"/>
      <c r="AN28" s="264" t="n"/>
      <c r="AO28" s="264" t="n"/>
      <c r="AP28" s="264" t="n"/>
      <c r="AQ28" s="264" t="n"/>
      <c r="AR28" s="158">
        <f>IF($A28="","",IF(OR($N28="Yes",$T28="Yes",$Z28="Yes",$AF28="Yes",$AL28="Yes"),"Yes","No"))</f>
        <v/>
      </c>
      <c r="AS28" s="158">
        <f>IF($A28="","",IFERROR(IF($AM28&lt;&gt;"",$AM28,IF($AG28&lt;&gt;"",$AG28,IF($AA28&lt;&gt;"",$AA28,IF($U28&lt;&gt;"",$U28,IF($O28&lt;&gt;"",$O28,""))))),""))</f>
        <v/>
      </c>
      <c r="AT28" s="158">
        <f>IFERROR(IF($AN28&lt;&gt;"",$AN28,IF($AH28&lt;&gt;"",$AH28,IF($AB28&lt;&gt;"",$AB28,IF($V28&lt;&gt;"",$V28,IF($P28&lt;&gt;"",$P28,""))))),"")</f>
        <v/>
      </c>
      <c r="AU28" s="265" t="inlineStr">
        <is>
          <t>Mục đích: đường thứ hai tới cùng kết cục của TC-DLV-045 — hai đường phải cùng đòi tên người trực quầy, SĐT và ảnh. · Căn cứ: `DOC-v1.1-01` §8.8.1 BR08-04 + §8.12.4 mẫu câu 3. ⛔ Chưa assert điểm phân biệt với TC-DLV-045 (cờ "không liên lạc được" / `NTF-05` ⟷ `NTF-11`) — `C-DLV-08` (a)(b) còn Partially, QA vibe-check block "LỊCH SỬ" xong mới siết. ⛔ Không assert hạn giữ hàng 4h/24h — out of scope v1.1.</t>
        </is>
      </c>
    </row>
    <row r="29" ht="15.75" customHeight="1" s="216">
      <c r="A29" s="160">
        <f>IF($F29="","",$C$2&amp;"."&amp;COUNTA($F$7:$F29)&amp;"")</f>
        <v/>
      </c>
      <c r="B29" s="160" t="inlineStr">
        <is>
          <t>REQ-DLV-018</t>
        </is>
      </c>
      <c r="C29" s="160" t="inlineStr">
        <is>
          <t>DOC-v1.1-01</t>
        </is>
      </c>
      <c r="D29" s="160" t="inlineStr">
        <is>
          <t>Functional</t>
        </is>
      </c>
      <c r="E29" s="160" t="inlineStr">
        <is>
          <t>Low</t>
        </is>
      </c>
      <c r="F29" s="11" t="inlineStr">
        <is>
          <t>Check không nhập được tên người trực quầy thì buộc chuyển sang cầm hàng về</t>
        </is>
      </c>
      <c r="G29" s="11" t="inlineStr">
        <is>
          <t>- Tài khoản A, B, C là ba CBNV khác nhau trên STG.
- Host app FoxPro đã cài trên thiết bị Android/iOS.
- Thư viện ảnh thiết bị có sẵn ≥5 ảnh JPG, mỗi ảnh ≤5MB.
Test Data: Đơn `IN_TRANSIT` = `SEED-DLV-03`; ô tên người trực quầy rỗng (test_data_catalog §DLV — Tên người trực quầy, nhánh invalid)</t>
        </is>
      </c>
      <c r="H29"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nhấn "Không thể liên lạc với người gửi và người nhận?" rồi nhấn "Xử lý đơn hàng". (setup)
4. Nhấn "Gửi tại chốt bảo vệ".
5. Đính 1 ảnh JPG và để TRỐNG ô "Họ tên người trực quầy".
6. Nhấn nút xác nhận.
7. Check trạng thái đơn và các phương án còn khả dụng trên màn.</t>
        </is>
      </c>
      <c r="I29" s="11" t="inlineStr">
        <is>
          <t>7. Đơn vẫn ở trạng thái "Đang giao" và màn vẫn còn phương án "Cầm hàng về" để chọn tiếp.</t>
        </is>
      </c>
      <c r="J29" s="160" t="inlineStr">
        <is>
          <t>AI</t>
        </is>
      </c>
      <c r="K29" s="160" t="inlineStr">
        <is>
          <t>Pending</t>
        </is>
      </c>
      <c r="L29" s="160" t="inlineStr">
        <is>
          <t>No</t>
        </is>
      </c>
      <c r="M29" s="160" t="inlineStr"/>
      <c r="N29" s="264" t="inlineStr"/>
      <c r="O29" s="264" t="inlineStr"/>
      <c r="P29" s="264" t="inlineStr"/>
      <c r="Q29" s="264" t="inlineStr"/>
      <c r="R29" s="264" t="inlineStr"/>
      <c r="S29" s="264" t="inlineStr"/>
      <c r="T29" s="264" t="n"/>
      <c r="U29" s="264" t="n"/>
      <c r="V29" s="264" t="n"/>
      <c r="W29" s="264" t="n"/>
      <c r="X29" s="264" t="n"/>
      <c r="Y29" s="264" t="n"/>
      <c r="Z29" s="264" t="n"/>
      <c r="AA29" s="264" t="n"/>
      <c r="AB29" s="264" t="n"/>
      <c r="AC29" s="264" t="n"/>
      <c r="AD29" s="264" t="n"/>
      <c r="AE29" s="264" t="n"/>
      <c r="AF29" s="264" t="n"/>
      <c r="AG29" s="264" t="n"/>
      <c r="AH29" s="264" t="n"/>
      <c r="AI29" s="264" t="n"/>
      <c r="AJ29" s="264" t="n"/>
      <c r="AK29" s="264" t="n"/>
      <c r="AL29" s="264" t="n"/>
      <c r="AM29" s="264" t="n"/>
      <c r="AN29" s="264" t="n"/>
      <c r="AO29" s="264" t="n"/>
      <c r="AP29" s="264" t="n"/>
      <c r="AQ29" s="264" t="n"/>
      <c r="AR29" s="158">
        <f>IF($A29="","",IF(OR($N29="Yes",$T29="Yes",$Z29="Yes",$AF29="Yes",$AL29="Yes"),"Yes","No"))</f>
        <v/>
      </c>
      <c r="AS29" s="158">
        <f>IF($A29="","",IFERROR(IF($AM29&lt;&gt;"",$AM29,IF($AG29&lt;&gt;"",$AG29,IF($AA29&lt;&gt;"",$AA29,IF($U29&lt;&gt;"",$U29,IF($O29&lt;&gt;"",$O29,""))))),""))</f>
        <v/>
      </c>
      <c r="AT29" s="158">
        <f>IFERROR(IF($AN29&lt;&gt;"",$AN29,IF($AH29&lt;&gt;"",$AH29,IF($AB29&lt;&gt;"",$AB29,IF($V29&lt;&gt;"",$V29,IF($P29&lt;&gt;"",$P29,""))))),"")</f>
        <v/>
      </c>
      <c r="AU29" s="265" t="inlineStr">
        <is>
          <t>Mục đích: chốt đường thoát khi không có người trực quầy — nhánh gửi quầy phải đóng lại chứ không được cho qua với tên rỗng. · Căn cứ: `DOC-v1.1-01` §8.8.1 BR08-07 + `C-DLV-06` Resolved 2026-09-17 (2 ô quầy là ràng buộc thật, QA đã submit thử với ô trống và form không đi).</t>
        </is>
      </c>
    </row>
    <row r="30" ht="15.75" customHeight="1" s="216">
      <c r="A30" s="160">
        <f>IF($F30="","",$C$2&amp;"."&amp;COUNTA($F$7:$F30)&amp;"")</f>
        <v/>
      </c>
      <c r="B30" s="160" t="inlineStr">
        <is>
          <t>REQ-DLV-018</t>
        </is>
      </c>
      <c r="C30" s="160" t="inlineStr">
        <is>
          <t>DOC-v1.1-01</t>
        </is>
      </c>
      <c r="D30" s="160" t="inlineStr">
        <is>
          <t>Functional</t>
        </is>
      </c>
      <c r="E30" s="160" t="inlineStr">
        <is>
          <t>Low</t>
        </is>
      </c>
      <c r="F30" s="11" t="inlineStr">
        <is>
          <t>Check người gửi thấy cảnh báo không liên lạc được người nhận trong nhật ký</t>
        </is>
      </c>
      <c r="G30" s="11" t="inlineStr">
        <is>
          <t>- Tài khoản A, B, C là ba CBNV khác nhau trên STG.
- Host app FoxPro đã cài trên thiết bị Android/iOS.
- Thư viện ảnh thiết bị có sẵn ≥5 ảnh JPG, mỗi ảnh ≤5MB.
Test Data: Đơn đã đi qua nhánh không liên lạc được = `SEED-DLV-03`; vai người gửi (test_data_catalog §DLV — Trạng thái đơn mở rộng)</t>
        </is>
      </c>
      <c r="H30"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"Gửi tại quầy lễ tân", nhập tên người trực quầy và số điện thoại, đính 1 ảnh rồi xác nhận, sau đó đăng xuất. (setup)
4. Đăng nhập bằng tài khoản A, nhấn tab "Hoạt động" và mở đơn đó. (setup)
5. Mở block "LỊCH SỬ" và check cảnh báo gắn với mốc gửi quầy.</t>
        </is>
      </c>
      <c r="I30" s="11" t="inlineStr">
        <is>
          <t>5. Block "LỊCH SỬ" hiển thị cảnh báo không liên lạc được người nhận gắn đúng mốc gửi quầy.</t>
        </is>
      </c>
      <c r="J30" s="160" t="inlineStr">
        <is>
          <t>AI</t>
        </is>
      </c>
      <c r="K30" s="160" t="inlineStr">
        <is>
          <t>Pending</t>
        </is>
      </c>
      <c r="L30" s="160" t="inlineStr">
        <is>
          <t>No</t>
        </is>
      </c>
      <c r="M30" s="160" t="inlineStr"/>
      <c r="N30" s="264" t="inlineStr"/>
      <c r="O30" s="264" t="inlineStr"/>
      <c r="P30" s="264" t="inlineStr"/>
      <c r="Q30" s="264" t="inlineStr"/>
      <c r="R30" s="264" t="inlineStr"/>
      <c r="S30" s="264" t="inlineStr"/>
      <c r="T30" s="264" t="n"/>
      <c r="U30" s="264" t="n"/>
      <c r="V30" s="264" t="n"/>
      <c r="W30" s="264" t="n"/>
      <c r="X30" s="264" t="n"/>
      <c r="Y30" s="264" t="n"/>
      <c r="Z30" s="264" t="n"/>
      <c r="AA30" s="264" t="n"/>
      <c r="AB30" s="264" t="n"/>
      <c r="AC30" s="264" t="n"/>
      <c r="AD30" s="264" t="n"/>
      <c r="AE30" s="264" t="n"/>
      <c r="AF30" s="264" t="n"/>
      <c r="AG30" s="264" t="n"/>
      <c r="AH30" s="264" t="n"/>
      <c r="AI30" s="264" t="n"/>
      <c r="AJ30" s="264" t="n"/>
      <c r="AK30" s="264" t="n"/>
      <c r="AL30" s="264" t="n"/>
      <c r="AM30" s="264" t="n"/>
      <c r="AN30" s="264" t="n"/>
      <c r="AO30" s="264" t="n"/>
      <c r="AP30" s="264" t="n"/>
      <c r="AQ30" s="264" t="n"/>
      <c r="AR30" s="158">
        <f>IF($A30="","",IF(OR($N30="Yes",$T30="Yes",$Z30="Yes",$AF30="Yes",$AL30="Yes"),"Yes","No"))</f>
        <v/>
      </c>
      <c r="AS30" s="158">
        <f>IF($A30="","",IFERROR(IF($AM30&lt;&gt;"",$AM30,IF($AG30&lt;&gt;"",$AG30,IF($AA30&lt;&gt;"",$AA30,IF($U30&lt;&gt;"",$U30,IF($O30&lt;&gt;"",$O30,""))))),""))</f>
        <v/>
      </c>
      <c r="AT30" s="158">
        <f>IFERROR(IF($AN30&lt;&gt;"",$AN30,IF($AH30&lt;&gt;"",$AH30,IF($AB30&lt;&gt;"",$AB30,IF($V30&lt;&gt;"",$V30,IF($P30&lt;&gt;"",$P30,""))))),"")</f>
        <v/>
      </c>
      <c r="AU30" s="265" t="inlineStr">
        <is>
          <t>Mục đích: 1 trong 3 ô vai — cảnh báo phải hiện cho CẢ 3 bên, ẩn với 1 vai là defect. · Căn cứ: `DOC-v1.1-01` §8.8.1 BR08-05.</t>
        </is>
      </c>
    </row>
    <row r="31" ht="15.75" customHeight="1" s="216">
      <c r="A31" s="160">
        <f>IF($F31="","",$C$2&amp;"."&amp;COUNTA($F$7:$F31)&amp;"")</f>
        <v/>
      </c>
      <c r="B31" s="160" t="inlineStr">
        <is>
          <t>REQ-DLV-018</t>
        </is>
      </c>
      <c r="C31" s="160" t="inlineStr">
        <is>
          <t>DOC-v1.1-01</t>
        </is>
      </c>
      <c r="D31" s="160" t="inlineStr">
        <is>
          <t>Functional</t>
        </is>
      </c>
      <c r="E31" s="160" t="inlineStr">
        <is>
          <t>Low</t>
        </is>
      </c>
      <c r="F31" s="11" t="inlineStr">
        <is>
          <t>Check người vận chuyển thấy cảnh báo không liên lạc được người nhận trong nhật ký</t>
        </is>
      </c>
      <c r="G31" s="11" t="inlineStr">
        <is>
          <t>- Tài khoản A, B, C là ba CBNV khác nhau trên STG.
- Host app FoxPro đã cài trên thiết bị Android/iOS.
- Thư viện ảnh thiết bị có sẵn ≥5 ảnh JPG, mỗi ảnh ≤5MB.
Test Data: Đơn đã đi qua nhánh không liên lạc được = `SEED-DLV-03`; vai người vận chuyển (test_data_catalog §DLV — Trạng thái đơn mở rộng)</t>
        </is>
      </c>
      <c r="H31"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"Gửi tại quầy lễ tân", nhập tên người trực quầy và số điện thoại, đính 1 ảnh rồi xác nhận. (setup)
4. Nhấn tab "Hoạt động" và mở lại đơn đó. (setup)
5. Mở block "LỊCH SỬ" và check cảnh báo gắn với mốc gửi quầy.</t>
        </is>
      </c>
      <c r="I31" s="11" t="inlineStr">
        <is>
          <t>5. Block "LỊCH SỬ" hiển thị cảnh báo không liên lạc được người nhận gắn đúng mốc gửi quầy.</t>
        </is>
      </c>
      <c r="J31" s="160" t="inlineStr">
        <is>
          <t>AI</t>
        </is>
      </c>
      <c r="K31" s="160" t="inlineStr">
        <is>
          <t>Pending</t>
        </is>
      </c>
      <c r="L31" s="160" t="inlineStr">
        <is>
          <t>No</t>
        </is>
      </c>
      <c r="M31" s="160" t="inlineStr"/>
      <c r="N31" s="264" t="inlineStr"/>
      <c r="O31" s="264" t="inlineStr"/>
      <c r="P31" s="264" t="inlineStr"/>
      <c r="Q31" s="264" t="inlineStr"/>
      <c r="R31" s="264" t="inlineStr"/>
      <c r="S31" s="264" t="inlineStr"/>
      <c r="T31" s="264" t="n"/>
      <c r="U31" s="264" t="n"/>
      <c r="V31" s="264" t="n"/>
      <c r="W31" s="264" t="n"/>
      <c r="X31" s="264" t="n"/>
      <c r="Y31" s="264" t="n"/>
      <c r="Z31" s="264" t="n"/>
      <c r="AA31" s="264" t="n"/>
      <c r="AB31" s="264" t="n"/>
      <c r="AC31" s="264" t="n"/>
      <c r="AD31" s="264" t="n"/>
      <c r="AE31" s="264" t="n"/>
      <c r="AF31" s="264" t="n"/>
      <c r="AG31" s="264" t="n"/>
      <c r="AH31" s="264" t="n"/>
      <c r="AI31" s="264" t="n"/>
      <c r="AJ31" s="264" t="n"/>
      <c r="AK31" s="264" t="n"/>
      <c r="AL31" s="264" t="n"/>
      <c r="AM31" s="264" t="n"/>
      <c r="AN31" s="264" t="n"/>
      <c r="AO31" s="264" t="n"/>
      <c r="AP31" s="264" t="n"/>
      <c r="AQ31" s="264" t="n"/>
      <c r="AR31" s="158">
        <f>IF($A31="","",IF(OR($N31="Yes",$T31="Yes",$Z31="Yes",$AF31="Yes",$AL31="Yes"),"Yes","No"))</f>
        <v/>
      </c>
      <c r="AS31" s="158">
        <f>IF($A31="","",IFERROR(IF($AM31&lt;&gt;"",$AM31,IF($AG31&lt;&gt;"",$AG31,IF($AA31&lt;&gt;"",$AA31,IF($U31&lt;&gt;"",$U31,IF($O31&lt;&gt;"",$O31,""))))),""))</f>
        <v/>
      </c>
      <c r="AT31" s="158">
        <f>IFERROR(IF($AN31&lt;&gt;"",$AN31,IF($AH31&lt;&gt;"",$AH31,IF($AB31&lt;&gt;"",$AB31,IF($V31&lt;&gt;"",$V31,IF($P31&lt;&gt;"",$P31,""))))),"")</f>
        <v/>
      </c>
      <c r="AU31" s="265" t="inlineStr">
        <is>
          <t>Căn cứ: `DOC-v1.1-01` §8.8.1 BR08-05.</t>
        </is>
      </c>
    </row>
    <row r="32" ht="15.75" customHeight="1" s="216">
      <c r="A32" s="160">
        <f>IF($F32="","",$C$2&amp;"."&amp;COUNTA($F$7:$F32)&amp;"")</f>
        <v/>
      </c>
      <c r="B32" s="160" t="inlineStr">
        <is>
          <t>REQ-DLV-018</t>
        </is>
      </c>
      <c r="C32" s="160" t="inlineStr">
        <is>
          <t>DOC-v1.1-01</t>
        </is>
      </c>
      <c r="D32" s="160" t="inlineStr">
        <is>
          <t>Functional</t>
        </is>
      </c>
      <c r="E32" s="160" t="inlineStr">
        <is>
          <t>Low</t>
        </is>
      </c>
      <c r="F32" s="11" t="inlineStr">
        <is>
          <t>Check người nhận thấy cảnh báo không liên lạc được người nhận trong nhật ký</t>
        </is>
      </c>
      <c r="G32" s="11" t="inlineStr">
        <is>
          <t>- Tài khoản A, B, C là ba CBNV khác nhau trên STG.
- Host app FoxPro đã cài trên thiết bị Android/iOS.
- Thư viện ảnh thiết bị có sẵn ≥5 ảnh JPG, mỗi ảnh ≤5MB.
Test Data: Đơn đã đi qua nhánh không liên lạc được = `SEED-DLV-03`; vai người nhận (test_data_catalog §DLV — Trạng thái đơn mở rộng)</t>
        </is>
      </c>
      <c r="H32"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"Gửi tại quầy lễ tân", nhập tên người trực quầy và số điện thoại, đính 1 ảnh rồi xác nhận, sau đó đăng xuất. (setup)
4. Đăng nhập bằng tài khoản C, nhấn tab "Hoạt động" và mở đơn đó. (setup)
5. Mở block "LỊCH SỬ" và check cảnh báo gắn với mốc gửi quầy.</t>
        </is>
      </c>
      <c r="I32" s="11" t="inlineStr">
        <is>
          <t>5. Block "LỊCH SỬ" hiển thị cảnh báo không liên lạc được người nhận gắn đúng mốc gửi quầy.</t>
        </is>
      </c>
      <c r="J32" s="160" t="inlineStr">
        <is>
          <t>AI</t>
        </is>
      </c>
      <c r="K32" s="160" t="inlineStr">
        <is>
          <t>Pending</t>
        </is>
      </c>
      <c r="L32" s="160" t="inlineStr">
        <is>
          <t>No</t>
        </is>
      </c>
      <c r="M32" s="160" t="inlineStr"/>
      <c r="N32" s="264" t="inlineStr"/>
      <c r="O32" s="264" t="inlineStr"/>
      <c r="P32" s="264" t="inlineStr"/>
      <c r="Q32" s="264" t="inlineStr"/>
      <c r="R32" s="264" t="inlineStr"/>
      <c r="S32" s="264" t="inlineStr"/>
      <c r="T32" s="264" t="n"/>
      <c r="U32" s="264" t="n"/>
      <c r="V32" s="264" t="n"/>
      <c r="W32" s="264" t="n"/>
      <c r="X32" s="264" t="n"/>
      <c r="Y32" s="264" t="n"/>
      <c r="Z32" s="264" t="n"/>
      <c r="AA32" s="264" t="n"/>
      <c r="AB32" s="264" t="n"/>
      <c r="AC32" s="264" t="n"/>
      <c r="AD32" s="264" t="n"/>
      <c r="AE32" s="264" t="n"/>
      <c r="AF32" s="264" t="n"/>
      <c r="AG32" s="264" t="n"/>
      <c r="AH32" s="264" t="n"/>
      <c r="AI32" s="264" t="n"/>
      <c r="AJ32" s="264" t="n"/>
      <c r="AK32" s="264" t="n"/>
      <c r="AL32" s="264" t="n"/>
      <c r="AM32" s="264" t="n"/>
      <c r="AN32" s="264" t="n"/>
      <c r="AO32" s="264" t="n"/>
      <c r="AP32" s="264" t="n"/>
      <c r="AQ32" s="264" t="n"/>
      <c r="AR32" s="158">
        <f>IF($A32="","",IF(OR($N32="Yes",$T32="Yes",$Z32="Yes",$AF32="Yes",$AL32="Yes"),"Yes","No"))</f>
        <v/>
      </c>
      <c r="AS32" s="158">
        <f>IF($A32="","",IFERROR(IF($AM32&lt;&gt;"",$AM32,IF($AG32&lt;&gt;"",$AG32,IF($AA32&lt;&gt;"",$AA32,IF($U32&lt;&gt;"",$U32,IF($O32&lt;&gt;"",$O32,""))))),""))</f>
        <v/>
      </c>
      <c r="AT32" s="158">
        <f>IFERROR(IF($AN32&lt;&gt;"",$AN32,IF($AH32&lt;&gt;"",$AH32,IF($AB32&lt;&gt;"",$AB32,IF($V32&lt;&gt;"",$V32,IF($P32&lt;&gt;"",$P32,""))))),"")</f>
        <v/>
      </c>
      <c r="AU32" s="265" t="inlineStr">
        <is>
          <t>Mục đích: vai nhạy cảm nhất của bộ ba — chính người nhận là bên bị ghi "không liên lạc được" nên dễ bị ẩn cảnh báo nhất. · Căn cứ: `DOC-v1.1-01` §8.8.1 BR08-05.</t>
        </is>
      </c>
    </row>
    <row r="33" ht="15.75" customHeight="1" s="216">
      <c r="A33" s="160">
        <f>IF($F33="","",$C$2&amp;"."&amp;COUNTA($F$7:$F33)&amp;"")</f>
        <v/>
      </c>
      <c r="B33" s="160" t="inlineStr">
        <is>
          <t>REQ-DLV-018</t>
        </is>
      </c>
      <c r="C33" s="160" t="inlineStr">
        <is>
          <t>DOC-v1.1-01</t>
        </is>
      </c>
      <c r="D33" s="160" t="inlineStr">
        <is>
          <t>Functional</t>
        </is>
      </c>
      <c r="E33" s="160" t="inlineStr">
        <is>
          <t>Low</t>
        </is>
      </c>
      <c r="F33" s="11" t="inlineStr">
        <is>
          <t>Check người nhận nhận đủ hai thông báo nhắc sau bốn giờ và cuối ngày giữ hàng tại quầy</t>
        </is>
      </c>
      <c r="G33" s="11" t="inlineStr">
        <is>
          <t>- Tài khoản A, B, C là ba CBNV khác nhau trên STG.
- Host app FoxPro đã cài trên thiết bị Android/iOS.
- Dev/QA hỗ trợ lùi timestamp đơn để vượt mốc 4 giờ — ⛔ không tái tạo được qua UI.
Test Data: Đơn gửi quầy chưa xác nhận, đã vượt mốc 4h (test_data_catalog §DLV — Trạng thái đơn mở rộng)</t>
        </is>
      </c>
      <c r="H33"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"Quầy lễ tân", nhập tên người trực quầy và số điện thoại, đính 1 ảnh rồi xác nhận, sau đó đăng xuất. (setup)
4. Nhờ dev/QA lùi timestamp của mốc gửi quầy để vượt mốc 4 giờ, rồi chờ tới hết ngày làm việc mà tài khoản C không xác nhận đã nhận hàng. (setup)
5. Đăng nhập bằng tài khoản C, nhấn tab "Thông báo" và check các thông báo của đơn này.</t>
        </is>
      </c>
      <c r="I33" s="11" t="inlineStr">
        <is>
          <t>5. Tab "Thông báo" có đủ hai thông báo nhắc cho đơn này — một sau mốc 4 giờ và một vào cuối ngày.</t>
        </is>
      </c>
      <c r="J33" s="160" t="inlineStr">
        <is>
          <t>AI</t>
        </is>
      </c>
      <c r="K33" s="160" t="inlineStr">
        <is>
          <t>Pending</t>
        </is>
      </c>
      <c r="L33" s="160" t="inlineStr">
        <is>
          <t>No</t>
        </is>
      </c>
      <c r="M33" s="160" t="inlineStr"/>
      <c r="N33" s="264" t="inlineStr"/>
      <c r="O33" s="264" t="inlineStr"/>
      <c r="P33" s="264" t="inlineStr"/>
      <c r="Q33" s="264" t="inlineStr"/>
      <c r="R33" s="264" t="inlineStr"/>
      <c r="S33" s="264" t="inlineStr"/>
      <c r="T33" s="264" t="n"/>
      <c r="U33" s="264" t="n"/>
      <c r="V33" s="264" t="n"/>
      <c r="W33" s="264" t="n"/>
      <c r="X33" s="264" t="n"/>
      <c r="Y33" s="264" t="n"/>
      <c r="Z33" s="264" t="n"/>
      <c r="AA33" s="264" t="n"/>
      <c r="AB33" s="264" t="n"/>
      <c r="AC33" s="264" t="n"/>
      <c r="AD33" s="264" t="n"/>
      <c r="AE33" s="264" t="n"/>
      <c r="AF33" s="264" t="n"/>
      <c r="AG33" s="264" t="n"/>
      <c r="AH33" s="264" t="n"/>
      <c r="AI33" s="264" t="n"/>
      <c r="AJ33" s="264" t="n"/>
      <c r="AK33" s="264" t="n"/>
      <c r="AL33" s="264" t="n"/>
      <c r="AM33" s="264" t="n"/>
      <c r="AN33" s="264" t="n"/>
      <c r="AO33" s="264" t="n"/>
      <c r="AP33" s="264" t="n"/>
      <c r="AQ33" s="264" t="n"/>
      <c r="AR33" s="158">
        <f>IF($A33="","",IF(OR($N33="Yes",$T33="Yes",$Z33="Yes",$AF33="Yes",$AL33="Yes"),"Yes","No"))</f>
        <v/>
      </c>
      <c r="AS33" s="158">
        <f>IF($A33="","",IFERROR(IF($AM33&lt;&gt;"",$AM33,IF($AG33&lt;&gt;"",$AG33,IF($AA33&lt;&gt;"",$AA33,IF($U33&lt;&gt;"",$U33,IF($O33&lt;&gt;"",$O33,""))))),""))</f>
        <v/>
      </c>
      <c r="AT33" s="158">
        <f>IFERROR(IF($AN33&lt;&gt;"",$AN33,IF($AH33&lt;&gt;"",$AH33,IF($AB33&lt;&gt;"",$AB33,IF($V33&lt;&gt;"",$V33,IF($P33&lt;&gt;"",$P33,""))))),"")</f>
        <v/>
      </c>
      <c r="AU33" s="265" t="inlineStr">
        <is>
          <t>Mục đích: `§8.13.1` liệt kê 15 loại thông báo và KHÔNG có loại "nhắc" nào — TC này chính là điểm đối chiếu danh mục với hành vi thật. · Căn cứ: `DOC-v1.1-01` §8.8.1 BR08-06 + `C-DLV-07` Resolved 2026-09-17 (hệ thống CHỈ gửi remind). ⛔ Không assert giờ cụ thể của "cuối ngày" và không FAIL vì kênh push hay in-app — BA không đặc tả, giới hạn đã chấp nhận. ⛔ Không assert vế "sau 24h chuyển admin hỗ trợ" — out of scope v1.1, KHÔNG log bug khi không thấy. · 🚫 Deferred — cần tiền đề thời gian thực, chạy chung lô với TC-DLV-024 (v1.0), TC-DLV-067 và SC-TS-006 (QC GiangDC2, 2026-09-17)</t>
        </is>
      </c>
    </row>
    <row r="34" ht="15.75" customHeight="1" s="216">
      <c r="A34" s="160">
        <f>IF($F34="","",$C$2&amp;"."&amp;COUNTA($F$7:$F34)&amp;"")</f>
        <v/>
      </c>
      <c r="B34" s="160" t="inlineStr">
        <is>
          <t>REQ-DLV-019</t>
        </is>
      </c>
      <c r="C34" s="160" t="inlineStr">
        <is>
          <t>DOC-v1.1-01 · DOC-v1.1-03</t>
        </is>
      </c>
      <c r="D34" s="160" t="inlineStr">
        <is>
          <t>Functional</t>
        </is>
      </c>
      <c r="E34" s="160" t="inlineStr">
        <is>
          <t>Medium</t>
        </is>
      </c>
      <c r="F34" s="11" t="inlineStr">
        <is>
          <t>Check chọn giao lại sau đổi nhãn khối lịch hẹn sang hẹn giao lại và nơi giao lại</t>
        </is>
      </c>
      <c r="G34" s="11" t="inlineStr">
        <is>
          <t>- Tài khoản A, B, C là ba CBNV khác nhau trên STG.
- Host app FoxPro đã cài trên thiết bị Android/iOS.
Test Data: Đơn `IN_TRANSIT` = `SEED-DLV-03`; chế độ `retry` (test_data_catalog §DLV — Chế độ cầm hàng về)</t>
        </is>
      </c>
      <c r="H34"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rồi nhấn "Cầm hàng về". (setup)
4. Chọn "Tôi sẽ giao lại sau".
5. Check tiêu đề khối lịch hẹn và nhãn ô địa điểm.</t>
        </is>
      </c>
      <c r="I34" s="11" t="inlineStr">
        <is>
          <t>5. Khối lịch hẹn mang tiêu đề "Hẹn giao lại" và ô địa điểm mang nhãn "Nơi giao lại".</t>
        </is>
      </c>
      <c r="J34" s="160" t="inlineStr">
        <is>
          <t>AI</t>
        </is>
      </c>
      <c r="K34" s="160" t="inlineStr">
        <is>
          <t>Pending</t>
        </is>
      </c>
      <c r="L34" s="160" t="inlineStr">
        <is>
          <t>No</t>
        </is>
      </c>
      <c r="M34" s="160" t="inlineStr"/>
      <c r="N34" s="264" t="inlineStr"/>
      <c r="O34" s="264" t="inlineStr"/>
      <c r="P34" s="264" t="inlineStr"/>
      <c r="Q34" s="264" t="inlineStr"/>
      <c r="R34" s="264" t="inlineStr"/>
      <c r="S34" s="264" t="inlineStr"/>
      <c r="T34" s="264" t="n"/>
      <c r="U34" s="264" t="n"/>
      <c r="V34" s="264" t="n"/>
      <c r="W34" s="264" t="n"/>
      <c r="X34" s="264" t="n"/>
      <c r="Y34" s="264" t="n"/>
      <c r="Z34" s="264" t="n"/>
      <c r="AA34" s="264" t="n"/>
      <c r="AB34" s="264" t="n"/>
      <c r="AC34" s="264" t="n"/>
      <c r="AD34" s="264" t="n"/>
      <c r="AE34" s="264" t="n"/>
      <c r="AF34" s="264" t="n"/>
      <c r="AG34" s="264" t="n"/>
      <c r="AH34" s="264" t="n"/>
      <c r="AI34" s="264" t="n"/>
      <c r="AJ34" s="264" t="n"/>
      <c r="AK34" s="264" t="n"/>
      <c r="AL34" s="264" t="n"/>
      <c r="AM34" s="264" t="n"/>
      <c r="AN34" s="264" t="n"/>
      <c r="AO34" s="264" t="n"/>
      <c r="AP34" s="264" t="n"/>
      <c r="AQ34" s="264" t="n"/>
      <c r="AR34" s="158">
        <f>IF($A34="","",IF(OR($N34="Yes",$T34="Yes",$Z34="Yes",$AF34="Yes",$AL34="Yes"),"Yes","No"))</f>
        <v/>
      </c>
      <c r="AS34" s="158">
        <f>IF($A34="","",IFERROR(IF($AM34&lt;&gt;"",$AM34,IF($AG34&lt;&gt;"",$AG34,IF($AA34&lt;&gt;"",$AA34,IF($U34&lt;&gt;"",$U34,IF($O34&lt;&gt;"",$O34,""))))),""))</f>
        <v/>
      </c>
      <c r="AT34" s="158">
        <f>IFERROR(IF($AN34&lt;&gt;"",$AN34,IF($AH34&lt;&gt;"",$AH34,IF($AB34&lt;&gt;"",$AB34,IF($V34&lt;&gt;"",$V34,IF($P34&lt;&gt;"",$P34,""))))),"")</f>
        <v/>
      </c>
      <c r="AU34" s="265" t="inlineStr">
        <is>
          <t>Mục đích: cặp với TC-DLV-059 — hai chế độ dùng chung một form nên rất dễ bị lập trình cứng một bộ nhãn. · Căn cứ: `DOC-v1.1-01` §8.9.2 BR09-02.</t>
        </is>
      </c>
    </row>
    <row r="35" ht="15.75" customHeight="1" s="216">
      <c r="A35" s="160">
        <f>IF($F35="","",$C$2&amp;"."&amp;COUNTA($F$7:$F35)&amp;"")</f>
        <v/>
      </c>
      <c r="B35" s="160" t="inlineStr">
        <is>
          <t>REQ-DLV-019</t>
        </is>
      </c>
      <c r="C35" s="160" t="inlineStr">
        <is>
          <t>DOC-v1.1-01 · DOC-v1.1-03</t>
        </is>
      </c>
      <c r="D35" s="160" t="inlineStr">
        <is>
          <t>Functional</t>
        </is>
      </c>
      <c r="E35" s="160" t="inlineStr">
        <is>
          <t>Medium</t>
        </is>
      </c>
      <c r="F35" s="11" t="inlineStr">
        <is>
          <t>Check chọn trả về cho người gửi đổi nhãn khối lịch hẹn sang hẹn trả hàng và nơi nhận lại hàng</t>
        </is>
      </c>
      <c r="G35" s="11" t="inlineStr">
        <is>
          <t>- Tài khoản A, B, C là ba CBNV khác nhau trên STG.
- Host app FoxPro đã cài trên thiết bị Android/iOS.
Test Data: Đơn `IN_TRANSIT` = `SEED-DLV-03`; chế độ `return` (test_data_catalog §DLV — Chế độ cầm hàng về)</t>
        </is>
      </c>
      <c r="H35"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rồi nhấn "Cầm hàng về". (setup)
4. Chọn "Tôi sẽ trả về cho người gửi".
5. Check tiêu đề khối lịch hẹn và nhãn ô địa điểm.</t>
        </is>
      </c>
      <c r="I35" s="11" t="inlineStr">
        <is>
          <t>5. Khối lịch hẹn mang tiêu đề "Hẹn trả hàng" và ô địa điểm mang nhãn "Nơi nhận lại hàng".</t>
        </is>
      </c>
      <c r="J35" s="160" t="inlineStr">
        <is>
          <t>AI</t>
        </is>
      </c>
      <c r="K35" s="160" t="inlineStr">
        <is>
          <t>Pending</t>
        </is>
      </c>
      <c r="L35" s="160" t="inlineStr">
        <is>
          <t>No</t>
        </is>
      </c>
      <c r="M35" s="160" t="inlineStr"/>
      <c r="N35" s="264" t="inlineStr"/>
      <c r="O35" s="264" t="inlineStr"/>
      <c r="P35" s="264" t="inlineStr"/>
      <c r="Q35" s="264" t="inlineStr"/>
      <c r="R35" s="264" t="inlineStr"/>
      <c r="S35" s="264" t="inlineStr"/>
      <c r="T35" s="264" t="n"/>
      <c r="U35" s="264" t="n"/>
      <c r="V35" s="264" t="n"/>
      <c r="W35" s="264" t="n"/>
      <c r="X35" s="264" t="n"/>
      <c r="Y35" s="264" t="n"/>
      <c r="Z35" s="264" t="n"/>
      <c r="AA35" s="264" t="n"/>
      <c r="AB35" s="264" t="n"/>
      <c r="AC35" s="264" t="n"/>
      <c r="AD35" s="264" t="n"/>
      <c r="AE35" s="264" t="n"/>
      <c r="AF35" s="264" t="n"/>
      <c r="AG35" s="264" t="n"/>
      <c r="AH35" s="264" t="n"/>
      <c r="AI35" s="264" t="n"/>
      <c r="AJ35" s="264" t="n"/>
      <c r="AK35" s="264" t="n"/>
      <c r="AL35" s="264" t="n"/>
      <c r="AM35" s="264" t="n"/>
      <c r="AN35" s="264" t="n"/>
      <c r="AO35" s="264" t="n"/>
      <c r="AP35" s="264" t="n"/>
      <c r="AQ35" s="264" t="n"/>
      <c r="AR35" s="158">
        <f>IF($A35="","",IF(OR($N35="Yes",$T35="Yes",$Z35="Yes",$AF35="Yes",$AL35="Yes"),"Yes","No"))</f>
        <v/>
      </c>
      <c r="AS35" s="158">
        <f>IF($A35="","",IFERROR(IF($AM35&lt;&gt;"",$AM35,IF($AG35&lt;&gt;"",$AG35,IF($AA35&lt;&gt;"",$AA35,IF($U35&lt;&gt;"",$U35,IF($O35&lt;&gt;"",$O35,""))))),""))</f>
        <v/>
      </c>
      <c r="AT35" s="158">
        <f>IFERROR(IF($AN35&lt;&gt;"",$AN35,IF($AH35&lt;&gt;"",$AH35,IF($AB35&lt;&gt;"",$AB35,IF($V35&lt;&gt;"",$V35,IF($P35&lt;&gt;"",$P35,""))))),"")</f>
        <v/>
      </c>
      <c r="AU35" s="265" t="inlineStr">
        <is>
          <t>Căn cứ: `DOC-v1.1-01` §8.9.2 BR09-02 + vibe-check demo 2026-09-17 (`C-DLV-05` — khối "Hẹn trả hàng" do chính Carrier nhập tại màn "Xử lý đơn hàng").</t>
        </is>
      </c>
    </row>
    <row r="36" ht="15.75" customHeight="1" s="216">
      <c r="A36" s="160">
        <f>IF($F36="","",$C$2&amp;"."&amp;COUNTA($F$7:$F36)&amp;"")</f>
        <v/>
      </c>
      <c r="B36" s="160" t="inlineStr">
        <is>
          <t>REQ-DLV-019</t>
        </is>
      </c>
      <c r="C36" s="160" t="inlineStr">
        <is>
          <t>DOC-v1.1-01</t>
        </is>
      </c>
      <c r="D36" s="160" t="inlineStr">
        <is>
          <t>Functional</t>
        </is>
      </c>
      <c r="E36" s="160" t="inlineStr">
        <is>
          <t>Medium</t>
        </is>
      </c>
      <c r="F36" s="11" t="inlineStr">
        <is>
          <t>Check ngày hẹn nhận đúng bảy ngày và chặn ngày thứ tám</t>
        </is>
      </c>
      <c r="G36" s="11" t="inlineStr">
        <is>
          <t>- Tài khoản A, B, C là ba CBNV khác nhau trên STG.
- Host app FoxPro đã cài trên thiết bị Android/iOS.
Test Data: Ngày hẹn +7 ngày (hợp lệ) và +8 ngày (chặn) (test_data_catalog §DLV — Ngày hẹn cầm hàng về, biên)</t>
        </is>
      </c>
      <c r="H36"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rồi chọn "Tôi sẽ giao lại sau". (setup)
4. Chọn ngày hẹn là ngày hiện tại cộng 7 ngày.
5. Chọn lại ngày hẹn là ngày hiện tại cộng 8 ngày.
6. Check trạng thái ô "Ngày hẹn" và thông báo lỗi nếu có.</t>
        </is>
      </c>
      <c r="I36" s="11" t="inlineStr">
        <is>
          <t>6. Ngày cộng 7 được nhận không báo lỗi, còn ngày cộng 8 bị chặn kèm thông báo lỗi ở ô "Ngày hẹn".</t>
        </is>
      </c>
      <c r="J36" s="160" t="inlineStr">
        <is>
          <t>AI</t>
        </is>
      </c>
      <c r="K36" s="160" t="inlineStr">
        <is>
          <t>Pending</t>
        </is>
      </c>
      <c r="L36" s="160" t="inlineStr">
        <is>
          <t>No</t>
        </is>
      </c>
      <c r="M36" s="160" t="inlineStr"/>
      <c r="N36" s="264" t="inlineStr"/>
      <c r="O36" s="264" t="inlineStr"/>
      <c r="P36" s="264" t="inlineStr"/>
      <c r="Q36" s="264" t="inlineStr"/>
      <c r="R36" s="264" t="inlineStr"/>
      <c r="S36" s="264" t="inlineStr"/>
      <c r="T36" s="264" t="n"/>
      <c r="U36" s="264" t="n"/>
      <c r="V36" s="264" t="n"/>
      <c r="W36" s="264" t="n"/>
      <c r="X36" s="264" t="n"/>
      <c r="Y36" s="264" t="n"/>
      <c r="Z36" s="264" t="n"/>
      <c r="AA36" s="264" t="n"/>
      <c r="AB36" s="264" t="n"/>
      <c r="AC36" s="264" t="n"/>
      <c r="AD36" s="264" t="n"/>
      <c r="AE36" s="264" t="n"/>
      <c r="AF36" s="264" t="n"/>
      <c r="AG36" s="264" t="n"/>
      <c r="AH36" s="264" t="n"/>
      <c r="AI36" s="264" t="n"/>
      <c r="AJ36" s="264" t="n"/>
      <c r="AK36" s="264" t="n"/>
      <c r="AL36" s="264" t="n"/>
      <c r="AM36" s="264" t="n"/>
      <c r="AN36" s="264" t="n"/>
      <c r="AO36" s="264" t="n"/>
      <c r="AP36" s="264" t="n"/>
      <c r="AQ36" s="264" t="n"/>
      <c r="AR36" s="158">
        <f>IF($A36="","",IF(OR($N36="Yes",$T36="Yes",$Z36="Yes",$AF36="Yes",$AL36="Yes"),"Yes","No"))</f>
        <v/>
      </c>
      <c r="AS36" s="158">
        <f>IF($A36="","",IFERROR(IF($AM36&lt;&gt;"",$AM36,IF($AG36&lt;&gt;"",$AG36,IF($AA36&lt;&gt;"",$AA36,IF($U36&lt;&gt;"",$U36,IF($O36&lt;&gt;"",$O36,""))))),""))</f>
        <v/>
      </c>
      <c r="AT36" s="158">
        <f>IFERROR(IF($AN36&lt;&gt;"",$AN36,IF($AH36&lt;&gt;"",$AH36,IF($AB36&lt;&gt;"",$AB36,IF($V36&lt;&gt;"",$V36,IF($P36&lt;&gt;"",$P36,""))))),"")</f>
        <v/>
      </c>
      <c r="AU36" s="265" t="inlineStr">
        <is>
          <t>Mục đích: cặp biên trên của trần 7 ngày — hai giá trị liền kề fail độc lập nên phải nằm trong cùng 1 TC để so được. · Căn cứ: `DOC-v1.1-01` §8.9.2 BR09-04.</t>
        </is>
      </c>
    </row>
    <row r="37" ht="15.75" customHeight="1" s="216">
      <c r="A37" s="160">
        <f>IF($F37="","",$C$2&amp;"."&amp;COUNTA($F$7:$F37)&amp;"")</f>
        <v/>
      </c>
      <c r="B37" s="160" t="inlineStr">
        <is>
          <t>REQ-DLV-019</t>
        </is>
      </c>
      <c r="C37" s="160" t="inlineStr">
        <is>
          <t>DOC-v1.1-01</t>
        </is>
      </c>
      <c r="D37" s="160" t="inlineStr">
        <is>
          <t>Functional</t>
        </is>
      </c>
      <c r="E37" s="160" t="inlineStr">
        <is>
          <t>Medium</t>
        </is>
      </c>
      <c r="F37" s="11" t="inlineStr">
        <is>
          <t>Check khoảng giờ hẹn nhận đúng ba mươi phút và chặn khoảng hai mươi chín phút</t>
        </is>
      </c>
      <c r="G37" s="11" t="inlineStr">
        <is>
          <t>- Tài khoản A, B, C là ba CBNV khác nhau trên STG.
- Host app FoxPro đã cài trên thiết bị Android/iOS.
Test Data: Giờ hẹn 30 phút (hợp lệ), 29 phút (chặn), giờ đến ≤ giờ từ (chặn) (test_data_catalog §DLV — Giờ hẹn từ–đến, biên)</t>
        </is>
      </c>
      <c r="H37"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giao lại sau" và chọn ngày hẹn hợp lệ. (setup)
4. Chọn giờ từ "09:00" và giờ đến "09:30".
5. Chọn lại giờ đến "09:29".
6. Chọn lại giờ đến "08:30".
7. Check trạng thái hai ô giờ và thông báo lỗi nếu có.</t>
        </is>
      </c>
      <c r="I37" s="11" t="inlineStr">
        <is>
          <t>7. Khoảng 09:00–09:30 được nhận không báo lỗi, còn khoảng 09:00–09:29 và khoảng có giờ đến nhỏ hơn giờ từ đều bị chặn kèm thông báo lỗi.</t>
        </is>
      </c>
      <c r="J37" s="160" t="inlineStr">
        <is>
          <t>AI</t>
        </is>
      </c>
      <c r="K37" s="160" t="inlineStr">
        <is>
          <t>Pending</t>
        </is>
      </c>
      <c r="L37" s="160" t="inlineStr">
        <is>
          <t>No</t>
        </is>
      </c>
      <c r="M37" s="160" t="inlineStr"/>
      <c r="N37" s="264" t="inlineStr"/>
      <c r="O37" s="264" t="inlineStr"/>
      <c r="P37" s="264" t="inlineStr"/>
      <c r="Q37" s="264" t="inlineStr"/>
      <c r="R37" s="264" t="inlineStr"/>
      <c r="S37" s="264" t="inlineStr"/>
      <c r="T37" s="264" t="n"/>
      <c r="U37" s="264" t="n"/>
      <c r="V37" s="264" t="n"/>
      <c r="W37" s="264" t="n"/>
      <c r="X37" s="264" t="n"/>
      <c r="Y37" s="264" t="n"/>
      <c r="Z37" s="264" t="n"/>
      <c r="AA37" s="264" t="n"/>
      <c r="AB37" s="264" t="n"/>
      <c r="AC37" s="264" t="n"/>
      <c r="AD37" s="264" t="n"/>
      <c r="AE37" s="264" t="n"/>
      <c r="AF37" s="264" t="n"/>
      <c r="AG37" s="264" t="n"/>
      <c r="AH37" s="264" t="n"/>
      <c r="AI37" s="264" t="n"/>
      <c r="AJ37" s="264" t="n"/>
      <c r="AK37" s="264" t="n"/>
      <c r="AL37" s="264" t="n"/>
      <c r="AM37" s="264" t="n"/>
      <c r="AN37" s="264" t="n"/>
      <c r="AO37" s="264" t="n"/>
      <c r="AP37" s="264" t="n"/>
      <c r="AQ37" s="264" t="n"/>
      <c r="AR37" s="158">
        <f>IF($A37="","",IF(OR($N37="Yes",$T37="Yes",$Z37="Yes",$AF37="Yes",$AL37="Yes"),"Yes","No"))</f>
        <v/>
      </c>
      <c r="AS37" s="158">
        <f>IF($A37="","",IFERROR(IF($AM37&lt;&gt;"",$AM37,IF($AG37&lt;&gt;"",$AG37,IF($AA37&lt;&gt;"",$AA37,IF($U37&lt;&gt;"",$U37,IF($O37&lt;&gt;"",$O37,""))))),""))</f>
        <v/>
      </c>
      <c r="AT37" s="158">
        <f>IFERROR(IF($AN37&lt;&gt;"",$AN37,IF($AH37&lt;&gt;"",$AH37,IF($AB37&lt;&gt;"",$AB37,IF($V37&lt;&gt;"",$V37,IF($P37&lt;&gt;"",$P37,""))))),"")</f>
        <v/>
      </c>
      <c r="AU37" s="265" t="inlineStr">
        <is>
          <t>Mục đích: gộp ba giá trị vào 1 step Check cuối theo `Project_rule §10.4` mục 1 — cả ba cùng thuộc một trạng thái tĩnh của form, không mất khả năng bắt lỗi riêng vì Expected nêu đích danh từng khoảng. · Căn cứ: `DOC-v1.1-01` §8.9.2 BR09-03.</t>
        </is>
      </c>
    </row>
    <row r="38" ht="15.75" customHeight="1" s="216">
      <c r="A38" s="160">
        <f>IF($F38="","",$C$2&amp;"."&amp;COUNTA($F$7:$F38)&amp;"")</f>
        <v/>
      </c>
      <c r="B38" s="160" t="inlineStr">
        <is>
          <t>REQ-DLV-019</t>
        </is>
      </c>
      <c r="C38" s="160" t="inlineStr">
        <is>
          <t>DOC-v1.1-01</t>
        </is>
      </c>
      <c r="D38" s="160" t="inlineStr">
        <is>
          <t>Functional</t>
        </is>
      </c>
      <c r="E38" s="160" t="inlineStr">
        <is>
          <t>Medium</t>
        </is>
      </c>
      <c r="F38" s="11" t="inlineStr">
        <is>
          <t>Check người vận chuyển mở lại màn giao hàng đưa đơn hẹn giao lại về đang giao</t>
        </is>
      </c>
      <c r="G38" s="11" t="inlineStr">
        <is>
          <t>- Tài khoản A, B, C là ba CBNV khác nhau trên STG.
- Host app FoxPro đã cài trên thiết bị Android/iOS.
Test Data: Đơn `RESCHEDULED` = `SEED-DLV-03`; vai người vận chuyển (test_data_catalog §DLV — Trạng thái đơn mở rộng)</t>
        </is>
      </c>
      <c r="H38"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giao lại sau", nhập lịch hẹn hợp lệ và xác nhận. (setup)
4. Nhấn tab "Hoạt động" và mở lại đơn đó.
5. Nhấn "Giao lại theo lịch".
6. Check màn vừa mở và trạng thái đơn.</t>
        </is>
      </c>
      <c r="I38" s="11" t="inlineStr">
        <is>
          <t>6. Màn giao hàng mở lại được và đơn trở về trạng thái "Đang giao".</t>
        </is>
      </c>
      <c r="J38" s="160" t="inlineStr">
        <is>
          <t>AI</t>
        </is>
      </c>
      <c r="K38" s="160" t="inlineStr">
        <is>
          <t>Pending</t>
        </is>
      </c>
      <c r="L38" s="160" t="inlineStr">
        <is>
          <t>No</t>
        </is>
      </c>
      <c r="M38" s="160" t="inlineStr"/>
      <c r="N38" s="264" t="inlineStr"/>
      <c r="O38" s="264" t="inlineStr"/>
      <c r="P38" s="264" t="inlineStr"/>
      <c r="Q38" s="264" t="inlineStr"/>
      <c r="R38" s="264" t="inlineStr"/>
      <c r="S38" s="264" t="inlineStr"/>
      <c r="T38" s="264" t="n"/>
      <c r="U38" s="264" t="n"/>
      <c r="V38" s="264" t="n"/>
      <c r="W38" s="264" t="n"/>
      <c r="X38" s="264" t="n"/>
      <c r="Y38" s="264" t="n"/>
      <c r="Z38" s="264" t="n"/>
      <c r="AA38" s="264" t="n"/>
      <c r="AB38" s="264" t="n"/>
      <c r="AC38" s="264" t="n"/>
      <c r="AD38" s="264" t="n"/>
      <c r="AE38" s="264" t="n"/>
      <c r="AF38" s="264" t="n"/>
      <c r="AG38" s="264" t="n"/>
      <c r="AH38" s="264" t="n"/>
      <c r="AI38" s="264" t="n"/>
      <c r="AJ38" s="264" t="n"/>
      <c r="AK38" s="264" t="n"/>
      <c r="AL38" s="264" t="n"/>
      <c r="AM38" s="264" t="n"/>
      <c r="AN38" s="264" t="n"/>
      <c r="AO38" s="264" t="n"/>
      <c r="AP38" s="264" t="n"/>
      <c r="AQ38" s="264" t="n"/>
      <c r="AR38" s="158">
        <f>IF($A38="","",IF(OR($N38="Yes",$T38="Yes",$Z38="Yes",$AF38="Yes",$AL38="Yes"),"Yes","No"))</f>
        <v/>
      </c>
      <c r="AS38" s="158">
        <f>IF($A38="","",IFERROR(IF($AM38&lt;&gt;"",$AM38,IF($AG38&lt;&gt;"",$AG38,IF($AA38&lt;&gt;"",$AA38,IF($U38&lt;&gt;"",$U38,IF($O38&lt;&gt;"",$O38,""))))),""))</f>
        <v/>
      </c>
      <c r="AT38" s="158">
        <f>IFERROR(IF($AN38&lt;&gt;"",$AN38,IF($AH38&lt;&gt;"",$AH38,IF($AB38&lt;&gt;"",$AB38,IF($V38&lt;&gt;"",$V38,IF($P38&lt;&gt;"",$P38,""))))),"")</f>
        <v/>
      </c>
      <c r="AU38" s="265" t="inlineStr">
        <is>
          <t>Mục đích: `AC-18.1.01` viết *"theo lịch hẹn, đơn quay lại IN_TRANSIT"* — đọc được thành hệ thống tự chuyển, chạy TC theo cách hiểu đó sẽ treo chờ đúng giờ. · Căn cứ: `C-DLV-05` **Resolved 2026-09-17** — chính người vận chuyển bấm, không có gate chặn theo giờ nên bấm sớm hơn lịch hẹn vẫn đi được; không giới hạn số lần hẹn. App chặn theo giờ ⇒ log bug và dẫn `C-DLV-05`.</t>
        </is>
      </c>
    </row>
    <row r="39" ht="15.75" customHeight="1" s="216">
      <c r="A39" s="160">
        <f>IF($F39="","",$C$2&amp;"."&amp;COUNTA($F$7:$F39)&amp;"")</f>
        <v/>
      </c>
      <c r="B39" s="160" t="inlineStr">
        <is>
          <t>REQ-DLV-019</t>
        </is>
      </c>
      <c r="C39" s="160" t="inlineStr">
        <is>
          <t>DOC-v1.1-01</t>
        </is>
      </c>
      <c r="D39" s="160" t="inlineStr">
        <is>
          <t>Functional</t>
        </is>
      </c>
      <c r="E39" s="160" t="inlineStr">
        <is>
          <t>Medium</t>
        </is>
      </c>
      <c r="F39" s="11" t="inlineStr">
        <is>
          <t>Check người gửi xác nhận đã nhận lại hàng đóng đơn ở trạng thái đã trả người gửi</t>
        </is>
      </c>
      <c r="G39" s="11" t="inlineStr">
        <is>
          <t>- Tài khoản A, B, C là ba CBNV khác nhau trên STG.
- Host app FoxPro đã cài trên thiết bị Android/iOS.
Test Data: Đơn `RETURNING` = `SEED-DLV-03`; vai người gửi (test_data_catalog §DLV — Trạng thái đơn mở rộng)</t>
        </is>
      </c>
      <c r="H39"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trả về cho người gửi", nhập lịch hẹn hợp lệ và xác nhận, rồi đăng xuất. (setup)
4. Đăng nhập bằng tài khoản A, nhấn tab "Hoạt động" và mở đơn đó. (setup)
5. Nhấn "Xác nhận đã nhận lại hàng" và đồng ý ở popup xác nhận.
6. Check trạng thái đơn và tab chứa đơn.</t>
        </is>
      </c>
      <c r="I39" s="11" t="inlineStr">
        <is>
          <t>6. Đơn chuyển sang trạng thái đã trả lại người gửi và nằm ở tab "Đã hoàn thành".</t>
        </is>
      </c>
      <c r="J39" s="160" t="inlineStr">
        <is>
          <t>AI</t>
        </is>
      </c>
      <c r="K39" s="160" t="inlineStr">
        <is>
          <t>Pending</t>
        </is>
      </c>
      <c r="L39" s="160" t="inlineStr">
        <is>
          <t>No</t>
        </is>
      </c>
      <c r="M39" s="160" t="inlineStr"/>
      <c r="N39" s="264" t="inlineStr"/>
      <c r="O39" s="264" t="inlineStr"/>
      <c r="P39" s="264" t="inlineStr"/>
      <c r="Q39" s="264" t="inlineStr"/>
      <c r="R39" s="264" t="inlineStr"/>
      <c r="S39" s="264" t="inlineStr"/>
      <c r="T39" s="264" t="n"/>
      <c r="U39" s="264" t="n"/>
      <c r="V39" s="264" t="n"/>
      <c r="W39" s="264" t="n"/>
      <c r="X39" s="264" t="n"/>
      <c r="Y39" s="264" t="n"/>
      <c r="Z39" s="264" t="n"/>
      <c r="AA39" s="264" t="n"/>
      <c r="AB39" s="264" t="n"/>
      <c r="AC39" s="264" t="n"/>
      <c r="AD39" s="264" t="n"/>
      <c r="AE39" s="264" t="n"/>
      <c r="AF39" s="264" t="n"/>
      <c r="AG39" s="264" t="n"/>
      <c r="AH39" s="264" t="n"/>
      <c r="AI39" s="264" t="n"/>
      <c r="AJ39" s="264" t="n"/>
      <c r="AK39" s="264" t="n"/>
      <c r="AL39" s="264" t="n"/>
      <c r="AM39" s="264" t="n"/>
      <c r="AN39" s="264" t="n"/>
      <c r="AO39" s="264" t="n"/>
      <c r="AP39" s="264" t="n"/>
      <c r="AQ39" s="264" t="n"/>
      <c r="AR39" s="158">
        <f>IF($A39="","",IF(OR($N39="Yes",$T39="Yes",$Z39="Yes",$AF39="Yes",$AL39="Yes"),"Yes","No"))</f>
        <v/>
      </c>
      <c r="AS39" s="158">
        <f>IF($A39="","",IFERROR(IF($AM39&lt;&gt;"",$AM39,IF($AG39&lt;&gt;"",$AG39,IF($AA39&lt;&gt;"",$AA39,IF($U39&lt;&gt;"",$U39,IF($O39&lt;&gt;"",$O39,""))))),""))</f>
        <v/>
      </c>
      <c r="AT39" s="158">
        <f>IFERROR(IF($AN39&lt;&gt;"",$AN39,IF($AH39&lt;&gt;"",$AH39,IF($AB39&lt;&gt;"",$AB39,IF($V39&lt;&gt;"",$V39,IF($P39&lt;&gt;"",$P39,""))))),"")</f>
        <v/>
      </c>
      <c r="AU39" s="265" t="inlineStr">
        <is>
          <t>Căn cứ: `DOC-v1.1-01` §8.9.1 BR09-06. Đây là bước tạo trạng thái `RETURNED` dùng chung cho TC-DLV-037/038/039, TC-DLV-064/065, TC-DLV-073 và cho `GIFT`/`ACT` — chạy xong mới chạy nhóm đó.</t>
        </is>
      </c>
    </row>
    <row r="40" ht="15.75" customHeight="1" s="216">
      <c r="A40" s="160">
        <f>IF($F40="","",$C$2&amp;"."&amp;COUNTA($F$7:$F40)&amp;"")</f>
        <v/>
      </c>
      <c r="B40" s="160" t="inlineStr">
        <is>
          <t>REQ-DLV-019</t>
        </is>
      </c>
      <c r="C40" s="160" t="inlineStr">
        <is>
          <t>DOC-v1.1-01</t>
        </is>
      </c>
      <c r="D40" s="160" t="inlineStr">
        <is>
          <t>Functional</t>
        </is>
      </c>
      <c r="E40" s="160" t="inlineStr">
        <is>
          <t>High</t>
        </is>
      </c>
      <c r="F40" s="11" t="inlineStr">
        <is>
          <t>Check đơn đã trả người gửi không mở bước tặng quà cho người gửi</t>
        </is>
      </c>
      <c r="G40" s="11" t="inlineStr">
        <is>
          <t>- Tài khoản A, B, C là ba CBNV khác nhau trên STG.
- Host app FoxPro đã cài trên thiết bị Android/iOS.
Test Data: Đơn `RETURNED` = `SEED-DLV-03`; vai người gửi (test_data_catalog §DLV — Trạng thái đơn mở rộng)</t>
        </is>
      </c>
      <c r="H40"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trả về cho người gửi", nhập lịch hẹn hợp lệ và xác nhận, rồi đăng xuất. (setup)
4. Đăng nhập bằng tài khoản A, mở đơn đó và nhấn "Xác nhận đã nhận lại hàng". (setup)
5. Check màn Theo dõi đơn ngay sau khi xác nhận và các nút trên đơn ở tab "Đã hoàn thành".</t>
        </is>
      </c>
      <c r="I40" s="11" t="inlineStr">
        <is>
          <t>5. KHÔNG có bước tặng quà nào mở ra và đơn KHÔNG có nút tặng quà.</t>
        </is>
      </c>
      <c r="J40" s="160" t="inlineStr">
        <is>
          <t>AI</t>
        </is>
      </c>
      <c r="K40" s="160" t="inlineStr">
        <is>
          <t>Pending</t>
        </is>
      </c>
      <c r="L40" s="160" t="inlineStr">
        <is>
          <t>No</t>
        </is>
      </c>
      <c r="M40" s="160" t="inlineStr"/>
      <c r="N40" s="264" t="inlineStr"/>
      <c r="O40" s="264" t="inlineStr"/>
      <c r="P40" s="264" t="inlineStr"/>
      <c r="Q40" s="264" t="inlineStr"/>
      <c r="R40" s="264" t="inlineStr"/>
      <c r="S40" s="264" t="inlineStr"/>
      <c r="T40" s="264" t="n"/>
      <c r="U40" s="264" t="n"/>
      <c r="V40" s="264" t="n"/>
      <c r="W40" s="264" t="n"/>
      <c r="X40" s="264" t="n"/>
      <c r="Y40" s="264" t="n"/>
      <c r="Z40" s="264" t="n"/>
      <c r="AA40" s="264" t="n"/>
      <c r="AB40" s="264" t="n"/>
      <c r="AC40" s="264" t="n"/>
      <c r="AD40" s="264" t="n"/>
      <c r="AE40" s="264" t="n"/>
      <c r="AF40" s="264" t="n"/>
      <c r="AG40" s="264" t="n"/>
      <c r="AH40" s="264" t="n"/>
      <c r="AI40" s="264" t="n"/>
      <c r="AJ40" s="264" t="n"/>
      <c r="AK40" s="264" t="n"/>
      <c r="AL40" s="264" t="n"/>
      <c r="AM40" s="264" t="n"/>
      <c r="AN40" s="264" t="n"/>
      <c r="AO40" s="264" t="n"/>
      <c r="AP40" s="264" t="n"/>
      <c r="AQ40" s="264" t="n"/>
      <c r="AR40" s="158">
        <f>IF($A40="","",IF(OR($N40="Yes",$T40="Yes",$Z40="Yes",$AF40="Yes",$AL40="Yes"),"Yes","No"))</f>
        <v/>
      </c>
      <c r="AS40" s="158">
        <f>IF($A40="","",IFERROR(IF($AM40&lt;&gt;"",$AM40,IF($AG40&lt;&gt;"",$AG40,IF($AA40&lt;&gt;"",$AA40,IF($U40&lt;&gt;"",$U40,IF($O40&lt;&gt;"",$O40,""))))),""))</f>
        <v/>
      </c>
      <c r="AT40" s="158">
        <f>IFERROR(IF($AN40&lt;&gt;"",$AN40,IF($AH40&lt;&gt;"",$AH40,IF($AB40&lt;&gt;"",$AB40,IF($V40&lt;&gt;"",$V40,IF($P40&lt;&gt;"",$P40,""))))),"")</f>
        <v/>
      </c>
      <c r="AU40" s="265" t="inlineStr">
        <is>
          <t>Mục đích: oracle bảo vệ ranh giới `RETURNED` ⟷ `COMPLETED` — lỗi hay gặp nhất là coi hoàn hàng như một dạng hoàn thành. Chạy sớm nhất trong nhóm hậu-hoàn-hàng. · Căn cứ: `DOC-v1.1-01` §8.9.1 BR09-06 + §8.14.1 (bước tặng quà chỉ mở ở đơn Hoàn thành). Cặp với TC-DLV-065.</t>
        </is>
      </c>
    </row>
    <row r="41" ht="15.75" customHeight="1" s="216">
      <c r="A41" s="160">
        <f>IF($F41="","",$C$2&amp;"."&amp;COUNTA($F$7:$F41)&amp;"")</f>
        <v/>
      </c>
      <c r="B41" s="160" t="inlineStr">
        <is>
          <t>REQ-DLV-019</t>
        </is>
      </c>
      <c r="C41" s="160" t="inlineStr">
        <is>
          <t>DOC-v1.1-01</t>
        </is>
      </c>
      <c r="D41" s="160" t="inlineStr">
        <is>
          <t>Functional</t>
        </is>
      </c>
      <c r="E41" s="160" t="inlineStr">
        <is>
          <t>High</t>
        </is>
      </c>
      <c r="F41" s="11" t="inlineStr">
        <is>
          <t>Check đơn đã trả người gửi không làm tăng chỉ số đơn đã giúp của người vận chuyển</t>
        </is>
      </c>
      <c r="G41" s="11" t="inlineStr">
        <is>
          <t>- Tài khoản A, B, C là ba CBNV khác nhau trên STG.
- Host app FoxPro đã cài trên thiết bị Android/iOS.
Test Data: Đơn `RETURNED` = `SEED-DLV-03`; vai người vận chuyển (test_data_catalog §DLV — Trạng thái đơn mở rộng)</t>
        </is>
      </c>
      <c r="H41" s="11" t="inlineStr">
        <is>
          <t>1. Đăng nhập bằng tài khoản A, đăng 1 tin NEED khai tài khoản C là người nhận, rồi đăng xuất. (setup)
2. Đăng nhập bằng tài khoản B, mở Trang chủ và ghi lại con số "đơn đã giúp" ở khối hero. (setup)
3. Nhận đơn đó, nhấn "Tôi đã lấy hàng" và xác nhận. (setup)
4. Mở màn "Xác nhận đã giao", nhấn "Không thể liên lạc cho người nhận?", đi tiếp tới màn "Xử lý đơn hàng", nhấn "Cầm hàng về", chọn "Tôi sẽ trả về cho người gửi", nhập lịch hẹn hợp lệ và xác nhận, rồi đăng xuất. (setup)
5. Đăng nhập bằng tài khoản A, mở đơn đó, nhấn "Xác nhận đã nhận lại hàng" rồi đăng xuất. (setup)
6. Đăng nhập lại bằng tài khoản B, mở Trang chủ và check con số "đơn đã giúp" ở khối hero.</t>
        </is>
      </c>
      <c r="I41" s="11" t="inlineStr">
        <is>
          <t>6. Con số "đơn đã giúp" bằng đúng con số đã ghi ở step 2, không tăng.</t>
        </is>
      </c>
      <c r="J41" s="160" t="inlineStr">
        <is>
          <t>AI</t>
        </is>
      </c>
      <c r="K41" s="160" t="inlineStr">
        <is>
          <t>Pending</t>
        </is>
      </c>
      <c r="L41" s="160" t="inlineStr">
        <is>
          <t>No</t>
        </is>
      </c>
      <c r="M41" s="160" t="inlineStr"/>
      <c r="N41" s="264" t="inlineStr"/>
      <c r="O41" s="264" t="inlineStr"/>
      <c r="P41" s="264" t="inlineStr"/>
      <c r="Q41" s="264" t="inlineStr"/>
      <c r="R41" s="264" t="inlineStr"/>
      <c r="S41" s="264" t="inlineStr"/>
      <c r="T41" s="264" t="n"/>
      <c r="U41" s="264" t="n"/>
      <c r="V41" s="264" t="n"/>
      <c r="W41" s="264" t="n"/>
      <c r="X41" s="264" t="n"/>
      <c r="Y41" s="264" t="n"/>
      <c r="Z41" s="264" t="n"/>
      <c r="AA41" s="264" t="n"/>
      <c r="AB41" s="264" t="n"/>
      <c r="AC41" s="264" t="n"/>
      <c r="AD41" s="264" t="n"/>
      <c r="AE41" s="264" t="n"/>
      <c r="AF41" s="264" t="n"/>
      <c r="AG41" s="264" t="n"/>
      <c r="AH41" s="264" t="n"/>
      <c r="AI41" s="264" t="n"/>
      <c r="AJ41" s="264" t="n"/>
      <c r="AK41" s="264" t="n"/>
      <c r="AL41" s="264" t="n"/>
      <c r="AM41" s="264" t="n"/>
      <c r="AN41" s="264" t="n"/>
      <c r="AO41" s="264" t="n"/>
      <c r="AP41" s="264" t="n"/>
      <c r="AQ41" s="264" t="n"/>
      <c r="AR41" s="158">
        <f>IF($A41="","",IF(OR($N41="Yes",$T41="Yes",$Z41="Yes",$AF41="Yes",$AL41="Yes"),"Yes","No"))</f>
        <v/>
      </c>
      <c r="AS41" s="158">
        <f>IF($A41="","",IFERROR(IF($AM41&lt;&gt;"",$AM41,IF($AG41&lt;&gt;"",$AG41,IF($AA41&lt;&gt;"",$AA41,IF($U41&lt;&gt;"",$U41,IF($O41&lt;&gt;"",$O41,""))))),""))</f>
        <v/>
      </c>
      <c r="AT41" s="158">
        <f>IFERROR(IF($AN41&lt;&gt;"",$AN41,IF($AH41&lt;&gt;"",$AH41,IF($AB41&lt;&gt;"",$AB41,IF($V41&lt;&gt;"",$V41,IF($P41&lt;&gt;"",$P41,""))))),"")</f>
        <v/>
      </c>
      <c r="AU41" s="265" t="inlineStr">
        <is>
          <t>Mục đích: điểm fail độc lập với TC-DLV-064 — bước tặng quà và chỉ số đóng góp là hai bề mặt khác nhau, khoá một bề mặt không đảm bảo khoá bề mặt kia. · Căn cứ: `DOC-v1.1-01` §8.9.1 BR09-06. Đơn vẫn phải xuất hiện trong tab "Đã hoàn thành" — verify ở TC-DLV-063.</t>
        </is>
      </c>
    </row>
    <row r="42" ht="15.75" customHeight="1" s="216">
      <c r="A42" s="160">
        <f>IF($F42="","",$C$2&amp;"."&amp;COUNTA($F$7:$F42)&amp;"")</f>
        <v/>
      </c>
      <c r="B42" s="160" t="inlineStr">
        <is>
          <t>REQ-DLV-019</t>
        </is>
      </c>
      <c r="C42" s="160" t="inlineStr">
        <is>
          <t>DOC-v1.1-01</t>
        </is>
      </c>
      <c r="D42" s="160" t="inlineStr">
        <is>
          <t>Functional</t>
        </is>
      </c>
      <c r="E42" s="160" t="inlineStr">
        <is>
          <t>Medium</t>
        </is>
      </c>
      <c r="F42" s="11" t="inlineStr">
        <is>
          <t>Check lý do người nhận từ chối nhận hàng được lưu vào nhật ký đơn</t>
        </is>
      </c>
      <c r="G42" s="11" t="inlineStr">
        <is>
          <t>- Tài khoản A, B, C là ba CBNV khác nhau trên STG.
- Host app FoxPro đã cài trên thiết bị Android/iOS.
Test Data: Đơn `IN_TRANSIT` = `SEED-DLV-03`; chế độ `return` + ghi chú lý do từ chối (test_data_catalog §DLV — Chế độ cầm hàng về)</t>
        </is>
      </c>
      <c r="H42"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rồi nhấn "Cầm hàng về". (setup)
4. Chọn "Tôi sẽ trả về cho người gửi".
5. Nhập "Người nhận từ chối nhận hàng" vào ô ghi chú.
6. Nhập lịch hẹn hợp lệ và nhấn xác nhận.
7. Mở block "LỊCH SỬ" và check ghi chú kèm mốc cầm hàng về.</t>
        </is>
      </c>
      <c r="I42" s="11" t="inlineStr">
        <is>
          <t>7. Block "LỊCH SỬ" lưu đúng nguyên văn ghi chú "Người nhận từ chối nhận hàng" gắn với mốc cầm hàng về.</t>
        </is>
      </c>
      <c r="J42" s="160" t="inlineStr">
        <is>
          <t>AI</t>
        </is>
      </c>
      <c r="K42" s="160" t="inlineStr">
        <is>
          <t>Pending</t>
        </is>
      </c>
      <c r="L42" s="160" t="inlineStr">
        <is>
          <t>No</t>
        </is>
      </c>
      <c r="M42" s="160" t="inlineStr"/>
      <c r="N42" s="264" t="inlineStr"/>
      <c r="O42" s="264" t="inlineStr"/>
      <c r="P42" s="264" t="inlineStr"/>
      <c r="Q42" s="264" t="inlineStr"/>
      <c r="R42" s="264" t="inlineStr"/>
      <c r="S42" s="264" t="inlineStr"/>
      <c r="T42" s="264" t="n"/>
      <c r="U42" s="264" t="n"/>
      <c r="V42" s="264" t="n"/>
      <c r="W42" s="264" t="n"/>
      <c r="X42" s="264" t="n"/>
      <c r="Y42" s="264" t="n"/>
      <c r="Z42" s="264" t="n"/>
      <c r="AA42" s="264" t="n"/>
      <c r="AB42" s="264" t="n"/>
      <c r="AC42" s="264" t="n"/>
      <c r="AD42" s="264" t="n"/>
      <c r="AE42" s="264" t="n"/>
      <c r="AF42" s="264" t="n"/>
      <c r="AG42" s="264" t="n"/>
      <c r="AH42" s="264" t="n"/>
      <c r="AI42" s="264" t="n"/>
      <c r="AJ42" s="264" t="n"/>
      <c r="AK42" s="264" t="n"/>
      <c r="AL42" s="264" t="n"/>
      <c r="AM42" s="264" t="n"/>
      <c r="AN42" s="264" t="n"/>
      <c r="AO42" s="264" t="n"/>
      <c r="AP42" s="264" t="n"/>
      <c r="AQ42" s="264" t="n"/>
      <c r="AR42" s="158">
        <f>IF($A42="","",IF(OR($N42="Yes",$T42="Yes",$Z42="Yes",$AF42="Yes",$AL42="Yes"),"Yes","No"))</f>
        <v/>
      </c>
      <c r="AS42" s="158">
        <f>IF($A42="","",IFERROR(IF($AM42&lt;&gt;"",$AM42,IF($AG42&lt;&gt;"",$AG42,IF($AA42&lt;&gt;"",$AA42,IF($U42&lt;&gt;"",$U42,IF($O42&lt;&gt;"",$O42,""))))),""))</f>
        <v/>
      </c>
      <c r="AT42" s="158">
        <f>IFERROR(IF($AN42&lt;&gt;"",$AN42,IF($AH42&lt;&gt;"",$AH42,IF($AB42&lt;&gt;"",$AB42,IF($V42&lt;&gt;"",$V42,IF($P42&lt;&gt;"",$P42,""))))),"")</f>
        <v/>
      </c>
      <c r="AU42" s="265" t="inlineStr">
        <is>
          <t>Căn cứ: `DOC-v1.1-01` §8.9.1 BR09-07 — từ chối nhận hàng đi chung nhánh return, phân biệt với nhánh không liên lạc được chỉ bằng ghi chú.</t>
        </is>
      </c>
    </row>
    <row r="43" ht="15.75" customHeight="1" s="216">
      <c r="A43" s="160">
        <f>IF($F43="","",$C$2&amp;"."&amp;COUNTA($F$7:$F43)&amp;"")</f>
        <v/>
      </c>
      <c r="B43" s="160" t="inlineStr">
        <is>
          <t>REQ-DLV-019</t>
        </is>
      </c>
      <c r="C43" s="160" t="inlineStr">
        <is>
          <t>DOC-v1.1-01</t>
        </is>
      </c>
      <c r="D43" s="160" t="inlineStr">
        <is>
          <t>Functional</t>
        </is>
      </c>
      <c r="E43" s="160" t="inlineStr">
        <is>
          <t>Low</t>
        </is>
      </c>
      <c r="F43" s="11" t="inlineStr">
        <is>
          <t>Check đơn quá lịch hẹn hai mươi bốn giờ không tự chuyển sang hoàn thành</t>
        </is>
      </c>
      <c r="G43" s="11" t="inlineStr">
        <is>
          <t>- Tài khoản A, B, C là ba CBNV khác nhau trên STG.
- Host app FoxPro đã cài trên thiết bị Android/iOS.
- Dev/QA hỗ trợ lùi timestamp lịch hẹn để vượt mốc 24 giờ — ⛔ không tái tạo được qua UI.
Test Data: Đơn `RESCHEDULED` đã quá lịch hẹn 24h (test_data_catalog §DLV — Trạng thái đơn mở rộng)</t>
        </is>
      </c>
      <c r="H43"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giao lại sau", nhập lịch hẹn hợp lệ và xác nhận, rồi đăng xuất. (setup)
4. Nhờ dev/QA lùi timestamp lịch hẹn để vượt mốc 24 giờ mà không ai đóng đơn. (setup)
5. Đăng nhập bằng tài khoản A, nhấn tab "Hoạt động" và mở đơn đó. (setup)
6. Check trạng thái đơn, nhãn trên đơn và tab chứa đơn.</t>
        </is>
      </c>
      <c r="I43" s="11" t="inlineStr">
        <is>
          <t>6. Đơn KHÔNG ở trạng thái "Hoàn thành", KHÔNG có nhãn hay cờ mới nào so với trước mốc, và vẫn nằm ở tab "Đang diễn ra".</t>
        </is>
      </c>
      <c r="J43" s="160" t="inlineStr">
        <is>
          <t>AI</t>
        </is>
      </c>
      <c r="K43" s="160" t="inlineStr">
        <is>
          <t>Pending</t>
        </is>
      </c>
      <c r="L43" s="160" t="inlineStr">
        <is>
          <t>No</t>
        </is>
      </c>
      <c r="M43" s="160" t="inlineStr"/>
      <c r="N43" s="264" t="inlineStr"/>
      <c r="O43" s="264" t="inlineStr"/>
      <c r="P43" s="264" t="inlineStr"/>
      <c r="Q43" s="264" t="inlineStr"/>
      <c r="R43" s="264" t="inlineStr"/>
      <c r="S43" s="264" t="inlineStr"/>
      <c r="T43" s="264" t="n"/>
      <c r="U43" s="264" t="n"/>
      <c r="V43" s="264" t="n"/>
      <c r="W43" s="264" t="n"/>
      <c r="X43" s="264" t="n"/>
      <c r="Y43" s="264" t="n"/>
      <c r="Z43" s="264" t="n"/>
      <c r="AA43" s="264" t="n"/>
      <c r="AB43" s="264" t="n"/>
      <c r="AC43" s="264" t="n"/>
      <c r="AD43" s="264" t="n"/>
      <c r="AE43" s="264" t="n"/>
      <c r="AF43" s="264" t="n"/>
      <c r="AG43" s="264" t="n"/>
      <c r="AH43" s="264" t="n"/>
      <c r="AI43" s="264" t="n"/>
      <c r="AJ43" s="264" t="n"/>
      <c r="AK43" s="264" t="n"/>
      <c r="AL43" s="264" t="n"/>
      <c r="AM43" s="264" t="n"/>
      <c r="AN43" s="264" t="n"/>
      <c r="AO43" s="264" t="n"/>
      <c r="AP43" s="264" t="n"/>
      <c r="AQ43" s="264" t="n"/>
      <c r="AR43" s="158">
        <f>IF($A43="","",IF(OR($N43="Yes",$T43="Yes",$Z43="Yes",$AF43="Yes",$AL43="Yes"),"Yes","No"))</f>
        <v/>
      </c>
      <c r="AS43" s="158">
        <f>IF($A43="","",IFERROR(IF($AM43&lt;&gt;"",$AM43,IF($AG43&lt;&gt;"",$AG43,IF($AA43&lt;&gt;"",$AA43,IF($U43&lt;&gt;"",$U43,IF($O43&lt;&gt;"",$O43,""))))),""))</f>
        <v/>
      </c>
      <c r="AT43" s="158">
        <f>IFERROR(IF($AN43&lt;&gt;"",$AN43,IF($AH43&lt;&gt;"",$AH43,IF($AB43&lt;&gt;"",$AB43,IF($V43&lt;&gt;"",$V43,IF($P43&lt;&gt;"",$P43,""))))),"")</f>
        <v/>
      </c>
      <c r="AU43" s="265" t="inlineStr">
        <is>
          <t>Mục đích: vế duy nhất còn assert được của `BR09-04` sau khi BA cắt scope — dễ bị bỏ sót vì cả câu rule đã bị coi là out of scope. · Căn cứ: `AC-23.2.01` câu cuối + `C-DLV-07` Resolved 2026-09-17 (chỉ gửi remind, đơn không đổi trạng thái/nhãn/cờ). ⛔ Không assert vế "chuyển admin hỗ trợ" — out of scope v1.1, KHÔNG log bug khi không thấy. · 🚫 Deferred — cần tiền đề thời gian thực, chạy chung lô với TC-DLV-024 (v1.0), TC-DLV-057 và SC-TS-006 (QC GiangDC2, 2026-09-17)</t>
        </is>
      </c>
    </row>
    <row r="44" ht="15.75" customHeight="1" s="216">
      <c r="A44" s="160">
        <f>IF($F44="","",$C$2&amp;"."&amp;COUNTA($F$7:$F44)&amp;"")</f>
        <v/>
      </c>
      <c r="B44" s="160" t="inlineStr">
        <is>
          <t>REQ-DLV-020</t>
        </is>
      </c>
      <c r="C44" s="160" t="inlineStr">
        <is>
          <t>DOC-v1.1-01</t>
        </is>
      </c>
      <c r="D44" s="160" t="inlineStr">
        <is>
          <t>Functional</t>
        </is>
      </c>
      <c r="E44" s="160" t="inlineStr">
        <is>
          <t>Medium</t>
        </is>
      </c>
      <c r="F44" s="11" t="inlineStr">
        <is>
          <t>Check nhật ký ghi đúng nguyên văn mẫu câu giao tận tay người nhận</t>
        </is>
      </c>
      <c r="G44" s="11" t="inlineStr">
        <is>
          <t>- Tài khoản A, B, C là ba CBNV khác nhau trên STG.
- Host app FoxPro đã cài trên thiết bị Android/iOS.
- Thư viện ảnh thiết bị có sẵn ≥5 ảnh JPG, mỗi ảnh ≤5MB.
Test Data: Đơn `DELIVERED` qua nhánh giao tận tay = `SEED-DLV-05` (test_data_catalog §DLV — Đối tượng nhận)</t>
        </is>
      </c>
      <c r="H44"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"Người nhận", đính 1 ảnh JPG rồi nhấn "Xác nhận đã giao hàng" và đồng ý ở popup. (setup)
4. Mở block "LỊCH SỬ" và check dòng mốc giao hàng.</t>
        </is>
      </c>
      <c r="I44" s="11" t="inlineStr">
        <is>
          <t>4. Dòng mốc giao hàng ghi đúng nguyên văn "Đã giao tận tay người nhận", kèm thời điểm và dấu hiệu có ảnh bằng chứng.</t>
        </is>
      </c>
      <c r="J44" s="160" t="inlineStr">
        <is>
          <t>AI</t>
        </is>
      </c>
      <c r="K44" s="160" t="inlineStr">
        <is>
          <t>Pending</t>
        </is>
      </c>
      <c r="L44" s="160" t="inlineStr">
        <is>
          <t>No</t>
        </is>
      </c>
      <c r="M44" s="160" t="inlineStr"/>
      <c r="N44" s="264" t="inlineStr">
        <is>
          <t>Yes</t>
        </is>
      </c>
      <c r="O44" s="264" t="inlineStr"/>
      <c r="P44" s="264" t="inlineStr">
        <is>
          <t>Pass</t>
        </is>
      </c>
      <c r="Q44" s="264" t="inlineStr">
        <is>
          <t>GiangDC2</t>
        </is>
      </c>
      <c r="R44" s="264" t="inlineStr"/>
      <c r="S44" s="264" t="inlineStr"/>
      <c r="T44" s="264" t="n"/>
      <c r="U44" s="264" t="n"/>
      <c r="V44" s="264" t="n"/>
      <c r="W44" s="264" t="n"/>
      <c r="X44" s="264" t="n"/>
      <c r="Y44" s="264" t="n"/>
      <c r="Z44" s="264" t="n"/>
      <c r="AA44" s="264" t="n"/>
      <c r="AB44" s="264" t="n"/>
      <c r="AC44" s="264" t="n"/>
      <c r="AD44" s="264" t="n"/>
      <c r="AE44" s="264" t="n"/>
      <c r="AF44" s="264" t="n"/>
      <c r="AG44" s="264" t="n"/>
      <c r="AH44" s="264" t="n"/>
      <c r="AI44" s="264" t="n"/>
      <c r="AJ44" s="264" t="n"/>
      <c r="AK44" s="264" t="n"/>
      <c r="AL44" s="264" t="n"/>
      <c r="AM44" s="264" t="n"/>
      <c r="AN44" s="264" t="n"/>
      <c r="AO44" s="264" t="n"/>
      <c r="AP44" s="264" t="n"/>
      <c r="AQ44" s="264" t="n"/>
      <c r="AR44" s="158">
        <f>IF($A44="","",IF(OR($N44="Yes",$T44="Yes",$Z44="Yes",$AF44="Yes",$AL44="Yes"),"Yes","No"))</f>
        <v/>
      </c>
      <c r="AS44" s="158">
        <f>IF($A44="","",IFERROR(IF($AM44&lt;&gt;"",$AM44,IF($AG44&lt;&gt;"",$AG44,IF($AA44&lt;&gt;"",$AA44,IF($U44&lt;&gt;"",$U44,IF($O44&lt;&gt;"",$O44,""))))),""))</f>
        <v/>
      </c>
      <c r="AT44" s="158">
        <f>IFERROR(IF($AN44&lt;&gt;"",$AN44,IF($AH44&lt;&gt;"",$AH44,IF($AB44&lt;&gt;"",$AB44,IF($V44&lt;&gt;"",$V44,IF($P44&lt;&gt;"",$P44,""))))),"")</f>
        <v/>
      </c>
      <c r="AU44" s="265" t="inlineStr">
        <is>
          <t>Mục đích: 1 trong 6 mẫu câu nhật ký của `§8.12.4` — mỗi mẫu câu là 1 chuỗi verbatim riêng, sai chữ nào là defect chữ đó. · Căn cứ: `DOC-v1.1-01` §8.12.4 mẫu câu 1 + dòng "Mọi dòng" (thời điểm + cờ không liên lạc nếu có + dấu hiệu có ảnh). Assert nguyên văn kể cả dấu gạch ngang, ⛔ không paraphrase.</t>
        </is>
      </c>
    </row>
    <row r="45" ht="15.75" customHeight="1" s="216">
      <c r="A45" s="160">
        <f>IF($F45="","",$C$2&amp;"."&amp;COUNTA($F$7:$F45)&amp;"")</f>
        <v/>
      </c>
      <c r="B45" s="160" t="inlineStr">
        <is>
          <t>REQ-DLV-020</t>
        </is>
      </c>
      <c r="C45" s="160" t="inlineStr">
        <is>
          <t>DOC-v1.1-01</t>
        </is>
      </c>
      <c r="D45" s="160" t="inlineStr">
        <is>
          <t>Functional</t>
        </is>
      </c>
      <c r="E45" s="160" t="inlineStr">
        <is>
          <t>Medium</t>
        </is>
      </c>
      <c r="F45" s="11" t="inlineStr">
        <is>
          <t>Check nhật ký ghi đúng nguyên văn mẫu câu giao cho người được uỷ quyền</t>
        </is>
      </c>
      <c r="G45" s="11" t="inlineStr">
        <is>
          <t>- Tài khoản A, B, C là ba CBNV khác nhau trên STG.
- Host app FoxPro đã cài trên thiết bị Android/iOS.
- Thư viện ảnh thiết bị có sẵn ≥5 ảnh JPG, mỗi ảnh ≤5MB.
Test Data: Đơn `DELIVERED` qua nhánh uỷ quyền; tên 12 ký tự + SĐT hợp lệ (test_data_catalog §DLV — Tên người nhận thay)</t>
        </is>
      </c>
      <c r="H45"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"Người được uỷ quyền", nhập tên "Nguyễn Văn Bảy" và số điện thoại "0912345678", đính 1 ảnh JPG rồi nhấn "Xác nhận đã giao hàng" và đồng ý ở popup. (setup)
4. Mở block "LỊCH SỬ" và check dòng mốc giao hàng.</t>
        </is>
      </c>
      <c r="I45" s="11" t="inlineStr">
        <is>
          <t>4. Dòng mốc giao hàng ghi đúng nguyên văn "Đã giao cho người được uỷ quyền — Nguyễn Văn Bảy · 0912345678 — uỷ quyền bởi Người nhận", kèm thời điểm và dấu hiệu có ảnh bằng chứng.</t>
        </is>
      </c>
      <c r="J45" s="160" t="inlineStr">
        <is>
          <t>AI</t>
        </is>
      </c>
      <c r="K45" s="160" t="inlineStr">
        <is>
          <t>Pending</t>
        </is>
      </c>
      <c r="L45" s="160" t="inlineStr">
        <is>
          <t>No</t>
        </is>
      </c>
      <c r="M45" s="160" t="inlineStr"/>
      <c r="N45" s="264" t="inlineStr"/>
      <c r="O45" s="264" t="inlineStr"/>
      <c r="P45" s="264" t="inlineStr"/>
      <c r="Q45" s="264" t="inlineStr"/>
      <c r="R45" s="264" t="inlineStr"/>
      <c r="S45" s="264" t="inlineStr"/>
      <c r="T45" s="264" t="n"/>
      <c r="U45" s="264" t="n"/>
      <c r="V45" s="264" t="n"/>
      <c r="W45" s="264" t="n"/>
      <c r="X45" s="264" t="n"/>
      <c r="Y45" s="264" t="n"/>
      <c r="Z45" s="264" t="n"/>
      <c r="AA45" s="264" t="n"/>
      <c r="AB45" s="264" t="n"/>
      <c r="AC45" s="264" t="n"/>
      <c r="AD45" s="264" t="n"/>
      <c r="AE45" s="264" t="n"/>
      <c r="AF45" s="264" t="n"/>
      <c r="AG45" s="264" t="n"/>
      <c r="AH45" s="264" t="n"/>
      <c r="AI45" s="264" t="n"/>
      <c r="AJ45" s="264" t="n"/>
      <c r="AK45" s="264" t="n"/>
      <c r="AL45" s="264" t="n"/>
      <c r="AM45" s="264" t="n"/>
      <c r="AN45" s="264" t="n"/>
      <c r="AO45" s="264" t="n"/>
      <c r="AP45" s="264" t="n"/>
      <c r="AQ45" s="264" t="n"/>
      <c r="AR45" s="158">
        <f>IF($A45="","",IF(OR($N45="Yes",$T45="Yes",$Z45="Yes",$AF45="Yes",$AL45="Yes"),"Yes","No"))</f>
        <v/>
      </c>
      <c r="AS45" s="158">
        <f>IF($A45="","",IFERROR(IF($AM45&lt;&gt;"",$AM45,IF($AG45&lt;&gt;"",$AG45,IF($AA45&lt;&gt;"",$AA45,IF($U45&lt;&gt;"",$U45,IF($O45&lt;&gt;"",$O45,""))))),""))</f>
        <v/>
      </c>
      <c r="AT45" s="158">
        <f>IFERROR(IF($AN45&lt;&gt;"",$AN45,IF($AH45&lt;&gt;"",$AH45,IF($AB45&lt;&gt;"",$AB45,IF($V45&lt;&gt;"",$V45,IF($P45&lt;&gt;"",$P45,""))))),"")</f>
        <v/>
      </c>
      <c r="AU45" s="265" t="inlineStr">
        <is>
          <t>Mục đích: mẫu câu phức tạp nhất trong 6 mẫu — có 2 biến nội dung và 1 biến nguồn uỷ quyền, dễ ghép sai thứ tự. · Căn cứ: `DOC-v1.1-01` §8.12.4 mẫu câu 2. Assert nguyên văn kể cả dấu gạch ngang và dấu chấm giữa tên với số điện thoại.</t>
        </is>
      </c>
    </row>
    <row r="46" ht="15.75" customHeight="1" s="216">
      <c r="A46" s="160">
        <f>IF($F46="","",$C$2&amp;"."&amp;COUNTA($F$7:$F46)&amp;"")</f>
        <v/>
      </c>
      <c r="B46" s="160" t="inlineStr">
        <is>
          <t>REQ-DLV-020</t>
        </is>
      </c>
      <c r="C46" s="160" t="inlineStr">
        <is>
          <t>DOC-v1.1-01</t>
        </is>
      </c>
      <c r="D46" s="160" t="inlineStr">
        <is>
          <t>Functional</t>
        </is>
      </c>
      <c r="E46" s="160" t="inlineStr">
        <is>
          <t>Medium</t>
        </is>
      </c>
      <c r="F46" s="11" t="inlineStr">
        <is>
          <t>Check nhật ký ghi đúng nguyên văn mẫu câu gửi tại quầy lễ tân</t>
        </is>
      </c>
      <c r="G46" s="11" t="inlineStr">
        <is>
          <t>- Tài khoản A, B, C là ba CBNV khác nhau trên STG.
- Host app FoxPro đã cài trên thiết bị Android/iOS.
- Thư viện ảnh thiết bị có sẵn ≥5 ảnh JPG, mỗi ảnh ≤5MB.
Test Data: Đơn `DELIVERED` qua nhánh quầy lễ tân (test_data_catalog §DLV — Tên người trực quầy)</t>
        </is>
      </c>
      <c r="H46"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"Quầy lễ tân", nhập tên "Trần Thị Lan" và số điện thoại "0987654321", đính 1 ảnh JPG rồi nhấn "Xác nhận đã giao hàng" và đồng ý ở popup. (setup)
4. Mở block "LỊCH SỬ" và check dòng mốc giao hàng.</t>
        </is>
      </c>
      <c r="I46" s="11" t="inlineStr">
        <is>
          <t>4. Dòng mốc giao hàng ghi đúng nguyên văn "Đã gửi tại quầy lễ tân — Trần Thị Lan", kèm thời điểm và dấu hiệu có ảnh bằng chứng.</t>
        </is>
      </c>
      <c r="J46" s="160" t="inlineStr">
        <is>
          <t>AI</t>
        </is>
      </c>
      <c r="K46" s="160" t="inlineStr">
        <is>
          <t>Pending</t>
        </is>
      </c>
      <c r="L46" s="160" t="inlineStr">
        <is>
          <t>No</t>
        </is>
      </c>
      <c r="M46" s="160" t="inlineStr"/>
      <c r="N46" s="264" t="inlineStr"/>
      <c r="O46" s="264" t="inlineStr"/>
      <c r="P46" s="264" t="inlineStr"/>
      <c r="Q46" s="264" t="inlineStr"/>
      <c r="R46" s="264" t="inlineStr"/>
      <c r="S46" s="264" t="inlineStr"/>
      <c r="T46" s="264" t="n"/>
      <c r="U46" s="264" t="n"/>
      <c r="V46" s="264" t="n"/>
      <c r="W46" s="264" t="n"/>
      <c r="X46" s="264" t="n"/>
      <c r="Y46" s="264" t="n"/>
      <c r="Z46" s="264" t="n"/>
      <c r="AA46" s="264" t="n"/>
      <c r="AB46" s="264" t="n"/>
      <c r="AC46" s="264" t="n"/>
      <c r="AD46" s="264" t="n"/>
      <c r="AE46" s="264" t="n"/>
      <c r="AF46" s="264" t="n"/>
      <c r="AG46" s="264" t="n"/>
      <c r="AH46" s="264" t="n"/>
      <c r="AI46" s="264" t="n"/>
      <c r="AJ46" s="264" t="n"/>
      <c r="AK46" s="264" t="n"/>
      <c r="AL46" s="264" t="n"/>
      <c r="AM46" s="264" t="n"/>
      <c r="AN46" s="264" t="n"/>
      <c r="AO46" s="264" t="n"/>
      <c r="AP46" s="264" t="n"/>
      <c r="AQ46" s="264" t="n"/>
      <c r="AR46" s="158">
        <f>IF($A46="","",IF(OR($N46="Yes",$T46="Yes",$Z46="Yes",$AF46="Yes",$AL46="Yes"),"Yes","No"))</f>
        <v/>
      </c>
      <c r="AS46" s="158">
        <f>IF($A46="","",IFERROR(IF($AM46&lt;&gt;"",$AM46,IF($AG46&lt;&gt;"",$AG46,IF($AA46&lt;&gt;"",$AA46,IF($U46&lt;&gt;"",$U46,IF($O46&lt;&gt;"",$O46,""))))),""))</f>
        <v/>
      </c>
      <c r="AT46" s="158">
        <f>IFERROR(IF($AN46&lt;&gt;"",$AN46,IF($AH46&lt;&gt;"",$AH46,IF($AB46&lt;&gt;"",$AB46,IF($V46&lt;&gt;"",$V46,IF($P46&lt;&gt;"",$P46,""))))),"")</f>
        <v/>
      </c>
      <c r="AU46" s="265" t="inlineStr">
        <is>
          <t>Căn cứ: `DOC-v1.1-01` §8.12.4 mẫu câu 3. Assert nguyên văn, ⛔ không paraphrase.</t>
        </is>
      </c>
    </row>
    <row r="47" ht="15.75" customHeight="1" s="216">
      <c r="A47" s="160">
        <f>IF($F47="","",$C$2&amp;"."&amp;COUNTA($F$7:$F47)&amp;"")</f>
        <v/>
      </c>
      <c r="B47" s="160" t="inlineStr">
        <is>
          <t>REQ-DLV-020</t>
        </is>
      </c>
      <c r="C47" s="160" t="inlineStr">
        <is>
          <t>DOC-v1.1-01</t>
        </is>
      </c>
      <c r="D47" s="160" t="inlineStr">
        <is>
          <t>Functional</t>
        </is>
      </c>
      <c r="E47" s="160" t="inlineStr">
        <is>
          <t>Medium</t>
        </is>
      </c>
      <c r="F47" s="11" t="inlineStr">
        <is>
          <t>Check nhật ký ghi đúng nguyên văn mẫu câu gửi tại quầy bảo vệ</t>
        </is>
      </c>
      <c r="G47" s="11" t="inlineStr">
        <is>
          <t>- Tài khoản A, B, C là ba CBNV khác nhau trên STG.
- Host app FoxPro đã cài trên thiết bị Android/iOS.
- Thư viện ảnh thiết bị có sẵn ≥5 ảnh JPG, mỗi ảnh ≤5MB.
Test Data: Đơn `DELIVERED` qua nhánh quầy bảo vệ (test_data_catalog §DLV — Tên người trực quầy)</t>
        </is>
      </c>
      <c r="H47"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"Quầy bảo vệ", nhập tên "Lê Văn Tám" và số điện thoại "0901112223", đính 1 ảnh JPG rồi nhấn "Xác nhận đã giao hàng" và đồng ý ở popup. (setup)
4. Mở block "LỊCH SỬ" và check dòng mốc giao hàng.</t>
        </is>
      </c>
      <c r="I47" s="11" t="inlineStr">
        <is>
          <t>4. Dòng mốc giao hàng ghi đúng nguyên văn "Đã gửi tại quầy bảo vệ — Lê Văn Tám", kèm thời điểm và dấu hiệu có ảnh bằng chứng.</t>
        </is>
      </c>
      <c r="J47" s="160" t="inlineStr">
        <is>
          <t>AI</t>
        </is>
      </c>
      <c r="K47" s="160" t="inlineStr">
        <is>
          <t>Pending</t>
        </is>
      </c>
      <c r="L47" s="160" t="inlineStr">
        <is>
          <t>No</t>
        </is>
      </c>
      <c r="M47" s="160" t="inlineStr"/>
      <c r="N47" s="264" t="inlineStr"/>
      <c r="O47" s="264" t="inlineStr"/>
      <c r="P47" s="264" t="inlineStr"/>
      <c r="Q47" s="264" t="inlineStr"/>
      <c r="R47" s="264" t="inlineStr"/>
      <c r="S47" s="264" t="inlineStr"/>
      <c r="T47" s="264" t="n"/>
      <c r="U47" s="264" t="n"/>
      <c r="V47" s="264" t="n"/>
      <c r="W47" s="264" t="n"/>
      <c r="X47" s="264" t="n"/>
      <c r="Y47" s="264" t="n"/>
      <c r="Z47" s="264" t="n"/>
      <c r="AA47" s="264" t="n"/>
      <c r="AB47" s="264" t="n"/>
      <c r="AC47" s="264" t="n"/>
      <c r="AD47" s="264" t="n"/>
      <c r="AE47" s="264" t="n"/>
      <c r="AF47" s="264" t="n"/>
      <c r="AG47" s="264" t="n"/>
      <c r="AH47" s="264" t="n"/>
      <c r="AI47" s="264" t="n"/>
      <c r="AJ47" s="264" t="n"/>
      <c r="AK47" s="264" t="n"/>
      <c r="AL47" s="264" t="n"/>
      <c r="AM47" s="264" t="n"/>
      <c r="AN47" s="264" t="n"/>
      <c r="AO47" s="264" t="n"/>
      <c r="AP47" s="264" t="n"/>
      <c r="AQ47" s="264" t="n"/>
      <c r="AR47" s="158">
        <f>IF($A47="","",IF(OR($N47="Yes",$T47="Yes",$Z47="Yes",$AF47="Yes",$AL47="Yes"),"Yes","No"))</f>
        <v/>
      </c>
      <c r="AS47" s="158">
        <f>IF($A47="","",IFERROR(IF($AM47&lt;&gt;"",$AM47,IF($AG47&lt;&gt;"",$AG47,IF($AA47&lt;&gt;"",$AA47,IF($U47&lt;&gt;"",$U47,IF($O47&lt;&gt;"",$O47,""))))),""))</f>
        <v/>
      </c>
      <c r="AT47" s="158">
        <f>IFERROR(IF($AN47&lt;&gt;"",$AN47,IF($AH47&lt;&gt;"",$AH47,IF($AB47&lt;&gt;"",$AB47,IF($V47&lt;&gt;"",$V47,IF($P47&lt;&gt;"",$P47,""))))),"")</f>
        <v/>
      </c>
      <c r="AU47" s="265" t="inlineStr">
        <is>
          <t>Mục đích: cặp với TC-DLV-070 — hai quầy là hai mẫu câu tách biệt trong bảng `§8.12.4`, gộp 1 chuỗi có tham số là defect. · Căn cứ: `DOC-v1.1-01` §8.12.4 mẫu câu 4.</t>
        </is>
      </c>
    </row>
    <row r="48" ht="15.75" customHeight="1" s="216">
      <c r="A48" s="160">
        <f>IF($F48="","",$C$2&amp;"."&amp;COUNTA($F$7:$F48)&amp;"")</f>
        <v/>
      </c>
      <c r="B48" s="160" t="inlineStr">
        <is>
          <t>REQ-DLV-020</t>
        </is>
      </c>
      <c r="C48" s="160" t="inlineStr">
        <is>
          <t>DOC-v1.1-01</t>
        </is>
      </c>
      <c r="D48" s="160" t="inlineStr">
        <is>
          <t>Functional</t>
        </is>
      </c>
      <c r="E48" s="160" t="inlineStr">
        <is>
          <t>Medium</t>
        </is>
      </c>
      <c r="F48" s="11" t="inlineStr">
        <is>
          <t>Check nhật ký ghi đúng nguyên văn mẫu câu cầm hàng về kèm lịch hẹn giao lại</t>
        </is>
      </c>
      <c r="G48" s="11" t="inlineStr">
        <is>
          <t>- Tài khoản A, B, C là ba CBNV khác nhau trên STG.
- Host app FoxPro đã cài trên thiết bị Android/iOS.
Test Data: Đơn `RESCHEDULED` = `SEED-DLV-03`; lịch hẹn hợp lệ + nơi hẹn (test_data_catalog §DLV — Ngày hẹn, Giờ hẹn từ–đến, Nơi hẹn)</t>
        </is>
      </c>
      <c r="H48"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giao lại sau", nhập ngày hẹn hợp lệ, giờ "09:00" đến "10:00", nơi hẹn "Sảnh toà FPT Tower" rồi xác nhận. (setup)
4. Mở block "LỊCH SỬ" và check dòng mốc cầm hàng về.</t>
        </is>
      </c>
      <c r="I48" s="11" t="inlineStr">
        <is>
          <t>4. Dòng mốc ghi đúng nguyên văn "Cầm hàng về — hẹn giao lại" kèm đúng ngày hẹn, khoảng giờ 09:00–10:00 và nơi hẹn "Sảnh toà FPT Tower" đã nhập.</t>
        </is>
      </c>
      <c r="J48" s="160" t="inlineStr">
        <is>
          <t>AI</t>
        </is>
      </c>
      <c r="K48" s="160" t="inlineStr">
        <is>
          <t>Pending</t>
        </is>
      </c>
      <c r="L48" s="160" t="inlineStr">
        <is>
          <t>No</t>
        </is>
      </c>
      <c r="M48" s="160" t="inlineStr"/>
      <c r="N48" s="264" t="inlineStr"/>
      <c r="O48" s="264" t="inlineStr"/>
      <c r="P48" s="264" t="inlineStr"/>
      <c r="Q48" s="264" t="inlineStr"/>
      <c r="R48" s="264" t="inlineStr"/>
      <c r="S48" s="264" t="inlineStr"/>
      <c r="T48" s="264" t="n"/>
      <c r="U48" s="264" t="n"/>
      <c r="V48" s="264" t="n"/>
      <c r="W48" s="264" t="n"/>
      <c r="X48" s="264" t="n"/>
      <c r="Y48" s="264" t="n"/>
      <c r="Z48" s="264" t="n"/>
      <c r="AA48" s="264" t="n"/>
      <c r="AB48" s="264" t="n"/>
      <c r="AC48" s="264" t="n"/>
      <c r="AD48" s="264" t="n"/>
      <c r="AE48" s="264" t="n"/>
      <c r="AF48" s="264" t="n"/>
      <c r="AG48" s="264" t="n"/>
      <c r="AH48" s="264" t="n"/>
      <c r="AI48" s="264" t="n"/>
      <c r="AJ48" s="264" t="n"/>
      <c r="AK48" s="264" t="n"/>
      <c r="AL48" s="264" t="n"/>
      <c r="AM48" s="264" t="n"/>
      <c r="AN48" s="264" t="n"/>
      <c r="AO48" s="264" t="n"/>
      <c r="AP48" s="264" t="n"/>
      <c r="AQ48" s="264" t="n"/>
      <c r="AR48" s="158">
        <f>IF($A48="","",IF(OR($N48="Yes",$T48="Yes",$Z48="Yes",$AF48="Yes",$AL48="Yes"),"Yes","No"))</f>
        <v/>
      </c>
      <c r="AS48" s="158">
        <f>IF($A48="","",IFERROR(IF($AM48&lt;&gt;"",$AM48,IF($AG48&lt;&gt;"",$AG48,IF($AA48&lt;&gt;"",$AA48,IF($U48&lt;&gt;"",$U48,IF($O48&lt;&gt;"",$O48,""))))),""))</f>
        <v/>
      </c>
      <c r="AT48" s="158">
        <f>IFERROR(IF($AN48&lt;&gt;"",$AN48,IF($AH48&lt;&gt;"",$AH48,IF($AB48&lt;&gt;"",$AB48,IF($V48&lt;&gt;"",$V48,IF($P48&lt;&gt;"",$P48,""))))),"")</f>
        <v/>
      </c>
      <c r="AU48" s="265" t="inlineStr">
        <is>
          <t>Căn cứ: `DOC-v1.1-01` §8.12.4 mẫu câu 5 — ba biến ngày/giờ/nơi hẹn phải khớp đúng giá trị vừa nhập ở form.</t>
        </is>
      </c>
    </row>
    <row r="49" ht="15.75" customHeight="1" s="216">
      <c r="A49" s="160">
        <f>IF($F49="","",$C$2&amp;"."&amp;COUNTA($F$7:$F49)&amp;"")</f>
        <v/>
      </c>
      <c r="B49" s="160" t="inlineStr">
        <is>
          <t>REQ-DLV-020</t>
        </is>
      </c>
      <c r="C49" s="160" t="inlineStr">
        <is>
          <t>DOC-v1.1-01</t>
        </is>
      </c>
      <c r="D49" s="160" t="inlineStr">
        <is>
          <t>Functional</t>
        </is>
      </c>
      <c r="E49" s="160" t="inlineStr">
        <is>
          <t>Medium</t>
        </is>
      </c>
      <c r="F49" s="11" t="inlineStr">
        <is>
          <t>Check nhật ký ghi đúng nguyên văn mẫu câu đã trả lại người gửi</t>
        </is>
      </c>
      <c r="G49" s="11" t="inlineStr">
        <is>
          <t>- Tài khoản A, B, C là ba CBNV khác nhau trên STG.
- Host app FoxPro đã cài trên thiết bị Android/iOS.
Test Data: Đơn `RETURNED` = `SEED-DLV-03` (test_data_catalog §DLV — Trạng thái đơn mở rộng)</t>
        </is>
      </c>
      <c r="H49"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trả về cho người gửi", nhập lịch hẹn hợp lệ và xác nhận, rồi đăng xuất. (setup)
4. Đăng nhập bằng tài khoản A, mở đơn đó và nhấn "Xác nhận đã nhận lại hàng". (setup)
5. Mở block "LỊCH SỬ" và check dòng mốc cuối cùng.</t>
        </is>
      </c>
      <c r="I49" s="11" t="inlineStr">
        <is>
          <t>5. Dòng mốc cuối cùng ghi đúng nguyên văn "Đã trả lại người gửi", kèm thời điểm.</t>
        </is>
      </c>
      <c r="J49" s="160" t="inlineStr">
        <is>
          <t>AI</t>
        </is>
      </c>
      <c r="K49" s="160" t="inlineStr">
        <is>
          <t>Pending</t>
        </is>
      </c>
      <c r="L49" s="160" t="inlineStr">
        <is>
          <t>No</t>
        </is>
      </c>
      <c r="M49" s="160" t="inlineStr"/>
      <c r="N49" s="264" t="inlineStr"/>
      <c r="O49" s="264" t="inlineStr"/>
      <c r="P49" s="264" t="inlineStr"/>
      <c r="Q49" s="264" t="inlineStr"/>
      <c r="R49" s="264" t="inlineStr"/>
      <c r="S49" s="264" t="inlineStr"/>
      <c r="T49" s="264" t="n"/>
      <c r="U49" s="264" t="n"/>
      <c r="V49" s="264" t="n"/>
      <c r="W49" s="264" t="n"/>
      <c r="X49" s="264" t="n"/>
      <c r="Y49" s="264" t="n"/>
      <c r="Z49" s="264" t="n"/>
      <c r="AA49" s="264" t="n"/>
      <c r="AB49" s="264" t="n"/>
      <c r="AC49" s="264" t="n"/>
      <c r="AD49" s="264" t="n"/>
      <c r="AE49" s="264" t="n"/>
      <c r="AF49" s="264" t="n"/>
      <c r="AG49" s="264" t="n"/>
      <c r="AH49" s="264" t="n"/>
      <c r="AI49" s="264" t="n"/>
      <c r="AJ49" s="264" t="n"/>
      <c r="AK49" s="264" t="n"/>
      <c r="AL49" s="264" t="n"/>
      <c r="AM49" s="264" t="n"/>
      <c r="AN49" s="264" t="n"/>
      <c r="AO49" s="264" t="n"/>
      <c r="AP49" s="264" t="n"/>
      <c r="AQ49" s="264" t="n"/>
      <c r="AR49" s="158">
        <f>IF($A49="","",IF(OR($N49="Yes",$T49="Yes",$Z49="Yes",$AF49="Yes",$AL49="Yes"),"Yes","No"))</f>
        <v/>
      </c>
      <c r="AS49" s="158">
        <f>IF($A49="","",IFERROR(IF($AM49&lt;&gt;"",$AM49,IF($AG49&lt;&gt;"",$AG49,IF($AA49&lt;&gt;"",$AA49,IF($U49&lt;&gt;"",$U49,IF($O49&lt;&gt;"",$O49,""))))),""))</f>
        <v/>
      </c>
      <c r="AT49" s="158">
        <f>IFERROR(IF($AN49&lt;&gt;"",$AN49,IF($AH49&lt;&gt;"",$AH49,IF($AB49&lt;&gt;"",$AB49,IF($V49&lt;&gt;"",$V49,IF($P49&lt;&gt;"",$P49,""))))),"")</f>
        <v/>
      </c>
      <c r="AU49" s="265" t="inlineStr">
        <is>
          <t>Căn cứ: `DOC-v1.1-01` §8.12.4 mẫu câu 6 — mẫu câu duy nhất do người gửi kích hoạt, 5 mẫu còn lại do người vận chuyển.</t>
        </is>
      </c>
    </row>
    <row r="50" ht="15.75" customHeight="1" s="216">
      <c r="A50" s="160">
        <f>IF($F50="","",$C$2&amp;"."&amp;COUNTA($F$7:$F50)&amp;"")</f>
        <v/>
      </c>
      <c r="B50" s="160" t="inlineStr">
        <is>
          <t>REQ-DLV-021</t>
        </is>
      </c>
      <c r="C50" s="160" t="inlineStr">
        <is>
          <t>DOC-v1.1-01</t>
        </is>
      </c>
      <c r="D50" s="160" t="inlineStr">
        <is>
          <t>Functional</t>
        </is>
      </c>
      <c r="E50" s="160" t="inlineStr">
        <is>
          <t>High</t>
        </is>
      </c>
      <c r="F50" s="11" t="inlineStr">
        <is>
          <t>Check chuyển thẳng đơn chờ ghép sang đã giao bị từ chối và không ghi mốc</t>
        </is>
      </c>
      <c r="G50" s="11" t="inlineStr">
        <is>
          <t>- Tài khoản A, B, C là ba CBNV khác nhau trên STG.
- Host app FoxPro đã cài trên thiết bị Android/iOS.
- Có sẵn công cụ proxy chặn và phát lại request trỏ vào app FoxEco trên STG.
Test Data: Transition `POSTED` → `DELIVERED` — ngoài bảng transition hợp lệ (test_data_catalog §DLV — Trạng thái đơn mở rộng, nhánh invalid)</t>
        </is>
      </c>
      <c r="H50" s="11" t="inlineStr">
        <is>
          <t>1. Đăng nhập bằng tài khoản A, đăng 1 tin NEED khai tài khoản C là người nhận. (setup)
2. Bật proxy chặn request và ghi lại request app gửi đi khi xác nhận một mốc trạng thái ở đơn khác. (setup)
3. Sửa request đã ghi thành yêu cầu chuyển đơn đang ở "Chờ ghép" sang "Đã giao" và phát lại request đó.
4. Mở lại đơn đó trên app và check trạng thái đơn cùng số dòng ở block "LỊCH SỬ".</t>
        </is>
      </c>
      <c r="I50" s="11" t="inlineStr">
        <is>
          <t>4. Đơn vẫn ở trạng thái "Chờ ghép" và block "LỊCH SỬ" KHÔNG có dòng mốc mới nào được thêm.</t>
        </is>
      </c>
      <c r="J50" s="160" t="inlineStr">
        <is>
          <t>AI</t>
        </is>
      </c>
      <c r="K50" s="160" t="inlineStr">
        <is>
          <t>Pending</t>
        </is>
      </c>
      <c r="L50" s="160" t="inlineStr">
        <is>
          <t>No</t>
        </is>
      </c>
      <c r="M50" s="160" t="inlineStr"/>
      <c r="N50" s="264" t="inlineStr">
        <is>
          <t>Yes</t>
        </is>
      </c>
      <c r="O50" s="264" t="inlineStr"/>
      <c r="P50" s="264" t="inlineStr">
        <is>
          <t>N/A</t>
        </is>
      </c>
      <c r="Q50" s="264" t="inlineStr">
        <is>
          <t>GiangDC2</t>
        </is>
      </c>
      <c r="R50" s="264" t="inlineStr"/>
      <c r="S50" s="264" t="inlineStr"/>
      <c r="T50" s="264" t="n"/>
      <c r="U50" s="264" t="n"/>
      <c r="V50" s="264" t="n"/>
      <c r="W50" s="264" t="n"/>
      <c r="X50" s="264" t="n"/>
      <c r="Y50" s="264" t="n"/>
      <c r="Z50" s="264" t="n"/>
      <c r="AA50" s="264" t="n"/>
      <c r="AB50" s="264" t="n"/>
      <c r="AC50" s="264" t="n"/>
      <c r="AD50" s="264" t="n"/>
      <c r="AE50" s="264" t="n"/>
      <c r="AF50" s="264" t="n"/>
      <c r="AG50" s="264" t="n"/>
      <c r="AH50" s="264" t="n"/>
      <c r="AI50" s="264" t="n"/>
      <c r="AJ50" s="264" t="n"/>
      <c r="AK50" s="264" t="n"/>
      <c r="AL50" s="264" t="n"/>
      <c r="AM50" s="264" t="n"/>
      <c r="AN50" s="264" t="n"/>
      <c r="AO50" s="264" t="n"/>
      <c r="AP50" s="264" t="n"/>
      <c r="AQ50" s="264" t="n"/>
      <c r="AR50" s="158">
        <f>IF($A50="","",IF(OR($N50="Yes",$T50="Yes",$Z50="Yes",$AF50="Yes",$AL50="Yes"),"Yes","No"))</f>
        <v/>
      </c>
      <c r="AS50" s="158">
        <f>IF($A50="","",IFERROR(IF($AM50&lt;&gt;"",$AM50,IF($AG50&lt;&gt;"",$AG50,IF($AA50&lt;&gt;"",$AA50,IF($U50&lt;&gt;"",$U50,IF($O50&lt;&gt;"",$O50,""))))),""))</f>
        <v/>
      </c>
      <c r="AT50" s="158">
        <f>IFERROR(IF($AN50&lt;&gt;"",$AN50,IF($AH50&lt;&gt;"",$AH50,IF($AB50&lt;&gt;"",$AB50,IF($V50&lt;&gt;"",$V50,IF($P50&lt;&gt;"",$P50,""))))),"")</f>
        <v/>
      </c>
      <c r="AU50" s="265" t="inlineStr">
        <is>
          <t>Mục đích: tầng backend của rule đã có TC ở tầng UI (`TC-DLV-021` v1.0 chỉ verify màn hình không cho nhảy bước) — UI chặn không đảm bảo backend cũng chặn. · Căn cứ: `DOC-v1.1-01` §8.12.1 BR12-01 + bảng §8.12.2. Dự án không có API spec/HTTP Status Contract nên assert theo hệ quả quan sát được trên app, không assert mã status.</t>
        </is>
      </c>
    </row>
    <row r="51" ht="15.75" customHeight="1" s="216">
      <c r="A51" s="160">
        <f>IF($F51="","",$C$2&amp;"."&amp;COUNTA($F$7:$F51)&amp;"")</f>
        <v/>
      </c>
      <c r="B51" s="160" t="inlineStr">
        <is>
          <t>REQ-DLV-021</t>
        </is>
      </c>
      <c r="C51" s="160" t="inlineStr">
        <is>
          <t>DOC-v1.1-01</t>
        </is>
      </c>
      <c r="D51" s="160" t="inlineStr">
        <is>
          <t>Functional</t>
        </is>
      </c>
      <c r="E51" s="160" t="inlineStr">
        <is>
          <t>High</t>
        </is>
      </c>
      <c r="F51" s="11" t="inlineStr">
        <is>
          <t>Check chuyển thẳng đơn đang giao sang đã trả người gửi bị từ chối</t>
        </is>
      </c>
      <c r="G51" s="11" t="inlineStr">
        <is>
          <t>- Tài khoản A, B, C là ba CBNV khác nhau trên STG.
- Host app FoxPro đã cài trên thiết bị Android/iOS.
- Có sẵn công cụ proxy chặn và phát lại request trỏ vào app FoxEco trên STG.
Test Data: Transition `IN_TRANSIT` → `RETURNED` bỏ qua `RETURNING` (test_data_catalog §DLV — Trạng thái đơn mở rộng, nhánh invalid)</t>
        </is>
      </c>
      <c r="H51" s="11" t="inlineStr">
        <is>
          <t>1. Đăng nhập bằng tài khoản A, đăng 1 tin NEED khai tài khoản C là người nhận, rồi đăng xuất. (setup)
2. Đăng nhập bằng tài khoản B, nhận đơn đó, nhấn "Tôi đã lấy hàng" và xác nhận. (setup)
3. Bật proxy chặn request và ghi lại request app gửi đi khi xác nhận một mốc trạng thái ở đơn khác. (setup)
4. Sửa request đã ghi thành yêu cầu chuyển đơn đang ở "Đang giao" thẳng sang trạng thái đã trả người gửi, bỏ qua bước hoàn hàng, và phát lại request đó.
5. Mở lại đơn đó trên app và check trạng thái đơn cùng số dòng ở block "LỊCH SỬ".</t>
        </is>
      </c>
      <c r="I51" s="11" t="inlineStr">
        <is>
          <t>5. Đơn vẫn ở trạng thái "Đang giao" và block "LỊCH SỬ" KHÔNG có dòng mốc mới nào được thêm.</t>
        </is>
      </c>
      <c r="J51" s="160" t="inlineStr">
        <is>
          <t>AI</t>
        </is>
      </c>
      <c r="K51" s="160" t="inlineStr">
        <is>
          <t>Pending</t>
        </is>
      </c>
      <c r="L51" s="160" t="inlineStr">
        <is>
          <t>No</t>
        </is>
      </c>
      <c r="M51" s="160" t="inlineStr"/>
      <c r="N51" s="264" t="inlineStr">
        <is>
          <t>Yes</t>
        </is>
      </c>
      <c r="O51" s="264" t="inlineStr"/>
      <c r="P51" s="264" t="inlineStr">
        <is>
          <t>N/A</t>
        </is>
      </c>
      <c r="Q51" s="264" t="inlineStr">
        <is>
          <t>GiangDC2</t>
        </is>
      </c>
      <c r="R51" s="264" t="inlineStr"/>
      <c r="S51" s="264" t="inlineStr"/>
      <c r="T51" s="264" t="n"/>
      <c r="U51" s="264" t="n"/>
      <c r="V51" s="264" t="n"/>
      <c r="W51" s="264" t="n"/>
      <c r="X51" s="264" t="n"/>
      <c r="Y51" s="264" t="n"/>
      <c r="Z51" s="264" t="n"/>
      <c r="AA51" s="264" t="n"/>
      <c r="AB51" s="264" t="n"/>
      <c r="AC51" s="264" t="n"/>
      <c r="AD51" s="264" t="n"/>
      <c r="AE51" s="264" t="n"/>
      <c r="AF51" s="264" t="n"/>
      <c r="AG51" s="264" t="n"/>
      <c r="AH51" s="264" t="n"/>
      <c r="AI51" s="264" t="n"/>
      <c r="AJ51" s="264" t="n"/>
      <c r="AK51" s="264" t="n"/>
      <c r="AL51" s="264" t="n"/>
      <c r="AM51" s="264" t="n"/>
      <c r="AN51" s="264" t="n"/>
      <c r="AO51" s="264" t="n"/>
      <c r="AP51" s="264" t="n"/>
      <c r="AQ51" s="264" t="n"/>
      <c r="AR51" s="158">
        <f>IF($A51="","",IF(OR($N51="Yes",$T51="Yes",$Z51="Yes",$AF51="Yes",$AL51="Yes"),"Yes","No"))</f>
        <v/>
      </c>
      <c r="AS51" s="158">
        <f>IF($A51="","",IFERROR(IF($AM51&lt;&gt;"",$AM51,IF($AG51&lt;&gt;"",$AG51,IF($AA51&lt;&gt;"",$AA51,IF($U51&lt;&gt;"",$U51,IF($O51&lt;&gt;"",$O51,""))))),""))</f>
        <v/>
      </c>
      <c r="AT51" s="158">
        <f>IFERROR(IF($AN51&lt;&gt;"",$AN51,IF($AH51&lt;&gt;"",$AH51,IF($AB51&lt;&gt;"",$AB51,IF($V51&lt;&gt;"",$V51,IF($P51&lt;&gt;"",$P51,""))))),"")</f>
        <v/>
      </c>
      <c r="AU51" s="265" t="inlineStr">
        <is>
          <t>Mục đích: nhánh nhảy bậc nguy hiểm nhất — đóng đơn ở kết cục hoàn hàng mà không có bước người gửi xác nhận nhận lại, tức mất luôn oracle của TC-DLV-063. · Căn cứ: `DOC-v1.1-01` §8.12.1 BR12-02.</t>
        </is>
      </c>
    </row>
    <row r="52" ht="15.75" customHeight="1" s="216">
      <c r="A52" s="160">
        <f>IF($F52="","",$C$2&amp;"."&amp;COUNTA($F$7:$F52)&amp;"")</f>
        <v/>
      </c>
      <c r="B52" s="160" t="inlineStr">
        <is>
          <t>REQ-DLV-021</t>
        </is>
      </c>
      <c r="C52" s="160" t="inlineStr">
        <is>
          <t>DOC-v1.1-01</t>
        </is>
      </c>
      <c r="D52" s="160" t="inlineStr">
        <is>
          <t>Functional</t>
        </is>
      </c>
      <c r="E52" s="160" t="inlineStr">
        <is>
          <t>High</t>
        </is>
      </c>
      <c r="F52" s="11" t="inlineStr">
        <is>
          <t>Check chuyển thẳng đơn đang giao sang hoàn thành bị từ chối</t>
        </is>
      </c>
      <c r="G52" s="11" t="inlineStr">
        <is>
          <t>- Tài khoản A, B, C là ba CBNV khác nhau trên STG.
- Host app FoxPro đã cài trên thiết bị Android/iOS.
- Có sẵn công cụ proxy chặn và phát lại request trỏ vào app FoxEco trên STG.
Test Data: Transition `IN_TRANSIT` → `COMPLETED` bỏ qua `DELIVERED` (test_data_catalog §DLV — Trạng thái đơn mở rộng, nhánh invalid)</t>
        </is>
      </c>
      <c r="H52" s="11" t="inlineStr">
        <is>
          <t>1. Đăng nhập bằng tài khoản A, đăng 1 tin NEED khai tài khoản C là người nhận, rồi đăng xuất. (setup)
2. Đăng nhập bằng tài khoản B, nhận đơn đó, nhấn "Tôi đã lấy hàng" và xác nhận. (setup)
3. Bật proxy chặn request và ghi lại request app gửi đi khi xác nhận một mốc trạng thái ở đơn khác. (setup)
4. Sửa request đã ghi thành yêu cầu chuyển đơn đang ở "Đang giao" thẳng sang "Hoàn thành", bỏ qua bước "Đã giao", và phát lại request đó.
5. Mở lại đơn đó trên app và check trạng thái đơn cùng số dòng ở block "LỊCH SỬ".</t>
        </is>
      </c>
      <c r="I52" s="11" t="inlineStr">
        <is>
          <t>5. Đơn vẫn ở trạng thái "Đang giao" và block "LỊCH SỬ" KHÔNG có dòng mốc mới nào được thêm.</t>
        </is>
      </c>
      <c r="J52" s="160" t="inlineStr">
        <is>
          <t>AI</t>
        </is>
      </c>
      <c r="K52" s="160" t="inlineStr">
        <is>
          <t>Pending</t>
        </is>
      </c>
      <c r="L52" s="160" t="inlineStr">
        <is>
          <t>No</t>
        </is>
      </c>
      <c r="M52" s="160" t="inlineStr"/>
      <c r="N52" s="264" t="inlineStr">
        <is>
          <t>Yes</t>
        </is>
      </c>
      <c r="O52" s="264" t="inlineStr"/>
      <c r="P52" s="264" t="inlineStr">
        <is>
          <t>N/A</t>
        </is>
      </c>
      <c r="Q52" s="264" t="inlineStr">
        <is>
          <t>GiangDC2</t>
        </is>
      </c>
      <c r="R52" s="264" t="inlineStr"/>
      <c r="S52" s="264" t="inlineStr"/>
      <c r="T52" s="264" t="n"/>
      <c r="U52" s="264" t="n"/>
      <c r="V52" s="264" t="n"/>
      <c r="W52" s="264" t="n"/>
      <c r="X52" s="264" t="n"/>
      <c r="Y52" s="264" t="n"/>
      <c r="Z52" s="264" t="n"/>
      <c r="AA52" s="264" t="n"/>
      <c r="AB52" s="264" t="n"/>
      <c r="AC52" s="264" t="n"/>
      <c r="AD52" s="264" t="n"/>
      <c r="AE52" s="264" t="n"/>
      <c r="AF52" s="264" t="n"/>
      <c r="AG52" s="264" t="n"/>
      <c r="AH52" s="264" t="n"/>
      <c r="AI52" s="264" t="n"/>
      <c r="AJ52" s="264" t="n"/>
      <c r="AK52" s="264" t="n"/>
      <c r="AL52" s="264" t="n"/>
      <c r="AM52" s="264" t="n"/>
      <c r="AN52" s="264" t="n"/>
      <c r="AO52" s="264" t="n"/>
      <c r="AP52" s="264" t="n"/>
      <c r="AQ52" s="264" t="n"/>
      <c r="AR52" s="158">
        <f>IF($A52="","",IF(OR($N52="Yes",$T52="Yes",$Z52="Yes",$AF52="Yes",$AL52="Yes"),"Yes","No"))</f>
        <v/>
      </c>
      <c r="AS52" s="158">
        <f>IF($A52="","",IFERROR(IF($AM52&lt;&gt;"",$AM52,IF($AG52&lt;&gt;"",$AG52,IF($AA52&lt;&gt;"",$AA52,IF($U52&lt;&gt;"",$U52,IF($O52&lt;&gt;"",$O52,""))))),""))</f>
        <v/>
      </c>
      <c r="AT52" s="158">
        <f>IFERROR(IF($AN52&lt;&gt;"",$AN52,IF($AH52&lt;&gt;"",$AH52,IF($AB52&lt;&gt;"",$AB52,IF($V52&lt;&gt;"",$V52,IF($P52&lt;&gt;"",$P52,""))))),"")</f>
        <v/>
      </c>
      <c r="AU52" s="265" t="inlineStr">
        <is>
          <t>Mục đích: cặp với TC-DLV-075 — hai đích nhảy bậc khác nhau từ cùng một trạng thái nguồn, chặn được đích này không suy ra chặn được đích kia. · Căn cứ: `DOC-v1.1-01` §8.12.1 BR12-02. Bỏ qua "Đã giao" còn xoá luôn yêu cầu ảnh bằng chứng của `BR07-02`.</t>
        </is>
      </c>
    </row>
    <row r="53" ht="15.75" customHeight="1" s="216">
      <c r="A53" s="160">
        <f>IF($F53="","",$C$2&amp;"."&amp;COUNTA($F$7:$F53)&amp;"")</f>
        <v/>
      </c>
      <c r="B53" s="160" t="inlineStr">
        <is>
          <t>REQ-DLV-022</t>
        </is>
      </c>
      <c r="C53" s="160" t="inlineStr">
        <is>
          <t>DOC-v1.1-01</t>
        </is>
      </c>
      <c r="D53" s="160" t="inlineStr">
        <is>
          <t>Functional</t>
        </is>
      </c>
      <c r="E53" s="160" t="inlineStr">
        <is>
          <t>Low</t>
        </is>
      </c>
      <c r="F53" s="11" t="inlineStr">
        <is>
          <t>Check tải năm ảnh bằng chứng trên mạng 4G hoàn tất dưới mười lăm giây</t>
        </is>
      </c>
      <c r="G53" s="11" t="inlineStr">
        <is>
          <t>- Tài khoản A, B, C là ba CBNV khác nhau trên STG.
- Host app FoxPro đã cài trên thiết bị Android/iOS.
- Thiết bị đang dùng mạng 4G, đã tắt Wi-Fi.
- Thư viện ảnh thiết bị có sẵn ≥5 ảnh JPG, mỗi ảnh đúng 5MB.
- Có sẵn đồng hồ bấm giờ.
Test Data: 5 ảnh JPG đúng 5MB, mạng 4G (test_data_catalog §DLV — Upload ảnh hiệu năng)</t>
        </is>
      </c>
      <c r="H53"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và chọn "Người nhận". (setup)
4. Khởi động đồng hồ bấm giờ rồi đính cùng lúc 5 ảnh JPG 5MB từ thư viện thiết bị.
5. Dừng đồng hồ bấm giờ khi cả 5 ảnh hiện đủ trong ô ảnh.
6. Lặp lại step 3 đến step 5 thêm 9 lần trên 9 đơn khác nhau và ghi lại 10 số đo.
7. Check 10 số đo đã ghi và chỉ báo tiến trình quan sát được trong lúc tải.</t>
        </is>
      </c>
      <c r="I53" s="11" t="inlineStr">
        <is>
          <t>7. Nhiều nhất 1 trong 10 số đo vượt 15 giây, và trong lúc tải luôn có chỉ báo tiến trình cùng khả năng thử lại từng ảnh lỗi riêng lẻ.</t>
        </is>
      </c>
      <c r="J53" s="160" t="inlineStr">
        <is>
          <t>AI</t>
        </is>
      </c>
      <c r="K53" s="160" t="inlineStr">
        <is>
          <t>Pending</t>
        </is>
      </c>
      <c r="L53" s="160" t="inlineStr">
        <is>
          <t>No</t>
        </is>
      </c>
      <c r="M53" s="160" t="inlineStr"/>
      <c r="N53" s="264" t="inlineStr"/>
      <c r="O53" s="264" t="inlineStr"/>
      <c r="P53" s="264" t="inlineStr"/>
      <c r="Q53" s="264" t="inlineStr"/>
      <c r="R53" s="264" t="inlineStr"/>
      <c r="S53" s="264" t="inlineStr"/>
      <c r="T53" s="264" t="n"/>
      <c r="U53" s="264" t="n"/>
      <c r="V53" s="264" t="n"/>
      <c r="W53" s="264" t="n"/>
      <c r="X53" s="264" t="n"/>
      <c r="Y53" s="264" t="n"/>
      <c r="Z53" s="264" t="n"/>
      <c r="AA53" s="264" t="n"/>
      <c r="AB53" s="264" t="n"/>
      <c r="AC53" s="264" t="n"/>
      <c r="AD53" s="264" t="n"/>
      <c r="AE53" s="264" t="n"/>
      <c r="AF53" s="264" t="n"/>
      <c r="AG53" s="264" t="n"/>
      <c r="AH53" s="264" t="n"/>
      <c r="AI53" s="264" t="n"/>
      <c r="AJ53" s="264" t="n"/>
      <c r="AK53" s="264" t="n"/>
      <c r="AL53" s="264" t="n"/>
      <c r="AM53" s="264" t="n"/>
      <c r="AN53" s="264" t="n"/>
      <c r="AO53" s="264" t="n"/>
      <c r="AP53" s="264" t="n"/>
      <c r="AQ53" s="264" t="n"/>
      <c r="AR53" s="158">
        <f>IF($A53="","",IF(OR($N53="Yes",$T53="Yes",$Z53="Yes",$AF53="Yes",$AL53="Yes"),"Yes","No"))</f>
        <v/>
      </c>
      <c r="AS53" s="158">
        <f>IF($A53="","",IFERROR(IF($AM53&lt;&gt;"",$AM53,IF($AG53&lt;&gt;"",$AG53,IF($AA53&lt;&gt;"",$AA53,IF($U53&lt;&gt;"",$U53,IF($O53&lt;&gt;"",$O53,""))))),""))</f>
        <v/>
      </c>
      <c r="AT53" s="158">
        <f>IFERROR(IF($AN53&lt;&gt;"",$AN53,IF($AH53&lt;&gt;"",$AH53,IF($AB53&lt;&gt;"",$AB53,IF($V53&lt;&gt;"",$V53,IF($P53&lt;&gt;"",$P53,""))))),"")</f>
        <v/>
      </c>
      <c r="AU53" s="265" t="inlineStr">
        <is>
          <t>Mục đích: `NFR-03` phát biểu theo p95 nên 1 lần đo không kết luận được — 10 lần đo là mẫu tối thiểu chạy tay được, cho phép đúng 1 lần vượt ngưỡng. · Căn cứ: `DOC-v1.1-01` §9 NFR-03. Chạy trên 10 đơn khác nhau vì ảnh đã ghi mốc thì không xoá để tải lại được (`BR07-07`, xem TC-DLV-048).</t>
        </is>
      </c>
    </row>
    <row r="54" ht="15.75" customHeight="1" s="216">
      <c r="A54" s="160">
        <f>IF($F54="","",$C$2&amp;"."&amp;COUNTA($F$7:$F54)&amp;"")</f>
        <v/>
      </c>
      <c r="B54" s="160" t="inlineStr">
        <is>
          <t>REQ-DLV-022</t>
        </is>
      </c>
      <c r="C54" s="160" t="inlineStr">
        <is>
          <t>DOC-v1.1-01</t>
        </is>
      </c>
      <c r="D54" s="160" t="inlineStr">
        <is>
          <t>Functional</t>
        </is>
      </c>
      <c r="E54" s="160" t="inlineStr">
        <is>
          <t>High</t>
        </is>
      </c>
      <c r="F54" s="11" t="inlineStr">
        <is>
          <t>Check nhật ký đơn không mất dòng mốc nào sau khi huỷ nhận đơn</t>
        </is>
      </c>
      <c r="G54" s="11" t="inlineStr">
        <is>
          <t>- Tài khoản A, B, C là ba CBNV khác nhau trên STG.
- Host app FoxPro đã cài trên thiết bị Android/iOS.
- Có sẵn công cụ proxy chặn và phát lại request trỏ vào app FoxEco trên STG.
Test Data: Đơn `MATCHED` rồi bị huỷ nhận đơn (test_data_catalog §DLV — Trạng thái đơn mở rộng)</t>
        </is>
      </c>
      <c r="H54" s="11" t="inlineStr">
        <is>
          <t>1. Đăng nhập bằng tài khoản A, đăng 1 tin NEED khai tài khoản C là người nhận, rồi đăng xuất. (setup)
2. Đăng nhập bằng tài khoản B, nhận đơn đó và xác nhận. (setup)
3. Mở block "LỊCH SỬ" và ghi lại toàn bộ các dòng mốc hiện có.
4. Nhấn "Huỷ nhận đơn" và xác nhận.
5. Bật proxy, ghi lại request app gửi đi khi thao tác trên đơn, rồi sửa thành yêu cầu sửa hoặc xoá một dòng nhật ký đã có và phát lại request đó.
6. Mở lại block "LỊCH SỬ" của đơn đó và check toàn bộ các dòng mốc.</t>
        </is>
      </c>
      <c r="I54" s="11" t="inlineStr">
        <is>
          <t>6. Block "LỊCH SỬ" vẫn giữ đủ mọi dòng mốc đã ghi ở step 3, gồm cả dòng ghép thành công, và KHÔNG dòng nào bị sửa hay biến mất.</t>
        </is>
      </c>
      <c r="J54" s="160" t="inlineStr">
        <is>
          <t>AI</t>
        </is>
      </c>
      <c r="K54" s="160" t="inlineStr">
        <is>
          <t>Pending</t>
        </is>
      </c>
      <c r="L54" s="160" t="inlineStr">
        <is>
          <t>No</t>
        </is>
      </c>
      <c r="M54" s="160" t="inlineStr"/>
      <c r="N54" s="264" t="inlineStr">
        <is>
          <t>Yes</t>
        </is>
      </c>
      <c r="O54" s="264" t="inlineStr"/>
      <c r="P54" s="264" t="inlineStr">
        <is>
          <t>N/A</t>
        </is>
      </c>
      <c r="Q54" s="264" t="inlineStr">
        <is>
          <t>GiangDC2</t>
        </is>
      </c>
      <c r="R54" s="264" t="inlineStr"/>
      <c r="S54" s="264" t="inlineStr"/>
      <c r="T54" s="264" t="n"/>
      <c r="U54" s="264" t="n"/>
      <c r="V54" s="264" t="n"/>
      <c r="W54" s="264" t="n"/>
      <c r="X54" s="264" t="n"/>
      <c r="Y54" s="264" t="n"/>
      <c r="Z54" s="264" t="n"/>
      <c r="AA54" s="264" t="n"/>
      <c r="AB54" s="264" t="n"/>
      <c r="AC54" s="264" t="n"/>
      <c r="AD54" s="264" t="n"/>
      <c r="AE54" s="264" t="n"/>
      <c r="AF54" s="264" t="n"/>
      <c r="AG54" s="264" t="n"/>
      <c r="AH54" s="264" t="n"/>
      <c r="AI54" s="264" t="n"/>
      <c r="AJ54" s="264" t="n"/>
      <c r="AK54" s="264" t="n"/>
      <c r="AL54" s="264" t="n"/>
      <c r="AM54" s="264" t="n"/>
      <c r="AN54" s="264" t="n"/>
      <c r="AO54" s="264" t="n"/>
      <c r="AP54" s="264" t="n"/>
      <c r="AQ54" s="264" t="n"/>
      <c r="AR54" s="158">
        <f>IF($A54="","",IF(OR($N54="Yes",$T54="Yes",$Z54="Yes",$AF54="Yes",$AL54="Yes"),"Yes","No"))</f>
        <v/>
      </c>
      <c r="AS54" s="158">
        <f>IF($A54="","",IFERROR(IF($AM54&lt;&gt;"",$AM54,IF($AG54&lt;&gt;"",$AG54,IF($AA54&lt;&gt;"",$AA54,IF($U54&lt;&gt;"",$U54,IF($O54&lt;&gt;"",$O54,""))))),""))</f>
        <v/>
      </c>
      <c r="AT54" s="158">
        <f>IFERROR(IF($AN54&lt;&gt;"",$AN54,IF($AH54&lt;&gt;"",$AH54,IF($AB54&lt;&gt;"",$AB54,IF($V54&lt;&gt;"",$V54,IF($P54&lt;&gt;"",$P54,""))))),"")</f>
        <v/>
      </c>
      <c r="AU54" s="265" t="inlineStr">
        <is>
          <t>Mục đích: neo vào `RISK-DLV-09` — bug audit đã biết (`RISK-TS-01`: huỷ nhận đơn xoá dòng "Ghép thành công") vi phạm trực tiếp rule này, nên TC **dự kiến FAIL có chủ đích** cho tới khi bug được fix. · Căn cứ: `DOC-v1.1-01` §9 NFR-07 (log append-only, không API sửa/xoá). FAIL ⇒ log bug và cross-ref `RISK-TS-01`, ⛔ không hạ Expected theo hành vi hiện tại.</t>
        </is>
      </c>
    </row>
    <row r="55" ht="15.75" customHeight="1" s="216">
      <c r="A55" s="160">
        <f>IF($F55="","",$C$2&amp;"."&amp;COUNTA($F$7:$F55)&amp;"")</f>
        <v/>
      </c>
      <c r="B55" s="160" t="inlineStr">
        <is>
          <t>REQ-DLV-022</t>
        </is>
      </c>
      <c r="C55" s="160" t="inlineStr">
        <is>
          <t>DOC-v1.1-01</t>
        </is>
      </c>
      <c r="D55" s="160" t="inlineStr">
        <is>
          <t>Functional</t>
        </is>
      </c>
      <c r="E55" s="160" t="inlineStr">
        <is>
          <t>Low</t>
        </is>
      </c>
      <c r="F55" s="11" t="inlineStr">
        <is>
          <t>Check tên và số điện thoại người nhận thay chỉ xuất hiện trong nhật ký đơn</t>
        </is>
      </c>
      <c r="G55" s="11" t="inlineStr">
        <is>
          <t>- Tài khoản A, B, C là ba CBNV khác nhau trên STG.
- Host app FoxPro đã cài trên thiết bị Android/iOS.
- Thư viện ảnh thiết bị có sẵn ≥5 ảnh JPG, mỗi ảnh ≤5MB.
Test Data: Tên và SĐT người nhận thay đã ghi vào nhật ký (test_data_catalog §DLV — Tên người nhận thay, SĐT người nhận thay)</t>
        </is>
      </c>
      <c r="H55" s="11"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"Người được uỷ quyền", nhập tên "Nguyễn Văn Bảy" và số điện thoại "0912345678", đính 1 ảnh JPG rồi nhấn "Xác nhận đã giao hàng" và đồng ý ở popup. (setup)
4. Mở lần lượt Trang chủ, tab "Bảng tin", tab "Hoạt động" ở cả hai tab con, tab "Thông báo" và màn hồ sơ cá nhân.
5. Check từng màn ở step 4 xem có chỗ nào hiện tên "Nguyễn Văn Bảy" hoặc số "0912345678" không.</t>
        </is>
      </c>
      <c r="I55" s="11" t="inlineStr">
        <is>
          <t>5. KHÔNG màn nào trong số đó hiện tên "Nguyễn Văn Bảy" hay số "0912345678"; hai giá trị này chỉ xuất hiện ở block "LỊCH SỬ" của đơn.</t>
        </is>
      </c>
      <c r="J55" s="160" t="inlineStr">
        <is>
          <t>AI</t>
        </is>
      </c>
      <c r="K55" s="160" t="inlineStr">
        <is>
          <t>Pending</t>
        </is>
      </c>
      <c r="L55" s="160" t="inlineStr">
        <is>
          <t>No</t>
        </is>
      </c>
      <c r="M55" s="160" t="inlineStr"/>
      <c r="N55" s="264" t="inlineStr"/>
      <c r="O55" s="264" t="inlineStr"/>
      <c r="P55" s="264" t="inlineStr"/>
      <c r="Q55" s="264" t="inlineStr"/>
      <c r="R55" s="264" t="inlineStr"/>
      <c r="S55" s="264" t="inlineStr"/>
      <c r="T55" s="264" t="n"/>
      <c r="U55" s="264" t="n"/>
      <c r="V55" s="264" t="n"/>
      <c r="W55" s="264" t="n"/>
      <c r="X55" s="264" t="n"/>
      <c r="Y55" s="264" t="n"/>
      <c r="Z55" s="264" t="n"/>
      <c r="AA55" s="264" t="n"/>
      <c r="AB55" s="264" t="n"/>
      <c r="AC55" s="264" t="n"/>
      <c r="AD55" s="264" t="n"/>
      <c r="AE55" s="264" t="n"/>
      <c r="AF55" s="264" t="n"/>
      <c r="AG55" s="264" t="n"/>
      <c r="AH55" s="264" t="n"/>
      <c r="AI55" s="264" t="n"/>
      <c r="AJ55" s="264" t="n"/>
      <c r="AK55" s="264" t="n"/>
      <c r="AL55" s="264" t="n"/>
      <c r="AM55" s="264" t="n"/>
      <c r="AN55" s="264" t="n"/>
      <c r="AO55" s="264" t="n"/>
      <c r="AP55" s="264" t="n"/>
      <c r="AQ55" s="264" t="n"/>
      <c r="AR55" s="158">
        <f>IF($A55="","",IF(OR($N55="Yes",$T55="Yes",$Z55="Yes",$AF55="Yes",$AL55="Yes"),"Yes","No"))</f>
        <v/>
      </c>
      <c r="AS55" s="158">
        <f>IF($A55="","",IFERROR(IF($AM55&lt;&gt;"",$AM55,IF($AG55&lt;&gt;"",$AG55,IF($AA55&lt;&gt;"",$AA55,IF($U55&lt;&gt;"",$U55,IF($O55&lt;&gt;"",$O55,""))))),""))</f>
        <v/>
      </c>
      <c r="AT55" s="158">
        <f>IFERROR(IF($AN55&lt;&gt;"",$AN55,IF($AH55&lt;&gt;"",$AH55,IF($AB55&lt;&gt;"",$AB55,IF($V55&lt;&gt;"",$V55,IF($P55&lt;&gt;"",$P55,""))))),"")</f>
        <v/>
      </c>
      <c r="AU55" s="265" t="inlineStr">
        <is>
          <t>Mục đích: dữ liệu người nhận thay là dữ liệu cá nhân của bên thứ ba ngoài 3 vai của đơn — rò ra bề mặt khác là vi phạm quyền riêng tư, không chỉ lỗi hiển thị. · Căn cứ: `DOC-v1.1-01` §9 NFR-12. Phạm vi rà giới hạn ở các màn end-user; dự án không có bề mặt báo cáo hay Admin Portal trong scope v1.1.</t>
        </is>
      </c>
    </row>
    <row r="56" ht="15.75" customHeight="1" s="216">
      <c r="A56" s="160">
        <f>IF($F56="","",$C$2&amp;"."&amp;COUNTA($F$7:$F56)&amp;"")</f>
        <v/>
      </c>
      <c r="B56" s="160" t="inlineStr">
        <is>
          <t>REQ-DLV-023</t>
        </is>
      </c>
      <c r="C56" s="160" t="inlineStr">
        <is>
          <t>DOC-v1.1-01</t>
        </is>
      </c>
      <c r="D56" s="160" t="inlineStr">
        <is>
          <t>UI</t>
        </is>
      </c>
      <c r="E56" s="160" t="inlineStr">
        <is>
          <t>Low</t>
        </is>
      </c>
      <c r="F56" s="11" t="inlineStr">
        <is>
          <t>Check icon copy cạnh số điện thoại sao chép đúng nội dung và đổi màu xanh</t>
        </is>
      </c>
      <c r="G56" s="11" t="inlineStr">
        <is>
          <t>- Tài khoản A, B, C là ba CBNV khác nhau trên STG.
- Host app FoxPro đã cài trên thiết bị Android/iOS.
Test Data: Số điện thoại liên hệ trên màn Theo dõi đơn (test_data_catalog §DLV — SĐT người nhận thay)</t>
        </is>
      </c>
      <c r="H56" s="11" t="inlineStr">
        <is>
          <t>1. Đăng nhập bằng tài khoản A, đăng 1 tin NEED khai tài khoản C là người nhận, rồi đăng xuất. (setup)
2. Đăng nhập bằng tài khoản B, nhận đơn đó và xác nhận. (setup)
3. Nhấn tab "Hoạt động" và mở đơn đó. (setup)
4. Ghi lại số điện thoại liên hệ đang hiển thị trên màn Theo dõi đơn.
5. Nhấn icon copy cạnh số điện thoại đó.
6. Dán nội dung vừa copy vào ô tìm kiếm ở tab "Bảng tin" và check nội dung dán ra cùng trạng thái icon copy lúc vừa nhấn.</t>
        </is>
      </c>
      <c r="I56" s="11" t="inlineStr">
        <is>
          <t>6. Nội dung dán ra đúng nguyên văn số điện thoại đã ghi ở step 4, và icon copy đã đổi trạng thái sang màu xanh khoảng 2 giây rồi trở lại bình thường.</t>
        </is>
      </c>
      <c r="J56" s="160" t="inlineStr">
        <is>
          <t>AI</t>
        </is>
      </c>
      <c r="K56" s="160" t="inlineStr">
        <is>
          <t>Pending</t>
        </is>
      </c>
      <c r="L56" s="160" t="inlineStr">
        <is>
          <t>No</t>
        </is>
      </c>
      <c r="M56" s="160" t="inlineStr"/>
      <c r="N56" s="264" t="inlineStr">
        <is>
          <t>Yes</t>
        </is>
      </c>
      <c r="O56" s="264" t="inlineStr"/>
      <c r="P56" s="264" t="inlineStr">
        <is>
          <t>Fail</t>
        </is>
      </c>
      <c r="Q56" s="264" t="inlineStr">
        <is>
          <t>GiangDC2</t>
        </is>
      </c>
      <c r="R56" s="264" t="inlineStr"/>
      <c r="S56" s="264" t="inlineStr"/>
      <c r="T56" s="264" t="n"/>
      <c r="U56" s="264" t="n"/>
      <c r="V56" s="264" t="n"/>
      <c r="W56" s="264" t="n"/>
      <c r="X56" s="264" t="n"/>
      <c r="Y56" s="264" t="n"/>
      <c r="Z56" s="264" t="n"/>
      <c r="AA56" s="264" t="n"/>
      <c r="AB56" s="264" t="n"/>
      <c r="AC56" s="264" t="n"/>
      <c r="AD56" s="264" t="n"/>
      <c r="AE56" s="264" t="n"/>
      <c r="AF56" s="264" t="n"/>
      <c r="AG56" s="264" t="n"/>
      <c r="AH56" s="264" t="n"/>
      <c r="AI56" s="264" t="n"/>
      <c r="AJ56" s="264" t="n"/>
      <c r="AK56" s="264" t="n"/>
      <c r="AL56" s="264" t="n"/>
      <c r="AM56" s="264" t="n"/>
      <c r="AN56" s="264" t="n"/>
      <c r="AO56" s="264" t="n"/>
      <c r="AP56" s="264" t="n"/>
      <c r="AQ56" s="264" t="n"/>
      <c r="AR56" s="158">
        <f>IF($A56="","",IF(OR($N56="Yes",$T56="Yes",$Z56="Yes",$AF56="Yes",$AL56="Yes"),"Yes","No"))</f>
        <v/>
      </c>
      <c r="AS56" s="158">
        <f>IF($A56="","",IFERROR(IF($AM56&lt;&gt;"",$AM56,IF($AG56&lt;&gt;"",$AG56,IF($AA56&lt;&gt;"",$AA56,IF($U56&lt;&gt;"",$U56,IF($O56&lt;&gt;"",$O56,""))))),""))</f>
        <v/>
      </c>
      <c r="AT56" s="158">
        <f>IFERROR(IF($AN56&lt;&gt;"",$AN56,IF($AH56&lt;&gt;"",$AH56,IF($AB56&lt;&gt;"",$AB56,IF($V56&lt;&gt;"",$V56,IF($P56&lt;&gt;"",$P56,""))))),"")</f>
        <v/>
      </c>
      <c r="AU56" s="265" t="inlineStr">
        <is>
          <t>Mục đích: cặp với TC-DLV-081 — hai instance icon copy nằm ở hai vùng khác nhau của cùng màn, hỏng độc lập. · Căn cứ: `DOC-v1.1-01` §8.18.1 BR18-04. Rule ghi 1,8 giây nhưng đây là hiệu ứng thị giác — chấp nhận dung sai quanh 2 giây, ⛔ không bấm giờ đòi đúng 1,8 giây. Instance ở màn Chi tiết tin thuộc `FEED`, không rà ở đây.</t>
        </is>
      </c>
    </row>
    <row r="57" ht="15.75" customHeight="1" s="216">
      <c r="A57" s="160">
        <f>IF($F57="","",$C$2&amp;"."&amp;COUNTA($F$7:$F57)&amp;"")</f>
        <v/>
      </c>
      <c r="B57" s="160" t="inlineStr">
        <is>
          <t>REQ-DLV-023</t>
        </is>
      </c>
      <c r="C57" s="160" t="inlineStr">
        <is>
          <t>DOC-v1.1-01</t>
        </is>
      </c>
      <c r="D57" s="160" t="inlineStr">
        <is>
          <t>UI</t>
        </is>
      </c>
      <c r="E57" s="160" t="inlineStr">
        <is>
          <t>Low</t>
        </is>
      </c>
      <c r="F57" s="11" t="inlineStr">
        <is>
          <t>Check icon copy cạnh địa chỉ giao sao chép đúng nội dung và đổi màu xanh</t>
        </is>
      </c>
      <c r="G57" s="11" t="inlineStr">
        <is>
          <t>- Tài khoản A, B, C là ba CBNV khác nhau trên STG.
- Host app FoxPro đã cài trên thiết bị Android/iOS.
Test Data: Địa chỉ giao trên màn Theo dõi đơn (test_data_catalog §DLV — Nơi hẹn)</t>
        </is>
      </c>
      <c r="H57" s="11" t="inlineStr">
        <is>
          <t>1. Đăng nhập bằng tài khoản A, đăng 1 tin NEED khai tài khoản C là người nhận, rồi đăng xuất. (setup)
2. Đăng nhập bằng tài khoản B, nhận đơn đó và xác nhận. (setup)
3. Nhấn tab "Hoạt động" và mở đơn đó. (setup)
4. Ghi lại địa chỉ giao đang hiển thị trên màn Theo dõi đơn.
5. Nhấn icon copy cạnh địa chỉ giao đó.
6. Dán nội dung vừa copy vào ô tìm kiếm ở tab "Bảng tin" và check nội dung dán ra cùng trạng thái icon copy lúc vừa nhấn.</t>
        </is>
      </c>
      <c r="I57" s="11" t="inlineStr">
        <is>
          <t>6. Nội dung dán ra đúng nguyên văn địa chỉ giao đã ghi ở step 4, và icon copy đã đổi trạng thái sang màu xanh khoảng 2 giây rồi trở lại bình thường.</t>
        </is>
      </c>
      <c r="J57" s="160" t="inlineStr">
        <is>
          <t>AI</t>
        </is>
      </c>
      <c r="K57" s="160" t="inlineStr">
        <is>
          <t>Pending</t>
        </is>
      </c>
      <c r="L57" s="160" t="inlineStr">
        <is>
          <t>No</t>
        </is>
      </c>
      <c r="M57" s="160" t="inlineStr"/>
      <c r="N57" s="264" t="inlineStr">
        <is>
          <t>Yes</t>
        </is>
      </c>
      <c r="O57" s="264" t="inlineStr"/>
      <c r="P57" s="264" t="inlineStr">
        <is>
          <t>Fail</t>
        </is>
      </c>
      <c r="Q57" s="264" t="inlineStr">
        <is>
          <t>GiangDC2</t>
        </is>
      </c>
      <c r="R57" s="264" t="inlineStr"/>
      <c r="S57" s="264" t="inlineStr"/>
      <c r="T57" s="264" t="n"/>
      <c r="U57" s="264" t="n"/>
      <c r="V57" s="264" t="n"/>
      <c r="W57" s="264" t="n"/>
      <c r="X57" s="264" t="n"/>
      <c r="Y57" s="264" t="n"/>
      <c r="Z57" s="264" t="n"/>
      <c r="AA57" s="264" t="n"/>
      <c r="AB57" s="264" t="n"/>
      <c r="AC57" s="264" t="n"/>
      <c r="AD57" s="264" t="n"/>
      <c r="AE57" s="264" t="n"/>
      <c r="AF57" s="264" t="n"/>
      <c r="AG57" s="264" t="n"/>
      <c r="AH57" s="264" t="n"/>
      <c r="AI57" s="264" t="n"/>
      <c r="AJ57" s="264" t="n"/>
      <c r="AK57" s="264" t="n"/>
      <c r="AL57" s="264" t="n"/>
      <c r="AM57" s="264" t="n"/>
      <c r="AN57" s="264" t="n"/>
      <c r="AO57" s="264" t="n"/>
      <c r="AP57" s="264" t="n"/>
      <c r="AQ57" s="264" t="n"/>
      <c r="AR57" s="158">
        <f>IF($A57="","",IF(OR($N57="Yes",$T57="Yes",$Z57="Yes",$AF57="Yes",$AL57="Yes"),"Yes","No"))</f>
        <v/>
      </c>
      <c r="AS57" s="158">
        <f>IF($A57="","",IFERROR(IF($AM57&lt;&gt;"",$AM57,IF($AG57&lt;&gt;"",$AG57,IF($AA57&lt;&gt;"",$AA57,IF($U57&lt;&gt;"",$U57,IF($O57&lt;&gt;"",$O57,""))))),""))</f>
        <v/>
      </c>
      <c r="AT57" s="158">
        <f>IFERROR(IF($AN57&lt;&gt;"",$AN57,IF($AH57&lt;&gt;"",$AH57,IF($AB57&lt;&gt;"",$AB57,IF($V57&lt;&gt;"",$V57,IF($P57&lt;&gt;"",$P57,""))))),"")</f>
        <v/>
      </c>
      <c r="AU57" s="265" t="inlineStr">
        <is>
          <t>Căn cứ: `DOC-v1.1-01` §8.18.1 BR18-04 — rule đặt icon copy cạnh CẢ địa chỉ giao và số điện thoại.</t>
        </is>
      </c>
    </row>
    <row r="58" ht="15.75" customHeight="1" s="216">
      <c r="A58" s="160">
        <f>IF($F58="","",$C$2&amp;"."&amp;COUNTA($F$7:$F58)&amp;"")</f>
        <v/>
      </c>
      <c r="B58" s="160" t="inlineStr">
        <is>
          <t>REQ-DLV-002</t>
        </is>
      </c>
      <c r="C58" s="160" t="inlineStr">
        <is>
          <t>DOC-v1.0-06 · DOC-v1.0-04</t>
        </is>
      </c>
      <c r="D58" s="160" t="inlineStr">
        <is>
          <t>UI</t>
        </is>
      </c>
      <c r="E58" s="160" t="inlineStr">
        <is>
          <t>Medium</t>
        </is>
      </c>
      <c r="F58" s="11" t="inlineStr">
        <is>
          <t>Check người gửi ở trạng thái "Chờ ghép" thấy nhãn chờ vận chuyển bị khoá kèm nút Chỉnh sửa và Huỷ đơn</t>
        </is>
      </c>
      <c r="G58" s="11" t="inlineStr">
        <is>
          <t>Tài khoản A trên STG là người gửi của 1 đơn ở trạng thái "Chờ ghép".
Test Data: Đơn `POSTED`; vai Sender (test_data_catalog §DLV — ô 1·Sender)</t>
        </is>
      </c>
      <c r="H58" s="11" t="inlineStr">
        <is>
          <t>1. Đăng nhập FoxEco bằng tài khoản A và đăng 1 tin NEED qua wizard "+ Đăng tin". (setup)
2. Nhấn tab "Hoạt động" và nhấn card đơn vừa đăng để mở màn Theo dõi đơn.
3. Check nhãn hành động chính và trạng thái của nhãn.
4. Check các nút phụ trên màn.</t>
        </is>
      </c>
      <c r="I58" s="11" t="inlineStr">
        <is>
          <t>3. Nhãn hiển thị "Đang chờ người vận chuyển nhận đơn" ở trạng thái disable, không nhấn được.
4. Màn có nút "Chỉnh sửa" và nút "Huỷ đơn".</t>
        </is>
      </c>
      <c r="J58" s="160" t="inlineStr">
        <is>
          <t>AI</t>
        </is>
      </c>
      <c r="K58" s="160" t="inlineStr">
        <is>
          <t>Pending</t>
        </is>
      </c>
      <c r="L58" s="160" t="inlineStr">
        <is>
          <t>No</t>
        </is>
      </c>
      <c r="M58" s="160" t="inlineStr"/>
      <c r="N58" s="264" t="inlineStr">
        <is>
          <t>Yes</t>
        </is>
      </c>
      <c r="O58" s="264" t="inlineStr"/>
      <c r="P58" s="264" t="inlineStr">
        <is>
          <t>Pass</t>
        </is>
      </c>
      <c r="Q58" s="264" t="inlineStr">
        <is>
          <t>GiangDC2</t>
        </is>
      </c>
      <c r="R58" s="264" t="inlineStr"/>
      <c r="S58" s="264" t="inlineStr"/>
      <c r="T58" s="264" t="n"/>
      <c r="U58" s="264" t="n"/>
      <c r="V58" s="264" t="n"/>
      <c r="W58" s="264" t="n"/>
      <c r="X58" s="264" t="n"/>
      <c r="Y58" s="264" t="n"/>
      <c r="Z58" s="264" t="n"/>
      <c r="AA58" s="264" t="n"/>
      <c r="AB58" s="264" t="n"/>
      <c r="AC58" s="264" t="n"/>
      <c r="AD58" s="264" t="n"/>
      <c r="AE58" s="264" t="n"/>
      <c r="AF58" s="264" t="n"/>
      <c r="AG58" s="264" t="n"/>
      <c r="AH58" s="264" t="n"/>
      <c r="AI58" s="264" t="n"/>
      <c r="AJ58" s="264" t="n"/>
      <c r="AK58" s="264" t="n"/>
      <c r="AL58" s="264" t="n"/>
      <c r="AM58" s="264" t="n"/>
      <c r="AN58" s="264" t="n"/>
      <c r="AO58" s="264" t="n"/>
      <c r="AP58" s="264" t="n"/>
      <c r="AQ58" s="264" t="n"/>
      <c r="AR58" s="158">
        <f>IF($A58="","",IF(OR($N58="Yes",$T58="Yes",$Z58="Yes",$AF58="Yes",$AL58="Yes"),"Yes","No"))</f>
        <v/>
      </c>
      <c r="AS58" s="158">
        <f>IF($A58="","",IFERROR(IF($AM58&lt;&gt;"",$AM58,IF($AG58&lt;&gt;"",$AG58,IF($AA58&lt;&gt;"",$AA58,IF($U58&lt;&gt;"",$U58,IF($O58&lt;&gt;"",$O58,""))))),""))</f>
        <v/>
      </c>
      <c r="AT58" s="158">
        <f>IFERROR(IF($AN58&lt;&gt;"",$AN58,IF($AH58&lt;&gt;"",$AH58,IF($AB58&lt;&gt;"",$AB58,IF($V58&lt;&gt;"",$V58,IF($P58&lt;&gt;"",$P58,""))))),"")</f>
        <v/>
      </c>
      <c r="AU58" s="265" t="inlineStr">
        <is>
          <t>Căn cứ: `KB-DLV-01` ô 1·Sender + ảnh Figma `dc8cf987…`.</t>
        </is>
      </c>
    </row>
    <row r="59" ht="15.75" customHeight="1" s="216">
      <c r="A59" s="160">
        <f>IF($F59="","",$C$2&amp;"."&amp;COUNTA($F$7:$F59)&amp;"")</f>
        <v/>
      </c>
      <c r="B59" s="160" t="inlineStr">
        <is>
          <t>REQ-DLV-002</t>
        </is>
      </c>
      <c r="C59" s="160" t="inlineStr">
        <is>
          <t>DOC-v1.0-06</t>
        </is>
      </c>
      <c r="D59" s="160" t="inlineStr">
        <is>
          <t>UI</t>
        </is>
      </c>
      <c r="E59" s="160" t="inlineStr">
        <is>
          <t>Medium</t>
        </is>
      </c>
      <c r="F59" s="11" t="inlineStr">
        <is>
          <t>Check người vận chuyển ở trạng thái "Chờ ghép" thấy nút "Tôi mang giúp được" bật trên màn Chi tiết tin</t>
        </is>
      </c>
      <c r="G59" s="11" t="inlineStr">
        <is>
          <t>Hai tài khoản CBNV trên STG (A người gửi, B người vận chuyển chưa ghép đơn nào).
Test Data: Đơn `POSTED`; vai Carrier (test_data_catalog §DLV — ô 1·Carrier)</t>
        </is>
      </c>
      <c r="H59" s="11" t="inlineStr">
        <is>
          <t>1. Đăng nhập bằng tài khoản A, đăng 1 tin NEED rồi đăng xuất. (setup)
2. Đăng nhập bằng tài khoản B và nhấn tab "Bảng tin".
3. Nhấn tin của tài khoản A để mở màn Chi tiết tin.
4. Check nút hành động chính và trạng thái của nút.</t>
        </is>
      </c>
      <c r="I59" s="11" t="inlineStr">
        <is>
          <t>4. Màn Chi tiết tin có nút "Tôi mang giúp được" ở trạng thái enable, nhấn được.</t>
        </is>
      </c>
      <c r="J59" s="160" t="inlineStr">
        <is>
          <t>AI</t>
        </is>
      </c>
      <c r="K59" s="160" t="inlineStr">
        <is>
          <t>Pending</t>
        </is>
      </c>
      <c r="L59" s="160" t="inlineStr">
        <is>
          <t>No</t>
        </is>
      </c>
      <c r="M59" s="160" t="inlineStr"/>
      <c r="N59" s="264" t="inlineStr"/>
      <c r="O59" s="264" t="inlineStr"/>
      <c r="P59" s="264" t="inlineStr"/>
      <c r="Q59" s="264" t="inlineStr"/>
      <c r="R59" s="264" t="inlineStr"/>
      <c r="S59" s="264" t="inlineStr"/>
      <c r="T59" s="264" t="n"/>
      <c r="U59" s="264" t="n"/>
      <c r="V59" s="264" t="n"/>
      <c r="W59" s="264" t="n"/>
      <c r="X59" s="264" t="n"/>
      <c r="Y59" s="264" t="n"/>
      <c r="Z59" s="264" t="n"/>
      <c r="AA59" s="264" t="n"/>
      <c r="AB59" s="264" t="n"/>
      <c r="AC59" s="264" t="n"/>
      <c r="AD59" s="264" t="n"/>
      <c r="AE59" s="264" t="n"/>
      <c r="AF59" s="264" t="n"/>
      <c r="AG59" s="264" t="n"/>
      <c r="AH59" s="264" t="n"/>
      <c r="AI59" s="264" t="n"/>
      <c r="AJ59" s="264" t="n"/>
      <c r="AK59" s="264" t="n"/>
      <c r="AL59" s="264" t="n"/>
      <c r="AM59" s="264" t="n"/>
      <c r="AN59" s="264" t="n"/>
      <c r="AO59" s="264" t="n"/>
      <c r="AP59" s="264" t="n"/>
      <c r="AQ59" s="264" t="n"/>
      <c r="AR59" s="158">
        <f>IF($A59="","",IF(OR($N59="Yes",$T59="Yes",$Z59="Yes",$AF59="Yes",$AL59="Yes"),"Yes","No"))</f>
        <v/>
      </c>
      <c r="AS59" s="158">
        <f>IF($A59="","",IFERROR(IF($AM59&lt;&gt;"",$AM59,IF($AG59&lt;&gt;"",$AG59,IF($AA59&lt;&gt;"",$AA59,IF($U59&lt;&gt;"",$U59,IF($O59&lt;&gt;"",$O59,""))))),""))</f>
        <v/>
      </c>
      <c r="AT59" s="158">
        <f>IFERROR(IF($AN59&lt;&gt;"",$AN59,IF($AH59&lt;&gt;"",$AH59,IF($AB59&lt;&gt;"",$AB59,IF($V59&lt;&gt;"",$V59,IF($P59&lt;&gt;"",$P59,""))))),"")</f>
        <v/>
      </c>
      <c r="AU59" s="265" t="inlineStr">
        <is>
          <t>Căn cứ: `KB-DLV-01` ô 1·Carrier. ⚠ Ô ma trận này nằm ở màn **Chi tiết tin**, không phải màn Theo dõi đơn — Carrier chưa thuộc đơn nên chưa có màn Theo dõi đơn.</t>
        </is>
      </c>
    </row>
    <row r="60" ht="15.75" customHeight="1" s="216">
      <c r="A60" s="160">
        <f>IF($F60="","",$C$2&amp;"."&amp;COUNTA($F$7:$F60)&amp;"")</f>
        <v/>
      </c>
      <c r="B60" s="160" t="inlineStr">
        <is>
          <t>REQ-DLV-002</t>
        </is>
      </c>
      <c r="C60" s="160" t="inlineStr">
        <is>
          <t>DOC-v1.0-06</t>
        </is>
      </c>
      <c r="D60" s="160" t="inlineStr">
        <is>
          <t>UI</t>
        </is>
      </c>
      <c r="E60" s="160" t="inlineStr">
        <is>
          <t>Medium</t>
        </is>
      </c>
      <c r="F60" s="11" t="inlineStr">
        <is>
          <t>Check người nhận ở trạng thái "Chờ ghép" thấy nhãn chờ vận chuyển bị khoá kèm nút Huỷ đơn</t>
        </is>
      </c>
      <c r="G60" s="11" t="inlineStr">
        <is>
          <t>Hai tài khoản CBNV trên STG (A người gửi, C người nhận được khai trong đơn).
Test Data: Đơn `POSTED`; vai Receiver (test_data_catalog §DLV — ô 1·Receiver)</t>
        </is>
      </c>
      <c r="H60" s="11" t="inlineStr">
        <is>
          <t>1. Đăng nhập bằng tài khoản A, đăng 1 tin NEED khai tài khoản C là người nhận, rồi đăng xuất. (setup)
2. Đăng nhập bằng tài khoản C, nhấn tab "Hoạt động" và mở đơn đó.
3. Check nhãn hành động chính và trạng thái của nhãn.
4. Check các nút phụ trên màn.</t>
        </is>
      </c>
      <c r="I60" s="11" t="inlineStr">
        <is>
          <t>3. Nhãn hiển thị "Đang chờ người vận chuyển nhận đơn" ở trạng thái disable.
4. Màn có nút "Huỷ đơn" và KHÔNG có nút "Chỉnh sửa".</t>
        </is>
      </c>
      <c r="J60" s="160" t="inlineStr">
        <is>
          <t>AI</t>
        </is>
      </c>
      <c r="K60" s="160" t="inlineStr">
        <is>
          <t>Pending</t>
        </is>
      </c>
      <c r="L60" s="160" t="inlineStr">
        <is>
          <t>No</t>
        </is>
      </c>
      <c r="M60" s="160" t="inlineStr"/>
      <c r="N60" s="264" t="inlineStr"/>
      <c r="O60" s="264" t="inlineStr"/>
      <c r="P60" s="264" t="inlineStr"/>
      <c r="Q60" s="264" t="inlineStr"/>
      <c r="R60" s="264" t="inlineStr"/>
      <c r="S60" s="264" t="inlineStr"/>
      <c r="T60" s="264" t="n"/>
      <c r="U60" s="264" t="n"/>
      <c r="V60" s="264" t="n"/>
      <c r="W60" s="264" t="n"/>
      <c r="X60" s="264" t="n"/>
      <c r="Y60" s="264" t="n"/>
      <c r="Z60" s="264" t="n"/>
      <c r="AA60" s="264" t="n"/>
      <c r="AB60" s="264" t="n"/>
      <c r="AC60" s="264" t="n"/>
      <c r="AD60" s="264" t="n"/>
      <c r="AE60" s="264" t="n"/>
      <c r="AF60" s="264" t="n"/>
      <c r="AG60" s="264" t="n"/>
      <c r="AH60" s="264" t="n"/>
      <c r="AI60" s="264" t="n"/>
      <c r="AJ60" s="264" t="n"/>
      <c r="AK60" s="264" t="n"/>
      <c r="AL60" s="264" t="n"/>
      <c r="AM60" s="264" t="n"/>
      <c r="AN60" s="264" t="n"/>
      <c r="AO60" s="264" t="n"/>
      <c r="AP60" s="264" t="n"/>
      <c r="AQ60" s="264" t="n"/>
      <c r="AR60" s="158">
        <f>IF($A60="","",IF(OR($N60="Yes",$T60="Yes",$Z60="Yes",$AF60="Yes",$AL60="Yes"),"Yes","No"))</f>
        <v/>
      </c>
      <c r="AS60" s="158">
        <f>IF($A60="","",IFERROR(IF($AM60&lt;&gt;"",$AM60,IF($AG60&lt;&gt;"",$AG60,IF($AA60&lt;&gt;"",$AA60,IF($U60&lt;&gt;"",$U60,IF($O60&lt;&gt;"",$O60,""))))),""))</f>
        <v/>
      </c>
      <c r="AT60" s="158">
        <f>IFERROR(IF($AN60&lt;&gt;"",$AN60,IF($AH60&lt;&gt;"",$AH60,IF($AB60&lt;&gt;"",$AB60,IF($V60&lt;&gt;"",$V60,IF($P60&lt;&gt;"",$P60,""))))),"")</f>
        <v/>
      </c>
      <c r="AU60" s="265" t="inlineStr">
        <is>
          <t>Căn cứ: `KB-DLV-01` ô 1·Receiver — quyền "Chỉnh sửa" chỉ thuộc người gửi.</t>
        </is>
      </c>
    </row>
    <row r="61" ht="15.75" customHeight="1" s="216">
      <c r="A61" s="160">
        <f>IF($F61="","",$C$2&amp;"."&amp;COUNTA($F$7:$F61)&amp;"")</f>
        <v/>
      </c>
      <c r="B61" s="160" t="inlineStr">
        <is>
          <t>REQ-DLV-002</t>
        </is>
      </c>
      <c r="C61" s="160" t="inlineStr">
        <is>
          <t>DOC-v1.0-06</t>
        </is>
      </c>
      <c r="D61" s="160" t="inlineStr">
        <is>
          <t>UI</t>
        </is>
      </c>
      <c r="E61" s="160" t="inlineStr">
        <is>
          <t>Medium</t>
        </is>
      </c>
      <c r="F61" s="11" t="inlineStr">
        <is>
          <t>Check người gửi ở trạng thái "Đã ghép" thấy nhãn chờ lấy hàng bị khoá và không còn nút Chỉnh sửa</t>
        </is>
      </c>
      <c r="G61" s="11" t="inlineStr">
        <is>
          <t>Hai tài khoản CBNV trên STG (A người gửi, B người vận chuyển).
Test Data: Đơn `MATCHED`; vai Sender (test_data_catalog §DLV — ô 2·Sender)</t>
        </is>
      </c>
      <c r="H61" s="11" t="inlineStr">
        <is>
          <t>1. Đăng nhập bằng tài khoản A, đăng 1 tin NEED rồi đăng xuất. (setup)
2. Đăng nhập bằng tài khoản B, nhận đơn đó và xác nhận, rồi đăng xuất. (setup)
3. Đăng nhập bằng tài khoản A, nhấn tab "Hoạt động" và mở đơn đó.
4. Check nhãn hành động chính và trạng thái của nhãn.
5. Check các nút phụ trên màn.</t>
        </is>
      </c>
      <c r="I61" s="11" t="inlineStr">
        <is>
          <t>4. Nhãn hiển thị "Đã ghép · chờ shipper lấy hàng" ở trạng thái disable.
5. Màn có nút "Huỷ đơn"; KHÔNG còn nút "Chỉnh sửa".</t>
        </is>
      </c>
      <c r="J61" s="160" t="inlineStr">
        <is>
          <t>AI</t>
        </is>
      </c>
      <c r="K61" s="160" t="inlineStr">
        <is>
          <t>Pending</t>
        </is>
      </c>
      <c r="L61" s="160" t="inlineStr">
        <is>
          <t>No</t>
        </is>
      </c>
      <c r="M61" s="160" t="inlineStr"/>
      <c r="N61" s="264" t="inlineStr"/>
      <c r="O61" s="264" t="inlineStr"/>
      <c r="P61" s="264" t="inlineStr"/>
      <c r="Q61" s="264" t="inlineStr"/>
      <c r="R61" s="264" t="inlineStr"/>
      <c r="S61" s="264" t="inlineStr"/>
      <c r="T61" s="264" t="n"/>
      <c r="U61" s="264" t="n"/>
      <c r="V61" s="264" t="n"/>
      <c r="W61" s="264" t="n"/>
      <c r="X61" s="264" t="n"/>
      <c r="Y61" s="264" t="n"/>
      <c r="Z61" s="264" t="n"/>
      <c r="AA61" s="264" t="n"/>
      <c r="AB61" s="264" t="n"/>
      <c r="AC61" s="264" t="n"/>
      <c r="AD61" s="264" t="n"/>
      <c r="AE61" s="264" t="n"/>
      <c r="AF61" s="264" t="n"/>
      <c r="AG61" s="264" t="n"/>
      <c r="AH61" s="264" t="n"/>
      <c r="AI61" s="264" t="n"/>
      <c r="AJ61" s="264" t="n"/>
      <c r="AK61" s="264" t="n"/>
      <c r="AL61" s="264" t="n"/>
      <c r="AM61" s="264" t="n"/>
      <c r="AN61" s="264" t="n"/>
      <c r="AO61" s="264" t="n"/>
      <c r="AP61" s="264" t="n"/>
      <c r="AQ61" s="264" t="n"/>
      <c r="AR61" s="158">
        <f>IF($A61="","",IF(OR($N61="Yes",$T61="Yes",$Z61="Yes",$AF61="Yes",$AL61="Yes"),"Yes","No"))</f>
        <v/>
      </c>
      <c r="AS61" s="158">
        <f>IF($A61="","",IFERROR(IF($AM61&lt;&gt;"",$AM61,IF($AG61&lt;&gt;"",$AG61,IF($AA61&lt;&gt;"",$AA61,IF($U61&lt;&gt;"",$U61,IF($O61&lt;&gt;"",$O61,""))))),""))</f>
        <v/>
      </c>
      <c r="AT61" s="158">
        <f>IFERROR(IF($AN61&lt;&gt;"",$AN61,IF($AH61&lt;&gt;"",$AH61,IF($AB61&lt;&gt;"",$AB61,IF($V61&lt;&gt;"",$V61,IF($P61&lt;&gt;"",$P61,""))))),"")</f>
        <v/>
      </c>
      <c r="AU61" s="265" t="inlineStr">
        <is>
          <t>Mục đích: chốt thời điểm mất quyền "Chỉnh sửa" là khi đơn được ghép — cặp với TC-DLV-001. · Căn cứ: `KB-DLV-01` ô 2·Sender.</t>
        </is>
      </c>
      <c r="AV61" s="1" t="n"/>
    </row>
    <row r="62" ht="15.75" customHeight="1" s="216">
      <c r="A62" s="160">
        <f>IF($F62="","",$C$2&amp;"."&amp;COUNTA($F$7:$F62)&amp;"")</f>
        <v/>
      </c>
      <c r="B62" s="160" t="inlineStr">
        <is>
          <t>REQ-DLV-002</t>
        </is>
      </c>
      <c r="C62" s="160" t="inlineStr">
        <is>
          <t>DOC-v1.0-06 · DOC-v1.0-04</t>
        </is>
      </c>
      <c r="D62" s="160" t="inlineStr">
        <is>
          <t>UI</t>
        </is>
      </c>
      <c r="E62" s="160" t="inlineStr">
        <is>
          <t>Medium</t>
        </is>
      </c>
      <c r="F62" s="11" t="inlineStr">
        <is>
          <t>Check người vận chuyển ở trạng thái "Đã ghép" thấy nút "✓ Tôi đã lấy hàng" bật kèm nút huỷ nhận đơn</t>
        </is>
      </c>
      <c r="G62" s="11" t="inlineStr">
        <is>
          <t>Hai tài khoản CBNV trên STG (A người gửi, B người vận chuyển).
Test Data: Đơn `MATCHED`; vai Carrier (test_data_catalog §DLV — ô 2·Carrier)</t>
        </is>
      </c>
      <c r="H62" s="11" t="inlineStr">
        <is>
          <t>1. Đăng nhập bằng tài khoản A, đăng 1 tin NEED rồi đăng xuất. (setup)
2. Đăng nhập bằng tài khoản B, nhận đơn đó và xác nhận. (setup)
3. Mở màn Theo dõi đơn của đơn đó.
4. Check nút hành động chính và trạng thái của nút.
5. Check các nút phụ trên màn.</t>
        </is>
      </c>
      <c r="I62" s="11" t="inlineStr">
        <is>
          <t>4. Màn có nút "✓ Tôi đã lấy hàng" ở trạng thái enable.
5. Màn có nút "✕ Huỷ nhận đơn".</t>
        </is>
      </c>
      <c r="J62" s="160" t="inlineStr">
        <is>
          <t>AI</t>
        </is>
      </c>
      <c r="K62" s="160" t="inlineStr">
        <is>
          <t>Pending</t>
        </is>
      </c>
      <c r="L62" s="160" t="inlineStr">
        <is>
          <t>No</t>
        </is>
      </c>
      <c r="M62" s="160" t="inlineStr"/>
      <c r="N62" s="264" t="inlineStr"/>
      <c r="O62" s="264" t="inlineStr"/>
      <c r="P62" s="264" t="inlineStr"/>
      <c r="Q62" s="264" t="inlineStr"/>
      <c r="R62" s="264" t="inlineStr"/>
      <c r="S62" s="264" t="inlineStr"/>
      <c r="T62" s="264" t="n"/>
      <c r="U62" s="264" t="n"/>
      <c r="V62" s="264" t="n"/>
      <c r="W62" s="264" t="n"/>
      <c r="X62" s="264" t="n"/>
      <c r="Y62" s="264" t="n"/>
      <c r="Z62" s="264" t="n"/>
      <c r="AA62" s="264" t="n"/>
      <c r="AB62" s="264" t="n"/>
      <c r="AC62" s="264" t="n"/>
      <c r="AD62" s="264" t="n"/>
      <c r="AE62" s="264" t="n"/>
      <c r="AF62" s="264" t="n"/>
      <c r="AG62" s="264" t="n"/>
      <c r="AH62" s="264" t="n"/>
      <c r="AI62" s="264" t="n"/>
      <c r="AJ62" s="264" t="n"/>
      <c r="AK62" s="264" t="n"/>
      <c r="AL62" s="264" t="n"/>
      <c r="AM62" s="264" t="n"/>
      <c r="AN62" s="264" t="n"/>
      <c r="AO62" s="264" t="n"/>
      <c r="AP62" s="264" t="n"/>
      <c r="AQ62" s="264" t="n"/>
      <c r="AR62" s="158">
        <f>IF($A62="","",IF(OR($N62="Yes",$T62="Yes",$Z62="Yes",$AF62="Yes",$AL62="Yes"),"Yes","No"))</f>
        <v/>
      </c>
      <c r="AS62" s="158">
        <f>IF($A62="","",IFERROR(IF($AM62&lt;&gt;"",$AM62,IF($AG62&lt;&gt;"",$AG62,IF($AA62&lt;&gt;"",$AA62,IF($U62&lt;&gt;"",$U62,IF($O62&lt;&gt;"",$O62,""))))),""))</f>
        <v/>
      </c>
      <c r="AT62" s="158">
        <f>IFERROR(IF($AN62&lt;&gt;"",$AN62,IF($AH62&lt;&gt;"",$AH62,IF($AB62&lt;&gt;"",$AB62,IF($V62&lt;&gt;"",$V62,IF($P62&lt;&gt;"",$P62,""))))),"")</f>
        <v/>
      </c>
      <c r="AU62" s="265" t="inlineStr">
        <is>
          <t>Căn cứ: `KB-DLV-01` ô 2·Carrier + ảnh Figma `2e2ff7bc…`.</t>
        </is>
      </c>
      <c r="AV62" s="1" t="n"/>
    </row>
    <row r="63" ht="15.75" customHeight="1" s="216">
      <c r="A63" s="160">
        <f>IF($F63="","",$C$2&amp;"."&amp;COUNTA($F$7:$F63)&amp;"")</f>
        <v/>
      </c>
      <c r="B63" s="160" t="inlineStr">
        <is>
          <t>REQ-DLV-002</t>
        </is>
      </c>
      <c r="C63" s="160" t="inlineStr">
        <is>
          <t>DOC-v1.0-06</t>
        </is>
      </c>
      <c r="D63" s="160" t="inlineStr">
        <is>
          <t>UI</t>
        </is>
      </c>
      <c r="E63" s="160" t="inlineStr">
        <is>
          <t>Medium</t>
        </is>
      </c>
      <c r="F63" s="11" t="inlineStr">
        <is>
          <t>Check người nhận ở trạng thái "Đã ghép" thấy nhãn đã có người vận chuyển bị khoá kèm nút Huỷ đơn</t>
        </is>
      </c>
      <c r="G63" s="11" t="inlineStr">
        <is>
          <t>Ba tài khoản CBNV trên STG (A người gửi, B người vận chuyển, C người nhận).
Test Data: Đơn `MATCHED`; vai Receiver (test_data_catalog §DLV — ô 2·Receiver)</t>
        </is>
      </c>
      <c r="H63" s="11" t="inlineStr">
        <is>
          <t>1. Đăng nhập bằng tài khoản A, đăng 1 tin NEED khai C là người nhận, rồi đăng xuất. (setup)
2. Đăng nhập bằng tài khoản B, nhận đơn đó và xác nhận, rồi đăng xuất. (setup)
3. Đăng nhập bằng tài khoản C, nhấn tab "Hoạt động" và mở đơn đó.
4. Check nhãn hành động chính và trạng thái của nhãn.
5. Check các nút phụ trên màn.</t>
        </is>
      </c>
      <c r="I63" s="11" t="inlineStr">
        <is>
          <t>4. Nhãn hiển thị "Đã có người vận chuyển · chờ lấy hàng" ở trạng thái disable.
5. Màn có nút "Huỷ đơn".</t>
        </is>
      </c>
      <c r="J63" s="160" t="inlineStr">
        <is>
          <t>AI</t>
        </is>
      </c>
      <c r="K63" s="160" t="inlineStr">
        <is>
          <t>Pending</t>
        </is>
      </c>
      <c r="L63" s="160" t="inlineStr">
        <is>
          <t>No</t>
        </is>
      </c>
      <c r="M63" s="160" t="inlineStr"/>
      <c r="N63" s="264" t="inlineStr"/>
      <c r="O63" s="264" t="inlineStr"/>
      <c r="P63" s="264" t="inlineStr"/>
      <c r="Q63" s="264" t="inlineStr"/>
      <c r="R63" s="264" t="inlineStr"/>
      <c r="S63" s="264" t="inlineStr"/>
      <c r="T63" s="264" t="n"/>
      <c r="U63" s="264" t="n"/>
      <c r="V63" s="264" t="n"/>
      <c r="W63" s="264" t="n"/>
      <c r="X63" s="264" t="n"/>
      <c r="Y63" s="264" t="n"/>
      <c r="Z63" s="264" t="n"/>
      <c r="AA63" s="264" t="n"/>
      <c r="AB63" s="264" t="n"/>
      <c r="AC63" s="264" t="n"/>
      <c r="AD63" s="264" t="n"/>
      <c r="AE63" s="264" t="n"/>
      <c r="AF63" s="264" t="n"/>
      <c r="AG63" s="264" t="n"/>
      <c r="AH63" s="264" t="n"/>
      <c r="AI63" s="264" t="n"/>
      <c r="AJ63" s="264" t="n"/>
      <c r="AK63" s="264" t="n"/>
      <c r="AL63" s="264" t="n"/>
      <c r="AM63" s="264" t="n"/>
      <c r="AN63" s="264" t="n"/>
      <c r="AO63" s="264" t="n"/>
      <c r="AP63" s="264" t="n"/>
      <c r="AQ63" s="264" t="n"/>
      <c r="AR63" s="158">
        <f>IF($A63="","",IF(OR($N63="Yes",$T63="Yes",$Z63="Yes",$AF63="Yes",$AL63="Yes"),"Yes","No"))</f>
        <v/>
      </c>
      <c r="AS63" s="158">
        <f>IF($A63="","",IFERROR(IF($AM63&lt;&gt;"",$AM63,IF($AG63&lt;&gt;"",$AG63,IF($AA63&lt;&gt;"",$AA63,IF($U63&lt;&gt;"",$U63,IF($O63&lt;&gt;"",$O63,""))))),""))</f>
        <v/>
      </c>
      <c r="AT63" s="158">
        <f>IFERROR(IF($AN63&lt;&gt;"",$AN63,IF($AH63&lt;&gt;"",$AH63,IF($AB63&lt;&gt;"",$AB63,IF($V63&lt;&gt;"",$V63,IF($P63&lt;&gt;"",$P63,""))))),"")</f>
        <v/>
      </c>
      <c r="AU63" s="265" t="inlineStr">
        <is>
          <t>Căn cứ: `KB-DLV-01` ô 2·Receiver.</t>
        </is>
      </c>
      <c r="AV63" s="1" t="n"/>
    </row>
    <row r="64" ht="15.75" customHeight="1" s="216">
      <c r="A64" s="160">
        <f>IF($F64="","",$C$2&amp;"."&amp;COUNTA($F$7:$F64)&amp;"")</f>
        <v/>
      </c>
      <c r="B64" s="160" t="inlineStr">
        <is>
          <t>REQ-DLV-002</t>
        </is>
      </c>
      <c r="C64" s="160" t="inlineStr">
        <is>
          <t>DOC-v1.0-06 · DOC-v1.0-04</t>
        </is>
      </c>
      <c r="D64" s="160" t="inlineStr">
        <is>
          <t>UI</t>
        </is>
      </c>
      <c r="E64" s="160" t="inlineStr">
        <is>
          <t>Medium</t>
        </is>
      </c>
      <c r="F64" s="11" t="inlineStr">
        <is>
          <t>Check người gửi ở trạng thái "Đang giao" thấy nhãn đang giao bị khoá và không còn nút Huỷ đơn</t>
        </is>
      </c>
      <c r="G64" s="11" t="inlineStr">
        <is>
          <t>Ba tài khoản CBNV trên STG (A người gửi, B người vận chuyển, C người nhận).
Test Data: Đơn `IN_TRANSIT`; vai Sender (test_data_catalog §DLV — ô 3·Sender)</t>
        </is>
      </c>
      <c r="H64" s="11" t="inlineStr">
        <is>
          <t>1. Nhờ dev/QA seed 1 đơn ở trạng thái "Đang giao" với A là người gửi, B là người vận chuyển, C là người nhận. (setup)
2. Đăng nhập bằng tài khoản A, nhấn tab "Hoạt động" và mở đơn đó.
3. Check nhãn hành động chính và trạng thái của nhãn.
4. Check toàn màn tìm nút "Huỷ đơn".</t>
        </is>
      </c>
      <c r="I64" s="11" t="inlineStr">
        <is>
          <t>3. Nhãn hiển thị "Đang giao đến người nhận" ở trạng thái disable.
4. KHÔNG có nút "Huỷ đơn" trên màn.</t>
        </is>
      </c>
      <c r="J64" s="160" t="inlineStr">
        <is>
          <t>AI</t>
        </is>
      </c>
      <c r="K64" s="160" t="inlineStr">
        <is>
          <t>Pending</t>
        </is>
      </c>
      <c r="L64" s="160" t="inlineStr">
        <is>
          <t>No</t>
        </is>
      </c>
      <c r="M64" s="160" t="inlineStr"/>
      <c r="N64" s="264" t="inlineStr"/>
      <c r="O64" s="264" t="inlineStr"/>
      <c r="P64" s="264" t="inlineStr"/>
      <c r="Q64" s="264" t="inlineStr"/>
      <c r="R64" s="264" t="inlineStr"/>
      <c r="S64" s="264" t="inlineStr"/>
      <c r="T64" s="264" t="n"/>
      <c r="U64" s="264" t="n"/>
      <c r="V64" s="264" t="n"/>
      <c r="W64" s="264" t="n"/>
      <c r="X64" s="264" t="n"/>
      <c r="Y64" s="264" t="n"/>
      <c r="Z64" s="264" t="n"/>
      <c r="AA64" s="264" t="n"/>
      <c r="AB64" s="264" t="n"/>
      <c r="AC64" s="264" t="n"/>
      <c r="AD64" s="264" t="n"/>
      <c r="AE64" s="264" t="n"/>
      <c r="AF64" s="264" t="n"/>
      <c r="AG64" s="264" t="n"/>
      <c r="AH64" s="264" t="n"/>
      <c r="AI64" s="264" t="n"/>
      <c r="AJ64" s="264" t="n"/>
      <c r="AK64" s="264" t="n"/>
      <c r="AL64" s="264" t="n"/>
      <c r="AM64" s="264" t="n"/>
      <c r="AN64" s="264" t="n"/>
      <c r="AO64" s="264" t="n"/>
      <c r="AP64" s="264" t="n"/>
      <c r="AQ64" s="264" t="n"/>
      <c r="AR64" s="158">
        <f>IF($A64="","",IF(OR($N64="Yes",$T64="Yes",$Z64="Yes",$AF64="Yes",$AL64="Yes"),"Yes","No"))</f>
        <v/>
      </c>
      <c r="AS64" s="158">
        <f>IF($A64="","",IFERROR(IF($AM64&lt;&gt;"",$AM64,IF($AG64&lt;&gt;"",$AG64,IF($AA64&lt;&gt;"",$AA64,IF($U64&lt;&gt;"",$U64,IF($O64&lt;&gt;"",$O64,""))))),""))</f>
        <v/>
      </c>
      <c r="AT64" s="158">
        <f>IFERROR(IF($AN64&lt;&gt;"",$AN64,IF($AH64&lt;&gt;"",$AH64,IF($AB64&lt;&gt;"",$AB64,IF($V64&lt;&gt;"",$V64,IF($P64&lt;&gt;"",$P64,""))))),"")</f>
        <v/>
      </c>
      <c r="AU64" s="265" t="inlineStr">
        <is>
          <t>Mục đích: chốt ranh giới mất quyền huỷ là "Đã ghép" → "Đang giao" — cùng rule với `TC-CNL-005`. · Căn cứ: `KB-DLV-01` ô 3·Sender + ảnh Figma `c8cae4c3…`.</t>
        </is>
      </c>
      <c r="AV64" s="1" t="n"/>
    </row>
    <row r="65" ht="15.75" customHeight="1" s="216">
      <c r="A65" s="160">
        <f>IF($F65="","",$C$2&amp;"."&amp;COUNTA($F$7:$F65)&amp;"")</f>
        <v/>
      </c>
      <c r="B65" s="160" t="inlineStr">
        <is>
          <t>REQ-DLV-002</t>
        </is>
      </c>
      <c r="C65" s="160" t="inlineStr">
        <is>
          <t>DOC-v1.0-06</t>
        </is>
      </c>
      <c r="D65" s="160" t="inlineStr">
        <is>
          <t>UI</t>
        </is>
      </c>
      <c r="E65" s="160" t="inlineStr">
        <is>
          <t>Medium</t>
        </is>
      </c>
      <c r="F65" s="11" t="inlineStr">
        <is>
          <t>Check người vận chuyển ở trạng thái "Đang giao" thấy nút "Đã giao cho người nhận" bật</t>
        </is>
      </c>
      <c r="G65" s="11" t="inlineStr">
        <is>
          <t>Ba tài khoản CBNV trên STG (A người gửi, B người vận chuyển, C người nhận).
Test Data: Đơn `IN_TRANSIT`; vai Carrier (test_data_catalog §DLV — ô 3·Carrier)</t>
        </is>
      </c>
      <c r="H65" s="11" t="inlineStr">
        <is>
          <t>1. Nhờ dev/QA seed 1 đơn ở trạng thái "Đang giao" với đủ 3 vai A, B, C. (setup)
2. Đăng nhập bằng tài khoản B và mở màn Theo dõi đơn của đơn đó.
3. Check nút hành động chính và trạng thái của nút.</t>
        </is>
      </c>
      <c r="I65" s="11" t="inlineStr">
        <is>
          <t>3. Màn có nút "Đã giao cho người nhận" ở trạng thái enable.</t>
        </is>
      </c>
      <c r="J65" s="160" t="inlineStr">
        <is>
          <t>AI</t>
        </is>
      </c>
      <c r="K65" s="160" t="inlineStr">
        <is>
          <t>Pending</t>
        </is>
      </c>
      <c r="L65" s="160" t="inlineStr">
        <is>
          <t>No</t>
        </is>
      </c>
      <c r="M65" s="160" t="inlineStr"/>
      <c r="N65" s="264" t="inlineStr">
        <is>
          <t>Yes</t>
        </is>
      </c>
      <c r="O65" s="264" t="inlineStr"/>
      <c r="P65" s="264" t="inlineStr">
        <is>
          <t>Pass</t>
        </is>
      </c>
      <c r="Q65" s="264" t="inlineStr">
        <is>
          <t>GiangDC2</t>
        </is>
      </c>
      <c r="R65" s="264" t="inlineStr"/>
      <c r="S65" s="264" t="inlineStr"/>
      <c r="T65" s="264" t="n"/>
      <c r="U65" s="264" t="n"/>
      <c r="V65" s="264" t="n"/>
      <c r="W65" s="264" t="n"/>
      <c r="X65" s="264" t="n"/>
      <c r="Y65" s="264" t="n"/>
      <c r="Z65" s="264" t="n"/>
      <c r="AA65" s="264" t="n"/>
      <c r="AB65" s="264" t="n"/>
      <c r="AC65" s="264" t="n"/>
      <c r="AD65" s="264" t="n"/>
      <c r="AE65" s="264" t="n"/>
      <c r="AF65" s="264" t="n"/>
      <c r="AG65" s="264" t="n"/>
      <c r="AH65" s="264" t="n"/>
      <c r="AI65" s="264" t="n"/>
      <c r="AJ65" s="264" t="n"/>
      <c r="AK65" s="264" t="n"/>
      <c r="AL65" s="264" t="n"/>
      <c r="AM65" s="264" t="n"/>
      <c r="AN65" s="264" t="n"/>
      <c r="AO65" s="264" t="n"/>
      <c r="AP65" s="264" t="n"/>
      <c r="AQ65" s="264" t="n"/>
      <c r="AR65" s="158">
        <f>IF($A65="","",IF(OR($N65="Yes",$T65="Yes",$Z65="Yes",$AF65="Yes",$AL65="Yes"),"Yes","No"))</f>
        <v/>
      </c>
      <c r="AS65" s="158">
        <f>IF($A65="","",IFERROR(IF($AM65&lt;&gt;"",$AM65,IF($AG65&lt;&gt;"",$AG65,IF($AA65&lt;&gt;"",$AA65,IF($U65&lt;&gt;"",$U65,IF($O65&lt;&gt;"",$O65,""))))),""))</f>
        <v/>
      </c>
      <c r="AT65" s="158">
        <f>IFERROR(IF($AN65&lt;&gt;"",$AN65,IF($AH65&lt;&gt;"",$AH65,IF($AB65&lt;&gt;"",$AB65,IF($V65&lt;&gt;"",$V65,IF($P65&lt;&gt;"",$P65,""))))),"")</f>
        <v/>
      </c>
      <c r="AU65" s="265" t="inlineStr">
        <is>
          <t>Căn cứ: `KB-DLV-01` ô 3·Carrier.</t>
        </is>
      </c>
      <c r="AV65" s="1" t="n"/>
    </row>
    <row r="66" ht="15.75" customHeight="1" s="216">
      <c r="A66" s="160">
        <f>IF($F66="","",$C$2&amp;"."&amp;COUNTA($F$7:$F66)&amp;"")</f>
        <v/>
      </c>
      <c r="B66" s="160" t="inlineStr">
        <is>
          <t>REQ-DLV-002</t>
        </is>
      </c>
      <c r="C66" s="160" t="inlineStr">
        <is>
          <t>DOC-v1.0-06 · DOC-v1.0-04</t>
        </is>
      </c>
      <c r="D66" s="160" t="inlineStr">
        <is>
          <t>UI</t>
        </is>
      </c>
      <c r="E66" s="160" t="inlineStr">
        <is>
          <t>Medium</t>
        </is>
      </c>
      <c r="F66" s="11" t="inlineStr">
        <is>
          <t>Check người nhận ở trạng thái "Đang giao" thấy nhãn đơn đang trên đường bị khoá</t>
        </is>
      </c>
      <c r="G66" s="11" t="inlineStr">
        <is>
          <t>Ba tài khoản CBNV trên STG (A người gửi, B người vận chuyển, C người nhận).
Test Data: Đơn `IN_TRANSIT`; vai Receiver (test_data_catalog §DLV — ô 3·Receiver)</t>
        </is>
      </c>
      <c r="H66" s="11" t="inlineStr">
        <is>
          <t>1. Nhờ dev/QA seed 1 đơn ở trạng thái "Đang giao" với đủ 3 vai A, B, C. (setup)
2. Đăng nhập bằng tài khoản C, nhấn tab "Hoạt động" và mở đơn đó.
3. Check nhãn hành động chính và trạng thái của nhãn.</t>
        </is>
      </c>
      <c r="I66" s="11" t="inlineStr">
        <is>
          <t>3. Nhãn hiển thị "✓ Đơn đang trên đường đến bạn" ở trạng thái disable.</t>
        </is>
      </c>
      <c r="J66" s="160" t="inlineStr">
        <is>
          <t>AI</t>
        </is>
      </c>
      <c r="K66" s="160" t="inlineStr">
        <is>
          <t>Pending</t>
        </is>
      </c>
      <c r="L66" s="160" t="inlineStr">
        <is>
          <t>No</t>
        </is>
      </c>
      <c r="M66" s="160" t="inlineStr"/>
      <c r="N66" s="264" t="inlineStr">
        <is>
          <t>Yes</t>
        </is>
      </c>
      <c r="O66" s="264" t="inlineStr"/>
      <c r="P66" s="264" t="inlineStr">
        <is>
          <t>Pass</t>
        </is>
      </c>
      <c r="Q66" s="264" t="inlineStr">
        <is>
          <t>GiangDC2</t>
        </is>
      </c>
      <c r="R66" s="264" t="inlineStr"/>
      <c r="S66" s="264" t="inlineStr"/>
      <c r="T66" s="264" t="n"/>
      <c r="U66" s="264" t="n"/>
      <c r="V66" s="264" t="n"/>
      <c r="W66" s="264" t="n"/>
      <c r="X66" s="264" t="n"/>
      <c r="Y66" s="264" t="n"/>
      <c r="Z66" s="264" t="n"/>
      <c r="AA66" s="264" t="n"/>
      <c r="AB66" s="264" t="n"/>
      <c r="AC66" s="264" t="n"/>
      <c r="AD66" s="264" t="n"/>
      <c r="AE66" s="264" t="n"/>
      <c r="AF66" s="264" t="n"/>
      <c r="AG66" s="264" t="n"/>
      <c r="AH66" s="264" t="n"/>
      <c r="AI66" s="264" t="n"/>
      <c r="AJ66" s="264" t="n"/>
      <c r="AK66" s="264" t="n"/>
      <c r="AL66" s="264" t="n"/>
      <c r="AM66" s="264" t="n"/>
      <c r="AN66" s="264" t="n"/>
      <c r="AO66" s="264" t="n"/>
      <c r="AP66" s="264" t="n"/>
      <c r="AQ66" s="264" t="n"/>
      <c r="AR66" s="158">
        <f>IF($A66="","",IF(OR($N66="Yes",$T66="Yes",$Z66="Yes",$AF66="Yes",$AL66="Yes"),"Yes","No"))</f>
        <v/>
      </c>
      <c r="AS66" s="158">
        <f>IF($A66="","",IFERROR(IF($AM66&lt;&gt;"",$AM66,IF($AG66&lt;&gt;"",$AG66,IF($AA66&lt;&gt;"",$AA66,IF($U66&lt;&gt;"",$U66,IF($O66&lt;&gt;"",$O66,""))))),""))</f>
        <v/>
      </c>
      <c r="AT66" s="158">
        <f>IFERROR(IF($AN66&lt;&gt;"",$AN66,IF($AH66&lt;&gt;"",$AH66,IF($AB66&lt;&gt;"",$AB66,IF($V66&lt;&gt;"",$V66,IF($P66&lt;&gt;"",$P66,""))))),"")</f>
        <v/>
      </c>
      <c r="AU66" s="265" t="inlineStr">
        <is>
          <t>Căn cứ: `KB-DLV-01` ô 3·Receiver + ảnh Figma `ca5e7239…`.</t>
        </is>
      </c>
      <c r="AV66" s="1" t="n"/>
    </row>
    <row r="67" ht="15.75" customHeight="1" s="216">
      <c r="A67" s="160">
        <f>IF($F67="","",$C$2&amp;"."&amp;COUNTA($F$7:$F67)&amp;"")</f>
        <v/>
      </c>
      <c r="B67" s="160" t="inlineStr">
        <is>
          <t>REQ-DLV-002</t>
        </is>
      </c>
      <c r="C67" s="160" t="inlineStr">
        <is>
          <t>DOC-v1.0-06 · DOC-v1.0-04</t>
        </is>
      </c>
      <c r="D67" s="160" t="inlineStr">
        <is>
          <t>UI</t>
        </is>
      </c>
      <c r="E67" s="160" t="inlineStr">
        <is>
          <t>Medium</t>
        </is>
      </c>
      <c r="F67" s="11" t="inlineStr">
        <is>
          <t>Check người gửi ở trạng thái "Đã giao" thấy nhãn chờ người nhận xác nhận bị khoá</t>
        </is>
      </c>
      <c r="G67" s="11" t="inlineStr">
        <is>
          <t>Ba tài khoản CBNV trên STG (A người gửi, B người vận chuyển, C người nhận).
Test Data: Đơn `DELIVERED`; vai Sender (test_data_catalog §DLV — ô 4·Sender)</t>
        </is>
      </c>
      <c r="H67" s="11" t="inlineStr">
        <is>
          <t>1. Nhờ dev/QA seed 1 đơn ở trạng thái "Đã giao" với đủ 3 vai A, B, C. (setup)
2. Đăng nhập bằng tài khoản A, nhấn tab "Hoạt động" và mở đơn đó.
3. Check nhãn hành động chính và trạng thái của nhãn.</t>
        </is>
      </c>
      <c r="I67" s="11" t="inlineStr">
        <is>
          <t>3. Nhãn hiển thị "✓ Đã giao · chờ người nhận xác nhận" ở trạng thái disable.</t>
        </is>
      </c>
      <c r="J67" s="160" t="inlineStr">
        <is>
          <t>AI</t>
        </is>
      </c>
      <c r="K67" s="160" t="inlineStr">
        <is>
          <t>Pending</t>
        </is>
      </c>
      <c r="L67" s="160" t="inlineStr">
        <is>
          <t>No</t>
        </is>
      </c>
      <c r="M67" s="160" t="inlineStr"/>
      <c r="N67" s="264" t="inlineStr">
        <is>
          <t>Yes</t>
        </is>
      </c>
      <c r="O67" s="264" t="inlineStr"/>
      <c r="P67" s="264" t="inlineStr">
        <is>
          <t>Pass</t>
        </is>
      </c>
      <c r="Q67" s="264" t="inlineStr">
        <is>
          <t>GiangDC2</t>
        </is>
      </c>
      <c r="R67" s="264" t="inlineStr"/>
      <c r="S67" s="264" t="inlineStr"/>
      <c r="T67" s="264" t="n"/>
      <c r="U67" s="264" t="n"/>
      <c r="V67" s="264" t="n"/>
      <c r="W67" s="264" t="n"/>
      <c r="X67" s="264" t="n"/>
      <c r="Y67" s="264" t="n"/>
      <c r="Z67" s="264" t="n"/>
      <c r="AA67" s="264" t="n"/>
      <c r="AB67" s="264" t="n"/>
      <c r="AC67" s="264" t="n"/>
      <c r="AD67" s="264" t="n"/>
      <c r="AE67" s="264" t="n"/>
      <c r="AF67" s="264" t="n"/>
      <c r="AG67" s="264" t="n"/>
      <c r="AH67" s="264" t="n"/>
      <c r="AI67" s="264" t="n"/>
      <c r="AJ67" s="264" t="n"/>
      <c r="AK67" s="264" t="n"/>
      <c r="AL67" s="264" t="n"/>
      <c r="AM67" s="264" t="n"/>
      <c r="AN67" s="264" t="n"/>
      <c r="AO67" s="264" t="n"/>
      <c r="AP67" s="264" t="n"/>
      <c r="AQ67" s="264" t="n"/>
      <c r="AR67" s="158">
        <f>IF($A67="","",IF(OR($N67="Yes",$T67="Yes",$Z67="Yes",$AF67="Yes",$AL67="Yes"),"Yes","No"))</f>
        <v/>
      </c>
      <c r="AS67" s="158">
        <f>IF($A67="","",IFERROR(IF($AM67&lt;&gt;"",$AM67,IF($AG67&lt;&gt;"",$AG67,IF($AA67&lt;&gt;"",$AA67,IF($U67&lt;&gt;"",$U67,IF($O67&lt;&gt;"",$O67,""))))),""))</f>
        <v/>
      </c>
      <c r="AT67" s="158">
        <f>IFERROR(IF($AN67&lt;&gt;"",$AN67,IF($AH67&lt;&gt;"",$AH67,IF($AB67&lt;&gt;"",$AB67,IF($V67&lt;&gt;"",$V67,IF($P67&lt;&gt;"",$P67,""))))),"")</f>
        <v/>
      </c>
      <c r="AU67" s="265" t="inlineStr">
        <is>
          <t>Căn cứ: `KB-DLV-01` ô 4·Sender + ảnh Figma `8563adc1…`.</t>
        </is>
      </c>
      <c r="AV67" s="1" t="n"/>
    </row>
    <row r="68" ht="15.75" customHeight="1" s="216">
      <c r="A68" s="160">
        <f>IF($F68="","",$C$2&amp;"."&amp;COUNTA($F$7:$F68)&amp;"")</f>
        <v/>
      </c>
      <c r="B68" s="160" t="inlineStr">
        <is>
          <t>REQ-DLV-002</t>
        </is>
      </c>
      <c r="C68" s="160" t="inlineStr">
        <is>
          <t>DOC-v1.0-06 · DOC-v1.0-02</t>
        </is>
      </c>
      <c r="D68" s="160" t="inlineStr">
        <is>
          <t>UI</t>
        </is>
      </c>
      <c r="E68" s="160" t="inlineStr">
        <is>
          <t>Medium</t>
        </is>
      </c>
      <c r="F68" s="11" t="inlineStr">
        <is>
          <t>Check người vận chuyển ở trạng thái "Đã giao" thấy nhãn chờ người nhận xác nhận bị khoá</t>
        </is>
      </c>
      <c r="G68" s="11" t="inlineStr">
        <is>
          <t>Ba tài khoản CBNV trên STG (A người gửi, B người vận chuyển, C người nhận).
Test Data: Đơn `DELIVERED`; vai Carrier (test_data_catalog §DLV — ô 4·Carrier)</t>
        </is>
      </c>
      <c r="H68" s="11" t="inlineStr">
        <is>
          <t>1. Nhờ dev/QA seed 1 đơn ở trạng thái "Đã giao" với đủ 3 vai A, B, C. (setup)
2. Đăng nhập bằng tài khoản B và mở màn Theo dõi đơn của đơn đó.
3. Check nhãn hành động chính và trạng thái của nhãn.
4. Check toàn màn tìm nút xác nhận hoàn tất đơn.</t>
        </is>
      </c>
      <c r="I68" s="11" t="inlineStr">
        <is>
          <t>3. Nhãn hiển thị "✓ Đã giao · chờ người nhận xác nhận" ở trạng thái disable.
4. KHÔNG có nút nào cho phép người vận chuyển chốt hoàn tất đơn.</t>
        </is>
      </c>
      <c r="J68" s="160" t="inlineStr">
        <is>
          <t>AI</t>
        </is>
      </c>
      <c r="K68" s="160" t="inlineStr">
        <is>
          <t>Pending</t>
        </is>
      </c>
      <c r="L68" s="160" t="inlineStr">
        <is>
          <t>No</t>
        </is>
      </c>
      <c r="M68" s="160" t="inlineStr"/>
      <c r="N68" s="264" t="inlineStr">
        <is>
          <t>Yes</t>
        </is>
      </c>
      <c r="O68" s="264" t="inlineStr"/>
      <c r="P68" s="264" t="inlineStr">
        <is>
          <t>Pass</t>
        </is>
      </c>
      <c r="Q68" s="264" t="inlineStr">
        <is>
          <t>GiangDC2</t>
        </is>
      </c>
      <c r="R68" s="264" t="inlineStr"/>
      <c r="S68" s="264" t="inlineStr"/>
      <c r="T68" s="264" t="n"/>
      <c r="U68" s="264" t="n"/>
      <c r="V68" s="264" t="n"/>
      <c r="W68" s="264" t="n"/>
      <c r="X68" s="264" t="n"/>
      <c r="Y68" s="264" t="n"/>
      <c r="Z68" s="264" t="n"/>
      <c r="AA68" s="264" t="n"/>
      <c r="AB68" s="264" t="n"/>
      <c r="AC68" s="264" t="n"/>
      <c r="AD68" s="264" t="n"/>
      <c r="AE68" s="264" t="n"/>
      <c r="AF68" s="264" t="n"/>
      <c r="AG68" s="264" t="n"/>
      <c r="AH68" s="264" t="n"/>
      <c r="AI68" s="264" t="n"/>
      <c r="AJ68" s="264" t="n"/>
      <c r="AK68" s="264" t="n"/>
      <c r="AL68" s="264" t="n"/>
      <c r="AM68" s="264" t="n"/>
      <c r="AN68" s="264" t="n"/>
      <c r="AO68" s="264" t="n"/>
      <c r="AP68" s="264" t="n"/>
      <c r="AQ68" s="264" t="n"/>
      <c r="AR68" s="158">
        <f>IF($A68="","",IF(OR($N68="Yes",$T68="Yes",$Z68="Yes",$AF68="Yes",$AL68="Yes"),"Yes","No"))</f>
        <v/>
      </c>
      <c r="AS68" s="158">
        <f>IF($A68="","",IFERROR(IF($AM68&lt;&gt;"",$AM68,IF($AG68&lt;&gt;"",$AG68,IF($AA68&lt;&gt;"",$AA68,IF($U68&lt;&gt;"",$U68,IF($O68&lt;&gt;"",$O68,""))))),""))</f>
        <v/>
      </c>
      <c r="AT68" s="158">
        <f>IFERROR(IF($AN68&lt;&gt;"",$AN68,IF($AH68&lt;&gt;"",$AH68,IF($AB68&lt;&gt;"",$AB68,IF($V68&lt;&gt;"",$V68,IF($P68&lt;&gt;"",$P68,""))))),"")</f>
        <v/>
      </c>
      <c r="AU68" s="265" t="inlineStr">
        <is>
          <t>Mục đích: chốt quyền hoàn tất đơn đã chuyển sang người nhận — bộ ba TC-DLV-010/011/012 là điểm phân định của `C-DLV-01`. · Căn cứ: `KB-DLV-01` ô 4·Carrier + `DOC-v1.0-02` §4.3.</t>
        </is>
      </c>
      <c r="AV68" s="1" t="n"/>
    </row>
    <row r="69" ht="15.75" customHeight="1" s="216">
      <c r="A69" s="160">
        <f>IF($F69="","",$C$2&amp;"."&amp;COUNTA($F$7:$F69)&amp;"")</f>
        <v/>
      </c>
      <c r="B69" s="160" t="inlineStr">
        <is>
          <t>REQ-DLV-002</t>
        </is>
      </c>
      <c r="C69" s="160" t="inlineStr">
        <is>
          <t>DOC-v1.0-06 · DOC-v1.0-02</t>
        </is>
      </c>
      <c r="D69" s="160" t="inlineStr">
        <is>
          <t>UI</t>
        </is>
      </c>
      <c r="E69" s="160" t="inlineStr">
        <is>
          <t>High</t>
        </is>
      </c>
      <c r="F69" s="11" t="inlineStr">
        <is>
          <t>Check người nhận ở trạng thái "Đã giao" thấy nút "Xác nhận đã nhận hàng" bật</t>
        </is>
      </c>
      <c r="G69" s="11" t="inlineStr">
        <is>
          <t>Ba tài khoản CBNV trên STG (A người gửi, B người vận chuyển, C người nhận).
Test Data: Đơn `DELIVERED`; vai Receiver (test_data_catalog §DLV — ô 4·Receiver)</t>
        </is>
      </c>
      <c r="H69" s="11" t="inlineStr">
        <is>
          <t>1. Nhờ dev/QA seed 1 đơn ở trạng thái "Đã giao" với đủ 3 vai A, B, C. (setup)
2. Đăng nhập bằng tài khoản C, nhấn tab "Hoạt động" và mở đơn đó.
3. Check nút hành động chính và trạng thái của nút.</t>
        </is>
      </c>
      <c r="I69" s="11" t="inlineStr">
        <is>
          <t>3. Màn có nút "Xác nhận đã nhận hàng" ở trạng thái enable.</t>
        </is>
      </c>
      <c r="J69" s="160" t="inlineStr">
        <is>
          <t>AI</t>
        </is>
      </c>
      <c r="K69" s="160" t="inlineStr">
        <is>
          <t>Pending</t>
        </is>
      </c>
      <c r="L69" s="160" t="inlineStr">
        <is>
          <t>No</t>
        </is>
      </c>
      <c r="M69" s="160" t="inlineStr"/>
      <c r="N69" s="264" t="inlineStr">
        <is>
          <t>Yes</t>
        </is>
      </c>
      <c r="O69" s="264" t="inlineStr"/>
      <c r="P69" s="264" t="inlineStr">
        <is>
          <t>Pass</t>
        </is>
      </c>
      <c r="Q69" s="264" t="inlineStr">
        <is>
          <t>GiangDC2</t>
        </is>
      </c>
      <c r="R69" s="264" t="inlineStr"/>
      <c r="S69" s="264" t="inlineStr"/>
      <c r="T69" s="264" t="n"/>
      <c r="U69" s="264" t="n"/>
      <c r="V69" s="264" t="n"/>
      <c r="W69" s="264" t="n"/>
      <c r="X69" s="264" t="n"/>
      <c r="Y69" s="264" t="n"/>
      <c r="Z69" s="264" t="n"/>
      <c r="AA69" s="264" t="n"/>
      <c r="AB69" s="264" t="n"/>
      <c r="AC69" s="264" t="n"/>
      <c r="AD69" s="264" t="n"/>
      <c r="AE69" s="264" t="n"/>
      <c r="AF69" s="264" t="n"/>
      <c r="AG69" s="264" t="n"/>
      <c r="AH69" s="264" t="n"/>
      <c r="AI69" s="264" t="n"/>
      <c r="AJ69" s="264" t="n"/>
      <c r="AK69" s="264" t="n"/>
      <c r="AL69" s="264" t="n"/>
      <c r="AM69" s="264" t="n"/>
      <c r="AN69" s="264" t="n"/>
      <c r="AO69" s="264" t="n"/>
      <c r="AP69" s="264" t="n"/>
      <c r="AQ69" s="264" t="n"/>
      <c r="AR69" s="158">
        <f>IF($A69="","",IF(OR($N69="Yes",$T69="Yes",$Z69="Yes",$AF69="Yes",$AL69="Yes"),"Yes","No"))</f>
        <v/>
      </c>
      <c r="AS69" s="158">
        <f>IF($A69="","",IFERROR(IF($AM69&lt;&gt;"",$AM69,IF($AG69&lt;&gt;"",$AG69,IF($AA69&lt;&gt;"",$AA69,IF($U69&lt;&gt;"",$U69,IF($O69&lt;&gt;"",$O69,""))))),""))</f>
        <v/>
      </c>
      <c r="AT69" s="158">
        <f>IFERROR(IF($AN69&lt;&gt;"",$AN69,IF($AH69&lt;&gt;"",$AH69,IF($AB69&lt;&gt;"",$AB69,IF($V69&lt;&gt;"",$V69,IF($P69&lt;&gt;"",$P69,""))))),"")</f>
        <v/>
      </c>
      <c r="AU69" s="265" t="inlineStr">
        <is>
          <t>Mục đích: đây là **nút enable duy nhất** ở trạng thái "Đã giao" trong 3 vai; nếu ô này disable thì đơn không bao giờ hoàn tất được và toàn bộ module `GIFT` bị blocked. · Căn cứ: `KB-DLV-01` ô 4·Receiver + `DOC-v1.0-02` §5.2 + `C-DLV-01` Resolved (Receiver-only).</t>
        </is>
      </c>
      <c r="AV69" s="1" t="n"/>
    </row>
    <row r="70" ht="15.75" customHeight="1" s="216">
      <c r="A70" s="160">
        <f>IF($F70="","",$C$2&amp;"."&amp;COUNTA($F$7:$F70)&amp;"")</f>
        <v/>
      </c>
      <c r="B70" s="160" t="inlineStr">
        <is>
          <t>REQ-DLV-002</t>
        </is>
      </c>
      <c r="C70" s="160" t="inlineStr">
        <is>
          <t>DOC-v1.0-06 · DOC-v1.0-04</t>
        </is>
      </c>
      <c r="D70" s="160" t="inlineStr">
        <is>
          <t>UI</t>
        </is>
      </c>
      <c r="E70" s="160" t="inlineStr">
        <is>
          <t>Medium</t>
        </is>
      </c>
      <c r="F70" s="11" t="inlineStr">
        <is>
          <t>Check người gửi ở trạng thái "Hoàn thành" thấy nút "✓ Cảm ơn người vận chuyển" bật khi chưa gửi quà</t>
        </is>
      </c>
      <c r="G70" s="11" t="inlineStr">
        <is>
          <t>Ba tài khoản CBNV trên STG (A người gửi, B người vận chuyển, C người nhận).
Test Data: Đơn `COMPLETED` chưa gửi quà; vai Sender (test_data_catalog §DLV — ô 5·Sender)</t>
        </is>
      </c>
      <c r="H70" s="11" t="inlineStr">
        <is>
          <t>1. Nhờ dev/QA seed 1 đơn ở trạng thái "Hoàn thành" với đủ 3 vai và người gửi chưa gửi quà. (setup)
2. Đăng nhập bằng tài khoản A, nhấn tab "Hoạt động" rồi tab con "Đã hoàn thành" và mở đơn đó.
3. Check nút hành động chính và trạng thái của nút.</t>
        </is>
      </c>
      <c r="I70" s="11" t="inlineStr">
        <is>
          <t>3. Màn có nút "✓ Cảm ơn người vận chuyển" ở trạng thái enable.</t>
        </is>
      </c>
      <c r="J70" s="160" t="inlineStr">
        <is>
          <t>AI</t>
        </is>
      </c>
      <c r="K70" s="160" t="inlineStr">
        <is>
          <t>Pending</t>
        </is>
      </c>
      <c r="L70" s="160" t="inlineStr">
        <is>
          <t>No</t>
        </is>
      </c>
      <c r="M70" s="160" t="inlineStr"/>
      <c r="N70" s="264" t="inlineStr"/>
      <c r="O70" s="264" t="inlineStr"/>
      <c r="P70" s="264" t="inlineStr"/>
      <c r="Q70" s="264" t="inlineStr"/>
      <c r="R70" s="264" t="inlineStr"/>
      <c r="S70" s="264" t="inlineStr"/>
      <c r="T70" s="264" t="n"/>
      <c r="U70" s="264" t="n"/>
      <c r="V70" s="264" t="n"/>
      <c r="W70" s="264" t="n"/>
      <c r="X70" s="264" t="n"/>
      <c r="Y70" s="264" t="n"/>
      <c r="Z70" s="264" t="n"/>
      <c r="AA70" s="264" t="n"/>
      <c r="AB70" s="264" t="n"/>
      <c r="AC70" s="264" t="n"/>
      <c r="AD70" s="264" t="n"/>
      <c r="AE70" s="264" t="n"/>
      <c r="AF70" s="264" t="n"/>
      <c r="AG70" s="264" t="n"/>
      <c r="AH70" s="264" t="n"/>
      <c r="AI70" s="264" t="n"/>
      <c r="AJ70" s="264" t="n"/>
      <c r="AK70" s="264" t="n"/>
      <c r="AL70" s="264" t="n"/>
      <c r="AM70" s="264" t="n"/>
      <c r="AN70" s="264" t="n"/>
      <c r="AO70" s="264" t="n"/>
      <c r="AP70" s="264" t="n"/>
      <c r="AQ70" s="264" t="n"/>
      <c r="AR70" s="158">
        <f>IF($A70="","",IF(OR($N70="Yes",$T70="Yes",$Z70="Yes",$AF70="Yes",$AL70="Yes"),"Yes","No"))</f>
        <v/>
      </c>
      <c r="AS70" s="158">
        <f>IF($A70="","",IFERROR(IF($AM70&lt;&gt;"",$AM70,IF($AG70&lt;&gt;"",$AG70,IF($AA70&lt;&gt;"",$AA70,IF($U70&lt;&gt;"",$U70,IF($O70&lt;&gt;"",$O70,""))))),""))</f>
        <v/>
      </c>
      <c r="AT70" s="158">
        <f>IFERROR(IF($AN70&lt;&gt;"",$AN70,IF($AH70&lt;&gt;"",$AH70,IF($AB70&lt;&gt;"",$AB70,IF($V70&lt;&gt;"",$V70,IF($P70&lt;&gt;"",$P70,""))))),"")</f>
        <v/>
      </c>
      <c r="AU70" s="265" t="inlineStr">
        <is>
          <t>Căn cứ: `KB-DLV-01` ô 5·Sender + ảnh Figma `19490aa9…`. Nhãn sau khi gửi quà đổi thành "Bạn đã đánh giá" — verify ở `TC-GIFT-005`.</t>
        </is>
      </c>
      <c r="AV70" s="1" t="n"/>
    </row>
    <row r="71" ht="15.75" customHeight="1" s="216">
      <c r="A71" s="160">
        <f>IF($F71="","",$C$2&amp;"."&amp;COUNTA($F$7:$F71)&amp;"")</f>
        <v/>
      </c>
      <c r="B71" s="160" t="inlineStr">
        <is>
          <t>REQ-DLV-002</t>
        </is>
      </c>
      <c r="C71" s="160" t="inlineStr">
        <is>
          <t>DOC-v1.0-06 · DOC-v1.0-04</t>
        </is>
      </c>
      <c r="D71" s="160" t="inlineStr">
        <is>
          <t>UI</t>
        </is>
      </c>
      <c r="E71" s="160" t="inlineStr">
        <is>
          <t>Medium</t>
        </is>
      </c>
      <c r="F71" s="11" t="inlineStr">
        <is>
          <t>Check người vận chuyển ở trạng thái "Hoàn thành" thấy nhãn đơn đã hoàn thành bị khoá</t>
        </is>
      </c>
      <c r="G71" s="11" t="inlineStr">
        <is>
          <t>Ba tài khoản CBNV trên STG (A người gửi, B người vận chuyển, C người nhận).
Test Data: Đơn `COMPLETED`; vai Carrier (test_data_catalog §DLV — ô 5·Carrier)</t>
        </is>
      </c>
      <c r="H71" s="11" t="inlineStr">
        <is>
          <t>1. Nhờ dev/QA seed 1 đơn ở trạng thái "Hoàn thành" với đủ 3 vai A, B, C. (setup)
2. Đăng nhập bằng tài khoản B, nhấn tab "Hoạt động" rồi tab con "Đã hoàn thành" và mở đơn đó.
3. Check nhãn hành động chính và trạng thái của nhãn.</t>
        </is>
      </c>
      <c r="I71" s="11" t="inlineStr">
        <is>
          <t>3. Nhãn hiển thị "✓ Đơn đã hoàn thành ✓" ở trạng thái disable.</t>
        </is>
      </c>
      <c r="J71" s="160" t="inlineStr">
        <is>
          <t>AI</t>
        </is>
      </c>
      <c r="K71" s="160" t="inlineStr">
        <is>
          <t>Pending</t>
        </is>
      </c>
      <c r="L71" s="160" t="inlineStr">
        <is>
          <t>No</t>
        </is>
      </c>
      <c r="M71" s="160" t="inlineStr"/>
      <c r="N71" s="264" t="inlineStr">
        <is>
          <t>Yes</t>
        </is>
      </c>
      <c r="O71" s="264" t="inlineStr"/>
      <c r="P71" s="264" t="inlineStr">
        <is>
          <t>Pass</t>
        </is>
      </c>
      <c r="Q71" s="264" t="inlineStr">
        <is>
          <t>GiangDC2</t>
        </is>
      </c>
      <c r="R71" s="264" t="inlineStr"/>
      <c r="S71" s="264" t="inlineStr"/>
      <c r="T71" s="264" t="n"/>
      <c r="U71" s="264" t="n"/>
      <c r="V71" s="264" t="n"/>
      <c r="W71" s="264" t="n"/>
      <c r="X71" s="264" t="n"/>
      <c r="Y71" s="264" t="n"/>
      <c r="Z71" s="264" t="n"/>
      <c r="AA71" s="264" t="n"/>
      <c r="AB71" s="264" t="n"/>
      <c r="AC71" s="264" t="n"/>
      <c r="AD71" s="264" t="n"/>
      <c r="AE71" s="264" t="n"/>
      <c r="AF71" s="264" t="n"/>
      <c r="AG71" s="264" t="n"/>
      <c r="AH71" s="264" t="n"/>
      <c r="AI71" s="264" t="n"/>
      <c r="AJ71" s="264" t="n"/>
      <c r="AK71" s="264" t="n"/>
      <c r="AL71" s="264" t="n"/>
      <c r="AM71" s="264" t="n"/>
      <c r="AN71" s="264" t="n"/>
      <c r="AO71" s="264" t="n"/>
      <c r="AP71" s="264" t="n"/>
      <c r="AQ71" s="264" t="n"/>
      <c r="AR71" s="158">
        <f>IF($A71="","",IF(OR($N71="Yes",$T71="Yes",$Z71="Yes",$AF71="Yes",$AL71="Yes"),"Yes","No"))</f>
        <v/>
      </c>
      <c r="AS71" s="158">
        <f>IF($A71="","",IFERROR(IF($AM71&lt;&gt;"",$AM71,IF($AG71&lt;&gt;"",$AG71,IF($AA71&lt;&gt;"",$AA71,IF($U71&lt;&gt;"",$U71,IF($O71&lt;&gt;"",$O71,""))))),""))</f>
        <v/>
      </c>
      <c r="AT71" s="158">
        <f>IFERROR(IF($AN71&lt;&gt;"",$AN71,IF($AH71&lt;&gt;"",$AH71,IF($AB71&lt;&gt;"",$AB71,IF($V71&lt;&gt;"",$V71,IF($P71&lt;&gt;"",$P71,""))))),"")</f>
        <v/>
      </c>
      <c r="AU71" s="265" t="inlineStr">
        <is>
          <t>Căn cứ: `KB-DLV-01` ô 5·Carrier + ảnh Figma `2658b17b…`.</t>
        </is>
      </c>
      <c r="AV71" s="1" t="n"/>
    </row>
    <row r="72" ht="15.75" customHeight="1" s="216">
      <c r="A72" s="160">
        <f>IF($F72="","",$C$2&amp;"."&amp;COUNTA($F$7:$F72)&amp;"")</f>
        <v/>
      </c>
      <c r="B72" s="160" t="inlineStr">
        <is>
          <t>REQ-DLV-002</t>
        </is>
      </c>
      <c r="C72" s="160" t="inlineStr">
        <is>
          <t>DOC-v1.0-06 · DOC-v1.0-04</t>
        </is>
      </c>
      <c r="D72" s="160" t="inlineStr">
        <is>
          <t>UI</t>
        </is>
      </c>
      <c r="E72" s="160" t="inlineStr">
        <is>
          <t>Medium</t>
        </is>
      </c>
      <c r="F72" s="11" t="inlineStr">
        <is>
          <t>Check người nhận ở trạng thái "Hoàn thành" thấy nhãn đơn đã hoàn thành bị khoá</t>
        </is>
      </c>
      <c r="G72" s="11" t="inlineStr">
        <is>
          <t>Ba tài khoản CBNV trên STG (A người gửi, B người vận chuyển, C người nhận).
Test Data: Đơn `COMPLETED`; vai Receiver (test_data_catalog §DLV — ô 5·Receiver)</t>
        </is>
      </c>
      <c r="H72" s="11" t="inlineStr">
        <is>
          <t>1. Nhờ dev/QA seed 1 đơn ở trạng thái "Hoàn thành" với đủ 3 vai A, B, C. (setup)
2. Đăng nhập bằng tài khoản C, nhấn tab "Hoạt động" rồi tab con "Đã hoàn thành" và mở đơn đó.
3. Check nhãn hành động chính và trạng thái của nhãn.</t>
        </is>
      </c>
      <c r="I72" s="11" t="inlineStr">
        <is>
          <t>3. Nhãn hiển thị "Đơn đã hoàn thành ✓" ở trạng thái disable.</t>
        </is>
      </c>
      <c r="J72" s="160" t="inlineStr">
        <is>
          <t>AI</t>
        </is>
      </c>
      <c r="K72" s="160" t="inlineStr">
        <is>
          <t>Pending</t>
        </is>
      </c>
      <c r="L72" s="160" t="inlineStr">
        <is>
          <t>No</t>
        </is>
      </c>
      <c r="M72" s="160" t="inlineStr"/>
      <c r="N72" s="264" t="inlineStr">
        <is>
          <t>Yes</t>
        </is>
      </c>
      <c r="O72" s="264" t="inlineStr"/>
      <c r="P72" s="264" t="inlineStr">
        <is>
          <t>Pass</t>
        </is>
      </c>
      <c r="Q72" s="264" t="inlineStr">
        <is>
          <t>GiangDC2</t>
        </is>
      </c>
      <c r="R72" s="264" t="inlineStr"/>
      <c r="S72" s="264" t="inlineStr"/>
      <c r="T72" s="264" t="n"/>
      <c r="U72" s="264" t="n"/>
      <c r="V72" s="264" t="n"/>
      <c r="W72" s="264" t="n"/>
      <c r="X72" s="264" t="n"/>
      <c r="Y72" s="264" t="n"/>
      <c r="Z72" s="264" t="n"/>
      <c r="AA72" s="264" t="n"/>
      <c r="AB72" s="264" t="n"/>
      <c r="AC72" s="264" t="n"/>
      <c r="AD72" s="264" t="n"/>
      <c r="AE72" s="264" t="n"/>
      <c r="AF72" s="264" t="n"/>
      <c r="AG72" s="264" t="n"/>
      <c r="AH72" s="264" t="n"/>
      <c r="AI72" s="264" t="n"/>
      <c r="AJ72" s="264" t="n"/>
      <c r="AK72" s="264" t="n"/>
      <c r="AL72" s="264" t="n"/>
      <c r="AM72" s="264" t="n"/>
      <c r="AN72" s="264" t="n"/>
      <c r="AO72" s="264" t="n"/>
      <c r="AP72" s="264" t="n"/>
      <c r="AQ72" s="264" t="n"/>
      <c r="AR72" s="158">
        <f>IF($A72="","",IF(OR($N72="Yes",$T72="Yes",$Z72="Yes",$AF72="Yes",$AL72="Yes"),"Yes","No"))</f>
        <v/>
      </c>
      <c r="AS72" s="158">
        <f>IF($A72="","",IFERROR(IF($AM72&lt;&gt;"",$AM72,IF($AG72&lt;&gt;"",$AG72,IF($AA72&lt;&gt;"",$AA72,IF($U72&lt;&gt;"",$U72,IF($O72&lt;&gt;"",$O72,""))))),""))</f>
        <v/>
      </c>
      <c r="AT72" s="158">
        <f>IFERROR(IF($AN72&lt;&gt;"",$AN72,IF($AH72&lt;&gt;"",$AH72,IF($AB72&lt;&gt;"",$AB72,IF($V72&lt;&gt;"",$V72,IF($P72&lt;&gt;"",$P72,""))))),"")</f>
        <v/>
      </c>
      <c r="AU72" s="265" t="inlineStr">
        <is>
          <t>Căn cứ: `KB-DLV-01` ô 5·Receiver + ảnh Figma `76e115a2…`.</t>
        </is>
      </c>
      <c r="AV72" s="1" t="n"/>
    </row>
    <row r="73" ht="15.75" customHeight="1" s="216">
      <c r="A73" s="160">
        <f>IF($F73="","",$C$2&amp;"."&amp;COUNTA($F$7:$F73)&amp;"")</f>
        <v/>
      </c>
      <c r="B73" s="160" t="inlineStr">
        <is>
          <t>REQ-DLV-001</t>
        </is>
      </c>
      <c r="C73" s="160" t="inlineStr">
        <is>
          <t>DOC-v1.0-01 · DOC-v1.0-02</t>
        </is>
      </c>
      <c r="D73" s="160" t="inlineStr">
        <is>
          <t>UI</t>
        </is>
      </c>
      <c r="E73" s="160" t="inlineStr">
        <is>
          <t>Medium</t>
        </is>
      </c>
      <c r="F73" s="11" t="inlineStr">
        <is>
          <t>Check thanh trạng thái có đủ năm mốc đúng thứ tự và tô đúng mốc hiện tại</t>
        </is>
      </c>
      <c r="G73" s="11" t="inlineStr">
        <is>
          <t>Hai tài khoản CBNV trên STG (A người gửi, B người vận chuyển).
Test Data: Đơn qua 3 trạng thái đầu (test_data_catalog §DLV)</t>
        </is>
      </c>
      <c r="H73" s="11" t="inlineStr">
        <is>
          <t>1. Đăng nhập bằng tài khoản A, đăng 1 tin NEED rồi mở màn Theo dõi đơn. (setup)
2. Check các mốc trên thanh trạng thái và mốc đang được tô.
3. Nhờ tài khoản B nhận đơn đó, quay lại màn Theo dõi đơn và check mốc đang được tô.
4. Nhờ tài khoản B nhấn "✓ Tôi đã lấy hàng" và xác nhận, quay lại màn Theo dõi đơn và check mốc đang được tô.</t>
        </is>
      </c>
      <c r="I73" s="11" t="inlineStr">
        <is>
          <t>2. Thanh có đủ 5 mốc đúng thứ tự "Chờ ghép", "Lấy hàng", "Đang giao", "Đã giao", "Hoàn thành"; mốc "Chờ ghép" được tô.
3. Mốc "Lấy hàng" được tô.
4. Mốc "Đang giao" được tô.</t>
        </is>
      </c>
      <c r="J73" s="160" t="inlineStr">
        <is>
          <t>AI</t>
        </is>
      </c>
      <c r="K73" s="160" t="inlineStr">
        <is>
          <t>Pending</t>
        </is>
      </c>
      <c r="L73" s="160" t="inlineStr">
        <is>
          <t>No</t>
        </is>
      </c>
      <c r="M73" s="160" t="inlineStr"/>
      <c r="N73" s="264" t="inlineStr"/>
      <c r="O73" s="264" t="inlineStr"/>
      <c r="P73" s="264" t="inlineStr"/>
      <c r="Q73" s="264" t="inlineStr"/>
      <c r="R73" s="264" t="inlineStr"/>
      <c r="S73" s="264" t="inlineStr"/>
      <c r="T73" s="264" t="n"/>
      <c r="U73" s="264" t="n"/>
      <c r="V73" s="264" t="n"/>
      <c r="W73" s="264" t="n"/>
      <c r="X73" s="264" t="n"/>
      <c r="Y73" s="264" t="n"/>
      <c r="Z73" s="264" t="n"/>
      <c r="AA73" s="264" t="n"/>
      <c r="AB73" s="264" t="n"/>
      <c r="AC73" s="264" t="n"/>
      <c r="AD73" s="264" t="n"/>
      <c r="AE73" s="264" t="n"/>
      <c r="AF73" s="264" t="n"/>
      <c r="AG73" s="264" t="n"/>
      <c r="AH73" s="264" t="n"/>
      <c r="AI73" s="264" t="n"/>
      <c r="AJ73" s="264" t="n"/>
      <c r="AK73" s="264" t="n"/>
      <c r="AL73" s="264" t="n"/>
      <c r="AM73" s="264" t="n"/>
      <c r="AN73" s="264" t="n"/>
      <c r="AO73" s="264" t="n"/>
      <c r="AP73" s="264" t="n"/>
      <c r="AQ73" s="264" t="n"/>
      <c r="AR73" s="158">
        <f>IF($A73="","",IF(OR($N73="Yes",$T73="Yes",$Z73="Yes",$AF73="Yes",$AL73="Yes"),"Yes","No"))</f>
        <v/>
      </c>
      <c r="AS73" s="158">
        <f>IF($A73="","",IFERROR(IF($AM73&lt;&gt;"",$AM73,IF($AG73&lt;&gt;"",$AG73,IF($AA73&lt;&gt;"",$AA73,IF($U73&lt;&gt;"",$U73,IF($O73&lt;&gt;"",$O73,""))))),""))</f>
        <v/>
      </c>
      <c r="AT73" s="158">
        <f>IFERROR(IF($AN73&lt;&gt;"",$AN73,IF($AH73&lt;&gt;"",$AH73,IF($AB73&lt;&gt;"",$AB73,IF($V73&lt;&gt;"",$V73,IF($P73&lt;&gt;"",$P73,""))))),"")</f>
        <v/>
      </c>
      <c r="AU73" s="265" t="inlineStr">
        <is>
          <t>Căn cứ: `US-D09` §D1b L178 + `§D2` L232. ⚠ Mốc thứ hai trên thanh ghi "Lấy hàng" trong khi badge trạng thái ghi "Đã ghép" — 2 chữ cho cùng 1 trạng thái, ⛔ không sửa TC theo chữ của badge.</t>
        </is>
      </c>
      <c r="AV73" s="1" t="n"/>
    </row>
    <row r="74" ht="15.75" customHeight="1" s="216">
      <c r="A74" s="160">
        <f>IF($F74="","",$C$2&amp;"."&amp;COUNTA($F$7:$F74)&amp;"")</f>
        <v/>
      </c>
      <c r="B74" s="160" t="inlineStr">
        <is>
          <t>REQ-DLV-003</t>
        </is>
      </c>
      <c r="C74" s="160" t="inlineStr">
        <is>
          <t>DOC-v1.0-06</t>
        </is>
      </c>
      <c r="D74" s="160" t="inlineStr">
        <is>
          <t>Functional</t>
        </is>
      </c>
      <c r="E74" s="160" t="inlineStr">
        <is>
          <t>Medium</t>
        </is>
      </c>
      <c r="F74" s="11" t="inlineStr">
        <is>
          <t>Check popup xác nhận lấy hàng đúng nội dung và chuyển đơn sang "Đang giao"</t>
        </is>
      </c>
      <c r="G74" s="11" t="inlineStr">
        <is>
          <t>Hai tài khoản CBNV trên STG (A người gửi, B người vận chuyển).
Test Data: Đơn `MATCHED`; nội dung popup lấy hàng (test_data_catalog §DLV)</t>
        </is>
      </c>
      <c r="H74" s="11" t="inlineStr">
        <is>
          <t>1. Đăng nhập bằng tài khoản A, đăng 1 tin NEED rồi đăng xuất. (setup)
2. Đăng nhập bằng tài khoản B, nhận đơn đó và xác nhận. (setup)
3. Mở màn Theo dõi đơn và nhấn "✓ Tôi đã lấy hàng".
4. Check tiêu đề, nội dung và các nút trên popup.
5. Nhấn "Xác nhận" trên popup.</t>
        </is>
      </c>
      <c r="I74" s="11" t="inlineStr">
        <is>
          <t>4. Popup có tiêu đề "Xác nhận", nội dung "Bạn xác nhận đã lấy hàng từ người gửi và bắt đầu giao?" và 2 nút "Huỷ" cùng "Xác nhận".
5. Popup đóng; đơn chuyển sang trạng thái "Đang giao".</t>
        </is>
      </c>
      <c r="J74" s="160" t="inlineStr">
        <is>
          <t>AI</t>
        </is>
      </c>
      <c r="K74" s="160" t="inlineStr">
        <is>
          <t>Pending</t>
        </is>
      </c>
      <c r="L74" s="160" t="inlineStr">
        <is>
          <t>No</t>
        </is>
      </c>
      <c r="M74" s="160" t="inlineStr"/>
      <c r="N74" s="264" t="inlineStr"/>
      <c r="O74" s="264" t="inlineStr"/>
      <c r="P74" s="264" t="inlineStr"/>
      <c r="Q74" s="264" t="inlineStr"/>
      <c r="R74" s="264" t="inlineStr"/>
      <c r="S74" s="264" t="inlineStr"/>
      <c r="T74" s="264" t="n"/>
      <c r="U74" s="264" t="n"/>
      <c r="V74" s="264" t="n"/>
      <c r="W74" s="264" t="n"/>
      <c r="X74" s="264" t="n"/>
      <c r="Y74" s="264" t="n"/>
      <c r="Z74" s="264" t="n"/>
      <c r="AA74" s="264" t="n"/>
      <c r="AB74" s="264" t="n"/>
      <c r="AC74" s="264" t="n"/>
      <c r="AD74" s="264" t="n"/>
      <c r="AE74" s="264" t="n"/>
      <c r="AF74" s="264" t="n"/>
      <c r="AG74" s="264" t="n"/>
      <c r="AH74" s="264" t="n"/>
      <c r="AI74" s="264" t="n"/>
      <c r="AJ74" s="264" t="n"/>
      <c r="AK74" s="264" t="n"/>
      <c r="AL74" s="264" t="n"/>
      <c r="AM74" s="264" t="n"/>
      <c r="AN74" s="264" t="n"/>
      <c r="AO74" s="264" t="n"/>
      <c r="AP74" s="264" t="n"/>
      <c r="AQ74" s="264" t="n"/>
      <c r="AR74" s="158">
        <f>IF($A74="","",IF(OR($N74="Yes",$T74="Yes",$Z74="Yes",$AF74="Yes",$AL74="Yes"),"Yes","No"))</f>
        <v/>
      </c>
      <c r="AS74" s="158">
        <f>IF($A74="","",IFERROR(IF($AM74&lt;&gt;"",$AM74,IF($AG74&lt;&gt;"",$AG74,IF($AA74&lt;&gt;"",$AA74,IF($U74&lt;&gt;"",$U74,IF($O74&lt;&gt;"",$O74,""))))),""))</f>
        <v/>
      </c>
      <c r="AT74" s="158">
        <f>IFERROR(IF($AN74&lt;&gt;"",$AN74,IF($AH74&lt;&gt;"",$AH74,IF($AB74&lt;&gt;"",$AB74,IF($V74&lt;&gt;"",$V74,IF($P74&lt;&gt;"",$P74,""))))),"")</f>
        <v/>
      </c>
      <c r="AU74" s="265" t="inlineStr">
        <is>
          <t>Căn cứ: `KB-DLV-01` bảng popup — tiêu đề popup cố định là "Xác nhận" cho cả 3 hành động.</t>
        </is>
      </c>
      <c r="AV74" s="1" t="n"/>
    </row>
    <row r="75" ht="15.75" customHeight="1" s="216">
      <c r="A75" s="160">
        <f>IF($F75="","",$C$2&amp;"."&amp;COUNTA($F$7:$F75)&amp;"")</f>
        <v/>
      </c>
      <c r="B75" s="160" t="inlineStr">
        <is>
          <t>REQ-DLV-003</t>
        </is>
      </c>
      <c r="C75" s="160" t="inlineStr">
        <is>
          <t>DOC-v1.0-06</t>
        </is>
      </c>
      <c r="D75" s="160" t="inlineStr">
        <is>
          <t>Functional</t>
        </is>
      </c>
      <c r="E75" s="160" t="inlineStr">
        <is>
          <t>Medium</t>
        </is>
      </c>
      <c r="F75" s="11" t="inlineStr">
        <is>
          <t>Check popup xác nhận đã giao đúng nội dung và chuyển đơn sang "Đã giao"</t>
        </is>
      </c>
      <c r="G75" s="11" t="inlineStr">
        <is>
          <t>Ba tài khoản CBNV trên STG (A người gửi, B người vận chuyển, C người nhận).
Test Data: Đơn `IN_TRANSIT`; nội dung popup đã giao (test_data_catalog §DLV)</t>
        </is>
      </c>
      <c r="H75" s="11" t="inlineStr">
        <is>
          <t>1. Nhờ dev/QA seed 1 đơn ở trạng thái "Đang giao" với đủ 3 vai A, B, C. (setup)
2. Đăng nhập bằng tài khoản B và mở màn Theo dõi đơn của đơn đó.
3. Nhấn "Đã giao cho người nhận".
4. Check tiêu đề, nội dung và các nút trên popup.
5. Nhấn "Xác nhận" trên popup.</t>
        </is>
      </c>
      <c r="I75" s="11" t="inlineStr">
        <is>
          <t>4. Popup có tiêu đề "Xác nhận", nội dung "Bạn xác nhận đã giao hàng tận tay người nhận?" và 2 nút "Huỷ" cùng "Xác nhận".
5. Popup đóng; đơn chuyển sang trạng thái "Đã giao".</t>
        </is>
      </c>
      <c r="J75" s="160" t="inlineStr">
        <is>
          <t>AI</t>
        </is>
      </c>
      <c r="K75" s="160" t="inlineStr">
        <is>
          <t>Pending</t>
        </is>
      </c>
      <c r="L75" s="160" t="inlineStr">
        <is>
          <t>No</t>
        </is>
      </c>
      <c r="M75" s="160" t="inlineStr"/>
      <c r="N75" s="264" t="inlineStr"/>
      <c r="O75" s="264" t="inlineStr"/>
      <c r="P75" s="264" t="inlineStr"/>
      <c r="Q75" s="264" t="inlineStr"/>
      <c r="R75" s="264" t="inlineStr"/>
      <c r="S75" s="264" t="inlineStr"/>
      <c r="T75" s="264" t="n"/>
      <c r="U75" s="264" t="n"/>
      <c r="V75" s="264" t="n"/>
      <c r="W75" s="264" t="n"/>
      <c r="X75" s="264" t="n"/>
      <c r="Y75" s="264" t="n"/>
      <c r="Z75" s="264" t="n"/>
      <c r="AA75" s="264" t="n"/>
      <c r="AB75" s="264" t="n"/>
      <c r="AC75" s="264" t="n"/>
      <c r="AD75" s="264" t="n"/>
      <c r="AE75" s="264" t="n"/>
      <c r="AF75" s="264" t="n"/>
      <c r="AG75" s="264" t="n"/>
      <c r="AH75" s="264" t="n"/>
      <c r="AI75" s="264" t="n"/>
      <c r="AJ75" s="264" t="n"/>
      <c r="AK75" s="264" t="n"/>
      <c r="AL75" s="264" t="n"/>
      <c r="AM75" s="264" t="n"/>
      <c r="AN75" s="264" t="n"/>
      <c r="AO75" s="264" t="n"/>
      <c r="AP75" s="264" t="n"/>
      <c r="AQ75" s="264" t="n"/>
      <c r="AR75" s="158">
        <f>IF($A75="","",IF(OR($N75="Yes",$T75="Yes",$Z75="Yes",$AF75="Yes",$AL75="Yes"),"Yes","No"))</f>
        <v/>
      </c>
      <c r="AS75" s="158">
        <f>IF($A75="","",IFERROR(IF($AM75&lt;&gt;"",$AM75,IF($AG75&lt;&gt;"",$AG75,IF($AA75&lt;&gt;"",$AA75,IF($U75&lt;&gt;"",$U75,IF($O75&lt;&gt;"",$O75,""))))),""))</f>
        <v/>
      </c>
      <c r="AT75" s="158">
        <f>IFERROR(IF($AN75&lt;&gt;"",$AN75,IF($AH75&lt;&gt;"",$AH75,IF($AB75&lt;&gt;"",$AB75,IF($V75&lt;&gt;"",$V75,IF($P75&lt;&gt;"",$P75,""))))),"")</f>
        <v/>
      </c>
      <c r="AU75" s="265" t="inlineStr">
        <is>
          <t>Căn cứ: `KB-DLV-01` bảng popup.</t>
        </is>
      </c>
      <c r="AV75" s="1" t="n"/>
    </row>
    <row r="76" ht="15.75" customHeight="1" s="216">
      <c r="A76" s="160">
        <f>IF($F76="","",$C$2&amp;"."&amp;COUNTA($F$7:$F76)&amp;"")</f>
        <v/>
      </c>
      <c r="B76" s="160" t="inlineStr">
        <is>
          <t>REQ-DLV-003</t>
        </is>
      </c>
      <c r="C76" s="160" t="inlineStr">
        <is>
          <t>DOC-v1.0-06</t>
        </is>
      </c>
      <c r="D76" s="160" t="inlineStr">
        <is>
          <t>Functional</t>
        </is>
      </c>
      <c r="E76" s="160" t="inlineStr">
        <is>
          <t>Medium</t>
        </is>
      </c>
      <c r="F76" s="11" t="inlineStr">
        <is>
          <t>Check popup xác nhận đã nhận hàng đúng nội dung và chuyển đơn sang "Hoàn thành"</t>
        </is>
      </c>
      <c r="G76" s="11" t="inlineStr">
        <is>
          <t>Ba tài khoản CBNV trên STG (A người gửi, B người vận chuyển, C người nhận).
Test Data: Đơn `DELIVERED`; nội dung popup nhận hàng (test_data_catalog §DLV)</t>
        </is>
      </c>
      <c r="H76" s="11" t="inlineStr">
        <is>
          <t>1. Nhờ dev/QA seed 1 đơn ở trạng thái "Đã giao" với đủ 3 vai A, B, C. (setup)
2. Đăng nhập bằng tài khoản C, nhấn tab "Hoạt động" và mở đơn đó.
3. Nhấn "Xác nhận đã nhận hàng".
4. Check tiêu đề, nội dung và các nút trên popup.
5. Nhấn "Xác nhận" trên popup.</t>
        </is>
      </c>
      <c r="I76" s="11" t="inlineStr">
        <is>
          <t>4. Popup có tiêu đề "Xác nhận", nội dung "Bạn xác nhận đã nhận được hàng từ người vận chuyển?" và 2 nút "Huỷ" cùng "Xác nhận".
5. Popup đóng; đơn chuyển sang trạng thái "Hoàn thành".</t>
        </is>
      </c>
      <c r="J76" s="160" t="inlineStr">
        <is>
          <t>AI</t>
        </is>
      </c>
      <c r="K76" s="160" t="inlineStr">
        <is>
          <t>Pending</t>
        </is>
      </c>
      <c r="L76" s="160" t="inlineStr">
        <is>
          <t>No</t>
        </is>
      </c>
      <c r="M76" s="160" t="inlineStr"/>
      <c r="N76" s="264" t="inlineStr"/>
      <c r="O76" s="264" t="inlineStr"/>
      <c r="P76" s="264" t="inlineStr"/>
      <c r="Q76" s="264" t="inlineStr"/>
      <c r="R76" s="264" t="inlineStr"/>
      <c r="S76" s="264" t="inlineStr"/>
      <c r="T76" s="264" t="n"/>
      <c r="U76" s="264" t="n"/>
      <c r="V76" s="264" t="n"/>
      <c r="W76" s="264" t="n"/>
      <c r="X76" s="264" t="n"/>
      <c r="Y76" s="264" t="n"/>
      <c r="Z76" s="264" t="n"/>
      <c r="AA76" s="264" t="n"/>
      <c r="AB76" s="264" t="n"/>
      <c r="AC76" s="264" t="n"/>
      <c r="AD76" s="264" t="n"/>
      <c r="AE76" s="264" t="n"/>
      <c r="AF76" s="264" t="n"/>
      <c r="AG76" s="264" t="n"/>
      <c r="AH76" s="264" t="n"/>
      <c r="AI76" s="264" t="n"/>
      <c r="AJ76" s="264" t="n"/>
      <c r="AK76" s="264" t="n"/>
      <c r="AL76" s="264" t="n"/>
      <c r="AM76" s="264" t="n"/>
      <c r="AN76" s="264" t="n"/>
      <c r="AO76" s="264" t="n"/>
      <c r="AP76" s="264" t="n"/>
      <c r="AQ76" s="264" t="n"/>
      <c r="AR76" s="158">
        <f>IF($A76="","",IF(OR($N76="Yes",$T76="Yes",$Z76="Yes",$AF76="Yes",$AL76="Yes"),"Yes","No"))</f>
        <v/>
      </c>
      <c r="AS76" s="158">
        <f>IF($A76="","",IFERROR(IF($AM76&lt;&gt;"",$AM76,IF($AG76&lt;&gt;"",$AG76,IF($AA76&lt;&gt;"",$AA76,IF($U76&lt;&gt;"",$U76,IF($O76&lt;&gt;"",$O76,""))))),""))</f>
        <v/>
      </c>
      <c r="AT76" s="158">
        <f>IFERROR(IF($AN76&lt;&gt;"",$AN76,IF($AH76&lt;&gt;"",$AH76,IF($AB76&lt;&gt;"",$AB76,IF($V76&lt;&gt;"",$V76,IF($P76&lt;&gt;"",$P76,""))))),"")</f>
        <v/>
      </c>
      <c r="AU76" s="265" t="inlineStr">
        <is>
          <t>Căn cứ: `KB-DLV-01` bảng popup + `KB-DLV-03`.</t>
        </is>
      </c>
      <c r="AV76" s="1" t="n"/>
    </row>
    <row r="77" ht="15.75" customHeight="1" s="216">
      <c r="A77" s="160">
        <f>IF($F77="","",$C$2&amp;"."&amp;COUNTA($F$7:$F77)&amp;"")</f>
        <v/>
      </c>
      <c r="B77" s="160" t="inlineStr">
        <is>
          <t>REQ-DLV-003</t>
        </is>
      </c>
      <c r="C77" s="160" t="inlineStr">
        <is>
          <t>DOC-v1.0-02 · DOC-v1.0-06</t>
        </is>
      </c>
      <c r="D77" s="160" t="inlineStr">
        <is>
          <t>Functional</t>
        </is>
      </c>
      <c r="E77" s="160" t="inlineStr">
        <is>
          <t>Medium</t>
        </is>
      </c>
      <c r="F77" s="11" t="inlineStr">
        <is>
          <t>Check nhấn "Huỷ" ở popup xác nhận không đổi trạng thái đơn và không ghi mốc lịch sử mới</t>
        </is>
      </c>
      <c r="G77" s="11" t="inlineStr">
        <is>
          <t>Hai tài khoản CBNV trên STG (A người gửi, B người vận chuyển).
Test Data: Đơn `MATCHED` (test_data_catalog §DLV)</t>
        </is>
      </c>
      <c r="H77" s="11" t="inlineStr">
        <is>
          <t>1. Đăng nhập bằng tài khoản A, đăng 1 tin NEED rồi đăng xuất. (setup)
2. Đăng nhập bằng tài khoản B, nhận đơn đó và xác nhận. (setup)
3. Mở màn Theo dõi đơn, mở block LỊCH SỬ và ghi lại số dòng log hiện có.
4. Nhấn "✓ Tôi đã lấy hàng" rồi nhấn "Huỷ" trên popup.
5. Check trạng thái đơn và mở lại block LỊCH SỬ.</t>
        </is>
      </c>
      <c r="I77" s="11" t="inlineStr">
        <is>
          <t>4. Popup đóng, vẫn ở màn Theo dõi đơn.
5. Đơn vẫn ở trạng thái "Đã ghép"; số dòng trong block LỊCH SỬ bằng số đã ghi ở bước 3.</t>
        </is>
      </c>
      <c r="J77" s="160" t="inlineStr">
        <is>
          <t>AI</t>
        </is>
      </c>
      <c r="K77" s="160" t="inlineStr">
        <is>
          <t>Pending</t>
        </is>
      </c>
      <c r="L77" s="160" t="inlineStr">
        <is>
          <t>No</t>
        </is>
      </c>
      <c r="M77" s="160" t="inlineStr"/>
      <c r="N77" s="264" t="inlineStr"/>
      <c r="O77" s="264" t="inlineStr"/>
      <c r="P77" s="264" t="inlineStr"/>
      <c r="Q77" s="264" t="inlineStr"/>
      <c r="R77" s="264" t="inlineStr"/>
      <c r="S77" s="264" t="inlineStr"/>
      <c r="T77" s="264" t="n"/>
      <c r="U77" s="264" t="n"/>
      <c r="V77" s="264" t="n"/>
      <c r="W77" s="264" t="n"/>
      <c r="X77" s="264" t="n"/>
      <c r="Y77" s="264" t="n"/>
      <c r="Z77" s="264" t="n"/>
      <c r="AA77" s="264" t="n"/>
      <c r="AB77" s="264" t="n"/>
      <c r="AC77" s="264" t="n"/>
      <c r="AD77" s="264" t="n"/>
      <c r="AE77" s="264" t="n"/>
      <c r="AF77" s="264" t="n"/>
      <c r="AG77" s="264" t="n"/>
      <c r="AH77" s="264" t="n"/>
      <c r="AI77" s="264" t="n"/>
      <c r="AJ77" s="264" t="n"/>
      <c r="AK77" s="264" t="n"/>
      <c r="AL77" s="264" t="n"/>
      <c r="AM77" s="264" t="n"/>
      <c r="AN77" s="264" t="n"/>
      <c r="AO77" s="264" t="n"/>
      <c r="AP77" s="264" t="n"/>
      <c r="AQ77" s="264" t="n"/>
      <c r="AR77" s="158">
        <f>IF($A77="","",IF(OR($N77="Yes",$T77="Yes",$Z77="Yes",$AF77="Yes",$AL77="Yes"),"Yes","No"))</f>
        <v/>
      </c>
      <c r="AS77" s="158">
        <f>IF($A77="","",IFERROR(IF($AM77&lt;&gt;"",$AM77,IF($AG77&lt;&gt;"",$AG77,IF($AA77&lt;&gt;"",$AA77,IF($U77&lt;&gt;"",$U77,IF($O77&lt;&gt;"",$O77,""))))),""))</f>
        <v/>
      </c>
      <c r="AT77" s="158">
        <f>IFERROR(IF($AN77&lt;&gt;"",$AN77,IF($AH77&lt;&gt;"",$AH77,IF($AB77&lt;&gt;"",$AB77,IF($V77&lt;&gt;"",$V77,IF($P77&lt;&gt;"",$P77,""))))),"")</f>
        <v/>
      </c>
      <c r="AU77" s="265" t="inlineStr">
        <is>
          <t>Mục đích: đối chứng âm cho TC-DLV-017 — popup phải huỷ được mà không tạo tác động, kể cả tác động lên log. · Căn cứ: `DOC-v1.0-02` §6 L191.</t>
        </is>
      </c>
      <c r="AV77" s="1" t="n"/>
    </row>
    <row r="78" ht="15.75" customHeight="1" s="216">
      <c r="A78" s="160">
        <f>IF($F78="","",$C$2&amp;"."&amp;COUNTA($F$7:$F78)&amp;"")</f>
        <v/>
      </c>
      <c r="B78" s="160" t="inlineStr">
        <is>
          <t>REQ-DLV-004</t>
        </is>
      </c>
      <c r="C78" s="160" t="inlineStr">
        <is>
          <t>DOC-v1.0-01</t>
        </is>
      </c>
      <c r="D78" s="160" t="inlineStr">
        <is>
          <t>Functional</t>
        </is>
      </c>
      <c r="E78" s="160" t="inlineStr">
        <is>
          <t>High</t>
        </is>
      </c>
      <c r="F78" s="11" t="inlineStr">
        <is>
          <t>Check không có đường nào chuyển đơn sang "Đã giao" khi chưa xác nhận lấy hàng</t>
        </is>
      </c>
      <c r="G78" s="11" t="inlineStr">
        <is>
          <t>Hai tài khoản CBNV trên STG (A người gửi, B người vận chuyển).
Test Data: Đơn `MATCHED` chưa lấy hàng (test_data_catalog §DLV)</t>
        </is>
      </c>
      <c r="H78" s="11" t="inlineStr">
        <is>
          <t>1. Đăng nhập bằng tài khoản A, đăng 1 tin NEED rồi đăng xuất. (setup)
2. Đăng nhập bằng tài khoản B, nhận đơn đó và xác nhận, KHÔNG nhấn "✓ Tôi đã lấy hàng". (setup)
3. Check toàn màn Theo dõi đơn tìm nút "Đã giao cho người nhận".
4. Nhấn tab "Hoạt động", mở lại đơn từ card và check toàn màn tìm nút "Đã giao cho người nhận".
5. Nhấn tab "Bảng tin", tìm và mở tin đó nếu còn hiển thị, rồi check tìm nút "Đã giao cho người nhận".</t>
        </is>
      </c>
      <c r="I78" s="11" t="inlineStr">
        <is>
          <t>3. KHÔNG có nút "Đã giao cho người nhận" trên màn.
4. KHÔNG có nút "Đã giao cho người nhận" khi mở đơn từ màn Hoạt động.
5. KHÔNG có nút "Đã giao cho người nhận" ở bề mặt Bảng tin; đơn vẫn ở trạng thái "Đã ghép".</t>
        </is>
      </c>
      <c r="J78" s="160" t="inlineStr">
        <is>
          <t>AI</t>
        </is>
      </c>
      <c r="K78" s="160" t="inlineStr">
        <is>
          <t>Pending</t>
        </is>
      </c>
      <c r="L78" s="160" t="inlineStr">
        <is>
          <t>No</t>
        </is>
      </c>
      <c r="M78" s="160" t="inlineStr"/>
      <c r="N78" s="264" t="inlineStr"/>
      <c r="O78" s="264" t="inlineStr"/>
      <c r="P78" s="264" t="inlineStr"/>
      <c r="Q78" s="264" t="inlineStr"/>
      <c r="R78" s="264" t="inlineStr"/>
      <c r="S78" s="264" t="inlineStr"/>
      <c r="T78" s="264" t="n"/>
      <c r="U78" s="264" t="n"/>
      <c r="V78" s="264" t="n"/>
      <c r="W78" s="264" t="n"/>
      <c r="X78" s="264" t="n"/>
      <c r="Y78" s="264" t="n"/>
      <c r="Z78" s="264" t="n"/>
      <c r="AA78" s="264" t="n"/>
      <c r="AB78" s="264" t="n"/>
      <c r="AC78" s="264" t="n"/>
      <c r="AD78" s="264" t="n"/>
      <c r="AE78" s="264" t="n"/>
      <c r="AF78" s="264" t="n"/>
      <c r="AG78" s="264" t="n"/>
      <c r="AH78" s="264" t="n"/>
      <c r="AI78" s="264" t="n"/>
      <c r="AJ78" s="264" t="n"/>
      <c r="AK78" s="264" t="n"/>
      <c r="AL78" s="264" t="n"/>
      <c r="AM78" s="264" t="n"/>
      <c r="AN78" s="264" t="n"/>
      <c r="AO78" s="264" t="n"/>
      <c r="AP78" s="264" t="n"/>
      <c r="AQ78" s="264" t="n"/>
      <c r="AR78" s="158">
        <f>IF($A78="","",IF(OR($N78="Yes",$T78="Yes",$Z78="Yes",$AF78="Yes",$AL78="Yes"),"Yes","No"))</f>
        <v/>
      </c>
      <c r="AS78" s="158">
        <f>IF($A78="","",IFERROR(IF($AM78&lt;&gt;"",$AM78,IF($AG78&lt;&gt;"",$AG78,IF($AA78&lt;&gt;"",$AA78,IF($U78&lt;&gt;"",$U78,IF($O78&lt;&gt;"",$O78,""))))),""))</f>
        <v/>
      </c>
      <c r="AT78" s="158">
        <f>IFERROR(IF($AN78&lt;&gt;"",$AN78,IF($AH78&lt;&gt;"",$AH78,IF($AB78&lt;&gt;"",$AB78,IF($V78&lt;&gt;"",$V78,IF($P78&lt;&gt;"",$P78,""))))),"")</f>
        <v/>
      </c>
      <c r="AU78" s="265" t="inlineStr">
        <is>
          <t>Mục đích: TC này khác `TC-DLV-005` — TC-DLV-005 assert **nhãn nút đúng**, TC này assert **không tồn tại đường vòng nào** (mở từ màn khác, nút ẩn). · Căn cứ: `US-D09` §D1b L178. Nhảy bước được ⇒ đơn "đã giao" mà chưa từng lấy hàng, phá tính bằng chứng của timeline và cả `TS-01`.</t>
        </is>
      </c>
      <c r="AV78" s="1" t="n"/>
    </row>
    <row r="79" ht="15.75" customHeight="1" s="216">
      <c r="A79" s="160">
        <f>IF($F79="","",$C$2&amp;"."&amp;COUNTA($F$7:$F79)&amp;"")</f>
        <v/>
      </c>
      <c r="B79" s="160" t="inlineStr">
        <is>
          <t>REQ-DLV-005</t>
        </is>
      </c>
      <c r="C79" s="160" t="inlineStr">
        <is>
          <t>DOC-v1.0-01 · DOC-v1.0-02</t>
        </is>
      </c>
      <c r="D79" s="160" t="inlineStr">
        <is>
          <t>Functional</t>
        </is>
      </c>
      <c r="E79" s="160" t="inlineStr">
        <is>
          <t>High</t>
        </is>
      </c>
      <c r="F79" s="11" t="inlineStr">
        <is>
          <t>Check chỉ người nhận chốt được đơn ở trạng thái "Đã giao"</t>
        </is>
      </c>
      <c r="G79" s="11" t="inlineStr">
        <is>
          <t>Ba tài khoản CBNV trên STG (A người gửi, B người vận chuyển, C người nhận).
Test Data: Đơn `DELIVERED`; 3 tài khoản 3 vai (test_data_catalog §DLV)</t>
        </is>
      </c>
      <c r="H79" s="11" t="inlineStr">
        <is>
          <t>1. Nhờ dev/QA seed 1 đơn ở trạng thái "Đã giao" với đủ 3 vai A, B, C. (setup)
2. Đăng nhập bằng tài khoản A, mở đơn đó và check nút hành động chính.
3. Đăng nhập bằng tài khoản B, mở đơn đó và check nút hành động chính.
4. Đăng nhập bằng tài khoản C, mở đơn đó và check nút hành động chính.</t>
        </is>
      </c>
      <c r="I79" s="11" t="inlineStr">
        <is>
          <t>2. Tài khoản A chỉ thấy nhãn ở trạng thái disable, KHÔNG có nút "Xác nhận đã nhận hàng".
3. Tài khoản B chỉ thấy nhãn ở trạng thái disable, KHÔNG có nút "Xác nhận đã nhận hàng".
4. Tài khoản C có nút "Xác nhận đã nhận hàng" ở trạng thái enable.</t>
        </is>
      </c>
      <c r="J79" s="160" t="inlineStr">
        <is>
          <t>AI</t>
        </is>
      </c>
      <c r="K79" s="160" t="inlineStr">
        <is>
          <t>Pending</t>
        </is>
      </c>
      <c r="L79" s="160" t="inlineStr">
        <is>
          <t>No</t>
        </is>
      </c>
      <c r="M79" s="160" t="inlineStr"/>
      <c r="N79" s="264" t="inlineStr"/>
      <c r="O79" s="264" t="inlineStr"/>
      <c r="P79" s="264" t="inlineStr"/>
      <c r="Q79" s="264" t="inlineStr"/>
      <c r="R79" s="264" t="inlineStr"/>
      <c r="S79" s="264" t="inlineStr"/>
      <c r="T79" s="264" t="n"/>
      <c r="U79" s="264" t="n"/>
      <c r="V79" s="264" t="n"/>
      <c r="W79" s="264" t="n"/>
      <c r="X79" s="264" t="n"/>
      <c r="Y79" s="264" t="n"/>
      <c r="Z79" s="264" t="n"/>
      <c r="AA79" s="264" t="n"/>
      <c r="AB79" s="264" t="n"/>
      <c r="AC79" s="264" t="n"/>
      <c r="AD79" s="264" t="n"/>
      <c r="AE79" s="264" t="n"/>
      <c r="AF79" s="264" t="n"/>
      <c r="AG79" s="264" t="n"/>
      <c r="AH79" s="264" t="n"/>
      <c r="AI79" s="264" t="n"/>
      <c r="AJ79" s="264" t="n"/>
      <c r="AK79" s="264" t="n"/>
      <c r="AL79" s="264" t="n"/>
      <c r="AM79" s="264" t="n"/>
      <c r="AN79" s="264" t="n"/>
      <c r="AO79" s="264" t="n"/>
      <c r="AP79" s="264" t="n"/>
      <c r="AQ79" s="264" t="n"/>
      <c r="AR79" s="158">
        <f>IF($A79="","",IF(OR($N79="Yes",$T79="Yes",$Z79="Yes",$AF79="Yes",$AL79="Yes"),"Yes","No"))</f>
        <v/>
      </c>
      <c r="AS79" s="158">
        <f>IF($A79="","",IFERROR(IF($AM79&lt;&gt;"",$AM79,IF($AG79&lt;&gt;"",$AG79,IF($AA79&lt;&gt;"",$AA79,IF($U79&lt;&gt;"",$U79,IF($O79&lt;&gt;"",$O79,""))))),""))</f>
        <v/>
      </c>
      <c r="AT79" s="158">
        <f>IFERROR(IF($AN79&lt;&gt;"",$AN79,IF($AH79&lt;&gt;"",$AH79,IF($AB79&lt;&gt;"",$AB79,IF($V79&lt;&gt;"",$V79,IF($P79&lt;&gt;"",$P79,""))))),"")</f>
        <v/>
      </c>
      <c r="AU79" s="265" t="inlineStr">
        <is>
          <t>Mục đích: neo vào `C-DLV-01` Resolved 2026-07-24 — `DLV-03` §D3 ghi "RECEIVER/**SENDER**" nhưng `BR-INT-03` §A5 L79 + demo §5.2 + 5 ảnh Figma đều cho **Receiver-only**. · Căn cứ: nguồn chốt là `BR-INT-03` + bằng chứng Figma; app cho Sender chốt đơn ⇒ FAIL và mở lại CL.</t>
        </is>
      </c>
      <c r="AV79" s="1" t="n"/>
    </row>
    <row r="80" ht="15.75" customHeight="1" s="216">
      <c r="A80" s="160">
        <f>IF($F80="","",$C$2&amp;"."&amp;COUNTA($F$7:$F80)&amp;"")</f>
        <v/>
      </c>
      <c r="B80" s="160" t="inlineStr">
        <is>
          <t>REQ-DLV-006</t>
        </is>
      </c>
      <c r="C80" s="160" t="inlineStr">
        <is>
          <t>DOC-v1.0-02</t>
        </is>
      </c>
      <c r="D80" s="160" t="inlineStr">
        <is>
          <t>Functional</t>
        </is>
      </c>
      <c r="E80" s="160" t="inlineStr">
        <is>
          <t>High</t>
        </is>
      </c>
      <c r="F80" s="11" t="inlineStr">
        <is>
          <t>Check đơn chuyển "Hoàn thành" ngay sau khi người nhận xác nhận, không có bước chờ duyệt</t>
        </is>
      </c>
      <c r="G80" s="11" t="inlineStr">
        <is>
          <t>Ba tài khoản CBNV trên STG (A người gửi, B người vận chuyển, C người nhận).
Test Data: Đơn `DELIVERED` (test_data_catalog §DLV)</t>
        </is>
      </c>
      <c r="H80" s="11" t="inlineStr">
        <is>
          <t>1. Nhờ dev/QA seed 1 đơn ở trạng thái "Đã giao" với đủ 3 vai A, B, C. (setup)
2. Đăng nhập bằng tài khoản C, mở đơn đó và nhấn "Xác nhận đã nhận hàng".
3. Nhấn "Xác nhận" trên popup.
4. Check trạng thái đơn và thanh trạng thái ngay khi popup đóng.</t>
        </is>
      </c>
      <c r="I80" s="11" t="inlineStr">
        <is>
          <t>4. Đơn ở trạng thái "Hoàn thành" và mốc "Hoàn thành" trên thanh trạng thái được tô ngay; không có trạng thái trung gian chờ duyệt, không có màn chờ nào.</t>
        </is>
      </c>
      <c r="J80" s="160" t="inlineStr">
        <is>
          <t>AI</t>
        </is>
      </c>
      <c r="K80" s="160" t="inlineStr">
        <is>
          <t>Pending</t>
        </is>
      </c>
      <c r="L80" s="160" t="inlineStr">
        <is>
          <t>No</t>
        </is>
      </c>
      <c r="M80" s="160" t="inlineStr"/>
      <c r="N80" s="264" t="inlineStr"/>
      <c r="O80" s="264" t="inlineStr"/>
      <c r="P80" s="264" t="inlineStr"/>
      <c r="Q80" s="264" t="inlineStr"/>
      <c r="R80" s="264" t="inlineStr"/>
      <c r="S80" s="264" t="inlineStr"/>
      <c r="T80" s="264" t="n"/>
      <c r="U80" s="264" t="n"/>
      <c r="V80" s="264" t="n"/>
      <c r="W80" s="264" t="n"/>
      <c r="X80" s="264" t="n"/>
      <c r="Y80" s="264" t="n"/>
      <c r="Z80" s="264" t="n"/>
      <c r="AA80" s="264" t="n"/>
      <c r="AB80" s="264" t="n"/>
      <c r="AC80" s="264" t="n"/>
      <c r="AD80" s="264" t="n"/>
      <c r="AE80" s="264" t="n"/>
      <c r="AF80" s="264" t="n"/>
      <c r="AG80" s="264" t="n"/>
      <c r="AH80" s="264" t="n"/>
      <c r="AI80" s="264" t="n"/>
      <c r="AJ80" s="264" t="n"/>
      <c r="AK80" s="264" t="n"/>
      <c r="AL80" s="264" t="n"/>
      <c r="AM80" s="264" t="n"/>
      <c r="AN80" s="264" t="n"/>
      <c r="AO80" s="264" t="n"/>
      <c r="AP80" s="264" t="n"/>
      <c r="AQ80" s="264" t="n"/>
      <c r="AR80" s="158">
        <f>IF($A80="","",IF(OR($N80="Yes",$T80="Yes",$Z80="Yes",$AF80="Yes",$AL80="Yes"),"Yes","No"))</f>
        <v/>
      </c>
      <c r="AS80" s="158">
        <f>IF($A80="","",IFERROR(IF($AM80&lt;&gt;"",$AM80,IF($AG80&lt;&gt;"",$AG80,IF($AA80&lt;&gt;"",$AA80,IF($U80&lt;&gt;"",$U80,IF($O80&lt;&gt;"",$O80,""))))),""))</f>
        <v/>
      </c>
      <c r="AT80" s="158">
        <f>IFERROR(IF($AN80&lt;&gt;"",$AN80,IF($AH80&lt;&gt;"",$AH80,IF($AB80&lt;&gt;"",$AB80,IF($V80&lt;&gt;"",$V80,IF($P80&lt;&gt;"",$P80,""))))),"")</f>
        <v/>
      </c>
      <c r="AU80" s="265" t="inlineStr">
        <is>
          <t>Mục đích: đây là điểm đóng đơn — nếu có bước chờ ẩn thì người gửi không bao giờ tặng quà được và module `GIFT` bị blocked. · Căn cứ: `DOC-v1.0-02` §5.2 dòng "Sau khi xác nhận". ⛔ Không assert chuỗi "Hoàn thành &amp; đã đánh giá" — chuỗi đó là UI leftover của cơ chế rating đã bị `C-GIFT-01` loại khỏi v1.0.</t>
        </is>
      </c>
      <c r="AV80" s="1" t="n"/>
    </row>
    <row r="81" ht="15.75" customHeight="1" s="216">
      <c r="A81" s="160">
        <f>IF($F81="","",$C$2&amp;"."&amp;COUNTA($F$7:$F81)&amp;"")</f>
        <v/>
      </c>
      <c r="B81" s="160" t="inlineStr">
        <is>
          <t>REQ-DLV-007</t>
        </is>
      </c>
      <c r="C81" s="160" t="inlineStr">
        <is>
          <t>DOC-v1.0-01</t>
        </is>
      </c>
      <c r="D81" s="160" t="inlineStr">
        <is>
          <t>Functional</t>
        </is>
      </c>
      <c r="E81" s="160" t="inlineStr">
        <is>
          <t>Medium</t>
        </is>
      </c>
      <c r="F81" s="11" t="inlineStr">
        <is>
          <t>Check đơn ở "Đã giao" quá hai giờ chưa xác nhận thì người nhận được nhắc và quá bốn giờ thì chuyển admin hỗ trợ</t>
        </is>
      </c>
      <c r="G81" s="11" t="inlineStr">
        <is>
          <t>Ba tài khoản CBNV trên STG (A người gửi, B người vận chuyển, C người nhận).
Test Data: Đơn `DELIVERED` với mốc thời gian 2 giờ và 4 giờ (test_data_catalog §DLV — cần dev seed timestamp)</t>
        </is>
      </c>
      <c r="H81" s="11" t="inlineStr">
        <is>
          <t>1. Nhờ dev/QA seed 1 đơn ở trạng thái "Đã giao" với mốc thời gian giao lùi lại hơn 2 giờ, hoặc chuẩn bị chạy theo thời gian thật. (setup)
2. Đăng nhập bằng tài khoản C, nhấn icon chuông và check thông báo về đơn đó.
3. Nhờ dev/QA lùi mốc thời gian giao của đơn về quá 4 giờ, hoặc chờ thêm 2 giờ.
4. Đăng nhập bằng tài khoản A, mở đơn đó và check trạng thái cùng thông tin hiển thị về việc chờ xác nhận.</t>
        </is>
      </c>
      <c r="I81" s="11" t="inlineStr">
        <is>
          <t>2. Tài khoản C có thông báo nhắc xác nhận đã nhận hàng cho đơn đó.
4. Màn của tài khoản A hiển thị trạng thái hoặc thông tin cho biết đơn đã chuyển sang diện admin hỗ trợ.</t>
        </is>
      </c>
      <c r="J81" s="160" t="inlineStr">
        <is>
          <t>AI</t>
        </is>
      </c>
      <c r="K81" s="160" t="inlineStr">
        <is>
          <t>Pending</t>
        </is>
      </c>
      <c r="L81" s="160" t="inlineStr">
        <is>
          <t>No</t>
        </is>
      </c>
      <c r="M81" s="160" t="inlineStr"/>
      <c r="N81" s="264" t="inlineStr"/>
      <c r="O81" s="264" t="inlineStr"/>
      <c r="P81" s="264" t="inlineStr"/>
      <c r="Q81" s="264" t="inlineStr"/>
      <c r="R81" s="264" t="inlineStr"/>
      <c r="S81" s="264" t="inlineStr"/>
      <c r="T81" s="264" t="n"/>
      <c r="U81" s="264" t="n"/>
      <c r="V81" s="264" t="n"/>
      <c r="W81" s="264" t="n"/>
      <c r="X81" s="264" t="n"/>
      <c r="Y81" s="264" t="n"/>
      <c r="Z81" s="264" t="n"/>
      <c r="AA81" s="264" t="n"/>
      <c r="AB81" s="264" t="n"/>
      <c r="AC81" s="264" t="n"/>
      <c r="AD81" s="264" t="n"/>
      <c r="AE81" s="264" t="n"/>
      <c r="AF81" s="264" t="n"/>
      <c r="AG81" s="264" t="n"/>
      <c r="AH81" s="264" t="n"/>
      <c r="AI81" s="264" t="n"/>
      <c r="AJ81" s="264" t="n"/>
      <c r="AK81" s="264" t="n"/>
      <c r="AL81" s="264" t="n"/>
      <c r="AM81" s="264" t="n"/>
      <c r="AN81" s="264" t="n"/>
      <c r="AO81" s="264" t="n"/>
      <c r="AP81" s="264" t="n"/>
      <c r="AQ81" s="264" t="n"/>
      <c r="AR81" s="158">
        <f>IF($A81="","",IF(OR($N81="Yes",$T81="Yes",$Z81="Yes",$AF81="Yes",$AL81="Yes"),"Yes","No"))</f>
        <v/>
      </c>
      <c r="AS81" s="158">
        <f>IF($A81="","",IFERROR(IF($AM81&lt;&gt;"",$AM81,IF($AG81&lt;&gt;"",$AG81,IF($AA81&lt;&gt;"",$AA81,IF($U81&lt;&gt;"",$U81,IF($O81&lt;&gt;"",$O81,""))))),""))</f>
        <v/>
      </c>
      <c r="AT81" s="158">
        <f>IFERROR(IF($AN81&lt;&gt;"",$AN81,IF($AH81&lt;&gt;"",$AH81,IF($AB81&lt;&gt;"",$AB81,IF($V81&lt;&gt;"",$V81,IF($P81&lt;&gt;"",$P81,""))))),"")</f>
        <v/>
      </c>
      <c r="AU81" s="265" t="inlineStr">
        <is>
          <t>Mục đích: dùng chung tiền đề với `SC-TS-006` ⇒ chạy 1 lần lấy dữ liệu cho cả 2 TC. · Căn cứ: `BR-CNF-04` §D4 L266 + `US-D14` §D1b L193; nhánh xử lý của admin thuộc Admin Portal, ⛔ ngoài phạm vi v1.0. Chưa chạy đủ mốc thời gian thì đánh `Blocked` và ghi rõ, ⛔ không đánh PASS cho xong.</t>
        </is>
      </c>
      <c r="AV81" s="1" t="n"/>
    </row>
    <row r="82" ht="15.75" customHeight="1" s="216">
      <c r="A82" s="160">
        <f>IF($F82="","",$C$2&amp;"."&amp;COUNTA($F$7:$F82)&amp;"")</f>
        <v/>
      </c>
      <c r="B82" s="160" t="inlineStr">
        <is>
          <t>REQ-DLV-008</t>
        </is>
      </c>
      <c r="C82" s="160" t="inlineStr">
        <is>
          <t>DOC-v1.0-02 · DOC-v1.0-06</t>
        </is>
      </c>
      <c r="D82" s="160" t="inlineStr">
        <is>
          <t>Functional</t>
        </is>
      </c>
      <c r="E82" s="160" t="inlineStr">
        <is>
          <t>Medium</t>
        </is>
      </c>
      <c r="F82" s="11" t="inlineStr">
        <is>
          <t>Check luồng xác nhận nhận hàng dùng modal đơn giản không có ảnh bằng chứng và điểm uy tín</t>
        </is>
      </c>
      <c r="G82" s="11" t="inlineStr">
        <is>
          <t>Ba tài khoản CBNV trên STG (A người gửi, B người vận chuyển, C người nhận).
Test Data: Bộ giá trị assert-absent: ảnh bằng chứng / điểm uy tín / chi phí (test_data_catalog §DLV)</t>
        </is>
      </c>
      <c r="H82" s="11" t="inlineStr">
        <is>
          <t>1. Nhờ dev/QA seed 1 đơn ở trạng thái "Đã giao" với đủ 3 vai A, B, C. (setup)
2. Đăng nhập bằng tài khoản C, mở đơn đó và nhấn "Xác nhận đã nhận hàng".
3. Check toàn bộ thành phần trên modal vừa mở.</t>
        </is>
      </c>
      <c r="I82" s="11" t="inlineStr">
        <is>
          <t>3. Modal chỉ gồm tiêu đề "Xác nhận", một câu nội dung và 2 nút "Huỷ" cùng "Xác nhận"; KHÔNG có vùng tải ảnh bằng chứng, KHÔNG có điểm uy tín của người vận chuyển, KHÔNG có ô nhập chi phí.</t>
        </is>
      </c>
      <c r="J82" s="160" t="inlineStr">
        <is>
          <t>AI</t>
        </is>
      </c>
      <c r="K82" s="160" t="inlineStr">
        <is>
          <t>Pending</t>
        </is>
      </c>
      <c r="L82" s="160" t="inlineStr">
        <is>
          <t>No</t>
        </is>
      </c>
      <c r="M82" s="160" t="inlineStr"/>
      <c r="N82" s="264" t="inlineStr"/>
      <c r="O82" s="264" t="inlineStr"/>
      <c r="P82" s="264" t="inlineStr"/>
      <c r="Q82" s="264" t="inlineStr"/>
      <c r="R82" s="264" t="inlineStr"/>
      <c r="S82" s="264" t="inlineStr"/>
      <c r="T82" s="264" t="n"/>
      <c r="U82" s="264" t="n"/>
      <c r="V82" s="264" t="n"/>
      <c r="W82" s="264" t="n"/>
      <c r="X82" s="264" t="n"/>
      <c r="Y82" s="264" t="n"/>
      <c r="Z82" s="264" t="n"/>
      <c r="AA82" s="264" t="n"/>
      <c r="AB82" s="264" t="n"/>
      <c r="AC82" s="264" t="n"/>
      <c r="AD82" s="264" t="n"/>
      <c r="AE82" s="264" t="n"/>
      <c r="AF82" s="264" t="n"/>
      <c r="AG82" s="264" t="n"/>
      <c r="AH82" s="264" t="n"/>
      <c r="AI82" s="264" t="n"/>
      <c r="AJ82" s="264" t="n"/>
      <c r="AK82" s="264" t="n"/>
      <c r="AL82" s="264" t="n"/>
      <c r="AM82" s="264" t="n"/>
      <c r="AN82" s="264" t="n"/>
      <c r="AO82" s="264" t="n"/>
      <c r="AP82" s="264" t="n"/>
      <c r="AQ82" s="264" t="n"/>
      <c r="AR82" s="158">
        <f>IF($A82="","",IF(OR($N82="Yes",$T82="Yes",$Z82="Yes",$AF82="Yes",$AL82="Yes"),"Yes","No"))</f>
        <v/>
      </c>
      <c r="AS82" s="158">
        <f>IF($A82="","",IFERROR(IF($AM82&lt;&gt;"",$AM82,IF($AG82&lt;&gt;"",$AG82,IF($AA82&lt;&gt;"",$AA82,IF($U82&lt;&gt;"",$U82,IF($O82&lt;&gt;"",$O82,""))))),""))</f>
        <v/>
      </c>
      <c r="AT82" s="158">
        <f>IFERROR(IF($AN82&lt;&gt;"",$AN82,IF($AH82&lt;&gt;"",$AH82,IF($AB82&lt;&gt;"",$AB82,IF($V82&lt;&gt;"",$V82,IF($P82&lt;&gt;"",$P82,""))))),"")</f>
        <v/>
      </c>
      <c r="AU82" s="265" t="inlineStr">
        <is>
          <t>Mục đích: neo vào `C-DLV-03` Resolved 2026-07-27 — form đầy đủ ở PRD §5.3 **không áp dụng v1.0**. · Căn cứ: `KB-DLV-03` (bằng chứng app dùng modal đơn giản); app hiện form đầy đủ ⇒ FAIL và mở lại CL scope.</t>
        </is>
      </c>
      <c r="AV82" s="1" t="n"/>
    </row>
    <row r="83" ht="15.75" customHeight="1" s="216">
      <c r="A83" s="160">
        <f>IF($F83="","",$C$2&amp;"."&amp;COUNTA($F$7:$F83)&amp;"")</f>
        <v/>
      </c>
      <c r="B83" s="160" t="inlineStr">
        <is>
          <t>REQ-DLV-009</t>
        </is>
      </c>
      <c r="C83" s="160" t="inlineStr">
        <is>
          <t>DOC-v1.0-02</t>
        </is>
      </c>
      <c r="D83" s="160" t="inlineStr">
        <is>
          <t>Functional</t>
        </is>
      </c>
      <c r="E83" s="160" t="inlineStr">
        <is>
          <t>Medium</t>
        </is>
      </c>
      <c r="F83" s="11" t="inlineStr">
        <is>
          <t>Check người gửi thấy cụm liên hệ người vận chuyển sau khi ghép và không thấy trước khi ghép</t>
        </is>
      </c>
      <c r="G83" s="11" t="inlineStr">
        <is>
          <t>Hai tài khoản CBNV trên STG (A người gửi, B người vận chuyển).
Test Data: Đơn qua `POSTED` → `MATCHED`; vai Sender (test_data_catalog §DLV, biên thời điểm lộ liên hệ)</t>
        </is>
      </c>
      <c r="H83" s="11" t="inlineStr">
        <is>
          <t>1. Đăng nhập bằng tài khoản A, đăng 1 tin NEED rồi mở màn Theo dõi đơn. (setup)
2. Check toàn màn tìm cụm liên hệ "Người vận chuyển".
3. Nhờ tài khoản B nhận đơn đó và xác nhận.
4. Quay lại màn Theo dõi đơn bằng tài khoản A và check cụm liên hệ.</t>
        </is>
      </c>
      <c r="I83" s="11" t="inlineStr">
        <is>
          <t>2. KHÔNG có cụm liên hệ "Người vận chuyển" khi đơn còn ở "Chờ ghép".
4. Hiện cụm "Người vận chuyển" gồm tên, số điện thoại và nút "Gọi".</t>
        </is>
      </c>
      <c r="J83" s="160" t="inlineStr">
        <is>
          <t>AI</t>
        </is>
      </c>
      <c r="K83" s="160" t="inlineStr">
        <is>
          <t>Pending</t>
        </is>
      </c>
      <c r="L83" s="160" t="inlineStr">
        <is>
          <t>No</t>
        </is>
      </c>
      <c r="M83" s="160" t="inlineStr"/>
      <c r="N83" s="264" t="inlineStr">
        <is>
          <t>Yes</t>
        </is>
      </c>
      <c r="O83" s="264" t="inlineStr"/>
      <c r="P83" s="264" t="inlineStr">
        <is>
          <t>Pass</t>
        </is>
      </c>
      <c r="Q83" s="264" t="inlineStr">
        <is>
          <t>GiangDC2</t>
        </is>
      </c>
      <c r="R83" s="264" t="inlineStr"/>
      <c r="S83" s="264" t="inlineStr"/>
      <c r="T83" s="264" t="n"/>
      <c r="U83" s="264" t="n"/>
      <c r="V83" s="264" t="n"/>
      <c r="W83" s="264" t="n"/>
      <c r="X83" s="264" t="n"/>
      <c r="Y83" s="264" t="n"/>
      <c r="Z83" s="264" t="n"/>
      <c r="AA83" s="264" t="n"/>
      <c r="AB83" s="264" t="n"/>
      <c r="AC83" s="264" t="n"/>
      <c r="AD83" s="264" t="n"/>
      <c r="AE83" s="264" t="n"/>
      <c r="AF83" s="264" t="n"/>
      <c r="AG83" s="264" t="n"/>
      <c r="AH83" s="264" t="n"/>
      <c r="AI83" s="264" t="n"/>
      <c r="AJ83" s="264" t="n"/>
      <c r="AK83" s="264" t="n"/>
      <c r="AL83" s="264" t="n"/>
      <c r="AM83" s="264" t="n"/>
      <c r="AN83" s="264" t="n"/>
      <c r="AO83" s="264" t="n"/>
      <c r="AP83" s="264" t="n"/>
      <c r="AQ83" s="264" t="n"/>
      <c r="AR83" s="158">
        <f>IF($A83="","",IF(OR($N83="Yes",$T83="Yes",$Z83="Yes",$AF83="Yes",$AL83="Yes"),"Yes","No"))</f>
        <v/>
      </c>
      <c r="AS83" s="158">
        <f>IF($A83="","",IFERROR(IF($AM83&lt;&gt;"",$AM83,IF($AG83&lt;&gt;"",$AG83,IF($AA83&lt;&gt;"",$AA83,IF($U83&lt;&gt;"",$U83,IF($O83&lt;&gt;"",$O83,""))))),""))</f>
        <v/>
      </c>
      <c r="AT83" s="158">
        <f>IFERROR(IF($AN83&lt;&gt;"",$AN83,IF($AH83&lt;&gt;"",$AH83,IF($AB83&lt;&gt;"",$AB83,IF($V83&lt;&gt;"",$V83,IF($P83&lt;&gt;"",$P83,""))))),"")</f>
        <v/>
      </c>
      <c r="AU83" s="265" t="inlineStr">
        <is>
          <t>Mục đích: ranh giới "Chờ ghép" → "Đã ghép" là thời điểm cụm liên hệ được phép xuất hiện — cùng rule với `TC-FEED-010`. · Căn cứ: `DOC-v1.0-02` §3.6 + `BR-CON-02` §A5 L78.</t>
        </is>
      </c>
      <c r="AV83" s="1" t="n"/>
    </row>
    <row r="84" ht="15.75" customHeight="1" s="216">
      <c r="A84" s="160">
        <f>IF($F84="","",$C$2&amp;"."&amp;COUNTA($F$7:$F84)&amp;"")</f>
        <v/>
      </c>
      <c r="B84" s="160" t="inlineStr">
        <is>
          <t>REQ-DLV-009</t>
        </is>
      </c>
      <c r="C84" s="160" t="inlineStr">
        <is>
          <t>DOC-v1.0-02 · DOC-v1.0-01</t>
        </is>
      </c>
      <c r="D84" s="160" t="inlineStr">
        <is>
          <t>Functional</t>
        </is>
      </c>
      <c r="E84" s="160" t="inlineStr">
        <is>
          <t>Medium</t>
        </is>
      </c>
      <c r="F84" s="11" t="inlineStr">
        <is>
          <t>Check người vận chuyển thấy cả cụm liên hệ người gửi và người nhận</t>
        </is>
      </c>
      <c r="G84" s="11" t="inlineStr">
        <is>
          <t>Ba tài khoản CBNV trên STG (A người gửi, B người vận chuyển, C người nhận).
Test Data: Đơn `MATCHED` có khai người nhận; vai Carrier (test_data_catalog §DLV)</t>
        </is>
      </c>
      <c r="H84" s="11" t="inlineStr">
        <is>
          <t>1. Đăng nhập bằng tài khoản A, đăng 1 tin NEED khai C là người nhận, rồi đăng xuất. (setup)
2. Đăng nhập bằng tài khoản B, nhận đơn đó và xác nhận. (setup)
3. Mở màn Theo dõi đơn và check các cụm liên hệ trên màn.</t>
        </is>
      </c>
      <c r="I84" s="11" t="inlineStr">
        <is>
          <t>3. Màn có cả cụm "NGƯỜI GỬI" và cụm "NGƯỜI NHẬN", mỗi cụm gồm tên, số điện thoại và nút "Gọi".</t>
        </is>
      </c>
      <c r="J84" s="160" t="inlineStr">
        <is>
          <t>AI</t>
        </is>
      </c>
      <c r="K84" s="160" t="inlineStr">
        <is>
          <t>Pending</t>
        </is>
      </c>
      <c r="L84" s="160" t="inlineStr">
        <is>
          <t>No</t>
        </is>
      </c>
      <c r="M84" s="160" t="inlineStr"/>
      <c r="N84" s="264" t="inlineStr">
        <is>
          <t>Yes</t>
        </is>
      </c>
      <c r="O84" s="264" t="inlineStr"/>
      <c r="P84" s="264" t="inlineStr">
        <is>
          <t>Pass</t>
        </is>
      </c>
      <c r="Q84" s="264" t="inlineStr">
        <is>
          <t>GiangDC2</t>
        </is>
      </c>
      <c r="R84" s="264" t="inlineStr"/>
      <c r="S84" s="264" t="inlineStr"/>
      <c r="T84" s="264" t="n"/>
      <c r="U84" s="264" t="n"/>
      <c r="V84" s="264" t="n"/>
      <c r="W84" s="264" t="n"/>
      <c r="X84" s="264" t="n"/>
      <c r="Y84" s="264" t="n"/>
      <c r="Z84" s="264" t="n"/>
      <c r="AA84" s="264" t="n"/>
      <c r="AB84" s="264" t="n"/>
      <c r="AC84" s="264" t="n"/>
      <c r="AD84" s="264" t="n"/>
      <c r="AE84" s="264" t="n"/>
      <c r="AF84" s="264" t="n"/>
      <c r="AG84" s="264" t="n"/>
      <c r="AH84" s="264" t="n"/>
      <c r="AI84" s="264" t="n"/>
      <c r="AJ84" s="264" t="n"/>
      <c r="AK84" s="264" t="n"/>
      <c r="AL84" s="264" t="n"/>
      <c r="AM84" s="264" t="n"/>
      <c r="AN84" s="264" t="n"/>
      <c r="AO84" s="264" t="n"/>
      <c r="AP84" s="264" t="n"/>
      <c r="AQ84" s="264" t="n"/>
      <c r="AR84" s="158">
        <f>IF($A84="","",IF(OR($N84="Yes",$T84="Yes",$Z84="Yes",$AF84="Yes",$AL84="Yes"),"Yes","No"))</f>
        <v/>
      </c>
      <c r="AS84" s="158">
        <f>IF($A84="","",IFERROR(IF($AM84&lt;&gt;"",$AM84,IF($AG84&lt;&gt;"",$AG84,IF($AA84&lt;&gt;"",$AA84,IF($U84&lt;&gt;"",$U84,IF($O84&lt;&gt;"",$O84,""))))),""))</f>
        <v/>
      </c>
      <c r="AT84" s="158">
        <f>IFERROR(IF($AN84&lt;&gt;"",$AN84,IF($AH84&lt;&gt;"",$AH84,IF($AB84&lt;&gt;"",$AB84,IF($V84&lt;&gt;"",$V84,IF($P84&lt;&gt;"",$P84,""))))),"")</f>
        <v/>
      </c>
      <c r="AU84" s="265" t="inlineStr">
        <is>
          <t>Căn cứ: `DOC-v1.0-02` §4.3 + `US-D08` §D1b L177 — người vận chuyển là vai duy nhất thấy liên hệ 2 đầu.</t>
        </is>
      </c>
      <c r="AV84" s="1" t="n"/>
    </row>
    <row r="85" ht="15.75" customHeight="1" s="216">
      <c r="A85" s="160">
        <f>IF($F85="","",$C$2&amp;"."&amp;COUNTA($F$7:$F85)&amp;"")</f>
        <v/>
      </c>
      <c r="B85" s="160" t="inlineStr">
        <is>
          <t>REQ-DLV-009</t>
        </is>
      </c>
      <c r="C85" s="160" t="inlineStr">
        <is>
          <t>DOC-v1.0-02</t>
        </is>
      </c>
      <c r="D85" s="160" t="inlineStr">
        <is>
          <t>Functional</t>
        </is>
      </c>
      <c r="E85" s="160" t="inlineStr">
        <is>
          <t>Medium</t>
        </is>
      </c>
      <c r="F85" s="11" t="inlineStr">
        <is>
          <t>Check người nhận chỉ thấy cụm liên hệ người giao hàng và không thấy thông tin người gửi</t>
        </is>
      </c>
      <c r="G85" s="11" t="inlineStr">
        <is>
          <t>Ba tài khoản CBNV trên STG (A người gửi, B người vận chuyển, C người nhận).
Test Data: Đơn `MATCHED`; vai Receiver (test_data_catalog §DLV)</t>
        </is>
      </c>
      <c r="H85" s="11" t="inlineStr">
        <is>
          <t>1. Đăng nhập bằng tài khoản A, đăng 1 tin NEED khai C là người nhận, rồi đăng xuất. (setup)
2. Đăng nhập bằng tài khoản B, nhận đơn đó và xác nhận, rồi đăng xuất. (setup)
3. Đăng nhập bằng tài khoản C, nhấn tab "Hoạt động" và mở đơn đó.
4. Check các cụm liên hệ trên màn.</t>
        </is>
      </c>
      <c r="I85" s="11" t="inlineStr">
        <is>
          <t>4. Màn chỉ có cụm "NGƯỜI GIAO HÀNG" gồm tên, số điện thoại và nút "Gọi"; KHÔNG có cụm liên hệ hay số điện thoại của người gửi.</t>
        </is>
      </c>
      <c r="J85" s="160" t="inlineStr">
        <is>
          <t>AI</t>
        </is>
      </c>
      <c r="K85" s="160" t="inlineStr">
        <is>
          <t>Pending</t>
        </is>
      </c>
      <c r="L85" s="160" t="inlineStr">
        <is>
          <t>No</t>
        </is>
      </c>
      <c r="M85" s="160" t="inlineStr"/>
      <c r="N85" s="264" t="inlineStr">
        <is>
          <t>Yes</t>
        </is>
      </c>
      <c r="O85" s="264" t="inlineStr"/>
      <c r="P85" s="264" t="inlineStr">
        <is>
          <t>Pass</t>
        </is>
      </c>
      <c r="Q85" s="264" t="inlineStr">
        <is>
          <t>GiangDC2</t>
        </is>
      </c>
      <c r="R85" s="264" t="inlineStr"/>
      <c r="S85" s="264" t="inlineStr"/>
      <c r="T85" s="264" t="n"/>
      <c r="U85" s="264" t="n"/>
      <c r="V85" s="264" t="n"/>
      <c r="W85" s="264" t="n"/>
      <c r="X85" s="264" t="n"/>
      <c r="Y85" s="264" t="n"/>
      <c r="Z85" s="264" t="n"/>
      <c r="AA85" s="264" t="n"/>
      <c r="AB85" s="264" t="n"/>
      <c r="AC85" s="264" t="n"/>
      <c r="AD85" s="264" t="n"/>
      <c r="AE85" s="264" t="n"/>
      <c r="AF85" s="264" t="n"/>
      <c r="AG85" s="264" t="n"/>
      <c r="AH85" s="264" t="n"/>
      <c r="AI85" s="264" t="n"/>
      <c r="AJ85" s="264" t="n"/>
      <c r="AK85" s="264" t="n"/>
      <c r="AL85" s="264" t="n"/>
      <c r="AM85" s="264" t="n"/>
      <c r="AN85" s="264" t="n"/>
      <c r="AO85" s="264" t="n"/>
      <c r="AP85" s="264" t="n"/>
      <c r="AQ85" s="264" t="n"/>
      <c r="AR85" s="158">
        <f>IF($A85="","",IF(OR($N85="Yes",$T85="Yes",$Z85="Yes",$AF85="Yes",$AL85="Yes"),"Yes","No"))</f>
        <v/>
      </c>
      <c r="AS85" s="158">
        <f>IF($A85="","",IFERROR(IF($AM85&lt;&gt;"",$AM85,IF($AG85&lt;&gt;"",$AG85,IF($AA85&lt;&gt;"",$AA85,IF($U85&lt;&gt;"",$U85,IF($O85&lt;&gt;"",$O85,""))))),""))</f>
        <v/>
      </c>
      <c r="AT85" s="158">
        <f>IFERROR(IF($AN85&lt;&gt;"",$AN85,IF($AH85&lt;&gt;"",$AH85,IF($AB85&lt;&gt;"",$AB85,IF($V85&lt;&gt;"",$V85,IF($P85&lt;&gt;"",$P85,""))))),"")</f>
        <v/>
      </c>
      <c r="AU85" s="265" t="inlineStr">
        <is>
          <t>Mục đích: giới hạn phạm vi lộ liên hệ theo vai — người nhận không có nhu cầu liên hệ người gửi trong luồng v1.0. · Căn cứ: `DOC-v1.0-02` §5.2 dòng "Liên hệ".</t>
        </is>
      </c>
      <c r="AV85" s="1" t="n"/>
    </row>
    <row r="86" ht="15.75" customHeight="1" s="216">
      <c r="A86" s="160">
        <f>IF($F86="","",$C$2&amp;"."&amp;COUNTA($F$7:$F86)&amp;"")</f>
        <v/>
      </c>
      <c r="B86" s="160" t="inlineStr">
        <is>
          <t>REQ-DLV-010</t>
        </is>
      </c>
      <c r="C86" s="160" t="inlineStr">
        <is>
          <t>DOC-v1.0-02 · DOC-v1.0-01</t>
        </is>
      </c>
      <c r="D86" s="160" t="inlineStr">
        <is>
          <t>Functional</t>
        </is>
      </c>
      <c r="E86" s="160" t="inlineStr">
        <is>
          <t>Medium</t>
        </is>
      </c>
      <c r="F86" s="11" t="inlineStr">
        <is>
          <t>Check block Lịch sử có đủ năm mốc sự kiện kèm timestamp trên đơn đi thẳng tới hoàn thành</t>
        </is>
      </c>
      <c r="G86" s="11" t="inlineStr">
        <is>
          <t>Ba tài khoản CBNV trên STG (A người gửi, B người vận chuyển, C người nhận).
Test Data: Đơn đi thẳng tới `COMPLETED` (test_data_catalog §DLV)</t>
        </is>
      </c>
      <c r="H86" s="11" t="inlineStr">
        <is>
          <t>1. Nhờ dev/QA seed 1 đơn đã đi thẳng từ đăng tin tới "Hoàn thành" (không qua huỷ nhận) với đủ 3 vai. (setup)
2. Đăng nhập bằng tài khoản A, nhấn tab "Hoạt động" rồi tab con "Đã hoàn thành" và mở đơn đó.
3. Mở block "Lịch sử" và check các mốc cùng timestamp.</t>
        </is>
      </c>
      <c r="I86" s="11" t="inlineStr">
        <is>
          <t>3. Timeline có đủ 5 mốc theo thứ tự "Đăng tin", "Ghép thành công", "Lấy hàng", "Đã giao", "Hoàn thành"; mỗi mốc kèm timestamp.</t>
        </is>
      </c>
      <c r="J86" s="160" t="inlineStr">
        <is>
          <t>AI</t>
        </is>
      </c>
      <c r="K86" s="160" t="inlineStr">
        <is>
          <t>Pending</t>
        </is>
      </c>
      <c r="L86" s="160" t="inlineStr">
        <is>
          <t>No</t>
        </is>
      </c>
      <c r="M86" s="160" t="inlineStr"/>
      <c r="N86" s="264" t="inlineStr">
        <is>
          <t>Yes</t>
        </is>
      </c>
      <c r="O86" s="264" t="inlineStr"/>
      <c r="P86" s="264" t="inlineStr">
        <is>
          <t>Pass</t>
        </is>
      </c>
      <c r="Q86" s="264" t="inlineStr">
        <is>
          <t>GiangDC2</t>
        </is>
      </c>
      <c r="R86" s="264" t="inlineStr"/>
      <c r="S86" s="264" t="inlineStr"/>
      <c r="T86" s="264" t="n"/>
      <c r="U86" s="264" t="n"/>
      <c r="V86" s="264" t="n"/>
      <c r="W86" s="264" t="n"/>
      <c r="X86" s="264" t="n"/>
      <c r="Y86" s="264" t="n"/>
      <c r="Z86" s="264" t="n"/>
      <c r="AA86" s="264" t="n"/>
      <c r="AB86" s="264" t="n"/>
      <c r="AC86" s="264" t="n"/>
      <c r="AD86" s="264" t="n"/>
      <c r="AE86" s="264" t="n"/>
      <c r="AF86" s="264" t="n"/>
      <c r="AG86" s="264" t="n"/>
      <c r="AH86" s="264" t="n"/>
      <c r="AI86" s="264" t="n"/>
      <c r="AJ86" s="264" t="n"/>
      <c r="AK86" s="264" t="n"/>
      <c r="AL86" s="264" t="n"/>
      <c r="AM86" s="264" t="n"/>
      <c r="AN86" s="264" t="n"/>
      <c r="AO86" s="264" t="n"/>
      <c r="AP86" s="264" t="n"/>
      <c r="AQ86" s="264" t="n"/>
      <c r="AR86" s="158">
        <f>IF($A86="","",IF(OR($N86="Yes",$T86="Yes",$Z86="Yes",$AF86="Yes",$AL86="Yes"),"Yes","No"))</f>
        <v/>
      </c>
      <c r="AS86" s="158">
        <f>IF($A86="","",IFERROR(IF($AM86&lt;&gt;"",$AM86,IF($AG86&lt;&gt;"",$AG86,IF($AA86&lt;&gt;"",$AA86,IF($U86&lt;&gt;"",$U86,IF($O86&lt;&gt;"",$O86,""))))),""))</f>
        <v/>
      </c>
      <c r="AT86" s="158">
        <f>IFERROR(IF($AN86&lt;&gt;"",$AN86,IF($AH86&lt;&gt;"",$AH86,IF($AB86&lt;&gt;"",$AB86,IF($V86&lt;&gt;"",$V86,IF($P86&lt;&gt;"",$P86,""))))),"")</f>
        <v/>
      </c>
      <c r="AU86" s="265" t="inlineStr">
        <is>
          <t>Căn cứ: `DOC-v1.0-02` §3.6 dòng "Lịch sử" + `US-D09` §D1b L178. ⚠ Danh sách mốc này **khác** thanh trạng thái ở `TC-DLV-016` (có "Đăng tin" và "Ghép thành công"). ⛔ Không dùng đơn từng bị huỷ nhận — đơn đó thiếu dòng "Ghép thành công" do bug đã biết (`TC-CNL-010`).</t>
        </is>
      </c>
      <c r="AV86" s="1" t="n"/>
    </row>
    <row r="87" ht="15.75" customHeight="1" s="216">
      <c r="A87" s="160">
        <f>IF($F87="","",$C$2&amp;"."&amp;COUNTA($F$7:$F87)&amp;"")</f>
        <v/>
      </c>
      <c r="B87" s="160" t="inlineStr">
        <is>
          <t>REQ-DLV-016</t>
        </is>
      </c>
      <c r="C87" s="160" t="inlineStr">
        <is>
          <t>DOC-v1.0-02</t>
        </is>
      </c>
      <c r="D87" s="160" t="inlineStr">
        <is>
          <t>UI</t>
        </is>
      </c>
      <c r="E87" s="160" t="inlineStr">
        <is>
          <t>Low</t>
        </is>
      </c>
      <c r="F87" s="11" t="inlineStr">
        <is>
          <t>Check nhãn phụ màn Theo dõi đơn đổi đúng theo vai của tài khoản đang xem</t>
        </is>
      </c>
      <c r="G87" s="11" t="inlineStr">
        <is>
          <t>Ba tài khoản CBNV trên STG (A người gửi, B người vận chuyển, C người nhận).
Test Data: Tập 3 nhãn phụ theo vai (test_data_catalog §DLV)</t>
        </is>
      </c>
      <c r="H87" s="11" t="inlineStr">
        <is>
          <t>1. Nhờ dev/QA seed 1 đơn ở trạng thái "Đã ghép" với đủ 3 vai A, B, C. (setup)
2. Đăng nhập bằng tài khoản A, mở đơn đó và check nhãn phụ ở tiêu đề màn.
3. Đăng nhập bằng tài khoản B, mở đơn đó và check nhãn phụ ở tiêu đề màn.
4. Đăng nhập bằng tài khoản C, mở đơn đó và check nhãn phụ ở tiêu đề màn.</t>
        </is>
      </c>
      <c r="I87" s="11" t="inlineStr">
        <is>
          <t>2. Nhãn phụ hiển thị "Tôi gửi hàng".
3. Nhãn phụ hiển thị "Tôi giao hàng".
4. Nhãn phụ hiển thị "Tôi nhận hàng".</t>
        </is>
      </c>
      <c r="J87" s="160" t="inlineStr">
        <is>
          <t>AI</t>
        </is>
      </c>
      <c r="K87" s="160" t="inlineStr">
        <is>
          <t>Pending</t>
        </is>
      </c>
      <c r="L87" s="160" t="inlineStr">
        <is>
          <t>No</t>
        </is>
      </c>
      <c r="M87" s="160" t="inlineStr"/>
      <c r="N87" s="264" t="inlineStr"/>
      <c r="O87" s="264" t="inlineStr"/>
      <c r="P87" s="264" t="inlineStr"/>
      <c r="Q87" s="264" t="inlineStr"/>
      <c r="R87" s="264" t="inlineStr"/>
      <c r="S87" s="264" t="inlineStr"/>
      <c r="T87" s="264" t="n"/>
      <c r="U87" s="264" t="n"/>
      <c r="V87" s="264" t="n"/>
      <c r="W87" s="264" t="n"/>
      <c r="X87" s="264" t="n"/>
      <c r="Y87" s="264" t="n"/>
      <c r="Z87" s="264" t="n"/>
      <c r="AA87" s="264" t="n"/>
      <c r="AB87" s="264" t="n"/>
      <c r="AC87" s="264" t="n"/>
      <c r="AD87" s="264" t="n"/>
      <c r="AE87" s="264" t="n"/>
      <c r="AF87" s="264" t="n"/>
      <c r="AG87" s="264" t="n"/>
      <c r="AH87" s="264" t="n"/>
      <c r="AI87" s="264" t="n"/>
      <c r="AJ87" s="264" t="n"/>
      <c r="AK87" s="264" t="n"/>
      <c r="AL87" s="264" t="n"/>
      <c r="AM87" s="264" t="n"/>
      <c r="AN87" s="264" t="n"/>
      <c r="AO87" s="264" t="n"/>
      <c r="AP87" s="264" t="n"/>
      <c r="AQ87" s="264" t="n"/>
      <c r="AR87" s="158">
        <f>IF($A87="","",IF(OR($N87="Yes",$T87="Yes",$Z87="Yes",$AF87="Yes",$AL87="Yes"),"Yes","No"))</f>
        <v/>
      </c>
      <c r="AS87" s="158">
        <f>IF($A87="","",IFERROR(IF($AM87&lt;&gt;"",$AM87,IF($AG87&lt;&gt;"",$AG87,IF($AA87&lt;&gt;"",$AA87,IF($U87&lt;&gt;"",$U87,IF($O87&lt;&gt;"",$O87,""))))),""))</f>
        <v/>
      </c>
      <c r="AT87" s="158">
        <f>IFERROR(IF($AN87&lt;&gt;"",$AN87,IF($AH87&lt;&gt;"",$AH87,IF($AB87&lt;&gt;"",$AB87,IF($V87&lt;&gt;"",$V87,IF($P87&lt;&gt;"",$P87,""))))),"")</f>
        <v/>
      </c>
      <c r="AU87" s="265" t="inlineStr">
        <is>
          <t>Căn cứ: tiêu đề section `DOC-v1.0-02` §3.6/§4.3/§5.2.</t>
        </is>
      </c>
      <c r="AV87" s="1" t="n"/>
    </row>
    <row r="88" ht="15.75" customHeight="1" s="216">
      <c r="A88" s="1" t="n"/>
      <c r="B88" s="1" t="n"/>
      <c r="C88" s="1" t="n"/>
      <c r="D88" s="1" t="n"/>
      <c r="E88" s="181" t="n"/>
      <c r="F88" s="181" t="n"/>
      <c r="G88" s="1" t="n"/>
      <c r="H88" s="1" t="n"/>
      <c r="I88" s="1" t="n"/>
      <c r="J88" s="1" t="n"/>
      <c r="K88" s="181" t="n"/>
      <c r="L88" s="181" t="n"/>
      <c r="M88" s="181" t="n"/>
      <c r="N88" s="1" t="n"/>
      <c r="O88" s="181" t="n"/>
      <c r="P88" s="181" t="n"/>
      <c r="Q88" s="18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row>
    <row r="89" ht="15.75" customHeight="1" s="216">
      <c r="A89" s="1" t="n"/>
      <c r="B89" s="1" t="n"/>
      <c r="C89" s="1" t="n"/>
      <c r="D89" s="1" t="n"/>
      <c r="E89" s="181" t="n"/>
      <c r="F89" s="181" t="n"/>
      <c r="G89" s="1" t="n"/>
      <c r="H89" s="1" t="n"/>
      <c r="I89" s="1" t="n"/>
      <c r="J89" s="1" t="n"/>
      <c r="K89" s="181" t="n"/>
      <c r="L89" s="181" t="n"/>
      <c r="M89" s="181" t="n"/>
      <c r="N89" s="1" t="n"/>
      <c r="O89" s="181" t="n"/>
      <c r="P89" s="181" t="n"/>
      <c r="Q89" s="18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row>
    <row r="90" ht="15.75" customHeight="1" s="216">
      <c r="A90" s="1" t="n"/>
      <c r="B90" s="1" t="n"/>
      <c r="C90" s="1" t="n"/>
      <c r="D90" s="1" t="n"/>
      <c r="E90" s="181" t="n"/>
      <c r="F90" s="181" t="n"/>
      <c r="G90" s="1" t="n"/>
      <c r="H90" s="1" t="n"/>
      <c r="I90" s="1" t="n"/>
      <c r="J90" s="1" t="n"/>
      <c r="K90" s="181" t="n"/>
      <c r="L90" s="181" t="n"/>
      <c r="M90" s="181" t="n"/>
      <c r="N90" s="1" t="n"/>
      <c r="O90" s="181" t="n"/>
      <c r="P90" s="181" t="n"/>
      <c r="Q90" s="18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row>
    <row r="91" ht="15.75" customHeight="1" s="216">
      <c r="A91" s="1" t="n"/>
      <c r="B91" s="1" t="n"/>
      <c r="C91" s="1" t="n"/>
      <c r="D91" s="1" t="n"/>
      <c r="E91" s="181" t="n"/>
      <c r="F91" s="181" t="n"/>
      <c r="G91" s="1" t="n"/>
      <c r="H91" s="1" t="n"/>
      <c r="I91" s="1" t="n"/>
      <c r="J91" s="1" t="n"/>
      <c r="K91" s="181" t="n"/>
      <c r="L91" s="181" t="n"/>
      <c r="M91" s="181" t="n"/>
      <c r="N91" s="1" t="n"/>
      <c r="O91" s="181" t="n"/>
      <c r="P91" s="181" t="n"/>
      <c r="Q91" s="18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row>
    <row r="92" ht="15.75" customHeight="1" s="216">
      <c r="A92" s="1" t="n"/>
      <c r="B92" s="1" t="n"/>
      <c r="C92" s="1" t="n"/>
      <c r="D92" s="1" t="n"/>
      <c r="E92" s="181" t="n"/>
      <c r="F92" s="181" t="n"/>
      <c r="G92" s="1" t="n"/>
      <c r="H92" s="1" t="n"/>
      <c r="I92" s="1" t="n"/>
      <c r="J92" s="1" t="n"/>
      <c r="K92" s="181" t="n"/>
      <c r="L92" s="181" t="n"/>
      <c r="M92" s="181" t="n"/>
      <c r="N92" s="1" t="n"/>
      <c r="O92" s="181" t="n"/>
      <c r="P92" s="181" t="n"/>
      <c r="Q92" s="18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row>
    <row r="93" ht="15.75" customHeight="1" s="216">
      <c r="A93" s="1" t="n"/>
      <c r="B93" s="1" t="n"/>
      <c r="C93" s="1" t="n"/>
      <c r="D93" s="1" t="n"/>
      <c r="E93" s="181" t="n"/>
      <c r="F93" s="181" t="n"/>
      <c r="G93" s="1" t="n"/>
      <c r="H93" s="1" t="n"/>
      <c r="I93" s="1" t="n"/>
      <c r="J93" s="1" t="n"/>
      <c r="K93" s="181" t="n"/>
      <c r="L93" s="181" t="n"/>
      <c r="M93" s="181" t="n"/>
      <c r="N93" s="1" t="n"/>
      <c r="O93" s="181" t="n"/>
      <c r="P93" s="181" t="n"/>
      <c r="Q93" s="18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row>
    <row r="94" ht="15.75" customHeight="1" s="216">
      <c r="A94" s="1" t="n"/>
      <c r="B94" s="1" t="n"/>
      <c r="C94" s="1" t="n"/>
      <c r="D94" s="1" t="n"/>
      <c r="E94" s="181" t="n"/>
      <c r="F94" s="181" t="n"/>
      <c r="G94" s="1" t="n"/>
      <c r="H94" s="1" t="n"/>
      <c r="I94" s="1" t="n"/>
      <c r="J94" s="1" t="n"/>
      <c r="K94" s="181" t="n"/>
      <c r="L94" s="181" t="n"/>
      <c r="M94" s="181" t="n"/>
      <c r="N94" s="1" t="n"/>
      <c r="O94" s="181" t="n"/>
      <c r="P94" s="181" t="n"/>
      <c r="Q94" s="18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row>
    <row r="95" ht="15.75" customHeight="1" s="216">
      <c r="A95" s="1" t="n"/>
      <c r="B95" s="1" t="n"/>
      <c r="C95" s="1" t="n"/>
      <c r="D95" s="1" t="n"/>
      <c r="E95" s="181" t="n"/>
      <c r="F95" s="181" t="n"/>
      <c r="G95" s="1" t="n"/>
      <c r="H95" s="1" t="n"/>
      <c r="I95" s="1" t="n"/>
      <c r="J95" s="1" t="n"/>
      <c r="K95" s="181" t="n"/>
      <c r="L95" s="181" t="n"/>
      <c r="M95" s="181" t="n"/>
      <c r="N95" s="1" t="n"/>
      <c r="O95" s="181" t="n"/>
      <c r="P95" s="181" t="n"/>
      <c r="Q95" s="18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row>
    <row r="96" ht="15.75" customHeight="1" s="216">
      <c r="A96" s="1" t="n"/>
      <c r="B96" s="1" t="n"/>
      <c r="C96" s="1" t="n"/>
      <c r="D96" s="1" t="n"/>
      <c r="E96" s="181" t="n"/>
      <c r="F96" s="181" t="n"/>
      <c r="G96" s="1" t="n"/>
      <c r="H96" s="1" t="n"/>
      <c r="I96" s="1" t="n"/>
      <c r="J96" s="1" t="n"/>
      <c r="K96" s="181" t="n"/>
      <c r="L96" s="181" t="n"/>
      <c r="M96" s="181" t="n"/>
      <c r="N96" s="1" t="n"/>
      <c r="O96" s="181" t="n"/>
      <c r="P96" s="181" t="n"/>
      <c r="Q96" s="18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row>
    <row r="97" ht="15.75" customHeight="1" s="216">
      <c r="A97" s="1" t="n"/>
      <c r="B97" s="1" t="n"/>
      <c r="C97" s="1" t="n"/>
      <c r="D97" s="1" t="n"/>
      <c r="E97" s="181" t="n"/>
      <c r="F97" s="181" t="n"/>
      <c r="G97" s="1" t="n"/>
      <c r="H97" s="1" t="n"/>
      <c r="I97" s="1" t="n"/>
      <c r="J97" s="1" t="n"/>
      <c r="K97" s="181" t="n"/>
      <c r="L97" s="181" t="n"/>
      <c r="M97" s="181" t="n"/>
      <c r="N97" s="1" t="n"/>
      <c r="O97" s="181" t="n"/>
      <c r="P97" s="181" t="n"/>
      <c r="Q97" s="18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row>
    <row r="98" ht="15.75" customHeight="1" s="216">
      <c r="A98" s="1" t="n"/>
      <c r="B98" s="1" t="n"/>
      <c r="C98" s="1" t="n"/>
      <c r="D98" s="1" t="n"/>
      <c r="E98" s="181" t="n"/>
      <c r="F98" s="181" t="n"/>
      <c r="G98" s="1" t="n"/>
      <c r="H98" s="1" t="n"/>
      <c r="I98" s="1" t="n"/>
      <c r="J98" s="1" t="n"/>
      <c r="K98" s="181" t="n"/>
      <c r="L98" s="181" t="n"/>
      <c r="M98" s="181" t="n"/>
      <c r="N98" s="1" t="n"/>
      <c r="O98" s="181" t="n"/>
      <c r="P98" s="181" t="n"/>
      <c r="Q98" s="18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row>
    <row r="99" ht="15.75" customHeight="1" s="216">
      <c r="A99" s="1" t="n"/>
      <c r="B99" s="1" t="n"/>
      <c r="C99" s="1" t="n"/>
      <c r="D99" s="1" t="n"/>
      <c r="E99" s="181" t="n"/>
      <c r="F99" s="181" t="n"/>
      <c r="G99" s="1" t="n"/>
      <c r="H99" s="1" t="n"/>
      <c r="I99" s="1" t="n"/>
      <c r="J99" s="1" t="n"/>
      <c r="K99" s="181" t="n"/>
      <c r="L99" s="181" t="n"/>
      <c r="M99" s="181" t="n"/>
      <c r="N99" s="1" t="n"/>
      <c r="O99" s="181" t="n"/>
      <c r="P99" s="181" t="n"/>
      <c r="Q99" s="18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row>
    <row r="100" ht="15.75" customHeight="1" s="216">
      <c r="A100" s="1" t="n"/>
      <c r="B100" s="1" t="n"/>
      <c r="C100" s="1" t="n"/>
      <c r="D100" s="1" t="n"/>
      <c r="E100" s="181" t="n"/>
      <c r="F100" s="181" t="n"/>
      <c r="G100" s="1" t="n"/>
      <c r="H100" s="1" t="n"/>
      <c r="I100" s="1" t="n"/>
      <c r="J100" s="1" t="n"/>
      <c r="K100" s="181" t="n"/>
      <c r="L100" s="181" t="n"/>
      <c r="M100" s="181" t="n"/>
      <c r="N100" s="1" t="n"/>
      <c r="O100" s="181" t="n"/>
      <c r="P100" s="181" t="n"/>
      <c r="Q100" s="18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row>
    <row r="101" ht="15.75" customHeight="1" s="216">
      <c r="A101" s="1" t="n"/>
      <c r="B101" s="1" t="n"/>
      <c r="C101" s="1" t="n"/>
      <c r="D101" s="1" t="n"/>
      <c r="E101" s="181" t="n"/>
      <c r="F101" s="181" t="n"/>
      <c r="G101" s="1" t="n"/>
      <c r="H101" s="1" t="n"/>
      <c r="I101" s="1" t="n"/>
      <c r="J101" s="1" t="n"/>
      <c r="K101" s="181" t="n"/>
      <c r="L101" s="181" t="n"/>
      <c r="M101" s="181" t="n"/>
      <c r="N101" s="1" t="n"/>
      <c r="O101" s="181" t="n"/>
      <c r="P101" s="181" t="n"/>
      <c r="Q101" s="18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row>
    <row r="102" ht="15.75" customHeight="1" s="216">
      <c r="A102" s="1" t="n"/>
      <c r="B102" s="1" t="n"/>
      <c r="C102" s="1" t="n"/>
      <c r="D102" s="1" t="n"/>
      <c r="E102" s="181" t="n"/>
      <c r="F102" s="181" t="n"/>
      <c r="G102" s="1" t="n"/>
      <c r="H102" s="1" t="n"/>
      <c r="I102" s="1" t="n"/>
      <c r="J102" s="1" t="n"/>
      <c r="K102" s="181" t="n"/>
      <c r="L102" s="181" t="n"/>
      <c r="M102" s="181" t="n"/>
      <c r="N102" s="1" t="n"/>
      <c r="O102" s="181" t="n"/>
      <c r="P102" s="181" t="n"/>
      <c r="Q102" s="18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row>
    <row r="103" ht="15.75" customHeight="1" s="216">
      <c r="A103" s="1" t="n"/>
      <c r="B103" s="1" t="n"/>
      <c r="C103" s="1" t="n"/>
      <c r="D103" s="1" t="n"/>
      <c r="E103" s="181" t="n"/>
      <c r="F103" s="181" t="n"/>
      <c r="G103" s="1" t="n"/>
      <c r="H103" s="1" t="n"/>
      <c r="I103" s="1" t="n"/>
      <c r="J103" s="1" t="n"/>
      <c r="K103" s="181" t="n"/>
      <c r="L103" s="181" t="n"/>
      <c r="M103" s="181" t="n"/>
      <c r="N103" s="1" t="n"/>
      <c r="O103" s="181" t="n"/>
      <c r="P103" s="181" t="n"/>
      <c r="Q103" s="18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row>
    <row r="104" ht="15.75" customHeight="1" s="216">
      <c r="A104" s="1" t="n"/>
      <c r="B104" s="1" t="n"/>
      <c r="C104" s="1" t="n"/>
      <c r="D104" s="1" t="n"/>
      <c r="E104" s="181" t="n"/>
      <c r="F104" s="181" t="n"/>
      <c r="G104" s="1" t="n"/>
      <c r="H104" s="1" t="n"/>
      <c r="I104" s="1" t="n"/>
      <c r="J104" s="1" t="n"/>
      <c r="K104" s="181" t="n"/>
      <c r="L104" s="181" t="n"/>
      <c r="M104" s="181" t="n"/>
      <c r="N104" s="1" t="n"/>
      <c r="O104" s="181" t="n"/>
      <c r="P104" s="181" t="n"/>
      <c r="Q104" s="18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row>
    <row r="105" ht="15.75" customHeight="1" s="216">
      <c r="A105" s="1" t="n"/>
      <c r="B105" s="1" t="n"/>
      <c r="C105" s="1" t="n"/>
      <c r="D105" s="1" t="n"/>
      <c r="E105" s="181" t="n"/>
      <c r="F105" s="181" t="n"/>
      <c r="G105" s="1" t="n"/>
      <c r="H105" s="1" t="n"/>
      <c r="I105" s="1" t="n"/>
      <c r="J105" s="1" t="n"/>
      <c r="K105" s="181" t="n"/>
      <c r="L105" s="181" t="n"/>
      <c r="M105" s="181" t="n"/>
      <c r="N105" s="1" t="n"/>
      <c r="O105" s="181" t="n"/>
      <c r="P105" s="181" t="n"/>
      <c r="Q105" s="18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row>
    <row r="106" ht="15.75" customHeight="1" s="216">
      <c r="A106" s="1" t="n"/>
      <c r="B106" s="1" t="n"/>
      <c r="C106" s="1" t="n"/>
      <c r="D106" s="1" t="n"/>
      <c r="E106" s="181" t="n"/>
      <c r="F106" s="181" t="n"/>
      <c r="G106" s="1" t="n"/>
      <c r="H106" s="1" t="n"/>
      <c r="I106" s="1" t="n"/>
      <c r="J106" s="1" t="n"/>
      <c r="K106" s="181" t="n"/>
      <c r="L106" s="181" t="n"/>
      <c r="M106" s="181" t="n"/>
      <c r="N106" s="1" t="n"/>
      <c r="O106" s="181" t="n"/>
      <c r="P106" s="181" t="n"/>
      <c r="Q106" s="18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row>
    <row r="107" ht="15.75" customHeight="1" s="216">
      <c r="A107" s="1" t="n"/>
      <c r="B107" s="1" t="n"/>
      <c r="C107" s="1" t="n"/>
      <c r="D107" s="1" t="n"/>
      <c r="E107" s="181" t="n"/>
      <c r="F107" s="181" t="n"/>
      <c r="G107" s="1" t="n"/>
      <c r="H107" s="1" t="n"/>
      <c r="I107" s="1" t="n"/>
      <c r="J107" s="1" t="n"/>
      <c r="K107" s="181" t="n"/>
      <c r="L107" s="181" t="n"/>
      <c r="M107" s="181" t="n"/>
      <c r="N107" s="1" t="n"/>
      <c r="O107" s="181" t="n"/>
      <c r="P107" s="181" t="n"/>
      <c r="Q107" s="18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row>
    <row r="108" ht="15.75" customHeight="1" s="216">
      <c r="A108" s="1" t="n"/>
      <c r="B108" s="1" t="n"/>
      <c r="C108" s="1" t="n"/>
      <c r="D108" s="1" t="n"/>
      <c r="E108" s="181" t="n"/>
      <c r="F108" s="181" t="n"/>
      <c r="G108" s="1" t="n"/>
      <c r="H108" s="1" t="n"/>
      <c r="I108" s="1" t="n"/>
      <c r="J108" s="1" t="n"/>
      <c r="K108" s="181" t="n"/>
      <c r="L108" s="181" t="n"/>
      <c r="M108" s="181" t="n"/>
      <c r="N108" s="1" t="n"/>
      <c r="O108" s="181" t="n"/>
      <c r="P108" s="181" t="n"/>
      <c r="Q108" s="18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row>
    <row r="109" ht="15.75" customHeight="1" s="216">
      <c r="A109" s="1" t="n"/>
      <c r="B109" s="1" t="n"/>
      <c r="C109" s="1" t="n"/>
      <c r="D109" s="1" t="n"/>
      <c r="E109" s="181" t="n"/>
      <c r="F109" s="181" t="n"/>
      <c r="G109" s="1" t="n"/>
      <c r="H109" s="1" t="n"/>
      <c r="I109" s="1" t="n"/>
      <c r="J109" s="1" t="n"/>
      <c r="K109" s="181" t="n"/>
      <c r="L109" s="181" t="n"/>
      <c r="M109" s="181" t="n"/>
      <c r="N109" s="1" t="n"/>
      <c r="O109" s="181" t="n"/>
      <c r="P109" s="181" t="n"/>
      <c r="Q109" s="18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row>
    <row r="110" ht="15.75" customHeight="1" s="216">
      <c r="A110" s="1" t="n"/>
      <c r="B110" s="1" t="n"/>
      <c r="C110" s="1" t="n"/>
      <c r="D110" s="1" t="n"/>
      <c r="E110" s="181" t="n"/>
      <c r="F110" s="181" t="n"/>
      <c r="G110" s="1" t="n"/>
      <c r="H110" s="1" t="n"/>
      <c r="I110" s="1" t="n"/>
      <c r="J110" s="1" t="n"/>
      <c r="K110" s="181" t="n"/>
      <c r="L110" s="181" t="n"/>
      <c r="M110" s="181" t="n"/>
      <c r="N110" s="1" t="n"/>
      <c r="O110" s="181" t="n"/>
      <c r="P110" s="181" t="n"/>
      <c r="Q110" s="18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row>
    <row r="111" ht="15.75" customHeight="1" s="216">
      <c r="A111" s="1" t="n"/>
      <c r="B111" s="1" t="n"/>
      <c r="C111" s="1" t="n"/>
      <c r="D111" s="1" t="n"/>
      <c r="E111" s="181" t="n"/>
      <c r="F111" s="181" t="n"/>
      <c r="G111" s="1" t="n"/>
      <c r="H111" s="1" t="n"/>
      <c r="I111" s="1" t="n"/>
      <c r="J111" s="1" t="n"/>
      <c r="K111" s="181" t="n"/>
      <c r="L111" s="181" t="n"/>
      <c r="M111" s="181" t="n"/>
      <c r="N111" s="1" t="n"/>
      <c r="O111" s="181" t="n"/>
      <c r="P111" s="181" t="n"/>
      <c r="Q111" s="18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row>
    <row r="112" ht="15.75" customHeight="1" s="216">
      <c r="A112" s="1" t="n"/>
      <c r="B112" s="1" t="n"/>
      <c r="C112" s="1" t="n"/>
      <c r="D112" s="1" t="n"/>
      <c r="E112" s="181" t="n"/>
      <c r="F112" s="181" t="n"/>
      <c r="G112" s="1" t="n"/>
      <c r="H112" s="1" t="n"/>
      <c r="I112" s="1" t="n"/>
      <c r="J112" s="1" t="n"/>
      <c r="K112" s="181" t="n"/>
      <c r="L112" s="181" t="n"/>
      <c r="M112" s="181" t="n"/>
      <c r="N112" s="1" t="n"/>
      <c r="O112" s="181" t="n"/>
      <c r="P112" s="181" t="n"/>
      <c r="Q112" s="18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row>
    <row r="113" ht="15.75" customHeight="1" s="216">
      <c r="A113" s="1" t="n"/>
      <c r="B113" s="1" t="n"/>
      <c r="C113" s="1" t="n"/>
      <c r="D113" s="1" t="n"/>
      <c r="E113" s="181" t="n"/>
      <c r="F113" s="181" t="n"/>
      <c r="G113" s="1" t="n"/>
      <c r="H113" s="1" t="n"/>
      <c r="I113" s="1" t="n"/>
      <c r="J113" s="1" t="n"/>
      <c r="K113" s="181" t="n"/>
      <c r="L113" s="181" t="n"/>
      <c r="M113" s="181" t="n"/>
      <c r="N113" s="1" t="n"/>
      <c r="O113" s="181" t="n"/>
      <c r="P113" s="181" t="n"/>
      <c r="Q113" s="18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row>
    <row r="114" ht="15.75" customHeight="1" s="216">
      <c r="A114" s="1" t="n"/>
      <c r="B114" s="1" t="n"/>
      <c r="C114" s="1" t="n"/>
      <c r="D114" s="1" t="n"/>
      <c r="E114" s="181" t="n"/>
      <c r="F114" s="181" t="n"/>
      <c r="G114" s="1" t="n"/>
      <c r="H114" s="1" t="n"/>
      <c r="I114" s="1" t="n"/>
      <c r="J114" s="1" t="n"/>
      <c r="K114" s="181" t="n"/>
      <c r="L114" s="181" t="n"/>
      <c r="M114" s="181" t="n"/>
      <c r="N114" s="1" t="n"/>
      <c r="O114" s="181" t="n"/>
      <c r="P114" s="181" t="n"/>
      <c r="Q114" s="18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row>
    <row r="115" ht="15.75" customHeight="1" s="216">
      <c r="A115" s="1" t="n"/>
      <c r="B115" s="1" t="n"/>
      <c r="C115" s="1" t="n"/>
      <c r="D115" s="1" t="n"/>
      <c r="E115" s="181" t="n"/>
      <c r="F115" s="181" t="n"/>
      <c r="G115" s="1" t="n"/>
      <c r="H115" s="1" t="n"/>
      <c r="I115" s="1" t="n"/>
      <c r="J115" s="1" t="n"/>
      <c r="K115" s="181" t="n"/>
      <c r="L115" s="181" t="n"/>
      <c r="M115" s="181" t="n"/>
      <c r="N115" s="1" t="n"/>
      <c r="O115" s="181" t="n"/>
      <c r="P115" s="181" t="n"/>
      <c r="Q115" s="18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row>
    <row r="116" ht="15.75" customHeight="1" s="216">
      <c r="A116" s="1" t="n"/>
      <c r="B116" s="1" t="n"/>
      <c r="C116" s="1" t="n"/>
      <c r="D116" s="1" t="n"/>
      <c r="E116" s="181" t="n"/>
      <c r="F116" s="181" t="n"/>
      <c r="G116" s="1" t="n"/>
      <c r="H116" s="1" t="n"/>
      <c r="I116" s="1" t="n"/>
      <c r="J116" s="1" t="n"/>
      <c r="K116" s="181" t="n"/>
      <c r="L116" s="181" t="n"/>
      <c r="M116" s="181" t="n"/>
      <c r="N116" s="1" t="n"/>
      <c r="O116" s="181" t="n"/>
      <c r="P116" s="181" t="n"/>
      <c r="Q116" s="18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row>
    <row r="117" ht="15.75" customHeight="1" s="216">
      <c r="A117" s="1" t="n"/>
      <c r="B117" s="1" t="n"/>
      <c r="C117" s="1" t="n"/>
      <c r="D117" s="1" t="n"/>
      <c r="E117" s="181" t="n"/>
      <c r="F117" s="181" t="n"/>
      <c r="G117" s="1" t="n"/>
      <c r="H117" s="1" t="n"/>
      <c r="I117" s="1" t="n"/>
      <c r="J117" s="1" t="n"/>
      <c r="K117" s="181" t="n"/>
      <c r="L117" s="181" t="n"/>
      <c r="M117" s="181" t="n"/>
      <c r="N117" s="1" t="n"/>
      <c r="O117" s="181" t="n"/>
      <c r="P117" s="181" t="n"/>
      <c r="Q117" s="18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row>
    <row r="118" ht="15.75" customHeight="1" s="216">
      <c r="A118" s="1" t="n"/>
      <c r="B118" s="1" t="n"/>
      <c r="C118" s="1" t="n"/>
      <c r="D118" s="1" t="n"/>
      <c r="E118" s="181" t="n"/>
      <c r="F118" s="181" t="n"/>
      <c r="G118" s="1" t="n"/>
      <c r="H118" s="1" t="n"/>
      <c r="I118" s="1" t="n"/>
      <c r="J118" s="1" t="n"/>
      <c r="K118" s="181" t="n"/>
      <c r="L118" s="181" t="n"/>
      <c r="M118" s="181" t="n"/>
      <c r="N118" s="1" t="n"/>
      <c r="O118" s="181" t="n"/>
      <c r="P118" s="181" t="n"/>
      <c r="Q118" s="18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row>
    <row r="119" ht="15.75" customHeight="1" s="216">
      <c r="A119" s="1" t="n"/>
      <c r="B119" s="1" t="n"/>
      <c r="C119" s="1" t="n"/>
      <c r="D119" s="1" t="n"/>
      <c r="E119" s="181" t="n"/>
      <c r="F119" s="181" t="n"/>
      <c r="G119" s="1" t="n"/>
      <c r="H119" s="1" t="n"/>
      <c r="I119" s="1" t="n"/>
      <c r="J119" s="1" t="n"/>
      <c r="K119" s="181" t="n"/>
      <c r="L119" s="181" t="n"/>
      <c r="M119" s="181" t="n"/>
      <c r="N119" s="1" t="n"/>
      <c r="O119" s="181" t="n"/>
      <c r="P119" s="181" t="n"/>
      <c r="Q119" s="18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row>
    <row r="120" ht="15.75" customHeight="1" s="216">
      <c r="A120" s="1" t="n"/>
      <c r="B120" s="1" t="n"/>
      <c r="C120" s="1" t="n"/>
      <c r="D120" s="1" t="n"/>
      <c r="E120" s="181" t="n"/>
      <c r="F120" s="181" t="n"/>
      <c r="G120" s="1" t="n"/>
      <c r="H120" s="1" t="n"/>
      <c r="I120" s="1" t="n"/>
      <c r="J120" s="1" t="n"/>
      <c r="K120" s="181" t="n"/>
      <c r="L120" s="181" t="n"/>
      <c r="M120" s="181" t="n"/>
      <c r="N120" s="1" t="n"/>
      <c r="O120" s="181" t="n"/>
      <c r="P120" s="181" t="n"/>
      <c r="Q120" s="18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row>
    <row r="121" ht="15.75" customHeight="1" s="216">
      <c r="A121" s="1" t="n"/>
      <c r="B121" s="1" t="n"/>
      <c r="C121" s="1" t="n"/>
      <c r="D121" s="1" t="n"/>
      <c r="E121" s="181" t="n"/>
      <c r="F121" s="181" t="n"/>
      <c r="G121" s="1" t="n"/>
      <c r="H121" s="1" t="n"/>
      <c r="I121" s="1" t="n"/>
      <c r="J121" s="1" t="n"/>
      <c r="K121" s="181" t="n"/>
      <c r="L121" s="181" t="n"/>
      <c r="M121" s="181" t="n"/>
      <c r="N121" s="1" t="n"/>
      <c r="O121" s="181" t="n"/>
      <c r="P121" s="181" t="n"/>
      <c r="Q121" s="18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row>
    <row r="122" ht="15.75" customHeight="1" s="216">
      <c r="A122" s="1" t="n"/>
      <c r="B122" s="1" t="n"/>
      <c r="C122" s="1" t="n"/>
      <c r="D122" s="1" t="n"/>
      <c r="E122" s="181" t="n"/>
      <c r="F122" s="181" t="n"/>
      <c r="G122" s="1" t="n"/>
      <c r="H122" s="1" t="n"/>
      <c r="I122" s="1" t="n"/>
      <c r="J122" s="1" t="n"/>
      <c r="K122" s="181" t="n"/>
      <c r="L122" s="181" t="n"/>
      <c r="M122" s="181" t="n"/>
      <c r="N122" s="1" t="n"/>
      <c r="O122" s="181" t="n"/>
      <c r="P122" s="181" t="n"/>
      <c r="Q122" s="18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row>
    <row r="123" ht="15.75" customHeight="1" s="216">
      <c r="A123" s="1" t="n"/>
      <c r="B123" s="1" t="n"/>
      <c r="C123" s="1" t="n"/>
      <c r="D123" s="1" t="n"/>
      <c r="E123" s="181" t="n"/>
      <c r="F123" s="181" t="n"/>
      <c r="G123" s="1" t="n"/>
      <c r="H123" s="1" t="n"/>
      <c r="I123" s="1" t="n"/>
      <c r="J123" s="1" t="n"/>
      <c r="K123" s="181" t="n"/>
      <c r="L123" s="181" t="n"/>
      <c r="M123" s="181" t="n"/>
      <c r="N123" s="1" t="n"/>
      <c r="O123" s="181" t="n"/>
      <c r="P123" s="181" t="n"/>
      <c r="Q123" s="18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row>
    <row r="124" ht="15.75" customHeight="1" s="216">
      <c r="A124" s="1" t="n"/>
      <c r="B124" s="1" t="n"/>
      <c r="C124" s="1" t="n"/>
      <c r="D124" s="1" t="n"/>
      <c r="E124" s="181" t="n"/>
      <c r="F124" s="181" t="n"/>
      <c r="G124" s="1" t="n"/>
      <c r="H124" s="1" t="n"/>
      <c r="I124" s="1" t="n"/>
      <c r="J124" s="1" t="n"/>
      <c r="K124" s="181" t="n"/>
      <c r="L124" s="181" t="n"/>
      <c r="M124" s="181" t="n"/>
      <c r="N124" s="1" t="n"/>
      <c r="O124" s="181" t="n"/>
      <c r="P124" s="181" t="n"/>
      <c r="Q124" s="18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row>
    <row r="125" ht="15.75" customHeight="1" s="216">
      <c r="A125" s="1" t="n"/>
      <c r="B125" s="1" t="n"/>
      <c r="C125" s="1" t="n"/>
      <c r="D125" s="1" t="n"/>
      <c r="E125" s="181" t="n"/>
      <c r="F125" s="181" t="n"/>
      <c r="G125" s="1" t="n"/>
      <c r="H125" s="1" t="n"/>
      <c r="I125" s="1" t="n"/>
      <c r="J125" s="1" t="n"/>
      <c r="K125" s="181" t="n"/>
      <c r="L125" s="181" t="n"/>
      <c r="M125" s="181" t="n"/>
      <c r="N125" s="1" t="n"/>
      <c r="O125" s="181" t="n"/>
      <c r="P125" s="181" t="n"/>
      <c r="Q125" s="18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row>
    <row r="126" ht="15.75" customHeight="1" s="216">
      <c r="A126" s="1" t="n"/>
      <c r="B126" s="1" t="n"/>
      <c r="C126" s="1" t="n"/>
      <c r="D126" s="1" t="n"/>
      <c r="E126" s="181" t="n"/>
      <c r="F126" s="181" t="n"/>
      <c r="G126" s="1" t="n"/>
      <c r="H126" s="1" t="n"/>
      <c r="I126" s="1" t="n"/>
      <c r="J126" s="1" t="n"/>
      <c r="K126" s="181" t="n"/>
      <c r="L126" s="181" t="n"/>
      <c r="M126" s="181" t="n"/>
      <c r="N126" s="1" t="n"/>
      <c r="O126" s="181" t="n"/>
      <c r="P126" s="181" t="n"/>
      <c r="Q126" s="18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row>
    <row r="127" ht="15.75" customHeight="1" s="216">
      <c r="A127" s="1" t="n"/>
      <c r="B127" s="1" t="n"/>
      <c r="C127" s="1" t="n"/>
      <c r="D127" s="1" t="n"/>
      <c r="E127" s="181" t="n"/>
      <c r="F127" s="181" t="n"/>
      <c r="G127" s="1" t="n"/>
      <c r="H127" s="1" t="n"/>
      <c r="I127" s="1" t="n"/>
      <c r="J127" s="1" t="n"/>
      <c r="K127" s="181" t="n"/>
      <c r="L127" s="181" t="n"/>
      <c r="M127" s="181" t="n"/>
      <c r="N127" s="1" t="n"/>
      <c r="O127" s="181" t="n"/>
      <c r="P127" s="181" t="n"/>
      <c r="Q127" s="18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row>
    <row r="128" ht="15.75" customHeight="1" s="216">
      <c r="A128" s="1" t="n"/>
      <c r="B128" s="1" t="n"/>
      <c r="C128" s="1" t="n"/>
      <c r="D128" s="1" t="n"/>
      <c r="E128" s="181" t="n"/>
      <c r="F128" s="181" t="n"/>
      <c r="G128" s="1" t="n"/>
      <c r="H128" s="1" t="n"/>
      <c r="I128" s="1" t="n"/>
      <c r="J128" s="1" t="n"/>
      <c r="K128" s="181" t="n"/>
      <c r="L128" s="181" t="n"/>
      <c r="M128" s="181" t="n"/>
      <c r="N128" s="1" t="n"/>
      <c r="O128" s="181" t="n"/>
      <c r="P128" s="181" t="n"/>
      <c r="Q128" s="18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row>
    <row r="129" ht="15.75" customHeight="1" s="216">
      <c r="A129" s="1" t="n"/>
      <c r="B129" s="1" t="n"/>
      <c r="C129" s="1" t="n"/>
      <c r="D129" s="1" t="n"/>
      <c r="E129" s="181" t="n"/>
      <c r="F129" s="181" t="n"/>
      <c r="G129" s="1" t="n"/>
      <c r="H129" s="1" t="n"/>
      <c r="I129" s="1" t="n"/>
      <c r="J129" s="1" t="n"/>
      <c r="K129" s="181" t="n"/>
      <c r="L129" s="181" t="n"/>
      <c r="M129" s="181" t="n"/>
      <c r="N129" s="1" t="n"/>
      <c r="O129" s="181" t="n"/>
      <c r="P129" s="181" t="n"/>
      <c r="Q129" s="18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row>
    <row r="130" ht="15.75" customHeight="1" s="216">
      <c r="A130" s="1" t="n"/>
      <c r="B130" s="1" t="n"/>
      <c r="C130" s="1" t="n"/>
      <c r="D130" s="1" t="n"/>
      <c r="E130" s="181" t="n"/>
      <c r="F130" s="181" t="n"/>
      <c r="G130" s="1" t="n"/>
      <c r="H130" s="1" t="n"/>
      <c r="I130" s="1" t="n"/>
      <c r="J130" s="1" t="n"/>
      <c r="K130" s="181" t="n"/>
      <c r="L130" s="181" t="n"/>
      <c r="M130" s="181" t="n"/>
      <c r="N130" s="1" t="n"/>
      <c r="O130" s="181" t="n"/>
      <c r="P130" s="181" t="n"/>
      <c r="Q130" s="18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row>
    <row r="131" ht="15.75" customHeight="1" s="216">
      <c r="A131" s="1" t="n"/>
      <c r="B131" s="1" t="n"/>
      <c r="C131" s="1" t="n"/>
      <c r="D131" s="1" t="n"/>
      <c r="E131" s="181" t="n"/>
      <c r="F131" s="181" t="n"/>
      <c r="G131" s="1" t="n"/>
      <c r="H131" s="1" t="n"/>
      <c r="I131" s="1" t="n"/>
      <c r="J131" s="1" t="n"/>
      <c r="K131" s="181" t="n"/>
      <c r="L131" s="181" t="n"/>
      <c r="M131" s="181" t="n"/>
      <c r="N131" s="1" t="n"/>
      <c r="O131" s="181" t="n"/>
      <c r="P131" s="181" t="n"/>
      <c r="Q131" s="18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row>
    <row r="132" ht="15.75" customHeight="1" s="216">
      <c r="A132" s="1" t="n"/>
      <c r="B132" s="1" t="n"/>
      <c r="C132" s="1" t="n"/>
      <c r="D132" s="1" t="n"/>
      <c r="E132" s="181" t="n"/>
      <c r="F132" s="181" t="n"/>
      <c r="G132" s="1" t="n"/>
      <c r="H132" s="1" t="n"/>
      <c r="I132" s="1" t="n"/>
      <c r="J132" s="1" t="n"/>
      <c r="K132" s="181" t="n"/>
      <c r="L132" s="181" t="n"/>
      <c r="M132" s="181" t="n"/>
      <c r="N132" s="1" t="n"/>
      <c r="O132" s="181" t="n"/>
      <c r="P132" s="181" t="n"/>
      <c r="Q132" s="18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row>
    <row r="133" ht="15.75" customHeight="1" s="216">
      <c r="A133" s="1" t="n"/>
      <c r="B133" s="1" t="n"/>
      <c r="C133" s="1" t="n"/>
      <c r="D133" s="1" t="n"/>
      <c r="E133" s="181" t="n"/>
      <c r="F133" s="181" t="n"/>
      <c r="G133" s="1" t="n"/>
      <c r="H133" s="1" t="n"/>
      <c r="I133" s="1" t="n"/>
      <c r="J133" s="1" t="n"/>
      <c r="K133" s="181" t="n"/>
      <c r="L133" s="181" t="n"/>
      <c r="M133" s="181" t="n"/>
      <c r="N133" s="1" t="n"/>
      <c r="O133" s="181" t="n"/>
      <c r="P133" s="181" t="n"/>
      <c r="Q133" s="18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row>
    <row r="134" ht="15.75" customHeight="1" s="216">
      <c r="A134" s="1" t="n"/>
      <c r="B134" s="1" t="n"/>
      <c r="C134" s="1" t="n"/>
      <c r="D134" s="1" t="n"/>
      <c r="E134" s="181" t="n"/>
      <c r="F134" s="181" t="n"/>
      <c r="G134" s="1" t="n"/>
      <c r="H134" s="1" t="n"/>
      <c r="I134" s="1" t="n"/>
      <c r="J134" s="1" t="n"/>
      <c r="K134" s="181" t="n"/>
      <c r="L134" s="181" t="n"/>
      <c r="M134" s="181" t="n"/>
      <c r="N134" s="1" t="n"/>
      <c r="O134" s="181" t="n"/>
      <c r="P134" s="181" t="n"/>
      <c r="Q134" s="18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row>
    <row r="135" ht="15.75" customHeight="1" s="216">
      <c r="A135" s="1" t="n"/>
      <c r="B135" s="1" t="n"/>
      <c r="C135" s="1" t="n"/>
      <c r="D135" s="1" t="n"/>
      <c r="E135" s="181" t="n"/>
      <c r="F135" s="181" t="n"/>
      <c r="G135" s="1" t="n"/>
      <c r="H135" s="1" t="n"/>
      <c r="I135" s="1" t="n"/>
      <c r="J135" s="1" t="n"/>
      <c r="K135" s="181" t="n"/>
      <c r="L135" s="181" t="n"/>
      <c r="M135" s="181" t="n"/>
      <c r="N135" s="1" t="n"/>
      <c r="O135" s="181" t="n"/>
      <c r="P135" s="181" t="n"/>
      <c r="Q135" s="18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row>
    <row r="136" ht="15.75" customHeight="1" s="216">
      <c r="A136" s="1" t="n"/>
      <c r="B136" s="1" t="n"/>
      <c r="C136" s="1" t="n"/>
      <c r="D136" s="1" t="n"/>
      <c r="E136" s="181" t="n"/>
      <c r="F136" s="181" t="n"/>
      <c r="G136" s="1" t="n"/>
      <c r="H136" s="1" t="n"/>
      <c r="I136" s="1" t="n"/>
      <c r="J136" s="1" t="n"/>
      <c r="K136" s="181" t="n"/>
      <c r="L136" s="181" t="n"/>
      <c r="M136" s="181" t="n"/>
      <c r="N136" s="1" t="n"/>
      <c r="O136" s="181" t="n"/>
      <c r="P136" s="181" t="n"/>
      <c r="Q136" s="18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row>
    <row r="137" ht="15.75" customHeight="1" s="216">
      <c r="A137" s="1" t="n"/>
      <c r="B137" s="1" t="n"/>
      <c r="C137" s="1" t="n"/>
      <c r="D137" s="1" t="n"/>
      <c r="E137" s="181" t="n"/>
      <c r="F137" s="181" t="n"/>
      <c r="G137" s="1" t="n"/>
      <c r="H137" s="1" t="n"/>
      <c r="I137" s="1" t="n"/>
      <c r="J137" s="1" t="n"/>
      <c r="K137" s="181" t="n"/>
      <c r="L137" s="181" t="n"/>
      <c r="M137" s="181" t="n"/>
      <c r="N137" s="1" t="n"/>
      <c r="O137" s="181" t="n"/>
      <c r="P137" s="181" t="n"/>
      <c r="Q137" s="18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row>
    <row r="138" ht="15.75" customHeight="1" s="216">
      <c r="A138" s="1" t="n"/>
      <c r="B138" s="1" t="n"/>
      <c r="C138" s="1" t="n"/>
      <c r="D138" s="1" t="n"/>
      <c r="E138" s="181" t="n"/>
      <c r="F138" s="181" t="n"/>
      <c r="G138" s="1" t="n"/>
      <c r="H138" s="1" t="n"/>
      <c r="I138" s="1" t="n"/>
      <c r="J138" s="1" t="n"/>
      <c r="K138" s="181" t="n"/>
      <c r="L138" s="181" t="n"/>
      <c r="M138" s="181" t="n"/>
      <c r="N138" s="1" t="n"/>
      <c r="O138" s="181" t="n"/>
      <c r="P138" s="181" t="n"/>
      <c r="Q138" s="18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row>
    <row r="139" ht="15.75" customHeight="1" s="216">
      <c r="A139" s="1" t="n"/>
      <c r="B139" s="1" t="n"/>
      <c r="C139" s="1" t="n"/>
      <c r="D139" s="1" t="n"/>
      <c r="E139" s="181" t="n"/>
      <c r="F139" s="181" t="n"/>
      <c r="G139" s="1" t="n"/>
      <c r="H139" s="1" t="n"/>
      <c r="I139" s="1" t="n"/>
      <c r="J139" s="1" t="n"/>
      <c r="K139" s="181" t="n"/>
      <c r="L139" s="181" t="n"/>
      <c r="M139" s="181" t="n"/>
      <c r="N139" s="1" t="n"/>
      <c r="O139" s="181" t="n"/>
      <c r="P139" s="181" t="n"/>
      <c r="Q139" s="18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row>
    <row r="140" ht="15.75" customHeight="1" s="216">
      <c r="A140" s="1" t="n"/>
      <c r="B140" s="1" t="n"/>
      <c r="C140" s="1" t="n"/>
      <c r="D140" s="1" t="n"/>
      <c r="E140" s="181" t="n"/>
      <c r="F140" s="181" t="n"/>
      <c r="G140" s="1" t="n"/>
      <c r="H140" s="1" t="n"/>
      <c r="I140" s="1" t="n"/>
      <c r="J140" s="1" t="n"/>
      <c r="K140" s="181" t="n"/>
      <c r="L140" s="181" t="n"/>
      <c r="M140" s="181" t="n"/>
      <c r="N140" s="1" t="n"/>
      <c r="O140" s="181" t="n"/>
      <c r="P140" s="181" t="n"/>
      <c r="Q140" s="18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row>
    <row r="141" ht="15.75" customHeight="1" s="216">
      <c r="A141" s="1" t="n"/>
      <c r="B141" s="1" t="n"/>
      <c r="C141" s="1" t="n"/>
      <c r="D141" s="1" t="n"/>
      <c r="E141" s="181" t="n"/>
      <c r="F141" s="181" t="n"/>
      <c r="G141" s="1" t="n"/>
      <c r="H141" s="1" t="n"/>
      <c r="I141" s="1" t="n"/>
      <c r="J141" s="1" t="n"/>
      <c r="K141" s="181" t="n"/>
      <c r="L141" s="181" t="n"/>
      <c r="M141" s="181" t="n"/>
      <c r="N141" s="1" t="n"/>
      <c r="O141" s="181" t="n"/>
      <c r="P141" s="181" t="n"/>
      <c r="Q141" s="18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row>
    <row r="142" ht="15.75" customHeight="1" s="216">
      <c r="A142" s="1" t="n"/>
      <c r="B142" s="1" t="n"/>
      <c r="C142" s="1" t="n"/>
      <c r="D142" s="1" t="n"/>
      <c r="E142" s="181" t="n"/>
      <c r="F142" s="181" t="n"/>
      <c r="G142" s="1" t="n"/>
      <c r="H142" s="1" t="n"/>
      <c r="I142" s="1" t="n"/>
      <c r="J142" s="1" t="n"/>
      <c r="K142" s="181" t="n"/>
      <c r="L142" s="181" t="n"/>
      <c r="M142" s="181" t="n"/>
      <c r="N142" s="1" t="n"/>
      <c r="O142" s="181" t="n"/>
      <c r="P142" s="181" t="n"/>
      <c r="Q142" s="18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row>
    <row r="143" ht="15.75" customHeight="1" s="216">
      <c r="A143" s="1" t="n"/>
      <c r="B143" s="1" t="n"/>
      <c r="C143" s="1" t="n"/>
      <c r="D143" s="1" t="n"/>
      <c r="E143" s="181" t="n"/>
      <c r="F143" s="181" t="n"/>
      <c r="G143" s="1" t="n"/>
      <c r="H143" s="1" t="n"/>
      <c r="I143" s="1" t="n"/>
      <c r="J143" s="1" t="n"/>
      <c r="K143" s="181" t="n"/>
      <c r="L143" s="181" t="n"/>
      <c r="M143" s="181" t="n"/>
      <c r="N143" s="1" t="n"/>
      <c r="O143" s="181" t="n"/>
      <c r="P143" s="181" t="n"/>
      <c r="Q143" s="18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row>
    <row r="144" ht="15.75" customHeight="1" s="216">
      <c r="A144" s="1" t="n"/>
      <c r="B144" s="1" t="n"/>
      <c r="C144" s="1" t="n"/>
      <c r="D144" s="1" t="n"/>
      <c r="E144" s="181" t="n"/>
      <c r="F144" s="181" t="n"/>
      <c r="G144" s="1" t="n"/>
      <c r="H144" s="1" t="n"/>
      <c r="I144" s="1" t="n"/>
      <c r="J144" s="1" t="n"/>
      <c r="K144" s="181" t="n"/>
      <c r="L144" s="181" t="n"/>
      <c r="M144" s="181" t="n"/>
      <c r="N144" s="1" t="n"/>
      <c r="O144" s="181" t="n"/>
      <c r="P144" s="181" t="n"/>
      <c r="Q144" s="18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row>
    <row r="145" ht="15.75" customHeight="1" s="216">
      <c r="A145" s="1" t="n"/>
      <c r="B145" s="1" t="n"/>
      <c r="C145" s="1" t="n"/>
      <c r="D145" s="1" t="n"/>
      <c r="E145" s="181" t="n"/>
      <c r="F145" s="181" t="n"/>
      <c r="G145" s="1" t="n"/>
      <c r="H145" s="1" t="n"/>
      <c r="I145" s="1" t="n"/>
      <c r="J145" s="1" t="n"/>
      <c r="K145" s="181" t="n"/>
      <c r="L145" s="181" t="n"/>
      <c r="M145" s="181" t="n"/>
      <c r="N145" s="1" t="n"/>
      <c r="O145" s="181" t="n"/>
      <c r="P145" s="181" t="n"/>
      <c r="Q145" s="18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row>
    <row r="146" ht="15.75" customHeight="1" s="216">
      <c r="A146" s="1" t="n"/>
      <c r="B146" s="1" t="n"/>
      <c r="C146" s="1" t="n"/>
      <c r="D146" s="1" t="n"/>
      <c r="E146" s="181" t="n"/>
      <c r="F146" s="181" t="n"/>
      <c r="G146" s="1" t="n"/>
      <c r="H146" s="1" t="n"/>
      <c r="I146" s="1" t="n"/>
      <c r="J146" s="1" t="n"/>
      <c r="K146" s="181" t="n"/>
      <c r="L146" s="181" t="n"/>
      <c r="M146" s="181" t="n"/>
      <c r="N146" s="1" t="n"/>
      <c r="O146" s="181" t="n"/>
      <c r="P146" s="181" t="n"/>
      <c r="Q146" s="18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row>
    <row r="147" ht="15.75" customHeight="1" s="216">
      <c r="A147" s="1" t="n"/>
      <c r="B147" s="1" t="n"/>
      <c r="C147" s="1" t="n"/>
      <c r="D147" s="1" t="n"/>
      <c r="E147" s="181" t="n"/>
      <c r="F147" s="181" t="n"/>
      <c r="G147" s="1" t="n"/>
      <c r="H147" s="1" t="n"/>
      <c r="I147" s="1" t="n"/>
      <c r="J147" s="1" t="n"/>
      <c r="K147" s="181" t="n"/>
      <c r="L147" s="181" t="n"/>
      <c r="M147" s="181" t="n"/>
      <c r="N147" s="1" t="n"/>
      <c r="O147" s="181" t="n"/>
      <c r="P147" s="181" t="n"/>
      <c r="Q147" s="18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row>
    <row r="148" ht="15.75" customHeight="1" s="216">
      <c r="A148" s="1" t="n"/>
      <c r="B148" s="1" t="n"/>
      <c r="C148" s="1" t="n"/>
      <c r="D148" s="1" t="n"/>
      <c r="E148" s="181" t="n"/>
      <c r="F148" s="181" t="n"/>
      <c r="G148" s="1" t="n"/>
      <c r="H148" s="1" t="n"/>
      <c r="I148" s="1" t="n"/>
      <c r="J148" s="1" t="n"/>
      <c r="K148" s="181" t="n"/>
      <c r="L148" s="181" t="n"/>
      <c r="M148" s="181" t="n"/>
      <c r="N148" s="1" t="n"/>
      <c r="O148" s="181" t="n"/>
      <c r="P148" s="181" t="n"/>
      <c r="Q148" s="18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row>
    <row r="149" ht="15.75" customHeight="1" s="216">
      <c r="A149" s="1" t="n"/>
      <c r="B149" s="1" t="n"/>
      <c r="C149" s="1" t="n"/>
      <c r="D149" s="1" t="n"/>
      <c r="E149" s="181" t="n"/>
      <c r="F149" s="181" t="n"/>
      <c r="G149" s="1" t="n"/>
      <c r="H149" s="1" t="n"/>
      <c r="I149" s="1" t="n"/>
      <c r="J149" s="1" t="n"/>
      <c r="K149" s="181" t="n"/>
      <c r="L149" s="181" t="n"/>
      <c r="M149" s="181" t="n"/>
      <c r="N149" s="1" t="n"/>
      <c r="O149" s="181" t="n"/>
      <c r="P149" s="181" t="n"/>
      <c r="Q149" s="18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row>
    <row r="150" ht="15.75" customHeight="1" s="216">
      <c r="A150" s="1" t="n"/>
      <c r="B150" s="1" t="n"/>
      <c r="C150" s="1" t="n"/>
      <c r="D150" s="1" t="n"/>
      <c r="E150" s="181" t="n"/>
      <c r="F150" s="181" t="n"/>
      <c r="G150" s="1" t="n"/>
      <c r="H150" s="1" t="n"/>
      <c r="I150" s="1" t="n"/>
      <c r="J150" s="1" t="n"/>
      <c r="K150" s="181" t="n"/>
      <c r="L150" s="181" t="n"/>
      <c r="M150" s="181" t="n"/>
      <c r="N150" s="1" t="n"/>
      <c r="O150" s="181" t="n"/>
      <c r="P150" s="181" t="n"/>
      <c r="Q150" s="18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row>
    <row r="151" ht="15.75" customHeight="1" s="216">
      <c r="A151" s="1" t="n"/>
      <c r="B151" s="1" t="n"/>
      <c r="C151" s="1" t="n"/>
      <c r="D151" s="1" t="n"/>
      <c r="E151" s="181" t="n"/>
      <c r="F151" s="181" t="n"/>
      <c r="G151" s="1" t="n"/>
      <c r="H151" s="1" t="n"/>
      <c r="I151" s="1" t="n"/>
      <c r="J151" s="1" t="n"/>
      <c r="K151" s="181" t="n"/>
      <c r="L151" s="181" t="n"/>
      <c r="M151" s="181" t="n"/>
      <c r="N151" s="1" t="n"/>
      <c r="O151" s="181" t="n"/>
      <c r="P151" s="181" t="n"/>
      <c r="Q151" s="18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row>
    <row r="152" ht="15.75" customHeight="1" s="216">
      <c r="A152" s="1" t="n"/>
      <c r="B152" s="1" t="n"/>
      <c r="C152" s="1" t="n"/>
      <c r="D152" s="1" t="n"/>
      <c r="E152" s="181" t="n"/>
      <c r="F152" s="181" t="n"/>
      <c r="G152" s="1" t="n"/>
      <c r="H152" s="1" t="n"/>
      <c r="I152" s="1" t="n"/>
      <c r="J152" s="1" t="n"/>
      <c r="K152" s="181" t="n"/>
      <c r="L152" s="181" t="n"/>
      <c r="M152" s="181" t="n"/>
      <c r="N152" s="1" t="n"/>
      <c r="O152" s="181" t="n"/>
      <c r="P152" s="181" t="n"/>
      <c r="Q152" s="18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row>
    <row r="153" ht="15.75" customHeight="1" s="216">
      <c r="A153" s="1" t="n"/>
      <c r="B153" s="1" t="n"/>
      <c r="C153" s="1" t="n"/>
      <c r="D153" s="1" t="n"/>
      <c r="E153" s="181" t="n"/>
      <c r="F153" s="181" t="n"/>
      <c r="G153" s="1" t="n"/>
      <c r="H153" s="1" t="n"/>
      <c r="I153" s="1" t="n"/>
      <c r="J153" s="1" t="n"/>
      <c r="K153" s="181" t="n"/>
      <c r="L153" s="181" t="n"/>
      <c r="M153" s="181" t="n"/>
      <c r="N153" s="1" t="n"/>
      <c r="O153" s="181" t="n"/>
      <c r="P153" s="181" t="n"/>
      <c r="Q153" s="18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row>
    <row r="154" ht="15.75" customHeight="1" s="216">
      <c r="A154" s="1" t="n"/>
      <c r="B154" s="1" t="n"/>
      <c r="C154" s="1" t="n"/>
      <c r="D154" s="1" t="n"/>
      <c r="E154" s="181" t="n"/>
      <c r="F154" s="181" t="n"/>
      <c r="G154" s="1" t="n"/>
      <c r="H154" s="1" t="n"/>
      <c r="I154" s="1" t="n"/>
      <c r="J154" s="1" t="n"/>
      <c r="K154" s="181" t="n"/>
      <c r="L154" s="181" t="n"/>
      <c r="M154" s="181" t="n"/>
      <c r="N154" s="1" t="n"/>
      <c r="O154" s="181" t="n"/>
      <c r="P154" s="181" t="n"/>
      <c r="Q154" s="18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row>
    <row r="155" ht="15.75" customHeight="1" s="216">
      <c r="A155" s="1" t="n"/>
      <c r="B155" s="1" t="n"/>
      <c r="C155" s="1" t="n"/>
      <c r="D155" s="1" t="n"/>
      <c r="E155" s="181" t="n"/>
      <c r="F155" s="181" t="n"/>
      <c r="G155" s="1" t="n"/>
      <c r="H155" s="1" t="n"/>
      <c r="I155" s="1" t="n"/>
      <c r="J155" s="1" t="n"/>
      <c r="K155" s="181" t="n"/>
      <c r="L155" s="181" t="n"/>
      <c r="M155" s="181" t="n"/>
      <c r="N155" s="1" t="n"/>
      <c r="O155" s="181" t="n"/>
      <c r="P155" s="181" t="n"/>
      <c r="Q155" s="18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row>
    <row r="156" ht="15.75" customHeight="1" s="216">
      <c r="A156" s="1" t="n"/>
      <c r="B156" s="1" t="n"/>
      <c r="C156" s="1" t="n"/>
      <c r="D156" s="1" t="n"/>
      <c r="E156" s="181" t="n"/>
      <c r="F156" s="181" t="n"/>
      <c r="G156" s="1" t="n"/>
      <c r="H156" s="1" t="n"/>
      <c r="I156" s="1" t="n"/>
      <c r="J156" s="1" t="n"/>
      <c r="K156" s="181" t="n"/>
      <c r="L156" s="181" t="n"/>
      <c r="M156" s="181" t="n"/>
      <c r="N156" s="1" t="n"/>
      <c r="O156" s="181" t="n"/>
      <c r="P156" s="181" t="n"/>
      <c r="Q156" s="18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row>
    <row r="157" ht="15.75" customHeight="1" s="216">
      <c r="A157" s="1" t="n"/>
      <c r="B157" s="1" t="n"/>
      <c r="C157" s="1" t="n"/>
      <c r="D157" s="1" t="n"/>
      <c r="E157" s="181" t="n"/>
      <c r="F157" s="181" t="n"/>
      <c r="G157" s="1" t="n"/>
      <c r="H157" s="1" t="n"/>
      <c r="I157" s="1" t="n"/>
      <c r="J157" s="1" t="n"/>
      <c r="K157" s="181" t="n"/>
      <c r="L157" s="181" t="n"/>
      <c r="M157" s="181" t="n"/>
      <c r="N157" s="1" t="n"/>
      <c r="O157" s="181" t="n"/>
      <c r="P157" s="181" t="n"/>
      <c r="Q157" s="18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row>
    <row r="158" ht="15.75" customHeight="1" s="216">
      <c r="A158" s="1" t="n"/>
      <c r="B158" s="1" t="n"/>
      <c r="C158" s="1" t="n"/>
      <c r="D158" s="1" t="n"/>
      <c r="E158" s="181" t="n"/>
      <c r="F158" s="181" t="n"/>
      <c r="G158" s="1" t="n"/>
      <c r="H158" s="1" t="n"/>
      <c r="I158" s="1" t="n"/>
      <c r="J158" s="1" t="n"/>
      <c r="K158" s="181" t="n"/>
      <c r="L158" s="181" t="n"/>
      <c r="M158" s="181" t="n"/>
      <c r="N158" s="1" t="n"/>
      <c r="O158" s="181" t="n"/>
      <c r="P158" s="181" t="n"/>
      <c r="Q158" s="18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row>
    <row r="159" ht="15.75" customHeight="1" s="216">
      <c r="A159" s="1" t="n"/>
      <c r="B159" s="1" t="n"/>
      <c r="C159" s="1" t="n"/>
      <c r="D159" s="1" t="n"/>
      <c r="E159" s="181" t="n"/>
      <c r="F159" s="181" t="n"/>
      <c r="G159" s="1" t="n"/>
      <c r="H159" s="1" t="n"/>
      <c r="I159" s="1" t="n"/>
      <c r="J159" s="1" t="n"/>
      <c r="K159" s="181" t="n"/>
      <c r="L159" s="181" t="n"/>
      <c r="M159" s="181" t="n"/>
      <c r="N159" s="1" t="n"/>
      <c r="O159" s="181" t="n"/>
      <c r="P159" s="181" t="n"/>
      <c r="Q159" s="18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row>
    <row r="160" ht="15.75" customHeight="1" s="216">
      <c r="A160" s="1" t="n"/>
      <c r="B160" s="1" t="n"/>
      <c r="C160" s="1" t="n"/>
      <c r="D160" s="1" t="n"/>
      <c r="E160" s="181" t="n"/>
      <c r="F160" s="181" t="n"/>
      <c r="G160" s="1" t="n"/>
      <c r="H160" s="1" t="n"/>
      <c r="I160" s="1" t="n"/>
      <c r="J160" s="1" t="n"/>
      <c r="K160" s="181" t="n"/>
      <c r="L160" s="181" t="n"/>
      <c r="M160" s="181" t="n"/>
      <c r="N160" s="1" t="n"/>
      <c r="O160" s="181" t="n"/>
      <c r="P160" s="181" t="n"/>
      <c r="Q160" s="18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row>
    <row r="161" ht="15.75" customHeight="1" s="216">
      <c r="A161" s="1" t="n"/>
      <c r="B161" s="1" t="n"/>
      <c r="C161" s="1" t="n"/>
      <c r="D161" s="1" t="n"/>
      <c r="E161" s="181" t="n"/>
      <c r="F161" s="181" t="n"/>
      <c r="G161" s="1" t="n"/>
      <c r="H161" s="1" t="n"/>
      <c r="I161" s="1" t="n"/>
      <c r="J161" s="1" t="n"/>
      <c r="K161" s="181" t="n"/>
      <c r="L161" s="181" t="n"/>
      <c r="M161" s="181" t="n"/>
      <c r="N161" s="1" t="n"/>
      <c r="O161" s="181" t="n"/>
      <c r="P161" s="181" t="n"/>
      <c r="Q161" s="18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row>
    <row r="162" ht="15.75" customHeight="1" s="216">
      <c r="A162" s="1" t="n"/>
      <c r="B162" s="1" t="n"/>
      <c r="C162" s="1" t="n"/>
      <c r="D162" s="1" t="n"/>
      <c r="E162" s="181" t="n"/>
      <c r="F162" s="181" t="n"/>
      <c r="G162" s="1" t="n"/>
      <c r="H162" s="1" t="n"/>
      <c r="I162" s="1" t="n"/>
      <c r="J162" s="1" t="n"/>
      <c r="K162" s="181" t="n"/>
      <c r="L162" s="181" t="n"/>
      <c r="M162" s="181" t="n"/>
      <c r="N162" s="1" t="n"/>
      <c r="O162" s="181" t="n"/>
      <c r="P162" s="181" t="n"/>
      <c r="Q162" s="18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row>
    <row r="163" ht="15.75" customHeight="1" s="216">
      <c r="A163" s="1" t="n"/>
      <c r="B163" s="1" t="n"/>
      <c r="C163" s="1" t="n"/>
      <c r="D163" s="1" t="n"/>
      <c r="E163" s="181" t="n"/>
      <c r="F163" s="181" t="n"/>
      <c r="G163" s="1" t="n"/>
      <c r="H163" s="1" t="n"/>
      <c r="I163" s="1" t="n"/>
      <c r="J163" s="1" t="n"/>
      <c r="K163" s="181" t="n"/>
      <c r="L163" s="181" t="n"/>
      <c r="M163" s="181" t="n"/>
      <c r="N163" s="1" t="n"/>
      <c r="O163" s="181" t="n"/>
      <c r="P163" s="181" t="n"/>
      <c r="Q163" s="18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row>
    <row r="164" ht="15.75" customHeight="1" s="216">
      <c r="A164" s="1" t="n"/>
      <c r="B164" s="1" t="n"/>
      <c r="C164" s="1" t="n"/>
      <c r="D164" s="1" t="n"/>
      <c r="E164" s="181" t="n"/>
      <c r="F164" s="181" t="n"/>
      <c r="G164" s="1" t="n"/>
      <c r="H164" s="1" t="n"/>
      <c r="I164" s="1" t="n"/>
      <c r="J164" s="1" t="n"/>
      <c r="K164" s="181" t="n"/>
      <c r="L164" s="181" t="n"/>
      <c r="M164" s="181" t="n"/>
      <c r="N164" s="1" t="n"/>
      <c r="O164" s="181" t="n"/>
      <c r="P164" s="181" t="n"/>
      <c r="Q164" s="18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row>
    <row r="165" ht="15.75" customHeight="1" s="216">
      <c r="A165" s="1" t="n"/>
      <c r="B165" s="1" t="n"/>
      <c r="C165" s="1" t="n"/>
      <c r="D165" s="1" t="n"/>
      <c r="E165" s="181" t="n"/>
      <c r="F165" s="181" t="n"/>
      <c r="G165" s="1" t="n"/>
      <c r="H165" s="1" t="n"/>
      <c r="I165" s="1" t="n"/>
      <c r="J165" s="1" t="n"/>
      <c r="K165" s="181" t="n"/>
      <c r="L165" s="181" t="n"/>
      <c r="M165" s="181" t="n"/>
      <c r="N165" s="1" t="n"/>
      <c r="O165" s="181" t="n"/>
      <c r="P165" s="181" t="n"/>
      <c r="Q165" s="18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row>
    <row r="166" ht="15.75" customHeight="1" s="216">
      <c r="A166" s="1" t="n"/>
      <c r="B166" s="1" t="n"/>
      <c r="C166" s="1" t="n"/>
      <c r="D166" s="1" t="n"/>
      <c r="E166" s="181" t="n"/>
      <c r="F166" s="181" t="n"/>
      <c r="G166" s="1" t="n"/>
      <c r="H166" s="1" t="n"/>
      <c r="I166" s="1" t="n"/>
      <c r="J166" s="1" t="n"/>
      <c r="K166" s="181" t="n"/>
      <c r="L166" s="181" t="n"/>
      <c r="M166" s="181" t="n"/>
      <c r="N166" s="1" t="n"/>
      <c r="O166" s="181" t="n"/>
      <c r="P166" s="181" t="n"/>
      <c r="Q166" s="18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row>
    <row r="167" ht="15.75" customHeight="1" s="216">
      <c r="A167" s="1" t="n"/>
      <c r="B167" s="1" t="n"/>
      <c r="C167" s="1" t="n"/>
      <c r="D167" s="1" t="n"/>
      <c r="E167" s="181" t="n"/>
      <c r="F167" s="181" t="n"/>
      <c r="G167" s="1" t="n"/>
      <c r="H167" s="1" t="n"/>
      <c r="I167" s="1" t="n"/>
      <c r="J167" s="1" t="n"/>
      <c r="K167" s="181" t="n"/>
      <c r="L167" s="181" t="n"/>
      <c r="M167" s="181" t="n"/>
      <c r="N167" s="1" t="n"/>
      <c r="O167" s="181" t="n"/>
      <c r="P167" s="181" t="n"/>
      <c r="Q167" s="18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row>
    <row r="168" ht="15.75" customHeight="1" s="216">
      <c r="A168" s="1" t="n"/>
      <c r="B168" s="1" t="n"/>
      <c r="C168" s="1" t="n"/>
      <c r="D168" s="1" t="n"/>
      <c r="E168" s="181" t="n"/>
      <c r="F168" s="181" t="n"/>
      <c r="G168" s="1" t="n"/>
      <c r="H168" s="1" t="n"/>
      <c r="I168" s="1" t="n"/>
      <c r="J168" s="1" t="n"/>
      <c r="K168" s="181" t="n"/>
      <c r="L168" s="181" t="n"/>
      <c r="M168" s="181" t="n"/>
      <c r="N168" s="1" t="n"/>
      <c r="O168" s="181" t="n"/>
      <c r="P168" s="181" t="n"/>
      <c r="Q168" s="18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row>
    <row r="169" ht="15.75" customHeight="1" s="216">
      <c r="A169" s="1" t="n"/>
      <c r="B169" s="1" t="n"/>
      <c r="C169" s="1" t="n"/>
      <c r="D169" s="1" t="n"/>
      <c r="E169" s="181" t="n"/>
      <c r="F169" s="181" t="n"/>
      <c r="G169" s="1" t="n"/>
      <c r="H169" s="1" t="n"/>
      <c r="I169" s="1" t="n"/>
      <c r="J169" s="1" t="n"/>
      <c r="K169" s="181" t="n"/>
      <c r="L169" s="181" t="n"/>
      <c r="M169" s="181" t="n"/>
      <c r="N169" s="1" t="n"/>
      <c r="O169" s="181" t="n"/>
      <c r="P169" s="181" t="n"/>
      <c r="Q169" s="18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row>
    <row r="170" ht="15.75" customHeight="1" s="216">
      <c r="A170" s="1" t="n"/>
      <c r="B170" s="1" t="n"/>
      <c r="C170" s="1" t="n"/>
      <c r="D170" s="1" t="n"/>
      <c r="E170" s="181" t="n"/>
      <c r="F170" s="181" t="n"/>
      <c r="G170" s="1" t="n"/>
      <c r="H170" s="1" t="n"/>
      <c r="I170" s="1" t="n"/>
      <c r="J170" s="1" t="n"/>
      <c r="K170" s="181" t="n"/>
      <c r="L170" s="181" t="n"/>
      <c r="M170" s="181" t="n"/>
      <c r="N170" s="1" t="n"/>
      <c r="O170" s="181" t="n"/>
      <c r="P170" s="181" t="n"/>
      <c r="Q170" s="18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row>
    <row r="171" ht="15.75" customHeight="1" s="216">
      <c r="A171" s="1" t="n"/>
      <c r="B171" s="1" t="n"/>
      <c r="C171" s="1" t="n"/>
      <c r="D171" s="1" t="n"/>
      <c r="E171" s="181" t="n"/>
      <c r="F171" s="181" t="n"/>
      <c r="G171" s="1" t="n"/>
      <c r="H171" s="1" t="n"/>
      <c r="I171" s="1" t="n"/>
      <c r="J171" s="1" t="n"/>
      <c r="K171" s="181" t="n"/>
      <c r="L171" s="181" t="n"/>
      <c r="M171" s="181" t="n"/>
      <c r="N171" s="1" t="n"/>
      <c r="O171" s="181" t="n"/>
      <c r="P171" s="181" t="n"/>
      <c r="Q171" s="18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row>
    <row r="172" ht="15.75" customHeight="1" s="216">
      <c r="A172" s="1" t="n"/>
      <c r="B172" s="1" t="n"/>
      <c r="C172" s="1" t="n"/>
      <c r="D172" s="1" t="n"/>
      <c r="E172" s="181" t="n"/>
      <c r="F172" s="181" t="n"/>
      <c r="G172" s="1" t="n"/>
      <c r="H172" s="1" t="n"/>
      <c r="I172" s="1" t="n"/>
      <c r="J172" s="1" t="n"/>
      <c r="K172" s="181" t="n"/>
      <c r="L172" s="181" t="n"/>
      <c r="M172" s="181" t="n"/>
      <c r="N172" s="1" t="n"/>
      <c r="O172" s="181" t="n"/>
      <c r="P172" s="181" t="n"/>
      <c r="Q172" s="18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row>
    <row r="173" ht="15.75" customHeight="1" s="216">
      <c r="A173" s="1" t="n"/>
      <c r="B173" s="1" t="n"/>
      <c r="C173" s="1" t="n"/>
      <c r="D173" s="1" t="n"/>
      <c r="E173" s="181" t="n"/>
      <c r="F173" s="181" t="n"/>
      <c r="G173" s="1" t="n"/>
      <c r="H173" s="1" t="n"/>
      <c r="I173" s="1" t="n"/>
      <c r="J173" s="1" t="n"/>
      <c r="K173" s="181" t="n"/>
      <c r="L173" s="181" t="n"/>
      <c r="M173" s="181" t="n"/>
      <c r="N173" s="1" t="n"/>
      <c r="O173" s="181" t="n"/>
      <c r="P173" s="181" t="n"/>
      <c r="Q173" s="18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row>
    <row r="174" ht="15.75" customHeight="1" s="216">
      <c r="A174" s="1" t="n"/>
      <c r="B174" s="1" t="n"/>
      <c r="C174" s="1" t="n"/>
      <c r="D174" s="1" t="n"/>
      <c r="E174" s="181" t="n"/>
      <c r="F174" s="181" t="n"/>
      <c r="G174" s="1" t="n"/>
      <c r="H174" s="1" t="n"/>
      <c r="I174" s="1" t="n"/>
      <c r="J174" s="1" t="n"/>
      <c r="K174" s="181" t="n"/>
      <c r="L174" s="181" t="n"/>
      <c r="M174" s="181" t="n"/>
      <c r="N174" s="1" t="n"/>
      <c r="O174" s="181" t="n"/>
      <c r="P174" s="181" t="n"/>
      <c r="Q174" s="18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row>
    <row r="175" ht="15.75" customHeight="1" s="216">
      <c r="A175" s="1" t="n"/>
      <c r="B175" s="1" t="n"/>
      <c r="C175" s="1" t="n"/>
      <c r="D175" s="1" t="n"/>
      <c r="E175" s="181" t="n"/>
      <c r="F175" s="181" t="n"/>
      <c r="G175" s="1" t="n"/>
      <c r="H175" s="1" t="n"/>
      <c r="I175" s="1" t="n"/>
      <c r="J175" s="1" t="n"/>
      <c r="K175" s="181" t="n"/>
      <c r="L175" s="181" t="n"/>
      <c r="M175" s="181" t="n"/>
      <c r="N175" s="1" t="n"/>
      <c r="O175" s="181" t="n"/>
      <c r="P175" s="181" t="n"/>
      <c r="Q175" s="18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row>
    <row r="176" ht="15.75" customHeight="1" s="216">
      <c r="A176" s="1" t="n"/>
      <c r="B176" s="1" t="n"/>
      <c r="C176" s="1" t="n"/>
      <c r="D176" s="1" t="n"/>
      <c r="E176" s="181" t="n"/>
      <c r="F176" s="181" t="n"/>
      <c r="G176" s="1" t="n"/>
      <c r="H176" s="1" t="n"/>
      <c r="I176" s="1" t="n"/>
      <c r="J176" s="1" t="n"/>
      <c r="K176" s="181" t="n"/>
      <c r="L176" s="181" t="n"/>
      <c r="M176" s="181" t="n"/>
      <c r="N176" s="1" t="n"/>
      <c r="O176" s="181" t="n"/>
      <c r="P176" s="181" t="n"/>
      <c r="Q176" s="18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row>
    <row r="177" ht="15.75" customHeight="1" s="216">
      <c r="A177" s="1" t="n"/>
      <c r="B177" s="1" t="n"/>
      <c r="C177" s="1" t="n"/>
      <c r="D177" s="1" t="n"/>
      <c r="E177" s="181" t="n"/>
      <c r="F177" s="181" t="n"/>
      <c r="G177" s="1" t="n"/>
      <c r="H177" s="1" t="n"/>
      <c r="I177" s="1" t="n"/>
      <c r="J177" s="1" t="n"/>
      <c r="K177" s="181" t="n"/>
      <c r="L177" s="181" t="n"/>
      <c r="M177" s="181" t="n"/>
      <c r="N177" s="1" t="n"/>
      <c r="O177" s="181" t="n"/>
      <c r="P177" s="181" t="n"/>
      <c r="Q177" s="18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row>
    <row r="178" ht="15.75" customHeight="1" s="216">
      <c r="A178" s="1" t="n"/>
      <c r="B178" s="1" t="n"/>
      <c r="C178" s="1" t="n"/>
      <c r="D178" s="1" t="n"/>
      <c r="E178" s="181" t="n"/>
      <c r="F178" s="181" t="n"/>
      <c r="G178" s="1" t="n"/>
      <c r="H178" s="1" t="n"/>
      <c r="I178" s="1" t="n"/>
      <c r="J178" s="1" t="n"/>
      <c r="K178" s="181" t="n"/>
      <c r="L178" s="181" t="n"/>
      <c r="M178" s="181" t="n"/>
      <c r="N178" s="1" t="n"/>
      <c r="O178" s="181" t="n"/>
      <c r="P178" s="181" t="n"/>
      <c r="Q178" s="18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row>
    <row r="179" ht="15.75" customHeight="1" s="216">
      <c r="A179" s="1" t="n"/>
      <c r="B179" s="1" t="n"/>
      <c r="C179" s="1" t="n"/>
      <c r="D179" s="1" t="n"/>
      <c r="E179" s="181" t="n"/>
      <c r="F179" s="181" t="n"/>
      <c r="G179" s="1" t="n"/>
      <c r="H179" s="1" t="n"/>
      <c r="I179" s="1" t="n"/>
      <c r="J179" s="1" t="n"/>
      <c r="K179" s="181" t="n"/>
      <c r="L179" s="181" t="n"/>
      <c r="M179" s="181" t="n"/>
      <c r="N179" s="1" t="n"/>
      <c r="O179" s="181" t="n"/>
      <c r="P179" s="181" t="n"/>
      <c r="Q179" s="18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row>
    <row r="180" ht="15.75" customHeight="1" s="216">
      <c r="A180" s="1" t="n"/>
      <c r="B180" s="1" t="n"/>
      <c r="C180" s="1" t="n"/>
      <c r="D180" s="1" t="n"/>
      <c r="E180" s="181" t="n"/>
      <c r="F180" s="181" t="n"/>
      <c r="G180" s="1" t="n"/>
      <c r="H180" s="1" t="n"/>
      <c r="I180" s="1" t="n"/>
      <c r="J180" s="1" t="n"/>
      <c r="K180" s="181" t="n"/>
      <c r="L180" s="181" t="n"/>
      <c r="M180" s="181" t="n"/>
      <c r="N180" s="1" t="n"/>
      <c r="O180" s="181" t="n"/>
      <c r="P180" s="181" t="n"/>
      <c r="Q180" s="18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row>
    <row r="181" ht="15.75" customHeight="1" s="216">
      <c r="A181" s="1" t="n"/>
      <c r="B181" s="1" t="n"/>
      <c r="C181" s="1" t="n"/>
      <c r="D181" s="1" t="n"/>
      <c r="E181" s="181" t="n"/>
      <c r="F181" s="181" t="n"/>
      <c r="G181" s="1" t="n"/>
      <c r="H181" s="1" t="n"/>
      <c r="I181" s="1" t="n"/>
      <c r="J181" s="1" t="n"/>
      <c r="K181" s="181" t="n"/>
      <c r="L181" s="181" t="n"/>
      <c r="M181" s="181" t="n"/>
      <c r="N181" s="1" t="n"/>
      <c r="O181" s="181" t="n"/>
      <c r="P181" s="181" t="n"/>
      <c r="Q181" s="18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row>
    <row r="182" ht="15.75" customHeight="1" s="216">
      <c r="A182" s="1" t="n"/>
      <c r="B182" s="1" t="n"/>
      <c r="C182" s="1" t="n"/>
      <c r="D182" s="1" t="n"/>
      <c r="E182" s="181" t="n"/>
      <c r="F182" s="181" t="n"/>
      <c r="G182" s="1" t="n"/>
      <c r="H182" s="1" t="n"/>
      <c r="I182" s="1" t="n"/>
      <c r="J182" s="1" t="n"/>
      <c r="K182" s="181" t="n"/>
      <c r="L182" s="181" t="n"/>
      <c r="M182" s="181" t="n"/>
      <c r="N182" s="1" t="n"/>
      <c r="O182" s="181" t="n"/>
      <c r="P182" s="181" t="n"/>
      <c r="Q182" s="18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row>
    <row r="183" ht="15.75" customHeight="1" s="216">
      <c r="A183" s="1" t="n"/>
      <c r="B183" s="1" t="n"/>
      <c r="C183" s="1" t="n"/>
      <c r="D183" s="1" t="n"/>
      <c r="E183" s="181" t="n"/>
      <c r="F183" s="181" t="n"/>
      <c r="G183" s="1" t="n"/>
      <c r="H183" s="1" t="n"/>
      <c r="I183" s="1" t="n"/>
      <c r="J183" s="1" t="n"/>
      <c r="K183" s="181" t="n"/>
      <c r="L183" s="181" t="n"/>
      <c r="M183" s="181" t="n"/>
      <c r="N183" s="1" t="n"/>
      <c r="O183" s="181" t="n"/>
      <c r="P183" s="181" t="n"/>
      <c r="Q183" s="18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row>
    <row r="184" ht="15.75" customHeight="1" s="216">
      <c r="A184" s="1" t="n"/>
      <c r="B184" s="1" t="n"/>
      <c r="C184" s="1" t="n"/>
      <c r="D184" s="1" t="n"/>
      <c r="E184" s="181" t="n"/>
      <c r="F184" s="181" t="n"/>
      <c r="G184" s="1" t="n"/>
      <c r="H184" s="1" t="n"/>
      <c r="I184" s="1" t="n"/>
      <c r="J184" s="1" t="n"/>
      <c r="K184" s="181" t="n"/>
      <c r="L184" s="181" t="n"/>
      <c r="M184" s="181" t="n"/>
      <c r="N184" s="1" t="n"/>
      <c r="O184" s="181" t="n"/>
      <c r="P184" s="181" t="n"/>
      <c r="Q184" s="18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row>
    <row r="185" ht="15.75" customHeight="1" s="216">
      <c r="A185" s="1" t="n"/>
      <c r="B185" s="1" t="n"/>
      <c r="C185" s="1" t="n"/>
      <c r="D185" s="1" t="n"/>
      <c r="E185" s="181" t="n"/>
      <c r="F185" s="181" t="n"/>
      <c r="G185" s="1" t="n"/>
      <c r="H185" s="1" t="n"/>
      <c r="I185" s="1" t="n"/>
      <c r="J185" s="1" t="n"/>
      <c r="K185" s="181" t="n"/>
      <c r="L185" s="181" t="n"/>
      <c r="M185" s="181" t="n"/>
      <c r="N185" s="1" t="n"/>
      <c r="O185" s="181" t="n"/>
      <c r="P185" s="181" t="n"/>
      <c r="Q185" s="18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row>
    <row r="186" ht="15.75" customHeight="1" s="216">
      <c r="A186" s="1" t="n"/>
      <c r="B186" s="1" t="n"/>
      <c r="C186" s="1" t="n"/>
      <c r="D186" s="1" t="n"/>
      <c r="E186" s="181" t="n"/>
      <c r="F186" s="181" t="n"/>
      <c r="G186" s="1" t="n"/>
      <c r="H186" s="1" t="n"/>
      <c r="I186" s="1" t="n"/>
      <c r="J186" s="1" t="n"/>
      <c r="K186" s="181" t="n"/>
      <c r="L186" s="181" t="n"/>
      <c r="M186" s="181" t="n"/>
      <c r="N186" s="1" t="n"/>
      <c r="O186" s="181" t="n"/>
      <c r="P186" s="181" t="n"/>
      <c r="Q186" s="18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row>
    <row r="187" ht="15.75" customHeight="1" s="216">
      <c r="A187" s="1" t="n"/>
      <c r="B187" s="1" t="n"/>
      <c r="C187" s="1" t="n"/>
      <c r="D187" s="1" t="n"/>
      <c r="E187" s="181" t="n"/>
      <c r="F187" s="181" t="n"/>
      <c r="G187" s="1" t="n"/>
      <c r="H187" s="1" t="n"/>
      <c r="I187" s="1" t="n"/>
      <c r="J187" s="1" t="n"/>
      <c r="K187" s="181" t="n"/>
      <c r="L187" s="181" t="n"/>
      <c r="M187" s="181" t="n"/>
      <c r="N187" s="1" t="n"/>
      <c r="O187" s="181" t="n"/>
      <c r="P187" s="181" t="n"/>
      <c r="Q187" s="18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row>
    <row r="188" ht="15.75" customHeight="1" s="216">
      <c r="A188" s="1" t="n"/>
      <c r="B188" s="1" t="n"/>
      <c r="C188" s="1" t="n"/>
      <c r="D188" s="1" t="n"/>
      <c r="E188" s="181" t="n"/>
      <c r="F188" s="181" t="n"/>
      <c r="G188" s="1" t="n"/>
      <c r="H188" s="1" t="n"/>
      <c r="I188" s="1" t="n"/>
      <c r="J188" s="1" t="n"/>
      <c r="K188" s="181" t="n"/>
      <c r="L188" s="181" t="n"/>
      <c r="M188" s="181" t="n"/>
      <c r="N188" s="1" t="n"/>
      <c r="O188" s="181" t="n"/>
      <c r="P188" s="181" t="n"/>
      <c r="Q188" s="18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row>
    <row r="189" ht="15.75" customHeight="1" s="216">
      <c r="A189" s="1" t="n"/>
      <c r="B189" s="1" t="n"/>
      <c r="C189" s="1" t="n"/>
      <c r="D189" s="1" t="n"/>
      <c r="E189" s="181" t="n"/>
      <c r="F189" s="181" t="n"/>
      <c r="G189" s="1" t="n"/>
      <c r="H189" s="1" t="n"/>
      <c r="I189" s="1" t="n"/>
      <c r="J189" s="1" t="n"/>
      <c r="K189" s="181" t="n"/>
      <c r="L189" s="181" t="n"/>
      <c r="M189" s="181" t="n"/>
      <c r="N189" s="1" t="n"/>
      <c r="O189" s="181" t="n"/>
      <c r="P189" s="181" t="n"/>
      <c r="Q189" s="18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row>
    <row r="190" ht="15.75" customHeight="1" s="216">
      <c r="A190" s="1" t="n"/>
      <c r="B190" s="1" t="n"/>
      <c r="C190" s="1" t="n"/>
      <c r="D190" s="1" t="n"/>
      <c r="E190" s="181" t="n"/>
      <c r="F190" s="181" t="n"/>
      <c r="G190" s="1" t="n"/>
      <c r="H190" s="1" t="n"/>
      <c r="I190" s="1" t="n"/>
      <c r="J190" s="1" t="n"/>
      <c r="K190" s="181" t="n"/>
      <c r="L190" s="181" t="n"/>
      <c r="M190" s="181" t="n"/>
      <c r="N190" s="1" t="n"/>
      <c r="O190" s="181" t="n"/>
      <c r="P190" s="181" t="n"/>
      <c r="Q190" s="18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row>
    <row r="191" ht="15.75" customHeight="1" s="216">
      <c r="A191" s="1" t="n"/>
      <c r="B191" s="1" t="n"/>
      <c r="C191" s="1" t="n"/>
      <c r="D191" s="1" t="n"/>
      <c r="E191" s="181" t="n"/>
      <c r="F191" s="181" t="n"/>
      <c r="G191" s="1" t="n"/>
      <c r="H191" s="1" t="n"/>
      <c r="I191" s="1" t="n"/>
      <c r="J191" s="1" t="n"/>
      <c r="K191" s="181" t="n"/>
      <c r="L191" s="181" t="n"/>
      <c r="M191" s="181" t="n"/>
      <c r="N191" s="1" t="n"/>
      <c r="O191" s="181" t="n"/>
      <c r="P191" s="181" t="n"/>
      <c r="Q191" s="18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row>
    <row r="192" ht="15.75" customHeight="1" s="216">
      <c r="A192" s="1" t="n"/>
      <c r="B192" s="1" t="n"/>
      <c r="C192" s="1" t="n"/>
      <c r="D192" s="1" t="n"/>
      <c r="E192" s="181" t="n"/>
      <c r="F192" s="181" t="n"/>
      <c r="G192" s="1" t="n"/>
      <c r="H192" s="1" t="n"/>
      <c r="I192" s="1" t="n"/>
      <c r="J192" s="1" t="n"/>
      <c r="K192" s="181" t="n"/>
      <c r="L192" s="181" t="n"/>
      <c r="M192" s="181" t="n"/>
      <c r="N192" s="1" t="n"/>
      <c r="O192" s="181" t="n"/>
      <c r="P192" s="181" t="n"/>
      <c r="Q192" s="18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row>
    <row r="193" ht="15.75" customHeight="1" s="216">
      <c r="A193" s="1" t="n"/>
      <c r="B193" s="1" t="n"/>
      <c r="C193" s="1" t="n"/>
      <c r="D193" s="1" t="n"/>
      <c r="E193" s="181" t="n"/>
      <c r="F193" s="181" t="n"/>
      <c r="G193" s="1" t="n"/>
      <c r="H193" s="1" t="n"/>
      <c r="I193" s="1" t="n"/>
      <c r="J193" s="1" t="n"/>
      <c r="K193" s="181" t="n"/>
      <c r="L193" s="181" t="n"/>
      <c r="M193" s="181" t="n"/>
      <c r="N193" s="1" t="n"/>
      <c r="O193" s="181" t="n"/>
      <c r="P193" s="181" t="n"/>
      <c r="Q193" s="18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row>
    <row r="194" ht="15.75" customHeight="1" s="216">
      <c r="A194" s="1" t="n"/>
      <c r="B194" s="1" t="n"/>
      <c r="C194" s="1" t="n"/>
      <c r="D194" s="1" t="n"/>
      <c r="E194" s="181" t="n"/>
      <c r="F194" s="181" t="n"/>
      <c r="G194" s="1" t="n"/>
      <c r="H194" s="1" t="n"/>
      <c r="I194" s="1" t="n"/>
      <c r="J194" s="1" t="n"/>
      <c r="K194" s="181" t="n"/>
      <c r="L194" s="181" t="n"/>
      <c r="M194" s="181" t="n"/>
      <c r="N194" s="1" t="n"/>
      <c r="O194" s="181" t="n"/>
      <c r="P194" s="181" t="n"/>
      <c r="Q194" s="18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row>
    <row r="195" ht="15.75" customHeight="1" s="216">
      <c r="A195" s="1" t="n"/>
      <c r="B195" s="1" t="n"/>
      <c r="C195" s="1" t="n"/>
      <c r="D195" s="1" t="n"/>
      <c r="E195" s="181" t="n"/>
      <c r="F195" s="181" t="n"/>
      <c r="G195" s="1" t="n"/>
      <c r="H195" s="1" t="n"/>
      <c r="I195" s="1" t="n"/>
      <c r="J195" s="1" t="n"/>
      <c r="K195" s="181" t="n"/>
      <c r="L195" s="181" t="n"/>
      <c r="M195" s="181" t="n"/>
      <c r="N195" s="1" t="n"/>
      <c r="O195" s="181" t="n"/>
      <c r="P195" s="181" t="n"/>
      <c r="Q195" s="18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row>
    <row r="196" ht="15.75" customHeight="1" s="216">
      <c r="A196" s="1" t="n"/>
      <c r="B196" s="1" t="n"/>
      <c r="C196" s="1" t="n"/>
      <c r="D196" s="1" t="n"/>
      <c r="E196" s="181" t="n"/>
      <c r="F196" s="181" t="n"/>
      <c r="G196" s="1" t="n"/>
      <c r="H196" s="1" t="n"/>
      <c r="I196" s="1" t="n"/>
      <c r="J196" s="1" t="n"/>
      <c r="K196" s="181" t="n"/>
      <c r="L196" s="181" t="n"/>
      <c r="M196" s="181" t="n"/>
      <c r="N196" s="1" t="n"/>
      <c r="O196" s="181" t="n"/>
      <c r="P196" s="181" t="n"/>
      <c r="Q196" s="18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row>
    <row r="197" ht="15.75" customHeight="1" s="216">
      <c r="A197" s="1" t="n"/>
      <c r="B197" s="1" t="n"/>
      <c r="C197" s="1" t="n"/>
      <c r="D197" s="1" t="n"/>
      <c r="E197" s="181" t="n"/>
      <c r="F197" s="181" t="n"/>
      <c r="G197" s="1" t="n"/>
      <c r="H197" s="1" t="n"/>
      <c r="I197" s="1" t="n"/>
      <c r="J197" s="1" t="n"/>
      <c r="K197" s="181" t="n"/>
      <c r="L197" s="181" t="n"/>
      <c r="M197" s="181" t="n"/>
      <c r="N197" s="1" t="n"/>
      <c r="O197" s="181" t="n"/>
      <c r="P197" s="181" t="n"/>
      <c r="Q197" s="18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row>
    <row r="198" ht="15.75" customHeight="1" s="216">
      <c r="A198" s="1" t="n"/>
      <c r="B198" s="1" t="n"/>
      <c r="C198" s="1" t="n"/>
      <c r="D198" s="1" t="n"/>
      <c r="E198" s="181" t="n"/>
      <c r="F198" s="181" t="n"/>
      <c r="G198" s="1" t="n"/>
      <c r="H198" s="1" t="n"/>
      <c r="I198" s="1" t="n"/>
      <c r="J198" s="1" t="n"/>
      <c r="K198" s="181" t="n"/>
      <c r="L198" s="181" t="n"/>
      <c r="M198" s="181" t="n"/>
      <c r="N198" s="1" t="n"/>
      <c r="O198" s="181" t="n"/>
      <c r="P198" s="181" t="n"/>
      <c r="Q198" s="18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row>
    <row r="199" ht="15.75" customHeight="1" s="216">
      <c r="A199" s="1" t="n"/>
      <c r="B199" s="1" t="n"/>
      <c r="C199" s="1" t="n"/>
      <c r="D199" s="1" t="n"/>
      <c r="E199" s="181" t="n"/>
      <c r="F199" s="181" t="n"/>
      <c r="G199" s="1" t="n"/>
      <c r="H199" s="1" t="n"/>
      <c r="I199" s="1" t="n"/>
      <c r="J199" s="1" t="n"/>
      <c r="K199" s="181" t="n"/>
      <c r="L199" s="181" t="n"/>
      <c r="M199" s="181" t="n"/>
      <c r="N199" s="1" t="n"/>
      <c r="O199" s="181" t="n"/>
      <c r="P199" s="181" t="n"/>
      <c r="Q199" s="18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row>
    <row r="200" ht="15.75" customHeight="1" s="216">
      <c r="A200" s="1" t="n"/>
      <c r="B200" s="1" t="n"/>
      <c r="C200" s="1" t="n"/>
      <c r="D200" s="1" t="n"/>
      <c r="E200" s="181" t="n"/>
      <c r="F200" s="181" t="n"/>
      <c r="G200" s="1" t="n"/>
      <c r="H200" s="1" t="n"/>
      <c r="I200" s="1" t="n"/>
      <c r="J200" s="1" t="n"/>
      <c r="K200" s="181" t="n"/>
      <c r="L200" s="181" t="n"/>
      <c r="M200" s="181" t="n"/>
      <c r="N200" s="1" t="n"/>
      <c r="O200" s="181" t="n"/>
      <c r="P200" s="181" t="n"/>
      <c r="Q200" s="18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row>
    <row r="201" ht="15.75" customHeight="1" s="216">
      <c r="A201" s="1" t="n"/>
      <c r="B201" s="1" t="n"/>
      <c r="C201" s="1" t="n"/>
      <c r="D201" s="1" t="n"/>
      <c r="E201" s="181" t="n"/>
      <c r="F201" s="181" t="n"/>
      <c r="G201" s="1" t="n"/>
      <c r="H201" s="1" t="n"/>
      <c r="I201" s="1" t="n"/>
      <c r="J201" s="1" t="n"/>
      <c r="K201" s="181" t="n"/>
      <c r="L201" s="181" t="n"/>
      <c r="M201" s="181" t="n"/>
      <c r="N201" s="1" t="n"/>
      <c r="O201" s="181" t="n"/>
      <c r="P201" s="181" t="n"/>
      <c r="Q201" s="18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row>
    <row r="202" ht="15.75" customHeight="1" s="216">
      <c r="A202" s="1" t="n"/>
      <c r="B202" s="1" t="n"/>
      <c r="C202" s="1" t="n"/>
      <c r="D202" s="1" t="n"/>
      <c r="E202" s="181" t="n"/>
      <c r="F202" s="181" t="n"/>
      <c r="G202" s="1" t="n"/>
      <c r="H202" s="1" t="n"/>
      <c r="I202" s="1" t="n"/>
      <c r="J202" s="1" t="n"/>
      <c r="K202" s="181" t="n"/>
      <c r="L202" s="181" t="n"/>
      <c r="M202" s="181" t="n"/>
      <c r="N202" s="1" t="n"/>
      <c r="O202" s="181" t="n"/>
      <c r="P202" s="181" t="n"/>
      <c r="Q202" s="18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row>
    <row r="203" ht="15.75" customHeight="1" s="216">
      <c r="A203" s="1" t="n"/>
      <c r="B203" s="1" t="n"/>
      <c r="C203" s="1" t="n"/>
      <c r="D203" s="1" t="n"/>
      <c r="E203" s="181" t="n"/>
      <c r="F203" s="181" t="n"/>
      <c r="G203" s="1" t="n"/>
      <c r="H203" s="1" t="n"/>
      <c r="I203" s="1" t="n"/>
      <c r="J203" s="1" t="n"/>
      <c r="K203" s="181" t="n"/>
      <c r="L203" s="181" t="n"/>
      <c r="M203" s="181" t="n"/>
      <c r="N203" s="1" t="n"/>
      <c r="O203" s="181" t="n"/>
      <c r="P203" s="181" t="n"/>
      <c r="Q203" s="18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row>
    <row r="204" ht="15.75" customHeight="1" s="216">
      <c r="A204" s="1" t="n"/>
      <c r="B204" s="1" t="n"/>
      <c r="C204" s="1" t="n"/>
      <c r="D204" s="1" t="n"/>
      <c r="E204" s="181" t="n"/>
      <c r="F204" s="181" t="n"/>
      <c r="G204" s="1" t="n"/>
      <c r="H204" s="1" t="n"/>
      <c r="I204" s="1" t="n"/>
      <c r="J204" s="1" t="n"/>
      <c r="K204" s="181" t="n"/>
      <c r="L204" s="181" t="n"/>
      <c r="M204" s="181" t="n"/>
      <c r="N204" s="1" t="n"/>
      <c r="O204" s="181" t="n"/>
      <c r="P204" s="181" t="n"/>
      <c r="Q204" s="18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row>
    <row r="205" ht="15.75" customHeight="1" s="216">
      <c r="A205" s="1" t="n"/>
      <c r="B205" s="1" t="n"/>
      <c r="C205" s="1" t="n"/>
      <c r="D205" s="1" t="n"/>
      <c r="E205" s="181" t="n"/>
      <c r="F205" s="181" t="n"/>
      <c r="G205" s="1" t="n"/>
      <c r="H205" s="1" t="n"/>
      <c r="I205" s="1" t="n"/>
      <c r="J205" s="1" t="n"/>
      <c r="K205" s="181" t="n"/>
      <c r="L205" s="181" t="n"/>
      <c r="M205" s="181" t="n"/>
      <c r="N205" s="1" t="n"/>
      <c r="O205" s="181" t="n"/>
      <c r="P205" s="181" t="n"/>
      <c r="Q205" s="18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row>
    <row r="206" ht="15.75" customHeight="1" s="216">
      <c r="A206" s="1" t="n"/>
      <c r="B206" s="1" t="n"/>
      <c r="C206" s="1" t="n"/>
      <c r="D206" s="1" t="n"/>
      <c r="E206" s="181" t="n"/>
      <c r="F206" s="181" t="n"/>
      <c r="G206" s="1" t="n"/>
      <c r="H206" s="1" t="n"/>
      <c r="I206" s="1" t="n"/>
      <c r="J206" s="1" t="n"/>
      <c r="K206" s="181" t="n"/>
      <c r="L206" s="181" t="n"/>
      <c r="M206" s="181" t="n"/>
      <c r="N206" s="1" t="n"/>
      <c r="O206" s="181" t="n"/>
      <c r="P206" s="181" t="n"/>
      <c r="Q206" s="18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row>
    <row r="207" ht="15.75" customHeight="1" s="216">
      <c r="A207" s="1" t="n"/>
      <c r="B207" s="1" t="n"/>
      <c r="C207" s="1" t="n"/>
      <c r="D207" s="1" t="n"/>
      <c r="E207" s="181" t="n"/>
      <c r="F207" s="181" t="n"/>
      <c r="G207" s="1" t="n"/>
      <c r="H207" s="1" t="n"/>
      <c r="I207" s="1" t="n"/>
      <c r="J207" s="1" t="n"/>
      <c r="K207" s="181" t="n"/>
      <c r="L207" s="181" t="n"/>
      <c r="M207" s="181" t="n"/>
      <c r="N207" s="1" t="n"/>
      <c r="O207" s="181" t="n"/>
      <c r="P207" s="181" t="n"/>
      <c r="Q207" s="18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row>
    <row r="208" ht="15.75" customHeight="1" s="216">
      <c r="A208" s="1" t="n"/>
      <c r="B208" s="1" t="n"/>
      <c r="C208" s="1" t="n"/>
      <c r="D208" s="1" t="n"/>
      <c r="E208" s="181" t="n"/>
      <c r="F208" s="181" t="n"/>
      <c r="G208" s="1" t="n"/>
      <c r="H208" s="1" t="n"/>
      <c r="I208" s="1" t="n"/>
      <c r="J208" s="1" t="n"/>
      <c r="K208" s="181" t="n"/>
      <c r="L208" s="181" t="n"/>
      <c r="M208" s="181" t="n"/>
      <c r="N208" s="1" t="n"/>
      <c r="O208" s="181" t="n"/>
      <c r="P208" s="181" t="n"/>
      <c r="Q208" s="18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row>
    <row r="209" ht="15.75" customHeight="1" s="216">
      <c r="A209" s="1" t="n"/>
      <c r="B209" s="1" t="n"/>
      <c r="C209" s="1" t="n"/>
      <c r="D209" s="1" t="n"/>
      <c r="E209" s="181" t="n"/>
      <c r="F209" s="181" t="n"/>
      <c r="G209" s="1" t="n"/>
      <c r="H209" s="1" t="n"/>
      <c r="I209" s="1" t="n"/>
      <c r="J209" s="1" t="n"/>
      <c r="K209" s="181" t="n"/>
      <c r="L209" s="181" t="n"/>
      <c r="M209" s="181" t="n"/>
      <c r="N209" s="1" t="n"/>
      <c r="O209" s="181" t="n"/>
      <c r="P209" s="181" t="n"/>
      <c r="Q209" s="18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row>
    <row r="210" ht="15.75" customHeight="1" s="216">
      <c r="A210" s="1" t="n"/>
      <c r="B210" s="1" t="n"/>
      <c r="C210" s="1" t="n"/>
      <c r="D210" s="1" t="n"/>
      <c r="E210" s="181" t="n"/>
      <c r="F210" s="181" t="n"/>
      <c r="G210" s="1" t="n"/>
      <c r="H210" s="1" t="n"/>
      <c r="I210" s="1" t="n"/>
      <c r="J210" s="1" t="n"/>
      <c r="K210" s="181" t="n"/>
      <c r="L210" s="181" t="n"/>
      <c r="M210" s="181" t="n"/>
      <c r="N210" s="1" t="n"/>
      <c r="O210" s="181" t="n"/>
      <c r="P210" s="181" t="n"/>
      <c r="Q210" s="18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row>
    <row r="211" ht="15.75" customHeight="1" s="216">
      <c r="A211" s="1" t="n"/>
      <c r="B211" s="1" t="n"/>
      <c r="C211" s="1" t="n"/>
      <c r="D211" s="1" t="n"/>
      <c r="E211" s="181" t="n"/>
      <c r="F211" s="181" t="n"/>
      <c r="G211" s="1" t="n"/>
      <c r="H211" s="1" t="n"/>
      <c r="I211" s="1" t="n"/>
      <c r="J211" s="1" t="n"/>
      <c r="K211" s="181" t="n"/>
      <c r="L211" s="181" t="n"/>
      <c r="M211" s="181" t="n"/>
      <c r="N211" s="1" t="n"/>
      <c r="O211" s="181" t="n"/>
      <c r="P211" s="181" t="n"/>
      <c r="Q211" s="18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row>
    <row r="212" ht="15.75" customHeight="1" s="216">
      <c r="A212" s="1" t="n"/>
      <c r="B212" s="1" t="n"/>
      <c r="C212" s="1" t="n"/>
      <c r="D212" s="1" t="n"/>
      <c r="E212" s="181" t="n"/>
      <c r="F212" s="181" t="n"/>
      <c r="G212" s="1" t="n"/>
      <c r="H212" s="1" t="n"/>
      <c r="I212" s="1" t="n"/>
      <c r="J212" s="1" t="n"/>
      <c r="K212" s="181" t="n"/>
      <c r="L212" s="181" t="n"/>
      <c r="M212" s="181" t="n"/>
      <c r="N212" s="1" t="n"/>
      <c r="O212" s="181" t="n"/>
      <c r="P212" s="181" t="n"/>
      <c r="Q212" s="18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row>
    <row r="213" ht="15.75" customHeight="1" s="216">
      <c r="A213" s="1" t="n"/>
      <c r="B213" s="1" t="n"/>
      <c r="C213" s="1" t="n"/>
      <c r="D213" s="1" t="n"/>
      <c r="E213" s="181" t="n"/>
      <c r="F213" s="181" t="n"/>
      <c r="G213" s="1" t="n"/>
      <c r="H213" s="1" t="n"/>
      <c r="I213" s="1" t="n"/>
      <c r="J213" s="1" t="n"/>
      <c r="K213" s="181" t="n"/>
      <c r="L213" s="181" t="n"/>
      <c r="M213" s="181" t="n"/>
      <c r="N213" s="1" t="n"/>
      <c r="O213" s="181" t="n"/>
      <c r="P213" s="181" t="n"/>
      <c r="Q213" s="18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row>
    <row r="214" ht="15.75" customHeight="1" s="216">
      <c r="A214" s="1" t="n"/>
      <c r="B214" s="1" t="n"/>
      <c r="C214" s="1" t="n"/>
      <c r="D214" s="1" t="n"/>
      <c r="E214" s="181" t="n"/>
      <c r="F214" s="181" t="n"/>
      <c r="G214" s="1" t="n"/>
      <c r="H214" s="1" t="n"/>
      <c r="I214" s="1" t="n"/>
      <c r="J214" s="1" t="n"/>
      <c r="K214" s="181" t="n"/>
      <c r="L214" s="181" t="n"/>
      <c r="M214" s="181" t="n"/>
      <c r="N214" s="1" t="n"/>
      <c r="O214" s="181" t="n"/>
      <c r="P214" s="181" t="n"/>
      <c r="Q214" s="18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row>
    <row r="215" ht="15.75" customHeight="1" s="216">
      <c r="A215" s="1" t="n"/>
      <c r="B215" s="1" t="n"/>
      <c r="C215" s="1" t="n"/>
      <c r="D215" s="1" t="n"/>
      <c r="E215" s="181" t="n"/>
      <c r="F215" s="181" t="n"/>
      <c r="G215" s="1" t="n"/>
      <c r="H215" s="1" t="n"/>
      <c r="I215" s="1" t="n"/>
      <c r="J215" s="1" t="n"/>
      <c r="K215" s="181" t="n"/>
      <c r="L215" s="181" t="n"/>
      <c r="M215" s="181" t="n"/>
      <c r="N215" s="1" t="n"/>
      <c r="O215" s="181" t="n"/>
      <c r="P215" s="181" t="n"/>
      <c r="Q215" s="18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row>
    <row r="216" ht="15.75" customHeight="1" s="216">
      <c r="A216" s="1" t="n"/>
      <c r="B216" s="1" t="n"/>
      <c r="C216" s="1" t="n"/>
      <c r="D216" s="1" t="n"/>
      <c r="E216" s="181" t="n"/>
      <c r="F216" s="181" t="n"/>
      <c r="G216" s="1" t="n"/>
      <c r="H216" s="1" t="n"/>
      <c r="I216" s="1" t="n"/>
      <c r="J216" s="1" t="n"/>
      <c r="K216" s="181" t="n"/>
      <c r="L216" s="181" t="n"/>
      <c r="M216" s="181" t="n"/>
      <c r="N216" s="1" t="n"/>
      <c r="O216" s="181" t="n"/>
      <c r="P216" s="181" t="n"/>
      <c r="Q216" s="18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row>
    <row r="217" ht="15.75" customHeight="1" s="216">
      <c r="A217" s="1" t="n"/>
      <c r="B217" s="1" t="n"/>
      <c r="C217" s="1" t="n"/>
      <c r="D217" s="1" t="n"/>
      <c r="E217" s="181" t="n"/>
      <c r="F217" s="181" t="n"/>
      <c r="G217" s="1" t="n"/>
      <c r="H217" s="1" t="n"/>
      <c r="I217" s="1" t="n"/>
      <c r="J217" s="1" t="n"/>
      <c r="K217" s="181" t="n"/>
      <c r="L217" s="181" t="n"/>
      <c r="M217" s="181" t="n"/>
      <c r="N217" s="1" t="n"/>
      <c r="O217" s="181" t="n"/>
      <c r="P217" s="181" t="n"/>
      <c r="Q217" s="18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row>
    <row r="218" ht="15.75" customHeight="1" s="216">
      <c r="A218" s="1" t="n"/>
      <c r="B218" s="1" t="n"/>
      <c r="C218" s="1" t="n"/>
      <c r="D218" s="1" t="n"/>
      <c r="E218" s="181" t="n"/>
      <c r="F218" s="181" t="n"/>
      <c r="G218" s="1" t="n"/>
      <c r="H218" s="1" t="n"/>
      <c r="I218" s="1" t="n"/>
      <c r="J218" s="1" t="n"/>
      <c r="K218" s="181" t="n"/>
      <c r="L218" s="181" t="n"/>
      <c r="M218" s="181" t="n"/>
      <c r="N218" s="1" t="n"/>
      <c r="O218" s="181" t="n"/>
      <c r="P218" s="181" t="n"/>
      <c r="Q218" s="18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row>
    <row r="219" ht="15.75" customHeight="1" s="216">
      <c r="A219" s="1" t="n"/>
      <c r="B219" s="1" t="n"/>
      <c r="C219" s="1" t="n"/>
      <c r="D219" s="1" t="n"/>
      <c r="E219" s="181" t="n"/>
      <c r="F219" s="181" t="n"/>
      <c r="G219" s="1" t="n"/>
      <c r="H219" s="1" t="n"/>
      <c r="I219" s="1" t="n"/>
      <c r="J219" s="1" t="n"/>
      <c r="K219" s="181" t="n"/>
      <c r="L219" s="181" t="n"/>
      <c r="M219" s="181" t="n"/>
      <c r="N219" s="1" t="n"/>
      <c r="O219" s="181" t="n"/>
      <c r="P219" s="181" t="n"/>
      <c r="Q219" s="18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row>
    <row r="220" ht="15.75" customHeight="1" s="216">
      <c r="A220" s="1" t="n"/>
      <c r="B220" s="1" t="n"/>
      <c r="C220" s="1" t="n"/>
      <c r="D220" s="1" t="n"/>
      <c r="E220" s="181" t="n"/>
      <c r="F220" s="181" t="n"/>
      <c r="G220" s="1" t="n"/>
      <c r="H220" s="1" t="n"/>
      <c r="I220" s="1" t="n"/>
      <c r="J220" s="1" t="n"/>
      <c r="K220" s="181" t="n"/>
      <c r="L220" s="181" t="n"/>
      <c r="M220" s="181" t="n"/>
      <c r="N220" s="1" t="n"/>
      <c r="O220" s="181" t="n"/>
      <c r="P220" s="181" t="n"/>
      <c r="Q220" s="18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row>
    <row r="221" ht="15.75" customHeight="1" s="216">
      <c r="D221" s="109" t="n"/>
      <c r="E221" s="109" t="n"/>
      <c r="J221" s="109" t="n"/>
      <c r="K221" s="109" t="n"/>
      <c r="L221" s="109" t="n"/>
      <c r="N221" s="109" t="n"/>
      <c r="O221" s="109" t="n"/>
      <c r="P221" s="109" t="n"/>
      <c r="T221" s="109" t="n"/>
      <c r="U221" s="109" t="n"/>
      <c r="V221" s="109" t="n"/>
      <c r="Z221" s="109" t="n"/>
      <c r="AA221" s="109" t="n"/>
      <c r="AB221" s="109" t="n"/>
      <c r="AF221" s="109" t="n"/>
      <c r="AG221" s="109" t="n"/>
      <c r="AH221" s="109" t="n"/>
      <c r="AL221" s="109" t="n"/>
      <c r="AM221" s="109" t="n"/>
      <c r="AN221" s="109" t="n"/>
    </row>
    <row r="222" ht="15.75" customHeight="1" s="216">
      <c r="D222" s="109" t="n"/>
      <c r="E222" s="109" t="n"/>
      <c r="J222" s="109" t="n"/>
      <c r="K222" s="109" t="n"/>
      <c r="L222" s="109" t="n"/>
      <c r="N222" s="109" t="n"/>
      <c r="O222" s="109" t="n"/>
      <c r="P222" s="109" t="n"/>
      <c r="T222" s="109" t="n"/>
      <c r="U222" s="109" t="n"/>
      <c r="V222" s="109" t="n"/>
      <c r="Z222" s="109" t="n"/>
      <c r="AA222" s="109" t="n"/>
      <c r="AB222" s="109" t="n"/>
      <c r="AF222" s="109" t="n"/>
      <c r="AG222" s="109" t="n"/>
      <c r="AH222" s="109" t="n"/>
      <c r="AL222" s="109" t="n"/>
      <c r="AM222" s="109" t="n"/>
      <c r="AN222" s="109" t="n"/>
    </row>
    <row r="223" ht="15.75" customHeight="1" s="216">
      <c r="D223" s="109" t="n"/>
      <c r="E223" s="109" t="n"/>
      <c r="J223" s="109" t="n"/>
      <c r="K223" s="109" t="n"/>
      <c r="L223" s="109" t="n"/>
      <c r="N223" s="109" t="n"/>
      <c r="O223" s="109" t="n"/>
      <c r="P223" s="109" t="n"/>
      <c r="T223" s="109" t="n"/>
      <c r="U223" s="109" t="n"/>
      <c r="V223" s="109" t="n"/>
      <c r="Z223" s="109" t="n"/>
      <c r="AA223" s="109" t="n"/>
      <c r="AB223" s="109" t="n"/>
      <c r="AF223" s="109" t="n"/>
      <c r="AG223" s="109" t="n"/>
      <c r="AH223" s="109" t="n"/>
      <c r="AL223" s="109" t="n"/>
      <c r="AM223" s="109" t="n"/>
      <c r="AN223" s="109" t="n"/>
    </row>
    <row r="224" ht="15.75" customHeight="1" s="216">
      <c r="D224" s="109" t="n"/>
      <c r="E224" s="109" t="n"/>
      <c r="J224" s="109" t="n"/>
      <c r="K224" s="109" t="n"/>
      <c r="L224" s="109" t="n"/>
      <c r="N224" s="109" t="n"/>
      <c r="O224" s="109" t="n"/>
      <c r="P224" s="109" t="n"/>
      <c r="T224" s="109" t="n"/>
      <c r="U224" s="109" t="n"/>
      <c r="V224" s="109" t="n"/>
      <c r="Z224" s="109" t="n"/>
      <c r="AA224" s="109" t="n"/>
      <c r="AB224" s="109" t="n"/>
      <c r="AF224" s="109" t="n"/>
      <c r="AG224" s="109" t="n"/>
      <c r="AH224" s="109" t="n"/>
      <c r="AL224" s="109" t="n"/>
      <c r="AM224" s="109" t="n"/>
      <c r="AN224" s="109" t="n"/>
    </row>
    <row r="225" ht="15.75" customHeight="1" s="216">
      <c r="D225" s="109" t="n"/>
      <c r="E225" s="109" t="n"/>
      <c r="J225" s="109" t="n"/>
      <c r="K225" s="109" t="n"/>
      <c r="L225" s="109" t="n"/>
      <c r="N225" s="109" t="n"/>
      <c r="O225" s="109" t="n"/>
      <c r="P225" s="109" t="n"/>
      <c r="T225" s="109" t="n"/>
      <c r="U225" s="109" t="n"/>
      <c r="V225" s="109" t="n"/>
      <c r="Z225" s="109" t="n"/>
      <c r="AA225" s="109" t="n"/>
      <c r="AB225" s="109" t="n"/>
      <c r="AF225" s="109" t="n"/>
      <c r="AG225" s="109" t="n"/>
      <c r="AH225" s="109" t="n"/>
      <c r="AL225" s="109" t="n"/>
      <c r="AM225" s="109" t="n"/>
      <c r="AN225" s="109" t="n"/>
    </row>
    <row r="226" ht="15.75" customHeight="1" s="216">
      <c r="D226" s="109" t="n"/>
      <c r="E226" s="109" t="n"/>
      <c r="J226" s="109" t="n"/>
      <c r="K226" s="109" t="n"/>
      <c r="L226" s="109" t="n"/>
      <c r="N226" s="109" t="n"/>
      <c r="O226" s="109" t="n"/>
      <c r="P226" s="109" t="n"/>
      <c r="T226" s="109" t="n"/>
      <c r="U226" s="109" t="n"/>
      <c r="V226" s="109" t="n"/>
      <c r="Z226" s="109" t="n"/>
      <c r="AA226" s="109" t="n"/>
      <c r="AB226" s="109" t="n"/>
      <c r="AF226" s="109" t="n"/>
      <c r="AG226" s="109" t="n"/>
      <c r="AH226" s="109" t="n"/>
      <c r="AL226" s="109" t="n"/>
      <c r="AM226" s="109" t="n"/>
      <c r="AN226" s="109" t="n"/>
    </row>
    <row r="227" ht="15.75" customHeight="1" s="216">
      <c r="D227" s="109" t="n"/>
      <c r="E227" s="109" t="n"/>
      <c r="J227" s="109" t="n"/>
      <c r="K227" s="109" t="n"/>
      <c r="L227" s="109" t="n"/>
      <c r="N227" s="109" t="n"/>
      <c r="O227" s="109" t="n"/>
      <c r="P227" s="109" t="n"/>
      <c r="T227" s="109" t="n"/>
      <c r="U227" s="109" t="n"/>
      <c r="V227" s="109" t="n"/>
      <c r="Z227" s="109" t="n"/>
      <c r="AA227" s="109" t="n"/>
      <c r="AB227" s="109" t="n"/>
      <c r="AF227" s="109" t="n"/>
      <c r="AG227" s="109" t="n"/>
      <c r="AH227" s="109" t="n"/>
      <c r="AL227" s="109" t="n"/>
      <c r="AM227" s="109" t="n"/>
      <c r="AN227" s="109" t="n"/>
    </row>
    <row r="228" ht="15.75" customHeight="1" s="216">
      <c r="D228" s="109" t="n"/>
      <c r="E228" s="109" t="n"/>
      <c r="J228" s="109" t="n"/>
      <c r="K228" s="109" t="n"/>
      <c r="L228" s="109" t="n"/>
      <c r="N228" s="109" t="n"/>
      <c r="O228" s="109" t="n"/>
      <c r="P228" s="109" t="n"/>
      <c r="T228" s="109" t="n"/>
      <c r="U228" s="109" t="n"/>
      <c r="V228" s="109" t="n"/>
      <c r="Z228" s="109" t="n"/>
      <c r="AA228" s="109" t="n"/>
      <c r="AB228" s="109" t="n"/>
      <c r="AF228" s="109" t="n"/>
      <c r="AG228" s="109" t="n"/>
      <c r="AH228" s="109" t="n"/>
      <c r="AL228" s="109" t="n"/>
      <c r="AM228" s="109" t="n"/>
      <c r="AN228" s="109" t="n"/>
    </row>
    <row r="229" ht="15.75" customHeight="1" s="216">
      <c r="D229" s="109" t="n"/>
      <c r="E229" s="109" t="n"/>
      <c r="J229" s="109" t="n"/>
      <c r="K229" s="109" t="n"/>
      <c r="L229" s="109" t="n"/>
      <c r="N229" s="109" t="n"/>
      <c r="O229" s="109" t="n"/>
      <c r="P229" s="109" t="n"/>
      <c r="T229" s="109" t="n"/>
      <c r="U229" s="109" t="n"/>
      <c r="V229" s="109" t="n"/>
      <c r="Z229" s="109" t="n"/>
      <c r="AA229" s="109" t="n"/>
      <c r="AB229" s="109" t="n"/>
      <c r="AF229" s="109" t="n"/>
      <c r="AG229" s="109" t="n"/>
      <c r="AH229" s="109" t="n"/>
      <c r="AL229" s="109" t="n"/>
      <c r="AM229" s="109" t="n"/>
      <c r="AN229" s="109" t="n"/>
    </row>
    <row r="230" ht="15.75" customHeight="1" s="216">
      <c r="D230" s="109" t="n"/>
      <c r="E230" s="109" t="n"/>
      <c r="J230" s="109" t="n"/>
      <c r="K230" s="109" t="n"/>
      <c r="L230" s="109" t="n"/>
      <c r="N230" s="109" t="n"/>
      <c r="O230" s="109" t="n"/>
      <c r="P230" s="109" t="n"/>
      <c r="T230" s="109" t="n"/>
      <c r="U230" s="109" t="n"/>
      <c r="V230" s="109" t="n"/>
      <c r="Z230" s="109" t="n"/>
      <c r="AA230" s="109" t="n"/>
      <c r="AB230" s="109" t="n"/>
      <c r="AF230" s="109" t="n"/>
      <c r="AG230" s="109" t="n"/>
      <c r="AH230" s="109" t="n"/>
      <c r="AL230" s="109" t="n"/>
      <c r="AM230" s="109" t="n"/>
      <c r="AN230" s="109" t="n"/>
    </row>
    <row r="231" ht="15.75" customHeight="1" s="216">
      <c r="D231" s="109" t="n"/>
      <c r="E231" s="109" t="n"/>
      <c r="J231" s="109" t="n"/>
      <c r="K231" s="109" t="n"/>
      <c r="L231" s="109" t="n"/>
      <c r="N231" s="109" t="n"/>
      <c r="O231" s="109" t="n"/>
      <c r="P231" s="109" t="n"/>
      <c r="T231" s="109" t="n"/>
      <c r="U231" s="109" t="n"/>
      <c r="V231" s="109" t="n"/>
      <c r="Z231" s="109" t="n"/>
      <c r="AA231" s="109" t="n"/>
      <c r="AB231" s="109" t="n"/>
      <c r="AF231" s="109" t="n"/>
      <c r="AG231" s="109" t="n"/>
      <c r="AH231" s="109" t="n"/>
      <c r="AL231" s="109" t="n"/>
      <c r="AM231" s="109" t="n"/>
      <c r="AN231" s="109" t="n"/>
    </row>
    <row r="232" ht="15.75" customHeight="1" s="216">
      <c r="D232" s="109" t="n"/>
      <c r="E232" s="109" t="n"/>
      <c r="J232" s="109" t="n"/>
      <c r="K232" s="109" t="n"/>
      <c r="L232" s="109" t="n"/>
      <c r="N232" s="109" t="n"/>
      <c r="O232" s="109" t="n"/>
      <c r="P232" s="109" t="n"/>
      <c r="T232" s="109" t="n"/>
      <c r="U232" s="109" t="n"/>
      <c r="V232" s="109" t="n"/>
      <c r="Z232" s="109" t="n"/>
      <c r="AA232" s="109" t="n"/>
      <c r="AB232" s="109" t="n"/>
      <c r="AF232" s="109" t="n"/>
      <c r="AG232" s="109" t="n"/>
      <c r="AH232" s="109" t="n"/>
      <c r="AL232" s="109" t="n"/>
      <c r="AM232" s="109" t="n"/>
      <c r="AN232" s="109" t="n"/>
    </row>
    <row r="233" ht="15.75" customHeight="1" s="216">
      <c r="D233" s="109" t="n"/>
      <c r="E233" s="109" t="n"/>
      <c r="J233" s="109" t="n"/>
      <c r="K233" s="109" t="n"/>
      <c r="L233" s="109" t="n"/>
      <c r="N233" s="109" t="n"/>
      <c r="O233" s="109" t="n"/>
      <c r="P233" s="109" t="n"/>
      <c r="T233" s="109" t="n"/>
      <c r="U233" s="109" t="n"/>
      <c r="V233" s="109" t="n"/>
      <c r="Z233" s="109" t="n"/>
      <c r="AA233" s="109" t="n"/>
      <c r="AB233" s="109" t="n"/>
      <c r="AF233" s="109" t="n"/>
      <c r="AG233" s="109" t="n"/>
      <c r="AH233" s="109" t="n"/>
      <c r="AL233" s="109" t="n"/>
      <c r="AM233" s="109" t="n"/>
      <c r="AN233" s="109" t="n"/>
    </row>
    <row r="234" ht="15.75" customHeight="1" s="216">
      <c r="D234" s="109" t="n"/>
      <c r="E234" s="109" t="n"/>
      <c r="J234" s="109" t="n"/>
      <c r="K234" s="109" t="n"/>
      <c r="L234" s="109" t="n"/>
      <c r="N234" s="109" t="n"/>
      <c r="O234" s="109" t="n"/>
      <c r="P234" s="109" t="n"/>
      <c r="T234" s="109" t="n"/>
      <c r="U234" s="109" t="n"/>
      <c r="V234" s="109" t="n"/>
      <c r="Z234" s="109" t="n"/>
      <c r="AA234" s="109" t="n"/>
      <c r="AB234" s="109" t="n"/>
      <c r="AF234" s="109" t="n"/>
      <c r="AG234" s="109" t="n"/>
      <c r="AH234" s="109" t="n"/>
      <c r="AL234" s="109" t="n"/>
      <c r="AM234" s="109" t="n"/>
      <c r="AN234" s="109" t="n"/>
    </row>
    <row r="235" ht="15.75" customHeight="1" s="216">
      <c r="D235" s="109" t="n"/>
      <c r="E235" s="109" t="n"/>
      <c r="J235" s="109" t="n"/>
      <c r="K235" s="109" t="n"/>
      <c r="L235" s="109" t="n"/>
      <c r="N235" s="109" t="n"/>
      <c r="O235" s="109" t="n"/>
      <c r="P235" s="109" t="n"/>
      <c r="T235" s="109" t="n"/>
      <c r="U235" s="109" t="n"/>
      <c r="V235" s="109" t="n"/>
      <c r="Z235" s="109" t="n"/>
      <c r="AA235" s="109" t="n"/>
      <c r="AB235" s="109" t="n"/>
      <c r="AF235" s="109" t="n"/>
      <c r="AG235" s="109" t="n"/>
      <c r="AH235" s="109" t="n"/>
      <c r="AL235" s="109" t="n"/>
      <c r="AM235" s="109" t="n"/>
      <c r="AN235" s="109" t="n"/>
    </row>
    <row r="236" ht="15.75" customHeight="1" s="216">
      <c r="D236" s="109" t="n"/>
      <c r="E236" s="109" t="n"/>
      <c r="J236" s="109" t="n"/>
      <c r="K236" s="109" t="n"/>
      <c r="L236" s="109" t="n"/>
      <c r="N236" s="109" t="n"/>
      <c r="O236" s="109" t="n"/>
      <c r="P236" s="109" t="n"/>
      <c r="T236" s="109" t="n"/>
      <c r="U236" s="109" t="n"/>
      <c r="V236" s="109" t="n"/>
      <c r="Z236" s="109" t="n"/>
      <c r="AA236" s="109" t="n"/>
      <c r="AB236" s="109" t="n"/>
      <c r="AF236" s="109" t="n"/>
      <c r="AG236" s="109" t="n"/>
      <c r="AH236" s="109" t="n"/>
      <c r="AL236" s="109" t="n"/>
      <c r="AM236" s="109" t="n"/>
      <c r="AN236" s="109" t="n"/>
    </row>
    <row r="237" ht="15.75" customHeight="1" s="216">
      <c r="D237" s="109" t="n"/>
      <c r="E237" s="109" t="n"/>
      <c r="J237" s="109" t="n"/>
      <c r="K237" s="109" t="n"/>
      <c r="L237" s="109" t="n"/>
      <c r="N237" s="109" t="n"/>
      <c r="O237" s="109" t="n"/>
      <c r="P237" s="109" t="n"/>
      <c r="T237" s="109" t="n"/>
      <c r="U237" s="109" t="n"/>
      <c r="V237" s="109" t="n"/>
      <c r="Z237" s="109" t="n"/>
      <c r="AA237" s="109" t="n"/>
      <c r="AB237" s="109" t="n"/>
      <c r="AF237" s="109" t="n"/>
      <c r="AG237" s="109" t="n"/>
      <c r="AH237" s="109" t="n"/>
      <c r="AL237" s="109" t="n"/>
      <c r="AM237" s="109" t="n"/>
      <c r="AN237" s="109" t="n"/>
    </row>
    <row r="238" ht="15.75" customHeight="1" s="216">
      <c r="D238" s="109" t="n"/>
      <c r="E238" s="109" t="n"/>
      <c r="J238" s="109" t="n"/>
      <c r="K238" s="109" t="n"/>
      <c r="L238" s="109" t="n"/>
      <c r="N238" s="109" t="n"/>
      <c r="O238" s="109" t="n"/>
      <c r="P238" s="109" t="n"/>
      <c r="T238" s="109" t="n"/>
      <c r="U238" s="109" t="n"/>
      <c r="V238" s="109" t="n"/>
      <c r="Z238" s="109" t="n"/>
      <c r="AA238" s="109" t="n"/>
      <c r="AB238" s="109" t="n"/>
      <c r="AF238" s="109" t="n"/>
      <c r="AG238" s="109" t="n"/>
      <c r="AH238" s="109" t="n"/>
      <c r="AL238" s="109" t="n"/>
      <c r="AM238" s="109" t="n"/>
      <c r="AN238" s="109" t="n"/>
    </row>
    <row r="239" ht="15.75" customHeight="1" s="216">
      <c r="D239" s="109" t="n"/>
      <c r="E239" s="109" t="n"/>
      <c r="J239" s="109" t="n"/>
      <c r="K239" s="109" t="n"/>
      <c r="L239" s="109" t="n"/>
      <c r="N239" s="109" t="n"/>
      <c r="O239" s="109" t="n"/>
      <c r="P239" s="109" t="n"/>
      <c r="T239" s="109" t="n"/>
      <c r="U239" s="109" t="n"/>
      <c r="V239" s="109" t="n"/>
      <c r="Z239" s="109" t="n"/>
      <c r="AA239" s="109" t="n"/>
      <c r="AB239" s="109" t="n"/>
      <c r="AF239" s="109" t="n"/>
      <c r="AG239" s="109" t="n"/>
      <c r="AH239" s="109" t="n"/>
      <c r="AL239" s="109" t="n"/>
      <c r="AM239" s="109" t="n"/>
      <c r="AN239" s="109" t="n"/>
    </row>
    <row r="240" ht="15.75" customHeight="1" s="216">
      <c r="D240" s="109" t="n"/>
      <c r="E240" s="109" t="n"/>
      <c r="J240" s="109" t="n"/>
      <c r="K240" s="109" t="n"/>
      <c r="L240" s="109" t="n"/>
      <c r="N240" s="109" t="n"/>
      <c r="O240" s="109" t="n"/>
      <c r="P240" s="109" t="n"/>
      <c r="T240" s="109" t="n"/>
      <c r="U240" s="109" t="n"/>
      <c r="V240" s="109" t="n"/>
      <c r="Z240" s="109" t="n"/>
      <c r="AA240" s="109" t="n"/>
      <c r="AB240" s="109" t="n"/>
      <c r="AF240" s="109" t="n"/>
      <c r="AG240" s="109" t="n"/>
      <c r="AH240" s="109" t="n"/>
      <c r="AL240" s="109" t="n"/>
      <c r="AM240" s="109" t="n"/>
      <c r="AN240" s="109" t="n"/>
    </row>
    <row r="241" ht="15.75" customHeight="1" s="216">
      <c r="D241" s="109" t="n"/>
      <c r="E241" s="109" t="n"/>
      <c r="J241" s="109" t="n"/>
      <c r="K241" s="109" t="n"/>
      <c r="L241" s="109" t="n"/>
      <c r="N241" s="109" t="n"/>
      <c r="O241" s="109" t="n"/>
      <c r="P241" s="109" t="n"/>
      <c r="T241" s="109" t="n"/>
      <c r="U241" s="109" t="n"/>
      <c r="V241" s="109" t="n"/>
      <c r="Z241" s="109" t="n"/>
      <c r="AA241" s="109" t="n"/>
      <c r="AB241" s="109" t="n"/>
      <c r="AF241" s="109" t="n"/>
      <c r="AG241" s="109" t="n"/>
      <c r="AH241" s="109" t="n"/>
      <c r="AL241" s="109" t="n"/>
      <c r="AM241" s="109" t="n"/>
      <c r="AN241" s="109" t="n"/>
    </row>
    <row r="242" ht="15.75" customHeight="1" s="216">
      <c r="D242" s="109" t="n"/>
      <c r="E242" s="109" t="n"/>
      <c r="J242" s="109" t="n"/>
      <c r="K242" s="109" t="n"/>
      <c r="L242" s="109" t="n"/>
      <c r="N242" s="109" t="n"/>
      <c r="O242" s="109" t="n"/>
      <c r="P242" s="109" t="n"/>
      <c r="T242" s="109" t="n"/>
      <c r="U242" s="109" t="n"/>
      <c r="V242" s="109" t="n"/>
      <c r="Z242" s="109" t="n"/>
      <c r="AA242" s="109" t="n"/>
      <c r="AB242" s="109" t="n"/>
      <c r="AF242" s="109" t="n"/>
      <c r="AG242" s="109" t="n"/>
      <c r="AH242" s="109" t="n"/>
      <c r="AL242" s="109" t="n"/>
      <c r="AM242" s="109" t="n"/>
      <c r="AN242" s="109" t="n"/>
    </row>
    <row r="243" ht="15.75" customHeight="1" s="216">
      <c r="D243" s="109" t="n"/>
      <c r="E243" s="109" t="n"/>
      <c r="J243" s="109" t="n"/>
      <c r="K243" s="109" t="n"/>
      <c r="L243" s="109" t="n"/>
      <c r="N243" s="109" t="n"/>
      <c r="O243" s="109" t="n"/>
      <c r="P243" s="109" t="n"/>
      <c r="T243" s="109" t="n"/>
      <c r="U243" s="109" t="n"/>
      <c r="V243" s="109" t="n"/>
      <c r="Z243" s="109" t="n"/>
      <c r="AA243" s="109" t="n"/>
      <c r="AB243" s="109" t="n"/>
      <c r="AF243" s="109" t="n"/>
      <c r="AG243" s="109" t="n"/>
      <c r="AH243" s="109" t="n"/>
      <c r="AL243" s="109" t="n"/>
      <c r="AM243" s="109" t="n"/>
      <c r="AN243" s="109" t="n"/>
    </row>
    <row r="244" ht="15.75" customHeight="1" s="216">
      <c r="D244" s="109" t="n"/>
      <c r="E244" s="109" t="n"/>
      <c r="J244" s="109" t="n"/>
      <c r="K244" s="109" t="n"/>
      <c r="L244" s="109" t="n"/>
      <c r="N244" s="109" t="n"/>
      <c r="O244" s="109" t="n"/>
      <c r="P244" s="109" t="n"/>
      <c r="T244" s="109" t="n"/>
      <c r="U244" s="109" t="n"/>
      <c r="V244" s="109" t="n"/>
      <c r="Z244" s="109" t="n"/>
      <c r="AA244" s="109" t="n"/>
      <c r="AB244" s="109" t="n"/>
      <c r="AF244" s="109" t="n"/>
      <c r="AG244" s="109" t="n"/>
      <c r="AH244" s="109" t="n"/>
      <c r="AL244" s="109" t="n"/>
      <c r="AM244" s="109" t="n"/>
      <c r="AN244" s="109" t="n"/>
    </row>
    <row r="245" ht="15.75" customHeight="1" s="216">
      <c r="D245" s="109" t="n"/>
      <c r="E245" s="109" t="n"/>
      <c r="J245" s="109" t="n"/>
      <c r="K245" s="109" t="n"/>
      <c r="L245" s="109" t="n"/>
      <c r="N245" s="109" t="n"/>
      <c r="O245" s="109" t="n"/>
      <c r="P245" s="109" t="n"/>
      <c r="T245" s="109" t="n"/>
      <c r="U245" s="109" t="n"/>
      <c r="V245" s="109" t="n"/>
      <c r="Z245" s="109" t="n"/>
      <c r="AA245" s="109" t="n"/>
      <c r="AB245" s="109" t="n"/>
      <c r="AF245" s="109" t="n"/>
      <c r="AG245" s="109" t="n"/>
      <c r="AH245" s="109" t="n"/>
      <c r="AL245" s="109" t="n"/>
      <c r="AM245" s="109" t="n"/>
      <c r="AN245" s="109" t="n"/>
    </row>
    <row r="246" ht="15.75" customHeight="1" s="216">
      <c r="D246" s="109" t="n"/>
      <c r="E246" s="109" t="n"/>
      <c r="J246" s="109" t="n"/>
      <c r="K246" s="109" t="n"/>
      <c r="L246" s="109" t="n"/>
      <c r="N246" s="109" t="n"/>
      <c r="O246" s="109" t="n"/>
      <c r="P246" s="109" t="n"/>
      <c r="T246" s="109" t="n"/>
      <c r="U246" s="109" t="n"/>
      <c r="V246" s="109" t="n"/>
      <c r="Z246" s="109" t="n"/>
      <c r="AA246" s="109" t="n"/>
      <c r="AB246" s="109" t="n"/>
      <c r="AF246" s="109" t="n"/>
      <c r="AG246" s="109" t="n"/>
      <c r="AH246" s="109" t="n"/>
      <c r="AL246" s="109" t="n"/>
      <c r="AM246" s="109" t="n"/>
      <c r="AN246" s="109" t="n"/>
    </row>
    <row r="247" ht="15.75" customHeight="1" s="216">
      <c r="D247" s="109" t="n"/>
      <c r="E247" s="109" t="n"/>
      <c r="J247" s="109" t="n"/>
      <c r="K247" s="109" t="n"/>
      <c r="L247" s="109" t="n"/>
      <c r="N247" s="109" t="n"/>
      <c r="O247" s="109" t="n"/>
      <c r="P247" s="109" t="n"/>
      <c r="T247" s="109" t="n"/>
      <c r="U247" s="109" t="n"/>
      <c r="V247" s="109" t="n"/>
      <c r="Z247" s="109" t="n"/>
      <c r="AA247" s="109" t="n"/>
      <c r="AB247" s="109" t="n"/>
      <c r="AF247" s="109" t="n"/>
      <c r="AG247" s="109" t="n"/>
      <c r="AH247" s="109" t="n"/>
      <c r="AL247" s="109" t="n"/>
      <c r="AM247" s="109" t="n"/>
      <c r="AN247" s="109" t="n"/>
    </row>
    <row r="248" ht="15.75" customHeight="1" s="216">
      <c r="D248" s="109" t="n"/>
      <c r="E248" s="109" t="n"/>
      <c r="J248" s="109" t="n"/>
      <c r="K248" s="109" t="n"/>
      <c r="L248" s="109" t="n"/>
      <c r="N248" s="109" t="n"/>
      <c r="O248" s="109" t="n"/>
      <c r="P248" s="109" t="n"/>
      <c r="T248" s="109" t="n"/>
      <c r="U248" s="109" t="n"/>
      <c r="V248" s="109" t="n"/>
      <c r="Z248" s="109" t="n"/>
      <c r="AA248" s="109" t="n"/>
      <c r="AB248" s="109" t="n"/>
      <c r="AF248" s="109" t="n"/>
      <c r="AG248" s="109" t="n"/>
      <c r="AH248" s="109" t="n"/>
      <c r="AL248" s="109" t="n"/>
      <c r="AM248" s="109" t="n"/>
      <c r="AN248" s="109" t="n"/>
    </row>
    <row r="249" ht="15.75" customHeight="1" s="216">
      <c r="D249" s="109" t="n"/>
      <c r="E249" s="109" t="n"/>
      <c r="J249" s="109" t="n"/>
      <c r="K249" s="109" t="n"/>
      <c r="L249" s="109" t="n"/>
      <c r="N249" s="109" t="n"/>
      <c r="O249" s="109" t="n"/>
      <c r="P249" s="109" t="n"/>
      <c r="T249" s="109" t="n"/>
      <c r="U249" s="109" t="n"/>
      <c r="V249" s="109" t="n"/>
      <c r="Z249" s="109" t="n"/>
      <c r="AA249" s="109" t="n"/>
      <c r="AB249" s="109" t="n"/>
      <c r="AF249" s="109" t="n"/>
      <c r="AG249" s="109" t="n"/>
      <c r="AH249" s="109" t="n"/>
      <c r="AL249" s="109" t="n"/>
      <c r="AM249" s="109" t="n"/>
      <c r="AN249" s="109" t="n"/>
    </row>
    <row r="250" ht="15.75" customHeight="1" s="216">
      <c r="D250" s="109" t="n"/>
      <c r="E250" s="109" t="n"/>
      <c r="J250" s="109" t="n"/>
      <c r="K250" s="109" t="n"/>
      <c r="L250" s="109" t="n"/>
      <c r="N250" s="109" t="n"/>
      <c r="O250" s="109" t="n"/>
      <c r="P250" s="109" t="n"/>
      <c r="T250" s="109" t="n"/>
      <c r="U250" s="109" t="n"/>
      <c r="V250" s="109" t="n"/>
      <c r="Z250" s="109" t="n"/>
      <c r="AA250" s="109" t="n"/>
      <c r="AB250" s="109" t="n"/>
      <c r="AF250" s="109" t="n"/>
      <c r="AG250" s="109" t="n"/>
      <c r="AH250" s="109" t="n"/>
      <c r="AL250" s="109" t="n"/>
      <c r="AM250" s="109" t="n"/>
      <c r="AN250" s="109" t="n"/>
    </row>
    <row r="251" ht="15.75" customHeight="1" s="216">
      <c r="D251" s="109" t="n"/>
      <c r="E251" s="109" t="n"/>
      <c r="J251" s="109" t="n"/>
      <c r="K251" s="109" t="n"/>
      <c r="L251" s="109" t="n"/>
      <c r="N251" s="109" t="n"/>
      <c r="O251" s="109" t="n"/>
      <c r="P251" s="109" t="n"/>
      <c r="T251" s="109" t="n"/>
      <c r="U251" s="109" t="n"/>
      <c r="V251" s="109" t="n"/>
      <c r="Z251" s="109" t="n"/>
      <c r="AA251" s="109" t="n"/>
      <c r="AB251" s="109" t="n"/>
      <c r="AF251" s="109" t="n"/>
      <c r="AG251" s="109" t="n"/>
      <c r="AH251" s="109" t="n"/>
      <c r="AL251" s="109" t="n"/>
      <c r="AM251" s="109" t="n"/>
      <c r="AN251" s="109" t="n"/>
    </row>
    <row r="252" ht="15.75" customHeight="1" s="216">
      <c r="D252" s="109" t="n"/>
      <c r="E252" s="109" t="n"/>
      <c r="J252" s="109" t="n"/>
      <c r="K252" s="109" t="n"/>
      <c r="L252" s="109" t="n"/>
      <c r="N252" s="109" t="n"/>
      <c r="O252" s="109" t="n"/>
      <c r="P252" s="109" t="n"/>
      <c r="T252" s="109" t="n"/>
      <c r="U252" s="109" t="n"/>
      <c r="V252" s="109" t="n"/>
      <c r="Z252" s="109" t="n"/>
      <c r="AA252" s="109" t="n"/>
      <c r="AB252" s="109" t="n"/>
      <c r="AF252" s="109" t="n"/>
      <c r="AG252" s="109" t="n"/>
      <c r="AH252" s="109" t="n"/>
      <c r="AL252" s="109" t="n"/>
      <c r="AM252" s="109" t="n"/>
      <c r="AN252" s="109" t="n"/>
    </row>
    <row r="253" ht="15.75" customHeight="1" s="216">
      <c r="D253" s="109" t="n"/>
      <c r="E253" s="109" t="n"/>
      <c r="J253" s="109" t="n"/>
      <c r="K253" s="109" t="n"/>
      <c r="L253" s="109" t="n"/>
      <c r="N253" s="109" t="n"/>
      <c r="O253" s="109" t="n"/>
      <c r="P253" s="109" t="n"/>
      <c r="T253" s="109" t="n"/>
      <c r="U253" s="109" t="n"/>
      <c r="V253" s="109" t="n"/>
      <c r="Z253" s="109" t="n"/>
      <c r="AA253" s="109" t="n"/>
      <c r="AB253" s="109" t="n"/>
      <c r="AF253" s="109" t="n"/>
      <c r="AG253" s="109" t="n"/>
      <c r="AH253" s="109" t="n"/>
      <c r="AL253" s="109" t="n"/>
      <c r="AM253" s="109" t="n"/>
      <c r="AN253" s="109" t="n"/>
    </row>
    <row r="254" ht="15.75" customHeight="1" s="216">
      <c r="D254" s="109" t="n"/>
      <c r="E254" s="109" t="n"/>
      <c r="J254" s="109" t="n"/>
      <c r="K254" s="109" t="n"/>
      <c r="L254" s="109" t="n"/>
      <c r="N254" s="109" t="n"/>
      <c r="O254" s="109" t="n"/>
      <c r="P254" s="109" t="n"/>
      <c r="T254" s="109" t="n"/>
      <c r="U254" s="109" t="n"/>
      <c r="V254" s="109" t="n"/>
      <c r="Z254" s="109" t="n"/>
      <c r="AA254" s="109" t="n"/>
      <c r="AB254" s="109" t="n"/>
      <c r="AF254" s="109" t="n"/>
      <c r="AG254" s="109" t="n"/>
      <c r="AH254" s="109" t="n"/>
      <c r="AL254" s="109" t="n"/>
      <c r="AM254" s="109" t="n"/>
      <c r="AN254" s="109" t="n"/>
    </row>
    <row r="255" ht="15.75" customHeight="1" s="216">
      <c r="D255" s="109" t="n"/>
      <c r="E255" s="109" t="n"/>
      <c r="J255" s="109" t="n"/>
      <c r="K255" s="109" t="n"/>
      <c r="L255" s="109" t="n"/>
      <c r="N255" s="109" t="n"/>
      <c r="O255" s="109" t="n"/>
      <c r="P255" s="109" t="n"/>
      <c r="T255" s="109" t="n"/>
      <c r="U255" s="109" t="n"/>
      <c r="V255" s="109" t="n"/>
      <c r="Z255" s="109" t="n"/>
      <c r="AA255" s="109" t="n"/>
      <c r="AB255" s="109" t="n"/>
      <c r="AF255" s="109" t="n"/>
      <c r="AG255" s="109" t="n"/>
      <c r="AH255" s="109" t="n"/>
      <c r="AL255" s="109" t="n"/>
      <c r="AM255" s="109" t="n"/>
      <c r="AN255" s="109" t="n"/>
    </row>
    <row r="256" ht="15.75" customHeight="1" s="216">
      <c r="D256" s="109" t="n"/>
      <c r="E256" s="109" t="n"/>
      <c r="J256" s="109" t="n"/>
      <c r="K256" s="109" t="n"/>
      <c r="L256" s="109" t="n"/>
      <c r="N256" s="109" t="n"/>
      <c r="O256" s="109" t="n"/>
      <c r="P256" s="109" t="n"/>
      <c r="T256" s="109" t="n"/>
      <c r="U256" s="109" t="n"/>
      <c r="V256" s="109" t="n"/>
      <c r="Z256" s="109" t="n"/>
      <c r="AA256" s="109" t="n"/>
      <c r="AB256" s="109" t="n"/>
      <c r="AF256" s="109" t="n"/>
      <c r="AG256" s="109" t="n"/>
      <c r="AH256" s="109" t="n"/>
      <c r="AL256" s="109" t="n"/>
      <c r="AM256" s="109" t="n"/>
      <c r="AN256" s="109" t="n"/>
    </row>
    <row r="257" ht="15.75" customHeight="1" s="216">
      <c r="D257" s="109" t="n"/>
      <c r="E257" s="109" t="n"/>
      <c r="J257" s="109" t="n"/>
      <c r="K257" s="109" t="n"/>
      <c r="L257" s="109" t="n"/>
      <c r="N257" s="109" t="n"/>
      <c r="O257" s="109" t="n"/>
      <c r="P257" s="109" t="n"/>
      <c r="T257" s="109" t="n"/>
      <c r="U257" s="109" t="n"/>
      <c r="V257" s="109" t="n"/>
      <c r="Z257" s="109" t="n"/>
      <c r="AA257" s="109" t="n"/>
      <c r="AB257" s="109" t="n"/>
      <c r="AF257" s="109" t="n"/>
      <c r="AG257" s="109" t="n"/>
      <c r="AH257" s="109" t="n"/>
      <c r="AL257" s="109" t="n"/>
      <c r="AM257" s="109" t="n"/>
      <c r="AN257" s="109" t="n"/>
    </row>
    <row r="258" ht="15.75" customHeight="1" s="216">
      <c r="D258" s="109" t="n"/>
      <c r="E258" s="109" t="n"/>
      <c r="J258" s="109" t="n"/>
      <c r="K258" s="109" t="n"/>
      <c r="L258" s="109" t="n"/>
      <c r="N258" s="109" t="n"/>
      <c r="O258" s="109" t="n"/>
      <c r="P258" s="109" t="n"/>
      <c r="T258" s="109" t="n"/>
      <c r="U258" s="109" t="n"/>
      <c r="V258" s="109" t="n"/>
      <c r="Z258" s="109" t="n"/>
      <c r="AA258" s="109" t="n"/>
      <c r="AB258" s="109" t="n"/>
      <c r="AF258" s="109" t="n"/>
      <c r="AG258" s="109" t="n"/>
      <c r="AH258" s="109" t="n"/>
      <c r="AL258" s="109" t="n"/>
      <c r="AM258" s="109" t="n"/>
      <c r="AN258" s="109" t="n"/>
    </row>
    <row r="259" ht="15.75" customHeight="1" s="216">
      <c r="D259" s="109" t="n"/>
      <c r="E259" s="109" t="n"/>
      <c r="J259" s="109" t="n"/>
      <c r="K259" s="109" t="n"/>
      <c r="L259" s="109" t="n"/>
      <c r="N259" s="109" t="n"/>
      <c r="O259" s="109" t="n"/>
      <c r="P259" s="109" t="n"/>
      <c r="T259" s="109" t="n"/>
      <c r="U259" s="109" t="n"/>
      <c r="V259" s="109" t="n"/>
      <c r="Z259" s="109" t="n"/>
      <c r="AA259" s="109" t="n"/>
      <c r="AB259" s="109" t="n"/>
      <c r="AF259" s="109" t="n"/>
      <c r="AG259" s="109" t="n"/>
      <c r="AH259" s="109" t="n"/>
      <c r="AL259" s="109" t="n"/>
      <c r="AM259" s="109" t="n"/>
      <c r="AN259" s="109" t="n"/>
    </row>
    <row r="260" ht="15.75" customHeight="1" s="216">
      <c r="D260" s="109" t="n"/>
      <c r="E260" s="109" t="n"/>
      <c r="J260" s="109" t="n"/>
      <c r="K260" s="109" t="n"/>
      <c r="L260" s="109" t="n"/>
      <c r="N260" s="109" t="n"/>
      <c r="O260" s="109" t="n"/>
      <c r="P260" s="109" t="n"/>
      <c r="T260" s="109" t="n"/>
      <c r="U260" s="109" t="n"/>
      <c r="V260" s="109" t="n"/>
      <c r="Z260" s="109" t="n"/>
      <c r="AA260" s="109" t="n"/>
      <c r="AB260" s="109" t="n"/>
      <c r="AF260" s="109" t="n"/>
      <c r="AG260" s="109" t="n"/>
      <c r="AH260" s="109" t="n"/>
      <c r="AL260" s="109" t="n"/>
      <c r="AM260" s="109" t="n"/>
      <c r="AN260" s="109" t="n"/>
    </row>
    <row r="261" ht="15.75" customHeight="1" s="216">
      <c r="D261" s="109" t="n"/>
      <c r="E261" s="109" t="n"/>
      <c r="J261" s="109" t="n"/>
      <c r="K261" s="109" t="n"/>
      <c r="L261" s="109" t="n"/>
      <c r="N261" s="109" t="n"/>
      <c r="O261" s="109" t="n"/>
      <c r="P261" s="109" t="n"/>
      <c r="T261" s="109" t="n"/>
      <c r="U261" s="109" t="n"/>
      <c r="V261" s="109" t="n"/>
      <c r="Z261" s="109" t="n"/>
      <c r="AA261" s="109" t="n"/>
      <c r="AB261" s="109" t="n"/>
      <c r="AF261" s="109" t="n"/>
      <c r="AG261" s="109" t="n"/>
      <c r="AH261" s="109" t="n"/>
      <c r="AL261" s="109" t="n"/>
      <c r="AM261" s="109" t="n"/>
      <c r="AN261" s="109" t="n"/>
    </row>
    <row r="262" ht="15.75" customHeight="1" s="216">
      <c r="D262" s="109" t="n"/>
      <c r="E262" s="109" t="n"/>
      <c r="J262" s="109" t="n"/>
      <c r="K262" s="109" t="n"/>
      <c r="L262" s="109" t="n"/>
      <c r="N262" s="109" t="n"/>
      <c r="O262" s="109" t="n"/>
      <c r="P262" s="109" t="n"/>
      <c r="T262" s="109" t="n"/>
      <c r="U262" s="109" t="n"/>
      <c r="V262" s="109" t="n"/>
      <c r="Z262" s="109" t="n"/>
      <c r="AA262" s="109" t="n"/>
      <c r="AB262" s="109" t="n"/>
      <c r="AF262" s="109" t="n"/>
      <c r="AG262" s="109" t="n"/>
      <c r="AH262" s="109" t="n"/>
      <c r="AL262" s="109" t="n"/>
      <c r="AM262" s="109" t="n"/>
      <c r="AN262" s="109" t="n"/>
    </row>
    <row r="263" ht="15.75" customHeight="1" s="216">
      <c r="D263" s="109" t="n"/>
      <c r="E263" s="109" t="n"/>
      <c r="J263" s="109" t="n"/>
      <c r="K263" s="109" t="n"/>
      <c r="L263" s="109" t="n"/>
      <c r="N263" s="109" t="n"/>
      <c r="O263" s="109" t="n"/>
      <c r="P263" s="109" t="n"/>
      <c r="T263" s="109" t="n"/>
      <c r="U263" s="109" t="n"/>
      <c r="V263" s="109" t="n"/>
      <c r="Z263" s="109" t="n"/>
      <c r="AA263" s="109" t="n"/>
      <c r="AB263" s="109" t="n"/>
      <c r="AF263" s="109" t="n"/>
      <c r="AG263" s="109" t="n"/>
      <c r="AH263" s="109" t="n"/>
      <c r="AL263" s="109" t="n"/>
      <c r="AM263" s="109" t="n"/>
      <c r="AN263" s="109" t="n"/>
    </row>
    <row r="264" ht="15.75" customHeight="1" s="216">
      <c r="D264" s="109" t="n"/>
      <c r="E264" s="109" t="n"/>
      <c r="J264" s="109" t="n"/>
      <c r="K264" s="109" t="n"/>
      <c r="L264" s="109" t="n"/>
      <c r="N264" s="109" t="n"/>
      <c r="O264" s="109" t="n"/>
      <c r="P264" s="109" t="n"/>
      <c r="T264" s="109" t="n"/>
      <c r="U264" s="109" t="n"/>
      <c r="V264" s="109" t="n"/>
      <c r="Z264" s="109" t="n"/>
      <c r="AA264" s="109" t="n"/>
      <c r="AB264" s="109" t="n"/>
      <c r="AF264" s="109" t="n"/>
      <c r="AG264" s="109" t="n"/>
      <c r="AH264" s="109" t="n"/>
      <c r="AL264" s="109" t="n"/>
      <c r="AM264" s="109" t="n"/>
      <c r="AN264" s="109" t="n"/>
    </row>
    <row r="265" ht="15.75" customHeight="1" s="216">
      <c r="D265" s="109" t="n"/>
      <c r="E265" s="109" t="n"/>
      <c r="J265" s="109" t="n"/>
      <c r="K265" s="109" t="n"/>
      <c r="L265" s="109" t="n"/>
      <c r="N265" s="109" t="n"/>
      <c r="O265" s="109" t="n"/>
      <c r="P265" s="109" t="n"/>
      <c r="T265" s="109" t="n"/>
      <c r="U265" s="109" t="n"/>
      <c r="V265" s="109" t="n"/>
      <c r="Z265" s="109" t="n"/>
      <c r="AA265" s="109" t="n"/>
      <c r="AB265" s="109" t="n"/>
      <c r="AF265" s="109" t="n"/>
      <c r="AG265" s="109" t="n"/>
      <c r="AH265" s="109" t="n"/>
      <c r="AL265" s="109" t="n"/>
      <c r="AM265" s="109" t="n"/>
      <c r="AN265" s="109" t="n"/>
    </row>
    <row r="266" ht="15.75" customHeight="1" s="216">
      <c r="D266" s="109" t="n"/>
      <c r="E266" s="109" t="n"/>
      <c r="J266" s="109" t="n"/>
      <c r="K266" s="109" t="n"/>
      <c r="L266" s="109" t="n"/>
      <c r="N266" s="109" t="n"/>
      <c r="O266" s="109" t="n"/>
      <c r="P266" s="109" t="n"/>
      <c r="T266" s="109" t="n"/>
      <c r="U266" s="109" t="n"/>
      <c r="V266" s="109" t="n"/>
      <c r="Z266" s="109" t="n"/>
      <c r="AA266" s="109" t="n"/>
      <c r="AB266" s="109" t="n"/>
      <c r="AF266" s="109" t="n"/>
      <c r="AG266" s="109" t="n"/>
      <c r="AH266" s="109" t="n"/>
      <c r="AL266" s="109" t="n"/>
      <c r="AM266" s="109" t="n"/>
      <c r="AN266" s="109" t="n"/>
    </row>
    <row r="267" ht="15.75" customHeight="1" s="216">
      <c r="D267" s="109" t="n"/>
      <c r="E267" s="109" t="n"/>
      <c r="J267" s="109" t="n"/>
      <c r="K267" s="109" t="n"/>
      <c r="L267" s="109" t="n"/>
      <c r="N267" s="109" t="n"/>
      <c r="O267" s="109" t="n"/>
      <c r="P267" s="109" t="n"/>
      <c r="T267" s="109" t="n"/>
      <c r="U267" s="109" t="n"/>
      <c r="V267" s="109" t="n"/>
      <c r="Z267" s="109" t="n"/>
      <c r="AA267" s="109" t="n"/>
      <c r="AB267" s="109" t="n"/>
      <c r="AF267" s="109" t="n"/>
      <c r="AG267" s="109" t="n"/>
      <c r="AH267" s="109" t="n"/>
      <c r="AL267" s="109" t="n"/>
      <c r="AM267" s="109" t="n"/>
      <c r="AN267" s="109" t="n"/>
    </row>
    <row r="268" ht="15.75" customHeight="1" s="216">
      <c r="D268" s="109" t="n"/>
      <c r="E268" s="109" t="n"/>
      <c r="J268" s="109" t="n"/>
      <c r="K268" s="109" t="n"/>
      <c r="L268" s="109" t="n"/>
      <c r="N268" s="109" t="n"/>
      <c r="O268" s="109" t="n"/>
      <c r="P268" s="109" t="n"/>
      <c r="T268" s="109" t="n"/>
      <c r="U268" s="109" t="n"/>
      <c r="V268" s="109" t="n"/>
      <c r="Z268" s="109" t="n"/>
      <c r="AA268" s="109" t="n"/>
      <c r="AB268" s="109" t="n"/>
      <c r="AF268" s="109" t="n"/>
      <c r="AG268" s="109" t="n"/>
      <c r="AH268" s="109" t="n"/>
      <c r="AL268" s="109" t="n"/>
      <c r="AM268" s="109" t="n"/>
      <c r="AN268" s="109" t="n"/>
    </row>
    <row r="269" ht="15.75" customHeight="1" s="216">
      <c r="D269" s="109" t="n"/>
      <c r="E269" s="109" t="n"/>
      <c r="J269" s="109" t="n"/>
      <c r="K269" s="109" t="n"/>
      <c r="L269" s="109" t="n"/>
      <c r="N269" s="109" t="n"/>
      <c r="O269" s="109" t="n"/>
      <c r="P269" s="109" t="n"/>
      <c r="T269" s="109" t="n"/>
      <c r="U269" s="109" t="n"/>
      <c r="V269" s="109" t="n"/>
      <c r="Z269" s="109" t="n"/>
      <c r="AA269" s="109" t="n"/>
      <c r="AB269" s="109" t="n"/>
      <c r="AF269" s="109" t="n"/>
      <c r="AG269" s="109" t="n"/>
      <c r="AH269" s="109" t="n"/>
      <c r="AL269" s="109" t="n"/>
      <c r="AM269" s="109" t="n"/>
      <c r="AN269" s="109" t="n"/>
    </row>
    <row r="270" ht="15.75" customHeight="1" s="216">
      <c r="D270" s="109" t="n"/>
      <c r="E270" s="109" t="n"/>
      <c r="J270" s="109" t="n"/>
      <c r="K270" s="109" t="n"/>
      <c r="L270" s="109" t="n"/>
      <c r="N270" s="109" t="n"/>
      <c r="O270" s="109" t="n"/>
      <c r="P270" s="109" t="n"/>
      <c r="T270" s="109" t="n"/>
      <c r="U270" s="109" t="n"/>
      <c r="V270" s="109" t="n"/>
      <c r="Z270" s="109" t="n"/>
      <c r="AA270" s="109" t="n"/>
      <c r="AB270" s="109" t="n"/>
      <c r="AF270" s="109" t="n"/>
      <c r="AG270" s="109" t="n"/>
      <c r="AH270" s="109" t="n"/>
      <c r="AL270" s="109" t="n"/>
      <c r="AM270" s="109" t="n"/>
      <c r="AN270" s="109" t="n"/>
    </row>
    <row r="271" ht="15.75" customHeight="1" s="216">
      <c r="D271" s="109" t="n"/>
      <c r="E271" s="109" t="n"/>
      <c r="J271" s="109" t="n"/>
      <c r="K271" s="109" t="n"/>
      <c r="L271" s="109" t="n"/>
      <c r="N271" s="109" t="n"/>
      <c r="O271" s="109" t="n"/>
      <c r="P271" s="109" t="n"/>
      <c r="T271" s="109" t="n"/>
      <c r="U271" s="109" t="n"/>
      <c r="V271" s="109" t="n"/>
      <c r="Z271" s="109" t="n"/>
      <c r="AA271" s="109" t="n"/>
      <c r="AB271" s="109" t="n"/>
      <c r="AF271" s="109" t="n"/>
      <c r="AG271" s="109" t="n"/>
      <c r="AH271" s="109" t="n"/>
      <c r="AL271" s="109" t="n"/>
      <c r="AM271" s="109" t="n"/>
      <c r="AN271" s="109" t="n"/>
    </row>
    <row r="272" ht="15.75" customHeight="1" s="216">
      <c r="D272" s="109" t="n"/>
      <c r="E272" s="109" t="n"/>
      <c r="J272" s="109" t="n"/>
      <c r="K272" s="109" t="n"/>
      <c r="L272" s="109" t="n"/>
      <c r="N272" s="109" t="n"/>
      <c r="O272" s="109" t="n"/>
      <c r="P272" s="109" t="n"/>
      <c r="T272" s="109" t="n"/>
      <c r="U272" s="109" t="n"/>
      <c r="V272" s="109" t="n"/>
      <c r="Z272" s="109" t="n"/>
      <c r="AA272" s="109" t="n"/>
      <c r="AB272" s="109" t="n"/>
      <c r="AF272" s="109" t="n"/>
      <c r="AG272" s="109" t="n"/>
      <c r="AH272" s="109" t="n"/>
      <c r="AL272" s="109" t="n"/>
      <c r="AM272" s="109" t="n"/>
      <c r="AN272" s="109" t="n"/>
    </row>
    <row r="273" ht="15.75" customHeight="1" s="216">
      <c r="D273" s="109" t="n"/>
      <c r="E273" s="109" t="n"/>
      <c r="J273" s="109" t="n"/>
      <c r="K273" s="109" t="n"/>
      <c r="L273" s="109" t="n"/>
      <c r="N273" s="109" t="n"/>
      <c r="O273" s="109" t="n"/>
      <c r="P273" s="109" t="n"/>
      <c r="T273" s="109" t="n"/>
      <c r="U273" s="109" t="n"/>
      <c r="V273" s="109" t="n"/>
      <c r="Z273" s="109" t="n"/>
      <c r="AA273" s="109" t="n"/>
      <c r="AB273" s="109" t="n"/>
      <c r="AF273" s="109" t="n"/>
      <c r="AG273" s="109" t="n"/>
      <c r="AH273" s="109" t="n"/>
      <c r="AL273" s="109" t="n"/>
      <c r="AM273" s="109" t="n"/>
      <c r="AN273" s="109" t="n"/>
    </row>
    <row r="274" ht="15.75" customHeight="1" s="216">
      <c r="D274" s="109" t="n"/>
      <c r="E274" s="109" t="n"/>
      <c r="J274" s="109" t="n"/>
      <c r="K274" s="109" t="n"/>
      <c r="L274" s="109" t="n"/>
      <c r="N274" s="109" t="n"/>
      <c r="O274" s="109" t="n"/>
      <c r="P274" s="109" t="n"/>
      <c r="T274" s="109" t="n"/>
      <c r="U274" s="109" t="n"/>
      <c r="V274" s="109" t="n"/>
      <c r="Z274" s="109" t="n"/>
      <c r="AA274" s="109" t="n"/>
      <c r="AB274" s="109" t="n"/>
      <c r="AF274" s="109" t="n"/>
      <c r="AG274" s="109" t="n"/>
      <c r="AH274" s="109" t="n"/>
      <c r="AL274" s="109" t="n"/>
      <c r="AM274" s="109" t="n"/>
      <c r="AN274" s="109" t="n"/>
    </row>
    <row r="275" ht="15.75" customHeight="1" s="216">
      <c r="D275" s="109" t="n"/>
      <c r="E275" s="109" t="n"/>
      <c r="J275" s="109" t="n"/>
      <c r="K275" s="109" t="n"/>
      <c r="L275" s="109" t="n"/>
      <c r="N275" s="109" t="n"/>
      <c r="O275" s="109" t="n"/>
      <c r="P275" s="109" t="n"/>
      <c r="T275" s="109" t="n"/>
      <c r="U275" s="109" t="n"/>
      <c r="V275" s="109" t="n"/>
      <c r="Z275" s="109" t="n"/>
      <c r="AA275" s="109" t="n"/>
      <c r="AB275" s="109" t="n"/>
      <c r="AF275" s="109" t="n"/>
      <c r="AG275" s="109" t="n"/>
      <c r="AH275" s="109" t="n"/>
      <c r="AL275" s="109" t="n"/>
      <c r="AM275" s="109" t="n"/>
      <c r="AN275" s="109" t="n"/>
    </row>
    <row r="276" ht="15.75" customHeight="1" s="216">
      <c r="D276" s="109" t="n"/>
      <c r="E276" s="109" t="n"/>
      <c r="J276" s="109" t="n"/>
      <c r="K276" s="109" t="n"/>
      <c r="L276" s="109" t="n"/>
      <c r="N276" s="109" t="n"/>
      <c r="O276" s="109" t="n"/>
      <c r="P276" s="109" t="n"/>
      <c r="T276" s="109" t="n"/>
      <c r="U276" s="109" t="n"/>
      <c r="V276" s="109" t="n"/>
      <c r="Z276" s="109" t="n"/>
      <c r="AA276" s="109" t="n"/>
      <c r="AB276" s="109" t="n"/>
      <c r="AF276" s="109" t="n"/>
      <c r="AG276" s="109" t="n"/>
      <c r="AH276" s="109" t="n"/>
      <c r="AL276" s="109" t="n"/>
      <c r="AM276" s="109" t="n"/>
      <c r="AN276" s="109" t="n"/>
    </row>
    <row r="277" ht="15.75" customHeight="1" s="216">
      <c r="D277" s="109" t="n"/>
      <c r="E277" s="109" t="n"/>
      <c r="J277" s="109" t="n"/>
      <c r="K277" s="109" t="n"/>
      <c r="L277" s="109" t="n"/>
      <c r="N277" s="109" t="n"/>
      <c r="O277" s="109" t="n"/>
      <c r="P277" s="109" t="n"/>
      <c r="T277" s="109" t="n"/>
      <c r="U277" s="109" t="n"/>
      <c r="V277" s="109" t="n"/>
      <c r="Z277" s="109" t="n"/>
      <c r="AA277" s="109" t="n"/>
      <c r="AB277" s="109" t="n"/>
      <c r="AF277" s="109" t="n"/>
      <c r="AG277" s="109" t="n"/>
      <c r="AH277" s="109" t="n"/>
      <c r="AL277" s="109" t="n"/>
      <c r="AM277" s="109" t="n"/>
      <c r="AN277" s="109" t="n"/>
    </row>
    <row r="278" ht="15.75" customHeight="1" s="216">
      <c r="D278" s="109" t="n"/>
      <c r="E278" s="109" t="n"/>
      <c r="J278" s="109" t="n"/>
      <c r="K278" s="109" t="n"/>
      <c r="L278" s="109" t="n"/>
      <c r="N278" s="109" t="n"/>
      <c r="O278" s="109" t="n"/>
      <c r="P278" s="109" t="n"/>
      <c r="T278" s="109" t="n"/>
      <c r="U278" s="109" t="n"/>
      <c r="V278" s="109" t="n"/>
      <c r="Z278" s="109" t="n"/>
      <c r="AA278" s="109" t="n"/>
      <c r="AB278" s="109" t="n"/>
      <c r="AF278" s="109" t="n"/>
      <c r="AG278" s="109" t="n"/>
      <c r="AH278" s="109" t="n"/>
      <c r="AL278" s="109" t="n"/>
      <c r="AM278" s="109" t="n"/>
      <c r="AN278" s="109" t="n"/>
    </row>
    <row r="279" ht="15.75" customHeight="1" s="216">
      <c r="D279" s="109" t="n"/>
      <c r="E279" s="109" t="n"/>
      <c r="J279" s="109" t="n"/>
      <c r="K279" s="109" t="n"/>
      <c r="L279" s="109" t="n"/>
      <c r="N279" s="109" t="n"/>
      <c r="O279" s="109" t="n"/>
      <c r="P279" s="109" t="n"/>
      <c r="T279" s="109" t="n"/>
      <c r="U279" s="109" t="n"/>
      <c r="V279" s="109" t="n"/>
      <c r="Z279" s="109" t="n"/>
      <c r="AA279" s="109" t="n"/>
      <c r="AB279" s="109" t="n"/>
      <c r="AF279" s="109" t="n"/>
      <c r="AG279" s="109" t="n"/>
      <c r="AH279" s="109" t="n"/>
      <c r="AL279" s="109" t="n"/>
      <c r="AM279" s="109" t="n"/>
      <c r="AN279" s="109" t="n"/>
    </row>
    <row r="280" ht="15.75" customHeight="1" s="216">
      <c r="D280" s="109" t="n"/>
      <c r="E280" s="109" t="n"/>
      <c r="J280" s="109" t="n"/>
      <c r="K280" s="109" t="n"/>
      <c r="L280" s="109" t="n"/>
      <c r="N280" s="109" t="n"/>
      <c r="O280" s="109" t="n"/>
      <c r="P280" s="109" t="n"/>
      <c r="T280" s="109" t="n"/>
      <c r="U280" s="109" t="n"/>
      <c r="V280" s="109" t="n"/>
      <c r="Z280" s="109" t="n"/>
      <c r="AA280" s="109" t="n"/>
      <c r="AB280" s="109" t="n"/>
      <c r="AF280" s="109" t="n"/>
      <c r="AG280" s="109" t="n"/>
      <c r="AH280" s="109" t="n"/>
      <c r="AL280" s="109" t="n"/>
      <c r="AM280" s="109" t="n"/>
      <c r="AN280" s="109" t="n"/>
    </row>
    <row r="281" ht="15.75" customHeight="1" s="216">
      <c r="D281" s="109" t="n"/>
      <c r="E281" s="109" t="n"/>
      <c r="J281" s="109" t="n"/>
      <c r="K281" s="109" t="n"/>
      <c r="L281" s="109" t="n"/>
      <c r="N281" s="109" t="n"/>
      <c r="O281" s="109" t="n"/>
      <c r="P281" s="109" t="n"/>
      <c r="T281" s="109" t="n"/>
      <c r="U281" s="109" t="n"/>
      <c r="V281" s="109" t="n"/>
      <c r="Z281" s="109" t="n"/>
      <c r="AA281" s="109" t="n"/>
      <c r="AB281" s="109" t="n"/>
      <c r="AF281" s="109" t="n"/>
      <c r="AG281" s="109" t="n"/>
      <c r="AH281" s="109" t="n"/>
      <c r="AL281" s="109" t="n"/>
      <c r="AM281" s="109" t="n"/>
      <c r="AN281" s="109" t="n"/>
    </row>
    <row r="282" ht="15.75" customHeight="1" s="216">
      <c r="D282" s="109" t="n"/>
      <c r="E282" s="109" t="n"/>
      <c r="J282" s="109" t="n"/>
      <c r="K282" s="109" t="n"/>
      <c r="L282" s="109" t="n"/>
      <c r="N282" s="109" t="n"/>
      <c r="O282" s="109" t="n"/>
      <c r="P282" s="109" t="n"/>
      <c r="T282" s="109" t="n"/>
      <c r="U282" s="109" t="n"/>
      <c r="V282" s="109" t="n"/>
      <c r="Z282" s="109" t="n"/>
      <c r="AA282" s="109" t="n"/>
      <c r="AB282" s="109" t="n"/>
      <c r="AF282" s="109" t="n"/>
      <c r="AG282" s="109" t="n"/>
      <c r="AH282" s="109" t="n"/>
      <c r="AL282" s="109" t="n"/>
      <c r="AM282" s="109" t="n"/>
      <c r="AN282" s="109" t="n"/>
    </row>
    <row r="283" ht="15.75" customHeight="1" s="216">
      <c r="D283" s="109" t="n"/>
      <c r="E283" s="109" t="n"/>
      <c r="J283" s="109" t="n"/>
      <c r="K283" s="109" t="n"/>
      <c r="L283" s="109" t="n"/>
      <c r="N283" s="109" t="n"/>
      <c r="O283" s="109" t="n"/>
      <c r="P283" s="109" t="n"/>
      <c r="T283" s="109" t="n"/>
      <c r="U283" s="109" t="n"/>
      <c r="V283" s="109" t="n"/>
      <c r="Z283" s="109" t="n"/>
      <c r="AA283" s="109" t="n"/>
      <c r="AB283" s="109" t="n"/>
      <c r="AF283" s="109" t="n"/>
      <c r="AG283" s="109" t="n"/>
      <c r="AH283" s="109" t="n"/>
      <c r="AL283" s="109" t="n"/>
      <c r="AM283" s="109" t="n"/>
      <c r="AN283" s="109" t="n"/>
    </row>
    <row r="284" ht="15.75" customHeight="1" s="216">
      <c r="D284" s="109" t="n"/>
      <c r="E284" s="109" t="n"/>
      <c r="J284" s="109" t="n"/>
      <c r="K284" s="109" t="n"/>
      <c r="L284" s="109" t="n"/>
      <c r="N284" s="109" t="n"/>
      <c r="O284" s="109" t="n"/>
      <c r="P284" s="109" t="n"/>
      <c r="T284" s="109" t="n"/>
      <c r="U284" s="109" t="n"/>
      <c r="V284" s="109" t="n"/>
      <c r="Z284" s="109" t="n"/>
      <c r="AA284" s="109" t="n"/>
      <c r="AB284" s="109" t="n"/>
      <c r="AF284" s="109" t="n"/>
      <c r="AG284" s="109" t="n"/>
      <c r="AH284" s="109" t="n"/>
      <c r="AL284" s="109" t="n"/>
      <c r="AM284" s="109" t="n"/>
      <c r="AN284" s="109" t="n"/>
    </row>
    <row r="285" ht="15.75" customHeight="1" s="216">
      <c r="D285" s="109" t="n"/>
      <c r="E285" s="109" t="n"/>
      <c r="J285" s="109" t="n"/>
      <c r="K285" s="109" t="n"/>
      <c r="L285" s="109" t="n"/>
      <c r="N285" s="109" t="n"/>
      <c r="O285" s="109" t="n"/>
      <c r="P285" s="109" t="n"/>
      <c r="T285" s="109" t="n"/>
      <c r="U285" s="109" t="n"/>
      <c r="V285" s="109" t="n"/>
      <c r="Z285" s="109" t="n"/>
      <c r="AA285" s="109" t="n"/>
      <c r="AB285" s="109" t="n"/>
      <c r="AF285" s="109" t="n"/>
      <c r="AG285" s="109" t="n"/>
      <c r="AH285" s="109" t="n"/>
      <c r="AL285" s="109" t="n"/>
      <c r="AM285" s="109" t="n"/>
      <c r="AN285" s="109" t="n"/>
    </row>
    <row r="286" ht="15.75" customHeight="1" s="216">
      <c r="D286" s="109" t="n"/>
      <c r="E286" s="109" t="n"/>
      <c r="J286" s="109" t="n"/>
      <c r="K286" s="109" t="n"/>
      <c r="L286" s="109" t="n"/>
      <c r="N286" s="109" t="n"/>
      <c r="O286" s="109" t="n"/>
      <c r="P286" s="109" t="n"/>
      <c r="T286" s="109" t="n"/>
      <c r="U286" s="109" t="n"/>
      <c r="V286" s="109" t="n"/>
      <c r="Z286" s="109" t="n"/>
      <c r="AA286" s="109" t="n"/>
      <c r="AB286" s="109" t="n"/>
      <c r="AF286" s="109" t="n"/>
      <c r="AG286" s="109" t="n"/>
      <c r="AH286" s="109" t="n"/>
      <c r="AL286" s="109" t="n"/>
      <c r="AM286" s="109" t="n"/>
      <c r="AN286" s="109" t="n"/>
    </row>
    <row r="287" ht="15.75" customHeight="1" s="216">
      <c r="D287" s="109" t="n"/>
      <c r="E287" s="109" t="n"/>
      <c r="J287" s="109" t="n"/>
      <c r="K287" s="109" t="n"/>
      <c r="L287" s="109" t="n"/>
      <c r="N287" s="109" t="n"/>
      <c r="O287" s="109" t="n"/>
      <c r="P287" s="109" t="n"/>
      <c r="T287" s="109" t="n"/>
      <c r="U287" s="109" t="n"/>
      <c r="V287" s="109" t="n"/>
      <c r="Z287" s="109" t="n"/>
      <c r="AA287" s="109" t="n"/>
      <c r="AB287" s="109" t="n"/>
      <c r="AF287" s="109" t="n"/>
      <c r="AG287" s="109" t="n"/>
      <c r="AH287" s="109" t="n"/>
      <c r="AL287" s="109" t="n"/>
      <c r="AM287" s="109" t="n"/>
      <c r="AN287" s="109" t="n"/>
    </row>
    <row r="288" ht="15.75" customHeight="1" s="216">
      <c r="D288" s="109" t="n"/>
      <c r="E288" s="109" t="n"/>
      <c r="J288" s="109" t="n"/>
      <c r="K288" s="109" t="n"/>
      <c r="L288" s="109" t="n"/>
      <c r="N288" s="109" t="n"/>
      <c r="O288" s="109" t="n"/>
      <c r="P288" s="109" t="n"/>
      <c r="T288" s="109" t="n"/>
      <c r="U288" s="109" t="n"/>
      <c r="V288" s="109" t="n"/>
      <c r="Z288" s="109" t="n"/>
      <c r="AA288" s="109" t="n"/>
      <c r="AB288" s="109" t="n"/>
      <c r="AF288" s="109" t="n"/>
      <c r="AG288" s="109" t="n"/>
      <c r="AH288" s="109" t="n"/>
      <c r="AL288" s="109" t="n"/>
      <c r="AM288" s="109" t="n"/>
      <c r="AN288" s="109" t="n"/>
    </row>
    <row r="289" ht="15.75" customHeight="1" s="216">
      <c r="D289" s="109" t="n"/>
      <c r="E289" s="109" t="n"/>
      <c r="J289" s="109" t="n"/>
      <c r="K289" s="109" t="n"/>
      <c r="L289" s="109" t="n"/>
      <c r="N289" s="109" t="n"/>
      <c r="O289" s="109" t="n"/>
      <c r="P289" s="109" t="n"/>
      <c r="T289" s="109" t="n"/>
      <c r="U289" s="109" t="n"/>
      <c r="V289" s="109" t="n"/>
      <c r="Z289" s="109" t="n"/>
      <c r="AA289" s="109" t="n"/>
      <c r="AB289" s="109" t="n"/>
      <c r="AF289" s="109" t="n"/>
      <c r="AG289" s="109" t="n"/>
      <c r="AH289" s="109" t="n"/>
      <c r="AL289" s="109" t="n"/>
      <c r="AM289" s="109" t="n"/>
      <c r="AN289" s="109" t="n"/>
    </row>
    <row r="290" ht="15.75" customHeight="1" s="216">
      <c r="D290" s="109" t="n"/>
      <c r="E290" s="109" t="n"/>
      <c r="J290" s="109" t="n"/>
      <c r="K290" s="109" t="n"/>
      <c r="L290" s="109" t="n"/>
      <c r="N290" s="109" t="n"/>
      <c r="O290" s="109" t="n"/>
      <c r="P290" s="109" t="n"/>
      <c r="T290" s="109" t="n"/>
      <c r="U290" s="109" t="n"/>
      <c r="V290" s="109" t="n"/>
      <c r="Z290" s="109" t="n"/>
      <c r="AA290" s="109" t="n"/>
      <c r="AB290" s="109" t="n"/>
      <c r="AF290" s="109" t="n"/>
      <c r="AG290" s="109" t="n"/>
      <c r="AH290" s="109" t="n"/>
      <c r="AL290" s="109" t="n"/>
      <c r="AM290" s="109" t="n"/>
      <c r="AN290" s="109" t="n"/>
    </row>
    <row r="291" ht="15.75" customHeight="1" s="216">
      <c r="D291" s="109" t="n"/>
      <c r="E291" s="109" t="n"/>
      <c r="J291" s="109" t="n"/>
      <c r="K291" s="109" t="n"/>
      <c r="L291" s="109" t="n"/>
      <c r="N291" s="109" t="n"/>
      <c r="O291" s="109" t="n"/>
      <c r="P291" s="109" t="n"/>
      <c r="T291" s="109" t="n"/>
      <c r="U291" s="109" t="n"/>
      <c r="V291" s="109" t="n"/>
      <c r="Z291" s="109" t="n"/>
      <c r="AA291" s="109" t="n"/>
      <c r="AB291" s="109" t="n"/>
      <c r="AF291" s="109" t="n"/>
      <c r="AG291" s="109" t="n"/>
      <c r="AH291" s="109" t="n"/>
      <c r="AL291" s="109" t="n"/>
      <c r="AM291" s="109" t="n"/>
      <c r="AN291" s="109" t="n"/>
    </row>
    <row r="292" ht="15.75" customHeight="1" s="216">
      <c r="D292" s="109" t="n"/>
      <c r="E292" s="109" t="n"/>
      <c r="J292" s="109" t="n"/>
      <c r="K292" s="109" t="n"/>
      <c r="L292" s="109" t="n"/>
      <c r="N292" s="109" t="n"/>
      <c r="O292" s="109" t="n"/>
      <c r="P292" s="109" t="n"/>
      <c r="T292" s="109" t="n"/>
      <c r="U292" s="109" t="n"/>
      <c r="V292" s="109" t="n"/>
      <c r="Z292" s="109" t="n"/>
      <c r="AA292" s="109" t="n"/>
      <c r="AB292" s="109" t="n"/>
      <c r="AF292" s="109" t="n"/>
      <c r="AG292" s="109" t="n"/>
      <c r="AH292" s="109" t="n"/>
      <c r="AL292" s="109" t="n"/>
      <c r="AM292" s="109" t="n"/>
      <c r="AN292" s="109" t="n"/>
    </row>
    <row r="293" ht="15.75" customHeight="1" s="216">
      <c r="D293" s="109" t="n"/>
      <c r="E293" s="109" t="n"/>
      <c r="J293" s="109" t="n"/>
      <c r="K293" s="109" t="n"/>
      <c r="L293" s="109" t="n"/>
      <c r="N293" s="109" t="n"/>
      <c r="O293" s="109" t="n"/>
      <c r="P293" s="109" t="n"/>
      <c r="T293" s="109" t="n"/>
      <c r="U293" s="109" t="n"/>
      <c r="V293" s="109" t="n"/>
      <c r="Z293" s="109" t="n"/>
      <c r="AA293" s="109" t="n"/>
      <c r="AB293" s="109" t="n"/>
      <c r="AF293" s="109" t="n"/>
      <c r="AG293" s="109" t="n"/>
      <c r="AH293" s="109" t="n"/>
      <c r="AL293" s="109" t="n"/>
      <c r="AM293" s="109" t="n"/>
      <c r="AN293" s="109" t="n"/>
    </row>
    <row r="294" ht="15.75" customHeight="1" s="216">
      <c r="D294" s="109" t="n"/>
      <c r="E294" s="109" t="n"/>
      <c r="J294" s="109" t="n"/>
      <c r="K294" s="109" t="n"/>
      <c r="L294" s="109" t="n"/>
      <c r="N294" s="109" t="n"/>
      <c r="O294" s="109" t="n"/>
      <c r="P294" s="109" t="n"/>
      <c r="T294" s="109" t="n"/>
      <c r="U294" s="109" t="n"/>
      <c r="V294" s="109" t="n"/>
      <c r="Z294" s="109" t="n"/>
      <c r="AA294" s="109" t="n"/>
      <c r="AB294" s="109" t="n"/>
      <c r="AF294" s="109" t="n"/>
      <c r="AG294" s="109" t="n"/>
      <c r="AH294" s="109" t="n"/>
      <c r="AL294" s="109" t="n"/>
      <c r="AM294" s="109" t="n"/>
      <c r="AN294" s="109" t="n"/>
    </row>
    <row r="295" ht="15.75" customHeight="1" s="216">
      <c r="D295" s="109" t="n"/>
      <c r="E295" s="109" t="n"/>
      <c r="J295" s="109" t="n"/>
      <c r="K295" s="109" t="n"/>
      <c r="L295" s="109" t="n"/>
      <c r="N295" s="109" t="n"/>
      <c r="O295" s="109" t="n"/>
      <c r="P295" s="109" t="n"/>
      <c r="T295" s="109" t="n"/>
      <c r="U295" s="109" t="n"/>
      <c r="V295" s="109" t="n"/>
      <c r="Z295" s="109" t="n"/>
      <c r="AA295" s="109" t="n"/>
      <c r="AB295" s="109" t="n"/>
      <c r="AF295" s="109" t="n"/>
      <c r="AG295" s="109" t="n"/>
      <c r="AH295" s="109" t="n"/>
      <c r="AL295" s="109" t="n"/>
      <c r="AM295" s="109" t="n"/>
      <c r="AN295" s="109" t="n"/>
    </row>
    <row r="296" ht="15.75" customHeight="1" s="216">
      <c r="D296" s="109" t="n"/>
      <c r="E296" s="109" t="n"/>
      <c r="J296" s="109" t="n"/>
      <c r="K296" s="109" t="n"/>
      <c r="L296" s="109" t="n"/>
      <c r="N296" s="109" t="n"/>
      <c r="O296" s="109" t="n"/>
      <c r="P296" s="109" t="n"/>
      <c r="T296" s="109" t="n"/>
      <c r="U296" s="109" t="n"/>
      <c r="V296" s="109" t="n"/>
      <c r="Z296" s="109" t="n"/>
      <c r="AA296" s="109" t="n"/>
      <c r="AB296" s="109" t="n"/>
      <c r="AF296" s="109" t="n"/>
      <c r="AG296" s="109" t="n"/>
      <c r="AH296" s="109" t="n"/>
      <c r="AL296" s="109" t="n"/>
      <c r="AM296" s="109" t="n"/>
      <c r="AN296" s="109" t="n"/>
    </row>
    <row r="297" ht="15.75" customHeight="1" s="216">
      <c r="D297" s="109" t="n"/>
      <c r="E297" s="109" t="n"/>
      <c r="J297" s="109" t="n"/>
      <c r="K297" s="109" t="n"/>
      <c r="L297" s="109" t="n"/>
      <c r="N297" s="109" t="n"/>
      <c r="O297" s="109" t="n"/>
      <c r="P297" s="109" t="n"/>
      <c r="T297" s="109" t="n"/>
      <c r="U297" s="109" t="n"/>
      <c r="V297" s="109" t="n"/>
      <c r="Z297" s="109" t="n"/>
      <c r="AA297" s="109" t="n"/>
      <c r="AB297" s="109" t="n"/>
      <c r="AF297" s="109" t="n"/>
      <c r="AG297" s="109" t="n"/>
      <c r="AH297" s="109" t="n"/>
      <c r="AL297" s="109" t="n"/>
      <c r="AM297" s="109" t="n"/>
      <c r="AN297" s="109" t="n"/>
    </row>
    <row r="298" ht="15.75" customHeight="1" s="216">
      <c r="D298" s="109" t="n"/>
      <c r="E298" s="109" t="n"/>
      <c r="J298" s="109" t="n"/>
      <c r="K298" s="109" t="n"/>
      <c r="L298" s="109" t="n"/>
      <c r="N298" s="109" t="n"/>
      <c r="O298" s="109" t="n"/>
      <c r="P298" s="109" t="n"/>
      <c r="T298" s="109" t="n"/>
      <c r="U298" s="109" t="n"/>
      <c r="V298" s="109" t="n"/>
      <c r="Z298" s="109" t="n"/>
      <c r="AA298" s="109" t="n"/>
      <c r="AB298" s="109" t="n"/>
      <c r="AF298" s="109" t="n"/>
      <c r="AG298" s="109" t="n"/>
      <c r="AH298" s="109" t="n"/>
      <c r="AL298" s="109" t="n"/>
      <c r="AM298" s="109" t="n"/>
      <c r="AN298" s="109" t="n"/>
    </row>
    <row r="299" ht="15.75" customHeight="1" s="216">
      <c r="D299" s="109" t="n"/>
      <c r="E299" s="109" t="n"/>
      <c r="J299" s="109" t="n"/>
      <c r="K299" s="109" t="n"/>
      <c r="L299" s="109" t="n"/>
      <c r="N299" s="109" t="n"/>
      <c r="O299" s="109" t="n"/>
      <c r="P299" s="109" t="n"/>
      <c r="T299" s="109" t="n"/>
      <c r="U299" s="109" t="n"/>
      <c r="V299" s="109" t="n"/>
      <c r="Z299" s="109" t="n"/>
      <c r="AA299" s="109" t="n"/>
      <c r="AB299" s="109" t="n"/>
      <c r="AF299" s="109" t="n"/>
      <c r="AG299" s="109" t="n"/>
      <c r="AH299" s="109" t="n"/>
      <c r="AL299" s="109" t="n"/>
      <c r="AM299" s="109" t="n"/>
      <c r="AN299" s="109" t="n"/>
    </row>
    <row r="300" ht="15.75" customHeight="1" s="216">
      <c r="D300" s="109" t="n"/>
      <c r="E300" s="109" t="n"/>
      <c r="J300" s="109" t="n"/>
      <c r="K300" s="109" t="n"/>
      <c r="L300" s="109" t="n"/>
      <c r="N300" s="109" t="n"/>
      <c r="O300" s="109" t="n"/>
      <c r="P300" s="109" t="n"/>
      <c r="T300" s="109" t="n"/>
      <c r="U300" s="109" t="n"/>
      <c r="V300" s="109" t="n"/>
      <c r="Z300" s="109" t="n"/>
      <c r="AA300" s="109" t="n"/>
      <c r="AB300" s="109" t="n"/>
      <c r="AF300" s="109" t="n"/>
      <c r="AG300" s="109" t="n"/>
      <c r="AH300" s="109" t="n"/>
      <c r="AL300" s="109" t="n"/>
      <c r="AM300" s="109" t="n"/>
      <c r="AN300" s="109" t="n"/>
    </row>
    <row r="301" ht="15.75" customHeight="1" s="216">
      <c r="D301" s="109" t="n"/>
      <c r="E301" s="109" t="n"/>
      <c r="J301" s="109" t="n"/>
      <c r="K301" s="109" t="n"/>
      <c r="L301" s="109" t="n"/>
      <c r="N301" s="109" t="n"/>
      <c r="O301" s="109" t="n"/>
      <c r="P301" s="109" t="n"/>
      <c r="T301" s="109" t="n"/>
      <c r="U301" s="109" t="n"/>
      <c r="V301" s="109" t="n"/>
      <c r="Z301" s="109" t="n"/>
      <c r="AA301" s="109" t="n"/>
      <c r="AB301" s="109" t="n"/>
      <c r="AF301" s="109" t="n"/>
      <c r="AG301" s="109" t="n"/>
      <c r="AH301" s="109" t="n"/>
      <c r="AL301" s="109" t="n"/>
      <c r="AM301" s="109" t="n"/>
      <c r="AN301" s="109" t="n"/>
    </row>
    <row r="302" ht="15.75" customHeight="1" s="216">
      <c r="D302" s="109" t="n"/>
      <c r="E302" s="109" t="n"/>
      <c r="J302" s="109" t="n"/>
      <c r="K302" s="109" t="n"/>
      <c r="L302" s="109" t="n"/>
      <c r="N302" s="109" t="n"/>
      <c r="O302" s="109" t="n"/>
      <c r="P302" s="109" t="n"/>
      <c r="T302" s="109" t="n"/>
      <c r="U302" s="109" t="n"/>
      <c r="V302" s="109" t="n"/>
      <c r="Z302" s="109" t="n"/>
      <c r="AA302" s="109" t="n"/>
      <c r="AB302" s="109" t="n"/>
      <c r="AF302" s="109" t="n"/>
      <c r="AG302" s="109" t="n"/>
      <c r="AH302" s="109" t="n"/>
      <c r="AL302" s="109" t="n"/>
      <c r="AM302" s="109" t="n"/>
      <c r="AN302" s="109" t="n"/>
    </row>
    <row r="303" ht="15.75" customHeight="1" s="216">
      <c r="D303" s="109" t="n"/>
      <c r="E303" s="109" t="n"/>
      <c r="J303" s="109" t="n"/>
      <c r="K303" s="109" t="n"/>
      <c r="L303" s="109" t="n"/>
      <c r="N303" s="109" t="n"/>
      <c r="O303" s="109" t="n"/>
      <c r="P303" s="109" t="n"/>
      <c r="T303" s="109" t="n"/>
      <c r="U303" s="109" t="n"/>
      <c r="V303" s="109" t="n"/>
      <c r="Z303" s="109" t="n"/>
      <c r="AA303" s="109" t="n"/>
      <c r="AB303" s="109" t="n"/>
      <c r="AF303" s="109" t="n"/>
      <c r="AG303" s="109" t="n"/>
      <c r="AH303" s="109" t="n"/>
      <c r="AL303" s="109" t="n"/>
      <c r="AM303" s="109" t="n"/>
      <c r="AN303" s="109" t="n"/>
    </row>
    <row r="304" ht="15.75" customHeight="1" s="216">
      <c r="D304" s="109" t="n"/>
      <c r="E304" s="109" t="n"/>
      <c r="J304" s="109" t="n"/>
      <c r="K304" s="109" t="n"/>
      <c r="L304" s="109" t="n"/>
      <c r="N304" s="109" t="n"/>
      <c r="O304" s="109" t="n"/>
      <c r="P304" s="109" t="n"/>
      <c r="T304" s="109" t="n"/>
      <c r="U304" s="109" t="n"/>
      <c r="V304" s="109" t="n"/>
      <c r="Z304" s="109" t="n"/>
      <c r="AA304" s="109" t="n"/>
      <c r="AB304" s="109" t="n"/>
      <c r="AF304" s="109" t="n"/>
      <c r="AG304" s="109" t="n"/>
      <c r="AH304" s="109" t="n"/>
      <c r="AL304" s="109" t="n"/>
      <c r="AM304" s="109" t="n"/>
      <c r="AN304" s="109" t="n"/>
    </row>
    <row r="305" ht="15.75" customHeight="1" s="216">
      <c r="D305" s="109" t="n"/>
      <c r="E305" s="109" t="n"/>
      <c r="J305" s="109" t="n"/>
      <c r="K305" s="109" t="n"/>
      <c r="L305" s="109" t="n"/>
      <c r="N305" s="109" t="n"/>
      <c r="O305" s="109" t="n"/>
      <c r="P305" s="109" t="n"/>
      <c r="T305" s="109" t="n"/>
      <c r="U305" s="109" t="n"/>
      <c r="V305" s="109" t="n"/>
      <c r="Z305" s="109" t="n"/>
      <c r="AA305" s="109" t="n"/>
      <c r="AB305" s="109" t="n"/>
      <c r="AF305" s="109" t="n"/>
      <c r="AG305" s="109" t="n"/>
      <c r="AH305" s="109" t="n"/>
      <c r="AL305" s="109" t="n"/>
      <c r="AM305" s="109" t="n"/>
      <c r="AN305" s="109" t="n"/>
    </row>
    <row r="306" ht="15.75" customHeight="1" s="216">
      <c r="D306" s="109" t="n"/>
      <c r="E306" s="109" t="n"/>
      <c r="J306" s="109" t="n"/>
      <c r="K306" s="109" t="n"/>
      <c r="L306" s="109" t="n"/>
      <c r="N306" s="109" t="n"/>
      <c r="O306" s="109" t="n"/>
      <c r="P306" s="109" t="n"/>
      <c r="T306" s="109" t="n"/>
      <c r="U306" s="109" t="n"/>
      <c r="V306" s="109" t="n"/>
      <c r="Z306" s="109" t="n"/>
      <c r="AA306" s="109" t="n"/>
      <c r="AB306" s="109" t="n"/>
      <c r="AF306" s="109" t="n"/>
      <c r="AG306" s="109" t="n"/>
      <c r="AH306" s="109" t="n"/>
      <c r="AL306" s="109" t="n"/>
      <c r="AM306" s="109" t="n"/>
      <c r="AN306" s="109" t="n"/>
    </row>
    <row r="307" ht="15.75" customHeight="1" s="216">
      <c r="D307" s="109" t="n"/>
      <c r="E307" s="109" t="n"/>
      <c r="J307" s="109" t="n"/>
      <c r="K307" s="109" t="n"/>
      <c r="L307" s="109" t="n"/>
      <c r="N307" s="109" t="n"/>
      <c r="O307" s="109" t="n"/>
      <c r="P307" s="109" t="n"/>
      <c r="T307" s="109" t="n"/>
      <c r="U307" s="109" t="n"/>
      <c r="V307" s="109" t="n"/>
      <c r="Z307" s="109" t="n"/>
      <c r="AA307" s="109" t="n"/>
      <c r="AB307" s="109" t="n"/>
      <c r="AF307" s="109" t="n"/>
      <c r="AG307" s="109" t="n"/>
      <c r="AH307" s="109" t="n"/>
      <c r="AL307" s="109" t="n"/>
      <c r="AM307" s="109" t="n"/>
      <c r="AN307" s="109" t="n"/>
    </row>
    <row r="308" ht="15.75" customHeight="1" s="216">
      <c r="D308" s="109" t="n"/>
      <c r="E308" s="109" t="n"/>
      <c r="J308" s="109" t="n"/>
      <c r="K308" s="109" t="n"/>
      <c r="L308" s="109" t="n"/>
      <c r="N308" s="109" t="n"/>
      <c r="O308" s="109" t="n"/>
      <c r="P308" s="109" t="n"/>
      <c r="T308" s="109" t="n"/>
      <c r="U308" s="109" t="n"/>
      <c r="V308" s="109" t="n"/>
      <c r="Z308" s="109" t="n"/>
      <c r="AA308" s="109" t="n"/>
      <c r="AB308" s="109" t="n"/>
      <c r="AF308" s="109" t="n"/>
      <c r="AG308" s="109" t="n"/>
      <c r="AH308" s="109" t="n"/>
      <c r="AL308" s="109" t="n"/>
      <c r="AM308" s="109" t="n"/>
      <c r="AN308" s="109" t="n"/>
    </row>
    <row r="309" ht="15.75" customHeight="1" s="216">
      <c r="D309" s="109" t="n"/>
      <c r="E309" s="109" t="n"/>
      <c r="J309" s="109" t="n"/>
      <c r="K309" s="109" t="n"/>
      <c r="L309" s="109" t="n"/>
      <c r="N309" s="109" t="n"/>
      <c r="O309" s="109" t="n"/>
      <c r="P309" s="109" t="n"/>
      <c r="T309" s="109" t="n"/>
      <c r="U309" s="109" t="n"/>
      <c r="V309" s="109" t="n"/>
      <c r="Z309" s="109" t="n"/>
      <c r="AA309" s="109" t="n"/>
      <c r="AB309" s="109" t="n"/>
      <c r="AF309" s="109" t="n"/>
      <c r="AG309" s="109" t="n"/>
      <c r="AH309" s="109" t="n"/>
      <c r="AL309" s="109" t="n"/>
      <c r="AM309" s="109" t="n"/>
      <c r="AN309" s="109" t="n"/>
    </row>
    <row r="310" ht="15.75" customHeight="1" s="216">
      <c r="D310" s="109" t="n"/>
      <c r="E310" s="109" t="n"/>
      <c r="J310" s="109" t="n"/>
      <c r="K310" s="109" t="n"/>
      <c r="L310" s="109" t="n"/>
      <c r="N310" s="109" t="n"/>
      <c r="O310" s="109" t="n"/>
      <c r="P310" s="109" t="n"/>
      <c r="T310" s="109" t="n"/>
      <c r="U310" s="109" t="n"/>
      <c r="V310" s="109" t="n"/>
      <c r="Z310" s="109" t="n"/>
      <c r="AA310" s="109" t="n"/>
      <c r="AB310" s="109" t="n"/>
      <c r="AF310" s="109" t="n"/>
      <c r="AG310" s="109" t="n"/>
      <c r="AH310" s="109" t="n"/>
      <c r="AL310" s="109" t="n"/>
      <c r="AM310" s="109" t="n"/>
      <c r="AN310" s="109" t="n"/>
    </row>
    <row r="311" ht="15.75" customHeight="1" s="216">
      <c r="D311" s="109" t="n"/>
      <c r="E311" s="109" t="n"/>
      <c r="J311" s="109" t="n"/>
      <c r="K311" s="109" t="n"/>
      <c r="L311" s="109" t="n"/>
      <c r="N311" s="109" t="n"/>
      <c r="O311" s="109" t="n"/>
      <c r="P311" s="109" t="n"/>
      <c r="T311" s="109" t="n"/>
      <c r="U311" s="109" t="n"/>
      <c r="V311" s="109" t="n"/>
      <c r="Z311" s="109" t="n"/>
      <c r="AA311" s="109" t="n"/>
      <c r="AB311" s="109" t="n"/>
      <c r="AF311" s="109" t="n"/>
      <c r="AG311" s="109" t="n"/>
      <c r="AH311" s="109" t="n"/>
      <c r="AL311" s="109" t="n"/>
      <c r="AM311" s="109" t="n"/>
      <c r="AN311" s="109" t="n"/>
    </row>
    <row r="312" ht="15.75" customHeight="1" s="216">
      <c r="D312" s="109" t="n"/>
      <c r="E312" s="109" t="n"/>
      <c r="J312" s="109" t="n"/>
      <c r="K312" s="109" t="n"/>
      <c r="L312" s="109" t="n"/>
      <c r="N312" s="109" t="n"/>
      <c r="O312" s="109" t="n"/>
      <c r="P312" s="109" t="n"/>
      <c r="T312" s="109" t="n"/>
      <c r="U312" s="109" t="n"/>
      <c r="V312" s="109" t="n"/>
      <c r="Z312" s="109" t="n"/>
      <c r="AA312" s="109" t="n"/>
      <c r="AB312" s="109" t="n"/>
      <c r="AF312" s="109" t="n"/>
      <c r="AG312" s="109" t="n"/>
      <c r="AH312" s="109" t="n"/>
      <c r="AL312" s="109" t="n"/>
      <c r="AM312" s="109" t="n"/>
      <c r="AN312" s="109" t="n"/>
    </row>
    <row r="313" ht="15.75" customHeight="1" s="216">
      <c r="D313" s="109" t="n"/>
      <c r="E313" s="109" t="n"/>
      <c r="J313" s="109" t="n"/>
      <c r="K313" s="109" t="n"/>
      <c r="L313" s="109" t="n"/>
      <c r="N313" s="109" t="n"/>
      <c r="O313" s="109" t="n"/>
      <c r="P313" s="109" t="n"/>
      <c r="T313" s="109" t="n"/>
      <c r="U313" s="109" t="n"/>
      <c r="V313" s="109" t="n"/>
      <c r="Z313" s="109" t="n"/>
      <c r="AA313" s="109" t="n"/>
      <c r="AB313" s="109" t="n"/>
      <c r="AF313" s="109" t="n"/>
      <c r="AG313" s="109" t="n"/>
      <c r="AH313" s="109" t="n"/>
      <c r="AL313" s="109" t="n"/>
      <c r="AM313" s="109" t="n"/>
      <c r="AN313" s="109" t="n"/>
    </row>
    <row r="314" ht="15.75" customHeight="1" s="216">
      <c r="D314" s="109" t="n"/>
      <c r="E314" s="109" t="n"/>
      <c r="J314" s="109" t="n"/>
      <c r="K314" s="109" t="n"/>
      <c r="L314" s="109" t="n"/>
      <c r="N314" s="109" t="n"/>
      <c r="O314" s="109" t="n"/>
      <c r="P314" s="109" t="n"/>
      <c r="T314" s="109" t="n"/>
      <c r="U314" s="109" t="n"/>
      <c r="V314" s="109" t="n"/>
      <c r="Z314" s="109" t="n"/>
      <c r="AA314" s="109" t="n"/>
      <c r="AB314" s="109" t="n"/>
      <c r="AF314" s="109" t="n"/>
      <c r="AG314" s="109" t="n"/>
      <c r="AH314" s="109" t="n"/>
      <c r="AL314" s="109" t="n"/>
      <c r="AM314" s="109" t="n"/>
      <c r="AN314" s="109" t="n"/>
    </row>
    <row r="315" ht="15.75" customHeight="1" s="216">
      <c r="D315" s="109" t="n"/>
      <c r="E315" s="109" t="n"/>
      <c r="J315" s="109" t="n"/>
      <c r="K315" s="109" t="n"/>
      <c r="L315" s="109" t="n"/>
      <c r="N315" s="109" t="n"/>
      <c r="O315" s="109" t="n"/>
      <c r="P315" s="109" t="n"/>
      <c r="T315" s="109" t="n"/>
      <c r="U315" s="109" t="n"/>
      <c r="V315" s="109" t="n"/>
      <c r="Z315" s="109" t="n"/>
      <c r="AA315" s="109" t="n"/>
      <c r="AB315" s="109" t="n"/>
      <c r="AF315" s="109" t="n"/>
      <c r="AG315" s="109" t="n"/>
      <c r="AH315" s="109" t="n"/>
      <c r="AL315" s="109" t="n"/>
      <c r="AM315" s="109" t="n"/>
      <c r="AN315" s="109" t="n"/>
    </row>
    <row r="316" ht="15.75" customHeight="1" s="216">
      <c r="D316" s="109" t="n"/>
      <c r="E316" s="109" t="n"/>
      <c r="J316" s="109" t="n"/>
      <c r="K316" s="109" t="n"/>
      <c r="L316" s="109" t="n"/>
      <c r="N316" s="109" t="n"/>
      <c r="O316" s="109" t="n"/>
      <c r="P316" s="109" t="n"/>
      <c r="T316" s="109" t="n"/>
      <c r="U316" s="109" t="n"/>
      <c r="V316" s="109" t="n"/>
      <c r="Z316" s="109" t="n"/>
      <c r="AA316" s="109" t="n"/>
      <c r="AB316" s="109" t="n"/>
      <c r="AF316" s="109" t="n"/>
      <c r="AG316" s="109" t="n"/>
      <c r="AH316" s="109" t="n"/>
      <c r="AL316" s="109" t="n"/>
      <c r="AM316" s="109" t="n"/>
      <c r="AN316" s="109" t="n"/>
    </row>
    <row r="317" ht="15.75" customHeight="1" s="216">
      <c r="D317" s="109" t="n"/>
      <c r="E317" s="109" t="n"/>
      <c r="J317" s="109" t="n"/>
      <c r="K317" s="109" t="n"/>
      <c r="L317" s="109" t="n"/>
      <c r="N317" s="109" t="n"/>
      <c r="O317" s="109" t="n"/>
      <c r="P317" s="109" t="n"/>
      <c r="T317" s="109" t="n"/>
      <c r="U317" s="109" t="n"/>
      <c r="V317" s="109" t="n"/>
      <c r="Z317" s="109" t="n"/>
      <c r="AA317" s="109" t="n"/>
      <c r="AB317" s="109" t="n"/>
      <c r="AF317" s="109" t="n"/>
      <c r="AG317" s="109" t="n"/>
      <c r="AH317" s="109" t="n"/>
      <c r="AL317" s="109" t="n"/>
      <c r="AM317" s="109" t="n"/>
      <c r="AN317" s="109" t="n"/>
    </row>
    <row r="318" ht="15.75" customHeight="1" s="216">
      <c r="D318" s="109" t="n"/>
      <c r="E318" s="109" t="n"/>
      <c r="J318" s="109" t="n"/>
      <c r="K318" s="109" t="n"/>
      <c r="L318" s="109" t="n"/>
      <c r="N318" s="109" t="n"/>
      <c r="O318" s="109" t="n"/>
      <c r="P318" s="109" t="n"/>
      <c r="T318" s="109" t="n"/>
      <c r="U318" s="109" t="n"/>
      <c r="V318" s="109" t="n"/>
      <c r="Z318" s="109" t="n"/>
      <c r="AA318" s="109" t="n"/>
      <c r="AB318" s="109" t="n"/>
      <c r="AF318" s="109" t="n"/>
      <c r="AG318" s="109" t="n"/>
      <c r="AH318" s="109" t="n"/>
      <c r="AL318" s="109" t="n"/>
      <c r="AM318" s="109" t="n"/>
      <c r="AN318" s="109" t="n"/>
    </row>
    <row r="319" ht="15.75" customHeight="1" s="216">
      <c r="D319" s="109" t="n"/>
      <c r="E319" s="109" t="n"/>
      <c r="J319" s="109" t="n"/>
      <c r="K319" s="109" t="n"/>
      <c r="L319" s="109" t="n"/>
      <c r="N319" s="109" t="n"/>
      <c r="O319" s="109" t="n"/>
      <c r="P319" s="109" t="n"/>
      <c r="T319" s="109" t="n"/>
      <c r="U319" s="109" t="n"/>
      <c r="V319" s="109" t="n"/>
      <c r="Z319" s="109" t="n"/>
      <c r="AA319" s="109" t="n"/>
      <c r="AB319" s="109" t="n"/>
      <c r="AF319" s="109" t="n"/>
      <c r="AG319" s="109" t="n"/>
      <c r="AH319" s="109" t="n"/>
      <c r="AL319" s="109" t="n"/>
      <c r="AM319" s="109" t="n"/>
      <c r="AN319" s="109" t="n"/>
    </row>
    <row r="320" ht="15.75" customHeight="1" s="216">
      <c r="D320" s="109" t="n"/>
      <c r="E320" s="109" t="n"/>
      <c r="J320" s="109" t="n"/>
      <c r="K320" s="109" t="n"/>
      <c r="L320" s="109" t="n"/>
      <c r="N320" s="109" t="n"/>
      <c r="O320" s="109" t="n"/>
      <c r="P320" s="109" t="n"/>
      <c r="T320" s="109" t="n"/>
      <c r="U320" s="109" t="n"/>
      <c r="V320" s="109" t="n"/>
      <c r="Z320" s="109" t="n"/>
      <c r="AA320" s="109" t="n"/>
      <c r="AB320" s="109" t="n"/>
      <c r="AF320" s="109" t="n"/>
      <c r="AG320" s="109" t="n"/>
      <c r="AH320" s="109" t="n"/>
      <c r="AL320" s="109" t="n"/>
      <c r="AM320" s="109" t="n"/>
      <c r="AN320" s="109" t="n"/>
    </row>
    <row r="321" ht="15.75" customHeight="1" s="216">
      <c r="D321" s="109" t="n"/>
      <c r="E321" s="109" t="n"/>
      <c r="J321" s="109" t="n"/>
      <c r="K321" s="109" t="n"/>
      <c r="L321" s="109" t="n"/>
      <c r="N321" s="109" t="n"/>
      <c r="O321" s="109" t="n"/>
      <c r="P321" s="109" t="n"/>
      <c r="T321" s="109" t="n"/>
      <c r="U321" s="109" t="n"/>
      <c r="V321" s="109" t="n"/>
      <c r="Z321" s="109" t="n"/>
      <c r="AA321" s="109" t="n"/>
      <c r="AB321" s="109" t="n"/>
      <c r="AF321" s="109" t="n"/>
      <c r="AG321" s="109" t="n"/>
      <c r="AH321" s="109" t="n"/>
      <c r="AL321" s="109" t="n"/>
      <c r="AM321" s="109" t="n"/>
      <c r="AN321" s="109" t="n"/>
    </row>
    <row r="322" ht="15.75" customHeight="1" s="216">
      <c r="D322" s="109" t="n"/>
      <c r="E322" s="109" t="n"/>
      <c r="J322" s="109" t="n"/>
      <c r="K322" s="109" t="n"/>
      <c r="L322" s="109" t="n"/>
      <c r="N322" s="109" t="n"/>
      <c r="O322" s="109" t="n"/>
      <c r="P322" s="109" t="n"/>
      <c r="T322" s="109" t="n"/>
      <c r="U322" s="109" t="n"/>
      <c r="V322" s="109" t="n"/>
      <c r="Z322" s="109" t="n"/>
      <c r="AA322" s="109" t="n"/>
      <c r="AB322" s="109" t="n"/>
      <c r="AF322" s="109" t="n"/>
      <c r="AG322" s="109" t="n"/>
      <c r="AH322" s="109" t="n"/>
      <c r="AL322" s="109" t="n"/>
      <c r="AM322" s="109" t="n"/>
      <c r="AN322" s="109" t="n"/>
    </row>
    <row r="323" ht="15.75" customHeight="1" s="216">
      <c r="D323" s="109" t="n"/>
      <c r="E323" s="109" t="n"/>
      <c r="J323" s="109" t="n"/>
      <c r="K323" s="109" t="n"/>
      <c r="L323" s="109" t="n"/>
      <c r="N323" s="109" t="n"/>
      <c r="O323" s="109" t="n"/>
      <c r="P323" s="109" t="n"/>
      <c r="T323" s="109" t="n"/>
      <c r="U323" s="109" t="n"/>
      <c r="V323" s="109" t="n"/>
      <c r="Z323" s="109" t="n"/>
      <c r="AA323" s="109" t="n"/>
      <c r="AB323" s="109" t="n"/>
      <c r="AF323" s="109" t="n"/>
      <c r="AG323" s="109" t="n"/>
      <c r="AH323" s="109" t="n"/>
      <c r="AL323" s="109" t="n"/>
      <c r="AM323" s="109" t="n"/>
      <c r="AN323" s="109" t="n"/>
    </row>
    <row r="324" ht="15.75" customHeight="1" s="216">
      <c r="D324" s="109" t="n"/>
      <c r="E324" s="109" t="n"/>
      <c r="J324" s="109" t="n"/>
      <c r="K324" s="109" t="n"/>
      <c r="L324" s="109" t="n"/>
      <c r="N324" s="109" t="n"/>
      <c r="O324" s="109" t="n"/>
      <c r="P324" s="109" t="n"/>
      <c r="T324" s="109" t="n"/>
      <c r="U324" s="109" t="n"/>
      <c r="V324" s="109" t="n"/>
      <c r="Z324" s="109" t="n"/>
      <c r="AA324" s="109" t="n"/>
      <c r="AB324" s="109" t="n"/>
      <c r="AF324" s="109" t="n"/>
      <c r="AG324" s="109" t="n"/>
      <c r="AH324" s="109" t="n"/>
      <c r="AL324" s="109" t="n"/>
      <c r="AM324" s="109" t="n"/>
      <c r="AN324" s="109" t="n"/>
    </row>
    <row r="325" ht="15.75" customHeight="1" s="216">
      <c r="D325" s="109" t="n"/>
      <c r="E325" s="109" t="n"/>
      <c r="J325" s="109" t="n"/>
      <c r="K325" s="109" t="n"/>
      <c r="L325" s="109" t="n"/>
      <c r="N325" s="109" t="n"/>
      <c r="O325" s="109" t="n"/>
      <c r="P325" s="109" t="n"/>
      <c r="T325" s="109" t="n"/>
      <c r="U325" s="109" t="n"/>
      <c r="V325" s="109" t="n"/>
      <c r="Z325" s="109" t="n"/>
      <c r="AA325" s="109" t="n"/>
      <c r="AB325" s="109" t="n"/>
      <c r="AF325" s="109" t="n"/>
      <c r="AG325" s="109" t="n"/>
      <c r="AH325" s="109" t="n"/>
      <c r="AL325" s="109" t="n"/>
      <c r="AM325" s="109" t="n"/>
      <c r="AN325" s="109" t="n"/>
    </row>
    <row r="326" ht="15.75" customHeight="1" s="216">
      <c r="D326" s="109" t="n"/>
      <c r="E326" s="109" t="n"/>
      <c r="J326" s="109" t="n"/>
      <c r="K326" s="109" t="n"/>
      <c r="L326" s="109" t="n"/>
      <c r="N326" s="109" t="n"/>
      <c r="O326" s="109" t="n"/>
      <c r="P326" s="109" t="n"/>
      <c r="T326" s="109" t="n"/>
      <c r="U326" s="109" t="n"/>
      <c r="V326" s="109" t="n"/>
      <c r="Z326" s="109" t="n"/>
      <c r="AA326" s="109" t="n"/>
      <c r="AB326" s="109" t="n"/>
      <c r="AF326" s="109" t="n"/>
      <c r="AG326" s="109" t="n"/>
      <c r="AH326" s="109" t="n"/>
      <c r="AL326" s="109" t="n"/>
      <c r="AM326" s="109" t="n"/>
      <c r="AN326" s="109" t="n"/>
    </row>
    <row r="327" ht="15.75" customHeight="1" s="216">
      <c r="D327" s="109" t="n"/>
      <c r="E327" s="109" t="n"/>
      <c r="J327" s="109" t="n"/>
      <c r="K327" s="109" t="n"/>
      <c r="L327" s="109" t="n"/>
      <c r="N327" s="109" t="n"/>
      <c r="O327" s="109" t="n"/>
      <c r="P327" s="109" t="n"/>
      <c r="T327" s="109" t="n"/>
      <c r="U327" s="109" t="n"/>
      <c r="V327" s="109" t="n"/>
      <c r="Z327" s="109" t="n"/>
      <c r="AA327" s="109" t="n"/>
      <c r="AB327" s="109" t="n"/>
      <c r="AF327" s="109" t="n"/>
      <c r="AG327" s="109" t="n"/>
      <c r="AH327" s="109" t="n"/>
      <c r="AL327" s="109" t="n"/>
      <c r="AM327" s="109" t="n"/>
      <c r="AN327" s="109" t="n"/>
    </row>
    <row r="328" ht="15.75" customHeight="1" s="216">
      <c r="D328" s="109" t="n"/>
      <c r="E328" s="109" t="n"/>
      <c r="J328" s="109" t="n"/>
      <c r="K328" s="109" t="n"/>
      <c r="L328" s="109" t="n"/>
      <c r="N328" s="109" t="n"/>
      <c r="O328" s="109" t="n"/>
      <c r="P328" s="109" t="n"/>
      <c r="T328" s="109" t="n"/>
      <c r="U328" s="109" t="n"/>
      <c r="V328" s="109" t="n"/>
      <c r="Z328" s="109" t="n"/>
      <c r="AA328" s="109" t="n"/>
      <c r="AB328" s="109" t="n"/>
      <c r="AF328" s="109" t="n"/>
      <c r="AG328" s="109" t="n"/>
      <c r="AH328" s="109" t="n"/>
      <c r="AL328" s="109" t="n"/>
      <c r="AM328" s="109" t="n"/>
      <c r="AN328" s="109" t="n"/>
    </row>
    <row r="329" ht="15.75" customHeight="1" s="216">
      <c r="D329" s="109" t="n"/>
      <c r="E329" s="109" t="n"/>
      <c r="J329" s="109" t="n"/>
      <c r="K329" s="109" t="n"/>
      <c r="L329" s="109" t="n"/>
      <c r="N329" s="109" t="n"/>
      <c r="O329" s="109" t="n"/>
      <c r="P329" s="109" t="n"/>
      <c r="T329" s="109" t="n"/>
      <c r="U329" s="109" t="n"/>
      <c r="V329" s="109" t="n"/>
      <c r="Z329" s="109" t="n"/>
      <c r="AA329" s="109" t="n"/>
      <c r="AB329" s="109" t="n"/>
      <c r="AF329" s="109" t="n"/>
      <c r="AG329" s="109" t="n"/>
      <c r="AH329" s="109" t="n"/>
      <c r="AL329" s="109" t="n"/>
      <c r="AM329" s="109" t="n"/>
      <c r="AN329" s="109" t="n"/>
    </row>
    <row r="330" ht="15.75" customHeight="1" s="216">
      <c r="D330" s="109" t="n"/>
      <c r="E330" s="109" t="n"/>
      <c r="J330" s="109" t="n"/>
      <c r="K330" s="109" t="n"/>
      <c r="L330" s="109" t="n"/>
      <c r="N330" s="109" t="n"/>
      <c r="O330" s="109" t="n"/>
      <c r="P330" s="109" t="n"/>
      <c r="T330" s="109" t="n"/>
      <c r="U330" s="109" t="n"/>
      <c r="V330" s="109" t="n"/>
      <c r="Z330" s="109" t="n"/>
      <c r="AA330" s="109" t="n"/>
      <c r="AB330" s="109" t="n"/>
      <c r="AF330" s="109" t="n"/>
      <c r="AG330" s="109" t="n"/>
      <c r="AH330" s="109" t="n"/>
      <c r="AL330" s="109" t="n"/>
      <c r="AM330" s="109" t="n"/>
      <c r="AN330" s="109" t="n"/>
    </row>
    <row r="331" ht="15.75" customHeight="1" s="216">
      <c r="D331" s="109" t="n"/>
      <c r="E331" s="109" t="n"/>
      <c r="J331" s="109" t="n"/>
      <c r="K331" s="109" t="n"/>
      <c r="L331" s="109" t="n"/>
      <c r="N331" s="109" t="n"/>
      <c r="O331" s="109" t="n"/>
      <c r="P331" s="109" t="n"/>
      <c r="T331" s="109" t="n"/>
      <c r="U331" s="109" t="n"/>
      <c r="V331" s="109" t="n"/>
      <c r="Z331" s="109" t="n"/>
      <c r="AA331" s="109" t="n"/>
      <c r="AB331" s="109" t="n"/>
      <c r="AF331" s="109" t="n"/>
      <c r="AG331" s="109" t="n"/>
      <c r="AH331" s="109" t="n"/>
      <c r="AL331" s="109" t="n"/>
      <c r="AM331" s="109" t="n"/>
      <c r="AN331" s="109" t="n"/>
    </row>
    <row r="332" ht="15.75" customHeight="1" s="216">
      <c r="D332" s="109" t="n"/>
      <c r="E332" s="109" t="n"/>
      <c r="J332" s="109" t="n"/>
      <c r="K332" s="109" t="n"/>
      <c r="L332" s="109" t="n"/>
      <c r="N332" s="109" t="n"/>
      <c r="O332" s="109" t="n"/>
      <c r="P332" s="109" t="n"/>
      <c r="T332" s="109" t="n"/>
      <c r="U332" s="109" t="n"/>
      <c r="V332" s="109" t="n"/>
      <c r="Z332" s="109" t="n"/>
      <c r="AA332" s="109" t="n"/>
      <c r="AB332" s="109" t="n"/>
      <c r="AF332" s="109" t="n"/>
      <c r="AG332" s="109" t="n"/>
      <c r="AH332" s="109" t="n"/>
      <c r="AL332" s="109" t="n"/>
      <c r="AM332" s="109" t="n"/>
      <c r="AN332" s="109" t="n"/>
    </row>
    <row r="333" ht="15.75" customHeight="1" s="216">
      <c r="D333" s="109" t="n"/>
      <c r="E333" s="109" t="n"/>
      <c r="J333" s="109" t="n"/>
      <c r="K333" s="109" t="n"/>
      <c r="L333" s="109" t="n"/>
      <c r="N333" s="109" t="n"/>
      <c r="O333" s="109" t="n"/>
      <c r="P333" s="109" t="n"/>
      <c r="T333" s="109" t="n"/>
      <c r="U333" s="109" t="n"/>
      <c r="V333" s="109" t="n"/>
      <c r="Z333" s="109" t="n"/>
      <c r="AA333" s="109" t="n"/>
      <c r="AB333" s="109" t="n"/>
      <c r="AF333" s="109" t="n"/>
      <c r="AG333" s="109" t="n"/>
      <c r="AH333" s="109" t="n"/>
      <c r="AL333" s="109" t="n"/>
      <c r="AM333" s="109" t="n"/>
      <c r="AN333" s="109" t="n"/>
    </row>
    <row r="334" ht="15.75" customHeight="1" s="216">
      <c r="D334" s="109" t="n"/>
      <c r="E334" s="109" t="n"/>
      <c r="J334" s="109" t="n"/>
      <c r="K334" s="109" t="n"/>
      <c r="L334" s="109" t="n"/>
      <c r="N334" s="109" t="n"/>
      <c r="O334" s="109" t="n"/>
      <c r="P334" s="109" t="n"/>
      <c r="T334" s="109" t="n"/>
      <c r="U334" s="109" t="n"/>
      <c r="V334" s="109" t="n"/>
      <c r="Z334" s="109" t="n"/>
      <c r="AA334" s="109" t="n"/>
      <c r="AB334" s="109" t="n"/>
      <c r="AF334" s="109" t="n"/>
      <c r="AG334" s="109" t="n"/>
      <c r="AH334" s="109" t="n"/>
      <c r="AL334" s="109" t="n"/>
      <c r="AM334" s="109" t="n"/>
      <c r="AN334" s="109" t="n"/>
    </row>
    <row r="335" ht="15.75" customHeight="1" s="216">
      <c r="D335" s="109" t="n"/>
      <c r="E335" s="109" t="n"/>
      <c r="J335" s="109" t="n"/>
      <c r="K335" s="109" t="n"/>
      <c r="L335" s="109" t="n"/>
      <c r="N335" s="109" t="n"/>
      <c r="O335" s="109" t="n"/>
      <c r="P335" s="109" t="n"/>
      <c r="T335" s="109" t="n"/>
      <c r="U335" s="109" t="n"/>
      <c r="V335" s="109" t="n"/>
      <c r="Z335" s="109" t="n"/>
      <c r="AA335" s="109" t="n"/>
      <c r="AB335" s="109" t="n"/>
      <c r="AF335" s="109" t="n"/>
      <c r="AG335" s="109" t="n"/>
      <c r="AH335" s="109" t="n"/>
      <c r="AL335" s="109" t="n"/>
      <c r="AM335" s="109" t="n"/>
      <c r="AN335" s="109" t="n"/>
    </row>
    <row r="336" ht="15.75" customHeight="1" s="216">
      <c r="D336" s="109" t="n"/>
      <c r="E336" s="109" t="n"/>
      <c r="J336" s="109" t="n"/>
      <c r="K336" s="109" t="n"/>
      <c r="L336" s="109" t="n"/>
      <c r="N336" s="109" t="n"/>
      <c r="O336" s="109" t="n"/>
      <c r="P336" s="109" t="n"/>
      <c r="T336" s="109" t="n"/>
      <c r="U336" s="109" t="n"/>
      <c r="V336" s="109" t="n"/>
      <c r="Z336" s="109" t="n"/>
      <c r="AA336" s="109" t="n"/>
      <c r="AB336" s="109" t="n"/>
      <c r="AF336" s="109" t="n"/>
      <c r="AG336" s="109" t="n"/>
      <c r="AH336" s="109" t="n"/>
      <c r="AL336" s="109" t="n"/>
      <c r="AM336" s="109" t="n"/>
      <c r="AN336" s="109" t="n"/>
    </row>
    <row r="337" ht="15.75" customHeight="1" s="216">
      <c r="D337" s="109" t="n"/>
      <c r="E337" s="109" t="n"/>
      <c r="J337" s="109" t="n"/>
      <c r="K337" s="109" t="n"/>
      <c r="L337" s="109" t="n"/>
      <c r="N337" s="109" t="n"/>
      <c r="O337" s="109" t="n"/>
      <c r="P337" s="109" t="n"/>
      <c r="T337" s="109" t="n"/>
      <c r="U337" s="109" t="n"/>
      <c r="V337" s="109" t="n"/>
      <c r="Z337" s="109" t="n"/>
      <c r="AA337" s="109" t="n"/>
      <c r="AB337" s="109" t="n"/>
      <c r="AF337" s="109" t="n"/>
      <c r="AG337" s="109" t="n"/>
      <c r="AH337" s="109" t="n"/>
      <c r="AL337" s="109" t="n"/>
      <c r="AM337" s="109" t="n"/>
      <c r="AN337" s="109" t="n"/>
    </row>
    <row r="338" ht="15.75" customHeight="1" s="216">
      <c r="D338" s="109" t="n"/>
      <c r="E338" s="109" t="n"/>
      <c r="J338" s="109" t="n"/>
      <c r="K338" s="109" t="n"/>
      <c r="L338" s="109" t="n"/>
      <c r="N338" s="109" t="n"/>
      <c r="O338" s="109" t="n"/>
      <c r="P338" s="109" t="n"/>
      <c r="T338" s="109" t="n"/>
      <c r="U338" s="109" t="n"/>
      <c r="V338" s="109" t="n"/>
      <c r="Z338" s="109" t="n"/>
      <c r="AA338" s="109" t="n"/>
      <c r="AB338" s="109" t="n"/>
      <c r="AF338" s="109" t="n"/>
      <c r="AG338" s="109" t="n"/>
      <c r="AH338" s="109" t="n"/>
      <c r="AL338" s="109" t="n"/>
      <c r="AM338" s="109" t="n"/>
      <c r="AN338" s="109" t="n"/>
    </row>
    <row r="339" ht="15.75" customHeight="1" s="216">
      <c r="D339" s="109" t="n"/>
      <c r="E339" s="109" t="n"/>
      <c r="J339" s="109" t="n"/>
      <c r="K339" s="109" t="n"/>
      <c r="L339" s="109" t="n"/>
      <c r="N339" s="109" t="n"/>
      <c r="O339" s="109" t="n"/>
      <c r="P339" s="109" t="n"/>
      <c r="T339" s="109" t="n"/>
      <c r="U339" s="109" t="n"/>
      <c r="V339" s="109" t="n"/>
      <c r="Z339" s="109" t="n"/>
      <c r="AA339" s="109" t="n"/>
      <c r="AB339" s="109" t="n"/>
      <c r="AF339" s="109" t="n"/>
      <c r="AG339" s="109" t="n"/>
      <c r="AH339" s="109" t="n"/>
      <c r="AL339" s="109" t="n"/>
      <c r="AM339" s="109" t="n"/>
      <c r="AN339" s="109" t="n"/>
    </row>
    <row r="340" ht="15.75" customHeight="1" s="216">
      <c r="D340" s="109" t="n"/>
      <c r="E340" s="109" t="n"/>
      <c r="J340" s="109" t="n"/>
      <c r="K340" s="109" t="n"/>
      <c r="L340" s="109" t="n"/>
      <c r="N340" s="109" t="n"/>
      <c r="O340" s="109" t="n"/>
      <c r="P340" s="109" t="n"/>
      <c r="T340" s="109" t="n"/>
      <c r="U340" s="109" t="n"/>
      <c r="V340" s="109" t="n"/>
      <c r="Z340" s="109" t="n"/>
      <c r="AA340" s="109" t="n"/>
      <c r="AB340" s="109" t="n"/>
      <c r="AF340" s="109" t="n"/>
      <c r="AG340" s="109" t="n"/>
      <c r="AH340" s="109" t="n"/>
      <c r="AL340" s="109" t="n"/>
      <c r="AM340" s="109" t="n"/>
      <c r="AN340" s="109" t="n"/>
    </row>
    <row r="341" ht="15.75" customHeight="1" s="216">
      <c r="D341" s="109" t="n"/>
      <c r="E341" s="109" t="n"/>
      <c r="J341" s="109" t="n"/>
      <c r="K341" s="109" t="n"/>
      <c r="L341" s="109" t="n"/>
      <c r="N341" s="109" t="n"/>
      <c r="O341" s="109" t="n"/>
      <c r="P341" s="109" t="n"/>
      <c r="T341" s="109" t="n"/>
      <c r="U341" s="109" t="n"/>
      <c r="V341" s="109" t="n"/>
      <c r="Z341" s="109" t="n"/>
      <c r="AA341" s="109" t="n"/>
      <c r="AB341" s="109" t="n"/>
      <c r="AF341" s="109" t="n"/>
      <c r="AG341" s="109" t="n"/>
      <c r="AH341" s="109" t="n"/>
      <c r="AL341" s="109" t="n"/>
      <c r="AM341" s="109" t="n"/>
      <c r="AN341" s="109" t="n"/>
    </row>
    <row r="342" ht="15.75" customHeight="1" s="216">
      <c r="D342" s="109" t="n"/>
      <c r="E342" s="109" t="n"/>
      <c r="J342" s="109" t="n"/>
      <c r="K342" s="109" t="n"/>
      <c r="L342" s="109" t="n"/>
      <c r="N342" s="109" t="n"/>
      <c r="O342" s="109" t="n"/>
      <c r="P342" s="109" t="n"/>
      <c r="T342" s="109" t="n"/>
      <c r="U342" s="109" t="n"/>
      <c r="V342" s="109" t="n"/>
      <c r="Z342" s="109" t="n"/>
      <c r="AA342" s="109" t="n"/>
      <c r="AB342" s="109" t="n"/>
      <c r="AF342" s="109" t="n"/>
      <c r="AG342" s="109" t="n"/>
      <c r="AH342" s="109" t="n"/>
      <c r="AL342" s="109" t="n"/>
      <c r="AM342" s="109" t="n"/>
      <c r="AN342" s="109" t="n"/>
    </row>
    <row r="343" ht="15.75" customHeight="1" s="216">
      <c r="D343" s="109" t="n"/>
      <c r="E343" s="109" t="n"/>
      <c r="J343" s="109" t="n"/>
      <c r="K343" s="109" t="n"/>
      <c r="L343" s="109" t="n"/>
      <c r="N343" s="109" t="n"/>
      <c r="O343" s="109" t="n"/>
      <c r="P343" s="109" t="n"/>
      <c r="T343" s="109" t="n"/>
      <c r="U343" s="109" t="n"/>
      <c r="V343" s="109" t="n"/>
      <c r="Z343" s="109" t="n"/>
      <c r="AA343" s="109" t="n"/>
      <c r="AB343" s="109" t="n"/>
      <c r="AF343" s="109" t="n"/>
      <c r="AG343" s="109" t="n"/>
      <c r="AH343" s="109" t="n"/>
      <c r="AL343" s="109" t="n"/>
      <c r="AM343" s="109" t="n"/>
      <c r="AN343" s="109" t="n"/>
    </row>
    <row r="344" ht="15.75" customHeight="1" s="216">
      <c r="D344" s="109" t="n"/>
      <c r="E344" s="109" t="n"/>
      <c r="J344" s="109" t="n"/>
      <c r="K344" s="109" t="n"/>
      <c r="L344" s="109" t="n"/>
      <c r="N344" s="109" t="n"/>
      <c r="O344" s="109" t="n"/>
      <c r="P344" s="109" t="n"/>
      <c r="T344" s="109" t="n"/>
      <c r="U344" s="109" t="n"/>
      <c r="V344" s="109" t="n"/>
      <c r="Z344" s="109" t="n"/>
      <c r="AA344" s="109" t="n"/>
      <c r="AB344" s="109" t="n"/>
      <c r="AF344" s="109" t="n"/>
      <c r="AG344" s="109" t="n"/>
      <c r="AH344" s="109" t="n"/>
      <c r="AL344" s="109" t="n"/>
      <c r="AM344" s="109" t="n"/>
      <c r="AN344" s="109" t="n"/>
    </row>
    <row r="345" ht="15.75" customHeight="1" s="216">
      <c r="D345" s="109" t="n"/>
      <c r="E345" s="109" t="n"/>
      <c r="J345" s="109" t="n"/>
      <c r="K345" s="109" t="n"/>
      <c r="L345" s="109" t="n"/>
      <c r="N345" s="109" t="n"/>
      <c r="O345" s="109" t="n"/>
      <c r="P345" s="109" t="n"/>
      <c r="T345" s="109" t="n"/>
      <c r="U345" s="109" t="n"/>
      <c r="V345" s="109" t="n"/>
      <c r="Z345" s="109" t="n"/>
      <c r="AA345" s="109" t="n"/>
      <c r="AB345" s="109" t="n"/>
      <c r="AF345" s="109" t="n"/>
      <c r="AG345" s="109" t="n"/>
      <c r="AH345" s="109" t="n"/>
      <c r="AL345" s="109" t="n"/>
      <c r="AM345" s="109" t="n"/>
      <c r="AN345" s="109" t="n"/>
    </row>
    <row r="346" ht="15.75" customHeight="1" s="216">
      <c r="D346" s="109" t="n"/>
      <c r="E346" s="109" t="n"/>
      <c r="J346" s="109" t="n"/>
      <c r="K346" s="109" t="n"/>
      <c r="L346" s="109" t="n"/>
      <c r="N346" s="109" t="n"/>
      <c r="O346" s="109" t="n"/>
      <c r="P346" s="109" t="n"/>
      <c r="T346" s="109" t="n"/>
      <c r="U346" s="109" t="n"/>
      <c r="V346" s="109" t="n"/>
      <c r="Z346" s="109" t="n"/>
      <c r="AA346" s="109" t="n"/>
      <c r="AB346" s="109" t="n"/>
      <c r="AF346" s="109" t="n"/>
      <c r="AG346" s="109" t="n"/>
      <c r="AH346" s="109" t="n"/>
      <c r="AL346" s="109" t="n"/>
      <c r="AM346" s="109" t="n"/>
      <c r="AN346" s="109" t="n"/>
    </row>
    <row r="347" ht="15.75" customHeight="1" s="216">
      <c r="D347" s="109" t="n"/>
      <c r="E347" s="109" t="n"/>
      <c r="J347" s="109" t="n"/>
      <c r="K347" s="109" t="n"/>
      <c r="L347" s="109" t="n"/>
      <c r="N347" s="109" t="n"/>
      <c r="O347" s="109" t="n"/>
      <c r="P347" s="109" t="n"/>
      <c r="T347" s="109" t="n"/>
      <c r="U347" s="109" t="n"/>
      <c r="V347" s="109" t="n"/>
      <c r="Z347" s="109" t="n"/>
      <c r="AA347" s="109" t="n"/>
      <c r="AB347" s="109" t="n"/>
      <c r="AF347" s="109" t="n"/>
      <c r="AG347" s="109" t="n"/>
      <c r="AH347" s="109" t="n"/>
      <c r="AL347" s="109" t="n"/>
      <c r="AM347" s="109" t="n"/>
      <c r="AN347" s="109" t="n"/>
    </row>
    <row r="348" ht="15.75" customHeight="1" s="216">
      <c r="D348" s="109" t="n"/>
      <c r="E348" s="109" t="n"/>
      <c r="J348" s="109" t="n"/>
      <c r="K348" s="109" t="n"/>
      <c r="L348" s="109" t="n"/>
      <c r="N348" s="109" t="n"/>
      <c r="O348" s="109" t="n"/>
      <c r="P348" s="109" t="n"/>
      <c r="T348" s="109" t="n"/>
      <c r="U348" s="109" t="n"/>
      <c r="V348" s="109" t="n"/>
      <c r="Z348" s="109" t="n"/>
      <c r="AA348" s="109" t="n"/>
      <c r="AB348" s="109" t="n"/>
      <c r="AF348" s="109" t="n"/>
      <c r="AG348" s="109" t="n"/>
      <c r="AH348" s="109" t="n"/>
      <c r="AL348" s="109" t="n"/>
      <c r="AM348" s="109" t="n"/>
      <c r="AN348" s="109" t="n"/>
    </row>
    <row r="349" ht="15.75" customHeight="1" s="216">
      <c r="D349" s="109" t="n"/>
      <c r="E349" s="109" t="n"/>
      <c r="J349" s="109" t="n"/>
      <c r="K349" s="109" t="n"/>
      <c r="L349" s="109" t="n"/>
      <c r="N349" s="109" t="n"/>
      <c r="O349" s="109" t="n"/>
      <c r="P349" s="109" t="n"/>
      <c r="T349" s="109" t="n"/>
      <c r="U349" s="109" t="n"/>
      <c r="V349" s="109" t="n"/>
      <c r="Z349" s="109" t="n"/>
      <c r="AA349" s="109" t="n"/>
      <c r="AB349" s="109" t="n"/>
      <c r="AF349" s="109" t="n"/>
      <c r="AG349" s="109" t="n"/>
      <c r="AH349" s="109" t="n"/>
      <c r="AL349" s="109" t="n"/>
      <c r="AM349" s="109" t="n"/>
      <c r="AN349" s="109" t="n"/>
    </row>
    <row r="350" ht="15.75" customHeight="1" s="216">
      <c r="D350" s="109" t="n"/>
      <c r="E350" s="109" t="n"/>
      <c r="J350" s="109" t="n"/>
      <c r="K350" s="109" t="n"/>
      <c r="L350" s="109" t="n"/>
      <c r="N350" s="109" t="n"/>
      <c r="O350" s="109" t="n"/>
      <c r="P350" s="109" t="n"/>
      <c r="T350" s="109" t="n"/>
      <c r="U350" s="109" t="n"/>
      <c r="V350" s="109" t="n"/>
      <c r="Z350" s="109" t="n"/>
      <c r="AA350" s="109" t="n"/>
      <c r="AB350" s="109" t="n"/>
      <c r="AF350" s="109" t="n"/>
      <c r="AG350" s="109" t="n"/>
      <c r="AH350" s="109" t="n"/>
      <c r="AL350" s="109" t="n"/>
      <c r="AM350" s="109" t="n"/>
      <c r="AN350" s="109" t="n"/>
    </row>
    <row r="351" ht="15.75" customHeight="1" s="216">
      <c r="D351" s="109" t="n"/>
      <c r="E351" s="109" t="n"/>
      <c r="J351" s="109" t="n"/>
      <c r="K351" s="109" t="n"/>
      <c r="L351" s="109" t="n"/>
      <c r="N351" s="109" t="n"/>
      <c r="O351" s="109" t="n"/>
      <c r="P351" s="109" t="n"/>
      <c r="T351" s="109" t="n"/>
      <c r="U351" s="109" t="n"/>
      <c r="V351" s="109" t="n"/>
      <c r="Z351" s="109" t="n"/>
      <c r="AA351" s="109" t="n"/>
      <c r="AB351" s="109" t="n"/>
      <c r="AF351" s="109" t="n"/>
      <c r="AG351" s="109" t="n"/>
      <c r="AH351" s="109" t="n"/>
      <c r="AL351" s="109" t="n"/>
      <c r="AM351" s="109" t="n"/>
      <c r="AN351" s="109" t="n"/>
    </row>
    <row r="352" ht="15.75" customHeight="1" s="216">
      <c r="D352" s="109" t="n"/>
      <c r="E352" s="109" t="n"/>
      <c r="J352" s="109" t="n"/>
      <c r="K352" s="109" t="n"/>
      <c r="L352" s="109" t="n"/>
      <c r="N352" s="109" t="n"/>
      <c r="O352" s="109" t="n"/>
      <c r="P352" s="109" t="n"/>
      <c r="T352" s="109" t="n"/>
      <c r="U352" s="109" t="n"/>
      <c r="V352" s="109" t="n"/>
      <c r="Z352" s="109" t="n"/>
      <c r="AA352" s="109" t="n"/>
      <c r="AB352" s="109" t="n"/>
      <c r="AF352" s="109" t="n"/>
      <c r="AG352" s="109" t="n"/>
      <c r="AH352" s="109" t="n"/>
      <c r="AL352" s="109" t="n"/>
      <c r="AM352" s="109" t="n"/>
      <c r="AN352" s="109" t="n"/>
    </row>
    <row r="353" ht="15.75" customHeight="1" s="216">
      <c r="D353" s="109" t="n"/>
      <c r="E353" s="109" t="n"/>
      <c r="J353" s="109" t="n"/>
      <c r="K353" s="109" t="n"/>
      <c r="L353" s="109" t="n"/>
      <c r="N353" s="109" t="n"/>
      <c r="O353" s="109" t="n"/>
      <c r="P353" s="109" t="n"/>
      <c r="T353" s="109" t="n"/>
      <c r="U353" s="109" t="n"/>
      <c r="V353" s="109" t="n"/>
      <c r="Z353" s="109" t="n"/>
      <c r="AA353" s="109" t="n"/>
      <c r="AB353" s="109" t="n"/>
      <c r="AF353" s="109" t="n"/>
      <c r="AG353" s="109" t="n"/>
      <c r="AH353" s="109" t="n"/>
      <c r="AL353" s="109" t="n"/>
      <c r="AM353" s="109" t="n"/>
      <c r="AN353" s="109" t="n"/>
    </row>
    <row r="354" ht="15.75" customHeight="1" s="216">
      <c r="D354" s="109" t="n"/>
      <c r="E354" s="109" t="n"/>
      <c r="J354" s="109" t="n"/>
      <c r="K354" s="109" t="n"/>
      <c r="L354" s="109" t="n"/>
      <c r="N354" s="109" t="n"/>
      <c r="O354" s="109" t="n"/>
      <c r="P354" s="109" t="n"/>
      <c r="T354" s="109" t="n"/>
      <c r="U354" s="109" t="n"/>
      <c r="V354" s="109" t="n"/>
      <c r="Z354" s="109" t="n"/>
      <c r="AA354" s="109" t="n"/>
      <c r="AB354" s="109" t="n"/>
      <c r="AF354" s="109" t="n"/>
      <c r="AG354" s="109" t="n"/>
      <c r="AH354" s="109" t="n"/>
      <c r="AL354" s="109" t="n"/>
      <c r="AM354" s="109" t="n"/>
      <c r="AN354" s="109" t="n"/>
    </row>
    <row r="355" ht="15.75" customHeight="1" s="216">
      <c r="D355" s="109" t="n"/>
      <c r="E355" s="109" t="n"/>
      <c r="J355" s="109" t="n"/>
      <c r="K355" s="109" t="n"/>
      <c r="L355" s="109" t="n"/>
      <c r="N355" s="109" t="n"/>
      <c r="O355" s="109" t="n"/>
      <c r="P355" s="109" t="n"/>
      <c r="T355" s="109" t="n"/>
      <c r="U355" s="109" t="n"/>
      <c r="V355" s="109" t="n"/>
      <c r="Z355" s="109" t="n"/>
      <c r="AA355" s="109" t="n"/>
      <c r="AB355" s="109" t="n"/>
      <c r="AF355" s="109" t="n"/>
      <c r="AG355" s="109" t="n"/>
      <c r="AH355" s="109" t="n"/>
      <c r="AL355" s="109" t="n"/>
      <c r="AM355" s="109" t="n"/>
      <c r="AN355" s="109" t="n"/>
    </row>
    <row r="356" ht="15.75" customHeight="1" s="216">
      <c r="D356" s="109" t="n"/>
      <c r="E356" s="109" t="n"/>
      <c r="J356" s="109" t="n"/>
      <c r="K356" s="109" t="n"/>
      <c r="L356" s="109" t="n"/>
      <c r="N356" s="109" t="n"/>
      <c r="O356" s="109" t="n"/>
      <c r="P356" s="109" t="n"/>
      <c r="T356" s="109" t="n"/>
      <c r="U356" s="109" t="n"/>
      <c r="V356" s="109" t="n"/>
      <c r="Z356" s="109" t="n"/>
      <c r="AA356" s="109" t="n"/>
      <c r="AB356" s="109" t="n"/>
      <c r="AF356" s="109" t="n"/>
      <c r="AG356" s="109" t="n"/>
      <c r="AH356" s="109" t="n"/>
      <c r="AL356" s="109" t="n"/>
      <c r="AM356" s="109" t="n"/>
      <c r="AN356" s="109" t="n"/>
    </row>
    <row r="357" ht="15.75" customHeight="1" s="216">
      <c r="D357" s="109" t="n"/>
      <c r="E357" s="109" t="n"/>
      <c r="J357" s="109" t="n"/>
      <c r="K357" s="109" t="n"/>
      <c r="L357" s="109" t="n"/>
      <c r="N357" s="109" t="n"/>
      <c r="O357" s="109" t="n"/>
      <c r="P357" s="109" t="n"/>
      <c r="T357" s="109" t="n"/>
      <c r="U357" s="109" t="n"/>
      <c r="V357" s="109" t="n"/>
      <c r="Z357" s="109" t="n"/>
      <c r="AA357" s="109" t="n"/>
      <c r="AB357" s="109" t="n"/>
      <c r="AF357" s="109" t="n"/>
      <c r="AG357" s="109" t="n"/>
      <c r="AH357" s="109" t="n"/>
      <c r="AL357" s="109" t="n"/>
      <c r="AM357" s="109" t="n"/>
      <c r="AN357" s="109" t="n"/>
    </row>
    <row r="358" ht="15.75" customHeight="1" s="216">
      <c r="D358" s="109" t="n"/>
      <c r="E358" s="109" t="n"/>
      <c r="J358" s="109" t="n"/>
      <c r="K358" s="109" t="n"/>
      <c r="L358" s="109" t="n"/>
      <c r="N358" s="109" t="n"/>
      <c r="O358" s="109" t="n"/>
      <c r="P358" s="109" t="n"/>
      <c r="T358" s="109" t="n"/>
      <c r="U358" s="109" t="n"/>
      <c r="V358" s="109" t="n"/>
      <c r="Z358" s="109" t="n"/>
      <c r="AA358" s="109" t="n"/>
      <c r="AB358" s="109" t="n"/>
      <c r="AF358" s="109" t="n"/>
      <c r="AG358" s="109" t="n"/>
      <c r="AH358" s="109" t="n"/>
      <c r="AL358" s="109" t="n"/>
      <c r="AM358" s="109" t="n"/>
      <c r="AN358" s="109" t="n"/>
    </row>
    <row r="359" ht="15.75" customHeight="1" s="216">
      <c r="D359" s="109" t="n"/>
      <c r="E359" s="109" t="n"/>
      <c r="J359" s="109" t="n"/>
      <c r="K359" s="109" t="n"/>
      <c r="L359" s="109" t="n"/>
      <c r="N359" s="109" t="n"/>
      <c r="O359" s="109" t="n"/>
      <c r="P359" s="109" t="n"/>
      <c r="T359" s="109" t="n"/>
      <c r="U359" s="109" t="n"/>
      <c r="V359" s="109" t="n"/>
      <c r="Z359" s="109" t="n"/>
      <c r="AA359" s="109" t="n"/>
      <c r="AB359" s="109" t="n"/>
      <c r="AF359" s="109" t="n"/>
      <c r="AG359" s="109" t="n"/>
      <c r="AH359" s="109" t="n"/>
      <c r="AL359" s="109" t="n"/>
      <c r="AM359" s="109" t="n"/>
      <c r="AN359" s="109" t="n"/>
    </row>
    <row r="360" ht="15.75" customHeight="1" s="216">
      <c r="D360" s="109" t="n"/>
      <c r="E360" s="109" t="n"/>
      <c r="J360" s="109" t="n"/>
      <c r="K360" s="109" t="n"/>
      <c r="L360" s="109" t="n"/>
      <c r="N360" s="109" t="n"/>
      <c r="O360" s="109" t="n"/>
      <c r="P360" s="109" t="n"/>
      <c r="T360" s="109" t="n"/>
      <c r="U360" s="109" t="n"/>
      <c r="V360" s="109" t="n"/>
      <c r="Z360" s="109" t="n"/>
      <c r="AA360" s="109" t="n"/>
      <c r="AB360" s="109" t="n"/>
      <c r="AF360" s="109" t="n"/>
      <c r="AG360" s="109" t="n"/>
      <c r="AH360" s="109" t="n"/>
      <c r="AL360" s="109" t="n"/>
      <c r="AM360" s="109" t="n"/>
      <c r="AN360" s="109" t="n"/>
    </row>
    <row r="361" ht="15.75" customHeight="1" s="216">
      <c r="D361" s="109" t="n"/>
      <c r="E361" s="109" t="n"/>
      <c r="J361" s="109" t="n"/>
      <c r="K361" s="109" t="n"/>
      <c r="L361" s="109" t="n"/>
      <c r="N361" s="109" t="n"/>
      <c r="O361" s="109" t="n"/>
      <c r="P361" s="109" t="n"/>
      <c r="T361" s="109" t="n"/>
      <c r="U361" s="109" t="n"/>
      <c r="V361" s="109" t="n"/>
      <c r="Z361" s="109" t="n"/>
      <c r="AA361" s="109" t="n"/>
      <c r="AB361" s="109" t="n"/>
      <c r="AF361" s="109" t="n"/>
      <c r="AG361" s="109" t="n"/>
      <c r="AH361" s="109" t="n"/>
      <c r="AL361" s="109" t="n"/>
      <c r="AM361" s="109" t="n"/>
      <c r="AN361" s="109" t="n"/>
    </row>
    <row r="362" ht="15.75" customHeight="1" s="216">
      <c r="D362" s="109" t="n"/>
      <c r="E362" s="109" t="n"/>
      <c r="J362" s="109" t="n"/>
      <c r="K362" s="109" t="n"/>
      <c r="L362" s="109" t="n"/>
      <c r="N362" s="109" t="n"/>
      <c r="O362" s="109" t="n"/>
      <c r="P362" s="109" t="n"/>
      <c r="T362" s="109" t="n"/>
      <c r="U362" s="109" t="n"/>
      <c r="V362" s="109" t="n"/>
      <c r="Z362" s="109" t="n"/>
      <c r="AA362" s="109" t="n"/>
      <c r="AB362" s="109" t="n"/>
      <c r="AF362" s="109" t="n"/>
      <c r="AG362" s="109" t="n"/>
      <c r="AH362" s="109" t="n"/>
      <c r="AL362" s="109" t="n"/>
      <c r="AM362" s="109" t="n"/>
      <c r="AN362" s="109" t="n"/>
    </row>
    <row r="363" ht="15.75" customHeight="1" s="216">
      <c r="D363" s="109" t="n"/>
      <c r="E363" s="109" t="n"/>
      <c r="J363" s="109" t="n"/>
      <c r="K363" s="109" t="n"/>
      <c r="L363" s="109" t="n"/>
      <c r="N363" s="109" t="n"/>
      <c r="O363" s="109" t="n"/>
      <c r="P363" s="109" t="n"/>
      <c r="T363" s="109" t="n"/>
      <c r="U363" s="109" t="n"/>
      <c r="V363" s="109" t="n"/>
      <c r="Z363" s="109" t="n"/>
      <c r="AA363" s="109" t="n"/>
      <c r="AB363" s="109" t="n"/>
      <c r="AF363" s="109" t="n"/>
      <c r="AG363" s="109" t="n"/>
      <c r="AH363" s="109" t="n"/>
      <c r="AL363" s="109" t="n"/>
      <c r="AM363" s="109" t="n"/>
      <c r="AN363" s="109" t="n"/>
    </row>
    <row r="364" ht="15.75" customHeight="1" s="216">
      <c r="D364" s="109" t="n"/>
      <c r="E364" s="109" t="n"/>
      <c r="J364" s="109" t="n"/>
      <c r="K364" s="109" t="n"/>
      <c r="L364" s="109" t="n"/>
      <c r="N364" s="109" t="n"/>
      <c r="O364" s="109" t="n"/>
      <c r="P364" s="109" t="n"/>
      <c r="T364" s="109" t="n"/>
      <c r="U364" s="109" t="n"/>
      <c r="V364" s="109" t="n"/>
      <c r="Z364" s="109" t="n"/>
      <c r="AA364" s="109" t="n"/>
      <c r="AB364" s="109" t="n"/>
      <c r="AF364" s="109" t="n"/>
      <c r="AG364" s="109" t="n"/>
      <c r="AH364" s="109" t="n"/>
      <c r="AL364" s="109" t="n"/>
      <c r="AM364" s="109" t="n"/>
      <c r="AN364" s="109" t="n"/>
    </row>
    <row r="365" ht="15.75" customHeight="1" s="216">
      <c r="D365" s="109" t="n"/>
      <c r="E365" s="109" t="n"/>
      <c r="J365" s="109" t="n"/>
      <c r="K365" s="109" t="n"/>
      <c r="L365" s="109" t="n"/>
      <c r="N365" s="109" t="n"/>
      <c r="O365" s="109" t="n"/>
      <c r="P365" s="109" t="n"/>
      <c r="T365" s="109" t="n"/>
      <c r="U365" s="109" t="n"/>
      <c r="V365" s="109" t="n"/>
      <c r="Z365" s="109" t="n"/>
      <c r="AA365" s="109" t="n"/>
      <c r="AB365" s="109" t="n"/>
      <c r="AF365" s="109" t="n"/>
      <c r="AG365" s="109" t="n"/>
      <c r="AH365" s="109" t="n"/>
      <c r="AL365" s="109" t="n"/>
      <c r="AM365" s="109" t="n"/>
      <c r="AN365" s="109" t="n"/>
    </row>
    <row r="366" ht="15.75" customHeight="1" s="216">
      <c r="D366" s="109" t="n"/>
      <c r="E366" s="109" t="n"/>
      <c r="J366" s="109" t="n"/>
      <c r="K366" s="109" t="n"/>
      <c r="L366" s="109" t="n"/>
      <c r="N366" s="109" t="n"/>
      <c r="O366" s="109" t="n"/>
      <c r="P366" s="109" t="n"/>
      <c r="T366" s="109" t="n"/>
      <c r="U366" s="109" t="n"/>
      <c r="V366" s="109" t="n"/>
      <c r="Z366" s="109" t="n"/>
      <c r="AA366" s="109" t="n"/>
      <c r="AB366" s="109" t="n"/>
      <c r="AF366" s="109" t="n"/>
      <c r="AG366" s="109" t="n"/>
      <c r="AH366" s="109" t="n"/>
      <c r="AL366" s="109" t="n"/>
      <c r="AM366" s="109" t="n"/>
      <c r="AN366" s="109" t="n"/>
    </row>
    <row r="367" ht="15.75" customHeight="1" s="216">
      <c r="D367" s="109" t="n"/>
      <c r="E367" s="109" t="n"/>
      <c r="J367" s="109" t="n"/>
      <c r="K367" s="109" t="n"/>
      <c r="L367" s="109" t="n"/>
      <c r="N367" s="109" t="n"/>
      <c r="O367" s="109" t="n"/>
      <c r="P367" s="109" t="n"/>
      <c r="T367" s="109" t="n"/>
      <c r="U367" s="109" t="n"/>
      <c r="V367" s="109" t="n"/>
      <c r="Z367" s="109" t="n"/>
      <c r="AA367" s="109" t="n"/>
      <c r="AB367" s="109" t="n"/>
      <c r="AF367" s="109" t="n"/>
      <c r="AG367" s="109" t="n"/>
      <c r="AH367" s="109" t="n"/>
      <c r="AL367" s="109" t="n"/>
      <c r="AM367" s="109" t="n"/>
      <c r="AN367" s="109" t="n"/>
    </row>
    <row r="368" ht="15.75" customHeight="1" s="216">
      <c r="D368" s="109" t="n"/>
      <c r="E368" s="109" t="n"/>
      <c r="J368" s="109" t="n"/>
      <c r="K368" s="109" t="n"/>
      <c r="L368" s="109" t="n"/>
      <c r="N368" s="109" t="n"/>
      <c r="O368" s="109" t="n"/>
      <c r="P368" s="109" t="n"/>
      <c r="T368" s="109" t="n"/>
      <c r="U368" s="109" t="n"/>
      <c r="V368" s="109" t="n"/>
      <c r="Z368" s="109" t="n"/>
      <c r="AA368" s="109" t="n"/>
      <c r="AB368" s="109" t="n"/>
      <c r="AF368" s="109" t="n"/>
      <c r="AG368" s="109" t="n"/>
      <c r="AH368" s="109" t="n"/>
      <c r="AL368" s="109" t="n"/>
      <c r="AM368" s="109" t="n"/>
      <c r="AN368" s="109" t="n"/>
    </row>
    <row r="369" ht="15.75" customHeight="1" s="216">
      <c r="D369" s="109" t="n"/>
      <c r="E369" s="109" t="n"/>
      <c r="J369" s="109" t="n"/>
      <c r="K369" s="109" t="n"/>
      <c r="L369" s="109" t="n"/>
      <c r="N369" s="109" t="n"/>
      <c r="O369" s="109" t="n"/>
      <c r="P369" s="109" t="n"/>
      <c r="T369" s="109" t="n"/>
      <c r="U369" s="109" t="n"/>
      <c r="V369" s="109" t="n"/>
      <c r="Z369" s="109" t="n"/>
      <c r="AA369" s="109" t="n"/>
      <c r="AB369" s="109" t="n"/>
      <c r="AF369" s="109" t="n"/>
      <c r="AG369" s="109" t="n"/>
      <c r="AH369" s="109" t="n"/>
      <c r="AL369" s="109" t="n"/>
      <c r="AM369" s="109" t="n"/>
      <c r="AN369" s="109" t="n"/>
    </row>
    <row r="370" ht="15.75" customHeight="1" s="216">
      <c r="D370" s="109" t="n"/>
      <c r="E370" s="109" t="n"/>
      <c r="J370" s="109" t="n"/>
      <c r="K370" s="109" t="n"/>
      <c r="L370" s="109" t="n"/>
      <c r="N370" s="109" t="n"/>
      <c r="O370" s="109" t="n"/>
      <c r="P370" s="109" t="n"/>
      <c r="T370" s="109" t="n"/>
      <c r="U370" s="109" t="n"/>
      <c r="V370" s="109" t="n"/>
      <c r="Z370" s="109" t="n"/>
      <c r="AA370" s="109" t="n"/>
      <c r="AB370" s="109" t="n"/>
      <c r="AF370" s="109" t="n"/>
      <c r="AG370" s="109" t="n"/>
      <c r="AH370" s="109" t="n"/>
      <c r="AL370" s="109" t="n"/>
      <c r="AM370" s="109" t="n"/>
      <c r="AN370" s="109" t="n"/>
    </row>
    <row r="371" ht="15.75" customHeight="1" s="216">
      <c r="D371" s="109" t="n"/>
      <c r="E371" s="109" t="n"/>
      <c r="J371" s="109" t="n"/>
      <c r="K371" s="109" t="n"/>
      <c r="L371" s="109" t="n"/>
      <c r="N371" s="109" t="n"/>
      <c r="O371" s="109" t="n"/>
      <c r="P371" s="109" t="n"/>
      <c r="T371" s="109" t="n"/>
      <c r="U371" s="109" t="n"/>
      <c r="V371" s="109" t="n"/>
      <c r="Z371" s="109" t="n"/>
      <c r="AA371" s="109" t="n"/>
      <c r="AB371" s="109" t="n"/>
      <c r="AF371" s="109" t="n"/>
      <c r="AG371" s="109" t="n"/>
      <c r="AH371" s="109" t="n"/>
      <c r="AL371" s="109" t="n"/>
      <c r="AM371" s="109" t="n"/>
      <c r="AN371" s="109" t="n"/>
    </row>
    <row r="372" ht="15.75" customHeight="1" s="216">
      <c r="D372" s="109" t="n"/>
      <c r="E372" s="109" t="n"/>
      <c r="J372" s="109" t="n"/>
      <c r="K372" s="109" t="n"/>
      <c r="L372" s="109" t="n"/>
      <c r="N372" s="109" t="n"/>
      <c r="O372" s="109" t="n"/>
      <c r="P372" s="109" t="n"/>
      <c r="T372" s="109" t="n"/>
      <c r="U372" s="109" t="n"/>
      <c r="V372" s="109" t="n"/>
      <c r="Z372" s="109" t="n"/>
      <c r="AA372" s="109" t="n"/>
      <c r="AB372" s="109" t="n"/>
      <c r="AF372" s="109" t="n"/>
      <c r="AG372" s="109" t="n"/>
      <c r="AH372" s="109" t="n"/>
      <c r="AL372" s="109" t="n"/>
      <c r="AM372" s="109" t="n"/>
      <c r="AN372" s="109" t="n"/>
    </row>
    <row r="373" ht="15.75" customHeight="1" s="216">
      <c r="D373" s="109" t="n"/>
      <c r="E373" s="109" t="n"/>
      <c r="J373" s="109" t="n"/>
      <c r="K373" s="109" t="n"/>
      <c r="L373" s="109" t="n"/>
      <c r="N373" s="109" t="n"/>
      <c r="O373" s="109" t="n"/>
      <c r="P373" s="109" t="n"/>
      <c r="T373" s="109" t="n"/>
      <c r="U373" s="109" t="n"/>
      <c r="V373" s="109" t="n"/>
      <c r="Z373" s="109" t="n"/>
      <c r="AA373" s="109" t="n"/>
      <c r="AB373" s="109" t="n"/>
      <c r="AF373" s="109" t="n"/>
      <c r="AG373" s="109" t="n"/>
      <c r="AH373" s="109" t="n"/>
      <c r="AL373" s="109" t="n"/>
      <c r="AM373" s="109" t="n"/>
      <c r="AN373" s="109" t="n"/>
    </row>
    <row r="374" ht="15.75" customHeight="1" s="216">
      <c r="D374" s="109" t="n"/>
      <c r="E374" s="109" t="n"/>
      <c r="J374" s="109" t="n"/>
      <c r="K374" s="109" t="n"/>
      <c r="L374" s="109" t="n"/>
      <c r="N374" s="109" t="n"/>
      <c r="O374" s="109" t="n"/>
      <c r="P374" s="109" t="n"/>
      <c r="T374" s="109" t="n"/>
      <c r="U374" s="109" t="n"/>
      <c r="V374" s="109" t="n"/>
      <c r="Z374" s="109" t="n"/>
      <c r="AA374" s="109" t="n"/>
      <c r="AB374" s="109" t="n"/>
      <c r="AF374" s="109" t="n"/>
      <c r="AG374" s="109" t="n"/>
      <c r="AH374" s="109" t="n"/>
      <c r="AL374" s="109" t="n"/>
      <c r="AM374" s="109" t="n"/>
      <c r="AN374" s="109" t="n"/>
    </row>
    <row r="375" ht="15.75" customHeight="1" s="216">
      <c r="D375" s="109" t="n"/>
      <c r="E375" s="109" t="n"/>
      <c r="J375" s="109" t="n"/>
      <c r="K375" s="109" t="n"/>
      <c r="L375" s="109" t="n"/>
      <c r="N375" s="109" t="n"/>
      <c r="O375" s="109" t="n"/>
      <c r="P375" s="109" t="n"/>
      <c r="T375" s="109" t="n"/>
      <c r="U375" s="109" t="n"/>
      <c r="V375" s="109" t="n"/>
      <c r="Z375" s="109" t="n"/>
      <c r="AA375" s="109" t="n"/>
      <c r="AB375" s="109" t="n"/>
      <c r="AF375" s="109" t="n"/>
      <c r="AG375" s="109" t="n"/>
      <c r="AH375" s="109" t="n"/>
      <c r="AL375" s="109" t="n"/>
      <c r="AM375" s="109" t="n"/>
      <c r="AN375" s="109" t="n"/>
    </row>
    <row r="376" ht="15.75" customHeight="1" s="216">
      <c r="D376" s="109" t="n"/>
      <c r="E376" s="109" t="n"/>
      <c r="J376" s="109" t="n"/>
      <c r="K376" s="109" t="n"/>
      <c r="L376" s="109" t="n"/>
      <c r="N376" s="109" t="n"/>
      <c r="O376" s="109" t="n"/>
      <c r="P376" s="109" t="n"/>
      <c r="T376" s="109" t="n"/>
      <c r="U376" s="109" t="n"/>
      <c r="V376" s="109" t="n"/>
      <c r="Z376" s="109" t="n"/>
      <c r="AA376" s="109" t="n"/>
      <c r="AB376" s="109" t="n"/>
      <c r="AF376" s="109" t="n"/>
      <c r="AG376" s="109" t="n"/>
      <c r="AH376" s="109" t="n"/>
      <c r="AL376" s="109" t="n"/>
      <c r="AM376" s="109" t="n"/>
      <c r="AN376" s="109" t="n"/>
    </row>
    <row r="377" ht="15.75" customHeight="1" s="216">
      <c r="D377" s="109" t="n"/>
      <c r="E377" s="109" t="n"/>
      <c r="J377" s="109" t="n"/>
      <c r="K377" s="109" t="n"/>
      <c r="L377" s="109" t="n"/>
      <c r="N377" s="109" t="n"/>
      <c r="O377" s="109" t="n"/>
      <c r="P377" s="109" t="n"/>
      <c r="T377" s="109" t="n"/>
      <c r="U377" s="109" t="n"/>
      <c r="V377" s="109" t="n"/>
      <c r="Z377" s="109" t="n"/>
      <c r="AA377" s="109" t="n"/>
      <c r="AB377" s="109" t="n"/>
      <c r="AF377" s="109" t="n"/>
      <c r="AG377" s="109" t="n"/>
      <c r="AH377" s="109" t="n"/>
      <c r="AL377" s="109" t="n"/>
      <c r="AM377" s="109" t="n"/>
      <c r="AN377" s="109" t="n"/>
    </row>
    <row r="378" ht="15.75" customHeight="1" s="216">
      <c r="D378" s="109" t="n"/>
      <c r="E378" s="109" t="n"/>
      <c r="J378" s="109" t="n"/>
      <c r="K378" s="109" t="n"/>
      <c r="L378" s="109" t="n"/>
      <c r="N378" s="109" t="n"/>
      <c r="O378" s="109" t="n"/>
      <c r="P378" s="109" t="n"/>
      <c r="T378" s="109" t="n"/>
      <c r="U378" s="109" t="n"/>
      <c r="V378" s="109" t="n"/>
      <c r="Z378" s="109" t="n"/>
      <c r="AA378" s="109" t="n"/>
      <c r="AB378" s="109" t="n"/>
      <c r="AF378" s="109" t="n"/>
      <c r="AG378" s="109" t="n"/>
      <c r="AH378" s="109" t="n"/>
      <c r="AL378" s="109" t="n"/>
      <c r="AM378" s="109" t="n"/>
      <c r="AN378" s="109" t="n"/>
    </row>
    <row r="379" ht="15.75" customHeight="1" s="216">
      <c r="D379" s="109" t="n"/>
      <c r="E379" s="109" t="n"/>
      <c r="J379" s="109" t="n"/>
      <c r="K379" s="109" t="n"/>
      <c r="L379" s="109" t="n"/>
      <c r="N379" s="109" t="n"/>
      <c r="O379" s="109" t="n"/>
      <c r="P379" s="109" t="n"/>
      <c r="T379" s="109" t="n"/>
      <c r="U379" s="109" t="n"/>
      <c r="V379" s="109" t="n"/>
      <c r="Z379" s="109" t="n"/>
      <c r="AA379" s="109" t="n"/>
      <c r="AB379" s="109" t="n"/>
      <c r="AF379" s="109" t="n"/>
      <c r="AG379" s="109" t="n"/>
      <c r="AH379" s="109" t="n"/>
      <c r="AL379" s="109" t="n"/>
      <c r="AM379" s="109" t="n"/>
      <c r="AN379" s="109" t="n"/>
    </row>
    <row r="380" ht="15.75" customHeight="1" s="216">
      <c r="D380" s="109" t="n"/>
      <c r="E380" s="109" t="n"/>
      <c r="J380" s="109" t="n"/>
      <c r="K380" s="109" t="n"/>
      <c r="L380" s="109" t="n"/>
      <c r="N380" s="109" t="n"/>
      <c r="O380" s="109" t="n"/>
      <c r="P380" s="109" t="n"/>
      <c r="T380" s="109" t="n"/>
      <c r="U380" s="109" t="n"/>
      <c r="V380" s="109" t="n"/>
      <c r="Z380" s="109" t="n"/>
      <c r="AA380" s="109" t="n"/>
      <c r="AB380" s="109" t="n"/>
      <c r="AF380" s="109" t="n"/>
      <c r="AG380" s="109" t="n"/>
      <c r="AH380" s="109" t="n"/>
      <c r="AL380" s="109" t="n"/>
      <c r="AM380" s="109" t="n"/>
      <c r="AN380" s="109" t="n"/>
    </row>
    <row r="381" ht="15.75" customHeight="1" s="216">
      <c r="D381" s="109" t="n"/>
      <c r="E381" s="109" t="n"/>
      <c r="J381" s="109" t="n"/>
      <c r="K381" s="109" t="n"/>
      <c r="L381" s="109" t="n"/>
      <c r="N381" s="109" t="n"/>
      <c r="O381" s="109" t="n"/>
      <c r="P381" s="109" t="n"/>
      <c r="T381" s="109" t="n"/>
      <c r="U381" s="109" t="n"/>
      <c r="V381" s="109" t="n"/>
      <c r="Z381" s="109" t="n"/>
      <c r="AA381" s="109" t="n"/>
      <c r="AB381" s="109" t="n"/>
      <c r="AF381" s="109" t="n"/>
      <c r="AG381" s="109" t="n"/>
      <c r="AH381" s="109" t="n"/>
      <c r="AL381" s="109" t="n"/>
      <c r="AM381" s="109" t="n"/>
      <c r="AN381" s="109" t="n"/>
    </row>
    <row r="382" ht="15.75" customHeight="1" s="216">
      <c r="D382" s="109" t="n"/>
      <c r="E382" s="109" t="n"/>
      <c r="J382" s="109" t="n"/>
      <c r="K382" s="109" t="n"/>
      <c r="L382" s="109" t="n"/>
      <c r="N382" s="109" t="n"/>
      <c r="O382" s="109" t="n"/>
      <c r="P382" s="109" t="n"/>
      <c r="T382" s="109" t="n"/>
      <c r="U382" s="109" t="n"/>
      <c r="V382" s="109" t="n"/>
      <c r="Z382" s="109" t="n"/>
      <c r="AA382" s="109" t="n"/>
      <c r="AB382" s="109" t="n"/>
      <c r="AF382" s="109" t="n"/>
      <c r="AG382" s="109" t="n"/>
      <c r="AH382" s="109" t="n"/>
      <c r="AL382" s="109" t="n"/>
      <c r="AM382" s="109" t="n"/>
      <c r="AN382" s="109" t="n"/>
    </row>
    <row r="383" ht="15.75" customHeight="1" s="216">
      <c r="D383" s="109" t="n"/>
      <c r="E383" s="109" t="n"/>
      <c r="J383" s="109" t="n"/>
      <c r="K383" s="109" t="n"/>
      <c r="L383" s="109" t="n"/>
      <c r="N383" s="109" t="n"/>
      <c r="O383" s="109" t="n"/>
      <c r="P383" s="109" t="n"/>
      <c r="T383" s="109" t="n"/>
      <c r="U383" s="109" t="n"/>
      <c r="V383" s="109" t="n"/>
      <c r="Z383" s="109" t="n"/>
      <c r="AA383" s="109" t="n"/>
      <c r="AB383" s="109" t="n"/>
      <c r="AF383" s="109" t="n"/>
      <c r="AG383" s="109" t="n"/>
      <c r="AH383" s="109" t="n"/>
      <c r="AL383" s="109" t="n"/>
      <c r="AM383" s="109" t="n"/>
      <c r="AN383" s="109" t="n"/>
    </row>
    <row r="384" ht="15.75" customHeight="1" s="216">
      <c r="D384" s="109" t="n"/>
      <c r="E384" s="109" t="n"/>
      <c r="J384" s="109" t="n"/>
      <c r="K384" s="109" t="n"/>
      <c r="L384" s="109" t="n"/>
      <c r="N384" s="109" t="n"/>
      <c r="O384" s="109" t="n"/>
      <c r="P384" s="109" t="n"/>
      <c r="T384" s="109" t="n"/>
      <c r="U384" s="109" t="n"/>
      <c r="V384" s="109" t="n"/>
      <c r="Z384" s="109" t="n"/>
      <c r="AA384" s="109" t="n"/>
      <c r="AB384" s="109" t="n"/>
      <c r="AF384" s="109" t="n"/>
      <c r="AG384" s="109" t="n"/>
      <c r="AH384" s="109" t="n"/>
      <c r="AL384" s="109" t="n"/>
      <c r="AM384" s="109" t="n"/>
      <c r="AN384" s="109" t="n"/>
    </row>
    <row r="385" ht="15.75" customHeight="1" s="216">
      <c r="D385" s="109" t="n"/>
      <c r="E385" s="109" t="n"/>
      <c r="J385" s="109" t="n"/>
      <c r="K385" s="109" t="n"/>
      <c r="L385" s="109" t="n"/>
      <c r="N385" s="109" t="n"/>
      <c r="O385" s="109" t="n"/>
      <c r="P385" s="109" t="n"/>
      <c r="T385" s="109" t="n"/>
      <c r="U385" s="109" t="n"/>
      <c r="V385" s="109" t="n"/>
      <c r="Z385" s="109" t="n"/>
      <c r="AA385" s="109" t="n"/>
      <c r="AB385" s="109" t="n"/>
      <c r="AF385" s="109" t="n"/>
      <c r="AG385" s="109" t="n"/>
      <c r="AH385" s="109" t="n"/>
      <c r="AL385" s="109" t="n"/>
      <c r="AM385" s="109" t="n"/>
      <c r="AN385" s="109" t="n"/>
    </row>
    <row r="386" ht="15.75" customHeight="1" s="216">
      <c r="D386" s="109" t="n"/>
      <c r="E386" s="109" t="n"/>
      <c r="J386" s="109" t="n"/>
      <c r="K386" s="109" t="n"/>
      <c r="L386" s="109" t="n"/>
      <c r="N386" s="109" t="n"/>
      <c r="O386" s="109" t="n"/>
      <c r="P386" s="109" t="n"/>
      <c r="T386" s="109" t="n"/>
      <c r="U386" s="109" t="n"/>
      <c r="V386" s="109" t="n"/>
      <c r="Z386" s="109" t="n"/>
      <c r="AA386" s="109" t="n"/>
      <c r="AB386" s="109" t="n"/>
      <c r="AF386" s="109" t="n"/>
      <c r="AG386" s="109" t="n"/>
      <c r="AH386" s="109" t="n"/>
      <c r="AL386" s="109" t="n"/>
      <c r="AM386" s="109" t="n"/>
      <c r="AN386" s="109" t="n"/>
    </row>
    <row r="387" ht="15.75" customHeight="1" s="216">
      <c r="D387" s="109" t="n"/>
      <c r="E387" s="109" t="n"/>
      <c r="J387" s="109" t="n"/>
      <c r="K387" s="109" t="n"/>
      <c r="L387" s="109" t="n"/>
      <c r="N387" s="109" t="n"/>
      <c r="O387" s="109" t="n"/>
      <c r="P387" s="109" t="n"/>
      <c r="T387" s="109" t="n"/>
      <c r="U387" s="109" t="n"/>
      <c r="V387" s="109" t="n"/>
      <c r="Z387" s="109" t="n"/>
      <c r="AA387" s="109" t="n"/>
      <c r="AB387" s="109" t="n"/>
      <c r="AF387" s="109" t="n"/>
      <c r="AG387" s="109" t="n"/>
      <c r="AH387" s="109" t="n"/>
      <c r="AL387" s="109" t="n"/>
      <c r="AM387" s="109" t="n"/>
      <c r="AN387" s="109" t="n"/>
    </row>
    <row r="388" ht="15.75" customHeight="1" s="216">
      <c r="D388" s="109" t="n"/>
      <c r="E388" s="109" t="n"/>
      <c r="J388" s="109" t="n"/>
      <c r="K388" s="109" t="n"/>
      <c r="L388" s="109" t="n"/>
      <c r="N388" s="109" t="n"/>
      <c r="O388" s="109" t="n"/>
      <c r="P388" s="109" t="n"/>
      <c r="T388" s="109" t="n"/>
      <c r="U388" s="109" t="n"/>
      <c r="V388" s="109" t="n"/>
      <c r="Z388" s="109" t="n"/>
      <c r="AA388" s="109" t="n"/>
      <c r="AB388" s="109" t="n"/>
      <c r="AF388" s="109" t="n"/>
      <c r="AG388" s="109" t="n"/>
      <c r="AH388" s="109" t="n"/>
      <c r="AL388" s="109" t="n"/>
      <c r="AM388" s="109" t="n"/>
      <c r="AN388" s="109" t="n"/>
    </row>
    <row r="389" ht="15.75" customHeight="1" s="216">
      <c r="D389" s="109" t="n"/>
      <c r="E389" s="109" t="n"/>
      <c r="J389" s="109" t="n"/>
      <c r="K389" s="109" t="n"/>
      <c r="L389" s="109" t="n"/>
      <c r="N389" s="109" t="n"/>
      <c r="O389" s="109" t="n"/>
      <c r="P389" s="109" t="n"/>
      <c r="T389" s="109" t="n"/>
      <c r="U389" s="109" t="n"/>
      <c r="V389" s="109" t="n"/>
      <c r="Z389" s="109" t="n"/>
      <c r="AA389" s="109" t="n"/>
      <c r="AB389" s="109" t="n"/>
      <c r="AF389" s="109" t="n"/>
      <c r="AG389" s="109" t="n"/>
      <c r="AH389" s="109" t="n"/>
      <c r="AL389" s="109" t="n"/>
      <c r="AM389" s="109" t="n"/>
      <c r="AN389" s="109" t="n"/>
    </row>
    <row r="390" ht="15.75" customHeight="1" s="216">
      <c r="D390" s="109" t="n"/>
      <c r="E390" s="109" t="n"/>
      <c r="J390" s="109" t="n"/>
      <c r="K390" s="109" t="n"/>
      <c r="L390" s="109" t="n"/>
      <c r="N390" s="109" t="n"/>
      <c r="O390" s="109" t="n"/>
      <c r="P390" s="109" t="n"/>
      <c r="T390" s="109" t="n"/>
      <c r="U390" s="109" t="n"/>
      <c r="V390" s="109" t="n"/>
      <c r="Z390" s="109" t="n"/>
      <c r="AA390" s="109" t="n"/>
      <c r="AB390" s="109" t="n"/>
      <c r="AF390" s="109" t="n"/>
      <c r="AG390" s="109" t="n"/>
      <c r="AH390" s="109" t="n"/>
      <c r="AL390" s="109" t="n"/>
      <c r="AM390" s="109" t="n"/>
      <c r="AN390" s="109" t="n"/>
    </row>
    <row r="391" ht="15.75" customHeight="1" s="216">
      <c r="D391" s="109" t="n"/>
      <c r="E391" s="109" t="n"/>
      <c r="J391" s="109" t="n"/>
      <c r="K391" s="109" t="n"/>
      <c r="L391" s="109" t="n"/>
      <c r="N391" s="109" t="n"/>
      <c r="O391" s="109" t="n"/>
      <c r="P391" s="109" t="n"/>
      <c r="T391" s="109" t="n"/>
      <c r="U391" s="109" t="n"/>
      <c r="V391" s="109" t="n"/>
      <c r="Z391" s="109" t="n"/>
      <c r="AA391" s="109" t="n"/>
      <c r="AB391" s="109" t="n"/>
      <c r="AF391" s="109" t="n"/>
      <c r="AG391" s="109" t="n"/>
      <c r="AH391" s="109" t="n"/>
      <c r="AL391" s="109" t="n"/>
      <c r="AM391" s="109" t="n"/>
      <c r="AN391" s="109" t="n"/>
    </row>
    <row r="392" ht="15.75" customHeight="1" s="216">
      <c r="D392" s="109" t="n"/>
      <c r="E392" s="109" t="n"/>
      <c r="J392" s="109" t="n"/>
      <c r="K392" s="109" t="n"/>
      <c r="L392" s="109" t="n"/>
      <c r="N392" s="109" t="n"/>
      <c r="O392" s="109" t="n"/>
      <c r="P392" s="109" t="n"/>
      <c r="T392" s="109" t="n"/>
      <c r="U392" s="109" t="n"/>
      <c r="V392" s="109" t="n"/>
      <c r="Z392" s="109" t="n"/>
      <c r="AA392" s="109" t="n"/>
      <c r="AB392" s="109" t="n"/>
      <c r="AF392" s="109" t="n"/>
      <c r="AG392" s="109" t="n"/>
      <c r="AH392" s="109" t="n"/>
      <c r="AL392" s="109" t="n"/>
      <c r="AM392" s="109" t="n"/>
      <c r="AN392" s="109" t="n"/>
    </row>
    <row r="393" ht="15.75" customHeight="1" s="216">
      <c r="D393" s="109" t="n"/>
      <c r="E393" s="109" t="n"/>
      <c r="J393" s="109" t="n"/>
      <c r="K393" s="109" t="n"/>
      <c r="L393" s="109" t="n"/>
      <c r="N393" s="109" t="n"/>
      <c r="O393" s="109" t="n"/>
      <c r="P393" s="109" t="n"/>
      <c r="T393" s="109" t="n"/>
      <c r="U393" s="109" t="n"/>
      <c r="V393" s="109" t="n"/>
      <c r="Z393" s="109" t="n"/>
      <c r="AA393" s="109" t="n"/>
      <c r="AB393" s="109" t="n"/>
      <c r="AF393" s="109" t="n"/>
      <c r="AG393" s="109" t="n"/>
      <c r="AH393" s="109" t="n"/>
      <c r="AL393" s="109" t="n"/>
      <c r="AM393" s="109" t="n"/>
      <c r="AN393" s="109" t="n"/>
    </row>
    <row r="394" ht="15.75" customHeight="1" s="216">
      <c r="D394" s="109" t="n"/>
      <c r="E394" s="109" t="n"/>
      <c r="J394" s="109" t="n"/>
      <c r="K394" s="109" t="n"/>
      <c r="L394" s="109" t="n"/>
      <c r="N394" s="109" t="n"/>
      <c r="O394" s="109" t="n"/>
      <c r="P394" s="109" t="n"/>
      <c r="T394" s="109" t="n"/>
      <c r="U394" s="109" t="n"/>
      <c r="V394" s="109" t="n"/>
      <c r="Z394" s="109" t="n"/>
      <c r="AA394" s="109" t="n"/>
      <c r="AB394" s="109" t="n"/>
      <c r="AF394" s="109" t="n"/>
      <c r="AG394" s="109" t="n"/>
      <c r="AH394" s="109" t="n"/>
      <c r="AL394" s="109" t="n"/>
      <c r="AM394" s="109" t="n"/>
      <c r="AN394" s="109" t="n"/>
    </row>
    <row r="395" ht="15.75" customHeight="1" s="216">
      <c r="D395" s="109" t="n"/>
      <c r="E395" s="109" t="n"/>
      <c r="J395" s="109" t="n"/>
      <c r="K395" s="109" t="n"/>
      <c r="L395" s="109" t="n"/>
      <c r="N395" s="109" t="n"/>
      <c r="O395" s="109" t="n"/>
      <c r="P395" s="109" t="n"/>
      <c r="T395" s="109" t="n"/>
      <c r="U395" s="109" t="n"/>
      <c r="V395" s="109" t="n"/>
      <c r="Z395" s="109" t="n"/>
      <c r="AA395" s="109" t="n"/>
      <c r="AB395" s="109" t="n"/>
      <c r="AF395" s="109" t="n"/>
      <c r="AG395" s="109" t="n"/>
      <c r="AH395" s="109" t="n"/>
      <c r="AL395" s="109" t="n"/>
      <c r="AM395" s="109" t="n"/>
      <c r="AN395" s="109" t="n"/>
    </row>
    <row r="396" ht="15.75" customHeight="1" s="216">
      <c r="D396" s="109" t="n"/>
      <c r="E396" s="109" t="n"/>
      <c r="J396" s="109" t="n"/>
      <c r="K396" s="109" t="n"/>
      <c r="L396" s="109" t="n"/>
      <c r="N396" s="109" t="n"/>
      <c r="O396" s="109" t="n"/>
      <c r="P396" s="109" t="n"/>
      <c r="T396" s="109" t="n"/>
      <c r="U396" s="109" t="n"/>
      <c r="V396" s="109" t="n"/>
      <c r="Z396" s="109" t="n"/>
      <c r="AA396" s="109" t="n"/>
      <c r="AB396" s="109" t="n"/>
      <c r="AF396" s="109" t="n"/>
      <c r="AG396" s="109" t="n"/>
      <c r="AH396" s="109" t="n"/>
      <c r="AL396" s="109" t="n"/>
      <c r="AM396" s="109" t="n"/>
      <c r="AN396" s="109" t="n"/>
    </row>
    <row r="397" ht="15.75" customHeight="1" s="216">
      <c r="D397" s="109" t="n"/>
      <c r="E397" s="109" t="n"/>
      <c r="J397" s="109" t="n"/>
      <c r="K397" s="109" t="n"/>
      <c r="L397" s="109" t="n"/>
      <c r="N397" s="109" t="n"/>
      <c r="O397" s="109" t="n"/>
      <c r="P397" s="109" t="n"/>
      <c r="T397" s="109" t="n"/>
      <c r="U397" s="109" t="n"/>
      <c r="V397" s="109" t="n"/>
      <c r="Z397" s="109" t="n"/>
      <c r="AA397" s="109" t="n"/>
      <c r="AB397" s="109" t="n"/>
      <c r="AF397" s="109" t="n"/>
      <c r="AG397" s="109" t="n"/>
      <c r="AH397" s="109" t="n"/>
      <c r="AL397" s="109" t="n"/>
      <c r="AM397" s="109" t="n"/>
      <c r="AN397" s="109" t="n"/>
    </row>
    <row r="398" ht="15.75" customHeight="1" s="216">
      <c r="D398" s="109" t="n"/>
      <c r="E398" s="109" t="n"/>
      <c r="J398" s="109" t="n"/>
      <c r="K398" s="109" t="n"/>
      <c r="L398" s="109" t="n"/>
      <c r="N398" s="109" t="n"/>
      <c r="O398" s="109" t="n"/>
      <c r="P398" s="109" t="n"/>
      <c r="T398" s="109" t="n"/>
      <c r="U398" s="109" t="n"/>
      <c r="V398" s="109" t="n"/>
      <c r="Z398" s="109" t="n"/>
      <c r="AA398" s="109" t="n"/>
      <c r="AB398" s="109" t="n"/>
      <c r="AF398" s="109" t="n"/>
      <c r="AG398" s="109" t="n"/>
      <c r="AH398" s="109" t="n"/>
      <c r="AL398" s="109" t="n"/>
      <c r="AM398" s="109" t="n"/>
      <c r="AN398" s="109" t="n"/>
    </row>
    <row r="399" ht="15.75" customHeight="1" s="216">
      <c r="D399" s="109" t="n"/>
      <c r="E399" s="109" t="n"/>
      <c r="J399" s="109" t="n"/>
      <c r="K399" s="109" t="n"/>
      <c r="L399" s="109" t="n"/>
      <c r="N399" s="109" t="n"/>
      <c r="O399" s="109" t="n"/>
      <c r="P399" s="109" t="n"/>
      <c r="T399" s="109" t="n"/>
      <c r="U399" s="109" t="n"/>
      <c r="V399" s="109" t="n"/>
      <c r="Z399" s="109" t="n"/>
      <c r="AA399" s="109" t="n"/>
      <c r="AB399" s="109" t="n"/>
      <c r="AF399" s="109" t="n"/>
      <c r="AG399" s="109" t="n"/>
      <c r="AH399" s="109" t="n"/>
      <c r="AL399" s="109" t="n"/>
      <c r="AM399" s="109" t="n"/>
      <c r="AN399" s="109" t="n"/>
    </row>
    <row r="400" ht="15.75" customHeight="1" s="216">
      <c r="D400" s="109" t="n"/>
      <c r="E400" s="109" t="n"/>
      <c r="J400" s="109" t="n"/>
      <c r="K400" s="109" t="n"/>
      <c r="L400" s="109" t="n"/>
      <c r="N400" s="109" t="n"/>
      <c r="O400" s="109" t="n"/>
      <c r="P400" s="109" t="n"/>
      <c r="T400" s="109" t="n"/>
      <c r="U400" s="109" t="n"/>
      <c r="V400" s="109" t="n"/>
      <c r="Z400" s="109" t="n"/>
      <c r="AA400" s="109" t="n"/>
      <c r="AB400" s="109" t="n"/>
      <c r="AF400" s="109" t="n"/>
      <c r="AG400" s="109" t="n"/>
      <c r="AH400" s="109" t="n"/>
      <c r="AL400" s="109" t="n"/>
      <c r="AM400" s="109" t="n"/>
      <c r="AN400" s="109" t="n"/>
    </row>
    <row r="401" ht="15.75" customHeight="1" s="216">
      <c r="D401" s="109" t="n"/>
      <c r="E401" s="109" t="n"/>
      <c r="J401" s="109" t="n"/>
      <c r="K401" s="109" t="n"/>
      <c r="L401" s="109" t="n"/>
      <c r="N401" s="109" t="n"/>
      <c r="O401" s="109" t="n"/>
      <c r="P401" s="109" t="n"/>
      <c r="T401" s="109" t="n"/>
      <c r="U401" s="109" t="n"/>
      <c r="V401" s="109" t="n"/>
      <c r="Z401" s="109" t="n"/>
      <c r="AA401" s="109" t="n"/>
      <c r="AB401" s="109" t="n"/>
      <c r="AF401" s="109" t="n"/>
      <c r="AG401" s="109" t="n"/>
      <c r="AH401" s="109" t="n"/>
      <c r="AL401" s="109" t="n"/>
      <c r="AM401" s="109" t="n"/>
      <c r="AN401" s="109" t="n"/>
    </row>
    <row r="402" ht="15.75" customHeight="1" s="216">
      <c r="D402" s="109" t="n"/>
      <c r="E402" s="109" t="n"/>
      <c r="J402" s="109" t="n"/>
      <c r="K402" s="109" t="n"/>
      <c r="L402" s="109" t="n"/>
      <c r="N402" s="109" t="n"/>
      <c r="O402" s="109" t="n"/>
      <c r="P402" s="109" t="n"/>
      <c r="T402" s="109" t="n"/>
      <c r="U402" s="109" t="n"/>
      <c r="V402" s="109" t="n"/>
      <c r="Z402" s="109" t="n"/>
      <c r="AA402" s="109" t="n"/>
      <c r="AB402" s="109" t="n"/>
      <c r="AF402" s="109" t="n"/>
      <c r="AG402" s="109" t="n"/>
      <c r="AH402" s="109" t="n"/>
      <c r="AL402" s="109" t="n"/>
      <c r="AM402" s="109" t="n"/>
      <c r="AN402" s="109" t="n"/>
    </row>
    <row r="403" ht="15.75" customHeight="1" s="216">
      <c r="D403" s="109" t="n"/>
      <c r="E403" s="109" t="n"/>
      <c r="J403" s="109" t="n"/>
      <c r="K403" s="109" t="n"/>
      <c r="L403" s="109" t="n"/>
      <c r="N403" s="109" t="n"/>
      <c r="O403" s="109" t="n"/>
      <c r="P403" s="109" t="n"/>
      <c r="T403" s="109" t="n"/>
      <c r="U403" s="109" t="n"/>
      <c r="V403" s="109" t="n"/>
      <c r="Z403" s="109" t="n"/>
      <c r="AA403" s="109" t="n"/>
      <c r="AB403" s="109" t="n"/>
      <c r="AF403" s="109" t="n"/>
      <c r="AG403" s="109" t="n"/>
      <c r="AH403" s="109" t="n"/>
      <c r="AL403" s="109" t="n"/>
      <c r="AM403" s="109" t="n"/>
      <c r="AN403" s="109" t="n"/>
    </row>
    <row r="404" ht="15.75" customHeight="1" s="216">
      <c r="D404" s="109" t="n"/>
      <c r="E404" s="109" t="n"/>
      <c r="J404" s="109" t="n"/>
      <c r="K404" s="109" t="n"/>
      <c r="L404" s="109" t="n"/>
      <c r="N404" s="109" t="n"/>
      <c r="O404" s="109" t="n"/>
      <c r="P404" s="109" t="n"/>
      <c r="T404" s="109" t="n"/>
      <c r="U404" s="109" t="n"/>
      <c r="V404" s="109" t="n"/>
      <c r="Z404" s="109" t="n"/>
      <c r="AA404" s="109" t="n"/>
      <c r="AB404" s="109" t="n"/>
      <c r="AF404" s="109" t="n"/>
      <c r="AG404" s="109" t="n"/>
      <c r="AH404" s="109" t="n"/>
      <c r="AL404" s="109" t="n"/>
      <c r="AM404" s="109" t="n"/>
      <c r="AN404" s="109" t="n"/>
    </row>
    <row r="405" ht="15.75" customHeight="1" s="216">
      <c r="D405" s="109" t="n"/>
      <c r="E405" s="109" t="n"/>
      <c r="J405" s="109" t="n"/>
      <c r="K405" s="109" t="n"/>
      <c r="L405" s="109" t="n"/>
      <c r="N405" s="109" t="n"/>
      <c r="O405" s="109" t="n"/>
      <c r="P405" s="109" t="n"/>
      <c r="T405" s="109" t="n"/>
      <c r="U405" s="109" t="n"/>
      <c r="V405" s="109" t="n"/>
      <c r="Z405" s="109" t="n"/>
      <c r="AA405" s="109" t="n"/>
      <c r="AB405" s="109" t="n"/>
      <c r="AF405" s="109" t="n"/>
      <c r="AG405" s="109" t="n"/>
      <c r="AH405" s="109" t="n"/>
      <c r="AL405" s="109" t="n"/>
      <c r="AM405" s="109" t="n"/>
      <c r="AN405" s="109" t="n"/>
    </row>
    <row r="406" ht="15.75" customHeight="1" s="216">
      <c r="D406" s="109" t="n"/>
      <c r="E406" s="109" t="n"/>
      <c r="J406" s="109" t="n"/>
      <c r="K406" s="109" t="n"/>
      <c r="L406" s="109" t="n"/>
      <c r="N406" s="109" t="n"/>
      <c r="O406" s="109" t="n"/>
      <c r="P406" s="109" t="n"/>
      <c r="T406" s="109" t="n"/>
      <c r="U406" s="109" t="n"/>
      <c r="V406" s="109" t="n"/>
      <c r="Z406" s="109" t="n"/>
      <c r="AA406" s="109" t="n"/>
      <c r="AB406" s="109" t="n"/>
      <c r="AF406" s="109" t="n"/>
      <c r="AG406" s="109" t="n"/>
      <c r="AH406" s="109" t="n"/>
      <c r="AL406" s="109" t="n"/>
      <c r="AM406" s="109" t="n"/>
      <c r="AN406" s="109" t="n"/>
    </row>
    <row r="407" ht="15.75" customHeight="1" s="216">
      <c r="D407" s="109" t="n"/>
      <c r="E407" s="109" t="n"/>
      <c r="J407" s="109" t="n"/>
      <c r="K407" s="109" t="n"/>
      <c r="L407" s="109" t="n"/>
      <c r="N407" s="109" t="n"/>
      <c r="O407" s="109" t="n"/>
      <c r="P407" s="109" t="n"/>
      <c r="T407" s="109" t="n"/>
      <c r="U407" s="109" t="n"/>
      <c r="V407" s="109" t="n"/>
      <c r="Z407" s="109" t="n"/>
      <c r="AA407" s="109" t="n"/>
      <c r="AB407" s="109" t="n"/>
      <c r="AF407" s="109" t="n"/>
      <c r="AG407" s="109" t="n"/>
      <c r="AH407" s="109" t="n"/>
      <c r="AL407" s="109" t="n"/>
      <c r="AM407" s="109" t="n"/>
      <c r="AN407" s="109" t="n"/>
    </row>
    <row r="408" ht="15.75" customHeight="1" s="216">
      <c r="D408" s="109" t="n"/>
      <c r="E408" s="109" t="n"/>
      <c r="J408" s="109" t="n"/>
      <c r="K408" s="109" t="n"/>
      <c r="L408" s="109" t="n"/>
      <c r="N408" s="109" t="n"/>
      <c r="O408" s="109" t="n"/>
      <c r="P408" s="109" t="n"/>
      <c r="T408" s="109" t="n"/>
      <c r="U408" s="109" t="n"/>
      <c r="V408" s="109" t="n"/>
      <c r="Z408" s="109" t="n"/>
      <c r="AA408" s="109" t="n"/>
      <c r="AB408" s="109" t="n"/>
      <c r="AF408" s="109" t="n"/>
      <c r="AG408" s="109" t="n"/>
      <c r="AH408" s="109" t="n"/>
      <c r="AL408" s="109" t="n"/>
      <c r="AM408" s="109" t="n"/>
      <c r="AN408" s="109" t="n"/>
    </row>
    <row r="409" ht="15.75" customHeight="1" s="216">
      <c r="D409" s="109" t="n"/>
      <c r="E409" s="109" t="n"/>
      <c r="J409" s="109" t="n"/>
      <c r="K409" s="109" t="n"/>
      <c r="L409" s="109" t="n"/>
      <c r="N409" s="109" t="n"/>
      <c r="O409" s="109" t="n"/>
      <c r="P409" s="109" t="n"/>
      <c r="T409" s="109" t="n"/>
      <c r="U409" s="109" t="n"/>
      <c r="V409" s="109" t="n"/>
      <c r="Z409" s="109" t="n"/>
      <c r="AA409" s="109" t="n"/>
      <c r="AB409" s="109" t="n"/>
      <c r="AF409" s="109" t="n"/>
      <c r="AG409" s="109" t="n"/>
      <c r="AH409" s="109" t="n"/>
      <c r="AL409" s="109" t="n"/>
      <c r="AM409" s="109" t="n"/>
      <c r="AN409" s="109" t="n"/>
    </row>
    <row r="410" ht="15.75" customHeight="1" s="216">
      <c r="D410" s="109" t="n"/>
      <c r="E410" s="109" t="n"/>
      <c r="J410" s="109" t="n"/>
      <c r="K410" s="109" t="n"/>
      <c r="L410" s="109" t="n"/>
      <c r="N410" s="109" t="n"/>
      <c r="O410" s="109" t="n"/>
      <c r="P410" s="109" t="n"/>
      <c r="T410" s="109" t="n"/>
      <c r="U410" s="109" t="n"/>
      <c r="V410" s="109" t="n"/>
      <c r="Z410" s="109" t="n"/>
      <c r="AA410" s="109" t="n"/>
      <c r="AB410" s="109" t="n"/>
      <c r="AF410" s="109" t="n"/>
      <c r="AG410" s="109" t="n"/>
      <c r="AH410" s="109" t="n"/>
      <c r="AL410" s="109" t="n"/>
      <c r="AM410" s="109" t="n"/>
      <c r="AN410" s="109" t="n"/>
    </row>
    <row r="411" ht="15.75" customHeight="1" s="216">
      <c r="D411" s="109" t="n"/>
      <c r="E411" s="109" t="n"/>
      <c r="J411" s="109" t="n"/>
      <c r="K411" s="109" t="n"/>
      <c r="L411" s="109" t="n"/>
      <c r="N411" s="109" t="n"/>
      <c r="O411" s="109" t="n"/>
      <c r="P411" s="109" t="n"/>
      <c r="T411" s="109" t="n"/>
      <c r="U411" s="109" t="n"/>
      <c r="V411" s="109" t="n"/>
      <c r="Z411" s="109" t="n"/>
      <c r="AA411" s="109" t="n"/>
      <c r="AB411" s="109" t="n"/>
      <c r="AF411" s="109" t="n"/>
      <c r="AG411" s="109" t="n"/>
      <c r="AH411" s="109" t="n"/>
      <c r="AL411" s="109" t="n"/>
      <c r="AM411" s="109" t="n"/>
      <c r="AN411" s="109" t="n"/>
    </row>
    <row r="412" ht="15.75" customHeight="1" s="216">
      <c r="D412" s="109" t="n"/>
      <c r="E412" s="109" t="n"/>
      <c r="J412" s="109" t="n"/>
      <c r="K412" s="109" t="n"/>
      <c r="L412" s="109" t="n"/>
      <c r="N412" s="109" t="n"/>
      <c r="O412" s="109" t="n"/>
      <c r="P412" s="109" t="n"/>
      <c r="T412" s="109" t="n"/>
      <c r="U412" s="109" t="n"/>
      <c r="V412" s="109" t="n"/>
      <c r="Z412" s="109" t="n"/>
      <c r="AA412" s="109" t="n"/>
      <c r="AB412" s="109" t="n"/>
      <c r="AF412" s="109" t="n"/>
      <c r="AG412" s="109" t="n"/>
      <c r="AH412" s="109" t="n"/>
      <c r="AL412" s="109" t="n"/>
      <c r="AM412" s="109" t="n"/>
      <c r="AN412" s="109" t="n"/>
    </row>
    <row r="413" ht="15.75" customHeight="1" s="216">
      <c r="D413" s="109" t="n"/>
      <c r="E413" s="109" t="n"/>
      <c r="J413" s="109" t="n"/>
      <c r="K413" s="109" t="n"/>
      <c r="L413" s="109" t="n"/>
      <c r="N413" s="109" t="n"/>
      <c r="O413" s="109" t="n"/>
      <c r="P413" s="109" t="n"/>
      <c r="T413" s="109" t="n"/>
      <c r="U413" s="109" t="n"/>
      <c r="V413" s="109" t="n"/>
      <c r="Z413" s="109" t="n"/>
      <c r="AA413" s="109" t="n"/>
      <c r="AB413" s="109" t="n"/>
      <c r="AF413" s="109" t="n"/>
      <c r="AG413" s="109" t="n"/>
      <c r="AH413" s="109" t="n"/>
      <c r="AL413" s="109" t="n"/>
      <c r="AM413" s="109" t="n"/>
      <c r="AN413" s="109" t="n"/>
    </row>
    <row r="414" ht="15.75" customHeight="1" s="216">
      <c r="D414" s="109" t="n"/>
      <c r="E414" s="109" t="n"/>
      <c r="J414" s="109" t="n"/>
      <c r="K414" s="109" t="n"/>
      <c r="L414" s="109" t="n"/>
      <c r="N414" s="109" t="n"/>
      <c r="O414" s="109" t="n"/>
      <c r="P414" s="109" t="n"/>
      <c r="T414" s="109" t="n"/>
      <c r="U414" s="109" t="n"/>
      <c r="V414" s="109" t="n"/>
      <c r="Z414" s="109" t="n"/>
      <c r="AA414" s="109" t="n"/>
      <c r="AB414" s="109" t="n"/>
      <c r="AF414" s="109" t="n"/>
      <c r="AG414" s="109" t="n"/>
      <c r="AH414" s="109" t="n"/>
      <c r="AL414" s="109" t="n"/>
      <c r="AM414" s="109" t="n"/>
      <c r="AN414" s="109" t="n"/>
    </row>
    <row r="415" ht="15.75" customHeight="1" s="216">
      <c r="D415" s="109" t="n"/>
      <c r="E415" s="109" t="n"/>
      <c r="J415" s="109" t="n"/>
      <c r="K415" s="109" t="n"/>
      <c r="L415" s="109" t="n"/>
      <c r="N415" s="109" t="n"/>
      <c r="O415" s="109" t="n"/>
      <c r="P415" s="109" t="n"/>
      <c r="T415" s="109" t="n"/>
      <c r="U415" s="109" t="n"/>
      <c r="V415" s="109" t="n"/>
      <c r="Z415" s="109" t="n"/>
      <c r="AA415" s="109" t="n"/>
      <c r="AB415" s="109" t="n"/>
      <c r="AF415" s="109" t="n"/>
      <c r="AG415" s="109" t="n"/>
      <c r="AH415" s="109" t="n"/>
      <c r="AL415" s="109" t="n"/>
      <c r="AM415" s="109" t="n"/>
      <c r="AN415" s="109" t="n"/>
    </row>
    <row r="416" ht="15.75" customHeight="1" s="216">
      <c r="D416" s="109" t="n"/>
      <c r="E416" s="109" t="n"/>
      <c r="J416" s="109" t="n"/>
      <c r="K416" s="109" t="n"/>
      <c r="L416" s="109" t="n"/>
      <c r="N416" s="109" t="n"/>
      <c r="O416" s="109" t="n"/>
      <c r="P416" s="109" t="n"/>
      <c r="T416" s="109" t="n"/>
      <c r="U416" s="109" t="n"/>
      <c r="V416" s="109" t="n"/>
      <c r="Z416" s="109" t="n"/>
      <c r="AA416" s="109" t="n"/>
      <c r="AB416" s="109" t="n"/>
      <c r="AF416" s="109" t="n"/>
      <c r="AG416" s="109" t="n"/>
      <c r="AH416" s="109" t="n"/>
      <c r="AL416" s="109" t="n"/>
      <c r="AM416" s="109" t="n"/>
      <c r="AN416" s="109" t="n"/>
    </row>
    <row r="417" ht="15.75" customHeight="1" s="216">
      <c r="D417" s="109" t="n"/>
      <c r="E417" s="109" t="n"/>
      <c r="J417" s="109" t="n"/>
      <c r="K417" s="109" t="n"/>
      <c r="L417" s="109" t="n"/>
      <c r="N417" s="109" t="n"/>
      <c r="O417" s="109" t="n"/>
      <c r="P417" s="109" t="n"/>
      <c r="T417" s="109" t="n"/>
      <c r="U417" s="109" t="n"/>
      <c r="V417" s="109" t="n"/>
      <c r="Z417" s="109" t="n"/>
      <c r="AA417" s="109" t="n"/>
      <c r="AB417" s="109" t="n"/>
      <c r="AF417" s="109" t="n"/>
      <c r="AG417" s="109" t="n"/>
      <c r="AH417" s="109" t="n"/>
      <c r="AL417" s="109" t="n"/>
      <c r="AM417" s="109" t="n"/>
      <c r="AN417" s="109" t="n"/>
    </row>
    <row r="418" ht="15.75" customHeight="1" s="216">
      <c r="D418" s="109" t="n"/>
      <c r="E418" s="109" t="n"/>
      <c r="J418" s="109" t="n"/>
      <c r="K418" s="109" t="n"/>
      <c r="L418" s="109" t="n"/>
      <c r="N418" s="109" t="n"/>
      <c r="O418" s="109" t="n"/>
      <c r="P418" s="109" t="n"/>
      <c r="T418" s="109" t="n"/>
      <c r="U418" s="109" t="n"/>
      <c r="V418" s="109" t="n"/>
      <c r="Z418" s="109" t="n"/>
      <c r="AA418" s="109" t="n"/>
      <c r="AB418" s="109" t="n"/>
      <c r="AF418" s="109" t="n"/>
      <c r="AG418" s="109" t="n"/>
      <c r="AH418" s="109" t="n"/>
      <c r="AL418" s="109" t="n"/>
      <c r="AM418" s="109" t="n"/>
      <c r="AN418" s="109" t="n"/>
    </row>
    <row r="419" ht="15.75" customHeight="1" s="216">
      <c r="D419" s="109" t="n"/>
      <c r="E419" s="109" t="n"/>
      <c r="J419" s="109" t="n"/>
      <c r="K419" s="109" t="n"/>
      <c r="L419" s="109" t="n"/>
      <c r="N419" s="109" t="n"/>
      <c r="O419" s="109" t="n"/>
      <c r="P419" s="109" t="n"/>
      <c r="T419" s="109" t="n"/>
      <c r="U419" s="109" t="n"/>
      <c r="V419" s="109" t="n"/>
      <c r="Z419" s="109" t="n"/>
      <c r="AA419" s="109" t="n"/>
      <c r="AB419" s="109" t="n"/>
      <c r="AF419" s="109" t="n"/>
      <c r="AG419" s="109" t="n"/>
      <c r="AH419" s="109" t="n"/>
      <c r="AL419" s="109" t="n"/>
      <c r="AM419" s="109" t="n"/>
      <c r="AN419" s="109" t="n"/>
    </row>
    <row r="420" ht="15.75" customHeight="1" s="216">
      <c r="D420" s="109" t="n"/>
      <c r="E420" s="109" t="n"/>
      <c r="J420" s="109" t="n"/>
      <c r="K420" s="109" t="n"/>
      <c r="L420" s="109" t="n"/>
      <c r="N420" s="109" t="n"/>
      <c r="O420" s="109" t="n"/>
      <c r="P420" s="109" t="n"/>
      <c r="T420" s="109" t="n"/>
      <c r="U420" s="109" t="n"/>
      <c r="V420" s="109" t="n"/>
      <c r="Z420" s="109" t="n"/>
      <c r="AA420" s="109" t="n"/>
      <c r="AB420" s="109" t="n"/>
      <c r="AF420" s="109" t="n"/>
      <c r="AG420" s="109" t="n"/>
      <c r="AH420" s="109" t="n"/>
      <c r="AL420" s="109" t="n"/>
      <c r="AM420" s="109" t="n"/>
      <c r="AN420" s="109" t="n"/>
    </row>
    <row r="421" ht="15.75" customHeight="1" s="216">
      <c r="D421" s="109" t="n"/>
      <c r="E421" s="109" t="n"/>
      <c r="J421" s="109" t="n"/>
      <c r="K421" s="109" t="n"/>
      <c r="L421" s="109" t="n"/>
      <c r="N421" s="109" t="n"/>
      <c r="O421" s="109" t="n"/>
      <c r="P421" s="109" t="n"/>
      <c r="T421" s="109" t="n"/>
      <c r="U421" s="109" t="n"/>
      <c r="V421" s="109" t="n"/>
      <c r="Z421" s="109" t="n"/>
      <c r="AA421" s="109" t="n"/>
      <c r="AB421" s="109" t="n"/>
      <c r="AF421" s="109" t="n"/>
      <c r="AG421" s="109" t="n"/>
      <c r="AH421" s="109" t="n"/>
      <c r="AL421" s="109" t="n"/>
      <c r="AM421" s="109" t="n"/>
      <c r="AN421" s="109" t="n"/>
    </row>
    <row r="422" ht="15.75" customHeight="1" s="216">
      <c r="D422" s="109" t="n"/>
      <c r="E422" s="109" t="n"/>
      <c r="J422" s="109" t="n"/>
      <c r="K422" s="109" t="n"/>
      <c r="L422" s="109" t="n"/>
      <c r="N422" s="109" t="n"/>
      <c r="O422" s="109" t="n"/>
      <c r="P422" s="109" t="n"/>
      <c r="T422" s="109" t="n"/>
      <c r="U422" s="109" t="n"/>
      <c r="V422" s="109" t="n"/>
      <c r="Z422" s="109" t="n"/>
      <c r="AA422" s="109" t="n"/>
      <c r="AB422" s="109" t="n"/>
      <c r="AF422" s="109" t="n"/>
      <c r="AG422" s="109" t="n"/>
      <c r="AH422" s="109" t="n"/>
      <c r="AL422" s="109" t="n"/>
      <c r="AM422" s="109" t="n"/>
      <c r="AN422" s="109" t="n"/>
    </row>
    <row r="423" ht="15.75" customHeight="1" s="216">
      <c r="D423" s="109" t="n"/>
      <c r="E423" s="109" t="n"/>
      <c r="J423" s="109" t="n"/>
      <c r="K423" s="109" t="n"/>
      <c r="L423" s="109" t="n"/>
      <c r="N423" s="109" t="n"/>
      <c r="O423" s="109" t="n"/>
      <c r="P423" s="109" t="n"/>
      <c r="T423" s="109" t="n"/>
      <c r="U423" s="109" t="n"/>
      <c r="V423" s="109" t="n"/>
      <c r="Z423" s="109" t="n"/>
      <c r="AA423" s="109" t="n"/>
      <c r="AB423" s="109" t="n"/>
      <c r="AF423" s="109" t="n"/>
      <c r="AG423" s="109" t="n"/>
      <c r="AH423" s="109" t="n"/>
      <c r="AL423" s="109" t="n"/>
      <c r="AM423" s="109" t="n"/>
      <c r="AN423" s="109" t="n"/>
    </row>
    <row r="424" ht="15.75" customHeight="1" s="216">
      <c r="D424" s="109" t="n"/>
      <c r="E424" s="109" t="n"/>
      <c r="J424" s="109" t="n"/>
      <c r="K424" s="109" t="n"/>
      <c r="L424" s="109" t="n"/>
      <c r="N424" s="109" t="n"/>
      <c r="O424" s="109" t="n"/>
      <c r="P424" s="109" t="n"/>
      <c r="T424" s="109" t="n"/>
      <c r="U424" s="109" t="n"/>
      <c r="V424" s="109" t="n"/>
      <c r="Z424" s="109" t="n"/>
      <c r="AA424" s="109" t="n"/>
      <c r="AB424" s="109" t="n"/>
      <c r="AF424" s="109" t="n"/>
      <c r="AG424" s="109" t="n"/>
      <c r="AH424" s="109" t="n"/>
      <c r="AL424" s="109" t="n"/>
      <c r="AM424" s="109" t="n"/>
      <c r="AN424" s="109" t="n"/>
    </row>
    <row r="425" ht="15.75" customHeight="1" s="216">
      <c r="D425" s="109" t="n"/>
      <c r="E425" s="109" t="n"/>
      <c r="J425" s="109" t="n"/>
      <c r="K425" s="109" t="n"/>
      <c r="L425" s="109" t="n"/>
      <c r="N425" s="109" t="n"/>
      <c r="O425" s="109" t="n"/>
      <c r="P425" s="109" t="n"/>
      <c r="T425" s="109" t="n"/>
      <c r="U425" s="109" t="n"/>
      <c r="V425" s="109" t="n"/>
      <c r="Z425" s="109" t="n"/>
      <c r="AA425" s="109" t="n"/>
      <c r="AB425" s="109" t="n"/>
      <c r="AF425" s="109" t="n"/>
      <c r="AG425" s="109" t="n"/>
      <c r="AH425" s="109" t="n"/>
      <c r="AL425" s="109" t="n"/>
      <c r="AM425" s="109" t="n"/>
      <c r="AN425" s="109" t="n"/>
    </row>
    <row r="426" ht="15.75" customHeight="1" s="216">
      <c r="D426" s="109" t="n"/>
      <c r="E426" s="109" t="n"/>
      <c r="J426" s="109" t="n"/>
      <c r="K426" s="109" t="n"/>
      <c r="L426" s="109" t="n"/>
      <c r="N426" s="109" t="n"/>
      <c r="O426" s="109" t="n"/>
      <c r="P426" s="109" t="n"/>
      <c r="T426" s="109" t="n"/>
      <c r="U426" s="109" t="n"/>
      <c r="V426" s="109" t="n"/>
      <c r="Z426" s="109" t="n"/>
      <c r="AA426" s="109" t="n"/>
      <c r="AB426" s="109" t="n"/>
      <c r="AF426" s="109" t="n"/>
      <c r="AG426" s="109" t="n"/>
      <c r="AH426" s="109" t="n"/>
      <c r="AL426" s="109" t="n"/>
      <c r="AM426" s="109" t="n"/>
      <c r="AN426" s="109" t="n"/>
    </row>
    <row r="427" ht="15.75" customHeight="1" s="216">
      <c r="D427" s="109" t="n"/>
      <c r="E427" s="109" t="n"/>
      <c r="J427" s="109" t="n"/>
      <c r="K427" s="109" t="n"/>
      <c r="L427" s="109" t="n"/>
      <c r="N427" s="109" t="n"/>
      <c r="O427" s="109" t="n"/>
      <c r="P427" s="109" t="n"/>
      <c r="T427" s="109" t="n"/>
      <c r="U427" s="109" t="n"/>
      <c r="V427" s="109" t="n"/>
      <c r="Z427" s="109" t="n"/>
      <c r="AA427" s="109" t="n"/>
      <c r="AB427" s="109" t="n"/>
      <c r="AF427" s="109" t="n"/>
      <c r="AG427" s="109" t="n"/>
      <c r="AH427" s="109" t="n"/>
      <c r="AL427" s="109" t="n"/>
      <c r="AM427" s="109" t="n"/>
      <c r="AN427" s="109" t="n"/>
    </row>
    <row r="428" ht="15.75" customHeight="1" s="216">
      <c r="D428" s="109" t="n"/>
      <c r="E428" s="109" t="n"/>
      <c r="J428" s="109" t="n"/>
      <c r="K428" s="109" t="n"/>
      <c r="L428" s="109" t="n"/>
      <c r="N428" s="109" t="n"/>
      <c r="O428" s="109" t="n"/>
      <c r="P428" s="109" t="n"/>
      <c r="T428" s="109" t="n"/>
      <c r="U428" s="109" t="n"/>
      <c r="V428" s="109" t="n"/>
      <c r="Z428" s="109" t="n"/>
      <c r="AA428" s="109" t="n"/>
      <c r="AB428" s="109" t="n"/>
      <c r="AF428" s="109" t="n"/>
      <c r="AG428" s="109" t="n"/>
      <c r="AH428" s="109" t="n"/>
      <c r="AL428" s="109" t="n"/>
      <c r="AM428" s="109" t="n"/>
      <c r="AN428" s="109" t="n"/>
    </row>
    <row r="429" ht="15.75" customHeight="1" s="216">
      <c r="D429" s="109" t="n"/>
      <c r="E429" s="109" t="n"/>
      <c r="J429" s="109" t="n"/>
      <c r="K429" s="109" t="n"/>
      <c r="L429" s="109" t="n"/>
      <c r="N429" s="109" t="n"/>
      <c r="O429" s="109" t="n"/>
      <c r="P429" s="109" t="n"/>
      <c r="T429" s="109" t="n"/>
      <c r="U429" s="109" t="n"/>
      <c r="V429" s="109" t="n"/>
      <c r="Z429" s="109" t="n"/>
      <c r="AA429" s="109" t="n"/>
      <c r="AB429" s="109" t="n"/>
      <c r="AF429" s="109" t="n"/>
      <c r="AG429" s="109" t="n"/>
      <c r="AH429" s="109" t="n"/>
      <c r="AL429" s="109" t="n"/>
      <c r="AM429" s="109" t="n"/>
      <c r="AN429" s="109" t="n"/>
    </row>
    <row r="430" ht="15.75" customHeight="1" s="216">
      <c r="D430" s="109" t="n"/>
      <c r="E430" s="109" t="n"/>
      <c r="J430" s="109" t="n"/>
      <c r="K430" s="109" t="n"/>
      <c r="L430" s="109" t="n"/>
      <c r="N430" s="109" t="n"/>
      <c r="O430" s="109" t="n"/>
      <c r="P430" s="109" t="n"/>
      <c r="T430" s="109" t="n"/>
      <c r="U430" s="109" t="n"/>
      <c r="V430" s="109" t="n"/>
      <c r="Z430" s="109" t="n"/>
      <c r="AA430" s="109" t="n"/>
      <c r="AB430" s="109" t="n"/>
      <c r="AF430" s="109" t="n"/>
      <c r="AG430" s="109" t="n"/>
      <c r="AH430" s="109" t="n"/>
      <c r="AL430" s="109" t="n"/>
      <c r="AM430" s="109" t="n"/>
      <c r="AN430" s="109" t="n"/>
    </row>
    <row r="431" ht="15.75" customHeight="1" s="216">
      <c r="D431" s="109" t="n"/>
      <c r="E431" s="109" t="n"/>
      <c r="J431" s="109" t="n"/>
      <c r="K431" s="109" t="n"/>
      <c r="L431" s="109" t="n"/>
      <c r="N431" s="109" t="n"/>
      <c r="O431" s="109" t="n"/>
      <c r="P431" s="109" t="n"/>
      <c r="T431" s="109" t="n"/>
      <c r="U431" s="109" t="n"/>
      <c r="V431" s="109" t="n"/>
      <c r="Z431" s="109" t="n"/>
      <c r="AA431" s="109" t="n"/>
      <c r="AB431" s="109" t="n"/>
      <c r="AF431" s="109" t="n"/>
      <c r="AG431" s="109" t="n"/>
      <c r="AH431" s="109" t="n"/>
      <c r="AL431" s="109" t="n"/>
      <c r="AM431" s="109" t="n"/>
      <c r="AN431" s="109" t="n"/>
    </row>
    <row r="432" ht="15.75" customHeight="1" s="216">
      <c r="D432" s="109" t="n"/>
      <c r="E432" s="109" t="n"/>
      <c r="J432" s="109" t="n"/>
      <c r="K432" s="109" t="n"/>
      <c r="L432" s="109" t="n"/>
      <c r="N432" s="109" t="n"/>
      <c r="O432" s="109" t="n"/>
      <c r="P432" s="109" t="n"/>
      <c r="T432" s="109" t="n"/>
      <c r="U432" s="109" t="n"/>
      <c r="V432" s="109" t="n"/>
      <c r="Z432" s="109" t="n"/>
      <c r="AA432" s="109" t="n"/>
      <c r="AB432" s="109" t="n"/>
      <c r="AF432" s="109" t="n"/>
      <c r="AG432" s="109" t="n"/>
      <c r="AH432" s="109" t="n"/>
      <c r="AL432" s="109" t="n"/>
      <c r="AM432" s="109" t="n"/>
      <c r="AN432" s="109" t="n"/>
    </row>
    <row r="433" ht="15.75" customHeight="1" s="216">
      <c r="D433" s="109" t="n"/>
      <c r="E433" s="109" t="n"/>
      <c r="J433" s="109" t="n"/>
      <c r="K433" s="109" t="n"/>
      <c r="L433" s="109" t="n"/>
      <c r="N433" s="109" t="n"/>
      <c r="O433" s="109" t="n"/>
      <c r="P433" s="109" t="n"/>
      <c r="T433" s="109" t="n"/>
      <c r="U433" s="109" t="n"/>
      <c r="V433" s="109" t="n"/>
      <c r="Z433" s="109" t="n"/>
      <c r="AA433" s="109" t="n"/>
      <c r="AB433" s="109" t="n"/>
      <c r="AF433" s="109" t="n"/>
      <c r="AG433" s="109" t="n"/>
      <c r="AH433" s="109" t="n"/>
      <c r="AL433" s="109" t="n"/>
      <c r="AM433" s="109" t="n"/>
      <c r="AN433" s="109" t="n"/>
    </row>
    <row r="434" ht="15.75" customHeight="1" s="216">
      <c r="D434" s="109" t="n"/>
      <c r="E434" s="109" t="n"/>
      <c r="J434" s="109" t="n"/>
      <c r="K434" s="109" t="n"/>
      <c r="L434" s="109" t="n"/>
      <c r="N434" s="109" t="n"/>
      <c r="O434" s="109" t="n"/>
      <c r="P434" s="109" t="n"/>
      <c r="T434" s="109" t="n"/>
      <c r="U434" s="109" t="n"/>
      <c r="V434" s="109" t="n"/>
      <c r="Z434" s="109" t="n"/>
      <c r="AA434" s="109" t="n"/>
      <c r="AB434" s="109" t="n"/>
      <c r="AF434" s="109" t="n"/>
      <c r="AG434" s="109" t="n"/>
      <c r="AH434" s="109" t="n"/>
      <c r="AL434" s="109" t="n"/>
      <c r="AM434" s="109" t="n"/>
      <c r="AN434" s="109" t="n"/>
    </row>
    <row r="435" ht="15.75" customHeight="1" s="216">
      <c r="D435" s="109" t="n"/>
      <c r="E435" s="109" t="n"/>
      <c r="J435" s="109" t="n"/>
      <c r="K435" s="109" t="n"/>
      <c r="L435" s="109" t="n"/>
      <c r="N435" s="109" t="n"/>
      <c r="O435" s="109" t="n"/>
      <c r="P435" s="109" t="n"/>
      <c r="T435" s="109" t="n"/>
      <c r="U435" s="109" t="n"/>
      <c r="V435" s="109" t="n"/>
      <c r="Z435" s="109" t="n"/>
      <c r="AA435" s="109" t="n"/>
      <c r="AB435" s="109" t="n"/>
      <c r="AF435" s="109" t="n"/>
      <c r="AG435" s="109" t="n"/>
      <c r="AH435" s="109" t="n"/>
      <c r="AL435" s="109" t="n"/>
      <c r="AM435" s="109" t="n"/>
      <c r="AN435" s="109" t="n"/>
    </row>
    <row r="436" ht="15.75" customHeight="1" s="216">
      <c r="D436" s="109" t="n"/>
      <c r="E436" s="109" t="n"/>
      <c r="J436" s="109" t="n"/>
      <c r="K436" s="109" t="n"/>
      <c r="L436" s="109" t="n"/>
      <c r="N436" s="109" t="n"/>
      <c r="O436" s="109" t="n"/>
      <c r="P436" s="109" t="n"/>
      <c r="T436" s="109" t="n"/>
      <c r="U436" s="109" t="n"/>
      <c r="V436" s="109" t="n"/>
      <c r="Z436" s="109" t="n"/>
      <c r="AA436" s="109" t="n"/>
      <c r="AB436" s="109" t="n"/>
      <c r="AF436" s="109" t="n"/>
      <c r="AG436" s="109" t="n"/>
      <c r="AH436" s="109" t="n"/>
      <c r="AL436" s="109" t="n"/>
      <c r="AM436" s="109" t="n"/>
      <c r="AN436" s="109" t="n"/>
    </row>
    <row r="437" ht="15.75" customHeight="1" s="216">
      <c r="D437" s="109" t="n"/>
      <c r="E437" s="109" t="n"/>
      <c r="J437" s="109" t="n"/>
      <c r="K437" s="109" t="n"/>
      <c r="L437" s="109" t="n"/>
      <c r="N437" s="109" t="n"/>
      <c r="O437" s="109" t="n"/>
      <c r="P437" s="109" t="n"/>
      <c r="T437" s="109" t="n"/>
      <c r="U437" s="109" t="n"/>
      <c r="V437" s="109" t="n"/>
      <c r="Z437" s="109" t="n"/>
      <c r="AA437" s="109" t="n"/>
      <c r="AB437" s="109" t="n"/>
      <c r="AF437" s="109" t="n"/>
      <c r="AG437" s="109" t="n"/>
      <c r="AH437" s="109" t="n"/>
      <c r="AL437" s="109" t="n"/>
      <c r="AM437" s="109" t="n"/>
      <c r="AN437" s="109" t="n"/>
    </row>
    <row r="438" ht="15.75" customHeight="1" s="216">
      <c r="D438" s="109" t="n"/>
      <c r="E438" s="109" t="n"/>
      <c r="J438" s="109" t="n"/>
      <c r="K438" s="109" t="n"/>
      <c r="L438" s="109" t="n"/>
      <c r="N438" s="109" t="n"/>
      <c r="O438" s="109" t="n"/>
      <c r="P438" s="109" t="n"/>
      <c r="T438" s="109" t="n"/>
      <c r="U438" s="109" t="n"/>
      <c r="V438" s="109" t="n"/>
      <c r="Z438" s="109" t="n"/>
      <c r="AA438" s="109" t="n"/>
      <c r="AB438" s="109" t="n"/>
      <c r="AF438" s="109" t="n"/>
      <c r="AG438" s="109" t="n"/>
      <c r="AH438" s="109" t="n"/>
      <c r="AL438" s="109" t="n"/>
      <c r="AM438" s="109" t="n"/>
      <c r="AN438" s="109" t="n"/>
    </row>
    <row r="439" ht="15.75" customHeight="1" s="216">
      <c r="D439" s="109" t="n"/>
      <c r="E439" s="109" t="n"/>
      <c r="J439" s="109" t="n"/>
      <c r="K439" s="109" t="n"/>
      <c r="L439" s="109" t="n"/>
      <c r="N439" s="109" t="n"/>
      <c r="O439" s="109" t="n"/>
      <c r="P439" s="109" t="n"/>
      <c r="T439" s="109" t="n"/>
      <c r="U439" s="109" t="n"/>
      <c r="V439" s="109" t="n"/>
      <c r="Z439" s="109" t="n"/>
      <c r="AA439" s="109" t="n"/>
      <c r="AB439" s="109" t="n"/>
      <c r="AF439" s="109" t="n"/>
      <c r="AG439" s="109" t="n"/>
      <c r="AH439" s="109" t="n"/>
      <c r="AL439" s="109" t="n"/>
      <c r="AM439" s="109" t="n"/>
      <c r="AN439" s="109" t="n"/>
    </row>
    <row r="440" ht="15.75" customHeight="1" s="216">
      <c r="D440" s="109" t="n"/>
      <c r="E440" s="109" t="n"/>
      <c r="J440" s="109" t="n"/>
      <c r="K440" s="109" t="n"/>
      <c r="L440" s="109" t="n"/>
      <c r="N440" s="109" t="n"/>
      <c r="O440" s="109" t="n"/>
      <c r="P440" s="109" t="n"/>
      <c r="T440" s="109" t="n"/>
      <c r="U440" s="109" t="n"/>
      <c r="V440" s="109" t="n"/>
      <c r="Z440" s="109" t="n"/>
      <c r="AA440" s="109" t="n"/>
      <c r="AB440" s="109" t="n"/>
      <c r="AF440" s="109" t="n"/>
      <c r="AG440" s="109" t="n"/>
      <c r="AH440" s="109" t="n"/>
      <c r="AL440" s="109" t="n"/>
      <c r="AM440" s="109" t="n"/>
      <c r="AN440" s="109" t="n"/>
    </row>
    <row r="441" ht="15.75" customHeight="1" s="216">
      <c r="D441" s="109" t="n"/>
      <c r="E441" s="109" t="n"/>
      <c r="J441" s="109" t="n"/>
      <c r="K441" s="109" t="n"/>
      <c r="L441" s="109" t="n"/>
      <c r="N441" s="109" t="n"/>
      <c r="O441" s="109" t="n"/>
      <c r="P441" s="109" t="n"/>
      <c r="T441" s="109" t="n"/>
      <c r="U441" s="109" t="n"/>
      <c r="V441" s="109" t="n"/>
      <c r="Z441" s="109" t="n"/>
      <c r="AA441" s="109" t="n"/>
      <c r="AB441" s="109" t="n"/>
      <c r="AF441" s="109" t="n"/>
      <c r="AG441" s="109" t="n"/>
      <c r="AH441" s="109" t="n"/>
      <c r="AL441" s="109" t="n"/>
      <c r="AM441" s="109" t="n"/>
      <c r="AN441" s="109" t="n"/>
    </row>
    <row r="442" ht="15.75" customHeight="1" s="216">
      <c r="D442" s="109" t="n"/>
      <c r="E442" s="109" t="n"/>
      <c r="J442" s="109" t="n"/>
      <c r="K442" s="109" t="n"/>
      <c r="L442" s="109" t="n"/>
      <c r="N442" s="109" t="n"/>
      <c r="O442" s="109" t="n"/>
      <c r="P442" s="109" t="n"/>
      <c r="T442" s="109" t="n"/>
      <c r="U442" s="109" t="n"/>
      <c r="V442" s="109" t="n"/>
      <c r="Z442" s="109" t="n"/>
      <c r="AA442" s="109" t="n"/>
      <c r="AB442" s="109" t="n"/>
      <c r="AF442" s="109" t="n"/>
      <c r="AG442" s="109" t="n"/>
      <c r="AH442" s="109" t="n"/>
      <c r="AL442" s="109" t="n"/>
      <c r="AM442" s="109" t="n"/>
      <c r="AN442" s="109" t="n"/>
    </row>
    <row r="443" ht="15.75" customHeight="1" s="216">
      <c r="D443" s="109" t="n"/>
      <c r="E443" s="109" t="n"/>
      <c r="J443" s="109" t="n"/>
      <c r="K443" s="109" t="n"/>
      <c r="L443" s="109" t="n"/>
      <c r="N443" s="109" t="n"/>
      <c r="O443" s="109" t="n"/>
      <c r="P443" s="109" t="n"/>
      <c r="T443" s="109" t="n"/>
      <c r="U443" s="109" t="n"/>
      <c r="V443" s="109" t="n"/>
      <c r="Z443" s="109" t="n"/>
      <c r="AA443" s="109" t="n"/>
      <c r="AB443" s="109" t="n"/>
      <c r="AF443" s="109" t="n"/>
      <c r="AG443" s="109" t="n"/>
      <c r="AH443" s="109" t="n"/>
      <c r="AL443" s="109" t="n"/>
      <c r="AM443" s="109" t="n"/>
      <c r="AN443" s="109" t="n"/>
    </row>
    <row r="444" ht="15.75" customHeight="1" s="216">
      <c r="D444" s="109" t="n"/>
      <c r="E444" s="109" t="n"/>
      <c r="J444" s="109" t="n"/>
      <c r="K444" s="109" t="n"/>
      <c r="L444" s="109" t="n"/>
      <c r="N444" s="109" t="n"/>
      <c r="O444" s="109" t="n"/>
      <c r="P444" s="109" t="n"/>
      <c r="T444" s="109" t="n"/>
      <c r="U444" s="109" t="n"/>
      <c r="V444" s="109" t="n"/>
      <c r="Z444" s="109" t="n"/>
      <c r="AA444" s="109" t="n"/>
      <c r="AB444" s="109" t="n"/>
      <c r="AF444" s="109" t="n"/>
      <c r="AG444" s="109" t="n"/>
      <c r="AH444" s="109" t="n"/>
      <c r="AL444" s="109" t="n"/>
      <c r="AM444" s="109" t="n"/>
      <c r="AN444" s="109" t="n"/>
    </row>
    <row r="445" ht="15.75" customHeight="1" s="216">
      <c r="D445" s="109" t="n"/>
      <c r="E445" s="109" t="n"/>
      <c r="J445" s="109" t="n"/>
      <c r="K445" s="109" t="n"/>
      <c r="L445" s="109" t="n"/>
      <c r="N445" s="109" t="n"/>
      <c r="O445" s="109" t="n"/>
      <c r="P445" s="109" t="n"/>
      <c r="T445" s="109" t="n"/>
      <c r="U445" s="109" t="n"/>
      <c r="V445" s="109" t="n"/>
      <c r="Z445" s="109" t="n"/>
      <c r="AA445" s="109" t="n"/>
      <c r="AB445" s="109" t="n"/>
      <c r="AF445" s="109" t="n"/>
      <c r="AG445" s="109" t="n"/>
      <c r="AH445" s="109" t="n"/>
      <c r="AL445" s="109" t="n"/>
      <c r="AM445" s="109" t="n"/>
      <c r="AN445" s="109" t="n"/>
    </row>
    <row r="446" ht="15.75" customHeight="1" s="216">
      <c r="D446" s="109" t="n"/>
      <c r="E446" s="109" t="n"/>
      <c r="J446" s="109" t="n"/>
      <c r="K446" s="109" t="n"/>
      <c r="L446" s="109" t="n"/>
      <c r="N446" s="109" t="n"/>
      <c r="O446" s="109" t="n"/>
      <c r="P446" s="109" t="n"/>
      <c r="T446" s="109" t="n"/>
      <c r="U446" s="109" t="n"/>
      <c r="V446" s="109" t="n"/>
      <c r="Z446" s="109" t="n"/>
      <c r="AA446" s="109" t="n"/>
      <c r="AB446" s="109" t="n"/>
      <c r="AF446" s="109" t="n"/>
      <c r="AG446" s="109" t="n"/>
      <c r="AH446" s="109" t="n"/>
      <c r="AL446" s="109" t="n"/>
      <c r="AM446" s="109" t="n"/>
      <c r="AN446" s="109" t="n"/>
    </row>
    <row r="447" ht="15.75" customHeight="1" s="216">
      <c r="D447" s="109" t="n"/>
      <c r="E447" s="109" t="n"/>
      <c r="J447" s="109" t="n"/>
      <c r="K447" s="109" t="n"/>
      <c r="L447" s="109" t="n"/>
      <c r="N447" s="109" t="n"/>
      <c r="O447" s="109" t="n"/>
      <c r="P447" s="109" t="n"/>
      <c r="T447" s="109" t="n"/>
      <c r="U447" s="109" t="n"/>
      <c r="V447" s="109" t="n"/>
      <c r="Z447" s="109" t="n"/>
      <c r="AA447" s="109" t="n"/>
      <c r="AB447" s="109" t="n"/>
      <c r="AF447" s="109" t="n"/>
      <c r="AG447" s="109" t="n"/>
      <c r="AH447" s="109" t="n"/>
      <c r="AL447" s="109" t="n"/>
      <c r="AM447" s="109" t="n"/>
      <c r="AN447" s="109" t="n"/>
    </row>
    <row r="448" ht="15.75" customHeight="1" s="216">
      <c r="D448" s="109" t="n"/>
      <c r="E448" s="109" t="n"/>
      <c r="J448" s="109" t="n"/>
      <c r="K448" s="109" t="n"/>
      <c r="L448" s="109" t="n"/>
      <c r="N448" s="109" t="n"/>
      <c r="O448" s="109" t="n"/>
      <c r="P448" s="109" t="n"/>
      <c r="T448" s="109" t="n"/>
      <c r="U448" s="109" t="n"/>
      <c r="V448" s="109" t="n"/>
      <c r="Z448" s="109" t="n"/>
      <c r="AA448" s="109" t="n"/>
      <c r="AB448" s="109" t="n"/>
      <c r="AF448" s="109" t="n"/>
      <c r="AG448" s="109" t="n"/>
      <c r="AH448" s="109" t="n"/>
      <c r="AL448" s="109" t="n"/>
      <c r="AM448" s="109" t="n"/>
      <c r="AN448" s="109" t="n"/>
    </row>
    <row r="449" ht="15.75" customHeight="1" s="216">
      <c r="D449" s="109" t="n"/>
      <c r="E449" s="109" t="n"/>
      <c r="J449" s="109" t="n"/>
      <c r="K449" s="109" t="n"/>
      <c r="L449" s="109" t="n"/>
      <c r="N449" s="109" t="n"/>
      <c r="O449" s="109" t="n"/>
      <c r="P449" s="109" t="n"/>
      <c r="T449" s="109" t="n"/>
      <c r="U449" s="109" t="n"/>
      <c r="V449" s="109" t="n"/>
      <c r="Z449" s="109" t="n"/>
      <c r="AA449" s="109" t="n"/>
      <c r="AB449" s="109" t="n"/>
      <c r="AF449" s="109" t="n"/>
      <c r="AG449" s="109" t="n"/>
      <c r="AH449" s="109" t="n"/>
      <c r="AL449" s="109" t="n"/>
      <c r="AM449" s="109" t="n"/>
      <c r="AN449" s="109" t="n"/>
    </row>
    <row r="450" ht="15.75" customHeight="1" s="216">
      <c r="D450" s="109" t="n"/>
      <c r="E450" s="109" t="n"/>
      <c r="J450" s="109" t="n"/>
      <c r="K450" s="109" t="n"/>
      <c r="L450" s="109" t="n"/>
      <c r="N450" s="109" t="n"/>
      <c r="O450" s="109" t="n"/>
      <c r="P450" s="109" t="n"/>
      <c r="T450" s="109" t="n"/>
      <c r="U450" s="109" t="n"/>
      <c r="V450" s="109" t="n"/>
      <c r="Z450" s="109" t="n"/>
      <c r="AA450" s="109" t="n"/>
      <c r="AB450" s="109" t="n"/>
      <c r="AF450" s="109" t="n"/>
      <c r="AG450" s="109" t="n"/>
      <c r="AH450" s="109" t="n"/>
      <c r="AL450" s="109" t="n"/>
      <c r="AM450" s="109" t="n"/>
      <c r="AN450" s="109" t="n"/>
    </row>
    <row r="451" ht="15.75" customHeight="1" s="216">
      <c r="D451" s="109" t="n"/>
      <c r="E451" s="109" t="n"/>
      <c r="J451" s="109" t="n"/>
      <c r="K451" s="109" t="n"/>
      <c r="L451" s="109" t="n"/>
      <c r="N451" s="109" t="n"/>
      <c r="O451" s="109" t="n"/>
      <c r="P451" s="109" t="n"/>
      <c r="T451" s="109" t="n"/>
      <c r="U451" s="109" t="n"/>
      <c r="V451" s="109" t="n"/>
      <c r="Z451" s="109" t="n"/>
      <c r="AA451" s="109" t="n"/>
      <c r="AB451" s="109" t="n"/>
      <c r="AF451" s="109" t="n"/>
      <c r="AG451" s="109" t="n"/>
      <c r="AH451" s="109" t="n"/>
      <c r="AL451" s="109" t="n"/>
      <c r="AM451" s="109" t="n"/>
      <c r="AN451" s="109" t="n"/>
    </row>
    <row r="452" ht="15.75" customHeight="1" s="216">
      <c r="D452" s="109" t="n"/>
      <c r="E452" s="109" t="n"/>
      <c r="J452" s="109" t="n"/>
      <c r="K452" s="109" t="n"/>
      <c r="L452" s="109" t="n"/>
      <c r="N452" s="109" t="n"/>
      <c r="O452" s="109" t="n"/>
      <c r="P452" s="109" t="n"/>
      <c r="T452" s="109" t="n"/>
      <c r="U452" s="109" t="n"/>
      <c r="V452" s="109" t="n"/>
      <c r="Z452" s="109" t="n"/>
      <c r="AA452" s="109" t="n"/>
      <c r="AB452" s="109" t="n"/>
      <c r="AF452" s="109" t="n"/>
      <c r="AG452" s="109" t="n"/>
      <c r="AH452" s="109" t="n"/>
      <c r="AL452" s="109" t="n"/>
      <c r="AM452" s="109" t="n"/>
      <c r="AN452" s="109" t="n"/>
    </row>
    <row r="453" ht="15.75" customHeight="1" s="216">
      <c r="D453" s="109" t="n"/>
      <c r="E453" s="109" t="n"/>
      <c r="J453" s="109" t="n"/>
      <c r="K453" s="109" t="n"/>
      <c r="L453" s="109" t="n"/>
      <c r="N453" s="109" t="n"/>
      <c r="O453" s="109" t="n"/>
      <c r="P453" s="109" t="n"/>
      <c r="T453" s="109" t="n"/>
      <c r="U453" s="109" t="n"/>
      <c r="V453" s="109" t="n"/>
      <c r="Z453" s="109" t="n"/>
      <c r="AA453" s="109" t="n"/>
      <c r="AB453" s="109" t="n"/>
      <c r="AF453" s="109" t="n"/>
      <c r="AG453" s="109" t="n"/>
      <c r="AH453" s="109" t="n"/>
      <c r="AL453" s="109" t="n"/>
      <c r="AM453" s="109" t="n"/>
      <c r="AN453" s="109" t="n"/>
    </row>
    <row r="454" ht="15.75" customHeight="1" s="216">
      <c r="D454" s="109" t="n"/>
      <c r="E454" s="109" t="n"/>
      <c r="J454" s="109" t="n"/>
      <c r="K454" s="109" t="n"/>
      <c r="L454" s="109" t="n"/>
      <c r="N454" s="109" t="n"/>
      <c r="O454" s="109" t="n"/>
      <c r="P454" s="109" t="n"/>
      <c r="T454" s="109" t="n"/>
      <c r="U454" s="109" t="n"/>
      <c r="V454" s="109" t="n"/>
      <c r="Z454" s="109" t="n"/>
      <c r="AA454" s="109" t="n"/>
      <c r="AB454" s="109" t="n"/>
      <c r="AF454" s="109" t="n"/>
      <c r="AG454" s="109" t="n"/>
      <c r="AH454" s="109" t="n"/>
      <c r="AL454" s="109" t="n"/>
      <c r="AM454" s="109" t="n"/>
      <c r="AN454" s="109" t="n"/>
    </row>
    <row r="455" ht="15.75" customHeight="1" s="216">
      <c r="D455" s="109" t="n"/>
      <c r="E455" s="109" t="n"/>
      <c r="J455" s="109" t="n"/>
      <c r="K455" s="109" t="n"/>
      <c r="L455" s="109" t="n"/>
      <c r="N455" s="109" t="n"/>
      <c r="O455" s="109" t="n"/>
      <c r="P455" s="109" t="n"/>
      <c r="T455" s="109" t="n"/>
      <c r="U455" s="109" t="n"/>
      <c r="V455" s="109" t="n"/>
      <c r="Z455" s="109" t="n"/>
      <c r="AA455" s="109" t="n"/>
      <c r="AB455" s="109" t="n"/>
      <c r="AF455" s="109" t="n"/>
      <c r="AG455" s="109" t="n"/>
      <c r="AH455" s="109" t="n"/>
      <c r="AL455" s="109" t="n"/>
      <c r="AM455" s="109" t="n"/>
      <c r="AN455" s="109" t="n"/>
    </row>
    <row r="456" ht="15.75" customHeight="1" s="216">
      <c r="D456" s="109" t="n"/>
      <c r="E456" s="109" t="n"/>
      <c r="J456" s="109" t="n"/>
      <c r="K456" s="109" t="n"/>
      <c r="L456" s="109" t="n"/>
      <c r="N456" s="109" t="n"/>
      <c r="O456" s="109" t="n"/>
      <c r="P456" s="109" t="n"/>
      <c r="T456" s="109" t="n"/>
      <c r="U456" s="109" t="n"/>
      <c r="V456" s="109" t="n"/>
      <c r="Z456" s="109" t="n"/>
      <c r="AA456" s="109" t="n"/>
      <c r="AB456" s="109" t="n"/>
      <c r="AF456" s="109" t="n"/>
      <c r="AG456" s="109" t="n"/>
      <c r="AH456" s="109" t="n"/>
      <c r="AL456" s="109" t="n"/>
      <c r="AM456" s="109" t="n"/>
      <c r="AN456" s="109" t="n"/>
    </row>
    <row r="457" ht="15.75" customHeight="1" s="216">
      <c r="D457" s="109" t="n"/>
      <c r="E457" s="109" t="n"/>
      <c r="J457" s="109" t="n"/>
      <c r="K457" s="109" t="n"/>
      <c r="L457" s="109" t="n"/>
      <c r="N457" s="109" t="n"/>
      <c r="O457" s="109" t="n"/>
      <c r="P457" s="109" t="n"/>
      <c r="T457" s="109" t="n"/>
      <c r="U457" s="109" t="n"/>
      <c r="V457" s="109" t="n"/>
      <c r="Z457" s="109" t="n"/>
      <c r="AA457" s="109" t="n"/>
      <c r="AB457" s="109" t="n"/>
      <c r="AF457" s="109" t="n"/>
      <c r="AG457" s="109" t="n"/>
      <c r="AH457" s="109" t="n"/>
      <c r="AL457" s="109" t="n"/>
      <c r="AM457" s="109" t="n"/>
      <c r="AN457" s="109" t="n"/>
    </row>
    <row r="458" ht="15.75" customHeight="1" s="216">
      <c r="D458" s="109" t="n"/>
      <c r="E458" s="109" t="n"/>
      <c r="J458" s="109" t="n"/>
      <c r="K458" s="109" t="n"/>
      <c r="L458" s="109" t="n"/>
      <c r="N458" s="109" t="n"/>
      <c r="O458" s="109" t="n"/>
      <c r="P458" s="109" t="n"/>
      <c r="T458" s="109" t="n"/>
      <c r="U458" s="109" t="n"/>
      <c r="V458" s="109" t="n"/>
      <c r="Z458" s="109" t="n"/>
      <c r="AA458" s="109" t="n"/>
      <c r="AB458" s="109" t="n"/>
      <c r="AF458" s="109" t="n"/>
      <c r="AG458" s="109" t="n"/>
      <c r="AH458" s="109" t="n"/>
      <c r="AL458" s="109" t="n"/>
      <c r="AM458" s="109" t="n"/>
      <c r="AN458" s="109" t="n"/>
    </row>
    <row r="459" ht="15.75" customHeight="1" s="216">
      <c r="D459" s="109" t="n"/>
      <c r="E459" s="109" t="n"/>
      <c r="J459" s="109" t="n"/>
      <c r="K459" s="109" t="n"/>
      <c r="L459" s="109" t="n"/>
      <c r="N459" s="109" t="n"/>
      <c r="O459" s="109" t="n"/>
      <c r="P459" s="109" t="n"/>
      <c r="T459" s="109" t="n"/>
      <c r="U459" s="109" t="n"/>
      <c r="V459" s="109" t="n"/>
      <c r="Z459" s="109" t="n"/>
      <c r="AA459" s="109" t="n"/>
      <c r="AB459" s="109" t="n"/>
      <c r="AF459" s="109" t="n"/>
      <c r="AG459" s="109" t="n"/>
      <c r="AH459" s="109" t="n"/>
      <c r="AL459" s="109" t="n"/>
      <c r="AM459" s="109" t="n"/>
      <c r="AN459" s="109" t="n"/>
    </row>
    <row r="460" ht="15.75" customHeight="1" s="216">
      <c r="D460" s="109" t="n"/>
      <c r="E460" s="109" t="n"/>
      <c r="J460" s="109" t="n"/>
      <c r="K460" s="109" t="n"/>
      <c r="L460" s="109" t="n"/>
      <c r="N460" s="109" t="n"/>
      <c r="O460" s="109" t="n"/>
      <c r="P460" s="109" t="n"/>
      <c r="T460" s="109" t="n"/>
      <c r="U460" s="109" t="n"/>
      <c r="V460" s="109" t="n"/>
      <c r="Z460" s="109" t="n"/>
      <c r="AA460" s="109" t="n"/>
      <c r="AB460" s="109" t="n"/>
      <c r="AF460" s="109" t="n"/>
      <c r="AG460" s="109" t="n"/>
      <c r="AH460" s="109" t="n"/>
      <c r="AL460" s="109" t="n"/>
      <c r="AM460" s="109" t="n"/>
      <c r="AN460" s="109" t="n"/>
    </row>
    <row r="461" ht="15.75" customHeight="1" s="216">
      <c r="D461" s="109" t="n"/>
      <c r="E461" s="109" t="n"/>
      <c r="J461" s="109" t="n"/>
      <c r="K461" s="109" t="n"/>
      <c r="L461" s="109" t="n"/>
      <c r="N461" s="109" t="n"/>
      <c r="O461" s="109" t="n"/>
      <c r="P461" s="109" t="n"/>
      <c r="T461" s="109" t="n"/>
      <c r="U461" s="109" t="n"/>
      <c r="V461" s="109" t="n"/>
      <c r="Z461" s="109" t="n"/>
      <c r="AA461" s="109" t="n"/>
      <c r="AB461" s="109" t="n"/>
      <c r="AF461" s="109" t="n"/>
      <c r="AG461" s="109" t="n"/>
      <c r="AH461" s="109" t="n"/>
      <c r="AL461" s="109" t="n"/>
      <c r="AM461" s="109" t="n"/>
      <c r="AN461" s="109" t="n"/>
    </row>
    <row r="462" ht="15.75" customHeight="1" s="216">
      <c r="D462" s="109" t="n"/>
      <c r="E462" s="109" t="n"/>
      <c r="J462" s="109" t="n"/>
      <c r="K462" s="109" t="n"/>
      <c r="L462" s="109" t="n"/>
      <c r="N462" s="109" t="n"/>
      <c r="O462" s="109" t="n"/>
      <c r="P462" s="109" t="n"/>
      <c r="T462" s="109" t="n"/>
      <c r="U462" s="109" t="n"/>
      <c r="V462" s="109" t="n"/>
      <c r="Z462" s="109" t="n"/>
      <c r="AA462" s="109" t="n"/>
      <c r="AB462" s="109" t="n"/>
      <c r="AF462" s="109" t="n"/>
      <c r="AG462" s="109" t="n"/>
      <c r="AH462" s="109" t="n"/>
      <c r="AL462" s="109" t="n"/>
      <c r="AM462" s="109" t="n"/>
      <c r="AN462" s="109" t="n"/>
    </row>
    <row r="463" ht="15.75" customHeight="1" s="216">
      <c r="D463" s="109" t="n"/>
      <c r="E463" s="109" t="n"/>
      <c r="J463" s="109" t="n"/>
      <c r="K463" s="109" t="n"/>
      <c r="L463" s="109" t="n"/>
      <c r="N463" s="109" t="n"/>
      <c r="O463" s="109" t="n"/>
      <c r="P463" s="109" t="n"/>
      <c r="T463" s="109" t="n"/>
      <c r="U463" s="109" t="n"/>
      <c r="V463" s="109" t="n"/>
      <c r="Z463" s="109" t="n"/>
      <c r="AA463" s="109" t="n"/>
      <c r="AB463" s="109" t="n"/>
      <c r="AF463" s="109" t="n"/>
      <c r="AG463" s="109" t="n"/>
      <c r="AH463" s="109" t="n"/>
      <c r="AL463" s="109" t="n"/>
      <c r="AM463" s="109" t="n"/>
      <c r="AN463" s="109" t="n"/>
    </row>
    <row r="464" ht="15.75" customHeight="1" s="216">
      <c r="D464" s="109" t="n"/>
      <c r="E464" s="109" t="n"/>
      <c r="J464" s="109" t="n"/>
      <c r="K464" s="109" t="n"/>
      <c r="L464" s="109" t="n"/>
      <c r="N464" s="109" t="n"/>
      <c r="O464" s="109" t="n"/>
      <c r="P464" s="109" t="n"/>
      <c r="T464" s="109" t="n"/>
      <c r="U464" s="109" t="n"/>
      <c r="V464" s="109" t="n"/>
      <c r="Z464" s="109" t="n"/>
      <c r="AA464" s="109" t="n"/>
      <c r="AB464" s="109" t="n"/>
      <c r="AF464" s="109" t="n"/>
      <c r="AG464" s="109" t="n"/>
      <c r="AH464" s="109" t="n"/>
      <c r="AL464" s="109" t="n"/>
      <c r="AM464" s="109" t="n"/>
      <c r="AN464" s="109" t="n"/>
    </row>
    <row r="465" ht="15.75" customHeight="1" s="216">
      <c r="D465" s="109" t="n"/>
      <c r="E465" s="109" t="n"/>
      <c r="J465" s="109" t="n"/>
      <c r="K465" s="109" t="n"/>
      <c r="L465" s="109" t="n"/>
      <c r="N465" s="109" t="n"/>
      <c r="O465" s="109" t="n"/>
      <c r="P465" s="109" t="n"/>
      <c r="T465" s="109" t="n"/>
      <c r="U465" s="109" t="n"/>
      <c r="V465" s="109" t="n"/>
      <c r="Z465" s="109" t="n"/>
      <c r="AA465" s="109" t="n"/>
      <c r="AB465" s="109" t="n"/>
      <c r="AF465" s="109" t="n"/>
      <c r="AG465" s="109" t="n"/>
      <c r="AH465" s="109" t="n"/>
      <c r="AL465" s="109" t="n"/>
      <c r="AM465" s="109" t="n"/>
      <c r="AN465" s="109" t="n"/>
    </row>
    <row r="466" ht="15.75" customHeight="1" s="216">
      <c r="D466" s="109" t="n"/>
      <c r="E466" s="109" t="n"/>
      <c r="J466" s="109" t="n"/>
      <c r="K466" s="109" t="n"/>
      <c r="L466" s="109" t="n"/>
      <c r="N466" s="109" t="n"/>
      <c r="O466" s="109" t="n"/>
      <c r="P466" s="109" t="n"/>
      <c r="T466" s="109" t="n"/>
      <c r="U466" s="109" t="n"/>
      <c r="V466" s="109" t="n"/>
      <c r="Z466" s="109" t="n"/>
      <c r="AA466" s="109" t="n"/>
      <c r="AB466" s="109" t="n"/>
      <c r="AF466" s="109" t="n"/>
      <c r="AG466" s="109" t="n"/>
      <c r="AH466" s="109" t="n"/>
      <c r="AL466" s="109" t="n"/>
      <c r="AM466" s="109" t="n"/>
      <c r="AN466" s="109" t="n"/>
    </row>
    <row r="467" ht="15.75" customHeight="1" s="216">
      <c r="D467" s="109" t="n"/>
      <c r="E467" s="109" t="n"/>
      <c r="J467" s="109" t="n"/>
      <c r="K467" s="109" t="n"/>
      <c r="L467" s="109" t="n"/>
      <c r="N467" s="109" t="n"/>
      <c r="O467" s="109" t="n"/>
      <c r="P467" s="109" t="n"/>
      <c r="T467" s="109" t="n"/>
      <c r="U467" s="109" t="n"/>
      <c r="V467" s="109" t="n"/>
      <c r="Z467" s="109" t="n"/>
      <c r="AA467" s="109" t="n"/>
      <c r="AB467" s="109" t="n"/>
      <c r="AF467" s="109" t="n"/>
      <c r="AG467" s="109" t="n"/>
      <c r="AH467" s="109" t="n"/>
      <c r="AL467" s="109" t="n"/>
      <c r="AM467" s="109" t="n"/>
      <c r="AN467" s="109" t="n"/>
    </row>
    <row r="468" ht="15.75" customHeight="1" s="216">
      <c r="D468" s="109" t="n"/>
      <c r="E468" s="109" t="n"/>
      <c r="J468" s="109" t="n"/>
      <c r="K468" s="109" t="n"/>
      <c r="L468" s="109" t="n"/>
      <c r="N468" s="109" t="n"/>
      <c r="O468" s="109" t="n"/>
      <c r="P468" s="109" t="n"/>
      <c r="T468" s="109" t="n"/>
      <c r="U468" s="109" t="n"/>
      <c r="V468" s="109" t="n"/>
      <c r="Z468" s="109" t="n"/>
      <c r="AA468" s="109" t="n"/>
      <c r="AB468" s="109" t="n"/>
      <c r="AF468" s="109" t="n"/>
      <c r="AG468" s="109" t="n"/>
      <c r="AH468" s="109" t="n"/>
      <c r="AL468" s="109" t="n"/>
      <c r="AM468" s="109" t="n"/>
      <c r="AN468" s="109" t="n"/>
    </row>
    <row r="469" ht="15.75" customHeight="1" s="216">
      <c r="D469" s="109" t="n"/>
      <c r="E469" s="109" t="n"/>
      <c r="J469" s="109" t="n"/>
      <c r="K469" s="109" t="n"/>
      <c r="L469" s="109" t="n"/>
      <c r="N469" s="109" t="n"/>
      <c r="O469" s="109" t="n"/>
      <c r="P469" s="109" t="n"/>
      <c r="T469" s="109" t="n"/>
      <c r="U469" s="109" t="n"/>
      <c r="V469" s="109" t="n"/>
      <c r="Z469" s="109" t="n"/>
      <c r="AA469" s="109" t="n"/>
      <c r="AB469" s="109" t="n"/>
      <c r="AF469" s="109" t="n"/>
      <c r="AG469" s="109" t="n"/>
      <c r="AH469" s="109" t="n"/>
      <c r="AL469" s="109" t="n"/>
      <c r="AM469" s="109" t="n"/>
      <c r="AN469" s="109" t="n"/>
    </row>
    <row r="470" ht="15.75" customHeight="1" s="216">
      <c r="D470" s="109" t="n"/>
      <c r="E470" s="109" t="n"/>
      <c r="J470" s="109" t="n"/>
      <c r="K470" s="109" t="n"/>
      <c r="L470" s="109" t="n"/>
      <c r="N470" s="109" t="n"/>
      <c r="O470" s="109" t="n"/>
      <c r="P470" s="109" t="n"/>
      <c r="T470" s="109" t="n"/>
      <c r="U470" s="109" t="n"/>
      <c r="V470" s="109" t="n"/>
      <c r="Z470" s="109" t="n"/>
      <c r="AA470" s="109" t="n"/>
      <c r="AB470" s="109" t="n"/>
      <c r="AF470" s="109" t="n"/>
      <c r="AG470" s="109" t="n"/>
      <c r="AH470" s="109" t="n"/>
      <c r="AL470" s="109" t="n"/>
      <c r="AM470" s="109" t="n"/>
      <c r="AN470" s="109" t="n"/>
    </row>
    <row r="471" ht="15.75" customHeight="1" s="216">
      <c r="D471" s="109" t="n"/>
      <c r="E471" s="109" t="n"/>
      <c r="J471" s="109" t="n"/>
      <c r="K471" s="109" t="n"/>
      <c r="L471" s="109" t="n"/>
      <c r="N471" s="109" t="n"/>
      <c r="O471" s="109" t="n"/>
      <c r="P471" s="109" t="n"/>
      <c r="T471" s="109" t="n"/>
      <c r="U471" s="109" t="n"/>
      <c r="V471" s="109" t="n"/>
      <c r="Z471" s="109" t="n"/>
      <c r="AA471" s="109" t="n"/>
      <c r="AB471" s="109" t="n"/>
      <c r="AF471" s="109" t="n"/>
      <c r="AG471" s="109" t="n"/>
      <c r="AH471" s="109" t="n"/>
      <c r="AL471" s="109" t="n"/>
      <c r="AM471" s="109" t="n"/>
      <c r="AN471" s="109" t="n"/>
    </row>
    <row r="472" ht="15.75" customHeight="1" s="216">
      <c r="D472" s="109" t="n"/>
      <c r="E472" s="109" t="n"/>
      <c r="J472" s="109" t="n"/>
      <c r="K472" s="109" t="n"/>
      <c r="L472" s="109" t="n"/>
      <c r="N472" s="109" t="n"/>
      <c r="O472" s="109" t="n"/>
      <c r="P472" s="109" t="n"/>
      <c r="T472" s="109" t="n"/>
      <c r="U472" s="109" t="n"/>
      <c r="V472" s="109" t="n"/>
      <c r="Z472" s="109" t="n"/>
      <c r="AA472" s="109" t="n"/>
      <c r="AB472" s="109" t="n"/>
      <c r="AF472" s="109" t="n"/>
      <c r="AG472" s="109" t="n"/>
      <c r="AH472" s="109" t="n"/>
      <c r="AL472" s="109" t="n"/>
      <c r="AM472" s="109" t="n"/>
      <c r="AN472" s="109" t="n"/>
    </row>
    <row r="473" ht="15.75" customHeight="1" s="216">
      <c r="D473" s="109" t="n"/>
      <c r="E473" s="109" t="n"/>
      <c r="J473" s="109" t="n"/>
      <c r="K473" s="109" t="n"/>
      <c r="L473" s="109" t="n"/>
      <c r="N473" s="109" t="n"/>
      <c r="O473" s="109" t="n"/>
      <c r="P473" s="109" t="n"/>
      <c r="T473" s="109" t="n"/>
      <c r="U473" s="109" t="n"/>
      <c r="V473" s="109" t="n"/>
      <c r="Z473" s="109" t="n"/>
      <c r="AA473" s="109" t="n"/>
      <c r="AB473" s="109" t="n"/>
      <c r="AF473" s="109" t="n"/>
      <c r="AG473" s="109" t="n"/>
      <c r="AH473" s="109" t="n"/>
      <c r="AL473" s="109" t="n"/>
      <c r="AM473" s="109" t="n"/>
      <c r="AN473" s="109" t="n"/>
    </row>
    <row r="474" ht="15.75" customHeight="1" s="216">
      <c r="D474" s="109" t="n"/>
      <c r="E474" s="109" t="n"/>
      <c r="J474" s="109" t="n"/>
      <c r="K474" s="109" t="n"/>
      <c r="L474" s="109" t="n"/>
      <c r="N474" s="109" t="n"/>
      <c r="O474" s="109" t="n"/>
      <c r="P474" s="109" t="n"/>
      <c r="T474" s="109" t="n"/>
      <c r="U474" s="109" t="n"/>
      <c r="V474" s="109" t="n"/>
      <c r="Z474" s="109" t="n"/>
      <c r="AA474" s="109" t="n"/>
      <c r="AB474" s="109" t="n"/>
      <c r="AF474" s="109" t="n"/>
      <c r="AG474" s="109" t="n"/>
      <c r="AH474" s="109" t="n"/>
      <c r="AL474" s="109" t="n"/>
      <c r="AM474" s="109" t="n"/>
      <c r="AN474" s="109" t="n"/>
    </row>
    <row r="475" ht="15.75" customHeight="1" s="216">
      <c r="D475" s="109" t="n"/>
      <c r="E475" s="109" t="n"/>
      <c r="J475" s="109" t="n"/>
      <c r="K475" s="109" t="n"/>
      <c r="L475" s="109" t="n"/>
      <c r="N475" s="109" t="n"/>
      <c r="O475" s="109" t="n"/>
      <c r="P475" s="109" t="n"/>
      <c r="T475" s="109" t="n"/>
      <c r="U475" s="109" t="n"/>
      <c r="V475" s="109" t="n"/>
      <c r="Z475" s="109" t="n"/>
      <c r="AA475" s="109" t="n"/>
      <c r="AB475" s="109" t="n"/>
      <c r="AF475" s="109" t="n"/>
      <c r="AG475" s="109" t="n"/>
      <c r="AH475" s="109" t="n"/>
      <c r="AL475" s="109" t="n"/>
      <c r="AM475" s="109" t="n"/>
      <c r="AN475" s="109" t="n"/>
    </row>
    <row r="476" ht="15.75" customHeight="1" s="216">
      <c r="D476" s="109" t="n"/>
      <c r="E476" s="109" t="n"/>
      <c r="J476" s="109" t="n"/>
      <c r="K476" s="109" t="n"/>
      <c r="L476" s="109" t="n"/>
      <c r="N476" s="109" t="n"/>
      <c r="O476" s="109" t="n"/>
      <c r="P476" s="109" t="n"/>
      <c r="T476" s="109" t="n"/>
      <c r="U476" s="109" t="n"/>
      <c r="V476" s="109" t="n"/>
      <c r="Z476" s="109" t="n"/>
      <c r="AA476" s="109" t="n"/>
      <c r="AB476" s="109" t="n"/>
      <c r="AF476" s="109" t="n"/>
      <c r="AG476" s="109" t="n"/>
      <c r="AH476" s="109" t="n"/>
      <c r="AL476" s="109" t="n"/>
      <c r="AM476" s="109" t="n"/>
      <c r="AN476" s="109" t="n"/>
    </row>
    <row r="477" ht="15.75" customHeight="1" s="216">
      <c r="D477" s="109" t="n"/>
      <c r="E477" s="109" t="n"/>
      <c r="J477" s="109" t="n"/>
      <c r="K477" s="109" t="n"/>
      <c r="L477" s="109" t="n"/>
      <c r="N477" s="109" t="n"/>
      <c r="O477" s="109" t="n"/>
      <c r="P477" s="109" t="n"/>
      <c r="T477" s="109" t="n"/>
      <c r="U477" s="109" t="n"/>
      <c r="V477" s="109" t="n"/>
      <c r="Z477" s="109" t="n"/>
      <c r="AA477" s="109" t="n"/>
      <c r="AB477" s="109" t="n"/>
      <c r="AF477" s="109" t="n"/>
      <c r="AG477" s="109" t="n"/>
      <c r="AH477" s="109" t="n"/>
      <c r="AL477" s="109" t="n"/>
      <c r="AM477" s="109" t="n"/>
      <c r="AN477" s="109" t="n"/>
    </row>
    <row r="478" ht="15.75" customHeight="1" s="216">
      <c r="D478" s="109" t="n"/>
      <c r="E478" s="109" t="n"/>
      <c r="J478" s="109" t="n"/>
      <c r="K478" s="109" t="n"/>
      <c r="L478" s="109" t="n"/>
      <c r="N478" s="109" t="n"/>
      <c r="O478" s="109" t="n"/>
      <c r="P478" s="109" t="n"/>
      <c r="T478" s="109" t="n"/>
      <c r="U478" s="109" t="n"/>
      <c r="V478" s="109" t="n"/>
      <c r="Z478" s="109" t="n"/>
      <c r="AA478" s="109" t="n"/>
      <c r="AB478" s="109" t="n"/>
      <c r="AF478" s="109" t="n"/>
      <c r="AG478" s="109" t="n"/>
      <c r="AH478" s="109" t="n"/>
      <c r="AL478" s="109" t="n"/>
      <c r="AM478" s="109" t="n"/>
      <c r="AN478" s="109" t="n"/>
    </row>
    <row r="479" ht="15.75" customHeight="1" s="216">
      <c r="D479" s="109" t="n"/>
      <c r="E479" s="109" t="n"/>
      <c r="J479" s="109" t="n"/>
      <c r="K479" s="109" t="n"/>
      <c r="L479" s="109" t="n"/>
      <c r="N479" s="109" t="n"/>
      <c r="O479" s="109" t="n"/>
      <c r="P479" s="109" t="n"/>
      <c r="T479" s="109" t="n"/>
      <c r="U479" s="109" t="n"/>
      <c r="V479" s="109" t="n"/>
      <c r="Z479" s="109" t="n"/>
      <c r="AA479" s="109" t="n"/>
      <c r="AB479" s="109" t="n"/>
      <c r="AF479" s="109" t="n"/>
      <c r="AG479" s="109" t="n"/>
      <c r="AH479" s="109" t="n"/>
      <c r="AL479" s="109" t="n"/>
      <c r="AM479" s="109" t="n"/>
      <c r="AN479" s="109" t="n"/>
    </row>
    <row r="480" ht="15.75" customHeight="1" s="216">
      <c r="D480" s="109" t="n"/>
      <c r="E480" s="109" t="n"/>
      <c r="J480" s="109" t="n"/>
      <c r="K480" s="109" t="n"/>
      <c r="L480" s="109" t="n"/>
      <c r="N480" s="109" t="n"/>
      <c r="O480" s="109" t="n"/>
      <c r="P480" s="109" t="n"/>
      <c r="T480" s="109" t="n"/>
      <c r="U480" s="109" t="n"/>
      <c r="V480" s="109" t="n"/>
      <c r="Z480" s="109" t="n"/>
      <c r="AA480" s="109" t="n"/>
      <c r="AB480" s="109" t="n"/>
      <c r="AF480" s="109" t="n"/>
      <c r="AG480" s="109" t="n"/>
      <c r="AH480" s="109" t="n"/>
      <c r="AL480" s="109" t="n"/>
      <c r="AM480" s="109" t="n"/>
      <c r="AN480" s="109" t="n"/>
    </row>
    <row r="481" ht="15.75" customHeight="1" s="216">
      <c r="D481" s="109" t="n"/>
      <c r="E481" s="109" t="n"/>
      <c r="J481" s="109" t="n"/>
      <c r="K481" s="109" t="n"/>
      <c r="L481" s="109" t="n"/>
      <c r="N481" s="109" t="n"/>
      <c r="O481" s="109" t="n"/>
      <c r="P481" s="109" t="n"/>
      <c r="T481" s="109" t="n"/>
      <c r="U481" s="109" t="n"/>
      <c r="V481" s="109" t="n"/>
      <c r="Z481" s="109" t="n"/>
      <c r="AA481" s="109" t="n"/>
      <c r="AB481" s="109" t="n"/>
      <c r="AF481" s="109" t="n"/>
      <c r="AG481" s="109" t="n"/>
      <c r="AH481" s="109" t="n"/>
      <c r="AL481" s="109" t="n"/>
      <c r="AM481" s="109" t="n"/>
      <c r="AN481" s="109" t="n"/>
    </row>
    <row r="482" ht="15.75" customHeight="1" s="216">
      <c r="D482" s="109" t="n"/>
      <c r="E482" s="109" t="n"/>
      <c r="J482" s="109" t="n"/>
      <c r="K482" s="109" t="n"/>
      <c r="L482" s="109" t="n"/>
      <c r="N482" s="109" t="n"/>
      <c r="O482" s="109" t="n"/>
      <c r="P482" s="109" t="n"/>
      <c r="T482" s="109" t="n"/>
      <c r="U482" s="109" t="n"/>
      <c r="V482" s="109" t="n"/>
      <c r="Z482" s="109" t="n"/>
      <c r="AA482" s="109" t="n"/>
      <c r="AB482" s="109" t="n"/>
      <c r="AF482" s="109" t="n"/>
      <c r="AG482" s="109" t="n"/>
      <c r="AH482" s="109" t="n"/>
      <c r="AL482" s="109" t="n"/>
      <c r="AM482" s="109" t="n"/>
      <c r="AN482" s="109" t="n"/>
    </row>
    <row r="483" ht="15.75" customHeight="1" s="216">
      <c r="D483" s="109" t="n"/>
      <c r="E483" s="109" t="n"/>
      <c r="J483" s="109" t="n"/>
      <c r="K483" s="109" t="n"/>
      <c r="L483" s="109" t="n"/>
      <c r="N483" s="109" t="n"/>
      <c r="O483" s="109" t="n"/>
      <c r="P483" s="109" t="n"/>
      <c r="T483" s="109" t="n"/>
      <c r="U483" s="109" t="n"/>
      <c r="V483" s="109" t="n"/>
      <c r="Z483" s="109" t="n"/>
      <c r="AA483" s="109" t="n"/>
      <c r="AB483" s="109" t="n"/>
      <c r="AF483" s="109" t="n"/>
      <c r="AG483" s="109" t="n"/>
      <c r="AH483" s="109" t="n"/>
      <c r="AL483" s="109" t="n"/>
      <c r="AM483" s="109" t="n"/>
      <c r="AN483" s="109" t="n"/>
    </row>
    <row r="484" ht="15.75" customHeight="1" s="216">
      <c r="D484" s="109" t="n"/>
      <c r="E484" s="109" t="n"/>
      <c r="J484" s="109" t="n"/>
      <c r="K484" s="109" t="n"/>
      <c r="L484" s="109" t="n"/>
      <c r="N484" s="109" t="n"/>
      <c r="O484" s="109" t="n"/>
      <c r="P484" s="109" t="n"/>
      <c r="T484" s="109" t="n"/>
      <c r="U484" s="109" t="n"/>
      <c r="V484" s="109" t="n"/>
      <c r="Z484" s="109" t="n"/>
      <c r="AA484" s="109" t="n"/>
      <c r="AB484" s="109" t="n"/>
      <c r="AF484" s="109" t="n"/>
      <c r="AG484" s="109" t="n"/>
      <c r="AH484" s="109" t="n"/>
      <c r="AL484" s="109" t="n"/>
      <c r="AM484" s="109" t="n"/>
      <c r="AN484" s="109" t="n"/>
    </row>
    <row r="485" ht="15.75" customHeight="1" s="216">
      <c r="D485" s="109" t="n"/>
      <c r="E485" s="109" t="n"/>
      <c r="J485" s="109" t="n"/>
      <c r="K485" s="109" t="n"/>
      <c r="L485" s="109" t="n"/>
      <c r="N485" s="109" t="n"/>
      <c r="O485" s="109" t="n"/>
      <c r="P485" s="109" t="n"/>
      <c r="T485" s="109" t="n"/>
      <c r="U485" s="109" t="n"/>
      <c r="V485" s="109" t="n"/>
      <c r="Z485" s="109" t="n"/>
      <c r="AA485" s="109" t="n"/>
      <c r="AB485" s="109" t="n"/>
      <c r="AF485" s="109" t="n"/>
      <c r="AG485" s="109" t="n"/>
      <c r="AH485" s="109" t="n"/>
      <c r="AL485" s="109" t="n"/>
      <c r="AM485" s="109" t="n"/>
      <c r="AN485" s="109" t="n"/>
    </row>
    <row r="486" ht="15.75" customHeight="1" s="216">
      <c r="D486" s="109" t="n"/>
      <c r="E486" s="109" t="n"/>
      <c r="J486" s="109" t="n"/>
      <c r="K486" s="109" t="n"/>
      <c r="L486" s="109" t="n"/>
      <c r="N486" s="109" t="n"/>
      <c r="O486" s="109" t="n"/>
      <c r="P486" s="109" t="n"/>
      <c r="T486" s="109" t="n"/>
      <c r="U486" s="109" t="n"/>
      <c r="V486" s="109" t="n"/>
      <c r="Z486" s="109" t="n"/>
      <c r="AA486" s="109" t="n"/>
      <c r="AB486" s="109" t="n"/>
      <c r="AF486" s="109" t="n"/>
      <c r="AG486" s="109" t="n"/>
      <c r="AH486" s="109" t="n"/>
      <c r="AL486" s="109" t="n"/>
      <c r="AM486" s="109" t="n"/>
      <c r="AN486" s="109" t="n"/>
    </row>
    <row r="487" ht="15.75" customHeight="1" s="216">
      <c r="D487" s="109" t="n"/>
      <c r="E487" s="109" t="n"/>
      <c r="J487" s="109" t="n"/>
      <c r="K487" s="109" t="n"/>
      <c r="L487" s="109" t="n"/>
      <c r="N487" s="109" t="n"/>
      <c r="O487" s="109" t="n"/>
      <c r="P487" s="109" t="n"/>
      <c r="T487" s="109" t="n"/>
      <c r="U487" s="109" t="n"/>
      <c r="V487" s="109" t="n"/>
      <c r="Z487" s="109" t="n"/>
      <c r="AA487" s="109" t="n"/>
      <c r="AB487" s="109" t="n"/>
      <c r="AF487" s="109" t="n"/>
      <c r="AG487" s="109" t="n"/>
      <c r="AH487" s="109" t="n"/>
      <c r="AL487" s="109" t="n"/>
      <c r="AM487" s="109" t="n"/>
      <c r="AN487" s="109" t="n"/>
    </row>
    <row r="488" ht="15.75" customHeight="1" s="216">
      <c r="D488" s="109" t="n"/>
      <c r="E488" s="109" t="n"/>
      <c r="J488" s="109" t="n"/>
      <c r="K488" s="109" t="n"/>
      <c r="L488" s="109" t="n"/>
      <c r="N488" s="109" t="n"/>
      <c r="O488" s="109" t="n"/>
      <c r="P488" s="109" t="n"/>
      <c r="T488" s="109" t="n"/>
      <c r="U488" s="109" t="n"/>
      <c r="V488" s="109" t="n"/>
      <c r="Z488" s="109" t="n"/>
      <c r="AA488" s="109" t="n"/>
      <c r="AB488" s="109" t="n"/>
      <c r="AF488" s="109" t="n"/>
      <c r="AG488" s="109" t="n"/>
      <c r="AH488" s="109" t="n"/>
      <c r="AL488" s="109" t="n"/>
      <c r="AM488" s="109" t="n"/>
      <c r="AN488" s="109" t="n"/>
    </row>
    <row r="489" ht="15.75" customHeight="1" s="216">
      <c r="D489" s="109" t="n"/>
      <c r="E489" s="109" t="n"/>
      <c r="J489" s="109" t="n"/>
      <c r="K489" s="109" t="n"/>
      <c r="L489" s="109" t="n"/>
      <c r="N489" s="109" t="n"/>
      <c r="O489" s="109" t="n"/>
      <c r="P489" s="109" t="n"/>
      <c r="T489" s="109" t="n"/>
      <c r="U489" s="109" t="n"/>
      <c r="V489" s="109" t="n"/>
      <c r="Z489" s="109" t="n"/>
      <c r="AA489" s="109" t="n"/>
      <c r="AB489" s="109" t="n"/>
      <c r="AF489" s="109" t="n"/>
      <c r="AG489" s="109" t="n"/>
      <c r="AH489" s="109" t="n"/>
      <c r="AL489" s="109" t="n"/>
      <c r="AM489" s="109" t="n"/>
      <c r="AN489" s="109" t="n"/>
    </row>
    <row r="490" ht="15.75" customHeight="1" s="216">
      <c r="D490" s="109" t="n"/>
      <c r="E490" s="109" t="n"/>
      <c r="J490" s="109" t="n"/>
      <c r="K490" s="109" t="n"/>
      <c r="L490" s="109" t="n"/>
      <c r="N490" s="109" t="n"/>
      <c r="O490" s="109" t="n"/>
      <c r="P490" s="109" t="n"/>
      <c r="T490" s="109" t="n"/>
      <c r="U490" s="109" t="n"/>
      <c r="V490" s="109" t="n"/>
      <c r="Z490" s="109" t="n"/>
      <c r="AA490" s="109" t="n"/>
      <c r="AB490" s="109" t="n"/>
      <c r="AF490" s="109" t="n"/>
      <c r="AG490" s="109" t="n"/>
      <c r="AH490" s="109" t="n"/>
      <c r="AL490" s="109" t="n"/>
      <c r="AM490" s="109" t="n"/>
      <c r="AN490" s="109" t="n"/>
    </row>
    <row r="491" ht="15.75" customHeight="1" s="216">
      <c r="D491" s="109" t="n"/>
      <c r="E491" s="109" t="n"/>
      <c r="J491" s="109" t="n"/>
      <c r="K491" s="109" t="n"/>
      <c r="L491" s="109" t="n"/>
      <c r="N491" s="109" t="n"/>
      <c r="O491" s="109" t="n"/>
      <c r="P491" s="109" t="n"/>
      <c r="T491" s="109" t="n"/>
      <c r="U491" s="109" t="n"/>
      <c r="V491" s="109" t="n"/>
      <c r="Z491" s="109" t="n"/>
      <c r="AA491" s="109" t="n"/>
      <c r="AB491" s="109" t="n"/>
      <c r="AF491" s="109" t="n"/>
      <c r="AG491" s="109" t="n"/>
      <c r="AH491" s="109" t="n"/>
      <c r="AL491" s="109" t="n"/>
      <c r="AM491" s="109" t="n"/>
      <c r="AN491" s="109" t="n"/>
    </row>
    <row r="492" ht="15.75" customHeight="1" s="216">
      <c r="D492" s="109" t="n"/>
      <c r="E492" s="109" t="n"/>
      <c r="J492" s="109" t="n"/>
      <c r="K492" s="109" t="n"/>
      <c r="L492" s="109" t="n"/>
      <c r="N492" s="109" t="n"/>
      <c r="O492" s="109" t="n"/>
      <c r="P492" s="109" t="n"/>
      <c r="T492" s="109" t="n"/>
      <c r="U492" s="109" t="n"/>
      <c r="V492" s="109" t="n"/>
      <c r="Z492" s="109" t="n"/>
      <c r="AA492" s="109" t="n"/>
      <c r="AB492" s="109" t="n"/>
      <c r="AF492" s="109" t="n"/>
      <c r="AG492" s="109" t="n"/>
      <c r="AH492" s="109" t="n"/>
      <c r="AL492" s="109" t="n"/>
      <c r="AM492" s="109" t="n"/>
      <c r="AN492" s="109" t="n"/>
    </row>
    <row r="493" ht="15.75" customHeight="1" s="216">
      <c r="D493" s="109" t="n"/>
      <c r="E493" s="109" t="n"/>
      <c r="J493" s="109" t="n"/>
      <c r="K493" s="109" t="n"/>
      <c r="L493" s="109" t="n"/>
      <c r="N493" s="109" t="n"/>
      <c r="O493" s="109" t="n"/>
      <c r="P493" s="109" t="n"/>
      <c r="T493" s="109" t="n"/>
      <c r="U493" s="109" t="n"/>
      <c r="V493" s="109" t="n"/>
      <c r="Z493" s="109" t="n"/>
      <c r="AA493" s="109" t="n"/>
      <c r="AB493" s="109" t="n"/>
      <c r="AF493" s="109" t="n"/>
      <c r="AG493" s="109" t="n"/>
      <c r="AH493" s="109" t="n"/>
      <c r="AL493" s="109" t="n"/>
      <c r="AM493" s="109" t="n"/>
      <c r="AN493" s="109" t="n"/>
    </row>
    <row r="494" ht="15.75" customHeight="1" s="216">
      <c r="D494" s="109" t="n"/>
      <c r="E494" s="109" t="n"/>
      <c r="J494" s="109" t="n"/>
      <c r="K494" s="109" t="n"/>
      <c r="L494" s="109" t="n"/>
      <c r="N494" s="109" t="n"/>
      <c r="O494" s="109" t="n"/>
      <c r="P494" s="109" t="n"/>
      <c r="T494" s="109" t="n"/>
      <c r="U494" s="109" t="n"/>
      <c r="V494" s="109" t="n"/>
      <c r="Z494" s="109" t="n"/>
      <c r="AA494" s="109" t="n"/>
      <c r="AB494" s="109" t="n"/>
      <c r="AF494" s="109" t="n"/>
      <c r="AG494" s="109" t="n"/>
      <c r="AH494" s="109" t="n"/>
      <c r="AL494" s="109" t="n"/>
      <c r="AM494" s="109" t="n"/>
      <c r="AN494" s="109" t="n"/>
    </row>
    <row r="495" ht="15.75" customHeight="1" s="216">
      <c r="D495" s="109" t="n"/>
      <c r="E495" s="109" t="n"/>
      <c r="J495" s="109" t="n"/>
      <c r="K495" s="109" t="n"/>
      <c r="L495" s="109" t="n"/>
      <c r="N495" s="109" t="n"/>
      <c r="O495" s="109" t="n"/>
      <c r="P495" s="109" t="n"/>
      <c r="T495" s="109" t="n"/>
      <c r="U495" s="109" t="n"/>
      <c r="V495" s="109" t="n"/>
      <c r="Z495" s="109" t="n"/>
      <c r="AA495" s="109" t="n"/>
      <c r="AB495" s="109" t="n"/>
      <c r="AF495" s="109" t="n"/>
      <c r="AG495" s="109" t="n"/>
      <c r="AH495" s="109" t="n"/>
      <c r="AL495" s="109" t="n"/>
      <c r="AM495" s="109" t="n"/>
      <c r="AN495" s="109" t="n"/>
    </row>
    <row r="496" ht="15.75" customHeight="1" s="216">
      <c r="D496" s="109" t="n"/>
      <c r="E496" s="109" t="n"/>
      <c r="J496" s="109" t="n"/>
      <c r="K496" s="109" t="n"/>
      <c r="L496" s="109" t="n"/>
      <c r="N496" s="109" t="n"/>
      <c r="O496" s="109" t="n"/>
      <c r="P496" s="109" t="n"/>
      <c r="T496" s="109" t="n"/>
      <c r="U496" s="109" t="n"/>
      <c r="V496" s="109" t="n"/>
      <c r="Z496" s="109" t="n"/>
      <c r="AA496" s="109" t="n"/>
      <c r="AB496" s="109" t="n"/>
      <c r="AF496" s="109" t="n"/>
      <c r="AG496" s="109" t="n"/>
      <c r="AH496" s="109" t="n"/>
      <c r="AL496" s="109" t="n"/>
      <c r="AM496" s="109" t="n"/>
      <c r="AN496" s="109" t="n"/>
    </row>
    <row r="497" ht="15.75" customHeight="1" s="216">
      <c r="D497" s="109" t="n"/>
      <c r="E497" s="109" t="n"/>
      <c r="J497" s="109" t="n"/>
      <c r="K497" s="109" t="n"/>
      <c r="L497" s="109" t="n"/>
      <c r="N497" s="109" t="n"/>
      <c r="O497" s="109" t="n"/>
      <c r="P497" s="109" t="n"/>
      <c r="T497" s="109" t="n"/>
      <c r="U497" s="109" t="n"/>
      <c r="V497" s="109" t="n"/>
      <c r="Z497" s="109" t="n"/>
      <c r="AA497" s="109" t="n"/>
      <c r="AB497" s="109" t="n"/>
      <c r="AF497" s="109" t="n"/>
      <c r="AG497" s="109" t="n"/>
      <c r="AH497" s="109" t="n"/>
      <c r="AL497" s="109" t="n"/>
      <c r="AM497" s="109" t="n"/>
      <c r="AN497" s="109" t="n"/>
    </row>
    <row r="498" ht="15.75" customHeight="1" s="216">
      <c r="D498" s="109" t="n"/>
      <c r="E498" s="109" t="n"/>
      <c r="J498" s="109" t="n"/>
      <c r="K498" s="109" t="n"/>
      <c r="L498" s="109" t="n"/>
      <c r="N498" s="109" t="n"/>
      <c r="O498" s="109" t="n"/>
      <c r="P498" s="109" t="n"/>
      <c r="T498" s="109" t="n"/>
      <c r="U498" s="109" t="n"/>
      <c r="V498" s="109" t="n"/>
      <c r="Z498" s="109" t="n"/>
      <c r="AA498" s="109" t="n"/>
      <c r="AB498" s="109" t="n"/>
      <c r="AF498" s="109" t="n"/>
      <c r="AG498" s="109" t="n"/>
      <c r="AH498" s="109" t="n"/>
      <c r="AL498" s="109" t="n"/>
      <c r="AM498" s="109" t="n"/>
      <c r="AN498" s="109" t="n"/>
    </row>
    <row r="499" ht="15.75" customHeight="1" s="216">
      <c r="D499" s="109" t="n"/>
      <c r="E499" s="109" t="n"/>
      <c r="J499" s="109" t="n"/>
      <c r="K499" s="109" t="n"/>
      <c r="L499" s="109" t="n"/>
      <c r="N499" s="109" t="n"/>
      <c r="O499" s="109" t="n"/>
      <c r="P499" s="109" t="n"/>
      <c r="T499" s="109" t="n"/>
      <c r="U499" s="109" t="n"/>
      <c r="V499" s="109" t="n"/>
      <c r="Z499" s="109" t="n"/>
      <c r="AA499" s="109" t="n"/>
      <c r="AB499" s="109" t="n"/>
      <c r="AF499" s="109" t="n"/>
      <c r="AG499" s="109" t="n"/>
      <c r="AH499" s="109" t="n"/>
      <c r="AL499" s="109" t="n"/>
      <c r="AM499" s="109" t="n"/>
      <c r="AN499" s="109" t="n"/>
    </row>
    <row r="500" ht="15.75" customHeight="1" s="216">
      <c r="D500" s="109" t="n"/>
      <c r="E500" s="109" t="n"/>
      <c r="J500" s="109" t="n"/>
      <c r="K500" s="109" t="n"/>
      <c r="L500" s="109" t="n"/>
      <c r="N500" s="109" t="n"/>
      <c r="O500" s="109" t="n"/>
      <c r="P500" s="109" t="n"/>
      <c r="T500" s="109" t="n"/>
      <c r="U500" s="109" t="n"/>
      <c r="V500" s="109" t="n"/>
      <c r="Z500" s="109" t="n"/>
      <c r="AA500" s="109" t="n"/>
      <c r="AB500" s="109" t="n"/>
      <c r="AF500" s="109" t="n"/>
      <c r="AG500" s="109" t="n"/>
      <c r="AH500" s="109" t="n"/>
      <c r="AL500" s="109" t="n"/>
      <c r="AM500" s="109" t="n"/>
      <c r="AN500" s="109" t="n"/>
    </row>
    <row r="501" ht="15.75" customHeight="1" s="216"/>
    <row r="502" ht="15.75" customHeight="1" s="216"/>
    <row r="503" ht="15.75" customHeight="1" s="216"/>
    <row r="504" ht="15.75" customHeight="1" s="216"/>
    <row r="505" ht="15.75" customHeight="1" s="216"/>
    <row r="506" ht="15.75" customHeight="1" s="216"/>
    <row r="507" ht="15.75" customHeight="1" s="216"/>
    <row r="508" ht="15.75" customHeight="1" s="216"/>
    <row r="509" ht="15.75" customHeight="1" s="216"/>
    <row r="510" ht="15.75" customHeight="1" s="216"/>
    <row r="511" ht="15.75" customHeight="1" s="216"/>
    <row r="512" ht="15.75" customHeight="1" s="216"/>
    <row r="513" ht="15.75" customHeight="1" s="216"/>
    <row r="514" ht="15.75" customHeight="1" s="216"/>
    <row r="515" ht="15.75" customHeight="1" s="216"/>
    <row r="516" ht="15.75" customHeight="1" s="216"/>
    <row r="517" ht="15.75" customHeight="1" s="216"/>
    <row r="518" ht="15.75" customHeight="1" s="216"/>
    <row r="519" ht="15.75" customHeight="1" s="216"/>
    <row r="520" ht="15.75" customHeight="1" s="216"/>
    <row r="521" ht="15.75" customHeight="1" s="216"/>
    <row r="522" ht="15.75" customHeight="1" s="216"/>
    <row r="523" ht="15.75" customHeight="1" s="216"/>
    <row r="524" ht="15.75" customHeight="1" s="216"/>
    <row r="525" ht="15.75" customHeight="1" s="216"/>
    <row r="526" ht="15.75" customHeight="1" s="216"/>
    <row r="527" ht="15.75" customHeight="1" s="216"/>
    <row r="528" ht="15.75" customHeight="1" s="216"/>
    <row r="529" ht="15.75" customHeight="1" s="216"/>
    <row r="530" ht="15.75" customHeight="1" s="216"/>
    <row r="531" ht="15.75" customHeight="1" s="216"/>
    <row r="532" ht="15.75" customHeight="1" s="216"/>
    <row r="533" ht="15.75" customHeight="1" s="216"/>
    <row r="534" ht="15.75" customHeight="1" s="216"/>
    <row r="535" ht="15.75" customHeight="1" s="216"/>
    <row r="536" ht="15.75" customHeight="1" s="216"/>
    <row r="537" ht="15.75" customHeight="1" s="216"/>
    <row r="538" ht="15.75" customHeight="1" s="216"/>
    <row r="539" ht="15.75" customHeight="1" s="216"/>
    <row r="540" ht="15.75" customHeight="1" s="216"/>
    <row r="541" ht="15.75" customHeight="1" s="216"/>
    <row r="542" ht="15.75" customHeight="1" s="216"/>
    <row r="543" ht="15.75" customHeight="1" s="216"/>
    <row r="544" ht="15.75" customHeight="1" s="216"/>
    <row r="545" ht="15.75" customHeight="1" s="216"/>
    <row r="546" ht="15.75" customHeight="1" s="216"/>
    <row r="547" ht="15.75" customHeight="1" s="216"/>
    <row r="548" ht="15.75" customHeight="1" s="216"/>
    <row r="549" ht="15.75" customHeight="1" s="216"/>
    <row r="550" ht="15.75" customHeight="1" s="216"/>
    <row r="551" ht="15.75" customHeight="1" s="216"/>
    <row r="552" ht="15.75" customHeight="1" s="216"/>
    <row r="553" ht="15.75" customHeight="1" s="216"/>
    <row r="554" ht="15.75" customHeight="1" s="216"/>
    <row r="555" ht="15.75" customHeight="1" s="216"/>
    <row r="556" ht="15.75" customHeight="1" s="216"/>
    <row r="557" ht="15.75" customHeight="1" s="216"/>
    <row r="558" ht="15.75" customHeight="1" s="216"/>
    <row r="559" ht="15.75" customHeight="1" s="216"/>
    <row r="560" ht="15.75" customHeight="1" s="216"/>
    <row r="561" ht="15.75" customHeight="1" s="216"/>
    <row r="562" ht="15.75" customHeight="1" s="216"/>
    <row r="563" ht="15.75" customHeight="1" s="216"/>
    <row r="564" ht="15.75" customHeight="1" s="216"/>
    <row r="565" ht="15.75" customHeight="1" s="216"/>
    <row r="566" ht="15.75" customHeight="1" s="216"/>
    <row r="567" ht="15.75" customHeight="1" s="216"/>
    <row r="568" ht="15.75" customHeight="1" s="216"/>
    <row r="569" ht="15.75" customHeight="1" s="216"/>
    <row r="570" ht="15.75" customHeight="1" s="216"/>
    <row r="571" ht="15.75" customHeight="1" s="216"/>
    <row r="572" ht="15.75" customHeight="1" s="216"/>
    <row r="573" ht="15.75" customHeight="1" s="216"/>
    <row r="574" ht="15.75" customHeight="1" s="216"/>
    <row r="575" ht="15.75" customHeight="1" s="216"/>
    <row r="576" ht="15.75" customHeight="1" s="216"/>
    <row r="577" ht="15.75" customHeight="1" s="216"/>
    <row r="578" ht="15.75" customHeight="1" s="216"/>
    <row r="579" ht="15.75" customHeight="1" s="216"/>
    <row r="580" ht="15.75" customHeight="1" s="216"/>
    <row r="581" ht="15.75" customHeight="1" s="216"/>
    <row r="582" ht="15.75" customHeight="1" s="216"/>
    <row r="583" ht="15.75" customHeight="1" s="216"/>
    <row r="584" ht="15.75" customHeight="1" s="216"/>
    <row r="585" ht="15.75" customHeight="1" s="216"/>
    <row r="586" ht="15.75" customHeight="1" s="216"/>
    <row r="587" ht="15.75" customHeight="1" s="216"/>
    <row r="588" ht="15.75" customHeight="1" s="216"/>
    <row r="589" ht="15.75" customHeight="1" s="216"/>
    <row r="590" ht="15.75" customHeight="1" s="216"/>
    <row r="591" ht="15.75" customHeight="1" s="216"/>
    <row r="592" ht="15.75" customHeight="1" s="216"/>
    <row r="593" ht="15.75" customHeight="1" s="216"/>
    <row r="594" ht="15.75" customHeight="1" s="216"/>
    <row r="595" ht="15.75" customHeight="1" s="216"/>
    <row r="596" ht="15.75" customHeight="1" s="216"/>
    <row r="597" ht="15.75" customHeight="1" s="216"/>
    <row r="598" ht="15.75" customHeight="1" s="216"/>
    <row r="599" ht="15.75" customHeight="1" s="216"/>
    <row r="600" ht="15.75" customHeight="1" s="216"/>
    <row r="601" ht="15.75" customHeight="1" s="216"/>
    <row r="602" ht="15.75" customHeight="1" s="216"/>
    <row r="603" ht="15.75" customHeight="1" s="216"/>
    <row r="604" ht="15.75" customHeight="1" s="216"/>
    <row r="605" ht="15.75" customHeight="1" s="216"/>
    <row r="606" ht="15.75" customHeight="1" s="216"/>
    <row r="607" ht="15.75" customHeight="1" s="216"/>
    <row r="608" ht="15.75" customHeight="1" s="216"/>
    <row r="609" ht="15.75" customHeight="1" s="216"/>
    <row r="610" ht="15.75" customHeight="1" s="216"/>
    <row r="611" ht="15.75" customHeight="1" s="216"/>
    <row r="612" ht="15.75" customHeight="1" s="216"/>
    <row r="613" ht="15.75" customHeight="1" s="216"/>
    <row r="614" ht="15.75" customHeight="1" s="216"/>
    <row r="615" ht="15.75" customHeight="1" s="216"/>
    <row r="616" ht="15.75" customHeight="1" s="216"/>
    <row r="617" ht="15.75" customHeight="1" s="216"/>
    <row r="618" ht="15.75" customHeight="1" s="216"/>
    <row r="619" ht="15.75" customHeight="1" s="216"/>
    <row r="620" ht="15.75" customHeight="1" s="216"/>
    <row r="621" ht="15.75" customHeight="1" s="216"/>
    <row r="622" ht="15.75" customHeight="1" s="216"/>
    <row r="623" ht="15.75" customHeight="1" s="216"/>
    <row r="624" ht="15.75" customHeight="1" s="216"/>
    <row r="625" ht="15.75" customHeight="1" s="216"/>
    <row r="626" ht="15.75" customHeight="1" s="216"/>
    <row r="627" ht="15.75" customHeight="1" s="216"/>
    <row r="628" ht="15.75" customHeight="1" s="216"/>
    <row r="629" ht="15.75" customHeight="1" s="216"/>
    <row r="630" ht="15.75" customHeight="1" s="216"/>
    <row r="631" ht="15.75" customHeight="1" s="216"/>
    <row r="632" ht="15.75" customHeight="1" s="216"/>
    <row r="633" ht="15.75" customHeight="1" s="216"/>
    <row r="634" ht="15.75" customHeight="1" s="216"/>
    <row r="635" ht="15.75" customHeight="1" s="216"/>
    <row r="636" ht="15.75" customHeight="1" s="216"/>
    <row r="637" ht="15.75" customHeight="1" s="216"/>
    <row r="638" ht="15.75" customHeight="1" s="216"/>
    <row r="639" ht="15.75" customHeight="1" s="216"/>
    <row r="640" ht="15.75" customHeight="1" s="216"/>
    <row r="641" ht="15.75" customHeight="1" s="216"/>
    <row r="642" ht="15.75" customHeight="1" s="216"/>
    <row r="643" ht="15.75" customHeight="1" s="216"/>
    <row r="644" ht="15.75" customHeight="1" s="216"/>
    <row r="645" ht="15.75" customHeight="1" s="216"/>
    <row r="646" ht="15.75" customHeight="1" s="216"/>
    <row r="647" ht="15.75" customHeight="1" s="216"/>
    <row r="648" ht="15.75" customHeight="1" s="216"/>
    <row r="649" ht="15.75" customHeight="1" s="216"/>
    <row r="650" ht="15.75" customHeight="1" s="216"/>
    <row r="651" ht="15.75" customHeight="1" s="216"/>
    <row r="652" ht="15.75" customHeight="1" s="216"/>
    <row r="653" ht="15.75" customHeight="1" s="216"/>
    <row r="654" ht="15.75" customHeight="1" s="216"/>
    <row r="655" ht="15.75" customHeight="1" s="216"/>
    <row r="656" ht="15.75" customHeight="1" s="216"/>
    <row r="657" ht="15.75" customHeight="1" s="216"/>
    <row r="658" ht="15.75" customHeight="1" s="216"/>
    <row r="659" ht="15.75" customHeight="1" s="216"/>
    <row r="660" ht="15.75" customHeight="1" s="216"/>
    <row r="661" ht="15.75" customHeight="1" s="216"/>
    <row r="662" ht="15.75" customHeight="1" s="216"/>
    <row r="663" ht="15.75" customHeight="1" s="216"/>
    <row r="664" ht="15.75" customHeight="1" s="216"/>
    <row r="665" ht="15.75" customHeight="1" s="216"/>
    <row r="666" ht="15.75" customHeight="1" s="216"/>
    <row r="667" ht="15.75" customHeight="1" s="216"/>
    <row r="668" ht="15.75" customHeight="1" s="216"/>
    <row r="669" ht="15.75" customHeight="1" s="216"/>
    <row r="670" ht="15.75" customHeight="1" s="216"/>
    <row r="671" ht="15.75" customHeight="1" s="216"/>
    <row r="672" ht="15.75" customHeight="1" s="216"/>
    <row r="673" ht="15.75" customHeight="1" s="216"/>
    <row r="674" ht="15.75" customHeight="1" s="216"/>
    <row r="675" ht="15.75" customHeight="1" s="216"/>
    <row r="676" ht="15.75" customHeight="1" s="216"/>
    <row r="677" ht="15.75" customHeight="1" s="216"/>
    <row r="678" ht="15.75" customHeight="1" s="216"/>
    <row r="679" ht="15.75" customHeight="1" s="216"/>
    <row r="680" ht="15.75" customHeight="1" s="216"/>
    <row r="681" ht="15.75" customHeight="1" s="216"/>
    <row r="682" ht="15.75" customHeight="1" s="216"/>
    <row r="683" ht="15.75" customHeight="1" s="216"/>
    <row r="684" ht="15.75" customHeight="1" s="216"/>
    <row r="685" ht="15.75" customHeight="1" s="216"/>
    <row r="686" ht="15.75" customHeight="1" s="216"/>
    <row r="687" ht="15.75" customHeight="1" s="216"/>
    <row r="688" ht="15.75" customHeight="1" s="216"/>
    <row r="689" ht="15.75" customHeight="1" s="216"/>
    <row r="690" ht="15.75" customHeight="1" s="216"/>
    <row r="691" ht="15.75" customHeight="1" s="216"/>
    <row r="692" ht="15.75" customHeight="1" s="216"/>
    <row r="693" ht="15.75" customHeight="1" s="216"/>
    <row r="694" ht="15.75" customHeight="1" s="216"/>
    <row r="695" ht="15.75" customHeight="1" s="216"/>
    <row r="696" ht="15.75" customHeight="1" s="216"/>
    <row r="697" ht="15.75" customHeight="1" s="216"/>
    <row r="698" ht="15.75" customHeight="1" s="216"/>
    <row r="699" ht="15.75" customHeight="1" s="216"/>
    <row r="700" ht="15.75" customHeight="1" s="216"/>
    <row r="701" ht="15.75" customHeight="1" s="216"/>
    <row r="702" ht="15.75" customHeight="1" s="216"/>
    <row r="703" ht="15.75" customHeight="1" s="216"/>
    <row r="704" ht="15.75" customHeight="1" s="216"/>
    <row r="705" ht="15.75" customHeight="1" s="216"/>
    <row r="706" ht="15.75" customHeight="1" s="216"/>
    <row r="707" ht="15.75" customHeight="1" s="216"/>
    <row r="708" ht="15.75" customHeight="1" s="216"/>
    <row r="709" ht="15.75" customHeight="1" s="216"/>
    <row r="710" ht="15.75" customHeight="1" s="216"/>
    <row r="711" ht="15.75" customHeight="1" s="216"/>
    <row r="712" ht="15.75" customHeight="1" s="216"/>
    <row r="713" ht="15.75" customHeight="1" s="216"/>
    <row r="714" ht="15.75" customHeight="1" s="216"/>
    <row r="715" ht="15.75" customHeight="1" s="216"/>
    <row r="716" ht="15.75" customHeight="1" s="216"/>
    <row r="717" ht="15.75" customHeight="1" s="216"/>
    <row r="718" ht="15.75" customHeight="1" s="216"/>
    <row r="719" ht="15.75" customHeight="1" s="216"/>
    <row r="720" ht="15.75" customHeight="1" s="216"/>
    <row r="721" ht="15.75" customHeight="1" s="216"/>
    <row r="722" ht="15.75" customHeight="1" s="216"/>
    <row r="723" ht="15.75" customHeight="1" s="216"/>
    <row r="724" ht="15.75" customHeight="1" s="216"/>
    <row r="725" ht="15.75" customHeight="1" s="216"/>
    <row r="726" ht="15.75" customHeight="1" s="216"/>
    <row r="727" ht="15.75" customHeight="1" s="216"/>
    <row r="728" ht="15.75" customHeight="1" s="216"/>
    <row r="729" ht="15.75" customHeight="1" s="216"/>
    <row r="730" ht="15.75" customHeight="1" s="216"/>
    <row r="731" ht="15.75" customHeight="1" s="216"/>
    <row r="732" ht="15.75" customHeight="1" s="216"/>
    <row r="733" ht="15.75" customHeight="1" s="216"/>
    <row r="734" ht="15.75" customHeight="1" s="216"/>
    <row r="735" ht="15.75" customHeight="1" s="216"/>
    <row r="736" ht="15.75" customHeight="1" s="216"/>
    <row r="737" ht="15.75" customHeight="1" s="216"/>
    <row r="738" ht="15.75" customHeight="1" s="216"/>
    <row r="739" ht="15.75" customHeight="1" s="216"/>
    <row r="740" ht="15.75" customHeight="1" s="216"/>
    <row r="741" ht="15.75" customHeight="1" s="216"/>
    <row r="742" ht="15.75" customHeight="1" s="216"/>
    <row r="743" ht="15.75" customHeight="1" s="216"/>
    <row r="744" ht="15.75" customHeight="1" s="216"/>
    <row r="745" ht="15.75" customHeight="1" s="216"/>
    <row r="746" ht="15.75" customHeight="1" s="216"/>
    <row r="747" ht="15.75" customHeight="1" s="216"/>
    <row r="748" ht="15.75" customHeight="1" s="216"/>
    <row r="749" ht="15.75" customHeight="1" s="216"/>
    <row r="750" ht="15.75" customHeight="1" s="216"/>
    <row r="751" ht="15.75" customHeight="1" s="216"/>
    <row r="752" ht="15.75" customHeight="1" s="216"/>
    <row r="753" ht="15.75" customHeight="1" s="216"/>
    <row r="754" ht="15.75" customHeight="1" s="216"/>
    <row r="755" ht="15.75" customHeight="1" s="216"/>
    <row r="756" ht="15.75" customHeight="1" s="216"/>
    <row r="757" ht="15.75" customHeight="1" s="216"/>
    <row r="758" ht="15.75" customHeight="1" s="216"/>
    <row r="759" ht="15.75" customHeight="1" s="216"/>
    <row r="760" ht="15.75" customHeight="1" s="216"/>
    <row r="761" ht="15.75" customHeight="1" s="216"/>
    <row r="762" ht="15.75" customHeight="1" s="216"/>
    <row r="763" ht="15.75" customHeight="1" s="216"/>
    <row r="764" ht="15.75" customHeight="1" s="216"/>
    <row r="765" ht="15.75" customHeight="1" s="216"/>
    <row r="766" ht="15.75" customHeight="1" s="216"/>
    <row r="767" ht="15.75" customHeight="1" s="216"/>
    <row r="768" ht="15.75" customHeight="1" s="216"/>
    <row r="769" ht="15.75" customHeight="1" s="216"/>
    <row r="770" ht="15.75" customHeight="1" s="216"/>
    <row r="771" ht="15.75" customHeight="1" s="216"/>
    <row r="772" ht="15.75" customHeight="1" s="216"/>
    <row r="773" ht="15.75" customHeight="1" s="216"/>
    <row r="774" ht="15.75" customHeight="1" s="216"/>
    <row r="775" ht="15.75" customHeight="1" s="216"/>
    <row r="776" ht="15.75" customHeight="1" s="216"/>
    <row r="777" ht="15.75" customHeight="1" s="216"/>
    <row r="778" ht="15.75" customHeight="1" s="216"/>
    <row r="779" ht="15.75" customHeight="1" s="216"/>
    <row r="780" ht="15.75" customHeight="1" s="216"/>
    <row r="781" ht="15.75" customHeight="1" s="216"/>
    <row r="782" ht="15.75" customHeight="1" s="216"/>
    <row r="783" ht="15.75" customHeight="1" s="216"/>
    <row r="784" ht="15.75" customHeight="1" s="216"/>
    <row r="785" ht="15.75" customHeight="1" s="216"/>
    <row r="786" ht="15.75" customHeight="1" s="216"/>
    <row r="787" ht="15.75" customHeight="1" s="216"/>
    <row r="788" ht="15.75" customHeight="1" s="216"/>
    <row r="789" ht="15.75" customHeight="1" s="216"/>
    <row r="790" ht="15.75" customHeight="1" s="216"/>
    <row r="791" ht="15.75" customHeight="1" s="216"/>
    <row r="792" ht="15.75" customHeight="1" s="216"/>
    <row r="793" ht="15.75" customHeight="1" s="216"/>
    <row r="794" ht="15.75" customHeight="1" s="216"/>
    <row r="795" ht="15.75" customHeight="1" s="216"/>
    <row r="796" ht="15.75" customHeight="1" s="216"/>
    <row r="797" ht="15.75" customHeight="1" s="216"/>
    <row r="798" ht="15.75" customHeight="1" s="216"/>
    <row r="799" ht="15.75" customHeight="1" s="216"/>
    <row r="800" ht="15.75" customHeight="1" s="216"/>
    <row r="801" ht="15.75" customHeight="1" s="216"/>
    <row r="802" ht="15.75" customHeight="1" s="216"/>
    <row r="803" ht="15.75" customHeight="1" s="216"/>
    <row r="804" ht="15.75" customHeight="1" s="216"/>
    <row r="805" ht="15.75" customHeight="1" s="216"/>
    <row r="806" ht="15.75" customHeight="1" s="216"/>
    <row r="807" ht="15.75" customHeight="1" s="216"/>
    <row r="808" ht="15.75" customHeight="1" s="216"/>
    <row r="809" ht="15.75" customHeight="1" s="216"/>
    <row r="810" ht="15.75" customHeight="1" s="216"/>
    <row r="811" ht="15.75" customHeight="1" s="216"/>
    <row r="812" ht="15.75" customHeight="1" s="216"/>
    <row r="813" ht="15.75" customHeight="1" s="216"/>
    <row r="814" ht="15.75" customHeight="1" s="216"/>
    <row r="815" ht="15.75" customHeight="1" s="216"/>
    <row r="816" ht="15.75" customHeight="1" s="216"/>
    <row r="817" ht="15.75" customHeight="1" s="216"/>
    <row r="818" ht="15.75" customHeight="1" s="216"/>
    <row r="819" ht="15.75" customHeight="1" s="216"/>
    <row r="820" ht="15.75" customHeight="1" s="216"/>
    <row r="821" ht="15.75" customHeight="1" s="216"/>
    <row r="822" ht="15.75" customHeight="1" s="216"/>
    <row r="823" ht="15.75" customHeight="1" s="216"/>
    <row r="824" ht="15.75" customHeight="1" s="216"/>
    <row r="825" ht="15.75" customHeight="1" s="216"/>
    <row r="826" ht="15.75" customHeight="1" s="216"/>
    <row r="827" ht="15.75" customHeight="1" s="216"/>
    <row r="828" ht="15.75" customHeight="1" s="216"/>
    <row r="829" ht="15.75" customHeight="1" s="216"/>
    <row r="830" ht="15.75" customHeight="1" s="216"/>
    <row r="831" ht="15.75" customHeight="1" s="216"/>
    <row r="832" ht="15.75" customHeight="1" s="216"/>
    <row r="833" ht="15.75" customHeight="1" s="216"/>
    <row r="834" ht="15.75" customHeight="1" s="216"/>
    <row r="835" ht="15.75" customHeight="1" s="216"/>
    <row r="836" ht="15.75" customHeight="1" s="216"/>
    <row r="837" ht="15.75" customHeight="1" s="216"/>
    <row r="838" ht="15.75" customHeight="1" s="216"/>
    <row r="839" ht="15.75" customHeight="1" s="216"/>
    <row r="840" ht="15.75" customHeight="1" s="216"/>
    <row r="841" ht="15.75" customHeight="1" s="216"/>
    <row r="842" ht="15.75" customHeight="1" s="216"/>
    <row r="843" ht="15.75" customHeight="1" s="216"/>
    <row r="844" ht="15.75" customHeight="1" s="216"/>
    <row r="845" ht="15.75" customHeight="1" s="216"/>
    <row r="846" ht="15.75" customHeight="1" s="216"/>
    <row r="847" ht="15.75" customHeight="1" s="216"/>
    <row r="848" ht="15.75" customHeight="1" s="216"/>
    <row r="849" ht="15.75" customHeight="1" s="216"/>
    <row r="850" ht="15.75" customHeight="1" s="216"/>
    <row r="851" ht="15.75" customHeight="1" s="216"/>
    <row r="852" ht="15.75" customHeight="1" s="216"/>
    <row r="853" ht="15.75" customHeight="1" s="216"/>
    <row r="854" ht="15.75" customHeight="1" s="216"/>
    <row r="855" ht="15.75" customHeight="1" s="216"/>
    <row r="856" ht="15.75" customHeight="1" s="216"/>
    <row r="857" ht="15.75" customHeight="1" s="216"/>
    <row r="858" ht="15.75" customHeight="1" s="216"/>
    <row r="859" ht="15.75" customHeight="1" s="216"/>
    <row r="860" ht="15.75" customHeight="1" s="216"/>
    <row r="861" ht="15.75" customHeight="1" s="216"/>
    <row r="862" ht="15.75" customHeight="1" s="216"/>
    <row r="863" ht="15.75" customHeight="1" s="216"/>
    <row r="864" ht="15.75" customHeight="1" s="216"/>
    <row r="865" ht="15.75" customHeight="1" s="216"/>
    <row r="866" ht="15.75" customHeight="1" s="216"/>
    <row r="867" ht="15.75" customHeight="1" s="216"/>
    <row r="868" ht="15.75" customHeight="1" s="216"/>
    <row r="869" ht="15.75" customHeight="1" s="216"/>
    <row r="870" ht="15.75" customHeight="1" s="216"/>
    <row r="871" ht="15.75" customHeight="1" s="216"/>
    <row r="872" ht="15.75" customHeight="1" s="216"/>
    <row r="873" ht="15.75" customHeight="1" s="216"/>
    <row r="874" ht="15.75" customHeight="1" s="216"/>
    <row r="875" ht="15.75" customHeight="1" s="216"/>
    <row r="876" ht="15.75" customHeight="1" s="216"/>
    <row r="877" ht="15.75" customHeight="1" s="216"/>
    <row r="878" ht="15.75" customHeight="1" s="216"/>
    <row r="879" ht="15.75" customHeight="1" s="216"/>
    <row r="880" ht="15.75" customHeight="1" s="216"/>
    <row r="881" ht="15.75" customHeight="1" s="216"/>
    <row r="882" ht="15.75" customHeight="1" s="216"/>
    <row r="883" ht="15.75" customHeight="1" s="216"/>
    <row r="884" ht="15.75" customHeight="1" s="216"/>
    <row r="885" ht="15.75" customHeight="1" s="216"/>
    <row r="886" ht="15.75" customHeight="1" s="216"/>
    <row r="887" ht="15.75" customHeight="1" s="216"/>
    <row r="888" ht="15.75" customHeight="1" s="216"/>
    <row r="889" ht="15.75" customHeight="1" s="216"/>
    <row r="890" ht="15.75" customHeight="1" s="216"/>
    <row r="891" ht="15.75" customHeight="1" s="216"/>
    <row r="892" ht="15.75" customHeight="1" s="216"/>
    <row r="893" ht="15.75" customHeight="1" s="216"/>
    <row r="894" ht="15.75" customHeight="1" s="216"/>
    <row r="895" ht="15.75" customHeight="1" s="216"/>
    <row r="896" ht="15.75" customHeight="1" s="216"/>
    <row r="897" ht="15.75" customHeight="1" s="216"/>
    <row r="898" ht="15.75" customHeight="1" s="216"/>
    <row r="899" ht="15.75" customHeight="1" s="216"/>
    <row r="900" ht="15.75" customHeight="1" s="216"/>
    <row r="901" ht="15.75" customHeight="1" s="216"/>
    <row r="902" ht="15.75" customHeight="1" s="216"/>
    <row r="903" ht="15.75" customHeight="1" s="216"/>
    <row r="904" ht="15.75" customHeight="1" s="216"/>
    <row r="905" ht="15.75" customHeight="1" s="216"/>
    <row r="906" ht="15.75" customHeight="1" s="216"/>
    <row r="907" ht="15.75" customHeight="1" s="216"/>
    <row r="908" ht="15.75" customHeight="1" s="216"/>
    <row r="909" ht="15.75" customHeight="1" s="216"/>
    <row r="910" ht="15.75" customHeight="1" s="216"/>
    <row r="911" ht="15.75" customHeight="1" s="216"/>
    <row r="912" ht="15.75" customHeight="1" s="216"/>
    <row r="913" ht="15.75" customHeight="1" s="216"/>
    <row r="914" ht="15.75" customHeight="1" s="216"/>
    <row r="915" ht="15.75" customHeight="1" s="216"/>
    <row r="916" ht="15.75" customHeight="1" s="216"/>
    <row r="917" ht="15.75" customHeight="1" s="216"/>
    <row r="918" ht="15.75" customHeight="1" s="216"/>
    <row r="919" ht="15.75" customHeight="1" s="216"/>
    <row r="920" ht="15.75" customHeight="1" s="216"/>
    <row r="921" ht="15.75" customHeight="1" s="216"/>
    <row r="922" ht="15.75" customHeight="1" s="216"/>
    <row r="923" ht="15.75" customHeight="1" s="216"/>
    <row r="924" ht="15.75" customHeight="1" s="216"/>
    <row r="925" ht="15.75" customHeight="1" s="216"/>
    <row r="926" ht="15.75" customHeight="1" s="216"/>
    <row r="927" ht="15.75" customHeight="1" s="216"/>
    <row r="928" ht="15.75" customHeight="1" s="216"/>
    <row r="929" ht="15.75" customHeight="1" s="216"/>
    <row r="930" ht="15.75" customHeight="1" s="216"/>
    <row r="931" ht="15.75" customHeight="1" s="216"/>
    <row r="932" ht="15.75" customHeight="1" s="216"/>
    <row r="933" ht="15.75" customHeight="1" s="216"/>
    <row r="934" ht="15.75" customHeight="1" s="216"/>
    <row r="935" ht="15.75" customHeight="1" s="216"/>
    <row r="936" ht="15.75" customHeight="1" s="216"/>
    <row r="937" ht="15.75" customHeight="1" s="216"/>
    <row r="938" ht="15.75" customHeight="1" s="216"/>
    <row r="939" ht="15.75" customHeight="1" s="216"/>
    <row r="940" ht="15.75" customHeight="1" s="216"/>
    <row r="941" ht="15.75" customHeight="1" s="216"/>
    <row r="942" ht="15.75" customHeight="1" s="216"/>
    <row r="943" ht="15.75" customHeight="1" s="216"/>
    <row r="944" ht="15.75" customHeight="1" s="216"/>
    <row r="945" ht="15.75" customHeight="1" s="216"/>
    <row r="946" ht="15.75" customHeight="1" s="216"/>
    <row r="947" ht="15.75" customHeight="1" s="216"/>
    <row r="948" ht="15.75" customHeight="1" s="216"/>
    <row r="949" ht="15.75" customHeight="1" s="216"/>
    <row r="950" ht="15.75" customHeight="1" s="216"/>
    <row r="951" ht="15.75" customHeight="1" s="216"/>
    <row r="952" ht="15.75" customHeight="1" s="216"/>
    <row r="953" ht="15.75" customHeight="1" s="216"/>
    <row r="954" ht="15.75" customHeight="1" s="216"/>
    <row r="955" ht="15.75" customHeight="1" s="216"/>
    <row r="956" ht="15.75" customHeight="1" s="216"/>
    <row r="957" ht="15.75" customHeight="1" s="216"/>
    <row r="958" ht="15.75" customHeight="1" s="216"/>
    <row r="959" ht="15.75" customHeight="1" s="216"/>
    <row r="960" ht="15.75" customHeight="1" s="216"/>
    <row r="961" ht="15.75" customHeight="1" s="216"/>
    <row r="962" ht="15.75" customHeight="1" s="216"/>
    <row r="963" ht="15.75" customHeight="1" s="216"/>
    <row r="964" ht="15.75" customHeight="1" s="216"/>
    <row r="965" ht="15.75" customHeight="1" s="216"/>
    <row r="966" ht="15.75" customHeight="1" s="216"/>
    <row r="967" ht="15.75" customHeight="1" s="216"/>
    <row r="968" ht="15.75" customHeight="1" s="216"/>
    <row r="969" ht="15.75" customHeight="1" s="216"/>
    <row r="970" ht="15.75" customHeight="1" s="216"/>
    <row r="971" ht="15.75" customHeight="1" s="216"/>
    <row r="972" ht="15.75" customHeight="1" s="216"/>
    <row r="973" ht="15.75" customHeight="1" s="216"/>
    <row r="974" ht="15.75" customHeight="1" s="216"/>
    <row r="975" ht="15.75" customHeight="1" s="216"/>
    <row r="976" ht="15.75" customHeight="1" s="216"/>
    <row r="977" ht="15.75" customHeight="1" s="216"/>
    <row r="978" ht="15.75" customHeight="1" s="216"/>
    <row r="979" ht="15.75" customHeight="1" s="216"/>
    <row r="980" ht="15.75" customHeight="1" s="216"/>
    <row r="981" ht="15.75" customHeight="1" s="216"/>
    <row r="982" ht="15.75" customHeight="1" s="216"/>
    <row r="983" ht="15.75" customHeight="1" s="216"/>
    <row r="984" ht="15.75" customHeight="1" s="216"/>
    <row r="985" ht="15.75" customHeight="1" s="216"/>
    <row r="986" ht="15.75" customHeight="1" s="216"/>
    <row r="987" ht="15.75" customHeight="1" s="216"/>
    <row r="988" ht="15.75" customHeight="1" s="216"/>
    <row r="989" ht="15.75" customHeight="1" s="216"/>
    <row r="990" ht="15.75" customHeight="1" s="216"/>
    <row r="991" ht="15.75" customHeight="1" s="216"/>
    <row r="992" ht="15.75" customHeight="1" s="216"/>
    <row r="993" ht="15.75" customHeight="1" s="216"/>
    <row r="994" ht="15.75" customHeight="1" s="216"/>
    <row r="995" ht="15.75" customHeight="1" s="216"/>
    <row r="996" ht="15.75" customHeight="1" s="216"/>
    <row r="997" ht="15.75" customHeight="1" s="216"/>
    <row r="998" ht="15.75" customHeight="1" s="216"/>
    <row r="999" ht="15.75" customHeight="1" s="216"/>
    <row r="1000" ht="15.75" customHeight="1" s="216"/>
  </sheetData>
  <autoFilter ref="A6:AU6"/>
  <mergeCells count="19">
    <mergeCell ref="AR5:AU5"/>
    <mergeCell ref="N5:S5"/>
    <mergeCell ref="C2:E2"/>
    <mergeCell ref="A5:C5"/>
    <mergeCell ref="Z5:AE5"/>
    <mergeCell ref="AF5:AK5"/>
    <mergeCell ref="AL5:AQ5"/>
    <mergeCell ref="J5:M5"/>
    <mergeCell ref="A3:B3"/>
    <mergeCell ref="G3:H3"/>
    <mergeCell ref="I3:J3"/>
    <mergeCell ref="A2:B2"/>
    <mergeCell ref="D5:I5"/>
    <mergeCell ref="C3:E3"/>
    <mergeCell ref="A4:B4"/>
    <mergeCell ref="G4:H4"/>
    <mergeCell ref="T5:Y5"/>
    <mergeCell ref="I4:J4"/>
    <mergeCell ref="C4:E4"/>
  </mergeCells>
  <conditionalFormatting sqref="O7:O500 P7:P500 U7:U500 V7:V500 AA7:AA500 AB7:AB500 AG7:AG500 AH7:AH500 AM7:AM500 AN7:AN500 AS7:AS500 AT7:AT500">
    <cfRule type="cellIs" priority="1" operator="equal" dxfId="5">
      <formula>"Pass"</formula>
    </cfRule>
    <cfRule type="cellIs" priority="2" operator="equal" dxfId="6">
      <formula>"Fail"</formula>
    </cfRule>
    <cfRule type="cellIs" priority="3" operator="equal" dxfId="7">
      <formula>"Block"</formula>
    </cfRule>
    <cfRule type="cellIs" priority="4" operator="equal" dxfId="8">
      <formula>"N/A"</formula>
    </cfRule>
  </conditionalFormatting>
  <dataValidations count="8">
    <dataValidation sqref="J7:J500" showDropDown="0" showInputMessage="0" showErrorMessage="0" allowBlank="1" type="list">
      <formula1>"AI,QC"</formula1>
    </dataValidation>
    <dataValidation sqref="E7:E500" showDropDown="0" showInputMessage="0" showErrorMessage="0" allowBlank="1" type="list">
      <formula1>"High,Medium,Low"</formula1>
    </dataValidation>
    <dataValidation sqref="P7:P500 V7:V500 AB7:AB500 AH7:AH500 AN7:AN500" showDropDown="0" showInputMessage="0" showErrorMessage="0" allowBlank="1" type="list">
      <formula1>"Pass,Fail,Block,N/A"</formula1>
    </dataValidation>
    <dataValidation sqref="N7:N500 T7:T500 Z7:Z500 AF7:AF500 AL7:AL500" showDropDown="0" showInputMessage="0" showErrorMessage="0" allowBlank="1" type="list">
      <formula1>"Yes,No,N/A"</formula1>
    </dataValidation>
    <dataValidation sqref="O7:O500 U7:U500 AA7:AA500 AG7:AG500 AM7:AM500" showDropDown="0" showInputMessage="0" showErrorMessage="0" allowBlank="1" type="list">
      <formula1>"Pass,Fail,Block,N/A,Chưa chạy"</formula1>
    </dataValidation>
    <dataValidation sqref="D7:D500" showDropDown="0" showInputMessage="0" showErrorMessage="0" allowBlank="1" type="list">
      <formula1>"Functional,UI,Integration,Database Test Case"</formula1>
    </dataValidation>
    <dataValidation sqref="K7:K500" showDropDown="0" showInputMessage="0" showErrorMessage="0" allowBlank="1" type="list">
      <formula1>"Reviewed,Pending,N/A"</formula1>
    </dataValidation>
    <dataValidation sqref="L7:L500" showDropDown="0" showInputMessage="0" showErrorMessage="0" allowBlank="1" type="list">
      <formula1>"Yes,No"</formula1>
    </dataValidation>
  </dataValidations>
  <pageMargins left="0.75" right="0.75" top="1" bottom="1" header="0" footer="0"/>
  <pageSetup orientation="landscape" fitToHeight="0"/>
</worksheet>
</file>

<file path=xl/worksheets/sheet13.xml><?xml version="1.0" encoding="utf-8"?>
<worksheet xmlns="http://schemas.openxmlformats.org/spreadsheetml/2006/main">
  <sheetPr>
    <outlinePr summaryBelow="1" summaryRight="1"/>
    <pageSetUpPr fitToPage="1"/>
  </sheetPr>
  <dimension ref="A1:AV520"/>
  <sheetViews>
    <sheetView workbookViewId="0">
      <pane xSplit="1" ySplit="6" topLeftCell="B7" activePane="bottomRight" state="frozen"/>
      <selection pane="topRight"/>
      <selection pane="bottomLeft"/>
      <selection pane="bottomRight" activeCell="A1" sqref="A1"/>
    </sheetView>
  </sheetViews>
  <sheetFormatPr baseColWidth="8" defaultColWidth="14.43" defaultRowHeight="15" customHeight="1"/>
  <cols>
    <col width="14" customWidth="1" style="216" min="1" max="2"/>
    <col width="13" customWidth="1" style="216" min="3" max="4"/>
    <col width="11" customWidth="1" style="216" min="5" max="5"/>
    <col width="34" customWidth="1" style="216" min="6" max="6"/>
    <col width="28" customWidth="1" style="216" min="7" max="7"/>
    <col width="40" customWidth="1" style="216" min="8" max="8"/>
    <col width="34" customWidth="1" style="216" min="9" max="9"/>
    <col width="10" customWidth="1" style="216" min="10" max="10"/>
    <col width="12.43" customWidth="1" style="216" min="11" max="11"/>
    <col width="14" customWidth="1" style="216" min="12" max="12"/>
    <col width="26.14" customWidth="1" style="216" min="13" max="13"/>
    <col width="9" customWidth="1" style="216" min="14" max="14"/>
    <col width="10" customWidth="1" style="216" min="15" max="15"/>
    <col width="9" customWidth="1" style="216" min="16" max="16"/>
    <col width="13" customWidth="1" style="216" min="17" max="17"/>
    <col width="11" customWidth="1" style="216" min="18" max="18"/>
    <col width="22" customWidth="1" style="216" min="19" max="19"/>
    <col width="9" customWidth="1" style="216" min="20" max="20"/>
    <col width="10" customWidth="1" style="216" min="21" max="21"/>
    <col width="9" customWidth="1" style="216" min="22" max="22"/>
    <col width="13" customWidth="1" style="216" min="23" max="23"/>
    <col width="11" customWidth="1" style="216" min="24" max="24"/>
    <col width="22" customWidth="1" style="216" min="25" max="25"/>
    <col width="9" customWidth="1" style="216" min="26" max="26"/>
    <col width="10" customWidth="1" style="216" min="27" max="27"/>
    <col width="9" customWidth="1" style="216" min="28" max="28"/>
    <col width="13" customWidth="1" style="216" min="29" max="29"/>
    <col width="11" customWidth="1" style="216" min="30" max="30"/>
    <col width="22" customWidth="1" style="216" min="31" max="31"/>
    <col width="9" customWidth="1" style="216" min="32" max="32"/>
    <col width="10" customWidth="1" style="216" min="33" max="33"/>
    <col width="9" customWidth="1" style="216" min="34" max="34"/>
    <col width="13" customWidth="1" style="216" min="35" max="35"/>
    <col width="11" customWidth="1" style="216" min="36" max="36"/>
    <col width="22" customWidth="1" style="216" min="37" max="37"/>
    <col width="9" customWidth="1" style="216" min="38" max="38"/>
    <col width="10" customWidth="1" style="216" min="39" max="39"/>
    <col width="9" customWidth="1" style="216" min="40" max="40"/>
    <col width="13" customWidth="1" style="216" min="41" max="41"/>
    <col width="11" customWidth="1" style="216" min="42" max="42"/>
    <col width="22" customWidth="1" style="216" min="43" max="43"/>
    <col width="12" customWidth="1" style="216" min="44" max="44"/>
    <col width="14" customWidth="1" style="216" min="45" max="45"/>
    <col width="11" customWidth="1" style="216" min="46" max="46"/>
    <col width="24" customWidth="1" style="216" min="47" max="47"/>
  </cols>
  <sheetData>
    <row r="1">
      <c r="A1" s="106"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row>
    <row r="2">
      <c r="A2" s="255" t="inlineStr">
        <is>
          <t>Mã chức năng</t>
        </is>
      </c>
      <c r="B2" s="218" t="n"/>
      <c r="C2" s="256" t="inlineStr">
        <is>
          <t>TC_05</t>
        </is>
      </c>
      <c r="D2" s="220" t="n"/>
      <c r="E2" s="218"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row>
    <row r="3" ht="15" customHeight="1" s="216">
      <c r="A3" s="255" t="inlineStr">
        <is>
          <t>Tên chức năng</t>
        </is>
      </c>
      <c r="B3" s="218" t="n"/>
      <c r="C3" s="256" t="inlineStr">
        <is>
          <t>Bảng tin &amp; Chi tiết tin</t>
        </is>
      </c>
      <c r="D3" s="220" t="n"/>
      <c r="E3" s="218" t="n"/>
      <c r="F3" s="1" t="n"/>
      <c r="G3" s="255" t="inlineStr">
        <is>
          <t>Version</t>
        </is>
      </c>
      <c r="H3" s="218" t="n"/>
      <c r="I3" s="174">
        <f>Summary!$C$8</f>
        <v/>
      </c>
      <c r="J3" s="218"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row>
    <row r="4" ht="15" customHeight="1" s="216">
      <c r="A4" s="255" t="inlineStr">
        <is>
          <t>Execution</t>
        </is>
      </c>
      <c r="B4" s="218" t="n"/>
      <c r="C4" s="174">
        <f>TEXT(Summary!$C$10,"DD/MM/YYYY")&amp;"  →  "&amp;TEXT(Summary!$C$11,"DD/MM/YYYY")</f>
        <v/>
      </c>
      <c r="D4" s="220" t="n"/>
      <c r="E4" s="218" t="n"/>
      <c r="F4" s="1" t="n"/>
      <c r="G4" s="255" t="inlineStr">
        <is>
          <t>PIC</t>
        </is>
      </c>
      <c r="H4" s="218" t="n"/>
      <c r="I4" s="174">
        <f>Summary!$C$13</f>
        <v/>
      </c>
      <c r="J4" s="218"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1" t="n"/>
      <c r="AL4" s="1" t="n"/>
      <c r="AM4" s="1" t="n"/>
      <c r="AN4" s="1" t="n"/>
      <c r="AO4" s="1" t="n"/>
      <c r="AP4" s="1" t="n"/>
      <c r="AQ4" s="1" t="n"/>
      <c r="AR4" s="1" t="n"/>
      <c r="AS4" s="1" t="n"/>
      <c r="AT4" s="1" t="n"/>
      <c r="AU4" s="1" t="n"/>
    </row>
    <row r="5" ht="15" customHeight="1" s="216">
      <c r="A5" s="257" t="inlineStr">
        <is>
          <t>TRACEABILITY</t>
        </is>
      </c>
      <c r="B5" s="220" t="n"/>
      <c r="C5" s="218" t="n"/>
      <c r="D5" s="246" t="inlineStr">
        <is>
          <t>TEST DESIGN</t>
        </is>
      </c>
      <c r="E5" s="220" t="n"/>
      <c r="F5" s="220" t="n"/>
      <c r="G5" s="220" t="n"/>
      <c r="H5" s="220" t="n"/>
      <c r="I5" s="218" t="n"/>
      <c r="J5" s="250" t="inlineStr">
        <is>
          <t>SDLC</t>
        </is>
      </c>
      <c r="K5" s="220" t="n"/>
      <c r="L5" s="220" t="n"/>
      <c r="M5" s="218" t="n"/>
      <c r="N5" s="258" t="inlineStr">
        <is>
          <t>ROUND 1</t>
        </is>
      </c>
      <c r="O5" s="252" t="n"/>
      <c r="P5" s="252" t="n"/>
      <c r="Q5" s="252" t="n"/>
      <c r="R5" s="252" t="n"/>
      <c r="S5" s="253" t="n"/>
      <c r="T5" s="259" t="inlineStr">
        <is>
          <t>ROUND 2</t>
        </is>
      </c>
      <c r="U5" s="252" t="n"/>
      <c r="V5" s="252" t="n"/>
      <c r="W5" s="252" t="n"/>
      <c r="X5" s="252" t="n"/>
      <c r="Y5" s="253" t="n"/>
      <c r="Z5" s="258" t="inlineStr">
        <is>
          <t>ROUND 3</t>
        </is>
      </c>
      <c r="AA5" s="252" t="n"/>
      <c r="AB5" s="252" t="n"/>
      <c r="AC5" s="252" t="n"/>
      <c r="AD5" s="252" t="n"/>
      <c r="AE5" s="253" t="n"/>
      <c r="AF5" s="259" t="inlineStr">
        <is>
          <t>ROUND 4</t>
        </is>
      </c>
      <c r="AG5" s="252" t="n"/>
      <c r="AH5" s="252" t="n"/>
      <c r="AI5" s="252" t="n"/>
      <c r="AJ5" s="252" t="n"/>
      <c r="AK5" s="253" t="n"/>
      <c r="AL5" s="258" t="inlineStr">
        <is>
          <t>ROUND 5</t>
        </is>
      </c>
      <c r="AM5" s="252" t="n"/>
      <c r="AN5" s="252" t="n"/>
      <c r="AO5" s="252" t="n"/>
      <c r="AP5" s="252" t="n"/>
      <c r="AQ5" s="253" t="n"/>
      <c r="AR5" s="262" t="inlineStr">
        <is>
          <t>KẾT QUẢ TỔNG</t>
        </is>
      </c>
      <c r="AS5" s="252" t="n"/>
      <c r="AT5" s="252" t="n"/>
      <c r="AU5" s="253" t="n"/>
    </row>
    <row r="6" ht="30" customHeight="1" s="216">
      <c r="A6" s="152" t="inlineStr">
        <is>
          <t>Testcase ID</t>
        </is>
      </c>
      <c r="B6" s="152" t="inlineStr">
        <is>
          <t>Req ID</t>
        </is>
      </c>
      <c r="C6" s="152" t="inlineStr">
        <is>
          <t>DOC Source</t>
        </is>
      </c>
      <c r="D6" s="114" t="inlineStr">
        <is>
          <t>Group</t>
        </is>
      </c>
      <c r="E6" s="114" t="inlineStr">
        <is>
          <t>Priority</t>
        </is>
      </c>
      <c r="F6" s="114" t="inlineStr">
        <is>
          <t>Test Title
(Nội dung test)</t>
        </is>
      </c>
      <c r="G6" s="114" t="inlineStr">
        <is>
          <t>Pre-condition
(Điều kiện/Dữ liệu)</t>
        </is>
      </c>
      <c r="H6" s="114" t="inlineStr">
        <is>
          <t>Test Steps
(Các bước)</t>
        </is>
      </c>
      <c r="I6" s="114" t="inlineStr">
        <is>
          <t>Expected Result
(Kết quả mong đợi)</t>
        </is>
      </c>
      <c r="J6" s="112" t="inlineStr">
        <is>
          <t>Origin</t>
        </is>
      </c>
      <c r="K6" s="112" t="inlineStr">
        <is>
          <t>Review</t>
        </is>
      </c>
      <c r="L6" s="112" t="inlineStr">
        <is>
          <t>Automated</t>
        </is>
      </c>
      <c r="M6" s="112" t="inlineStr">
        <is>
          <t>Script</t>
        </is>
      </c>
      <c r="N6" s="153" t="inlineStr">
        <is>
          <t>Vibe-test</t>
        </is>
      </c>
      <c r="O6" s="153" t="inlineStr">
        <is>
          <t>KQ Script</t>
        </is>
      </c>
      <c r="P6" s="153" t="inlineStr">
        <is>
          <t>Kết quả</t>
        </is>
      </c>
      <c r="Q6" s="153" t="inlineStr">
        <is>
          <t>Executed By</t>
        </is>
      </c>
      <c r="R6" s="153" t="inlineStr">
        <is>
          <t>ID Bugs</t>
        </is>
      </c>
      <c r="S6" s="153" t="inlineStr">
        <is>
          <t>Note</t>
        </is>
      </c>
      <c r="T6" s="153" t="inlineStr">
        <is>
          <t>Vibe-test</t>
        </is>
      </c>
      <c r="U6" s="153" t="inlineStr">
        <is>
          <t>KQ Script</t>
        </is>
      </c>
      <c r="V6" s="153" t="inlineStr">
        <is>
          <t>Kết quả</t>
        </is>
      </c>
      <c r="W6" s="153" t="inlineStr">
        <is>
          <t>Executed By</t>
        </is>
      </c>
      <c r="X6" s="153" t="inlineStr">
        <is>
          <t>ID Bugs</t>
        </is>
      </c>
      <c r="Y6" s="153" t="inlineStr">
        <is>
          <t>Note</t>
        </is>
      </c>
      <c r="Z6" s="153" t="inlineStr">
        <is>
          <t>Vibe-test</t>
        </is>
      </c>
      <c r="AA6" s="153" t="inlineStr">
        <is>
          <t>KQ Script</t>
        </is>
      </c>
      <c r="AB6" s="153" t="inlineStr">
        <is>
          <t>Kết quả</t>
        </is>
      </c>
      <c r="AC6" s="153" t="inlineStr">
        <is>
          <t>Executed By</t>
        </is>
      </c>
      <c r="AD6" s="153" t="inlineStr">
        <is>
          <t>ID Bugs</t>
        </is>
      </c>
      <c r="AE6" s="153" t="inlineStr">
        <is>
          <t>Note</t>
        </is>
      </c>
      <c r="AF6" s="153" t="inlineStr">
        <is>
          <t>Vibe-test</t>
        </is>
      </c>
      <c r="AG6" s="153" t="inlineStr">
        <is>
          <t>KQ Script</t>
        </is>
      </c>
      <c r="AH6" s="153" t="inlineStr">
        <is>
          <t>Kết quả</t>
        </is>
      </c>
      <c r="AI6" s="153" t="inlineStr">
        <is>
          <t>Executed By</t>
        </is>
      </c>
      <c r="AJ6" s="153" t="inlineStr">
        <is>
          <t>ID Bugs</t>
        </is>
      </c>
      <c r="AK6" s="153" t="inlineStr">
        <is>
          <t>Note</t>
        </is>
      </c>
      <c r="AL6" s="153" t="inlineStr">
        <is>
          <t>Vibe-test</t>
        </is>
      </c>
      <c r="AM6" s="153" t="inlineStr">
        <is>
          <t>KQ Script</t>
        </is>
      </c>
      <c r="AN6" s="153" t="inlineStr">
        <is>
          <t>Kết quả</t>
        </is>
      </c>
      <c r="AO6" s="153" t="inlineStr">
        <is>
          <t>Executed By</t>
        </is>
      </c>
      <c r="AP6" s="153" t="inlineStr">
        <is>
          <t>ID Bugs</t>
        </is>
      </c>
      <c r="AQ6" s="153" t="inlineStr">
        <is>
          <t>Note</t>
        </is>
      </c>
      <c r="AR6" s="263" t="inlineStr">
        <is>
          <t>Vibe-test
(tổng)</t>
        </is>
      </c>
      <c r="AS6" s="263" t="inlineStr">
        <is>
          <t>KQ Script
(tổng)</t>
        </is>
      </c>
      <c r="AT6" s="154" t="inlineStr">
        <is>
          <t>Status</t>
        </is>
      </c>
      <c r="AU6" s="154" t="inlineStr">
        <is>
          <t>Remark</t>
        </is>
      </c>
    </row>
    <row r="7" ht="60" customHeight="1" s="216">
      <c r="A7" s="160">
        <f>IF($F7="","",$C$2&amp;"."&amp;COUNTA($F$7:$F7)&amp;"")</f>
        <v/>
      </c>
      <c r="B7" s="160" t="inlineStr">
        <is>
          <t>REQ-FEED-001</t>
        </is>
      </c>
      <c r="C7" s="160" t="inlineStr">
        <is>
          <t>DOC-v1.0-02</t>
        </is>
      </c>
      <c r="D7" s="160" t="inlineStr">
        <is>
          <t>UI</t>
        </is>
      </c>
      <c r="E7" s="160" t="inlineStr">
        <is>
          <t>Medium</t>
        </is>
      </c>
      <c r="F7" s="11" t="inlineStr">
        <is>
          <t>Check card tin ở Bảng tin đủ thành phần và không có nút CTA</t>
        </is>
      </c>
      <c r="G7" s="11" t="inlineStr">
        <is>
          <t>- Tài khoản B là CBNV có hồ sơ đầy đủ trên STG.
- Host app FoxPro đã cài trên thiết bị Android/iOS.
Test Data: 1 tin NEED `POSTED` có khung giờ, loại hàng "Tài liệu" (test_data_catalog §FEED)</t>
        </is>
      </c>
      <c r="H7" s="11" t="inlineStr">
        <is>
          <t>1. Đăng nhập bằng tài khoản B, nhấn tab "Bảng tin". (setup)
2. Check lần lượt các thành phần và rà toàn bộ card tin đầu tiên tìm nút "Tôi mang giúp được".</t>
        </is>
      </c>
      <c r="I7" s="11" t="inlineStr">
        <is>
          <t>2. Card hiển thị đủ: icon/ảnh hàng, dòng loại hàng kèm giá trị hàng, thời gian đăng, dòng "Nhận:"/"Giao:" dạng rút gọn, khung giờ mong muốn; card KHÔNG có nút "Tôi mang giúp được" ở bất kỳ đâu.</t>
        </is>
      </c>
      <c r="J7" s="160" t="inlineStr">
        <is>
          <t>AI</t>
        </is>
      </c>
      <c r="K7" s="160" t="inlineStr">
        <is>
          <t>Pending</t>
        </is>
      </c>
      <c r="L7" s="160" t="inlineStr">
        <is>
          <t>No</t>
        </is>
      </c>
      <c r="M7" s="160" t="inlineStr"/>
      <c r="N7" s="264" t="inlineStr">
        <is>
          <t>Yes</t>
        </is>
      </c>
      <c r="O7" s="264" t="inlineStr"/>
      <c r="P7" s="264" t="inlineStr">
        <is>
          <t>Pass</t>
        </is>
      </c>
      <c r="Q7" s="264" t="inlineStr">
        <is>
          <t>GiangDC2</t>
        </is>
      </c>
      <c r="R7" s="264" t="inlineStr"/>
      <c r="S7" s="264" t="inlineStr"/>
      <c r="T7" s="264" t="n"/>
      <c r="U7" s="264" t="n"/>
      <c r="V7" s="264" t="n"/>
      <c r="W7" s="264" t="n"/>
      <c r="X7" s="264" t="n"/>
      <c r="Y7" s="264" t="n"/>
      <c r="Z7" s="264" t="n"/>
      <c r="AA7" s="264" t="n"/>
      <c r="AB7" s="264" t="n"/>
      <c r="AC7" s="264" t="n"/>
      <c r="AD7" s="264" t="n"/>
      <c r="AE7" s="264" t="n"/>
      <c r="AF7" s="264" t="n"/>
      <c r="AG7" s="264" t="n"/>
      <c r="AH7" s="264" t="n"/>
      <c r="AI7" s="264" t="n"/>
      <c r="AJ7" s="264" t="n"/>
      <c r="AK7" s="264" t="n"/>
      <c r="AL7" s="264" t="n"/>
      <c r="AM7" s="264" t="n"/>
      <c r="AN7" s="264" t="n"/>
      <c r="AO7" s="264" t="n"/>
      <c r="AP7" s="264" t="n"/>
      <c r="AQ7" s="264" t="n"/>
      <c r="AR7" s="158">
        <f>IF($A7="","",IF(OR($N7="Yes",$T7="Yes",$Z7="Yes",$AF7="Yes",$AL7="Yes"),"Yes","No"))</f>
        <v/>
      </c>
      <c r="AS7" s="158">
        <f>IF($A7="","",IFERROR(IF($AM7&lt;&gt;"",$AM7,IF($AG7&lt;&gt;"",$AG7,IF($AA7&lt;&gt;"",$AA7,IF($U7&lt;&gt;"",$U7,IF($O7&lt;&gt;"",$O7,""))))),""))</f>
        <v/>
      </c>
      <c r="AT7" s="158">
        <f>IFERROR(IF($AN7&lt;&gt;"",$AN7,IF($AH7&lt;&gt;"",$AH7,IF($AB7&lt;&gt;"",$AB7,IF($V7&lt;&gt;"",$V7,IF($P7&lt;&gt;"",$P7,""))))),"")</f>
        <v/>
      </c>
      <c r="AU7" s="265" t="inlineStr">
        <is>
          <t>Mục đích: hết gap CTA — đổi từ "cố ý không assert vị trí CTA" (v1.0) sang assert cứng phủ định "card KHÔNG có CTA". · Căn cứ: `C-FEED-01(a)` Resolved 2026-09-16 — vibe-check demo xác nhận CTA chỉ có ở màn Chi tiết tin. Badge "Tin của bạn" verify riêng ở `TC-FEED-003/004` (thành phần có điều kiện). · Đã sửa tại chỗ 2026-09-16: thêm assert phủ định CTA vào Expected.</t>
        </is>
      </c>
    </row>
    <row r="8" ht="60" customHeight="1" s="216">
      <c r="A8" s="160">
        <f>IF($F8="","",$C$2&amp;"."&amp;COUNTA($F$7:$F8)&amp;"")</f>
        <v/>
      </c>
      <c r="B8" s="160" t="inlineStr">
        <is>
          <t>REQ-FEED-004</t>
        </is>
      </c>
      <c r="C8" s="160" t="inlineStr">
        <is>
          <t>DOC-v1.0-01 · DOC-v1.0-02</t>
        </is>
      </c>
      <c r="D8" s="160" t="inlineStr">
        <is>
          <t>UI</t>
        </is>
      </c>
      <c r="E8" s="160" t="inlineStr">
        <is>
          <t>Medium</t>
        </is>
      </c>
      <c r="F8" s="11" t="inlineStr">
        <is>
          <t>Check phần dưới Chi tiết tin đủ lộ trình, khung giờ, tên người gửi và CTA</t>
        </is>
      </c>
      <c r="G8" s="11" t="inlineStr">
        <is>
          <t>- Tài khoản B là CBNV có hồ sơ đầy đủ trên STG.
- Host app FoxPro đã cài trên thiết bị Android/iOS.
Test Data: 1 tin NEED `POSTED` của tài khoản khác (test_data_catalog §FEED)</t>
        </is>
      </c>
      <c r="H8" s="11" t="inlineStr">
        <is>
          <t>1. Đăng nhập bằng tài khoản B, nhấn tab "Bảng tin" và nhấn 1 tin do tài khoản khác đăng. (setup)
2. Cuộn xuống phần dưới màn Chi tiết tin.
3. Check lần lượt các thành phần.</t>
        </is>
      </c>
      <c r="I8" s="11" t="inlineStr">
        <is>
          <t>3. Hiển thị đủ: khối Lộ trình gồm điểm lấy hàng và điểm giao hàng đầy đủ như data đã đăng kèm khung "Bản đồ · ~X km", khung giờ mong muốn, cụm Người gửi có đúng họ tên (KHÔNG có số điện thoại), và nút "Tôi mang giúp được".</t>
        </is>
      </c>
      <c r="J8" s="160" t="inlineStr">
        <is>
          <t>AI</t>
        </is>
      </c>
      <c r="K8" s="160" t="inlineStr">
        <is>
          <t>Pending</t>
        </is>
      </c>
      <c r="L8" s="160" t="inlineStr">
        <is>
          <t>No</t>
        </is>
      </c>
      <c r="M8" s="160" t="inlineStr"/>
      <c r="N8" s="264" t="inlineStr">
        <is>
          <t>Yes</t>
        </is>
      </c>
      <c r="O8" s="264" t="inlineStr"/>
      <c r="P8" s="264" t="inlineStr">
        <is>
          <t>Pass</t>
        </is>
      </c>
      <c r="Q8" s="264" t="inlineStr">
        <is>
          <t>GiangDC2</t>
        </is>
      </c>
      <c r="R8" s="264" t="inlineStr"/>
      <c r="S8" s="264" t="inlineStr"/>
      <c r="T8" s="264" t="n"/>
      <c r="U8" s="264" t="n"/>
      <c r="V8" s="264" t="n"/>
      <c r="W8" s="264" t="n"/>
      <c r="X8" s="264" t="n"/>
      <c r="Y8" s="264" t="n"/>
      <c r="Z8" s="264" t="n"/>
      <c r="AA8" s="264" t="n"/>
      <c r="AB8" s="264" t="n"/>
      <c r="AC8" s="264" t="n"/>
      <c r="AD8" s="264" t="n"/>
      <c r="AE8" s="264" t="n"/>
      <c r="AF8" s="264" t="n"/>
      <c r="AG8" s="264" t="n"/>
      <c r="AH8" s="264" t="n"/>
      <c r="AI8" s="264" t="n"/>
      <c r="AJ8" s="264" t="n"/>
      <c r="AK8" s="264" t="n"/>
      <c r="AL8" s="264" t="n"/>
      <c r="AM8" s="264" t="n"/>
      <c r="AN8" s="264" t="n"/>
      <c r="AO8" s="264" t="n"/>
      <c r="AP8" s="264" t="n"/>
      <c r="AQ8" s="264" t="n"/>
      <c r="AR8" s="158">
        <f>IF($A8="","",IF(OR($N8="Yes",$T8="Yes",$Z8="Yes",$AF8="Yes",$AL8="Yes"),"Yes","No"))</f>
        <v/>
      </c>
      <c r="AS8" s="158">
        <f>IF($A8="","",IFERROR(IF($AM8&lt;&gt;"",$AM8,IF($AG8&lt;&gt;"",$AG8,IF($AA8&lt;&gt;"",$AA8,IF($U8&lt;&gt;"",$U8,IF($O8&lt;&gt;"",$O8,""))))),""))</f>
        <v/>
      </c>
      <c r="AT8" s="158">
        <f>IFERROR(IF($AN8&lt;&gt;"",$AN8,IF($AH8&lt;&gt;"",$AH8,IF($AB8&lt;&gt;"",$AB8,IF($V8&lt;&gt;"",$V8,IF($P8&lt;&gt;"",$P8,""))))),"")</f>
        <v/>
      </c>
      <c r="AU8" s="265" t="inlineStr">
        <is>
          <t>Mục đích: bổ sung assert tên người gửi hiển thị trước ghép (thành phần tồn tại) — phân biệt với `TC-FEED-010` (cùng cụm nhưng assert SĐT KHÔNG hiển thị). · Căn cứ: `C-FEED-04` Resolved 2026-09-17 — trước ghép chỉ ẩn SĐT, tên + địa chỉ đầy đủ hiện bình thường. ⛔ KHÔNG log bug nếu tên/địa chỉ hiện đầy đủ trước ghép — đó là hành vi ĐÚNG. · Đã sửa tại chỗ 2026-09-17: thêm "có đúng họ tên" + "điểm Lấy/Giao đầy đủ như data đã đăng" vào Expected.</t>
        </is>
      </c>
    </row>
    <row r="9" ht="60" customHeight="1" s="216">
      <c r="A9" s="160">
        <f>IF($F9="","",$C$2&amp;"."&amp;COUNTA($F$7:$F9)&amp;"")</f>
        <v/>
      </c>
      <c r="B9" s="160" t="inlineStr">
        <is>
          <t>REQ-FEED-005</t>
        </is>
      </c>
      <c r="C9" s="160" t="inlineStr">
        <is>
          <t>DOC-v1.0-02</t>
        </is>
      </c>
      <c r="D9" s="160" t="inlineStr">
        <is>
          <t>UI</t>
        </is>
      </c>
      <c r="E9" s="160" t="inlineStr">
        <is>
          <t>Low</t>
        </is>
      </c>
      <c r="F9" s="11" t="inlineStr">
        <is>
          <t>Check khung bản đồ ở Chi tiết tin là ảnh tĩnh có vẽ tuyến thật</t>
        </is>
      </c>
      <c r="G9" s="11" t="inlineStr">
        <is>
          <t>- Tin NEED có điểm lấy hàng và điểm giao hàng đều thuộc văn phòng CÓ đủ toạ độ (lat/lng) trong `location_address_catalog.xlsx` — chọn văn phòng NGOÀI danh sách lỗi `C-FEED-05`.
- Host app FoxPro đã cài trên thiết bị Android/iOS.
Test Data: Tin NEED có điểm lấy/giao thuộc văn phòng đủ toạ độ (test_data_catalog §FEED)</t>
        </is>
      </c>
      <c r="H9" s="11" t="inlineStr">
        <is>
          <t>1. Đăng nhập bằng tài khoản B, nhấn tab "Bảng tin" và nhấn tin đó để mở màn Chi tiết tin. (setup)
2. Check khung "Bản đồ · ~X km".</t>
        </is>
      </c>
      <c r="I9" s="11" t="inlineStr">
        <is>
          <t>2. Khung hiển thị ảnh bản đồ **tĩnh có vẽ tuyến** từ điểm lấy tới điểm giao (không phải khung trống/placeholder); có dòng "~X km" (không assert giá trị số cụ thể).</t>
        </is>
      </c>
      <c r="J9" s="160" t="inlineStr">
        <is>
          <t>AI</t>
        </is>
      </c>
      <c r="K9" s="160" t="inlineStr">
        <is>
          <t>Pending</t>
        </is>
      </c>
      <c r="L9" s="160" t="inlineStr">
        <is>
          <t>No</t>
        </is>
      </c>
      <c r="M9" s="160" t="inlineStr"/>
      <c r="N9" s="264" t="inlineStr">
        <is>
          <t>Yes</t>
        </is>
      </c>
      <c r="O9" s="264" t="inlineStr"/>
      <c r="P9" s="264" t="inlineStr">
        <is>
          <t>Pass</t>
        </is>
      </c>
      <c r="Q9" s="264" t="inlineStr">
        <is>
          <t>GiangDC2</t>
        </is>
      </c>
      <c r="R9" s="264" t="inlineStr"/>
      <c r="S9" s="264" t="inlineStr"/>
      <c r="T9" s="264" t="n"/>
      <c r="U9" s="264" t="n"/>
      <c r="V9" s="264" t="n"/>
      <c r="W9" s="264" t="n"/>
      <c r="X9" s="264" t="n"/>
      <c r="Y9" s="264" t="n"/>
      <c r="Z9" s="264" t="n"/>
      <c r="AA9" s="264" t="n"/>
      <c r="AB9" s="264" t="n"/>
      <c r="AC9" s="264" t="n"/>
      <c r="AD9" s="264" t="n"/>
      <c r="AE9" s="264" t="n"/>
      <c r="AF9" s="264" t="n"/>
      <c r="AG9" s="264" t="n"/>
      <c r="AH9" s="264" t="n"/>
      <c r="AI9" s="264" t="n"/>
      <c r="AJ9" s="264" t="n"/>
      <c r="AK9" s="264" t="n"/>
      <c r="AL9" s="264" t="n"/>
      <c r="AM9" s="264" t="n"/>
      <c r="AN9" s="264" t="n"/>
      <c r="AO9" s="264" t="n"/>
      <c r="AP9" s="264" t="n"/>
      <c r="AQ9" s="264" t="n"/>
      <c r="AR9" s="158">
        <f>IF($A9="","",IF(OR($N9="Yes",$T9="Yes",$Z9="Yes",$AF9="Yes",$AL9="Yes"),"Yes","No"))</f>
        <v/>
      </c>
      <c r="AS9" s="158">
        <f>IF($A9="","",IFERROR(IF($AM9&lt;&gt;"",$AM9,IF($AG9&lt;&gt;"",$AG9,IF($AA9&lt;&gt;"",$AA9,IF($U9&lt;&gt;"",$U9,IF($O9&lt;&gt;"",$O9,""))))),""))</f>
        <v/>
      </c>
      <c r="AT9" s="158">
        <f>IFERROR(IF($AN9&lt;&gt;"",$AN9,IF($AH9&lt;&gt;"",$AH9,IF($AB9&lt;&gt;"",$AB9,IF($V9&lt;&gt;"",$V9,IF($P9&lt;&gt;"",$P9,""))))),"")</f>
        <v/>
      </c>
      <c r="AU9" s="265" t="inlineStr">
        <is>
          <t>Mục đích: ĐẢO kết luận v1.0 — trước assert "placeholder tĩnh, không có bản đồ" (`C-FEED-01(b)` Open), nay assert "CÓ bản đồ thật, ảnh tĩnh vẽ tuyến". · Căn cứ: `C-FEED-01(b)` + `C-FEED-02(c)` Resolved 2026-09-17. ⛔ Không test zoom/pan — ảnh tĩnh, không phải bản đồ tương tác. · Đã sửa tại chỗ 2026-09-17: đảo hoàn toàn Expected + Pre-condition (cần văn phòng có toạ độ hợp lệ, khác v1.0 không cần điều kiện gì), bỏ 2 bước test zoom/pan của v1.0.</t>
        </is>
      </c>
    </row>
    <row r="10">
      <c r="A10" s="160">
        <f>IF($F10="","",$C$2&amp;"."&amp;COUNTA($F$7:$F10)&amp;"")</f>
        <v/>
      </c>
      <c r="B10" s="160" t="inlineStr">
        <is>
          <t>REQ-FEED-005</t>
        </is>
      </c>
      <c r="C10" s="160" t="inlineStr">
        <is>
          <t>DOC-v1.1-04</t>
        </is>
      </c>
      <c r="D10" s="160" t="inlineStr">
        <is>
          <t>UI</t>
        </is>
      </c>
      <c r="E10" s="160" t="inlineStr">
        <is>
          <t>Low</t>
        </is>
      </c>
      <c r="F10" s="11" t="inlineStr">
        <is>
          <t>Check khung bản đồ hiện placeholder và 0km khi văn phòng thiếu toạ độ</t>
        </is>
      </c>
      <c r="G10" s="11" t="inlineStr">
        <is>
          <t>- Tin NEED có điểm lấy hoặc điểm giao là văn phòng THIẾU lat/lng trong `location_address_catalog.xlsx` (theo danh sách lỗi đã xác nhận ở `C-FEED-05`).
- Host app FoxPro đã cài trên thiết bị Android/iOS.
Test Data: Văn phòng thiếu lat/lng theo `location_address_catalog.xlsx` (test_data_catalog §FEED — BA cấp data khi test)</t>
        </is>
      </c>
      <c r="H10" s="11" t="inlineStr">
        <is>
          <t>1. Đăng nhập bằng tài khoản B, nhấn tab "Bảng tin" và nhấn tin đó để mở màn Chi tiết tin. (setup)
2. Check khung "Bản đồ · ~X km" và tổng thể bố cục màn.</t>
        </is>
      </c>
      <c r="I10" s="11" t="inlineStr">
        <is>
          <t>2. Hiển thị dòng cảnh báo "Chưa xác định được toạ độ trên bản đồ cho địa chỉ này" lồng trong card Lộ trình, ngay dưới địa chỉ Giao hàng (KHÔNG có khung/placeholder bản đồ riêng, KHÔNG hiển thị "0km"); màn không vỡ layout.</t>
        </is>
      </c>
      <c r="J10" s="160" t="inlineStr">
        <is>
          <t>AI</t>
        </is>
      </c>
      <c r="K10" s="160" t="inlineStr">
        <is>
          <t>Pending</t>
        </is>
      </c>
      <c r="L10" s="160" t="inlineStr">
        <is>
          <t>No</t>
        </is>
      </c>
      <c r="M10" s="160" t="inlineStr"/>
      <c r="N10" s="264" t="inlineStr">
        <is>
          <t>Yes</t>
        </is>
      </c>
      <c r="O10" s="264" t="inlineStr"/>
      <c r="P10" s="264" t="inlineStr">
        <is>
          <t>Pass</t>
        </is>
      </c>
      <c r="Q10" s="264" t="inlineStr">
        <is>
          <t>GiangDC2</t>
        </is>
      </c>
      <c r="R10" s="264" t="inlineStr"/>
      <c r="S10" s="264" t="inlineStr"/>
      <c r="T10" s="264" t="n"/>
      <c r="U10" s="264" t="n"/>
      <c r="V10" s="264" t="n"/>
      <c r="W10" s="264" t="n"/>
      <c r="X10" s="264" t="n"/>
      <c r="Y10" s="264" t="n"/>
      <c r="Z10" s="264" t="n"/>
      <c r="AA10" s="264" t="n"/>
      <c r="AB10" s="264" t="n"/>
      <c r="AC10" s="264" t="n"/>
      <c r="AD10" s="264" t="n"/>
      <c r="AE10" s="264" t="n"/>
      <c r="AF10" s="264" t="n"/>
      <c r="AG10" s="264" t="n"/>
      <c r="AH10" s="264" t="n"/>
      <c r="AI10" s="264" t="n"/>
      <c r="AJ10" s="264" t="n"/>
      <c r="AK10" s="264" t="n"/>
      <c r="AL10" s="264" t="n"/>
      <c r="AM10" s="264" t="n"/>
      <c r="AN10" s="264" t="n"/>
      <c r="AO10" s="264" t="n"/>
      <c r="AP10" s="264" t="n"/>
      <c r="AQ10" s="264" t="n"/>
      <c r="AR10" s="158">
        <f>IF($A10="","",IF(OR($N10="Yes",$T10="Yes",$Z10="Yes",$AF10="Yes",$AL10="Yes"),"Yes","No"))</f>
        <v/>
      </c>
      <c r="AS10" s="158">
        <f>IF($A10="","",IFERROR(IF($AM10&lt;&gt;"",$AM10,IF($AG10&lt;&gt;"",$AG10,IF($AA10&lt;&gt;"",$AA10,IF($U10&lt;&gt;"",$U10,IF($O10&lt;&gt;"",$O10,""))))),""))</f>
        <v/>
      </c>
      <c r="AT10" s="158">
        <f>IFERROR(IF($AN10&lt;&gt;"",$AN10,IF($AH10&lt;&gt;"",$AH10,IF($AB10&lt;&gt;"",$AB10,IF($V10&lt;&gt;"",$V10,IF($P10&lt;&gt;"",$P10,""))))),"")</f>
        <v/>
      </c>
      <c r="AU10" s="265" t="inlineStr">
        <is>
          <t>Mục đích: SC mới — nhánh lỗi data khi văn phòng thiếu toạ độ, đối chứng với `TC-FEED-009` (văn phòng đủ toạ độ). · Căn cứ gốc: `C-FEED-02` + `C-FEED-05` Resolved 2026-09-17 (BA: thiếu toạ độ là lỗi data STG, không phải bug app). ⛔ Sửa tại chỗ 2026-09-21 (QC GiangDC2, sau `BUG-029`): Expected gốc "khung placeholder + 0km" KHÔNG khớp hành vi thật trên STG (vibe-test VR-016 — chỉ có dòng cảnh báo text, không khung, không "0km", tái hiện 2 lần độc lập). QC chấp nhận hành vi hiện tại ⇒ sửa Expected theo app, `BUG-029` rút lại (không phải bug — xem `CHANGELOG.md §3`).</t>
        </is>
      </c>
    </row>
    <row r="11">
      <c r="A11" s="160">
        <f>IF($F11="","",$C$2&amp;"."&amp;COUNTA($F$7:$F11)&amp;"")</f>
        <v/>
      </c>
      <c r="B11" s="160" t="inlineStr">
        <is>
          <t>REQ-FEED-009</t>
        </is>
      </c>
      <c r="C11" s="160" t="inlineStr">
        <is>
          <t>DOC-v1.1-01 · DOC-v1.0-06</t>
        </is>
      </c>
      <c r="D11" s="160" t="inlineStr">
        <is>
          <t>UI</t>
        </is>
      </c>
      <c r="E11" s="160" t="inlineStr">
        <is>
          <t>Low</t>
        </is>
      </c>
      <c r="F11" s="11" t="inlineStr">
        <is>
          <t>Check empty state Bảng tin đúng text và chỉ 1 danh sách không tab</t>
        </is>
      </c>
      <c r="G11" s="11" t="inlineStr">
        <is>
          <t>- Tài khoản B là CBNV có hồ sơ đầy đủ trên STG.
Test Data: 0 tin cộng đồng (test_data_catalog §FEED, biên)</t>
        </is>
      </c>
      <c r="H11" s="11" t="inlineStr">
        <is>
          <t>1. Nhờ dev/QA chuẩn bị môi trường không còn tin NEED ở trạng thái "Chờ ghép". (setup)
2. Đăng nhập bằng tài khoản B, nhấn tab "Bảng tin". (setup)
3. Check vùng danh sách, text hiển thị, nút CTA, và cấu trúc màn (có tab con hay không).</t>
        </is>
      </c>
      <c r="I11" s="11" t="inlineStr">
        <is>
          <t>3. Vùng danh sách hiện đúng chuỗi "Chưa có tin nào", có câu gợi ý **mở rộng khu vực hoặc đăng tin**, kèm nút CTA "Đăng tin"; màn Bảng tin chỉ có **1 danh sách duy nhất, không có tab con nào**.</t>
        </is>
      </c>
      <c r="J11" s="160" t="inlineStr">
        <is>
          <t>AI</t>
        </is>
      </c>
      <c r="K11" s="160" t="inlineStr">
        <is>
          <t>Pending</t>
        </is>
      </c>
      <c r="L11" s="160" t="inlineStr">
        <is>
          <t>No</t>
        </is>
      </c>
      <c r="M11" s="160" t="inlineStr"/>
      <c r="N11" s="264" t="inlineStr">
        <is>
          <t>Yes</t>
        </is>
      </c>
      <c r="O11" s="264" t="inlineStr"/>
      <c r="P11" s="264" t="inlineStr">
        <is>
          <t>Block</t>
        </is>
      </c>
      <c r="Q11" s="264" t="inlineStr">
        <is>
          <t>GiangDC2</t>
        </is>
      </c>
      <c r="R11" s="264" t="inlineStr"/>
      <c r="S11" s="264" t="inlineStr"/>
      <c r="T11" s="264" t="n"/>
      <c r="U11" s="264" t="n"/>
      <c r="V11" s="264" t="n"/>
      <c r="W11" s="264" t="n"/>
      <c r="X11" s="264" t="n"/>
      <c r="Y11" s="264" t="n"/>
      <c r="Z11" s="264" t="n"/>
      <c r="AA11" s="264" t="n"/>
      <c r="AB11" s="264" t="n"/>
      <c r="AC11" s="264" t="n"/>
      <c r="AD11" s="264" t="n"/>
      <c r="AE11" s="264" t="n"/>
      <c r="AF11" s="264" t="n"/>
      <c r="AG11" s="264" t="n"/>
      <c r="AH11" s="264" t="n"/>
      <c r="AI11" s="264" t="n"/>
      <c r="AJ11" s="264" t="n"/>
      <c r="AK11" s="264" t="n"/>
      <c r="AL11" s="264" t="n"/>
      <c r="AM11" s="264" t="n"/>
      <c r="AN11" s="264" t="n"/>
      <c r="AO11" s="264" t="n"/>
      <c r="AP11" s="264" t="n"/>
      <c r="AQ11" s="264" t="n"/>
      <c r="AR11" s="158">
        <f>IF($A11="","",IF(OR($N11="Yes",$T11="Yes",$Z11="Yes",$AF11="Yes",$AL11="Yes"),"Yes","No"))</f>
        <v/>
      </c>
      <c r="AS11" s="158">
        <f>IF($A11="","",IFERROR(IF($AM11&lt;&gt;"",$AM11,IF($AG11&lt;&gt;"",$AG11,IF($AA11&lt;&gt;"",$AA11,IF($U11&lt;&gt;"",$U11,IF($O11&lt;&gt;"",$O11,""))))),""))</f>
        <v/>
      </c>
      <c r="AT11" s="158">
        <f>IFERROR(IF($AN11&lt;&gt;"",$AN11,IF($AH11&lt;&gt;"",$AH11,IF($AB11&lt;&gt;"",$AB11,IF($V11&lt;&gt;"",$V11,IF($P11&lt;&gt;"",$P11,""))))),"")</f>
        <v/>
      </c>
      <c r="AU11" s="265" t="inlineStr">
        <is>
          <t>Mục đích: hết `[GAP]` — text empty state đã chốt (`EMP-04`, home ở `ACT`) + xác nhận cấu trúc 1 danh sách (không phải 2 tab như nghi vấn cũ). · Căn cứ: `C-FEED-03` Resolved 2026-09-17 (1 danh sách, không tab/lọc) + `DOC-v1.1-01 §8.17.1 EMP-04` + `C-HOME-04` Resolved vòng 3 2026-09-17 (BA: *"giữ nguyên nhé"* ⇒ `EMP-04` giữ nguyên chữ PRD dù Bảng tin load toàn quốc). ℹ️ PRD không nói "gợi ý mở rộng khu vực" là nút hay chữ ⇒ assert **nội dung chữ**, ghi nhận dạng hiển thị thực tế, không FAIL vì hình thức. · Đã sửa tại chỗ 2026-09-17: thay "chỉ assert phần suy được" bằng assert cứng text + cấu trúc 1 danh sách; bổ sung assert câu gợi ý mở rộng khu vực sau khi `C-HOME-04` đóng.</t>
        </is>
      </c>
    </row>
    <row r="12">
      <c r="A12" s="160">
        <f>IF($F12="","",$C$2&amp;"."&amp;COUNTA($F$7:$F12)&amp;"")</f>
        <v/>
      </c>
      <c r="B12" s="160" t="inlineStr">
        <is>
          <t>REQ-FEED-001</t>
        </is>
      </c>
      <c r="C12" s="160" t="inlineStr">
        <is>
          <t>DOC-v1.0-02</t>
        </is>
      </c>
      <c r="D12" s="160" t="inlineStr">
        <is>
          <t>Functional</t>
        </is>
      </c>
      <c r="E12" s="160" t="inlineStr">
        <is>
          <t>Medium</t>
        </is>
      </c>
      <c r="F12" s="11" t="inlineStr">
        <is>
          <t>Check Bảng tin hiển thị tin NEED của cả cộng đồng và không hiển thị tin OFFER</t>
        </is>
      </c>
      <c r="G12" s="11" t="inlineStr">
        <is>
          <t>Ba tài khoản CBNV trên STG (A chủ tin, B người xem, C người nhận).
- Cộng đồng có ≥2 tin NEED ở trạng thái "Chờ ghép" do tài khoản khác đăng và ≥1 tin OFFER.
Test Data: ≥2 tin NEED `POSTED` + 1 tin OFFER (test_data_catalog §FEED)</t>
        </is>
      </c>
      <c r="H12" s="11" t="inlineStr">
        <is>
          <t>1. Đăng nhập bằng tài khoản A, đăng 2 tin NEED qua wizard "+ Đăng tin" và 1 tin OFFER. (setup)
2. Đăng xuất, đăng nhập bằng tài khoản B.
3. Nhấn tab "Bảng tin".
4. Check danh sách tin hiển thị.</t>
        </is>
      </c>
      <c r="I12" s="11" t="inlineStr">
        <is>
          <t>4. Danh sách hiển thị cả 2 tin NEED do tài khoản A đăng; KHÔNG có tin OFFER nào trong danh sách.</t>
        </is>
      </c>
      <c r="J12" s="160" t="inlineStr">
        <is>
          <t>AI</t>
        </is>
      </c>
      <c r="K12" s="160" t="inlineStr">
        <is>
          <t>Pending</t>
        </is>
      </c>
      <c r="L12" s="160" t="inlineStr">
        <is>
          <t>No</t>
        </is>
      </c>
      <c r="M12" s="160" t="inlineStr"/>
      <c r="N12" s="264" t="inlineStr"/>
      <c r="O12" s="264" t="inlineStr"/>
      <c r="P12" s="264" t="inlineStr"/>
      <c r="Q12" s="264" t="inlineStr"/>
      <c r="R12" s="264" t="inlineStr"/>
      <c r="S12" s="264" t="inlineStr"/>
      <c r="T12" s="264" t="n"/>
      <c r="U12" s="264" t="n"/>
      <c r="V12" s="264" t="n"/>
      <c r="W12" s="264" t="n"/>
      <c r="X12" s="264" t="n"/>
      <c r="Y12" s="264" t="n"/>
      <c r="Z12" s="264" t="n"/>
      <c r="AA12" s="264" t="n"/>
      <c r="AB12" s="264" t="n"/>
      <c r="AC12" s="264" t="n"/>
      <c r="AD12" s="264" t="n"/>
      <c r="AE12" s="264" t="n"/>
      <c r="AF12" s="264" t="n"/>
      <c r="AG12" s="264" t="n"/>
      <c r="AH12" s="264" t="n"/>
      <c r="AI12" s="264" t="n"/>
      <c r="AJ12" s="264" t="n"/>
      <c r="AK12" s="264" t="n"/>
      <c r="AL12" s="264" t="n"/>
      <c r="AM12" s="264" t="n"/>
      <c r="AN12" s="264" t="n"/>
      <c r="AO12" s="264" t="n"/>
      <c r="AP12" s="264" t="n"/>
      <c r="AQ12" s="264" t="n"/>
      <c r="AR12" s="158">
        <f>IF($A12="","",IF(OR($N12="Yes",$T12="Yes",$Z12="Yes",$AF12="Yes",$AL12="Yes"),"Yes","No"))</f>
        <v/>
      </c>
      <c r="AS12" s="158">
        <f>IF($A12="","",IFERROR(IF($AM12&lt;&gt;"",$AM12,IF($AG12&lt;&gt;"",$AG12,IF($AA12&lt;&gt;"",$AA12,IF($U12&lt;&gt;"",$U12,IF($O12&lt;&gt;"",$O12,""))))),""))</f>
        <v/>
      </c>
      <c r="AT12" s="158">
        <f>IFERROR(IF($AN12&lt;&gt;"",$AN12,IF($AH12&lt;&gt;"",$AH12,IF($AB12&lt;&gt;"",$AB12,IF($V12&lt;&gt;"",$V12,IF($P12&lt;&gt;"",$P12,""))))),"")</f>
        <v/>
      </c>
      <c r="AU12" s="265" t="inlineStr">
        <is>
          <t>Căn cứ: `OPR-03` §D7 L339 — tin đã ghép bị ẩn khỏi bảng tin nên chỉ đếm tin ở trạng thái "Chờ ghép".</t>
        </is>
      </c>
    </row>
    <row r="13">
      <c r="A13" s="160">
        <f>IF($F13="","",$C$2&amp;"."&amp;COUNTA($F$7:$F13)&amp;"")</f>
        <v/>
      </c>
      <c r="B13" s="160" t="inlineStr">
        <is>
          <t>REQ-FEED-002</t>
        </is>
      </c>
      <c r="C13" s="160" t="inlineStr">
        <is>
          <t>DOC-v1.0-02</t>
        </is>
      </c>
      <c r="D13" s="160" t="inlineStr">
        <is>
          <t>UI</t>
        </is>
      </c>
      <c r="E13" s="160" t="inlineStr">
        <is>
          <t>Low</t>
        </is>
      </c>
      <c r="F13" s="11" t="inlineStr">
        <is>
          <t>Check card tin do chính tài khoản đăng có badge "Tin của bạn"</t>
        </is>
      </c>
      <c r="G13" s="11" t="inlineStr">
        <is>
          <t>Tài khoản A trên STG.
Test Data: 1 tin NEED của chính tài khoản đang xem (test_data_catalog §FEED)</t>
        </is>
      </c>
      <c r="H13" s="11" t="inlineStr">
        <is>
          <t>1. Đăng nhập bằng tài khoản A và đăng 1 tin NEED qua wizard "+ Đăng tin". (setup)
2. Nhấn tab "Bảng tin".
3. Check card của tin vừa đăng.</t>
        </is>
      </c>
      <c r="I13" s="11" t="inlineStr">
        <is>
          <t>3. Card hiển thị badge "Tin của bạn".</t>
        </is>
      </c>
      <c r="J13" s="160" t="inlineStr">
        <is>
          <t>AI</t>
        </is>
      </c>
      <c r="K13" s="160" t="inlineStr">
        <is>
          <t>Pending</t>
        </is>
      </c>
      <c r="L13" s="160" t="inlineStr">
        <is>
          <t>No</t>
        </is>
      </c>
      <c r="M13" s="160" t="inlineStr"/>
      <c r="N13" s="264" t="inlineStr"/>
      <c r="O13" s="264" t="inlineStr"/>
      <c r="P13" s="264" t="inlineStr"/>
      <c r="Q13" s="264" t="inlineStr"/>
      <c r="R13" s="264" t="inlineStr"/>
      <c r="S13" s="264" t="inlineStr"/>
      <c r="T13" s="264" t="n"/>
      <c r="U13" s="264" t="n"/>
      <c r="V13" s="264" t="n"/>
      <c r="W13" s="264" t="n"/>
      <c r="X13" s="264" t="n"/>
      <c r="Y13" s="264" t="n"/>
      <c r="Z13" s="264" t="n"/>
      <c r="AA13" s="264" t="n"/>
      <c r="AB13" s="264" t="n"/>
      <c r="AC13" s="264" t="n"/>
      <c r="AD13" s="264" t="n"/>
      <c r="AE13" s="264" t="n"/>
      <c r="AF13" s="264" t="n"/>
      <c r="AG13" s="264" t="n"/>
      <c r="AH13" s="264" t="n"/>
      <c r="AI13" s="264" t="n"/>
      <c r="AJ13" s="264" t="n"/>
      <c r="AK13" s="264" t="n"/>
      <c r="AL13" s="264" t="n"/>
      <c r="AM13" s="264" t="n"/>
      <c r="AN13" s="264" t="n"/>
      <c r="AO13" s="264" t="n"/>
      <c r="AP13" s="264" t="n"/>
      <c r="AQ13" s="264" t="n"/>
      <c r="AR13" s="158">
        <f>IF($A13="","",IF(OR($N13="Yes",$T13="Yes",$Z13="Yes",$AF13="Yes",$AL13="Yes"),"Yes","No"))</f>
        <v/>
      </c>
      <c r="AS13" s="158">
        <f>IF($A13="","",IFERROR(IF($AM13&lt;&gt;"",$AM13,IF($AG13&lt;&gt;"",$AG13,IF($AA13&lt;&gt;"",$AA13,IF($U13&lt;&gt;"",$U13,IF($O13&lt;&gt;"",$O13,""))))),""))</f>
        <v/>
      </c>
      <c r="AT13" s="158">
        <f>IFERROR(IF($AN13&lt;&gt;"",$AN13,IF($AH13&lt;&gt;"",$AH13,IF($AB13&lt;&gt;"",$AB13,IF($V13&lt;&gt;"",$V13,IF($P13&lt;&gt;"",$P13,""))))),"")</f>
        <v/>
      </c>
      <c r="AU13" s="265" t="inlineStr">
        <is>
          <t>Mục đích: cặp đối chứng dương với TC-FEED-004.</t>
        </is>
      </c>
    </row>
    <row r="14">
      <c r="A14" s="160">
        <f>IF($F14="","",$C$2&amp;"."&amp;COUNTA($F$7:$F14)&amp;"")</f>
        <v/>
      </c>
      <c r="B14" s="160" t="inlineStr">
        <is>
          <t>REQ-FEED-002</t>
        </is>
      </c>
      <c r="C14" s="160" t="inlineStr">
        <is>
          <t>DOC-v1.0-02</t>
        </is>
      </c>
      <c r="D14" s="160" t="inlineStr">
        <is>
          <t>Functional</t>
        </is>
      </c>
      <c r="E14" s="160" t="inlineStr">
        <is>
          <t>Low</t>
        </is>
      </c>
      <c r="F14" s="11" t="inlineStr">
        <is>
          <t>Check card tin do tài khoản khác đăng không có badge "Tin của bạn"</t>
        </is>
      </c>
      <c r="G14" s="11" t="inlineStr">
        <is>
          <t>Hai tài khoản CBNV trên STG (A và B).
- Cộng đồng có ≥1 tin NEED "Chờ ghép" do tài khoản A đăng.
Test Data: 1 tin NEED của tài khoản khác (test_data_catalog §FEED)</t>
        </is>
      </c>
      <c r="H14" s="11" t="inlineStr">
        <is>
          <t>1. Đăng nhập bằng tài khoản A, đăng 1 tin NEED rồi đăng xuất. (setup)
2. Đăng nhập bằng tài khoản B.
3. Nhấn tab "Bảng tin".
4. Check card tin do tài khoản A đăng.</t>
        </is>
      </c>
      <c r="I14" s="11" t="inlineStr">
        <is>
          <t>4. Card KHÔNG có badge "Tin của bạn".</t>
        </is>
      </c>
      <c r="J14" s="160" t="inlineStr">
        <is>
          <t>AI</t>
        </is>
      </c>
      <c r="K14" s="160" t="inlineStr">
        <is>
          <t>Pending</t>
        </is>
      </c>
      <c r="L14" s="160" t="inlineStr">
        <is>
          <t>No</t>
        </is>
      </c>
      <c r="M14" s="160" t="inlineStr"/>
      <c r="N14" s="264" t="inlineStr"/>
      <c r="O14" s="264" t="inlineStr"/>
      <c r="P14" s="264" t="inlineStr"/>
      <c r="Q14" s="264" t="inlineStr"/>
      <c r="R14" s="264" t="inlineStr"/>
      <c r="S14" s="264" t="inlineStr"/>
      <c r="T14" s="264" t="n"/>
      <c r="U14" s="264" t="n"/>
      <c r="V14" s="264" t="n"/>
      <c r="W14" s="264" t="n"/>
      <c r="X14" s="264" t="n"/>
      <c r="Y14" s="264" t="n"/>
      <c r="Z14" s="264" t="n"/>
      <c r="AA14" s="264" t="n"/>
      <c r="AB14" s="264" t="n"/>
      <c r="AC14" s="264" t="n"/>
      <c r="AD14" s="264" t="n"/>
      <c r="AE14" s="264" t="n"/>
      <c r="AF14" s="264" t="n"/>
      <c r="AG14" s="264" t="n"/>
      <c r="AH14" s="264" t="n"/>
      <c r="AI14" s="264" t="n"/>
      <c r="AJ14" s="264" t="n"/>
      <c r="AK14" s="264" t="n"/>
      <c r="AL14" s="264" t="n"/>
      <c r="AM14" s="264" t="n"/>
      <c r="AN14" s="264" t="n"/>
      <c r="AO14" s="264" t="n"/>
      <c r="AP14" s="264" t="n"/>
      <c r="AQ14" s="264" t="n"/>
      <c r="AR14" s="158">
        <f>IF($A14="","",IF(OR($N14="Yes",$T14="Yes",$Z14="Yes",$AF14="Yes",$AL14="Yes"),"Yes","No"))</f>
        <v/>
      </c>
      <c r="AS14" s="158">
        <f>IF($A14="","",IFERROR(IF($AM14&lt;&gt;"",$AM14,IF($AG14&lt;&gt;"",$AG14,IF($AA14&lt;&gt;"",$AA14,IF($U14&lt;&gt;"",$U14,IF($O14&lt;&gt;"",$O14,""))))),""))</f>
        <v/>
      </c>
      <c r="AT14" s="158">
        <f>IFERROR(IF($AN14&lt;&gt;"",$AN14,IF($AH14&lt;&gt;"",$AH14,IF($AB14&lt;&gt;"",$AB14,IF($V14&lt;&gt;"",$V14,IF($P14&lt;&gt;"",$P14,""))))),"")</f>
        <v/>
      </c>
      <c r="AU14" s="265" t="inlineStr">
        <is>
          <t>Mục đích: cặp đối chứng âm với TC-FEED-003.</t>
        </is>
      </c>
    </row>
    <row r="15">
      <c r="A15" s="160">
        <f>IF($F15="","",$C$2&amp;"."&amp;COUNTA($F$7:$F15)&amp;"")</f>
        <v/>
      </c>
      <c r="B15" s="160" t="inlineStr">
        <is>
          <t>REQ-FEED-003</t>
        </is>
      </c>
      <c r="C15" s="160" t="inlineStr">
        <is>
          <t>DOC-v1.0-02</t>
        </is>
      </c>
      <c r="D15" s="160" t="inlineStr">
        <is>
          <t>Functional</t>
        </is>
      </c>
      <c r="E15" s="160" t="inlineStr">
        <is>
          <t>Medium</t>
        </is>
      </c>
      <c r="F15" s="11" t="inlineStr">
        <is>
          <t>Check nhấn một card ở Bảng tin mở màn Chi tiết tin của đúng tin đó</t>
        </is>
      </c>
      <c r="G15" s="11" t="inlineStr">
        <is>
          <t>Tài khoản B trên STG.
- Cộng đồng có ≥2 tin NEED "Chờ ghép" khác nhau về loại hàng và tuyến đường.
Test Data: ≥2 tin NEED `POSTED` khác nhau (test_data_catalog §FEED, biên "≥2 tin")</t>
        </is>
      </c>
      <c r="H15" s="11" t="inlineStr">
        <is>
          <t>1. Đăng nhập bằng tài khoản B. (setup)
2. Nhấn tab "Bảng tin".
3. Ghi lại loại hàng, tuyến đường và khung giờ của card thứ hai.
4. Nhấn vào card thứ hai.</t>
        </is>
      </c>
      <c r="I15" s="11" t="inlineStr">
        <is>
          <t>4. Mở màn Chi tiết tin có loại hàng, tuyến đường và khung giờ trùng khớp thông tin đã ghi ở bước 3.</t>
        </is>
      </c>
      <c r="J15" s="160" t="inlineStr">
        <is>
          <t>AI</t>
        </is>
      </c>
      <c r="K15" s="160" t="inlineStr">
        <is>
          <t>Pending</t>
        </is>
      </c>
      <c r="L15" s="160" t="inlineStr">
        <is>
          <t>No</t>
        </is>
      </c>
      <c r="M15" s="160" t="inlineStr"/>
      <c r="N15" s="264" t="inlineStr"/>
      <c r="O15" s="264" t="inlineStr"/>
      <c r="P15" s="264" t="inlineStr"/>
      <c r="Q15" s="264" t="inlineStr"/>
      <c r="R15" s="264" t="inlineStr">
        <is>
          <t>FE-312</t>
        </is>
      </c>
      <c r="S15" s="264" t="inlineStr"/>
      <c r="T15" s="264" t="n"/>
      <c r="U15" s="264" t="n"/>
      <c r="V15" s="264" t="n"/>
      <c r="W15" s="264" t="n"/>
      <c r="X15" s="264" t="n"/>
      <c r="Y15" s="264" t="n"/>
      <c r="Z15" s="264" t="n"/>
      <c r="AA15" s="264" t="n"/>
      <c r="AB15" s="264" t="n"/>
      <c r="AC15" s="264" t="n"/>
      <c r="AD15" s="264" t="n"/>
      <c r="AE15" s="264" t="n"/>
      <c r="AF15" s="264" t="n"/>
      <c r="AG15" s="264" t="n"/>
      <c r="AH15" s="264" t="n"/>
      <c r="AI15" s="264" t="n"/>
      <c r="AJ15" s="264" t="n"/>
      <c r="AK15" s="264" t="n"/>
      <c r="AL15" s="264" t="n"/>
      <c r="AM15" s="264" t="n"/>
      <c r="AN15" s="264" t="n"/>
      <c r="AO15" s="264" t="n"/>
      <c r="AP15" s="264" t="n"/>
      <c r="AQ15" s="264" t="n"/>
      <c r="AR15" s="158">
        <f>IF($A15="","",IF(OR($N15="Yes",$T15="Yes",$Z15="Yes",$AF15="Yes",$AL15="Yes"),"Yes","No"))</f>
        <v/>
      </c>
      <c r="AS15" s="158">
        <f>IF($A15="","",IFERROR(IF($AM15&lt;&gt;"",$AM15,IF($AG15&lt;&gt;"",$AG15,IF($AA15&lt;&gt;"",$AA15,IF($U15&lt;&gt;"",$U15,IF($O15&lt;&gt;"",$O15,""))))),""))</f>
        <v/>
      </c>
      <c r="AT15" s="158">
        <f>IFERROR(IF($AN15&lt;&gt;"",$AN15,IF($AH15&lt;&gt;"",$AH15,IF($AB15&lt;&gt;"",$AB15,IF($V15&lt;&gt;"",$V15,IF($P15&lt;&gt;"",$P15,""))))),"")</f>
        <v/>
      </c>
      <c r="AU15" s="265" t="inlineStr"/>
    </row>
    <row r="16">
      <c r="A16" s="160">
        <f>IF($F16="","",$C$2&amp;"."&amp;COUNTA($F$7:$F16)&amp;"")</f>
        <v/>
      </c>
      <c r="B16" s="160" t="inlineStr">
        <is>
          <t>REQ-FEED-004</t>
        </is>
      </c>
      <c r="C16" s="160" t="inlineStr">
        <is>
          <t>DOC-v1.0-02</t>
        </is>
      </c>
      <c r="D16" s="160" t="inlineStr">
        <is>
          <t>UI</t>
        </is>
      </c>
      <c r="E16" s="160" t="inlineStr">
        <is>
          <t>Medium</t>
        </is>
      </c>
      <c r="F16" s="11" t="inlineStr">
        <is>
          <t>Check phần trên màn Chi tiết tin hiển thị ảnh, loại hàng, giá trị và ghi chú</t>
        </is>
      </c>
      <c r="G16" s="11" t="inlineStr">
        <is>
          <t>Tài khoản B trên STG.
- Có 1 tin NEED "Chờ ghép" được đăng kèm ảnh sản phẩm và có ghi chú.
Test Data: 1 tin có ảnh JPG ≤5MB + ghi chú ≤300 ký tự (test_data_catalog §FEED)</t>
        </is>
      </c>
      <c r="H16" s="11" t="inlineStr">
        <is>
          <t>1. Đăng nhập bằng tài khoản A, đăng 1 tin NEED kèm 1 ảnh JPG và nội dung ghi chú, rồi đăng xuất. (setup)
2. Đăng nhập bằng tài khoản B, nhấn tab "Bảng tin" và nhấn tin vừa đăng.
3. Check phần trên màn Chi tiết tin.</t>
        </is>
      </c>
      <c r="I16" s="11" t="inlineStr">
        <is>
          <t>3. Hiển thị ảnh sản phẩm, loại hàng, giá trị hàng đặt thành 2 cột, và nội dung ghi chú đúng chuỗi đã nhập ở bước 1.</t>
        </is>
      </c>
      <c r="J16" s="160" t="inlineStr">
        <is>
          <t>AI</t>
        </is>
      </c>
      <c r="K16" s="160" t="inlineStr">
        <is>
          <t>Pending</t>
        </is>
      </c>
      <c r="L16" s="160" t="inlineStr">
        <is>
          <t>No</t>
        </is>
      </c>
      <c r="M16" s="160" t="inlineStr"/>
      <c r="N16" s="264" t="inlineStr"/>
      <c r="O16" s="264" t="inlineStr"/>
      <c r="P16" s="264" t="inlineStr"/>
      <c r="Q16" s="264" t="inlineStr"/>
      <c r="R16" s="264" t="inlineStr"/>
      <c r="S16" s="264" t="inlineStr"/>
      <c r="T16" s="264" t="n"/>
      <c r="U16" s="264" t="n"/>
      <c r="V16" s="264" t="n"/>
      <c r="W16" s="264" t="n"/>
      <c r="X16" s="264" t="n"/>
      <c r="Y16" s="264" t="n"/>
      <c r="Z16" s="264" t="n"/>
      <c r="AA16" s="264" t="n"/>
      <c r="AB16" s="264" t="n"/>
      <c r="AC16" s="264" t="n"/>
      <c r="AD16" s="264" t="n"/>
      <c r="AE16" s="264" t="n"/>
      <c r="AF16" s="264" t="n"/>
      <c r="AG16" s="264" t="n"/>
      <c r="AH16" s="264" t="n"/>
      <c r="AI16" s="264" t="n"/>
      <c r="AJ16" s="264" t="n"/>
      <c r="AK16" s="264" t="n"/>
      <c r="AL16" s="264" t="n"/>
      <c r="AM16" s="264" t="n"/>
      <c r="AN16" s="264" t="n"/>
      <c r="AO16" s="264" t="n"/>
      <c r="AP16" s="264" t="n"/>
      <c r="AQ16" s="264" t="n"/>
      <c r="AR16" s="158">
        <f>IF($A16="","",IF(OR($N16="Yes",$T16="Yes",$Z16="Yes",$AF16="Yes",$AL16="Yes"),"Yes","No"))</f>
        <v/>
      </c>
      <c r="AS16" s="158">
        <f>IF($A16="","",IFERROR(IF($AM16&lt;&gt;"",$AM16,IF($AG16&lt;&gt;"",$AG16,IF($AA16&lt;&gt;"",$AA16,IF($U16&lt;&gt;"",$U16,IF($O16&lt;&gt;"",$O16,""))))),""))</f>
        <v/>
      </c>
      <c r="AT16" s="158">
        <f>IFERROR(IF($AN16&lt;&gt;"",$AN16,IF($AH16&lt;&gt;"",$AH16,IF($AB16&lt;&gt;"",$AB16,IF($V16&lt;&gt;"",$V16,IF($P16&lt;&gt;"",$P16,""))))),"")</f>
        <v/>
      </c>
      <c r="AU16" s="265" t="inlineStr"/>
    </row>
    <row r="17">
      <c r="A17" s="160">
        <f>IF($F17="","",$C$2&amp;"."&amp;COUNTA($F$7:$F17)&amp;"")</f>
        <v/>
      </c>
      <c r="B17" s="160" t="inlineStr">
        <is>
          <t>REQ-FEED-008</t>
        </is>
      </c>
      <c r="C17" s="160" t="inlineStr">
        <is>
          <t>DOC-v1.0-02</t>
        </is>
      </c>
      <c r="D17" s="160" t="inlineStr">
        <is>
          <t>UI</t>
        </is>
      </c>
      <c r="E17" s="160" t="inlineStr">
        <is>
          <t>Low</t>
        </is>
      </c>
      <c r="F17" s="11" t="inlineStr">
        <is>
          <t>Check tin đăng không kèm ảnh hiển thị ảnh mặc định và layout không vỡ</t>
        </is>
      </c>
      <c r="G17" s="11" t="inlineStr">
        <is>
          <t>Tài khoản B trên STG.
- Có 1 tin NEED "Chờ ghép" được đăng KHÔNG kèm ảnh sản phẩm.
Test Data: 1 tin không có ảnh (test_data_catalog §FEED, biên)</t>
        </is>
      </c>
      <c r="H17" s="11" t="inlineStr">
        <is>
          <t>1. Đăng nhập bằng tài khoản A, đăng 1 tin NEED và bỏ qua bước chọn ảnh, rồi đăng xuất. (setup)
2. Đăng nhập bằng tài khoản B, nhấn tab "Bảng tin" và nhấn tin vừa đăng.
3. Check vùng ảnh và bố cục phần trên màn Chi tiết tin.</t>
        </is>
      </c>
      <c r="I17" s="11" t="inlineStr">
        <is>
          <t>3. Vùng ảnh hiển thị ảnh mặc định; các khối loại hàng, giá trị và ghi chú vẫn đúng vị trí, không bị tràn hay chồng lấn.</t>
        </is>
      </c>
      <c r="J17" s="160" t="inlineStr">
        <is>
          <t>AI</t>
        </is>
      </c>
      <c r="K17" s="160" t="inlineStr">
        <is>
          <t>Pending</t>
        </is>
      </c>
      <c r="L17" s="160" t="inlineStr">
        <is>
          <t>No</t>
        </is>
      </c>
      <c r="M17" s="160" t="inlineStr"/>
      <c r="N17" s="264" t="inlineStr"/>
      <c r="O17" s="264" t="inlineStr"/>
      <c r="P17" s="264" t="inlineStr"/>
      <c r="Q17" s="264" t="inlineStr"/>
      <c r="R17" s="264" t="inlineStr"/>
      <c r="S17" s="264" t="inlineStr"/>
      <c r="T17" s="264" t="n"/>
      <c r="U17" s="264" t="n"/>
      <c r="V17" s="264" t="n"/>
      <c r="W17" s="264" t="n"/>
      <c r="X17" s="264" t="n"/>
      <c r="Y17" s="264" t="n"/>
      <c r="Z17" s="264" t="n"/>
      <c r="AA17" s="264" t="n"/>
      <c r="AB17" s="264" t="n"/>
      <c r="AC17" s="264" t="n"/>
      <c r="AD17" s="264" t="n"/>
      <c r="AE17" s="264" t="n"/>
      <c r="AF17" s="264" t="n"/>
      <c r="AG17" s="264" t="n"/>
      <c r="AH17" s="264" t="n"/>
      <c r="AI17" s="264" t="n"/>
      <c r="AJ17" s="264" t="n"/>
      <c r="AK17" s="264" t="n"/>
      <c r="AL17" s="264" t="n"/>
      <c r="AM17" s="264" t="n"/>
      <c r="AN17" s="264" t="n"/>
      <c r="AO17" s="264" t="n"/>
      <c r="AP17" s="264" t="n"/>
      <c r="AQ17" s="264" t="n"/>
      <c r="AR17" s="158">
        <f>IF($A17="","",IF(OR($N17="Yes",$T17="Yes",$Z17="Yes",$AF17="Yes",$AL17="Yes"),"Yes","No"))</f>
        <v/>
      </c>
      <c r="AS17" s="158">
        <f>IF($A17="","",IFERROR(IF($AM17&lt;&gt;"",$AM17,IF($AG17&lt;&gt;"",$AG17,IF($AA17&lt;&gt;"",$AA17,IF($U17&lt;&gt;"",$U17,IF($O17&lt;&gt;"",$O17,""))))),""))</f>
        <v/>
      </c>
      <c r="AT17" s="158">
        <f>IFERROR(IF($AN17&lt;&gt;"",$AN17,IF($AH17&lt;&gt;"",$AH17,IF($AB17&lt;&gt;"",$AB17,IF($V17&lt;&gt;"",$V17,IF($P17&lt;&gt;"",$P17,""))))),"")</f>
        <v/>
      </c>
      <c r="AU17" s="265" t="inlineStr">
        <is>
          <t>Căn cứ: ⛔ không assert nội dung ảnh mặc định — chưa có đặc tả hình ảnh.</t>
        </is>
      </c>
    </row>
    <row r="18">
      <c r="A18" s="160">
        <f>IF($F18="","",$C$2&amp;"."&amp;COUNTA($F$7:$F18)&amp;"")</f>
        <v/>
      </c>
      <c r="B18" s="160" t="inlineStr">
        <is>
          <t>REQ-FEED-006</t>
        </is>
      </c>
      <c r="C18" s="160" t="inlineStr">
        <is>
          <t>DOC-v1.0-01</t>
        </is>
      </c>
      <c r="D18" s="160" t="inlineStr">
        <is>
          <t>Functional</t>
        </is>
      </c>
      <c r="E18" s="160" t="inlineStr">
        <is>
          <t>High</t>
        </is>
      </c>
      <c r="F18" s="11" t="inlineStr">
        <is>
          <t>Check Chi tiết tin ở trạng thái "Chờ ghép" không hiển thị SĐT người gửi và không có nút "Gọi"</t>
        </is>
      </c>
      <c r="G18" s="11" t="inlineStr">
        <is>
          <t>Ba tài khoản CBNV trên STG (A chủ tin, B người xem).
- Có 1 tin NEED ở trạng thái "Chờ ghép", chưa ai nhận.
Test Data: 1 tin NEED `POSTED`; tài khoản xem không thuộc cặp ghép (test_data_catalog §FEED)</t>
        </is>
      </c>
      <c r="H18" s="11" t="inlineStr">
        <is>
          <t>1. Đăng nhập bằng tài khoản A, đăng 1 tin NEED rồi đăng xuất. (setup)
2. Đăng nhập bằng tài khoản B, nhấn tab "Bảng tin" và nhấn tin của tài khoản A.
3. Check cụm thông tin "Người gửi" ở màn Chi tiết tin.</t>
        </is>
      </c>
      <c r="I18" s="11" t="inlineStr">
        <is>
          <t>3. Cụm "Người gửi" KHÔNG hiển thị số điện thoại và KHÔNG có nút "Gọi".</t>
        </is>
      </c>
      <c r="J18" s="160" t="inlineStr">
        <is>
          <t>AI</t>
        </is>
      </c>
      <c r="K18" s="160" t="inlineStr">
        <is>
          <t>Pending</t>
        </is>
      </c>
      <c r="L18" s="160" t="inlineStr">
        <is>
          <t>No</t>
        </is>
      </c>
      <c r="M18" s="160" t="inlineStr"/>
      <c r="N18" s="264" t="inlineStr"/>
      <c r="O18" s="264" t="inlineStr"/>
      <c r="P18" s="264" t="inlineStr"/>
      <c r="Q18" s="264" t="inlineStr"/>
      <c r="R18" s="264" t="inlineStr"/>
      <c r="S18" s="264" t="inlineStr"/>
      <c r="T18" s="264" t="n"/>
      <c r="U18" s="264" t="n"/>
      <c r="V18" s="264" t="n"/>
      <c r="W18" s="264" t="n"/>
      <c r="X18" s="264" t="n"/>
      <c r="Y18" s="264" t="n"/>
      <c r="Z18" s="264" t="n"/>
      <c r="AA18" s="264" t="n"/>
      <c r="AB18" s="264" t="n"/>
      <c r="AC18" s="264" t="n"/>
      <c r="AD18" s="264" t="n"/>
      <c r="AE18" s="264" t="n"/>
      <c r="AF18" s="264" t="n"/>
      <c r="AG18" s="264" t="n"/>
      <c r="AH18" s="264" t="n"/>
      <c r="AI18" s="264" t="n"/>
      <c r="AJ18" s="264" t="n"/>
      <c r="AK18" s="264" t="n"/>
      <c r="AL18" s="264" t="n"/>
      <c r="AM18" s="264" t="n"/>
      <c r="AN18" s="264" t="n"/>
      <c r="AO18" s="264" t="n"/>
      <c r="AP18" s="264" t="n"/>
      <c r="AQ18" s="264" t="n"/>
      <c r="AR18" s="158">
        <f>IF($A18="","",IF(OR($N18="Yes",$T18="Yes",$Z18="Yes",$AF18="Yes",$AL18="Yes"),"Yes","No"))</f>
        <v/>
      </c>
      <c r="AS18" s="158">
        <f>IF($A18="","",IFERROR(IF($AM18&lt;&gt;"",$AM18,IF($AG18&lt;&gt;"",$AG18,IF($AA18&lt;&gt;"",$AA18,IF($U18&lt;&gt;"",$U18,IF($O18&lt;&gt;"",$O18,""))))),""))</f>
        <v/>
      </c>
      <c r="AT18" s="158">
        <f>IFERROR(IF($AN18&lt;&gt;"",$AN18,IF($AH18&lt;&gt;"",$AH18,IF($AB18&lt;&gt;"",$AB18,IF($V18&lt;&gt;"",$V18,IF($P18&lt;&gt;"",$P18,""))))),"")</f>
        <v/>
      </c>
      <c r="AU18" s="265" t="inlineStr">
        <is>
          <t>Mục đích: assert đúng thời điểm được phép lộ SĐT — đây là ranh giới "Chờ ghép → Đã ghép". · Căn cứ: `BR-CON-02` §A5 L78 + `OPR-07` §D7 L343; `C-ASN-01` Resolved 2026-07-27 xác nhận SĐT **chỉ** lộ sau ghép và hành vi lộ sớm là **bug**. ⚠ Dự kiến FAIL trên app/prototype hiện tại (`KP-05 §5` #6) ⇒ **log bug**, ⛔ không sửa TC theo hành vi app.</t>
        </is>
      </c>
    </row>
    <row r="19">
      <c r="A19" s="160">
        <f>IF($F19="","",$C$2&amp;"."&amp;COUNTA($F$7:$F19)&amp;"")</f>
        <v/>
      </c>
      <c r="B19" s="160" t="inlineStr">
        <is>
          <t>REQ-FEED-007</t>
        </is>
      </c>
      <c r="C19" s="160" t="inlineStr">
        <is>
          <t>DOC-v1.0-01 · DOC-v1.0-02</t>
        </is>
      </c>
      <c r="D19" s="160" t="inlineStr">
        <is>
          <t>Functional</t>
        </is>
      </c>
      <c r="E19" s="160" t="inlineStr">
        <is>
          <t>High</t>
        </is>
      </c>
      <c r="F19" s="11" t="inlineStr">
        <is>
          <t>Check chủ tin mở Chi tiết tin của chính mình thì nút "Tôi mang giúp được" không hiển thị</t>
        </is>
      </c>
      <c r="G19" s="11" t="inlineStr">
        <is>
          <t>Tài khoản A trên STG.
Test Data: 1 tin NEED của chính tài khoản đang xem (test_data_catalog §FEED)</t>
        </is>
      </c>
      <c r="H19" s="11" t="inlineStr">
        <is>
          <t>1. Đăng nhập bằng tài khoản A và đăng 1 tin NEED qua wizard "+ Đăng tin". (setup)
2. Nhấn tab "Bảng tin" và nhấn vào tin vừa đăng.
3. Check toàn màn Chi tiết tin, gồm cả vùng cuối màn, tìm nút "Tôi mang giúp được".</t>
        </is>
      </c>
      <c r="I19" s="11" t="inlineStr">
        <is>
          <t>3. KHÔNG có nút "Tôi mang giúp được" ở bất kỳ vị trí nào trên màn.</t>
        </is>
      </c>
      <c r="J19" s="160" t="inlineStr">
        <is>
          <t>AI</t>
        </is>
      </c>
      <c r="K19" s="160" t="inlineStr">
        <is>
          <t>Pending</t>
        </is>
      </c>
      <c r="L19" s="160" t="inlineStr">
        <is>
          <t>No</t>
        </is>
      </c>
      <c r="M19" s="160" t="inlineStr"/>
      <c r="N19" s="264" t="inlineStr"/>
      <c r="O19" s="264" t="inlineStr"/>
      <c r="P19" s="264" t="inlineStr"/>
      <c r="Q19" s="264" t="inlineStr"/>
      <c r="R19" s="264" t="inlineStr"/>
      <c r="S19" s="264" t="inlineStr"/>
      <c r="T19" s="264" t="n"/>
      <c r="U19" s="264" t="n"/>
      <c r="V19" s="264" t="n"/>
      <c r="W19" s="264" t="n"/>
      <c r="X19" s="264" t="n"/>
      <c r="Y19" s="264" t="n"/>
      <c r="Z19" s="264" t="n"/>
      <c r="AA19" s="264" t="n"/>
      <c r="AB19" s="264" t="n"/>
      <c r="AC19" s="264" t="n"/>
      <c r="AD19" s="264" t="n"/>
      <c r="AE19" s="264" t="n"/>
      <c r="AF19" s="264" t="n"/>
      <c r="AG19" s="264" t="n"/>
      <c r="AH19" s="264" t="n"/>
      <c r="AI19" s="264" t="n"/>
      <c r="AJ19" s="264" t="n"/>
      <c r="AK19" s="264" t="n"/>
      <c r="AL19" s="264" t="n"/>
      <c r="AM19" s="264" t="n"/>
      <c r="AN19" s="264" t="n"/>
      <c r="AO19" s="264" t="n"/>
      <c r="AP19" s="264" t="n"/>
      <c r="AQ19" s="264" t="n"/>
      <c r="AR19" s="158">
        <f>IF($A19="","",IF(OR($N19="Yes",$T19="Yes",$Z19="Yes",$AF19="Yes",$AL19="Yes"),"Yes","No"))</f>
        <v/>
      </c>
      <c r="AS19" s="158">
        <f>IF($A19="","",IFERROR(IF($AM19&lt;&gt;"",$AM19,IF($AG19&lt;&gt;"",$AG19,IF($AA19&lt;&gt;"",$AA19,IF($U19&lt;&gt;"",$U19,IF($O19&lt;&gt;"",$O19,""))))),""))</f>
        <v/>
      </c>
      <c r="AT19" s="158">
        <f>IFERROR(IF($AN19&lt;&gt;"",$AN19,IF($AH19&lt;&gt;"",$AH19,IF($AB19&lt;&gt;"",$AB19,IF($V19&lt;&gt;"",$V19,IF($P19&lt;&gt;"",$P19,""))))),"")</f>
        <v/>
      </c>
      <c r="AU19" s="265" t="inlineStr">
        <is>
          <t>Căn cứ: `OPR-05` §D7 L341; `C-ASN-02` Resolved 2026-07-27 — chủ tin KHÔNG được tự nhận mang giúp, hành vi prototype cho phép là **bug**. ⚠ Dự kiến FAIL (`KP-05 §5` #7) ⇒ **log bug**, ⛔ không sửa TC.</t>
        </is>
      </c>
    </row>
    <row r="20">
      <c r="A20" s="160">
        <f>IF($F20="","",$C$2&amp;"."&amp;COUNTA($F$7:$F20)&amp;"")</f>
        <v/>
      </c>
      <c r="B20" s="160" t="inlineStr">
        <is>
          <t>REQ-FEED-007</t>
        </is>
      </c>
      <c r="C20" s="160" t="inlineStr">
        <is>
          <t>DOC-v1.0-02</t>
        </is>
      </c>
      <c r="D20" s="160" t="inlineStr">
        <is>
          <t>Functional</t>
        </is>
      </c>
      <c r="E20" s="160" t="inlineStr">
        <is>
          <t>Medium</t>
        </is>
      </c>
      <c r="F20" s="11" t="inlineStr">
        <is>
          <t>Check người nhận được khai trong tin mở Chi tiết tin thì nút "Tôi mang giúp được" không hiển thị</t>
        </is>
      </c>
      <c r="G20" s="11" t="inlineStr">
        <is>
          <t>Ba tài khoản CBNV trên STG (A chủ tin, C người nhận).
- Có 1 tin NEED "Chờ ghép" do A đăng, khai C là người nhận.
Test Data: 1 tin NEED khai người nhận là tài khoản đang xem (test_data_catalog §FEED, biên chủ thể thứ ba)</t>
        </is>
      </c>
      <c r="H20" s="11" t="inlineStr">
        <is>
          <t>1. Đăng nhập bằng tài khoản A, đăng 1 tin NEED và khai tài khoản C ở bước Người nhận, rồi đăng xuất. (setup)
2. Đăng nhập bằng tài khoản C, nhấn tab "Bảng tin" và nhấn tin của tài khoản A.
3. Check toàn màn Chi tiết tin tìm nút "Tôi mang giúp được".</t>
        </is>
      </c>
      <c r="I20" s="11" t="inlineStr">
        <is>
          <t>3. KHÔNG có nút "Tôi mang giúp được" ở bất kỳ vị trí nào trên màn.</t>
        </is>
      </c>
      <c r="J20" s="160" t="inlineStr">
        <is>
          <t>AI</t>
        </is>
      </c>
      <c r="K20" s="160" t="inlineStr">
        <is>
          <t>Pending</t>
        </is>
      </c>
      <c r="L20" s="160" t="inlineStr">
        <is>
          <t>No</t>
        </is>
      </c>
      <c r="M20" s="160" t="inlineStr"/>
      <c r="N20" s="264" t="inlineStr"/>
      <c r="O20" s="264" t="inlineStr"/>
      <c r="P20" s="264" t="inlineStr"/>
      <c r="Q20" s="264" t="inlineStr"/>
      <c r="R20" s="264" t="inlineStr"/>
      <c r="S20" s="264" t="inlineStr"/>
      <c r="T20" s="264" t="n"/>
      <c r="U20" s="264" t="n"/>
      <c r="V20" s="264" t="n"/>
      <c r="W20" s="264" t="n"/>
      <c r="X20" s="264" t="n"/>
      <c r="Y20" s="264" t="n"/>
      <c r="Z20" s="264" t="n"/>
      <c r="AA20" s="264" t="n"/>
      <c r="AB20" s="264" t="n"/>
      <c r="AC20" s="264" t="n"/>
      <c r="AD20" s="264" t="n"/>
      <c r="AE20" s="264" t="n"/>
      <c r="AF20" s="264" t="n"/>
      <c r="AG20" s="264" t="n"/>
      <c r="AH20" s="264" t="n"/>
      <c r="AI20" s="264" t="n"/>
      <c r="AJ20" s="264" t="n"/>
      <c r="AK20" s="264" t="n"/>
      <c r="AL20" s="264" t="n"/>
      <c r="AM20" s="264" t="n"/>
      <c r="AN20" s="264" t="n"/>
      <c r="AO20" s="264" t="n"/>
      <c r="AP20" s="264" t="n"/>
      <c r="AQ20" s="264" t="n"/>
      <c r="AR20" s="158">
        <f>IF($A20="","",IF(OR($N20="Yes",$T20="Yes",$Z20="Yes",$AF20="Yes",$AL20="Yes"),"Yes","No"))</f>
        <v/>
      </c>
      <c r="AS20" s="158">
        <f>IF($A20="","",IFERROR(IF($AM20&lt;&gt;"",$AM20,IF($AG20&lt;&gt;"",$AG20,IF($AA20&lt;&gt;"",$AA20,IF($U20&lt;&gt;"",$U20,IF($O20&lt;&gt;"",$O20,""))))),""))</f>
        <v/>
      </c>
      <c r="AT20" s="158">
        <f>IFERROR(IF($AN20&lt;&gt;"",$AN20,IF($AH20&lt;&gt;"",$AH20,IF($AB20&lt;&gt;"",$AB20,IF($V20&lt;&gt;"",$V20,IF($P20&lt;&gt;"",$P20,""))))),"")</f>
        <v/>
      </c>
      <c r="AU20" s="265" t="inlineStr">
        <is>
          <t>Mục đích: ca chủ thể thứ ba — không phải chủ tin nhưng cũng không được nhận đơn. · Căn cứ: `DOC-v1.0-02` §7 dòng 9 (nguồn duy nhất mô tả ca này). ⚠ Dự kiến FAIL ⇒ log bug, dẫn `OPR-05` để BA xác nhận rule áp cho cả vai người nhận.</t>
        </is>
      </c>
    </row>
    <row r="21" ht="15.75" customHeight="1" s="216">
      <c r="A21" s="160">
        <f>IF($F21="","",$C$2&amp;"."&amp;COUNTA($F$7:$F21)&amp;"")</f>
        <v/>
      </c>
      <c r="B21" s="160" t="inlineStr">
        <is>
          <t>REQ-FEED-003</t>
        </is>
      </c>
      <c r="C21" s="160" t="inlineStr">
        <is>
          <t>DOC-v1.0-02</t>
        </is>
      </c>
      <c r="D21" s="160" t="inlineStr">
        <is>
          <t>Functional</t>
        </is>
      </c>
      <c r="E21" s="160" t="inlineStr">
        <is>
          <t>Low</t>
        </is>
      </c>
      <c r="F21" s="11" t="inlineStr">
        <is>
          <t>Check nhấn nút quay lại ở Chi tiết tin trở về Bảng tin và giữ vị trí danh sách</t>
        </is>
      </c>
      <c r="G21" s="11" t="inlineStr">
        <is>
          <t>Tài khoản B trên STG.
- Cộng đồng có đủ tin NEED "Chờ ghép" để danh sách Bảng tin cuộn được.
Test Data: ≥6 tin NEED `POSTED` (test_data_catalog §FEED)</t>
        </is>
      </c>
      <c r="H21" s="11" t="inlineStr">
        <is>
          <t>1. Nhờ dev/QA seed ≥6 tin NEED ở trạng thái "Chờ ghép". (setup)
2. Đăng nhập bằng tài khoản B và nhấn tab "Bảng tin".
3. Cuộn danh sách xuống cuối và ghi lại tin đang hiển thị ở cuối màn.
4. Nhấn vào tin đó để mở màn Chi tiết tin.
5. Nhấn nút quay lại.</t>
        </is>
      </c>
      <c r="I21" s="11" t="inlineStr">
        <is>
          <t>5. Về màn Bảng tin, danh sách vẫn ở vị trí cuộn đã ghi ở bước 3 (tin ghi ở bước 3 vẫn trong vùng hiển thị).</t>
        </is>
      </c>
      <c r="J21" s="160" t="inlineStr">
        <is>
          <t>AI</t>
        </is>
      </c>
      <c r="K21" s="160" t="inlineStr">
        <is>
          <t>Pending</t>
        </is>
      </c>
      <c r="L21" s="160" t="inlineStr">
        <is>
          <t>No</t>
        </is>
      </c>
      <c r="M21" s="160" t="inlineStr"/>
      <c r="N21" s="264" t="inlineStr"/>
      <c r="O21" s="264" t="inlineStr"/>
      <c r="P21" s="264" t="inlineStr"/>
      <c r="Q21" s="264" t="inlineStr"/>
      <c r="R21" s="264" t="inlineStr"/>
      <c r="S21" s="264" t="inlineStr"/>
      <c r="T21" s="264" t="n"/>
      <c r="U21" s="264" t="n"/>
      <c r="V21" s="264" t="n"/>
      <c r="W21" s="264" t="n"/>
      <c r="X21" s="264" t="n"/>
      <c r="Y21" s="264" t="n"/>
      <c r="Z21" s="264" t="n"/>
      <c r="AA21" s="264" t="n"/>
      <c r="AB21" s="264" t="n"/>
      <c r="AC21" s="264" t="n"/>
      <c r="AD21" s="264" t="n"/>
      <c r="AE21" s="264" t="n"/>
      <c r="AF21" s="264" t="n"/>
      <c r="AG21" s="264" t="n"/>
      <c r="AH21" s="264" t="n"/>
      <c r="AI21" s="264" t="n"/>
      <c r="AJ21" s="264" t="n"/>
      <c r="AK21" s="264" t="n"/>
      <c r="AL21" s="264" t="n"/>
      <c r="AM21" s="264" t="n"/>
      <c r="AN21" s="264" t="n"/>
      <c r="AO21" s="264" t="n"/>
      <c r="AP21" s="264" t="n"/>
      <c r="AQ21" s="264" t="n"/>
      <c r="AR21" s="158">
        <f>IF($A21="","",IF(OR($N21="Yes",$T21="Yes",$Z21="Yes",$AF21="Yes",$AL21="Yes"),"Yes","No"))</f>
        <v/>
      </c>
      <c r="AS21" s="158">
        <f>IF($A21="","",IFERROR(IF($AM21&lt;&gt;"",$AM21,IF($AG21&lt;&gt;"",$AG21,IF($AA21&lt;&gt;"",$AA21,IF($U21&lt;&gt;"",$U21,IF($O21&lt;&gt;"",$O21,""))))),""))</f>
        <v/>
      </c>
      <c r="AT21" s="158">
        <f>IFERROR(IF($AN21&lt;&gt;"",$AN21,IF($AH21&lt;&gt;"",$AH21,IF($AB21&lt;&gt;"",$AB21,IF($V21&lt;&gt;"",$V21,IF($P21&lt;&gt;"",$P21,""))))),"")</f>
        <v/>
      </c>
      <c r="AU21" s="265" t="inlineStr"/>
    </row>
    <row r="22" ht="15.75" customHeight="1" s="216">
      <c r="A22" s="160" t="n"/>
      <c r="B22" s="160" t="n"/>
      <c r="C22" s="160" t="n"/>
      <c r="D22" s="160" t="n"/>
      <c r="E22" s="160" t="n"/>
      <c r="F22" s="160" t="n"/>
      <c r="G22" s="160" t="n"/>
      <c r="H22" s="160" t="n"/>
      <c r="I22" s="160" t="n"/>
      <c r="J22" s="160" t="n"/>
      <c r="K22" s="160" t="n"/>
      <c r="L22" s="160" t="n"/>
      <c r="M22" s="160" t="n"/>
      <c r="N22" s="160" t="n"/>
      <c r="O22" s="160" t="n"/>
      <c r="P22" s="160" t="n"/>
      <c r="Q22" s="160" t="n"/>
      <c r="R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61" t="n"/>
      <c r="AS22" s="161" t="n"/>
      <c r="AT22" s="1" t="n"/>
      <c r="AU22" s="1" t="n"/>
    </row>
    <row r="23" ht="15.75" customHeight="1" s="216">
      <c r="A23" s="160" t="n"/>
      <c r="B23" s="160" t="n"/>
      <c r="C23" s="160" t="n"/>
      <c r="D23" s="160" t="n"/>
      <c r="E23" s="160" t="n"/>
      <c r="F23" s="160" t="n"/>
      <c r="G23" s="160" t="n"/>
      <c r="H23" s="160" t="n"/>
      <c r="I23" s="160" t="n"/>
      <c r="J23" s="160" t="n"/>
      <c r="K23" s="160" t="n"/>
      <c r="L23" s="160" t="n"/>
      <c r="M23" s="160" t="n"/>
      <c r="N23" s="160" t="n"/>
      <c r="O23" s="160" t="n"/>
      <c r="P23" s="160" t="n"/>
      <c r="Q23" s="160" t="n"/>
      <c r="R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61" t="n"/>
      <c r="AS23" s="161" t="n"/>
      <c r="AT23" s="1" t="n"/>
      <c r="AU23" s="1" t="n"/>
    </row>
    <row r="24" ht="15.75" customHeight="1" s="216">
      <c r="A24" s="160" t="n"/>
      <c r="B24" s="160" t="n"/>
      <c r="C24" s="160" t="n"/>
      <c r="D24" s="160" t="n"/>
      <c r="E24" s="160" t="n"/>
      <c r="F24" s="160" t="n"/>
      <c r="G24" s="160" t="n"/>
      <c r="H24" s="160" t="n"/>
      <c r="I24" s="160" t="n"/>
      <c r="J24" s="160" t="n"/>
      <c r="K24" s="160" t="n"/>
      <c r="L24" s="160" t="n"/>
      <c r="M24" s="160" t="n"/>
      <c r="N24" s="160" t="n"/>
      <c r="O24" s="160" t="n"/>
      <c r="P24" s="160" t="n"/>
      <c r="Q24" s="160"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61" t="n"/>
      <c r="AS24" s="161" t="n"/>
      <c r="AT24" s="1" t="n"/>
      <c r="AU24" s="1" t="n"/>
    </row>
    <row r="25" ht="15.75" customHeight="1" s="216">
      <c r="A25" s="160" t="n"/>
      <c r="B25" s="160" t="n"/>
      <c r="C25" s="160" t="n"/>
      <c r="D25" s="160" t="n"/>
      <c r="E25" s="160" t="n"/>
      <c r="F25" s="160" t="n"/>
      <c r="G25" s="160" t="n"/>
      <c r="H25" s="160" t="n"/>
      <c r="I25" s="160" t="n"/>
      <c r="J25" s="160" t="n"/>
      <c r="K25" s="160" t="n"/>
      <c r="L25" s="160" t="n"/>
      <c r="M25" s="160" t="n"/>
      <c r="N25" s="160" t="n"/>
      <c r="O25" s="160" t="n"/>
      <c r="P25" s="160" t="n"/>
      <c r="Q25" s="160"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61" t="n"/>
      <c r="AS25" s="161" t="n"/>
      <c r="AT25" s="1" t="n"/>
      <c r="AU25" s="1" t="n"/>
    </row>
    <row r="26" ht="15.75" customHeight="1" s="216">
      <c r="A26" s="160" t="n"/>
      <c r="B26" s="160" t="n"/>
      <c r="C26" s="160" t="n"/>
      <c r="D26" s="160" t="n"/>
      <c r="E26" s="160" t="n"/>
      <c r="F26" s="160" t="n"/>
      <c r="G26" s="160" t="n"/>
      <c r="H26" s="160" t="n"/>
      <c r="I26" s="160" t="n"/>
      <c r="J26" s="160" t="n"/>
      <c r="K26" s="160" t="n"/>
      <c r="L26" s="160" t="n"/>
      <c r="M26" s="160" t="n"/>
      <c r="N26" s="160" t="n"/>
      <c r="O26" s="160" t="n"/>
      <c r="P26" s="160" t="n"/>
      <c r="Q26" s="160"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61" t="n"/>
      <c r="AS26" s="161" t="n"/>
      <c r="AT26" s="1" t="n"/>
      <c r="AU26" s="1" t="n"/>
    </row>
    <row r="27" ht="15.75" customHeight="1" s="216">
      <c r="A27" s="160" t="n"/>
      <c r="B27" s="160" t="n"/>
      <c r="C27" s="160" t="n"/>
      <c r="D27" s="160" t="n"/>
      <c r="E27" s="160" t="n"/>
      <c r="F27" s="160" t="n"/>
      <c r="G27" s="160" t="n"/>
      <c r="H27" s="160" t="n"/>
      <c r="I27" s="160" t="n"/>
      <c r="J27" s="160" t="n"/>
      <c r="K27" s="160" t="n"/>
      <c r="L27" s="160" t="n"/>
      <c r="M27" s="160" t="n"/>
      <c r="N27" s="160" t="n"/>
      <c r="O27" s="160" t="n"/>
      <c r="P27" s="160" t="n"/>
      <c r="Q27" s="160"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61" t="n"/>
      <c r="AS27" s="161" t="n"/>
      <c r="AT27" s="1" t="n"/>
      <c r="AU27" s="1" t="n"/>
    </row>
    <row r="28" ht="15.75" customHeight="1" s="216">
      <c r="A28" s="160" t="n"/>
      <c r="B28" s="160" t="n"/>
      <c r="C28" s="160" t="n"/>
      <c r="D28" s="160" t="n"/>
      <c r="E28" s="160" t="n"/>
      <c r="F28" s="160" t="n"/>
      <c r="G28" s="160" t="n"/>
      <c r="H28" s="160" t="n"/>
      <c r="I28" s="160" t="n"/>
      <c r="J28" s="160" t="n"/>
      <c r="K28" s="160" t="n"/>
      <c r="L28" s="160" t="n"/>
      <c r="M28" s="160" t="n"/>
      <c r="N28" s="160" t="n"/>
      <c r="O28" s="160" t="n"/>
      <c r="P28" s="160" t="n"/>
      <c r="Q28" s="160"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61" t="n"/>
      <c r="AS28" s="161" t="n"/>
      <c r="AT28" s="1" t="n"/>
      <c r="AU28" s="1" t="n"/>
    </row>
    <row r="29" ht="15.75" customHeight="1" s="216">
      <c r="A29" s="160" t="n"/>
      <c r="B29" s="160" t="n"/>
      <c r="C29" s="160" t="n"/>
      <c r="D29" s="160" t="n"/>
      <c r="E29" s="160" t="n"/>
      <c r="F29" s="160" t="n"/>
      <c r="G29" s="160" t="n"/>
      <c r="H29" s="160" t="n"/>
      <c r="I29" s="160" t="n"/>
      <c r="J29" s="160" t="n"/>
      <c r="K29" s="160" t="n"/>
      <c r="L29" s="160" t="n"/>
      <c r="M29" s="160" t="n"/>
      <c r="N29" s="160" t="n"/>
      <c r="O29" s="160" t="n"/>
      <c r="P29" s="160" t="n"/>
      <c r="Q29" s="160"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61" t="n"/>
      <c r="AS29" s="161" t="n"/>
      <c r="AT29" s="1" t="n"/>
      <c r="AU29" s="1" t="n"/>
    </row>
    <row r="30" ht="15.75" customHeight="1" s="216">
      <c r="A30" s="160" t="n"/>
      <c r="B30" s="160" t="n"/>
      <c r="C30" s="160" t="n"/>
      <c r="D30" s="160" t="n"/>
      <c r="E30" s="160" t="n"/>
      <c r="F30" s="160" t="n"/>
      <c r="G30" s="160" t="n"/>
      <c r="H30" s="160" t="n"/>
      <c r="I30" s="160" t="n"/>
      <c r="J30" s="160" t="n"/>
      <c r="K30" s="160" t="n"/>
      <c r="L30" s="160" t="n"/>
      <c r="M30" s="160" t="n"/>
      <c r="N30" s="160" t="n"/>
      <c r="O30" s="160" t="n"/>
      <c r="P30" s="160" t="n"/>
      <c r="Q30" s="160"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61" t="n"/>
      <c r="AS30" s="161" t="n"/>
      <c r="AT30" s="1" t="n"/>
      <c r="AU30" s="1" t="n"/>
    </row>
    <row r="31" ht="15.75" customHeight="1" s="216">
      <c r="A31" s="160" t="n"/>
      <c r="B31" s="160" t="n"/>
      <c r="C31" s="160" t="n"/>
      <c r="D31" s="160" t="n"/>
      <c r="E31" s="160" t="n"/>
      <c r="F31" s="160" t="n"/>
      <c r="G31" s="160" t="n"/>
      <c r="H31" s="160" t="n"/>
      <c r="I31" s="160" t="n"/>
      <c r="J31" s="160" t="n"/>
      <c r="K31" s="160" t="n"/>
      <c r="L31" s="160" t="n"/>
      <c r="M31" s="160" t="n"/>
      <c r="N31" s="160" t="n"/>
      <c r="O31" s="160" t="n"/>
      <c r="P31" s="160" t="n"/>
      <c r="Q31" s="160"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61" t="n"/>
      <c r="AS31" s="161" t="n"/>
      <c r="AT31" s="1" t="n"/>
      <c r="AU31" s="1" t="n"/>
    </row>
    <row r="32" ht="15.75" customHeight="1" s="216">
      <c r="A32" s="160" t="n"/>
      <c r="B32" s="160" t="n"/>
      <c r="C32" s="160" t="n"/>
      <c r="D32" s="160" t="n"/>
      <c r="E32" s="160" t="n"/>
      <c r="F32" s="160" t="n"/>
      <c r="G32" s="160" t="n"/>
      <c r="H32" s="160" t="n"/>
      <c r="I32" s="160" t="n"/>
      <c r="J32" s="160" t="n"/>
      <c r="K32" s="160" t="n"/>
      <c r="L32" s="160" t="n"/>
      <c r="M32" s="160" t="n"/>
      <c r="N32" s="160" t="n"/>
      <c r="O32" s="160" t="n"/>
      <c r="P32" s="160" t="n"/>
      <c r="Q32" s="160"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61" t="n"/>
      <c r="AS32" s="161" t="n"/>
      <c r="AT32" s="1" t="n"/>
      <c r="AU32" s="1" t="n"/>
    </row>
    <row r="33" ht="15.75" customHeight="1" s="216">
      <c r="A33" s="160" t="n"/>
      <c r="B33" s="160" t="n"/>
      <c r="C33" s="160" t="n"/>
      <c r="D33" s="160" t="n"/>
      <c r="E33" s="160" t="n"/>
      <c r="F33" s="160" t="n"/>
      <c r="G33" s="160" t="n"/>
      <c r="H33" s="160" t="n"/>
      <c r="I33" s="160" t="n"/>
      <c r="J33" s="160" t="n"/>
      <c r="K33" s="160" t="n"/>
      <c r="L33" s="160" t="n"/>
      <c r="M33" s="160" t="n"/>
      <c r="N33" s="160" t="n"/>
      <c r="O33" s="160" t="n"/>
      <c r="P33" s="160" t="n"/>
      <c r="Q33" s="160"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61" t="n"/>
      <c r="AS33" s="161" t="n"/>
      <c r="AT33" s="1" t="n"/>
      <c r="AU33" s="1" t="n"/>
    </row>
    <row r="34" ht="15.75" customHeight="1" s="216">
      <c r="A34" s="160" t="n"/>
      <c r="B34" s="160" t="n"/>
      <c r="C34" s="160" t="n"/>
      <c r="D34" s="160" t="n"/>
      <c r="E34" s="160" t="n"/>
      <c r="F34" s="160" t="n"/>
      <c r="G34" s="160" t="n"/>
      <c r="H34" s="160" t="n"/>
      <c r="I34" s="160" t="n"/>
      <c r="J34" s="160" t="n"/>
      <c r="K34" s="160" t="n"/>
      <c r="L34" s="160" t="n"/>
      <c r="M34" s="160" t="n"/>
      <c r="N34" s="160" t="n"/>
      <c r="O34" s="160" t="n"/>
      <c r="P34" s="160" t="n"/>
      <c r="Q34" s="160"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61" t="n"/>
      <c r="AS34" s="161" t="n"/>
      <c r="AT34" s="1" t="n"/>
      <c r="AU34" s="1" t="n"/>
    </row>
    <row r="35" ht="15.75" customHeight="1" s="216">
      <c r="A35" s="160" t="n"/>
      <c r="B35" s="160" t="n"/>
      <c r="C35" s="160" t="n"/>
      <c r="D35" s="160" t="n"/>
      <c r="E35" s="160" t="n"/>
      <c r="F35" s="160" t="n"/>
      <c r="G35" s="160" t="n"/>
      <c r="H35" s="160" t="n"/>
      <c r="I35" s="160" t="n"/>
      <c r="J35" s="160" t="n"/>
      <c r="K35" s="160" t="n"/>
      <c r="L35" s="160" t="n"/>
      <c r="M35" s="160" t="n"/>
      <c r="N35" s="160" t="n"/>
      <c r="O35" s="160" t="n"/>
      <c r="P35" s="160" t="n"/>
      <c r="Q35" s="160"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61" t="n"/>
      <c r="AS35" s="161" t="n"/>
      <c r="AT35" s="1" t="n"/>
      <c r="AU35" s="1" t="n"/>
    </row>
    <row r="36" ht="15.75" customHeight="1" s="216">
      <c r="A36" s="160" t="n"/>
      <c r="B36" s="160" t="n"/>
      <c r="C36" s="160" t="n"/>
      <c r="D36" s="160" t="n"/>
      <c r="E36" s="160" t="n"/>
      <c r="F36" s="160" t="n"/>
      <c r="G36" s="160" t="n"/>
      <c r="H36" s="160" t="n"/>
      <c r="I36" s="160" t="n"/>
      <c r="J36" s="160" t="n"/>
      <c r="K36" s="160" t="n"/>
      <c r="L36" s="160" t="n"/>
      <c r="M36" s="160" t="n"/>
      <c r="N36" s="160" t="n"/>
      <c r="O36" s="160" t="n"/>
      <c r="P36" s="160" t="n"/>
      <c r="Q36" s="160"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61" t="n"/>
      <c r="AS36" s="161" t="n"/>
      <c r="AT36" s="1" t="n"/>
      <c r="AU36" s="1" t="n"/>
    </row>
    <row r="37" ht="15.75" customHeight="1" s="216">
      <c r="A37" s="160" t="n"/>
      <c r="B37" s="160" t="n"/>
      <c r="C37" s="160" t="n"/>
      <c r="D37" s="160" t="n"/>
      <c r="E37" s="160" t="n"/>
      <c r="F37" s="160" t="n"/>
      <c r="G37" s="160" t="n"/>
      <c r="H37" s="160" t="n"/>
      <c r="I37" s="160" t="n"/>
      <c r="J37" s="160" t="n"/>
      <c r="K37" s="160" t="n"/>
      <c r="L37" s="160" t="n"/>
      <c r="M37" s="160" t="n"/>
      <c r="N37" s="160" t="n"/>
      <c r="O37" s="160" t="n"/>
      <c r="P37" s="160" t="n"/>
      <c r="Q37" s="160"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61" t="n"/>
      <c r="AS37" s="161" t="n"/>
      <c r="AT37" s="1" t="n"/>
      <c r="AU37" s="1" t="n"/>
    </row>
    <row r="38" ht="15.75" customHeight="1" s="216">
      <c r="A38" s="160" t="n"/>
      <c r="B38" s="160" t="n"/>
      <c r="C38" s="160" t="n"/>
      <c r="D38" s="160" t="n"/>
      <c r="E38" s="160" t="n"/>
      <c r="F38" s="160" t="n"/>
      <c r="G38" s="160" t="n"/>
      <c r="H38" s="160" t="n"/>
      <c r="I38" s="160" t="n"/>
      <c r="J38" s="160" t="n"/>
      <c r="K38" s="160" t="n"/>
      <c r="L38" s="160" t="n"/>
      <c r="M38" s="160" t="n"/>
      <c r="N38" s="160" t="n"/>
      <c r="O38" s="160" t="n"/>
      <c r="P38" s="160" t="n"/>
      <c r="Q38" s="160"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61" t="n"/>
      <c r="AS38" s="161" t="n"/>
      <c r="AT38" s="1" t="n"/>
      <c r="AU38" s="1" t="n"/>
    </row>
    <row r="39" ht="15.75" customHeight="1" s="216">
      <c r="A39" s="160" t="n"/>
      <c r="B39" s="160" t="n"/>
      <c r="C39" s="160" t="n"/>
      <c r="D39" s="160" t="n"/>
      <c r="E39" s="160" t="n"/>
      <c r="F39" s="160" t="n"/>
      <c r="G39" s="160" t="n"/>
      <c r="H39" s="160" t="n"/>
      <c r="I39" s="160" t="n"/>
      <c r="J39" s="160" t="n"/>
      <c r="K39" s="160" t="n"/>
      <c r="L39" s="160" t="n"/>
      <c r="M39" s="160" t="n"/>
      <c r="N39" s="160" t="n"/>
      <c r="O39" s="160" t="n"/>
      <c r="P39" s="160" t="n"/>
      <c r="Q39" s="160"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61" t="n"/>
      <c r="AS39" s="161" t="n"/>
      <c r="AT39" s="1" t="n"/>
      <c r="AU39" s="1" t="n"/>
    </row>
    <row r="40" ht="15.75" customHeight="1" s="216">
      <c r="A40" s="160" t="n"/>
      <c r="B40" s="160" t="n"/>
      <c r="C40" s="160" t="n"/>
      <c r="D40" s="160" t="n"/>
      <c r="E40" s="160" t="n"/>
      <c r="F40" s="160" t="n"/>
      <c r="G40" s="160" t="n"/>
      <c r="H40" s="160" t="n"/>
      <c r="I40" s="160" t="n"/>
      <c r="J40" s="160" t="n"/>
      <c r="K40" s="160" t="n"/>
      <c r="L40" s="160" t="n"/>
      <c r="M40" s="160" t="n"/>
      <c r="N40" s="160" t="n"/>
      <c r="O40" s="160" t="n"/>
      <c r="P40" s="160" t="n"/>
      <c r="Q40" s="160"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61" t="n"/>
      <c r="AS40" s="161" t="n"/>
      <c r="AT40" s="1" t="n"/>
      <c r="AU40" s="1" t="n"/>
    </row>
    <row r="41" ht="15.75" customHeight="1" s="216">
      <c r="A41" s="160" t="n"/>
      <c r="B41" s="160" t="n"/>
      <c r="C41" s="160" t="n"/>
      <c r="D41" s="160" t="n"/>
      <c r="E41" s="160" t="n"/>
      <c r="F41" s="160" t="n"/>
      <c r="G41" s="160" t="n"/>
      <c r="H41" s="160" t="n"/>
      <c r="I41" s="160" t="n"/>
      <c r="J41" s="160" t="n"/>
      <c r="K41" s="160" t="n"/>
      <c r="L41" s="160" t="n"/>
      <c r="M41" s="160" t="n"/>
      <c r="N41" s="160" t="n"/>
      <c r="O41" s="160" t="n"/>
      <c r="P41" s="160" t="n"/>
      <c r="Q41" s="160"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61" t="n"/>
      <c r="AS41" s="161" t="n"/>
      <c r="AT41" s="1" t="n"/>
      <c r="AU41" s="1" t="n"/>
    </row>
    <row r="42" ht="15.75" customHeight="1" s="216">
      <c r="A42" s="160" t="n"/>
      <c r="B42" s="160" t="n"/>
      <c r="C42" s="160" t="n"/>
      <c r="D42" s="160" t="n"/>
      <c r="E42" s="160" t="n"/>
      <c r="F42" s="160" t="n"/>
      <c r="G42" s="160" t="n"/>
      <c r="H42" s="160" t="n"/>
      <c r="I42" s="160" t="n"/>
      <c r="J42" s="160" t="n"/>
      <c r="K42" s="160" t="n"/>
      <c r="L42" s="160" t="n"/>
      <c r="M42" s="160" t="n"/>
      <c r="N42" s="160" t="n"/>
      <c r="O42" s="160" t="n"/>
      <c r="P42" s="160" t="n"/>
      <c r="Q42" s="160"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61" t="n"/>
      <c r="AS42" s="161" t="n"/>
      <c r="AT42" s="1" t="n"/>
      <c r="AU42" s="1" t="n"/>
    </row>
    <row r="43" ht="15.75" customHeight="1" s="216">
      <c r="A43" s="160" t="n"/>
      <c r="B43" s="160" t="n"/>
      <c r="C43" s="160" t="n"/>
      <c r="D43" s="160" t="n"/>
      <c r="E43" s="160" t="n"/>
      <c r="F43" s="160" t="n"/>
      <c r="G43" s="160" t="n"/>
      <c r="H43" s="160" t="n"/>
      <c r="I43" s="160" t="n"/>
      <c r="J43" s="160" t="n"/>
      <c r="K43" s="160" t="n"/>
      <c r="L43" s="160" t="n"/>
      <c r="M43" s="160" t="n"/>
      <c r="N43" s="160" t="n"/>
      <c r="O43" s="160" t="n"/>
      <c r="P43" s="160" t="n"/>
      <c r="Q43" s="160"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61" t="n"/>
      <c r="AS43" s="161" t="n"/>
      <c r="AT43" s="1" t="n"/>
      <c r="AU43" s="1" t="n"/>
    </row>
    <row r="44" ht="15.75" customHeight="1" s="216">
      <c r="A44" s="160" t="n"/>
      <c r="B44" s="160" t="n"/>
      <c r="C44" s="160" t="n"/>
      <c r="D44" s="160" t="n"/>
      <c r="E44" s="160" t="n"/>
      <c r="F44" s="160" t="n"/>
      <c r="G44" s="160" t="n"/>
      <c r="H44" s="160" t="n"/>
      <c r="I44" s="160" t="n"/>
      <c r="J44" s="160" t="n"/>
      <c r="K44" s="160" t="n"/>
      <c r="L44" s="160" t="n"/>
      <c r="M44" s="160" t="n"/>
      <c r="N44" s="160" t="n"/>
      <c r="O44" s="160" t="n"/>
      <c r="P44" s="160" t="n"/>
      <c r="Q44" s="160"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61" t="n"/>
      <c r="AS44" s="161" t="n"/>
      <c r="AT44" s="1" t="n"/>
      <c r="AU44" s="1" t="n"/>
    </row>
    <row r="45" ht="15.75" customHeight="1" s="216">
      <c r="A45" s="160" t="n"/>
      <c r="B45" s="160" t="n"/>
      <c r="C45" s="160" t="n"/>
      <c r="D45" s="160" t="n"/>
      <c r="E45" s="160" t="n"/>
      <c r="F45" s="160" t="n"/>
      <c r="G45" s="160" t="n"/>
      <c r="H45" s="160" t="n"/>
      <c r="I45" s="160" t="n"/>
      <c r="J45" s="160" t="n"/>
      <c r="K45" s="160" t="n"/>
      <c r="L45" s="160" t="n"/>
      <c r="M45" s="160" t="n"/>
      <c r="N45" s="160" t="n"/>
      <c r="O45" s="160" t="n"/>
      <c r="P45" s="160" t="n"/>
      <c r="Q45" s="160"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61" t="n"/>
      <c r="AS45" s="161" t="n"/>
      <c r="AT45" s="1" t="n"/>
      <c r="AU45" s="1" t="n"/>
    </row>
    <row r="46" ht="15.75" customHeight="1" s="216">
      <c r="A46" s="160" t="n"/>
      <c r="B46" s="160" t="n"/>
      <c r="C46" s="160" t="n"/>
      <c r="D46" s="160" t="n"/>
      <c r="E46" s="160" t="n"/>
      <c r="F46" s="160" t="n"/>
      <c r="G46" s="160" t="n"/>
      <c r="H46" s="160" t="n"/>
      <c r="I46" s="160" t="n"/>
      <c r="J46" s="160" t="n"/>
      <c r="K46" s="160" t="n"/>
      <c r="L46" s="160" t="n"/>
      <c r="M46" s="160" t="n"/>
      <c r="N46" s="160" t="n"/>
      <c r="O46" s="160" t="n"/>
      <c r="P46" s="160" t="n"/>
      <c r="Q46" s="160"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61" t="n"/>
      <c r="AS46" s="161" t="n"/>
      <c r="AT46" s="1" t="n"/>
      <c r="AU46" s="1" t="n"/>
    </row>
    <row r="47" ht="15.75" customHeight="1" s="216">
      <c r="A47" s="160" t="n"/>
      <c r="B47" s="160" t="n"/>
      <c r="C47" s="160" t="n"/>
      <c r="D47" s="160" t="n"/>
      <c r="E47" s="160" t="n"/>
      <c r="F47" s="160" t="n"/>
      <c r="G47" s="160" t="n"/>
      <c r="H47" s="160" t="n"/>
      <c r="I47" s="160" t="n"/>
      <c r="J47" s="160" t="n"/>
      <c r="K47" s="160" t="n"/>
      <c r="L47" s="160" t="n"/>
      <c r="M47" s="160" t="n"/>
      <c r="N47" s="160" t="n"/>
      <c r="O47" s="160" t="n"/>
      <c r="P47" s="160" t="n"/>
      <c r="Q47" s="160"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61" t="n"/>
      <c r="AS47" s="161" t="n"/>
      <c r="AT47" s="1" t="n"/>
      <c r="AU47" s="1" t="n"/>
    </row>
    <row r="48" ht="15.75" customHeight="1" s="216">
      <c r="A48" s="160" t="n"/>
      <c r="B48" s="160" t="n"/>
      <c r="C48" s="160" t="n"/>
      <c r="D48" s="160" t="n"/>
      <c r="E48" s="160" t="n"/>
      <c r="F48" s="160" t="n"/>
      <c r="G48" s="160" t="n"/>
      <c r="H48" s="160" t="n"/>
      <c r="I48" s="160" t="n"/>
      <c r="J48" s="160" t="n"/>
      <c r="K48" s="160" t="n"/>
      <c r="L48" s="160" t="n"/>
      <c r="M48" s="160" t="n"/>
      <c r="N48" s="160" t="n"/>
      <c r="O48" s="160" t="n"/>
      <c r="P48" s="160" t="n"/>
      <c r="Q48" s="160"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61" t="n"/>
      <c r="AS48" s="161" t="n"/>
      <c r="AT48" s="1" t="n"/>
      <c r="AU48" s="1" t="n"/>
    </row>
    <row r="49" ht="15.75" customHeight="1" s="216">
      <c r="A49" s="160" t="n"/>
      <c r="B49" s="160" t="n"/>
      <c r="C49" s="160" t="n"/>
      <c r="D49" s="160" t="n"/>
      <c r="E49" s="160" t="n"/>
      <c r="F49" s="160" t="n"/>
      <c r="G49" s="160" t="n"/>
      <c r="H49" s="160" t="n"/>
      <c r="I49" s="160" t="n"/>
      <c r="J49" s="160" t="n"/>
      <c r="K49" s="160" t="n"/>
      <c r="L49" s="160" t="n"/>
      <c r="M49" s="160" t="n"/>
      <c r="N49" s="160" t="n"/>
      <c r="O49" s="160" t="n"/>
      <c r="P49" s="160" t="n"/>
      <c r="Q49" s="160"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61" t="n"/>
      <c r="AS49" s="161" t="n"/>
      <c r="AT49" s="1" t="n"/>
      <c r="AU49" s="1" t="n"/>
    </row>
    <row r="50" ht="15.75" customHeight="1" s="216">
      <c r="A50" s="160" t="n"/>
      <c r="B50" s="160" t="n"/>
      <c r="C50" s="160" t="n"/>
      <c r="D50" s="160" t="n"/>
      <c r="E50" s="160" t="n"/>
      <c r="F50" s="160" t="n"/>
      <c r="G50" s="160" t="n"/>
      <c r="H50" s="160" t="n"/>
      <c r="I50" s="160" t="n"/>
      <c r="J50" s="160" t="n"/>
      <c r="K50" s="160" t="n"/>
      <c r="L50" s="160" t="n"/>
      <c r="M50" s="160" t="n"/>
      <c r="N50" s="160" t="n"/>
      <c r="O50" s="160" t="n"/>
      <c r="P50" s="160" t="n"/>
      <c r="Q50" s="160"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61" t="n"/>
      <c r="AS50" s="161" t="n"/>
      <c r="AT50" s="1" t="n"/>
      <c r="AU50" s="1" t="n"/>
    </row>
    <row r="51" ht="15.75" customHeight="1" s="216">
      <c r="A51" s="160" t="n"/>
      <c r="B51" s="160" t="n"/>
      <c r="C51" s="160" t="n"/>
      <c r="D51" s="160" t="n"/>
      <c r="E51" s="160" t="n"/>
      <c r="F51" s="160" t="n"/>
      <c r="G51" s="160" t="n"/>
      <c r="H51" s="160" t="n"/>
      <c r="I51" s="160" t="n"/>
      <c r="J51" s="160" t="n"/>
      <c r="K51" s="160" t="n"/>
      <c r="L51" s="160" t="n"/>
      <c r="M51" s="160" t="n"/>
      <c r="N51" s="160" t="n"/>
      <c r="O51" s="160" t="n"/>
      <c r="P51" s="160" t="n"/>
      <c r="Q51" s="160"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61" t="n"/>
      <c r="AS51" s="161" t="n"/>
      <c r="AT51" s="1" t="n"/>
      <c r="AU51" s="1" t="n"/>
    </row>
    <row r="52" ht="15.75" customHeight="1" s="216">
      <c r="A52" s="160" t="n"/>
      <c r="B52" s="160" t="n"/>
      <c r="C52" s="160" t="n"/>
      <c r="D52" s="160" t="n"/>
      <c r="E52" s="160" t="n"/>
      <c r="F52" s="160" t="n"/>
      <c r="G52" s="160" t="n"/>
      <c r="H52" s="160" t="n"/>
      <c r="I52" s="160" t="n"/>
      <c r="J52" s="160" t="n"/>
      <c r="K52" s="160" t="n"/>
      <c r="L52" s="160" t="n"/>
      <c r="M52" s="160" t="n"/>
      <c r="N52" s="160" t="n"/>
      <c r="O52" s="160" t="n"/>
      <c r="P52" s="160" t="n"/>
      <c r="Q52" s="160"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61" t="n"/>
      <c r="AS52" s="161" t="n"/>
      <c r="AT52" s="1" t="n"/>
      <c r="AU52" s="1" t="n"/>
    </row>
    <row r="53" ht="15.75" customHeight="1" s="216">
      <c r="A53" s="160" t="n"/>
      <c r="B53" s="160" t="n"/>
      <c r="C53" s="160" t="n"/>
      <c r="D53" s="160" t="n"/>
      <c r="E53" s="160" t="n"/>
      <c r="F53" s="160" t="n"/>
      <c r="G53" s="160" t="n"/>
      <c r="H53" s="160" t="n"/>
      <c r="I53" s="160" t="n"/>
      <c r="J53" s="160" t="n"/>
      <c r="K53" s="160" t="n"/>
      <c r="L53" s="160" t="n"/>
      <c r="M53" s="160" t="n"/>
      <c r="N53" s="160" t="n"/>
      <c r="O53" s="160" t="n"/>
      <c r="P53" s="160" t="n"/>
      <c r="Q53" s="160"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61" t="n"/>
      <c r="AS53" s="161" t="n"/>
      <c r="AT53" s="1" t="n"/>
      <c r="AU53" s="1" t="n"/>
    </row>
    <row r="54" ht="15.75" customHeight="1" s="216">
      <c r="A54" s="160" t="n"/>
      <c r="B54" s="160" t="n"/>
      <c r="C54" s="160" t="n"/>
      <c r="D54" s="160" t="n"/>
      <c r="E54" s="160" t="n"/>
      <c r="F54" s="160" t="n"/>
      <c r="G54" s="160" t="n"/>
      <c r="H54" s="160" t="n"/>
      <c r="I54" s="160" t="n"/>
      <c r="J54" s="160" t="n"/>
      <c r="K54" s="160" t="n"/>
      <c r="L54" s="160" t="n"/>
      <c r="M54" s="160" t="n"/>
      <c r="N54" s="160" t="n"/>
      <c r="O54" s="160" t="n"/>
      <c r="P54" s="160" t="n"/>
      <c r="Q54" s="160"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61" t="n"/>
      <c r="AS54" s="161" t="n"/>
      <c r="AT54" s="1" t="n"/>
      <c r="AU54" s="1" t="n"/>
    </row>
    <row r="55" ht="15.75" customHeight="1" s="216">
      <c r="A55" s="160" t="n"/>
      <c r="B55" s="160" t="n"/>
      <c r="C55" s="160" t="n"/>
      <c r="D55" s="160" t="n"/>
      <c r="E55" s="160" t="n"/>
      <c r="F55" s="160" t="n"/>
      <c r="G55" s="160" t="n"/>
      <c r="H55" s="160" t="n"/>
      <c r="I55" s="160" t="n"/>
      <c r="J55" s="160" t="n"/>
      <c r="K55" s="160" t="n"/>
      <c r="L55" s="160" t="n"/>
      <c r="M55" s="160" t="n"/>
      <c r="N55" s="160" t="n"/>
      <c r="O55" s="160" t="n"/>
      <c r="P55" s="160" t="n"/>
      <c r="Q55" s="160"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61" t="n"/>
      <c r="AS55" s="161" t="n"/>
      <c r="AT55" s="1" t="n"/>
      <c r="AU55" s="1" t="n"/>
    </row>
    <row r="56" ht="15.75" customHeight="1" s="216">
      <c r="A56" s="160" t="n"/>
      <c r="B56" s="160" t="n"/>
      <c r="C56" s="160" t="n"/>
      <c r="D56" s="160" t="n"/>
      <c r="E56" s="160" t="n"/>
      <c r="F56" s="160" t="n"/>
      <c r="G56" s="160" t="n"/>
      <c r="H56" s="160" t="n"/>
      <c r="I56" s="160" t="n"/>
      <c r="J56" s="160" t="n"/>
      <c r="K56" s="160" t="n"/>
      <c r="L56" s="160" t="n"/>
      <c r="M56" s="160" t="n"/>
      <c r="N56" s="160" t="n"/>
      <c r="O56" s="160" t="n"/>
      <c r="P56" s="160" t="n"/>
      <c r="Q56" s="160"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61" t="n"/>
      <c r="AS56" s="161" t="n"/>
      <c r="AT56" s="1" t="n"/>
      <c r="AU56" s="1" t="n"/>
    </row>
    <row r="57" ht="15.75" customHeight="1" s="216">
      <c r="A57" s="160" t="n"/>
      <c r="B57" s="160" t="n"/>
      <c r="C57" s="160" t="n"/>
      <c r="D57" s="160" t="n"/>
      <c r="E57" s="160" t="n"/>
      <c r="F57" s="160" t="n"/>
      <c r="G57" s="160" t="n"/>
      <c r="H57" s="160" t="n"/>
      <c r="I57" s="160" t="n"/>
      <c r="J57" s="160" t="n"/>
      <c r="K57" s="160" t="n"/>
      <c r="L57" s="160" t="n"/>
      <c r="M57" s="160" t="n"/>
      <c r="N57" s="160" t="n"/>
      <c r="O57" s="160" t="n"/>
      <c r="P57" s="160" t="n"/>
      <c r="Q57" s="160"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61" t="n"/>
      <c r="AS57" s="161" t="n"/>
      <c r="AT57" s="1" t="n"/>
      <c r="AU57" s="1" t="n"/>
    </row>
    <row r="58" ht="15.75" customHeight="1" s="216">
      <c r="A58" s="160" t="n"/>
      <c r="B58" s="160" t="n"/>
      <c r="C58" s="160" t="n"/>
      <c r="D58" s="160" t="n"/>
      <c r="E58" s="160" t="n"/>
      <c r="F58" s="160" t="n"/>
      <c r="G58" s="160" t="n"/>
      <c r="H58" s="160" t="n"/>
      <c r="I58" s="160" t="n"/>
      <c r="J58" s="160" t="n"/>
      <c r="K58" s="160" t="n"/>
      <c r="L58" s="160" t="n"/>
      <c r="M58" s="160" t="n"/>
      <c r="N58" s="160" t="n"/>
      <c r="O58" s="160" t="n"/>
      <c r="P58" s="160" t="n"/>
      <c r="Q58" s="160"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61" t="n"/>
      <c r="AS58" s="161" t="n"/>
      <c r="AT58" s="1" t="n"/>
      <c r="AU58" s="1" t="n"/>
    </row>
    <row r="59" ht="15.75" customHeight="1" s="216">
      <c r="A59" s="160" t="n"/>
      <c r="B59" s="160" t="n"/>
      <c r="C59" s="160" t="n"/>
      <c r="D59" s="160" t="n"/>
      <c r="E59" s="160" t="n"/>
      <c r="F59" s="160" t="n"/>
      <c r="G59" s="160" t="n"/>
      <c r="H59" s="160" t="n"/>
      <c r="I59" s="160" t="n"/>
      <c r="J59" s="160" t="n"/>
      <c r="K59" s="160" t="n"/>
      <c r="L59" s="160" t="n"/>
      <c r="M59" s="160" t="n"/>
      <c r="N59" s="160" t="n"/>
      <c r="O59" s="160" t="n"/>
      <c r="P59" s="160" t="n"/>
      <c r="Q59" s="160"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61" t="n"/>
      <c r="AS59" s="161" t="n"/>
      <c r="AT59" s="1" t="n"/>
      <c r="AU59" s="1" t="n"/>
    </row>
    <row r="60" ht="15.75" customHeight="1" s="216">
      <c r="A60" s="160" t="n"/>
      <c r="B60" s="160" t="n"/>
      <c r="C60" s="160" t="n"/>
      <c r="D60" s="160" t="n"/>
      <c r="E60" s="160" t="n"/>
      <c r="F60" s="160" t="n"/>
      <c r="G60" s="160" t="n"/>
      <c r="H60" s="160" t="n"/>
      <c r="I60" s="160" t="n"/>
      <c r="J60" s="160" t="n"/>
      <c r="K60" s="160" t="n"/>
      <c r="L60" s="160" t="n"/>
      <c r="M60" s="160" t="n"/>
      <c r="N60" s="160" t="n"/>
      <c r="O60" s="160" t="n"/>
      <c r="P60" s="160" t="n"/>
      <c r="Q60" s="160"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61" t="n"/>
      <c r="AS60" s="161" t="n"/>
      <c r="AT60" s="1" t="n"/>
      <c r="AU60" s="1" t="n"/>
    </row>
    <row r="61" ht="15.75" customHeight="1" s="216">
      <c r="A61" s="1" t="n"/>
      <c r="B61" s="1" t="n"/>
      <c r="C61" s="1" t="n"/>
      <c r="D61" s="1" t="n"/>
      <c r="E61" s="181" t="n"/>
      <c r="F61" s="181" t="n"/>
      <c r="G61" s="1" t="n"/>
      <c r="H61" s="1" t="n"/>
      <c r="I61" s="1" t="n"/>
      <c r="J61" s="1" t="n"/>
      <c r="K61" s="181" t="n"/>
      <c r="L61" s="181" t="n"/>
      <c r="M61" s="181" t="n"/>
      <c r="N61" s="1" t="n"/>
      <c r="O61" s="181" t="n"/>
      <c r="P61" s="181" t="n"/>
      <c r="Q61" s="18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row>
    <row r="62" ht="15.75" customHeight="1" s="216">
      <c r="A62" s="1" t="n"/>
      <c r="B62" s="1" t="n"/>
      <c r="C62" s="1" t="n"/>
      <c r="D62" s="1" t="n"/>
      <c r="E62" s="181" t="n"/>
      <c r="F62" s="181" t="n"/>
      <c r="G62" s="1" t="n"/>
      <c r="H62" s="1" t="n"/>
      <c r="I62" s="1" t="n"/>
      <c r="J62" s="1" t="n"/>
      <c r="K62" s="181" t="n"/>
      <c r="L62" s="181" t="n"/>
      <c r="M62" s="181" t="n"/>
      <c r="N62" s="1" t="n"/>
      <c r="O62" s="181" t="n"/>
      <c r="P62" s="181" t="n"/>
      <c r="Q62" s="18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row>
    <row r="63" ht="15.75" customHeight="1" s="216">
      <c r="A63" s="1" t="n"/>
      <c r="B63" s="1" t="n"/>
      <c r="C63" s="1" t="n"/>
      <c r="D63" s="1" t="n"/>
      <c r="E63" s="181" t="n"/>
      <c r="F63" s="181" t="n"/>
      <c r="G63" s="1" t="n"/>
      <c r="H63" s="1" t="n"/>
      <c r="I63" s="1" t="n"/>
      <c r="J63" s="1" t="n"/>
      <c r="K63" s="181" t="n"/>
      <c r="L63" s="181" t="n"/>
      <c r="M63" s="181" t="n"/>
      <c r="N63" s="1" t="n"/>
      <c r="O63" s="181" t="n"/>
      <c r="P63" s="181" t="n"/>
      <c r="Q63" s="18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row>
    <row r="64" ht="15.75" customHeight="1" s="216">
      <c r="A64" s="1" t="n"/>
      <c r="B64" s="1" t="n"/>
      <c r="C64" s="1" t="n"/>
      <c r="D64" s="1" t="n"/>
      <c r="E64" s="181" t="n"/>
      <c r="F64" s="181" t="n"/>
      <c r="G64" s="1" t="n"/>
      <c r="H64" s="1" t="n"/>
      <c r="I64" s="1" t="n"/>
      <c r="J64" s="1" t="n"/>
      <c r="K64" s="181" t="n"/>
      <c r="L64" s="181" t="n"/>
      <c r="M64" s="181" t="n"/>
      <c r="N64" s="1" t="n"/>
      <c r="O64" s="181" t="n"/>
      <c r="P64" s="181" t="n"/>
      <c r="Q64" s="18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row>
    <row r="65" ht="15.75" customHeight="1" s="216">
      <c r="A65" s="1" t="n"/>
      <c r="B65" s="1" t="n"/>
      <c r="C65" s="1" t="n"/>
      <c r="D65" s="1" t="n"/>
      <c r="E65" s="181" t="n"/>
      <c r="F65" s="181" t="n"/>
      <c r="G65" s="1" t="n"/>
      <c r="H65" s="1" t="n"/>
      <c r="I65" s="1" t="n"/>
      <c r="J65" s="1" t="n"/>
      <c r="K65" s="181" t="n"/>
      <c r="L65" s="181" t="n"/>
      <c r="M65" s="181" t="n"/>
      <c r="N65" s="1" t="n"/>
      <c r="O65" s="181" t="n"/>
      <c r="P65" s="181" t="n"/>
      <c r="Q65" s="18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row>
    <row r="66" ht="15.75" customHeight="1" s="216">
      <c r="A66" s="1" t="n"/>
      <c r="B66" s="1" t="n"/>
      <c r="C66" s="1" t="n"/>
      <c r="D66" s="1" t="n"/>
      <c r="E66" s="181" t="n"/>
      <c r="F66" s="181" t="n"/>
      <c r="G66" s="1" t="n"/>
      <c r="H66" s="1" t="n"/>
      <c r="I66" s="1" t="n"/>
      <c r="J66" s="1" t="n"/>
      <c r="K66" s="181" t="n"/>
      <c r="L66" s="181" t="n"/>
      <c r="M66" s="181" t="n"/>
      <c r="N66" s="1" t="n"/>
      <c r="O66" s="181" t="n"/>
      <c r="P66" s="181" t="n"/>
      <c r="Q66" s="18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row>
    <row r="67" ht="15.75" customHeight="1" s="216">
      <c r="A67" s="1" t="n"/>
      <c r="B67" s="1" t="n"/>
      <c r="C67" s="1" t="n"/>
      <c r="D67" s="1" t="n"/>
      <c r="E67" s="181" t="n"/>
      <c r="F67" s="181" t="n"/>
      <c r="G67" s="1" t="n"/>
      <c r="H67" s="1" t="n"/>
      <c r="I67" s="1" t="n"/>
      <c r="J67" s="1" t="n"/>
      <c r="K67" s="181" t="n"/>
      <c r="L67" s="181" t="n"/>
      <c r="M67" s="181" t="n"/>
      <c r="N67" s="1" t="n"/>
      <c r="O67" s="181" t="n"/>
      <c r="P67" s="181" t="n"/>
      <c r="Q67" s="18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row>
    <row r="68" ht="15.75" customHeight="1" s="216">
      <c r="A68" s="1" t="n"/>
      <c r="B68" s="1" t="n"/>
      <c r="C68" s="1" t="n"/>
      <c r="D68" s="1" t="n"/>
      <c r="E68" s="181" t="n"/>
      <c r="F68" s="181" t="n"/>
      <c r="G68" s="1" t="n"/>
      <c r="H68" s="1" t="n"/>
      <c r="I68" s="1" t="n"/>
      <c r="J68" s="1" t="n"/>
      <c r="K68" s="181" t="n"/>
      <c r="L68" s="181" t="n"/>
      <c r="M68" s="181" t="n"/>
      <c r="N68" s="1" t="n"/>
      <c r="O68" s="181" t="n"/>
      <c r="P68" s="181" t="n"/>
      <c r="Q68" s="18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row>
    <row r="69" ht="15.75" customHeight="1" s="216">
      <c r="A69" s="1" t="n"/>
      <c r="B69" s="1" t="n"/>
      <c r="C69" s="1" t="n"/>
      <c r="D69" s="1" t="n"/>
      <c r="E69" s="181" t="n"/>
      <c r="F69" s="181" t="n"/>
      <c r="G69" s="1" t="n"/>
      <c r="H69" s="1" t="n"/>
      <c r="I69" s="1" t="n"/>
      <c r="J69" s="1" t="n"/>
      <c r="K69" s="181" t="n"/>
      <c r="L69" s="181" t="n"/>
      <c r="M69" s="181" t="n"/>
      <c r="N69" s="1" t="n"/>
      <c r="O69" s="181" t="n"/>
      <c r="P69" s="181" t="n"/>
      <c r="Q69" s="18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row>
    <row r="70" ht="15.75" customHeight="1" s="216">
      <c r="A70" s="1" t="n"/>
      <c r="B70" s="1" t="n"/>
      <c r="C70" s="1" t="n"/>
      <c r="D70" s="1" t="n"/>
      <c r="E70" s="181" t="n"/>
      <c r="F70" s="181" t="n"/>
      <c r="G70" s="1" t="n"/>
      <c r="H70" s="1" t="n"/>
      <c r="I70" s="1" t="n"/>
      <c r="J70" s="1" t="n"/>
      <c r="K70" s="181" t="n"/>
      <c r="L70" s="181" t="n"/>
      <c r="M70" s="181" t="n"/>
      <c r="N70" s="1" t="n"/>
      <c r="O70" s="181" t="n"/>
      <c r="P70" s="181" t="n"/>
      <c r="Q70" s="18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row>
    <row r="71" ht="15.75" customHeight="1" s="216">
      <c r="A71" s="1" t="n"/>
      <c r="B71" s="1" t="n"/>
      <c r="C71" s="1" t="n"/>
      <c r="D71" s="1" t="n"/>
      <c r="E71" s="181" t="n"/>
      <c r="F71" s="181" t="n"/>
      <c r="G71" s="1" t="n"/>
      <c r="H71" s="1" t="n"/>
      <c r="I71" s="1" t="n"/>
      <c r="J71" s="1" t="n"/>
      <c r="K71" s="181" t="n"/>
      <c r="L71" s="181" t="n"/>
      <c r="M71" s="181" t="n"/>
      <c r="N71" s="1" t="n"/>
      <c r="O71" s="181" t="n"/>
      <c r="P71" s="181" t="n"/>
      <c r="Q71" s="18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row>
    <row r="72" ht="15.75" customHeight="1" s="216">
      <c r="A72" s="1" t="n"/>
      <c r="B72" s="1" t="n"/>
      <c r="C72" s="1" t="n"/>
      <c r="D72" s="1" t="n"/>
      <c r="E72" s="181" t="n"/>
      <c r="F72" s="181" t="n"/>
      <c r="G72" s="1" t="n"/>
      <c r="H72" s="1" t="n"/>
      <c r="I72" s="1" t="n"/>
      <c r="J72" s="1" t="n"/>
      <c r="K72" s="181" t="n"/>
      <c r="L72" s="181" t="n"/>
      <c r="M72" s="181" t="n"/>
      <c r="N72" s="1" t="n"/>
      <c r="O72" s="181" t="n"/>
      <c r="P72" s="181" t="n"/>
      <c r="Q72" s="18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row>
    <row r="73" ht="15.75" customHeight="1" s="216">
      <c r="A73" s="1" t="n"/>
      <c r="B73" s="1" t="n"/>
      <c r="C73" s="1" t="n"/>
      <c r="D73" s="1" t="n"/>
      <c r="E73" s="181" t="n"/>
      <c r="F73" s="181" t="n"/>
      <c r="G73" s="1" t="n"/>
      <c r="H73" s="1" t="n"/>
      <c r="I73" s="1" t="n"/>
      <c r="J73" s="1" t="n"/>
      <c r="K73" s="181" t="n"/>
      <c r="L73" s="181" t="n"/>
      <c r="M73" s="181" t="n"/>
      <c r="N73" s="1" t="n"/>
      <c r="O73" s="181" t="n"/>
      <c r="P73" s="181" t="n"/>
      <c r="Q73" s="18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row>
    <row r="74" ht="15.75" customHeight="1" s="216">
      <c r="A74" s="1" t="n"/>
      <c r="B74" s="1" t="n"/>
      <c r="C74" s="1" t="n"/>
      <c r="D74" s="1" t="n"/>
      <c r="E74" s="181" t="n"/>
      <c r="F74" s="181" t="n"/>
      <c r="G74" s="1" t="n"/>
      <c r="H74" s="1" t="n"/>
      <c r="I74" s="1" t="n"/>
      <c r="J74" s="1" t="n"/>
      <c r="K74" s="181" t="n"/>
      <c r="L74" s="181" t="n"/>
      <c r="M74" s="181" t="n"/>
      <c r="N74" s="1" t="n"/>
      <c r="O74" s="181" t="n"/>
      <c r="P74" s="181" t="n"/>
      <c r="Q74" s="18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row>
    <row r="75" ht="15.75" customHeight="1" s="216">
      <c r="A75" s="1" t="n"/>
      <c r="B75" s="1" t="n"/>
      <c r="C75" s="1" t="n"/>
      <c r="D75" s="1" t="n"/>
      <c r="E75" s="181" t="n"/>
      <c r="F75" s="181" t="n"/>
      <c r="G75" s="1" t="n"/>
      <c r="H75" s="1" t="n"/>
      <c r="I75" s="1" t="n"/>
      <c r="J75" s="1" t="n"/>
      <c r="K75" s="181" t="n"/>
      <c r="L75" s="181" t="n"/>
      <c r="M75" s="181" t="n"/>
      <c r="N75" s="1" t="n"/>
      <c r="O75" s="181" t="n"/>
      <c r="P75" s="181" t="n"/>
      <c r="Q75" s="18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row>
    <row r="76" ht="15.75" customHeight="1" s="216">
      <c r="A76" s="1" t="n"/>
      <c r="B76" s="1" t="n"/>
      <c r="C76" s="1" t="n"/>
      <c r="D76" s="1" t="n"/>
      <c r="E76" s="181" t="n"/>
      <c r="F76" s="181" t="n"/>
      <c r="G76" s="1" t="n"/>
      <c r="H76" s="1" t="n"/>
      <c r="I76" s="1" t="n"/>
      <c r="J76" s="1" t="n"/>
      <c r="K76" s="181" t="n"/>
      <c r="L76" s="181" t="n"/>
      <c r="M76" s="181" t="n"/>
      <c r="N76" s="1" t="n"/>
      <c r="O76" s="181" t="n"/>
      <c r="P76" s="181" t="n"/>
      <c r="Q76" s="18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row>
    <row r="77" ht="15.75" customHeight="1" s="216">
      <c r="A77" s="1" t="n"/>
      <c r="B77" s="1" t="n"/>
      <c r="C77" s="1" t="n"/>
      <c r="D77" s="1" t="n"/>
      <c r="E77" s="181" t="n"/>
      <c r="F77" s="181" t="n"/>
      <c r="G77" s="1" t="n"/>
      <c r="H77" s="1" t="n"/>
      <c r="I77" s="1" t="n"/>
      <c r="J77" s="1" t="n"/>
      <c r="K77" s="181" t="n"/>
      <c r="L77" s="181" t="n"/>
      <c r="M77" s="181" t="n"/>
      <c r="N77" s="1" t="n"/>
      <c r="O77" s="181" t="n"/>
      <c r="P77" s="181" t="n"/>
      <c r="Q77" s="18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row>
    <row r="78" ht="15.75" customHeight="1" s="216">
      <c r="A78" s="1" t="n"/>
      <c r="B78" s="1" t="n"/>
      <c r="C78" s="1" t="n"/>
      <c r="D78" s="1" t="n"/>
      <c r="E78" s="181" t="n"/>
      <c r="F78" s="181" t="n"/>
      <c r="G78" s="1" t="n"/>
      <c r="H78" s="1" t="n"/>
      <c r="I78" s="1" t="n"/>
      <c r="J78" s="1" t="n"/>
      <c r="K78" s="181" t="n"/>
      <c r="L78" s="181" t="n"/>
      <c r="M78" s="181" t="n"/>
      <c r="N78" s="1" t="n"/>
      <c r="O78" s="181" t="n"/>
      <c r="P78" s="181" t="n"/>
      <c r="Q78" s="18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row>
    <row r="79" ht="15.75" customHeight="1" s="216">
      <c r="A79" s="1" t="n"/>
      <c r="B79" s="1" t="n"/>
      <c r="C79" s="1" t="n"/>
      <c r="D79" s="1" t="n"/>
      <c r="E79" s="181" t="n"/>
      <c r="F79" s="181" t="n"/>
      <c r="G79" s="1" t="n"/>
      <c r="H79" s="1" t="n"/>
      <c r="I79" s="1" t="n"/>
      <c r="J79" s="1" t="n"/>
      <c r="K79" s="181" t="n"/>
      <c r="L79" s="181" t="n"/>
      <c r="M79" s="181" t="n"/>
      <c r="N79" s="1" t="n"/>
      <c r="O79" s="181" t="n"/>
      <c r="P79" s="181" t="n"/>
      <c r="Q79" s="18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row>
    <row r="80" ht="15.75" customHeight="1" s="216">
      <c r="A80" s="1" t="n"/>
      <c r="B80" s="1" t="n"/>
      <c r="C80" s="1" t="n"/>
      <c r="D80" s="1" t="n"/>
      <c r="E80" s="181" t="n"/>
      <c r="F80" s="181" t="n"/>
      <c r="G80" s="1" t="n"/>
      <c r="H80" s="1" t="n"/>
      <c r="I80" s="1" t="n"/>
      <c r="J80" s="1" t="n"/>
      <c r="K80" s="181" t="n"/>
      <c r="L80" s="181" t="n"/>
      <c r="M80" s="181" t="n"/>
      <c r="N80" s="1" t="n"/>
      <c r="O80" s="181" t="n"/>
      <c r="P80" s="181" t="n"/>
      <c r="Q80" s="18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row>
    <row r="81" ht="15.75" customHeight="1" s="216">
      <c r="A81" s="1" t="n"/>
      <c r="B81" s="1" t="n"/>
      <c r="C81" s="1" t="n"/>
      <c r="D81" s="1" t="n"/>
      <c r="E81" s="181" t="n"/>
      <c r="F81" s="181" t="n"/>
      <c r="G81" s="1" t="n"/>
      <c r="H81" s="1" t="n"/>
      <c r="I81" s="1" t="n"/>
      <c r="J81" s="1" t="n"/>
      <c r="K81" s="181" t="n"/>
      <c r="L81" s="181" t="n"/>
      <c r="M81" s="181" t="n"/>
      <c r="N81" s="1" t="n"/>
      <c r="O81" s="181" t="n"/>
      <c r="P81" s="181" t="n"/>
      <c r="Q81" s="18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row>
    <row r="82" ht="15.75" customHeight="1" s="216">
      <c r="A82" s="1" t="n"/>
      <c r="B82" s="1" t="n"/>
      <c r="C82" s="1" t="n"/>
      <c r="D82" s="1" t="n"/>
      <c r="E82" s="181" t="n"/>
      <c r="F82" s="181" t="n"/>
      <c r="G82" s="1" t="n"/>
      <c r="H82" s="1" t="n"/>
      <c r="I82" s="1" t="n"/>
      <c r="J82" s="1" t="n"/>
      <c r="K82" s="181" t="n"/>
      <c r="L82" s="181" t="n"/>
      <c r="M82" s="181" t="n"/>
      <c r="N82" s="1" t="n"/>
      <c r="O82" s="181" t="n"/>
      <c r="P82" s="181" t="n"/>
      <c r="Q82" s="18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row>
    <row r="83" ht="15.75" customHeight="1" s="216">
      <c r="A83" s="1" t="n"/>
      <c r="B83" s="1" t="n"/>
      <c r="C83" s="1" t="n"/>
      <c r="D83" s="1" t="n"/>
      <c r="E83" s="181" t="n"/>
      <c r="F83" s="181" t="n"/>
      <c r="G83" s="1" t="n"/>
      <c r="H83" s="1" t="n"/>
      <c r="I83" s="1" t="n"/>
      <c r="J83" s="1" t="n"/>
      <c r="K83" s="181" t="n"/>
      <c r="L83" s="181" t="n"/>
      <c r="M83" s="181" t="n"/>
      <c r="N83" s="1" t="n"/>
      <c r="O83" s="181" t="n"/>
      <c r="P83" s="181" t="n"/>
      <c r="Q83" s="18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row>
    <row r="84" ht="15.75" customHeight="1" s="216">
      <c r="A84" s="1" t="n"/>
      <c r="B84" s="1" t="n"/>
      <c r="C84" s="1" t="n"/>
      <c r="D84" s="1" t="n"/>
      <c r="E84" s="181" t="n"/>
      <c r="F84" s="181" t="n"/>
      <c r="G84" s="1" t="n"/>
      <c r="H84" s="1" t="n"/>
      <c r="I84" s="1" t="n"/>
      <c r="J84" s="1" t="n"/>
      <c r="K84" s="181" t="n"/>
      <c r="L84" s="181" t="n"/>
      <c r="M84" s="181" t="n"/>
      <c r="N84" s="1" t="n"/>
      <c r="O84" s="181" t="n"/>
      <c r="P84" s="181" t="n"/>
      <c r="Q84" s="18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row>
    <row r="85" ht="15.75" customHeight="1" s="216">
      <c r="A85" s="1" t="n"/>
      <c r="B85" s="1" t="n"/>
      <c r="C85" s="1" t="n"/>
      <c r="D85" s="1" t="n"/>
      <c r="E85" s="181" t="n"/>
      <c r="F85" s="181" t="n"/>
      <c r="G85" s="1" t="n"/>
      <c r="H85" s="1" t="n"/>
      <c r="I85" s="1" t="n"/>
      <c r="J85" s="1" t="n"/>
      <c r="K85" s="181" t="n"/>
      <c r="L85" s="181" t="n"/>
      <c r="M85" s="181" t="n"/>
      <c r="N85" s="1" t="n"/>
      <c r="O85" s="181" t="n"/>
      <c r="P85" s="181" t="n"/>
      <c r="Q85" s="18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row>
    <row r="86" ht="15.75" customHeight="1" s="216">
      <c r="A86" s="1" t="n"/>
      <c r="B86" s="1" t="n"/>
      <c r="C86" s="1" t="n"/>
      <c r="D86" s="1" t="n"/>
      <c r="E86" s="181" t="n"/>
      <c r="F86" s="181" t="n"/>
      <c r="G86" s="1" t="n"/>
      <c r="H86" s="1" t="n"/>
      <c r="I86" s="1" t="n"/>
      <c r="J86" s="1" t="n"/>
      <c r="K86" s="181" t="n"/>
      <c r="L86" s="181" t="n"/>
      <c r="M86" s="181" t="n"/>
      <c r="N86" s="1" t="n"/>
      <c r="O86" s="181" t="n"/>
      <c r="P86" s="181" t="n"/>
      <c r="Q86" s="18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row>
    <row r="87" ht="15.75" customHeight="1" s="216">
      <c r="A87" s="1" t="n"/>
      <c r="B87" s="1" t="n"/>
      <c r="C87" s="1" t="n"/>
      <c r="D87" s="1" t="n"/>
      <c r="E87" s="181" t="n"/>
      <c r="F87" s="181" t="n"/>
      <c r="G87" s="1" t="n"/>
      <c r="H87" s="1" t="n"/>
      <c r="I87" s="1" t="n"/>
      <c r="J87" s="1" t="n"/>
      <c r="K87" s="181" t="n"/>
      <c r="L87" s="181" t="n"/>
      <c r="M87" s="181" t="n"/>
      <c r="N87" s="1" t="n"/>
      <c r="O87" s="181" t="n"/>
      <c r="P87" s="181" t="n"/>
      <c r="Q87" s="18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row>
    <row r="88" ht="15.75" customHeight="1" s="216">
      <c r="A88" s="1" t="n"/>
      <c r="B88" s="1" t="n"/>
      <c r="C88" s="1" t="n"/>
      <c r="D88" s="1" t="n"/>
      <c r="E88" s="181" t="n"/>
      <c r="F88" s="181" t="n"/>
      <c r="G88" s="1" t="n"/>
      <c r="H88" s="1" t="n"/>
      <c r="I88" s="1" t="n"/>
      <c r="J88" s="1" t="n"/>
      <c r="K88" s="181" t="n"/>
      <c r="L88" s="181" t="n"/>
      <c r="M88" s="181" t="n"/>
      <c r="N88" s="1" t="n"/>
      <c r="O88" s="181" t="n"/>
      <c r="P88" s="181" t="n"/>
      <c r="Q88" s="18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row>
    <row r="89" ht="15.75" customHeight="1" s="216">
      <c r="A89" s="1" t="n"/>
      <c r="B89" s="1" t="n"/>
      <c r="C89" s="1" t="n"/>
      <c r="D89" s="1" t="n"/>
      <c r="E89" s="181" t="n"/>
      <c r="F89" s="181" t="n"/>
      <c r="G89" s="1" t="n"/>
      <c r="H89" s="1" t="n"/>
      <c r="I89" s="1" t="n"/>
      <c r="J89" s="1" t="n"/>
      <c r="K89" s="181" t="n"/>
      <c r="L89" s="181" t="n"/>
      <c r="M89" s="181" t="n"/>
      <c r="N89" s="1" t="n"/>
      <c r="O89" s="181" t="n"/>
      <c r="P89" s="181" t="n"/>
      <c r="Q89" s="18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row>
    <row r="90" ht="15.75" customHeight="1" s="216">
      <c r="A90" s="1" t="n"/>
      <c r="B90" s="1" t="n"/>
      <c r="C90" s="1" t="n"/>
      <c r="D90" s="1" t="n"/>
      <c r="E90" s="181" t="n"/>
      <c r="F90" s="181" t="n"/>
      <c r="G90" s="1" t="n"/>
      <c r="H90" s="1" t="n"/>
      <c r="I90" s="1" t="n"/>
      <c r="J90" s="1" t="n"/>
      <c r="K90" s="181" t="n"/>
      <c r="L90" s="181" t="n"/>
      <c r="M90" s="181" t="n"/>
      <c r="N90" s="1" t="n"/>
      <c r="O90" s="181" t="n"/>
      <c r="P90" s="181" t="n"/>
      <c r="Q90" s="18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row>
    <row r="91" ht="15.75" customHeight="1" s="216">
      <c r="A91" s="1" t="n"/>
      <c r="B91" s="1" t="n"/>
      <c r="C91" s="1" t="n"/>
      <c r="D91" s="1" t="n"/>
      <c r="E91" s="181" t="n"/>
      <c r="F91" s="181" t="n"/>
      <c r="G91" s="1" t="n"/>
      <c r="H91" s="1" t="n"/>
      <c r="I91" s="1" t="n"/>
      <c r="J91" s="1" t="n"/>
      <c r="K91" s="181" t="n"/>
      <c r="L91" s="181" t="n"/>
      <c r="M91" s="181" t="n"/>
      <c r="N91" s="1" t="n"/>
      <c r="O91" s="181" t="n"/>
      <c r="P91" s="181" t="n"/>
      <c r="Q91" s="18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row>
    <row r="92" ht="15.75" customHeight="1" s="216">
      <c r="A92" s="1" t="n"/>
      <c r="B92" s="1" t="n"/>
      <c r="C92" s="1" t="n"/>
      <c r="D92" s="1" t="n"/>
      <c r="E92" s="181" t="n"/>
      <c r="F92" s="181" t="n"/>
      <c r="G92" s="1" t="n"/>
      <c r="H92" s="1" t="n"/>
      <c r="I92" s="1" t="n"/>
      <c r="J92" s="1" t="n"/>
      <c r="K92" s="181" t="n"/>
      <c r="L92" s="181" t="n"/>
      <c r="M92" s="181" t="n"/>
      <c r="N92" s="1" t="n"/>
      <c r="O92" s="181" t="n"/>
      <c r="P92" s="181" t="n"/>
      <c r="Q92" s="18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row>
    <row r="93" ht="15.75" customHeight="1" s="216">
      <c r="A93" s="1" t="n"/>
      <c r="B93" s="1" t="n"/>
      <c r="C93" s="1" t="n"/>
      <c r="D93" s="1" t="n"/>
      <c r="E93" s="181" t="n"/>
      <c r="F93" s="181" t="n"/>
      <c r="G93" s="1" t="n"/>
      <c r="H93" s="1" t="n"/>
      <c r="I93" s="1" t="n"/>
      <c r="J93" s="1" t="n"/>
      <c r="K93" s="181" t="n"/>
      <c r="L93" s="181" t="n"/>
      <c r="M93" s="181" t="n"/>
      <c r="N93" s="1" t="n"/>
      <c r="O93" s="181" t="n"/>
      <c r="P93" s="181" t="n"/>
      <c r="Q93" s="18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row>
    <row r="94" ht="15.75" customHeight="1" s="216">
      <c r="A94" s="1" t="n"/>
      <c r="B94" s="1" t="n"/>
      <c r="C94" s="1" t="n"/>
      <c r="D94" s="1" t="n"/>
      <c r="E94" s="181" t="n"/>
      <c r="F94" s="181" t="n"/>
      <c r="G94" s="1" t="n"/>
      <c r="H94" s="1" t="n"/>
      <c r="I94" s="1" t="n"/>
      <c r="J94" s="1" t="n"/>
      <c r="K94" s="181" t="n"/>
      <c r="L94" s="181" t="n"/>
      <c r="M94" s="181" t="n"/>
      <c r="N94" s="1" t="n"/>
      <c r="O94" s="181" t="n"/>
      <c r="P94" s="181" t="n"/>
      <c r="Q94" s="18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row>
    <row r="95" ht="15.75" customHeight="1" s="216">
      <c r="A95" s="1" t="n"/>
      <c r="B95" s="1" t="n"/>
      <c r="C95" s="1" t="n"/>
      <c r="D95" s="1" t="n"/>
      <c r="E95" s="181" t="n"/>
      <c r="F95" s="181" t="n"/>
      <c r="G95" s="1" t="n"/>
      <c r="H95" s="1" t="n"/>
      <c r="I95" s="1" t="n"/>
      <c r="J95" s="1" t="n"/>
      <c r="K95" s="181" t="n"/>
      <c r="L95" s="181" t="n"/>
      <c r="M95" s="181" t="n"/>
      <c r="N95" s="1" t="n"/>
      <c r="O95" s="181" t="n"/>
      <c r="P95" s="181" t="n"/>
      <c r="Q95" s="18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row>
    <row r="96" ht="15.75" customHeight="1" s="216">
      <c r="A96" s="1" t="n"/>
      <c r="B96" s="1" t="n"/>
      <c r="C96" s="1" t="n"/>
      <c r="D96" s="1" t="n"/>
      <c r="E96" s="181" t="n"/>
      <c r="F96" s="181" t="n"/>
      <c r="G96" s="1" t="n"/>
      <c r="H96" s="1" t="n"/>
      <c r="I96" s="1" t="n"/>
      <c r="J96" s="1" t="n"/>
      <c r="K96" s="181" t="n"/>
      <c r="L96" s="181" t="n"/>
      <c r="M96" s="181" t="n"/>
      <c r="N96" s="1" t="n"/>
      <c r="O96" s="181" t="n"/>
      <c r="P96" s="181" t="n"/>
      <c r="Q96" s="18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row>
    <row r="97" ht="15.75" customHeight="1" s="216">
      <c r="A97" s="1" t="n"/>
      <c r="B97" s="1" t="n"/>
      <c r="C97" s="1" t="n"/>
      <c r="D97" s="1" t="n"/>
      <c r="E97" s="181" t="n"/>
      <c r="F97" s="181" t="n"/>
      <c r="G97" s="1" t="n"/>
      <c r="H97" s="1" t="n"/>
      <c r="I97" s="1" t="n"/>
      <c r="J97" s="1" t="n"/>
      <c r="K97" s="181" t="n"/>
      <c r="L97" s="181" t="n"/>
      <c r="M97" s="181" t="n"/>
      <c r="N97" s="1" t="n"/>
      <c r="O97" s="181" t="n"/>
      <c r="P97" s="181" t="n"/>
      <c r="Q97" s="18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row>
    <row r="98" ht="15.75" customHeight="1" s="216">
      <c r="A98" s="1" t="n"/>
      <c r="B98" s="1" t="n"/>
      <c r="C98" s="1" t="n"/>
      <c r="D98" s="1" t="n"/>
      <c r="E98" s="181" t="n"/>
      <c r="F98" s="181" t="n"/>
      <c r="G98" s="1" t="n"/>
      <c r="H98" s="1" t="n"/>
      <c r="I98" s="1" t="n"/>
      <c r="J98" s="1" t="n"/>
      <c r="K98" s="181" t="n"/>
      <c r="L98" s="181" t="n"/>
      <c r="M98" s="181" t="n"/>
      <c r="N98" s="1" t="n"/>
      <c r="O98" s="181" t="n"/>
      <c r="P98" s="181" t="n"/>
      <c r="Q98" s="18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row>
    <row r="99" ht="15.75" customHeight="1" s="216">
      <c r="A99" s="1" t="n"/>
      <c r="B99" s="1" t="n"/>
      <c r="C99" s="1" t="n"/>
      <c r="D99" s="1" t="n"/>
      <c r="E99" s="181" t="n"/>
      <c r="F99" s="181" t="n"/>
      <c r="G99" s="1" t="n"/>
      <c r="H99" s="1" t="n"/>
      <c r="I99" s="1" t="n"/>
      <c r="J99" s="1" t="n"/>
      <c r="K99" s="181" t="n"/>
      <c r="L99" s="181" t="n"/>
      <c r="M99" s="181" t="n"/>
      <c r="N99" s="1" t="n"/>
      <c r="O99" s="181" t="n"/>
      <c r="P99" s="181" t="n"/>
      <c r="Q99" s="18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row>
    <row r="100" ht="15.75" customHeight="1" s="216">
      <c r="A100" s="1" t="n"/>
      <c r="B100" s="1" t="n"/>
      <c r="C100" s="1" t="n"/>
      <c r="D100" s="1" t="n"/>
      <c r="E100" s="181" t="n"/>
      <c r="F100" s="181" t="n"/>
      <c r="G100" s="1" t="n"/>
      <c r="H100" s="1" t="n"/>
      <c r="I100" s="1" t="n"/>
      <c r="J100" s="1" t="n"/>
      <c r="K100" s="181" t="n"/>
      <c r="L100" s="181" t="n"/>
      <c r="M100" s="181" t="n"/>
      <c r="N100" s="1" t="n"/>
      <c r="O100" s="181" t="n"/>
      <c r="P100" s="181" t="n"/>
      <c r="Q100" s="18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row>
    <row r="101" ht="15.75" customHeight="1" s="216">
      <c r="A101" s="1" t="n"/>
      <c r="B101" s="1" t="n"/>
      <c r="C101" s="1" t="n"/>
      <c r="D101" s="1" t="n"/>
      <c r="E101" s="181" t="n"/>
      <c r="F101" s="181" t="n"/>
      <c r="G101" s="1" t="n"/>
      <c r="H101" s="1" t="n"/>
      <c r="I101" s="1" t="n"/>
      <c r="J101" s="1" t="n"/>
      <c r="K101" s="181" t="n"/>
      <c r="L101" s="181" t="n"/>
      <c r="M101" s="181" t="n"/>
      <c r="N101" s="1" t="n"/>
      <c r="O101" s="181" t="n"/>
      <c r="P101" s="181" t="n"/>
      <c r="Q101" s="18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row>
    <row r="102" ht="15.75" customHeight="1" s="216">
      <c r="A102" s="1" t="n"/>
      <c r="B102" s="1" t="n"/>
      <c r="C102" s="1" t="n"/>
      <c r="D102" s="1" t="n"/>
      <c r="E102" s="181" t="n"/>
      <c r="F102" s="181" t="n"/>
      <c r="G102" s="1" t="n"/>
      <c r="H102" s="1" t="n"/>
      <c r="I102" s="1" t="n"/>
      <c r="J102" s="1" t="n"/>
      <c r="K102" s="181" t="n"/>
      <c r="L102" s="181" t="n"/>
      <c r="M102" s="181" t="n"/>
      <c r="N102" s="1" t="n"/>
      <c r="O102" s="181" t="n"/>
      <c r="P102" s="181" t="n"/>
      <c r="Q102" s="18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row>
    <row r="103" ht="15.75" customHeight="1" s="216">
      <c r="A103" s="1" t="n"/>
      <c r="B103" s="1" t="n"/>
      <c r="C103" s="1" t="n"/>
      <c r="D103" s="1" t="n"/>
      <c r="E103" s="181" t="n"/>
      <c r="F103" s="181" t="n"/>
      <c r="G103" s="1" t="n"/>
      <c r="H103" s="1" t="n"/>
      <c r="I103" s="1" t="n"/>
      <c r="J103" s="1" t="n"/>
      <c r="K103" s="181" t="n"/>
      <c r="L103" s="181" t="n"/>
      <c r="M103" s="181" t="n"/>
      <c r="N103" s="1" t="n"/>
      <c r="O103" s="181" t="n"/>
      <c r="P103" s="181" t="n"/>
      <c r="Q103" s="18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row>
    <row r="104" ht="15.75" customHeight="1" s="216">
      <c r="A104" s="1" t="n"/>
      <c r="B104" s="1" t="n"/>
      <c r="C104" s="1" t="n"/>
      <c r="D104" s="1" t="n"/>
      <c r="E104" s="181" t="n"/>
      <c r="F104" s="181" t="n"/>
      <c r="G104" s="1" t="n"/>
      <c r="H104" s="1" t="n"/>
      <c r="I104" s="1" t="n"/>
      <c r="J104" s="1" t="n"/>
      <c r="K104" s="181" t="n"/>
      <c r="L104" s="181" t="n"/>
      <c r="M104" s="181" t="n"/>
      <c r="N104" s="1" t="n"/>
      <c r="O104" s="181" t="n"/>
      <c r="P104" s="181" t="n"/>
      <c r="Q104" s="18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row>
    <row r="105" ht="15.75" customHeight="1" s="216">
      <c r="A105" s="1" t="n"/>
      <c r="B105" s="1" t="n"/>
      <c r="C105" s="1" t="n"/>
      <c r="D105" s="1" t="n"/>
      <c r="E105" s="181" t="n"/>
      <c r="F105" s="181" t="n"/>
      <c r="G105" s="1" t="n"/>
      <c r="H105" s="1" t="n"/>
      <c r="I105" s="1" t="n"/>
      <c r="J105" s="1" t="n"/>
      <c r="K105" s="181" t="n"/>
      <c r="L105" s="181" t="n"/>
      <c r="M105" s="181" t="n"/>
      <c r="N105" s="1" t="n"/>
      <c r="O105" s="181" t="n"/>
      <c r="P105" s="181" t="n"/>
      <c r="Q105" s="18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row>
    <row r="106" ht="15.75" customHeight="1" s="216">
      <c r="A106" s="1" t="n"/>
      <c r="B106" s="1" t="n"/>
      <c r="C106" s="1" t="n"/>
      <c r="D106" s="1" t="n"/>
      <c r="E106" s="181" t="n"/>
      <c r="F106" s="181" t="n"/>
      <c r="G106" s="1" t="n"/>
      <c r="H106" s="1" t="n"/>
      <c r="I106" s="1" t="n"/>
      <c r="J106" s="1" t="n"/>
      <c r="K106" s="181" t="n"/>
      <c r="L106" s="181" t="n"/>
      <c r="M106" s="181" t="n"/>
      <c r="N106" s="1" t="n"/>
      <c r="O106" s="181" t="n"/>
      <c r="P106" s="181" t="n"/>
      <c r="Q106" s="18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row>
    <row r="107" ht="15.75" customHeight="1" s="216">
      <c r="A107" s="1" t="n"/>
      <c r="B107" s="1" t="n"/>
      <c r="C107" s="1" t="n"/>
      <c r="D107" s="1" t="n"/>
      <c r="E107" s="181" t="n"/>
      <c r="F107" s="181" t="n"/>
      <c r="G107" s="1" t="n"/>
      <c r="H107" s="1" t="n"/>
      <c r="I107" s="1" t="n"/>
      <c r="J107" s="1" t="n"/>
      <c r="K107" s="181" t="n"/>
      <c r="L107" s="181" t="n"/>
      <c r="M107" s="181" t="n"/>
      <c r="N107" s="1" t="n"/>
      <c r="O107" s="181" t="n"/>
      <c r="P107" s="181" t="n"/>
      <c r="Q107" s="18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row>
    <row r="108" ht="15.75" customHeight="1" s="216">
      <c r="A108" s="1" t="n"/>
      <c r="B108" s="1" t="n"/>
      <c r="C108" s="1" t="n"/>
      <c r="D108" s="1" t="n"/>
      <c r="E108" s="181" t="n"/>
      <c r="F108" s="181" t="n"/>
      <c r="G108" s="1" t="n"/>
      <c r="H108" s="1" t="n"/>
      <c r="I108" s="1" t="n"/>
      <c r="J108" s="1" t="n"/>
      <c r="K108" s="181" t="n"/>
      <c r="L108" s="181" t="n"/>
      <c r="M108" s="181" t="n"/>
      <c r="N108" s="1" t="n"/>
      <c r="O108" s="181" t="n"/>
      <c r="P108" s="181" t="n"/>
      <c r="Q108" s="18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row>
    <row r="109" ht="15.75" customHeight="1" s="216">
      <c r="A109" s="1" t="n"/>
      <c r="B109" s="1" t="n"/>
      <c r="C109" s="1" t="n"/>
      <c r="D109" s="1" t="n"/>
      <c r="E109" s="181" t="n"/>
      <c r="F109" s="181" t="n"/>
      <c r="G109" s="1" t="n"/>
      <c r="H109" s="1" t="n"/>
      <c r="I109" s="1" t="n"/>
      <c r="J109" s="1" t="n"/>
      <c r="K109" s="181" t="n"/>
      <c r="L109" s="181" t="n"/>
      <c r="M109" s="181" t="n"/>
      <c r="N109" s="1" t="n"/>
      <c r="O109" s="181" t="n"/>
      <c r="P109" s="181" t="n"/>
      <c r="Q109" s="18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row>
    <row r="110" ht="15.75" customHeight="1" s="216">
      <c r="A110" s="1" t="n"/>
      <c r="B110" s="1" t="n"/>
      <c r="C110" s="1" t="n"/>
      <c r="D110" s="1" t="n"/>
      <c r="E110" s="181" t="n"/>
      <c r="F110" s="181" t="n"/>
      <c r="G110" s="1" t="n"/>
      <c r="H110" s="1" t="n"/>
      <c r="I110" s="1" t="n"/>
      <c r="J110" s="1" t="n"/>
      <c r="K110" s="181" t="n"/>
      <c r="L110" s="181" t="n"/>
      <c r="M110" s="181" t="n"/>
      <c r="N110" s="1" t="n"/>
      <c r="O110" s="181" t="n"/>
      <c r="P110" s="181" t="n"/>
      <c r="Q110" s="18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row>
    <row r="111" ht="15.75" customHeight="1" s="216">
      <c r="A111" s="1" t="n"/>
      <c r="B111" s="1" t="n"/>
      <c r="C111" s="1" t="n"/>
      <c r="D111" s="1" t="n"/>
      <c r="E111" s="181" t="n"/>
      <c r="F111" s="181" t="n"/>
      <c r="G111" s="1" t="n"/>
      <c r="H111" s="1" t="n"/>
      <c r="I111" s="1" t="n"/>
      <c r="J111" s="1" t="n"/>
      <c r="K111" s="181" t="n"/>
      <c r="L111" s="181" t="n"/>
      <c r="M111" s="181" t="n"/>
      <c r="N111" s="1" t="n"/>
      <c r="O111" s="181" t="n"/>
      <c r="P111" s="181" t="n"/>
      <c r="Q111" s="18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row>
    <row r="112" ht="15.75" customHeight="1" s="216">
      <c r="A112" s="1" t="n"/>
      <c r="B112" s="1" t="n"/>
      <c r="C112" s="1" t="n"/>
      <c r="D112" s="1" t="n"/>
      <c r="E112" s="181" t="n"/>
      <c r="F112" s="181" t="n"/>
      <c r="G112" s="1" t="n"/>
      <c r="H112" s="1" t="n"/>
      <c r="I112" s="1" t="n"/>
      <c r="J112" s="1" t="n"/>
      <c r="K112" s="181" t="n"/>
      <c r="L112" s="181" t="n"/>
      <c r="M112" s="181" t="n"/>
      <c r="N112" s="1" t="n"/>
      <c r="O112" s="181" t="n"/>
      <c r="P112" s="181" t="n"/>
      <c r="Q112" s="18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row>
    <row r="113" ht="15.75" customHeight="1" s="216">
      <c r="A113" s="1" t="n"/>
      <c r="B113" s="1" t="n"/>
      <c r="C113" s="1" t="n"/>
      <c r="D113" s="1" t="n"/>
      <c r="E113" s="181" t="n"/>
      <c r="F113" s="181" t="n"/>
      <c r="G113" s="1" t="n"/>
      <c r="H113" s="1" t="n"/>
      <c r="I113" s="1" t="n"/>
      <c r="J113" s="1" t="n"/>
      <c r="K113" s="181" t="n"/>
      <c r="L113" s="181" t="n"/>
      <c r="M113" s="181" t="n"/>
      <c r="N113" s="1" t="n"/>
      <c r="O113" s="181" t="n"/>
      <c r="P113" s="181" t="n"/>
      <c r="Q113" s="18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row>
    <row r="114" ht="15.75" customHeight="1" s="216">
      <c r="A114" s="1" t="n"/>
      <c r="B114" s="1" t="n"/>
      <c r="C114" s="1" t="n"/>
      <c r="D114" s="1" t="n"/>
      <c r="E114" s="181" t="n"/>
      <c r="F114" s="181" t="n"/>
      <c r="G114" s="1" t="n"/>
      <c r="H114" s="1" t="n"/>
      <c r="I114" s="1" t="n"/>
      <c r="J114" s="1" t="n"/>
      <c r="K114" s="181" t="n"/>
      <c r="L114" s="181" t="n"/>
      <c r="M114" s="181" t="n"/>
      <c r="N114" s="1" t="n"/>
      <c r="O114" s="181" t="n"/>
      <c r="P114" s="181" t="n"/>
      <c r="Q114" s="18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row>
    <row r="115" ht="15.75" customHeight="1" s="216">
      <c r="A115" s="1" t="n"/>
      <c r="B115" s="1" t="n"/>
      <c r="C115" s="1" t="n"/>
      <c r="D115" s="1" t="n"/>
      <c r="E115" s="181" t="n"/>
      <c r="F115" s="181" t="n"/>
      <c r="G115" s="1" t="n"/>
      <c r="H115" s="1" t="n"/>
      <c r="I115" s="1" t="n"/>
      <c r="J115" s="1" t="n"/>
      <c r="K115" s="181" t="n"/>
      <c r="L115" s="181" t="n"/>
      <c r="M115" s="181" t="n"/>
      <c r="N115" s="1" t="n"/>
      <c r="O115" s="181" t="n"/>
      <c r="P115" s="181" t="n"/>
      <c r="Q115" s="18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row>
    <row r="116" ht="15.75" customHeight="1" s="216">
      <c r="A116" s="1" t="n"/>
      <c r="B116" s="1" t="n"/>
      <c r="C116" s="1" t="n"/>
      <c r="D116" s="1" t="n"/>
      <c r="E116" s="181" t="n"/>
      <c r="F116" s="181" t="n"/>
      <c r="G116" s="1" t="n"/>
      <c r="H116" s="1" t="n"/>
      <c r="I116" s="1" t="n"/>
      <c r="J116" s="1" t="n"/>
      <c r="K116" s="181" t="n"/>
      <c r="L116" s="181" t="n"/>
      <c r="M116" s="181" t="n"/>
      <c r="N116" s="1" t="n"/>
      <c r="O116" s="181" t="n"/>
      <c r="P116" s="181" t="n"/>
      <c r="Q116" s="18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row>
    <row r="117" ht="15.75" customHeight="1" s="216">
      <c r="A117" s="1" t="n"/>
      <c r="B117" s="1" t="n"/>
      <c r="C117" s="1" t="n"/>
      <c r="D117" s="1" t="n"/>
      <c r="E117" s="181" t="n"/>
      <c r="F117" s="181" t="n"/>
      <c r="G117" s="1" t="n"/>
      <c r="H117" s="1" t="n"/>
      <c r="I117" s="1" t="n"/>
      <c r="J117" s="1" t="n"/>
      <c r="K117" s="181" t="n"/>
      <c r="L117" s="181" t="n"/>
      <c r="M117" s="181" t="n"/>
      <c r="N117" s="1" t="n"/>
      <c r="O117" s="181" t="n"/>
      <c r="P117" s="181" t="n"/>
      <c r="Q117" s="18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row>
    <row r="118" ht="15.75" customHeight="1" s="216">
      <c r="A118" s="1" t="n"/>
      <c r="B118" s="1" t="n"/>
      <c r="C118" s="1" t="n"/>
      <c r="D118" s="1" t="n"/>
      <c r="E118" s="181" t="n"/>
      <c r="F118" s="181" t="n"/>
      <c r="G118" s="1" t="n"/>
      <c r="H118" s="1" t="n"/>
      <c r="I118" s="1" t="n"/>
      <c r="J118" s="1" t="n"/>
      <c r="K118" s="181" t="n"/>
      <c r="L118" s="181" t="n"/>
      <c r="M118" s="181" t="n"/>
      <c r="N118" s="1" t="n"/>
      <c r="O118" s="181" t="n"/>
      <c r="P118" s="181" t="n"/>
      <c r="Q118" s="18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row>
    <row r="119" ht="15.75" customHeight="1" s="216">
      <c r="A119" s="1" t="n"/>
      <c r="B119" s="1" t="n"/>
      <c r="C119" s="1" t="n"/>
      <c r="D119" s="1" t="n"/>
      <c r="E119" s="181" t="n"/>
      <c r="F119" s="181" t="n"/>
      <c r="G119" s="1" t="n"/>
      <c r="H119" s="1" t="n"/>
      <c r="I119" s="1" t="n"/>
      <c r="J119" s="1" t="n"/>
      <c r="K119" s="181" t="n"/>
      <c r="L119" s="181" t="n"/>
      <c r="M119" s="181" t="n"/>
      <c r="N119" s="1" t="n"/>
      <c r="O119" s="181" t="n"/>
      <c r="P119" s="181" t="n"/>
      <c r="Q119" s="18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row>
    <row r="120" ht="15.75" customHeight="1" s="216">
      <c r="A120" s="1" t="n"/>
      <c r="B120" s="1" t="n"/>
      <c r="C120" s="1" t="n"/>
      <c r="D120" s="1" t="n"/>
      <c r="E120" s="181" t="n"/>
      <c r="F120" s="181" t="n"/>
      <c r="G120" s="1" t="n"/>
      <c r="H120" s="1" t="n"/>
      <c r="I120" s="1" t="n"/>
      <c r="J120" s="1" t="n"/>
      <c r="K120" s="181" t="n"/>
      <c r="L120" s="181" t="n"/>
      <c r="M120" s="181" t="n"/>
      <c r="N120" s="1" t="n"/>
      <c r="O120" s="181" t="n"/>
      <c r="P120" s="181" t="n"/>
      <c r="Q120" s="18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row>
    <row r="121" ht="15.75" customHeight="1" s="216">
      <c r="A121" s="1" t="n"/>
      <c r="B121" s="1" t="n"/>
      <c r="C121" s="1" t="n"/>
      <c r="D121" s="1" t="n"/>
      <c r="E121" s="181" t="n"/>
      <c r="F121" s="181" t="n"/>
      <c r="G121" s="1" t="n"/>
      <c r="H121" s="1" t="n"/>
      <c r="I121" s="1" t="n"/>
      <c r="J121" s="1" t="n"/>
      <c r="K121" s="181" t="n"/>
      <c r="L121" s="181" t="n"/>
      <c r="M121" s="181" t="n"/>
      <c r="N121" s="1" t="n"/>
      <c r="O121" s="181" t="n"/>
      <c r="P121" s="181" t="n"/>
      <c r="Q121" s="18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row>
    <row r="122" ht="15.75" customHeight="1" s="216">
      <c r="A122" s="1" t="n"/>
      <c r="B122" s="1" t="n"/>
      <c r="C122" s="1" t="n"/>
      <c r="D122" s="1" t="n"/>
      <c r="E122" s="181" t="n"/>
      <c r="F122" s="181" t="n"/>
      <c r="G122" s="1" t="n"/>
      <c r="H122" s="1" t="n"/>
      <c r="I122" s="1" t="n"/>
      <c r="J122" s="1" t="n"/>
      <c r="K122" s="181" t="n"/>
      <c r="L122" s="181" t="n"/>
      <c r="M122" s="181" t="n"/>
      <c r="N122" s="1" t="n"/>
      <c r="O122" s="181" t="n"/>
      <c r="P122" s="181" t="n"/>
      <c r="Q122" s="18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row>
    <row r="123" ht="15.75" customHeight="1" s="216">
      <c r="A123" s="1" t="n"/>
      <c r="B123" s="1" t="n"/>
      <c r="C123" s="1" t="n"/>
      <c r="D123" s="1" t="n"/>
      <c r="E123" s="181" t="n"/>
      <c r="F123" s="181" t="n"/>
      <c r="G123" s="1" t="n"/>
      <c r="H123" s="1" t="n"/>
      <c r="I123" s="1" t="n"/>
      <c r="J123" s="1" t="n"/>
      <c r="K123" s="181" t="n"/>
      <c r="L123" s="181" t="n"/>
      <c r="M123" s="181" t="n"/>
      <c r="N123" s="1" t="n"/>
      <c r="O123" s="181" t="n"/>
      <c r="P123" s="181" t="n"/>
      <c r="Q123" s="18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row>
    <row r="124" ht="15.75" customHeight="1" s="216">
      <c r="A124" s="1" t="n"/>
      <c r="B124" s="1" t="n"/>
      <c r="C124" s="1" t="n"/>
      <c r="D124" s="1" t="n"/>
      <c r="E124" s="181" t="n"/>
      <c r="F124" s="181" t="n"/>
      <c r="G124" s="1" t="n"/>
      <c r="H124" s="1" t="n"/>
      <c r="I124" s="1" t="n"/>
      <c r="J124" s="1" t="n"/>
      <c r="K124" s="181" t="n"/>
      <c r="L124" s="181" t="n"/>
      <c r="M124" s="181" t="n"/>
      <c r="N124" s="1" t="n"/>
      <c r="O124" s="181" t="n"/>
      <c r="P124" s="181" t="n"/>
      <c r="Q124" s="18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row>
    <row r="125" ht="15.75" customHeight="1" s="216">
      <c r="A125" s="1" t="n"/>
      <c r="B125" s="1" t="n"/>
      <c r="C125" s="1" t="n"/>
      <c r="D125" s="1" t="n"/>
      <c r="E125" s="181" t="n"/>
      <c r="F125" s="181" t="n"/>
      <c r="G125" s="1" t="n"/>
      <c r="H125" s="1" t="n"/>
      <c r="I125" s="1" t="n"/>
      <c r="J125" s="1" t="n"/>
      <c r="K125" s="181" t="n"/>
      <c r="L125" s="181" t="n"/>
      <c r="M125" s="181" t="n"/>
      <c r="N125" s="1" t="n"/>
      <c r="O125" s="181" t="n"/>
      <c r="P125" s="181" t="n"/>
      <c r="Q125" s="18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row>
    <row r="126" ht="15.75" customHeight="1" s="216">
      <c r="A126" s="1" t="n"/>
      <c r="B126" s="1" t="n"/>
      <c r="C126" s="1" t="n"/>
      <c r="D126" s="1" t="n"/>
      <c r="E126" s="181" t="n"/>
      <c r="F126" s="181" t="n"/>
      <c r="G126" s="1" t="n"/>
      <c r="H126" s="1" t="n"/>
      <c r="I126" s="1" t="n"/>
      <c r="J126" s="1" t="n"/>
      <c r="K126" s="181" t="n"/>
      <c r="L126" s="181" t="n"/>
      <c r="M126" s="181" t="n"/>
      <c r="N126" s="1" t="n"/>
      <c r="O126" s="181" t="n"/>
      <c r="P126" s="181" t="n"/>
      <c r="Q126" s="18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row>
    <row r="127" ht="15.75" customHeight="1" s="216">
      <c r="A127" s="1" t="n"/>
      <c r="B127" s="1" t="n"/>
      <c r="C127" s="1" t="n"/>
      <c r="D127" s="1" t="n"/>
      <c r="E127" s="181" t="n"/>
      <c r="F127" s="181" t="n"/>
      <c r="G127" s="1" t="n"/>
      <c r="H127" s="1" t="n"/>
      <c r="I127" s="1" t="n"/>
      <c r="J127" s="1" t="n"/>
      <c r="K127" s="181" t="n"/>
      <c r="L127" s="181" t="n"/>
      <c r="M127" s="181" t="n"/>
      <c r="N127" s="1" t="n"/>
      <c r="O127" s="181" t="n"/>
      <c r="P127" s="181" t="n"/>
      <c r="Q127" s="18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row>
    <row r="128" ht="15.75" customHeight="1" s="216">
      <c r="A128" s="1" t="n"/>
      <c r="B128" s="1" t="n"/>
      <c r="C128" s="1" t="n"/>
      <c r="D128" s="1" t="n"/>
      <c r="E128" s="181" t="n"/>
      <c r="F128" s="181" t="n"/>
      <c r="G128" s="1" t="n"/>
      <c r="H128" s="1" t="n"/>
      <c r="I128" s="1" t="n"/>
      <c r="J128" s="1" t="n"/>
      <c r="K128" s="181" t="n"/>
      <c r="L128" s="181" t="n"/>
      <c r="M128" s="181" t="n"/>
      <c r="N128" s="1" t="n"/>
      <c r="O128" s="181" t="n"/>
      <c r="P128" s="181" t="n"/>
      <c r="Q128" s="18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row>
    <row r="129" ht="15.75" customHeight="1" s="216">
      <c r="A129" s="1" t="n"/>
      <c r="B129" s="1" t="n"/>
      <c r="C129" s="1" t="n"/>
      <c r="D129" s="1" t="n"/>
      <c r="E129" s="181" t="n"/>
      <c r="F129" s="181" t="n"/>
      <c r="G129" s="1" t="n"/>
      <c r="H129" s="1" t="n"/>
      <c r="I129" s="1" t="n"/>
      <c r="J129" s="1" t="n"/>
      <c r="K129" s="181" t="n"/>
      <c r="L129" s="181" t="n"/>
      <c r="M129" s="181" t="n"/>
      <c r="N129" s="1" t="n"/>
      <c r="O129" s="181" t="n"/>
      <c r="P129" s="181" t="n"/>
      <c r="Q129" s="18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row>
    <row r="130" ht="15.75" customHeight="1" s="216">
      <c r="A130" s="1" t="n"/>
      <c r="B130" s="1" t="n"/>
      <c r="C130" s="1" t="n"/>
      <c r="D130" s="1" t="n"/>
      <c r="E130" s="181" t="n"/>
      <c r="F130" s="181" t="n"/>
      <c r="G130" s="1" t="n"/>
      <c r="H130" s="1" t="n"/>
      <c r="I130" s="1" t="n"/>
      <c r="J130" s="1" t="n"/>
      <c r="K130" s="181" t="n"/>
      <c r="L130" s="181" t="n"/>
      <c r="M130" s="181" t="n"/>
      <c r="N130" s="1" t="n"/>
      <c r="O130" s="181" t="n"/>
      <c r="P130" s="181" t="n"/>
      <c r="Q130" s="18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row>
    <row r="131" ht="15.75" customHeight="1" s="216">
      <c r="A131" s="1" t="n"/>
      <c r="B131" s="1" t="n"/>
      <c r="C131" s="1" t="n"/>
      <c r="D131" s="1" t="n"/>
      <c r="E131" s="181" t="n"/>
      <c r="F131" s="181" t="n"/>
      <c r="G131" s="1" t="n"/>
      <c r="H131" s="1" t="n"/>
      <c r="I131" s="1" t="n"/>
      <c r="J131" s="1" t="n"/>
      <c r="K131" s="181" t="n"/>
      <c r="L131" s="181" t="n"/>
      <c r="M131" s="181" t="n"/>
      <c r="N131" s="1" t="n"/>
      <c r="O131" s="181" t="n"/>
      <c r="P131" s="181" t="n"/>
      <c r="Q131" s="18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row>
    <row r="132" ht="15.75" customHeight="1" s="216">
      <c r="A132" s="1" t="n"/>
      <c r="B132" s="1" t="n"/>
      <c r="C132" s="1" t="n"/>
      <c r="D132" s="1" t="n"/>
      <c r="E132" s="181" t="n"/>
      <c r="F132" s="181" t="n"/>
      <c r="G132" s="1" t="n"/>
      <c r="H132" s="1" t="n"/>
      <c r="I132" s="1" t="n"/>
      <c r="J132" s="1" t="n"/>
      <c r="K132" s="181" t="n"/>
      <c r="L132" s="181" t="n"/>
      <c r="M132" s="181" t="n"/>
      <c r="N132" s="1" t="n"/>
      <c r="O132" s="181" t="n"/>
      <c r="P132" s="181" t="n"/>
      <c r="Q132" s="18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row>
    <row r="133" ht="15.75" customHeight="1" s="216">
      <c r="A133" s="1" t="n"/>
      <c r="B133" s="1" t="n"/>
      <c r="C133" s="1" t="n"/>
      <c r="D133" s="1" t="n"/>
      <c r="E133" s="181" t="n"/>
      <c r="F133" s="181" t="n"/>
      <c r="G133" s="1" t="n"/>
      <c r="H133" s="1" t="n"/>
      <c r="I133" s="1" t="n"/>
      <c r="J133" s="1" t="n"/>
      <c r="K133" s="181" t="n"/>
      <c r="L133" s="181" t="n"/>
      <c r="M133" s="181" t="n"/>
      <c r="N133" s="1" t="n"/>
      <c r="O133" s="181" t="n"/>
      <c r="P133" s="181" t="n"/>
      <c r="Q133" s="18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row>
    <row r="134" ht="15.75" customHeight="1" s="216">
      <c r="A134" s="1" t="n"/>
      <c r="B134" s="1" t="n"/>
      <c r="C134" s="1" t="n"/>
      <c r="D134" s="1" t="n"/>
      <c r="E134" s="181" t="n"/>
      <c r="F134" s="181" t="n"/>
      <c r="G134" s="1" t="n"/>
      <c r="H134" s="1" t="n"/>
      <c r="I134" s="1" t="n"/>
      <c r="J134" s="1" t="n"/>
      <c r="K134" s="181" t="n"/>
      <c r="L134" s="181" t="n"/>
      <c r="M134" s="181" t="n"/>
      <c r="N134" s="1" t="n"/>
      <c r="O134" s="181" t="n"/>
      <c r="P134" s="181" t="n"/>
      <c r="Q134" s="18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row>
    <row r="135" ht="15.75" customHeight="1" s="216">
      <c r="A135" s="1" t="n"/>
      <c r="B135" s="1" t="n"/>
      <c r="C135" s="1" t="n"/>
      <c r="D135" s="1" t="n"/>
      <c r="E135" s="181" t="n"/>
      <c r="F135" s="181" t="n"/>
      <c r="G135" s="1" t="n"/>
      <c r="H135" s="1" t="n"/>
      <c r="I135" s="1" t="n"/>
      <c r="J135" s="1" t="n"/>
      <c r="K135" s="181" t="n"/>
      <c r="L135" s="181" t="n"/>
      <c r="M135" s="181" t="n"/>
      <c r="N135" s="1" t="n"/>
      <c r="O135" s="181" t="n"/>
      <c r="P135" s="181" t="n"/>
      <c r="Q135" s="18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row>
    <row r="136" ht="15.75" customHeight="1" s="216">
      <c r="A136" s="1" t="n"/>
      <c r="B136" s="1" t="n"/>
      <c r="C136" s="1" t="n"/>
      <c r="D136" s="1" t="n"/>
      <c r="E136" s="181" t="n"/>
      <c r="F136" s="181" t="n"/>
      <c r="G136" s="1" t="n"/>
      <c r="H136" s="1" t="n"/>
      <c r="I136" s="1" t="n"/>
      <c r="J136" s="1" t="n"/>
      <c r="K136" s="181" t="n"/>
      <c r="L136" s="181" t="n"/>
      <c r="M136" s="181" t="n"/>
      <c r="N136" s="1" t="n"/>
      <c r="O136" s="181" t="n"/>
      <c r="P136" s="181" t="n"/>
      <c r="Q136" s="18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row>
    <row r="137" ht="15.75" customHeight="1" s="216">
      <c r="A137" s="1" t="n"/>
      <c r="B137" s="1" t="n"/>
      <c r="C137" s="1" t="n"/>
      <c r="D137" s="1" t="n"/>
      <c r="E137" s="181" t="n"/>
      <c r="F137" s="181" t="n"/>
      <c r="G137" s="1" t="n"/>
      <c r="H137" s="1" t="n"/>
      <c r="I137" s="1" t="n"/>
      <c r="J137" s="1" t="n"/>
      <c r="K137" s="181" t="n"/>
      <c r="L137" s="181" t="n"/>
      <c r="M137" s="181" t="n"/>
      <c r="N137" s="1" t="n"/>
      <c r="O137" s="181" t="n"/>
      <c r="P137" s="181" t="n"/>
      <c r="Q137" s="18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row>
    <row r="138" ht="15.75" customHeight="1" s="216">
      <c r="A138" s="1" t="n"/>
      <c r="B138" s="1" t="n"/>
      <c r="C138" s="1" t="n"/>
      <c r="D138" s="1" t="n"/>
      <c r="E138" s="181" t="n"/>
      <c r="F138" s="181" t="n"/>
      <c r="G138" s="1" t="n"/>
      <c r="H138" s="1" t="n"/>
      <c r="I138" s="1" t="n"/>
      <c r="J138" s="1" t="n"/>
      <c r="K138" s="181" t="n"/>
      <c r="L138" s="181" t="n"/>
      <c r="M138" s="181" t="n"/>
      <c r="N138" s="1" t="n"/>
      <c r="O138" s="181" t="n"/>
      <c r="P138" s="181" t="n"/>
      <c r="Q138" s="18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row>
    <row r="139" ht="15.75" customHeight="1" s="216">
      <c r="A139" s="1" t="n"/>
      <c r="B139" s="1" t="n"/>
      <c r="C139" s="1" t="n"/>
      <c r="D139" s="1" t="n"/>
      <c r="E139" s="181" t="n"/>
      <c r="F139" s="181" t="n"/>
      <c r="G139" s="1" t="n"/>
      <c r="H139" s="1" t="n"/>
      <c r="I139" s="1" t="n"/>
      <c r="J139" s="1" t="n"/>
      <c r="K139" s="181" t="n"/>
      <c r="L139" s="181" t="n"/>
      <c r="M139" s="181" t="n"/>
      <c r="N139" s="1" t="n"/>
      <c r="O139" s="181" t="n"/>
      <c r="P139" s="181" t="n"/>
      <c r="Q139" s="18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row>
    <row r="140" ht="15.75" customHeight="1" s="216">
      <c r="A140" s="1" t="n"/>
      <c r="B140" s="1" t="n"/>
      <c r="C140" s="1" t="n"/>
      <c r="D140" s="1" t="n"/>
      <c r="E140" s="181" t="n"/>
      <c r="F140" s="181" t="n"/>
      <c r="G140" s="1" t="n"/>
      <c r="H140" s="1" t="n"/>
      <c r="I140" s="1" t="n"/>
      <c r="J140" s="1" t="n"/>
      <c r="K140" s="181" t="n"/>
      <c r="L140" s="181" t="n"/>
      <c r="M140" s="181" t="n"/>
      <c r="N140" s="1" t="n"/>
      <c r="O140" s="181" t="n"/>
      <c r="P140" s="181" t="n"/>
      <c r="Q140" s="18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row>
    <row r="141" ht="15.75" customHeight="1" s="216">
      <c r="A141" s="1" t="n"/>
      <c r="B141" s="1" t="n"/>
      <c r="C141" s="1" t="n"/>
      <c r="D141" s="1" t="n"/>
      <c r="E141" s="181" t="n"/>
      <c r="F141" s="181" t="n"/>
      <c r="G141" s="1" t="n"/>
      <c r="H141" s="1" t="n"/>
      <c r="I141" s="1" t="n"/>
      <c r="J141" s="1" t="n"/>
      <c r="K141" s="181" t="n"/>
      <c r="L141" s="181" t="n"/>
      <c r="M141" s="181" t="n"/>
      <c r="N141" s="1" t="n"/>
      <c r="O141" s="181" t="n"/>
      <c r="P141" s="181" t="n"/>
      <c r="Q141" s="18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row>
    <row r="142" ht="15.75" customHeight="1" s="216">
      <c r="A142" s="1" t="n"/>
      <c r="B142" s="1" t="n"/>
      <c r="C142" s="1" t="n"/>
      <c r="D142" s="1" t="n"/>
      <c r="E142" s="181" t="n"/>
      <c r="F142" s="181" t="n"/>
      <c r="G142" s="1" t="n"/>
      <c r="H142" s="1" t="n"/>
      <c r="I142" s="1" t="n"/>
      <c r="J142" s="1" t="n"/>
      <c r="K142" s="181" t="n"/>
      <c r="L142" s="181" t="n"/>
      <c r="M142" s="181" t="n"/>
      <c r="N142" s="1" t="n"/>
      <c r="O142" s="181" t="n"/>
      <c r="P142" s="181" t="n"/>
      <c r="Q142" s="18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row>
    <row r="143" ht="15.75" customHeight="1" s="216">
      <c r="A143" s="1" t="n"/>
      <c r="B143" s="1" t="n"/>
      <c r="C143" s="1" t="n"/>
      <c r="D143" s="1" t="n"/>
      <c r="E143" s="181" t="n"/>
      <c r="F143" s="181" t="n"/>
      <c r="G143" s="1" t="n"/>
      <c r="H143" s="1" t="n"/>
      <c r="I143" s="1" t="n"/>
      <c r="J143" s="1" t="n"/>
      <c r="K143" s="181" t="n"/>
      <c r="L143" s="181" t="n"/>
      <c r="M143" s="181" t="n"/>
      <c r="N143" s="1" t="n"/>
      <c r="O143" s="181" t="n"/>
      <c r="P143" s="181" t="n"/>
      <c r="Q143" s="18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row>
    <row r="144" ht="15.75" customHeight="1" s="216">
      <c r="A144" s="1" t="n"/>
      <c r="B144" s="1" t="n"/>
      <c r="C144" s="1" t="n"/>
      <c r="D144" s="1" t="n"/>
      <c r="E144" s="181" t="n"/>
      <c r="F144" s="181" t="n"/>
      <c r="G144" s="1" t="n"/>
      <c r="H144" s="1" t="n"/>
      <c r="I144" s="1" t="n"/>
      <c r="J144" s="1" t="n"/>
      <c r="K144" s="181" t="n"/>
      <c r="L144" s="181" t="n"/>
      <c r="M144" s="181" t="n"/>
      <c r="N144" s="1" t="n"/>
      <c r="O144" s="181" t="n"/>
      <c r="P144" s="181" t="n"/>
      <c r="Q144" s="18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row>
    <row r="145" ht="15.75" customHeight="1" s="216">
      <c r="A145" s="1" t="n"/>
      <c r="B145" s="1" t="n"/>
      <c r="C145" s="1" t="n"/>
      <c r="D145" s="1" t="n"/>
      <c r="E145" s="181" t="n"/>
      <c r="F145" s="181" t="n"/>
      <c r="G145" s="1" t="n"/>
      <c r="H145" s="1" t="n"/>
      <c r="I145" s="1" t="n"/>
      <c r="J145" s="1" t="n"/>
      <c r="K145" s="181" t="n"/>
      <c r="L145" s="181" t="n"/>
      <c r="M145" s="181" t="n"/>
      <c r="N145" s="1" t="n"/>
      <c r="O145" s="181" t="n"/>
      <c r="P145" s="181" t="n"/>
      <c r="Q145" s="18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row>
    <row r="146" ht="15.75" customHeight="1" s="216">
      <c r="A146" s="1" t="n"/>
      <c r="B146" s="1" t="n"/>
      <c r="C146" s="1" t="n"/>
      <c r="D146" s="1" t="n"/>
      <c r="E146" s="181" t="n"/>
      <c r="F146" s="181" t="n"/>
      <c r="G146" s="1" t="n"/>
      <c r="H146" s="1" t="n"/>
      <c r="I146" s="1" t="n"/>
      <c r="J146" s="1" t="n"/>
      <c r="K146" s="181" t="n"/>
      <c r="L146" s="181" t="n"/>
      <c r="M146" s="181" t="n"/>
      <c r="N146" s="1" t="n"/>
      <c r="O146" s="181" t="n"/>
      <c r="P146" s="181" t="n"/>
      <c r="Q146" s="18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row>
    <row r="147" ht="15.75" customHeight="1" s="216">
      <c r="A147" s="1" t="n"/>
      <c r="B147" s="1" t="n"/>
      <c r="C147" s="1" t="n"/>
      <c r="D147" s="1" t="n"/>
      <c r="E147" s="181" t="n"/>
      <c r="F147" s="181" t="n"/>
      <c r="G147" s="1" t="n"/>
      <c r="H147" s="1" t="n"/>
      <c r="I147" s="1" t="n"/>
      <c r="J147" s="1" t="n"/>
      <c r="K147" s="181" t="n"/>
      <c r="L147" s="181" t="n"/>
      <c r="M147" s="181" t="n"/>
      <c r="N147" s="1" t="n"/>
      <c r="O147" s="181" t="n"/>
      <c r="P147" s="181" t="n"/>
      <c r="Q147" s="18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row>
    <row r="148" ht="15.75" customHeight="1" s="216">
      <c r="A148" s="1" t="n"/>
      <c r="B148" s="1" t="n"/>
      <c r="C148" s="1" t="n"/>
      <c r="D148" s="1" t="n"/>
      <c r="E148" s="181" t="n"/>
      <c r="F148" s="181" t="n"/>
      <c r="G148" s="1" t="n"/>
      <c r="H148" s="1" t="n"/>
      <c r="I148" s="1" t="n"/>
      <c r="J148" s="1" t="n"/>
      <c r="K148" s="181" t="n"/>
      <c r="L148" s="181" t="n"/>
      <c r="M148" s="181" t="n"/>
      <c r="N148" s="1" t="n"/>
      <c r="O148" s="181" t="n"/>
      <c r="P148" s="181" t="n"/>
      <c r="Q148" s="18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row>
    <row r="149" ht="15.75" customHeight="1" s="216">
      <c r="A149" s="1" t="n"/>
      <c r="B149" s="1" t="n"/>
      <c r="C149" s="1" t="n"/>
      <c r="D149" s="1" t="n"/>
      <c r="E149" s="181" t="n"/>
      <c r="F149" s="181" t="n"/>
      <c r="G149" s="1" t="n"/>
      <c r="H149" s="1" t="n"/>
      <c r="I149" s="1" t="n"/>
      <c r="J149" s="1" t="n"/>
      <c r="K149" s="181" t="n"/>
      <c r="L149" s="181" t="n"/>
      <c r="M149" s="181" t="n"/>
      <c r="N149" s="1" t="n"/>
      <c r="O149" s="181" t="n"/>
      <c r="P149" s="181" t="n"/>
      <c r="Q149" s="18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row>
    <row r="150" ht="15.75" customHeight="1" s="216">
      <c r="A150" s="1" t="n"/>
      <c r="B150" s="1" t="n"/>
      <c r="C150" s="1" t="n"/>
      <c r="D150" s="1" t="n"/>
      <c r="E150" s="181" t="n"/>
      <c r="F150" s="181" t="n"/>
      <c r="G150" s="1" t="n"/>
      <c r="H150" s="1" t="n"/>
      <c r="I150" s="1" t="n"/>
      <c r="J150" s="1" t="n"/>
      <c r="K150" s="181" t="n"/>
      <c r="L150" s="181" t="n"/>
      <c r="M150" s="181" t="n"/>
      <c r="N150" s="1" t="n"/>
      <c r="O150" s="181" t="n"/>
      <c r="P150" s="181" t="n"/>
      <c r="Q150" s="18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row>
    <row r="151" ht="15.75" customHeight="1" s="216">
      <c r="A151" s="1" t="n"/>
      <c r="B151" s="1" t="n"/>
      <c r="C151" s="1" t="n"/>
      <c r="D151" s="1" t="n"/>
      <c r="E151" s="181" t="n"/>
      <c r="F151" s="181" t="n"/>
      <c r="G151" s="1" t="n"/>
      <c r="H151" s="1" t="n"/>
      <c r="I151" s="1" t="n"/>
      <c r="J151" s="1" t="n"/>
      <c r="K151" s="181" t="n"/>
      <c r="L151" s="181" t="n"/>
      <c r="M151" s="181" t="n"/>
      <c r="N151" s="1" t="n"/>
      <c r="O151" s="181" t="n"/>
      <c r="P151" s="181" t="n"/>
      <c r="Q151" s="18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row>
    <row r="152" ht="15.75" customHeight="1" s="216">
      <c r="A152" s="1" t="n"/>
      <c r="B152" s="1" t="n"/>
      <c r="C152" s="1" t="n"/>
      <c r="D152" s="1" t="n"/>
      <c r="E152" s="181" t="n"/>
      <c r="F152" s="181" t="n"/>
      <c r="G152" s="1" t="n"/>
      <c r="H152" s="1" t="n"/>
      <c r="I152" s="1" t="n"/>
      <c r="J152" s="1" t="n"/>
      <c r="K152" s="181" t="n"/>
      <c r="L152" s="181" t="n"/>
      <c r="M152" s="181" t="n"/>
      <c r="N152" s="1" t="n"/>
      <c r="O152" s="181" t="n"/>
      <c r="P152" s="181" t="n"/>
      <c r="Q152" s="18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row>
    <row r="153" ht="15.75" customHeight="1" s="216">
      <c r="A153" s="1" t="n"/>
      <c r="B153" s="1" t="n"/>
      <c r="C153" s="1" t="n"/>
      <c r="D153" s="1" t="n"/>
      <c r="E153" s="181" t="n"/>
      <c r="F153" s="181" t="n"/>
      <c r="G153" s="1" t="n"/>
      <c r="H153" s="1" t="n"/>
      <c r="I153" s="1" t="n"/>
      <c r="J153" s="1" t="n"/>
      <c r="K153" s="181" t="n"/>
      <c r="L153" s="181" t="n"/>
      <c r="M153" s="181" t="n"/>
      <c r="N153" s="1" t="n"/>
      <c r="O153" s="181" t="n"/>
      <c r="P153" s="181" t="n"/>
      <c r="Q153" s="18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row>
    <row r="154" ht="15.75" customHeight="1" s="216">
      <c r="A154" s="1" t="n"/>
      <c r="B154" s="1" t="n"/>
      <c r="C154" s="1" t="n"/>
      <c r="D154" s="1" t="n"/>
      <c r="E154" s="181" t="n"/>
      <c r="F154" s="181" t="n"/>
      <c r="G154" s="1" t="n"/>
      <c r="H154" s="1" t="n"/>
      <c r="I154" s="1" t="n"/>
      <c r="J154" s="1" t="n"/>
      <c r="K154" s="181" t="n"/>
      <c r="L154" s="181" t="n"/>
      <c r="M154" s="181" t="n"/>
      <c r="N154" s="1" t="n"/>
      <c r="O154" s="181" t="n"/>
      <c r="P154" s="181" t="n"/>
      <c r="Q154" s="18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row>
    <row r="155" ht="15.75" customHeight="1" s="216">
      <c r="A155" s="1" t="n"/>
      <c r="B155" s="1" t="n"/>
      <c r="C155" s="1" t="n"/>
      <c r="D155" s="1" t="n"/>
      <c r="E155" s="181" t="n"/>
      <c r="F155" s="181" t="n"/>
      <c r="G155" s="1" t="n"/>
      <c r="H155" s="1" t="n"/>
      <c r="I155" s="1" t="n"/>
      <c r="J155" s="1" t="n"/>
      <c r="K155" s="181" t="n"/>
      <c r="L155" s="181" t="n"/>
      <c r="M155" s="181" t="n"/>
      <c r="N155" s="1" t="n"/>
      <c r="O155" s="181" t="n"/>
      <c r="P155" s="181" t="n"/>
      <c r="Q155" s="18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row>
    <row r="156" ht="15.75" customHeight="1" s="216">
      <c r="A156" s="1" t="n"/>
      <c r="B156" s="1" t="n"/>
      <c r="C156" s="1" t="n"/>
      <c r="D156" s="1" t="n"/>
      <c r="E156" s="181" t="n"/>
      <c r="F156" s="181" t="n"/>
      <c r="G156" s="1" t="n"/>
      <c r="H156" s="1" t="n"/>
      <c r="I156" s="1" t="n"/>
      <c r="J156" s="1" t="n"/>
      <c r="K156" s="181" t="n"/>
      <c r="L156" s="181" t="n"/>
      <c r="M156" s="181" t="n"/>
      <c r="N156" s="1" t="n"/>
      <c r="O156" s="181" t="n"/>
      <c r="P156" s="181" t="n"/>
      <c r="Q156" s="18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row>
    <row r="157" ht="15.75" customHeight="1" s="216">
      <c r="A157" s="1" t="n"/>
      <c r="B157" s="1" t="n"/>
      <c r="C157" s="1" t="n"/>
      <c r="D157" s="1" t="n"/>
      <c r="E157" s="181" t="n"/>
      <c r="F157" s="181" t="n"/>
      <c r="G157" s="1" t="n"/>
      <c r="H157" s="1" t="n"/>
      <c r="I157" s="1" t="n"/>
      <c r="J157" s="1" t="n"/>
      <c r="K157" s="181" t="n"/>
      <c r="L157" s="181" t="n"/>
      <c r="M157" s="181" t="n"/>
      <c r="N157" s="1" t="n"/>
      <c r="O157" s="181" t="n"/>
      <c r="P157" s="181" t="n"/>
      <c r="Q157" s="18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row>
    <row r="158" ht="15.75" customHeight="1" s="216">
      <c r="A158" s="1" t="n"/>
      <c r="B158" s="1" t="n"/>
      <c r="C158" s="1" t="n"/>
      <c r="D158" s="1" t="n"/>
      <c r="E158" s="181" t="n"/>
      <c r="F158" s="181" t="n"/>
      <c r="G158" s="1" t="n"/>
      <c r="H158" s="1" t="n"/>
      <c r="I158" s="1" t="n"/>
      <c r="J158" s="1" t="n"/>
      <c r="K158" s="181" t="n"/>
      <c r="L158" s="181" t="n"/>
      <c r="M158" s="181" t="n"/>
      <c r="N158" s="1" t="n"/>
      <c r="O158" s="181" t="n"/>
      <c r="P158" s="181" t="n"/>
      <c r="Q158" s="18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row>
    <row r="159" ht="15.75" customHeight="1" s="216">
      <c r="A159" s="1" t="n"/>
      <c r="B159" s="1" t="n"/>
      <c r="C159" s="1" t="n"/>
      <c r="D159" s="1" t="n"/>
      <c r="E159" s="181" t="n"/>
      <c r="F159" s="181" t="n"/>
      <c r="G159" s="1" t="n"/>
      <c r="H159" s="1" t="n"/>
      <c r="I159" s="1" t="n"/>
      <c r="J159" s="1" t="n"/>
      <c r="K159" s="181" t="n"/>
      <c r="L159" s="181" t="n"/>
      <c r="M159" s="181" t="n"/>
      <c r="N159" s="1" t="n"/>
      <c r="O159" s="181" t="n"/>
      <c r="P159" s="181" t="n"/>
      <c r="Q159" s="18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row>
    <row r="160" ht="15.75" customHeight="1" s="216">
      <c r="A160" s="1" t="n"/>
      <c r="B160" s="1" t="n"/>
      <c r="C160" s="1" t="n"/>
      <c r="D160" s="1" t="n"/>
      <c r="E160" s="181" t="n"/>
      <c r="F160" s="181" t="n"/>
      <c r="G160" s="1" t="n"/>
      <c r="H160" s="1" t="n"/>
      <c r="I160" s="1" t="n"/>
      <c r="J160" s="1" t="n"/>
      <c r="K160" s="181" t="n"/>
      <c r="L160" s="181" t="n"/>
      <c r="M160" s="181" t="n"/>
      <c r="N160" s="1" t="n"/>
      <c r="O160" s="181" t="n"/>
      <c r="P160" s="181" t="n"/>
      <c r="Q160" s="18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row>
    <row r="161" ht="15.75" customHeight="1" s="216">
      <c r="A161" s="1" t="n"/>
      <c r="B161" s="1" t="n"/>
      <c r="C161" s="1" t="n"/>
      <c r="D161" s="1" t="n"/>
      <c r="E161" s="181" t="n"/>
      <c r="F161" s="181" t="n"/>
      <c r="G161" s="1" t="n"/>
      <c r="H161" s="1" t="n"/>
      <c r="I161" s="1" t="n"/>
      <c r="J161" s="1" t="n"/>
      <c r="K161" s="181" t="n"/>
      <c r="L161" s="181" t="n"/>
      <c r="M161" s="181" t="n"/>
      <c r="N161" s="1" t="n"/>
      <c r="O161" s="181" t="n"/>
      <c r="P161" s="181" t="n"/>
      <c r="Q161" s="18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row>
    <row r="162" ht="15.75" customHeight="1" s="216">
      <c r="A162" s="1" t="n"/>
      <c r="B162" s="1" t="n"/>
      <c r="C162" s="1" t="n"/>
      <c r="D162" s="1" t="n"/>
      <c r="E162" s="181" t="n"/>
      <c r="F162" s="181" t="n"/>
      <c r="G162" s="1" t="n"/>
      <c r="H162" s="1" t="n"/>
      <c r="I162" s="1" t="n"/>
      <c r="J162" s="1" t="n"/>
      <c r="K162" s="181" t="n"/>
      <c r="L162" s="181" t="n"/>
      <c r="M162" s="181" t="n"/>
      <c r="N162" s="1" t="n"/>
      <c r="O162" s="181" t="n"/>
      <c r="P162" s="181" t="n"/>
      <c r="Q162" s="18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row>
    <row r="163" ht="15.75" customHeight="1" s="216">
      <c r="A163" s="1" t="n"/>
      <c r="B163" s="1" t="n"/>
      <c r="C163" s="1" t="n"/>
      <c r="D163" s="1" t="n"/>
      <c r="E163" s="181" t="n"/>
      <c r="F163" s="181" t="n"/>
      <c r="G163" s="1" t="n"/>
      <c r="H163" s="1" t="n"/>
      <c r="I163" s="1" t="n"/>
      <c r="J163" s="1" t="n"/>
      <c r="K163" s="181" t="n"/>
      <c r="L163" s="181" t="n"/>
      <c r="M163" s="181" t="n"/>
      <c r="N163" s="1" t="n"/>
      <c r="O163" s="181" t="n"/>
      <c r="P163" s="181" t="n"/>
      <c r="Q163" s="18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row>
    <row r="164" ht="15.75" customHeight="1" s="216">
      <c r="A164" s="1" t="n"/>
      <c r="B164" s="1" t="n"/>
      <c r="C164" s="1" t="n"/>
      <c r="D164" s="1" t="n"/>
      <c r="E164" s="181" t="n"/>
      <c r="F164" s="181" t="n"/>
      <c r="G164" s="1" t="n"/>
      <c r="H164" s="1" t="n"/>
      <c r="I164" s="1" t="n"/>
      <c r="J164" s="1" t="n"/>
      <c r="K164" s="181" t="n"/>
      <c r="L164" s="181" t="n"/>
      <c r="M164" s="181" t="n"/>
      <c r="N164" s="1" t="n"/>
      <c r="O164" s="181" t="n"/>
      <c r="P164" s="181" t="n"/>
      <c r="Q164" s="18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row>
    <row r="165" ht="15.75" customHeight="1" s="216">
      <c r="A165" s="1" t="n"/>
      <c r="B165" s="1" t="n"/>
      <c r="C165" s="1" t="n"/>
      <c r="D165" s="1" t="n"/>
      <c r="E165" s="181" t="n"/>
      <c r="F165" s="181" t="n"/>
      <c r="G165" s="1" t="n"/>
      <c r="H165" s="1" t="n"/>
      <c r="I165" s="1" t="n"/>
      <c r="J165" s="1" t="n"/>
      <c r="K165" s="181" t="n"/>
      <c r="L165" s="181" t="n"/>
      <c r="M165" s="181" t="n"/>
      <c r="N165" s="1" t="n"/>
      <c r="O165" s="181" t="n"/>
      <c r="P165" s="181" t="n"/>
      <c r="Q165" s="18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row>
    <row r="166" ht="15.75" customHeight="1" s="216">
      <c r="A166" s="1" t="n"/>
      <c r="B166" s="1" t="n"/>
      <c r="C166" s="1" t="n"/>
      <c r="D166" s="1" t="n"/>
      <c r="E166" s="181" t="n"/>
      <c r="F166" s="181" t="n"/>
      <c r="G166" s="1" t="n"/>
      <c r="H166" s="1" t="n"/>
      <c r="I166" s="1" t="n"/>
      <c r="J166" s="1" t="n"/>
      <c r="K166" s="181" t="n"/>
      <c r="L166" s="181" t="n"/>
      <c r="M166" s="181" t="n"/>
      <c r="N166" s="1" t="n"/>
      <c r="O166" s="181" t="n"/>
      <c r="P166" s="181" t="n"/>
      <c r="Q166" s="18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row>
    <row r="167" ht="15.75" customHeight="1" s="216">
      <c r="A167" s="1" t="n"/>
      <c r="B167" s="1" t="n"/>
      <c r="C167" s="1" t="n"/>
      <c r="D167" s="1" t="n"/>
      <c r="E167" s="181" t="n"/>
      <c r="F167" s="181" t="n"/>
      <c r="G167" s="1" t="n"/>
      <c r="H167" s="1" t="n"/>
      <c r="I167" s="1" t="n"/>
      <c r="J167" s="1" t="n"/>
      <c r="K167" s="181" t="n"/>
      <c r="L167" s="181" t="n"/>
      <c r="M167" s="181" t="n"/>
      <c r="N167" s="1" t="n"/>
      <c r="O167" s="181" t="n"/>
      <c r="P167" s="181" t="n"/>
      <c r="Q167" s="18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row>
    <row r="168" ht="15.75" customHeight="1" s="216">
      <c r="A168" s="1" t="n"/>
      <c r="B168" s="1" t="n"/>
      <c r="C168" s="1" t="n"/>
      <c r="D168" s="1" t="n"/>
      <c r="E168" s="181" t="n"/>
      <c r="F168" s="181" t="n"/>
      <c r="G168" s="1" t="n"/>
      <c r="H168" s="1" t="n"/>
      <c r="I168" s="1" t="n"/>
      <c r="J168" s="1" t="n"/>
      <c r="K168" s="181" t="n"/>
      <c r="L168" s="181" t="n"/>
      <c r="M168" s="181" t="n"/>
      <c r="N168" s="1" t="n"/>
      <c r="O168" s="181" t="n"/>
      <c r="P168" s="181" t="n"/>
      <c r="Q168" s="18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row>
    <row r="169" ht="15.75" customHeight="1" s="216">
      <c r="A169" s="1" t="n"/>
      <c r="B169" s="1" t="n"/>
      <c r="C169" s="1" t="n"/>
      <c r="D169" s="1" t="n"/>
      <c r="E169" s="181" t="n"/>
      <c r="F169" s="181" t="n"/>
      <c r="G169" s="1" t="n"/>
      <c r="H169" s="1" t="n"/>
      <c r="I169" s="1" t="n"/>
      <c r="J169" s="1" t="n"/>
      <c r="K169" s="181" t="n"/>
      <c r="L169" s="181" t="n"/>
      <c r="M169" s="181" t="n"/>
      <c r="N169" s="1" t="n"/>
      <c r="O169" s="181" t="n"/>
      <c r="P169" s="181" t="n"/>
      <c r="Q169" s="18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row>
    <row r="170" ht="15.75" customHeight="1" s="216">
      <c r="A170" s="1" t="n"/>
      <c r="B170" s="1" t="n"/>
      <c r="C170" s="1" t="n"/>
      <c r="D170" s="1" t="n"/>
      <c r="E170" s="181" t="n"/>
      <c r="F170" s="181" t="n"/>
      <c r="G170" s="1" t="n"/>
      <c r="H170" s="1" t="n"/>
      <c r="I170" s="1" t="n"/>
      <c r="J170" s="1" t="n"/>
      <c r="K170" s="181" t="n"/>
      <c r="L170" s="181" t="n"/>
      <c r="M170" s="181" t="n"/>
      <c r="N170" s="1" t="n"/>
      <c r="O170" s="181" t="n"/>
      <c r="P170" s="181" t="n"/>
      <c r="Q170" s="18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row>
    <row r="171" ht="15.75" customHeight="1" s="216">
      <c r="A171" s="1" t="n"/>
      <c r="B171" s="1" t="n"/>
      <c r="C171" s="1" t="n"/>
      <c r="D171" s="1" t="n"/>
      <c r="E171" s="181" t="n"/>
      <c r="F171" s="181" t="n"/>
      <c r="G171" s="1" t="n"/>
      <c r="H171" s="1" t="n"/>
      <c r="I171" s="1" t="n"/>
      <c r="J171" s="1" t="n"/>
      <c r="K171" s="181" t="n"/>
      <c r="L171" s="181" t="n"/>
      <c r="M171" s="181" t="n"/>
      <c r="N171" s="1" t="n"/>
      <c r="O171" s="181" t="n"/>
      <c r="P171" s="181" t="n"/>
      <c r="Q171" s="18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row>
    <row r="172" ht="15.75" customHeight="1" s="216">
      <c r="A172" s="1" t="n"/>
      <c r="B172" s="1" t="n"/>
      <c r="C172" s="1" t="n"/>
      <c r="D172" s="1" t="n"/>
      <c r="E172" s="181" t="n"/>
      <c r="F172" s="181" t="n"/>
      <c r="G172" s="1" t="n"/>
      <c r="H172" s="1" t="n"/>
      <c r="I172" s="1" t="n"/>
      <c r="J172" s="1" t="n"/>
      <c r="K172" s="181" t="n"/>
      <c r="L172" s="181" t="n"/>
      <c r="M172" s="181" t="n"/>
      <c r="N172" s="1" t="n"/>
      <c r="O172" s="181" t="n"/>
      <c r="P172" s="181" t="n"/>
      <c r="Q172" s="18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row>
    <row r="173" ht="15.75" customHeight="1" s="216">
      <c r="A173" s="1" t="n"/>
      <c r="B173" s="1" t="n"/>
      <c r="C173" s="1" t="n"/>
      <c r="D173" s="1" t="n"/>
      <c r="E173" s="181" t="n"/>
      <c r="F173" s="181" t="n"/>
      <c r="G173" s="1" t="n"/>
      <c r="H173" s="1" t="n"/>
      <c r="I173" s="1" t="n"/>
      <c r="J173" s="1" t="n"/>
      <c r="K173" s="181" t="n"/>
      <c r="L173" s="181" t="n"/>
      <c r="M173" s="181" t="n"/>
      <c r="N173" s="1" t="n"/>
      <c r="O173" s="181" t="n"/>
      <c r="P173" s="181" t="n"/>
      <c r="Q173" s="18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row>
    <row r="174" ht="15.75" customHeight="1" s="216">
      <c r="A174" s="1" t="n"/>
      <c r="B174" s="1" t="n"/>
      <c r="C174" s="1" t="n"/>
      <c r="D174" s="1" t="n"/>
      <c r="E174" s="181" t="n"/>
      <c r="F174" s="181" t="n"/>
      <c r="G174" s="1" t="n"/>
      <c r="H174" s="1" t="n"/>
      <c r="I174" s="1" t="n"/>
      <c r="J174" s="1" t="n"/>
      <c r="K174" s="181" t="n"/>
      <c r="L174" s="181" t="n"/>
      <c r="M174" s="181" t="n"/>
      <c r="N174" s="1" t="n"/>
      <c r="O174" s="181" t="n"/>
      <c r="P174" s="181" t="n"/>
      <c r="Q174" s="18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row>
    <row r="175" ht="15.75" customHeight="1" s="216">
      <c r="A175" s="1" t="n"/>
      <c r="B175" s="1" t="n"/>
      <c r="C175" s="1" t="n"/>
      <c r="D175" s="1" t="n"/>
      <c r="E175" s="181" t="n"/>
      <c r="F175" s="181" t="n"/>
      <c r="G175" s="1" t="n"/>
      <c r="H175" s="1" t="n"/>
      <c r="I175" s="1" t="n"/>
      <c r="J175" s="1" t="n"/>
      <c r="K175" s="181" t="n"/>
      <c r="L175" s="181" t="n"/>
      <c r="M175" s="181" t="n"/>
      <c r="N175" s="1" t="n"/>
      <c r="O175" s="181" t="n"/>
      <c r="P175" s="181" t="n"/>
      <c r="Q175" s="18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row>
    <row r="176" ht="15.75" customHeight="1" s="216">
      <c r="A176" s="1" t="n"/>
      <c r="B176" s="1" t="n"/>
      <c r="C176" s="1" t="n"/>
      <c r="D176" s="1" t="n"/>
      <c r="E176" s="181" t="n"/>
      <c r="F176" s="181" t="n"/>
      <c r="G176" s="1" t="n"/>
      <c r="H176" s="1" t="n"/>
      <c r="I176" s="1" t="n"/>
      <c r="J176" s="1" t="n"/>
      <c r="K176" s="181" t="n"/>
      <c r="L176" s="181" t="n"/>
      <c r="M176" s="181" t="n"/>
      <c r="N176" s="1" t="n"/>
      <c r="O176" s="181" t="n"/>
      <c r="P176" s="181" t="n"/>
      <c r="Q176" s="18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row>
    <row r="177" ht="15.75" customHeight="1" s="216">
      <c r="A177" s="1" t="n"/>
      <c r="B177" s="1" t="n"/>
      <c r="C177" s="1" t="n"/>
      <c r="D177" s="1" t="n"/>
      <c r="E177" s="181" t="n"/>
      <c r="F177" s="181" t="n"/>
      <c r="G177" s="1" t="n"/>
      <c r="H177" s="1" t="n"/>
      <c r="I177" s="1" t="n"/>
      <c r="J177" s="1" t="n"/>
      <c r="K177" s="181" t="n"/>
      <c r="L177" s="181" t="n"/>
      <c r="M177" s="181" t="n"/>
      <c r="N177" s="1" t="n"/>
      <c r="O177" s="181" t="n"/>
      <c r="P177" s="181" t="n"/>
      <c r="Q177" s="18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row>
    <row r="178" ht="15.75" customHeight="1" s="216">
      <c r="A178" s="1" t="n"/>
      <c r="B178" s="1" t="n"/>
      <c r="C178" s="1" t="n"/>
      <c r="D178" s="1" t="n"/>
      <c r="E178" s="181" t="n"/>
      <c r="F178" s="181" t="n"/>
      <c r="G178" s="1" t="n"/>
      <c r="H178" s="1" t="n"/>
      <c r="I178" s="1" t="n"/>
      <c r="J178" s="1" t="n"/>
      <c r="K178" s="181" t="n"/>
      <c r="L178" s="181" t="n"/>
      <c r="M178" s="181" t="n"/>
      <c r="N178" s="1" t="n"/>
      <c r="O178" s="181" t="n"/>
      <c r="P178" s="181" t="n"/>
      <c r="Q178" s="18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row>
    <row r="179" ht="15.75" customHeight="1" s="216">
      <c r="A179" s="1" t="n"/>
      <c r="B179" s="1" t="n"/>
      <c r="C179" s="1" t="n"/>
      <c r="D179" s="1" t="n"/>
      <c r="E179" s="181" t="n"/>
      <c r="F179" s="181" t="n"/>
      <c r="G179" s="1" t="n"/>
      <c r="H179" s="1" t="n"/>
      <c r="I179" s="1" t="n"/>
      <c r="J179" s="1" t="n"/>
      <c r="K179" s="181" t="n"/>
      <c r="L179" s="181" t="n"/>
      <c r="M179" s="181" t="n"/>
      <c r="N179" s="1" t="n"/>
      <c r="O179" s="181" t="n"/>
      <c r="P179" s="181" t="n"/>
      <c r="Q179" s="18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row>
    <row r="180" ht="15.75" customHeight="1" s="216">
      <c r="A180" s="1" t="n"/>
      <c r="B180" s="1" t="n"/>
      <c r="C180" s="1" t="n"/>
      <c r="D180" s="1" t="n"/>
      <c r="E180" s="181" t="n"/>
      <c r="F180" s="181" t="n"/>
      <c r="G180" s="1" t="n"/>
      <c r="H180" s="1" t="n"/>
      <c r="I180" s="1" t="n"/>
      <c r="J180" s="1" t="n"/>
      <c r="K180" s="181" t="n"/>
      <c r="L180" s="181" t="n"/>
      <c r="M180" s="181" t="n"/>
      <c r="N180" s="1" t="n"/>
      <c r="O180" s="181" t="n"/>
      <c r="P180" s="181" t="n"/>
      <c r="Q180" s="18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row>
    <row r="181" ht="15.75" customHeight="1" s="216">
      <c r="A181" s="1" t="n"/>
      <c r="B181" s="1" t="n"/>
      <c r="C181" s="1" t="n"/>
      <c r="D181" s="1" t="n"/>
      <c r="E181" s="181" t="n"/>
      <c r="F181" s="181" t="n"/>
      <c r="G181" s="1" t="n"/>
      <c r="H181" s="1" t="n"/>
      <c r="I181" s="1" t="n"/>
      <c r="J181" s="1" t="n"/>
      <c r="K181" s="181" t="n"/>
      <c r="L181" s="181" t="n"/>
      <c r="M181" s="181" t="n"/>
      <c r="N181" s="1" t="n"/>
      <c r="O181" s="181" t="n"/>
      <c r="P181" s="181" t="n"/>
      <c r="Q181" s="18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row>
    <row r="182" ht="15.75" customHeight="1" s="216">
      <c r="A182" s="1" t="n"/>
      <c r="B182" s="1" t="n"/>
      <c r="C182" s="1" t="n"/>
      <c r="D182" s="1" t="n"/>
      <c r="E182" s="181" t="n"/>
      <c r="F182" s="181" t="n"/>
      <c r="G182" s="1" t="n"/>
      <c r="H182" s="1" t="n"/>
      <c r="I182" s="1" t="n"/>
      <c r="J182" s="1" t="n"/>
      <c r="K182" s="181" t="n"/>
      <c r="L182" s="181" t="n"/>
      <c r="M182" s="181" t="n"/>
      <c r="N182" s="1" t="n"/>
      <c r="O182" s="181" t="n"/>
      <c r="P182" s="181" t="n"/>
      <c r="Q182" s="18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row>
    <row r="183" ht="15.75" customHeight="1" s="216">
      <c r="A183" s="1" t="n"/>
      <c r="B183" s="1" t="n"/>
      <c r="C183" s="1" t="n"/>
      <c r="D183" s="1" t="n"/>
      <c r="E183" s="181" t="n"/>
      <c r="F183" s="181" t="n"/>
      <c r="G183" s="1" t="n"/>
      <c r="H183" s="1" t="n"/>
      <c r="I183" s="1" t="n"/>
      <c r="J183" s="1" t="n"/>
      <c r="K183" s="181" t="n"/>
      <c r="L183" s="181" t="n"/>
      <c r="M183" s="181" t="n"/>
      <c r="N183" s="1" t="n"/>
      <c r="O183" s="181" t="n"/>
      <c r="P183" s="181" t="n"/>
      <c r="Q183" s="18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row>
    <row r="184" ht="15.75" customHeight="1" s="216">
      <c r="A184" s="1" t="n"/>
      <c r="B184" s="1" t="n"/>
      <c r="C184" s="1" t="n"/>
      <c r="D184" s="1" t="n"/>
      <c r="E184" s="181" t="n"/>
      <c r="F184" s="181" t="n"/>
      <c r="G184" s="1" t="n"/>
      <c r="H184" s="1" t="n"/>
      <c r="I184" s="1" t="n"/>
      <c r="J184" s="1" t="n"/>
      <c r="K184" s="181" t="n"/>
      <c r="L184" s="181" t="n"/>
      <c r="M184" s="181" t="n"/>
      <c r="N184" s="1" t="n"/>
      <c r="O184" s="181" t="n"/>
      <c r="P184" s="181" t="n"/>
      <c r="Q184" s="18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row>
    <row r="185" ht="15.75" customHeight="1" s="216">
      <c r="A185" s="1" t="n"/>
      <c r="B185" s="1" t="n"/>
      <c r="C185" s="1" t="n"/>
      <c r="D185" s="1" t="n"/>
      <c r="E185" s="181" t="n"/>
      <c r="F185" s="181" t="n"/>
      <c r="G185" s="1" t="n"/>
      <c r="H185" s="1" t="n"/>
      <c r="I185" s="1" t="n"/>
      <c r="J185" s="1" t="n"/>
      <c r="K185" s="181" t="n"/>
      <c r="L185" s="181" t="n"/>
      <c r="M185" s="181" t="n"/>
      <c r="N185" s="1" t="n"/>
      <c r="O185" s="181" t="n"/>
      <c r="P185" s="181" t="n"/>
      <c r="Q185" s="18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row>
    <row r="186" ht="15.75" customHeight="1" s="216">
      <c r="A186" s="1" t="n"/>
      <c r="B186" s="1" t="n"/>
      <c r="C186" s="1" t="n"/>
      <c r="D186" s="1" t="n"/>
      <c r="E186" s="181" t="n"/>
      <c r="F186" s="181" t="n"/>
      <c r="G186" s="1" t="n"/>
      <c r="H186" s="1" t="n"/>
      <c r="I186" s="1" t="n"/>
      <c r="J186" s="1" t="n"/>
      <c r="K186" s="181" t="n"/>
      <c r="L186" s="181" t="n"/>
      <c r="M186" s="181" t="n"/>
      <c r="N186" s="1" t="n"/>
      <c r="O186" s="181" t="n"/>
      <c r="P186" s="181" t="n"/>
      <c r="Q186" s="18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row>
    <row r="187" ht="15.75" customHeight="1" s="216">
      <c r="A187" s="1" t="n"/>
      <c r="B187" s="1" t="n"/>
      <c r="C187" s="1" t="n"/>
      <c r="D187" s="1" t="n"/>
      <c r="E187" s="181" t="n"/>
      <c r="F187" s="181" t="n"/>
      <c r="G187" s="1" t="n"/>
      <c r="H187" s="1" t="n"/>
      <c r="I187" s="1" t="n"/>
      <c r="J187" s="1" t="n"/>
      <c r="K187" s="181" t="n"/>
      <c r="L187" s="181" t="n"/>
      <c r="M187" s="181" t="n"/>
      <c r="N187" s="1" t="n"/>
      <c r="O187" s="181" t="n"/>
      <c r="P187" s="181" t="n"/>
      <c r="Q187" s="18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row>
    <row r="188" ht="15.75" customHeight="1" s="216">
      <c r="A188" s="1" t="n"/>
      <c r="B188" s="1" t="n"/>
      <c r="C188" s="1" t="n"/>
      <c r="D188" s="1" t="n"/>
      <c r="E188" s="181" t="n"/>
      <c r="F188" s="181" t="n"/>
      <c r="G188" s="1" t="n"/>
      <c r="H188" s="1" t="n"/>
      <c r="I188" s="1" t="n"/>
      <c r="J188" s="1" t="n"/>
      <c r="K188" s="181" t="n"/>
      <c r="L188" s="181" t="n"/>
      <c r="M188" s="181" t="n"/>
      <c r="N188" s="1" t="n"/>
      <c r="O188" s="181" t="n"/>
      <c r="P188" s="181" t="n"/>
      <c r="Q188" s="18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row>
    <row r="189" ht="15.75" customHeight="1" s="216">
      <c r="A189" s="1" t="n"/>
      <c r="B189" s="1" t="n"/>
      <c r="C189" s="1" t="n"/>
      <c r="D189" s="1" t="n"/>
      <c r="E189" s="181" t="n"/>
      <c r="F189" s="181" t="n"/>
      <c r="G189" s="1" t="n"/>
      <c r="H189" s="1" t="n"/>
      <c r="I189" s="1" t="n"/>
      <c r="J189" s="1" t="n"/>
      <c r="K189" s="181" t="n"/>
      <c r="L189" s="181" t="n"/>
      <c r="M189" s="181" t="n"/>
      <c r="N189" s="1" t="n"/>
      <c r="O189" s="181" t="n"/>
      <c r="P189" s="181" t="n"/>
      <c r="Q189" s="18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row>
    <row r="190" ht="15.75" customHeight="1" s="216">
      <c r="A190" s="1" t="n"/>
      <c r="B190" s="1" t="n"/>
      <c r="C190" s="1" t="n"/>
      <c r="D190" s="1" t="n"/>
      <c r="E190" s="181" t="n"/>
      <c r="F190" s="181" t="n"/>
      <c r="G190" s="1" t="n"/>
      <c r="H190" s="1" t="n"/>
      <c r="I190" s="1" t="n"/>
      <c r="J190" s="1" t="n"/>
      <c r="K190" s="181" t="n"/>
      <c r="L190" s="181" t="n"/>
      <c r="M190" s="181" t="n"/>
      <c r="N190" s="1" t="n"/>
      <c r="O190" s="181" t="n"/>
      <c r="P190" s="181" t="n"/>
      <c r="Q190" s="18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row>
    <row r="191" ht="15.75" customHeight="1" s="216">
      <c r="A191" s="1" t="n"/>
      <c r="B191" s="1" t="n"/>
      <c r="C191" s="1" t="n"/>
      <c r="D191" s="1" t="n"/>
      <c r="E191" s="181" t="n"/>
      <c r="F191" s="181" t="n"/>
      <c r="G191" s="1" t="n"/>
      <c r="H191" s="1" t="n"/>
      <c r="I191" s="1" t="n"/>
      <c r="J191" s="1" t="n"/>
      <c r="K191" s="181" t="n"/>
      <c r="L191" s="181" t="n"/>
      <c r="M191" s="181" t="n"/>
      <c r="N191" s="1" t="n"/>
      <c r="O191" s="181" t="n"/>
      <c r="P191" s="181" t="n"/>
      <c r="Q191" s="18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row>
    <row r="192" ht="15.75" customHeight="1" s="216">
      <c r="A192" s="1" t="n"/>
      <c r="B192" s="1" t="n"/>
      <c r="C192" s="1" t="n"/>
      <c r="D192" s="1" t="n"/>
      <c r="E192" s="181" t="n"/>
      <c r="F192" s="181" t="n"/>
      <c r="G192" s="1" t="n"/>
      <c r="H192" s="1" t="n"/>
      <c r="I192" s="1" t="n"/>
      <c r="J192" s="1" t="n"/>
      <c r="K192" s="181" t="n"/>
      <c r="L192" s="181" t="n"/>
      <c r="M192" s="181" t="n"/>
      <c r="N192" s="1" t="n"/>
      <c r="O192" s="181" t="n"/>
      <c r="P192" s="181" t="n"/>
      <c r="Q192" s="18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row>
    <row r="193" ht="15.75" customHeight="1" s="216">
      <c r="A193" s="1" t="n"/>
      <c r="B193" s="1" t="n"/>
      <c r="C193" s="1" t="n"/>
      <c r="D193" s="1" t="n"/>
      <c r="E193" s="181" t="n"/>
      <c r="F193" s="181" t="n"/>
      <c r="G193" s="1" t="n"/>
      <c r="H193" s="1" t="n"/>
      <c r="I193" s="1" t="n"/>
      <c r="J193" s="1" t="n"/>
      <c r="K193" s="181" t="n"/>
      <c r="L193" s="181" t="n"/>
      <c r="M193" s="181" t="n"/>
      <c r="N193" s="1" t="n"/>
      <c r="O193" s="181" t="n"/>
      <c r="P193" s="181" t="n"/>
      <c r="Q193" s="18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row>
    <row r="194" ht="15.75" customHeight="1" s="216">
      <c r="A194" s="1" t="n"/>
      <c r="B194" s="1" t="n"/>
      <c r="C194" s="1" t="n"/>
      <c r="D194" s="1" t="n"/>
      <c r="E194" s="181" t="n"/>
      <c r="F194" s="181" t="n"/>
      <c r="G194" s="1" t="n"/>
      <c r="H194" s="1" t="n"/>
      <c r="I194" s="1" t="n"/>
      <c r="J194" s="1" t="n"/>
      <c r="K194" s="181" t="n"/>
      <c r="L194" s="181" t="n"/>
      <c r="M194" s="181" t="n"/>
      <c r="N194" s="1" t="n"/>
      <c r="O194" s="181" t="n"/>
      <c r="P194" s="181" t="n"/>
      <c r="Q194" s="18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row>
    <row r="195" ht="15.75" customHeight="1" s="216">
      <c r="A195" s="1" t="n"/>
      <c r="B195" s="1" t="n"/>
      <c r="C195" s="1" t="n"/>
      <c r="D195" s="1" t="n"/>
      <c r="E195" s="181" t="n"/>
      <c r="F195" s="181" t="n"/>
      <c r="G195" s="1" t="n"/>
      <c r="H195" s="1" t="n"/>
      <c r="I195" s="1" t="n"/>
      <c r="J195" s="1" t="n"/>
      <c r="K195" s="181" t="n"/>
      <c r="L195" s="181" t="n"/>
      <c r="M195" s="181" t="n"/>
      <c r="N195" s="1" t="n"/>
      <c r="O195" s="181" t="n"/>
      <c r="P195" s="181" t="n"/>
      <c r="Q195" s="18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row>
    <row r="196" ht="15.75" customHeight="1" s="216">
      <c r="A196" s="1" t="n"/>
      <c r="B196" s="1" t="n"/>
      <c r="C196" s="1" t="n"/>
      <c r="D196" s="1" t="n"/>
      <c r="E196" s="181" t="n"/>
      <c r="F196" s="181" t="n"/>
      <c r="G196" s="1" t="n"/>
      <c r="H196" s="1" t="n"/>
      <c r="I196" s="1" t="n"/>
      <c r="J196" s="1" t="n"/>
      <c r="K196" s="181" t="n"/>
      <c r="L196" s="181" t="n"/>
      <c r="M196" s="181" t="n"/>
      <c r="N196" s="1" t="n"/>
      <c r="O196" s="181" t="n"/>
      <c r="P196" s="181" t="n"/>
      <c r="Q196" s="18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row>
    <row r="197" ht="15.75" customHeight="1" s="216">
      <c r="A197" s="1" t="n"/>
      <c r="B197" s="1" t="n"/>
      <c r="C197" s="1" t="n"/>
      <c r="D197" s="1" t="n"/>
      <c r="E197" s="181" t="n"/>
      <c r="F197" s="181" t="n"/>
      <c r="G197" s="1" t="n"/>
      <c r="H197" s="1" t="n"/>
      <c r="I197" s="1" t="n"/>
      <c r="J197" s="1" t="n"/>
      <c r="K197" s="181" t="n"/>
      <c r="L197" s="181" t="n"/>
      <c r="M197" s="181" t="n"/>
      <c r="N197" s="1" t="n"/>
      <c r="O197" s="181" t="n"/>
      <c r="P197" s="181" t="n"/>
      <c r="Q197" s="18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row>
    <row r="198" ht="15.75" customHeight="1" s="216">
      <c r="A198" s="1" t="n"/>
      <c r="B198" s="1" t="n"/>
      <c r="C198" s="1" t="n"/>
      <c r="D198" s="1" t="n"/>
      <c r="E198" s="181" t="n"/>
      <c r="F198" s="181" t="n"/>
      <c r="G198" s="1" t="n"/>
      <c r="H198" s="1" t="n"/>
      <c r="I198" s="1" t="n"/>
      <c r="J198" s="1" t="n"/>
      <c r="K198" s="181" t="n"/>
      <c r="L198" s="181" t="n"/>
      <c r="M198" s="181" t="n"/>
      <c r="N198" s="1" t="n"/>
      <c r="O198" s="181" t="n"/>
      <c r="P198" s="181" t="n"/>
      <c r="Q198" s="18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row>
    <row r="199" ht="15.75" customHeight="1" s="216">
      <c r="A199" s="1" t="n"/>
      <c r="B199" s="1" t="n"/>
      <c r="C199" s="1" t="n"/>
      <c r="D199" s="1" t="n"/>
      <c r="E199" s="181" t="n"/>
      <c r="F199" s="181" t="n"/>
      <c r="G199" s="1" t="n"/>
      <c r="H199" s="1" t="n"/>
      <c r="I199" s="1" t="n"/>
      <c r="J199" s="1" t="n"/>
      <c r="K199" s="181" t="n"/>
      <c r="L199" s="181" t="n"/>
      <c r="M199" s="181" t="n"/>
      <c r="N199" s="1" t="n"/>
      <c r="O199" s="181" t="n"/>
      <c r="P199" s="181" t="n"/>
      <c r="Q199" s="18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row>
    <row r="200" ht="15.75" customHeight="1" s="216">
      <c r="A200" s="1" t="n"/>
      <c r="B200" s="1" t="n"/>
      <c r="C200" s="1" t="n"/>
      <c r="D200" s="1" t="n"/>
      <c r="E200" s="181" t="n"/>
      <c r="F200" s="181" t="n"/>
      <c r="G200" s="1" t="n"/>
      <c r="H200" s="1" t="n"/>
      <c r="I200" s="1" t="n"/>
      <c r="J200" s="1" t="n"/>
      <c r="K200" s="181" t="n"/>
      <c r="L200" s="181" t="n"/>
      <c r="M200" s="181" t="n"/>
      <c r="N200" s="1" t="n"/>
      <c r="O200" s="181" t="n"/>
      <c r="P200" s="181" t="n"/>
      <c r="Q200" s="18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row>
    <row r="201" ht="15.75" customHeight="1" s="216">
      <c r="A201" s="1" t="n"/>
      <c r="B201" s="1" t="n"/>
      <c r="C201" s="1" t="n"/>
      <c r="D201" s="1" t="n"/>
      <c r="E201" s="181" t="n"/>
      <c r="F201" s="181" t="n"/>
      <c r="G201" s="1" t="n"/>
      <c r="H201" s="1" t="n"/>
      <c r="I201" s="1" t="n"/>
      <c r="J201" s="1" t="n"/>
      <c r="K201" s="181" t="n"/>
      <c r="L201" s="181" t="n"/>
      <c r="M201" s="181" t="n"/>
      <c r="N201" s="1" t="n"/>
      <c r="O201" s="181" t="n"/>
      <c r="P201" s="181" t="n"/>
      <c r="Q201" s="18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row>
    <row r="202" ht="15.75" customHeight="1" s="216">
      <c r="A202" s="1" t="n"/>
      <c r="B202" s="1" t="n"/>
      <c r="C202" s="1" t="n"/>
      <c r="D202" s="1" t="n"/>
      <c r="E202" s="181" t="n"/>
      <c r="F202" s="181" t="n"/>
      <c r="G202" s="1" t="n"/>
      <c r="H202" s="1" t="n"/>
      <c r="I202" s="1" t="n"/>
      <c r="J202" s="1" t="n"/>
      <c r="K202" s="181" t="n"/>
      <c r="L202" s="181" t="n"/>
      <c r="M202" s="181" t="n"/>
      <c r="N202" s="1" t="n"/>
      <c r="O202" s="181" t="n"/>
      <c r="P202" s="181" t="n"/>
      <c r="Q202" s="18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row>
    <row r="203" ht="15.75" customHeight="1" s="216">
      <c r="A203" s="1" t="n"/>
      <c r="B203" s="1" t="n"/>
      <c r="C203" s="1" t="n"/>
      <c r="D203" s="1" t="n"/>
      <c r="E203" s="181" t="n"/>
      <c r="F203" s="181" t="n"/>
      <c r="G203" s="1" t="n"/>
      <c r="H203" s="1" t="n"/>
      <c r="I203" s="1" t="n"/>
      <c r="J203" s="1" t="n"/>
      <c r="K203" s="181" t="n"/>
      <c r="L203" s="181" t="n"/>
      <c r="M203" s="181" t="n"/>
      <c r="N203" s="1" t="n"/>
      <c r="O203" s="181" t="n"/>
      <c r="P203" s="181" t="n"/>
      <c r="Q203" s="18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row>
    <row r="204" ht="15.75" customHeight="1" s="216">
      <c r="A204" s="1" t="n"/>
      <c r="B204" s="1" t="n"/>
      <c r="C204" s="1" t="n"/>
      <c r="D204" s="1" t="n"/>
      <c r="E204" s="181" t="n"/>
      <c r="F204" s="181" t="n"/>
      <c r="G204" s="1" t="n"/>
      <c r="H204" s="1" t="n"/>
      <c r="I204" s="1" t="n"/>
      <c r="J204" s="1" t="n"/>
      <c r="K204" s="181" t="n"/>
      <c r="L204" s="181" t="n"/>
      <c r="M204" s="181" t="n"/>
      <c r="N204" s="1" t="n"/>
      <c r="O204" s="181" t="n"/>
      <c r="P204" s="181" t="n"/>
      <c r="Q204" s="18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row>
    <row r="205" ht="15.75" customHeight="1" s="216">
      <c r="A205" s="1" t="n"/>
      <c r="B205" s="1" t="n"/>
      <c r="C205" s="1" t="n"/>
      <c r="D205" s="1" t="n"/>
      <c r="E205" s="181" t="n"/>
      <c r="F205" s="181" t="n"/>
      <c r="G205" s="1" t="n"/>
      <c r="H205" s="1" t="n"/>
      <c r="I205" s="1" t="n"/>
      <c r="J205" s="1" t="n"/>
      <c r="K205" s="181" t="n"/>
      <c r="L205" s="181" t="n"/>
      <c r="M205" s="181" t="n"/>
      <c r="N205" s="1" t="n"/>
      <c r="O205" s="181" t="n"/>
      <c r="P205" s="181" t="n"/>
      <c r="Q205" s="18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row>
    <row r="206" ht="15.75" customHeight="1" s="216">
      <c r="A206" s="1" t="n"/>
      <c r="B206" s="1" t="n"/>
      <c r="C206" s="1" t="n"/>
      <c r="D206" s="1" t="n"/>
      <c r="E206" s="181" t="n"/>
      <c r="F206" s="181" t="n"/>
      <c r="G206" s="1" t="n"/>
      <c r="H206" s="1" t="n"/>
      <c r="I206" s="1" t="n"/>
      <c r="J206" s="1" t="n"/>
      <c r="K206" s="181" t="n"/>
      <c r="L206" s="181" t="n"/>
      <c r="M206" s="181" t="n"/>
      <c r="N206" s="1" t="n"/>
      <c r="O206" s="181" t="n"/>
      <c r="P206" s="181" t="n"/>
      <c r="Q206" s="18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row>
    <row r="207" ht="15.75" customHeight="1" s="216">
      <c r="A207" s="1" t="n"/>
      <c r="B207" s="1" t="n"/>
      <c r="C207" s="1" t="n"/>
      <c r="D207" s="1" t="n"/>
      <c r="E207" s="181" t="n"/>
      <c r="F207" s="181" t="n"/>
      <c r="G207" s="1" t="n"/>
      <c r="H207" s="1" t="n"/>
      <c r="I207" s="1" t="n"/>
      <c r="J207" s="1" t="n"/>
      <c r="K207" s="181" t="n"/>
      <c r="L207" s="181" t="n"/>
      <c r="M207" s="181" t="n"/>
      <c r="N207" s="1" t="n"/>
      <c r="O207" s="181" t="n"/>
      <c r="P207" s="181" t="n"/>
      <c r="Q207" s="18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row>
    <row r="208" ht="15.75" customHeight="1" s="216">
      <c r="A208" s="1" t="n"/>
      <c r="B208" s="1" t="n"/>
      <c r="C208" s="1" t="n"/>
      <c r="D208" s="1" t="n"/>
      <c r="E208" s="181" t="n"/>
      <c r="F208" s="181" t="n"/>
      <c r="G208" s="1" t="n"/>
      <c r="H208" s="1" t="n"/>
      <c r="I208" s="1" t="n"/>
      <c r="J208" s="1" t="n"/>
      <c r="K208" s="181" t="n"/>
      <c r="L208" s="181" t="n"/>
      <c r="M208" s="181" t="n"/>
      <c r="N208" s="1" t="n"/>
      <c r="O208" s="181" t="n"/>
      <c r="P208" s="181" t="n"/>
      <c r="Q208" s="18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row>
    <row r="209" ht="15.75" customHeight="1" s="216">
      <c r="A209" s="1" t="n"/>
      <c r="B209" s="1" t="n"/>
      <c r="C209" s="1" t="n"/>
      <c r="D209" s="1" t="n"/>
      <c r="E209" s="181" t="n"/>
      <c r="F209" s="181" t="n"/>
      <c r="G209" s="1" t="n"/>
      <c r="H209" s="1" t="n"/>
      <c r="I209" s="1" t="n"/>
      <c r="J209" s="1" t="n"/>
      <c r="K209" s="181" t="n"/>
      <c r="L209" s="181" t="n"/>
      <c r="M209" s="181" t="n"/>
      <c r="N209" s="1" t="n"/>
      <c r="O209" s="181" t="n"/>
      <c r="P209" s="181" t="n"/>
      <c r="Q209" s="18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row>
    <row r="210" ht="15.75" customHeight="1" s="216">
      <c r="A210" s="1" t="n"/>
      <c r="B210" s="1" t="n"/>
      <c r="C210" s="1" t="n"/>
      <c r="D210" s="1" t="n"/>
      <c r="E210" s="181" t="n"/>
      <c r="F210" s="181" t="n"/>
      <c r="G210" s="1" t="n"/>
      <c r="H210" s="1" t="n"/>
      <c r="I210" s="1" t="n"/>
      <c r="J210" s="1" t="n"/>
      <c r="K210" s="181" t="n"/>
      <c r="L210" s="181" t="n"/>
      <c r="M210" s="181" t="n"/>
      <c r="N210" s="1" t="n"/>
      <c r="O210" s="181" t="n"/>
      <c r="P210" s="181" t="n"/>
      <c r="Q210" s="18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row>
    <row r="211" ht="15.75" customHeight="1" s="216">
      <c r="A211" s="1" t="n"/>
      <c r="B211" s="1" t="n"/>
      <c r="C211" s="1" t="n"/>
      <c r="D211" s="1" t="n"/>
      <c r="E211" s="181" t="n"/>
      <c r="F211" s="181" t="n"/>
      <c r="G211" s="1" t="n"/>
      <c r="H211" s="1" t="n"/>
      <c r="I211" s="1" t="n"/>
      <c r="J211" s="1" t="n"/>
      <c r="K211" s="181" t="n"/>
      <c r="L211" s="181" t="n"/>
      <c r="M211" s="181" t="n"/>
      <c r="N211" s="1" t="n"/>
      <c r="O211" s="181" t="n"/>
      <c r="P211" s="181" t="n"/>
      <c r="Q211" s="18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row>
    <row r="212" ht="15.75" customHeight="1" s="216">
      <c r="A212" s="1" t="n"/>
      <c r="B212" s="1" t="n"/>
      <c r="C212" s="1" t="n"/>
      <c r="D212" s="1" t="n"/>
      <c r="E212" s="181" t="n"/>
      <c r="F212" s="181" t="n"/>
      <c r="G212" s="1" t="n"/>
      <c r="H212" s="1" t="n"/>
      <c r="I212" s="1" t="n"/>
      <c r="J212" s="1" t="n"/>
      <c r="K212" s="181" t="n"/>
      <c r="L212" s="181" t="n"/>
      <c r="M212" s="181" t="n"/>
      <c r="N212" s="1" t="n"/>
      <c r="O212" s="181" t="n"/>
      <c r="P212" s="181" t="n"/>
      <c r="Q212" s="18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row>
    <row r="213" ht="15.75" customHeight="1" s="216">
      <c r="A213" s="1" t="n"/>
      <c r="B213" s="1" t="n"/>
      <c r="C213" s="1" t="n"/>
      <c r="D213" s="1" t="n"/>
      <c r="E213" s="181" t="n"/>
      <c r="F213" s="181" t="n"/>
      <c r="G213" s="1" t="n"/>
      <c r="H213" s="1" t="n"/>
      <c r="I213" s="1" t="n"/>
      <c r="J213" s="1" t="n"/>
      <c r="K213" s="181" t="n"/>
      <c r="L213" s="181" t="n"/>
      <c r="M213" s="181" t="n"/>
      <c r="N213" s="1" t="n"/>
      <c r="O213" s="181" t="n"/>
      <c r="P213" s="181" t="n"/>
      <c r="Q213" s="18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row>
    <row r="214" ht="15.75" customHeight="1" s="216">
      <c r="A214" s="1" t="n"/>
      <c r="B214" s="1" t="n"/>
      <c r="C214" s="1" t="n"/>
      <c r="D214" s="1" t="n"/>
      <c r="E214" s="181" t="n"/>
      <c r="F214" s="181" t="n"/>
      <c r="G214" s="1" t="n"/>
      <c r="H214" s="1" t="n"/>
      <c r="I214" s="1" t="n"/>
      <c r="J214" s="1" t="n"/>
      <c r="K214" s="181" t="n"/>
      <c r="L214" s="181" t="n"/>
      <c r="M214" s="181" t="n"/>
      <c r="N214" s="1" t="n"/>
      <c r="O214" s="181" t="n"/>
      <c r="P214" s="181" t="n"/>
      <c r="Q214" s="18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row>
    <row r="215" ht="15.75" customHeight="1" s="216">
      <c r="A215" s="1" t="n"/>
      <c r="B215" s="1" t="n"/>
      <c r="C215" s="1" t="n"/>
      <c r="D215" s="1" t="n"/>
      <c r="E215" s="181" t="n"/>
      <c r="F215" s="181" t="n"/>
      <c r="G215" s="1" t="n"/>
      <c r="H215" s="1" t="n"/>
      <c r="I215" s="1" t="n"/>
      <c r="J215" s="1" t="n"/>
      <c r="K215" s="181" t="n"/>
      <c r="L215" s="181" t="n"/>
      <c r="M215" s="181" t="n"/>
      <c r="N215" s="1" t="n"/>
      <c r="O215" s="181" t="n"/>
      <c r="P215" s="181" t="n"/>
      <c r="Q215" s="18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row>
    <row r="216" ht="15.75" customHeight="1" s="216">
      <c r="A216" s="1" t="n"/>
      <c r="B216" s="1" t="n"/>
      <c r="C216" s="1" t="n"/>
      <c r="D216" s="1" t="n"/>
      <c r="E216" s="181" t="n"/>
      <c r="F216" s="181" t="n"/>
      <c r="G216" s="1" t="n"/>
      <c r="H216" s="1" t="n"/>
      <c r="I216" s="1" t="n"/>
      <c r="J216" s="1" t="n"/>
      <c r="K216" s="181" t="n"/>
      <c r="L216" s="181" t="n"/>
      <c r="M216" s="181" t="n"/>
      <c r="N216" s="1" t="n"/>
      <c r="O216" s="181" t="n"/>
      <c r="P216" s="181" t="n"/>
      <c r="Q216" s="18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row>
    <row r="217" ht="15.75" customHeight="1" s="216">
      <c r="A217" s="1" t="n"/>
      <c r="B217" s="1" t="n"/>
      <c r="C217" s="1" t="n"/>
      <c r="D217" s="1" t="n"/>
      <c r="E217" s="181" t="n"/>
      <c r="F217" s="181" t="n"/>
      <c r="G217" s="1" t="n"/>
      <c r="H217" s="1" t="n"/>
      <c r="I217" s="1" t="n"/>
      <c r="J217" s="1" t="n"/>
      <c r="K217" s="181" t="n"/>
      <c r="L217" s="181" t="n"/>
      <c r="M217" s="181" t="n"/>
      <c r="N217" s="1" t="n"/>
      <c r="O217" s="181" t="n"/>
      <c r="P217" s="181" t="n"/>
      <c r="Q217" s="18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row>
    <row r="218" ht="15.75" customHeight="1" s="216">
      <c r="A218" s="1" t="n"/>
      <c r="B218" s="1" t="n"/>
      <c r="C218" s="1" t="n"/>
      <c r="D218" s="1" t="n"/>
      <c r="E218" s="181" t="n"/>
      <c r="F218" s="181" t="n"/>
      <c r="G218" s="1" t="n"/>
      <c r="H218" s="1" t="n"/>
      <c r="I218" s="1" t="n"/>
      <c r="J218" s="1" t="n"/>
      <c r="K218" s="181" t="n"/>
      <c r="L218" s="181" t="n"/>
      <c r="M218" s="181" t="n"/>
      <c r="N218" s="1" t="n"/>
      <c r="O218" s="181" t="n"/>
      <c r="P218" s="181" t="n"/>
      <c r="Q218" s="18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row>
    <row r="219" ht="15.75" customHeight="1" s="216">
      <c r="A219" s="1" t="n"/>
      <c r="B219" s="1" t="n"/>
      <c r="C219" s="1" t="n"/>
      <c r="D219" s="1" t="n"/>
      <c r="E219" s="181" t="n"/>
      <c r="F219" s="181" t="n"/>
      <c r="G219" s="1" t="n"/>
      <c r="H219" s="1" t="n"/>
      <c r="I219" s="1" t="n"/>
      <c r="J219" s="1" t="n"/>
      <c r="K219" s="181" t="n"/>
      <c r="L219" s="181" t="n"/>
      <c r="M219" s="181" t="n"/>
      <c r="N219" s="1" t="n"/>
      <c r="O219" s="181" t="n"/>
      <c r="P219" s="181" t="n"/>
      <c r="Q219" s="18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row>
    <row r="220" ht="15.75" customHeight="1" s="216">
      <c r="A220" s="1" t="n"/>
      <c r="B220" s="1" t="n"/>
      <c r="C220" s="1" t="n"/>
      <c r="D220" s="1" t="n"/>
      <c r="E220" s="181" t="n"/>
      <c r="F220" s="181" t="n"/>
      <c r="G220" s="1" t="n"/>
      <c r="H220" s="1" t="n"/>
      <c r="I220" s="1" t="n"/>
      <c r="J220" s="1" t="n"/>
      <c r="K220" s="181" t="n"/>
      <c r="L220" s="181" t="n"/>
      <c r="M220" s="181" t="n"/>
      <c r="N220" s="1" t="n"/>
      <c r="O220" s="181" t="n"/>
      <c r="P220" s="181" t="n"/>
      <c r="Q220" s="18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row>
    <row r="221" ht="15.75" customHeight="1" s="216">
      <c r="D221" s="109" t="n"/>
      <c r="E221" s="109" t="n"/>
      <c r="J221" s="109" t="n"/>
      <c r="K221" s="109" t="n"/>
      <c r="L221" s="109" t="n"/>
      <c r="N221" s="109" t="n"/>
      <c r="O221" s="109" t="n"/>
      <c r="P221" s="109" t="n"/>
      <c r="T221" s="109" t="n"/>
      <c r="U221" s="109" t="n"/>
      <c r="V221" s="109" t="n"/>
      <c r="Z221" s="109" t="n"/>
      <c r="AA221" s="109" t="n"/>
      <c r="AB221" s="109" t="n"/>
      <c r="AF221" s="109" t="n"/>
      <c r="AG221" s="109" t="n"/>
      <c r="AH221" s="109" t="n"/>
      <c r="AL221" s="109" t="n"/>
      <c r="AM221" s="109" t="n"/>
      <c r="AN221" s="109" t="n"/>
    </row>
    <row r="222" ht="15.75" customHeight="1" s="216">
      <c r="D222" s="109" t="n"/>
      <c r="E222" s="109" t="n"/>
      <c r="J222" s="109" t="n"/>
      <c r="K222" s="109" t="n"/>
      <c r="L222" s="109" t="n"/>
      <c r="N222" s="109" t="n"/>
      <c r="O222" s="109" t="n"/>
      <c r="P222" s="109" t="n"/>
      <c r="T222" s="109" t="n"/>
      <c r="U222" s="109" t="n"/>
      <c r="V222" s="109" t="n"/>
      <c r="Z222" s="109" t="n"/>
      <c r="AA222" s="109" t="n"/>
      <c r="AB222" s="109" t="n"/>
      <c r="AF222" s="109" t="n"/>
      <c r="AG222" s="109" t="n"/>
      <c r="AH222" s="109" t="n"/>
      <c r="AL222" s="109" t="n"/>
      <c r="AM222" s="109" t="n"/>
      <c r="AN222" s="109" t="n"/>
    </row>
    <row r="223" ht="15.75" customHeight="1" s="216">
      <c r="D223" s="109" t="n"/>
      <c r="E223" s="109" t="n"/>
      <c r="J223" s="109" t="n"/>
      <c r="K223" s="109" t="n"/>
      <c r="L223" s="109" t="n"/>
      <c r="N223" s="109" t="n"/>
      <c r="O223" s="109" t="n"/>
      <c r="P223" s="109" t="n"/>
      <c r="T223" s="109" t="n"/>
      <c r="U223" s="109" t="n"/>
      <c r="V223" s="109" t="n"/>
      <c r="Z223" s="109" t="n"/>
      <c r="AA223" s="109" t="n"/>
      <c r="AB223" s="109" t="n"/>
      <c r="AF223" s="109" t="n"/>
      <c r="AG223" s="109" t="n"/>
      <c r="AH223" s="109" t="n"/>
      <c r="AL223" s="109" t="n"/>
      <c r="AM223" s="109" t="n"/>
      <c r="AN223" s="109" t="n"/>
    </row>
    <row r="224" ht="15.75" customHeight="1" s="216">
      <c r="D224" s="109" t="n"/>
      <c r="E224" s="109" t="n"/>
      <c r="J224" s="109" t="n"/>
      <c r="K224" s="109" t="n"/>
      <c r="L224" s="109" t="n"/>
      <c r="N224" s="109" t="n"/>
      <c r="O224" s="109" t="n"/>
      <c r="P224" s="109" t="n"/>
      <c r="T224" s="109" t="n"/>
      <c r="U224" s="109" t="n"/>
      <c r="V224" s="109" t="n"/>
      <c r="Z224" s="109" t="n"/>
      <c r="AA224" s="109" t="n"/>
      <c r="AB224" s="109" t="n"/>
      <c r="AF224" s="109" t="n"/>
      <c r="AG224" s="109" t="n"/>
      <c r="AH224" s="109" t="n"/>
      <c r="AL224" s="109" t="n"/>
      <c r="AM224" s="109" t="n"/>
      <c r="AN224" s="109" t="n"/>
    </row>
    <row r="225" ht="15.75" customHeight="1" s="216">
      <c r="D225" s="109" t="n"/>
      <c r="E225" s="109" t="n"/>
      <c r="J225" s="109" t="n"/>
      <c r="K225" s="109" t="n"/>
      <c r="L225" s="109" t="n"/>
      <c r="N225" s="109" t="n"/>
      <c r="O225" s="109" t="n"/>
      <c r="P225" s="109" t="n"/>
      <c r="T225" s="109" t="n"/>
      <c r="U225" s="109" t="n"/>
      <c r="V225" s="109" t="n"/>
      <c r="Z225" s="109" t="n"/>
      <c r="AA225" s="109" t="n"/>
      <c r="AB225" s="109" t="n"/>
      <c r="AF225" s="109" t="n"/>
      <c r="AG225" s="109" t="n"/>
      <c r="AH225" s="109" t="n"/>
      <c r="AL225" s="109" t="n"/>
      <c r="AM225" s="109" t="n"/>
      <c r="AN225" s="109" t="n"/>
    </row>
    <row r="226" ht="15.75" customHeight="1" s="216">
      <c r="D226" s="109" t="n"/>
      <c r="E226" s="109" t="n"/>
      <c r="J226" s="109" t="n"/>
      <c r="K226" s="109" t="n"/>
      <c r="L226" s="109" t="n"/>
      <c r="N226" s="109" t="n"/>
      <c r="O226" s="109" t="n"/>
      <c r="P226" s="109" t="n"/>
      <c r="T226" s="109" t="n"/>
      <c r="U226" s="109" t="n"/>
      <c r="V226" s="109" t="n"/>
      <c r="Z226" s="109" t="n"/>
      <c r="AA226" s="109" t="n"/>
      <c r="AB226" s="109" t="n"/>
      <c r="AF226" s="109" t="n"/>
      <c r="AG226" s="109" t="n"/>
      <c r="AH226" s="109" t="n"/>
      <c r="AL226" s="109" t="n"/>
      <c r="AM226" s="109" t="n"/>
      <c r="AN226" s="109" t="n"/>
    </row>
    <row r="227" ht="15.75" customHeight="1" s="216">
      <c r="D227" s="109" t="n"/>
      <c r="E227" s="109" t="n"/>
      <c r="J227" s="109" t="n"/>
      <c r="K227" s="109" t="n"/>
      <c r="L227" s="109" t="n"/>
      <c r="N227" s="109" t="n"/>
      <c r="O227" s="109" t="n"/>
      <c r="P227" s="109" t="n"/>
      <c r="T227" s="109" t="n"/>
      <c r="U227" s="109" t="n"/>
      <c r="V227" s="109" t="n"/>
      <c r="Z227" s="109" t="n"/>
      <c r="AA227" s="109" t="n"/>
      <c r="AB227" s="109" t="n"/>
      <c r="AF227" s="109" t="n"/>
      <c r="AG227" s="109" t="n"/>
      <c r="AH227" s="109" t="n"/>
      <c r="AL227" s="109" t="n"/>
      <c r="AM227" s="109" t="n"/>
      <c r="AN227" s="109" t="n"/>
    </row>
    <row r="228" ht="15.75" customHeight="1" s="216">
      <c r="D228" s="109" t="n"/>
      <c r="E228" s="109" t="n"/>
      <c r="J228" s="109" t="n"/>
      <c r="K228" s="109" t="n"/>
      <c r="L228" s="109" t="n"/>
      <c r="N228" s="109" t="n"/>
      <c r="O228" s="109" t="n"/>
      <c r="P228" s="109" t="n"/>
      <c r="T228" s="109" t="n"/>
      <c r="U228" s="109" t="n"/>
      <c r="V228" s="109" t="n"/>
      <c r="Z228" s="109" t="n"/>
      <c r="AA228" s="109" t="n"/>
      <c r="AB228" s="109" t="n"/>
      <c r="AF228" s="109" t="n"/>
      <c r="AG228" s="109" t="n"/>
      <c r="AH228" s="109" t="n"/>
      <c r="AL228" s="109" t="n"/>
      <c r="AM228" s="109" t="n"/>
      <c r="AN228" s="109" t="n"/>
    </row>
    <row r="229" ht="15.75" customHeight="1" s="216">
      <c r="D229" s="109" t="n"/>
      <c r="E229" s="109" t="n"/>
      <c r="J229" s="109" t="n"/>
      <c r="K229" s="109" t="n"/>
      <c r="L229" s="109" t="n"/>
      <c r="N229" s="109" t="n"/>
      <c r="O229" s="109" t="n"/>
      <c r="P229" s="109" t="n"/>
      <c r="T229" s="109" t="n"/>
      <c r="U229" s="109" t="n"/>
      <c r="V229" s="109" t="n"/>
      <c r="Z229" s="109" t="n"/>
      <c r="AA229" s="109" t="n"/>
      <c r="AB229" s="109" t="n"/>
      <c r="AF229" s="109" t="n"/>
      <c r="AG229" s="109" t="n"/>
      <c r="AH229" s="109" t="n"/>
      <c r="AL229" s="109" t="n"/>
      <c r="AM229" s="109" t="n"/>
      <c r="AN229" s="109" t="n"/>
    </row>
    <row r="230" ht="15.75" customHeight="1" s="216">
      <c r="D230" s="109" t="n"/>
      <c r="E230" s="109" t="n"/>
      <c r="J230" s="109" t="n"/>
      <c r="K230" s="109" t="n"/>
      <c r="L230" s="109" t="n"/>
      <c r="N230" s="109" t="n"/>
      <c r="O230" s="109" t="n"/>
      <c r="P230" s="109" t="n"/>
      <c r="T230" s="109" t="n"/>
      <c r="U230" s="109" t="n"/>
      <c r="V230" s="109" t="n"/>
      <c r="Z230" s="109" t="n"/>
      <c r="AA230" s="109" t="n"/>
      <c r="AB230" s="109" t="n"/>
      <c r="AF230" s="109" t="n"/>
      <c r="AG230" s="109" t="n"/>
      <c r="AH230" s="109" t="n"/>
      <c r="AL230" s="109" t="n"/>
      <c r="AM230" s="109" t="n"/>
      <c r="AN230" s="109" t="n"/>
    </row>
    <row r="231" ht="15.75" customHeight="1" s="216">
      <c r="D231" s="109" t="n"/>
      <c r="E231" s="109" t="n"/>
      <c r="J231" s="109" t="n"/>
      <c r="K231" s="109" t="n"/>
      <c r="L231" s="109" t="n"/>
      <c r="N231" s="109" t="n"/>
      <c r="O231" s="109" t="n"/>
      <c r="P231" s="109" t="n"/>
      <c r="T231" s="109" t="n"/>
      <c r="U231" s="109" t="n"/>
      <c r="V231" s="109" t="n"/>
      <c r="Z231" s="109" t="n"/>
      <c r="AA231" s="109" t="n"/>
      <c r="AB231" s="109" t="n"/>
      <c r="AF231" s="109" t="n"/>
      <c r="AG231" s="109" t="n"/>
      <c r="AH231" s="109" t="n"/>
      <c r="AL231" s="109" t="n"/>
      <c r="AM231" s="109" t="n"/>
      <c r="AN231" s="109" t="n"/>
    </row>
    <row r="232" ht="15.75" customHeight="1" s="216">
      <c r="D232" s="109" t="n"/>
      <c r="E232" s="109" t="n"/>
      <c r="J232" s="109" t="n"/>
      <c r="K232" s="109" t="n"/>
      <c r="L232" s="109" t="n"/>
      <c r="N232" s="109" t="n"/>
      <c r="O232" s="109" t="n"/>
      <c r="P232" s="109" t="n"/>
      <c r="T232" s="109" t="n"/>
      <c r="U232" s="109" t="n"/>
      <c r="V232" s="109" t="n"/>
      <c r="Z232" s="109" t="n"/>
      <c r="AA232" s="109" t="n"/>
      <c r="AB232" s="109" t="n"/>
      <c r="AF232" s="109" t="n"/>
      <c r="AG232" s="109" t="n"/>
      <c r="AH232" s="109" t="n"/>
      <c r="AL232" s="109" t="n"/>
      <c r="AM232" s="109" t="n"/>
      <c r="AN232" s="109" t="n"/>
    </row>
    <row r="233" ht="15.75" customHeight="1" s="216">
      <c r="D233" s="109" t="n"/>
      <c r="E233" s="109" t="n"/>
      <c r="J233" s="109" t="n"/>
      <c r="K233" s="109" t="n"/>
      <c r="L233" s="109" t="n"/>
      <c r="N233" s="109" t="n"/>
      <c r="O233" s="109" t="n"/>
      <c r="P233" s="109" t="n"/>
      <c r="T233" s="109" t="n"/>
      <c r="U233" s="109" t="n"/>
      <c r="V233" s="109" t="n"/>
      <c r="Z233" s="109" t="n"/>
      <c r="AA233" s="109" t="n"/>
      <c r="AB233" s="109" t="n"/>
      <c r="AF233" s="109" t="n"/>
      <c r="AG233" s="109" t="n"/>
      <c r="AH233" s="109" t="n"/>
      <c r="AL233" s="109" t="n"/>
      <c r="AM233" s="109" t="n"/>
      <c r="AN233" s="109" t="n"/>
    </row>
    <row r="234" ht="15.75" customHeight="1" s="216">
      <c r="D234" s="109" t="n"/>
      <c r="E234" s="109" t="n"/>
      <c r="J234" s="109" t="n"/>
      <c r="K234" s="109" t="n"/>
      <c r="L234" s="109" t="n"/>
      <c r="N234" s="109" t="n"/>
      <c r="O234" s="109" t="n"/>
      <c r="P234" s="109" t="n"/>
      <c r="T234" s="109" t="n"/>
      <c r="U234" s="109" t="n"/>
      <c r="V234" s="109" t="n"/>
      <c r="Z234" s="109" t="n"/>
      <c r="AA234" s="109" t="n"/>
      <c r="AB234" s="109" t="n"/>
      <c r="AF234" s="109" t="n"/>
      <c r="AG234" s="109" t="n"/>
      <c r="AH234" s="109" t="n"/>
      <c r="AL234" s="109" t="n"/>
      <c r="AM234" s="109" t="n"/>
      <c r="AN234" s="109" t="n"/>
    </row>
    <row r="235" ht="15.75" customHeight="1" s="216">
      <c r="D235" s="109" t="n"/>
      <c r="E235" s="109" t="n"/>
      <c r="J235" s="109" t="n"/>
      <c r="K235" s="109" t="n"/>
      <c r="L235" s="109" t="n"/>
      <c r="N235" s="109" t="n"/>
      <c r="O235" s="109" t="n"/>
      <c r="P235" s="109" t="n"/>
      <c r="T235" s="109" t="n"/>
      <c r="U235" s="109" t="n"/>
      <c r="V235" s="109" t="n"/>
      <c r="Z235" s="109" t="n"/>
      <c r="AA235" s="109" t="n"/>
      <c r="AB235" s="109" t="n"/>
      <c r="AF235" s="109" t="n"/>
      <c r="AG235" s="109" t="n"/>
      <c r="AH235" s="109" t="n"/>
      <c r="AL235" s="109" t="n"/>
      <c r="AM235" s="109" t="n"/>
      <c r="AN235" s="109" t="n"/>
    </row>
    <row r="236" ht="15.75" customHeight="1" s="216">
      <c r="D236" s="109" t="n"/>
      <c r="E236" s="109" t="n"/>
      <c r="J236" s="109" t="n"/>
      <c r="K236" s="109" t="n"/>
      <c r="L236" s="109" t="n"/>
      <c r="N236" s="109" t="n"/>
      <c r="O236" s="109" t="n"/>
      <c r="P236" s="109" t="n"/>
      <c r="T236" s="109" t="n"/>
      <c r="U236" s="109" t="n"/>
      <c r="V236" s="109" t="n"/>
      <c r="Z236" s="109" t="n"/>
      <c r="AA236" s="109" t="n"/>
      <c r="AB236" s="109" t="n"/>
      <c r="AF236" s="109" t="n"/>
      <c r="AG236" s="109" t="n"/>
      <c r="AH236" s="109" t="n"/>
      <c r="AL236" s="109" t="n"/>
      <c r="AM236" s="109" t="n"/>
      <c r="AN236" s="109" t="n"/>
    </row>
    <row r="237" ht="15.75" customHeight="1" s="216">
      <c r="D237" s="109" t="n"/>
      <c r="E237" s="109" t="n"/>
      <c r="J237" s="109" t="n"/>
      <c r="K237" s="109" t="n"/>
      <c r="L237" s="109" t="n"/>
      <c r="N237" s="109" t="n"/>
      <c r="O237" s="109" t="n"/>
      <c r="P237" s="109" t="n"/>
      <c r="T237" s="109" t="n"/>
      <c r="U237" s="109" t="n"/>
      <c r="V237" s="109" t="n"/>
      <c r="Z237" s="109" t="n"/>
      <c r="AA237" s="109" t="n"/>
      <c r="AB237" s="109" t="n"/>
      <c r="AF237" s="109" t="n"/>
      <c r="AG237" s="109" t="n"/>
      <c r="AH237" s="109" t="n"/>
      <c r="AL237" s="109" t="n"/>
      <c r="AM237" s="109" t="n"/>
      <c r="AN237" s="109" t="n"/>
    </row>
    <row r="238" ht="15.75" customHeight="1" s="216">
      <c r="D238" s="109" t="n"/>
      <c r="E238" s="109" t="n"/>
      <c r="J238" s="109" t="n"/>
      <c r="K238" s="109" t="n"/>
      <c r="L238" s="109" t="n"/>
      <c r="N238" s="109" t="n"/>
      <c r="O238" s="109" t="n"/>
      <c r="P238" s="109" t="n"/>
      <c r="T238" s="109" t="n"/>
      <c r="U238" s="109" t="n"/>
      <c r="V238" s="109" t="n"/>
      <c r="Z238" s="109" t="n"/>
      <c r="AA238" s="109" t="n"/>
      <c r="AB238" s="109" t="n"/>
      <c r="AF238" s="109" t="n"/>
      <c r="AG238" s="109" t="n"/>
      <c r="AH238" s="109" t="n"/>
      <c r="AL238" s="109" t="n"/>
      <c r="AM238" s="109" t="n"/>
      <c r="AN238" s="109" t="n"/>
    </row>
    <row r="239" ht="15.75" customHeight="1" s="216">
      <c r="D239" s="109" t="n"/>
      <c r="E239" s="109" t="n"/>
      <c r="J239" s="109" t="n"/>
      <c r="K239" s="109" t="n"/>
      <c r="L239" s="109" t="n"/>
      <c r="N239" s="109" t="n"/>
      <c r="O239" s="109" t="n"/>
      <c r="P239" s="109" t="n"/>
      <c r="T239" s="109" t="n"/>
      <c r="U239" s="109" t="n"/>
      <c r="V239" s="109" t="n"/>
      <c r="Z239" s="109" t="n"/>
      <c r="AA239" s="109" t="n"/>
      <c r="AB239" s="109" t="n"/>
      <c r="AF239" s="109" t="n"/>
      <c r="AG239" s="109" t="n"/>
      <c r="AH239" s="109" t="n"/>
      <c r="AL239" s="109" t="n"/>
      <c r="AM239" s="109" t="n"/>
      <c r="AN239" s="109" t="n"/>
    </row>
    <row r="240" ht="15.75" customHeight="1" s="216">
      <c r="D240" s="109" t="n"/>
      <c r="E240" s="109" t="n"/>
      <c r="J240" s="109" t="n"/>
      <c r="K240" s="109" t="n"/>
      <c r="L240" s="109" t="n"/>
      <c r="N240" s="109" t="n"/>
      <c r="O240" s="109" t="n"/>
      <c r="P240" s="109" t="n"/>
      <c r="T240" s="109" t="n"/>
      <c r="U240" s="109" t="n"/>
      <c r="V240" s="109" t="n"/>
      <c r="Z240" s="109" t="n"/>
      <c r="AA240" s="109" t="n"/>
      <c r="AB240" s="109" t="n"/>
      <c r="AF240" s="109" t="n"/>
      <c r="AG240" s="109" t="n"/>
      <c r="AH240" s="109" t="n"/>
      <c r="AL240" s="109" t="n"/>
      <c r="AM240" s="109" t="n"/>
      <c r="AN240" s="109" t="n"/>
    </row>
    <row r="241" ht="15.75" customHeight="1" s="216">
      <c r="D241" s="109" t="n"/>
      <c r="E241" s="109" t="n"/>
      <c r="J241" s="109" t="n"/>
      <c r="K241" s="109" t="n"/>
      <c r="L241" s="109" t="n"/>
      <c r="N241" s="109" t="n"/>
      <c r="O241" s="109" t="n"/>
      <c r="P241" s="109" t="n"/>
      <c r="T241" s="109" t="n"/>
      <c r="U241" s="109" t="n"/>
      <c r="V241" s="109" t="n"/>
      <c r="Z241" s="109" t="n"/>
      <c r="AA241" s="109" t="n"/>
      <c r="AB241" s="109" t="n"/>
      <c r="AF241" s="109" t="n"/>
      <c r="AG241" s="109" t="n"/>
      <c r="AH241" s="109" t="n"/>
      <c r="AL241" s="109" t="n"/>
      <c r="AM241" s="109" t="n"/>
      <c r="AN241" s="109" t="n"/>
    </row>
    <row r="242" ht="15.75" customHeight="1" s="216">
      <c r="D242" s="109" t="n"/>
      <c r="E242" s="109" t="n"/>
      <c r="J242" s="109" t="n"/>
      <c r="K242" s="109" t="n"/>
      <c r="L242" s="109" t="n"/>
      <c r="N242" s="109" t="n"/>
      <c r="O242" s="109" t="n"/>
      <c r="P242" s="109" t="n"/>
      <c r="T242" s="109" t="n"/>
      <c r="U242" s="109" t="n"/>
      <c r="V242" s="109" t="n"/>
      <c r="Z242" s="109" t="n"/>
      <c r="AA242" s="109" t="n"/>
      <c r="AB242" s="109" t="n"/>
      <c r="AF242" s="109" t="n"/>
      <c r="AG242" s="109" t="n"/>
      <c r="AH242" s="109" t="n"/>
      <c r="AL242" s="109" t="n"/>
      <c r="AM242" s="109" t="n"/>
      <c r="AN242" s="109" t="n"/>
    </row>
    <row r="243" ht="15.75" customHeight="1" s="216">
      <c r="D243" s="109" t="n"/>
      <c r="E243" s="109" t="n"/>
      <c r="J243" s="109" t="n"/>
      <c r="K243" s="109" t="n"/>
      <c r="L243" s="109" t="n"/>
      <c r="N243" s="109" t="n"/>
      <c r="O243" s="109" t="n"/>
      <c r="P243" s="109" t="n"/>
      <c r="T243" s="109" t="n"/>
      <c r="U243" s="109" t="n"/>
      <c r="V243" s="109" t="n"/>
      <c r="Z243" s="109" t="n"/>
      <c r="AA243" s="109" t="n"/>
      <c r="AB243" s="109" t="n"/>
      <c r="AF243" s="109" t="n"/>
      <c r="AG243" s="109" t="n"/>
      <c r="AH243" s="109" t="n"/>
      <c r="AL243" s="109" t="n"/>
      <c r="AM243" s="109" t="n"/>
      <c r="AN243" s="109" t="n"/>
    </row>
    <row r="244" ht="15.75" customHeight="1" s="216">
      <c r="D244" s="109" t="n"/>
      <c r="E244" s="109" t="n"/>
      <c r="J244" s="109" t="n"/>
      <c r="K244" s="109" t="n"/>
      <c r="L244" s="109" t="n"/>
      <c r="N244" s="109" t="n"/>
      <c r="O244" s="109" t="n"/>
      <c r="P244" s="109" t="n"/>
      <c r="T244" s="109" t="n"/>
      <c r="U244" s="109" t="n"/>
      <c r="V244" s="109" t="n"/>
      <c r="Z244" s="109" t="n"/>
      <c r="AA244" s="109" t="n"/>
      <c r="AB244" s="109" t="n"/>
      <c r="AF244" s="109" t="n"/>
      <c r="AG244" s="109" t="n"/>
      <c r="AH244" s="109" t="n"/>
      <c r="AL244" s="109" t="n"/>
      <c r="AM244" s="109" t="n"/>
      <c r="AN244" s="109" t="n"/>
    </row>
    <row r="245" ht="15.75" customHeight="1" s="216">
      <c r="D245" s="109" t="n"/>
      <c r="E245" s="109" t="n"/>
      <c r="J245" s="109" t="n"/>
      <c r="K245" s="109" t="n"/>
      <c r="L245" s="109" t="n"/>
      <c r="N245" s="109" t="n"/>
      <c r="O245" s="109" t="n"/>
      <c r="P245" s="109" t="n"/>
      <c r="T245" s="109" t="n"/>
      <c r="U245" s="109" t="n"/>
      <c r="V245" s="109" t="n"/>
      <c r="Z245" s="109" t="n"/>
      <c r="AA245" s="109" t="n"/>
      <c r="AB245" s="109" t="n"/>
      <c r="AF245" s="109" t="n"/>
      <c r="AG245" s="109" t="n"/>
      <c r="AH245" s="109" t="n"/>
      <c r="AL245" s="109" t="n"/>
      <c r="AM245" s="109" t="n"/>
      <c r="AN245" s="109" t="n"/>
    </row>
    <row r="246" ht="15.75" customHeight="1" s="216">
      <c r="D246" s="109" t="n"/>
      <c r="E246" s="109" t="n"/>
      <c r="J246" s="109" t="n"/>
      <c r="K246" s="109" t="n"/>
      <c r="L246" s="109" t="n"/>
      <c r="N246" s="109" t="n"/>
      <c r="O246" s="109" t="n"/>
      <c r="P246" s="109" t="n"/>
      <c r="T246" s="109" t="n"/>
      <c r="U246" s="109" t="n"/>
      <c r="V246" s="109" t="n"/>
      <c r="Z246" s="109" t="n"/>
      <c r="AA246" s="109" t="n"/>
      <c r="AB246" s="109" t="n"/>
      <c r="AF246" s="109" t="n"/>
      <c r="AG246" s="109" t="n"/>
      <c r="AH246" s="109" t="n"/>
      <c r="AL246" s="109" t="n"/>
      <c r="AM246" s="109" t="n"/>
      <c r="AN246" s="109" t="n"/>
    </row>
    <row r="247" ht="15.75" customHeight="1" s="216">
      <c r="D247" s="109" t="n"/>
      <c r="E247" s="109" t="n"/>
      <c r="J247" s="109" t="n"/>
      <c r="K247" s="109" t="n"/>
      <c r="L247" s="109" t="n"/>
      <c r="N247" s="109" t="n"/>
      <c r="O247" s="109" t="n"/>
      <c r="P247" s="109" t="n"/>
      <c r="T247" s="109" t="n"/>
      <c r="U247" s="109" t="n"/>
      <c r="V247" s="109" t="n"/>
      <c r="Z247" s="109" t="n"/>
      <c r="AA247" s="109" t="n"/>
      <c r="AB247" s="109" t="n"/>
      <c r="AF247" s="109" t="n"/>
      <c r="AG247" s="109" t="n"/>
      <c r="AH247" s="109" t="n"/>
      <c r="AL247" s="109" t="n"/>
      <c r="AM247" s="109" t="n"/>
      <c r="AN247" s="109" t="n"/>
    </row>
    <row r="248" ht="15.75" customHeight="1" s="216">
      <c r="D248" s="109" t="n"/>
      <c r="E248" s="109" t="n"/>
      <c r="J248" s="109" t="n"/>
      <c r="K248" s="109" t="n"/>
      <c r="L248" s="109" t="n"/>
      <c r="N248" s="109" t="n"/>
      <c r="O248" s="109" t="n"/>
      <c r="P248" s="109" t="n"/>
      <c r="T248" s="109" t="n"/>
      <c r="U248" s="109" t="n"/>
      <c r="V248" s="109" t="n"/>
      <c r="Z248" s="109" t="n"/>
      <c r="AA248" s="109" t="n"/>
      <c r="AB248" s="109" t="n"/>
      <c r="AF248" s="109" t="n"/>
      <c r="AG248" s="109" t="n"/>
      <c r="AH248" s="109" t="n"/>
      <c r="AL248" s="109" t="n"/>
      <c r="AM248" s="109" t="n"/>
      <c r="AN248" s="109" t="n"/>
    </row>
    <row r="249" ht="15.75" customHeight="1" s="216">
      <c r="D249" s="109" t="n"/>
      <c r="E249" s="109" t="n"/>
      <c r="J249" s="109" t="n"/>
      <c r="K249" s="109" t="n"/>
      <c r="L249" s="109" t="n"/>
      <c r="N249" s="109" t="n"/>
      <c r="O249" s="109" t="n"/>
      <c r="P249" s="109" t="n"/>
      <c r="T249" s="109" t="n"/>
      <c r="U249" s="109" t="n"/>
      <c r="V249" s="109" t="n"/>
      <c r="Z249" s="109" t="n"/>
      <c r="AA249" s="109" t="n"/>
      <c r="AB249" s="109" t="n"/>
      <c r="AF249" s="109" t="n"/>
      <c r="AG249" s="109" t="n"/>
      <c r="AH249" s="109" t="n"/>
      <c r="AL249" s="109" t="n"/>
      <c r="AM249" s="109" t="n"/>
      <c r="AN249" s="109" t="n"/>
    </row>
    <row r="250" ht="15.75" customHeight="1" s="216">
      <c r="D250" s="109" t="n"/>
      <c r="E250" s="109" t="n"/>
      <c r="J250" s="109" t="n"/>
      <c r="K250" s="109" t="n"/>
      <c r="L250" s="109" t="n"/>
      <c r="N250" s="109" t="n"/>
      <c r="O250" s="109" t="n"/>
      <c r="P250" s="109" t="n"/>
      <c r="T250" s="109" t="n"/>
      <c r="U250" s="109" t="n"/>
      <c r="V250" s="109" t="n"/>
      <c r="Z250" s="109" t="n"/>
      <c r="AA250" s="109" t="n"/>
      <c r="AB250" s="109" t="n"/>
      <c r="AF250" s="109" t="n"/>
      <c r="AG250" s="109" t="n"/>
      <c r="AH250" s="109" t="n"/>
      <c r="AL250" s="109" t="n"/>
      <c r="AM250" s="109" t="n"/>
      <c r="AN250" s="109" t="n"/>
    </row>
    <row r="251" ht="15.75" customHeight="1" s="216">
      <c r="D251" s="109" t="n"/>
      <c r="E251" s="109" t="n"/>
      <c r="J251" s="109" t="n"/>
      <c r="K251" s="109" t="n"/>
      <c r="L251" s="109" t="n"/>
      <c r="N251" s="109" t="n"/>
      <c r="O251" s="109" t="n"/>
      <c r="P251" s="109" t="n"/>
      <c r="T251" s="109" t="n"/>
      <c r="U251" s="109" t="n"/>
      <c r="V251" s="109" t="n"/>
      <c r="Z251" s="109" t="n"/>
      <c r="AA251" s="109" t="n"/>
      <c r="AB251" s="109" t="n"/>
      <c r="AF251" s="109" t="n"/>
      <c r="AG251" s="109" t="n"/>
      <c r="AH251" s="109" t="n"/>
      <c r="AL251" s="109" t="n"/>
      <c r="AM251" s="109" t="n"/>
      <c r="AN251" s="109" t="n"/>
    </row>
    <row r="252" ht="15.75" customHeight="1" s="216">
      <c r="D252" s="109" t="n"/>
      <c r="E252" s="109" t="n"/>
      <c r="J252" s="109" t="n"/>
      <c r="K252" s="109" t="n"/>
      <c r="L252" s="109" t="n"/>
      <c r="N252" s="109" t="n"/>
      <c r="O252" s="109" t="n"/>
      <c r="P252" s="109" t="n"/>
      <c r="T252" s="109" t="n"/>
      <c r="U252" s="109" t="n"/>
      <c r="V252" s="109" t="n"/>
      <c r="Z252" s="109" t="n"/>
      <c r="AA252" s="109" t="n"/>
      <c r="AB252" s="109" t="n"/>
      <c r="AF252" s="109" t="n"/>
      <c r="AG252" s="109" t="n"/>
      <c r="AH252" s="109" t="n"/>
      <c r="AL252" s="109" t="n"/>
      <c r="AM252" s="109" t="n"/>
      <c r="AN252" s="109" t="n"/>
    </row>
    <row r="253" ht="15.75" customHeight="1" s="216">
      <c r="D253" s="109" t="n"/>
      <c r="E253" s="109" t="n"/>
      <c r="J253" s="109" t="n"/>
      <c r="K253" s="109" t="n"/>
      <c r="L253" s="109" t="n"/>
      <c r="N253" s="109" t="n"/>
      <c r="O253" s="109" t="n"/>
      <c r="P253" s="109" t="n"/>
      <c r="T253" s="109" t="n"/>
      <c r="U253" s="109" t="n"/>
      <c r="V253" s="109" t="n"/>
      <c r="Z253" s="109" t="n"/>
      <c r="AA253" s="109" t="n"/>
      <c r="AB253" s="109" t="n"/>
      <c r="AF253" s="109" t="n"/>
      <c r="AG253" s="109" t="n"/>
      <c r="AH253" s="109" t="n"/>
      <c r="AL253" s="109" t="n"/>
      <c r="AM253" s="109" t="n"/>
      <c r="AN253" s="109" t="n"/>
    </row>
    <row r="254" ht="15.75" customHeight="1" s="216">
      <c r="D254" s="109" t="n"/>
      <c r="E254" s="109" t="n"/>
      <c r="J254" s="109" t="n"/>
      <c r="K254" s="109" t="n"/>
      <c r="L254" s="109" t="n"/>
      <c r="N254" s="109" t="n"/>
      <c r="O254" s="109" t="n"/>
      <c r="P254" s="109" t="n"/>
      <c r="T254" s="109" t="n"/>
      <c r="U254" s="109" t="n"/>
      <c r="V254" s="109" t="n"/>
      <c r="Z254" s="109" t="n"/>
      <c r="AA254" s="109" t="n"/>
      <c r="AB254" s="109" t="n"/>
      <c r="AF254" s="109" t="n"/>
      <c r="AG254" s="109" t="n"/>
      <c r="AH254" s="109" t="n"/>
      <c r="AL254" s="109" t="n"/>
      <c r="AM254" s="109" t="n"/>
      <c r="AN254" s="109" t="n"/>
    </row>
    <row r="255" ht="15.75" customHeight="1" s="216">
      <c r="D255" s="109" t="n"/>
      <c r="E255" s="109" t="n"/>
      <c r="J255" s="109" t="n"/>
      <c r="K255" s="109" t="n"/>
      <c r="L255" s="109" t="n"/>
      <c r="N255" s="109" t="n"/>
      <c r="O255" s="109" t="n"/>
      <c r="P255" s="109" t="n"/>
      <c r="T255" s="109" t="n"/>
      <c r="U255" s="109" t="n"/>
      <c r="V255" s="109" t="n"/>
      <c r="Z255" s="109" t="n"/>
      <c r="AA255" s="109" t="n"/>
      <c r="AB255" s="109" t="n"/>
      <c r="AF255" s="109" t="n"/>
      <c r="AG255" s="109" t="n"/>
      <c r="AH255" s="109" t="n"/>
      <c r="AL255" s="109" t="n"/>
      <c r="AM255" s="109" t="n"/>
      <c r="AN255" s="109" t="n"/>
    </row>
    <row r="256" ht="15.75" customHeight="1" s="216">
      <c r="D256" s="109" t="n"/>
      <c r="E256" s="109" t="n"/>
      <c r="J256" s="109" t="n"/>
      <c r="K256" s="109" t="n"/>
      <c r="L256" s="109" t="n"/>
      <c r="N256" s="109" t="n"/>
      <c r="O256" s="109" t="n"/>
      <c r="P256" s="109" t="n"/>
      <c r="T256" s="109" t="n"/>
      <c r="U256" s="109" t="n"/>
      <c r="V256" s="109" t="n"/>
      <c r="Z256" s="109" t="n"/>
      <c r="AA256" s="109" t="n"/>
      <c r="AB256" s="109" t="n"/>
      <c r="AF256" s="109" t="n"/>
      <c r="AG256" s="109" t="n"/>
      <c r="AH256" s="109" t="n"/>
      <c r="AL256" s="109" t="n"/>
      <c r="AM256" s="109" t="n"/>
      <c r="AN256" s="109" t="n"/>
    </row>
    <row r="257" ht="15.75" customHeight="1" s="216">
      <c r="D257" s="109" t="n"/>
      <c r="E257" s="109" t="n"/>
      <c r="J257" s="109" t="n"/>
      <c r="K257" s="109" t="n"/>
      <c r="L257" s="109" t="n"/>
      <c r="N257" s="109" t="n"/>
      <c r="O257" s="109" t="n"/>
      <c r="P257" s="109" t="n"/>
      <c r="T257" s="109" t="n"/>
      <c r="U257" s="109" t="n"/>
      <c r="V257" s="109" t="n"/>
      <c r="Z257" s="109" t="n"/>
      <c r="AA257" s="109" t="n"/>
      <c r="AB257" s="109" t="n"/>
      <c r="AF257" s="109" t="n"/>
      <c r="AG257" s="109" t="n"/>
      <c r="AH257" s="109" t="n"/>
      <c r="AL257" s="109" t="n"/>
      <c r="AM257" s="109" t="n"/>
      <c r="AN257" s="109" t="n"/>
    </row>
    <row r="258" ht="15.75" customHeight="1" s="216">
      <c r="D258" s="109" t="n"/>
      <c r="E258" s="109" t="n"/>
      <c r="J258" s="109" t="n"/>
      <c r="K258" s="109" t="n"/>
      <c r="L258" s="109" t="n"/>
      <c r="N258" s="109" t="n"/>
      <c r="O258" s="109" t="n"/>
      <c r="P258" s="109" t="n"/>
      <c r="T258" s="109" t="n"/>
      <c r="U258" s="109" t="n"/>
      <c r="V258" s="109" t="n"/>
      <c r="Z258" s="109" t="n"/>
      <c r="AA258" s="109" t="n"/>
      <c r="AB258" s="109" t="n"/>
      <c r="AF258" s="109" t="n"/>
      <c r="AG258" s="109" t="n"/>
      <c r="AH258" s="109" t="n"/>
      <c r="AL258" s="109" t="n"/>
      <c r="AM258" s="109" t="n"/>
      <c r="AN258" s="109" t="n"/>
    </row>
    <row r="259" ht="15.75" customHeight="1" s="216">
      <c r="D259" s="109" t="n"/>
      <c r="E259" s="109" t="n"/>
      <c r="J259" s="109" t="n"/>
      <c r="K259" s="109" t="n"/>
      <c r="L259" s="109" t="n"/>
      <c r="N259" s="109" t="n"/>
      <c r="O259" s="109" t="n"/>
      <c r="P259" s="109" t="n"/>
      <c r="T259" s="109" t="n"/>
      <c r="U259" s="109" t="n"/>
      <c r="V259" s="109" t="n"/>
      <c r="Z259" s="109" t="n"/>
      <c r="AA259" s="109" t="n"/>
      <c r="AB259" s="109" t="n"/>
      <c r="AF259" s="109" t="n"/>
      <c r="AG259" s="109" t="n"/>
      <c r="AH259" s="109" t="n"/>
      <c r="AL259" s="109" t="n"/>
      <c r="AM259" s="109" t="n"/>
      <c r="AN259" s="109" t="n"/>
    </row>
    <row r="260" ht="15.75" customHeight="1" s="216">
      <c r="D260" s="109" t="n"/>
      <c r="E260" s="109" t="n"/>
      <c r="J260" s="109" t="n"/>
      <c r="K260" s="109" t="n"/>
      <c r="L260" s="109" t="n"/>
      <c r="N260" s="109" t="n"/>
      <c r="O260" s="109" t="n"/>
      <c r="P260" s="109" t="n"/>
      <c r="T260" s="109" t="n"/>
      <c r="U260" s="109" t="n"/>
      <c r="V260" s="109" t="n"/>
      <c r="Z260" s="109" t="n"/>
      <c r="AA260" s="109" t="n"/>
      <c r="AB260" s="109" t="n"/>
      <c r="AF260" s="109" t="n"/>
      <c r="AG260" s="109" t="n"/>
      <c r="AH260" s="109" t="n"/>
      <c r="AL260" s="109" t="n"/>
      <c r="AM260" s="109" t="n"/>
      <c r="AN260" s="109" t="n"/>
    </row>
    <row r="261" ht="15.75" customHeight="1" s="216">
      <c r="D261" s="109" t="n"/>
      <c r="E261" s="109" t="n"/>
      <c r="J261" s="109" t="n"/>
      <c r="K261" s="109" t="n"/>
      <c r="L261" s="109" t="n"/>
      <c r="N261" s="109" t="n"/>
      <c r="O261" s="109" t="n"/>
      <c r="P261" s="109" t="n"/>
      <c r="T261" s="109" t="n"/>
      <c r="U261" s="109" t="n"/>
      <c r="V261" s="109" t="n"/>
      <c r="Z261" s="109" t="n"/>
      <c r="AA261" s="109" t="n"/>
      <c r="AB261" s="109" t="n"/>
      <c r="AF261" s="109" t="n"/>
      <c r="AG261" s="109" t="n"/>
      <c r="AH261" s="109" t="n"/>
      <c r="AL261" s="109" t="n"/>
      <c r="AM261" s="109" t="n"/>
      <c r="AN261" s="109" t="n"/>
    </row>
    <row r="262" ht="15.75" customHeight="1" s="216">
      <c r="D262" s="109" t="n"/>
      <c r="E262" s="109" t="n"/>
      <c r="J262" s="109" t="n"/>
      <c r="K262" s="109" t="n"/>
      <c r="L262" s="109" t="n"/>
      <c r="N262" s="109" t="n"/>
      <c r="O262" s="109" t="n"/>
      <c r="P262" s="109" t="n"/>
      <c r="T262" s="109" t="n"/>
      <c r="U262" s="109" t="n"/>
      <c r="V262" s="109" t="n"/>
      <c r="Z262" s="109" t="n"/>
      <c r="AA262" s="109" t="n"/>
      <c r="AB262" s="109" t="n"/>
      <c r="AF262" s="109" t="n"/>
      <c r="AG262" s="109" t="n"/>
      <c r="AH262" s="109" t="n"/>
      <c r="AL262" s="109" t="n"/>
      <c r="AM262" s="109" t="n"/>
      <c r="AN262" s="109" t="n"/>
    </row>
    <row r="263" ht="15.75" customHeight="1" s="216">
      <c r="D263" s="109" t="n"/>
      <c r="E263" s="109" t="n"/>
      <c r="J263" s="109" t="n"/>
      <c r="K263" s="109" t="n"/>
      <c r="L263" s="109" t="n"/>
      <c r="N263" s="109" t="n"/>
      <c r="O263" s="109" t="n"/>
      <c r="P263" s="109" t="n"/>
      <c r="T263" s="109" t="n"/>
      <c r="U263" s="109" t="n"/>
      <c r="V263" s="109" t="n"/>
      <c r="Z263" s="109" t="n"/>
      <c r="AA263" s="109" t="n"/>
      <c r="AB263" s="109" t="n"/>
      <c r="AF263" s="109" t="n"/>
      <c r="AG263" s="109" t="n"/>
      <c r="AH263" s="109" t="n"/>
      <c r="AL263" s="109" t="n"/>
      <c r="AM263" s="109" t="n"/>
      <c r="AN263" s="109" t="n"/>
    </row>
    <row r="264" ht="15.75" customHeight="1" s="216">
      <c r="D264" s="109" t="n"/>
      <c r="E264" s="109" t="n"/>
      <c r="J264" s="109" t="n"/>
      <c r="K264" s="109" t="n"/>
      <c r="L264" s="109" t="n"/>
      <c r="N264" s="109" t="n"/>
      <c r="O264" s="109" t="n"/>
      <c r="P264" s="109" t="n"/>
      <c r="T264" s="109" t="n"/>
      <c r="U264" s="109" t="n"/>
      <c r="V264" s="109" t="n"/>
      <c r="Z264" s="109" t="n"/>
      <c r="AA264" s="109" t="n"/>
      <c r="AB264" s="109" t="n"/>
      <c r="AF264" s="109" t="n"/>
      <c r="AG264" s="109" t="n"/>
      <c r="AH264" s="109" t="n"/>
      <c r="AL264" s="109" t="n"/>
      <c r="AM264" s="109" t="n"/>
      <c r="AN264" s="109" t="n"/>
    </row>
    <row r="265" ht="15.75" customHeight="1" s="216">
      <c r="D265" s="109" t="n"/>
      <c r="E265" s="109" t="n"/>
      <c r="J265" s="109" t="n"/>
      <c r="K265" s="109" t="n"/>
      <c r="L265" s="109" t="n"/>
      <c r="N265" s="109" t="n"/>
      <c r="O265" s="109" t="n"/>
      <c r="P265" s="109" t="n"/>
      <c r="T265" s="109" t="n"/>
      <c r="U265" s="109" t="n"/>
      <c r="V265" s="109" t="n"/>
      <c r="Z265" s="109" t="n"/>
      <c r="AA265" s="109" t="n"/>
      <c r="AB265" s="109" t="n"/>
      <c r="AF265" s="109" t="n"/>
      <c r="AG265" s="109" t="n"/>
      <c r="AH265" s="109" t="n"/>
      <c r="AL265" s="109" t="n"/>
      <c r="AM265" s="109" t="n"/>
      <c r="AN265" s="109" t="n"/>
    </row>
    <row r="266" ht="15.75" customHeight="1" s="216">
      <c r="D266" s="109" t="n"/>
      <c r="E266" s="109" t="n"/>
      <c r="J266" s="109" t="n"/>
      <c r="K266" s="109" t="n"/>
      <c r="L266" s="109" t="n"/>
      <c r="N266" s="109" t="n"/>
      <c r="O266" s="109" t="n"/>
      <c r="P266" s="109" t="n"/>
      <c r="T266" s="109" t="n"/>
      <c r="U266" s="109" t="n"/>
      <c r="V266" s="109" t="n"/>
      <c r="Z266" s="109" t="n"/>
      <c r="AA266" s="109" t="n"/>
      <c r="AB266" s="109" t="n"/>
      <c r="AF266" s="109" t="n"/>
      <c r="AG266" s="109" t="n"/>
      <c r="AH266" s="109" t="n"/>
      <c r="AL266" s="109" t="n"/>
      <c r="AM266" s="109" t="n"/>
      <c r="AN266" s="109" t="n"/>
    </row>
    <row r="267" ht="15.75" customHeight="1" s="216">
      <c r="D267" s="109" t="n"/>
      <c r="E267" s="109" t="n"/>
      <c r="J267" s="109" t="n"/>
      <c r="K267" s="109" t="n"/>
      <c r="L267" s="109" t="n"/>
      <c r="N267" s="109" t="n"/>
      <c r="O267" s="109" t="n"/>
      <c r="P267" s="109" t="n"/>
      <c r="T267" s="109" t="n"/>
      <c r="U267" s="109" t="n"/>
      <c r="V267" s="109" t="n"/>
      <c r="Z267" s="109" t="n"/>
      <c r="AA267" s="109" t="n"/>
      <c r="AB267" s="109" t="n"/>
      <c r="AF267" s="109" t="n"/>
      <c r="AG267" s="109" t="n"/>
      <c r="AH267" s="109" t="n"/>
      <c r="AL267" s="109" t="n"/>
      <c r="AM267" s="109" t="n"/>
      <c r="AN267" s="109" t="n"/>
    </row>
    <row r="268" ht="15.75" customHeight="1" s="216">
      <c r="D268" s="109" t="n"/>
      <c r="E268" s="109" t="n"/>
      <c r="J268" s="109" t="n"/>
      <c r="K268" s="109" t="n"/>
      <c r="L268" s="109" t="n"/>
      <c r="N268" s="109" t="n"/>
      <c r="O268" s="109" t="n"/>
      <c r="P268" s="109" t="n"/>
      <c r="T268" s="109" t="n"/>
      <c r="U268" s="109" t="n"/>
      <c r="V268" s="109" t="n"/>
      <c r="Z268" s="109" t="n"/>
      <c r="AA268" s="109" t="n"/>
      <c r="AB268" s="109" t="n"/>
      <c r="AF268" s="109" t="n"/>
      <c r="AG268" s="109" t="n"/>
      <c r="AH268" s="109" t="n"/>
      <c r="AL268" s="109" t="n"/>
      <c r="AM268" s="109" t="n"/>
      <c r="AN268" s="109" t="n"/>
    </row>
    <row r="269" ht="15.75" customHeight="1" s="216">
      <c r="D269" s="109" t="n"/>
      <c r="E269" s="109" t="n"/>
      <c r="J269" s="109" t="n"/>
      <c r="K269" s="109" t="n"/>
      <c r="L269" s="109" t="n"/>
      <c r="N269" s="109" t="n"/>
      <c r="O269" s="109" t="n"/>
      <c r="P269" s="109" t="n"/>
      <c r="T269" s="109" t="n"/>
      <c r="U269" s="109" t="n"/>
      <c r="V269" s="109" t="n"/>
      <c r="Z269" s="109" t="n"/>
      <c r="AA269" s="109" t="n"/>
      <c r="AB269" s="109" t="n"/>
      <c r="AF269" s="109" t="n"/>
      <c r="AG269" s="109" t="n"/>
      <c r="AH269" s="109" t="n"/>
      <c r="AL269" s="109" t="n"/>
      <c r="AM269" s="109" t="n"/>
      <c r="AN269" s="109" t="n"/>
    </row>
    <row r="270" ht="15.75" customHeight="1" s="216">
      <c r="D270" s="109" t="n"/>
      <c r="E270" s="109" t="n"/>
      <c r="J270" s="109" t="n"/>
      <c r="K270" s="109" t="n"/>
      <c r="L270" s="109" t="n"/>
      <c r="N270" s="109" t="n"/>
      <c r="O270" s="109" t="n"/>
      <c r="P270" s="109" t="n"/>
      <c r="T270" s="109" t="n"/>
      <c r="U270" s="109" t="n"/>
      <c r="V270" s="109" t="n"/>
      <c r="Z270" s="109" t="n"/>
      <c r="AA270" s="109" t="n"/>
      <c r="AB270" s="109" t="n"/>
      <c r="AF270" s="109" t="n"/>
      <c r="AG270" s="109" t="n"/>
      <c r="AH270" s="109" t="n"/>
      <c r="AL270" s="109" t="n"/>
      <c r="AM270" s="109" t="n"/>
      <c r="AN270" s="109" t="n"/>
    </row>
    <row r="271" ht="15.75" customHeight="1" s="216">
      <c r="D271" s="109" t="n"/>
      <c r="E271" s="109" t="n"/>
      <c r="J271" s="109" t="n"/>
      <c r="K271" s="109" t="n"/>
      <c r="L271" s="109" t="n"/>
      <c r="N271" s="109" t="n"/>
      <c r="O271" s="109" t="n"/>
      <c r="P271" s="109" t="n"/>
      <c r="T271" s="109" t="n"/>
      <c r="U271" s="109" t="n"/>
      <c r="V271" s="109" t="n"/>
      <c r="Z271" s="109" t="n"/>
      <c r="AA271" s="109" t="n"/>
      <c r="AB271" s="109" t="n"/>
      <c r="AF271" s="109" t="n"/>
      <c r="AG271" s="109" t="n"/>
      <c r="AH271" s="109" t="n"/>
      <c r="AL271" s="109" t="n"/>
      <c r="AM271" s="109" t="n"/>
      <c r="AN271" s="109" t="n"/>
    </row>
    <row r="272" ht="15.75" customHeight="1" s="216">
      <c r="D272" s="109" t="n"/>
      <c r="E272" s="109" t="n"/>
      <c r="J272" s="109" t="n"/>
      <c r="K272" s="109" t="n"/>
      <c r="L272" s="109" t="n"/>
      <c r="N272" s="109" t="n"/>
      <c r="O272" s="109" t="n"/>
      <c r="P272" s="109" t="n"/>
      <c r="T272" s="109" t="n"/>
      <c r="U272" s="109" t="n"/>
      <c r="V272" s="109" t="n"/>
      <c r="Z272" s="109" t="n"/>
      <c r="AA272" s="109" t="n"/>
      <c r="AB272" s="109" t="n"/>
      <c r="AF272" s="109" t="n"/>
      <c r="AG272" s="109" t="n"/>
      <c r="AH272" s="109" t="n"/>
      <c r="AL272" s="109" t="n"/>
      <c r="AM272" s="109" t="n"/>
      <c r="AN272" s="109" t="n"/>
    </row>
    <row r="273" ht="15.75" customHeight="1" s="216">
      <c r="D273" s="109" t="n"/>
      <c r="E273" s="109" t="n"/>
      <c r="J273" s="109" t="n"/>
      <c r="K273" s="109" t="n"/>
      <c r="L273" s="109" t="n"/>
      <c r="N273" s="109" t="n"/>
      <c r="O273" s="109" t="n"/>
      <c r="P273" s="109" t="n"/>
      <c r="T273" s="109" t="n"/>
      <c r="U273" s="109" t="n"/>
      <c r="V273" s="109" t="n"/>
      <c r="Z273" s="109" t="n"/>
      <c r="AA273" s="109" t="n"/>
      <c r="AB273" s="109" t="n"/>
      <c r="AF273" s="109" t="n"/>
      <c r="AG273" s="109" t="n"/>
      <c r="AH273" s="109" t="n"/>
      <c r="AL273" s="109" t="n"/>
      <c r="AM273" s="109" t="n"/>
      <c r="AN273" s="109" t="n"/>
    </row>
    <row r="274" ht="15.75" customHeight="1" s="216">
      <c r="D274" s="109" t="n"/>
      <c r="E274" s="109" t="n"/>
      <c r="J274" s="109" t="n"/>
      <c r="K274" s="109" t="n"/>
      <c r="L274" s="109" t="n"/>
      <c r="N274" s="109" t="n"/>
      <c r="O274" s="109" t="n"/>
      <c r="P274" s="109" t="n"/>
      <c r="T274" s="109" t="n"/>
      <c r="U274" s="109" t="n"/>
      <c r="V274" s="109" t="n"/>
      <c r="Z274" s="109" t="n"/>
      <c r="AA274" s="109" t="n"/>
      <c r="AB274" s="109" t="n"/>
      <c r="AF274" s="109" t="n"/>
      <c r="AG274" s="109" t="n"/>
      <c r="AH274" s="109" t="n"/>
      <c r="AL274" s="109" t="n"/>
      <c r="AM274" s="109" t="n"/>
      <c r="AN274" s="109" t="n"/>
    </row>
    <row r="275" ht="15.75" customHeight="1" s="216">
      <c r="D275" s="109" t="n"/>
      <c r="E275" s="109" t="n"/>
      <c r="J275" s="109" t="n"/>
      <c r="K275" s="109" t="n"/>
      <c r="L275" s="109" t="n"/>
      <c r="N275" s="109" t="n"/>
      <c r="O275" s="109" t="n"/>
      <c r="P275" s="109" t="n"/>
      <c r="T275" s="109" t="n"/>
      <c r="U275" s="109" t="n"/>
      <c r="V275" s="109" t="n"/>
      <c r="Z275" s="109" t="n"/>
      <c r="AA275" s="109" t="n"/>
      <c r="AB275" s="109" t="n"/>
      <c r="AF275" s="109" t="n"/>
      <c r="AG275" s="109" t="n"/>
      <c r="AH275" s="109" t="n"/>
      <c r="AL275" s="109" t="n"/>
      <c r="AM275" s="109" t="n"/>
      <c r="AN275" s="109" t="n"/>
    </row>
    <row r="276" ht="15.75" customHeight="1" s="216">
      <c r="D276" s="109" t="n"/>
      <c r="E276" s="109" t="n"/>
      <c r="J276" s="109" t="n"/>
      <c r="K276" s="109" t="n"/>
      <c r="L276" s="109" t="n"/>
      <c r="N276" s="109" t="n"/>
      <c r="O276" s="109" t="n"/>
      <c r="P276" s="109" t="n"/>
      <c r="T276" s="109" t="n"/>
      <c r="U276" s="109" t="n"/>
      <c r="V276" s="109" t="n"/>
      <c r="Z276" s="109" t="n"/>
      <c r="AA276" s="109" t="n"/>
      <c r="AB276" s="109" t="n"/>
      <c r="AF276" s="109" t="n"/>
      <c r="AG276" s="109" t="n"/>
      <c r="AH276" s="109" t="n"/>
      <c r="AL276" s="109" t="n"/>
      <c r="AM276" s="109" t="n"/>
      <c r="AN276" s="109" t="n"/>
    </row>
    <row r="277" ht="15.75" customHeight="1" s="216">
      <c r="D277" s="109" t="n"/>
      <c r="E277" s="109" t="n"/>
      <c r="J277" s="109" t="n"/>
      <c r="K277" s="109" t="n"/>
      <c r="L277" s="109" t="n"/>
      <c r="N277" s="109" t="n"/>
      <c r="O277" s="109" t="n"/>
      <c r="P277" s="109" t="n"/>
      <c r="T277" s="109" t="n"/>
      <c r="U277" s="109" t="n"/>
      <c r="V277" s="109" t="n"/>
      <c r="Z277" s="109" t="n"/>
      <c r="AA277" s="109" t="n"/>
      <c r="AB277" s="109" t="n"/>
      <c r="AF277" s="109" t="n"/>
      <c r="AG277" s="109" t="n"/>
      <c r="AH277" s="109" t="n"/>
      <c r="AL277" s="109" t="n"/>
      <c r="AM277" s="109" t="n"/>
      <c r="AN277" s="109" t="n"/>
    </row>
    <row r="278" ht="15.75" customHeight="1" s="216">
      <c r="D278" s="109" t="n"/>
      <c r="E278" s="109" t="n"/>
      <c r="J278" s="109" t="n"/>
      <c r="K278" s="109" t="n"/>
      <c r="L278" s="109" t="n"/>
      <c r="N278" s="109" t="n"/>
      <c r="O278" s="109" t="n"/>
      <c r="P278" s="109" t="n"/>
      <c r="T278" s="109" t="n"/>
      <c r="U278" s="109" t="n"/>
      <c r="V278" s="109" t="n"/>
      <c r="Z278" s="109" t="n"/>
      <c r="AA278" s="109" t="n"/>
      <c r="AB278" s="109" t="n"/>
      <c r="AF278" s="109" t="n"/>
      <c r="AG278" s="109" t="n"/>
      <c r="AH278" s="109" t="n"/>
      <c r="AL278" s="109" t="n"/>
      <c r="AM278" s="109" t="n"/>
      <c r="AN278" s="109" t="n"/>
    </row>
    <row r="279" ht="15.75" customHeight="1" s="216">
      <c r="D279" s="109" t="n"/>
      <c r="E279" s="109" t="n"/>
      <c r="J279" s="109" t="n"/>
      <c r="K279" s="109" t="n"/>
      <c r="L279" s="109" t="n"/>
      <c r="N279" s="109" t="n"/>
      <c r="O279" s="109" t="n"/>
      <c r="P279" s="109" t="n"/>
      <c r="T279" s="109" t="n"/>
      <c r="U279" s="109" t="n"/>
      <c r="V279" s="109" t="n"/>
      <c r="Z279" s="109" t="n"/>
      <c r="AA279" s="109" t="n"/>
      <c r="AB279" s="109" t="n"/>
      <c r="AF279" s="109" t="n"/>
      <c r="AG279" s="109" t="n"/>
      <c r="AH279" s="109" t="n"/>
      <c r="AL279" s="109" t="n"/>
      <c r="AM279" s="109" t="n"/>
      <c r="AN279" s="109" t="n"/>
    </row>
    <row r="280" ht="15.75" customHeight="1" s="216">
      <c r="D280" s="109" t="n"/>
      <c r="E280" s="109" t="n"/>
      <c r="J280" s="109" t="n"/>
      <c r="K280" s="109" t="n"/>
      <c r="L280" s="109" t="n"/>
      <c r="N280" s="109" t="n"/>
      <c r="O280" s="109" t="n"/>
      <c r="P280" s="109" t="n"/>
      <c r="T280" s="109" t="n"/>
      <c r="U280" s="109" t="n"/>
      <c r="V280" s="109" t="n"/>
      <c r="Z280" s="109" t="n"/>
      <c r="AA280" s="109" t="n"/>
      <c r="AB280" s="109" t="n"/>
      <c r="AF280" s="109" t="n"/>
      <c r="AG280" s="109" t="n"/>
      <c r="AH280" s="109" t="n"/>
      <c r="AL280" s="109" t="n"/>
      <c r="AM280" s="109" t="n"/>
      <c r="AN280" s="109" t="n"/>
    </row>
    <row r="281" ht="15.75" customHeight="1" s="216">
      <c r="D281" s="109" t="n"/>
      <c r="E281" s="109" t="n"/>
      <c r="J281" s="109" t="n"/>
      <c r="K281" s="109" t="n"/>
      <c r="L281" s="109" t="n"/>
      <c r="N281" s="109" t="n"/>
      <c r="O281" s="109" t="n"/>
      <c r="P281" s="109" t="n"/>
      <c r="T281" s="109" t="n"/>
      <c r="U281" s="109" t="n"/>
      <c r="V281" s="109" t="n"/>
      <c r="Z281" s="109" t="n"/>
      <c r="AA281" s="109" t="n"/>
      <c r="AB281" s="109" t="n"/>
      <c r="AF281" s="109" t="n"/>
      <c r="AG281" s="109" t="n"/>
      <c r="AH281" s="109" t="n"/>
      <c r="AL281" s="109" t="n"/>
      <c r="AM281" s="109" t="n"/>
      <c r="AN281" s="109" t="n"/>
    </row>
    <row r="282" ht="15.75" customHeight="1" s="216">
      <c r="D282" s="109" t="n"/>
      <c r="E282" s="109" t="n"/>
      <c r="J282" s="109" t="n"/>
      <c r="K282" s="109" t="n"/>
      <c r="L282" s="109" t="n"/>
      <c r="N282" s="109" t="n"/>
      <c r="O282" s="109" t="n"/>
      <c r="P282" s="109" t="n"/>
      <c r="T282" s="109" t="n"/>
      <c r="U282" s="109" t="n"/>
      <c r="V282" s="109" t="n"/>
      <c r="Z282" s="109" t="n"/>
      <c r="AA282" s="109" t="n"/>
      <c r="AB282" s="109" t="n"/>
      <c r="AF282" s="109" t="n"/>
      <c r="AG282" s="109" t="n"/>
      <c r="AH282" s="109" t="n"/>
      <c r="AL282" s="109" t="n"/>
      <c r="AM282" s="109" t="n"/>
      <c r="AN282" s="109" t="n"/>
    </row>
    <row r="283" ht="15.75" customHeight="1" s="216">
      <c r="D283" s="109" t="n"/>
      <c r="E283" s="109" t="n"/>
      <c r="J283" s="109" t="n"/>
      <c r="K283" s="109" t="n"/>
      <c r="L283" s="109" t="n"/>
      <c r="N283" s="109" t="n"/>
      <c r="O283" s="109" t="n"/>
      <c r="P283" s="109" t="n"/>
      <c r="T283" s="109" t="n"/>
      <c r="U283" s="109" t="n"/>
      <c r="V283" s="109" t="n"/>
      <c r="Z283" s="109" t="n"/>
      <c r="AA283" s="109" t="n"/>
      <c r="AB283" s="109" t="n"/>
      <c r="AF283" s="109" t="n"/>
      <c r="AG283" s="109" t="n"/>
      <c r="AH283" s="109" t="n"/>
      <c r="AL283" s="109" t="n"/>
      <c r="AM283" s="109" t="n"/>
      <c r="AN283" s="109" t="n"/>
    </row>
    <row r="284" ht="15.75" customHeight="1" s="216">
      <c r="D284" s="109" t="n"/>
      <c r="E284" s="109" t="n"/>
      <c r="J284" s="109" t="n"/>
      <c r="K284" s="109" t="n"/>
      <c r="L284" s="109" t="n"/>
      <c r="N284" s="109" t="n"/>
      <c r="O284" s="109" t="n"/>
      <c r="P284" s="109" t="n"/>
      <c r="T284" s="109" t="n"/>
      <c r="U284" s="109" t="n"/>
      <c r="V284" s="109" t="n"/>
      <c r="Z284" s="109" t="n"/>
      <c r="AA284" s="109" t="n"/>
      <c r="AB284" s="109" t="n"/>
      <c r="AF284" s="109" t="n"/>
      <c r="AG284" s="109" t="n"/>
      <c r="AH284" s="109" t="n"/>
      <c r="AL284" s="109" t="n"/>
      <c r="AM284" s="109" t="n"/>
      <c r="AN284" s="109" t="n"/>
    </row>
    <row r="285" ht="15.75" customHeight="1" s="216">
      <c r="D285" s="109" t="n"/>
      <c r="E285" s="109" t="n"/>
      <c r="J285" s="109" t="n"/>
      <c r="K285" s="109" t="n"/>
      <c r="L285" s="109" t="n"/>
      <c r="N285" s="109" t="n"/>
      <c r="O285" s="109" t="n"/>
      <c r="P285" s="109" t="n"/>
      <c r="T285" s="109" t="n"/>
      <c r="U285" s="109" t="n"/>
      <c r="V285" s="109" t="n"/>
      <c r="Z285" s="109" t="n"/>
      <c r="AA285" s="109" t="n"/>
      <c r="AB285" s="109" t="n"/>
      <c r="AF285" s="109" t="n"/>
      <c r="AG285" s="109" t="n"/>
      <c r="AH285" s="109" t="n"/>
      <c r="AL285" s="109" t="n"/>
      <c r="AM285" s="109" t="n"/>
      <c r="AN285" s="109" t="n"/>
    </row>
    <row r="286" ht="15.75" customHeight="1" s="216">
      <c r="D286" s="109" t="n"/>
      <c r="E286" s="109" t="n"/>
      <c r="J286" s="109" t="n"/>
      <c r="K286" s="109" t="n"/>
      <c r="L286" s="109" t="n"/>
      <c r="N286" s="109" t="n"/>
      <c r="O286" s="109" t="n"/>
      <c r="P286" s="109" t="n"/>
      <c r="T286" s="109" t="n"/>
      <c r="U286" s="109" t="n"/>
      <c r="V286" s="109" t="n"/>
      <c r="Z286" s="109" t="n"/>
      <c r="AA286" s="109" t="n"/>
      <c r="AB286" s="109" t="n"/>
      <c r="AF286" s="109" t="n"/>
      <c r="AG286" s="109" t="n"/>
      <c r="AH286" s="109" t="n"/>
      <c r="AL286" s="109" t="n"/>
      <c r="AM286" s="109" t="n"/>
      <c r="AN286" s="109" t="n"/>
    </row>
    <row r="287" ht="15.75" customHeight="1" s="216">
      <c r="D287" s="109" t="n"/>
      <c r="E287" s="109" t="n"/>
      <c r="J287" s="109" t="n"/>
      <c r="K287" s="109" t="n"/>
      <c r="L287" s="109" t="n"/>
      <c r="N287" s="109" t="n"/>
      <c r="O287" s="109" t="n"/>
      <c r="P287" s="109" t="n"/>
      <c r="T287" s="109" t="n"/>
      <c r="U287" s="109" t="n"/>
      <c r="V287" s="109" t="n"/>
      <c r="Z287" s="109" t="n"/>
      <c r="AA287" s="109" t="n"/>
      <c r="AB287" s="109" t="n"/>
      <c r="AF287" s="109" t="n"/>
      <c r="AG287" s="109" t="n"/>
      <c r="AH287" s="109" t="n"/>
      <c r="AL287" s="109" t="n"/>
      <c r="AM287" s="109" t="n"/>
      <c r="AN287" s="109" t="n"/>
    </row>
    <row r="288" ht="15.75" customHeight="1" s="216">
      <c r="D288" s="109" t="n"/>
      <c r="E288" s="109" t="n"/>
      <c r="J288" s="109" t="n"/>
      <c r="K288" s="109" t="n"/>
      <c r="L288" s="109" t="n"/>
      <c r="N288" s="109" t="n"/>
      <c r="O288" s="109" t="n"/>
      <c r="P288" s="109" t="n"/>
      <c r="T288" s="109" t="n"/>
      <c r="U288" s="109" t="n"/>
      <c r="V288" s="109" t="n"/>
      <c r="Z288" s="109" t="n"/>
      <c r="AA288" s="109" t="n"/>
      <c r="AB288" s="109" t="n"/>
      <c r="AF288" s="109" t="n"/>
      <c r="AG288" s="109" t="n"/>
      <c r="AH288" s="109" t="n"/>
      <c r="AL288" s="109" t="n"/>
      <c r="AM288" s="109" t="n"/>
      <c r="AN288" s="109" t="n"/>
    </row>
    <row r="289" ht="15.75" customHeight="1" s="216">
      <c r="D289" s="109" t="n"/>
      <c r="E289" s="109" t="n"/>
      <c r="J289" s="109" t="n"/>
      <c r="K289" s="109" t="n"/>
      <c r="L289" s="109" t="n"/>
      <c r="N289" s="109" t="n"/>
      <c r="O289" s="109" t="n"/>
      <c r="P289" s="109" t="n"/>
      <c r="T289" s="109" t="n"/>
      <c r="U289" s="109" t="n"/>
      <c r="V289" s="109" t="n"/>
      <c r="Z289" s="109" t="n"/>
      <c r="AA289" s="109" t="n"/>
      <c r="AB289" s="109" t="n"/>
      <c r="AF289" s="109" t="n"/>
      <c r="AG289" s="109" t="n"/>
      <c r="AH289" s="109" t="n"/>
      <c r="AL289" s="109" t="n"/>
      <c r="AM289" s="109" t="n"/>
      <c r="AN289" s="109" t="n"/>
    </row>
    <row r="290" ht="15.75" customHeight="1" s="216">
      <c r="D290" s="109" t="n"/>
      <c r="E290" s="109" t="n"/>
      <c r="J290" s="109" t="n"/>
      <c r="K290" s="109" t="n"/>
      <c r="L290" s="109" t="n"/>
      <c r="N290" s="109" t="n"/>
      <c r="O290" s="109" t="n"/>
      <c r="P290" s="109" t="n"/>
      <c r="T290" s="109" t="n"/>
      <c r="U290" s="109" t="n"/>
      <c r="V290" s="109" t="n"/>
      <c r="Z290" s="109" t="n"/>
      <c r="AA290" s="109" t="n"/>
      <c r="AB290" s="109" t="n"/>
      <c r="AF290" s="109" t="n"/>
      <c r="AG290" s="109" t="n"/>
      <c r="AH290" s="109" t="n"/>
      <c r="AL290" s="109" t="n"/>
      <c r="AM290" s="109" t="n"/>
      <c r="AN290" s="109" t="n"/>
    </row>
    <row r="291" ht="15.75" customHeight="1" s="216">
      <c r="D291" s="109" t="n"/>
      <c r="E291" s="109" t="n"/>
      <c r="J291" s="109" t="n"/>
      <c r="K291" s="109" t="n"/>
      <c r="L291" s="109" t="n"/>
      <c r="N291" s="109" t="n"/>
      <c r="O291" s="109" t="n"/>
      <c r="P291" s="109" t="n"/>
      <c r="T291" s="109" t="n"/>
      <c r="U291" s="109" t="n"/>
      <c r="V291" s="109" t="n"/>
      <c r="Z291" s="109" t="n"/>
      <c r="AA291" s="109" t="n"/>
      <c r="AB291" s="109" t="n"/>
      <c r="AF291" s="109" t="n"/>
      <c r="AG291" s="109" t="n"/>
      <c r="AH291" s="109" t="n"/>
      <c r="AL291" s="109" t="n"/>
      <c r="AM291" s="109" t="n"/>
      <c r="AN291" s="109" t="n"/>
    </row>
    <row r="292" ht="15.75" customHeight="1" s="216">
      <c r="D292" s="109" t="n"/>
      <c r="E292" s="109" t="n"/>
      <c r="J292" s="109" t="n"/>
      <c r="K292" s="109" t="n"/>
      <c r="L292" s="109" t="n"/>
      <c r="N292" s="109" t="n"/>
      <c r="O292" s="109" t="n"/>
      <c r="P292" s="109" t="n"/>
      <c r="T292" s="109" t="n"/>
      <c r="U292" s="109" t="n"/>
      <c r="V292" s="109" t="n"/>
      <c r="Z292" s="109" t="n"/>
      <c r="AA292" s="109" t="n"/>
      <c r="AB292" s="109" t="n"/>
      <c r="AF292" s="109" t="n"/>
      <c r="AG292" s="109" t="n"/>
      <c r="AH292" s="109" t="n"/>
      <c r="AL292" s="109" t="n"/>
      <c r="AM292" s="109" t="n"/>
      <c r="AN292" s="109" t="n"/>
    </row>
    <row r="293" ht="15.75" customHeight="1" s="216">
      <c r="D293" s="109" t="n"/>
      <c r="E293" s="109" t="n"/>
      <c r="J293" s="109" t="n"/>
      <c r="K293" s="109" t="n"/>
      <c r="L293" s="109" t="n"/>
      <c r="N293" s="109" t="n"/>
      <c r="O293" s="109" t="n"/>
      <c r="P293" s="109" t="n"/>
      <c r="T293" s="109" t="n"/>
      <c r="U293" s="109" t="n"/>
      <c r="V293" s="109" t="n"/>
      <c r="Z293" s="109" t="n"/>
      <c r="AA293" s="109" t="n"/>
      <c r="AB293" s="109" t="n"/>
      <c r="AF293" s="109" t="n"/>
      <c r="AG293" s="109" t="n"/>
      <c r="AH293" s="109" t="n"/>
      <c r="AL293" s="109" t="n"/>
      <c r="AM293" s="109" t="n"/>
      <c r="AN293" s="109" t="n"/>
    </row>
    <row r="294" ht="15.75" customHeight="1" s="216">
      <c r="D294" s="109" t="n"/>
      <c r="E294" s="109" t="n"/>
      <c r="J294" s="109" t="n"/>
      <c r="K294" s="109" t="n"/>
      <c r="L294" s="109" t="n"/>
      <c r="N294" s="109" t="n"/>
      <c r="O294" s="109" t="n"/>
      <c r="P294" s="109" t="n"/>
      <c r="T294" s="109" t="n"/>
      <c r="U294" s="109" t="n"/>
      <c r="V294" s="109" t="n"/>
      <c r="Z294" s="109" t="n"/>
      <c r="AA294" s="109" t="n"/>
      <c r="AB294" s="109" t="n"/>
      <c r="AF294" s="109" t="n"/>
      <c r="AG294" s="109" t="n"/>
      <c r="AH294" s="109" t="n"/>
      <c r="AL294" s="109" t="n"/>
      <c r="AM294" s="109" t="n"/>
      <c r="AN294" s="109" t="n"/>
    </row>
    <row r="295" ht="15.75" customHeight="1" s="216">
      <c r="D295" s="109" t="n"/>
      <c r="E295" s="109" t="n"/>
      <c r="J295" s="109" t="n"/>
      <c r="K295" s="109" t="n"/>
      <c r="L295" s="109" t="n"/>
      <c r="N295" s="109" t="n"/>
      <c r="O295" s="109" t="n"/>
      <c r="P295" s="109" t="n"/>
      <c r="T295" s="109" t="n"/>
      <c r="U295" s="109" t="n"/>
      <c r="V295" s="109" t="n"/>
      <c r="Z295" s="109" t="n"/>
      <c r="AA295" s="109" t="n"/>
      <c r="AB295" s="109" t="n"/>
      <c r="AF295" s="109" t="n"/>
      <c r="AG295" s="109" t="n"/>
      <c r="AH295" s="109" t="n"/>
      <c r="AL295" s="109" t="n"/>
      <c r="AM295" s="109" t="n"/>
      <c r="AN295" s="109" t="n"/>
    </row>
    <row r="296" ht="15.75" customHeight="1" s="216">
      <c r="D296" s="109" t="n"/>
      <c r="E296" s="109" t="n"/>
      <c r="J296" s="109" t="n"/>
      <c r="K296" s="109" t="n"/>
      <c r="L296" s="109" t="n"/>
      <c r="N296" s="109" t="n"/>
      <c r="O296" s="109" t="n"/>
      <c r="P296" s="109" t="n"/>
      <c r="T296" s="109" t="n"/>
      <c r="U296" s="109" t="n"/>
      <c r="V296" s="109" t="n"/>
      <c r="Z296" s="109" t="n"/>
      <c r="AA296" s="109" t="n"/>
      <c r="AB296" s="109" t="n"/>
      <c r="AF296" s="109" t="n"/>
      <c r="AG296" s="109" t="n"/>
      <c r="AH296" s="109" t="n"/>
      <c r="AL296" s="109" t="n"/>
      <c r="AM296" s="109" t="n"/>
      <c r="AN296" s="109" t="n"/>
    </row>
    <row r="297" ht="15.75" customHeight="1" s="216">
      <c r="D297" s="109" t="n"/>
      <c r="E297" s="109" t="n"/>
      <c r="J297" s="109" t="n"/>
      <c r="K297" s="109" t="n"/>
      <c r="L297" s="109" t="n"/>
      <c r="N297" s="109" t="n"/>
      <c r="O297" s="109" t="n"/>
      <c r="P297" s="109" t="n"/>
      <c r="T297" s="109" t="n"/>
      <c r="U297" s="109" t="n"/>
      <c r="V297" s="109" t="n"/>
      <c r="Z297" s="109" t="n"/>
      <c r="AA297" s="109" t="n"/>
      <c r="AB297" s="109" t="n"/>
      <c r="AF297" s="109" t="n"/>
      <c r="AG297" s="109" t="n"/>
      <c r="AH297" s="109" t="n"/>
      <c r="AL297" s="109" t="n"/>
      <c r="AM297" s="109" t="n"/>
      <c r="AN297" s="109" t="n"/>
    </row>
    <row r="298" ht="15.75" customHeight="1" s="216">
      <c r="D298" s="109" t="n"/>
      <c r="E298" s="109" t="n"/>
      <c r="J298" s="109" t="n"/>
      <c r="K298" s="109" t="n"/>
      <c r="L298" s="109" t="n"/>
      <c r="N298" s="109" t="n"/>
      <c r="O298" s="109" t="n"/>
      <c r="P298" s="109" t="n"/>
      <c r="T298" s="109" t="n"/>
      <c r="U298" s="109" t="n"/>
      <c r="V298" s="109" t="n"/>
      <c r="Z298" s="109" t="n"/>
      <c r="AA298" s="109" t="n"/>
      <c r="AB298" s="109" t="n"/>
      <c r="AF298" s="109" t="n"/>
      <c r="AG298" s="109" t="n"/>
      <c r="AH298" s="109" t="n"/>
      <c r="AL298" s="109" t="n"/>
      <c r="AM298" s="109" t="n"/>
      <c r="AN298" s="109" t="n"/>
    </row>
    <row r="299" ht="15.75" customHeight="1" s="216">
      <c r="D299" s="109" t="n"/>
      <c r="E299" s="109" t="n"/>
      <c r="J299" s="109" t="n"/>
      <c r="K299" s="109" t="n"/>
      <c r="L299" s="109" t="n"/>
      <c r="N299" s="109" t="n"/>
      <c r="O299" s="109" t="n"/>
      <c r="P299" s="109" t="n"/>
      <c r="T299" s="109" t="n"/>
      <c r="U299" s="109" t="n"/>
      <c r="V299" s="109" t="n"/>
      <c r="Z299" s="109" t="n"/>
      <c r="AA299" s="109" t="n"/>
      <c r="AB299" s="109" t="n"/>
      <c r="AF299" s="109" t="n"/>
      <c r="AG299" s="109" t="n"/>
      <c r="AH299" s="109" t="n"/>
      <c r="AL299" s="109" t="n"/>
      <c r="AM299" s="109" t="n"/>
      <c r="AN299" s="109" t="n"/>
    </row>
    <row r="300" ht="15.75" customHeight="1" s="216">
      <c r="D300" s="109" t="n"/>
      <c r="E300" s="109" t="n"/>
      <c r="J300" s="109" t="n"/>
      <c r="K300" s="109" t="n"/>
      <c r="L300" s="109" t="n"/>
      <c r="N300" s="109" t="n"/>
      <c r="O300" s="109" t="n"/>
      <c r="P300" s="109" t="n"/>
      <c r="T300" s="109" t="n"/>
      <c r="U300" s="109" t="n"/>
      <c r="V300" s="109" t="n"/>
      <c r="Z300" s="109" t="n"/>
      <c r="AA300" s="109" t="n"/>
      <c r="AB300" s="109" t="n"/>
      <c r="AF300" s="109" t="n"/>
      <c r="AG300" s="109" t="n"/>
      <c r="AH300" s="109" t="n"/>
      <c r="AL300" s="109" t="n"/>
      <c r="AM300" s="109" t="n"/>
      <c r="AN300" s="109" t="n"/>
    </row>
    <row r="301" ht="15.75" customHeight="1" s="216">
      <c r="D301" s="109" t="n"/>
      <c r="E301" s="109" t="n"/>
      <c r="J301" s="109" t="n"/>
      <c r="K301" s="109" t="n"/>
      <c r="L301" s="109" t="n"/>
      <c r="N301" s="109" t="n"/>
      <c r="O301" s="109" t="n"/>
      <c r="P301" s="109" t="n"/>
      <c r="T301" s="109" t="n"/>
      <c r="U301" s="109" t="n"/>
      <c r="V301" s="109" t="n"/>
      <c r="Z301" s="109" t="n"/>
      <c r="AA301" s="109" t="n"/>
      <c r="AB301" s="109" t="n"/>
      <c r="AF301" s="109" t="n"/>
      <c r="AG301" s="109" t="n"/>
      <c r="AH301" s="109" t="n"/>
      <c r="AL301" s="109" t="n"/>
      <c r="AM301" s="109" t="n"/>
      <c r="AN301" s="109" t="n"/>
    </row>
    <row r="302" ht="15.75" customHeight="1" s="216">
      <c r="D302" s="109" t="n"/>
      <c r="E302" s="109" t="n"/>
      <c r="J302" s="109" t="n"/>
      <c r="K302" s="109" t="n"/>
      <c r="L302" s="109" t="n"/>
      <c r="N302" s="109" t="n"/>
      <c r="O302" s="109" t="n"/>
      <c r="P302" s="109" t="n"/>
      <c r="T302" s="109" t="n"/>
      <c r="U302" s="109" t="n"/>
      <c r="V302" s="109" t="n"/>
      <c r="Z302" s="109" t="n"/>
      <c r="AA302" s="109" t="n"/>
      <c r="AB302" s="109" t="n"/>
      <c r="AF302" s="109" t="n"/>
      <c r="AG302" s="109" t="n"/>
      <c r="AH302" s="109" t="n"/>
      <c r="AL302" s="109" t="n"/>
      <c r="AM302" s="109" t="n"/>
      <c r="AN302" s="109" t="n"/>
    </row>
    <row r="303" ht="15.75" customHeight="1" s="216">
      <c r="D303" s="109" t="n"/>
      <c r="E303" s="109" t="n"/>
      <c r="J303" s="109" t="n"/>
      <c r="K303" s="109" t="n"/>
      <c r="L303" s="109" t="n"/>
      <c r="N303" s="109" t="n"/>
      <c r="O303" s="109" t="n"/>
      <c r="P303" s="109" t="n"/>
      <c r="T303" s="109" t="n"/>
      <c r="U303" s="109" t="n"/>
      <c r="V303" s="109" t="n"/>
      <c r="Z303" s="109" t="n"/>
      <c r="AA303" s="109" t="n"/>
      <c r="AB303" s="109" t="n"/>
      <c r="AF303" s="109" t="n"/>
      <c r="AG303" s="109" t="n"/>
      <c r="AH303" s="109" t="n"/>
      <c r="AL303" s="109" t="n"/>
      <c r="AM303" s="109" t="n"/>
      <c r="AN303" s="109" t="n"/>
    </row>
    <row r="304" ht="15.75" customHeight="1" s="216">
      <c r="D304" s="109" t="n"/>
      <c r="E304" s="109" t="n"/>
      <c r="J304" s="109" t="n"/>
      <c r="K304" s="109" t="n"/>
      <c r="L304" s="109" t="n"/>
      <c r="N304" s="109" t="n"/>
      <c r="O304" s="109" t="n"/>
      <c r="P304" s="109" t="n"/>
      <c r="T304" s="109" t="n"/>
      <c r="U304" s="109" t="n"/>
      <c r="V304" s="109" t="n"/>
      <c r="Z304" s="109" t="n"/>
      <c r="AA304" s="109" t="n"/>
      <c r="AB304" s="109" t="n"/>
      <c r="AF304" s="109" t="n"/>
      <c r="AG304" s="109" t="n"/>
      <c r="AH304" s="109" t="n"/>
      <c r="AL304" s="109" t="n"/>
      <c r="AM304" s="109" t="n"/>
      <c r="AN304" s="109" t="n"/>
    </row>
    <row r="305" ht="15.75" customHeight="1" s="216">
      <c r="D305" s="109" t="n"/>
      <c r="E305" s="109" t="n"/>
      <c r="J305" s="109" t="n"/>
      <c r="K305" s="109" t="n"/>
      <c r="L305" s="109" t="n"/>
      <c r="N305" s="109" t="n"/>
      <c r="O305" s="109" t="n"/>
      <c r="P305" s="109" t="n"/>
      <c r="T305" s="109" t="n"/>
      <c r="U305" s="109" t="n"/>
      <c r="V305" s="109" t="n"/>
      <c r="Z305" s="109" t="n"/>
      <c r="AA305" s="109" t="n"/>
      <c r="AB305" s="109" t="n"/>
      <c r="AF305" s="109" t="n"/>
      <c r="AG305" s="109" t="n"/>
      <c r="AH305" s="109" t="n"/>
      <c r="AL305" s="109" t="n"/>
      <c r="AM305" s="109" t="n"/>
      <c r="AN305" s="109" t="n"/>
    </row>
    <row r="306" ht="15.75" customHeight="1" s="216">
      <c r="D306" s="109" t="n"/>
      <c r="E306" s="109" t="n"/>
      <c r="J306" s="109" t="n"/>
      <c r="K306" s="109" t="n"/>
      <c r="L306" s="109" t="n"/>
      <c r="N306" s="109" t="n"/>
      <c r="O306" s="109" t="n"/>
      <c r="P306" s="109" t="n"/>
      <c r="T306" s="109" t="n"/>
      <c r="U306" s="109" t="n"/>
      <c r="V306" s="109" t="n"/>
      <c r="Z306" s="109" t="n"/>
      <c r="AA306" s="109" t="n"/>
      <c r="AB306" s="109" t="n"/>
      <c r="AF306" s="109" t="n"/>
      <c r="AG306" s="109" t="n"/>
      <c r="AH306" s="109" t="n"/>
      <c r="AL306" s="109" t="n"/>
      <c r="AM306" s="109" t="n"/>
      <c r="AN306" s="109" t="n"/>
    </row>
    <row r="307" ht="15.75" customHeight="1" s="216">
      <c r="D307" s="109" t="n"/>
      <c r="E307" s="109" t="n"/>
      <c r="J307" s="109" t="n"/>
      <c r="K307" s="109" t="n"/>
      <c r="L307" s="109" t="n"/>
      <c r="N307" s="109" t="n"/>
      <c r="O307" s="109" t="n"/>
      <c r="P307" s="109" t="n"/>
      <c r="T307" s="109" t="n"/>
      <c r="U307" s="109" t="n"/>
      <c r="V307" s="109" t="n"/>
      <c r="Z307" s="109" t="n"/>
      <c r="AA307" s="109" t="n"/>
      <c r="AB307" s="109" t="n"/>
      <c r="AF307" s="109" t="n"/>
      <c r="AG307" s="109" t="n"/>
      <c r="AH307" s="109" t="n"/>
      <c r="AL307" s="109" t="n"/>
      <c r="AM307" s="109" t="n"/>
      <c r="AN307" s="109" t="n"/>
    </row>
    <row r="308" ht="15.75" customHeight="1" s="216">
      <c r="D308" s="109" t="n"/>
      <c r="E308" s="109" t="n"/>
      <c r="J308" s="109" t="n"/>
      <c r="K308" s="109" t="n"/>
      <c r="L308" s="109" t="n"/>
      <c r="N308" s="109" t="n"/>
      <c r="O308" s="109" t="n"/>
      <c r="P308" s="109" t="n"/>
      <c r="T308" s="109" t="n"/>
      <c r="U308" s="109" t="n"/>
      <c r="V308" s="109" t="n"/>
      <c r="Z308" s="109" t="n"/>
      <c r="AA308" s="109" t="n"/>
      <c r="AB308" s="109" t="n"/>
      <c r="AF308" s="109" t="n"/>
      <c r="AG308" s="109" t="n"/>
      <c r="AH308" s="109" t="n"/>
      <c r="AL308" s="109" t="n"/>
      <c r="AM308" s="109" t="n"/>
      <c r="AN308" s="109" t="n"/>
    </row>
    <row r="309" ht="15.75" customHeight="1" s="216">
      <c r="D309" s="109" t="n"/>
      <c r="E309" s="109" t="n"/>
      <c r="J309" s="109" t="n"/>
      <c r="K309" s="109" t="n"/>
      <c r="L309" s="109" t="n"/>
      <c r="N309" s="109" t="n"/>
      <c r="O309" s="109" t="n"/>
      <c r="P309" s="109" t="n"/>
      <c r="T309" s="109" t="n"/>
      <c r="U309" s="109" t="n"/>
      <c r="V309" s="109" t="n"/>
      <c r="Z309" s="109" t="n"/>
      <c r="AA309" s="109" t="n"/>
      <c r="AB309" s="109" t="n"/>
      <c r="AF309" s="109" t="n"/>
      <c r="AG309" s="109" t="n"/>
      <c r="AH309" s="109" t="n"/>
      <c r="AL309" s="109" t="n"/>
      <c r="AM309" s="109" t="n"/>
      <c r="AN309" s="109" t="n"/>
    </row>
    <row r="310" ht="15.75" customHeight="1" s="216">
      <c r="D310" s="109" t="n"/>
      <c r="E310" s="109" t="n"/>
      <c r="J310" s="109" t="n"/>
      <c r="K310" s="109" t="n"/>
      <c r="L310" s="109" t="n"/>
      <c r="N310" s="109" t="n"/>
      <c r="O310" s="109" t="n"/>
      <c r="P310" s="109" t="n"/>
      <c r="T310" s="109" t="n"/>
      <c r="U310" s="109" t="n"/>
      <c r="V310" s="109" t="n"/>
      <c r="Z310" s="109" t="n"/>
      <c r="AA310" s="109" t="n"/>
      <c r="AB310" s="109" t="n"/>
      <c r="AF310" s="109" t="n"/>
      <c r="AG310" s="109" t="n"/>
      <c r="AH310" s="109" t="n"/>
      <c r="AL310" s="109" t="n"/>
      <c r="AM310" s="109" t="n"/>
      <c r="AN310" s="109" t="n"/>
    </row>
    <row r="311" ht="15.75" customHeight="1" s="216">
      <c r="D311" s="109" t="n"/>
      <c r="E311" s="109" t="n"/>
      <c r="J311" s="109" t="n"/>
      <c r="K311" s="109" t="n"/>
      <c r="L311" s="109" t="n"/>
      <c r="N311" s="109" t="n"/>
      <c r="O311" s="109" t="n"/>
      <c r="P311" s="109" t="n"/>
      <c r="T311" s="109" t="n"/>
      <c r="U311" s="109" t="n"/>
      <c r="V311" s="109" t="n"/>
      <c r="Z311" s="109" t="n"/>
      <c r="AA311" s="109" t="n"/>
      <c r="AB311" s="109" t="n"/>
      <c r="AF311" s="109" t="n"/>
      <c r="AG311" s="109" t="n"/>
      <c r="AH311" s="109" t="n"/>
      <c r="AL311" s="109" t="n"/>
      <c r="AM311" s="109" t="n"/>
      <c r="AN311" s="109" t="n"/>
    </row>
    <row r="312" ht="15.75" customHeight="1" s="216">
      <c r="D312" s="109" t="n"/>
      <c r="E312" s="109" t="n"/>
      <c r="J312" s="109" t="n"/>
      <c r="K312" s="109" t="n"/>
      <c r="L312" s="109" t="n"/>
      <c r="N312" s="109" t="n"/>
      <c r="O312" s="109" t="n"/>
      <c r="P312" s="109" t="n"/>
      <c r="T312" s="109" t="n"/>
      <c r="U312" s="109" t="n"/>
      <c r="V312" s="109" t="n"/>
      <c r="Z312" s="109" t="n"/>
      <c r="AA312" s="109" t="n"/>
      <c r="AB312" s="109" t="n"/>
      <c r="AF312" s="109" t="n"/>
      <c r="AG312" s="109" t="n"/>
      <c r="AH312" s="109" t="n"/>
      <c r="AL312" s="109" t="n"/>
      <c r="AM312" s="109" t="n"/>
      <c r="AN312" s="109" t="n"/>
    </row>
    <row r="313" ht="15.75" customHeight="1" s="216">
      <c r="D313" s="109" t="n"/>
      <c r="E313" s="109" t="n"/>
      <c r="J313" s="109" t="n"/>
      <c r="K313" s="109" t="n"/>
      <c r="L313" s="109" t="n"/>
      <c r="N313" s="109" t="n"/>
      <c r="O313" s="109" t="n"/>
      <c r="P313" s="109" t="n"/>
      <c r="T313" s="109" t="n"/>
      <c r="U313" s="109" t="n"/>
      <c r="V313" s="109" t="n"/>
      <c r="Z313" s="109" t="n"/>
      <c r="AA313" s="109" t="n"/>
      <c r="AB313" s="109" t="n"/>
      <c r="AF313" s="109" t="n"/>
      <c r="AG313" s="109" t="n"/>
      <c r="AH313" s="109" t="n"/>
      <c r="AL313" s="109" t="n"/>
      <c r="AM313" s="109" t="n"/>
      <c r="AN313" s="109" t="n"/>
    </row>
    <row r="314" ht="15.75" customHeight="1" s="216">
      <c r="D314" s="109" t="n"/>
      <c r="E314" s="109" t="n"/>
      <c r="J314" s="109" t="n"/>
      <c r="K314" s="109" t="n"/>
      <c r="L314" s="109" t="n"/>
      <c r="N314" s="109" t="n"/>
      <c r="O314" s="109" t="n"/>
      <c r="P314" s="109" t="n"/>
      <c r="T314" s="109" t="n"/>
      <c r="U314" s="109" t="n"/>
      <c r="V314" s="109" t="n"/>
      <c r="Z314" s="109" t="n"/>
      <c r="AA314" s="109" t="n"/>
      <c r="AB314" s="109" t="n"/>
      <c r="AF314" s="109" t="n"/>
      <c r="AG314" s="109" t="n"/>
      <c r="AH314" s="109" t="n"/>
      <c r="AL314" s="109" t="n"/>
      <c r="AM314" s="109" t="n"/>
      <c r="AN314" s="109" t="n"/>
    </row>
    <row r="315" ht="15.75" customHeight="1" s="216">
      <c r="D315" s="109" t="n"/>
      <c r="E315" s="109" t="n"/>
      <c r="J315" s="109" t="n"/>
      <c r="K315" s="109" t="n"/>
      <c r="L315" s="109" t="n"/>
      <c r="N315" s="109" t="n"/>
      <c r="O315" s="109" t="n"/>
      <c r="P315" s="109" t="n"/>
      <c r="T315" s="109" t="n"/>
      <c r="U315" s="109" t="n"/>
      <c r="V315" s="109" t="n"/>
      <c r="Z315" s="109" t="n"/>
      <c r="AA315" s="109" t="n"/>
      <c r="AB315" s="109" t="n"/>
      <c r="AF315" s="109" t="n"/>
      <c r="AG315" s="109" t="n"/>
      <c r="AH315" s="109" t="n"/>
      <c r="AL315" s="109" t="n"/>
      <c r="AM315" s="109" t="n"/>
      <c r="AN315" s="109" t="n"/>
    </row>
    <row r="316" ht="15.75" customHeight="1" s="216">
      <c r="D316" s="109" t="n"/>
      <c r="E316" s="109" t="n"/>
      <c r="J316" s="109" t="n"/>
      <c r="K316" s="109" t="n"/>
      <c r="L316" s="109" t="n"/>
      <c r="N316" s="109" t="n"/>
      <c r="O316" s="109" t="n"/>
      <c r="P316" s="109" t="n"/>
      <c r="T316" s="109" t="n"/>
      <c r="U316" s="109" t="n"/>
      <c r="V316" s="109" t="n"/>
      <c r="Z316" s="109" t="n"/>
      <c r="AA316" s="109" t="n"/>
      <c r="AB316" s="109" t="n"/>
      <c r="AF316" s="109" t="n"/>
      <c r="AG316" s="109" t="n"/>
      <c r="AH316" s="109" t="n"/>
      <c r="AL316" s="109" t="n"/>
      <c r="AM316" s="109" t="n"/>
      <c r="AN316" s="109" t="n"/>
    </row>
    <row r="317" ht="15.75" customHeight="1" s="216">
      <c r="D317" s="109" t="n"/>
      <c r="E317" s="109" t="n"/>
      <c r="J317" s="109" t="n"/>
      <c r="K317" s="109" t="n"/>
      <c r="L317" s="109" t="n"/>
      <c r="N317" s="109" t="n"/>
      <c r="O317" s="109" t="n"/>
      <c r="P317" s="109" t="n"/>
      <c r="T317" s="109" t="n"/>
      <c r="U317" s="109" t="n"/>
      <c r="V317" s="109" t="n"/>
      <c r="Z317" s="109" t="n"/>
      <c r="AA317" s="109" t="n"/>
      <c r="AB317" s="109" t="n"/>
      <c r="AF317" s="109" t="n"/>
      <c r="AG317" s="109" t="n"/>
      <c r="AH317" s="109" t="n"/>
      <c r="AL317" s="109" t="n"/>
      <c r="AM317" s="109" t="n"/>
      <c r="AN317" s="109" t="n"/>
    </row>
    <row r="318" ht="15.75" customHeight="1" s="216">
      <c r="D318" s="109" t="n"/>
      <c r="E318" s="109" t="n"/>
      <c r="J318" s="109" t="n"/>
      <c r="K318" s="109" t="n"/>
      <c r="L318" s="109" t="n"/>
      <c r="N318" s="109" t="n"/>
      <c r="O318" s="109" t="n"/>
      <c r="P318" s="109" t="n"/>
      <c r="T318" s="109" t="n"/>
      <c r="U318" s="109" t="n"/>
      <c r="V318" s="109" t="n"/>
      <c r="Z318" s="109" t="n"/>
      <c r="AA318" s="109" t="n"/>
      <c r="AB318" s="109" t="n"/>
      <c r="AF318" s="109" t="n"/>
      <c r="AG318" s="109" t="n"/>
      <c r="AH318" s="109" t="n"/>
      <c r="AL318" s="109" t="n"/>
      <c r="AM318" s="109" t="n"/>
      <c r="AN318" s="109" t="n"/>
    </row>
    <row r="319" ht="15.75" customHeight="1" s="216">
      <c r="D319" s="109" t="n"/>
      <c r="E319" s="109" t="n"/>
      <c r="J319" s="109" t="n"/>
      <c r="K319" s="109" t="n"/>
      <c r="L319" s="109" t="n"/>
      <c r="N319" s="109" t="n"/>
      <c r="O319" s="109" t="n"/>
      <c r="P319" s="109" t="n"/>
      <c r="T319" s="109" t="n"/>
      <c r="U319" s="109" t="n"/>
      <c r="V319" s="109" t="n"/>
      <c r="Z319" s="109" t="n"/>
      <c r="AA319" s="109" t="n"/>
      <c r="AB319" s="109" t="n"/>
      <c r="AF319" s="109" t="n"/>
      <c r="AG319" s="109" t="n"/>
      <c r="AH319" s="109" t="n"/>
      <c r="AL319" s="109" t="n"/>
      <c r="AM319" s="109" t="n"/>
      <c r="AN319" s="109" t="n"/>
    </row>
    <row r="320" ht="15.75" customHeight="1" s="216">
      <c r="D320" s="109" t="n"/>
      <c r="E320" s="109" t="n"/>
      <c r="J320" s="109" t="n"/>
      <c r="K320" s="109" t="n"/>
      <c r="L320" s="109" t="n"/>
      <c r="N320" s="109" t="n"/>
      <c r="O320" s="109" t="n"/>
      <c r="P320" s="109" t="n"/>
      <c r="T320" s="109" t="n"/>
      <c r="U320" s="109" t="n"/>
      <c r="V320" s="109" t="n"/>
      <c r="Z320" s="109" t="n"/>
      <c r="AA320" s="109" t="n"/>
      <c r="AB320" s="109" t="n"/>
      <c r="AF320" s="109" t="n"/>
      <c r="AG320" s="109" t="n"/>
      <c r="AH320" s="109" t="n"/>
      <c r="AL320" s="109" t="n"/>
      <c r="AM320" s="109" t="n"/>
      <c r="AN320" s="109" t="n"/>
    </row>
    <row r="321" ht="15.75" customHeight="1" s="216">
      <c r="D321" s="109" t="n"/>
      <c r="E321" s="109" t="n"/>
      <c r="J321" s="109" t="n"/>
      <c r="K321" s="109" t="n"/>
      <c r="L321" s="109" t="n"/>
      <c r="N321" s="109" t="n"/>
      <c r="O321" s="109" t="n"/>
      <c r="P321" s="109" t="n"/>
      <c r="T321" s="109" t="n"/>
      <c r="U321" s="109" t="n"/>
      <c r="V321" s="109" t="n"/>
      <c r="Z321" s="109" t="n"/>
      <c r="AA321" s="109" t="n"/>
      <c r="AB321" s="109" t="n"/>
      <c r="AF321" s="109" t="n"/>
      <c r="AG321" s="109" t="n"/>
      <c r="AH321" s="109" t="n"/>
      <c r="AL321" s="109" t="n"/>
      <c r="AM321" s="109" t="n"/>
      <c r="AN321" s="109" t="n"/>
    </row>
    <row r="322" ht="15.75" customHeight="1" s="216">
      <c r="D322" s="109" t="n"/>
      <c r="E322" s="109" t="n"/>
      <c r="J322" s="109" t="n"/>
      <c r="K322" s="109" t="n"/>
      <c r="L322" s="109" t="n"/>
      <c r="N322" s="109" t="n"/>
      <c r="O322" s="109" t="n"/>
      <c r="P322" s="109" t="n"/>
      <c r="T322" s="109" t="n"/>
      <c r="U322" s="109" t="n"/>
      <c r="V322" s="109" t="n"/>
      <c r="Z322" s="109" t="n"/>
      <c r="AA322" s="109" t="n"/>
      <c r="AB322" s="109" t="n"/>
      <c r="AF322" s="109" t="n"/>
      <c r="AG322" s="109" t="n"/>
      <c r="AH322" s="109" t="n"/>
      <c r="AL322" s="109" t="n"/>
      <c r="AM322" s="109" t="n"/>
      <c r="AN322" s="109" t="n"/>
    </row>
    <row r="323" ht="15.75" customHeight="1" s="216">
      <c r="D323" s="109" t="n"/>
      <c r="E323" s="109" t="n"/>
      <c r="J323" s="109" t="n"/>
      <c r="K323" s="109" t="n"/>
      <c r="L323" s="109" t="n"/>
      <c r="N323" s="109" t="n"/>
      <c r="O323" s="109" t="n"/>
      <c r="P323" s="109" t="n"/>
      <c r="T323" s="109" t="n"/>
      <c r="U323" s="109" t="n"/>
      <c r="V323" s="109" t="n"/>
      <c r="Z323" s="109" t="n"/>
      <c r="AA323" s="109" t="n"/>
      <c r="AB323" s="109" t="n"/>
      <c r="AF323" s="109" t="n"/>
      <c r="AG323" s="109" t="n"/>
      <c r="AH323" s="109" t="n"/>
      <c r="AL323" s="109" t="n"/>
      <c r="AM323" s="109" t="n"/>
      <c r="AN323" s="109" t="n"/>
    </row>
    <row r="324" ht="15.75" customHeight="1" s="216">
      <c r="D324" s="109" t="n"/>
      <c r="E324" s="109" t="n"/>
      <c r="J324" s="109" t="n"/>
      <c r="K324" s="109" t="n"/>
      <c r="L324" s="109" t="n"/>
      <c r="N324" s="109" t="n"/>
      <c r="O324" s="109" t="n"/>
      <c r="P324" s="109" t="n"/>
      <c r="T324" s="109" t="n"/>
      <c r="U324" s="109" t="n"/>
      <c r="V324" s="109" t="n"/>
      <c r="Z324" s="109" t="n"/>
      <c r="AA324" s="109" t="n"/>
      <c r="AB324" s="109" t="n"/>
      <c r="AF324" s="109" t="n"/>
      <c r="AG324" s="109" t="n"/>
      <c r="AH324" s="109" t="n"/>
      <c r="AL324" s="109" t="n"/>
      <c r="AM324" s="109" t="n"/>
      <c r="AN324" s="109" t="n"/>
    </row>
    <row r="325" ht="15.75" customHeight="1" s="216">
      <c r="D325" s="109" t="n"/>
      <c r="E325" s="109" t="n"/>
      <c r="J325" s="109" t="n"/>
      <c r="K325" s="109" t="n"/>
      <c r="L325" s="109" t="n"/>
      <c r="N325" s="109" t="n"/>
      <c r="O325" s="109" t="n"/>
      <c r="P325" s="109" t="n"/>
      <c r="T325" s="109" t="n"/>
      <c r="U325" s="109" t="n"/>
      <c r="V325" s="109" t="n"/>
      <c r="Z325" s="109" t="n"/>
      <c r="AA325" s="109" t="n"/>
      <c r="AB325" s="109" t="n"/>
      <c r="AF325" s="109" t="n"/>
      <c r="AG325" s="109" t="n"/>
      <c r="AH325" s="109" t="n"/>
      <c r="AL325" s="109" t="n"/>
      <c r="AM325" s="109" t="n"/>
      <c r="AN325" s="109" t="n"/>
    </row>
    <row r="326" ht="15.75" customHeight="1" s="216">
      <c r="D326" s="109" t="n"/>
      <c r="E326" s="109" t="n"/>
      <c r="J326" s="109" t="n"/>
      <c r="K326" s="109" t="n"/>
      <c r="L326" s="109" t="n"/>
      <c r="N326" s="109" t="n"/>
      <c r="O326" s="109" t="n"/>
      <c r="P326" s="109" t="n"/>
      <c r="T326" s="109" t="n"/>
      <c r="U326" s="109" t="n"/>
      <c r="V326" s="109" t="n"/>
      <c r="Z326" s="109" t="n"/>
      <c r="AA326" s="109" t="n"/>
      <c r="AB326" s="109" t="n"/>
      <c r="AF326" s="109" t="n"/>
      <c r="AG326" s="109" t="n"/>
      <c r="AH326" s="109" t="n"/>
      <c r="AL326" s="109" t="n"/>
      <c r="AM326" s="109" t="n"/>
      <c r="AN326" s="109" t="n"/>
    </row>
    <row r="327" ht="15.75" customHeight="1" s="216">
      <c r="D327" s="109" t="n"/>
      <c r="E327" s="109" t="n"/>
      <c r="J327" s="109" t="n"/>
      <c r="K327" s="109" t="n"/>
      <c r="L327" s="109" t="n"/>
      <c r="N327" s="109" t="n"/>
      <c r="O327" s="109" t="n"/>
      <c r="P327" s="109" t="n"/>
      <c r="T327" s="109" t="n"/>
      <c r="U327" s="109" t="n"/>
      <c r="V327" s="109" t="n"/>
      <c r="Z327" s="109" t="n"/>
      <c r="AA327" s="109" t="n"/>
      <c r="AB327" s="109" t="n"/>
      <c r="AF327" s="109" t="n"/>
      <c r="AG327" s="109" t="n"/>
      <c r="AH327" s="109" t="n"/>
      <c r="AL327" s="109" t="n"/>
      <c r="AM327" s="109" t="n"/>
      <c r="AN327" s="109" t="n"/>
    </row>
    <row r="328" ht="15.75" customHeight="1" s="216">
      <c r="D328" s="109" t="n"/>
      <c r="E328" s="109" t="n"/>
      <c r="J328" s="109" t="n"/>
      <c r="K328" s="109" t="n"/>
      <c r="L328" s="109" t="n"/>
      <c r="N328" s="109" t="n"/>
      <c r="O328" s="109" t="n"/>
      <c r="P328" s="109" t="n"/>
      <c r="T328" s="109" t="n"/>
      <c r="U328" s="109" t="n"/>
      <c r="V328" s="109" t="n"/>
      <c r="Z328" s="109" t="n"/>
      <c r="AA328" s="109" t="n"/>
      <c r="AB328" s="109" t="n"/>
      <c r="AF328" s="109" t="n"/>
      <c r="AG328" s="109" t="n"/>
      <c r="AH328" s="109" t="n"/>
      <c r="AL328" s="109" t="n"/>
      <c r="AM328" s="109" t="n"/>
      <c r="AN328" s="109" t="n"/>
    </row>
    <row r="329" ht="15.75" customHeight="1" s="216">
      <c r="D329" s="109" t="n"/>
      <c r="E329" s="109" t="n"/>
      <c r="J329" s="109" t="n"/>
      <c r="K329" s="109" t="n"/>
      <c r="L329" s="109" t="n"/>
      <c r="N329" s="109" t="n"/>
      <c r="O329" s="109" t="n"/>
      <c r="P329" s="109" t="n"/>
      <c r="T329" s="109" t="n"/>
      <c r="U329" s="109" t="n"/>
      <c r="V329" s="109" t="n"/>
      <c r="Z329" s="109" t="n"/>
      <c r="AA329" s="109" t="n"/>
      <c r="AB329" s="109" t="n"/>
      <c r="AF329" s="109" t="n"/>
      <c r="AG329" s="109" t="n"/>
      <c r="AH329" s="109" t="n"/>
      <c r="AL329" s="109" t="n"/>
      <c r="AM329" s="109" t="n"/>
      <c r="AN329" s="109" t="n"/>
    </row>
    <row r="330" ht="15.75" customHeight="1" s="216">
      <c r="D330" s="109" t="n"/>
      <c r="E330" s="109" t="n"/>
      <c r="J330" s="109" t="n"/>
      <c r="K330" s="109" t="n"/>
      <c r="L330" s="109" t="n"/>
      <c r="N330" s="109" t="n"/>
      <c r="O330" s="109" t="n"/>
      <c r="P330" s="109" t="n"/>
      <c r="T330" s="109" t="n"/>
      <c r="U330" s="109" t="n"/>
      <c r="V330" s="109" t="n"/>
      <c r="Z330" s="109" t="n"/>
      <c r="AA330" s="109" t="n"/>
      <c r="AB330" s="109" t="n"/>
      <c r="AF330" s="109" t="n"/>
      <c r="AG330" s="109" t="n"/>
      <c r="AH330" s="109" t="n"/>
      <c r="AL330" s="109" t="n"/>
      <c r="AM330" s="109" t="n"/>
      <c r="AN330" s="109" t="n"/>
    </row>
    <row r="331" ht="15.75" customHeight="1" s="216">
      <c r="D331" s="109" t="n"/>
      <c r="E331" s="109" t="n"/>
      <c r="J331" s="109" t="n"/>
      <c r="K331" s="109" t="n"/>
      <c r="L331" s="109" t="n"/>
      <c r="N331" s="109" t="n"/>
      <c r="O331" s="109" t="n"/>
      <c r="P331" s="109" t="n"/>
      <c r="T331" s="109" t="n"/>
      <c r="U331" s="109" t="n"/>
      <c r="V331" s="109" t="n"/>
      <c r="Z331" s="109" t="n"/>
      <c r="AA331" s="109" t="n"/>
      <c r="AB331" s="109" t="n"/>
      <c r="AF331" s="109" t="n"/>
      <c r="AG331" s="109" t="n"/>
      <c r="AH331" s="109" t="n"/>
      <c r="AL331" s="109" t="n"/>
      <c r="AM331" s="109" t="n"/>
      <c r="AN331" s="109" t="n"/>
    </row>
    <row r="332" ht="15.75" customHeight="1" s="216">
      <c r="D332" s="109" t="n"/>
      <c r="E332" s="109" t="n"/>
      <c r="J332" s="109" t="n"/>
      <c r="K332" s="109" t="n"/>
      <c r="L332" s="109" t="n"/>
      <c r="N332" s="109" t="n"/>
      <c r="O332" s="109" t="n"/>
      <c r="P332" s="109" t="n"/>
      <c r="T332" s="109" t="n"/>
      <c r="U332" s="109" t="n"/>
      <c r="V332" s="109" t="n"/>
      <c r="Z332" s="109" t="n"/>
      <c r="AA332" s="109" t="n"/>
      <c r="AB332" s="109" t="n"/>
      <c r="AF332" s="109" t="n"/>
      <c r="AG332" s="109" t="n"/>
      <c r="AH332" s="109" t="n"/>
      <c r="AL332" s="109" t="n"/>
      <c r="AM332" s="109" t="n"/>
      <c r="AN332" s="109" t="n"/>
    </row>
    <row r="333" ht="15.75" customHeight="1" s="216">
      <c r="D333" s="109" t="n"/>
      <c r="E333" s="109" t="n"/>
      <c r="J333" s="109" t="n"/>
      <c r="K333" s="109" t="n"/>
      <c r="L333" s="109" t="n"/>
      <c r="N333" s="109" t="n"/>
      <c r="O333" s="109" t="n"/>
      <c r="P333" s="109" t="n"/>
      <c r="T333" s="109" t="n"/>
      <c r="U333" s="109" t="n"/>
      <c r="V333" s="109" t="n"/>
      <c r="Z333" s="109" t="n"/>
      <c r="AA333" s="109" t="n"/>
      <c r="AB333" s="109" t="n"/>
      <c r="AF333" s="109" t="n"/>
      <c r="AG333" s="109" t="n"/>
      <c r="AH333" s="109" t="n"/>
      <c r="AL333" s="109" t="n"/>
      <c r="AM333" s="109" t="n"/>
      <c r="AN333" s="109" t="n"/>
    </row>
    <row r="334" ht="15.75" customHeight="1" s="216">
      <c r="D334" s="109" t="n"/>
      <c r="E334" s="109" t="n"/>
      <c r="J334" s="109" t="n"/>
      <c r="K334" s="109" t="n"/>
      <c r="L334" s="109" t="n"/>
      <c r="N334" s="109" t="n"/>
      <c r="O334" s="109" t="n"/>
      <c r="P334" s="109" t="n"/>
      <c r="T334" s="109" t="n"/>
      <c r="U334" s="109" t="n"/>
      <c r="V334" s="109" t="n"/>
      <c r="Z334" s="109" t="n"/>
      <c r="AA334" s="109" t="n"/>
      <c r="AB334" s="109" t="n"/>
      <c r="AF334" s="109" t="n"/>
      <c r="AG334" s="109" t="n"/>
      <c r="AH334" s="109" t="n"/>
      <c r="AL334" s="109" t="n"/>
      <c r="AM334" s="109" t="n"/>
      <c r="AN334" s="109" t="n"/>
    </row>
    <row r="335" ht="15.75" customHeight="1" s="216">
      <c r="D335" s="109" t="n"/>
      <c r="E335" s="109" t="n"/>
      <c r="J335" s="109" t="n"/>
      <c r="K335" s="109" t="n"/>
      <c r="L335" s="109" t="n"/>
      <c r="N335" s="109" t="n"/>
      <c r="O335" s="109" t="n"/>
      <c r="P335" s="109" t="n"/>
      <c r="T335" s="109" t="n"/>
      <c r="U335" s="109" t="n"/>
      <c r="V335" s="109" t="n"/>
      <c r="Z335" s="109" t="n"/>
      <c r="AA335" s="109" t="n"/>
      <c r="AB335" s="109" t="n"/>
      <c r="AF335" s="109" t="n"/>
      <c r="AG335" s="109" t="n"/>
      <c r="AH335" s="109" t="n"/>
      <c r="AL335" s="109" t="n"/>
      <c r="AM335" s="109" t="n"/>
      <c r="AN335" s="109" t="n"/>
    </row>
    <row r="336" ht="15.75" customHeight="1" s="216">
      <c r="D336" s="109" t="n"/>
      <c r="E336" s="109" t="n"/>
      <c r="J336" s="109" t="n"/>
      <c r="K336" s="109" t="n"/>
      <c r="L336" s="109" t="n"/>
      <c r="N336" s="109" t="n"/>
      <c r="O336" s="109" t="n"/>
      <c r="P336" s="109" t="n"/>
      <c r="T336" s="109" t="n"/>
      <c r="U336" s="109" t="n"/>
      <c r="V336" s="109" t="n"/>
      <c r="Z336" s="109" t="n"/>
      <c r="AA336" s="109" t="n"/>
      <c r="AB336" s="109" t="n"/>
      <c r="AF336" s="109" t="n"/>
      <c r="AG336" s="109" t="n"/>
      <c r="AH336" s="109" t="n"/>
      <c r="AL336" s="109" t="n"/>
      <c r="AM336" s="109" t="n"/>
      <c r="AN336" s="109" t="n"/>
    </row>
    <row r="337" ht="15.75" customHeight="1" s="216">
      <c r="D337" s="109" t="n"/>
      <c r="E337" s="109" t="n"/>
      <c r="J337" s="109" t="n"/>
      <c r="K337" s="109" t="n"/>
      <c r="L337" s="109" t="n"/>
      <c r="N337" s="109" t="n"/>
      <c r="O337" s="109" t="n"/>
      <c r="P337" s="109" t="n"/>
      <c r="T337" s="109" t="n"/>
      <c r="U337" s="109" t="n"/>
      <c r="V337" s="109" t="n"/>
      <c r="Z337" s="109" t="n"/>
      <c r="AA337" s="109" t="n"/>
      <c r="AB337" s="109" t="n"/>
      <c r="AF337" s="109" t="n"/>
      <c r="AG337" s="109" t="n"/>
      <c r="AH337" s="109" t="n"/>
      <c r="AL337" s="109" t="n"/>
      <c r="AM337" s="109" t="n"/>
      <c r="AN337" s="109" t="n"/>
    </row>
    <row r="338" ht="15.75" customHeight="1" s="216">
      <c r="D338" s="109" t="n"/>
      <c r="E338" s="109" t="n"/>
      <c r="J338" s="109" t="n"/>
      <c r="K338" s="109" t="n"/>
      <c r="L338" s="109" t="n"/>
      <c r="N338" s="109" t="n"/>
      <c r="O338" s="109" t="n"/>
      <c r="P338" s="109" t="n"/>
      <c r="T338" s="109" t="n"/>
      <c r="U338" s="109" t="n"/>
      <c r="V338" s="109" t="n"/>
      <c r="Z338" s="109" t="n"/>
      <c r="AA338" s="109" t="n"/>
      <c r="AB338" s="109" t="n"/>
      <c r="AF338" s="109" t="n"/>
      <c r="AG338" s="109" t="n"/>
      <c r="AH338" s="109" t="n"/>
      <c r="AL338" s="109" t="n"/>
      <c r="AM338" s="109" t="n"/>
      <c r="AN338" s="109" t="n"/>
    </row>
    <row r="339" ht="15.75" customHeight="1" s="216">
      <c r="D339" s="109" t="n"/>
      <c r="E339" s="109" t="n"/>
      <c r="J339" s="109" t="n"/>
      <c r="K339" s="109" t="n"/>
      <c r="L339" s="109" t="n"/>
      <c r="N339" s="109" t="n"/>
      <c r="O339" s="109" t="n"/>
      <c r="P339" s="109" t="n"/>
      <c r="T339" s="109" t="n"/>
      <c r="U339" s="109" t="n"/>
      <c r="V339" s="109" t="n"/>
      <c r="Z339" s="109" t="n"/>
      <c r="AA339" s="109" t="n"/>
      <c r="AB339" s="109" t="n"/>
      <c r="AF339" s="109" t="n"/>
      <c r="AG339" s="109" t="n"/>
      <c r="AH339" s="109" t="n"/>
      <c r="AL339" s="109" t="n"/>
      <c r="AM339" s="109" t="n"/>
      <c r="AN339" s="109" t="n"/>
    </row>
    <row r="340" ht="15.75" customHeight="1" s="216">
      <c r="D340" s="109" t="n"/>
      <c r="E340" s="109" t="n"/>
      <c r="J340" s="109" t="n"/>
      <c r="K340" s="109" t="n"/>
      <c r="L340" s="109" t="n"/>
      <c r="N340" s="109" t="n"/>
      <c r="O340" s="109" t="n"/>
      <c r="P340" s="109" t="n"/>
      <c r="T340" s="109" t="n"/>
      <c r="U340" s="109" t="n"/>
      <c r="V340" s="109" t="n"/>
      <c r="Z340" s="109" t="n"/>
      <c r="AA340" s="109" t="n"/>
      <c r="AB340" s="109" t="n"/>
      <c r="AF340" s="109" t="n"/>
      <c r="AG340" s="109" t="n"/>
      <c r="AH340" s="109" t="n"/>
      <c r="AL340" s="109" t="n"/>
      <c r="AM340" s="109" t="n"/>
      <c r="AN340" s="109" t="n"/>
    </row>
    <row r="341" ht="15.75" customHeight="1" s="216">
      <c r="D341" s="109" t="n"/>
      <c r="E341" s="109" t="n"/>
      <c r="J341" s="109" t="n"/>
      <c r="K341" s="109" t="n"/>
      <c r="L341" s="109" t="n"/>
      <c r="N341" s="109" t="n"/>
      <c r="O341" s="109" t="n"/>
      <c r="P341" s="109" t="n"/>
      <c r="T341" s="109" t="n"/>
      <c r="U341" s="109" t="n"/>
      <c r="V341" s="109" t="n"/>
      <c r="Z341" s="109" t="n"/>
      <c r="AA341" s="109" t="n"/>
      <c r="AB341" s="109" t="n"/>
      <c r="AF341" s="109" t="n"/>
      <c r="AG341" s="109" t="n"/>
      <c r="AH341" s="109" t="n"/>
      <c r="AL341" s="109" t="n"/>
      <c r="AM341" s="109" t="n"/>
      <c r="AN341" s="109" t="n"/>
    </row>
    <row r="342" ht="15.75" customHeight="1" s="216">
      <c r="D342" s="109" t="n"/>
      <c r="E342" s="109" t="n"/>
      <c r="J342" s="109" t="n"/>
      <c r="K342" s="109" t="n"/>
      <c r="L342" s="109" t="n"/>
      <c r="N342" s="109" t="n"/>
      <c r="O342" s="109" t="n"/>
      <c r="P342" s="109" t="n"/>
      <c r="T342" s="109" t="n"/>
      <c r="U342" s="109" t="n"/>
      <c r="V342" s="109" t="n"/>
      <c r="Z342" s="109" t="n"/>
      <c r="AA342" s="109" t="n"/>
      <c r="AB342" s="109" t="n"/>
      <c r="AF342" s="109" t="n"/>
      <c r="AG342" s="109" t="n"/>
      <c r="AH342" s="109" t="n"/>
      <c r="AL342" s="109" t="n"/>
      <c r="AM342" s="109" t="n"/>
      <c r="AN342" s="109" t="n"/>
    </row>
    <row r="343" ht="15.75" customHeight="1" s="216">
      <c r="D343" s="109" t="n"/>
      <c r="E343" s="109" t="n"/>
      <c r="J343" s="109" t="n"/>
      <c r="K343" s="109" t="n"/>
      <c r="L343" s="109" t="n"/>
      <c r="N343" s="109" t="n"/>
      <c r="O343" s="109" t="n"/>
      <c r="P343" s="109" t="n"/>
      <c r="T343" s="109" t="n"/>
      <c r="U343" s="109" t="n"/>
      <c r="V343" s="109" t="n"/>
      <c r="Z343" s="109" t="n"/>
      <c r="AA343" s="109" t="n"/>
      <c r="AB343" s="109" t="n"/>
      <c r="AF343" s="109" t="n"/>
      <c r="AG343" s="109" t="n"/>
      <c r="AH343" s="109" t="n"/>
      <c r="AL343" s="109" t="n"/>
      <c r="AM343" s="109" t="n"/>
      <c r="AN343" s="109" t="n"/>
    </row>
    <row r="344" ht="15.75" customHeight="1" s="216">
      <c r="D344" s="109" t="n"/>
      <c r="E344" s="109" t="n"/>
      <c r="J344" s="109" t="n"/>
      <c r="K344" s="109" t="n"/>
      <c r="L344" s="109" t="n"/>
      <c r="N344" s="109" t="n"/>
      <c r="O344" s="109" t="n"/>
      <c r="P344" s="109" t="n"/>
      <c r="T344" s="109" t="n"/>
      <c r="U344" s="109" t="n"/>
      <c r="V344" s="109" t="n"/>
      <c r="Z344" s="109" t="n"/>
      <c r="AA344" s="109" t="n"/>
      <c r="AB344" s="109" t="n"/>
      <c r="AF344" s="109" t="n"/>
      <c r="AG344" s="109" t="n"/>
      <c r="AH344" s="109" t="n"/>
      <c r="AL344" s="109" t="n"/>
      <c r="AM344" s="109" t="n"/>
      <c r="AN344" s="109" t="n"/>
    </row>
    <row r="345" ht="15.75" customHeight="1" s="216">
      <c r="D345" s="109" t="n"/>
      <c r="E345" s="109" t="n"/>
      <c r="J345" s="109" t="n"/>
      <c r="K345" s="109" t="n"/>
      <c r="L345" s="109" t="n"/>
      <c r="N345" s="109" t="n"/>
      <c r="O345" s="109" t="n"/>
      <c r="P345" s="109" t="n"/>
      <c r="T345" s="109" t="n"/>
      <c r="U345" s="109" t="n"/>
      <c r="V345" s="109" t="n"/>
      <c r="Z345" s="109" t="n"/>
      <c r="AA345" s="109" t="n"/>
      <c r="AB345" s="109" t="n"/>
      <c r="AF345" s="109" t="n"/>
      <c r="AG345" s="109" t="n"/>
      <c r="AH345" s="109" t="n"/>
      <c r="AL345" s="109" t="n"/>
      <c r="AM345" s="109" t="n"/>
      <c r="AN345" s="109" t="n"/>
    </row>
    <row r="346" ht="15.75" customHeight="1" s="216">
      <c r="D346" s="109" t="n"/>
      <c r="E346" s="109" t="n"/>
      <c r="J346" s="109" t="n"/>
      <c r="K346" s="109" t="n"/>
      <c r="L346" s="109" t="n"/>
      <c r="N346" s="109" t="n"/>
      <c r="O346" s="109" t="n"/>
      <c r="P346" s="109" t="n"/>
      <c r="T346" s="109" t="n"/>
      <c r="U346" s="109" t="n"/>
      <c r="V346" s="109" t="n"/>
      <c r="Z346" s="109" t="n"/>
      <c r="AA346" s="109" t="n"/>
      <c r="AB346" s="109" t="n"/>
      <c r="AF346" s="109" t="n"/>
      <c r="AG346" s="109" t="n"/>
      <c r="AH346" s="109" t="n"/>
      <c r="AL346" s="109" t="n"/>
      <c r="AM346" s="109" t="n"/>
      <c r="AN346" s="109" t="n"/>
    </row>
    <row r="347" ht="15.75" customHeight="1" s="216">
      <c r="D347" s="109" t="n"/>
      <c r="E347" s="109" t="n"/>
      <c r="J347" s="109" t="n"/>
      <c r="K347" s="109" t="n"/>
      <c r="L347" s="109" t="n"/>
      <c r="N347" s="109" t="n"/>
      <c r="O347" s="109" t="n"/>
      <c r="P347" s="109" t="n"/>
      <c r="T347" s="109" t="n"/>
      <c r="U347" s="109" t="n"/>
      <c r="V347" s="109" t="n"/>
      <c r="Z347" s="109" t="n"/>
      <c r="AA347" s="109" t="n"/>
      <c r="AB347" s="109" t="n"/>
      <c r="AF347" s="109" t="n"/>
      <c r="AG347" s="109" t="n"/>
      <c r="AH347" s="109" t="n"/>
      <c r="AL347" s="109" t="n"/>
      <c r="AM347" s="109" t="n"/>
      <c r="AN347" s="109" t="n"/>
    </row>
    <row r="348" ht="15.75" customHeight="1" s="216">
      <c r="D348" s="109" t="n"/>
      <c r="E348" s="109" t="n"/>
      <c r="J348" s="109" t="n"/>
      <c r="K348" s="109" t="n"/>
      <c r="L348" s="109" t="n"/>
      <c r="N348" s="109" t="n"/>
      <c r="O348" s="109" t="n"/>
      <c r="P348" s="109" t="n"/>
      <c r="T348" s="109" t="n"/>
      <c r="U348" s="109" t="n"/>
      <c r="V348" s="109" t="n"/>
      <c r="Z348" s="109" t="n"/>
      <c r="AA348" s="109" t="n"/>
      <c r="AB348" s="109" t="n"/>
      <c r="AF348" s="109" t="n"/>
      <c r="AG348" s="109" t="n"/>
      <c r="AH348" s="109" t="n"/>
      <c r="AL348" s="109" t="n"/>
      <c r="AM348" s="109" t="n"/>
      <c r="AN348" s="109" t="n"/>
    </row>
    <row r="349" ht="15.75" customHeight="1" s="216">
      <c r="D349" s="109" t="n"/>
      <c r="E349" s="109" t="n"/>
      <c r="J349" s="109" t="n"/>
      <c r="K349" s="109" t="n"/>
      <c r="L349" s="109" t="n"/>
      <c r="N349" s="109" t="n"/>
      <c r="O349" s="109" t="n"/>
      <c r="P349" s="109" t="n"/>
      <c r="T349" s="109" t="n"/>
      <c r="U349" s="109" t="n"/>
      <c r="V349" s="109" t="n"/>
      <c r="Z349" s="109" t="n"/>
      <c r="AA349" s="109" t="n"/>
      <c r="AB349" s="109" t="n"/>
      <c r="AF349" s="109" t="n"/>
      <c r="AG349" s="109" t="n"/>
      <c r="AH349" s="109" t="n"/>
      <c r="AL349" s="109" t="n"/>
      <c r="AM349" s="109" t="n"/>
      <c r="AN349" s="109" t="n"/>
    </row>
    <row r="350" ht="15.75" customHeight="1" s="216">
      <c r="D350" s="109" t="n"/>
      <c r="E350" s="109" t="n"/>
      <c r="J350" s="109" t="n"/>
      <c r="K350" s="109" t="n"/>
      <c r="L350" s="109" t="n"/>
      <c r="N350" s="109" t="n"/>
      <c r="O350" s="109" t="n"/>
      <c r="P350" s="109" t="n"/>
      <c r="T350" s="109" t="n"/>
      <c r="U350" s="109" t="n"/>
      <c r="V350" s="109" t="n"/>
      <c r="Z350" s="109" t="n"/>
      <c r="AA350" s="109" t="n"/>
      <c r="AB350" s="109" t="n"/>
      <c r="AF350" s="109" t="n"/>
      <c r="AG350" s="109" t="n"/>
      <c r="AH350" s="109" t="n"/>
      <c r="AL350" s="109" t="n"/>
      <c r="AM350" s="109" t="n"/>
      <c r="AN350" s="109" t="n"/>
    </row>
    <row r="351" ht="15.75" customHeight="1" s="216">
      <c r="D351" s="109" t="n"/>
      <c r="E351" s="109" t="n"/>
      <c r="J351" s="109" t="n"/>
      <c r="K351" s="109" t="n"/>
      <c r="L351" s="109" t="n"/>
      <c r="N351" s="109" t="n"/>
      <c r="O351" s="109" t="n"/>
      <c r="P351" s="109" t="n"/>
      <c r="T351" s="109" t="n"/>
      <c r="U351" s="109" t="n"/>
      <c r="V351" s="109" t="n"/>
      <c r="Z351" s="109" t="n"/>
      <c r="AA351" s="109" t="n"/>
      <c r="AB351" s="109" t="n"/>
      <c r="AF351" s="109" t="n"/>
      <c r="AG351" s="109" t="n"/>
      <c r="AH351" s="109" t="n"/>
      <c r="AL351" s="109" t="n"/>
      <c r="AM351" s="109" t="n"/>
      <c r="AN351" s="109" t="n"/>
    </row>
    <row r="352" ht="15.75" customHeight="1" s="216">
      <c r="D352" s="109" t="n"/>
      <c r="E352" s="109" t="n"/>
      <c r="J352" s="109" t="n"/>
      <c r="K352" s="109" t="n"/>
      <c r="L352" s="109" t="n"/>
      <c r="N352" s="109" t="n"/>
      <c r="O352" s="109" t="n"/>
      <c r="P352" s="109" t="n"/>
      <c r="T352" s="109" t="n"/>
      <c r="U352" s="109" t="n"/>
      <c r="V352" s="109" t="n"/>
      <c r="Z352" s="109" t="n"/>
      <c r="AA352" s="109" t="n"/>
      <c r="AB352" s="109" t="n"/>
      <c r="AF352" s="109" t="n"/>
      <c r="AG352" s="109" t="n"/>
      <c r="AH352" s="109" t="n"/>
      <c r="AL352" s="109" t="n"/>
      <c r="AM352" s="109" t="n"/>
      <c r="AN352" s="109" t="n"/>
    </row>
    <row r="353" ht="15.75" customHeight="1" s="216">
      <c r="D353" s="109" t="n"/>
      <c r="E353" s="109" t="n"/>
      <c r="J353" s="109" t="n"/>
      <c r="K353" s="109" t="n"/>
      <c r="L353" s="109" t="n"/>
      <c r="N353" s="109" t="n"/>
      <c r="O353" s="109" t="n"/>
      <c r="P353" s="109" t="n"/>
      <c r="T353" s="109" t="n"/>
      <c r="U353" s="109" t="n"/>
      <c r="V353" s="109" t="n"/>
      <c r="Z353" s="109" t="n"/>
      <c r="AA353" s="109" t="n"/>
      <c r="AB353" s="109" t="n"/>
      <c r="AF353" s="109" t="n"/>
      <c r="AG353" s="109" t="n"/>
      <c r="AH353" s="109" t="n"/>
      <c r="AL353" s="109" t="n"/>
      <c r="AM353" s="109" t="n"/>
      <c r="AN353" s="109" t="n"/>
    </row>
    <row r="354" ht="15.75" customHeight="1" s="216">
      <c r="D354" s="109" t="n"/>
      <c r="E354" s="109" t="n"/>
      <c r="J354" s="109" t="n"/>
      <c r="K354" s="109" t="n"/>
      <c r="L354" s="109" t="n"/>
      <c r="N354" s="109" t="n"/>
      <c r="O354" s="109" t="n"/>
      <c r="P354" s="109" t="n"/>
      <c r="T354" s="109" t="n"/>
      <c r="U354" s="109" t="n"/>
      <c r="V354" s="109" t="n"/>
      <c r="Z354" s="109" t="n"/>
      <c r="AA354" s="109" t="n"/>
      <c r="AB354" s="109" t="n"/>
      <c r="AF354" s="109" t="n"/>
      <c r="AG354" s="109" t="n"/>
      <c r="AH354" s="109" t="n"/>
      <c r="AL354" s="109" t="n"/>
      <c r="AM354" s="109" t="n"/>
      <c r="AN354" s="109" t="n"/>
    </row>
    <row r="355" ht="15.75" customHeight="1" s="216">
      <c r="D355" s="109" t="n"/>
      <c r="E355" s="109" t="n"/>
      <c r="J355" s="109" t="n"/>
      <c r="K355" s="109" t="n"/>
      <c r="L355" s="109" t="n"/>
      <c r="N355" s="109" t="n"/>
      <c r="O355" s="109" t="n"/>
      <c r="P355" s="109" t="n"/>
      <c r="T355" s="109" t="n"/>
      <c r="U355" s="109" t="n"/>
      <c r="V355" s="109" t="n"/>
      <c r="Z355" s="109" t="n"/>
      <c r="AA355" s="109" t="n"/>
      <c r="AB355" s="109" t="n"/>
      <c r="AF355" s="109" t="n"/>
      <c r="AG355" s="109" t="n"/>
      <c r="AH355" s="109" t="n"/>
      <c r="AL355" s="109" t="n"/>
      <c r="AM355" s="109" t="n"/>
      <c r="AN355" s="109" t="n"/>
    </row>
    <row r="356" ht="15.75" customHeight="1" s="216">
      <c r="D356" s="109" t="n"/>
      <c r="E356" s="109" t="n"/>
      <c r="J356" s="109" t="n"/>
      <c r="K356" s="109" t="n"/>
      <c r="L356" s="109" t="n"/>
      <c r="N356" s="109" t="n"/>
      <c r="O356" s="109" t="n"/>
      <c r="P356" s="109" t="n"/>
      <c r="T356" s="109" t="n"/>
      <c r="U356" s="109" t="n"/>
      <c r="V356" s="109" t="n"/>
      <c r="Z356" s="109" t="n"/>
      <c r="AA356" s="109" t="n"/>
      <c r="AB356" s="109" t="n"/>
      <c r="AF356" s="109" t="n"/>
      <c r="AG356" s="109" t="n"/>
      <c r="AH356" s="109" t="n"/>
      <c r="AL356" s="109" t="n"/>
      <c r="AM356" s="109" t="n"/>
      <c r="AN356" s="109" t="n"/>
    </row>
    <row r="357" ht="15.75" customHeight="1" s="216">
      <c r="D357" s="109" t="n"/>
      <c r="E357" s="109" t="n"/>
      <c r="J357" s="109" t="n"/>
      <c r="K357" s="109" t="n"/>
      <c r="L357" s="109" t="n"/>
      <c r="N357" s="109" t="n"/>
      <c r="O357" s="109" t="n"/>
      <c r="P357" s="109" t="n"/>
      <c r="T357" s="109" t="n"/>
      <c r="U357" s="109" t="n"/>
      <c r="V357" s="109" t="n"/>
      <c r="Z357" s="109" t="n"/>
      <c r="AA357" s="109" t="n"/>
      <c r="AB357" s="109" t="n"/>
      <c r="AF357" s="109" t="n"/>
      <c r="AG357" s="109" t="n"/>
      <c r="AH357" s="109" t="n"/>
      <c r="AL357" s="109" t="n"/>
      <c r="AM357" s="109" t="n"/>
      <c r="AN357" s="109" t="n"/>
    </row>
    <row r="358" ht="15.75" customHeight="1" s="216">
      <c r="D358" s="109" t="n"/>
      <c r="E358" s="109" t="n"/>
      <c r="J358" s="109" t="n"/>
      <c r="K358" s="109" t="n"/>
      <c r="L358" s="109" t="n"/>
      <c r="N358" s="109" t="n"/>
      <c r="O358" s="109" t="n"/>
      <c r="P358" s="109" t="n"/>
      <c r="T358" s="109" t="n"/>
      <c r="U358" s="109" t="n"/>
      <c r="V358" s="109" t="n"/>
      <c r="Z358" s="109" t="n"/>
      <c r="AA358" s="109" t="n"/>
      <c r="AB358" s="109" t="n"/>
      <c r="AF358" s="109" t="n"/>
      <c r="AG358" s="109" t="n"/>
      <c r="AH358" s="109" t="n"/>
      <c r="AL358" s="109" t="n"/>
      <c r="AM358" s="109" t="n"/>
      <c r="AN358" s="109" t="n"/>
    </row>
    <row r="359" ht="15.75" customHeight="1" s="216">
      <c r="D359" s="109" t="n"/>
      <c r="E359" s="109" t="n"/>
      <c r="J359" s="109" t="n"/>
      <c r="K359" s="109" t="n"/>
      <c r="L359" s="109" t="n"/>
      <c r="N359" s="109" t="n"/>
      <c r="O359" s="109" t="n"/>
      <c r="P359" s="109" t="n"/>
      <c r="T359" s="109" t="n"/>
      <c r="U359" s="109" t="n"/>
      <c r="V359" s="109" t="n"/>
      <c r="Z359" s="109" t="n"/>
      <c r="AA359" s="109" t="n"/>
      <c r="AB359" s="109" t="n"/>
      <c r="AF359" s="109" t="n"/>
      <c r="AG359" s="109" t="n"/>
      <c r="AH359" s="109" t="n"/>
      <c r="AL359" s="109" t="n"/>
      <c r="AM359" s="109" t="n"/>
      <c r="AN359" s="109" t="n"/>
    </row>
    <row r="360" ht="15.75" customHeight="1" s="216">
      <c r="D360" s="109" t="n"/>
      <c r="E360" s="109" t="n"/>
      <c r="J360" s="109" t="n"/>
      <c r="K360" s="109" t="n"/>
      <c r="L360" s="109" t="n"/>
      <c r="N360" s="109" t="n"/>
      <c r="O360" s="109" t="n"/>
      <c r="P360" s="109" t="n"/>
      <c r="T360" s="109" t="n"/>
      <c r="U360" s="109" t="n"/>
      <c r="V360" s="109" t="n"/>
      <c r="Z360" s="109" t="n"/>
      <c r="AA360" s="109" t="n"/>
      <c r="AB360" s="109" t="n"/>
      <c r="AF360" s="109" t="n"/>
      <c r="AG360" s="109" t="n"/>
      <c r="AH360" s="109" t="n"/>
      <c r="AL360" s="109" t="n"/>
      <c r="AM360" s="109" t="n"/>
      <c r="AN360" s="109" t="n"/>
    </row>
    <row r="361" ht="15.75" customHeight="1" s="216">
      <c r="D361" s="109" t="n"/>
      <c r="E361" s="109" t="n"/>
      <c r="J361" s="109" t="n"/>
      <c r="K361" s="109" t="n"/>
      <c r="L361" s="109" t="n"/>
      <c r="N361" s="109" t="n"/>
      <c r="O361" s="109" t="n"/>
      <c r="P361" s="109" t="n"/>
      <c r="T361" s="109" t="n"/>
      <c r="U361" s="109" t="n"/>
      <c r="V361" s="109" t="n"/>
      <c r="Z361" s="109" t="n"/>
      <c r="AA361" s="109" t="n"/>
      <c r="AB361" s="109" t="n"/>
      <c r="AF361" s="109" t="n"/>
      <c r="AG361" s="109" t="n"/>
      <c r="AH361" s="109" t="n"/>
      <c r="AL361" s="109" t="n"/>
      <c r="AM361" s="109" t="n"/>
      <c r="AN361" s="109" t="n"/>
    </row>
    <row r="362" ht="15.75" customHeight="1" s="216">
      <c r="D362" s="109" t="n"/>
      <c r="E362" s="109" t="n"/>
      <c r="J362" s="109" t="n"/>
      <c r="K362" s="109" t="n"/>
      <c r="L362" s="109" t="n"/>
      <c r="N362" s="109" t="n"/>
      <c r="O362" s="109" t="n"/>
      <c r="P362" s="109" t="n"/>
      <c r="T362" s="109" t="n"/>
      <c r="U362" s="109" t="n"/>
      <c r="V362" s="109" t="n"/>
      <c r="Z362" s="109" t="n"/>
      <c r="AA362" s="109" t="n"/>
      <c r="AB362" s="109" t="n"/>
      <c r="AF362" s="109" t="n"/>
      <c r="AG362" s="109" t="n"/>
      <c r="AH362" s="109" t="n"/>
      <c r="AL362" s="109" t="n"/>
      <c r="AM362" s="109" t="n"/>
      <c r="AN362" s="109" t="n"/>
    </row>
    <row r="363" ht="15.75" customHeight="1" s="216">
      <c r="D363" s="109" t="n"/>
      <c r="E363" s="109" t="n"/>
      <c r="J363" s="109" t="n"/>
      <c r="K363" s="109" t="n"/>
      <c r="L363" s="109" t="n"/>
      <c r="N363" s="109" t="n"/>
      <c r="O363" s="109" t="n"/>
      <c r="P363" s="109" t="n"/>
      <c r="T363" s="109" t="n"/>
      <c r="U363" s="109" t="n"/>
      <c r="V363" s="109" t="n"/>
      <c r="Z363" s="109" t="n"/>
      <c r="AA363" s="109" t="n"/>
      <c r="AB363" s="109" t="n"/>
      <c r="AF363" s="109" t="n"/>
      <c r="AG363" s="109" t="n"/>
      <c r="AH363" s="109" t="n"/>
      <c r="AL363" s="109" t="n"/>
      <c r="AM363" s="109" t="n"/>
      <c r="AN363" s="109" t="n"/>
    </row>
    <row r="364" ht="15.75" customHeight="1" s="216">
      <c r="D364" s="109" t="n"/>
      <c r="E364" s="109" t="n"/>
      <c r="J364" s="109" t="n"/>
      <c r="K364" s="109" t="n"/>
      <c r="L364" s="109" t="n"/>
      <c r="N364" s="109" t="n"/>
      <c r="O364" s="109" t="n"/>
      <c r="P364" s="109" t="n"/>
      <c r="T364" s="109" t="n"/>
      <c r="U364" s="109" t="n"/>
      <c r="V364" s="109" t="n"/>
      <c r="Z364" s="109" t="n"/>
      <c r="AA364" s="109" t="n"/>
      <c r="AB364" s="109" t="n"/>
      <c r="AF364" s="109" t="n"/>
      <c r="AG364" s="109" t="n"/>
      <c r="AH364" s="109" t="n"/>
      <c r="AL364" s="109" t="n"/>
      <c r="AM364" s="109" t="n"/>
      <c r="AN364" s="109" t="n"/>
    </row>
    <row r="365" ht="15.75" customHeight="1" s="216">
      <c r="D365" s="109" t="n"/>
      <c r="E365" s="109" t="n"/>
      <c r="J365" s="109" t="n"/>
      <c r="K365" s="109" t="n"/>
      <c r="L365" s="109" t="n"/>
      <c r="N365" s="109" t="n"/>
      <c r="O365" s="109" t="n"/>
      <c r="P365" s="109" t="n"/>
      <c r="T365" s="109" t="n"/>
      <c r="U365" s="109" t="n"/>
      <c r="V365" s="109" t="n"/>
      <c r="Z365" s="109" t="n"/>
      <c r="AA365" s="109" t="n"/>
      <c r="AB365" s="109" t="n"/>
      <c r="AF365" s="109" t="n"/>
      <c r="AG365" s="109" t="n"/>
      <c r="AH365" s="109" t="n"/>
      <c r="AL365" s="109" t="n"/>
      <c r="AM365" s="109" t="n"/>
      <c r="AN365" s="109" t="n"/>
    </row>
    <row r="366" ht="15.75" customHeight="1" s="216">
      <c r="D366" s="109" t="n"/>
      <c r="E366" s="109" t="n"/>
      <c r="J366" s="109" t="n"/>
      <c r="K366" s="109" t="n"/>
      <c r="L366" s="109" t="n"/>
      <c r="N366" s="109" t="n"/>
      <c r="O366" s="109" t="n"/>
      <c r="P366" s="109" t="n"/>
      <c r="T366" s="109" t="n"/>
      <c r="U366" s="109" t="n"/>
      <c r="V366" s="109" t="n"/>
      <c r="Z366" s="109" t="n"/>
      <c r="AA366" s="109" t="n"/>
      <c r="AB366" s="109" t="n"/>
      <c r="AF366" s="109" t="n"/>
      <c r="AG366" s="109" t="n"/>
      <c r="AH366" s="109" t="n"/>
      <c r="AL366" s="109" t="n"/>
      <c r="AM366" s="109" t="n"/>
      <c r="AN366" s="109" t="n"/>
    </row>
    <row r="367" ht="15.75" customHeight="1" s="216">
      <c r="D367" s="109" t="n"/>
      <c r="E367" s="109" t="n"/>
      <c r="J367" s="109" t="n"/>
      <c r="K367" s="109" t="n"/>
      <c r="L367" s="109" t="n"/>
      <c r="N367" s="109" t="n"/>
      <c r="O367" s="109" t="n"/>
      <c r="P367" s="109" t="n"/>
      <c r="T367" s="109" t="n"/>
      <c r="U367" s="109" t="n"/>
      <c r="V367" s="109" t="n"/>
      <c r="Z367" s="109" t="n"/>
      <c r="AA367" s="109" t="n"/>
      <c r="AB367" s="109" t="n"/>
      <c r="AF367" s="109" t="n"/>
      <c r="AG367" s="109" t="n"/>
      <c r="AH367" s="109" t="n"/>
      <c r="AL367" s="109" t="n"/>
      <c r="AM367" s="109" t="n"/>
      <c r="AN367" s="109" t="n"/>
    </row>
    <row r="368" ht="15.75" customHeight="1" s="216">
      <c r="D368" s="109" t="n"/>
      <c r="E368" s="109" t="n"/>
      <c r="J368" s="109" t="n"/>
      <c r="K368" s="109" t="n"/>
      <c r="L368" s="109" t="n"/>
      <c r="N368" s="109" t="n"/>
      <c r="O368" s="109" t="n"/>
      <c r="P368" s="109" t="n"/>
      <c r="T368" s="109" t="n"/>
      <c r="U368" s="109" t="n"/>
      <c r="V368" s="109" t="n"/>
      <c r="Z368" s="109" t="n"/>
      <c r="AA368" s="109" t="n"/>
      <c r="AB368" s="109" t="n"/>
      <c r="AF368" s="109" t="n"/>
      <c r="AG368" s="109" t="n"/>
      <c r="AH368" s="109" t="n"/>
      <c r="AL368" s="109" t="n"/>
      <c r="AM368" s="109" t="n"/>
      <c r="AN368" s="109" t="n"/>
    </row>
    <row r="369" ht="15.75" customHeight="1" s="216">
      <c r="D369" s="109" t="n"/>
      <c r="E369" s="109" t="n"/>
      <c r="J369" s="109" t="n"/>
      <c r="K369" s="109" t="n"/>
      <c r="L369" s="109" t="n"/>
      <c r="N369" s="109" t="n"/>
      <c r="O369" s="109" t="n"/>
      <c r="P369" s="109" t="n"/>
      <c r="T369" s="109" t="n"/>
      <c r="U369" s="109" t="n"/>
      <c r="V369" s="109" t="n"/>
      <c r="Z369" s="109" t="n"/>
      <c r="AA369" s="109" t="n"/>
      <c r="AB369" s="109" t="n"/>
      <c r="AF369" s="109" t="n"/>
      <c r="AG369" s="109" t="n"/>
      <c r="AH369" s="109" t="n"/>
      <c r="AL369" s="109" t="n"/>
      <c r="AM369" s="109" t="n"/>
      <c r="AN369" s="109" t="n"/>
    </row>
    <row r="370" ht="15.75" customHeight="1" s="216">
      <c r="D370" s="109" t="n"/>
      <c r="E370" s="109" t="n"/>
      <c r="J370" s="109" t="n"/>
      <c r="K370" s="109" t="n"/>
      <c r="L370" s="109" t="n"/>
      <c r="N370" s="109" t="n"/>
      <c r="O370" s="109" t="n"/>
      <c r="P370" s="109" t="n"/>
      <c r="T370" s="109" t="n"/>
      <c r="U370" s="109" t="n"/>
      <c r="V370" s="109" t="n"/>
      <c r="Z370" s="109" t="n"/>
      <c r="AA370" s="109" t="n"/>
      <c r="AB370" s="109" t="n"/>
      <c r="AF370" s="109" t="n"/>
      <c r="AG370" s="109" t="n"/>
      <c r="AH370" s="109" t="n"/>
      <c r="AL370" s="109" t="n"/>
      <c r="AM370" s="109" t="n"/>
      <c r="AN370" s="109" t="n"/>
    </row>
    <row r="371" ht="15.75" customHeight="1" s="216">
      <c r="D371" s="109" t="n"/>
      <c r="E371" s="109" t="n"/>
      <c r="J371" s="109" t="n"/>
      <c r="K371" s="109" t="n"/>
      <c r="L371" s="109" t="n"/>
      <c r="N371" s="109" t="n"/>
      <c r="O371" s="109" t="n"/>
      <c r="P371" s="109" t="n"/>
      <c r="T371" s="109" t="n"/>
      <c r="U371" s="109" t="n"/>
      <c r="V371" s="109" t="n"/>
      <c r="Z371" s="109" t="n"/>
      <c r="AA371" s="109" t="n"/>
      <c r="AB371" s="109" t="n"/>
      <c r="AF371" s="109" t="n"/>
      <c r="AG371" s="109" t="n"/>
      <c r="AH371" s="109" t="n"/>
      <c r="AL371" s="109" t="n"/>
      <c r="AM371" s="109" t="n"/>
      <c r="AN371" s="109" t="n"/>
    </row>
    <row r="372" ht="15.75" customHeight="1" s="216">
      <c r="D372" s="109" t="n"/>
      <c r="E372" s="109" t="n"/>
      <c r="J372" s="109" t="n"/>
      <c r="K372" s="109" t="n"/>
      <c r="L372" s="109" t="n"/>
      <c r="N372" s="109" t="n"/>
      <c r="O372" s="109" t="n"/>
      <c r="P372" s="109" t="n"/>
      <c r="T372" s="109" t="n"/>
      <c r="U372" s="109" t="n"/>
      <c r="V372" s="109" t="n"/>
      <c r="Z372" s="109" t="n"/>
      <c r="AA372" s="109" t="n"/>
      <c r="AB372" s="109" t="n"/>
      <c r="AF372" s="109" t="n"/>
      <c r="AG372" s="109" t="n"/>
      <c r="AH372" s="109" t="n"/>
      <c r="AL372" s="109" t="n"/>
      <c r="AM372" s="109" t="n"/>
      <c r="AN372" s="109" t="n"/>
    </row>
    <row r="373" ht="15.75" customHeight="1" s="216">
      <c r="D373" s="109" t="n"/>
      <c r="E373" s="109" t="n"/>
      <c r="J373" s="109" t="n"/>
      <c r="K373" s="109" t="n"/>
      <c r="L373" s="109" t="n"/>
      <c r="N373" s="109" t="n"/>
      <c r="O373" s="109" t="n"/>
      <c r="P373" s="109" t="n"/>
      <c r="T373" s="109" t="n"/>
      <c r="U373" s="109" t="n"/>
      <c r="V373" s="109" t="n"/>
      <c r="Z373" s="109" t="n"/>
      <c r="AA373" s="109" t="n"/>
      <c r="AB373" s="109" t="n"/>
      <c r="AF373" s="109" t="n"/>
      <c r="AG373" s="109" t="n"/>
      <c r="AH373" s="109" t="n"/>
      <c r="AL373" s="109" t="n"/>
      <c r="AM373" s="109" t="n"/>
      <c r="AN373" s="109" t="n"/>
    </row>
    <row r="374" ht="15.75" customHeight="1" s="216">
      <c r="D374" s="109" t="n"/>
      <c r="E374" s="109" t="n"/>
      <c r="J374" s="109" t="n"/>
      <c r="K374" s="109" t="n"/>
      <c r="L374" s="109" t="n"/>
      <c r="N374" s="109" t="n"/>
      <c r="O374" s="109" t="n"/>
      <c r="P374" s="109" t="n"/>
      <c r="T374" s="109" t="n"/>
      <c r="U374" s="109" t="n"/>
      <c r="V374" s="109" t="n"/>
      <c r="Z374" s="109" t="n"/>
      <c r="AA374" s="109" t="n"/>
      <c r="AB374" s="109" t="n"/>
      <c r="AF374" s="109" t="n"/>
      <c r="AG374" s="109" t="n"/>
      <c r="AH374" s="109" t="n"/>
      <c r="AL374" s="109" t="n"/>
      <c r="AM374" s="109" t="n"/>
      <c r="AN374" s="109" t="n"/>
    </row>
    <row r="375" ht="15.75" customHeight="1" s="216">
      <c r="D375" s="109" t="n"/>
      <c r="E375" s="109" t="n"/>
      <c r="J375" s="109" t="n"/>
      <c r="K375" s="109" t="n"/>
      <c r="L375" s="109" t="n"/>
      <c r="N375" s="109" t="n"/>
      <c r="O375" s="109" t="n"/>
      <c r="P375" s="109" t="n"/>
      <c r="T375" s="109" t="n"/>
      <c r="U375" s="109" t="n"/>
      <c r="V375" s="109" t="n"/>
      <c r="Z375" s="109" t="n"/>
      <c r="AA375" s="109" t="n"/>
      <c r="AB375" s="109" t="n"/>
      <c r="AF375" s="109" t="n"/>
      <c r="AG375" s="109" t="n"/>
      <c r="AH375" s="109" t="n"/>
      <c r="AL375" s="109" t="n"/>
      <c r="AM375" s="109" t="n"/>
      <c r="AN375" s="109" t="n"/>
    </row>
    <row r="376" ht="15.75" customHeight="1" s="216">
      <c r="D376" s="109" t="n"/>
      <c r="E376" s="109" t="n"/>
      <c r="J376" s="109" t="n"/>
      <c r="K376" s="109" t="n"/>
      <c r="L376" s="109" t="n"/>
      <c r="N376" s="109" t="n"/>
      <c r="O376" s="109" t="n"/>
      <c r="P376" s="109" t="n"/>
      <c r="T376" s="109" t="n"/>
      <c r="U376" s="109" t="n"/>
      <c r="V376" s="109" t="n"/>
      <c r="Z376" s="109" t="n"/>
      <c r="AA376" s="109" t="n"/>
      <c r="AB376" s="109" t="n"/>
      <c r="AF376" s="109" t="n"/>
      <c r="AG376" s="109" t="n"/>
      <c r="AH376" s="109" t="n"/>
      <c r="AL376" s="109" t="n"/>
      <c r="AM376" s="109" t="n"/>
      <c r="AN376" s="109" t="n"/>
    </row>
    <row r="377" ht="15.75" customHeight="1" s="216">
      <c r="D377" s="109" t="n"/>
      <c r="E377" s="109" t="n"/>
      <c r="J377" s="109" t="n"/>
      <c r="K377" s="109" t="n"/>
      <c r="L377" s="109" t="n"/>
      <c r="N377" s="109" t="n"/>
      <c r="O377" s="109" t="n"/>
      <c r="P377" s="109" t="n"/>
      <c r="T377" s="109" t="n"/>
      <c r="U377" s="109" t="n"/>
      <c r="V377" s="109" t="n"/>
      <c r="Z377" s="109" t="n"/>
      <c r="AA377" s="109" t="n"/>
      <c r="AB377" s="109" t="n"/>
      <c r="AF377" s="109" t="n"/>
      <c r="AG377" s="109" t="n"/>
      <c r="AH377" s="109" t="n"/>
      <c r="AL377" s="109" t="n"/>
      <c r="AM377" s="109" t="n"/>
      <c r="AN377" s="109" t="n"/>
    </row>
    <row r="378" ht="15.75" customHeight="1" s="216">
      <c r="D378" s="109" t="n"/>
      <c r="E378" s="109" t="n"/>
      <c r="J378" s="109" t="n"/>
      <c r="K378" s="109" t="n"/>
      <c r="L378" s="109" t="n"/>
      <c r="N378" s="109" t="n"/>
      <c r="O378" s="109" t="n"/>
      <c r="P378" s="109" t="n"/>
      <c r="T378" s="109" t="n"/>
      <c r="U378" s="109" t="n"/>
      <c r="V378" s="109" t="n"/>
      <c r="Z378" s="109" t="n"/>
      <c r="AA378" s="109" t="n"/>
      <c r="AB378" s="109" t="n"/>
      <c r="AF378" s="109" t="n"/>
      <c r="AG378" s="109" t="n"/>
      <c r="AH378" s="109" t="n"/>
      <c r="AL378" s="109" t="n"/>
      <c r="AM378" s="109" t="n"/>
      <c r="AN378" s="109" t="n"/>
    </row>
    <row r="379" ht="15.75" customHeight="1" s="216">
      <c r="D379" s="109" t="n"/>
      <c r="E379" s="109" t="n"/>
      <c r="J379" s="109" t="n"/>
      <c r="K379" s="109" t="n"/>
      <c r="L379" s="109" t="n"/>
      <c r="N379" s="109" t="n"/>
      <c r="O379" s="109" t="n"/>
      <c r="P379" s="109" t="n"/>
      <c r="T379" s="109" t="n"/>
      <c r="U379" s="109" t="n"/>
      <c r="V379" s="109" t="n"/>
      <c r="Z379" s="109" t="n"/>
      <c r="AA379" s="109" t="n"/>
      <c r="AB379" s="109" t="n"/>
      <c r="AF379" s="109" t="n"/>
      <c r="AG379" s="109" t="n"/>
      <c r="AH379" s="109" t="n"/>
      <c r="AL379" s="109" t="n"/>
      <c r="AM379" s="109" t="n"/>
      <c r="AN379" s="109" t="n"/>
    </row>
    <row r="380" ht="15.75" customHeight="1" s="216">
      <c r="D380" s="109" t="n"/>
      <c r="E380" s="109" t="n"/>
      <c r="J380" s="109" t="n"/>
      <c r="K380" s="109" t="n"/>
      <c r="L380" s="109" t="n"/>
      <c r="N380" s="109" t="n"/>
      <c r="O380" s="109" t="n"/>
      <c r="P380" s="109" t="n"/>
      <c r="T380" s="109" t="n"/>
      <c r="U380" s="109" t="n"/>
      <c r="V380" s="109" t="n"/>
      <c r="Z380" s="109" t="n"/>
      <c r="AA380" s="109" t="n"/>
      <c r="AB380" s="109" t="n"/>
      <c r="AF380" s="109" t="n"/>
      <c r="AG380" s="109" t="n"/>
      <c r="AH380" s="109" t="n"/>
      <c r="AL380" s="109" t="n"/>
      <c r="AM380" s="109" t="n"/>
      <c r="AN380" s="109" t="n"/>
    </row>
    <row r="381" ht="15.75" customHeight="1" s="216">
      <c r="D381" s="109" t="n"/>
      <c r="E381" s="109" t="n"/>
      <c r="J381" s="109" t="n"/>
      <c r="K381" s="109" t="n"/>
      <c r="L381" s="109" t="n"/>
      <c r="N381" s="109" t="n"/>
      <c r="O381" s="109" t="n"/>
      <c r="P381" s="109" t="n"/>
      <c r="T381" s="109" t="n"/>
      <c r="U381" s="109" t="n"/>
      <c r="V381" s="109" t="n"/>
      <c r="Z381" s="109" t="n"/>
      <c r="AA381" s="109" t="n"/>
      <c r="AB381" s="109" t="n"/>
      <c r="AF381" s="109" t="n"/>
      <c r="AG381" s="109" t="n"/>
      <c r="AH381" s="109" t="n"/>
      <c r="AL381" s="109" t="n"/>
      <c r="AM381" s="109" t="n"/>
      <c r="AN381" s="109" t="n"/>
    </row>
    <row r="382" ht="15.75" customHeight="1" s="216">
      <c r="D382" s="109" t="n"/>
      <c r="E382" s="109" t="n"/>
      <c r="J382" s="109" t="n"/>
      <c r="K382" s="109" t="n"/>
      <c r="L382" s="109" t="n"/>
      <c r="N382" s="109" t="n"/>
      <c r="O382" s="109" t="n"/>
      <c r="P382" s="109" t="n"/>
      <c r="T382" s="109" t="n"/>
      <c r="U382" s="109" t="n"/>
      <c r="V382" s="109" t="n"/>
      <c r="Z382" s="109" t="n"/>
      <c r="AA382" s="109" t="n"/>
      <c r="AB382" s="109" t="n"/>
      <c r="AF382" s="109" t="n"/>
      <c r="AG382" s="109" t="n"/>
      <c r="AH382" s="109" t="n"/>
      <c r="AL382" s="109" t="n"/>
      <c r="AM382" s="109" t="n"/>
      <c r="AN382" s="109" t="n"/>
    </row>
    <row r="383" ht="15.75" customHeight="1" s="216">
      <c r="D383" s="109" t="n"/>
      <c r="E383" s="109" t="n"/>
      <c r="J383" s="109" t="n"/>
      <c r="K383" s="109" t="n"/>
      <c r="L383" s="109" t="n"/>
      <c r="N383" s="109" t="n"/>
      <c r="O383" s="109" t="n"/>
      <c r="P383" s="109" t="n"/>
      <c r="T383" s="109" t="n"/>
      <c r="U383" s="109" t="n"/>
      <c r="V383" s="109" t="n"/>
      <c r="Z383" s="109" t="n"/>
      <c r="AA383" s="109" t="n"/>
      <c r="AB383" s="109" t="n"/>
      <c r="AF383" s="109" t="n"/>
      <c r="AG383" s="109" t="n"/>
      <c r="AH383" s="109" t="n"/>
      <c r="AL383" s="109" t="n"/>
      <c r="AM383" s="109" t="n"/>
      <c r="AN383" s="109" t="n"/>
    </row>
    <row r="384" ht="15.75" customHeight="1" s="216">
      <c r="D384" s="109" t="n"/>
      <c r="E384" s="109" t="n"/>
      <c r="J384" s="109" t="n"/>
      <c r="K384" s="109" t="n"/>
      <c r="L384" s="109" t="n"/>
      <c r="N384" s="109" t="n"/>
      <c r="O384" s="109" t="n"/>
      <c r="P384" s="109" t="n"/>
      <c r="T384" s="109" t="n"/>
      <c r="U384" s="109" t="n"/>
      <c r="V384" s="109" t="n"/>
      <c r="Z384" s="109" t="n"/>
      <c r="AA384" s="109" t="n"/>
      <c r="AB384" s="109" t="n"/>
      <c r="AF384" s="109" t="n"/>
      <c r="AG384" s="109" t="n"/>
      <c r="AH384" s="109" t="n"/>
      <c r="AL384" s="109" t="n"/>
      <c r="AM384" s="109" t="n"/>
      <c r="AN384" s="109" t="n"/>
    </row>
    <row r="385" ht="15.75" customHeight="1" s="216">
      <c r="D385" s="109" t="n"/>
      <c r="E385" s="109" t="n"/>
      <c r="J385" s="109" t="n"/>
      <c r="K385" s="109" t="n"/>
      <c r="L385" s="109" t="n"/>
      <c r="N385" s="109" t="n"/>
      <c r="O385" s="109" t="n"/>
      <c r="P385" s="109" t="n"/>
      <c r="T385" s="109" t="n"/>
      <c r="U385" s="109" t="n"/>
      <c r="V385" s="109" t="n"/>
      <c r="Z385" s="109" t="n"/>
      <c r="AA385" s="109" t="n"/>
      <c r="AB385" s="109" t="n"/>
      <c r="AF385" s="109" t="n"/>
      <c r="AG385" s="109" t="n"/>
      <c r="AH385" s="109" t="n"/>
      <c r="AL385" s="109" t="n"/>
      <c r="AM385" s="109" t="n"/>
      <c r="AN385" s="109" t="n"/>
    </row>
    <row r="386" ht="15.75" customHeight="1" s="216">
      <c r="D386" s="109" t="n"/>
      <c r="E386" s="109" t="n"/>
      <c r="J386" s="109" t="n"/>
      <c r="K386" s="109" t="n"/>
      <c r="L386" s="109" t="n"/>
      <c r="N386" s="109" t="n"/>
      <c r="O386" s="109" t="n"/>
      <c r="P386" s="109" t="n"/>
      <c r="T386" s="109" t="n"/>
      <c r="U386" s="109" t="n"/>
      <c r="V386" s="109" t="n"/>
      <c r="Z386" s="109" t="n"/>
      <c r="AA386" s="109" t="n"/>
      <c r="AB386" s="109" t="n"/>
      <c r="AF386" s="109" t="n"/>
      <c r="AG386" s="109" t="n"/>
      <c r="AH386" s="109" t="n"/>
      <c r="AL386" s="109" t="n"/>
      <c r="AM386" s="109" t="n"/>
      <c r="AN386" s="109" t="n"/>
    </row>
    <row r="387" ht="15.75" customHeight="1" s="216">
      <c r="D387" s="109" t="n"/>
      <c r="E387" s="109" t="n"/>
      <c r="J387" s="109" t="n"/>
      <c r="K387" s="109" t="n"/>
      <c r="L387" s="109" t="n"/>
      <c r="N387" s="109" t="n"/>
      <c r="O387" s="109" t="n"/>
      <c r="P387" s="109" t="n"/>
      <c r="T387" s="109" t="n"/>
      <c r="U387" s="109" t="n"/>
      <c r="V387" s="109" t="n"/>
      <c r="Z387" s="109" t="n"/>
      <c r="AA387" s="109" t="n"/>
      <c r="AB387" s="109" t="n"/>
      <c r="AF387" s="109" t="n"/>
      <c r="AG387" s="109" t="n"/>
      <c r="AH387" s="109" t="n"/>
      <c r="AL387" s="109" t="n"/>
      <c r="AM387" s="109" t="n"/>
      <c r="AN387" s="109" t="n"/>
    </row>
    <row r="388" ht="15.75" customHeight="1" s="216">
      <c r="D388" s="109" t="n"/>
      <c r="E388" s="109" t="n"/>
      <c r="J388" s="109" t="n"/>
      <c r="K388" s="109" t="n"/>
      <c r="L388" s="109" t="n"/>
      <c r="N388" s="109" t="n"/>
      <c r="O388" s="109" t="n"/>
      <c r="P388" s="109" t="n"/>
      <c r="T388" s="109" t="n"/>
      <c r="U388" s="109" t="n"/>
      <c r="V388" s="109" t="n"/>
      <c r="Z388" s="109" t="n"/>
      <c r="AA388" s="109" t="n"/>
      <c r="AB388" s="109" t="n"/>
      <c r="AF388" s="109" t="n"/>
      <c r="AG388" s="109" t="n"/>
      <c r="AH388" s="109" t="n"/>
      <c r="AL388" s="109" t="n"/>
      <c r="AM388" s="109" t="n"/>
      <c r="AN388" s="109" t="n"/>
    </row>
    <row r="389" ht="15.75" customHeight="1" s="216">
      <c r="D389" s="109" t="n"/>
      <c r="E389" s="109" t="n"/>
      <c r="J389" s="109" t="n"/>
      <c r="K389" s="109" t="n"/>
      <c r="L389" s="109" t="n"/>
      <c r="N389" s="109" t="n"/>
      <c r="O389" s="109" t="n"/>
      <c r="P389" s="109" t="n"/>
      <c r="T389" s="109" t="n"/>
      <c r="U389" s="109" t="n"/>
      <c r="V389" s="109" t="n"/>
      <c r="Z389" s="109" t="n"/>
      <c r="AA389" s="109" t="n"/>
      <c r="AB389" s="109" t="n"/>
      <c r="AF389" s="109" t="n"/>
      <c r="AG389" s="109" t="n"/>
      <c r="AH389" s="109" t="n"/>
      <c r="AL389" s="109" t="n"/>
      <c r="AM389" s="109" t="n"/>
      <c r="AN389" s="109" t="n"/>
    </row>
    <row r="390" ht="15.75" customHeight="1" s="216">
      <c r="D390" s="109" t="n"/>
      <c r="E390" s="109" t="n"/>
      <c r="J390" s="109" t="n"/>
      <c r="K390" s="109" t="n"/>
      <c r="L390" s="109" t="n"/>
      <c r="N390" s="109" t="n"/>
      <c r="O390" s="109" t="n"/>
      <c r="P390" s="109" t="n"/>
      <c r="T390" s="109" t="n"/>
      <c r="U390" s="109" t="n"/>
      <c r="V390" s="109" t="n"/>
      <c r="Z390" s="109" t="n"/>
      <c r="AA390" s="109" t="n"/>
      <c r="AB390" s="109" t="n"/>
      <c r="AF390" s="109" t="n"/>
      <c r="AG390" s="109" t="n"/>
      <c r="AH390" s="109" t="n"/>
      <c r="AL390" s="109" t="n"/>
      <c r="AM390" s="109" t="n"/>
      <c r="AN390" s="109" t="n"/>
    </row>
    <row r="391" ht="15.75" customHeight="1" s="216">
      <c r="D391" s="109" t="n"/>
      <c r="E391" s="109" t="n"/>
      <c r="J391" s="109" t="n"/>
      <c r="K391" s="109" t="n"/>
      <c r="L391" s="109" t="n"/>
      <c r="N391" s="109" t="n"/>
      <c r="O391" s="109" t="n"/>
      <c r="P391" s="109" t="n"/>
      <c r="T391" s="109" t="n"/>
      <c r="U391" s="109" t="n"/>
      <c r="V391" s="109" t="n"/>
      <c r="Z391" s="109" t="n"/>
      <c r="AA391" s="109" t="n"/>
      <c r="AB391" s="109" t="n"/>
      <c r="AF391" s="109" t="n"/>
      <c r="AG391" s="109" t="n"/>
      <c r="AH391" s="109" t="n"/>
      <c r="AL391" s="109" t="n"/>
      <c r="AM391" s="109" t="n"/>
      <c r="AN391" s="109" t="n"/>
    </row>
    <row r="392" ht="15.75" customHeight="1" s="216">
      <c r="D392" s="109" t="n"/>
      <c r="E392" s="109" t="n"/>
      <c r="J392" s="109" t="n"/>
      <c r="K392" s="109" t="n"/>
      <c r="L392" s="109" t="n"/>
      <c r="N392" s="109" t="n"/>
      <c r="O392" s="109" t="n"/>
      <c r="P392" s="109" t="n"/>
      <c r="T392" s="109" t="n"/>
      <c r="U392" s="109" t="n"/>
      <c r="V392" s="109" t="n"/>
      <c r="Z392" s="109" t="n"/>
      <c r="AA392" s="109" t="n"/>
      <c r="AB392" s="109" t="n"/>
      <c r="AF392" s="109" t="n"/>
      <c r="AG392" s="109" t="n"/>
      <c r="AH392" s="109" t="n"/>
      <c r="AL392" s="109" t="n"/>
      <c r="AM392" s="109" t="n"/>
      <c r="AN392" s="109" t="n"/>
    </row>
    <row r="393" ht="15.75" customHeight="1" s="216">
      <c r="D393" s="109" t="n"/>
      <c r="E393" s="109" t="n"/>
      <c r="J393" s="109" t="n"/>
      <c r="K393" s="109" t="n"/>
      <c r="L393" s="109" t="n"/>
      <c r="N393" s="109" t="n"/>
      <c r="O393" s="109" t="n"/>
      <c r="P393" s="109" t="n"/>
      <c r="T393" s="109" t="n"/>
      <c r="U393" s="109" t="n"/>
      <c r="V393" s="109" t="n"/>
      <c r="Z393" s="109" t="n"/>
      <c r="AA393" s="109" t="n"/>
      <c r="AB393" s="109" t="n"/>
      <c r="AF393" s="109" t="n"/>
      <c r="AG393" s="109" t="n"/>
      <c r="AH393" s="109" t="n"/>
      <c r="AL393" s="109" t="n"/>
      <c r="AM393" s="109" t="n"/>
      <c r="AN393" s="109" t="n"/>
    </row>
    <row r="394" ht="15.75" customHeight="1" s="216">
      <c r="D394" s="109" t="n"/>
      <c r="E394" s="109" t="n"/>
      <c r="J394" s="109" t="n"/>
      <c r="K394" s="109" t="n"/>
      <c r="L394" s="109" t="n"/>
      <c r="N394" s="109" t="n"/>
      <c r="O394" s="109" t="n"/>
      <c r="P394" s="109" t="n"/>
      <c r="T394" s="109" t="n"/>
      <c r="U394" s="109" t="n"/>
      <c r="V394" s="109" t="n"/>
      <c r="Z394" s="109" t="n"/>
      <c r="AA394" s="109" t="n"/>
      <c r="AB394" s="109" t="n"/>
      <c r="AF394" s="109" t="n"/>
      <c r="AG394" s="109" t="n"/>
      <c r="AH394" s="109" t="n"/>
      <c r="AL394" s="109" t="n"/>
      <c r="AM394" s="109" t="n"/>
      <c r="AN394" s="109" t="n"/>
    </row>
    <row r="395" ht="15.75" customHeight="1" s="216">
      <c r="D395" s="109" t="n"/>
      <c r="E395" s="109" t="n"/>
      <c r="J395" s="109" t="n"/>
      <c r="K395" s="109" t="n"/>
      <c r="L395" s="109" t="n"/>
      <c r="N395" s="109" t="n"/>
      <c r="O395" s="109" t="n"/>
      <c r="P395" s="109" t="n"/>
      <c r="T395" s="109" t="n"/>
      <c r="U395" s="109" t="n"/>
      <c r="V395" s="109" t="n"/>
      <c r="Z395" s="109" t="n"/>
      <c r="AA395" s="109" t="n"/>
      <c r="AB395" s="109" t="n"/>
      <c r="AF395" s="109" t="n"/>
      <c r="AG395" s="109" t="n"/>
      <c r="AH395" s="109" t="n"/>
      <c r="AL395" s="109" t="n"/>
      <c r="AM395" s="109" t="n"/>
      <c r="AN395" s="109" t="n"/>
    </row>
    <row r="396" ht="15.75" customHeight="1" s="216">
      <c r="D396" s="109" t="n"/>
      <c r="E396" s="109" t="n"/>
      <c r="J396" s="109" t="n"/>
      <c r="K396" s="109" t="n"/>
      <c r="L396" s="109" t="n"/>
      <c r="N396" s="109" t="n"/>
      <c r="O396" s="109" t="n"/>
      <c r="P396" s="109" t="n"/>
      <c r="T396" s="109" t="n"/>
      <c r="U396" s="109" t="n"/>
      <c r="V396" s="109" t="n"/>
      <c r="Z396" s="109" t="n"/>
      <c r="AA396" s="109" t="n"/>
      <c r="AB396" s="109" t="n"/>
      <c r="AF396" s="109" t="n"/>
      <c r="AG396" s="109" t="n"/>
      <c r="AH396" s="109" t="n"/>
      <c r="AL396" s="109" t="n"/>
      <c r="AM396" s="109" t="n"/>
      <c r="AN396" s="109" t="n"/>
    </row>
    <row r="397" ht="15.75" customHeight="1" s="216">
      <c r="D397" s="109" t="n"/>
      <c r="E397" s="109" t="n"/>
      <c r="J397" s="109" t="n"/>
      <c r="K397" s="109" t="n"/>
      <c r="L397" s="109" t="n"/>
      <c r="N397" s="109" t="n"/>
      <c r="O397" s="109" t="n"/>
      <c r="P397" s="109" t="n"/>
      <c r="T397" s="109" t="n"/>
      <c r="U397" s="109" t="n"/>
      <c r="V397" s="109" t="n"/>
      <c r="Z397" s="109" t="n"/>
      <c r="AA397" s="109" t="n"/>
      <c r="AB397" s="109" t="n"/>
      <c r="AF397" s="109" t="n"/>
      <c r="AG397" s="109" t="n"/>
      <c r="AH397" s="109" t="n"/>
      <c r="AL397" s="109" t="n"/>
      <c r="AM397" s="109" t="n"/>
      <c r="AN397" s="109" t="n"/>
    </row>
    <row r="398" ht="15.75" customHeight="1" s="216">
      <c r="D398" s="109" t="n"/>
      <c r="E398" s="109" t="n"/>
      <c r="J398" s="109" t="n"/>
      <c r="K398" s="109" t="n"/>
      <c r="L398" s="109" t="n"/>
      <c r="N398" s="109" t="n"/>
      <c r="O398" s="109" t="n"/>
      <c r="P398" s="109" t="n"/>
      <c r="T398" s="109" t="n"/>
      <c r="U398" s="109" t="n"/>
      <c r="V398" s="109" t="n"/>
      <c r="Z398" s="109" t="n"/>
      <c r="AA398" s="109" t="n"/>
      <c r="AB398" s="109" t="n"/>
      <c r="AF398" s="109" t="n"/>
      <c r="AG398" s="109" t="n"/>
      <c r="AH398" s="109" t="n"/>
      <c r="AL398" s="109" t="n"/>
      <c r="AM398" s="109" t="n"/>
      <c r="AN398" s="109" t="n"/>
    </row>
    <row r="399" ht="15.75" customHeight="1" s="216">
      <c r="D399" s="109" t="n"/>
      <c r="E399" s="109" t="n"/>
      <c r="J399" s="109" t="n"/>
      <c r="K399" s="109" t="n"/>
      <c r="L399" s="109" t="n"/>
      <c r="N399" s="109" t="n"/>
      <c r="O399" s="109" t="n"/>
      <c r="P399" s="109" t="n"/>
      <c r="T399" s="109" t="n"/>
      <c r="U399" s="109" t="n"/>
      <c r="V399" s="109" t="n"/>
      <c r="Z399" s="109" t="n"/>
      <c r="AA399" s="109" t="n"/>
      <c r="AB399" s="109" t="n"/>
      <c r="AF399" s="109" t="n"/>
      <c r="AG399" s="109" t="n"/>
      <c r="AH399" s="109" t="n"/>
      <c r="AL399" s="109" t="n"/>
      <c r="AM399" s="109" t="n"/>
      <c r="AN399" s="109" t="n"/>
    </row>
    <row r="400" ht="15.75" customHeight="1" s="216">
      <c r="D400" s="109" t="n"/>
      <c r="E400" s="109" t="n"/>
      <c r="J400" s="109" t="n"/>
      <c r="K400" s="109" t="n"/>
      <c r="L400" s="109" t="n"/>
      <c r="N400" s="109" t="n"/>
      <c r="O400" s="109" t="n"/>
      <c r="P400" s="109" t="n"/>
      <c r="T400" s="109" t="n"/>
      <c r="U400" s="109" t="n"/>
      <c r="V400" s="109" t="n"/>
      <c r="Z400" s="109" t="n"/>
      <c r="AA400" s="109" t="n"/>
      <c r="AB400" s="109" t="n"/>
      <c r="AF400" s="109" t="n"/>
      <c r="AG400" s="109" t="n"/>
      <c r="AH400" s="109" t="n"/>
      <c r="AL400" s="109" t="n"/>
      <c r="AM400" s="109" t="n"/>
      <c r="AN400" s="109" t="n"/>
    </row>
    <row r="401" ht="15.75" customHeight="1" s="216">
      <c r="D401" s="109" t="n"/>
      <c r="E401" s="109" t="n"/>
      <c r="J401" s="109" t="n"/>
      <c r="K401" s="109" t="n"/>
      <c r="L401" s="109" t="n"/>
      <c r="N401" s="109" t="n"/>
      <c r="O401" s="109" t="n"/>
      <c r="P401" s="109" t="n"/>
      <c r="T401" s="109" t="n"/>
      <c r="U401" s="109" t="n"/>
      <c r="V401" s="109" t="n"/>
      <c r="Z401" s="109" t="n"/>
      <c r="AA401" s="109" t="n"/>
      <c r="AB401" s="109" t="n"/>
      <c r="AF401" s="109" t="n"/>
      <c r="AG401" s="109" t="n"/>
      <c r="AH401" s="109" t="n"/>
      <c r="AL401" s="109" t="n"/>
      <c r="AM401" s="109" t="n"/>
      <c r="AN401" s="109" t="n"/>
    </row>
    <row r="402" ht="15.75" customHeight="1" s="216">
      <c r="D402" s="109" t="n"/>
      <c r="E402" s="109" t="n"/>
      <c r="J402" s="109" t="n"/>
      <c r="K402" s="109" t="n"/>
      <c r="L402" s="109" t="n"/>
      <c r="N402" s="109" t="n"/>
      <c r="O402" s="109" t="n"/>
      <c r="P402" s="109" t="n"/>
      <c r="T402" s="109" t="n"/>
      <c r="U402" s="109" t="n"/>
      <c r="V402" s="109" t="n"/>
      <c r="Z402" s="109" t="n"/>
      <c r="AA402" s="109" t="n"/>
      <c r="AB402" s="109" t="n"/>
      <c r="AF402" s="109" t="n"/>
      <c r="AG402" s="109" t="n"/>
      <c r="AH402" s="109" t="n"/>
      <c r="AL402" s="109" t="n"/>
      <c r="AM402" s="109" t="n"/>
      <c r="AN402" s="109" t="n"/>
    </row>
    <row r="403" ht="15.75" customHeight="1" s="216">
      <c r="D403" s="109" t="n"/>
      <c r="E403" s="109" t="n"/>
      <c r="J403" s="109" t="n"/>
      <c r="K403" s="109" t="n"/>
      <c r="L403" s="109" t="n"/>
      <c r="N403" s="109" t="n"/>
      <c r="O403" s="109" t="n"/>
      <c r="P403" s="109" t="n"/>
      <c r="T403" s="109" t="n"/>
      <c r="U403" s="109" t="n"/>
      <c r="V403" s="109" t="n"/>
      <c r="Z403" s="109" t="n"/>
      <c r="AA403" s="109" t="n"/>
      <c r="AB403" s="109" t="n"/>
      <c r="AF403" s="109" t="n"/>
      <c r="AG403" s="109" t="n"/>
      <c r="AH403" s="109" t="n"/>
      <c r="AL403" s="109" t="n"/>
      <c r="AM403" s="109" t="n"/>
      <c r="AN403" s="109" t="n"/>
    </row>
    <row r="404" ht="15.75" customHeight="1" s="216">
      <c r="D404" s="109" t="n"/>
      <c r="E404" s="109" t="n"/>
      <c r="J404" s="109" t="n"/>
      <c r="K404" s="109" t="n"/>
      <c r="L404" s="109" t="n"/>
      <c r="N404" s="109" t="n"/>
      <c r="O404" s="109" t="n"/>
      <c r="P404" s="109" t="n"/>
      <c r="T404" s="109" t="n"/>
      <c r="U404" s="109" t="n"/>
      <c r="V404" s="109" t="n"/>
      <c r="Z404" s="109" t="n"/>
      <c r="AA404" s="109" t="n"/>
      <c r="AB404" s="109" t="n"/>
      <c r="AF404" s="109" t="n"/>
      <c r="AG404" s="109" t="n"/>
      <c r="AH404" s="109" t="n"/>
      <c r="AL404" s="109" t="n"/>
      <c r="AM404" s="109" t="n"/>
      <c r="AN404" s="109" t="n"/>
    </row>
    <row r="405" ht="15.75" customHeight="1" s="216">
      <c r="D405" s="109" t="n"/>
      <c r="E405" s="109" t="n"/>
      <c r="J405" s="109" t="n"/>
      <c r="K405" s="109" t="n"/>
      <c r="L405" s="109" t="n"/>
      <c r="N405" s="109" t="n"/>
      <c r="O405" s="109" t="n"/>
      <c r="P405" s="109" t="n"/>
      <c r="T405" s="109" t="n"/>
      <c r="U405" s="109" t="n"/>
      <c r="V405" s="109" t="n"/>
      <c r="Z405" s="109" t="n"/>
      <c r="AA405" s="109" t="n"/>
      <c r="AB405" s="109" t="n"/>
      <c r="AF405" s="109" t="n"/>
      <c r="AG405" s="109" t="n"/>
      <c r="AH405" s="109" t="n"/>
      <c r="AL405" s="109" t="n"/>
      <c r="AM405" s="109" t="n"/>
      <c r="AN405" s="109" t="n"/>
    </row>
    <row r="406" ht="15.75" customHeight="1" s="216">
      <c r="D406" s="109" t="n"/>
      <c r="E406" s="109" t="n"/>
      <c r="J406" s="109" t="n"/>
      <c r="K406" s="109" t="n"/>
      <c r="L406" s="109" t="n"/>
      <c r="N406" s="109" t="n"/>
      <c r="O406" s="109" t="n"/>
      <c r="P406" s="109" t="n"/>
      <c r="T406" s="109" t="n"/>
      <c r="U406" s="109" t="n"/>
      <c r="V406" s="109" t="n"/>
      <c r="Z406" s="109" t="n"/>
      <c r="AA406" s="109" t="n"/>
      <c r="AB406" s="109" t="n"/>
      <c r="AF406" s="109" t="n"/>
      <c r="AG406" s="109" t="n"/>
      <c r="AH406" s="109" t="n"/>
      <c r="AL406" s="109" t="n"/>
      <c r="AM406" s="109" t="n"/>
      <c r="AN406" s="109" t="n"/>
    </row>
    <row r="407" ht="15.75" customHeight="1" s="216">
      <c r="D407" s="109" t="n"/>
      <c r="E407" s="109" t="n"/>
      <c r="J407" s="109" t="n"/>
      <c r="K407" s="109" t="n"/>
      <c r="L407" s="109" t="n"/>
      <c r="N407" s="109" t="n"/>
      <c r="O407" s="109" t="n"/>
      <c r="P407" s="109" t="n"/>
      <c r="T407" s="109" t="n"/>
      <c r="U407" s="109" t="n"/>
      <c r="V407" s="109" t="n"/>
      <c r="Z407" s="109" t="n"/>
      <c r="AA407" s="109" t="n"/>
      <c r="AB407" s="109" t="n"/>
      <c r="AF407" s="109" t="n"/>
      <c r="AG407" s="109" t="n"/>
      <c r="AH407" s="109" t="n"/>
      <c r="AL407" s="109" t="n"/>
      <c r="AM407" s="109" t="n"/>
      <c r="AN407" s="109" t="n"/>
    </row>
    <row r="408" ht="15.75" customHeight="1" s="216">
      <c r="D408" s="109" t="n"/>
      <c r="E408" s="109" t="n"/>
      <c r="J408" s="109" t="n"/>
      <c r="K408" s="109" t="n"/>
      <c r="L408" s="109" t="n"/>
      <c r="N408" s="109" t="n"/>
      <c r="O408" s="109" t="n"/>
      <c r="P408" s="109" t="n"/>
      <c r="T408" s="109" t="n"/>
      <c r="U408" s="109" t="n"/>
      <c r="V408" s="109" t="n"/>
      <c r="Z408" s="109" t="n"/>
      <c r="AA408" s="109" t="n"/>
      <c r="AB408" s="109" t="n"/>
      <c r="AF408" s="109" t="n"/>
      <c r="AG408" s="109" t="n"/>
      <c r="AH408" s="109" t="n"/>
      <c r="AL408" s="109" t="n"/>
      <c r="AM408" s="109" t="n"/>
      <c r="AN408" s="109" t="n"/>
    </row>
    <row r="409" ht="15.75" customHeight="1" s="216">
      <c r="D409" s="109" t="n"/>
      <c r="E409" s="109" t="n"/>
      <c r="J409" s="109" t="n"/>
      <c r="K409" s="109" t="n"/>
      <c r="L409" s="109" t="n"/>
      <c r="N409" s="109" t="n"/>
      <c r="O409" s="109" t="n"/>
      <c r="P409" s="109" t="n"/>
      <c r="T409" s="109" t="n"/>
      <c r="U409" s="109" t="n"/>
      <c r="V409" s="109" t="n"/>
      <c r="Z409" s="109" t="n"/>
      <c r="AA409" s="109" t="n"/>
      <c r="AB409" s="109" t="n"/>
      <c r="AF409" s="109" t="n"/>
      <c r="AG409" s="109" t="n"/>
      <c r="AH409" s="109" t="n"/>
      <c r="AL409" s="109" t="n"/>
      <c r="AM409" s="109" t="n"/>
      <c r="AN409" s="109" t="n"/>
    </row>
    <row r="410" ht="15.75" customHeight="1" s="216">
      <c r="D410" s="109" t="n"/>
      <c r="E410" s="109" t="n"/>
      <c r="J410" s="109" t="n"/>
      <c r="K410" s="109" t="n"/>
      <c r="L410" s="109" t="n"/>
      <c r="N410" s="109" t="n"/>
      <c r="O410" s="109" t="n"/>
      <c r="P410" s="109" t="n"/>
      <c r="T410" s="109" t="n"/>
      <c r="U410" s="109" t="n"/>
      <c r="V410" s="109" t="n"/>
      <c r="Z410" s="109" t="n"/>
      <c r="AA410" s="109" t="n"/>
      <c r="AB410" s="109" t="n"/>
      <c r="AF410" s="109" t="n"/>
      <c r="AG410" s="109" t="n"/>
      <c r="AH410" s="109" t="n"/>
      <c r="AL410" s="109" t="n"/>
      <c r="AM410" s="109" t="n"/>
      <c r="AN410" s="109" t="n"/>
    </row>
    <row r="411" ht="15.75" customHeight="1" s="216">
      <c r="D411" s="109" t="n"/>
      <c r="E411" s="109" t="n"/>
      <c r="J411" s="109" t="n"/>
      <c r="K411" s="109" t="n"/>
      <c r="L411" s="109" t="n"/>
      <c r="N411" s="109" t="n"/>
      <c r="O411" s="109" t="n"/>
      <c r="P411" s="109" t="n"/>
      <c r="T411" s="109" t="n"/>
      <c r="U411" s="109" t="n"/>
      <c r="V411" s="109" t="n"/>
      <c r="Z411" s="109" t="n"/>
      <c r="AA411" s="109" t="n"/>
      <c r="AB411" s="109" t="n"/>
      <c r="AF411" s="109" t="n"/>
      <c r="AG411" s="109" t="n"/>
      <c r="AH411" s="109" t="n"/>
      <c r="AL411" s="109" t="n"/>
      <c r="AM411" s="109" t="n"/>
      <c r="AN411" s="109" t="n"/>
    </row>
    <row r="412" ht="15.75" customHeight="1" s="216">
      <c r="D412" s="109" t="n"/>
      <c r="E412" s="109" t="n"/>
      <c r="J412" s="109" t="n"/>
      <c r="K412" s="109" t="n"/>
      <c r="L412" s="109" t="n"/>
      <c r="N412" s="109" t="n"/>
      <c r="O412" s="109" t="n"/>
      <c r="P412" s="109" t="n"/>
      <c r="T412" s="109" t="n"/>
      <c r="U412" s="109" t="n"/>
      <c r="V412" s="109" t="n"/>
      <c r="Z412" s="109" t="n"/>
      <c r="AA412" s="109" t="n"/>
      <c r="AB412" s="109" t="n"/>
      <c r="AF412" s="109" t="n"/>
      <c r="AG412" s="109" t="n"/>
      <c r="AH412" s="109" t="n"/>
      <c r="AL412" s="109" t="n"/>
      <c r="AM412" s="109" t="n"/>
      <c r="AN412" s="109" t="n"/>
    </row>
    <row r="413" ht="15.75" customHeight="1" s="216">
      <c r="D413" s="109" t="n"/>
      <c r="E413" s="109" t="n"/>
      <c r="J413" s="109" t="n"/>
      <c r="K413" s="109" t="n"/>
      <c r="L413" s="109" t="n"/>
      <c r="N413" s="109" t="n"/>
      <c r="O413" s="109" t="n"/>
      <c r="P413" s="109" t="n"/>
      <c r="T413" s="109" t="n"/>
      <c r="U413" s="109" t="n"/>
      <c r="V413" s="109" t="n"/>
      <c r="Z413" s="109" t="n"/>
      <c r="AA413" s="109" t="n"/>
      <c r="AB413" s="109" t="n"/>
      <c r="AF413" s="109" t="n"/>
      <c r="AG413" s="109" t="n"/>
      <c r="AH413" s="109" t="n"/>
      <c r="AL413" s="109" t="n"/>
      <c r="AM413" s="109" t="n"/>
      <c r="AN413" s="109" t="n"/>
    </row>
    <row r="414" ht="15.75" customHeight="1" s="216">
      <c r="D414" s="109" t="n"/>
      <c r="E414" s="109" t="n"/>
      <c r="J414" s="109" t="n"/>
      <c r="K414" s="109" t="n"/>
      <c r="L414" s="109" t="n"/>
      <c r="N414" s="109" t="n"/>
      <c r="O414" s="109" t="n"/>
      <c r="P414" s="109" t="n"/>
      <c r="T414" s="109" t="n"/>
      <c r="U414" s="109" t="n"/>
      <c r="V414" s="109" t="n"/>
      <c r="Z414" s="109" t="n"/>
      <c r="AA414" s="109" t="n"/>
      <c r="AB414" s="109" t="n"/>
      <c r="AF414" s="109" t="n"/>
      <c r="AG414" s="109" t="n"/>
      <c r="AH414" s="109" t="n"/>
      <c r="AL414" s="109" t="n"/>
      <c r="AM414" s="109" t="n"/>
      <c r="AN414" s="109" t="n"/>
    </row>
    <row r="415" ht="15.75" customHeight="1" s="216">
      <c r="D415" s="109" t="n"/>
      <c r="E415" s="109" t="n"/>
      <c r="J415" s="109" t="n"/>
      <c r="K415" s="109" t="n"/>
      <c r="L415" s="109" t="n"/>
      <c r="N415" s="109" t="n"/>
      <c r="O415" s="109" t="n"/>
      <c r="P415" s="109" t="n"/>
      <c r="T415" s="109" t="n"/>
      <c r="U415" s="109" t="n"/>
      <c r="V415" s="109" t="n"/>
      <c r="Z415" s="109" t="n"/>
      <c r="AA415" s="109" t="n"/>
      <c r="AB415" s="109" t="n"/>
      <c r="AF415" s="109" t="n"/>
      <c r="AG415" s="109" t="n"/>
      <c r="AH415" s="109" t="n"/>
      <c r="AL415" s="109" t="n"/>
      <c r="AM415" s="109" t="n"/>
      <c r="AN415" s="109" t="n"/>
    </row>
    <row r="416" ht="15.75" customHeight="1" s="216">
      <c r="D416" s="109" t="n"/>
      <c r="E416" s="109" t="n"/>
      <c r="J416" s="109" t="n"/>
      <c r="K416" s="109" t="n"/>
      <c r="L416" s="109" t="n"/>
      <c r="N416" s="109" t="n"/>
      <c r="O416" s="109" t="n"/>
      <c r="P416" s="109" t="n"/>
      <c r="T416" s="109" t="n"/>
      <c r="U416" s="109" t="n"/>
      <c r="V416" s="109" t="n"/>
      <c r="Z416" s="109" t="n"/>
      <c r="AA416" s="109" t="n"/>
      <c r="AB416" s="109" t="n"/>
      <c r="AF416" s="109" t="n"/>
      <c r="AG416" s="109" t="n"/>
      <c r="AH416" s="109" t="n"/>
      <c r="AL416" s="109" t="n"/>
      <c r="AM416" s="109" t="n"/>
      <c r="AN416" s="109" t="n"/>
    </row>
    <row r="417" ht="15.75" customHeight="1" s="216">
      <c r="D417" s="109" t="n"/>
      <c r="E417" s="109" t="n"/>
      <c r="J417" s="109" t="n"/>
      <c r="K417" s="109" t="n"/>
      <c r="L417" s="109" t="n"/>
      <c r="N417" s="109" t="n"/>
      <c r="O417" s="109" t="n"/>
      <c r="P417" s="109" t="n"/>
      <c r="T417" s="109" t="n"/>
      <c r="U417" s="109" t="n"/>
      <c r="V417" s="109" t="n"/>
      <c r="Z417" s="109" t="n"/>
      <c r="AA417" s="109" t="n"/>
      <c r="AB417" s="109" t="n"/>
      <c r="AF417" s="109" t="n"/>
      <c r="AG417" s="109" t="n"/>
      <c r="AH417" s="109" t="n"/>
      <c r="AL417" s="109" t="n"/>
      <c r="AM417" s="109" t="n"/>
      <c r="AN417" s="109" t="n"/>
    </row>
    <row r="418" ht="15.75" customHeight="1" s="216">
      <c r="D418" s="109" t="n"/>
      <c r="E418" s="109" t="n"/>
      <c r="J418" s="109" t="n"/>
      <c r="K418" s="109" t="n"/>
      <c r="L418" s="109" t="n"/>
      <c r="N418" s="109" t="n"/>
      <c r="O418" s="109" t="n"/>
      <c r="P418" s="109" t="n"/>
      <c r="T418" s="109" t="n"/>
      <c r="U418" s="109" t="n"/>
      <c r="V418" s="109" t="n"/>
      <c r="Z418" s="109" t="n"/>
      <c r="AA418" s="109" t="n"/>
      <c r="AB418" s="109" t="n"/>
      <c r="AF418" s="109" t="n"/>
      <c r="AG418" s="109" t="n"/>
      <c r="AH418" s="109" t="n"/>
      <c r="AL418" s="109" t="n"/>
      <c r="AM418" s="109" t="n"/>
      <c r="AN418" s="109" t="n"/>
    </row>
    <row r="419" ht="15.75" customHeight="1" s="216">
      <c r="D419" s="109" t="n"/>
      <c r="E419" s="109" t="n"/>
      <c r="J419" s="109" t="n"/>
      <c r="K419" s="109" t="n"/>
      <c r="L419" s="109" t="n"/>
      <c r="N419" s="109" t="n"/>
      <c r="O419" s="109" t="n"/>
      <c r="P419" s="109" t="n"/>
      <c r="T419" s="109" t="n"/>
      <c r="U419" s="109" t="n"/>
      <c r="V419" s="109" t="n"/>
      <c r="Z419" s="109" t="n"/>
      <c r="AA419" s="109" t="n"/>
      <c r="AB419" s="109" t="n"/>
      <c r="AF419" s="109" t="n"/>
      <c r="AG419" s="109" t="n"/>
      <c r="AH419" s="109" t="n"/>
      <c r="AL419" s="109" t="n"/>
      <c r="AM419" s="109" t="n"/>
      <c r="AN419" s="109" t="n"/>
    </row>
    <row r="420" ht="15.75" customHeight="1" s="216">
      <c r="D420" s="109" t="n"/>
      <c r="E420" s="109" t="n"/>
      <c r="J420" s="109" t="n"/>
      <c r="K420" s="109" t="n"/>
      <c r="L420" s="109" t="n"/>
      <c r="N420" s="109" t="n"/>
      <c r="O420" s="109" t="n"/>
      <c r="P420" s="109" t="n"/>
      <c r="T420" s="109" t="n"/>
      <c r="U420" s="109" t="n"/>
      <c r="V420" s="109" t="n"/>
      <c r="Z420" s="109" t="n"/>
      <c r="AA420" s="109" t="n"/>
      <c r="AB420" s="109" t="n"/>
      <c r="AF420" s="109" t="n"/>
      <c r="AG420" s="109" t="n"/>
      <c r="AH420" s="109" t="n"/>
      <c r="AL420" s="109" t="n"/>
      <c r="AM420" s="109" t="n"/>
      <c r="AN420" s="109" t="n"/>
    </row>
    <row r="421" ht="15.75" customHeight="1" s="216">
      <c r="D421" s="109" t="n"/>
      <c r="E421" s="109" t="n"/>
      <c r="J421" s="109" t="n"/>
      <c r="K421" s="109" t="n"/>
      <c r="L421" s="109" t="n"/>
      <c r="N421" s="109" t="n"/>
      <c r="O421" s="109" t="n"/>
      <c r="P421" s="109" t="n"/>
      <c r="T421" s="109" t="n"/>
      <c r="U421" s="109" t="n"/>
      <c r="V421" s="109" t="n"/>
      <c r="Z421" s="109" t="n"/>
      <c r="AA421" s="109" t="n"/>
      <c r="AB421" s="109" t="n"/>
      <c r="AF421" s="109" t="n"/>
      <c r="AG421" s="109" t="n"/>
      <c r="AH421" s="109" t="n"/>
      <c r="AL421" s="109" t="n"/>
      <c r="AM421" s="109" t="n"/>
      <c r="AN421" s="109" t="n"/>
    </row>
    <row r="422" ht="15.75" customHeight="1" s="216">
      <c r="D422" s="109" t="n"/>
      <c r="E422" s="109" t="n"/>
      <c r="J422" s="109" t="n"/>
      <c r="K422" s="109" t="n"/>
      <c r="L422" s="109" t="n"/>
      <c r="N422" s="109" t="n"/>
      <c r="O422" s="109" t="n"/>
      <c r="P422" s="109" t="n"/>
      <c r="T422" s="109" t="n"/>
      <c r="U422" s="109" t="n"/>
      <c r="V422" s="109" t="n"/>
      <c r="Z422" s="109" t="n"/>
      <c r="AA422" s="109" t="n"/>
      <c r="AB422" s="109" t="n"/>
      <c r="AF422" s="109" t="n"/>
      <c r="AG422" s="109" t="n"/>
      <c r="AH422" s="109" t="n"/>
      <c r="AL422" s="109" t="n"/>
      <c r="AM422" s="109" t="n"/>
      <c r="AN422" s="109" t="n"/>
    </row>
    <row r="423" ht="15.75" customHeight="1" s="216">
      <c r="D423" s="109" t="n"/>
      <c r="E423" s="109" t="n"/>
      <c r="J423" s="109" t="n"/>
      <c r="K423" s="109" t="n"/>
      <c r="L423" s="109" t="n"/>
      <c r="N423" s="109" t="n"/>
      <c r="O423" s="109" t="n"/>
      <c r="P423" s="109" t="n"/>
      <c r="T423" s="109" t="n"/>
      <c r="U423" s="109" t="n"/>
      <c r="V423" s="109" t="n"/>
      <c r="Z423" s="109" t="n"/>
      <c r="AA423" s="109" t="n"/>
      <c r="AB423" s="109" t="n"/>
      <c r="AF423" s="109" t="n"/>
      <c r="AG423" s="109" t="n"/>
      <c r="AH423" s="109" t="n"/>
      <c r="AL423" s="109" t="n"/>
      <c r="AM423" s="109" t="n"/>
      <c r="AN423" s="109" t="n"/>
    </row>
    <row r="424" ht="15.75" customHeight="1" s="216">
      <c r="D424" s="109" t="n"/>
      <c r="E424" s="109" t="n"/>
      <c r="J424" s="109" t="n"/>
      <c r="K424" s="109" t="n"/>
      <c r="L424" s="109" t="n"/>
      <c r="N424" s="109" t="n"/>
      <c r="O424" s="109" t="n"/>
      <c r="P424" s="109" t="n"/>
      <c r="T424" s="109" t="n"/>
      <c r="U424" s="109" t="n"/>
      <c r="V424" s="109" t="n"/>
      <c r="Z424" s="109" t="n"/>
      <c r="AA424" s="109" t="n"/>
      <c r="AB424" s="109" t="n"/>
      <c r="AF424" s="109" t="n"/>
      <c r="AG424" s="109" t="n"/>
      <c r="AH424" s="109" t="n"/>
      <c r="AL424" s="109" t="n"/>
      <c r="AM424" s="109" t="n"/>
      <c r="AN424" s="109" t="n"/>
    </row>
    <row r="425" ht="15.75" customHeight="1" s="216">
      <c r="D425" s="109" t="n"/>
      <c r="E425" s="109" t="n"/>
      <c r="J425" s="109" t="n"/>
      <c r="K425" s="109" t="n"/>
      <c r="L425" s="109" t="n"/>
      <c r="N425" s="109" t="n"/>
      <c r="O425" s="109" t="n"/>
      <c r="P425" s="109" t="n"/>
      <c r="T425" s="109" t="n"/>
      <c r="U425" s="109" t="n"/>
      <c r="V425" s="109" t="n"/>
      <c r="Z425" s="109" t="n"/>
      <c r="AA425" s="109" t="n"/>
      <c r="AB425" s="109" t="n"/>
      <c r="AF425" s="109" t="n"/>
      <c r="AG425" s="109" t="n"/>
      <c r="AH425" s="109" t="n"/>
      <c r="AL425" s="109" t="n"/>
      <c r="AM425" s="109" t="n"/>
      <c r="AN425" s="109" t="n"/>
    </row>
    <row r="426" ht="15.75" customHeight="1" s="216">
      <c r="D426" s="109" t="n"/>
      <c r="E426" s="109" t="n"/>
      <c r="J426" s="109" t="n"/>
      <c r="K426" s="109" t="n"/>
      <c r="L426" s="109" t="n"/>
      <c r="N426" s="109" t="n"/>
      <c r="O426" s="109" t="n"/>
      <c r="P426" s="109" t="n"/>
      <c r="T426" s="109" t="n"/>
      <c r="U426" s="109" t="n"/>
      <c r="V426" s="109" t="n"/>
      <c r="Z426" s="109" t="n"/>
      <c r="AA426" s="109" t="n"/>
      <c r="AB426" s="109" t="n"/>
      <c r="AF426" s="109" t="n"/>
      <c r="AG426" s="109" t="n"/>
      <c r="AH426" s="109" t="n"/>
      <c r="AL426" s="109" t="n"/>
      <c r="AM426" s="109" t="n"/>
      <c r="AN426" s="109" t="n"/>
    </row>
    <row r="427" ht="15.75" customHeight="1" s="216">
      <c r="D427" s="109" t="n"/>
      <c r="E427" s="109" t="n"/>
      <c r="J427" s="109" t="n"/>
      <c r="K427" s="109" t="n"/>
      <c r="L427" s="109" t="n"/>
      <c r="N427" s="109" t="n"/>
      <c r="O427" s="109" t="n"/>
      <c r="P427" s="109" t="n"/>
      <c r="T427" s="109" t="n"/>
      <c r="U427" s="109" t="n"/>
      <c r="V427" s="109" t="n"/>
      <c r="Z427" s="109" t="n"/>
      <c r="AA427" s="109" t="n"/>
      <c r="AB427" s="109" t="n"/>
      <c r="AF427" s="109" t="n"/>
      <c r="AG427" s="109" t="n"/>
      <c r="AH427" s="109" t="n"/>
      <c r="AL427" s="109" t="n"/>
      <c r="AM427" s="109" t="n"/>
      <c r="AN427" s="109" t="n"/>
    </row>
    <row r="428" ht="15.75" customHeight="1" s="216">
      <c r="D428" s="109" t="n"/>
      <c r="E428" s="109" t="n"/>
      <c r="J428" s="109" t="n"/>
      <c r="K428" s="109" t="n"/>
      <c r="L428" s="109" t="n"/>
      <c r="N428" s="109" t="n"/>
      <c r="O428" s="109" t="n"/>
      <c r="P428" s="109" t="n"/>
      <c r="T428" s="109" t="n"/>
      <c r="U428" s="109" t="n"/>
      <c r="V428" s="109" t="n"/>
      <c r="Z428" s="109" t="n"/>
      <c r="AA428" s="109" t="n"/>
      <c r="AB428" s="109" t="n"/>
      <c r="AF428" s="109" t="n"/>
      <c r="AG428" s="109" t="n"/>
      <c r="AH428" s="109" t="n"/>
      <c r="AL428" s="109" t="n"/>
      <c r="AM428" s="109" t="n"/>
      <c r="AN428" s="109" t="n"/>
    </row>
    <row r="429" ht="15.75" customHeight="1" s="216">
      <c r="D429" s="109" t="n"/>
      <c r="E429" s="109" t="n"/>
      <c r="J429" s="109" t="n"/>
      <c r="K429" s="109" t="n"/>
      <c r="L429" s="109" t="n"/>
      <c r="N429" s="109" t="n"/>
      <c r="O429" s="109" t="n"/>
      <c r="P429" s="109" t="n"/>
      <c r="T429" s="109" t="n"/>
      <c r="U429" s="109" t="n"/>
      <c r="V429" s="109" t="n"/>
      <c r="Z429" s="109" t="n"/>
      <c r="AA429" s="109" t="n"/>
      <c r="AB429" s="109" t="n"/>
      <c r="AF429" s="109" t="n"/>
      <c r="AG429" s="109" t="n"/>
      <c r="AH429" s="109" t="n"/>
      <c r="AL429" s="109" t="n"/>
      <c r="AM429" s="109" t="n"/>
      <c r="AN429" s="109" t="n"/>
    </row>
    <row r="430" ht="15.75" customHeight="1" s="216">
      <c r="D430" s="109" t="n"/>
      <c r="E430" s="109" t="n"/>
      <c r="J430" s="109" t="n"/>
      <c r="K430" s="109" t="n"/>
      <c r="L430" s="109" t="n"/>
      <c r="N430" s="109" t="n"/>
      <c r="O430" s="109" t="n"/>
      <c r="P430" s="109" t="n"/>
      <c r="T430" s="109" t="n"/>
      <c r="U430" s="109" t="n"/>
      <c r="V430" s="109" t="n"/>
      <c r="Z430" s="109" t="n"/>
      <c r="AA430" s="109" t="n"/>
      <c r="AB430" s="109" t="n"/>
      <c r="AF430" s="109" t="n"/>
      <c r="AG430" s="109" t="n"/>
      <c r="AH430" s="109" t="n"/>
      <c r="AL430" s="109" t="n"/>
      <c r="AM430" s="109" t="n"/>
      <c r="AN430" s="109" t="n"/>
    </row>
    <row r="431" ht="15.75" customHeight="1" s="216">
      <c r="D431" s="109" t="n"/>
      <c r="E431" s="109" t="n"/>
      <c r="J431" s="109" t="n"/>
      <c r="K431" s="109" t="n"/>
      <c r="L431" s="109" t="n"/>
      <c r="N431" s="109" t="n"/>
      <c r="O431" s="109" t="n"/>
      <c r="P431" s="109" t="n"/>
      <c r="T431" s="109" t="n"/>
      <c r="U431" s="109" t="n"/>
      <c r="V431" s="109" t="n"/>
      <c r="Z431" s="109" t="n"/>
      <c r="AA431" s="109" t="n"/>
      <c r="AB431" s="109" t="n"/>
      <c r="AF431" s="109" t="n"/>
      <c r="AG431" s="109" t="n"/>
      <c r="AH431" s="109" t="n"/>
      <c r="AL431" s="109" t="n"/>
      <c r="AM431" s="109" t="n"/>
      <c r="AN431" s="109" t="n"/>
    </row>
    <row r="432" ht="15.75" customHeight="1" s="216">
      <c r="D432" s="109" t="n"/>
      <c r="E432" s="109" t="n"/>
      <c r="J432" s="109" t="n"/>
      <c r="K432" s="109" t="n"/>
      <c r="L432" s="109" t="n"/>
      <c r="N432" s="109" t="n"/>
      <c r="O432" s="109" t="n"/>
      <c r="P432" s="109" t="n"/>
      <c r="T432" s="109" t="n"/>
      <c r="U432" s="109" t="n"/>
      <c r="V432" s="109" t="n"/>
      <c r="Z432" s="109" t="n"/>
      <c r="AA432" s="109" t="n"/>
      <c r="AB432" s="109" t="n"/>
      <c r="AF432" s="109" t="n"/>
      <c r="AG432" s="109" t="n"/>
      <c r="AH432" s="109" t="n"/>
      <c r="AL432" s="109" t="n"/>
      <c r="AM432" s="109" t="n"/>
      <c r="AN432" s="109" t="n"/>
    </row>
    <row r="433" ht="15.75" customHeight="1" s="216">
      <c r="D433" s="109" t="n"/>
      <c r="E433" s="109" t="n"/>
      <c r="J433" s="109" t="n"/>
      <c r="K433" s="109" t="n"/>
      <c r="L433" s="109" t="n"/>
      <c r="N433" s="109" t="n"/>
      <c r="O433" s="109" t="n"/>
      <c r="P433" s="109" t="n"/>
      <c r="T433" s="109" t="n"/>
      <c r="U433" s="109" t="n"/>
      <c r="V433" s="109" t="n"/>
      <c r="Z433" s="109" t="n"/>
      <c r="AA433" s="109" t="n"/>
      <c r="AB433" s="109" t="n"/>
      <c r="AF433" s="109" t="n"/>
      <c r="AG433" s="109" t="n"/>
      <c r="AH433" s="109" t="n"/>
      <c r="AL433" s="109" t="n"/>
      <c r="AM433" s="109" t="n"/>
      <c r="AN433" s="109" t="n"/>
    </row>
    <row r="434" ht="15.75" customHeight="1" s="216">
      <c r="D434" s="109" t="n"/>
      <c r="E434" s="109" t="n"/>
      <c r="J434" s="109" t="n"/>
      <c r="K434" s="109" t="n"/>
      <c r="L434" s="109" t="n"/>
      <c r="N434" s="109" t="n"/>
      <c r="O434" s="109" t="n"/>
      <c r="P434" s="109" t="n"/>
      <c r="T434" s="109" t="n"/>
      <c r="U434" s="109" t="n"/>
      <c r="V434" s="109" t="n"/>
      <c r="Z434" s="109" t="n"/>
      <c r="AA434" s="109" t="n"/>
      <c r="AB434" s="109" t="n"/>
      <c r="AF434" s="109" t="n"/>
      <c r="AG434" s="109" t="n"/>
      <c r="AH434" s="109" t="n"/>
      <c r="AL434" s="109" t="n"/>
      <c r="AM434" s="109" t="n"/>
      <c r="AN434" s="109" t="n"/>
    </row>
    <row r="435" ht="15.75" customHeight="1" s="216">
      <c r="D435" s="109" t="n"/>
      <c r="E435" s="109" t="n"/>
      <c r="J435" s="109" t="n"/>
      <c r="K435" s="109" t="n"/>
      <c r="L435" s="109" t="n"/>
      <c r="N435" s="109" t="n"/>
      <c r="O435" s="109" t="n"/>
      <c r="P435" s="109" t="n"/>
      <c r="T435" s="109" t="n"/>
      <c r="U435" s="109" t="n"/>
      <c r="V435" s="109" t="n"/>
      <c r="Z435" s="109" t="n"/>
      <c r="AA435" s="109" t="n"/>
      <c r="AB435" s="109" t="n"/>
      <c r="AF435" s="109" t="n"/>
      <c r="AG435" s="109" t="n"/>
      <c r="AH435" s="109" t="n"/>
      <c r="AL435" s="109" t="n"/>
      <c r="AM435" s="109" t="n"/>
      <c r="AN435" s="109" t="n"/>
    </row>
    <row r="436" ht="15.75" customHeight="1" s="216">
      <c r="D436" s="109" t="n"/>
      <c r="E436" s="109" t="n"/>
      <c r="J436" s="109" t="n"/>
      <c r="K436" s="109" t="n"/>
      <c r="L436" s="109" t="n"/>
      <c r="N436" s="109" t="n"/>
      <c r="O436" s="109" t="n"/>
      <c r="P436" s="109" t="n"/>
      <c r="T436" s="109" t="n"/>
      <c r="U436" s="109" t="n"/>
      <c r="V436" s="109" t="n"/>
      <c r="Z436" s="109" t="n"/>
      <c r="AA436" s="109" t="n"/>
      <c r="AB436" s="109" t="n"/>
      <c r="AF436" s="109" t="n"/>
      <c r="AG436" s="109" t="n"/>
      <c r="AH436" s="109" t="n"/>
      <c r="AL436" s="109" t="n"/>
      <c r="AM436" s="109" t="n"/>
      <c r="AN436" s="109" t="n"/>
    </row>
    <row r="437" ht="15.75" customHeight="1" s="216">
      <c r="D437" s="109" t="n"/>
      <c r="E437" s="109" t="n"/>
      <c r="J437" s="109" t="n"/>
      <c r="K437" s="109" t="n"/>
      <c r="L437" s="109" t="n"/>
      <c r="N437" s="109" t="n"/>
      <c r="O437" s="109" t="n"/>
      <c r="P437" s="109" t="n"/>
      <c r="T437" s="109" t="n"/>
      <c r="U437" s="109" t="n"/>
      <c r="V437" s="109" t="n"/>
      <c r="Z437" s="109" t="n"/>
      <c r="AA437" s="109" t="n"/>
      <c r="AB437" s="109" t="n"/>
      <c r="AF437" s="109" t="n"/>
      <c r="AG437" s="109" t="n"/>
      <c r="AH437" s="109" t="n"/>
      <c r="AL437" s="109" t="n"/>
      <c r="AM437" s="109" t="n"/>
      <c r="AN437" s="109" t="n"/>
    </row>
    <row r="438" ht="15.75" customHeight="1" s="216">
      <c r="D438" s="109" t="n"/>
      <c r="E438" s="109" t="n"/>
      <c r="J438" s="109" t="n"/>
      <c r="K438" s="109" t="n"/>
      <c r="L438" s="109" t="n"/>
      <c r="N438" s="109" t="n"/>
      <c r="O438" s="109" t="n"/>
      <c r="P438" s="109" t="n"/>
      <c r="T438" s="109" t="n"/>
      <c r="U438" s="109" t="n"/>
      <c r="V438" s="109" t="n"/>
      <c r="Z438" s="109" t="n"/>
      <c r="AA438" s="109" t="n"/>
      <c r="AB438" s="109" t="n"/>
      <c r="AF438" s="109" t="n"/>
      <c r="AG438" s="109" t="n"/>
      <c r="AH438" s="109" t="n"/>
      <c r="AL438" s="109" t="n"/>
      <c r="AM438" s="109" t="n"/>
      <c r="AN438" s="109" t="n"/>
    </row>
    <row r="439" ht="15.75" customHeight="1" s="216">
      <c r="D439" s="109" t="n"/>
      <c r="E439" s="109" t="n"/>
      <c r="J439" s="109" t="n"/>
      <c r="K439" s="109" t="n"/>
      <c r="L439" s="109" t="n"/>
      <c r="N439" s="109" t="n"/>
      <c r="O439" s="109" t="n"/>
      <c r="P439" s="109" t="n"/>
      <c r="T439" s="109" t="n"/>
      <c r="U439" s="109" t="n"/>
      <c r="V439" s="109" t="n"/>
      <c r="Z439" s="109" t="n"/>
      <c r="AA439" s="109" t="n"/>
      <c r="AB439" s="109" t="n"/>
      <c r="AF439" s="109" t="n"/>
      <c r="AG439" s="109" t="n"/>
      <c r="AH439" s="109" t="n"/>
      <c r="AL439" s="109" t="n"/>
      <c r="AM439" s="109" t="n"/>
      <c r="AN439" s="109" t="n"/>
    </row>
    <row r="440" ht="15.75" customHeight="1" s="216">
      <c r="D440" s="109" t="n"/>
      <c r="E440" s="109" t="n"/>
      <c r="J440" s="109" t="n"/>
      <c r="K440" s="109" t="n"/>
      <c r="L440" s="109" t="n"/>
      <c r="N440" s="109" t="n"/>
      <c r="O440" s="109" t="n"/>
      <c r="P440" s="109" t="n"/>
      <c r="T440" s="109" t="n"/>
      <c r="U440" s="109" t="n"/>
      <c r="V440" s="109" t="n"/>
      <c r="Z440" s="109" t="n"/>
      <c r="AA440" s="109" t="n"/>
      <c r="AB440" s="109" t="n"/>
      <c r="AF440" s="109" t="n"/>
      <c r="AG440" s="109" t="n"/>
      <c r="AH440" s="109" t="n"/>
      <c r="AL440" s="109" t="n"/>
      <c r="AM440" s="109" t="n"/>
      <c r="AN440" s="109" t="n"/>
    </row>
    <row r="441" ht="15.75" customHeight="1" s="216">
      <c r="D441" s="109" t="n"/>
      <c r="E441" s="109" t="n"/>
      <c r="J441" s="109" t="n"/>
      <c r="K441" s="109" t="n"/>
      <c r="L441" s="109" t="n"/>
      <c r="N441" s="109" t="n"/>
      <c r="O441" s="109" t="n"/>
      <c r="P441" s="109" t="n"/>
      <c r="T441" s="109" t="n"/>
      <c r="U441" s="109" t="n"/>
      <c r="V441" s="109" t="n"/>
      <c r="Z441" s="109" t="n"/>
      <c r="AA441" s="109" t="n"/>
      <c r="AB441" s="109" t="n"/>
      <c r="AF441" s="109" t="n"/>
      <c r="AG441" s="109" t="n"/>
      <c r="AH441" s="109" t="n"/>
      <c r="AL441" s="109" t="n"/>
      <c r="AM441" s="109" t="n"/>
      <c r="AN441" s="109" t="n"/>
    </row>
    <row r="442" ht="15.75" customHeight="1" s="216">
      <c r="D442" s="109" t="n"/>
      <c r="E442" s="109" t="n"/>
      <c r="J442" s="109" t="n"/>
      <c r="K442" s="109" t="n"/>
      <c r="L442" s="109" t="n"/>
      <c r="N442" s="109" t="n"/>
      <c r="O442" s="109" t="n"/>
      <c r="P442" s="109" t="n"/>
      <c r="T442" s="109" t="n"/>
      <c r="U442" s="109" t="n"/>
      <c r="V442" s="109" t="n"/>
      <c r="Z442" s="109" t="n"/>
      <c r="AA442" s="109" t="n"/>
      <c r="AB442" s="109" t="n"/>
      <c r="AF442" s="109" t="n"/>
      <c r="AG442" s="109" t="n"/>
      <c r="AH442" s="109" t="n"/>
      <c r="AL442" s="109" t="n"/>
      <c r="AM442" s="109" t="n"/>
      <c r="AN442" s="109" t="n"/>
    </row>
    <row r="443" ht="15.75" customHeight="1" s="216">
      <c r="D443" s="109" t="n"/>
      <c r="E443" s="109" t="n"/>
      <c r="J443" s="109" t="n"/>
      <c r="K443" s="109" t="n"/>
      <c r="L443" s="109" t="n"/>
      <c r="N443" s="109" t="n"/>
      <c r="O443" s="109" t="n"/>
      <c r="P443" s="109" t="n"/>
      <c r="T443" s="109" t="n"/>
      <c r="U443" s="109" t="n"/>
      <c r="V443" s="109" t="n"/>
      <c r="Z443" s="109" t="n"/>
      <c r="AA443" s="109" t="n"/>
      <c r="AB443" s="109" t="n"/>
      <c r="AF443" s="109" t="n"/>
      <c r="AG443" s="109" t="n"/>
      <c r="AH443" s="109" t="n"/>
      <c r="AL443" s="109" t="n"/>
      <c r="AM443" s="109" t="n"/>
      <c r="AN443" s="109" t="n"/>
    </row>
    <row r="444" ht="15.75" customHeight="1" s="216">
      <c r="D444" s="109" t="n"/>
      <c r="E444" s="109" t="n"/>
      <c r="J444" s="109" t="n"/>
      <c r="K444" s="109" t="n"/>
      <c r="L444" s="109" t="n"/>
      <c r="N444" s="109" t="n"/>
      <c r="O444" s="109" t="n"/>
      <c r="P444" s="109" t="n"/>
      <c r="T444" s="109" t="n"/>
      <c r="U444" s="109" t="n"/>
      <c r="V444" s="109" t="n"/>
      <c r="Z444" s="109" t="n"/>
      <c r="AA444" s="109" t="n"/>
      <c r="AB444" s="109" t="n"/>
      <c r="AF444" s="109" t="n"/>
      <c r="AG444" s="109" t="n"/>
      <c r="AH444" s="109" t="n"/>
      <c r="AL444" s="109" t="n"/>
      <c r="AM444" s="109" t="n"/>
      <c r="AN444" s="109" t="n"/>
    </row>
    <row r="445" ht="15.75" customHeight="1" s="216">
      <c r="D445" s="109" t="n"/>
      <c r="E445" s="109" t="n"/>
      <c r="J445" s="109" t="n"/>
      <c r="K445" s="109" t="n"/>
      <c r="L445" s="109" t="n"/>
      <c r="N445" s="109" t="n"/>
      <c r="O445" s="109" t="n"/>
      <c r="P445" s="109" t="n"/>
      <c r="T445" s="109" t="n"/>
      <c r="U445" s="109" t="n"/>
      <c r="V445" s="109" t="n"/>
      <c r="Z445" s="109" t="n"/>
      <c r="AA445" s="109" t="n"/>
      <c r="AB445" s="109" t="n"/>
      <c r="AF445" s="109" t="n"/>
      <c r="AG445" s="109" t="n"/>
      <c r="AH445" s="109" t="n"/>
      <c r="AL445" s="109" t="n"/>
      <c r="AM445" s="109" t="n"/>
      <c r="AN445" s="109" t="n"/>
    </row>
    <row r="446" ht="15.75" customHeight="1" s="216">
      <c r="D446" s="109" t="n"/>
      <c r="E446" s="109" t="n"/>
      <c r="J446" s="109" t="n"/>
      <c r="K446" s="109" t="n"/>
      <c r="L446" s="109" t="n"/>
      <c r="N446" s="109" t="n"/>
      <c r="O446" s="109" t="n"/>
      <c r="P446" s="109" t="n"/>
      <c r="T446" s="109" t="n"/>
      <c r="U446" s="109" t="n"/>
      <c r="V446" s="109" t="n"/>
      <c r="Z446" s="109" t="n"/>
      <c r="AA446" s="109" t="n"/>
      <c r="AB446" s="109" t="n"/>
      <c r="AF446" s="109" t="n"/>
      <c r="AG446" s="109" t="n"/>
      <c r="AH446" s="109" t="n"/>
      <c r="AL446" s="109" t="n"/>
      <c r="AM446" s="109" t="n"/>
      <c r="AN446" s="109" t="n"/>
    </row>
    <row r="447" ht="15.75" customHeight="1" s="216">
      <c r="D447" s="109" t="n"/>
      <c r="E447" s="109" t="n"/>
      <c r="J447" s="109" t="n"/>
      <c r="K447" s="109" t="n"/>
      <c r="L447" s="109" t="n"/>
      <c r="N447" s="109" t="n"/>
      <c r="O447" s="109" t="n"/>
      <c r="P447" s="109" t="n"/>
      <c r="T447" s="109" t="n"/>
      <c r="U447" s="109" t="n"/>
      <c r="V447" s="109" t="n"/>
      <c r="Z447" s="109" t="n"/>
      <c r="AA447" s="109" t="n"/>
      <c r="AB447" s="109" t="n"/>
      <c r="AF447" s="109" t="n"/>
      <c r="AG447" s="109" t="n"/>
      <c r="AH447" s="109" t="n"/>
      <c r="AL447" s="109" t="n"/>
      <c r="AM447" s="109" t="n"/>
      <c r="AN447" s="109" t="n"/>
    </row>
    <row r="448" ht="15.75" customHeight="1" s="216">
      <c r="D448" s="109" t="n"/>
      <c r="E448" s="109" t="n"/>
      <c r="J448" s="109" t="n"/>
      <c r="K448" s="109" t="n"/>
      <c r="L448" s="109" t="n"/>
      <c r="N448" s="109" t="n"/>
      <c r="O448" s="109" t="n"/>
      <c r="P448" s="109" t="n"/>
      <c r="T448" s="109" t="n"/>
      <c r="U448" s="109" t="n"/>
      <c r="V448" s="109" t="n"/>
      <c r="Z448" s="109" t="n"/>
      <c r="AA448" s="109" t="n"/>
      <c r="AB448" s="109" t="n"/>
      <c r="AF448" s="109" t="n"/>
      <c r="AG448" s="109" t="n"/>
      <c r="AH448" s="109" t="n"/>
      <c r="AL448" s="109" t="n"/>
      <c r="AM448" s="109" t="n"/>
      <c r="AN448" s="109" t="n"/>
    </row>
    <row r="449" ht="15.75" customHeight="1" s="216">
      <c r="D449" s="109" t="n"/>
      <c r="E449" s="109" t="n"/>
      <c r="J449" s="109" t="n"/>
      <c r="K449" s="109" t="n"/>
      <c r="L449" s="109" t="n"/>
      <c r="N449" s="109" t="n"/>
      <c r="O449" s="109" t="n"/>
      <c r="P449" s="109" t="n"/>
      <c r="T449" s="109" t="n"/>
      <c r="U449" s="109" t="n"/>
      <c r="V449" s="109" t="n"/>
      <c r="Z449" s="109" t="n"/>
      <c r="AA449" s="109" t="n"/>
      <c r="AB449" s="109" t="n"/>
      <c r="AF449" s="109" t="n"/>
      <c r="AG449" s="109" t="n"/>
      <c r="AH449" s="109" t="n"/>
      <c r="AL449" s="109" t="n"/>
      <c r="AM449" s="109" t="n"/>
      <c r="AN449" s="109" t="n"/>
    </row>
    <row r="450" ht="15.75" customHeight="1" s="216">
      <c r="D450" s="109" t="n"/>
      <c r="E450" s="109" t="n"/>
      <c r="J450" s="109" t="n"/>
      <c r="K450" s="109" t="n"/>
      <c r="L450" s="109" t="n"/>
      <c r="N450" s="109" t="n"/>
      <c r="O450" s="109" t="n"/>
      <c r="P450" s="109" t="n"/>
      <c r="T450" s="109" t="n"/>
      <c r="U450" s="109" t="n"/>
      <c r="V450" s="109" t="n"/>
      <c r="Z450" s="109" t="n"/>
      <c r="AA450" s="109" t="n"/>
      <c r="AB450" s="109" t="n"/>
      <c r="AF450" s="109" t="n"/>
      <c r="AG450" s="109" t="n"/>
      <c r="AH450" s="109" t="n"/>
      <c r="AL450" s="109" t="n"/>
      <c r="AM450" s="109" t="n"/>
      <c r="AN450" s="109" t="n"/>
    </row>
    <row r="451" ht="15.75" customHeight="1" s="216">
      <c r="D451" s="109" t="n"/>
      <c r="E451" s="109" t="n"/>
      <c r="J451" s="109" t="n"/>
      <c r="K451" s="109" t="n"/>
      <c r="L451" s="109" t="n"/>
      <c r="N451" s="109" t="n"/>
      <c r="O451" s="109" t="n"/>
      <c r="P451" s="109" t="n"/>
      <c r="T451" s="109" t="n"/>
      <c r="U451" s="109" t="n"/>
      <c r="V451" s="109" t="n"/>
      <c r="Z451" s="109" t="n"/>
      <c r="AA451" s="109" t="n"/>
      <c r="AB451" s="109" t="n"/>
      <c r="AF451" s="109" t="n"/>
      <c r="AG451" s="109" t="n"/>
      <c r="AH451" s="109" t="n"/>
      <c r="AL451" s="109" t="n"/>
      <c r="AM451" s="109" t="n"/>
      <c r="AN451" s="109" t="n"/>
    </row>
    <row r="452" ht="15.75" customHeight="1" s="216">
      <c r="D452" s="109" t="n"/>
      <c r="E452" s="109" t="n"/>
      <c r="J452" s="109" t="n"/>
      <c r="K452" s="109" t="n"/>
      <c r="L452" s="109" t="n"/>
      <c r="N452" s="109" t="n"/>
      <c r="O452" s="109" t="n"/>
      <c r="P452" s="109" t="n"/>
      <c r="T452" s="109" t="n"/>
      <c r="U452" s="109" t="n"/>
      <c r="V452" s="109" t="n"/>
      <c r="Z452" s="109" t="n"/>
      <c r="AA452" s="109" t="n"/>
      <c r="AB452" s="109" t="n"/>
      <c r="AF452" s="109" t="n"/>
      <c r="AG452" s="109" t="n"/>
      <c r="AH452" s="109" t="n"/>
      <c r="AL452" s="109" t="n"/>
      <c r="AM452" s="109" t="n"/>
      <c r="AN452" s="109" t="n"/>
    </row>
    <row r="453" ht="15.75" customHeight="1" s="216">
      <c r="D453" s="109" t="n"/>
      <c r="E453" s="109" t="n"/>
      <c r="J453" s="109" t="n"/>
      <c r="K453" s="109" t="n"/>
      <c r="L453" s="109" t="n"/>
      <c r="N453" s="109" t="n"/>
      <c r="O453" s="109" t="n"/>
      <c r="P453" s="109" t="n"/>
      <c r="T453" s="109" t="n"/>
      <c r="U453" s="109" t="n"/>
      <c r="V453" s="109" t="n"/>
      <c r="Z453" s="109" t="n"/>
      <c r="AA453" s="109" t="n"/>
      <c r="AB453" s="109" t="n"/>
      <c r="AF453" s="109" t="n"/>
      <c r="AG453" s="109" t="n"/>
      <c r="AH453" s="109" t="n"/>
      <c r="AL453" s="109" t="n"/>
      <c r="AM453" s="109" t="n"/>
      <c r="AN453" s="109" t="n"/>
    </row>
    <row r="454" ht="15.75" customHeight="1" s="216">
      <c r="D454" s="109" t="n"/>
      <c r="E454" s="109" t="n"/>
      <c r="J454" s="109" t="n"/>
      <c r="K454" s="109" t="n"/>
      <c r="L454" s="109" t="n"/>
      <c r="N454" s="109" t="n"/>
      <c r="O454" s="109" t="n"/>
      <c r="P454" s="109" t="n"/>
      <c r="T454" s="109" t="n"/>
      <c r="U454" s="109" t="n"/>
      <c r="V454" s="109" t="n"/>
      <c r="Z454" s="109" t="n"/>
      <c r="AA454" s="109" t="n"/>
      <c r="AB454" s="109" t="n"/>
      <c r="AF454" s="109" t="n"/>
      <c r="AG454" s="109" t="n"/>
      <c r="AH454" s="109" t="n"/>
      <c r="AL454" s="109" t="n"/>
      <c r="AM454" s="109" t="n"/>
      <c r="AN454" s="109" t="n"/>
    </row>
    <row r="455" ht="15.75" customHeight="1" s="216">
      <c r="D455" s="109" t="n"/>
      <c r="E455" s="109" t="n"/>
      <c r="J455" s="109" t="n"/>
      <c r="K455" s="109" t="n"/>
      <c r="L455" s="109" t="n"/>
      <c r="N455" s="109" t="n"/>
      <c r="O455" s="109" t="n"/>
      <c r="P455" s="109" t="n"/>
      <c r="T455" s="109" t="n"/>
      <c r="U455" s="109" t="n"/>
      <c r="V455" s="109" t="n"/>
      <c r="Z455" s="109" t="n"/>
      <c r="AA455" s="109" t="n"/>
      <c r="AB455" s="109" t="n"/>
      <c r="AF455" s="109" t="n"/>
      <c r="AG455" s="109" t="n"/>
      <c r="AH455" s="109" t="n"/>
      <c r="AL455" s="109" t="n"/>
      <c r="AM455" s="109" t="n"/>
      <c r="AN455" s="109" t="n"/>
    </row>
    <row r="456" ht="15.75" customHeight="1" s="216">
      <c r="D456" s="109" t="n"/>
      <c r="E456" s="109" t="n"/>
      <c r="J456" s="109" t="n"/>
      <c r="K456" s="109" t="n"/>
      <c r="L456" s="109" t="n"/>
      <c r="N456" s="109" t="n"/>
      <c r="O456" s="109" t="n"/>
      <c r="P456" s="109" t="n"/>
      <c r="T456" s="109" t="n"/>
      <c r="U456" s="109" t="n"/>
      <c r="V456" s="109" t="n"/>
      <c r="Z456" s="109" t="n"/>
      <c r="AA456" s="109" t="n"/>
      <c r="AB456" s="109" t="n"/>
      <c r="AF456" s="109" t="n"/>
      <c r="AG456" s="109" t="n"/>
      <c r="AH456" s="109" t="n"/>
      <c r="AL456" s="109" t="n"/>
      <c r="AM456" s="109" t="n"/>
      <c r="AN456" s="109" t="n"/>
    </row>
    <row r="457" ht="15.75" customHeight="1" s="216">
      <c r="D457" s="109" t="n"/>
      <c r="E457" s="109" t="n"/>
      <c r="J457" s="109" t="n"/>
      <c r="K457" s="109" t="n"/>
      <c r="L457" s="109" t="n"/>
      <c r="N457" s="109" t="n"/>
      <c r="O457" s="109" t="n"/>
      <c r="P457" s="109" t="n"/>
      <c r="T457" s="109" t="n"/>
      <c r="U457" s="109" t="n"/>
      <c r="V457" s="109" t="n"/>
      <c r="Z457" s="109" t="n"/>
      <c r="AA457" s="109" t="n"/>
      <c r="AB457" s="109" t="n"/>
      <c r="AF457" s="109" t="n"/>
      <c r="AG457" s="109" t="n"/>
      <c r="AH457" s="109" t="n"/>
      <c r="AL457" s="109" t="n"/>
      <c r="AM457" s="109" t="n"/>
      <c r="AN457" s="109" t="n"/>
    </row>
    <row r="458" ht="15.75" customHeight="1" s="216">
      <c r="D458" s="109" t="n"/>
      <c r="E458" s="109" t="n"/>
      <c r="J458" s="109" t="n"/>
      <c r="K458" s="109" t="n"/>
      <c r="L458" s="109" t="n"/>
      <c r="N458" s="109" t="n"/>
      <c r="O458" s="109" t="n"/>
      <c r="P458" s="109" t="n"/>
      <c r="T458" s="109" t="n"/>
      <c r="U458" s="109" t="n"/>
      <c r="V458" s="109" t="n"/>
      <c r="Z458" s="109" t="n"/>
      <c r="AA458" s="109" t="n"/>
      <c r="AB458" s="109" t="n"/>
      <c r="AF458" s="109" t="n"/>
      <c r="AG458" s="109" t="n"/>
      <c r="AH458" s="109" t="n"/>
      <c r="AL458" s="109" t="n"/>
      <c r="AM458" s="109" t="n"/>
      <c r="AN458" s="109" t="n"/>
    </row>
    <row r="459" ht="15.75" customHeight="1" s="216">
      <c r="D459" s="109" t="n"/>
      <c r="E459" s="109" t="n"/>
      <c r="J459" s="109" t="n"/>
      <c r="K459" s="109" t="n"/>
      <c r="L459" s="109" t="n"/>
      <c r="N459" s="109" t="n"/>
      <c r="O459" s="109" t="n"/>
      <c r="P459" s="109" t="n"/>
      <c r="T459" s="109" t="n"/>
      <c r="U459" s="109" t="n"/>
      <c r="V459" s="109" t="n"/>
      <c r="Z459" s="109" t="n"/>
      <c r="AA459" s="109" t="n"/>
      <c r="AB459" s="109" t="n"/>
      <c r="AF459" s="109" t="n"/>
      <c r="AG459" s="109" t="n"/>
      <c r="AH459" s="109" t="n"/>
      <c r="AL459" s="109" t="n"/>
      <c r="AM459" s="109" t="n"/>
      <c r="AN459" s="109" t="n"/>
    </row>
    <row r="460" ht="15.75" customHeight="1" s="216">
      <c r="D460" s="109" t="n"/>
      <c r="E460" s="109" t="n"/>
      <c r="J460" s="109" t="n"/>
      <c r="K460" s="109" t="n"/>
      <c r="L460" s="109" t="n"/>
      <c r="N460" s="109" t="n"/>
      <c r="O460" s="109" t="n"/>
      <c r="P460" s="109" t="n"/>
      <c r="T460" s="109" t="n"/>
      <c r="U460" s="109" t="n"/>
      <c r="V460" s="109" t="n"/>
      <c r="Z460" s="109" t="n"/>
      <c r="AA460" s="109" t="n"/>
      <c r="AB460" s="109" t="n"/>
      <c r="AF460" s="109" t="n"/>
      <c r="AG460" s="109" t="n"/>
      <c r="AH460" s="109" t="n"/>
      <c r="AL460" s="109" t="n"/>
      <c r="AM460" s="109" t="n"/>
      <c r="AN460" s="109" t="n"/>
    </row>
    <row r="461" ht="15.75" customHeight="1" s="216">
      <c r="D461" s="109" t="n"/>
      <c r="E461" s="109" t="n"/>
      <c r="J461" s="109" t="n"/>
      <c r="K461" s="109" t="n"/>
      <c r="L461" s="109" t="n"/>
      <c r="N461" s="109" t="n"/>
      <c r="O461" s="109" t="n"/>
      <c r="P461" s="109" t="n"/>
      <c r="T461" s="109" t="n"/>
      <c r="U461" s="109" t="n"/>
      <c r="V461" s="109" t="n"/>
      <c r="Z461" s="109" t="n"/>
      <c r="AA461" s="109" t="n"/>
      <c r="AB461" s="109" t="n"/>
      <c r="AF461" s="109" t="n"/>
      <c r="AG461" s="109" t="n"/>
      <c r="AH461" s="109" t="n"/>
      <c r="AL461" s="109" t="n"/>
      <c r="AM461" s="109" t="n"/>
      <c r="AN461" s="109" t="n"/>
    </row>
    <row r="462" ht="15.75" customHeight="1" s="216">
      <c r="D462" s="109" t="n"/>
      <c r="E462" s="109" t="n"/>
      <c r="J462" s="109" t="n"/>
      <c r="K462" s="109" t="n"/>
      <c r="L462" s="109" t="n"/>
      <c r="N462" s="109" t="n"/>
      <c r="O462" s="109" t="n"/>
      <c r="P462" s="109" t="n"/>
      <c r="T462" s="109" t="n"/>
      <c r="U462" s="109" t="n"/>
      <c r="V462" s="109" t="n"/>
      <c r="Z462" s="109" t="n"/>
      <c r="AA462" s="109" t="n"/>
      <c r="AB462" s="109" t="n"/>
      <c r="AF462" s="109" t="n"/>
      <c r="AG462" s="109" t="n"/>
      <c r="AH462" s="109" t="n"/>
      <c r="AL462" s="109" t="n"/>
      <c r="AM462" s="109" t="n"/>
      <c r="AN462" s="109" t="n"/>
    </row>
    <row r="463" ht="15.75" customHeight="1" s="216">
      <c r="D463" s="109" t="n"/>
      <c r="E463" s="109" t="n"/>
      <c r="J463" s="109" t="n"/>
      <c r="K463" s="109" t="n"/>
      <c r="L463" s="109" t="n"/>
      <c r="N463" s="109" t="n"/>
      <c r="O463" s="109" t="n"/>
      <c r="P463" s="109" t="n"/>
      <c r="T463" s="109" t="n"/>
      <c r="U463" s="109" t="n"/>
      <c r="V463" s="109" t="n"/>
      <c r="Z463" s="109" t="n"/>
      <c r="AA463" s="109" t="n"/>
      <c r="AB463" s="109" t="n"/>
      <c r="AF463" s="109" t="n"/>
      <c r="AG463" s="109" t="n"/>
      <c r="AH463" s="109" t="n"/>
      <c r="AL463" s="109" t="n"/>
      <c r="AM463" s="109" t="n"/>
      <c r="AN463" s="109" t="n"/>
    </row>
    <row r="464" ht="15.75" customHeight="1" s="216">
      <c r="D464" s="109" t="n"/>
      <c r="E464" s="109" t="n"/>
      <c r="J464" s="109" t="n"/>
      <c r="K464" s="109" t="n"/>
      <c r="L464" s="109" t="n"/>
      <c r="N464" s="109" t="n"/>
      <c r="O464" s="109" t="n"/>
      <c r="P464" s="109" t="n"/>
      <c r="T464" s="109" t="n"/>
      <c r="U464" s="109" t="n"/>
      <c r="V464" s="109" t="n"/>
      <c r="Z464" s="109" t="n"/>
      <c r="AA464" s="109" t="n"/>
      <c r="AB464" s="109" t="n"/>
      <c r="AF464" s="109" t="n"/>
      <c r="AG464" s="109" t="n"/>
      <c r="AH464" s="109" t="n"/>
      <c r="AL464" s="109" t="n"/>
      <c r="AM464" s="109" t="n"/>
      <c r="AN464" s="109" t="n"/>
    </row>
    <row r="465" ht="15.75" customHeight="1" s="216">
      <c r="D465" s="109" t="n"/>
      <c r="E465" s="109" t="n"/>
      <c r="J465" s="109" t="n"/>
      <c r="K465" s="109" t="n"/>
      <c r="L465" s="109" t="n"/>
      <c r="N465" s="109" t="n"/>
      <c r="O465" s="109" t="n"/>
      <c r="P465" s="109" t="n"/>
      <c r="T465" s="109" t="n"/>
      <c r="U465" s="109" t="n"/>
      <c r="V465" s="109" t="n"/>
      <c r="Z465" s="109" t="n"/>
      <c r="AA465" s="109" t="n"/>
      <c r="AB465" s="109" t="n"/>
      <c r="AF465" s="109" t="n"/>
      <c r="AG465" s="109" t="n"/>
      <c r="AH465" s="109" t="n"/>
      <c r="AL465" s="109" t="n"/>
      <c r="AM465" s="109" t="n"/>
      <c r="AN465" s="109" t="n"/>
    </row>
    <row r="466" ht="15.75" customHeight="1" s="216">
      <c r="D466" s="109" t="n"/>
      <c r="E466" s="109" t="n"/>
      <c r="J466" s="109" t="n"/>
      <c r="K466" s="109" t="n"/>
      <c r="L466" s="109" t="n"/>
      <c r="N466" s="109" t="n"/>
      <c r="O466" s="109" t="n"/>
      <c r="P466" s="109" t="n"/>
      <c r="T466" s="109" t="n"/>
      <c r="U466" s="109" t="n"/>
      <c r="V466" s="109" t="n"/>
      <c r="Z466" s="109" t="n"/>
      <c r="AA466" s="109" t="n"/>
      <c r="AB466" s="109" t="n"/>
      <c r="AF466" s="109" t="n"/>
      <c r="AG466" s="109" t="n"/>
      <c r="AH466" s="109" t="n"/>
      <c r="AL466" s="109" t="n"/>
      <c r="AM466" s="109" t="n"/>
      <c r="AN466" s="109" t="n"/>
    </row>
    <row r="467" ht="15.75" customHeight="1" s="216">
      <c r="D467" s="109" t="n"/>
      <c r="E467" s="109" t="n"/>
      <c r="J467" s="109" t="n"/>
      <c r="K467" s="109" t="n"/>
      <c r="L467" s="109" t="n"/>
      <c r="N467" s="109" t="n"/>
      <c r="O467" s="109" t="n"/>
      <c r="P467" s="109" t="n"/>
      <c r="T467" s="109" t="n"/>
      <c r="U467" s="109" t="n"/>
      <c r="V467" s="109" t="n"/>
      <c r="Z467" s="109" t="n"/>
      <c r="AA467" s="109" t="n"/>
      <c r="AB467" s="109" t="n"/>
      <c r="AF467" s="109" t="n"/>
      <c r="AG467" s="109" t="n"/>
      <c r="AH467" s="109" t="n"/>
      <c r="AL467" s="109" t="n"/>
      <c r="AM467" s="109" t="n"/>
      <c r="AN467" s="109" t="n"/>
    </row>
    <row r="468" ht="15.75" customHeight="1" s="216">
      <c r="D468" s="109" t="n"/>
      <c r="E468" s="109" t="n"/>
      <c r="J468" s="109" t="n"/>
      <c r="K468" s="109" t="n"/>
      <c r="L468" s="109" t="n"/>
      <c r="N468" s="109" t="n"/>
      <c r="O468" s="109" t="n"/>
      <c r="P468" s="109" t="n"/>
      <c r="T468" s="109" t="n"/>
      <c r="U468" s="109" t="n"/>
      <c r="V468" s="109" t="n"/>
      <c r="Z468" s="109" t="n"/>
      <c r="AA468" s="109" t="n"/>
      <c r="AB468" s="109" t="n"/>
      <c r="AF468" s="109" t="n"/>
      <c r="AG468" s="109" t="n"/>
      <c r="AH468" s="109" t="n"/>
      <c r="AL468" s="109" t="n"/>
      <c r="AM468" s="109" t="n"/>
      <c r="AN468" s="109" t="n"/>
    </row>
    <row r="469" ht="15.75" customHeight="1" s="216">
      <c r="D469" s="109" t="n"/>
      <c r="E469" s="109" t="n"/>
      <c r="J469" s="109" t="n"/>
      <c r="K469" s="109" t="n"/>
      <c r="L469" s="109" t="n"/>
      <c r="N469" s="109" t="n"/>
      <c r="O469" s="109" t="n"/>
      <c r="P469" s="109" t="n"/>
      <c r="T469" s="109" t="n"/>
      <c r="U469" s="109" t="n"/>
      <c r="V469" s="109" t="n"/>
      <c r="Z469" s="109" t="n"/>
      <c r="AA469" s="109" t="n"/>
      <c r="AB469" s="109" t="n"/>
      <c r="AF469" s="109" t="n"/>
      <c r="AG469" s="109" t="n"/>
      <c r="AH469" s="109" t="n"/>
      <c r="AL469" s="109" t="n"/>
      <c r="AM469" s="109" t="n"/>
      <c r="AN469" s="109" t="n"/>
    </row>
    <row r="470" ht="15.75" customHeight="1" s="216">
      <c r="D470" s="109" t="n"/>
      <c r="E470" s="109" t="n"/>
      <c r="J470" s="109" t="n"/>
      <c r="K470" s="109" t="n"/>
      <c r="L470" s="109" t="n"/>
      <c r="N470" s="109" t="n"/>
      <c r="O470" s="109" t="n"/>
      <c r="P470" s="109" t="n"/>
      <c r="T470" s="109" t="n"/>
      <c r="U470" s="109" t="n"/>
      <c r="V470" s="109" t="n"/>
      <c r="Z470" s="109" t="n"/>
      <c r="AA470" s="109" t="n"/>
      <c r="AB470" s="109" t="n"/>
      <c r="AF470" s="109" t="n"/>
      <c r="AG470" s="109" t="n"/>
      <c r="AH470" s="109" t="n"/>
      <c r="AL470" s="109" t="n"/>
      <c r="AM470" s="109" t="n"/>
      <c r="AN470" s="109" t="n"/>
    </row>
    <row r="471" ht="15.75" customHeight="1" s="216">
      <c r="D471" s="109" t="n"/>
      <c r="E471" s="109" t="n"/>
      <c r="J471" s="109" t="n"/>
      <c r="K471" s="109" t="n"/>
      <c r="L471" s="109" t="n"/>
      <c r="N471" s="109" t="n"/>
      <c r="O471" s="109" t="n"/>
      <c r="P471" s="109" t="n"/>
      <c r="T471" s="109" t="n"/>
      <c r="U471" s="109" t="n"/>
      <c r="V471" s="109" t="n"/>
      <c r="Z471" s="109" t="n"/>
      <c r="AA471" s="109" t="n"/>
      <c r="AB471" s="109" t="n"/>
      <c r="AF471" s="109" t="n"/>
      <c r="AG471" s="109" t="n"/>
      <c r="AH471" s="109" t="n"/>
      <c r="AL471" s="109" t="n"/>
      <c r="AM471" s="109" t="n"/>
      <c r="AN471" s="109" t="n"/>
    </row>
    <row r="472" ht="15.75" customHeight="1" s="216">
      <c r="D472" s="109" t="n"/>
      <c r="E472" s="109" t="n"/>
      <c r="J472" s="109" t="n"/>
      <c r="K472" s="109" t="n"/>
      <c r="L472" s="109" t="n"/>
      <c r="N472" s="109" t="n"/>
      <c r="O472" s="109" t="n"/>
      <c r="P472" s="109" t="n"/>
      <c r="T472" s="109" t="n"/>
      <c r="U472" s="109" t="n"/>
      <c r="V472" s="109" t="n"/>
      <c r="Z472" s="109" t="n"/>
      <c r="AA472" s="109" t="n"/>
      <c r="AB472" s="109" t="n"/>
      <c r="AF472" s="109" t="n"/>
      <c r="AG472" s="109" t="n"/>
      <c r="AH472" s="109" t="n"/>
      <c r="AL472" s="109" t="n"/>
      <c r="AM472" s="109" t="n"/>
      <c r="AN472" s="109" t="n"/>
    </row>
    <row r="473" ht="15.75" customHeight="1" s="216">
      <c r="D473" s="109" t="n"/>
      <c r="E473" s="109" t="n"/>
      <c r="J473" s="109" t="n"/>
      <c r="K473" s="109" t="n"/>
      <c r="L473" s="109" t="n"/>
      <c r="N473" s="109" t="n"/>
      <c r="O473" s="109" t="n"/>
      <c r="P473" s="109" t="n"/>
      <c r="T473" s="109" t="n"/>
      <c r="U473" s="109" t="n"/>
      <c r="V473" s="109" t="n"/>
      <c r="Z473" s="109" t="n"/>
      <c r="AA473" s="109" t="n"/>
      <c r="AB473" s="109" t="n"/>
      <c r="AF473" s="109" t="n"/>
      <c r="AG473" s="109" t="n"/>
      <c r="AH473" s="109" t="n"/>
      <c r="AL473" s="109" t="n"/>
      <c r="AM473" s="109" t="n"/>
      <c r="AN473" s="109" t="n"/>
    </row>
    <row r="474" ht="15.75" customHeight="1" s="216">
      <c r="D474" s="109" t="n"/>
      <c r="E474" s="109" t="n"/>
      <c r="J474" s="109" t="n"/>
      <c r="K474" s="109" t="n"/>
      <c r="L474" s="109" t="n"/>
      <c r="N474" s="109" t="n"/>
      <c r="O474" s="109" t="n"/>
      <c r="P474" s="109" t="n"/>
      <c r="T474" s="109" t="n"/>
      <c r="U474" s="109" t="n"/>
      <c r="V474" s="109" t="n"/>
      <c r="Z474" s="109" t="n"/>
      <c r="AA474" s="109" t="n"/>
      <c r="AB474" s="109" t="n"/>
      <c r="AF474" s="109" t="n"/>
      <c r="AG474" s="109" t="n"/>
      <c r="AH474" s="109" t="n"/>
      <c r="AL474" s="109" t="n"/>
      <c r="AM474" s="109" t="n"/>
      <c r="AN474" s="109" t="n"/>
    </row>
    <row r="475" ht="15.75" customHeight="1" s="216">
      <c r="D475" s="109" t="n"/>
      <c r="E475" s="109" t="n"/>
      <c r="J475" s="109" t="n"/>
      <c r="K475" s="109" t="n"/>
      <c r="L475" s="109" t="n"/>
      <c r="N475" s="109" t="n"/>
      <c r="O475" s="109" t="n"/>
      <c r="P475" s="109" t="n"/>
      <c r="T475" s="109" t="n"/>
      <c r="U475" s="109" t="n"/>
      <c r="V475" s="109" t="n"/>
      <c r="Z475" s="109" t="n"/>
      <c r="AA475" s="109" t="n"/>
      <c r="AB475" s="109" t="n"/>
      <c r="AF475" s="109" t="n"/>
      <c r="AG475" s="109" t="n"/>
      <c r="AH475" s="109" t="n"/>
      <c r="AL475" s="109" t="n"/>
      <c r="AM475" s="109" t="n"/>
      <c r="AN475" s="109" t="n"/>
    </row>
    <row r="476" ht="15.75" customHeight="1" s="216">
      <c r="D476" s="109" t="n"/>
      <c r="E476" s="109" t="n"/>
      <c r="J476" s="109" t="n"/>
      <c r="K476" s="109" t="n"/>
      <c r="L476" s="109" t="n"/>
      <c r="N476" s="109" t="n"/>
      <c r="O476" s="109" t="n"/>
      <c r="P476" s="109" t="n"/>
      <c r="T476" s="109" t="n"/>
      <c r="U476" s="109" t="n"/>
      <c r="V476" s="109" t="n"/>
      <c r="Z476" s="109" t="n"/>
      <c r="AA476" s="109" t="n"/>
      <c r="AB476" s="109" t="n"/>
      <c r="AF476" s="109" t="n"/>
      <c r="AG476" s="109" t="n"/>
      <c r="AH476" s="109" t="n"/>
      <c r="AL476" s="109" t="n"/>
      <c r="AM476" s="109" t="n"/>
      <c r="AN476" s="109" t="n"/>
    </row>
    <row r="477" ht="15.75" customHeight="1" s="216">
      <c r="D477" s="109" t="n"/>
      <c r="E477" s="109" t="n"/>
      <c r="J477" s="109" t="n"/>
      <c r="K477" s="109" t="n"/>
      <c r="L477" s="109" t="n"/>
      <c r="N477" s="109" t="n"/>
      <c r="O477" s="109" t="n"/>
      <c r="P477" s="109" t="n"/>
      <c r="T477" s="109" t="n"/>
      <c r="U477" s="109" t="n"/>
      <c r="V477" s="109" t="n"/>
      <c r="Z477" s="109" t="n"/>
      <c r="AA477" s="109" t="n"/>
      <c r="AB477" s="109" t="n"/>
      <c r="AF477" s="109" t="n"/>
      <c r="AG477" s="109" t="n"/>
      <c r="AH477" s="109" t="n"/>
      <c r="AL477" s="109" t="n"/>
      <c r="AM477" s="109" t="n"/>
      <c r="AN477" s="109" t="n"/>
    </row>
    <row r="478" ht="15.75" customHeight="1" s="216">
      <c r="D478" s="109" t="n"/>
      <c r="E478" s="109" t="n"/>
      <c r="J478" s="109" t="n"/>
      <c r="K478" s="109" t="n"/>
      <c r="L478" s="109" t="n"/>
      <c r="N478" s="109" t="n"/>
      <c r="O478" s="109" t="n"/>
      <c r="P478" s="109" t="n"/>
      <c r="T478" s="109" t="n"/>
      <c r="U478" s="109" t="n"/>
      <c r="V478" s="109" t="n"/>
      <c r="Z478" s="109" t="n"/>
      <c r="AA478" s="109" t="n"/>
      <c r="AB478" s="109" t="n"/>
      <c r="AF478" s="109" t="n"/>
      <c r="AG478" s="109" t="n"/>
      <c r="AH478" s="109" t="n"/>
      <c r="AL478" s="109" t="n"/>
      <c r="AM478" s="109" t="n"/>
      <c r="AN478" s="109" t="n"/>
    </row>
    <row r="479" ht="15.75" customHeight="1" s="216">
      <c r="D479" s="109" t="n"/>
      <c r="E479" s="109" t="n"/>
      <c r="J479" s="109" t="n"/>
      <c r="K479" s="109" t="n"/>
      <c r="L479" s="109" t="n"/>
      <c r="N479" s="109" t="n"/>
      <c r="O479" s="109" t="n"/>
      <c r="P479" s="109" t="n"/>
      <c r="T479" s="109" t="n"/>
      <c r="U479" s="109" t="n"/>
      <c r="V479" s="109" t="n"/>
      <c r="Z479" s="109" t="n"/>
      <c r="AA479" s="109" t="n"/>
      <c r="AB479" s="109" t="n"/>
      <c r="AF479" s="109" t="n"/>
      <c r="AG479" s="109" t="n"/>
      <c r="AH479" s="109" t="n"/>
      <c r="AL479" s="109" t="n"/>
      <c r="AM479" s="109" t="n"/>
      <c r="AN479" s="109" t="n"/>
    </row>
    <row r="480" ht="15.75" customHeight="1" s="216">
      <c r="D480" s="109" t="n"/>
      <c r="E480" s="109" t="n"/>
      <c r="J480" s="109" t="n"/>
      <c r="K480" s="109" t="n"/>
      <c r="L480" s="109" t="n"/>
      <c r="N480" s="109" t="n"/>
      <c r="O480" s="109" t="n"/>
      <c r="P480" s="109" t="n"/>
      <c r="T480" s="109" t="n"/>
      <c r="U480" s="109" t="n"/>
      <c r="V480" s="109" t="n"/>
      <c r="Z480" s="109" t="n"/>
      <c r="AA480" s="109" t="n"/>
      <c r="AB480" s="109" t="n"/>
      <c r="AF480" s="109" t="n"/>
      <c r="AG480" s="109" t="n"/>
      <c r="AH480" s="109" t="n"/>
      <c r="AL480" s="109" t="n"/>
      <c r="AM480" s="109" t="n"/>
      <c r="AN480" s="109" t="n"/>
    </row>
    <row r="481" ht="15.75" customHeight="1" s="216">
      <c r="D481" s="109" t="n"/>
      <c r="E481" s="109" t="n"/>
      <c r="J481" s="109" t="n"/>
      <c r="K481" s="109" t="n"/>
      <c r="L481" s="109" t="n"/>
      <c r="N481" s="109" t="n"/>
      <c r="O481" s="109" t="n"/>
      <c r="P481" s="109" t="n"/>
      <c r="T481" s="109" t="n"/>
      <c r="U481" s="109" t="n"/>
      <c r="V481" s="109" t="n"/>
      <c r="Z481" s="109" t="n"/>
      <c r="AA481" s="109" t="n"/>
      <c r="AB481" s="109" t="n"/>
      <c r="AF481" s="109" t="n"/>
      <c r="AG481" s="109" t="n"/>
      <c r="AH481" s="109" t="n"/>
      <c r="AL481" s="109" t="n"/>
      <c r="AM481" s="109" t="n"/>
      <c r="AN481" s="109" t="n"/>
    </row>
    <row r="482" ht="15.75" customHeight="1" s="216">
      <c r="D482" s="109" t="n"/>
      <c r="E482" s="109" t="n"/>
      <c r="J482" s="109" t="n"/>
      <c r="K482" s="109" t="n"/>
      <c r="L482" s="109" t="n"/>
      <c r="N482" s="109" t="n"/>
      <c r="O482" s="109" t="n"/>
      <c r="P482" s="109" t="n"/>
      <c r="T482" s="109" t="n"/>
      <c r="U482" s="109" t="n"/>
      <c r="V482" s="109" t="n"/>
      <c r="Z482" s="109" t="n"/>
      <c r="AA482" s="109" t="n"/>
      <c r="AB482" s="109" t="n"/>
      <c r="AF482" s="109" t="n"/>
      <c r="AG482" s="109" t="n"/>
      <c r="AH482" s="109" t="n"/>
      <c r="AL482" s="109" t="n"/>
      <c r="AM482" s="109" t="n"/>
      <c r="AN482" s="109" t="n"/>
    </row>
    <row r="483" ht="15.75" customHeight="1" s="216">
      <c r="D483" s="109" t="n"/>
      <c r="E483" s="109" t="n"/>
      <c r="J483" s="109" t="n"/>
      <c r="K483" s="109" t="n"/>
      <c r="L483" s="109" t="n"/>
      <c r="N483" s="109" t="n"/>
      <c r="O483" s="109" t="n"/>
      <c r="P483" s="109" t="n"/>
      <c r="T483" s="109" t="n"/>
      <c r="U483" s="109" t="n"/>
      <c r="V483" s="109" t="n"/>
      <c r="Z483" s="109" t="n"/>
      <c r="AA483" s="109" t="n"/>
      <c r="AB483" s="109" t="n"/>
      <c r="AF483" s="109" t="n"/>
      <c r="AG483" s="109" t="n"/>
      <c r="AH483" s="109" t="n"/>
      <c r="AL483" s="109" t="n"/>
      <c r="AM483" s="109" t="n"/>
      <c r="AN483" s="109" t="n"/>
    </row>
    <row r="484" ht="15.75" customHeight="1" s="216">
      <c r="D484" s="109" t="n"/>
      <c r="E484" s="109" t="n"/>
      <c r="J484" s="109" t="n"/>
      <c r="K484" s="109" t="n"/>
      <c r="L484" s="109" t="n"/>
      <c r="N484" s="109" t="n"/>
      <c r="O484" s="109" t="n"/>
      <c r="P484" s="109" t="n"/>
      <c r="T484" s="109" t="n"/>
      <c r="U484" s="109" t="n"/>
      <c r="V484" s="109" t="n"/>
      <c r="Z484" s="109" t="n"/>
      <c r="AA484" s="109" t="n"/>
      <c r="AB484" s="109" t="n"/>
      <c r="AF484" s="109" t="n"/>
      <c r="AG484" s="109" t="n"/>
      <c r="AH484" s="109" t="n"/>
      <c r="AL484" s="109" t="n"/>
      <c r="AM484" s="109" t="n"/>
      <c r="AN484" s="109" t="n"/>
    </row>
    <row r="485" ht="15.75" customHeight="1" s="216">
      <c r="D485" s="109" t="n"/>
      <c r="E485" s="109" t="n"/>
      <c r="J485" s="109" t="n"/>
      <c r="K485" s="109" t="n"/>
      <c r="L485" s="109" t="n"/>
      <c r="N485" s="109" t="n"/>
      <c r="O485" s="109" t="n"/>
      <c r="P485" s="109" t="n"/>
      <c r="T485" s="109" t="n"/>
      <c r="U485" s="109" t="n"/>
      <c r="V485" s="109" t="n"/>
      <c r="Z485" s="109" t="n"/>
      <c r="AA485" s="109" t="n"/>
      <c r="AB485" s="109" t="n"/>
      <c r="AF485" s="109" t="n"/>
      <c r="AG485" s="109" t="n"/>
      <c r="AH485" s="109" t="n"/>
      <c r="AL485" s="109" t="n"/>
      <c r="AM485" s="109" t="n"/>
      <c r="AN485" s="109" t="n"/>
    </row>
    <row r="486" ht="15.75" customHeight="1" s="216">
      <c r="D486" s="109" t="n"/>
      <c r="E486" s="109" t="n"/>
      <c r="J486" s="109" t="n"/>
      <c r="K486" s="109" t="n"/>
      <c r="L486" s="109" t="n"/>
      <c r="N486" s="109" t="n"/>
      <c r="O486" s="109" t="n"/>
      <c r="P486" s="109" t="n"/>
      <c r="T486" s="109" t="n"/>
      <c r="U486" s="109" t="n"/>
      <c r="V486" s="109" t="n"/>
      <c r="Z486" s="109" t="n"/>
      <c r="AA486" s="109" t="n"/>
      <c r="AB486" s="109" t="n"/>
      <c r="AF486" s="109" t="n"/>
      <c r="AG486" s="109" t="n"/>
      <c r="AH486" s="109" t="n"/>
      <c r="AL486" s="109" t="n"/>
      <c r="AM486" s="109" t="n"/>
      <c r="AN486" s="109" t="n"/>
    </row>
    <row r="487" ht="15.75" customHeight="1" s="216">
      <c r="D487" s="109" t="n"/>
      <c r="E487" s="109" t="n"/>
      <c r="J487" s="109" t="n"/>
      <c r="K487" s="109" t="n"/>
      <c r="L487" s="109" t="n"/>
      <c r="N487" s="109" t="n"/>
      <c r="O487" s="109" t="n"/>
      <c r="P487" s="109" t="n"/>
      <c r="T487" s="109" t="n"/>
      <c r="U487" s="109" t="n"/>
      <c r="V487" s="109" t="n"/>
      <c r="Z487" s="109" t="n"/>
      <c r="AA487" s="109" t="n"/>
      <c r="AB487" s="109" t="n"/>
      <c r="AF487" s="109" t="n"/>
      <c r="AG487" s="109" t="n"/>
      <c r="AH487" s="109" t="n"/>
      <c r="AL487" s="109" t="n"/>
      <c r="AM487" s="109" t="n"/>
      <c r="AN487" s="109" t="n"/>
    </row>
    <row r="488" ht="15.75" customHeight="1" s="216">
      <c r="D488" s="109" t="n"/>
      <c r="E488" s="109" t="n"/>
      <c r="J488" s="109" t="n"/>
      <c r="K488" s="109" t="n"/>
      <c r="L488" s="109" t="n"/>
      <c r="N488" s="109" t="n"/>
      <c r="O488" s="109" t="n"/>
      <c r="P488" s="109" t="n"/>
      <c r="T488" s="109" t="n"/>
      <c r="U488" s="109" t="n"/>
      <c r="V488" s="109" t="n"/>
      <c r="Z488" s="109" t="n"/>
      <c r="AA488" s="109" t="n"/>
      <c r="AB488" s="109" t="n"/>
      <c r="AF488" s="109" t="n"/>
      <c r="AG488" s="109" t="n"/>
      <c r="AH488" s="109" t="n"/>
      <c r="AL488" s="109" t="n"/>
      <c r="AM488" s="109" t="n"/>
      <c r="AN488" s="109" t="n"/>
    </row>
    <row r="489" ht="15.75" customHeight="1" s="216">
      <c r="D489" s="109" t="n"/>
      <c r="E489" s="109" t="n"/>
      <c r="J489" s="109" t="n"/>
      <c r="K489" s="109" t="n"/>
      <c r="L489" s="109" t="n"/>
      <c r="N489" s="109" t="n"/>
      <c r="O489" s="109" t="n"/>
      <c r="P489" s="109" t="n"/>
      <c r="T489" s="109" t="n"/>
      <c r="U489" s="109" t="n"/>
      <c r="V489" s="109" t="n"/>
      <c r="Z489" s="109" t="n"/>
      <c r="AA489" s="109" t="n"/>
      <c r="AB489" s="109" t="n"/>
      <c r="AF489" s="109" t="n"/>
      <c r="AG489" s="109" t="n"/>
      <c r="AH489" s="109" t="n"/>
      <c r="AL489" s="109" t="n"/>
      <c r="AM489" s="109" t="n"/>
      <c r="AN489" s="109" t="n"/>
    </row>
    <row r="490" ht="15.75" customHeight="1" s="216">
      <c r="D490" s="109" t="n"/>
      <c r="E490" s="109" t="n"/>
      <c r="J490" s="109" t="n"/>
      <c r="K490" s="109" t="n"/>
      <c r="L490" s="109" t="n"/>
      <c r="N490" s="109" t="n"/>
      <c r="O490" s="109" t="n"/>
      <c r="P490" s="109" t="n"/>
      <c r="T490" s="109" t="n"/>
      <c r="U490" s="109" t="n"/>
      <c r="V490" s="109" t="n"/>
      <c r="Z490" s="109" t="n"/>
      <c r="AA490" s="109" t="n"/>
      <c r="AB490" s="109" t="n"/>
      <c r="AF490" s="109" t="n"/>
      <c r="AG490" s="109" t="n"/>
      <c r="AH490" s="109" t="n"/>
      <c r="AL490" s="109" t="n"/>
      <c r="AM490" s="109" t="n"/>
      <c r="AN490" s="109" t="n"/>
    </row>
    <row r="491" ht="15.75" customHeight="1" s="216">
      <c r="D491" s="109" t="n"/>
      <c r="E491" s="109" t="n"/>
      <c r="J491" s="109" t="n"/>
      <c r="K491" s="109" t="n"/>
      <c r="L491" s="109" t="n"/>
      <c r="N491" s="109" t="n"/>
      <c r="O491" s="109" t="n"/>
      <c r="P491" s="109" t="n"/>
      <c r="T491" s="109" t="n"/>
      <c r="U491" s="109" t="n"/>
      <c r="V491" s="109" t="n"/>
      <c r="Z491" s="109" t="n"/>
      <c r="AA491" s="109" t="n"/>
      <c r="AB491" s="109" t="n"/>
      <c r="AF491" s="109" t="n"/>
      <c r="AG491" s="109" t="n"/>
      <c r="AH491" s="109" t="n"/>
      <c r="AL491" s="109" t="n"/>
      <c r="AM491" s="109" t="n"/>
      <c r="AN491" s="109" t="n"/>
    </row>
    <row r="492" ht="15.75" customHeight="1" s="216">
      <c r="D492" s="109" t="n"/>
      <c r="E492" s="109" t="n"/>
      <c r="J492" s="109" t="n"/>
      <c r="K492" s="109" t="n"/>
      <c r="L492" s="109" t="n"/>
      <c r="N492" s="109" t="n"/>
      <c r="O492" s="109" t="n"/>
      <c r="P492" s="109" t="n"/>
      <c r="T492" s="109" t="n"/>
      <c r="U492" s="109" t="n"/>
      <c r="V492" s="109" t="n"/>
      <c r="Z492" s="109" t="n"/>
      <c r="AA492" s="109" t="n"/>
      <c r="AB492" s="109" t="n"/>
      <c r="AF492" s="109" t="n"/>
      <c r="AG492" s="109" t="n"/>
      <c r="AH492" s="109" t="n"/>
      <c r="AL492" s="109" t="n"/>
      <c r="AM492" s="109" t="n"/>
      <c r="AN492" s="109" t="n"/>
    </row>
    <row r="493" ht="15.75" customHeight="1" s="216">
      <c r="D493" s="109" t="n"/>
      <c r="E493" s="109" t="n"/>
      <c r="J493" s="109" t="n"/>
      <c r="K493" s="109" t="n"/>
      <c r="L493" s="109" t="n"/>
      <c r="N493" s="109" t="n"/>
      <c r="O493" s="109" t="n"/>
      <c r="P493" s="109" t="n"/>
      <c r="T493" s="109" t="n"/>
      <c r="U493" s="109" t="n"/>
      <c r="V493" s="109" t="n"/>
      <c r="Z493" s="109" t="n"/>
      <c r="AA493" s="109" t="n"/>
      <c r="AB493" s="109" t="n"/>
      <c r="AF493" s="109" t="n"/>
      <c r="AG493" s="109" t="n"/>
      <c r="AH493" s="109" t="n"/>
      <c r="AL493" s="109" t="n"/>
      <c r="AM493" s="109" t="n"/>
      <c r="AN493" s="109" t="n"/>
    </row>
    <row r="494" ht="15.75" customHeight="1" s="216">
      <c r="D494" s="109" t="n"/>
      <c r="E494" s="109" t="n"/>
      <c r="J494" s="109" t="n"/>
      <c r="K494" s="109" t="n"/>
      <c r="L494" s="109" t="n"/>
      <c r="N494" s="109" t="n"/>
      <c r="O494" s="109" t="n"/>
      <c r="P494" s="109" t="n"/>
      <c r="T494" s="109" t="n"/>
      <c r="U494" s="109" t="n"/>
      <c r="V494" s="109" t="n"/>
      <c r="Z494" s="109" t="n"/>
      <c r="AA494" s="109" t="n"/>
      <c r="AB494" s="109" t="n"/>
      <c r="AF494" s="109" t="n"/>
      <c r="AG494" s="109" t="n"/>
      <c r="AH494" s="109" t="n"/>
      <c r="AL494" s="109" t="n"/>
      <c r="AM494" s="109" t="n"/>
      <c r="AN494" s="109" t="n"/>
    </row>
    <row r="495" ht="15.75" customHeight="1" s="216">
      <c r="D495" s="109" t="n"/>
      <c r="E495" s="109" t="n"/>
      <c r="J495" s="109" t="n"/>
      <c r="K495" s="109" t="n"/>
      <c r="L495" s="109" t="n"/>
      <c r="N495" s="109" t="n"/>
      <c r="O495" s="109" t="n"/>
      <c r="P495" s="109" t="n"/>
      <c r="T495" s="109" t="n"/>
      <c r="U495" s="109" t="n"/>
      <c r="V495" s="109" t="n"/>
      <c r="Z495" s="109" t="n"/>
      <c r="AA495" s="109" t="n"/>
      <c r="AB495" s="109" t="n"/>
      <c r="AF495" s="109" t="n"/>
      <c r="AG495" s="109" t="n"/>
      <c r="AH495" s="109" t="n"/>
      <c r="AL495" s="109" t="n"/>
      <c r="AM495" s="109" t="n"/>
      <c r="AN495" s="109" t="n"/>
    </row>
    <row r="496" ht="15.75" customHeight="1" s="216">
      <c r="D496" s="109" t="n"/>
      <c r="E496" s="109" t="n"/>
      <c r="J496" s="109" t="n"/>
      <c r="K496" s="109" t="n"/>
      <c r="L496" s="109" t="n"/>
      <c r="N496" s="109" t="n"/>
      <c r="O496" s="109" t="n"/>
      <c r="P496" s="109" t="n"/>
      <c r="T496" s="109" t="n"/>
      <c r="U496" s="109" t="n"/>
      <c r="V496" s="109" t="n"/>
      <c r="Z496" s="109" t="n"/>
      <c r="AA496" s="109" t="n"/>
      <c r="AB496" s="109" t="n"/>
      <c r="AF496" s="109" t="n"/>
      <c r="AG496" s="109" t="n"/>
      <c r="AH496" s="109" t="n"/>
      <c r="AL496" s="109" t="n"/>
      <c r="AM496" s="109" t="n"/>
      <c r="AN496" s="109" t="n"/>
    </row>
    <row r="497" ht="15.75" customHeight="1" s="216">
      <c r="D497" s="109" t="n"/>
      <c r="E497" s="109" t="n"/>
      <c r="J497" s="109" t="n"/>
      <c r="K497" s="109" t="n"/>
      <c r="L497" s="109" t="n"/>
      <c r="N497" s="109" t="n"/>
      <c r="O497" s="109" t="n"/>
      <c r="P497" s="109" t="n"/>
      <c r="T497" s="109" t="n"/>
      <c r="U497" s="109" t="n"/>
      <c r="V497" s="109" t="n"/>
      <c r="Z497" s="109" t="n"/>
      <c r="AA497" s="109" t="n"/>
      <c r="AB497" s="109" t="n"/>
      <c r="AF497" s="109" t="n"/>
      <c r="AG497" s="109" t="n"/>
      <c r="AH497" s="109" t="n"/>
      <c r="AL497" s="109" t="n"/>
      <c r="AM497" s="109" t="n"/>
      <c r="AN497" s="109" t="n"/>
    </row>
    <row r="498" ht="15.75" customHeight="1" s="216">
      <c r="D498" s="109" t="n"/>
      <c r="E498" s="109" t="n"/>
      <c r="J498" s="109" t="n"/>
      <c r="K498" s="109" t="n"/>
      <c r="L498" s="109" t="n"/>
      <c r="N498" s="109" t="n"/>
      <c r="O498" s="109" t="n"/>
      <c r="P498" s="109" t="n"/>
      <c r="T498" s="109" t="n"/>
      <c r="U498" s="109" t="n"/>
      <c r="V498" s="109" t="n"/>
      <c r="Z498" s="109" t="n"/>
      <c r="AA498" s="109" t="n"/>
      <c r="AB498" s="109" t="n"/>
      <c r="AF498" s="109" t="n"/>
      <c r="AG498" s="109" t="n"/>
      <c r="AH498" s="109" t="n"/>
      <c r="AL498" s="109" t="n"/>
      <c r="AM498" s="109" t="n"/>
      <c r="AN498" s="109" t="n"/>
    </row>
    <row r="499" ht="15.75" customHeight="1" s="216">
      <c r="D499" s="109" t="n"/>
      <c r="E499" s="109" t="n"/>
      <c r="J499" s="109" t="n"/>
      <c r="K499" s="109" t="n"/>
      <c r="L499" s="109" t="n"/>
      <c r="N499" s="109" t="n"/>
      <c r="O499" s="109" t="n"/>
      <c r="P499" s="109" t="n"/>
      <c r="T499" s="109" t="n"/>
      <c r="U499" s="109" t="n"/>
      <c r="V499" s="109" t="n"/>
      <c r="Z499" s="109" t="n"/>
      <c r="AA499" s="109" t="n"/>
      <c r="AB499" s="109" t="n"/>
      <c r="AF499" s="109" t="n"/>
      <c r="AG499" s="109" t="n"/>
      <c r="AH499" s="109" t="n"/>
      <c r="AL499" s="109" t="n"/>
      <c r="AM499" s="109" t="n"/>
      <c r="AN499" s="109" t="n"/>
    </row>
    <row r="500" ht="15.75" customHeight="1" s="216">
      <c r="D500" s="109" t="n"/>
      <c r="E500" s="109" t="n"/>
      <c r="J500" s="109" t="n"/>
      <c r="K500" s="109" t="n"/>
      <c r="L500" s="109" t="n"/>
      <c r="N500" s="109" t="n"/>
      <c r="O500" s="109" t="n"/>
      <c r="P500" s="109" t="n"/>
      <c r="T500" s="109" t="n"/>
      <c r="U500" s="109" t="n"/>
      <c r="V500" s="109" t="n"/>
      <c r="Z500" s="109" t="n"/>
      <c r="AA500" s="109" t="n"/>
      <c r="AB500" s="109" t="n"/>
      <c r="AF500" s="109" t="n"/>
      <c r="AG500" s="109" t="n"/>
      <c r="AH500" s="109" t="n"/>
      <c r="AL500" s="109" t="n"/>
      <c r="AM500" s="109" t="n"/>
      <c r="AN500" s="109" t="n"/>
    </row>
    <row r="501" ht="15.75" customHeight="1" s="216"/>
    <row r="502" ht="15.75" customHeight="1" s="216"/>
    <row r="503" ht="15.75" customHeight="1" s="216"/>
    <row r="504" ht="15.75" customHeight="1" s="216"/>
    <row r="505" ht="15.75" customHeight="1" s="216"/>
    <row r="506" ht="15.75" customHeight="1" s="216"/>
    <row r="507" ht="15.75" customHeight="1" s="216"/>
    <row r="508" ht="15.75" customHeight="1" s="216"/>
    <row r="509" ht="15.75" customHeight="1" s="216"/>
    <row r="510" ht="15.75" customHeight="1" s="216"/>
    <row r="511" ht="15.75" customHeight="1" s="216"/>
    <row r="512" ht="15.75" customHeight="1" s="216"/>
    <row r="513" ht="15.75" customHeight="1" s="216"/>
    <row r="514" ht="15.75" customHeight="1" s="216"/>
    <row r="515" ht="15.75" customHeight="1" s="216"/>
    <row r="516" ht="15.75" customHeight="1" s="216"/>
    <row r="517" ht="15.75" customHeight="1" s="216"/>
    <row r="518" ht="15.75" customHeight="1" s="216"/>
    <row r="519" ht="15.75" customHeight="1" s="216"/>
    <row r="520" ht="15.75" customHeight="1" s="216"/>
    <row r="521" ht="15.75" customHeight="1" s="216"/>
    <row r="522" ht="15.75" customHeight="1" s="216"/>
    <row r="523" ht="15.75" customHeight="1" s="216"/>
    <row r="524" ht="15.75" customHeight="1" s="216"/>
    <row r="525" ht="15.75" customHeight="1" s="216"/>
    <row r="526" ht="15.75" customHeight="1" s="216"/>
    <row r="527" ht="15.75" customHeight="1" s="216"/>
    <row r="528" ht="15.75" customHeight="1" s="216"/>
    <row r="529" ht="15.75" customHeight="1" s="216"/>
    <row r="530" ht="15.75" customHeight="1" s="216"/>
    <row r="531" ht="15.75" customHeight="1" s="216"/>
    <row r="532" ht="15.75" customHeight="1" s="216"/>
    <row r="533" ht="15.75" customHeight="1" s="216"/>
    <row r="534" ht="15.75" customHeight="1" s="216"/>
    <row r="535" ht="15.75" customHeight="1" s="216"/>
    <row r="536" ht="15.75" customHeight="1" s="216"/>
    <row r="537" ht="15.75" customHeight="1" s="216"/>
    <row r="538" ht="15.75" customHeight="1" s="216"/>
    <row r="539" ht="15.75" customHeight="1" s="216"/>
    <row r="540" ht="15.75" customHeight="1" s="216"/>
    <row r="541" ht="15.75" customHeight="1" s="216"/>
    <row r="542" ht="15.75" customHeight="1" s="216"/>
    <row r="543" ht="15.75" customHeight="1" s="216"/>
    <row r="544" ht="15.75" customHeight="1" s="216"/>
    <row r="545" ht="15.75" customHeight="1" s="216"/>
    <row r="546" ht="15.75" customHeight="1" s="216"/>
    <row r="547" ht="15.75" customHeight="1" s="216"/>
    <row r="548" ht="15.75" customHeight="1" s="216"/>
    <row r="549" ht="15.75" customHeight="1" s="216"/>
    <row r="550" ht="15.75" customHeight="1" s="216"/>
    <row r="551" ht="15.75" customHeight="1" s="216"/>
    <row r="552" ht="15.75" customHeight="1" s="216"/>
    <row r="553" ht="15.75" customHeight="1" s="216"/>
    <row r="554" ht="15.75" customHeight="1" s="216"/>
    <row r="555" ht="15.75" customHeight="1" s="216"/>
    <row r="556" ht="15.75" customHeight="1" s="216"/>
    <row r="557" ht="15.75" customHeight="1" s="216"/>
    <row r="558" ht="15.75" customHeight="1" s="216"/>
    <row r="559" ht="15.75" customHeight="1" s="216"/>
    <row r="560" ht="15.75" customHeight="1" s="216"/>
    <row r="561" ht="15.75" customHeight="1" s="216"/>
    <row r="562" ht="15.75" customHeight="1" s="216"/>
    <row r="563" ht="15.75" customHeight="1" s="216"/>
    <row r="564" ht="15.75" customHeight="1" s="216"/>
    <row r="565" ht="15.75" customHeight="1" s="216"/>
    <row r="566" ht="15.75" customHeight="1" s="216"/>
    <row r="567" ht="15.75" customHeight="1" s="216"/>
    <row r="568" ht="15.75" customHeight="1" s="216"/>
    <row r="569" ht="15.75" customHeight="1" s="216"/>
    <row r="570" ht="15.75" customHeight="1" s="216"/>
    <row r="571" ht="15.75" customHeight="1" s="216"/>
    <row r="572" ht="15.75" customHeight="1" s="216"/>
    <row r="573" ht="15.75" customHeight="1" s="216"/>
    <row r="574" ht="15.75" customHeight="1" s="216"/>
    <row r="575" ht="15.75" customHeight="1" s="216"/>
    <row r="576" ht="15.75" customHeight="1" s="216"/>
    <row r="577" ht="15.75" customHeight="1" s="216"/>
    <row r="578" ht="15.75" customHeight="1" s="216"/>
    <row r="579" ht="15.75" customHeight="1" s="216"/>
    <row r="580" ht="15.75" customHeight="1" s="216"/>
    <row r="581" ht="15.75" customHeight="1" s="216"/>
    <row r="582" ht="15.75" customHeight="1" s="216"/>
    <row r="583" ht="15.75" customHeight="1" s="216"/>
    <row r="584" ht="15.75" customHeight="1" s="216"/>
    <row r="585" ht="15.75" customHeight="1" s="216"/>
    <row r="586" ht="15.75" customHeight="1" s="216"/>
    <row r="587" ht="15.75" customHeight="1" s="216"/>
    <row r="588" ht="15.75" customHeight="1" s="216"/>
    <row r="589" ht="15.75" customHeight="1" s="216"/>
    <row r="590" ht="15.75" customHeight="1" s="216"/>
    <row r="591" ht="15.75" customHeight="1" s="216"/>
    <row r="592" ht="15.75" customHeight="1" s="216"/>
    <row r="593" ht="15.75" customHeight="1" s="216"/>
    <row r="594" ht="15.75" customHeight="1" s="216"/>
    <row r="595" ht="15.75" customHeight="1" s="216"/>
    <row r="596" ht="15.75" customHeight="1" s="216"/>
    <row r="597" ht="15.75" customHeight="1" s="216"/>
    <row r="598" ht="15.75" customHeight="1" s="216"/>
    <row r="599" ht="15.75" customHeight="1" s="216"/>
    <row r="600" ht="15.75" customHeight="1" s="216"/>
    <row r="601" ht="15.75" customHeight="1" s="216"/>
    <row r="602" ht="15.75" customHeight="1" s="216"/>
    <row r="603" ht="15.75" customHeight="1" s="216"/>
    <row r="604" ht="15.75" customHeight="1" s="216"/>
    <row r="605" ht="15.75" customHeight="1" s="216"/>
    <row r="606" ht="15.75" customHeight="1" s="216"/>
    <row r="607" ht="15.75" customHeight="1" s="216"/>
    <row r="608" ht="15.75" customHeight="1" s="216"/>
    <row r="609" ht="15.75" customHeight="1" s="216"/>
    <row r="610" ht="15.75" customHeight="1" s="216"/>
    <row r="611" ht="15.75" customHeight="1" s="216"/>
    <row r="612" ht="15.75" customHeight="1" s="216"/>
    <row r="613" ht="15.75" customHeight="1" s="216"/>
    <row r="614" ht="15.75" customHeight="1" s="216"/>
    <row r="615" ht="15.75" customHeight="1" s="216"/>
    <row r="616" ht="15.75" customHeight="1" s="216"/>
    <row r="617" ht="15.75" customHeight="1" s="216"/>
    <row r="618" ht="15.75" customHeight="1" s="216"/>
    <row r="619" ht="15.75" customHeight="1" s="216"/>
    <row r="620" ht="15.75" customHeight="1" s="216"/>
    <row r="621" ht="15.75" customHeight="1" s="216"/>
    <row r="622" ht="15.75" customHeight="1" s="216"/>
    <row r="623" ht="15.75" customHeight="1" s="216"/>
    <row r="624" ht="15.75" customHeight="1" s="216"/>
    <row r="625" ht="15.75" customHeight="1" s="216"/>
    <row r="626" ht="15.75" customHeight="1" s="216"/>
    <row r="627" ht="15.75" customHeight="1" s="216"/>
    <row r="628" ht="15.75" customHeight="1" s="216"/>
    <row r="629" ht="15.75" customHeight="1" s="216"/>
    <row r="630" ht="15.75" customHeight="1" s="216"/>
    <row r="631" ht="15.75" customHeight="1" s="216"/>
    <row r="632" ht="15.75" customHeight="1" s="216"/>
    <row r="633" ht="15.75" customHeight="1" s="216"/>
    <row r="634" ht="15.75" customHeight="1" s="216"/>
    <row r="635" ht="15.75" customHeight="1" s="216"/>
    <row r="636" ht="15.75" customHeight="1" s="216"/>
    <row r="637" ht="15.75" customHeight="1" s="216"/>
    <row r="638" ht="15.75" customHeight="1" s="216"/>
    <row r="639" ht="15.75" customHeight="1" s="216"/>
    <row r="640" ht="15.75" customHeight="1" s="216"/>
    <row r="641" ht="15.75" customHeight="1" s="216"/>
    <row r="642" ht="15.75" customHeight="1" s="216"/>
    <row r="643" ht="15.75" customHeight="1" s="216"/>
    <row r="644" ht="15.75" customHeight="1" s="216"/>
    <row r="645" ht="15.75" customHeight="1" s="216"/>
    <row r="646" ht="15.75" customHeight="1" s="216"/>
    <row r="647" ht="15.75" customHeight="1" s="216"/>
    <row r="648" ht="15.75" customHeight="1" s="216"/>
    <row r="649" ht="15.75" customHeight="1" s="216"/>
    <row r="650" ht="15.75" customHeight="1" s="216"/>
    <row r="651" ht="15.75" customHeight="1" s="216"/>
    <row r="652" ht="15.75" customHeight="1" s="216"/>
    <row r="653" ht="15.75" customHeight="1" s="216"/>
    <row r="654" ht="15.75" customHeight="1" s="216"/>
    <row r="655" ht="15.75" customHeight="1" s="216"/>
    <row r="656" ht="15.75" customHeight="1" s="216"/>
    <row r="657" ht="15.75" customHeight="1" s="216"/>
    <row r="658" ht="15.75" customHeight="1" s="216"/>
    <row r="659" ht="15.75" customHeight="1" s="216"/>
    <row r="660" ht="15.75" customHeight="1" s="216"/>
    <row r="661" ht="15.75" customHeight="1" s="216"/>
    <row r="662" ht="15.75" customHeight="1" s="216"/>
    <row r="663" ht="15.75" customHeight="1" s="216"/>
    <row r="664" ht="15.75" customHeight="1" s="216"/>
    <row r="665" ht="15.75" customHeight="1" s="216"/>
    <row r="666" ht="15.75" customHeight="1" s="216"/>
    <row r="667" ht="15.75" customHeight="1" s="216"/>
    <row r="668" ht="15.75" customHeight="1" s="216"/>
    <row r="669" ht="15.75" customHeight="1" s="216"/>
    <row r="670" ht="15.75" customHeight="1" s="216"/>
    <row r="671" ht="15.75" customHeight="1" s="216"/>
    <row r="672" ht="15.75" customHeight="1" s="216"/>
    <row r="673" ht="15.75" customHeight="1" s="216"/>
    <row r="674" ht="15.75" customHeight="1" s="216"/>
    <row r="675" ht="15.75" customHeight="1" s="216"/>
    <row r="676" ht="15.75" customHeight="1" s="216"/>
    <row r="677" ht="15.75" customHeight="1" s="216"/>
    <row r="678" ht="15.75" customHeight="1" s="216"/>
    <row r="679" ht="15.75" customHeight="1" s="216"/>
    <row r="680" ht="15.75" customHeight="1" s="216"/>
    <row r="681" ht="15.75" customHeight="1" s="216"/>
    <row r="682" ht="15.75" customHeight="1" s="216"/>
    <row r="683" ht="15.75" customHeight="1" s="216"/>
    <row r="684" ht="15.75" customHeight="1" s="216"/>
    <row r="685" ht="15.75" customHeight="1" s="216"/>
    <row r="686" ht="15.75" customHeight="1" s="216"/>
    <row r="687" ht="15.75" customHeight="1" s="216"/>
    <row r="688" ht="15.75" customHeight="1" s="216"/>
    <row r="689" ht="15.75" customHeight="1" s="216"/>
    <row r="690" ht="15.75" customHeight="1" s="216"/>
    <row r="691" ht="15.75" customHeight="1" s="216"/>
    <row r="692" ht="15.75" customHeight="1" s="216"/>
    <row r="693" ht="15.75" customHeight="1" s="216"/>
    <row r="694" ht="15.75" customHeight="1" s="216"/>
    <row r="695" ht="15.75" customHeight="1" s="216"/>
    <row r="696" ht="15.75" customHeight="1" s="216"/>
    <row r="697" ht="15.75" customHeight="1" s="216"/>
    <row r="698" ht="15.75" customHeight="1" s="216"/>
    <row r="699" ht="15.75" customHeight="1" s="216"/>
    <row r="700" ht="15.75" customHeight="1" s="216"/>
    <row r="701" ht="15.75" customHeight="1" s="216"/>
    <row r="702" ht="15.75" customHeight="1" s="216"/>
    <row r="703" ht="15.75" customHeight="1" s="216"/>
    <row r="704" ht="15.75" customHeight="1" s="216"/>
    <row r="705" ht="15.75" customHeight="1" s="216"/>
    <row r="706" ht="15.75" customHeight="1" s="216"/>
    <row r="707" ht="15.75" customHeight="1" s="216"/>
    <row r="708" ht="15.75" customHeight="1" s="216"/>
    <row r="709" ht="15.75" customHeight="1" s="216"/>
    <row r="710" ht="15.75" customHeight="1" s="216"/>
    <row r="711" ht="15.75" customHeight="1" s="216"/>
    <row r="712" ht="15.75" customHeight="1" s="216"/>
    <row r="713" ht="15.75" customHeight="1" s="216"/>
    <row r="714" ht="15.75" customHeight="1" s="216"/>
    <row r="715" ht="15.75" customHeight="1" s="216"/>
    <row r="716" ht="15.75" customHeight="1" s="216"/>
    <row r="717" ht="15.75" customHeight="1" s="216"/>
    <row r="718" ht="15.75" customHeight="1" s="216"/>
    <row r="719" ht="15.75" customHeight="1" s="216"/>
    <row r="720" ht="15.75" customHeight="1" s="216"/>
    <row r="721" ht="15.75" customHeight="1" s="216"/>
    <row r="722" ht="15.75" customHeight="1" s="216"/>
    <row r="723" ht="15.75" customHeight="1" s="216"/>
    <row r="724" ht="15.75" customHeight="1" s="216"/>
    <row r="725" ht="15.75" customHeight="1" s="216"/>
    <row r="726" ht="15.75" customHeight="1" s="216"/>
    <row r="727" ht="15.75" customHeight="1" s="216"/>
    <row r="728" ht="15.75" customHeight="1" s="216"/>
    <row r="729" ht="15.75" customHeight="1" s="216"/>
    <row r="730" ht="15.75" customHeight="1" s="216"/>
    <row r="731" ht="15.75" customHeight="1" s="216"/>
    <row r="732" ht="15.75" customHeight="1" s="216"/>
    <row r="733" ht="15.75" customHeight="1" s="216"/>
    <row r="734" ht="15.75" customHeight="1" s="216"/>
    <row r="735" ht="15.75" customHeight="1" s="216"/>
    <row r="736" ht="15.75" customHeight="1" s="216"/>
    <row r="737" ht="15.75" customHeight="1" s="216"/>
    <row r="738" ht="15.75" customHeight="1" s="216"/>
    <row r="739" ht="15.75" customHeight="1" s="216"/>
    <row r="740" ht="15.75" customHeight="1" s="216"/>
    <row r="741" ht="15.75" customHeight="1" s="216"/>
    <row r="742" ht="15.75" customHeight="1" s="216"/>
    <row r="743" ht="15.75" customHeight="1" s="216"/>
    <row r="744" ht="15.75" customHeight="1" s="216"/>
    <row r="745" ht="15.75" customHeight="1" s="216"/>
    <row r="746" ht="15.75" customHeight="1" s="216"/>
    <row r="747" ht="15.75" customHeight="1" s="216"/>
    <row r="748" ht="15.75" customHeight="1" s="216"/>
    <row r="749" ht="15.75" customHeight="1" s="216"/>
    <row r="750" ht="15.75" customHeight="1" s="216"/>
    <row r="751" ht="15.75" customHeight="1" s="216"/>
    <row r="752" ht="15.75" customHeight="1" s="216"/>
    <row r="753" ht="15.75" customHeight="1" s="216"/>
    <row r="754" ht="15.75" customHeight="1" s="216"/>
    <row r="755" ht="15.75" customHeight="1" s="216"/>
    <row r="756" ht="15.75" customHeight="1" s="216"/>
    <row r="757" ht="15.75" customHeight="1" s="216"/>
    <row r="758" ht="15.75" customHeight="1" s="216"/>
    <row r="759" ht="15.75" customHeight="1" s="216"/>
    <row r="760" ht="15.75" customHeight="1" s="216"/>
    <row r="761" ht="15.75" customHeight="1" s="216"/>
    <row r="762" ht="15.75" customHeight="1" s="216"/>
    <row r="763" ht="15.75" customHeight="1" s="216"/>
    <row r="764" ht="15.75" customHeight="1" s="216"/>
    <row r="765" ht="15.75" customHeight="1" s="216"/>
    <row r="766" ht="15.75" customHeight="1" s="216"/>
    <row r="767" ht="15.75" customHeight="1" s="216"/>
    <row r="768" ht="15.75" customHeight="1" s="216"/>
    <row r="769" ht="15.75" customHeight="1" s="216"/>
    <row r="770" ht="15.75" customHeight="1" s="216"/>
    <row r="771" ht="15.75" customHeight="1" s="216"/>
    <row r="772" ht="15.75" customHeight="1" s="216"/>
    <row r="773" ht="15.75" customHeight="1" s="216"/>
    <row r="774" ht="15.75" customHeight="1" s="216"/>
    <row r="775" ht="15.75" customHeight="1" s="216"/>
    <row r="776" ht="15.75" customHeight="1" s="216"/>
    <row r="777" ht="15.75" customHeight="1" s="216"/>
    <row r="778" ht="15.75" customHeight="1" s="216"/>
    <row r="779" ht="15.75" customHeight="1" s="216"/>
    <row r="780" ht="15.75" customHeight="1" s="216"/>
    <row r="781" ht="15.75" customHeight="1" s="216"/>
    <row r="782" ht="15.75" customHeight="1" s="216"/>
    <row r="783" ht="15.75" customHeight="1" s="216"/>
    <row r="784" ht="15.75" customHeight="1" s="216"/>
    <row r="785" ht="15.75" customHeight="1" s="216"/>
    <row r="786" ht="15.75" customHeight="1" s="216"/>
    <row r="787" ht="15.75" customHeight="1" s="216"/>
    <row r="788" ht="15.75" customHeight="1" s="216"/>
    <row r="789" ht="15.75" customHeight="1" s="216"/>
    <row r="790" ht="15.75" customHeight="1" s="216"/>
    <row r="791" ht="15.75" customHeight="1" s="216"/>
    <row r="792" ht="15.75" customHeight="1" s="216"/>
    <row r="793" ht="15.75" customHeight="1" s="216"/>
    <row r="794" ht="15.75" customHeight="1" s="216"/>
    <row r="795" ht="15.75" customHeight="1" s="216"/>
    <row r="796" ht="15.75" customHeight="1" s="216"/>
    <row r="797" ht="15.75" customHeight="1" s="216"/>
    <row r="798" ht="15.75" customHeight="1" s="216"/>
    <row r="799" ht="15.75" customHeight="1" s="216"/>
    <row r="800" ht="15.75" customHeight="1" s="216"/>
    <row r="801" ht="15.75" customHeight="1" s="216"/>
    <row r="802" ht="15.75" customHeight="1" s="216"/>
    <row r="803" ht="15.75" customHeight="1" s="216"/>
    <row r="804" ht="15.75" customHeight="1" s="216"/>
    <row r="805" ht="15.75" customHeight="1" s="216"/>
    <row r="806" ht="15.75" customHeight="1" s="216"/>
    <row r="807" ht="15.75" customHeight="1" s="216"/>
    <row r="808" ht="15.75" customHeight="1" s="216"/>
    <row r="809" ht="15.75" customHeight="1" s="216"/>
    <row r="810" ht="15.75" customHeight="1" s="216"/>
    <row r="811" ht="15.75" customHeight="1" s="216"/>
    <row r="812" ht="15.75" customHeight="1" s="216"/>
    <row r="813" ht="15.75" customHeight="1" s="216"/>
    <row r="814" ht="15.75" customHeight="1" s="216"/>
    <row r="815" ht="15.75" customHeight="1" s="216"/>
    <row r="816" ht="15.75" customHeight="1" s="216"/>
    <row r="817" ht="15.75" customHeight="1" s="216"/>
    <row r="818" ht="15.75" customHeight="1" s="216"/>
    <row r="819" ht="15.75" customHeight="1" s="216"/>
    <row r="820" ht="15.75" customHeight="1" s="216"/>
    <row r="821" ht="15.75" customHeight="1" s="216"/>
    <row r="822" ht="15.75" customHeight="1" s="216"/>
    <row r="823" ht="15.75" customHeight="1" s="216"/>
    <row r="824" ht="15.75" customHeight="1" s="216"/>
    <row r="825" ht="15.75" customHeight="1" s="216"/>
    <row r="826" ht="15.75" customHeight="1" s="216"/>
    <row r="827" ht="15.75" customHeight="1" s="216"/>
    <row r="828" ht="15.75" customHeight="1" s="216"/>
    <row r="829" ht="15.75" customHeight="1" s="216"/>
    <row r="830" ht="15.75" customHeight="1" s="216"/>
    <row r="831" ht="15.75" customHeight="1" s="216"/>
    <row r="832" ht="15.75" customHeight="1" s="216"/>
    <row r="833" ht="15.75" customHeight="1" s="216"/>
    <row r="834" ht="15.75" customHeight="1" s="216"/>
    <row r="835" ht="15.75" customHeight="1" s="216"/>
    <row r="836" ht="15.75" customHeight="1" s="216"/>
    <row r="837" ht="15.75" customHeight="1" s="216"/>
    <row r="838" ht="15.75" customHeight="1" s="216"/>
    <row r="839" ht="15.75" customHeight="1" s="216"/>
    <row r="840" ht="15.75" customHeight="1" s="216"/>
    <row r="841" ht="15.75" customHeight="1" s="216"/>
    <row r="842" ht="15.75" customHeight="1" s="216"/>
    <row r="843" ht="15.75" customHeight="1" s="216"/>
    <row r="844" ht="15.75" customHeight="1" s="216"/>
    <row r="845" ht="15.75" customHeight="1" s="216"/>
    <row r="846" ht="15.75" customHeight="1" s="216"/>
    <row r="847" ht="15.75" customHeight="1" s="216"/>
    <row r="848" ht="15.75" customHeight="1" s="216"/>
    <row r="849" ht="15.75" customHeight="1" s="216"/>
    <row r="850" ht="15.75" customHeight="1" s="216"/>
    <row r="851" ht="15.75" customHeight="1" s="216"/>
    <row r="852" ht="15.75" customHeight="1" s="216"/>
    <row r="853" ht="15.75" customHeight="1" s="216"/>
    <row r="854" ht="15.75" customHeight="1" s="216"/>
    <row r="855" ht="15.75" customHeight="1" s="216"/>
    <row r="856" ht="15.75" customHeight="1" s="216"/>
    <row r="857" ht="15.75" customHeight="1" s="216"/>
    <row r="858" ht="15.75" customHeight="1" s="216"/>
    <row r="859" ht="15.75" customHeight="1" s="216"/>
    <row r="860" ht="15.75" customHeight="1" s="216"/>
    <row r="861" ht="15.75" customHeight="1" s="216"/>
    <row r="862" ht="15.75" customHeight="1" s="216"/>
    <row r="863" ht="15.75" customHeight="1" s="216"/>
    <row r="864" ht="15.75" customHeight="1" s="216"/>
    <row r="865" ht="15.75" customHeight="1" s="216"/>
    <row r="866" ht="15.75" customHeight="1" s="216"/>
    <row r="867" ht="15.75" customHeight="1" s="216"/>
    <row r="868" ht="15.75" customHeight="1" s="216"/>
    <row r="869" ht="15.75" customHeight="1" s="216"/>
    <row r="870" ht="15.75" customHeight="1" s="216"/>
    <row r="871" ht="15.75" customHeight="1" s="216"/>
    <row r="872" ht="15.75" customHeight="1" s="216"/>
    <row r="873" ht="15.75" customHeight="1" s="216"/>
    <row r="874" ht="15.75" customHeight="1" s="216"/>
    <row r="875" ht="15.75" customHeight="1" s="216"/>
    <row r="876" ht="15.75" customHeight="1" s="216"/>
    <row r="877" ht="15.75" customHeight="1" s="216"/>
    <row r="878" ht="15.75" customHeight="1" s="216"/>
    <row r="879" ht="15.75" customHeight="1" s="216"/>
    <row r="880" ht="15.75" customHeight="1" s="216"/>
    <row r="881" ht="15.75" customHeight="1" s="216"/>
    <row r="882" ht="15.75" customHeight="1" s="216"/>
    <row r="883" ht="15.75" customHeight="1" s="216"/>
    <row r="884" ht="15.75" customHeight="1" s="216"/>
    <row r="885" ht="15.75" customHeight="1" s="216"/>
    <row r="886" ht="15.75" customHeight="1" s="216"/>
    <row r="887" ht="15.75" customHeight="1" s="216"/>
    <row r="888" ht="15.75" customHeight="1" s="216"/>
    <row r="889" ht="15.75" customHeight="1" s="216"/>
    <row r="890" ht="15.75" customHeight="1" s="216"/>
    <row r="891" ht="15.75" customHeight="1" s="216"/>
    <row r="892" ht="15.75" customHeight="1" s="216"/>
    <row r="893" ht="15.75" customHeight="1" s="216"/>
    <row r="894" ht="15.75" customHeight="1" s="216"/>
    <row r="895" ht="15.75" customHeight="1" s="216"/>
    <row r="896" ht="15.75" customHeight="1" s="216"/>
    <row r="897" ht="15.75" customHeight="1" s="216"/>
    <row r="898" ht="15.75" customHeight="1" s="216"/>
    <row r="899" ht="15.75" customHeight="1" s="216"/>
    <row r="900" ht="15.75" customHeight="1" s="216"/>
    <row r="901" ht="15.75" customHeight="1" s="216"/>
    <row r="902" ht="15.75" customHeight="1" s="216"/>
    <row r="903" ht="15.75" customHeight="1" s="216"/>
    <row r="904" ht="15.75" customHeight="1" s="216"/>
    <row r="905" ht="15.75" customHeight="1" s="216"/>
    <row r="906" ht="15.75" customHeight="1" s="216"/>
    <row r="907" ht="15.75" customHeight="1" s="216"/>
    <row r="908" ht="15.75" customHeight="1" s="216"/>
    <row r="909" ht="15.75" customHeight="1" s="216"/>
    <row r="910" ht="15.75" customHeight="1" s="216"/>
    <row r="911" ht="15.75" customHeight="1" s="216"/>
    <row r="912" ht="15.75" customHeight="1" s="216"/>
    <row r="913" ht="15.75" customHeight="1" s="216"/>
    <row r="914" ht="15.75" customHeight="1" s="216"/>
    <row r="915" ht="15.75" customHeight="1" s="216"/>
    <row r="916" ht="15.75" customHeight="1" s="216"/>
    <row r="917" ht="15.75" customHeight="1" s="216"/>
    <row r="918" ht="15.75" customHeight="1" s="216"/>
    <row r="919" ht="15.75" customHeight="1" s="216"/>
    <row r="920" ht="15.75" customHeight="1" s="216"/>
    <row r="921" ht="15.75" customHeight="1" s="216"/>
    <row r="922" ht="15.75" customHeight="1" s="216"/>
    <row r="923" ht="15.75" customHeight="1" s="216"/>
    <row r="924" ht="15.75" customHeight="1" s="216"/>
    <row r="925" ht="15.75" customHeight="1" s="216"/>
    <row r="926" ht="15.75" customHeight="1" s="216"/>
    <row r="927" ht="15.75" customHeight="1" s="216"/>
    <row r="928" ht="15.75" customHeight="1" s="216"/>
    <row r="929" ht="15.75" customHeight="1" s="216"/>
    <row r="930" ht="15.75" customHeight="1" s="216"/>
    <row r="931" ht="15.75" customHeight="1" s="216"/>
    <row r="932" ht="15.75" customHeight="1" s="216"/>
    <row r="933" ht="15.75" customHeight="1" s="216"/>
    <row r="934" ht="15.75" customHeight="1" s="216"/>
    <row r="935" ht="15.75" customHeight="1" s="216"/>
    <row r="936" ht="15.75" customHeight="1" s="216"/>
    <row r="937" ht="15.75" customHeight="1" s="216"/>
    <row r="938" ht="15.75" customHeight="1" s="216"/>
    <row r="939" ht="15.75" customHeight="1" s="216"/>
    <row r="940" ht="15.75" customHeight="1" s="216"/>
    <row r="941" ht="15.75" customHeight="1" s="216"/>
    <row r="942" ht="15.75" customHeight="1" s="216"/>
    <row r="943" ht="15.75" customHeight="1" s="216"/>
    <row r="944" ht="15.75" customHeight="1" s="216"/>
    <row r="945" ht="15.75" customHeight="1" s="216"/>
    <row r="946" ht="15.75" customHeight="1" s="216"/>
    <row r="947" ht="15.75" customHeight="1" s="216"/>
    <row r="948" ht="15.75" customHeight="1" s="216"/>
    <row r="949" ht="15.75" customHeight="1" s="216"/>
    <row r="950" ht="15.75" customHeight="1" s="216"/>
    <row r="951" ht="15.75" customHeight="1" s="216"/>
    <row r="952" ht="15.75" customHeight="1" s="216"/>
    <row r="953" ht="15.75" customHeight="1" s="216"/>
    <row r="954" ht="15.75" customHeight="1" s="216"/>
    <row r="955" ht="15.75" customHeight="1" s="216"/>
    <row r="956" ht="15.75" customHeight="1" s="216"/>
    <row r="957" ht="15.75" customHeight="1" s="216"/>
    <row r="958" ht="15.75" customHeight="1" s="216"/>
    <row r="959" ht="15.75" customHeight="1" s="216"/>
    <row r="960" ht="15.75" customHeight="1" s="216"/>
    <row r="961" ht="15.75" customHeight="1" s="216"/>
    <row r="962" ht="15.75" customHeight="1" s="216"/>
    <row r="963" ht="15.75" customHeight="1" s="216"/>
    <row r="964" ht="15.75" customHeight="1" s="216"/>
    <row r="965" ht="15.75" customHeight="1" s="216"/>
    <row r="966" ht="15.75" customHeight="1" s="216"/>
    <row r="967" ht="15.75" customHeight="1" s="216"/>
    <row r="968" ht="15.75" customHeight="1" s="216"/>
    <row r="969" ht="15.75" customHeight="1" s="216"/>
    <row r="970" ht="15.75" customHeight="1" s="216"/>
    <row r="971" ht="15.75" customHeight="1" s="216"/>
    <row r="972" ht="15.75" customHeight="1" s="216"/>
    <row r="973" ht="15.75" customHeight="1" s="216"/>
    <row r="974" ht="15.75" customHeight="1" s="216"/>
    <row r="975" ht="15.75" customHeight="1" s="216"/>
    <row r="976" ht="15.75" customHeight="1" s="216"/>
    <row r="977" ht="15.75" customHeight="1" s="216"/>
    <row r="978" ht="15.75" customHeight="1" s="216"/>
    <row r="979" ht="15.75" customHeight="1" s="216"/>
    <row r="980" ht="15.75" customHeight="1" s="216"/>
    <row r="981" ht="15.75" customHeight="1" s="216"/>
    <row r="982" ht="15.75" customHeight="1" s="216"/>
    <row r="983" ht="15.75" customHeight="1" s="216"/>
    <row r="984" ht="15.75" customHeight="1" s="216"/>
    <row r="985" ht="15.75" customHeight="1" s="216"/>
    <row r="986" ht="15.75" customHeight="1" s="216"/>
    <row r="987" ht="15.75" customHeight="1" s="216"/>
    <row r="988" ht="15.75" customHeight="1" s="216"/>
    <row r="989" ht="15.75" customHeight="1" s="216"/>
    <row r="990" ht="15.75" customHeight="1" s="216"/>
    <row r="991" ht="15.75" customHeight="1" s="216"/>
    <row r="992" ht="15.75" customHeight="1" s="216"/>
    <row r="993" ht="15.75" customHeight="1" s="216"/>
    <row r="994" ht="15.75" customHeight="1" s="216"/>
    <row r="995" ht="15.75" customHeight="1" s="216"/>
    <row r="996" ht="15.75" customHeight="1" s="216"/>
    <row r="997" ht="15.75" customHeight="1" s="216"/>
    <row r="998" ht="15.75" customHeight="1" s="216"/>
    <row r="999" ht="15.75" customHeight="1" s="216"/>
    <row r="1000" ht="15.75" customHeight="1" s="216"/>
  </sheetData>
  <autoFilter ref="A6:AU6"/>
  <mergeCells count="19">
    <mergeCell ref="AR5:AU5"/>
    <mergeCell ref="N5:S5"/>
    <mergeCell ref="C2:E2"/>
    <mergeCell ref="A5:C5"/>
    <mergeCell ref="Z5:AE5"/>
    <mergeCell ref="AF5:AK5"/>
    <mergeCell ref="AL5:AQ5"/>
    <mergeCell ref="J5:M5"/>
    <mergeCell ref="A3:B3"/>
    <mergeCell ref="G3:H3"/>
    <mergeCell ref="I3:J3"/>
    <mergeCell ref="A2:B2"/>
    <mergeCell ref="D5:I5"/>
    <mergeCell ref="C3:E3"/>
    <mergeCell ref="A4:B4"/>
    <mergeCell ref="G4:H4"/>
    <mergeCell ref="T5:Y5"/>
    <mergeCell ref="I4:J4"/>
    <mergeCell ref="C4:E4"/>
  </mergeCells>
  <conditionalFormatting sqref="O7:O500 P7:P500 U7:U500 V7:V500 AA7:AA500 AB7:AB500 AG7:AG500 AH7:AH500 AM7:AM500 AN7:AN500 AS7:AS500 AT7:AT500">
    <cfRule type="cellIs" priority="1" operator="equal" dxfId="5">
      <formula>"Pass"</formula>
    </cfRule>
    <cfRule type="cellIs" priority="2" operator="equal" dxfId="6">
      <formula>"Fail"</formula>
    </cfRule>
    <cfRule type="cellIs" priority="3" operator="equal" dxfId="7">
      <formula>"Block"</formula>
    </cfRule>
    <cfRule type="cellIs" priority="4" operator="equal" dxfId="8">
      <formula>"N/A"</formula>
    </cfRule>
  </conditionalFormatting>
  <dataValidations count="8">
    <dataValidation sqref="J7:J500" showDropDown="0" showInputMessage="0" showErrorMessage="0" allowBlank="1" type="list">
      <formula1>"AI,QC"</formula1>
    </dataValidation>
    <dataValidation sqref="E7:E500" showDropDown="0" showInputMessage="0" showErrorMessage="0" allowBlank="1" type="list">
      <formula1>"High,Medium,Low"</formula1>
    </dataValidation>
    <dataValidation sqref="P7:P500 V7:V500 AB7:AB500 AH7:AH500 AN7:AN500" showDropDown="0" showInputMessage="0" showErrorMessage="0" allowBlank="1" type="list">
      <formula1>"Pass,Fail,Block,N/A"</formula1>
    </dataValidation>
    <dataValidation sqref="N7:N500 T7:T500 Z7:Z500 AF7:AF500 AL7:AL500" showDropDown="0" showInputMessage="0" showErrorMessage="0" allowBlank="1" type="list">
      <formula1>"Yes,No,N/A"</formula1>
    </dataValidation>
    <dataValidation sqref="O7:O500 U7:U500 AA7:AA500 AG7:AG500 AM7:AM500" showDropDown="0" showInputMessage="0" showErrorMessage="0" allowBlank="1" type="list">
      <formula1>"Pass,Fail,Block,N/A,Chưa chạy"</formula1>
    </dataValidation>
    <dataValidation sqref="D7:D500" showDropDown="0" showInputMessage="0" showErrorMessage="0" allowBlank="1" type="list">
      <formula1>"Functional,UI,Integration,Database Test Case"</formula1>
    </dataValidation>
    <dataValidation sqref="K7:K500" showDropDown="0" showInputMessage="0" showErrorMessage="0" allowBlank="1" type="list">
      <formula1>"Reviewed,Pending,N/A"</formula1>
    </dataValidation>
    <dataValidation sqref="L7:L500" showDropDown="0" showInputMessage="0" showErrorMessage="0" allowBlank="1" type="list">
      <formula1>"Yes,No"</formula1>
    </dataValidation>
  </dataValidations>
  <pageMargins left="0.75" right="0.75" top="1" bottom="1" header="0" footer="0"/>
  <pageSetup orientation="landscape" fitToHeight="0"/>
</worksheet>
</file>

<file path=xl/worksheets/sheet14.xml><?xml version="1.0" encoding="utf-8"?>
<worksheet xmlns="http://schemas.openxmlformats.org/spreadsheetml/2006/main">
  <sheetPr>
    <outlinePr summaryBelow="1" summaryRight="1"/>
    <pageSetUpPr fitToPage="1"/>
  </sheetPr>
  <dimension ref="A1:AV520"/>
  <sheetViews>
    <sheetView workbookViewId="0">
      <pane xSplit="1" ySplit="6" topLeftCell="B7" activePane="bottomRight" state="frozen"/>
      <selection pane="topRight"/>
      <selection pane="bottomLeft"/>
      <selection pane="bottomRight" activeCell="A1" sqref="A1"/>
    </sheetView>
  </sheetViews>
  <sheetFormatPr baseColWidth="8" defaultColWidth="14.43" defaultRowHeight="15" customHeight="1"/>
  <cols>
    <col width="14" customWidth="1" style="216" min="1" max="2"/>
    <col width="13" customWidth="1" style="216" min="3" max="4"/>
    <col width="11" customWidth="1" style="216" min="5" max="5"/>
    <col width="34" customWidth="1" style="216" min="6" max="6"/>
    <col width="28" customWidth="1" style="216" min="7" max="7"/>
    <col width="40" customWidth="1" style="216" min="8" max="8"/>
    <col width="34" customWidth="1" style="216" min="9" max="9"/>
    <col width="10" customWidth="1" style="216" min="10" max="10"/>
    <col width="12.43" customWidth="1" style="216" min="11" max="11"/>
    <col width="14" customWidth="1" style="216" min="12" max="12"/>
    <col width="26.14" customWidth="1" style="216" min="13" max="13"/>
    <col width="9" customWidth="1" style="216" min="14" max="14"/>
    <col width="10" customWidth="1" style="216" min="15" max="15"/>
    <col width="9" customWidth="1" style="216" min="16" max="16"/>
    <col width="13" customWidth="1" style="216" min="17" max="17"/>
    <col width="11" customWidth="1" style="216" min="18" max="18"/>
    <col width="22" customWidth="1" style="216" min="19" max="19"/>
    <col width="9" customWidth="1" style="216" min="20" max="20"/>
    <col width="10" customWidth="1" style="216" min="21" max="21"/>
    <col width="9" customWidth="1" style="216" min="22" max="22"/>
    <col width="13" customWidth="1" style="216" min="23" max="23"/>
    <col width="11" customWidth="1" style="216" min="24" max="24"/>
    <col width="22" customWidth="1" style="216" min="25" max="25"/>
    <col width="9" customWidth="1" style="216" min="26" max="26"/>
    <col width="10" customWidth="1" style="216" min="27" max="27"/>
    <col width="9" customWidth="1" style="216" min="28" max="28"/>
    <col width="13" customWidth="1" style="216" min="29" max="29"/>
    <col width="11" customWidth="1" style="216" min="30" max="30"/>
    <col width="22" customWidth="1" style="216" min="31" max="31"/>
    <col width="9" customWidth="1" style="216" min="32" max="32"/>
    <col width="10" customWidth="1" style="216" min="33" max="33"/>
    <col width="9" customWidth="1" style="216" min="34" max="34"/>
    <col width="13" customWidth="1" style="216" min="35" max="35"/>
    <col width="11" customWidth="1" style="216" min="36" max="36"/>
    <col width="22" customWidth="1" style="216" min="37" max="37"/>
    <col width="9" customWidth="1" style="216" min="38" max="38"/>
    <col width="10" customWidth="1" style="216" min="39" max="39"/>
    <col width="9" customWidth="1" style="216" min="40" max="40"/>
    <col width="13" customWidth="1" style="216" min="41" max="41"/>
    <col width="11" customWidth="1" style="216" min="42" max="42"/>
    <col width="22" customWidth="1" style="216" min="43" max="43"/>
    <col width="12" customWidth="1" style="216" min="44" max="44"/>
    <col width="14" customWidth="1" style="216" min="45" max="45"/>
    <col width="11" customWidth="1" style="216" min="46" max="46"/>
    <col width="24" customWidth="1" style="216" min="47" max="47"/>
  </cols>
  <sheetData>
    <row r="1">
      <c r="A1" s="106"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row>
    <row r="2">
      <c r="A2" s="255" t="inlineStr">
        <is>
          <t>Mã chức năng</t>
        </is>
      </c>
      <c r="B2" s="218" t="n"/>
      <c r="C2" s="256" t="inlineStr">
        <is>
          <t>TC_06</t>
        </is>
      </c>
      <c r="D2" s="220" t="n"/>
      <c r="E2" s="218"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row>
    <row r="3" ht="15" customHeight="1" s="216">
      <c r="A3" s="255" t="inlineStr">
        <is>
          <t>Tên chức năng</t>
        </is>
      </c>
      <c r="B3" s="218" t="n"/>
      <c r="C3" s="256" t="inlineStr">
        <is>
          <t>Quà cảm ơn</t>
        </is>
      </c>
      <c r="D3" s="220" t="n"/>
      <c r="E3" s="218" t="n"/>
      <c r="F3" s="1" t="n"/>
      <c r="G3" s="255" t="inlineStr">
        <is>
          <t>Version</t>
        </is>
      </c>
      <c r="H3" s="218" t="n"/>
      <c r="I3" s="174">
        <f>Summary!$C$8</f>
        <v/>
      </c>
      <c r="J3" s="218"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row>
    <row r="4" ht="15" customHeight="1" s="216">
      <c r="A4" s="255" t="inlineStr">
        <is>
          <t>Execution</t>
        </is>
      </c>
      <c r="B4" s="218" t="n"/>
      <c r="C4" s="174">
        <f>TEXT(Summary!$C$10,"DD/MM/YYYY")&amp;"  →  "&amp;TEXT(Summary!$C$11,"DD/MM/YYYY")</f>
        <v/>
      </c>
      <c r="D4" s="220" t="n"/>
      <c r="E4" s="218" t="n"/>
      <c r="F4" s="1" t="n"/>
      <c r="G4" s="255" t="inlineStr">
        <is>
          <t>PIC</t>
        </is>
      </c>
      <c r="H4" s="218" t="n"/>
      <c r="I4" s="174">
        <f>Summary!$C$13</f>
        <v/>
      </c>
      <c r="J4" s="218"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1" t="n"/>
      <c r="AL4" s="1" t="n"/>
      <c r="AM4" s="1" t="n"/>
      <c r="AN4" s="1" t="n"/>
      <c r="AO4" s="1" t="n"/>
      <c r="AP4" s="1" t="n"/>
      <c r="AQ4" s="1" t="n"/>
      <c r="AR4" s="1" t="n"/>
      <c r="AS4" s="1" t="n"/>
      <c r="AT4" s="1" t="n"/>
      <c r="AU4" s="1" t="n"/>
    </row>
    <row r="5" ht="15" customHeight="1" s="216">
      <c r="A5" s="257" t="inlineStr">
        <is>
          <t>TRACEABILITY</t>
        </is>
      </c>
      <c r="B5" s="220" t="n"/>
      <c r="C5" s="218" t="n"/>
      <c r="D5" s="246" t="inlineStr">
        <is>
          <t>TEST DESIGN</t>
        </is>
      </c>
      <c r="E5" s="220" t="n"/>
      <c r="F5" s="220" t="n"/>
      <c r="G5" s="220" t="n"/>
      <c r="H5" s="220" t="n"/>
      <c r="I5" s="218" t="n"/>
      <c r="J5" s="250" t="inlineStr">
        <is>
          <t>SDLC</t>
        </is>
      </c>
      <c r="K5" s="220" t="n"/>
      <c r="L5" s="220" t="n"/>
      <c r="M5" s="218" t="n"/>
      <c r="N5" s="258" t="inlineStr">
        <is>
          <t>ROUND 1</t>
        </is>
      </c>
      <c r="O5" s="252" t="n"/>
      <c r="P5" s="252" t="n"/>
      <c r="Q5" s="252" t="n"/>
      <c r="R5" s="252" t="n"/>
      <c r="S5" s="253" t="n"/>
      <c r="T5" s="259" t="inlineStr">
        <is>
          <t>ROUND 2</t>
        </is>
      </c>
      <c r="U5" s="252" t="n"/>
      <c r="V5" s="252" t="n"/>
      <c r="W5" s="252" t="n"/>
      <c r="X5" s="252" t="n"/>
      <c r="Y5" s="253" t="n"/>
      <c r="Z5" s="258" t="inlineStr">
        <is>
          <t>ROUND 3</t>
        </is>
      </c>
      <c r="AA5" s="252" t="n"/>
      <c r="AB5" s="252" t="n"/>
      <c r="AC5" s="252" t="n"/>
      <c r="AD5" s="252" t="n"/>
      <c r="AE5" s="253" t="n"/>
      <c r="AF5" s="259" t="inlineStr">
        <is>
          <t>ROUND 4</t>
        </is>
      </c>
      <c r="AG5" s="252" t="n"/>
      <c r="AH5" s="252" t="n"/>
      <c r="AI5" s="252" t="n"/>
      <c r="AJ5" s="252" t="n"/>
      <c r="AK5" s="253" t="n"/>
      <c r="AL5" s="258" t="inlineStr">
        <is>
          <t>ROUND 5</t>
        </is>
      </c>
      <c r="AM5" s="252" t="n"/>
      <c r="AN5" s="252" t="n"/>
      <c r="AO5" s="252" t="n"/>
      <c r="AP5" s="252" t="n"/>
      <c r="AQ5" s="253" t="n"/>
      <c r="AR5" s="262" t="inlineStr">
        <is>
          <t>KẾT QUẢ TỔNG</t>
        </is>
      </c>
      <c r="AS5" s="252" t="n"/>
      <c r="AT5" s="252" t="n"/>
      <c r="AU5" s="253" t="n"/>
    </row>
    <row r="6" ht="30" customHeight="1" s="216">
      <c r="A6" s="152" t="inlineStr">
        <is>
          <t>Testcase ID</t>
        </is>
      </c>
      <c r="B6" s="152" t="inlineStr">
        <is>
          <t>Req ID</t>
        </is>
      </c>
      <c r="C6" s="152" t="inlineStr">
        <is>
          <t>DOC Source</t>
        </is>
      </c>
      <c r="D6" s="114" t="inlineStr">
        <is>
          <t>Group</t>
        </is>
      </c>
      <c r="E6" s="114" t="inlineStr">
        <is>
          <t>Priority</t>
        </is>
      </c>
      <c r="F6" s="114" t="inlineStr">
        <is>
          <t>Test Title
(Nội dung test)</t>
        </is>
      </c>
      <c r="G6" s="114" t="inlineStr">
        <is>
          <t>Pre-condition
(Điều kiện/Dữ liệu)</t>
        </is>
      </c>
      <c r="H6" s="114" t="inlineStr">
        <is>
          <t>Test Steps
(Các bước)</t>
        </is>
      </c>
      <c r="I6" s="114" t="inlineStr">
        <is>
          <t>Expected Result
(Kết quả mong đợi)</t>
        </is>
      </c>
      <c r="J6" s="112" t="inlineStr">
        <is>
          <t>Origin</t>
        </is>
      </c>
      <c r="K6" s="112" t="inlineStr">
        <is>
          <t>Review</t>
        </is>
      </c>
      <c r="L6" s="112" t="inlineStr">
        <is>
          <t>Automated</t>
        </is>
      </c>
      <c r="M6" s="112" t="inlineStr">
        <is>
          <t>Script</t>
        </is>
      </c>
      <c r="N6" s="153" t="inlineStr">
        <is>
          <t>Vibe-test</t>
        </is>
      </c>
      <c r="O6" s="153" t="inlineStr">
        <is>
          <t>KQ Script</t>
        </is>
      </c>
      <c r="P6" s="153" t="inlineStr">
        <is>
          <t>Kết quả</t>
        </is>
      </c>
      <c r="Q6" s="153" t="inlineStr">
        <is>
          <t>Executed By</t>
        </is>
      </c>
      <c r="R6" s="153" t="inlineStr">
        <is>
          <t>ID Bugs</t>
        </is>
      </c>
      <c r="S6" s="153" t="inlineStr">
        <is>
          <t>Note</t>
        </is>
      </c>
      <c r="T6" s="153" t="inlineStr">
        <is>
          <t>Vibe-test</t>
        </is>
      </c>
      <c r="U6" s="153" t="inlineStr">
        <is>
          <t>KQ Script</t>
        </is>
      </c>
      <c r="V6" s="153" t="inlineStr">
        <is>
          <t>Kết quả</t>
        </is>
      </c>
      <c r="W6" s="153" t="inlineStr">
        <is>
          <t>Executed By</t>
        </is>
      </c>
      <c r="X6" s="153" t="inlineStr">
        <is>
          <t>ID Bugs</t>
        </is>
      </c>
      <c r="Y6" s="153" t="inlineStr">
        <is>
          <t>Note</t>
        </is>
      </c>
      <c r="Z6" s="153" t="inlineStr">
        <is>
          <t>Vibe-test</t>
        </is>
      </c>
      <c r="AA6" s="153" t="inlineStr">
        <is>
          <t>KQ Script</t>
        </is>
      </c>
      <c r="AB6" s="153" t="inlineStr">
        <is>
          <t>Kết quả</t>
        </is>
      </c>
      <c r="AC6" s="153" t="inlineStr">
        <is>
          <t>Executed By</t>
        </is>
      </c>
      <c r="AD6" s="153" t="inlineStr">
        <is>
          <t>ID Bugs</t>
        </is>
      </c>
      <c r="AE6" s="153" t="inlineStr">
        <is>
          <t>Note</t>
        </is>
      </c>
      <c r="AF6" s="153" t="inlineStr">
        <is>
          <t>Vibe-test</t>
        </is>
      </c>
      <c r="AG6" s="153" t="inlineStr">
        <is>
          <t>KQ Script</t>
        </is>
      </c>
      <c r="AH6" s="153" t="inlineStr">
        <is>
          <t>Kết quả</t>
        </is>
      </c>
      <c r="AI6" s="153" t="inlineStr">
        <is>
          <t>Executed By</t>
        </is>
      </c>
      <c r="AJ6" s="153" t="inlineStr">
        <is>
          <t>ID Bugs</t>
        </is>
      </c>
      <c r="AK6" s="153" t="inlineStr">
        <is>
          <t>Note</t>
        </is>
      </c>
      <c r="AL6" s="153" t="inlineStr">
        <is>
          <t>Vibe-test</t>
        </is>
      </c>
      <c r="AM6" s="153" t="inlineStr">
        <is>
          <t>KQ Script</t>
        </is>
      </c>
      <c r="AN6" s="153" t="inlineStr">
        <is>
          <t>Kết quả</t>
        </is>
      </c>
      <c r="AO6" s="153" t="inlineStr">
        <is>
          <t>Executed By</t>
        </is>
      </c>
      <c r="AP6" s="153" t="inlineStr">
        <is>
          <t>ID Bugs</t>
        </is>
      </c>
      <c r="AQ6" s="153" t="inlineStr">
        <is>
          <t>Note</t>
        </is>
      </c>
      <c r="AR6" s="263" t="inlineStr">
        <is>
          <t>Vibe-test
(tổng)</t>
        </is>
      </c>
      <c r="AS6" s="263" t="inlineStr">
        <is>
          <t>KQ Script
(tổng)</t>
        </is>
      </c>
      <c r="AT6" s="154" t="inlineStr">
        <is>
          <t>Status</t>
        </is>
      </c>
      <c r="AU6" s="154" t="inlineStr">
        <is>
          <t>Remark</t>
        </is>
      </c>
    </row>
    <row r="7" ht="60" customHeight="1" s="216">
      <c r="A7" s="160">
        <f>IF($F7="","",$C$2&amp;"."&amp;COUNTA($F$7:$F7)&amp;"")</f>
        <v/>
      </c>
      <c r="B7" s="160" t="inlineStr">
        <is>
          <t>REQ-GIFT-001</t>
        </is>
      </c>
      <c r="C7" s="160" t="inlineStr">
        <is>
          <t>DOC-v1.1-01</t>
        </is>
      </c>
      <c r="D7" s="160" t="inlineStr">
        <is>
          <t>UI</t>
        </is>
      </c>
      <c r="E7" s="160" t="inlineStr">
        <is>
          <t>Medium</t>
        </is>
      </c>
      <c r="F7" s="11" t="inlineStr">
        <is>
          <t>Check màn "Tặng quà" hiển thị đúng tên bốn loại quà theo danh mục chính thức</t>
        </is>
      </c>
      <c r="G7" s="11" t="inlineStr">
        <is>
          <t>- Đơn đã ở trạng thái Hoàn thành của `SEED-GIFT-01` (xem sheet `Seed` của chính file này), chưa gửi quà — không seed riêng.
- Host app FoxPro đã cài trên thiết bị Android/iOS.
Test Data: Tập đóng 4 tên quà chính thức, dùng đơn của `SEED-GIFT-01` (test_data_catalog §GIFT v1.1)</t>
        </is>
      </c>
      <c r="H7" s="11" t="inlineStr">
        <is>
          <t>1. Đăng nhập FoxEco bằng tài khoản A, nhấn tab "Hoạt động" ở bottom nav rồi nhấn tab con "Đã hoàn thành". (setup)
2. Nhấn vào card đơn Hoàn thành đó để mở màn Theo dõi đơn. (setup)
3. Nhấn nút "✓ Cảm ơn người vận chuyển". (setup)
4. Đọc danh sách quà hiển thị trên màn "Tặng quà".</t>
        </is>
      </c>
      <c r="I7" s="11" t="inlineStr">
        <is>
          <t>4. Màn hiển thị đúng 4 loại quà, đúng tên: "Bông hoa", "Ly cà phê", "Gấu bông", "Vương miện"; không có loại thứ năm, không có loại nào bị đổi tên hay đổi icon.</t>
        </is>
      </c>
      <c r="J7" s="160" t="inlineStr">
        <is>
          <t>AI</t>
        </is>
      </c>
      <c r="K7" s="160" t="inlineStr">
        <is>
          <t>Pending</t>
        </is>
      </c>
      <c r="L7" s="160" t="inlineStr">
        <is>
          <t>No</t>
        </is>
      </c>
      <c r="M7" s="160" t="inlineStr"/>
      <c r="N7" s="264" t="inlineStr">
        <is>
          <t>Yes</t>
        </is>
      </c>
      <c r="O7" s="264" t="inlineStr"/>
      <c r="P7" s="264" t="inlineStr">
        <is>
          <t>Pass</t>
        </is>
      </c>
      <c r="Q7" s="264" t="inlineStr">
        <is>
          <t>GiangDC2</t>
        </is>
      </c>
      <c r="R7" s="264" t="inlineStr"/>
      <c r="S7" s="264" t="inlineStr"/>
      <c r="T7" s="264" t="n"/>
      <c r="U7" s="264" t="n"/>
      <c r="V7" s="264" t="n"/>
      <c r="W7" s="264" t="n"/>
      <c r="X7" s="264" t="n"/>
      <c r="Y7" s="264" t="n"/>
      <c r="Z7" s="264" t="n"/>
      <c r="AA7" s="264" t="n"/>
      <c r="AB7" s="264" t="n"/>
      <c r="AC7" s="264" t="n"/>
      <c r="AD7" s="264" t="n"/>
      <c r="AE7" s="264" t="n"/>
      <c r="AF7" s="264" t="n"/>
      <c r="AG7" s="264" t="n"/>
      <c r="AH7" s="264" t="n"/>
      <c r="AI7" s="264" t="n"/>
      <c r="AJ7" s="264" t="n"/>
      <c r="AK7" s="264" t="n"/>
      <c r="AL7" s="264" t="n"/>
      <c r="AM7" s="264" t="n"/>
      <c r="AN7" s="264" t="n"/>
      <c r="AO7" s="264" t="n"/>
      <c r="AP7" s="264" t="n"/>
      <c r="AQ7" s="264" t="n"/>
      <c r="AR7" s="158">
        <f>IF($A7="","",IF(OR($N7="Yes",$T7="Yes",$Z7="Yes",$AF7="Yes",$AL7="Yes"),"Yes","No"))</f>
        <v/>
      </c>
      <c r="AS7" s="158">
        <f>IF($A7="","",IFERROR(IF($AM7&lt;&gt;"",$AM7,IF($AG7&lt;&gt;"",$AG7,IF($AA7&lt;&gt;"",$AA7,IF($U7&lt;&gt;"",$U7,IF($O7&lt;&gt;"",$O7,""))))),""))</f>
        <v/>
      </c>
      <c r="AT7" s="158">
        <f>IFERROR(IF($AN7&lt;&gt;"",$AN7,IF($AH7&lt;&gt;"",$AH7,IF($AB7&lt;&gt;"",$AB7,IF($V7&lt;&gt;"",$V7,IF($P7&lt;&gt;"",$P7,""))))),"")</f>
        <v/>
      </c>
      <c r="AU7" s="265" t="inlineStr">
        <is>
          <t>Mục đích: siết Expected từ "đúng 4 loại quà" (chỉ đếm số lượng, v1.0) sang assert đúng TÊN từng loại theo `BR14-01`. · Căn cứ: `DOC-v1.1-01 §8.14.1 BR14-01`. · Đã sửa theo delta v1.1 (2026-09-15): đổi Expected, giữ nguyên Steps/Pre-condition/Test Data so với v1.0.</t>
        </is>
      </c>
    </row>
    <row r="8" ht="60" customHeight="1" s="216">
      <c r="A8" s="160">
        <f>IF($F8="","",$C$2&amp;"."&amp;COUNTA($F$7:$F8)&amp;"")</f>
        <v/>
      </c>
      <c r="B8" s="160" t="inlineStr">
        <is>
          <t>REQ-GIFT-002</t>
        </is>
      </c>
      <c r="C8" s="160" t="inlineStr">
        <is>
          <t>DOC-v1.1-01</t>
        </is>
      </c>
      <c r="D8" s="160" t="inlineStr">
        <is>
          <t>Functional</t>
        </is>
      </c>
      <c r="E8" s="160" t="inlineStr">
        <is>
          <t>Medium</t>
        </is>
      </c>
      <c r="F8" s="11" t="inlineStr">
        <is>
          <t>Check gửi quà hiện đúng popup "Cảm ơn của bạn đã được gửi" kèm nút về trang chủ</t>
        </is>
      </c>
      <c r="G8" s="11" t="inlineStr">
        <is>
          <t>- Đơn đã ở trạng thái Hoàn thành của `SEED-GIFT-02` (xem sheet `Seed` của chính file này, đơn RIÊNG — TC này sẽ tiêu đơn) — không seed riêng.
- Host app FoxPro đã cài trên thiết bị Android/iOS.
Test Data: Đơn Hoàn thành của `SEED-GIFT-02`; loại quà "Bông hoa" (test_data_catalog §GIFT v1.1)</t>
        </is>
      </c>
      <c r="H8" s="11" t="inlineStr">
        <is>
          <t>1. Đăng nhập FoxEco bằng tài khoản A, nhấn tab "Hoạt động" ở bottom nav rồi nhấn tab con "Đã hoàn thành". (setup)
2. Nhấn vào card đơn Hoàn thành đó để mở màn Theo dõi đơn. (setup)
3. Nhấn nút "✓ Cảm ơn người vận chuyển". (setup)
4. Chọn loại quà "Bông hoa".
5. Nhấn nút xác nhận gửi quà.</t>
        </is>
      </c>
      <c r="I8" s="11" t="inlineStr">
        <is>
          <t>5. Quà gửi ngay, không có bước chờ xác nhận của người vận chuyển; popup hiện đúng chuỗi "Cảm ơn của bạn đã được gửi" kèm nút về trang chủ.</t>
        </is>
      </c>
      <c r="J8" s="160" t="inlineStr">
        <is>
          <t>AI</t>
        </is>
      </c>
      <c r="K8" s="160" t="inlineStr">
        <is>
          <t>Pending</t>
        </is>
      </c>
      <c r="L8" s="160" t="inlineStr">
        <is>
          <t>No</t>
        </is>
      </c>
      <c r="M8" s="160" t="inlineStr"/>
      <c r="N8" s="264" t="inlineStr">
        <is>
          <t>Yes</t>
        </is>
      </c>
      <c r="O8" s="264" t="inlineStr"/>
      <c r="P8" s="264" t="inlineStr">
        <is>
          <t>Fail</t>
        </is>
      </c>
      <c r="Q8" s="264" t="inlineStr">
        <is>
          <t>GiangDC2</t>
        </is>
      </c>
      <c r="R8" s="264" t="inlineStr">
        <is>
          <t>FE-308</t>
        </is>
      </c>
      <c r="S8" s="264" t="inlineStr"/>
      <c r="T8" s="264" t="n"/>
      <c r="U8" s="264" t="n"/>
      <c r="V8" s="264" t="n"/>
      <c r="W8" s="264" t="n"/>
      <c r="X8" s="264" t="n"/>
      <c r="Y8" s="264" t="n"/>
      <c r="Z8" s="264" t="n"/>
      <c r="AA8" s="264" t="n"/>
      <c r="AB8" s="264" t="n"/>
      <c r="AC8" s="264" t="n"/>
      <c r="AD8" s="264" t="n"/>
      <c r="AE8" s="264" t="n"/>
      <c r="AF8" s="264" t="n"/>
      <c r="AG8" s="264" t="n"/>
      <c r="AH8" s="264" t="n"/>
      <c r="AI8" s="264" t="n"/>
      <c r="AJ8" s="264" t="n"/>
      <c r="AK8" s="264" t="n"/>
      <c r="AL8" s="264" t="n"/>
      <c r="AM8" s="264" t="n"/>
      <c r="AN8" s="264" t="n"/>
      <c r="AO8" s="264" t="n"/>
      <c r="AP8" s="264" t="n"/>
      <c r="AQ8" s="264" t="n"/>
      <c r="AR8" s="158">
        <f>IF($A8="","",IF(OR($N8="Yes",$T8="Yes",$Z8="Yes",$AF8="Yes",$AL8="Yes"),"Yes","No"))</f>
        <v/>
      </c>
      <c r="AS8" s="158">
        <f>IF($A8="","",IFERROR(IF($AM8&lt;&gt;"",$AM8,IF($AG8&lt;&gt;"",$AG8,IF($AA8&lt;&gt;"",$AA8,IF($U8&lt;&gt;"",$U8,IF($O8&lt;&gt;"",$O8,""))))),""))</f>
        <v/>
      </c>
      <c r="AT8" s="158">
        <f>IFERROR(IF($AN8&lt;&gt;"",$AN8,IF($AH8&lt;&gt;"",$AH8,IF($AB8&lt;&gt;"",$AB8,IF($V8&lt;&gt;"",$V8,IF($P8&lt;&gt;"",$P8,""))))),"")</f>
        <v/>
      </c>
      <c r="AU8" s="265" t="inlineStr">
        <is>
          <t>Mục đích: siết đúng chuỗi popup theo `BR14-02`/`AC-24.1.01` — thay chuỗi "Đã gửi lời cảm ơn!" (v1.0, dựa nguồn thua `US-D15` theo `C-GIFT-03` Resolved) bằng chuỗi chính thức + thêm assert nút về trang chủ. · Căn cứ: `DOC-v1.1-01 §8.14.1 BR14-02` · `§6.2 AC-24.1.01`. ⚠ TC này tiêu 1 đơn Hoàn thành (`SEED-GIFT-02`, không tái dùng được). · Đã sửa theo delta v1.1 (2026-09-15).</t>
        </is>
      </c>
    </row>
    <row r="9" ht="60" customHeight="1" s="216">
      <c r="A9" s="160">
        <f>IF($F9="","",$C$2&amp;"."&amp;COUNTA($F$7:$F9)&amp;"")</f>
        <v/>
      </c>
      <c r="B9" s="160" t="inlineStr">
        <is>
          <t>REQ-GIFT-004</t>
        </is>
      </c>
      <c r="C9" s="160" t="inlineStr">
        <is>
          <t>DOC-v1.1-01</t>
        </is>
      </c>
      <c r="D9" s="160" t="inlineStr">
        <is>
          <t>Functional</t>
        </is>
      </c>
      <c r="E9" s="160" t="inlineStr">
        <is>
          <t>Medium</t>
        </is>
      </c>
      <c r="F9" s="11" t="inlineStr">
        <is>
          <t>Check card đếm quà hiển thị đúng từng loại và tổng khi nhận 5 quà thuộc 2 loại</t>
        </is>
      </c>
      <c r="G9" s="11" t="inlineStr">
        <is>
          <t>- Tài khoản B đã nhận 5 quà gồm 3 "Bông hoa" và 2 "Gấu bông" của `SEED-GIFT-05` (xem sheet `Seed` của chính file này, v1.1 revised) — không seed riêng.
- Host app FoxPro đã cài trên thiết bị Android/iOS.
Test Data: Tài khoản B đã nhận 5 quà (3 Bông hoa + 2 Gấu bông) từ `SEED-GIFT-05` (test_data_catalog §GIFT v1.1, biên)</t>
        </is>
      </c>
      <c r="H9" s="11" t="inlineStr">
        <is>
          <t>1. Đăng nhập FoxEco bằng tài khoản B, nhấn tab "Cá nhân" và nhấn mục menu "Quà đã nhận". (setup)
2. Check các loại quà và số lượng hiển thị trên card đếm.</t>
        </is>
      </c>
      <c r="I9" s="11" t="inlineStr">
        <is>
          <t>2. Card đếm hiển thị đúng 2 loại "Bông hoa" (3) và "Gấu bông" (2), tổng = 5; KHÔNG hiển thị "Ly cà phê" và "Vương miện" kể cả dưới dạng số 0.</t>
        </is>
      </c>
      <c r="J9" s="160" t="inlineStr">
        <is>
          <t>AI</t>
        </is>
      </c>
      <c r="K9" s="160" t="inlineStr">
        <is>
          <t>Pending</t>
        </is>
      </c>
      <c r="L9" s="160" t="inlineStr">
        <is>
          <t>No</t>
        </is>
      </c>
      <c r="M9" s="160" t="inlineStr"/>
      <c r="N9" s="264" t="inlineStr">
        <is>
          <t>Yes</t>
        </is>
      </c>
      <c r="O9" s="264" t="inlineStr"/>
      <c r="P9" s="264" t="inlineStr">
        <is>
          <t>Pass</t>
        </is>
      </c>
      <c r="Q9" s="264" t="inlineStr">
        <is>
          <t>GiangDC2</t>
        </is>
      </c>
      <c r="R9" s="264" t="inlineStr"/>
      <c r="S9" s="264" t="inlineStr"/>
      <c r="T9" s="264" t="n"/>
      <c r="U9" s="264" t="n"/>
      <c r="V9" s="264" t="n"/>
      <c r="W9" s="264" t="n"/>
      <c r="X9" s="264" t="n"/>
      <c r="Y9" s="264" t="n"/>
      <c r="Z9" s="264" t="n"/>
      <c r="AA9" s="264" t="n"/>
      <c r="AB9" s="264" t="n"/>
      <c r="AC9" s="264" t="n"/>
      <c r="AD9" s="264" t="n"/>
      <c r="AE9" s="264" t="n"/>
      <c r="AF9" s="264" t="n"/>
      <c r="AG9" s="264" t="n"/>
      <c r="AH9" s="264" t="n"/>
      <c r="AI9" s="264" t="n"/>
      <c r="AJ9" s="264" t="n"/>
      <c r="AK9" s="264" t="n"/>
      <c r="AL9" s="264" t="n"/>
      <c r="AM9" s="264" t="n"/>
      <c r="AN9" s="264" t="n"/>
      <c r="AO9" s="264" t="n"/>
      <c r="AP9" s="264" t="n"/>
      <c r="AQ9" s="264" t="n"/>
      <c r="AR9" s="158">
        <f>IF($A9="","",IF(OR($N9="Yes",$T9="Yes",$Z9="Yes",$AF9="Yes",$AL9="Yes"),"Yes","No"))</f>
        <v/>
      </c>
      <c r="AS9" s="158">
        <f>IF($A9="","",IFERROR(IF($AM9&lt;&gt;"",$AM9,IF($AG9&lt;&gt;"",$AG9,IF($AA9&lt;&gt;"",$AA9,IF($U9&lt;&gt;"",$U9,IF($O9&lt;&gt;"",$O9,""))))),""))</f>
        <v/>
      </c>
      <c r="AT9" s="158">
        <f>IFERROR(IF($AN9&lt;&gt;"",$AN9,IF($AH9&lt;&gt;"",$AH9,IF($AB9&lt;&gt;"",$AB9,IF($V9&lt;&gt;"",$V9,IF($P9&lt;&gt;"",$P9,""))))),"")</f>
        <v/>
      </c>
      <c r="AU9" s="265" t="inlineStr">
        <is>
          <t>Mục đích: cập nhật bộ số mẫu theo `AC-26.1.01` (5 quà, ≥2 loại) — thay bộ 2 quà/2 loại của v1.0; rule "loại count=0 không hiện card" (`KB-GIFT-03`) vẫn không có nguồn PRD, giữ nguyên như v1.0. · Căn cứ: `DOC-v1.1-01 §6.2 AC-26.1.01`. · Đã sửa theo delta v1.1 (2026-09-15): đổi Test Data từ 2 quà/2 loại sang 5 quà/2 loại.</t>
        </is>
      </c>
    </row>
    <row r="10">
      <c r="A10" s="160">
        <f>IF($F10="","",$C$2&amp;"."&amp;COUNTA($F$7:$F10)&amp;"")</f>
        <v/>
      </c>
      <c r="B10" s="160" t="inlineStr">
        <is>
          <t>REQ-GIFT-004</t>
        </is>
      </c>
      <c r="C10" s="160" t="inlineStr">
        <is>
          <t>DOC-v1.1-01</t>
        </is>
      </c>
      <c r="D10" s="160" t="inlineStr">
        <is>
          <t>UI</t>
        </is>
      </c>
      <c r="E10" s="160" t="inlineStr">
        <is>
          <t>Medium</t>
        </is>
      </c>
      <c r="F10" s="11" t="inlineStr">
        <is>
          <t>Check màn "Quà đã nhận" có danh sách lịch sử nhận quà</t>
        </is>
      </c>
      <c r="G10" s="11" t="inlineStr">
        <is>
          <t>- Tài khoản B đã nhận 5 quà ở các thời điểm khác nhau của `SEED-GIFT-05` (xem sheet `Seed` của chính file này, dùng chung với `TC-GIFT-006`) — không seed riêng.
- Host app FoxPro đã cài trên thiết bị Android/iOS.
Test Data: Tài khoản B đã nhận quà nhiều lần từ `SEED-GIFT-05` (test_data_catalog §GIFT v1.1)</t>
        </is>
      </c>
      <c r="H10" s="11" t="inlineStr">
        <is>
          <t>1. Đăng nhập FoxEco bằng tài khoản B, nhấn tab "Cá nhân" và nhấn mục menu "Quà đã nhận". (setup)
2. Cuộn hết màn, check vùng danh sách lịch sử nhận quà.</t>
        </is>
      </c>
      <c r="I10" s="11" t="inlineStr">
        <is>
          <t>2. Màn CÓ danh sách lịch sử nhận quà (không chỉ có card đếm); số dòng khớp số lần đã nhận quà của `SEED-GIFT-05`.</t>
        </is>
      </c>
      <c r="J10" s="160" t="inlineStr">
        <is>
          <t>AI</t>
        </is>
      </c>
      <c r="K10" s="160" t="inlineStr">
        <is>
          <t>Pending</t>
        </is>
      </c>
      <c r="L10" s="160" t="inlineStr">
        <is>
          <t>No</t>
        </is>
      </c>
      <c r="M10" s="160" t="inlineStr"/>
      <c r="N10" s="264" t="inlineStr">
        <is>
          <t>Yes</t>
        </is>
      </c>
      <c r="O10" s="264" t="inlineStr"/>
      <c r="P10" s="264" t="inlineStr">
        <is>
          <t>Pass</t>
        </is>
      </c>
      <c r="Q10" s="264" t="inlineStr">
        <is>
          <t>GiangDC2</t>
        </is>
      </c>
      <c r="R10" s="264" t="inlineStr"/>
      <c r="S10" s="264" t="inlineStr"/>
      <c r="T10" s="264" t="n"/>
      <c r="U10" s="264" t="n"/>
      <c r="V10" s="264" t="n"/>
      <c r="W10" s="264" t="n"/>
      <c r="X10" s="264" t="n"/>
      <c r="Y10" s="264" t="n"/>
      <c r="Z10" s="264" t="n"/>
      <c r="AA10" s="264" t="n"/>
      <c r="AB10" s="264" t="n"/>
      <c r="AC10" s="264" t="n"/>
      <c r="AD10" s="264" t="n"/>
      <c r="AE10" s="264" t="n"/>
      <c r="AF10" s="264" t="n"/>
      <c r="AG10" s="264" t="n"/>
      <c r="AH10" s="264" t="n"/>
      <c r="AI10" s="264" t="n"/>
      <c r="AJ10" s="264" t="n"/>
      <c r="AK10" s="264" t="n"/>
      <c r="AL10" s="264" t="n"/>
      <c r="AM10" s="264" t="n"/>
      <c r="AN10" s="264" t="n"/>
      <c r="AO10" s="264" t="n"/>
      <c r="AP10" s="264" t="n"/>
      <c r="AQ10" s="264" t="n"/>
      <c r="AR10" s="158">
        <f>IF($A10="","",IF(OR($N10="Yes",$T10="Yes",$Z10="Yes",$AF10="Yes",$AL10="Yes"),"Yes","No"))</f>
        <v/>
      </c>
      <c r="AS10" s="158">
        <f>IF($A10="","",IFERROR(IF($AM10&lt;&gt;"",$AM10,IF($AG10&lt;&gt;"",$AG10,IF($AA10&lt;&gt;"",$AA10,IF($U10&lt;&gt;"",$U10,IF($O10&lt;&gt;"",$O10,""))))),""))</f>
        <v/>
      </c>
      <c r="AT10" s="158">
        <f>IFERROR(IF($AN10&lt;&gt;"",$AN10,IF($AH10&lt;&gt;"",$AH10,IF($AB10&lt;&gt;"",$AB10,IF($V10&lt;&gt;"",$V10,IF($P10&lt;&gt;"",$P10,""))))),"")</f>
        <v/>
      </c>
      <c r="AU10" s="265" t="inlineStr">
        <is>
          <t>Mục đích: hết `[GAP]` của `C-GIFT-03` vế (b) — Resolved: xác nhận CÓ danh sách lịch sử (v1.0 dự kiến FAIL vì chưa thấy trên app, khi đó chỉ ghi nhận); nay assert khẳng định, nâng Priority P3 → P2. · Căn cứ: `DOC-v1.1-01 §6.2 AC-26.1.01` "kèm lịch sử nhận quà". ⚠ Lệch app → log bug, ⛔ không hạ Expected theo hành vi app hiện tại. · Đã sửa theo delta v1.1 (2026-09-15): đổi Expected từ ghi-nhận sang assert cứng + nâng priority.</t>
        </is>
      </c>
    </row>
    <row r="11">
      <c r="A11" s="160">
        <f>IF($F11="","",$C$2&amp;"."&amp;COUNTA($F$7:$F11)&amp;"")</f>
        <v/>
      </c>
      <c r="B11" s="160" t="inlineStr">
        <is>
          <t>REQ-GIFT-007</t>
        </is>
      </c>
      <c r="C11" s="160" t="inlineStr">
        <is>
          <t>DOC-v1.1-01</t>
        </is>
      </c>
      <c r="D11" s="160" t="inlineStr">
        <is>
          <t>UI</t>
        </is>
      </c>
      <c r="E11" s="160" t="inlineStr">
        <is>
          <t>Low</t>
        </is>
      </c>
      <c r="F11" s="11" t="inlineStr">
        <is>
          <t>Check empty state "Quà đã nhận" đúng text và không có CTA</t>
        </is>
      </c>
      <c r="G11" s="11" t="inlineStr">
        <is>
          <t>- Tài khoản CBNV "trắng" trên STG (chưa từng nhận quà, chưa có đơn Hoàn thành nào).
- Host app FoxPro đã cài trên thiết bị Android/iOS.
Test Data: Tài khoản 0 đơn/0 quà (test_data_catalog §GIFT v1.1, biên)</t>
        </is>
      </c>
      <c r="H11" s="11" t="inlineStr">
        <is>
          <t>1. Đăng nhập FoxEco bằng tài khoản "trắng". (setup)
2. Nhấn tab "Cá nhân" và nhấn mục menu "Quà đã nhận". (setup)
3. Check text hiển thị trên màn "Quà đã nhận", thống kê "Đơn đã giúp"/"Quà đã nhận" trên Trang cá nhân, và sự tồn tại của bất kỳ nút CTA nào.</t>
        </is>
      </c>
      <c r="I11" s="11" t="inlineStr">
        <is>
          <t>3. Màn "Quà đã nhận" hiện đúng chuỗi "Chưa nhận được quà nào"; thống kê trên Trang cá nhân hiện đúng "0 đơn đã giúp" / "0 quà đã nhận"; KHÔNG có nút CTA nào trên màn.</t>
        </is>
      </c>
      <c r="J11" s="160" t="inlineStr">
        <is>
          <t>AI</t>
        </is>
      </c>
      <c r="K11" s="160" t="inlineStr">
        <is>
          <t>Pending</t>
        </is>
      </c>
      <c r="L11" s="160" t="inlineStr">
        <is>
          <t>No</t>
        </is>
      </c>
      <c r="M11" s="160" t="inlineStr"/>
      <c r="N11" s="264" t="inlineStr"/>
      <c r="O11" s="264" t="inlineStr"/>
      <c r="P11" s="264" t="inlineStr"/>
      <c r="Q11" s="264" t="inlineStr"/>
      <c r="R11" s="264" t="inlineStr"/>
      <c r="S11" s="264" t="inlineStr"/>
      <c r="T11" s="264" t="n"/>
      <c r="U11" s="264" t="n"/>
      <c r="V11" s="264" t="n"/>
      <c r="W11" s="264" t="n"/>
      <c r="X11" s="264" t="n"/>
      <c r="Y11" s="264" t="n"/>
      <c r="Z11" s="264" t="n"/>
      <c r="AA11" s="264" t="n"/>
      <c r="AB11" s="264" t="n"/>
      <c r="AC11" s="264" t="n"/>
      <c r="AD11" s="264" t="n"/>
      <c r="AE11" s="264" t="n"/>
      <c r="AF11" s="264" t="n"/>
      <c r="AG11" s="264" t="n"/>
      <c r="AH11" s="264" t="n"/>
      <c r="AI11" s="264" t="n"/>
      <c r="AJ11" s="264" t="n"/>
      <c r="AK11" s="264" t="n"/>
      <c r="AL11" s="264" t="n"/>
      <c r="AM11" s="264" t="n"/>
      <c r="AN11" s="264" t="n"/>
      <c r="AO11" s="264" t="n"/>
      <c r="AP11" s="264" t="n"/>
      <c r="AQ11" s="264" t="n"/>
      <c r="AR11" s="158">
        <f>IF($A11="","",IF(OR($N11="Yes",$T11="Yes",$Z11="Yes",$AF11="Yes",$AL11="Yes"),"Yes","No"))</f>
        <v/>
      </c>
      <c r="AS11" s="158">
        <f>IF($A11="","",IFERROR(IF($AM11&lt;&gt;"",$AM11,IF($AG11&lt;&gt;"",$AG11,IF($AA11&lt;&gt;"",$AA11,IF($U11&lt;&gt;"",$U11,IF($O11&lt;&gt;"",$O11,""))))),""))</f>
        <v/>
      </c>
      <c r="AT11" s="158">
        <f>IFERROR(IF($AN11&lt;&gt;"",$AN11,IF($AH11&lt;&gt;"",$AH11,IF($AB11&lt;&gt;"",$AB11,IF($V11&lt;&gt;"",$V11,IF($P11&lt;&gt;"",$P11,""))))),"")</f>
        <v/>
      </c>
      <c r="AU11" s="265" t="inlineStr">
        <is>
          <t>Mục đích: hết `[GAP]` của `C-ORD-06` phần GIFT (`EMP-08`) — Resolved bằng tài liệu phê duyệt, không còn dựa suy diễn `KB-GIFT-03` như v1.0. · Căn cứ: `DOC-v1.1-01 §8.17.1 EMP-08` · `§6.2 AC-26.2.01`. ⚠️ Cột CTA của `EMP-08` = "—" là assert thật theo `BR17-01` (tối đa 1 CTA) — không phải thiếu sót. · Đã sửa theo delta v1.1 (2026-09-15): đổi Expected từ "KHÔNG hiển thị loại quà nào" (v1.0, suy diễn) sang assert verbatim text + thống kê 0/0 + không CTA (theo tài liệu chính thức).</t>
        </is>
      </c>
    </row>
    <row r="12">
      <c r="A12" s="160">
        <f>IF($F12="","",$C$2&amp;"."&amp;COUNTA($F$7:$F12)&amp;"")</f>
        <v/>
      </c>
      <c r="B12" s="160" t="inlineStr">
        <is>
          <t>REQ-GIFT-005</t>
        </is>
      </c>
      <c r="C12" s="160" t="inlineStr">
        <is>
          <t>DOC-v1.1-01</t>
        </is>
      </c>
      <c r="D12" s="160" t="inlineStr">
        <is>
          <t>Functional</t>
        </is>
      </c>
      <c r="E12" s="160" t="inlineStr">
        <is>
          <t>Low</t>
        </is>
      </c>
      <c r="F12" s="11" t="inlineStr">
        <is>
          <t>Check không có sao, điểm, tier hay chỉ số môi trường trên cả 4 bề mặt của luồng tặng quà</t>
        </is>
      </c>
      <c r="G12" s="11" t="inlineStr">
        <is>
          <t>- Đơn đã ở trạng thái Hoàn thành của `SEED-GIFT-06` (xem sheet `Seed` của chính file này, đơn RIÊNG — TC này sẽ tiêu đơn khi gửi quà) — không seed riêng.
- Host app FoxPro đã cài trên thiết bị Android/iOS.
Test Data: Bộ giá trị assert-absent: sao/điểm/tier/chỉ số môi trường, dùng đơn của `SEED-GIFT-06` (test_data_catalog §GIFT v1.1)</t>
        </is>
      </c>
      <c r="H12" s="11" t="inlineStr">
        <is>
          <t>1. Đăng nhập FoxEco bằng tài khoản A, nhấn tab "Hoạt động" ở bottom nav rồi nhấn tab con "Đã hoàn thành". (setup)
2. Nhấn vào card đơn Hoàn thành đó để mở màn Theo dõi đơn. (setup)
3. Nhấn nút "✓ Cảm ơn người vận chuyển". (setup)
4. Chọn 1 loại quà bất kỳ và nhấn xác nhận gửi để mở popup cảm ơn.
5. Đóng popup, nhấn tab "Cá nhân" rồi mở mục menu "Quà đã nhận".
6. Rà toàn bộ 4 bề mặt vừa đi qua (màn "Tặng quà", popup cảm ơn, màn "Quà đã nhận", Trang cá nhân) tìm chấm sao 1–5, điểm số, tier/xếp hạng, chỉ số môi trường.</t>
        </is>
      </c>
      <c r="I12" s="11" t="inlineStr">
        <is>
          <t>6. KHÔNG có chấm sao 1–5, KHÔNG có điểm, KHÔNG có tier/xếp hạng, KHÔNG có chỉ số môi trường ở bất kỳ bề mặt nào trong 4 bề mặt trên.</t>
        </is>
      </c>
      <c r="J12" s="160" t="inlineStr">
        <is>
          <t>AI</t>
        </is>
      </c>
      <c r="K12" s="160" t="inlineStr">
        <is>
          <t>Pending</t>
        </is>
      </c>
      <c r="L12" s="160" t="inlineStr">
        <is>
          <t>No</t>
        </is>
      </c>
      <c r="M12" s="160" t="inlineStr"/>
      <c r="N12" s="264" t="inlineStr"/>
      <c r="O12" s="264" t="inlineStr"/>
      <c r="P12" s="264" t="inlineStr"/>
      <c r="Q12" s="264" t="inlineStr"/>
      <c r="R12" s="264" t="inlineStr"/>
      <c r="S12" s="264" t="inlineStr"/>
      <c r="T12" s="264" t="n"/>
      <c r="U12" s="264" t="n"/>
      <c r="V12" s="264" t="n"/>
      <c r="W12" s="264" t="n"/>
      <c r="X12" s="264" t="n"/>
      <c r="Y12" s="264" t="n"/>
      <c r="Z12" s="264" t="n"/>
      <c r="AA12" s="264" t="n"/>
      <c r="AB12" s="264" t="n"/>
      <c r="AC12" s="264" t="n"/>
      <c r="AD12" s="264" t="n"/>
      <c r="AE12" s="264" t="n"/>
      <c r="AF12" s="264" t="n"/>
      <c r="AG12" s="264" t="n"/>
      <c r="AH12" s="264" t="n"/>
      <c r="AI12" s="264" t="n"/>
      <c r="AJ12" s="264" t="n"/>
      <c r="AK12" s="264" t="n"/>
      <c r="AL12" s="264" t="n"/>
      <c r="AM12" s="264" t="n"/>
      <c r="AN12" s="264" t="n"/>
      <c r="AO12" s="264" t="n"/>
      <c r="AP12" s="264" t="n"/>
      <c r="AQ12" s="264" t="n"/>
      <c r="AR12" s="158">
        <f>IF($A12="","",IF(OR($N12="Yes",$T12="Yes",$Z12="Yes",$AF12="Yes",$AL12="Yes"),"Yes","No"))</f>
        <v/>
      </c>
      <c r="AS12" s="158">
        <f>IF($A12="","",IFERROR(IF($AM12&lt;&gt;"",$AM12,IF($AG12&lt;&gt;"",$AG12,IF($AA12&lt;&gt;"",$AA12,IF($U12&lt;&gt;"",$U12,IF($O12&lt;&gt;"",$O12,""))))),""))</f>
        <v/>
      </c>
      <c r="AT12" s="158">
        <f>IFERROR(IF($AN12&lt;&gt;"",$AN12,IF($AH12&lt;&gt;"",$AH12,IF($AB12&lt;&gt;"",$AB12,IF($V12&lt;&gt;"",$V12,IF($P12&lt;&gt;"",$P12,""))))),"")</f>
        <v/>
      </c>
      <c r="AU12" s="265" t="inlineStr">
        <is>
          <t>Mục đích: `BR14-03` v1.1 liệt kê đủ 4 bề mặt (màn Tặng quà · popup cảm ơn · "Quà đã nhận" · Trang cá nhân) và bổ sung "không chỉ số môi trường" — loại trừ nay là VĨNH VIỄN, không phải "out of scope v1.0" như trước. · Căn cứ: `DOC-v1.1-01 §8.14.1 BR14-03` · `§4 SCOPES`. ⚠️ Cross-ref: `SC-ACT-013` (★ leftover ở `ACT`) nay là defect xác nhận, không còn diễn giải "dấu vết phase sau". · Đã sửa theo delta v1.1 (2026-09-15): mở rộng phạm vi rà từ 3 bề mặt (v1.0: Theo dõi đơn/Tặng quà/Cá nhân) sang đúng 4 bề mặt theo `BR14-03` (thêm popup cảm ơn + "Quà đã nhận") — TC giờ tiêu 1 đơn Hoàn thành riêng (`SEED-GIFT-06`), khác v1.0 (dùng chung `SEED-GIFT-01`, không tiêu đơn).</t>
        </is>
      </c>
    </row>
    <row r="13">
      <c r="A13" s="160">
        <f>IF($F13="","",$C$2&amp;"."&amp;COUNTA($F$7:$F13)&amp;"")</f>
        <v/>
      </c>
      <c r="B13" s="160" t="inlineStr">
        <is>
          <t>REQ-GIFT-009</t>
        </is>
      </c>
      <c r="C13" s="160" t="inlineStr">
        <is>
          <t>DOC-v1.1-01</t>
        </is>
      </c>
      <c r="D13" s="160" t="inlineStr">
        <is>
          <t>Functional</t>
        </is>
      </c>
      <c r="E13" s="160" t="inlineStr">
        <is>
          <t>Medium</t>
        </is>
      </c>
      <c r="F13" s="11" t="inlineStr">
        <is>
          <t>Check đơn RETURNED không có nút tặng quà và vẫn hiện trong lịch sử đơn</t>
        </is>
      </c>
      <c r="G13" s="11" t="inlineStr">
        <is>
          <t>- Đã có sẵn 1 đơn ở trạng thái `RETURNED`, đi hết nhánh `IN_TRANSIT → RETURNING → RETURNED` của `SEED-GIFT-08` (xem sheet `Seed` của chính file này, dùng chung với `DLV`) — không seed riêng; ⚠ có thể KHÔNG seed được nếu STG chưa build `FR09`.
- Host app FoxPro đã cài trên thiết bị Android/iOS.
Test Data: Đơn `RETURNED` của `SEED-GIFT-08` (test_data_catalog §GIFT v1.1)</t>
        </is>
      </c>
      <c r="H13" s="11" t="inlineStr">
        <is>
          <t>1. Đăng nhập FoxEco bằng tài khoản A (Người gửi của đơn `RETURNED` đó), nhấn tab "Hoạt động" ở bottom nav rồi nhấn tab con "Đã hoàn thành". (setup)
2. Nhấn vào card đơn `RETURNED` đó để mở màn Theo dõi đơn. (setup)
3. Rà toàn bộ màn tìm nút tặng quà/"✓ Cảm ơn người vận chuyển", đồng thời check nội dung lý do hoàn hàng.</t>
        </is>
      </c>
      <c r="I13" s="11" t="inlineStr">
        <is>
          <t>3. KHÔNG có nút tặng quà (hay "✓ Cảm ơn người vận chuyển") ở bất kỳ đâu trên màn; màn hiển thị lý do hoàn hàng và đơn vẫn nằm trong lịch sử đơn.</t>
        </is>
      </c>
      <c r="J13" s="160" t="inlineStr">
        <is>
          <t>AI</t>
        </is>
      </c>
      <c r="K13" s="160" t="inlineStr">
        <is>
          <t>Pending</t>
        </is>
      </c>
      <c r="L13" s="160" t="inlineStr">
        <is>
          <t>No</t>
        </is>
      </c>
      <c r="M13" s="160" t="inlineStr"/>
      <c r="N13" s="264" t="inlineStr">
        <is>
          <t>Yes</t>
        </is>
      </c>
      <c r="O13" s="264" t="inlineStr"/>
      <c r="P13" s="264" t="inlineStr">
        <is>
          <t>Block</t>
        </is>
      </c>
      <c r="Q13" s="264" t="inlineStr">
        <is>
          <t>GiangDC2</t>
        </is>
      </c>
      <c r="R13" s="264" t="inlineStr"/>
      <c r="S13" s="264" t="inlineStr"/>
      <c r="T13" s="264" t="n"/>
      <c r="U13" s="264" t="n"/>
      <c r="V13" s="264" t="n"/>
      <c r="W13" s="264" t="n"/>
      <c r="X13" s="264" t="n"/>
      <c r="Y13" s="264" t="n"/>
      <c r="Z13" s="264" t="n"/>
      <c r="AA13" s="264" t="n"/>
      <c r="AB13" s="264" t="n"/>
      <c r="AC13" s="264" t="n"/>
      <c r="AD13" s="264" t="n"/>
      <c r="AE13" s="264" t="n"/>
      <c r="AF13" s="264" t="n"/>
      <c r="AG13" s="264" t="n"/>
      <c r="AH13" s="264" t="n"/>
      <c r="AI13" s="264" t="n"/>
      <c r="AJ13" s="264" t="n"/>
      <c r="AK13" s="264" t="n"/>
      <c r="AL13" s="264" t="n"/>
      <c r="AM13" s="264" t="n"/>
      <c r="AN13" s="264" t="n"/>
      <c r="AO13" s="264" t="n"/>
      <c r="AP13" s="264" t="n"/>
      <c r="AQ13" s="264" t="n"/>
      <c r="AR13" s="158">
        <f>IF($A13="","",IF(OR($N13="Yes",$T13="Yes",$Z13="Yes",$AF13="Yes",$AL13="Yes"),"Yes","No"))</f>
        <v/>
      </c>
      <c r="AS13" s="158">
        <f>IF($A13="","",IFERROR(IF($AM13&lt;&gt;"",$AM13,IF($AG13&lt;&gt;"",$AG13,IF($AA13&lt;&gt;"",$AA13,IF($U13&lt;&gt;"",$U13,IF($O13&lt;&gt;"",$O13,""))))),""))</f>
        <v/>
      </c>
      <c r="AT13" s="158">
        <f>IFERROR(IF($AN13&lt;&gt;"",$AN13,IF($AH13&lt;&gt;"",$AH13,IF($AB13&lt;&gt;"",$AB13,IF($V13&lt;&gt;"",$V13,IF($P13&lt;&gt;"",$P13,""))))),"")</f>
        <v/>
      </c>
      <c r="AU13" s="265" t="inlineStr">
        <is>
          <t>Mục đích: vế (a) — lỗi NHÌN THẤY ĐƯỢC của `AC-24.2.01`; đối chứng với vế (b) âm thầm ở `TC-GIFT-014`. · Căn cứ: `DOC-v1.1-01 §8.14 Pre-Conditions` · `§8.14.1 BR14-04` · `§6.2 AC-24.2.01`. ⛔ Không seed được đơn `RETURNED` (STG chưa build `FR09`) → verdict BLOCKED, ⛔ không PASS ("không thấy nút" không chứng minh gì nếu không có đơn RETURNED thật để thử). · Cross-ref: không nhân bản SC bộ đếm "Đơn đã giúp" sang `USR`/`HOME` — chỉ dùng ở `TC-GIFT-014`. ⚠️ Giả định đơn `RETURNED` nằm trong tab con "Đã hoàn thành" (cùng nhóm với `COMPLETED`, vì cả hai đều là trạng thái đóng) — chưa có nguồn PRD/BA xác nhận rõ tab hiển thị; nếu STG đặt đơn `RETURNED` ở tab khác thì sửa lại step 1, không phải lỗi TC.</t>
        </is>
      </c>
    </row>
    <row r="14">
      <c r="A14" s="160">
        <f>IF($F14="","",$C$2&amp;"."&amp;COUNTA($F$7:$F14)&amp;"")</f>
        <v/>
      </c>
      <c r="B14" s="160" t="inlineStr">
        <is>
          <t>REQ-GIFT-009</t>
        </is>
      </c>
      <c r="C14" s="160" t="inlineStr">
        <is>
          <t>DOC-v1.1-01</t>
        </is>
      </c>
      <c r="D14" s="160" t="inlineStr">
        <is>
          <t>Functional</t>
        </is>
      </c>
      <c r="E14" s="160" t="inlineStr">
        <is>
          <t>Medium</t>
        </is>
      </c>
      <c r="F14" s="11" t="inlineStr">
        <is>
          <t>Check đơn RETURNED không được tính vào chỉ số "Đơn đã giúp"</t>
        </is>
      </c>
      <c r="G14" s="11" t="inlineStr">
        <is>
          <t>- Tài khoản B (Người vận chuyển) đã có sẵn N đơn `COMPLETED` được tính vào "Đơn đã giúp" (tái dùng đơn Hoàn thành từ `SEED-GIFT-01`/`02`/`05`/`06`) — không seed riêng.
- Host app FoxPro đã cài trên thiết bị Android/iOS.
Test Data: N đơn `COMPLETED` có sẵn (ví dụ PRD: 7 — `AC-26.1.01`) + 1 đơn `RETURNED` mới; **bắt buộc ghi số N ở bước 2 TRƯỚC khi đơn RETURNED phát sinh ở bước 3** (test_data_catalog §GIFT v1.1)</t>
        </is>
      </c>
      <c r="H14" s="11" t="inlineStr">
        <is>
          <t>1. Đăng nhập FoxEco bằng tài khoản B, nhấn tab "Cá nhân". (setup)
2. Check và ghi lại số "Đơn đã giúp" hiện tại trên Trang cá nhân (giá trị N).
3. Thực hiện luồng hoàn hàng cho 1 đơn khác của cùng tài khoản B tới khi đơn đó chuyển hẳn sang `RETURNED` (theo đúng quy trình liên module với `DLV`, dùng chung `SEED-GIFT-08`/`SC-DLV-053..056` — xem sheet `Seed` của chính file này). (setup)
4. Quay lại Trang cá nhân, check lại số "Đơn đã giúp".</t>
        </is>
      </c>
      <c r="I14" s="11" t="inlineStr">
        <is>
          <t>4. Số "Đơn đã giúp" vẫn là N (không đổi thành N+1) dù vừa phát sinh thêm 1 đơn `RETURNED`.</t>
        </is>
      </c>
      <c r="J14" s="160" t="inlineStr">
        <is>
          <t>AI</t>
        </is>
      </c>
      <c r="K14" s="160" t="inlineStr">
        <is>
          <t>Pending</t>
        </is>
      </c>
      <c r="L14" s="160" t="inlineStr">
        <is>
          <t>No</t>
        </is>
      </c>
      <c r="M14" s="160" t="inlineStr"/>
      <c r="N14" s="264" t="inlineStr">
        <is>
          <t>Yes</t>
        </is>
      </c>
      <c r="O14" s="264" t="inlineStr"/>
      <c r="P14" s="264" t="inlineStr">
        <is>
          <t>Block</t>
        </is>
      </c>
      <c r="Q14" s="264" t="inlineStr">
        <is>
          <t>GiangDC2</t>
        </is>
      </c>
      <c r="R14" s="264" t="inlineStr"/>
      <c r="S14" s="264" t="inlineStr"/>
      <c r="T14" s="264" t="n"/>
      <c r="U14" s="264" t="n"/>
      <c r="V14" s="264" t="n"/>
      <c r="W14" s="264" t="n"/>
      <c r="X14" s="264" t="n"/>
      <c r="Y14" s="264" t="n"/>
      <c r="Z14" s="264" t="n"/>
      <c r="AA14" s="264" t="n"/>
      <c r="AB14" s="264" t="n"/>
      <c r="AC14" s="264" t="n"/>
      <c r="AD14" s="264" t="n"/>
      <c r="AE14" s="264" t="n"/>
      <c r="AF14" s="264" t="n"/>
      <c r="AG14" s="264" t="n"/>
      <c r="AH14" s="264" t="n"/>
      <c r="AI14" s="264" t="n"/>
      <c r="AJ14" s="264" t="n"/>
      <c r="AK14" s="264" t="n"/>
      <c r="AL14" s="264" t="n"/>
      <c r="AM14" s="264" t="n"/>
      <c r="AN14" s="264" t="n"/>
      <c r="AO14" s="264" t="n"/>
      <c r="AP14" s="264" t="n"/>
      <c r="AQ14" s="264" t="n"/>
      <c r="AR14" s="158">
        <f>IF($A14="","",IF(OR($N14="Yes",$T14="Yes",$Z14="Yes",$AF14="Yes",$AL14="Yes"),"Yes","No"))</f>
        <v/>
      </c>
      <c r="AS14" s="158">
        <f>IF($A14="","",IFERROR(IF($AM14&lt;&gt;"",$AM14,IF($AG14&lt;&gt;"",$AG14,IF($AA14&lt;&gt;"",$AA14,IF($U14&lt;&gt;"",$U14,IF($O14&lt;&gt;"",$O14,""))))),""))</f>
        <v/>
      </c>
      <c r="AT14" s="158">
        <f>IFERROR(IF($AN14&lt;&gt;"",$AN14,IF($AH14&lt;&gt;"",$AH14,IF($AB14&lt;&gt;"",$AB14,IF($V14&lt;&gt;"",$V14,IF($P14&lt;&gt;"",$P14,""))))),"")</f>
        <v/>
      </c>
      <c r="AU14" s="265" t="inlineStr">
        <is>
          <t>Mục đích: vế (b) ÂM THẦM của `AC-24.2.01`/`BR14-04` — sai lệch 1 đơn không nhìn ra được bằng mắt nếu không ghi số trước rồi so sau. · Căn cứ: `DOC-v1.1-01 §8.14.1 BR14-04` · `§6.2 AC-24.2.01`/`AC-26.1.01`. ⛔ Không seed được đơn `RETURNED` (STG chưa build `FR09`) → verdict BLOCKED, ⛔ không PASS. · Cross-ref: cùng bộ đếm với `USR` (2 chỉ số đóng góp) và `HOME`/`ACT` (card "Đóng góp của bạn") — ⛔ không nhân bản SC/TC sang các module đó.</t>
        </is>
      </c>
    </row>
    <row r="15">
      <c r="A15" s="160">
        <f>IF($F15="","",$C$2&amp;"."&amp;COUNTA($F$7:$F15)&amp;"")</f>
        <v/>
      </c>
      <c r="B15" s="160" t="inlineStr">
        <is>
          <t>REQ-GIFT-001</t>
        </is>
      </c>
      <c r="C15" s="160" t="inlineStr">
        <is>
          <t>DOC-v1.0-01 · DOC-v1.0-06</t>
        </is>
      </c>
      <c r="D15" s="160" t="inlineStr">
        <is>
          <t>Functional</t>
        </is>
      </c>
      <c r="E15" s="160" t="inlineStr">
        <is>
          <t>Medium</t>
        </is>
      </c>
      <c r="F15" s="11" t="inlineStr">
        <is>
          <t>Check người gửi nhấn "✓ Cảm ơn người vận chuyển" mở màn "Tặng quà"</t>
        </is>
      </c>
      <c r="G15" s="11" t="inlineStr">
        <is>
          <t>Tài khoản A trên STG là người gửi của 1 đơn ở trạng thái "Hoàn thành", chưa gửi quà cho đơn đó.
Test Data: 1 đơn "Hoàn thành" chưa gửi quà (test_data_catalog §GIFT)</t>
        </is>
      </c>
      <c r="H15" s="11" t="inlineStr">
        <is>
          <t>1. Nhờ dev/QA seed 1 đơn ở trạng thái "Hoàn thành" mà tài khoản A là người gửi và chưa gửi quà. (setup)
2. Đăng nhập FoxEco bằng tài khoản A, nhấn tab "Hoạt động" rồi nhấn tab con "Đã hoàn thành".
3. Nhấn vào card đơn đã hoàn thành để mở màn Theo dõi đơn.
4. Nhấn nút "✓ Cảm ơn người vận chuyển".</t>
        </is>
      </c>
      <c r="I15" s="11" t="inlineStr">
        <is>
          <t>4. Mở màn "Tặng quà" với danh mục các lựa chọn quà.</t>
        </is>
      </c>
      <c r="J15" s="160" t="inlineStr">
        <is>
          <t>AI</t>
        </is>
      </c>
      <c r="K15" s="160" t="inlineStr">
        <is>
          <t>Pending</t>
        </is>
      </c>
      <c r="L15" s="160" t="inlineStr">
        <is>
          <t>No</t>
        </is>
      </c>
      <c r="M15" s="160" t="inlineStr"/>
      <c r="N15" s="264" t="inlineStr">
        <is>
          <t>Yes</t>
        </is>
      </c>
      <c r="O15" s="264" t="inlineStr"/>
      <c r="P15" s="264" t="inlineStr">
        <is>
          <t>Pass</t>
        </is>
      </c>
      <c r="Q15" s="264" t="inlineStr">
        <is>
          <t>GiangDC2</t>
        </is>
      </c>
      <c r="R15" s="264" t="inlineStr"/>
      <c r="S15" s="264" t="inlineStr"/>
      <c r="T15" s="264" t="n"/>
      <c r="U15" s="264" t="n"/>
      <c r="V15" s="264" t="n"/>
      <c r="W15" s="264" t="n"/>
      <c r="X15" s="264" t="n"/>
      <c r="Y15" s="264" t="n"/>
      <c r="Z15" s="264" t="n"/>
      <c r="AA15" s="264" t="n"/>
      <c r="AB15" s="264" t="n"/>
      <c r="AC15" s="264" t="n"/>
      <c r="AD15" s="264" t="n"/>
      <c r="AE15" s="264" t="n"/>
      <c r="AF15" s="264" t="n"/>
      <c r="AG15" s="264" t="n"/>
      <c r="AH15" s="264" t="n"/>
      <c r="AI15" s="264" t="n"/>
      <c r="AJ15" s="264" t="n"/>
      <c r="AK15" s="264" t="n"/>
      <c r="AL15" s="264" t="n"/>
      <c r="AM15" s="264" t="n"/>
      <c r="AN15" s="264" t="n"/>
      <c r="AO15" s="264" t="n"/>
      <c r="AP15" s="264" t="n"/>
      <c r="AQ15" s="264" t="n"/>
      <c r="AR15" s="158">
        <f>IF($A15="","",IF(OR($N15="Yes",$T15="Yes",$Z15="Yes",$AF15="Yes",$AL15="Yes"),"Yes","No"))</f>
        <v/>
      </c>
      <c r="AS15" s="158">
        <f>IF($A15="","",IFERROR(IF($AM15&lt;&gt;"",$AM15,IF($AG15&lt;&gt;"",$AG15,IF($AA15&lt;&gt;"",$AA15,IF($U15&lt;&gt;"",$U15,IF($O15&lt;&gt;"",$O15,""))))),""))</f>
        <v/>
      </c>
      <c r="AT15" s="158">
        <f>IFERROR(IF($AN15&lt;&gt;"",$AN15,IF($AH15&lt;&gt;"",$AH15,IF($AB15&lt;&gt;"",$AB15,IF($V15&lt;&gt;"",$V15,IF($P15&lt;&gt;"",$P15,""))))),"")</f>
        <v/>
      </c>
      <c r="AU15" s="265" t="inlineStr">
        <is>
          <t>Căn cứ: `§A7` L107 + `KB-GIFT-01` (ô 5·Sender của ma trận nhãn nút).</t>
        </is>
      </c>
    </row>
    <row r="16">
      <c r="A16" s="160">
        <f>IF($F16="","",$C$2&amp;"."&amp;COUNTA($F$7:$F16)&amp;"")</f>
        <v/>
      </c>
      <c r="B16" s="160" t="inlineStr">
        <is>
          <t>REQ-GIFT-002</t>
        </is>
      </c>
      <c r="C16" s="160" t="inlineStr">
        <is>
          <t>DOC-v1.0-01</t>
        </is>
      </c>
      <c r="D16" s="160" t="inlineStr">
        <is>
          <t>Functional</t>
        </is>
      </c>
      <c r="E16" s="160" t="inlineStr">
        <is>
          <t>Low</t>
        </is>
      </c>
      <c r="F16" s="11" t="inlineStr">
        <is>
          <t>Check màn "Tặng quà" không có thành phần thanh toán hay quy đổi tiền</t>
        </is>
      </c>
      <c r="G16" s="11" t="inlineStr">
        <is>
          <t>Tài khoản A trên STG là người gửi của 1 đơn ở trạng thái "Hoàn thành", chưa gửi quà cho đơn đó.
Test Data: Bộ giá trị assert-absent: giá tiền / ví / cổng thanh toán / quy đổi điểm (test_data_catalog §GIFT)</t>
        </is>
      </c>
      <c r="H16" s="11" t="inlineStr">
        <is>
          <t>1. Nhờ dev/QA seed 1 đơn "Hoàn thành" mà tài khoản A là người gửi. (setup)
2. Đăng nhập bằng tài khoản A, mở đơn đó và nhấn "✓ Cảm ơn người vận chuyển". (setup)
3. Check toàn màn "Tặng quà", gồm cả vùng cuối màn, tìm giá tiền, ví, cổng thanh toán và mục quy đổi điểm.</t>
        </is>
      </c>
      <c r="I16" s="11" t="inlineStr">
        <is>
          <t>3. KHÔNG có giá tiền trên loại quà nào, KHÔNG có ví, KHÔNG có cổng thanh toán, KHÔNG có mục quy đổi điểm.</t>
        </is>
      </c>
      <c r="J16" s="160" t="inlineStr">
        <is>
          <t>AI</t>
        </is>
      </c>
      <c r="K16" s="160" t="inlineStr">
        <is>
          <t>Pending</t>
        </is>
      </c>
      <c r="L16" s="160" t="inlineStr">
        <is>
          <t>No</t>
        </is>
      </c>
      <c r="M16" s="160" t="inlineStr"/>
      <c r="N16" s="264" t="inlineStr">
        <is>
          <t>Yes</t>
        </is>
      </c>
      <c r="O16" s="264" t="inlineStr"/>
      <c r="P16" s="264" t="inlineStr">
        <is>
          <t>Pass</t>
        </is>
      </c>
      <c r="Q16" s="264" t="inlineStr">
        <is>
          <t>GiangDC2</t>
        </is>
      </c>
      <c r="R16" s="264" t="inlineStr"/>
      <c r="S16" s="264" t="inlineStr"/>
      <c r="T16" s="264" t="n"/>
      <c r="U16" s="264" t="n"/>
      <c r="V16" s="264" t="n"/>
      <c r="W16" s="264" t="n"/>
      <c r="X16" s="264" t="n"/>
      <c r="Y16" s="264" t="n"/>
      <c r="Z16" s="264" t="n"/>
      <c r="AA16" s="264" t="n"/>
      <c r="AB16" s="264" t="n"/>
      <c r="AC16" s="264" t="n"/>
      <c r="AD16" s="264" t="n"/>
      <c r="AE16" s="264" t="n"/>
      <c r="AF16" s="264" t="n"/>
      <c r="AG16" s="264" t="n"/>
      <c r="AH16" s="264" t="n"/>
      <c r="AI16" s="264" t="n"/>
      <c r="AJ16" s="264" t="n"/>
      <c r="AK16" s="264" t="n"/>
      <c r="AL16" s="264" t="n"/>
      <c r="AM16" s="264" t="n"/>
      <c r="AN16" s="264" t="n"/>
      <c r="AO16" s="264" t="n"/>
      <c r="AP16" s="264" t="n"/>
      <c r="AQ16" s="264" t="n"/>
      <c r="AR16" s="158">
        <f>IF($A16="","",IF(OR($N16="Yes",$T16="Yes",$Z16="Yes",$AF16="Yes",$AL16="Yes"),"Yes","No"))</f>
        <v/>
      </c>
      <c r="AS16" s="158">
        <f>IF($A16="","",IFERROR(IF($AM16&lt;&gt;"",$AM16,IF($AG16&lt;&gt;"",$AG16,IF($AA16&lt;&gt;"",$AA16,IF($U16&lt;&gt;"",$U16,IF($O16&lt;&gt;"",$O16,""))))),""))</f>
        <v/>
      </c>
      <c r="AT16" s="158">
        <f>IFERROR(IF($AN16&lt;&gt;"",$AN16,IF($AH16&lt;&gt;"",$AH16,IF($AB16&lt;&gt;"",$AB16,IF($V16&lt;&gt;"",$V16,IF($P16&lt;&gt;"",$P16,""))))),"")</f>
        <v/>
      </c>
      <c r="AU16" s="265" t="inlineStr">
        <is>
          <t>Căn cứ: `BR-GIFT-01` §D4 L271 + `§A7` L111 — quà là biểu tượng phi vật chất; app xuất hiện thành phần thanh toán ⇒ FAIL và mở CL scope.</t>
        </is>
      </c>
    </row>
    <row r="17">
      <c r="A17" s="160">
        <f>IF($F17="","",$C$2&amp;"."&amp;COUNTA($F$7:$F17)&amp;"")</f>
        <v/>
      </c>
      <c r="B17" s="160" t="inlineStr">
        <is>
          <t>REQ-GIFT-003</t>
        </is>
      </c>
      <c r="C17" s="160" t="inlineStr">
        <is>
          <t>DOC-v1.0-06</t>
        </is>
      </c>
      <c r="D17" s="160" t="inlineStr">
        <is>
          <t>Functional</t>
        </is>
      </c>
      <c r="E17" s="160" t="inlineStr">
        <is>
          <t>Medium</t>
        </is>
      </c>
      <c r="F17" s="11" t="inlineStr">
        <is>
          <t>Check sau khi gửi quà nút đổi nhãn "Bạn đã đánh giá" và không gửi lại được cho cùng đơn</t>
        </is>
      </c>
      <c r="G17" s="11" t="inlineStr">
        <is>
          <t>Tài khoản A trên STG là người gửi của 1 đơn ở trạng thái "Hoàn thành", chưa gửi quà cho đơn đó.
Test Data: 1 đơn "Hoàn thành"; số lần gửi quà lần 1 → lần 2 (test_data_catalog §GIFT, biên)</t>
        </is>
      </c>
      <c r="H17" s="11" t="inlineStr">
        <is>
          <t>1. Nhờ dev/QA seed 1 đơn "Hoàn thành" mà tài khoản A là người gửi. (setup)
2. Đăng nhập bằng tài khoản A, mở đơn đó và nhấn "✓ Cảm ơn người vận chuyển". (setup)
3. Chọn loại quà "Ly cà phê" và nhấn xác nhận gửi quà.
4. Nhấn nút quay lại để về màn Theo dõi đơn của đơn đó.
5. Check nhãn và trạng thái của nút tặng quà.
6. Nhấn vào nút đó.</t>
        </is>
      </c>
      <c r="I17" s="11" t="inlineStr">
        <is>
          <t>5. Nút hiển thị nhãn "Bạn đã đánh giá" và ở trạng thái disable.
6. Nhấn nút không mở lại màn "Tặng quà"; không có đường gửi quà lần hai cho đơn này.</t>
        </is>
      </c>
      <c r="J17" s="160" t="inlineStr">
        <is>
          <t>AI</t>
        </is>
      </c>
      <c r="K17" s="160" t="inlineStr">
        <is>
          <t>Pending</t>
        </is>
      </c>
      <c r="L17" s="160" t="inlineStr">
        <is>
          <t>No</t>
        </is>
      </c>
      <c r="M17" s="160" t="inlineStr"/>
      <c r="N17" s="264" t="inlineStr">
        <is>
          <t>Yes</t>
        </is>
      </c>
      <c r="O17" s="264" t="inlineStr"/>
      <c r="P17" s="264" t="inlineStr">
        <is>
          <t>Pass</t>
        </is>
      </c>
      <c r="Q17" s="264" t="inlineStr">
        <is>
          <t>GiangDC2</t>
        </is>
      </c>
      <c r="R17" s="264" t="inlineStr"/>
      <c r="S17" s="264" t="inlineStr"/>
      <c r="T17" s="264" t="n"/>
      <c r="U17" s="264" t="n"/>
      <c r="V17" s="264" t="n"/>
      <c r="W17" s="264" t="n"/>
      <c r="X17" s="264" t="n"/>
      <c r="Y17" s="264" t="n"/>
      <c r="Z17" s="264" t="n"/>
      <c r="AA17" s="264" t="n"/>
      <c r="AB17" s="264" t="n"/>
      <c r="AC17" s="264" t="n"/>
      <c r="AD17" s="264" t="n"/>
      <c r="AE17" s="264" t="n"/>
      <c r="AF17" s="264" t="n"/>
      <c r="AG17" s="264" t="n"/>
      <c r="AH17" s="264" t="n"/>
      <c r="AI17" s="264" t="n"/>
      <c r="AJ17" s="264" t="n"/>
      <c r="AK17" s="264" t="n"/>
      <c r="AL17" s="264" t="n"/>
      <c r="AM17" s="264" t="n"/>
      <c r="AN17" s="264" t="n"/>
      <c r="AO17" s="264" t="n"/>
      <c r="AP17" s="264" t="n"/>
      <c r="AQ17" s="264" t="n"/>
      <c r="AR17" s="158">
        <f>IF($A17="","",IF(OR($N17="Yes",$T17="Yes",$Z17="Yes",$AF17="Yes",$AL17="Yes"),"Yes","No"))</f>
        <v/>
      </c>
      <c r="AS17" s="158">
        <f>IF($A17="","",IFERROR(IF($AM17&lt;&gt;"",$AM17,IF($AG17&lt;&gt;"",$AG17,IF($AA17&lt;&gt;"",$AA17,IF($U17&lt;&gt;"",$U17,IF($O17&lt;&gt;"",$O17,""))))),""))</f>
        <v/>
      </c>
      <c r="AT17" s="158">
        <f>IFERROR(IF($AN17&lt;&gt;"",$AN17,IF($AH17&lt;&gt;"",$AH17,IF($AB17&lt;&gt;"",$AB17,IF($V17&lt;&gt;"",$V17,IF($P17&lt;&gt;"",$P17,""))))),"")</f>
        <v/>
      </c>
      <c r="AU17" s="265" t="inlineStr">
        <is>
          <t>Mục đích: cặp biên lần 1 enable → lần 2 disable; TC này tiêu 1 đơn Hoàn thành. · Căn cứ: `KB-GIFT-01` — nhãn "Bạn đã đánh giá" là **UI leftover** của cơ chế rating đã out of scope, ⛔ không suy ra là có chức năng chấm điểm.</t>
        </is>
      </c>
    </row>
    <row r="18">
      <c r="A18" s="160">
        <f>IF($F18="","",$C$2&amp;"."&amp;COUNTA($F$7:$F18)&amp;"")</f>
        <v/>
      </c>
      <c r="B18" s="160" t="inlineStr">
        <is>
          <t>REQ-GIFT-006</t>
        </is>
      </c>
      <c r="C18" s="160" t="inlineStr">
        <is>
          <t>DOC-v1.0-06</t>
        </is>
      </c>
      <c r="D18" s="160" t="inlineStr">
        <is>
          <t>Functional</t>
        </is>
      </c>
      <c r="E18" s="160" t="inlineStr">
        <is>
          <t>Low</t>
        </is>
      </c>
      <c r="F18" s="11" t="inlineStr">
        <is>
          <t>Check nhấn quay lại ở màn "Quà đã nhận" trở về màn Cá nhân</t>
        </is>
      </c>
      <c r="G18" s="11" t="inlineStr">
        <is>
          <t>Tài khoản B trên STG là người vận chuyển đã nhận ≥1 quà.
Test Data: Tài khoản đã nhận ≥1 quà (test_data_catalog §GIFT)</t>
        </is>
      </c>
      <c r="H18" s="11" t="inlineStr">
        <is>
          <t>1. Nhờ dev/QA seed cho tài khoản B đã nhận ≥1 quà. (setup)
2. Đăng nhập bằng tài khoản B, nhấn tab "Cá nhân" và nhấn mục menu "Quà đã nhận".
3. Nhấn icon quay lại ở header.</t>
        </is>
      </c>
      <c r="I18" s="11" t="inlineStr">
        <is>
          <t>3. Về màn Cá nhân với khối hồ sơ và 2 mục menu hiển thị.</t>
        </is>
      </c>
      <c r="J18" s="160" t="inlineStr">
        <is>
          <t>AI</t>
        </is>
      </c>
      <c r="K18" s="160" t="inlineStr">
        <is>
          <t>Pending</t>
        </is>
      </c>
      <c r="L18" s="160" t="inlineStr">
        <is>
          <t>No</t>
        </is>
      </c>
      <c r="M18" s="160" t="inlineStr"/>
      <c r="N18" s="264" t="inlineStr">
        <is>
          <t>Yes</t>
        </is>
      </c>
      <c r="O18" s="264" t="inlineStr"/>
      <c r="P18" s="264" t="inlineStr">
        <is>
          <t>Pass</t>
        </is>
      </c>
      <c r="Q18" s="264" t="inlineStr">
        <is>
          <t>GiangDC2</t>
        </is>
      </c>
      <c r="R18" s="264" t="inlineStr"/>
      <c r="S18" s="264" t="inlineStr"/>
      <c r="T18" s="264" t="n"/>
      <c r="U18" s="264" t="n"/>
      <c r="V18" s="264" t="n"/>
      <c r="W18" s="264" t="n"/>
      <c r="X18" s="264" t="n"/>
      <c r="Y18" s="264" t="n"/>
      <c r="Z18" s="264" t="n"/>
      <c r="AA18" s="264" t="n"/>
      <c r="AB18" s="264" t="n"/>
      <c r="AC18" s="264" t="n"/>
      <c r="AD18" s="264" t="n"/>
      <c r="AE18" s="264" t="n"/>
      <c r="AF18" s="264" t="n"/>
      <c r="AG18" s="264" t="n"/>
      <c r="AH18" s="264" t="n"/>
      <c r="AI18" s="264" t="n"/>
      <c r="AJ18" s="264" t="n"/>
      <c r="AK18" s="264" t="n"/>
      <c r="AL18" s="264" t="n"/>
      <c r="AM18" s="264" t="n"/>
      <c r="AN18" s="264" t="n"/>
      <c r="AO18" s="264" t="n"/>
      <c r="AP18" s="264" t="n"/>
      <c r="AQ18" s="264" t="n"/>
      <c r="AR18" s="158">
        <f>IF($A18="","",IF(OR($N18="Yes",$T18="Yes",$Z18="Yes",$AF18="Yes",$AL18="Yes"),"Yes","No"))</f>
        <v/>
      </c>
      <c r="AS18" s="158">
        <f>IF($A18="","",IFERROR(IF($AM18&lt;&gt;"",$AM18,IF($AG18&lt;&gt;"",$AG18,IF($AA18&lt;&gt;"",$AA18,IF($U18&lt;&gt;"",$U18,IF($O18&lt;&gt;"",$O18,""))))),""))</f>
        <v/>
      </c>
      <c r="AT18" s="158">
        <f>IFERROR(IF($AN18&lt;&gt;"",$AN18,IF($AH18&lt;&gt;"",$AH18,IF($AB18&lt;&gt;"",$AB18,IF($V18&lt;&gt;"",$V18,IF($P18&lt;&gt;"",$P18,""))))),"")</f>
        <v/>
      </c>
      <c r="AU18" s="265" t="inlineStr"/>
    </row>
    <row r="19">
      <c r="A19" s="160">
        <f>IF($F19="","",$C$2&amp;"."&amp;COUNTA($F$7:$F19)&amp;"")</f>
        <v/>
      </c>
      <c r="B19" s="160" t="inlineStr">
        <is>
          <t>REQ-GIFT-006</t>
        </is>
      </c>
      <c r="C19" s="160" t="inlineStr">
        <is>
          <t>DOC-v1.0-06</t>
        </is>
      </c>
      <c r="D19" s="160" t="inlineStr">
        <is>
          <t>Functional</t>
        </is>
      </c>
      <c r="E19" s="160" t="inlineStr">
        <is>
          <t>Low</t>
        </is>
      </c>
      <c r="F19" s="11" t="inlineStr">
        <is>
          <t>Check nhấn quay lại ở màn "Tặng quà" trở về màn Theo dõi đơn của đúng đơn vừa mở</t>
        </is>
      </c>
      <c r="G19" s="11" t="inlineStr">
        <is>
          <t>Tài khoản A trên STG là người gửi của ≥2 đơn ở trạng thái "Hoàn thành", chưa gửi quà.
Test Data: 2 đơn "Hoàn thành" khác tuyến (test_data_catalog §GIFT)</t>
        </is>
      </c>
      <c r="H19" s="11" t="inlineStr">
        <is>
          <t>1. Nhờ dev/QA seed cho tài khoản A 2 đơn "Hoàn thành" khác nhau về tuyến đường, chưa gửi quà. (setup)
2. Đăng nhập bằng tài khoản A, nhấn tab "Hoạt động" rồi tab con "Đã hoàn thành".
3. Mở đơn thứ hai, ghi lại tuyến đường của đơn, rồi nhấn "✓ Cảm ơn người vận chuyển".
4. Nhấn nút quay lại trên màn "Tặng quà".
5. Check màn hiện ra và tuyến đường của đơn đang mở.</t>
        </is>
      </c>
      <c r="I19" s="11" t="inlineStr">
        <is>
          <t>5. Về màn Theo dõi đơn có tuyến đường trùng khớp đơn đã ghi ở bước 3; không mở màn xác nhận nhận hàng và không mở đơn khác.</t>
        </is>
      </c>
      <c r="J19" s="160" t="inlineStr">
        <is>
          <t>AI</t>
        </is>
      </c>
      <c r="K19" s="160" t="inlineStr">
        <is>
          <t>Pending</t>
        </is>
      </c>
      <c r="L19" s="160" t="inlineStr">
        <is>
          <t>No</t>
        </is>
      </c>
      <c r="M19" s="160" t="inlineStr"/>
      <c r="N19" s="264" t="inlineStr"/>
      <c r="O19" s="264" t="inlineStr"/>
      <c r="P19" s="264" t="inlineStr"/>
      <c r="Q19" s="264" t="inlineStr"/>
      <c r="R19" s="264" t="inlineStr"/>
      <c r="S19" s="264" t="inlineStr"/>
      <c r="T19" s="264" t="n"/>
      <c r="U19" s="264" t="n"/>
      <c r="V19" s="264" t="n"/>
      <c r="W19" s="264" t="n"/>
      <c r="X19" s="264" t="n"/>
      <c r="Y19" s="264" t="n"/>
      <c r="Z19" s="264" t="n"/>
      <c r="AA19" s="264" t="n"/>
      <c r="AB19" s="264" t="n"/>
      <c r="AC19" s="264" t="n"/>
      <c r="AD19" s="264" t="n"/>
      <c r="AE19" s="264" t="n"/>
      <c r="AF19" s="264" t="n"/>
      <c r="AG19" s="264" t="n"/>
      <c r="AH19" s="264" t="n"/>
      <c r="AI19" s="264" t="n"/>
      <c r="AJ19" s="264" t="n"/>
      <c r="AK19" s="264" t="n"/>
      <c r="AL19" s="264" t="n"/>
      <c r="AM19" s="264" t="n"/>
      <c r="AN19" s="264" t="n"/>
      <c r="AO19" s="264" t="n"/>
      <c r="AP19" s="264" t="n"/>
      <c r="AQ19" s="264" t="n"/>
      <c r="AR19" s="158">
        <f>IF($A19="","",IF(OR($N19="Yes",$T19="Yes",$Z19="Yes",$AF19="Yes",$AL19="Yes"),"Yes","No"))</f>
        <v/>
      </c>
      <c r="AS19" s="158">
        <f>IF($A19="","",IFERROR(IF($AM19&lt;&gt;"",$AM19,IF($AG19&lt;&gt;"",$AG19,IF($AA19&lt;&gt;"",$AA19,IF($U19&lt;&gt;"",$U19,IF($O19&lt;&gt;"",$O19,""))))),""))</f>
        <v/>
      </c>
      <c r="AT19" s="158">
        <f>IFERROR(IF($AN19&lt;&gt;"",$AN19,IF($AH19&lt;&gt;"",$AH19,IF($AB19&lt;&gt;"",$AB19,IF($V19&lt;&gt;"",$V19,IF($P19&lt;&gt;"",$P19,""))))),"")</f>
        <v/>
      </c>
      <c r="AU19" s="265" t="inlineStr">
        <is>
          <t>Mục đích: neo vào `C-GIFT-02` Open — đã quan sát back nhảy sang màn "Xác nhận đã nhận hàng" của **đơn khác**. · Căn cứ: `KB-GIFT-04`; dùng 2 đơn để phát hiện nhảy sai đơn. ⚠ Dự kiến FAIL ⇒ **log bug** (`KP-05 §5` #9). · ⚠️ Đã chạy nhưng THIẾU EVIDENCE hợp lệ ⇒ không ghi PASS, tính Not Run (gate verify_evidence.py).</t>
        </is>
      </c>
    </row>
    <row r="20">
      <c r="A20" s="160">
        <f>IF($F20="","",$C$2&amp;"."&amp;COUNTA($F$7:$F20)&amp;"")</f>
        <v/>
      </c>
      <c r="B20" s="160" t="inlineStr">
        <is>
          <t>REQ-GIFT-008</t>
        </is>
      </c>
      <c r="C20" s="160" t="inlineStr">
        <is>
          <t>DOC-v1.0-01</t>
        </is>
      </c>
      <c r="D20" s="160" t="inlineStr">
        <is>
          <t>Functional</t>
        </is>
      </c>
      <c r="E20" s="160" t="inlineStr">
        <is>
          <t>Medium</t>
        </is>
      </c>
      <c r="F20" s="11" t="inlineStr">
        <is>
          <t>Check người vận chuyển nhận thông báo quà cảm ơn và nhấn vào mở Trang cá nhân</t>
        </is>
      </c>
      <c r="G20" s="11" t="inlineStr">
        <is>
          <t>Hai tài khoản CBNV trên STG (A người gửi, B người vận chuyển) trên hai thiết bị.
Test Data: 1 đơn "Hoàn thành"; text thông báo `NTF-07` (test_data_catalog §GIFT)</t>
        </is>
      </c>
      <c r="H20" s="11" t="inlineStr">
        <is>
          <t>1. Nhờ dev/QA seed 1 đơn "Hoàn thành" với A là người gửi và B là người vận chuyển. (setup)
2. Đăng nhập tài khoản A trên thiết bị 1, mở đơn đó, nhấn "✓ Cảm ơn người vận chuyển", chọn "Gấu bông" và xác nhận gửi. (setup)
3. Đăng nhập tài khoản B trên thiết bị 2 và nhấn icon chuông.
4. Nhấn vào thông báo quà cảm ơn.</t>
        </is>
      </c>
      <c r="I20" s="11" t="inlineStr">
        <is>
          <t>3. Danh sách thông báo có thông báo nội dung "Bạn nhận được một món quà cảm ơn 🎁 — mở Trang cá nhân để xem".
4. Mở thẳng màn "Quà đã nhận" của tài khoản B (card đếm quà + khối "LỊCH SỬ NHẬN QUÀ" có món quà vừa nhận).</t>
        </is>
      </c>
      <c r="J20" s="160" t="inlineStr">
        <is>
          <t>AI</t>
        </is>
      </c>
      <c r="K20" s="160" t="inlineStr">
        <is>
          <t>Pending</t>
        </is>
      </c>
      <c r="L20" s="160" t="inlineStr">
        <is>
          <t>No</t>
        </is>
      </c>
      <c r="M20" s="160" t="inlineStr"/>
      <c r="N20" s="264" t="inlineStr">
        <is>
          <t>Yes</t>
        </is>
      </c>
      <c r="O20" s="264" t="inlineStr"/>
      <c r="P20" s="264" t="inlineStr">
        <is>
          <t>Pass</t>
        </is>
      </c>
      <c r="Q20" s="264" t="inlineStr">
        <is>
          <t>GiangDC2</t>
        </is>
      </c>
      <c r="R20" s="264" t="inlineStr"/>
      <c r="S20" s="264" t="inlineStr"/>
      <c r="T20" s="264" t="n"/>
      <c r="U20" s="264" t="n"/>
      <c r="V20" s="264" t="n"/>
      <c r="W20" s="264" t="n"/>
      <c r="X20" s="264" t="n"/>
      <c r="Y20" s="264" t="n"/>
      <c r="Z20" s="264" t="n"/>
      <c r="AA20" s="264" t="n"/>
      <c r="AB20" s="264" t="n"/>
      <c r="AC20" s="264" t="n"/>
      <c r="AD20" s="264" t="n"/>
      <c r="AE20" s="264" t="n"/>
      <c r="AF20" s="264" t="n"/>
      <c r="AG20" s="264" t="n"/>
      <c r="AH20" s="264" t="n"/>
      <c r="AI20" s="264" t="n"/>
      <c r="AJ20" s="264" t="n"/>
      <c r="AK20" s="264" t="n"/>
      <c r="AL20" s="264" t="n"/>
      <c r="AM20" s="264" t="n"/>
      <c r="AN20" s="264" t="n"/>
      <c r="AO20" s="264" t="n"/>
      <c r="AP20" s="264" t="n"/>
      <c r="AQ20" s="264" t="n"/>
      <c r="AR20" s="158">
        <f>IF($A20="","",IF(OR($N20="Yes",$T20="Yes",$Z20="Yes",$AF20="Yes",$AL20="Yes"),"Yes","No"))</f>
        <v/>
      </c>
      <c r="AS20" s="158">
        <f>IF($A20="","",IFERROR(IF($AM20&lt;&gt;"",$AM20,IF($AG20&lt;&gt;"",$AG20,IF($AA20&lt;&gt;"",$AA20,IF($U20&lt;&gt;"",$U20,IF($O20&lt;&gt;"",$O20,""))))),""))</f>
        <v/>
      </c>
      <c r="AT20" s="158">
        <f>IFERROR(IF($AN20&lt;&gt;"",$AN20,IF($AH20&lt;&gt;"",$AH20,IF($AB20&lt;&gt;"",$AB20,IF($V20&lt;&gt;"",$V20,IF($P20&lt;&gt;"",$P20,""))))),"")</f>
        <v/>
      </c>
      <c r="AU20" s="265" t="inlineStr">
        <is>
          <t>Căn cứ: `NTF-07` §D6 L325 + `§A7` L109; Figma bổ sung dòng thứ hai *"[Tên] đã gửi tặng bạn một món quà…"* nên ⛔ không assert thông báo chỉ có đúng 1 dòng. Danh sách loại thông báo chính thức còn chờ `C-NTF-01`. · Cập nhật 2026-09-21 (QC GiangDC2 chốt): nhấn thông báo `NTF-07` mở màn "Quà đã nhận" là ĐÚNG hành vi — sửa Expected step 4 theo app (trước ghi "màn Cá nhân"); không phải bug. ⚠ App chưa hiển thị emoji 🎁 ở thông báo — trang trí, ⛔ không assert.</t>
        </is>
      </c>
    </row>
    <row r="21" ht="15.75" customHeight="1" s="216">
      <c r="A21" s="160" t="n"/>
      <c r="B21" s="160" t="n"/>
      <c r="C21" s="160" t="n"/>
      <c r="D21" s="160" t="n"/>
      <c r="E21" s="160" t="n"/>
      <c r="F21" s="160" t="n"/>
      <c r="G21" s="160" t="n"/>
      <c r="H21" s="160" t="n"/>
      <c r="I21" s="160" t="n"/>
      <c r="J21" s="160" t="n"/>
      <c r="K21" s="160" t="n"/>
      <c r="L21" s="160" t="n"/>
      <c r="M21" s="160" t="n"/>
      <c r="N21" s="160" t="n"/>
      <c r="O21" s="160" t="n"/>
      <c r="P21" s="160" t="n"/>
      <c r="Q21" s="160" t="n"/>
      <c r="R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61" t="n"/>
      <c r="AS21" s="161" t="n"/>
      <c r="AT21" s="1" t="n"/>
      <c r="AU21" s="1" t="n"/>
    </row>
    <row r="22" ht="15.75" customHeight="1" s="216">
      <c r="A22" s="160" t="n"/>
      <c r="B22" s="160" t="n"/>
      <c r="C22" s="160" t="n"/>
      <c r="D22" s="160" t="n"/>
      <c r="E22" s="160" t="n"/>
      <c r="F22" s="160" t="n"/>
      <c r="G22" s="160" t="n"/>
      <c r="H22" s="160" t="n"/>
      <c r="I22" s="160" t="n"/>
      <c r="J22" s="160" t="n"/>
      <c r="K22" s="160" t="n"/>
      <c r="L22" s="160" t="n"/>
      <c r="M22" s="160" t="n"/>
      <c r="N22" s="160" t="n"/>
      <c r="O22" s="160" t="n"/>
      <c r="P22" s="160" t="n"/>
      <c r="Q22" s="160" t="n"/>
      <c r="R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61" t="n"/>
      <c r="AS22" s="161" t="n"/>
      <c r="AT22" s="1" t="n"/>
      <c r="AU22" s="1" t="n"/>
    </row>
    <row r="23" ht="15.75" customHeight="1" s="216">
      <c r="A23" s="160" t="n"/>
      <c r="B23" s="160" t="n"/>
      <c r="C23" s="160" t="n"/>
      <c r="D23" s="160" t="n"/>
      <c r="E23" s="160" t="n"/>
      <c r="F23" s="160" t="n"/>
      <c r="G23" s="160" t="n"/>
      <c r="H23" s="160" t="n"/>
      <c r="I23" s="160" t="n"/>
      <c r="J23" s="160" t="n"/>
      <c r="K23" s="160" t="n"/>
      <c r="L23" s="160" t="n"/>
      <c r="M23" s="160" t="n"/>
      <c r="N23" s="160" t="n"/>
      <c r="O23" s="160" t="n"/>
      <c r="P23" s="160" t="n"/>
      <c r="Q23" s="160" t="n"/>
      <c r="R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61" t="n"/>
      <c r="AS23" s="161" t="n"/>
      <c r="AT23" s="1" t="n"/>
      <c r="AU23" s="1" t="n"/>
    </row>
    <row r="24" ht="15.75" customHeight="1" s="216">
      <c r="A24" s="160" t="n"/>
      <c r="B24" s="160" t="n"/>
      <c r="C24" s="160" t="n"/>
      <c r="D24" s="160" t="n"/>
      <c r="E24" s="160" t="n"/>
      <c r="F24" s="160" t="n"/>
      <c r="G24" s="160" t="n"/>
      <c r="H24" s="160" t="n"/>
      <c r="I24" s="160" t="n"/>
      <c r="J24" s="160" t="n"/>
      <c r="K24" s="160" t="n"/>
      <c r="L24" s="160" t="n"/>
      <c r="M24" s="160" t="n"/>
      <c r="N24" s="160" t="n"/>
      <c r="O24" s="160" t="n"/>
      <c r="P24" s="160" t="n"/>
      <c r="Q24" s="160"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61" t="n"/>
      <c r="AS24" s="161" t="n"/>
      <c r="AT24" s="1" t="n"/>
      <c r="AU24" s="1" t="n"/>
    </row>
    <row r="25" ht="15.75" customHeight="1" s="216">
      <c r="A25" s="160" t="n"/>
      <c r="B25" s="160" t="n"/>
      <c r="C25" s="160" t="n"/>
      <c r="D25" s="160" t="n"/>
      <c r="E25" s="160" t="n"/>
      <c r="F25" s="160" t="n"/>
      <c r="G25" s="160" t="n"/>
      <c r="H25" s="160" t="n"/>
      <c r="I25" s="160" t="n"/>
      <c r="J25" s="160" t="n"/>
      <c r="K25" s="160" t="n"/>
      <c r="L25" s="160" t="n"/>
      <c r="M25" s="160" t="n"/>
      <c r="N25" s="160" t="n"/>
      <c r="O25" s="160" t="n"/>
      <c r="P25" s="160" t="n"/>
      <c r="Q25" s="160"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61" t="n"/>
      <c r="AS25" s="161" t="n"/>
      <c r="AT25" s="1" t="n"/>
      <c r="AU25" s="1" t="n"/>
    </row>
    <row r="26" ht="15.75" customHeight="1" s="216">
      <c r="A26" s="160" t="n"/>
      <c r="B26" s="160" t="n"/>
      <c r="C26" s="160" t="n"/>
      <c r="D26" s="160" t="n"/>
      <c r="E26" s="160" t="n"/>
      <c r="F26" s="160" t="n"/>
      <c r="G26" s="160" t="n"/>
      <c r="H26" s="160" t="n"/>
      <c r="I26" s="160" t="n"/>
      <c r="J26" s="160" t="n"/>
      <c r="K26" s="160" t="n"/>
      <c r="L26" s="160" t="n"/>
      <c r="M26" s="160" t="n"/>
      <c r="N26" s="160" t="n"/>
      <c r="O26" s="160" t="n"/>
      <c r="P26" s="160" t="n"/>
      <c r="Q26" s="160"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61" t="n"/>
      <c r="AS26" s="161" t="n"/>
      <c r="AT26" s="1" t="n"/>
      <c r="AU26" s="1" t="n"/>
    </row>
    <row r="27" ht="15.75" customHeight="1" s="216">
      <c r="A27" s="160" t="n"/>
      <c r="B27" s="160" t="n"/>
      <c r="C27" s="160" t="n"/>
      <c r="D27" s="160" t="n"/>
      <c r="E27" s="160" t="n"/>
      <c r="F27" s="160" t="n"/>
      <c r="G27" s="160" t="n"/>
      <c r="H27" s="160" t="n"/>
      <c r="I27" s="160" t="n"/>
      <c r="J27" s="160" t="n"/>
      <c r="K27" s="160" t="n"/>
      <c r="L27" s="160" t="n"/>
      <c r="M27" s="160" t="n"/>
      <c r="N27" s="160" t="n"/>
      <c r="O27" s="160" t="n"/>
      <c r="P27" s="160" t="n"/>
      <c r="Q27" s="160"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61" t="n"/>
      <c r="AS27" s="161" t="n"/>
      <c r="AT27" s="1" t="n"/>
      <c r="AU27" s="1" t="n"/>
    </row>
    <row r="28" ht="15.75" customHeight="1" s="216">
      <c r="A28" s="160" t="n"/>
      <c r="B28" s="160" t="n"/>
      <c r="C28" s="160" t="n"/>
      <c r="D28" s="160" t="n"/>
      <c r="E28" s="160" t="n"/>
      <c r="F28" s="160" t="n"/>
      <c r="G28" s="160" t="n"/>
      <c r="H28" s="160" t="n"/>
      <c r="I28" s="160" t="n"/>
      <c r="J28" s="160" t="n"/>
      <c r="K28" s="160" t="n"/>
      <c r="L28" s="160" t="n"/>
      <c r="M28" s="160" t="n"/>
      <c r="N28" s="160" t="n"/>
      <c r="O28" s="160" t="n"/>
      <c r="P28" s="160" t="n"/>
      <c r="Q28" s="160"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61" t="n"/>
      <c r="AS28" s="161" t="n"/>
      <c r="AT28" s="1" t="n"/>
      <c r="AU28" s="1" t="n"/>
    </row>
    <row r="29" ht="15.75" customHeight="1" s="216">
      <c r="A29" s="160" t="n"/>
      <c r="B29" s="160" t="n"/>
      <c r="C29" s="160" t="n"/>
      <c r="D29" s="160" t="n"/>
      <c r="E29" s="160" t="n"/>
      <c r="F29" s="160" t="n"/>
      <c r="G29" s="160" t="n"/>
      <c r="H29" s="160" t="n"/>
      <c r="I29" s="160" t="n"/>
      <c r="J29" s="160" t="n"/>
      <c r="K29" s="160" t="n"/>
      <c r="L29" s="160" t="n"/>
      <c r="M29" s="160" t="n"/>
      <c r="N29" s="160" t="n"/>
      <c r="O29" s="160" t="n"/>
      <c r="P29" s="160" t="n"/>
      <c r="Q29" s="160"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61" t="n"/>
      <c r="AS29" s="161" t="n"/>
      <c r="AT29" s="1" t="n"/>
      <c r="AU29" s="1" t="n"/>
    </row>
    <row r="30" ht="15.75" customHeight="1" s="216">
      <c r="A30" s="160" t="n"/>
      <c r="B30" s="160" t="n"/>
      <c r="C30" s="160" t="n"/>
      <c r="D30" s="160" t="n"/>
      <c r="E30" s="160" t="n"/>
      <c r="F30" s="160" t="n"/>
      <c r="G30" s="160" t="n"/>
      <c r="H30" s="160" t="n"/>
      <c r="I30" s="160" t="n"/>
      <c r="J30" s="160" t="n"/>
      <c r="K30" s="160" t="n"/>
      <c r="L30" s="160" t="n"/>
      <c r="M30" s="160" t="n"/>
      <c r="N30" s="160" t="n"/>
      <c r="O30" s="160" t="n"/>
      <c r="P30" s="160" t="n"/>
      <c r="Q30" s="160"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61" t="n"/>
      <c r="AS30" s="161" t="n"/>
      <c r="AT30" s="1" t="n"/>
      <c r="AU30" s="1" t="n"/>
    </row>
    <row r="31" ht="15.75" customHeight="1" s="216">
      <c r="A31" s="160" t="n"/>
      <c r="B31" s="160" t="n"/>
      <c r="C31" s="160" t="n"/>
      <c r="D31" s="160" t="n"/>
      <c r="E31" s="160" t="n"/>
      <c r="F31" s="160" t="n"/>
      <c r="G31" s="160" t="n"/>
      <c r="H31" s="160" t="n"/>
      <c r="I31" s="160" t="n"/>
      <c r="J31" s="160" t="n"/>
      <c r="K31" s="160" t="n"/>
      <c r="L31" s="160" t="n"/>
      <c r="M31" s="160" t="n"/>
      <c r="N31" s="160" t="n"/>
      <c r="O31" s="160" t="n"/>
      <c r="P31" s="160" t="n"/>
      <c r="Q31" s="160"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61" t="n"/>
      <c r="AS31" s="161" t="n"/>
      <c r="AT31" s="1" t="n"/>
      <c r="AU31" s="1" t="n"/>
    </row>
    <row r="32" ht="15.75" customHeight="1" s="216">
      <c r="A32" s="160" t="n"/>
      <c r="B32" s="160" t="n"/>
      <c r="C32" s="160" t="n"/>
      <c r="D32" s="160" t="n"/>
      <c r="E32" s="160" t="n"/>
      <c r="F32" s="160" t="n"/>
      <c r="G32" s="160" t="n"/>
      <c r="H32" s="160" t="n"/>
      <c r="I32" s="160" t="n"/>
      <c r="J32" s="160" t="n"/>
      <c r="K32" s="160" t="n"/>
      <c r="L32" s="160" t="n"/>
      <c r="M32" s="160" t="n"/>
      <c r="N32" s="160" t="n"/>
      <c r="O32" s="160" t="n"/>
      <c r="P32" s="160" t="n"/>
      <c r="Q32" s="160"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61" t="n"/>
      <c r="AS32" s="161" t="n"/>
      <c r="AT32" s="1" t="n"/>
      <c r="AU32" s="1" t="n"/>
    </row>
    <row r="33" ht="15.75" customHeight="1" s="216">
      <c r="A33" s="160" t="n"/>
      <c r="B33" s="160" t="n"/>
      <c r="C33" s="160" t="n"/>
      <c r="D33" s="160" t="n"/>
      <c r="E33" s="160" t="n"/>
      <c r="F33" s="160" t="n"/>
      <c r="G33" s="160" t="n"/>
      <c r="H33" s="160" t="n"/>
      <c r="I33" s="160" t="n"/>
      <c r="J33" s="160" t="n"/>
      <c r="K33" s="160" t="n"/>
      <c r="L33" s="160" t="n"/>
      <c r="M33" s="160" t="n"/>
      <c r="N33" s="160" t="n"/>
      <c r="O33" s="160" t="n"/>
      <c r="P33" s="160" t="n"/>
      <c r="Q33" s="160"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61" t="n"/>
      <c r="AS33" s="161" t="n"/>
      <c r="AT33" s="1" t="n"/>
      <c r="AU33" s="1" t="n"/>
    </row>
    <row r="34" ht="15.75" customHeight="1" s="216">
      <c r="A34" s="160" t="n"/>
      <c r="B34" s="160" t="n"/>
      <c r="C34" s="160" t="n"/>
      <c r="D34" s="160" t="n"/>
      <c r="E34" s="160" t="n"/>
      <c r="F34" s="160" t="n"/>
      <c r="G34" s="160" t="n"/>
      <c r="H34" s="160" t="n"/>
      <c r="I34" s="160" t="n"/>
      <c r="J34" s="160" t="n"/>
      <c r="K34" s="160" t="n"/>
      <c r="L34" s="160" t="n"/>
      <c r="M34" s="160" t="n"/>
      <c r="N34" s="160" t="n"/>
      <c r="O34" s="160" t="n"/>
      <c r="P34" s="160" t="n"/>
      <c r="Q34" s="160"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61" t="n"/>
      <c r="AS34" s="161" t="n"/>
      <c r="AT34" s="1" t="n"/>
      <c r="AU34" s="1" t="n"/>
    </row>
    <row r="35" ht="15.75" customHeight="1" s="216">
      <c r="A35" s="160" t="n"/>
      <c r="B35" s="160" t="n"/>
      <c r="C35" s="160" t="n"/>
      <c r="D35" s="160" t="n"/>
      <c r="E35" s="160" t="n"/>
      <c r="F35" s="160" t="n"/>
      <c r="G35" s="160" t="n"/>
      <c r="H35" s="160" t="n"/>
      <c r="I35" s="160" t="n"/>
      <c r="J35" s="160" t="n"/>
      <c r="K35" s="160" t="n"/>
      <c r="L35" s="160" t="n"/>
      <c r="M35" s="160" t="n"/>
      <c r="N35" s="160" t="n"/>
      <c r="O35" s="160" t="n"/>
      <c r="P35" s="160" t="n"/>
      <c r="Q35" s="160"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61" t="n"/>
      <c r="AS35" s="161" t="n"/>
      <c r="AT35" s="1" t="n"/>
      <c r="AU35" s="1" t="n"/>
    </row>
    <row r="36" ht="15.75" customHeight="1" s="216">
      <c r="A36" s="160" t="n"/>
      <c r="B36" s="160" t="n"/>
      <c r="C36" s="160" t="n"/>
      <c r="D36" s="160" t="n"/>
      <c r="E36" s="160" t="n"/>
      <c r="F36" s="160" t="n"/>
      <c r="G36" s="160" t="n"/>
      <c r="H36" s="160" t="n"/>
      <c r="I36" s="160" t="n"/>
      <c r="J36" s="160" t="n"/>
      <c r="K36" s="160" t="n"/>
      <c r="L36" s="160" t="n"/>
      <c r="M36" s="160" t="n"/>
      <c r="N36" s="160" t="n"/>
      <c r="O36" s="160" t="n"/>
      <c r="P36" s="160" t="n"/>
      <c r="Q36" s="160"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61" t="n"/>
      <c r="AS36" s="161" t="n"/>
      <c r="AT36" s="1" t="n"/>
      <c r="AU36" s="1" t="n"/>
    </row>
    <row r="37" ht="15.75" customHeight="1" s="216">
      <c r="A37" s="160" t="n"/>
      <c r="B37" s="160" t="n"/>
      <c r="C37" s="160" t="n"/>
      <c r="D37" s="160" t="n"/>
      <c r="E37" s="160" t="n"/>
      <c r="F37" s="160" t="n"/>
      <c r="G37" s="160" t="n"/>
      <c r="H37" s="160" t="n"/>
      <c r="I37" s="160" t="n"/>
      <c r="J37" s="160" t="n"/>
      <c r="K37" s="160" t="n"/>
      <c r="L37" s="160" t="n"/>
      <c r="M37" s="160" t="n"/>
      <c r="N37" s="160" t="n"/>
      <c r="O37" s="160" t="n"/>
      <c r="P37" s="160" t="n"/>
      <c r="Q37" s="160"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61" t="n"/>
      <c r="AS37" s="161" t="n"/>
      <c r="AT37" s="1" t="n"/>
      <c r="AU37" s="1" t="n"/>
    </row>
    <row r="38" ht="15.75" customHeight="1" s="216">
      <c r="A38" s="160" t="n"/>
      <c r="B38" s="160" t="n"/>
      <c r="C38" s="160" t="n"/>
      <c r="D38" s="160" t="n"/>
      <c r="E38" s="160" t="n"/>
      <c r="F38" s="160" t="n"/>
      <c r="G38" s="160" t="n"/>
      <c r="H38" s="160" t="n"/>
      <c r="I38" s="160" t="n"/>
      <c r="J38" s="160" t="n"/>
      <c r="K38" s="160" t="n"/>
      <c r="L38" s="160" t="n"/>
      <c r="M38" s="160" t="n"/>
      <c r="N38" s="160" t="n"/>
      <c r="O38" s="160" t="n"/>
      <c r="P38" s="160" t="n"/>
      <c r="Q38" s="160"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61" t="n"/>
      <c r="AS38" s="161" t="n"/>
      <c r="AT38" s="1" t="n"/>
      <c r="AU38" s="1" t="n"/>
    </row>
    <row r="39" ht="15.75" customHeight="1" s="216">
      <c r="A39" s="160" t="n"/>
      <c r="B39" s="160" t="n"/>
      <c r="C39" s="160" t="n"/>
      <c r="D39" s="160" t="n"/>
      <c r="E39" s="160" t="n"/>
      <c r="F39" s="160" t="n"/>
      <c r="G39" s="160" t="n"/>
      <c r="H39" s="160" t="n"/>
      <c r="I39" s="160" t="n"/>
      <c r="J39" s="160" t="n"/>
      <c r="K39" s="160" t="n"/>
      <c r="L39" s="160" t="n"/>
      <c r="M39" s="160" t="n"/>
      <c r="N39" s="160" t="n"/>
      <c r="O39" s="160" t="n"/>
      <c r="P39" s="160" t="n"/>
      <c r="Q39" s="160"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61" t="n"/>
      <c r="AS39" s="161" t="n"/>
      <c r="AT39" s="1" t="n"/>
      <c r="AU39" s="1" t="n"/>
    </row>
    <row r="40" ht="15.75" customHeight="1" s="216">
      <c r="A40" s="160" t="n"/>
      <c r="B40" s="160" t="n"/>
      <c r="C40" s="160" t="n"/>
      <c r="D40" s="160" t="n"/>
      <c r="E40" s="160" t="n"/>
      <c r="F40" s="160" t="n"/>
      <c r="G40" s="160" t="n"/>
      <c r="H40" s="160" t="n"/>
      <c r="I40" s="160" t="n"/>
      <c r="J40" s="160" t="n"/>
      <c r="K40" s="160" t="n"/>
      <c r="L40" s="160" t="n"/>
      <c r="M40" s="160" t="n"/>
      <c r="N40" s="160" t="n"/>
      <c r="O40" s="160" t="n"/>
      <c r="P40" s="160" t="n"/>
      <c r="Q40" s="160"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61" t="n"/>
      <c r="AS40" s="161" t="n"/>
      <c r="AT40" s="1" t="n"/>
      <c r="AU40" s="1" t="n"/>
    </row>
    <row r="41" ht="15.75" customHeight="1" s="216">
      <c r="A41" s="160" t="n"/>
      <c r="B41" s="160" t="n"/>
      <c r="C41" s="160" t="n"/>
      <c r="D41" s="160" t="n"/>
      <c r="E41" s="160" t="n"/>
      <c r="F41" s="160" t="n"/>
      <c r="G41" s="160" t="n"/>
      <c r="H41" s="160" t="n"/>
      <c r="I41" s="160" t="n"/>
      <c r="J41" s="160" t="n"/>
      <c r="K41" s="160" t="n"/>
      <c r="L41" s="160" t="n"/>
      <c r="M41" s="160" t="n"/>
      <c r="N41" s="160" t="n"/>
      <c r="O41" s="160" t="n"/>
      <c r="P41" s="160" t="n"/>
      <c r="Q41" s="160"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61" t="n"/>
      <c r="AS41" s="161" t="n"/>
      <c r="AT41" s="1" t="n"/>
      <c r="AU41" s="1" t="n"/>
    </row>
    <row r="42" ht="15.75" customHeight="1" s="216">
      <c r="A42" s="160" t="n"/>
      <c r="B42" s="160" t="n"/>
      <c r="C42" s="160" t="n"/>
      <c r="D42" s="160" t="n"/>
      <c r="E42" s="160" t="n"/>
      <c r="F42" s="160" t="n"/>
      <c r="G42" s="160" t="n"/>
      <c r="H42" s="160" t="n"/>
      <c r="I42" s="160" t="n"/>
      <c r="J42" s="160" t="n"/>
      <c r="K42" s="160" t="n"/>
      <c r="L42" s="160" t="n"/>
      <c r="M42" s="160" t="n"/>
      <c r="N42" s="160" t="n"/>
      <c r="O42" s="160" t="n"/>
      <c r="P42" s="160" t="n"/>
      <c r="Q42" s="160"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61" t="n"/>
      <c r="AS42" s="161" t="n"/>
      <c r="AT42" s="1" t="n"/>
      <c r="AU42" s="1" t="n"/>
    </row>
    <row r="43" ht="15.75" customHeight="1" s="216">
      <c r="A43" s="160" t="n"/>
      <c r="B43" s="160" t="n"/>
      <c r="C43" s="160" t="n"/>
      <c r="D43" s="160" t="n"/>
      <c r="E43" s="160" t="n"/>
      <c r="F43" s="160" t="n"/>
      <c r="G43" s="160" t="n"/>
      <c r="H43" s="160" t="n"/>
      <c r="I43" s="160" t="n"/>
      <c r="J43" s="160" t="n"/>
      <c r="K43" s="160" t="n"/>
      <c r="L43" s="160" t="n"/>
      <c r="M43" s="160" t="n"/>
      <c r="N43" s="160" t="n"/>
      <c r="O43" s="160" t="n"/>
      <c r="P43" s="160" t="n"/>
      <c r="Q43" s="160"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61" t="n"/>
      <c r="AS43" s="161" t="n"/>
      <c r="AT43" s="1" t="n"/>
      <c r="AU43" s="1" t="n"/>
    </row>
    <row r="44" ht="15.75" customHeight="1" s="216">
      <c r="A44" s="160" t="n"/>
      <c r="B44" s="160" t="n"/>
      <c r="C44" s="160" t="n"/>
      <c r="D44" s="160" t="n"/>
      <c r="E44" s="160" t="n"/>
      <c r="F44" s="160" t="n"/>
      <c r="G44" s="160" t="n"/>
      <c r="H44" s="160" t="n"/>
      <c r="I44" s="160" t="n"/>
      <c r="J44" s="160" t="n"/>
      <c r="K44" s="160" t="n"/>
      <c r="L44" s="160" t="n"/>
      <c r="M44" s="160" t="n"/>
      <c r="N44" s="160" t="n"/>
      <c r="O44" s="160" t="n"/>
      <c r="P44" s="160" t="n"/>
      <c r="Q44" s="160"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61" t="n"/>
      <c r="AS44" s="161" t="n"/>
      <c r="AT44" s="1" t="n"/>
      <c r="AU44" s="1" t="n"/>
    </row>
    <row r="45" ht="15.75" customHeight="1" s="216">
      <c r="A45" s="160" t="n"/>
      <c r="B45" s="160" t="n"/>
      <c r="C45" s="160" t="n"/>
      <c r="D45" s="160" t="n"/>
      <c r="E45" s="160" t="n"/>
      <c r="F45" s="160" t="n"/>
      <c r="G45" s="160" t="n"/>
      <c r="H45" s="160" t="n"/>
      <c r="I45" s="160" t="n"/>
      <c r="J45" s="160" t="n"/>
      <c r="K45" s="160" t="n"/>
      <c r="L45" s="160" t="n"/>
      <c r="M45" s="160" t="n"/>
      <c r="N45" s="160" t="n"/>
      <c r="O45" s="160" t="n"/>
      <c r="P45" s="160" t="n"/>
      <c r="Q45" s="160"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61" t="n"/>
      <c r="AS45" s="161" t="n"/>
      <c r="AT45" s="1" t="n"/>
      <c r="AU45" s="1" t="n"/>
    </row>
    <row r="46" ht="15.75" customHeight="1" s="216">
      <c r="A46" s="160" t="n"/>
      <c r="B46" s="160" t="n"/>
      <c r="C46" s="160" t="n"/>
      <c r="D46" s="160" t="n"/>
      <c r="E46" s="160" t="n"/>
      <c r="F46" s="160" t="n"/>
      <c r="G46" s="160" t="n"/>
      <c r="H46" s="160" t="n"/>
      <c r="I46" s="160" t="n"/>
      <c r="J46" s="160" t="n"/>
      <c r="K46" s="160" t="n"/>
      <c r="L46" s="160" t="n"/>
      <c r="M46" s="160" t="n"/>
      <c r="N46" s="160" t="n"/>
      <c r="O46" s="160" t="n"/>
      <c r="P46" s="160" t="n"/>
      <c r="Q46" s="160"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61" t="n"/>
      <c r="AS46" s="161" t="n"/>
      <c r="AT46" s="1" t="n"/>
      <c r="AU46" s="1" t="n"/>
    </row>
    <row r="47" ht="15.75" customHeight="1" s="216">
      <c r="A47" s="160" t="n"/>
      <c r="B47" s="160" t="n"/>
      <c r="C47" s="160" t="n"/>
      <c r="D47" s="160" t="n"/>
      <c r="E47" s="160" t="n"/>
      <c r="F47" s="160" t="n"/>
      <c r="G47" s="160" t="n"/>
      <c r="H47" s="160" t="n"/>
      <c r="I47" s="160" t="n"/>
      <c r="J47" s="160" t="n"/>
      <c r="K47" s="160" t="n"/>
      <c r="L47" s="160" t="n"/>
      <c r="M47" s="160" t="n"/>
      <c r="N47" s="160" t="n"/>
      <c r="O47" s="160" t="n"/>
      <c r="P47" s="160" t="n"/>
      <c r="Q47" s="160"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61" t="n"/>
      <c r="AS47" s="161" t="n"/>
      <c r="AT47" s="1" t="n"/>
      <c r="AU47" s="1" t="n"/>
    </row>
    <row r="48" ht="15.75" customHeight="1" s="216">
      <c r="A48" s="160" t="n"/>
      <c r="B48" s="160" t="n"/>
      <c r="C48" s="160" t="n"/>
      <c r="D48" s="160" t="n"/>
      <c r="E48" s="160" t="n"/>
      <c r="F48" s="160" t="n"/>
      <c r="G48" s="160" t="n"/>
      <c r="H48" s="160" t="n"/>
      <c r="I48" s="160" t="n"/>
      <c r="J48" s="160" t="n"/>
      <c r="K48" s="160" t="n"/>
      <c r="L48" s="160" t="n"/>
      <c r="M48" s="160" t="n"/>
      <c r="N48" s="160" t="n"/>
      <c r="O48" s="160" t="n"/>
      <c r="P48" s="160" t="n"/>
      <c r="Q48" s="160"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61" t="n"/>
      <c r="AS48" s="161" t="n"/>
      <c r="AT48" s="1" t="n"/>
      <c r="AU48" s="1" t="n"/>
    </row>
    <row r="49" ht="15.75" customHeight="1" s="216">
      <c r="A49" s="160" t="n"/>
      <c r="B49" s="160" t="n"/>
      <c r="C49" s="160" t="n"/>
      <c r="D49" s="160" t="n"/>
      <c r="E49" s="160" t="n"/>
      <c r="F49" s="160" t="n"/>
      <c r="G49" s="160" t="n"/>
      <c r="H49" s="160" t="n"/>
      <c r="I49" s="160" t="n"/>
      <c r="J49" s="160" t="n"/>
      <c r="K49" s="160" t="n"/>
      <c r="L49" s="160" t="n"/>
      <c r="M49" s="160" t="n"/>
      <c r="N49" s="160" t="n"/>
      <c r="O49" s="160" t="n"/>
      <c r="P49" s="160" t="n"/>
      <c r="Q49" s="160"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61" t="n"/>
      <c r="AS49" s="161" t="n"/>
      <c r="AT49" s="1" t="n"/>
      <c r="AU49" s="1" t="n"/>
    </row>
    <row r="50" ht="15.75" customHeight="1" s="216">
      <c r="A50" s="160" t="n"/>
      <c r="B50" s="160" t="n"/>
      <c r="C50" s="160" t="n"/>
      <c r="D50" s="160" t="n"/>
      <c r="E50" s="160" t="n"/>
      <c r="F50" s="160" t="n"/>
      <c r="G50" s="160" t="n"/>
      <c r="H50" s="160" t="n"/>
      <c r="I50" s="160" t="n"/>
      <c r="J50" s="160" t="n"/>
      <c r="K50" s="160" t="n"/>
      <c r="L50" s="160" t="n"/>
      <c r="M50" s="160" t="n"/>
      <c r="N50" s="160" t="n"/>
      <c r="O50" s="160" t="n"/>
      <c r="P50" s="160" t="n"/>
      <c r="Q50" s="160"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61" t="n"/>
      <c r="AS50" s="161" t="n"/>
      <c r="AT50" s="1" t="n"/>
      <c r="AU50" s="1" t="n"/>
    </row>
    <row r="51" ht="15.75" customHeight="1" s="216">
      <c r="A51" s="160" t="n"/>
      <c r="B51" s="160" t="n"/>
      <c r="C51" s="160" t="n"/>
      <c r="D51" s="160" t="n"/>
      <c r="E51" s="160" t="n"/>
      <c r="F51" s="160" t="n"/>
      <c r="G51" s="160" t="n"/>
      <c r="H51" s="160" t="n"/>
      <c r="I51" s="160" t="n"/>
      <c r="J51" s="160" t="n"/>
      <c r="K51" s="160" t="n"/>
      <c r="L51" s="160" t="n"/>
      <c r="M51" s="160" t="n"/>
      <c r="N51" s="160" t="n"/>
      <c r="O51" s="160" t="n"/>
      <c r="P51" s="160" t="n"/>
      <c r="Q51" s="160"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61" t="n"/>
      <c r="AS51" s="161" t="n"/>
      <c r="AT51" s="1" t="n"/>
      <c r="AU51" s="1" t="n"/>
    </row>
    <row r="52" ht="15.75" customHeight="1" s="216">
      <c r="A52" s="160" t="n"/>
      <c r="B52" s="160" t="n"/>
      <c r="C52" s="160" t="n"/>
      <c r="D52" s="160" t="n"/>
      <c r="E52" s="160" t="n"/>
      <c r="F52" s="160" t="n"/>
      <c r="G52" s="160" t="n"/>
      <c r="H52" s="160" t="n"/>
      <c r="I52" s="160" t="n"/>
      <c r="J52" s="160" t="n"/>
      <c r="K52" s="160" t="n"/>
      <c r="L52" s="160" t="n"/>
      <c r="M52" s="160" t="n"/>
      <c r="N52" s="160" t="n"/>
      <c r="O52" s="160" t="n"/>
      <c r="P52" s="160" t="n"/>
      <c r="Q52" s="160"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61" t="n"/>
      <c r="AS52" s="161" t="n"/>
      <c r="AT52" s="1" t="n"/>
      <c r="AU52" s="1" t="n"/>
    </row>
    <row r="53" ht="15.75" customHeight="1" s="216">
      <c r="A53" s="160" t="n"/>
      <c r="B53" s="160" t="n"/>
      <c r="C53" s="160" t="n"/>
      <c r="D53" s="160" t="n"/>
      <c r="E53" s="160" t="n"/>
      <c r="F53" s="160" t="n"/>
      <c r="G53" s="160" t="n"/>
      <c r="H53" s="160" t="n"/>
      <c r="I53" s="160" t="n"/>
      <c r="J53" s="160" t="n"/>
      <c r="K53" s="160" t="n"/>
      <c r="L53" s="160" t="n"/>
      <c r="M53" s="160" t="n"/>
      <c r="N53" s="160" t="n"/>
      <c r="O53" s="160" t="n"/>
      <c r="P53" s="160" t="n"/>
      <c r="Q53" s="160"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61" t="n"/>
      <c r="AS53" s="161" t="n"/>
      <c r="AT53" s="1" t="n"/>
      <c r="AU53" s="1" t="n"/>
    </row>
    <row r="54" ht="15.75" customHeight="1" s="216">
      <c r="A54" s="160" t="n"/>
      <c r="B54" s="160" t="n"/>
      <c r="C54" s="160" t="n"/>
      <c r="D54" s="160" t="n"/>
      <c r="E54" s="160" t="n"/>
      <c r="F54" s="160" t="n"/>
      <c r="G54" s="160" t="n"/>
      <c r="H54" s="160" t="n"/>
      <c r="I54" s="160" t="n"/>
      <c r="J54" s="160" t="n"/>
      <c r="K54" s="160" t="n"/>
      <c r="L54" s="160" t="n"/>
      <c r="M54" s="160" t="n"/>
      <c r="N54" s="160" t="n"/>
      <c r="O54" s="160" t="n"/>
      <c r="P54" s="160" t="n"/>
      <c r="Q54" s="160"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61" t="n"/>
      <c r="AS54" s="161" t="n"/>
      <c r="AT54" s="1" t="n"/>
      <c r="AU54" s="1" t="n"/>
    </row>
    <row r="55" ht="15.75" customHeight="1" s="216">
      <c r="A55" s="160" t="n"/>
      <c r="B55" s="160" t="n"/>
      <c r="C55" s="160" t="n"/>
      <c r="D55" s="160" t="n"/>
      <c r="E55" s="160" t="n"/>
      <c r="F55" s="160" t="n"/>
      <c r="G55" s="160" t="n"/>
      <c r="H55" s="160" t="n"/>
      <c r="I55" s="160" t="n"/>
      <c r="J55" s="160" t="n"/>
      <c r="K55" s="160" t="n"/>
      <c r="L55" s="160" t="n"/>
      <c r="M55" s="160" t="n"/>
      <c r="N55" s="160" t="n"/>
      <c r="O55" s="160" t="n"/>
      <c r="P55" s="160" t="n"/>
      <c r="Q55" s="160"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61" t="n"/>
      <c r="AS55" s="161" t="n"/>
      <c r="AT55" s="1" t="n"/>
      <c r="AU55" s="1" t="n"/>
    </row>
    <row r="56" ht="15.75" customHeight="1" s="216">
      <c r="A56" s="160" t="n"/>
      <c r="B56" s="160" t="n"/>
      <c r="C56" s="160" t="n"/>
      <c r="D56" s="160" t="n"/>
      <c r="E56" s="160" t="n"/>
      <c r="F56" s="160" t="n"/>
      <c r="G56" s="160" t="n"/>
      <c r="H56" s="160" t="n"/>
      <c r="I56" s="160" t="n"/>
      <c r="J56" s="160" t="n"/>
      <c r="K56" s="160" t="n"/>
      <c r="L56" s="160" t="n"/>
      <c r="M56" s="160" t="n"/>
      <c r="N56" s="160" t="n"/>
      <c r="O56" s="160" t="n"/>
      <c r="P56" s="160" t="n"/>
      <c r="Q56" s="160"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61" t="n"/>
      <c r="AS56" s="161" t="n"/>
      <c r="AT56" s="1" t="n"/>
      <c r="AU56" s="1" t="n"/>
    </row>
    <row r="57" ht="15.75" customHeight="1" s="216">
      <c r="A57" s="160" t="n"/>
      <c r="B57" s="160" t="n"/>
      <c r="C57" s="160" t="n"/>
      <c r="D57" s="160" t="n"/>
      <c r="E57" s="160" t="n"/>
      <c r="F57" s="160" t="n"/>
      <c r="G57" s="160" t="n"/>
      <c r="H57" s="160" t="n"/>
      <c r="I57" s="160" t="n"/>
      <c r="J57" s="160" t="n"/>
      <c r="K57" s="160" t="n"/>
      <c r="L57" s="160" t="n"/>
      <c r="M57" s="160" t="n"/>
      <c r="N57" s="160" t="n"/>
      <c r="O57" s="160" t="n"/>
      <c r="P57" s="160" t="n"/>
      <c r="Q57" s="160"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61" t="n"/>
      <c r="AS57" s="161" t="n"/>
      <c r="AT57" s="1" t="n"/>
      <c r="AU57" s="1" t="n"/>
    </row>
    <row r="58" ht="15.75" customHeight="1" s="216">
      <c r="A58" s="160" t="n"/>
      <c r="B58" s="160" t="n"/>
      <c r="C58" s="160" t="n"/>
      <c r="D58" s="160" t="n"/>
      <c r="E58" s="160" t="n"/>
      <c r="F58" s="160" t="n"/>
      <c r="G58" s="160" t="n"/>
      <c r="H58" s="160" t="n"/>
      <c r="I58" s="160" t="n"/>
      <c r="J58" s="160" t="n"/>
      <c r="K58" s="160" t="n"/>
      <c r="L58" s="160" t="n"/>
      <c r="M58" s="160" t="n"/>
      <c r="N58" s="160" t="n"/>
      <c r="O58" s="160" t="n"/>
      <c r="P58" s="160" t="n"/>
      <c r="Q58" s="160"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61" t="n"/>
      <c r="AS58" s="161" t="n"/>
      <c r="AT58" s="1" t="n"/>
      <c r="AU58" s="1" t="n"/>
    </row>
    <row r="59" ht="15.75" customHeight="1" s="216">
      <c r="A59" s="160" t="n"/>
      <c r="B59" s="160" t="n"/>
      <c r="C59" s="160" t="n"/>
      <c r="D59" s="160" t="n"/>
      <c r="E59" s="160" t="n"/>
      <c r="F59" s="160" t="n"/>
      <c r="G59" s="160" t="n"/>
      <c r="H59" s="160" t="n"/>
      <c r="I59" s="160" t="n"/>
      <c r="J59" s="160" t="n"/>
      <c r="K59" s="160" t="n"/>
      <c r="L59" s="160" t="n"/>
      <c r="M59" s="160" t="n"/>
      <c r="N59" s="160" t="n"/>
      <c r="O59" s="160" t="n"/>
      <c r="P59" s="160" t="n"/>
      <c r="Q59" s="160"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61" t="n"/>
      <c r="AS59" s="161" t="n"/>
      <c r="AT59" s="1" t="n"/>
      <c r="AU59" s="1" t="n"/>
    </row>
    <row r="60" ht="15.75" customHeight="1" s="216">
      <c r="A60" s="160" t="n"/>
      <c r="B60" s="160" t="n"/>
      <c r="C60" s="160" t="n"/>
      <c r="D60" s="160" t="n"/>
      <c r="E60" s="160" t="n"/>
      <c r="F60" s="160" t="n"/>
      <c r="G60" s="160" t="n"/>
      <c r="H60" s="160" t="n"/>
      <c r="I60" s="160" t="n"/>
      <c r="J60" s="160" t="n"/>
      <c r="K60" s="160" t="n"/>
      <c r="L60" s="160" t="n"/>
      <c r="M60" s="160" t="n"/>
      <c r="N60" s="160" t="n"/>
      <c r="O60" s="160" t="n"/>
      <c r="P60" s="160" t="n"/>
      <c r="Q60" s="160"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61" t="n"/>
      <c r="AS60" s="161" t="n"/>
      <c r="AT60" s="1" t="n"/>
      <c r="AU60" s="1" t="n"/>
    </row>
    <row r="61" ht="15.75" customHeight="1" s="216">
      <c r="A61" s="1" t="n"/>
      <c r="B61" s="1" t="n"/>
      <c r="C61" s="1" t="n"/>
      <c r="D61" s="1" t="n"/>
      <c r="E61" s="181" t="n"/>
      <c r="F61" s="181" t="n"/>
      <c r="G61" s="1" t="n"/>
      <c r="H61" s="1" t="n"/>
      <c r="I61" s="1" t="n"/>
      <c r="J61" s="1" t="n"/>
      <c r="K61" s="181" t="n"/>
      <c r="L61" s="181" t="n"/>
      <c r="M61" s="181" t="n"/>
      <c r="N61" s="1" t="n"/>
      <c r="O61" s="181" t="n"/>
      <c r="P61" s="181" t="n"/>
      <c r="Q61" s="18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row>
    <row r="62" ht="15.75" customHeight="1" s="216">
      <c r="A62" s="1" t="n"/>
      <c r="B62" s="1" t="n"/>
      <c r="C62" s="1" t="n"/>
      <c r="D62" s="1" t="n"/>
      <c r="E62" s="181" t="n"/>
      <c r="F62" s="181" t="n"/>
      <c r="G62" s="1" t="n"/>
      <c r="H62" s="1" t="n"/>
      <c r="I62" s="1" t="n"/>
      <c r="J62" s="1" t="n"/>
      <c r="K62" s="181" t="n"/>
      <c r="L62" s="181" t="n"/>
      <c r="M62" s="181" t="n"/>
      <c r="N62" s="1" t="n"/>
      <c r="O62" s="181" t="n"/>
      <c r="P62" s="181" t="n"/>
      <c r="Q62" s="18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row>
    <row r="63" ht="15.75" customHeight="1" s="216">
      <c r="A63" s="1" t="n"/>
      <c r="B63" s="1" t="n"/>
      <c r="C63" s="1" t="n"/>
      <c r="D63" s="1" t="n"/>
      <c r="E63" s="181" t="n"/>
      <c r="F63" s="181" t="n"/>
      <c r="G63" s="1" t="n"/>
      <c r="H63" s="1" t="n"/>
      <c r="I63" s="1" t="n"/>
      <c r="J63" s="1" t="n"/>
      <c r="K63" s="181" t="n"/>
      <c r="L63" s="181" t="n"/>
      <c r="M63" s="181" t="n"/>
      <c r="N63" s="1" t="n"/>
      <c r="O63" s="181" t="n"/>
      <c r="P63" s="181" t="n"/>
      <c r="Q63" s="18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row>
    <row r="64" ht="15.75" customHeight="1" s="216">
      <c r="A64" s="1" t="n"/>
      <c r="B64" s="1" t="n"/>
      <c r="C64" s="1" t="n"/>
      <c r="D64" s="1" t="n"/>
      <c r="E64" s="181" t="n"/>
      <c r="F64" s="181" t="n"/>
      <c r="G64" s="1" t="n"/>
      <c r="H64" s="1" t="n"/>
      <c r="I64" s="1" t="n"/>
      <c r="J64" s="1" t="n"/>
      <c r="K64" s="181" t="n"/>
      <c r="L64" s="181" t="n"/>
      <c r="M64" s="181" t="n"/>
      <c r="N64" s="1" t="n"/>
      <c r="O64" s="181" t="n"/>
      <c r="P64" s="181" t="n"/>
      <c r="Q64" s="18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row>
    <row r="65" ht="15.75" customHeight="1" s="216">
      <c r="A65" s="1" t="n"/>
      <c r="B65" s="1" t="n"/>
      <c r="C65" s="1" t="n"/>
      <c r="D65" s="1" t="n"/>
      <c r="E65" s="181" t="n"/>
      <c r="F65" s="181" t="n"/>
      <c r="G65" s="1" t="n"/>
      <c r="H65" s="1" t="n"/>
      <c r="I65" s="1" t="n"/>
      <c r="J65" s="1" t="n"/>
      <c r="K65" s="181" t="n"/>
      <c r="L65" s="181" t="n"/>
      <c r="M65" s="181" t="n"/>
      <c r="N65" s="1" t="n"/>
      <c r="O65" s="181" t="n"/>
      <c r="P65" s="181" t="n"/>
      <c r="Q65" s="18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row>
    <row r="66" ht="15.75" customHeight="1" s="216">
      <c r="A66" s="1" t="n"/>
      <c r="B66" s="1" t="n"/>
      <c r="C66" s="1" t="n"/>
      <c r="D66" s="1" t="n"/>
      <c r="E66" s="181" t="n"/>
      <c r="F66" s="181" t="n"/>
      <c r="G66" s="1" t="n"/>
      <c r="H66" s="1" t="n"/>
      <c r="I66" s="1" t="n"/>
      <c r="J66" s="1" t="n"/>
      <c r="K66" s="181" t="n"/>
      <c r="L66" s="181" t="n"/>
      <c r="M66" s="181" t="n"/>
      <c r="N66" s="1" t="n"/>
      <c r="O66" s="181" t="n"/>
      <c r="P66" s="181" t="n"/>
      <c r="Q66" s="18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row>
    <row r="67" ht="15.75" customHeight="1" s="216">
      <c r="A67" s="1" t="n"/>
      <c r="B67" s="1" t="n"/>
      <c r="C67" s="1" t="n"/>
      <c r="D67" s="1" t="n"/>
      <c r="E67" s="181" t="n"/>
      <c r="F67" s="181" t="n"/>
      <c r="G67" s="1" t="n"/>
      <c r="H67" s="1" t="n"/>
      <c r="I67" s="1" t="n"/>
      <c r="J67" s="1" t="n"/>
      <c r="K67" s="181" t="n"/>
      <c r="L67" s="181" t="n"/>
      <c r="M67" s="181" t="n"/>
      <c r="N67" s="1" t="n"/>
      <c r="O67" s="181" t="n"/>
      <c r="P67" s="181" t="n"/>
      <c r="Q67" s="18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row>
    <row r="68" ht="15.75" customHeight="1" s="216">
      <c r="A68" s="1" t="n"/>
      <c r="B68" s="1" t="n"/>
      <c r="C68" s="1" t="n"/>
      <c r="D68" s="1" t="n"/>
      <c r="E68" s="181" t="n"/>
      <c r="F68" s="181" t="n"/>
      <c r="G68" s="1" t="n"/>
      <c r="H68" s="1" t="n"/>
      <c r="I68" s="1" t="n"/>
      <c r="J68" s="1" t="n"/>
      <c r="K68" s="181" t="n"/>
      <c r="L68" s="181" t="n"/>
      <c r="M68" s="181" t="n"/>
      <c r="N68" s="1" t="n"/>
      <c r="O68" s="181" t="n"/>
      <c r="P68" s="181" t="n"/>
      <c r="Q68" s="18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row>
    <row r="69" ht="15.75" customHeight="1" s="216">
      <c r="A69" s="1" t="n"/>
      <c r="B69" s="1" t="n"/>
      <c r="C69" s="1" t="n"/>
      <c r="D69" s="1" t="n"/>
      <c r="E69" s="181" t="n"/>
      <c r="F69" s="181" t="n"/>
      <c r="G69" s="1" t="n"/>
      <c r="H69" s="1" t="n"/>
      <c r="I69" s="1" t="n"/>
      <c r="J69" s="1" t="n"/>
      <c r="K69" s="181" t="n"/>
      <c r="L69" s="181" t="n"/>
      <c r="M69" s="181" t="n"/>
      <c r="N69" s="1" t="n"/>
      <c r="O69" s="181" t="n"/>
      <c r="P69" s="181" t="n"/>
      <c r="Q69" s="18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row>
    <row r="70" ht="15.75" customHeight="1" s="216">
      <c r="A70" s="1" t="n"/>
      <c r="B70" s="1" t="n"/>
      <c r="C70" s="1" t="n"/>
      <c r="D70" s="1" t="n"/>
      <c r="E70" s="181" t="n"/>
      <c r="F70" s="181" t="n"/>
      <c r="G70" s="1" t="n"/>
      <c r="H70" s="1" t="n"/>
      <c r="I70" s="1" t="n"/>
      <c r="J70" s="1" t="n"/>
      <c r="K70" s="181" t="n"/>
      <c r="L70" s="181" t="n"/>
      <c r="M70" s="181" t="n"/>
      <c r="N70" s="1" t="n"/>
      <c r="O70" s="181" t="n"/>
      <c r="P70" s="181" t="n"/>
      <c r="Q70" s="18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row>
    <row r="71" ht="15.75" customHeight="1" s="216">
      <c r="A71" s="1" t="n"/>
      <c r="B71" s="1" t="n"/>
      <c r="C71" s="1" t="n"/>
      <c r="D71" s="1" t="n"/>
      <c r="E71" s="181" t="n"/>
      <c r="F71" s="181" t="n"/>
      <c r="G71" s="1" t="n"/>
      <c r="H71" s="1" t="n"/>
      <c r="I71" s="1" t="n"/>
      <c r="J71" s="1" t="n"/>
      <c r="K71" s="181" t="n"/>
      <c r="L71" s="181" t="n"/>
      <c r="M71" s="181" t="n"/>
      <c r="N71" s="1" t="n"/>
      <c r="O71" s="181" t="n"/>
      <c r="P71" s="181" t="n"/>
      <c r="Q71" s="18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row>
    <row r="72" ht="15.75" customHeight="1" s="216">
      <c r="A72" s="1" t="n"/>
      <c r="B72" s="1" t="n"/>
      <c r="C72" s="1" t="n"/>
      <c r="D72" s="1" t="n"/>
      <c r="E72" s="181" t="n"/>
      <c r="F72" s="181" t="n"/>
      <c r="G72" s="1" t="n"/>
      <c r="H72" s="1" t="n"/>
      <c r="I72" s="1" t="n"/>
      <c r="J72" s="1" t="n"/>
      <c r="K72" s="181" t="n"/>
      <c r="L72" s="181" t="n"/>
      <c r="M72" s="181" t="n"/>
      <c r="N72" s="1" t="n"/>
      <c r="O72" s="181" t="n"/>
      <c r="P72" s="181" t="n"/>
      <c r="Q72" s="18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row>
    <row r="73" ht="15.75" customHeight="1" s="216">
      <c r="A73" s="1" t="n"/>
      <c r="B73" s="1" t="n"/>
      <c r="C73" s="1" t="n"/>
      <c r="D73" s="1" t="n"/>
      <c r="E73" s="181" t="n"/>
      <c r="F73" s="181" t="n"/>
      <c r="G73" s="1" t="n"/>
      <c r="H73" s="1" t="n"/>
      <c r="I73" s="1" t="n"/>
      <c r="J73" s="1" t="n"/>
      <c r="K73" s="181" t="n"/>
      <c r="L73" s="181" t="n"/>
      <c r="M73" s="181" t="n"/>
      <c r="N73" s="1" t="n"/>
      <c r="O73" s="181" t="n"/>
      <c r="P73" s="181" t="n"/>
      <c r="Q73" s="18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row>
    <row r="74" ht="15.75" customHeight="1" s="216">
      <c r="A74" s="1" t="n"/>
      <c r="B74" s="1" t="n"/>
      <c r="C74" s="1" t="n"/>
      <c r="D74" s="1" t="n"/>
      <c r="E74" s="181" t="n"/>
      <c r="F74" s="181" t="n"/>
      <c r="G74" s="1" t="n"/>
      <c r="H74" s="1" t="n"/>
      <c r="I74" s="1" t="n"/>
      <c r="J74" s="1" t="n"/>
      <c r="K74" s="181" t="n"/>
      <c r="L74" s="181" t="n"/>
      <c r="M74" s="181" t="n"/>
      <c r="N74" s="1" t="n"/>
      <c r="O74" s="181" t="n"/>
      <c r="P74" s="181" t="n"/>
      <c r="Q74" s="18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row>
    <row r="75" ht="15.75" customHeight="1" s="216">
      <c r="A75" s="1" t="n"/>
      <c r="B75" s="1" t="n"/>
      <c r="C75" s="1" t="n"/>
      <c r="D75" s="1" t="n"/>
      <c r="E75" s="181" t="n"/>
      <c r="F75" s="181" t="n"/>
      <c r="G75" s="1" t="n"/>
      <c r="H75" s="1" t="n"/>
      <c r="I75" s="1" t="n"/>
      <c r="J75" s="1" t="n"/>
      <c r="K75" s="181" t="n"/>
      <c r="L75" s="181" t="n"/>
      <c r="M75" s="181" t="n"/>
      <c r="N75" s="1" t="n"/>
      <c r="O75" s="181" t="n"/>
      <c r="P75" s="181" t="n"/>
      <c r="Q75" s="18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row>
    <row r="76" ht="15.75" customHeight="1" s="216">
      <c r="A76" s="1" t="n"/>
      <c r="B76" s="1" t="n"/>
      <c r="C76" s="1" t="n"/>
      <c r="D76" s="1" t="n"/>
      <c r="E76" s="181" t="n"/>
      <c r="F76" s="181" t="n"/>
      <c r="G76" s="1" t="n"/>
      <c r="H76" s="1" t="n"/>
      <c r="I76" s="1" t="n"/>
      <c r="J76" s="1" t="n"/>
      <c r="K76" s="181" t="n"/>
      <c r="L76" s="181" t="n"/>
      <c r="M76" s="181" t="n"/>
      <c r="N76" s="1" t="n"/>
      <c r="O76" s="181" t="n"/>
      <c r="P76" s="181" t="n"/>
      <c r="Q76" s="18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row>
    <row r="77" ht="15.75" customHeight="1" s="216">
      <c r="A77" s="1" t="n"/>
      <c r="B77" s="1" t="n"/>
      <c r="C77" s="1" t="n"/>
      <c r="D77" s="1" t="n"/>
      <c r="E77" s="181" t="n"/>
      <c r="F77" s="181" t="n"/>
      <c r="G77" s="1" t="n"/>
      <c r="H77" s="1" t="n"/>
      <c r="I77" s="1" t="n"/>
      <c r="J77" s="1" t="n"/>
      <c r="K77" s="181" t="n"/>
      <c r="L77" s="181" t="n"/>
      <c r="M77" s="181" t="n"/>
      <c r="N77" s="1" t="n"/>
      <c r="O77" s="181" t="n"/>
      <c r="P77" s="181" t="n"/>
      <c r="Q77" s="18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row>
    <row r="78" ht="15.75" customHeight="1" s="216">
      <c r="A78" s="1" t="n"/>
      <c r="B78" s="1" t="n"/>
      <c r="C78" s="1" t="n"/>
      <c r="D78" s="1" t="n"/>
      <c r="E78" s="181" t="n"/>
      <c r="F78" s="181" t="n"/>
      <c r="G78" s="1" t="n"/>
      <c r="H78" s="1" t="n"/>
      <c r="I78" s="1" t="n"/>
      <c r="J78" s="1" t="n"/>
      <c r="K78" s="181" t="n"/>
      <c r="L78" s="181" t="n"/>
      <c r="M78" s="181" t="n"/>
      <c r="N78" s="1" t="n"/>
      <c r="O78" s="181" t="n"/>
      <c r="P78" s="181" t="n"/>
      <c r="Q78" s="18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row>
    <row r="79" ht="15.75" customHeight="1" s="216">
      <c r="A79" s="1" t="n"/>
      <c r="B79" s="1" t="n"/>
      <c r="C79" s="1" t="n"/>
      <c r="D79" s="1" t="n"/>
      <c r="E79" s="181" t="n"/>
      <c r="F79" s="181" t="n"/>
      <c r="G79" s="1" t="n"/>
      <c r="H79" s="1" t="n"/>
      <c r="I79" s="1" t="n"/>
      <c r="J79" s="1" t="n"/>
      <c r="K79" s="181" t="n"/>
      <c r="L79" s="181" t="n"/>
      <c r="M79" s="181" t="n"/>
      <c r="N79" s="1" t="n"/>
      <c r="O79" s="181" t="n"/>
      <c r="P79" s="181" t="n"/>
      <c r="Q79" s="18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row>
    <row r="80" ht="15.75" customHeight="1" s="216">
      <c r="A80" s="1" t="n"/>
      <c r="B80" s="1" t="n"/>
      <c r="C80" s="1" t="n"/>
      <c r="D80" s="1" t="n"/>
      <c r="E80" s="181" t="n"/>
      <c r="F80" s="181" t="n"/>
      <c r="G80" s="1" t="n"/>
      <c r="H80" s="1" t="n"/>
      <c r="I80" s="1" t="n"/>
      <c r="J80" s="1" t="n"/>
      <c r="K80" s="181" t="n"/>
      <c r="L80" s="181" t="n"/>
      <c r="M80" s="181" t="n"/>
      <c r="N80" s="1" t="n"/>
      <c r="O80" s="181" t="n"/>
      <c r="P80" s="181" t="n"/>
      <c r="Q80" s="18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row>
    <row r="81" ht="15.75" customHeight="1" s="216">
      <c r="A81" s="1" t="n"/>
      <c r="B81" s="1" t="n"/>
      <c r="C81" s="1" t="n"/>
      <c r="D81" s="1" t="n"/>
      <c r="E81" s="181" t="n"/>
      <c r="F81" s="181" t="n"/>
      <c r="G81" s="1" t="n"/>
      <c r="H81" s="1" t="n"/>
      <c r="I81" s="1" t="n"/>
      <c r="J81" s="1" t="n"/>
      <c r="K81" s="181" t="n"/>
      <c r="L81" s="181" t="n"/>
      <c r="M81" s="181" t="n"/>
      <c r="N81" s="1" t="n"/>
      <c r="O81" s="181" t="n"/>
      <c r="P81" s="181" t="n"/>
      <c r="Q81" s="18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row>
    <row r="82" ht="15.75" customHeight="1" s="216">
      <c r="A82" s="1" t="n"/>
      <c r="B82" s="1" t="n"/>
      <c r="C82" s="1" t="n"/>
      <c r="D82" s="1" t="n"/>
      <c r="E82" s="181" t="n"/>
      <c r="F82" s="181" t="n"/>
      <c r="G82" s="1" t="n"/>
      <c r="H82" s="1" t="n"/>
      <c r="I82" s="1" t="n"/>
      <c r="J82" s="1" t="n"/>
      <c r="K82" s="181" t="n"/>
      <c r="L82" s="181" t="n"/>
      <c r="M82" s="181" t="n"/>
      <c r="N82" s="1" t="n"/>
      <c r="O82" s="181" t="n"/>
      <c r="P82" s="181" t="n"/>
      <c r="Q82" s="18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row>
    <row r="83" ht="15.75" customHeight="1" s="216">
      <c r="A83" s="1" t="n"/>
      <c r="B83" s="1" t="n"/>
      <c r="C83" s="1" t="n"/>
      <c r="D83" s="1" t="n"/>
      <c r="E83" s="181" t="n"/>
      <c r="F83" s="181" t="n"/>
      <c r="G83" s="1" t="n"/>
      <c r="H83" s="1" t="n"/>
      <c r="I83" s="1" t="n"/>
      <c r="J83" s="1" t="n"/>
      <c r="K83" s="181" t="n"/>
      <c r="L83" s="181" t="n"/>
      <c r="M83" s="181" t="n"/>
      <c r="N83" s="1" t="n"/>
      <c r="O83" s="181" t="n"/>
      <c r="P83" s="181" t="n"/>
      <c r="Q83" s="18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row>
    <row r="84" ht="15.75" customHeight="1" s="216">
      <c r="A84" s="1" t="n"/>
      <c r="B84" s="1" t="n"/>
      <c r="C84" s="1" t="n"/>
      <c r="D84" s="1" t="n"/>
      <c r="E84" s="181" t="n"/>
      <c r="F84" s="181" t="n"/>
      <c r="G84" s="1" t="n"/>
      <c r="H84" s="1" t="n"/>
      <c r="I84" s="1" t="n"/>
      <c r="J84" s="1" t="n"/>
      <c r="K84" s="181" t="n"/>
      <c r="L84" s="181" t="n"/>
      <c r="M84" s="181" t="n"/>
      <c r="N84" s="1" t="n"/>
      <c r="O84" s="181" t="n"/>
      <c r="P84" s="181" t="n"/>
      <c r="Q84" s="18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row>
    <row r="85" ht="15.75" customHeight="1" s="216">
      <c r="A85" s="1" t="n"/>
      <c r="B85" s="1" t="n"/>
      <c r="C85" s="1" t="n"/>
      <c r="D85" s="1" t="n"/>
      <c r="E85" s="181" t="n"/>
      <c r="F85" s="181" t="n"/>
      <c r="G85" s="1" t="n"/>
      <c r="H85" s="1" t="n"/>
      <c r="I85" s="1" t="n"/>
      <c r="J85" s="1" t="n"/>
      <c r="K85" s="181" t="n"/>
      <c r="L85" s="181" t="n"/>
      <c r="M85" s="181" t="n"/>
      <c r="N85" s="1" t="n"/>
      <c r="O85" s="181" t="n"/>
      <c r="P85" s="181" t="n"/>
      <c r="Q85" s="18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row>
    <row r="86" ht="15.75" customHeight="1" s="216">
      <c r="A86" s="1" t="n"/>
      <c r="B86" s="1" t="n"/>
      <c r="C86" s="1" t="n"/>
      <c r="D86" s="1" t="n"/>
      <c r="E86" s="181" t="n"/>
      <c r="F86" s="181" t="n"/>
      <c r="G86" s="1" t="n"/>
      <c r="H86" s="1" t="n"/>
      <c r="I86" s="1" t="n"/>
      <c r="J86" s="1" t="n"/>
      <c r="K86" s="181" t="n"/>
      <c r="L86" s="181" t="n"/>
      <c r="M86" s="181" t="n"/>
      <c r="N86" s="1" t="n"/>
      <c r="O86" s="181" t="n"/>
      <c r="P86" s="181" t="n"/>
      <c r="Q86" s="18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row>
    <row r="87" ht="15.75" customHeight="1" s="216">
      <c r="A87" s="1" t="n"/>
      <c r="B87" s="1" t="n"/>
      <c r="C87" s="1" t="n"/>
      <c r="D87" s="1" t="n"/>
      <c r="E87" s="181" t="n"/>
      <c r="F87" s="181" t="n"/>
      <c r="G87" s="1" t="n"/>
      <c r="H87" s="1" t="n"/>
      <c r="I87" s="1" t="n"/>
      <c r="J87" s="1" t="n"/>
      <c r="K87" s="181" t="n"/>
      <c r="L87" s="181" t="n"/>
      <c r="M87" s="181" t="n"/>
      <c r="N87" s="1" t="n"/>
      <c r="O87" s="181" t="n"/>
      <c r="P87" s="181" t="n"/>
      <c r="Q87" s="18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row>
    <row r="88" ht="15.75" customHeight="1" s="216">
      <c r="A88" s="1" t="n"/>
      <c r="B88" s="1" t="n"/>
      <c r="C88" s="1" t="n"/>
      <c r="D88" s="1" t="n"/>
      <c r="E88" s="181" t="n"/>
      <c r="F88" s="181" t="n"/>
      <c r="G88" s="1" t="n"/>
      <c r="H88" s="1" t="n"/>
      <c r="I88" s="1" t="n"/>
      <c r="J88" s="1" t="n"/>
      <c r="K88" s="181" t="n"/>
      <c r="L88" s="181" t="n"/>
      <c r="M88" s="181" t="n"/>
      <c r="N88" s="1" t="n"/>
      <c r="O88" s="181" t="n"/>
      <c r="P88" s="181" t="n"/>
      <c r="Q88" s="18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row>
    <row r="89" ht="15.75" customHeight="1" s="216">
      <c r="A89" s="1" t="n"/>
      <c r="B89" s="1" t="n"/>
      <c r="C89" s="1" t="n"/>
      <c r="D89" s="1" t="n"/>
      <c r="E89" s="181" t="n"/>
      <c r="F89" s="181" t="n"/>
      <c r="G89" s="1" t="n"/>
      <c r="H89" s="1" t="n"/>
      <c r="I89" s="1" t="n"/>
      <c r="J89" s="1" t="n"/>
      <c r="K89" s="181" t="n"/>
      <c r="L89" s="181" t="n"/>
      <c r="M89" s="181" t="n"/>
      <c r="N89" s="1" t="n"/>
      <c r="O89" s="181" t="n"/>
      <c r="P89" s="181" t="n"/>
      <c r="Q89" s="18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row>
    <row r="90" ht="15.75" customHeight="1" s="216">
      <c r="A90" s="1" t="n"/>
      <c r="B90" s="1" t="n"/>
      <c r="C90" s="1" t="n"/>
      <c r="D90" s="1" t="n"/>
      <c r="E90" s="181" t="n"/>
      <c r="F90" s="181" t="n"/>
      <c r="G90" s="1" t="n"/>
      <c r="H90" s="1" t="n"/>
      <c r="I90" s="1" t="n"/>
      <c r="J90" s="1" t="n"/>
      <c r="K90" s="181" t="n"/>
      <c r="L90" s="181" t="n"/>
      <c r="M90" s="181" t="n"/>
      <c r="N90" s="1" t="n"/>
      <c r="O90" s="181" t="n"/>
      <c r="P90" s="181" t="n"/>
      <c r="Q90" s="18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row>
    <row r="91" ht="15.75" customHeight="1" s="216">
      <c r="A91" s="1" t="n"/>
      <c r="B91" s="1" t="n"/>
      <c r="C91" s="1" t="n"/>
      <c r="D91" s="1" t="n"/>
      <c r="E91" s="181" t="n"/>
      <c r="F91" s="181" t="n"/>
      <c r="G91" s="1" t="n"/>
      <c r="H91" s="1" t="n"/>
      <c r="I91" s="1" t="n"/>
      <c r="J91" s="1" t="n"/>
      <c r="K91" s="181" t="n"/>
      <c r="L91" s="181" t="n"/>
      <c r="M91" s="181" t="n"/>
      <c r="N91" s="1" t="n"/>
      <c r="O91" s="181" t="n"/>
      <c r="P91" s="181" t="n"/>
      <c r="Q91" s="18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row>
    <row r="92" ht="15.75" customHeight="1" s="216">
      <c r="A92" s="1" t="n"/>
      <c r="B92" s="1" t="n"/>
      <c r="C92" s="1" t="n"/>
      <c r="D92" s="1" t="n"/>
      <c r="E92" s="181" t="n"/>
      <c r="F92" s="181" t="n"/>
      <c r="G92" s="1" t="n"/>
      <c r="H92" s="1" t="n"/>
      <c r="I92" s="1" t="n"/>
      <c r="J92" s="1" t="n"/>
      <c r="K92" s="181" t="n"/>
      <c r="L92" s="181" t="n"/>
      <c r="M92" s="181" t="n"/>
      <c r="N92" s="1" t="n"/>
      <c r="O92" s="181" t="n"/>
      <c r="P92" s="181" t="n"/>
      <c r="Q92" s="18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row>
    <row r="93" ht="15.75" customHeight="1" s="216">
      <c r="A93" s="1" t="n"/>
      <c r="B93" s="1" t="n"/>
      <c r="C93" s="1" t="n"/>
      <c r="D93" s="1" t="n"/>
      <c r="E93" s="181" t="n"/>
      <c r="F93" s="181" t="n"/>
      <c r="G93" s="1" t="n"/>
      <c r="H93" s="1" t="n"/>
      <c r="I93" s="1" t="n"/>
      <c r="J93" s="1" t="n"/>
      <c r="K93" s="181" t="n"/>
      <c r="L93" s="181" t="n"/>
      <c r="M93" s="181" t="n"/>
      <c r="N93" s="1" t="n"/>
      <c r="O93" s="181" t="n"/>
      <c r="P93" s="181" t="n"/>
      <c r="Q93" s="18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row>
    <row r="94" ht="15.75" customHeight="1" s="216">
      <c r="A94" s="1" t="n"/>
      <c r="B94" s="1" t="n"/>
      <c r="C94" s="1" t="n"/>
      <c r="D94" s="1" t="n"/>
      <c r="E94" s="181" t="n"/>
      <c r="F94" s="181" t="n"/>
      <c r="G94" s="1" t="n"/>
      <c r="H94" s="1" t="n"/>
      <c r="I94" s="1" t="n"/>
      <c r="J94" s="1" t="n"/>
      <c r="K94" s="181" t="n"/>
      <c r="L94" s="181" t="n"/>
      <c r="M94" s="181" t="n"/>
      <c r="N94" s="1" t="n"/>
      <c r="O94" s="181" t="n"/>
      <c r="P94" s="181" t="n"/>
      <c r="Q94" s="18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row>
    <row r="95" ht="15.75" customHeight="1" s="216">
      <c r="A95" s="1" t="n"/>
      <c r="B95" s="1" t="n"/>
      <c r="C95" s="1" t="n"/>
      <c r="D95" s="1" t="n"/>
      <c r="E95" s="181" t="n"/>
      <c r="F95" s="181" t="n"/>
      <c r="G95" s="1" t="n"/>
      <c r="H95" s="1" t="n"/>
      <c r="I95" s="1" t="n"/>
      <c r="J95" s="1" t="n"/>
      <c r="K95" s="181" t="n"/>
      <c r="L95" s="181" t="n"/>
      <c r="M95" s="181" t="n"/>
      <c r="N95" s="1" t="n"/>
      <c r="O95" s="181" t="n"/>
      <c r="P95" s="181" t="n"/>
      <c r="Q95" s="18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row>
    <row r="96" ht="15.75" customHeight="1" s="216">
      <c r="A96" s="1" t="n"/>
      <c r="B96" s="1" t="n"/>
      <c r="C96" s="1" t="n"/>
      <c r="D96" s="1" t="n"/>
      <c r="E96" s="181" t="n"/>
      <c r="F96" s="181" t="n"/>
      <c r="G96" s="1" t="n"/>
      <c r="H96" s="1" t="n"/>
      <c r="I96" s="1" t="n"/>
      <c r="J96" s="1" t="n"/>
      <c r="K96" s="181" t="n"/>
      <c r="L96" s="181" t="n"/>
      <c r="M96" s="181" t="n"/>
      <c r="N96" s="1" t="n"/>
      <c r="O96" s="181" t="n"/>
      <c r="P96" s="181" t="n"/>
      <c r="Q96" s="18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row>
    <row r="97" ht="15.75" customHeight="1" s="216">
      <c r="A97" s="1" t="n"/>
      <c r="B97" s="1" t="n"/>
      <c r="C97" s="1" t="n"/>
      <c r="D97" s="1" t="n"/>
      <c r="E97" s="181" t="n"/>
      <c r="F97" s="181" t="n"/>
      <c r="G97" s="1" t="n"/>
      <c r="H97" s="1" t="n"/>
      <c r="I97" s="1" t="n"/>
      <c r="J97" s="1" t="n"/>
      <c r="K97" s="181" t="n"/>
      <c r="L97" s="181" t="n"/>
      <c r="M97" s="181" t="n"/>
      <c r="N97" s="1" t="n"/>
      <c r="O97" s="181" t="n"/>
      <c r="P97" s="181" t="n"/>
      <c r="Q97" s="18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row>
    <row r="98" ht="15.75" customHeight="1" s="216">
      <c r="A98" s="1" t="n"/>
      <c r="B98" s="1" t="n"/>
      <c r="C98" s="1" t="n"/>
      <c r="D98" s="1" t="n"/>
      <c r="E98" s="181" t="n"/>
      <c r="F98" s="181" t="n"/>
      <c r="G98" s="1" t="n"/>
      <c r="H98" s="1" t="n"/>
      <c r="I98" s="1" t="n"/>
      <c r="J98" s="1" t="n"/>
      <c r="K98" s="181" t="n"/>
      <c r="L98" s="181" t="n"/>
      <c r="M98" s="181" t="n"/>
      <c r="N98" s="1" t="n"/>
      <c r="O98" s="181" t="n"/>
      <c r="P98" s="181" t="n"/>
      <c r="Q98" s="18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row>
    <row r="99" ht="15.75" customHeight="1" s="216">
      <c r="A99" s="1" t="n"/>
      <c r="B99" s="1" t="n"/>
      <c r="C99" s="1" t="n"/>
      <c r="D99" s="1" t="n"/>
      <c r="E99" s="181" t="n"/>
      <c r="F99" s="181" t="n"/>
      <c r="G99" s="1" t="n"/>
      <c r="H99" s="1" t="n"/>
      <c r="I99" s="1" t="n"/>
      <c r="J99" s="1" t="n"/>
      <c r="K99" s="181" t="n"/>
      <c r="L99" s="181" t="n"/>
      <c r="M99" s="181" t="n"/>
      <c r="N99" s="1" t="n"/>
      <c r="O99" s="181" t="n"/>
      <c r="P99" s="181" t="n"/>
      <c r="Q99" s="18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row>
    <row r="100" ht="15.75" customHeight="1" s="216">
      <c r="A100" s="1" t="n"/>
      <c r="B100" s="1" t="n"/>
      <c r="C100" s="1" t="n"/>
      <c r="D100" s="1" t="n"/>
      <c r="E100" s="181" t="n"/>
      <c r="F100" s="181" t="n"/>
      <c r="G100" s="1" t="n"/>
      <c r="H100" s="1" t="n"/>
      <c r="I100" s="1" t="n"/>
      <c r="J100" s="1" t="n"/>
      <c r="K100" s="181" t="n"/>
      <c r="L100" s="181" t="n"/>
      <c r="M100" s="181" t="n"/>
      <c r="N100" s="1" t="n"/>
      <c r="O100" s="181" t="n"/>
      <c r="P100" s="181" t="n"/>
      <c r="Q100" s="18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row>
    <row r="101" ht="15.75" customHeight="1" s="216">
      <c r="A101" s="1" t="n"/>
      <c r="B101" s="1" t="n"/>
      <c r="C101" s="1" t="n"/>
      <c r="D101" s="1" t="n"/>
      <c r="E101" s="181" t="n"/>
      <c r="F101" s="181" t="n"/>
      <c r="G101" s="1" t="n"/>
      <c r="H101" s="1" t="n"/>
      <c r="I101" s="1" t="n"/>
      <c r="J101" s="1" t="n"/>
      <c r="K101" s="181" t="n"/>
      <c r="L101" s="181" t="n"/>
      <c r="M101" s="181" t="n"/>
      <c r="N101" s="1" t="n"/>
      <c r="O101" s="181" t="n"/>
      <c r="P101" s="181" t="n"/>
      <c r="Q101" s="18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row>
    <row r="102" ht="15.75" customHeight="1" s="216">
      <c r="A102" s="1" t="n"/>
      <c r="B102" s="1" t="n"/>
      <c r="C102" s="1" t="n"/>
      <c r="D102" s="1" t="n"/>
      <c r="E102" s="181" t="n"/>
      <c r="F102" s="181" t="n"/>
      <c r="G102" s="1" t="n"/>
      <c r="H102" s="1" t="n"/>
      <c r="I102" s="1" t="n"/>
      <c r="J102" s="1" t="n"/>
      <c r="K102" s="181" t="n"/>
      <c r="L102" s="181" t="n"/>
      <c r="M102" s="181" t="n"/>
      <c r="N102" s="1" t="n"/>
      <c r="O102" s="181" t="n"/>
      <c r="P102" s="181" t="n"/>
      <c r="Q102" s="18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row>
    <row r="103" ht="15.75" customHeight="1" s="216">
      <c r="A103" s="1" t="n"/>
      <c r="B103" s="1" t="n"/>
      <c r="C103" s="1" t="n"/>
      <c r="D103" s="1" t="n"/>
      <c r="E103" s="181" t="n"/>
      <c r="F103" s="181" t="n"/>
      <c r="G103" s="1" t="n"/>
      <c r="H103" s="1" t="n"/>
      <c r="I103" s="1" t="n"/>
      <c r="J103" s="1" t="n"/>
      <c r="K103" s="181" t="n"/>
      <c r="L103" s="181" t="n"/>
      <c r="M103" s="181" t="n"/>
      <c r="N103" s="1" t="n"/>
      <c r="O103" s="181" t="n"/>
      <c r="P103" s="181" t="n"/>
      <c r="Q103" s="18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row>
    <row r="104" ht="15.75" customHeight="1" s="216">
      <c r="A104" s="1" t="n"/>
      <c r="B104" s="1" t="n"/>
      <c r="C104" s="1" t="n"/>
      <c r="D104" s="1" t="n"/>
      <c r="E104" s="181" t="n"/>
      <c r="F104" s="181" t="n"/>
      <c r="G104" s="1" t="n"/>
      <c r="H104" s="1" t="n"/>
      <c r="I104" s="1" t="n"/>
      <c r="J104" s="1" t="n"/>
      <c r="K104" s="181" t="n"/>
      <c r="L104" s="181" t="n"/>
      <c r="M104" s="181" t="n"/>
      <c r="N104" s="1" t="n"/>
      <c r="O104" s="181" t="n"/>
      <c r="P104" s="181" t="n"/>
      <c r="Q104" s="18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row>
    <row r="105" ht="15.75" customHeight="1" s="216">
      <c r="A105" s="1" t="n"/>
      <c r="B105" s="1" t="n"/>
      <c r="C105" s="1" t="n"/>
      <c r="D105" s="1" t="n"/>
      <c r="E105" s="181" t="n"/>
      <c r="F105" s="181" t="n"/>
      <c r="G105" s="1" t="n"/>
      <c r="H105" s="1" t="n"/>
      <c r="I105" s="1" t="n"/>
      <c r="J105" s="1" t="n"/>
      <c r="K105" s="181" t="n"/>
      <c r="L105" s="181" t="n"/>
      <c r="M105" s="181" t="n"/>
      <c r="N105" s="1" t="n"/>
      <c r="O105" s="181" t="n"/>
      <c r="P105" s="181" t="n"/>
      <c r="Q105" s="18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row>
    <row r="106" ht="15.75" customHeight="1" s="216">
      <c r="A106" s="1" t="n"/>
      <c r="B106" s="1" t="n"/>
      <c r="C106" s="1" t="n"/>
      <c r="D106" s="1" t="n"/>
      <c r="E106" s="181" t="n"/>
      <c r="F106" s="181" t="n"/>
      <c r="G106" s="1" t="n"/>
      <c r="H106" s="1" t="n"/>
      <c r="I106" s="1" t="n"/>
      <c r="J106" s="1" t="n"/>
      <c r="K106" s="181" t="n"/>
      <c r="L106" s="181" t="n"/>
      <c r="M106" s="181" t="n"/>
      <c r="N106" s="1" t="n"/>
      <c r="O106" s="181" t="n"/>
      <c r="P106" s="181" t="n"/>
      <c r="Q106" s="18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row>
    <row r="107" ht="15.75" customHeight="1" s="216">
      <c r="A107" s="1" t="n"/>
      <c r="B107" s="1" t="n"/>
      <c r="C107" s="1" t="n"/>
      <c r="D107" s="1" t="n"/>
      <c r="E107" s="181" t="n"/>
      <c r="F107" s="181" t="n"/>
      <c r="G107" s="1" t="n"/>
      <c r="H107" s="1" t="n"/>
      <c r="I107" s="1" t="n"/>
      <c r="J107" s="1" t="n"/>
      <c r="K107" s="181" t="n"/>
      <c r="L107" s="181" t="n"/>
      <c r="M107" s="181" t="n"/>
      <c r="N107" s="1" t="n"/>
      <c r="O107" s="181" t="n"/>
      <c r="P107" s="181" t="n"/>
      <c r="Q107" s="18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row>
    <row r="108" ht="15.75" customHeight="1" s="216">
      <c r="A108" s="1" t="n"/>
      <c r="B108" s="1" t="n"/>
      <c r="C108" s="1" t="n"/>
      <c r="D108" s="1" t="n"/>
      <c r="E108" s="181" t="n"/>
      <c r="F108" s="181" t="n"/>
      <c r="G108" s="1" t="n"/>
      <c r="H108" s="1" t="n"/>
      <c r="I108" s="1" t="n"/>
      <c r="J108" s="1" t="n"/>
      <c r="K108" s="181" t="n"/>
      <c r="L108" s="181" t="n"/>
      <c r="M108" s="181" t="n"/>
      <c r="N108" s="1" t="n"/>
      <c r="O108" s="181" t="n"/>
      <c r="P108" s="181" t="n"/>
      <c r="Q108" s="18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row>
    <row r="109" ht="15.75" customHeight="1" s="216">
      <c r="A109" s="1" t="n"/>
      <c r="B109" s="1" t="n"/>
      <c r="C109" s="1" t="n"/>
      <c r="D109" s="1" t="n"/>
      <c r="E109" s="181" t="n"/>
      <c r="F109" s="181" t="n"/>
      <c r="G109" s="1" t="n"/>
      <c r="H109" s="1" t="n"/>
      <c r="I109" s="1" t="n"/>
      <c r="J109" s="1" t="n"/>
      <c r="K109" s="181" t="n"/>
      <c r="L109" s="181" t="n"/>
      <c r="M109" s="181" t="n"/>
      <c r="N109" s="1" t="n"/>
      <c r="O109" s="181" t="n"/>
      <c r="P109" s="181" t="n"/>
      <c r="Q109" s="18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row>
    <row r="110" ht="15.75" customHeight="1" s="216">
      <c r="A110" s="1" t="n"/>
      <c r="B110" s="1" t="n"/>
      <c r="C110" s="1" t="n"/>
      <c r="D110" s="1" t="n"/>
      <c r="E110" s="181" t="n"/>
      <c r="F110" s="181" t="n"/>
      <c r="G110" s="1" t="n"/>
      <c r="H110" s="1" t="n"/>
      <c r="I110" s="1" t="n"/>
      <c r="J110" s="1" t="n"/>
      <c r="K110" s="181" t="n"/>
      <c r="L110" s="181" t="n"/>
      <c r="M110" s="181" t="n"/>
      <c r="N110" s="1" t="n"/>
      <c r="O110" s="181" t="n"/>
      <c r="P110" s="181" t="n"/>
      <c r="Q110" s="18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row>
    <row r="111" ht="15.75" customHeight="1" s="216">
      <c r="A111" s="1" t="n"/>
      <c r="B111" s="1" t="n"/>
      <c r="C111" s="1" t="n"/>
      <c r="D111" s="1" t="n"/>
      <c r="E111" s="181" t="n"/>
      <c r="F111" s="181" t="n"/>
      <c r="G111" s="1" t="n"/>
      <c r="H111" s="1" t="n"/>
      <c r="I111" s="1" t="n"/>
      <c r="J111" s="1" t="n"/>
      <c r="K111" s="181" t="n"/>
      <c r="L111" s="181" t="n"/>
      <c r="M111" s="181" t="n"/>
      <c r="N111" s="1" t="n"/>
      <c r="O111" s="181" t="n"/>
      <c r="P111" s="181" t="n"/>
      <c r="Q111" s="18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row>
    <row r="112" ht="15.75" customHeight="1" s="216">
      <c r="A112" s="1" t="n"/>
      <c r="B112" s="1" t="n"/>
      <c r="C112" s="1" t="n"/>
      <c r="D112" s="1" t="n"/>
      <c r="E112" s="181" t="n"/>
      <c r="F112" s="181" t="n"/>
      <c r="G112" s="1" t="n"/>
      <c r="H112" s="1" t="n"/>
      <c r="I112" s="1" t="n"/>
      <c r="J112" s="1" t="n"/>
      <c r="K112" s="181" t="n"/>
      <c r="L112" s="181" t="n"/>
      <c r="M112" s="181" t="n"/>
      <c r="N112" s="1" t="n"/>
      <c r="O112" s="181" t="n"/>
      <c r="P112" s="181" t="n"/>
      <c r="Q112" s="18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row>
    <row r="113" ht="15.75" customHeight="1" s="216">
      <c r="A113" s="1" t="n"/>
      <c r="B113" s="1" t="n"/>
      <c r="C113" s="1" t="n"/>
      <c r="D113" s="1" t="n"/>
      <c r="E113" s="181" t="n"/>
      <c r="F113" s="181" t="n"/>
      <c r="G113" s="1" t="n"/>
      <c r="H113" s="1" t="n"/>
      <c r="I113" s="1" t="n"/>
      <c r="J113" s="1" t="n"/>
      <c r="K113" s="181" t="n"/>
      <c r="L113" s="181" t="n"/>
      <c r="M113" s="181" t="n"/>
      <c r="N113" s="1" t="n"/>
      <c r="O113" s="181" t="n"/>
      <c r="P113" s="181" t="n"/>
      <c r="Q113" s="18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row>
    <row r="114" ht="15.75" customHeight="1" s="216">
      <c r="A114" s="1" t="n"/>
      <c r="B114" s="1" t="n"/>
      <c r="C114" s="1" t="n"/>
      <c r="D114" s="1" t="n"/>
      <c r="E114" s="181" t="n"/>
      <c r="F114" s="181" t="n"/>
      <c r="G114" s="1" t="n"/>
      <c r="H114" s="1" t="n"/>
      <c r="I114" s="1" t="n"/>
      <c r="J114" s="1" t="n"/>
      <c r="K114" s="181" t="n"/>
      <c r="L114" s="181" t="n"/>
      <c r="M114" s="181" t="n"/>
      <c r="N114" s="1" t="n"/>
      <c r="O114" s="181" t="n"/>
      <c r="P114" s="181" t="n"/>
      <c r="Q114" s="18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row>
    <row r="115" ht="15.75" customHeight="1" s="216">
      <c r="A115" s="1" t="n"/>
      <c r="B115" s="1" t="n"/>
      <c r="C115" s="1" t="n"/>
      <c r="D115" s="1" t="n"/>
      <c r="E115" s="181" t="n"/>
      <c r="F115" s="181" t="n"/>
      <c r="G115" s="1" t="n"/>
      <c r="H115" s="1" t="n"/>
      <c r="I115" s="1" t="n"/>
      <c r="J115" s="1" t="n"/>
      <c r="K115" s="181" t="n"/>
      <c r="L115" s="181" t="n"/>
      <c r="M115" s="181" t="n"/>
      <c r="N115" s="1" t="n"/>
      <c r="O115" s="181" t="n"/>
      <c r="P115" s="181" t="n"/>
      <c r="Q115" s="18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row>
    <row r="116" ht="15.75" customHeight="1" s="216">
      <c r="A116" s="1" t="n"/>
      <c r="B116" s="1" t="n"/>
      <c r="C116" s="1" t="n"/>
      <c r="D116" s="1" t="n"/>
      <c r="E116" s="181" t="n"/>
      <c r="F116" s="181" t="n"/>
      <c r="G116" s="1" t="n"/>
      <c r="H116" s="1" t="n"/>
      <c r="I116" s="1" t="n"/>
      <c r="J116" s="1" t="n"/>
      <c r="K116" s="181" t="n"/>
      <c r="L116" s="181" t="n"/>
      <c r="M116" s="181" t="n"/>
      <c r="N116" s="1" t="n"/>
      <c r="O116" s="181" t="n"/>
      <c r="P116" s="181" t="n"/>
      <c r="Q116" s="18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row>
    <row r="117" ht="15.75" customHeight="1" s="216">
      <c r="A117" s="1" t="n"/>
      <c r="B117" s="1" t="n"/>
      <c r="C117" s="1" t="n"/>
      <c r="D117" s="1" t="n"/>
      <c r="E117" s="181" t="n"/>
      <c r="F117" s="181" t="n"/>
      <c r="G117" s="1" t="n"/>
      <c r="H117" s="1" t="n"/>
      <c r="I117" s="1" t="n"/>
      <c r="J117" s="1" t="n"/>
      <c r="K117" s="181" t="n"/>
      <c r="L117" s="181" t="n"/>
      <c r="M117" s="181" t="n"/>
      <c r="N117" s="1" t="n"/>
      <c r="O117" s="181" t="n"/>
      <c r="P117" s="181" t="n"/>
      <c r="Q117" s="18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row>
    <row r="118" ht="15.75" customHeight="1" s="216">
      <c r="A118" s="1" t="n"/>
      <c r="B118" s="1" t="n"/>
      <c r="C118" s="1" t="n"/>
      <c r="D118" s="1" t="n"/>
      <c r="E118" s="181" t="n"/>
      <c r="F118" s="181" t="n"/>
      <c r="G118" s="1" t="n"/>
      <c r="H118" s="1" t="n"/>
      <c r="I118" s="1" t="n"/>
      <c r="J118" s="1" t="n"/>
      <c r="K118" s="181" t="n"/>
      <c r="L118" s="181" t="n"/>
      <c r="M118" s="181" t="n"/>
      <c r="N118" s="1" t="n"/>
      <c r="O118" s="181" t="n"/>
      <c r="P118" s="181" t="n"/>
      <c r="Q118" s="18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row>
    <row r="119" ht="15.75" customHeight="1" s="216">
      <c r="A119" s="1" t="n"/>
      <c r="B119" s="1" t="n"/>
      <c r="C119" s="1" t="n"/>
      <c r="D119" s="1" t="n"/>
      <c r="E119" s="181" t="n"/>
      <c r="F119" s="181" t="n"/>
      <c r="G119" s="1" t="n"/>
      <c r="H119" s="1" t="n"/>
      <c r="I119" s="1" t="n"/>
      <c r="J119" s="1" t="n"/>
      <c r="K119" s="181" t="n"/>
      <c r="L119" s="181" t="n"/>
      <c r="M119" s="181" t="n"/>
      <c r="N119" s="1" t="n"/>
      <c r="O119" s="181" t="n"/>
      <c r="P119" s="181" t="n"/>
      <c r="Q119" s="18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row>
    <row r="120" ht="15.75" customHeight="1" s="216">
      <c r="A120" s="1" t="n"/>
      <c r="B120" s="1" t="n"/>
      <c r="C120" s="1" t="n"/>
      <c r="D120" s="1" t="n"/>
      <c r="E120" s="181" t="n"/>
      <c r="F120" s="181" t="n"/>
      <c r="G120" s="1" t="n"/>
      <c r="H120" s="1" t="n"/>
      <c r="I120" s="1" t="n"/>
      <c r="J120" s="1" t="n"/>
      <c r="K120" s="181" t="n"/>
      <c r="L120" s="181" t="n"/>
      <c r="M120" s="181" t="n"/>
      <c r="N120" s="1" t="n"/>
      <c r="O120" s="181" t="n"/>
      <c r="P120" s="181" t="n"/>
      <c r="Q120" s="18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row>
    <row r="121" ht="15.75" customHeight="1" s="216">
      <c r="A121" s="1" t="n"/>
      <c r="B121" s="1" t="n"/>
      <c r="C121" s="1" t="n"/>
      <c r="D121" s="1" t="n"/>
      <c r="E121" s="181" t="n"/>
      <c r="F121" s="181" t="n"/>
      <c r="G121" s="1" t="n"/>
      <c r="H121" s="1" t="n"/>
      <c r="I121" s="1" t="n"/>
      <c r="J121" s="1" t="n"/>
      <c r="K121" s="181" t="n"/>
      <c r="L121" s="181" t="n"/>
      <c r="M121" s="181" t="n"/>
      <c r="N121" s="1" t="n"/>
      <c r="O121" s="181" t="n"/>
      <c r="P121" s="181" t="n"/>
      <c r="Q121" s="18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row>
    <row r="122" ht="15.75" customHeight="1" s="216">
      <c r="A122" s="1" t="n"/>
      <c r="B122" s="1" t="n"/>
      <c r="C122" s="1" t="n"/>
      <c r="D122" s="1" t="n"/>
      <c r="E122" s="181" t="n"/>
      <c r="F122" s="181" t="n"/>
      <c r="G122" s="1" t="n"/>
      <c r="H122" s="1" t="n"/>
      <c r="I122" s="1" t="n"/>
      <c r="J122" s="1" t="n"/>
      <c r="K122" s="181" t="n"/>
      <c r="L122" s="181" t="n"/>
      <c r="M122" s="181" t="n"/>
      <c r="N122" s="1" t="n"/>
      <c r="O122" s="181" t="n"/>
      <c r="P122" s="181" t="n"/>
      <c r="Q122" s="18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row>
    <row r="123" ht="15.75" customHeight="1" s="216">
      <c r="A123" s="1" t="n"/>
      <c r="B123" s="1" t="n"/>
      <c r="C123" s="1" t="n"/>
      <c r="D123" s="1" t="n"/>
      <c r="E123" s="181" t="n"/>
      <c r="F123" s="181" t="n"/>
      <c r="G123" s="1" t="n"/>
      <c r="H123" s="1" t="n"/>
      <c r="I123" s="1" t="n"/>
      <c r="J123" s="1" t="n"/>
      <c r="K123" s="181" t="n"/>
      <c r="L123" s="181" t="n"/>
      <c r="M123" s="181" t="n"/>
      <c r="N123" s="1" t="n"/>
      <c r="O123" s="181" t="n"/>
      <c r="P123" s="181" t="n"/>
      <c r="Q123" s="18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row>
    <row r="124" ht="15.75" customHeight="1" s="216">
      <c r="A124" s="1" t="n"/>
      <c r="B124" s="1" t="n"/>
      <c r="C124" s="1" t="n"/>
      <c r="D124" s="1" t="n"/>
      <c r="E124" s="181" t="n"/>
      <c r="F124" s="181" t="n"/>
      <c r="G124" s="1" t="n"/>
      <c r="H124" s="1" t="n"/>
      <c r="I124" s="1" t="n"/>
      <c r="J124" s="1" t="n"/>
      <c r="K124" s="181" t="n"/>
      <c r="L124" s="181" t="n"/>
      <c r="M124" s="181" t="n"/>
      <c r="N124" s="1" t="n"/>
      <c r="O124" s="181" t="n"/>
      <c r="P124" s="181" t="n"/>
      <c r="Q124" s="18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row>
    <row r="125" ht="15.75" customHeight="1" s="216">
      <c r="A125" s="1" t="n"/>
      <c r="B125" s="1" t="n"/>
      <c r="C125" s="1" t="n"/>
      <c r="D125" s="1" t="n"/>
      <c r="E125" s="181" t="n"/>
      <c r="F125" s="181" t="n"/>
      <c r="G125" s="1" t="n"/>
      <c r="H125" s="1" t="n"/>
      <c r="I125" s="1" t="n"/>
      <c r="J125" s="1" t="n"/>
      <c r="K125" s="181" t="n"/>
      <c r="L125" s="181" t="n"/>
      <c r="M125" s="181" t="n"/>
      <c r="N125" s="1" t="n"/>
      <c r="O125" s="181" t="n"/>
      <c r="P125" s="181" t="n"/>
      <c r="Q125" s="18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row>
    <row r="126" ht="15.75" customHeight="1" s="216">
      <c r="A126" s="1" t="n"/>
      <c r="B126" s="1" t="n"/>
      <c r="C126" s="1" t="n"/>
      <c r="D126" s="1" t="n"/>
      <c r="E126" s="181" t="n"/>
      <c r="F126" s="181" t="n"/>
      <c r="G126" s="1" t="n"/>
      <c r="H126" s="1" t="n"/>
      <c r="I126" s="1" t="n"/>
      <c r="J126" s="1" t="n"/>
      <c r="K126" s="181" t="n"/>
      <c r="L126" s="181" t="n"/>
      <c r="M126" s="181" t="n"/>
      <c r="N126" s="1" t="n"/>
      <c r="O126" s="181" t="n"/>
      <c r="P126" s="181" t="n"/>
      <c r="Q126" s="18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row>
    <row r="127" ht="15.75" customHeight="1" s="216">
      <c r="A127" s="1" t="n"/>
      <c r="B127" s="1" t="n"/>
      <c r="C127" s="1" t="n"/>
      <c r="D127" s="1" t="n"/>
      <c r="E127" s="181" t="n"/>
      <c r="F127" s="181" t="n"/>
      <c r="G127" s="1" t="n"/>
      <c r="H127" s="1" t="n"/>
      <c r="I127" s="1" t="n"/>
      <c r="J127" s="1" t="n"/>
      <c r="K127" s="181" t="n"/>
      <c r="L127" s="181" t="n"/>
      <c r="M127" s="181" t="n"/>
      <c r="N127" s="1" t="n"/>
      <c r="O127" s="181" t="n"/>
      <c r="P127" s="181" t="n"/>
      <c r="Q127" s="18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row>
    <row r="128" ht="15.75" customHeight="1" s="216">
      <c r="A128" s="1" t="n"/>
      <c r="B128" s="1" t="n"/>
      <c r="C128" s="1" t="n"/>
      <c r="D128" s="1" t="n"/>
      <c r="E128" s="181" t="n"/>
      <c r="F128" s="181" t="n"/>
      <c r="G128" s="1" t="n"/>
      <c r="H128" s="1" t="n"/>
      <c r="I128" s="1" t="n"/>
      <c r="J128" s="1" t="n"/>
      <c r="K128" s="181" t="n"/>
      <c r="L128" s="181" t="n"/>
      <c r="M128" s="181" t="n"/>
      <c r="N128" s="1" t="n"/>
      <c r="O128" s="181" t="n"/>
      <c r="P128" s="181" t="n"/>
      <c r="Q128" s="18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row>
    <row r="129" ht="15.75" customHeight="1" s="216">
      <c r="A129" s="1" t="n"/>
      <c r="B129" s="1" t="n"/>
      <c r="C129" s="1" t="n"/>
      <c r="D129" s="1" t="n"/>
      <c r="E129" s="181" t="n"/>
      <c r="F129" s="181" t="n"/>
      <c r="G129" s="1" t="n"/>
      <c r="H129" s="1" t="n"/>
      <c r="I129" s="1" t="n"/>
      <c r="J129" s="1" t="n"/>
      <c r="K129" s="181" t="n"/>
      <c r="L129" s="181" t="n"/>
      <c r="M129" s="181" t="n"/>
      <c r="N129" s="1" t="n"/>
      <c r="O129" s="181" t="n"/>
      <c r="P129" s="181" t="n"/>
      <c r="Q129" s="18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row>
    <row r="130" ht="15.75" customHeight="1" s="216">
      <c r="A130" s="1" t="n"/>
      <c r="B130" s="1" t="n"/>
      <c r="C130" s="1" t="n"/>
      <c r="D130" s="1" t="n"/>
      <c r="E130" s="181" t="n"/>
      <c r="F130" s="181" t="n"/>
      <c r="G130" s="1" t="n"/>
      <c r="H130" s="1" t="n"/>
      <c r="I130" s="1" t="n"/>
      <c r="J130" s="1" t="n"/>
      <c r="K130" s="181" t="n"/>
      <c r="L130" s="181" t="n"/>
      <c r="M130" s="181" t="n"/>
      <c r="N130" s="1" t="n"/>
      <c r="O130" s="181" t="n"/>
      <c r="P130" s="181" t="n"/>
      <c r="Q130" s="18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row>
    <row r="131" ht="15.75" customHeight="1" s="216">
      <c r="A131" s="1" t="n"/>
      <c r="B131" s="1" t="n"/>
      <c r="C131" s="1" t="n"/>
      <c r="D131" s="1" t="n"/>
      <c r="E131" s="181" t="n"/>
      <c r="F131" s="181" t="n"/>
      <c r="G131" s="1" t="n"/>
      <c r="H131" s="1" t="n"/>
      <c r="I131" s="1" t="n"/>
      <c r="J131" s="1" t="n"/>
      <c r="K131" s="181" t="n"/>
      <c r="L131" s="181" t="n"/>
      <c r="M131" s="181" t="n"/>
      <c r="N131" s="1" t="n"/>
      <c r="O131" s="181" t="n"/>
      <c r="P131" s="181" t="n"/>
      <c r="Q131" s="18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row>
    <row r="132" ht="15.75" customHeight="1" s="216">
      <c r="A132" s="1" t="n"/>
      <c r="B132" s="1" t="n"/>
      <c r="C132" s="1" t="n"/>
      <c r="D132" s="1" t="n"/>
      <c r="E132" s="181" t="n"/>
      <c r="F132" s="181" t="n"/>
      <c r="G132" s="1" t="n"/>
      <c r="H132" s="1" t="n"/>
      <c r="I132" s="1" t="n"/>
      <c r="J132" s="1" t="n"/>
      <c r="K132" s="181" t="n"/>
      <c r="L132" s="181" t="n"/>
      <c r="M132" s="181" t="n"/>
      <c r="N132" s="1" t="n"/>
      <c r="O132" s="181" t="n"/>
      <c r="P132" s="181" t="n"/>
      <c r="Q132" s="18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row>
    <row r="133" ht="15.75" customHeight="1" s="216">
      <c r="A133" s="1" t="n"/>
      <c r="B133" s="1" t="n"/>
      <c r="C133" s="1" t="n"/>
      <c r="D133" s="1" t="n"/>
      <c r="E133" s="181" t="n"/>
      <c r="F133" s="181" t="n"/>
      <c r="G133" s="1" t="n"/>
      <c r="H133" s="1" t="n"/>
      <c r="I133" s="1" t="n"/>
      <c r="J133" s="1" t="n"/>
      <c r="K133" s="181" t="n"/>
      <c r="L133" s="181" t="n"/>
      <c r="M133" s="181" t="n"/>
      <c r="N133" s="1" t="n"/>
      <c r="O133" s="181" t="n"/>
      <c r="P133" s="181" t="n"/>
      <c r="Q133" s="18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row>
    <row r="134" ht="15.75" customHeight="1" s="216">
      <c r="A134" s="1" t="n"/>
      <c r="B134" s="1" t="n"/>
      <c r="C134" s="1" t="n"/>
      <c r="D134" s="1" t="n"/>
      <c r="E134" s="181" t="n"/>
      <c r="F134" s="181" t="n"/>
      <c r="G134" s="1" t="n"/>
      <c r="H134" s="1" t="n"/>
      <c r="I134" s="1" t="n"/>
      <c r="J134" s="1" t="n"/>
      <c r="K134" s="181" t="n"/>
      <c r="L134" s="181" t="n"/>
      <c r="M134" s="181" t="n"/>
      <c r="N134" s="1" t="n"/>
      <c r="O134" s="181" t="n"/>
      <c r="P134" s="181" t="n"/>
      <c r="Q134" s="18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row>
    <row r="135" ht="15.75" customHeight="1" s="216">
      <c r="A135" s="1" t="n"/>
      <c r="B135" s="1" t="n"/>
      <c r="C135" s="1" t="n"/>
      <c r="D135" s="1" t="n"/>
      <c r="E135" s="181" t="n"/>
      <c r="F135" s="181" t="n"/>
      <c r="G135" s="1" t="n"/>
      <c r="H135" s="1" t="n"/>
      <c r="I135" s="1" t="n"/>
      <c r="J135" s="1" t="n"/>
      <c r="K135" s="181" t="n"/>
      <c r="L135" s="181" t="n"/>
      <c r="M135" s="181" t="n"/>
      <c r="N135" s="1" t="n"/>
      <c r="O135" s="181" t="n"/>
      <c r="P135" s="181" t="n"/>
      <c r="Q135" s="18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row>
    <row r="136" ht="15.75" customHeight="1" s="216">
      <c r="A136" s="1" t="n"/>
      <c r="B136" s="1" t="n"/>
      <c r="C136" s="1" t="n"/>
      <c r="D136" s="1" t="n"/>
      <c r="E136" s="181" t="n"/>
      <c r="F136" s="181" t="n"/>
      <c r="G136" s="1" t="n"/>
      <c r="H136" s="1" t="n"/>
      <c r="I136" s="1" t="n"/>
      <c r="J136" s="1" t="n"/>
      <c r="K136" s="181" t="n"/>
      <c r="L136" s="181" t="n"/>
      <c r="M136" s="181" t="n"/>
      <c r="N136" s="1" t="n"/>
      <c r="O136" s="181" t="n"/>
      <c r="P136" s="181" t="n"/>
      <c r="Q136" s="18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row>
    <row r="137" ht="15.75" customHeight="1" s="216">
      <c r="A137" s="1" t="n"/>
      <c r="B137" s="1" t="n"/>
      <c r="C137" s="1" t="n"/>
      <c r="D137" s="1" t="n"/>
      <c r="E137" s="181" t="n"/>
      <c r="F137" s="181" t="n"/>
      <c r="G137" s="1" t="n"/>
      <c r="H137" s="1" t="n"/>
      <c r="I137" s="1" t="n"/>
      <c r="J137" s="1" t="n"/>
      <c r="K137" s="181" t="n"/>
      <c r="L137" s="181" t="n"/>
      <c r="M137" s="181" t="n"/>
      <c r="N137" s="1" t="n"/>
      <c r="O137" s="181" t="n"/>
      <c r="P137" s="181" t="n"/>
      <c r="Q137" s="18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row>
    <row r="138" ht="15.75" customHeight="1" s="216">
      <c r="A138" s="1" t="n"/>
      <c r="B138" s="1" t="n"/>
      <c r="C138" s="1" t="n"/>
      <c r="D138" s="1" t="n"/>
      <c r="E138" s="181" t="n"/>
      <c r="F138" s="181" t="n"/>
      <c r="G138" s="1" t="n"/>
      <c r="H138" s="1" t="n"/>
      <c r="I138" s="1" t="n"/>
      <c r="J138" s="1" t="n"/>
      <c r="K138" s="181" t="n"/>
      <c r="L138" s="181" t="n"/>
      <c r="M138" s="181" t="n"/>
      <c r="N138" s="1" t="n"/>
      <c r="O138" s="181" t="n"/>
      <c r="P138" s="181" t="n"/>
      <c r="Q138" s="18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row>
    <row r="139" ht="15.75" customHeight="1" s="216">
      <c r="A139" s="1" t="n"/>
      <c r="B139" s="1" t="n"/>
      <c r="C139" s="1" t="n"/>
      <c r="D139" s="1" t="n"/>
      <c r="E139" s="181" t="n"/>
      <c r="F139" s="181" t="n"/>
      <c r="G139" s="1" t="n"/>
      <c r="H139" s="1" t="n"/>
      <c r="I139" s="1" t="n"/>
      <c r="J139" s="1" t="n"/>
      <c r="K139" s="181" t="n"/>
      <c r="L139" s="181" t="n"/>
      <c r="M139" s="181" t="n"/>
      <c r="N139" s="1" t="n"/>
      <c r="O139" s="181" t="n"/>
      <c r="P139" s="181" t="n"/>
      <c r="Q139" s="18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row>
    <row r="140" ht="15.75" customHeight="1" s="216">
      <c r="A140" s="1" t="n"/>
      <c r="B140" s="1" t="n"/>
      <c r="C140" s="1" t="n"/>
      <c r="D140" s="1" t="n"/>
      <c r="E140" s="181" t="n"/>
      <c r="F140" s="181" t="n"/>
      <c r="G140" s="1" t="n"/>
      <c r="H140" s="1" t="n"/>
      <c r="I140" s="1" t="n"/>
      <c r="J140" s="1" t="n"/>
      <c r="K140" s="181" t="n"/>
      <c r="L140" s="181" t="n"/>
      <c r="M140" s="181" t="n"/>
      <c r="N140" s="1" t="n"/>
      <c r="O140" s="181" t="n"/>
      <c r="P140" s="181" t="n"/>
      <c r="Q140" s="18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row>
    <row r="141" ht="15.75" customHeight="1" s="216">
      <c r="A141" s="1" t="n"/>
      <c r="B141" s="1" t="n"/>
      <c r="C141" s="1" t="n"/>
      <c r="D141" s="1" t="n"/>
      <c r="E141" s="181" t="n"/>
      <c r="F141" s="181" t="n"/>
      <c r="G141" s="1" t="n"/>
      <c r="H141" s="1" t="n"/>
      <c r="I141" s="1" t="n"/>
      <c r="J141" s="1" t="n"/>
      <c r="K141" s="181" t="n"/>
      <c r="L141" s="181" t="n"/>
      <c r="M141" s="181" t="n"/>
      <c r="N141" s="1" t="n"/>
      <c r="O141" s="181" t="n"/>
      <c r="P141" s="181" t="n"/>
      <c r="Q141" s="18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row>
    <row r="142" ht="15.75" customHeight="1" s="216">
      <c r="A142" s="1" t="n"/>
      <c r="B142" s="1" t="n"/>
      <c r="C142" s="1" t="n"/>
      <c r="D142" s="1" t="n"/>
      <c r="E142" s="181" t="n"/>
      <c r="F142" s="181" t="n"/>
      <c r="G142" s="1" t="n"/>
      <c r="H142" s="1" t="n"/>
      <c r="I142" s="1" t="n"/>
      <c r="J142" s="1" t="n"/>
      <c r="K142" s="181" t="n"/>
      <c r="L142" s="181" t="n"/>
      <c r="M142" s="181" t="n"/>
      <c r="N142" s="1" t="n"/>
      <c r="O142" s="181" t="n"/>
      <c r="P142" s="181" t="n"/>
      <c r="Q142" s="18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row>
    <row r="143" ht="15.75" customHeight="1" s="216">
      <c r="A143" s="1" t="n"/>
      <c r="B143" s="1" t="n"/>
      <c r="C143" s="1" t="n"/>
      <c r="D143" s="1" t="n"/>
      <c r="E143" s="181" t="n"/>
      <c r="F143" s="181" t="n"/>
      <c r="G143" s="1" t="n"/>
      <c r="H143" s="1" t="n"/>
      <c r="I143" s="1" t="n"/>
      <c r="J143" s="1" t="n"/>
      <c r="K143" s="181" t="n"/>
      <c r="L143" s="181" t="n"/>
      <c r="M143" s="181" t="n"/>
      <c r="N143" s="1" t="n"/>
      <c r="O143" s="181" t="n"/>
      <c r="P143" s="181" t="n"/>
      <c r="Q143" s="18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row>
    <row r="144" ht="15.75" customHeight="1" s="216">
      <c r="A144" s="1" t="n"/>
      <c r="B144" s="1" t="n"/>
      <c r="C144" s="1" t="n"/>
      <c r="D144" s="1" t="n"/>
      <c r="E144" s="181" t="n"/>
      <c r="F144" s="181" t="n"/>
      <c r="G144" s="1" t="n"/>
      <c r="H144" s="1" t="n"/>
      <c r="I144" s="1" t="n"/>
      <c r="J144" s="1" t="n"/>
      <c r="K144" s="181" t="n"/>
      <c r="L144" s="181" t="n"/>
      <c r="M144" s="181" t="n"/>
      <c r="N144" s="1" t="n"/>
      <c r="O144" s="181" t="n"/>
      <c r="P144" s="181" t="n"/>
      <c r="Q144" s="18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row>
    <row r="145" ht="15.75" customHeight="1" s="216">
      <c r="A145" s="1" t="n"/>
      <c r="B145" s="1" t="n"/>
      <c r="C145" s="1" t="n"/>
      <c r="D145" s="1" t="n"/>
      <c r="E145" s="181" t="n"/>
      <c r="F145" s="181" t="n"/>
      <c r="G145" s="1" t="n"/>
      <c r="H145" s="1" t="n"/>
      <c r="I145" s="1" t="n"/>
      <c r="J145" s="1" t="n"/>
      <c r="K145" s="181" t="n"/>
      <c r="L145" s="181" t="n"/>
      <c r="M145" s="181" t="n"/>
      <c r="N145" s="1" t="n"/>
      <c r="O145" s="181" t="n"/>
      <c r="P145" s="181" t="n"/>
      <c r="Q145" s="18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row>
    <row r="146" ht="15.75" customHeight="1" s="216">
      <c r="A146" s="1" t="n"/>
      <c r="B146" s="1" t="n"/>
      <c r="C146" s="1" t="n"/>
      <c r="D146" s="1" t="n"/>
      <c r="E146" s="181" t="n"/>
      <c r="F146" s="181" t="n"/>
      <c r="G146" s="1" t="n"/>
      <c r="H146" s="1" t="n"/>
      <c r="I146" s="1" t="n"/>
      <c r="J146" s="1" t="n"/>
      <c r="K146" s="181" t="n"/>
      <c r="L146" s="181" t="n"/>
      <c r="M146" s="181" t="n"/>
      <c r="N146" s="1" t="n"/>
      <c r="O146" s="181" t="n"/>
      <c r="P146" s="181" t="n"/>
      <c r="Q146" s="18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row>
    <row r="147" ht="15.75" customHeight="1" s="216">
      <c r="A147" s="1" t="n"/>
      <c r="B147" s="1" t="n"/>
      <c r="C147" s="1" t="n"/>
      <c r="D147" s="1" t="n"/>
      <c r="E147" s="181" t="n"/>
      <c r="F147" s="181" t="n"/>
      <c r="G147" s="1" t="n"/>
      <c r="H147" s="1" t="n"/>
      <c r="I147" s="1" t="n"/>
      <c r="J147" s="1" t="n"/>
      <c r="K147" s="181" t="n"/>
      <c r="L147" s="181" t="n"/>
      <c r="M147" s="181" t="n"/>
      <c r="N147" s="1" t="n"/>
      <c r="O147" s="181" t="n"/>
      <c r="P147" s="181" t="n"/>
      <c r="Q147" s="18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row>
    <row r="148" ht="15.75" customHeight="1" s="216">
      <c r="A148" s="1" t="n"/>
      <c r="B148" s="1" t="n"/>
      <c r="C148" s="1" t="n"/>
      <c r="D148" s="1" t="n"/>
      <c r="E148" s="181" t="n"/>
      <c r="F148" s="181" t="n"/>
      <c r="G148" s="1" t="n"/>
      <c r="H148" s="1" t="n"/>
      <c r="I148" s="1" t="n"/>
      <c r="J148" s="1" t="n"/>
      <c r="K148" s="181" t="n"/>
      <c r="L148" s="181" t="n"/>
      <c r="M148" s="181" t="n"/>
      <c r="N148" s="1" t="n"/>
      <c r="O148" s="181" t="n"/>
      <c r="P148" s="181" t="n"/>
      <c r="Q148" s="18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row>
    <row r="149" ht="15.75" customHeight="1" s="216">
      <c r="A149" s="1" t="n"/>
      <c r="B149" s="1" t="n"/>
      <c r="C149" s="1" t="n"/>
      <c r="D149" s="1" t="n"/>
      <c r="E149" s="181" t="n"/>
      <c r="F149" s="181" t="n"/>
      <c r="G149" s="1" t="n"/>
      <c r="H149" s="1" t="n"/>
      <c r="I149" s="1" t="n"/>
      <c r="J149" s="1" t="n"/>
      <c r="K149" s="181" t="n"/>
      <c r="L149" s="181" t="n"/>
      <c r="M149" s="181" t="n"/>
      <c r="N149" s="1" t="n"/>
      <c r="O149" s="181" t="n"/>
      <c r="P149" s="181" t="n"/>
      <c r="Q149" s="18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row>
    <row r="150" ht="15.75" customHeight="1" s="216">
      <c r="A150" s="1" t="n"/>
      <c r="B150" s="1" t="n"/>
      <c r="C150" s="1" t="n"/>
      <c r="D150" s="1" t="n"/>
      <c r="E150" s="181" t="n"/>
      <c r="F150" s="181" t="n"/>
      <c r="G150" s="1" t="n"/>
      <c r="H150" s="1" t="n"/>
      <c r="I150" s="1" t="n"/>
      <c r="J150" s="1" t="n"/>
      <c r="K150" s="181" t="n"/>
      <c r="L150" s="181" t="n"/>
      <c r="M150" s="181" t="n"/>
      <c r="N150" s="1" t="n"/>
      <c r="O150" s="181" t="n"/>
      <c r="P150" s="181" t="n"/>
      <c r="Q150" s="18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row>
    <row r="151" ht="15.75" customHeight="1" s="216">
      <c r="A151" s="1" t="n"/>
      <c r="B151" s="1" t="n"/>
      <c r="C151" s="1" t="n"/>
      <c r="D151" s="1" t="n"/>
      <c r="E151" s="181" t="n"/>
      <c r="F151" s="181" t="n"/>
      <c r="G151" s="1" t="n"/>
      <c r="H151" s="1" t="n"/>
      <c r="I151" s="1" t="n"/>
      <c r="J151" s="1" t="n"/>
      <c r="K151" s="181" t="n"/>
      <c r="L151" s="181" t="n"/>
      <c r="M151" s="181" t="n"/>
      <c r="N151" s="1" t="n"/>
      <c r="O151" s="181" t="n"/>
      <c r="P151" s="181" t="n"/>
      <c r="Q151" s="18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row>
    <row r="152" ht="15.75" customHeight="1" s="216">
      <c r="A152" s="1" t="n"/>
      <c r="B152" s="1" t="n"/>
      <c r="C152" s="1" t="n"/>
      <c r="D152" s="1" t="n"/>
      <c r="E152" s="181" t="n"/>
      <c r="F152" s="181" t="n"/>
      <c r="G152" s="1" t="n"/>
      <c r="H152" s="1" t="n"/>
      <c r="I152" s="1" t="n"/>
      <c r="J152" s="1" t="n"/>
      <c r="K152" s="181" t="n"/>
      <c r="L152" s="181" t="n"/>
      <c r="M152" s="181" t="n"/>
      <c r="N152" s="1" t="n"/>
      <c r="O152" s="181" t="n"/>
      <c r="P152" s="181" t="n"/>
      <c r="Q152" s="18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row>
    <row r="153" ht="15.75" customHeight="1" s="216">
      <c r="A153" s="1" t="n"/>
      <c r="B153" s="1" t="n"/>
      <c r="C153" s="1" t="n"/>
      <c r="D153" s="1" t="n"/>
      <c r="E153" s="181" t="n"/>
      <c r="F153" s="181" t="n"/>
      <c r="G153" s="1" t="n"/>
      <c r="H153" s="1" t="n"/>
      <c r="I153" s="1" t="n"/>
      <c r="J153" s="1" t="n"/>
      <c r="K153" s="181" t="n"/>
      <c r="L153" s="181" t="n"/>
      <c r="M153" s="181" t="n"/>
      <c r="N153" s="1" t="n"/>
      <c r="O153" s="181" t="n"/>
      <c r="P153" s="181" t="n"/>
      <c r="Q153" s="18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row>
    <row r="154" ht="15.75" customHeight="1" s="216">
      <c r="A154" s="1" t="n"/>
      <c r="B154" s="1" t="n"/>
      <c r="C154" s="1" t="n"/>
      <c r="D154" s="1" t="n"/>
      <c r="E154" s="181" t="n"/>
      <c r="F154" s="181" t="n"/>
      <c r="G154" s="1" t="n"/>
      <c r="H154" s="1" t="n"/>
      <c r="I154" s="1" t="n"/>
      <c r="J154" s="1" t="n"/>
      <c r="K154" s="181" t="n"/>
      <c r="L154" s="181" t="n"/>
      <c r="M154" s="181" t="n"/>
      <c r="N154" s="1" t="n"/>
      <c r="O154" s="181" t="n"/>
      <c r="P154" s="181" t="n"/>
      <c r="Q154" s="18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row>
    <row r="155" ht="15.75" customHeight="1" s="216">
      <c r="A155" s="1" t="n"/>
      <c r="B155" s="1" t="n"/>
      <c r="C155" s="1" t="n"/>
      <c r="D155" s="1" t="n"/>
      <c r="E155" s="181" t="n"/>
      <c r="F155" s="181" t="n"/>
      <c r="G155" s="1" t="n"/>
      <c r="H155" s="1" t="n"/>
      <c r="I155" s="1" t="n"/>
      <c r="J155" s="1" t="n"/>
      <c r="K155" s="181" t="n"/>
      <c r="L155" s="181" t="n"/>
      <c r="M155" s="181" t="n"/>
      <c r="N155" s="1" t="n"/>
      <c r="O155" s="181" t="n"/>
      <c r="P155" s="181" t="n"/>
      <c r="Q155" s="18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row>
    <row r="156" ht="15.75" customHeight="1" s="216">
      <c r="A156" s="1" t="n"/>
      <c r="B156" s="1" t="n"/>
      <c r="C156" s="1" t="n"/>
      <c r="D156" s="1" t="n"/>
      <c r="E156" s="181" t="n"/>
      <c r="F156" s="181" t="n"/>
      <c r="G156" s="1" t="n"/>
      <c r="H156" s="1" t="n"/>
      <c r="I156" s="1" t="n"/>
      <c r="J156" s="1" t="n"/>
      <c r="K156" s="181" t="n"/>
      <c r="L156" s="181" t="n"/>
      <c r="M156" s="181" t="n"/>
      <c r="N156" s="1" t="n"/>
      <c r="O156" s="181" t="n"/>
      <c r="P156" s="181" t="n"/>
      <c r="Q156" s="18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row>
    <row r="157" ht="15.75" customHeight="1" s="216">
      <c r="A157" s="1" t="n"/>
      <c r="B157" s="1" t="n"/>
      <c r="C157" s="1" t="n"/>
      <c r="D157" s="1" t="n"/>
      <c r="E157" s="181" t="n"/>
      <c r="F157" s="181" t="n"/>
      <c r="G157" s="1" t="n"/>
      <c r="H157" s="1" t="n"/>
      <c r="I157" s="1" t="n"/>
      <c r="J157" s="1" t="n"/>
      <c r="K157" s="181" t="n"/>
      <c r="L157" s="181" t="n"/>
      <c r="M157" s="181" t="n"/>
      <c r="N157" s="1" t="n"/>
      <c r="O157" s="181" t="n"/>
      <c r="P157" s="181" t="n"/>
      <c r="Q157" s="18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row>
    <row r="158" ht="15.75" customHeight="1" s="216">
      <c r="A158" s="1" t="n"/>
      <c r="B158" s="1" t="n"/>
      <c r="C158" s="1" t="n"/>
      <c r="D158" s="1" t="n"/>
      <c r="E158" s="181" t="n"/>
      <c r="F158" s="181" t="n"/>
      <c r="G158" s="1" t="n"/>
      <c r="H158" s="1" t="n"/>
      <c r="I158" s="1" t="n"/>
      <c r="J158" s="1" t="n"/>
      <c r="K158" s="181" t="n"/>
      <c r="L158" s="181" t="n"/>
      <c r="M158" s="181" t="n"/>
      <c r="N158" s="1" t="n"/>
      <c r="O158" s="181" t="n"/>
      <c r="P158" s="181" t="n"/>
      <c r="Q158" s="18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row>
    <row r="159" ht="15.75" customHeight="1" s="216">
      <c r="A159" s="1" t="n"/>
      <c r="B159" s="1" t="n"/>
      <c r="C159" s="1" t="n"/>
      <c r="D159" s="1" t="n"/>
      <c r="E159" s="181" t="n"/>
      <c r="F159" s="181" t="n"/>
      <c r="G159" s="1" t="n"/>
      <c r="H159" s="1" t="n"/>
      <c r="I159" s="1" t="n"/>
      <c r="J159" s="1" t="n"/>
      <c r="K159" s="181" t="n"/>
      <c r="L159" s="181" t="n"/>
      <c r="M159" s="181" t="n"/>
      <c r="N159" s="1" t="n"/>
      <c r="O159" s="181" t="n"/>
      <c r="P159" s="181" t="n"/>
      <c r="Q159" s="18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row>
    <row r="160" ht="15.75" customHeight="1" s="216">
      <c r="A160" s="1" t="n"/>
      <c r="B160" s="1" t="n"/>
      <c r="C160" s="1" t="n"/>
      <c r="D160" s="1" t="n"/>
      <c r="E160" s="181" t="n"/>
      <c r="F160" s="181" t="n"/>
      <c r="G160" s="1" t="n"/>
      <c r="H160" s="1" t="n"/>
      <c r="I160" s="1" t="n"/>
      <c r="J160" s="1" t="n"/>
      <c r="K160" s="181" t="n"/>
      <c r="L160" s="181" t="n"/>
      <c r="M160" s="181" t="n"/>
      <c r="N160" s="1" t="n"/>
      <c r="O160" s="181" t="n"/>
      <c r="P160" s="181" t="n"/>
      <c r="Q160" s="18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row>
    <row r="161" ht="15.75" customHeight="1" s="216">
      <c r="A161" s="1" t="n"/>
      <c r="B161" s="1" t="n"/>
      <c r="C161" s="1" t="n"/>
      <c r="D161" s="1" t="n"/>
      <c r="E161" s="181" t="n"/>
      <c r="F161" s="181" t="n"/>
      <c r="G161" s="1" t="n"/>
      <c r="H161" s="1" t="n"/>
      <c r="I161" s="1" t="n"/>
      <c r="J161" s="1" t="n"/>
      <c r="K161" s="181" t="n"/>
      <c r="L161" s="181" t="n"/>
      <c r="M161" s="181" t="n"/>
      <c r="N161" s="1" t="n"/>
      <c r="O161" s="181" t="n"/>
      <c r="P161" s="181" t="n"/>
      <c r="Q161" s="18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row>
    <row r="162" ht="15.75" customHeight="1" s="216">
      <c r="A162" s="1" t="n"/>
      <c r="B162" s="1" t="n"/>
      <c r="C162" s="1" t="n"/>
      <c r="D162" s="1" t="n"/>
      <c r="E162" s="181" t="n"/>
      <c r="F162" s="181" t="n"/>
      <c r="G162" s="1" t="n"/>
      <c r="H162" s="1" t="n"/>
      <c r="I162" s="1" t="n"/>
      <c r="J162" s="1" t="n"/>
      <c r="K162" s="181" t="n"/>
      <c r="L162" s="181" t="n"/>
      <c r="M162" s="181" t="n"/>
      <c r="N162" s="1" t="n"/>
      <c r="O162" s="181" t="n"/>
      <c r="P162" s="181" t="n"/>
      <c r="Q162" s="18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row>
    <row r="163" ht="15.75" customHeight="1" s="216">
      <c r="A163" s="1" t="n"/>
      <c r="B163" s="1" t="n"/>
      <c r="C163" s="1" t="n"/>
      <c r="D163" s="1" t="n"/>
      <c r="E163" s="181" t="n"/>
      <c r="F163" s="181" t="n"/>
      <c r="G163" s="1" t="n"/>
      <c r="H163" s="1" t="n"/>
      <c r="I163" s="1" t="n"/>
      <c r="J163" s="1" t="n"/>
      <c r="K163" s="181" t="n"/>
      <c r="L163" s="181" t="n"/>
      <c r="M163" s="181" t="n"/>
      <c r="N163" s="1" t="n"/>
      <c r="O163" s="181" t="n"/>
      <c r="P163" s="181" t="n"/>
      <c r="Q163" s="18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row>
    <row r="164" ht="15.75" customHeight="1" s="216">
      <c r="A164" s="1" t="n"/>
      <c r="B164" s="1" t="n"/>
      <c r="C164" s="1" t="n"/>
      <c r="D164" s="1" t="n"/>
      <c r="E164" s="181" t="n"/>
      <c r="F164" s="181" t="n"/>
      <c r="G164" s="1" t="n"/>
      <c r="H164" s="1" t="n"/>
      <c r="I164" s="1" t="n"/>
      <c r="J164" s="1" t="n"/>
      <c r="K164" s="181" t="n"/>
      <c r="L164" s="181" t="n"/>
      <c r="M164" s="181" t="n"/>
      <c r="N164" s="1" t="n"/>
      <c r="O164" s="181" t="n"/>
      <c r="P164" s="181" t="n"/>
      <c r="Q164" s="18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row>
    <row r="165" ht="15.75" customHeight="1" s="216">
      <c r="A165" s="1" t="n"/>
      <c r="B165" s="1" t="n"/>
      <c r="C165" s="1" t="n"/>
      <c r="D165" s="1" t="n"/>
      <c r="E165" s="181" t="n"/>
      <c r="F165" s="181" t="n"/>
      <c r="G165" s="1" t="n"/>
      <c r="H165" s="1" t="n"/>
      <c r="I165" s="1" t="n"/>
      <c r="J165" s="1" t="n"/>
      <c r="K165" s="181" t="n"/>
      <c r="L165" s="181" t="n"/>
      <c r="M165" s="181" t="n"/>
      <c r="N165" s="1" t="n"/>
      <c r="O165" s="181" t="n"/>
      <c r="P165" s="181" t="n"/>
      <c r="Q165" s="18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row>
    <row r="166" ht="15.75" customHeight="1" s="216">
      <c r="A166" s="1" t="n"/>
      <c r="B166" s="1" t="n"/>
      <c r="C166" s="1" t="n"/>
      <c r="D166" s="1" t="n"/>
      <c r="E166" s="181" t="n"/>
      <c r="F166" s="181" t="n"/>
      <c r="G166" s="1" t="n"/>
      <c r="H166" s="1" t="n"/>
      <c r="I166" s="1" t="n"/>
      <c r="J166" s="1" t="n"/>
      <c r="K166" s="181" t="n"/>
      <c r="L166" s="181" t="n"/>
      <c r="M166" s="181" t="n"/>
      <c r="N166" s="1" t="n"/>
      <c r="O166" s="181" t="n"/>
      <c r="P166" s="181" t="n"/>
      <c r="Q166" s="18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row>
    <row r="167" ht="15.75" customHeight="1" s="216">
      <c r="A167" s="1" t="n"/>
      <c r="B167" s="1" t="n"/>
      <c r="C167" s="1" t="n"/>
      <c r="D167" s="1" t="n"/>
      <c r="E167" s="181" t="n"/>
      <c r="F167" s="181" t="n"/>
      <c r="G167" s="1" t="n"/>
      <c r="H167" s="1" t="n"/>
      <c r="I167" s="1" t="n"/>
      <c r="J167" s="1" t="n"/>
      <c r="K167" s="181" t="n"/>
      <c r="L167" s="181" t="n"/>
      <c r="M167" s="181" t="n"/>
      <c r="N167" s="1" t="n"/>
      <c r="O167" s="181" t="n"/>
      <c r="P167" s="181" t="n"/>
      <c r="Q167" s="18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row>
    <row r="168" ht="15.75" customHeight="1" s="216">
      <c r="A168" s="1" t="n"/>
      <c r="B168" s="1" t="n"/>
      <c r="C168" s="1" t="n"/>
      <c r="D168" s="1" t="n"/>
      <c r="E168" s="181" t="n"/>
      <c r="F168" s="181" t="n"/>
      <c r="G168" s="1" t="n"/>
      <c r="H168" s="1" t="n"/>
      <c r="I168" s="1" t="n"/>
      <c r="J168" s="1" t="n"/>
      <c r="K168" s="181" t="n"/>
      <c r="L168" s="181" t="n"/>
      <c r="M168" s="181" t="n"/>
      <c r="N168" s="1" t="n"/>
      <c r="O168" s="181" t="n"/>
      <c r="P168" s="181" t="n"/>
      <c r="Q168" s="18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row>
    <row r="169" ht="15.75" customHeight="1" s="216">
      <c r="A169" s="1" t="n"/>
      <c r="B169" s="1" t="n"/>
      <c r="C169" s="1" t="n"/>
      <c r="D169" s="1" t="n"/>
      <c r="E169" s="181" t="n"/>
      <c r="F169" s="181" t="n"/>
      <c r="G169" s="1" t="n"/>
      <c r="H169" s="1" t="n"/>
      <c r="I169" s="1" t="n"/>
      <c r="J169" s="1" t="n"/>
      <c r="K169" s="181" t="n"/>
      <c r="L169" s="181" t="n"/>
      <c r="M169" s="181" t="n"/>
      <c r="N169" s="1" t="n"/>
      <c r="O169" s="181" t="n"/>
      <c r="P169" s="181" t="n"/>
      <c r="Q169" s="18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row>
    <row r="170" ht="15.75" customHeight="1" s="216">
      <c r="A170" s="1" t="n"/>
      <c r="B170" s="1" t="n"/>
      <c r="C170" s="1" t="n"/>
      <c r="D170" s="1" t="n"/>
      <c r="E170" s="181" t="n"/>
      <c r="F170" s="181" t="n"/>
      <c r="G170" s="1" t="n"/>
      <c r="H170" s="1" t="n"/>
      <c r="I170" s="1" t="n"/>
      <c r="J170" s="1" t="n"/>
      <c r="K170" s="181" t="n"/>
      <c r="L170" s="181" t="n"/>
      <c r="M170" s="181" t="n"/>
      <c r="N170" s="1" t="n"/>
      <c r="O170" s="181" t="n"/>
      <c r="P170" s="181" t="n"/>
      <c r="Q170" s="18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row>
    <row r="171" ht="15.75" customHeight="1" s="216">
      <c r="A171" s="1" t="n"/>
      <c r="B171" s="1" t="n"/>
      <c r="C171" s="1" t="n"/>
      <c r="D171" s="1" t="n"/>
      <c r="E171" s="181" t="n"/>
      <c r="F171" s="181" t="n"/>
      <c r="G171" s="1" t="n"/>
      <c r="H171" s="1" t="n"/>
      <c r="I171" s="1" t="n"/>
      <c r="J171" s="1" t="n"/>
      <c r="K171" s="181" t="n"/>
      <c r="L171" s="181" t="n"/>
      <c r="M171" s="181" t="n"/>
      <c r="N171" s="1" t="n"/>
      <c r="O171" s="181" t="n"/>
      <c r="P171" s="181" t="n"/>
      <c r="Q171" s="18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row>
    <row r="172" ht="15.75" customHeight="1" s="216">
      <c r="A172" s="1" t="n"/>
      <c r="B172" s="1" t="n"/>
      <c r="C172" s="1" t="n"/>
      <c r="D172" s="1" t="n"/>
      <c r="E172" s="181" t="n"/>
      <c r="F172" s="181" t="n"/>
      <c r="G172" s="1" t="n"/>
      <c r="H172" s="1" t="n"/>
      <c r="I172" s="1" t="n"/>
      <c r="J172" s="1" t="n"/>
      <c r="K172" s="181" t="n"/>
      <c r="L172" s="181" t="n"/>
      <c r="M172" s="181" t="n"/>
      <c r="N172" s="1" t="n"/>
      <c r="O172" s="181" t="n"/>
      <c r="P172" s="181" t="n"/>
      <c r="Q172" s="18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row>
    <row r="173" ht="15.75" customHeight="1" s="216">
      <c r="A173" s="1" t="n"/>
      <c r="B173" s="1" t="n"/>
      <c r="C173" s="1" t="n"/>
      <c r="D173" s="1" t="n"/>
      <c r="E173" s="181" t="n"/>
      <c r="F173" s="181" t="n"/>
      <c r="G173" s="1" t="n"/>
      <c r="H173" s="1" t="n"/>
      <c r="I173" s="1" t="n"/>
      <c r="J173" s="1" t="n"/>
      <c r="K173" s="181" t="n"/>
      <c r="L173" s="181" t="n"/>
      <c r="M173" s="181" t="n"/>
      <c r="N173" s="1" t="n"/>
      <c r="O173" s="181" t="n"/>
      <c r="P173" s="181" t="n"/>
      <c r="Q173" s="18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row>
    <row r="174" ht="15.75" customHeight="1" s="216">
      <c r="A174" s="1" t="n"/>
      <c r="B174" s="1" t="n"/>
      <c r="C174" s="1" t="n"/>
      <c r="D174" s="1" t="n"/>
      <c r="E174" s="181" t="n"/>
      <c r="F174" s="181" t="n"/>
      <c r="G174" s="1" t="n"/>
      <c r="H174" s="1" t="n"/>
      <c r="I174" s="1" t="n"/>
      <c r="J174" s="1" t="n"/>
      <c r="K174" s="181" t="n"/>
      <c r="L174" s="181" t="n"/>
      <c r="M174" s="181" t="n"/>
      <c r="N174" s="1" t="n"/>
      <c r="O174" s="181" t="n"/>
      <c r="P174" s="181" t="n"/>
      <c r="Q174" s="18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row>
    <row r="175" ht="15.75" customHeight="1" s="216">
      <c r="A175" s="1" t="n"/>
      <c r="B175" s="1" t="n"/>
      <c r="C175" s="1" t="n"/>
      <c r="D175" s="1" t="n"/>
      <c r="E175" s="181" t="n"/>
      <c r="F175" s="181" t="n"/>
      <c r="G175" s="1" t="n"/>
      <c r="H175" s="1" t="n"/>
      <c r="I175" s="1" t="n"/>
      <c r="J175" s="1" t="n"/>
      <c r="K175" s="181" t="n"/>
      <c r="L175" s="181" t="n"/>
      <c r="M175" s="181" t="n"/>
      <c r="N175" s="1" t="n"/>
      <c r="O175" s="181" t="n"/>
      <c r="P175" s="181" t="n"/>
      <c r="Q175" s="18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row>
    <row r="176" ht="15.75" customHeight="1" s="216">
      <c r="A176" s="1" t="n"/>
      <c r="B176" s="1" t="n"/>
      <c r="C176" s="1" t="n"/>
      <c r="D176" s="1" t="n"/>
      <c r="E176" s="181" t="n"/>
      <c r="F176" s="181" t="n"/>
      <c r="G176" s="1" t="n"/>
      <c r="H176" s="1" t="n"/>
      <c r="I176" s="1" t="n"/>
      <c r="J176" s="1" t="n"/>
      <c r="K176" s="181" t="n"/>
      <c r="L176" s="181" t="n"/>
      <c r="M176" s="181" t="n"/>
      <c r="N176" s="1" t="n"/>
      <c r="O176" s="181" t="n"/>
      <c r="P176" s="181" t="n"/>
      <c r="Q176" s="18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row>
    <row r="177" ht="15.75" customHeight="1" s="216">
      <c r="A177" s="1" t="n"/>
      <c r="B177" s="1" t="n"/>
      <c r="C177" s="1" t="n"/>
      <c r="D177" s="1" t="n"/>
      <c r="E177" s="181" t="n"/>
      <c r="F177" s="181" t="n"/>
      <c r="G177" s="1" t="n"/>
      <c r="H177" s="1" t="n"/>
      <c r="I177" s="1" t="n"/>
      <c r="J177" s="1" t="n"/>
      <c r="K177" s="181" t="n"/>
      <c r="L177" s="181" t="n"/>
      <c r="M177" s="181" t="n"/>
      <c r="N177" s="1" t="n"/>
      <c r="O177" s="181" t="n"/>
      <c r="P177" s="181" t="n"/>
      <c r="Q177" s="18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row>
    <row r="178" ht="15.75" customHeight="1" s="216">
      <c r="A178" s="1" t="n"/>
      <c r="B178" s="1" t="n"/>
      <c r="C178" s="1" t="n"/>
      <c r="D178" s="1" t="n"/>
      <c r="E178" s="181" t="n"/>
      <c r="F178" s="181" t="n"/>
      <c r="G178" s="1" t="n"/>
      <c r="H178" s="1" t="n"/>
      <c r="I178" s="1" t="n"/>
      <c r="J178" s="1" t="n"/>
      <c r="K178" s="181" t="n"/>
      <c r="L178" s="181" t="n"/>
      <c r="M178" s="181" t="n"/>
      <c r="N178" s="1" t="n"/>
      <c r="O178" s="181" t="n"/>
      <c r="P178" s="181" t="n"/>
      <c r="Q178" s="18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row>
    <row r="179" ht="15.75" customHeight="1" s="216">
      <c r="A179" s="1" t="n"/>
      <c r="B179" s="1" t="n"/>
      <c r="C179" s="1" t="n"/>
      <c r="D179" s="1" t="n"/>
      <c r="E179" s="181" t="n"/>
      <c r="F179" s="181" t="n"/>
      <c r="G179" s="1" t="n"/>
      <c r="H179" s="1" t="n"/>
      <c r="I179" s="1" t="n"/>
      <c r="J179" s="1" t="n"/>
      <c r="K179" s="181" t="n"/>
      <c r="L179" s="181" t="n"/>
      <c r="M179" s="181" t="n"/>
      <c r="N179" s="1" t="n"/>
      <c r="O179" s="181" t="n"/>
      <c r="P179" s="181" t="n"/>
      <c r="Q179" s="18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row>
    <row r="180" ht="15.75" customHeight="1" s="216">
      <c r="A180" s="1" t="n"/>
      <c r="B180" s="1" t="n"/>
      <c r="C180" s="1" t="n"/>
      <c r="D180" s="1" t="n"/>
      <c r="E180" s="181" t="n"/>
      <c r="F180" s="181" t="n"/>
      <c r="G180" s="1" t="n"/>
      <c r="H180" s="1" t="n"/>
      <c r="I180" s="1" t="n"/>
      <c r="J180" s="1" t="n"/>
      <c r="K180" s="181" t="n"/>
      <c r="L180" s="181" t="n"/>
      <c r="M180" s="181" t="n"/>
      <c r="N180" s="1" t="n"/>
      <c r="O180" s="181" t="n"/>
      <c r="P180" s="181" t="n"/>
      <c r="Q180" s="18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row>
    <row r="181" ht="15.75" customHeight="1" s="216">
      <c r="A181" s="1" t="n"/>
      <c r="B181" s="1" t="n"/>
      <c r="C181" s="1" t="n"/>
      <c r="D181" s="1" t="n"/>
      <c r="E181" s="181" t="n"/>
      <c r="F181" s="181" t="n"/>
      <c r="G181" s="1" t="n"/>
      <c r="H181" s="1" t="n"/>
      <c r="I181" s="1" t="n"/>
      <c r="J181" s="1" t="n"/>
      <c r="K181" s="181" t="n"/>
      <c r="L181" s="181" t="n"/>
      <c r="M181" s="181" t="n"/>
      <c r="N181" s="1" t="n"/>
      <c r="O181" s="181" t="n"/>
      <c r="P181" s="181" t="n"/>
      <c r="Q181" s="18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row>
    <row r="182" ht="15.75" customHeight="1" s="216">
      <c r="A182" s="1" t="n"/>
      <c r="B182" s="1" t="n"/>
      <c r="C182" s="1" t="n"/>
      <c r="D182" s="1" t="n"/>
      <c r="E182" s="181" t="n"/>
      <c r="F182" s="181" t="n"/>
      <c r="G182" s="1" t="n"/>
      <c r="H182" s="1" t="n"/>
      <c r="I182" s="1" t="n"/>
      <c r="J182" s="1" t="n"/>
      <c r="K182" s="181" t="n"/>
      <c r="L182" s="181" t="n"/>
      <c r="M182" s="181" t="n"/>
      <c r="N182" s="1" t="n"/>
      <c r="O182" s="181" t="n"/>
      <c r="P182" s="181" t="n"/>
      <c r="Q182" s="18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row>
    <row r="183" ht="15.75" customHeight="1" s="216">
      <c r="A183" s="1" t="n"/>
      <c r="B183" s="1" t="n"/>
      <c r="C183" s="1" t="n"/>
      <c r="D183" s="1" t="n"/>
      <c r="E183" s="181" t="n"/>
      <c r="F183" s="181" t="n"/>
      <c r="G183" s="1" t="n"/>
      <c r="H183" s="1" t="n"/>
      <c r="I183" s="1" t="n"/>
      <c r="J183" s="1" t="n"/>
      <c r="K183" s="181" t="n"/>
      <c r="L183" s="181" t="n"/>
      <c r="M183" s="181" t="n"/>
      <c r="N183" s="1" t="n"/>
      <c r="O183" s="181" t="n"/>
      <c r="P183" s="181" t="n"/>
      <c r="Q183" s="18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row>
    <row r="184" ht="15.75" customHeight="1" s="216">
      <c r="A184" s="1" t="n"/>
      <c r="B184" s="1" t="n"/>
      <c r="C184" s="1" t="n"/>
      <c r="D184" s="1" t="n"/>
      <c r="E184" s="181" t="n"/>
      <c r="F184" s="181" t="n"/>
      <c r="G184" s="1" t="n"/>
      <c r="H184" s="1" t="n"/>
      <c r="I184" s="1" t="n"/>
      <c r="J184" s="1" t="n"/>
      <c r="K184" s="181" t="n"/>
      <c r="L184" s="181" t="n"/>
      <c r="M184" s="181" t="n"/>
      <c r="N184" s="1" t="n"/>
      <c r="O184" s="181" t="n"/>
      <c r="P184" s="181" t="n"/>
      <c r="Q184" s="18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row>
    <row r="185" ht="15.75" customHeight="1" s="216">
      <c r="A185" s="1" t="n"/>
      <c r="B185" s="1" t="n"/>
      <c r="C185" s="1" t="n"/>
      <c r="D185" s="1" t="n"/>
      <c r="E185" s="181" t="n"/>
      <c r="F185" s="181" t="n"/>
      <c r="G185" s="1" t="n"/>
      <c r="H185" s="1" t="n"/>
      <c r="I185" s="1" t="n"/>
      <c r="J185" s="1" t="n"/>
      <c r="K185" s="181" t="n"/>
      <c r="L185" s="181" t="n"/>
      <c r="M185" s="181" t="n"/>
      <c r="N185" s="1" t="n"/>
      <c r="O185" s="181" t="n"/>
      <c r="P185" s="181" t="n"/>
      <c r="Q185" s="18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row>
    <row r="186" ht="15.75" customHeight="1" s="216">
      <c r="A186" s="1" t="n"/>
      <c r="B186" s="1" t="n"/>
      <c r="C186" s="1" t="n"/>
      <c r="D186" s="1" t="n"/>
      <c r="E186" s="181" t="n"/>
      <c r="F186" s="181" t="n"/>
      <c r="G186" s="1" t="n"/>
      <c r="H186" s="1" t="n"/>
      <c r="I186" s="1" t="n"/>
      <c r="J186" s="1" t="n"/>
      <c r="K186" s="181" t="n"/>
      <c r="L186" s="181" t="n"/>
      <c r="M186" s="181" t="n"/>
      <c r="N186" s="1" t="n"/>
      <c r="O186" s="181" t="n"/>
      <c r="P186" s="181" t="n"/>
      <c r="Q186" s="18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row>
    <row r="187" ht="15.75" customHeight="1" s="216">
      <c r="A187" s="1" t="n"/>
      <c r="B187" s="1" t="n"/>
      <c r="C187" s="1" t="n"/>
      <c r="D187" s="1" t="n"/>
      <c r="E187" s="181" t="n"/>
      <c r="F187" s="181" t="n"/>
      <c r="G187" s="1" t="n"/>
      <c r="H187" s="1" t="n"/>
      <c r="I187" s="1" t="n"/>
      <c r="J187" s="1" t="n"/>
      <c r="K187" s="181" t="n"/>
      <c r="L187" s="181" t="n"/>
      <c r="M187" s="181" t="n"/>
      <c r="N187" s="1" t="n"/>
      <c r="O187" s="181" t="n"/>
      <c r="P187" s="181" t="n"/>
      <c r="Q187" s="18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row>
    <row r="188" ht="15.75" customHeight="1" s="216">
      <c r="A188" s="1" t="n"/>
      <c r="B188" s="1" t="n"/>
      <c r="C188" s="1" t="n"/>
      <c r="D188" s="1" t="n"/>
      <c r="E188" s="181" t="n"/>
      <c r="F188" s="181" t="n"/>
      <c r="G188" s="1" t="n"/>
      <c r="H188" s="1" t="n"/>
      <c r="I188" s="1" t="n"/>
      <c r="J188" s="1" t="n"/>
      <c r="K188" s="181" t="n"/>
      <c r="L188" s="181" t="n"/>
      <c r="M188" s="181" t="n"/>
      <c r="N188" s="1" t="n"/>
      <c r="O188" s="181" t="n"/>
      <c r="P188" s="181" t="n"/>
      <c r="Q188" s="18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row>
    <row r="189" ht="15.75" customHeight="1" s="216">
      <c r="A189" s="1" t="n"/>
      <c r="B189" s="1" t="n"/>
      <c r="C189" s="1" t="n"/>
      <c r="D189" s="1" t="n"/>
      <c r="E189" s="181" t="n"/>
      <c r="F189" s="181" t="n"/>
      <c r="G189" s="1" t="n"/>
      <c r="H189" s="1" t="n"/>
      <c r="I189" s="1" t="n"/>
      <c r="J189" s="1" t="n"/>
      <c r="K189" s="181" t="n"/>
      <c r="L189" s="181" t="n"/>
      <c r="M189" s="181" t="n"/>
      <c r="N189" s="1" t="n"/>
      <c r="O189" s="181" t="n"/>
      <c r="P189" s="181" t="n"/>
      <c r="Q189" s="18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row>
    <row r="190" ht="15.75" customHeight="1" s="216">
      <c r="A190" s="1" t="n"/>
      <c r="B190" s="1" t="n"/>
      <c r="C190" s="1" t="n"/>
      <c r="D190" s="1" t="n"/>
      <c r="E190" s="181" t="n"/>
      <c r="F190" s="181" t="n"/>
      <c r="G190" s="1" t="n"/>
      <c r="H190" s="1" t="n"/>
      <c r="I190" s="1" t="n"/>
      <c r="J190" s="1" t="n"/>
      <c r="K190" s="181" t="n"/>
      <c r="L190" s="181" t="n"/>
      <c r="M190" s="181" t="n"/>
      <c r="N190" s="1" t="n"/>
      <c r="O190" s="181" t="n"/>
      <c r="P190" s="181" t="n"/>
      <c r="Q190" s="18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row>
    <row r="191" ht="15.75" customHeight="1" s="216">
      <c r="A191" s="1" t="n"/>
      <c r="B191" s="1" t="n"/>
      <c r="C191" s="1" t="n"/>
      <c r="D191" s="1" t="n"/>
      <c r="E191" s="181" t="n"/>
      <c r="F191" s="181" t="n"/>
      <c r="G191" s="1" t="n"/>
      <c r="H191" s="1" t="n"/>
      <c r="I191" s="1" t="n"/>
      <c r="J191" s="1" t="n"/>
      <c r="K191" s="181" t="n"/>
      <c r="L191" s="181" t="n"/>
      <c r="M191" s="181" t="n"/>
      <c r="N191" s="1" t="n"/>
      <c r="O191" s="181" t="n"/>
      <c r="P191" s="181" t="n"/>
      <c r="Q191" s="18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row>
    <row r="192" ht="15.75" customHeight="1" s="216">
      <c r="A192" s="1" t="n"/>
      <c r="B192" s="1" t="n"/>
      <c r="C192" s="1" t="n"/>
      <c r="D192" s="1" t="n"/>
      <c r="E192" s="181" t="n"/>
      <c r="F192" s="181" t="n"/>
      <c r="G192" s="1" t="n"/>
      <c r="H192" s="1" t="n"/>
      <c r="I192" s="1" t="n"/>
      <c r="J192" s="1" t="n"/>
      <c r="K192" s="181" t="n"/>
      <c r="L192" s="181" t="n"/>
      <c r="M192" s="181" t="n"/>
      <c r="N192" s="1" t="n"/>
      <c r="O192" s="181" t="n"/>
      <c r="P192" s="181" t="n"/>
      <c r="Q192" s="18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row>
    <row r="193" ht="15.75" customHeight="1" s="216">
      <c r="A193" s="1" t="n"/>
      <c r="B193" s="1" t="n"/>
      <c r="C193" s="1" t="n"/>
      <c r="D193" s="1" t="n"/>
      <c r="E193" s="181" t="n"/>
      <c r="F193" s="181" t="n"/>
      <c r="G193" s="1" t="n"/>
      <c r="H193" s="1" t="n"/>
      <c r="I193" s="1" t="n"/>
      <c r="J193" s="1" t="n"/>
      <c r="K193" s="181" t="n"/>
      <c r="L193" s="181" t="n"/>
      <c r="M193" s="181" t="n"/>
      <c r="N193" s="1" t="n"/>
      <c r="O193" s="181" t="n"/>
      <c r="P193" s="181" t="n"/>
      <c r="Q193" s="18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row>
    <row r="194" ht="15.75" customHeight="1" s="216">
      <c r="A194" s="1" t="n"/>
      <c r="B194" s="1" t="n"/>
      <c r="C194" s="1" t="n"/>
      <c r="D194" s="1" t="n"/>
      <c r="E194" s="181" t="n"/>
      <c r="F194" s="181" t="n"/>
      <c r="G194" s="1" t="n"/>
      <c r="H194" s="1" t="n"/>
      <c r="I194" s="1" t="n"/>
      <c r="J194" s="1" t="n"/>
      <c r="K194" s="181" t="n"/>
      <c r="L194" s="181" t="n"/>
      <c r="M194" s="181" t="n"/>
      <c r="N194" s="1" t="n"/>
      <c r="O194" s="181" t="n"/>
      <c r="P194" s="181" t="n"/>
      <c r="Q194" s="18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row>
    <row r="195" ht="15.75" customHeight="1" s="216">
      <c r="A195" s="1" t="n"/>
      <c r="B195" s="1" t="n"/>
      <c r="C195" s="1" t="n"/>
      <c r="D195" s="1" t="n"/>
      <c r="E195" s="181" t="n"/>
      <c r="F195" s="181" t="n"/>
      <c r="G195" s="1" t="n"/>
      <c r="H195" s="1" t="n"/>
      <c r="I195" s="1" t="n"/>
      <c r="J195" s="1" t="n"/>
      <c r="K195" s="181" t="n"/>
      <c r="L195" s="181" t="n"/>
      <c r="M195" s="181" t="n"/>
      <c r="N195" s="1" t="n"/>
      <c r="O195" s="181" t="n"/>
      <c r="P195" s="181" t="n"/>
      <c r="Q195" s="18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row>
    <row r="196" ht="15.75" customHeight="1" s="216">
      <c r="A196" s="1" t="n"/>
      <c r="B196" s="1" t="n"/>
      <c r="C196" s="1" t="n"/>
      <c r="D196" s="1" t="n"/>
      <c r="E196" s="181" t="n"/>
      <c r="F196" s="181" t="n"/>
      <c r="G196" s="1" t="n"/>
      <c r="H196" s="1" t="n"/>
      <c r="I196" s="1" t="n"/>
      <c r="J196" s="1" t="n"/>
      <c r="K196" s="181" t="n"/>
      <c r="L196" s="181" t="n"/>
      <c r="M196" s="181" t="n"/>
      <c r="N196" s="1" t="n"/>
      <c r="O196" s="181" t="n"/>
      <c r="P196" s="181" t="n"/>
      <c r="Q196" s="18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row>
    <row r="197" ht="15.75" customHeight="1" s="216">
      <c r="A197" s="1" t="n"/>
      <c r="B197" s="1" t="n"/>
      <c r="C197" s="1" t="n"/>
      <c r="D197" s="1" t="n"/>
      <c r="E197" s="181" t="n"/>
      <c r="F197" s="181" t="n"/>
      <c r="G197" s="1" t="n"/>
      <c r="H197" s="1" t="n"/>
      <c r="I197" s="1" t="n"/>
      <c r="J197" s="1" t="n"/>
      <c r="K197" s="181" t="n"/>
      <c r="L197" s="181" t="n"/>
      <c r="M197" s="181" t="n"/>
      <c r="N197" s="1" t="n"/>
      <c r="O197" s="181" t="n"/>
      <c r="P197" s="181" t="n"/>
      <c r="Q197" s="18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row>
    <row r="198" ht="15.75" customHeight="1" s="216">
      <c r="A198" s="1" t="n"/>
      <c r="B198" s="1" t="n"/>
      <c r="C198" s="1" t="n"/>
      <c r="D198" s="1" t="n"/>
      <c r="E198" s="181" t="n"/>
      <c r="F198" s="181" t="n"/>
      <c r="G198" s="1" t="n"/>
      <c r="H198" s="1" t="n"/>
      <c r="I198" s="1" t="n"/>
      <c r="J198" s="1" t="n"/>
      <c r="K198" s="181" t="n"/>
      <c r="L198" s="181" t="n"/>
      <c r="M198" s="181" t="n"/>
      <c r="N198" s="1" t="n"/>
      <c r="O198" s="181" t="n"/>
      <c r="P198" s="181" t="n"/>
      <c r="Q198" s="18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row>
    <row r="199" ht="15.75" customHeight="1" s="216">
      <c r="A199" s="1" t="n"/>
      <c r="B199" s="1" t="n"/>
      <c r="C199" s="1" t="n"/>
      <c r="D199" s="1" t="n"/>
      <c r="E199" s="181" t="n"/>
      <c r="F199" s="181" t="n"/>
      <c r="G199" s="1" t="n"/>
      <c r="H199" s="1" t="n"/>
      <c r="I199" s="1" t="n"/>
      <c r="J199" s="1" t="n"/>
      <c r="K199" s="181" t="n"/>
      <c r="L199" s="181" t="n"/>
      <c r="M199" s="181" t="n"/>
      <c r="N199" s="1" t="n"/>
      <c r="O199" s="181" t="n"/>
      <c r="P199" s="181" t="n"/>
      <c r="Q199" s="18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row>
    <row r="200" ht="15.75" customHeight="1" s="216">
      <c r="A200" s="1" t="n"/>
      <c r="B200" s="1" t="n"/>
      <c r="C200" s="1" t="n"/>
      <c r="D200" s="1" t="n"/>
      <c r="E200" s="181" t="n"/>
      <c r="F200" s="181" t="n"/>
      <c r="G200" s="1" t="n"/>
      <c r="H200" s="1" t="n"/>
      <c r="I200" s="1" t="n"/>
      <c r="J200" s="1" t="n"/>
      <c r="K200" s="181" t="n"/>
      <c r="L200" s="181" t="n"/>
      <c r="M200" s="181" t="n"/>
      <c r="N200" s="1" t="n"/>
      <c r="O200" s="181" t="n"/>
      <c r="P200" s="181" t="n"/>
      <c r="Q200" s="18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row>
    <row r="201" ht="15.75" customHeight="1" s="216">
      <c r="A201" s="1" t="n"/>
      <c r="B201" s="1" t="n"/>
      <c r="C201" s="1" t="n"/>
      <c r="D201" s="1" t="n"/>
      <c r="E201" s="181" t="n"/>
      <c r="F201" s="181" t="n"/>
      <c r="G201" s="1" t="n"/>
      <c r="H201" s="1" t="n"/>
      <c r="I201" s="1" t="n"/>
      <c r="J201" s="1" t="n"/>
      <c r="K201" s="181" t="n"/>
      <c r="L201" s="181" t="n"/>
      <c r="M201" s="181" t="n"/>
      <c r="N201" s="1" t="n"/>
      <c r="O201" s="181" t="n"/>
      <c r="P201" s="181" t="n"/>
      <c r="Q201" s="18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row>
    <row r="202" ht="15.75" customHeight="1" s="216">
      <c r="A202" s="1" t="n"/>
      <c r="B202" s="1" t="n"/>
      <c r="C202" s="1" t="n"/>
      <c r="D202" s="1" t="n"/>
      <c r="E202" s="181" t="n"/>
      <c r="F202" s="181" t="n"/>
      <c r="G202" s="1" t="n"/>
      <c r="H202" s="1" t="n"/>
      <c r="I202" s="1" t="n"/>
      <c r="J202" s="1" t="n"/>
      <c r="K202" s="181" t="n"/>
      <c r="L202" s="181" t="n"/>
      <c r="M202" s="181" t="n"/>
      <c r="N202" s="1" t="n"/>
      <c r="O202" s="181" t="n"/>
      <c r="P202" s="181" t="n"/>
      <c r="Q202" s="18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row>
    <row r="203" ht="15.75" customHeight="1" s="216">
      <c r="A203" s="1" t="n"/>
      <c r="B203" s="1" t="n"/>
      <c r="C203" s="1" t="n"/>
      <c r="D203" s="1" t="n"/>
      <c r="E203" s="181" t="n"/>
      <c r="F203" s="181" t="n"/>
      <c r="G203" s="1" t="n"/>
      <c r="H203" s="1" t="n"/>
      <c r="I203" s="1" t="n"/>
      <c r="J203" s="1" t="n"/>
      <c r="K203" s="181" t="n"/>
      <c r="L203" s="181" t="n"/>
      <c r="M203" s="181" t="n"/>
      <c r="N203" s="1" t="n"/>
      <c r="O203" s="181" t="n"/>
      <c r="P203" s="181" t="n"/>
      <c r="Q203" s="18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row>
    <row r="204" ht="15.75" customHeight="1" s="216">
      <c r="A204" s="1" t="n"/>
      <c r="B204" s="1" t="n"/>
      <c r="C204" s="1" t="n"/>
      <c r="D204" s="1" t="n"/>
      <c r="E204" s="181" t="n"/>
      <c r="F204" s="181" t="n"/>
      <c r="G204" s="1" t="n"/>
      <c r="H204" s="1" t="n"/>
      <c r="I204" s="1" t="n"/>
      <c r="J204" s="1" t="n"/>
      <c r="K204" s="181" t="n"/>
      <c r="L204" s="181" t="n"/>
      <c r="M204" s="181" t="n"/>
      <c r="N204" s="1" t="n"/>
      <c r="O204" s="181" t="n"/>
      <c r="P204" s="181" t="n"/>
      <c r="Q204" s="18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row>
    <row r="205" ht="15.75" customHeight="1" s="216">
      <c r="A205" s="1" t="n"/>
      <c r="B205" s="1" t="n"/>
      <c r="C205" s="1" t="n"/>
      <c r="D205" s="1" t="n"/>
      <c r="E205" s="181" t="n"/>
      <c r="F205" s="181" t="n"/>
      <c r="G205" s="1" t="n"/>
      <c r="H205" s="1" t="n"/>
      <c r="I205" s="1" t="n"/>
      <c r="J205" s="1" t="n"/>
      <c r="K205" s="181" t="n"/>
      <c r="L205" s="181" t="n"/>
      <c r="M205" s="181" t="n"/>
      <c r="N205" s="1" t="n"/>
      <c r="O205" s="181" t="n"/>
      <c r="P205" s="181" t="n"/>
      <c r="Q205" s="18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row>
    <row r="206" ht="15.75" customHeight="1" s="216">
      <c r="A206" s="1" t="n"/>
      <c r="B206" s="1" t="n"/>
      <c r="C206" s="1" t="n"/>
      <c r="D206" s="1" t="n"/>
      <c r="E206" s="181" t="n"/>
      <c r="F206" s="181" t="n"/>
      <c r="G206" s="1" t="n"/>
      <c r="H206" s="1" t="n"/>
      <c r="I206" s="1" t="n"/>
      <c r="J206" s="1" t="n"/>
      <c r="K206" s="181" t="n"/>
      <c r="L206" s="181" t="n"/>
      <c r="M206" s="181" t="n"/>
      <c r="N206" s="1" t="n"/>
      <c r="O206" s="181" t="n"/>
      <c r="P206" s="181" t="n"/>
      <c r="Q206" s="18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row>
    <row r="207" ht="15.75" customHeight="1" s="216">
      <c r="A207" s="1" t="n"/>
      <c r="B207" s="1" t="n"/>
      <c r="C207" s="1" t="n"/>
      <c r="D207" s="1" t="n"/>
      <c r="E207" s="181" t="n"/>
      <c r="F207" s="181" t="n"/>
      <c r="G207" s="1" t="n"/>
      <c r="H207" s="1" t="n"/>
      <c r="I207" s="1" t="n"/>
      <c r="J207" s="1" t="n"/>
      <c r="K207" s="181" t="n"/>
      <c r="L207" s="181" t="n"/>
      <c r="M207" s="181" t="n"/>
      <c r="N207" s="1" t="n"/>
      <c r="O207" s="181" t="n"/>
      <c r="P207" s="181" t="n"/>
      <c r="Q207" s="18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row>
    <row r="208" ht="15.75" customHeight="1" s="216">
      <c r="A208" s="1" t="n"/>
      <c r="B208" s="1" t="n"/>
      <c r="C208" s="1" t="n"/>
      <c r="D208" s="1" t="n"/>
      <c r="E208" s="181" t="n"/>
      <c r="F208" s="181" t="n"/>
      <c r="G208" s="1" t="n"/>
      <c r="H208" s="1" t="n"/>
      <c r="I208" s="1" t="n"/>
      <c r="J208" s="1" t="n"/>
      <c r="K208" s="181" t="n"/>
      <c r="L208" s="181" t="n"/>
      <c r="M208" s="181" t="n"/>
      <c r="N208" s="1" t="n"/>
      <c r="O208" s="181" t="n"/>
      <c r="P208" s="181" t="n"/>
      <c r="Q208" s="18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row>
    <row r="209" ht="15.75" customHeight="1" s="216">
      <c r="A209" s="1" t="n"/>
      <c r="B209" s="1" t="n"/>
      <c r="C209" s="1" t="n"/>
      <c r="D209" s="1" t="n"/>
      <c r="E209" s="181" t="n"/>
      <c r="F209" s="181" t="n"/>
      <c r="G209" s="1" t="n"/>
      <c r="H209" s="1" t="n"/>
      <c r="I209" s="1" t="n"/>
      <c r="J209" s="1" t="n"/>
      <c r="K209" s="181" t="n"/>
      <c r="L209" s="181" t="n"/>
      <c r="M209" s="181" t="n"/>
      <c r="N209" s="1" t="n"/>
      <c r="O209" s="181" t="n"/>
      <c r="P209" s="181" t="n"/>
      <c r="Q209" s="18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row>
    <row r="210" ht="15.75" customHeight="1" s="216">
      <c r="A210" s="1" t="n"/>
      <c r="B210" s="1" t="n"/>
      <c r="C210" s="1" t="n"/>
      <c r="D210" s="1" t="n"/>
      <c r="E210" s="181" t="n"/>
      <c r="F210" s="181" t="n"/>
      <c r="G210" s="1" t="n"/>
      <c r="H210" s="1" t="n"/>
      <c r="I210" s="1" t="n"/>
      <c r="J210" s="1" t="n"/>
      <c r="K210" s="181" t="n"/>
      <c r="L210" s="181" t="n"/>
      <c r="M210" s="181" t="n"/>
      <c r="N210" s="1" t="n"/>
      <c r="O210" s="181" t="n"/>
      <c r="P210" s="181" t="n"/>
      <c r="Q210" s="18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row>
    <row r="211" ht="15.75" customHeight="1" s="216">
      <c r="A211" s="1" t="n"/>
      <c r="B211" s="1" t="n"/>
      <c r="C211" s="1" t="n"/>
      <c r="D211" s="1" t="n"/>
      <c r="E211" s="181" t="n"/>
      <c r="F211" s="181" t="n"/>
      <c r="G211" s="1" t="n"/>
      <c r="H211" s="1" t="n"/>
      <c r="I211" s="1" t="n"/>
      <c r="J211" s="1" t="n"/>
      <c r="K211" s="181" t="n"/>
      <c r="L211" s="181" t="n"/>
      <c r="M211" s="181" t="n"/>
      <c r="N211" s="1" t="n"/>
      <c r="O211" s="181" t="n"/>
      <c r="P211" s="181" t="n"/>
      <c r="Q211" s="18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row>
    <row r="212" ht="15.75" customHeight="1" s="216">
      <c r="A212" s="1" t="n"/>
      <c r="B212" s="1" t="n"/>
      <c r="C212" s="1" t="n"/>
      <c r="D212" s="1" t="n"/>
      <c r="E212" s="181" t="n"/>
      <c r="F212" s="181" t="n"/>
      <c r="G212" s="1" t="n"/>
      <c r="H212" s="1" t="n"/>
      <c r="I212" s="1" t="n"/>
      <c r="J212" s="1" t="n"/>
      <c r="K212" s="181" t="n"/>
      <c r="L212" s="181" t="n"/>
      <c r="M212" s="181" t="n"/>
      <c r="N212" s="1" t="n"/>
      <c r="O212" s="181" t="n"/>
      <c r="P212" s="181" t="n"/>
      <c r="Q212" s="18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row>
    <row r="213" ht="15.75" customHeight="1" s="216">
      <c r="A213" s="1" t="n"/>
      <c r="B213" s="1" t="n"/>
      <c r="C213" s="1" t="n"/>
      <c r="D213" s="1" t="n"/>
      <c r="E213" s="181" t="n"/>
      <c r="F213" s="181" t="n"/>
      <c r="G213" s="1" t="n"/>
      <c r="H213" s="1" t="n"/>
      <c r="I213" s="1" t="n"/>
      <c r="J213" s="1" t="n"/>
      <c r="K213" s="181" t="n"/>
      <c r="L213" s="181" t="n"/>
      <c r="M213" s="181" t="n"/>
      <c r="N213" s="1" t="n"/>
      <c r="O213" s="181" t="n"/>
      <c r="P213" s="181" t="n"/>
      <c r="Q213" s="18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row>
    <row r="214" ht="15.75" customHeight="1" s="216">
      <c r="A214" s="1" t="n"/>
      <c r="B214" s="1" t="n"/>
      <c r="C214" s="1" t="n"/>
      <c r="D214" s="1" t="n"/>
      <c r="E214" s="181" t="n"/>
      <c r="F214" s="181" t="n"/>
      <c r="G214" s="1" t="n"/>
      <c r="H214" s="1" t="n"/>
      <c r="I214" s="1" t="n"/>
      <c r="J214" s="1" t="n"/>
      <c r="K214" s="181" t="n"/>
      <c r="L214" s="181" t="n"/>
      <c r="M214" s="181" t="n"/>
      <c r="N214" s="1" t="n"/>
      <c r="O214" s="181" t="n"/>
      <c r="P214" s="181" t="n"/>
      <c r="Q214" s="18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row>
    <row r="215" ht="15.75" customHeight="1" s="216">
      <c r="A215" s="1" t="n"/>
      <c r="B215" s="1" t="n"/>
      <c r="C215" s="1" t="n"/>
      <c r="D215" s="1" t="n"/>
      <c r="E215" s="181" t="n"/>
      <c r="F215" s="181" t="n"/>
      <c r="G215" s="1" t="n"/>
      <c r="H215" s="1" t="n"/>
      <c r="I215" s="1" t="n"/>
      <c r="J215" s="1" t="n"/>
      <c r="K215" s="181" t="n"/>
      <c r="L215" s="181" t="n"/>
      <c r="M215" s="181" t="n"/>
      <c r="N215" s="1" t="n"/>
      <c r="O215" s="181" t="n"/>
      <c r="P215" s="181" t="n"/>
      <c r="Q215" s="18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row>
    <row r="216" ht="15.75" customHeight="1" s="216">
      <c r="A216" s="1" t="n"/>
      <c r="B216" s="1" t="n"/>
      <c r="C216" s="1" t="n"/>
      <c r="D216" s="1" t="n"/>
      <c r="E216" s="181" t="n"/>
      <c r="F216" s="181" t="n"/>
      <c r="G216" s="1" t="n"/>
      <c r="H216" s="1" t="n"/>
      <c r="I216" s="1" t="n"/>
      <c r="J216" s="1" t="n"/>
      <c r="K216" s="181" t="n"/>
      <c r="L216" s="181" t="n"/>
      <c r="M216" s="181" t="n"/>
      <c r="N216" s="1" t="n"/>
      <c r="O216" s="181" t="n"/>
      <c r="P216" s="181" t="n"/>
      <c r="Q216" s="18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row>
    <row r="217" ht="15.75" customHeight="1" s="216">
      <c r="A217" s="1" t="n"/>
      <c r="B217" s="1" t="n"/>
      <c r="C217" s="1" t="n"/>
      <c r="D217" s="1" t="n"/>
      <c r="E217" s="181" t="n"/>
      <c r="F217" s="181" t="n"/>
      <c r="G217" s="1" t="n"/>
      <c r="H217" s="1" t="n"/>
      <c r="I217" s="1" t="n"/>
      <c r="J217" s="1" t="n"/>
      <c r="K217" s="181" t="n"/>
      <c r="L217" s="181" t="n"/>
      <c r="M217" s="181" t="n"/>
      <c r="N217" s="1" t="n"/>
      <c r="O217" s="181" t="n"/>
      <c r="P217" s="181" t="n"/>
      <c r="Q217" s="18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row>
    <row r="218" ht="15.75" customHeight="1" s="216">
      <c r="A218" s="1" t="n"/>
      <c r="B218" s="1" t="n"/>
      <c r="C218" s="1" t="n"/>
      <c r="D218" s="1" t="n"/>
      <c r="E218" s="181" t="n"/>
      <c r="F218" s="181" t="n"/>
      <c r="G218" s="1" t="n"/>
      <c r="H218" s="1" t="n"/>
      <c r="I218" s="1" t="n"/>
      <c r="J218" s="1" t="n"/>
      <c r="K218" s="181" t="n"/>
      <c r="L218" s="181" t="n"/>
      <c r="M218" s="181" t="n"/>
      <c r="N218" s="1" t="n"/>
      <c r="O218" s="181" t="n"/>
      <c r="P218" s="181" t="n"/>
      <c r="Q218" s="18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row>
    <row r="219" ht="15.75" customHeight="1" s="216">
      <c r="A219" s="1" t="n"/>
      <c r="B219" s="1" t="n"/>
      <c r="C219" s="1" t="n"/>
      <c r="D219" s="1" t="n"/>
      <c r="E219" s="181" t="n"/>
      <c r="F219" s="181" t="n"/>
      <c r="G219" s="1" t="n"/>
      <c r="H219" s="1" t="n"/>
      <c r="I219" s="1" t="n"/>
      <c r="J219" s="1" t="n"/>
      <c r="K219" s="181" t="n"/>
      <c r="L219" s="181" t="n"/>
      <c r="M219" s="181" t="n"/>
      <c r="N219" s="1" t="n"/>
      <c r="O219" s="181" t="n"/>
      <c r="P219" s="181" t="n"/>
      <c r="Q219" s="18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row>
    <row r="220" ht="15.75" customHeight="1" s="216">
      <c r="A220" s="1" t="n"/>
      <c r="B220" s="1" t="n"/>
      <c r="C220" s="1" t="n"/>
      <c r="D220" s="1" t="n"/>
      <c r="E220" s="181" t="n"/>
      <c r="F220" s="181" t="n"/>
      <c r="G220" s="1" t="n"/>
      <c r="H220" s="1" t="n"/>
      <c r="I220" s="1" t="n"/>
      <c r="J220" s="1" t="n"/>
      <c r="K220" s="181" t="n"/>
      <c r="L220" s="181" t="n"/>
      <c r="M220" s="181" t="n"/>
      <c r="N220" s="1" t="n"/>
      <c r="O220" s="181" t="n"/>
      <c r="P220" s="181" t="n"/>
      <c r="Q220" s="18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row>
    <row r="221" ht="15.75" customHeight="1" s="216">
      <c r="D221" s="109" t="n"/>
      <c r="E221" s="109" t="n"/>
      <c r="J221" s="109" t="n"/>
      <c r="K221" s="109" t="n"/>
      <c r="L221" s="109" t="n"/>
      <c r="N221" s="109" t="n"/>
      <c r="O221" s="109" t="n"/>
      <c r="P221" s="109" t="n"/>
      <c r="T221" s="109" t="n"/>
      <c r="U221" s="109" t="n"/>
      <c r="V221" s="109" t="n"/>
      <c r="Z221" s="109" t="n"/>
      <c r="AA221" s="109" t="n"/>
      <c r="AB221" s="109" t="n"/>
      <c r="AF221" s="109" t="n"/>
      <c r="AG221" s="109" t="n"/>
      <c r="AH221" s="109" t="n"/>
      <c r="AL221" s="109" t="n"/>
      <c r="AM221" s="109" t="n"/>
      <c r="AN221" s="109" t="n"/>
    </row>
    <row r="222" ht="15.75" customHeight="1" s="216">
      <c r="D222" s="109" t="n"/>
      <c r="E222" s="109" t="n"/>
      <c r="J222" s="109" t="n"/>
      <c r="K222" s="109" t="n"/>
      <c r="L222" s="109" t="n"/>
      <c r="N222" s="109" t="n"/>
      <c r="O222" s="109" t="n"/>
      <c r="P222" s="109" t="n"/>
      <c r="T222" s="109" t="n"/>
      <c r="U222" s="109" t="n"/>
      <c r="V222" s="109" t="n"/>
      <c r="Z222" s="109" t="n"/>
      <c r="AA222" s="109" t="n"/>
      <c r="AB222" s="109" t="n"/>
      <c r="AF222" s="109" t="n"/>
      <c r="AG222" s="109" t="n"/>
      <c r="AH222" s="109" t="n"/>
      <c r="AL222" s="109" t="n"/>
      <c r="AM222" s="109" t="n"/>
      <c r="AN222" s="109" t="n"/>
    </row>
    <row r="223" ht="15.75" customHeight="1" s="216">
      <c r="D223" s="109" t="n"/>
      <c r="E223" s="109" t="n"/>
      <c r="J223" s="109" t="n"/>
      <c r="K223" s="109" t="n"/>
      <c r="L223" s="109" t="n"/>
      <c r="N223" s="109" t="n"/>
      <c r="O223" s="109" t="n"/>
      <c r="P223" s="109" t="n"/>
      <c r="T223" s="109" t="n"/>
      <c r="U223" s="109" t="n"/>
      <c r="V223" s="109" t="n"/>
      <c r="Z223" s="109" t="n"/>
      <c r="AA223" s="109" t="n"/>
      <c r="AB223" s="109" t="n"/>
      <c r="AF223" s="109" t="n"/>
      <c r="AG223" s="109" t="n"/>
      <c r="AH223" s="109" t="n"/>
      <c r="AL223" s="109" t="n"/>
      <c r="AM223" s="109" t="n"/>
      <c r="AN223" s="109" t="n"/>
    </row>
    <row r="224" ht="15.75" customHeight="1" s="216">
      <c r="D224" s="109" t="n"/>
      <c r="E224" s="109" t="n"/>
      <c r="J224" s="109" t="n"/>
      <c r="K224" s="109" t="n"/>
      <c r="L224" s="109" t="n"/>
      <c r="N224" s="109" t="n"/>
      <c r="O224" s="109" t="n"/>
      <c r="P224" s="109" t="n"/>
      <c r="T224" s="109" t="n"/>
      <c r="U224" s="109" t="n"/>
      <c r="V224" s="109" t="n"/>
      <c r="Z224" s="109" t="n"/>
      <c r="AA224" s="109" t="n"/>
      <c r="AB224" s="109" t="n"/>
      <c r="AF224" s="109" t="n"/>
      <c r="AG224" s="109" t="n"/>
      <c r="AH224" s="109" t="n"/>
      <c r="AL224" s="109" t="n"/>
      <c r="AM224" s="109" t="n"/>
      <c r="AN224" s="109" t="n"/>
    </row>
    <row r="225" ht="15.75" customHeight="1" s="216">
      <c r="D225" s="109" t="n"/>
      <c r="E225" s="109" t="n"/>
      <c r="J225" s="109" t="n"/>
      <c r="K225" s="109" t="n"/>
      <c r="L225" s="109" t="n"/>
      <c r="N225" s="109" t="n"/>
      <c r="O225" s="109" t="n"/>
      <c r="P225" s="109" t="n"/>
      <c r="T225" s="109" t="n"/>
      <c r="U225" s="109" t="n"/>
      <c r="V225" s="109" t="n"/>
      <c r="Z225" s="109" t="n"/>
      <c r="AA225" s="109" t="n"/>
      <c r="AB225" s="109" t="n"/>
      <c r="AF225" s="109" t="n"/>
      <c r="AG225" s="109" t="n"/>
      <c r="AH225" s="109" t="n"/>
      <c r="AL225" s="109" t="n"/>
      <c r="AM225" s="109" t="n"/>
      <c r="AN225" s="109" t="n"/>
    </row>
    <row r="226" ht="15.75" customHeight="1" s="216">
      <c r="D226" s="109" t="n"/>
      <c r="E226" s="109" t="n"/>
      <c r="J226" s="109" t="n"/>
      <c r="K226" s="109" t="n"/>
      <c r="L226" s="109" t="n"/>
      <c r="N226" s="109" t="n"/>
      <c r="O226" s="109" t="n"/>
      <c r="P226" s="109" t="n"/>
      <c r="T226" s="109" t="n"/>
      <c r="U226" s="109" t="n"/>
      <c r="V226" s="109" t="n"/>
      <c r="Z226" s="109" t="n"/>
      <c r="AA226" s="109" t="n"/>
      <c r="AB226" s="109" t="n"/>
      <c r="AF226" s="109" t="n"/>
      <c r="AG226" s="109" t="n"/>
      <c r="AH226" s="109" t="n"/>
      <c r="AL226" s="109" t="n"/>
      <c r="AM226" s="109" t="n"/>
      <c r="AN226" s="109" t="n"/>
    </row>
    <row r="227" ht="15.75" customHeight="1" s="216">
      <c r="D227" s="109" t="n"/>
      <c r="E227" s="109" t="n"/>
      <c r="J227" s="109" t="n"/>
      <c r="K227" s="109" t="n"/>
      <c r="L227" s="109" t="n"/>
      <c r="N227" s="109" t="n"/>
      <c r="O227" s="109" t="n"/>
      <c r="P227" s="109" t="n"/>
      <c r="T227" s="109" t="n"/>
      <c r="U227" s="109" t="n"/>
      <c r="V227" s="109" t="n"/>
      <c r="Z227" s="109" t="n"/>
      <c r="AA227" s="109" t="n"/>
      <c r="AB227" s="109" t="n"/>
      <c r="AF227" s="109" t="n"/>
      <c r="AG227" s="109" t="n"/>
      <c r="AH227" s="109" t="n"/>
      <c r="AL227" s="109" t="n"/>
      <c r="AM227" s="109" t="n"/>
      <c r="AN227" s="109" t="n"/>
    </row>
    <row r="228" ht="15.75" customHeight="1" s="216">
      <c r="D228" s="109" t="n"/>
      <c r="E228" s="109" t="n"/>
      <c r="J228" s="109" t="n"/>
      <c r="K228" s="109" t="n"/>
      <c r="L228" s="109" t="n"/>
      <c r="N228" s="109" t="n"/>
      <c r="O228" s="109" t="n"/>
      <c r="P228" s="109" t="n"/>
      <c r="T228" s="109" t="n"/>
      <c r="U228" s="109" t="n"/>
      <c r="V228" s="109" t="n"/>
      <c r="Z228" s="109" t="n"/>
      <c r="AA228" s="109" t="n"/>
      <c r="AB228" s="109" t="n"/>
      <c r="AF228" s="109" t="n"/>
      <c r="AG228" s="109" t="n"/>
      <c r="AH228" s="109" t="n"/>
      <c r="AL228" s="109" t="n"/>
      <c r="AM228" s="109" t="n"/>
      <c r="AN228" s="109" t="n"/>
    </row>
    <row r="229" ht="15.75" customHeight="1" s="216">
      <c r="D229" s="109" t="n"/>
      <c r="E229" s="109" t="n"/>
      <c r="J229" s="109" t="n"/>
      <c r="K229" s="109" t="n"/>
      <c r="L229" s="109" t="n"/>
      <c r="N229" s="109" t="n"/>
      <c r="O229" s="109" t="n"/>
      <c r="P229" s="109" t="n"/>
      <c r="T229" s="109" t="n"/>
      <c r="U229" s="109" t="n"/>
      <c r="V229" s="109" t="n"/>
      <c r="Z229" s="109" t="n"/>
      <c r="AA229" s="109" t="n"/>
      <c r="AB229" s="109" t="n"/>
      <c r="AF229" s="109" t="n"/>
      <c r="AG229" s="109" t="n"/>
      <c r="AH229" s="109" t="n"/>
      <c r="AL229" s="109" t="n"/>
      <c r="AM229" s="109" t="n"/>
      <c r="AN229" s="109" t="n"/>
    </row>
    <row r="230" ht="15.75" customHeight="1" s="216">
      <c r="D230" s="109" t="n"/>
      <c r="E230" s="109" t="n"/>
      <c r="J230" s="109" t="n"/>
      <c r="K230" s="109" t="n"/>
      <c r="L230" s="109" t="n"/>
      <c r="N230" s="109" t="n"/>
      <c r="O230" s="109" t="n"/>
      <c r="P230" s="109" t="n"/>
      <c r="T230" s="109" t="n"/>
      <c r="U230" s="109" t="n"/>
      <c r="V230" s="109" t="n"/>
      <c r="Z230" s="109" t="n"/>
      <c r="AA230" s="109" t="n"/>
      <c r="AB230" s="109" t="n"/>
      <c r="AF230" s="109" t="n"/>
      <c r="AG230" s="109" t="n"/>
      <c r="AH230" s="109" t="n"/>
      <c r="AL230" s="109" t="n"/>
      <c r="AM230" s="109" t="n"/>
      <c r="AN230" s="109" t="n"/>
    </row>
    <row r="231" ht="15.75" customHeight="1" s="216">
      <c r="D231" s="109" t="n"/>
      <c r="E231" s="109" t="n"/>
      <c r="J231" s="109" t="n"/>
      <c r="K231" s="109" t="n"/>
      <c r="L231" s="109" t="n"/>
      <c r="N231" s="109" t="n"/>
      <c r="O231" s="109" t="n"/>
      <c r="P231" s="109" t="n"/>
      <c r="T231" s="109" t="n"/>
      <c r="U231" s="109" t="n"/>
      <c r="V231" s="109" t="n"/>
      <c r="Z231" s="109" t="n"/>
      <c r="AA231" s="109" t="n"/>
      <c r="AB231" s="109" t="n"/>
      <c r="AF231" s="109" t="n"/>
      <c r="AG231" s="109" t="n"/>
      <c r="AH231" s="109" t="n"/>
      <c r="AL231" s="109" t="n"/>
      <c r="AM231" s="109" t="n"/>
      <c r="AN231" s="109" t="n"/>
    </row>
    <row r="232" ht="15.75" customHeight="1" s="216">
      <c r="D232" s="109" t="n"/>
      <c r="E232" s="109" t="n"/>
      <c r="J232" s="109" t="n"/>
      <c r="K232" s="109" t="n"/>
      <c r="L232" s="109" t="n"/>
      <c r="N232" s="109" t="n"/>
      <c r="O232" s="109" t="n"/>
      <c r="P232" s="109" t="n"/>
      <c r="T232" s="109" t="n"/>
      <c r="U232" s="109" t="n"/>
      <c r="V232" s="109" t="n"/>
      <c r="Z232" s="109" t="n"/>
      <c r="AA232" s="109" t="n"/>
      <c r="AB232" s="109" t="n"/>
      <c r="AF232" s="109" t="n"/>
      <c r="AG232" s="109" t="n"/>
      <c r="AH232" s="109" t="n"/>
      <c r="AL232" s="109" t="n"/>
      <c r="AM232" s="109" t="n"/>
      <c r="AN232" s="109" t="n"/>
    </row>
    <row r="233" ht="15.75" customHeight="1" s="216">
      <c r="D233" s="109" t="n"/>
      <c r="E233" s="109" t="n"/>
      <c r="J233" s="109" t="n"/>
      <c r="K233" s="109" t="n"/>
      <c r="L233" s="109" t="n"/>
      <c r="N233" s="109" t="n"/>
      <c r="O233" s="109" t="n"/>
      <c r="P233" s="109" t="n"/>
      <c r="T233" s="109" t="n"/>
      <c r="U233" s="109" t="n"/>
      <c r="V233" s="109" t="n"/>
      <c r="Z233" s="109" t="n"/>
      <c r="AA233" s="109" t="n"/>
      <c r="AB233" s="109" t="n"/>
      <c r="AF233" s="109" t="n"/>
      <c r="AG233" s="109" t="n"/>
      <c r="AH233" s="109" t="n"/>
      <c r="AL233" s="109" t="n"/>
      <c r="AM233" s="109" t="n"/>
      <c r="AN233" s="109" t="n"/>
    </row>
    <row r="234" ht="15.75" customHeight="1" s="216">
      <c r="D234" s="109" t="n"/>
      <c r="E234" s="109" t="n"/>
      <c r="J234" s="109" t="n"/>
      <c r="K234" s="109" t="n"/>
      <c r="L234" s="109" t="n"/>
      <c r="N234" s="109" t="n"/>
      <c r="O234" s="109" t="n"/>
      <c r="P234" s="109" t="n"/>
      <c r="T234" s="109" t="n"/>
      <c r="U234" s="109" t="n"/>
      <c r="V234" s="109" t="n"/>
      <c r="Z234" s="109" t="n"/>
      <c r="AA234" s="109" t="n"/>
      <c r="AB234" s="109" t="n"/>
      <c r="AF234" s="109" t="n"/>
      <c r="AG234" s="109" t="n"/>
      <c r="AH234" s="109" t="n"/>
      <c r="AL234" s="109" t="n"/>
      <c r="AM234" s="109" t="n"/>
      <c r="AN234" s="109" t="n"/>
    </row>
    <row r="235" ht="15.75" customHeight="1" s="216">
      <c r="D235" s="109" t="n"/>
      <c r="E235" s="109" t="n"/>
      <c r="J235" s="109" t="n"/>
      <c r="K235" s="109" t="n"/>
      <c r="L235" s="109" t="n"/>
      <c r="N235" s="109" t="n"/>
      <c r="O235" s="109" t="n"/>
      <c r="P235" s="109" t="n"/>
      <c r="T235" s="109" t="n"/>
      <c r="U235" s="109" t="n"/>
      <c r="V235" s="109" t="n"/>
      <c r="Z235" s="109" t="n"/>
      <c r="AA235" s="109" t="n"/>
      <c r="AB235" s="109" t="n"/>
      <c r="AF235" s="109" t="n"/>
      <c r="AG235" s="109" t="n"/>
      <c r="AH235" s="109" t="n"/>
      <c r="AL235" s="109" t="n"/>
      <c r="AM235" s="109" t="n"/>
      <c r="AN235" s="109" t="n"/>
    </row>
    <row r="236" ht="15.75" customHeight="1" s="216">
      <c r="D236" s="109" t="n"/>
      <c r="E236" s="109" t="n"/>
      <c r="J236" s="109" t="n"/>
      <c r="K236" s="109" t="n"/>
      <c r="L236" s="109" t="n"/>
      <c r="N236" s="109" t="n"/>
      <c r="O236" s="109" t="n"/>
      <c r="P236" s="109" t="n"/>
      <c r="T236" s="109" t="n"/>
      <c r="U236" s="109" t="n"/>
      <c r="V236" s="109" t="n"/>
      <c r="Z236" s="109" t="n"/>
      <c r="AA236" s="109" t="n"/>
      <c r="AB236" s="109" t="n"/>
      <c r="AF236" s="109" t="n"/>
      <c r="AG236" s="109" t="n"/>
      <c r="AH236" s="109" t="n"/>
      <c r="AL236" s="109" t="n"/>
      <c r="AM236" s="109" t="n"/>
      <c r="AN236" s="109" t="n"/>
    </row>
    <row r="237" ht="15.75" customHeight="1" s="216">
      <c r="D237" s="109" t="n"/>
      <c r="E237" s="109" t="n"/>
      <c r="J237" s="109" t="n"/>
      <c r="K237" s="109" t="n"/>
      <c r="L237" s="109" t="n"/>
      <c r="N237" s="109" t="n"/>
      <c r="O237" s="109" t="n"/>
      <c r="P237" s="109" t="n"/>
      <c r="T237" s="109" t="n"/>
      <c r="U237" s="109" t="n"/>
      <c r="V237" s="109" t="n"/>
      <c r="Z237" s="109" t="n"/>
      <c r="AA237" s="109" t="n"/>
      <c r="AB237" s="109" t="n"/>
      <c r="AF237" s="109" t="n"/>
      <c r="AG237" s="109" t="n"/>
      <c r="AH237" s="109" t="n"/>
      <c r="AL237" s="109" t="n"/>
      <c r="AM237" s="109" t="n"/>
      <c r="AN237" s="109" t="n"/>
    </row>
    <row r="238" ht="15.75" customHeight="1" s="216">
      <c r="D238" s="109" t="n"/>
      <c r="E238" s="109" t="n"/>
      <c r="J238" s="109" t="n"/>
      <c r="K238" s="109" t="n"/>
      <c r="L238" s="109" t="n"/>
      <c r="N238" s="109" t="n"/>
      <c r="O238" s="109" t="n"/>
      <c r="P238" s="109" t="n"/>
      <c r="T238" s="109" t="n"/>
      <c r="U238" s="109" t="n"/>
      <c r="V238" s="109" t="n"/>
      <c r="Z238" s="109" t="n"/>
      <c r="AA238" s="109" t="n"/>
      <c r="AB238" s="109" t="n"/>
      <c r="AF238" s="109" t="n"/>
      <c r="AG238" s="109" t="n"/>
      <c r="AH238" s="109" t="n"/>
      <c r="AL238" s="109" t="n"/>
      <c r="AM238" s="109" t="n"/>
      <c r="AN238" s="109" t="n"/>
    </row>
    <row r="239" ht="15.75" customHeight="1" s="216">
      <c r="D239" s="109" t="n"/>
      <c r="E239" s="109" t="n"/>
      <c r="J239" s="109" t="n"/>
      <c r="K239" s="109" t="n"/>
      <c r="L239" s="109" t="n"/>
      <c r="N239" s="109" t="n"/>
      <c r="O239" s="109" t="n"/>
      <c r="P239" s="109" t="n"/>
      <c r="T239" s="109" t="n"/>
      <c r="U239" s="109" t="n"/>
      <c r="V239" s="109" t="n"/>
      <c r="Z239" s="109" t="n"/>
      <c r="AA239" s="109" t="n"/>
      <c r="AB239" s="109" t="n"/>
      <c r="AF239" s="109" t="n"/>
      <c r="AG239" s="109" t="n"/>
      <c r="AH239" s="109" t="n"/>
      <c r="AL239" s="109" t="n"/>
      <c r="AM239" s="109" t="n"/>
      <c r="AN239" s="109" t="n"/>
    </row>
    <row r="240" ht="15.75" customHeight="1" s="216">
      <c r="D240" s="109" t="n"/>
      <c r="E240" s="109" t="n"/>
      <c r="J240" s="109" t="n"/>
      <c r="K240" s="109" t="n"/>
      <c r="L240" s="109" t="n"/>
      <c r="N240" s="109" t="n"/>
      <c r="O240" s="109" t="n"/>
      <c r="P240" s="109" t="n"/>
      <c r="T240" s="109" t="n"/>
      <c r="U240" s="109" t="n"/>
      <c r="V240" s="109" t="n"/>
      <c r="Z240" s="109" t="n"/>
      <c r="AA240" s="109" t="n"/>
      <c r="AB240" s="109" t="n"/>
      <c r="AF240" s="109" t="n"/>
      <c r="AG240" s="109" t="n"/>
      <c r="AH240" s="109" t="n"/>
      <c r="AL240" s="109" t="n"/>
      <c r="AM240" s="109" t="n"/>
      <c r="AN240" s="109" t="n"/>
    </row>
    <row r="241" ht="15.75" customHeight="1" s="216">
      <c r="D241" s="109" t="n"/>
      <c r="E241" s="109" t="n"/>
      <c r="J241" s="109" t="n"/>
      <c r="K241" s="109" t="n"/>
      <c r="L241" s="109" t="n"/>
      <c r="N241" s="109" t="n"/>
      <c r="O241" s="109" t="n"/>
      <c r="P241" s="109" t="n"/>
      <c r="T241" s="109" t="n"/>
      <c r="U241" s="109" t="n"/>
      <c r="V241" s="109" t="n"/>
      <c r="Z241" s="109" t="n"/>
      <c r="AA241" s="109" t="n"/>
      <c r="AB241" s="109" t="n"/>
      <c r="AF241" s="109" t="n"/>
      <c r="AG241" s="109" t="n"/>
      <c r="AH241" s="109" t="n"/>
      <c r="AL241" s="109" t="n"/>
      <c r="AM241" s="109" t="n"/>
      <c r="AN241" s="109" t="n"/>
    </row>
    <row r="242" ht="15.75" customHeight="1" s="216">
      <c r="D242" s="109" t="n"/>
      <c r="E242" s="109" t="n"/>
      <c r="J242" s="109" t="n"/>
      <c r="K242" s="109" t="n"/>
      <c r="L242" s="109" t="n"/>
      <c r="N242" s="109" t="n"/>
      <c r="O242" s="109" t="n"/>
      <c r="P242" s="109" t="n"/>
      <c r="T242" s="109" t="n"/>
      <c r="U242" s="109" t="n"/>
      <c r="V242" s="109" t="n"/>
      <c r="Z242" s="109" t="n"/>
      <c r="AA242" s="109" t="n"/>
      <c r="AB242" s="109" t="n"/>
      <c r="AF242" s="109" t="n"/>
      <c r="AG242" s="109" t="n"/>
      <c r="AH242" s="109" t="n"/>
      <c r="AL242" s="109" t="n"/>
      <c r="AM242" s="109" t="n"/>
      <c r="AN242" s="109" t="n"/>
    </row>
    <row r="243" ht="15.75" customHeight="1" s="216">
      <c r="D243" s="109" t="n"/>
      <c r="E243" s="109" t="n"/>
      <c r="J243" s="109" t="n"/>
      <c r="K243" s="109" t="n"/>
      <c r="L243" s="109" t="n"/>
      <c r="N243" s="109" t="n"/>
      <c r="O243" s="109" t="n"/>
      <c r="P243" s="109" t="n"/>
      <c r="T243" s="109" t="n"/>
      <c r="U243" s="109" t="n"/>
      <c r="V243" s="109" t="n"/>
      <c r="Z243" s="109" t="n"/>
      <c r="AA243" s="109" t="n"/>
      <c r="AB243" s="109" t="n"/>
      <c r="AF243" s="109" t="n"/>
      <c r="AG243" s="109" t="n"/>
      <c r="AH243" s="109" t="n"/>
      <c r="AL243" s="109" t="n"/>
      <c r="AM243" s="109" t="n"/>
      <c r="AN243" s="109" t="n"/>
    </row>
    <row r="244" ht="15.75" customHeight="1" s="216">
      <c r="D244" s="109" t="n"/>
      <c r="E244" s="109" t="n"/>
      <c r="J244" s="109" t="n"/>
      <c r="K244" s="109" t="n"/>
      <c r="L244" s="109" t="n"/>
      <c r="N244" s="109" t="n"/>
      <c r="O244" s="109" t="n"/>
      <c r="P244" s="109" t="n"/>
      <c r="T244" s="109" t="n"/>
      <c r="U244" s="109" t="n"/>
      <c r="V244" s="109" t="n"/>
      <c r="Z244" s="109" t="n"/>
      <c r="AA244" s="109" t="n"/>
      <c r="AB244" s="109" t="n"/>
      <c r="AF244" s="109" t="n"/>
      <c r="AG244" s="109" t="n"/>
      <c r="AH244" s="109" t="n"/>
      <c r="AL244" s="109" t="n"/>
      <c r="AM244" s="109" t="n"/>
      <c r="AN244" s="109" t="n"/>
    </row>
    <row r="245" ht="15.75" customHeight="1" s="216">
      <c r="D245" s="109" t="n"/>
      <c r="E245" s="109" t="n"/>
      <c r="J245" s="109" t="n"/>
      <c r="K245" s="109" t="n"/>
      <c r="L245" s="109" t="n"/>
      <c r="N245" s="109" t="n"/>
      <c r="O245" s="109" t="n"/>
      <c r="P245" s="109" t="n"/>
      <c r="T245" s="109" t="n"/>
      <c r="U245" s="109" t="n"/>
      <c r="V245" s="109" t="n"/>
      <c r="Z245" s="109" t="n"/>
      <c r="AA245" s="109" t="n"/>
      <c r="AB245" s="109" t="n"/>
      <c r="AF245" s="109" t="n"/>
      <c r="AG245" s="109" t="n"/>
      <c r="AH245" s="109" t="n"/>
      <c r="AL245" s="109" t="n"/>
      <c r="AM245" s="109" t="n"/>
      <c r="AN245" s="109" t="n"/>
    </row>
    <row r="246" ht="15.75" customHeight="1" s="216">
      <c r="D246" s="109" t="n"/>
      <c r="E246" s="109" t="n"/>
      <c r="J246" s="109" t="n"/>
      <c r="K246" s="109" t="n"/>
      <c r="L246" s="109" t="n"/>
      <c r="N246" s="109" t="n"/>
      <c r="O246" s="109" t="n"/>
      <c r="P246" s="109" t="n"/>
      <c r="T246" s="109" t="n"/>
      <c r="U246" s="109" t="n"/>
      <c r="V246" s="109" t="n"/>
      <c r="Z246" s="109" t="n"/>
      <c r="AA246" s="109" t="n"/>
      <c r="AB246" s="109" t="n"/>
      <c r="AF246" s="109" t="n"/>
      <c r="AG246" s="109" t="n"/>
      <c r="AH246" s="109" t="n"/>
      <c r="AL246" s="109" t="n"/>
      <c r="AM246" s="109" t="n"/>
      <c r="AN246" s="109" t="n"/>
    </row>
    <row r="247" ht="15.75" customHeight="1" s="216">
      <c r="D247" s="109" t="n"/>
      <c r="E247" s="109" t="n"/>
      <c r="J247" s="109" t="n"/>
      <c r="K247" s="109" t="n"/>
      <c r="L247" s="109" t="n"/>
      <c r="N247" s="109" t="n"/>
      <c r="O247" s="109" t="n"/>
      <c r="P247" s="109" t="n"/>
      <c r="T247" s="109" t="n"/>
      <c r="U247" s="109" t="n"/>
      <c r="V247" s="109" t="n"/>
      <c r="Z247" s="109" t="n"/>
      <c r="AA247" s="109" t="n"/>
      <c r="AB247" s="109" t="n"/>
      <c r="AF247" s="109" t="n"/>
      <c r="AG247" s="109" t="n"/>
      <c r="AH247" s="109" t="n"/>
      <c r="AL247" s="109" t="n"/>
      <c r="AM247" s="109" t="n"/>
      <c r="AN247" s="109" t="n"/>
    </row>
    <row r="248" ht="15.75" customHeight="1" s="216">
      <c r="D248" s="109" t="n"/>
      <c r="E248" s="109" t="n"/>
      <c r="J248" s="109" t="n"/>
      <c r="K248" s="109" t="n"/>
      <c r="L248" s="109" t="n"/>
      <c r="N248" s="109" t="n"/>
      <c r="O248" s="109" t="n"/>
      <c r="P248" s="109" t="n"/>
      <c r="T248" s="109" t="n"/>
      <c r="U248" s="109" t="n"/>
      <c r="V248" s="109" t="n"/>
      <c r="Z248" s="109" t="n"/>
      <c r="AA248" s="109" t="n"/>
      <c r="AB248" s="109" t="n"/>
      <c r="AF248" s="109" t="n"/>
      <c r="AG248" s="109" t="n"/>
      <c r="AH248" s="109" t="n"/>
      <c r="AL248" s="109" t="n"/>
      <c r="AM248" s="109" t="n"/>
      <c r="AN248" s="109" t="n"/>
    </row>
    <row r="249" ht="15.75" customHeight="1" s="216">
      <c r="D249" s="109" t="n"/>
      <c r="E249" s="109" t="n"/>
      <c r="J249" s="109" t="n"/>
      <c r="K249" s="109" t="n"/>
      <c r="L249" s="109" t="n"/>
      <c r="N249" s="109" t="n"/>
      <c r="O249" s="109" t="n"/>
      <c r="P249" s="109" t="n"/>
      <c r="T249" s="109" t="n"/>
      <c r="U249" s="109" t="n"/>
      <c r="V249" s="109" t="n"/>
      <c r="Z249" s="109" t="n"/>
      <c r="AA249" s="109" t="n"/>
      <c r="AB249" s="109" t="n"/>
      <c r="AF249" s="109" t="n"/>
      <c r="AG249" s="109" t="n"/>
      <c r="AH249" s="109" t="n"/>
      <c r="AL249" s="109" t="n"/>
      <c r="AM249" s="109" t="n"/>
      <c r="AN249" s="109" t="n"/>
    </row>
    <row r="250" ht="15.75" customHeight="1" s="216">
      <c r="D250" s="109" t="n"/>
      <c r="E250" s="109" t="n"/>
      <c r="J250" s="109" t="n"/>
      <c r="K250" s="109" t="n"/>
      <c r="L250" s="109" t="n"/>
      <c r="N250" s="109" t="n"/>
      <c r="O250" s="109" t="n"/>
      <c r="P250" s="109" t="n"/>
      <c r="T250" s="109" t="n"/>
      <c r="U250" s="109" t="n"/>
      <c r="V250" s="109" t="n"/>
      <c r="Z250" s="109" t="n"/>
      <c r="AA250" s="109" t="n"/>
      <c r="AB250" s="109" t="n"/>
      <c r="AF250" s="109" t="n"/>
      <c r="AG250" s="109" t="n"/>
      <c r="AH250" s="109" t="n"/>
      <c r="AL250" s="109" t="n"/>
      <c r="AM250" s="109" t="n"/>
      <c r="AN250" s="109" t="n"/>
    </row>
    <row r="251" ht="15.75" customHeight="1" s="216">
      <c r="D251" s="109" t="n"/>
      <c r="E251" s="109" t="n"/>
      <c r="J251" s="109" t="n"/>
      <c r="K251" s="109" t="n"/>
      <c r="L251" s="109" t="n"/>
      <c r="N251" s="109" t="n"/>
      <c r="O251" s="109" t="n"/>
      <c r="P251" s="109" t="n"/>
      <c r="T251" s="109" t="n"/>
      <c r="U251" s="109" t="n"/>
      <c r="V251" s="109" t="n"/>
      <c r="Z251" s="109" t="n"/>
      <c r="AA251" s="109" t="n"/>
      <c r="AB251" s="109" t="n"/>
      <c r="AF251" s="109" t="n"/>
      <c r="AG251" s="109" t="n"/>
      <c r="AH251" s="109" t="n"/>
      <c r="AL251" s="109" t="n"/>
      <c r="AM251" s="109" t="n"/>
      <c r="AN251" s="109" t="n"/>
    </row>
    <row r="252" ht="15.75" customHeight="1" s="216">
      <c r="D252" s="109" t="n"/>
      <c r="E252" s="109" t="n"/>
      <c r="J252" s="109" t="n"/>
      <c r="K252" s="109" t="n"/>
      <c r="L252" s="109" t="n"/>
      <c r="N252" s="109" t="n"/>
      <c r="O252" s="109" t="n"/>
      <c r="P252" s="109" t="n"/>
      <c r="T252" s="109" t="n"/>
      <c r="U252" s="109" t="n"/>
      <c r="V252" s="109" t="n"/>
      <c r="Z252" s="109" t="n"/>
      <c r="AA252" s="109" t="n"/>
      <c r="AB252" s="109" t="n"/>
      <c r="AF252" s="109" t="n"/>
      <c r="AG252" s="109" t="n"/>
      <c r="AH252" s="109" t="n"/>
      <c r="AL252" s="109" t="n"/>
      <c r="AM252" s="109" t="n"/>
      <c r="AN252" s="109" t="n"/>
    </row>
    <row r="253" ht="15.75" customHeight="1" s="216">
      <c r="D253" s="109" t="n"/>
      <c r="E253" s="109" t="n"/>
      <c r="J253" s="109" t="n"/>
      <c r="K253" s="109" t="n"/>
      <c r="L253" s="109" t="n"/>
      <c r="N253" s="109" t="n"/>
      <c r="O253" s="109" t="n"/>
      <c r="P253" s="109" t="n"/>
      <c r="T253" s="109" t="n"/>
      <c r="U253" s="109" t="n"/>
      <c r="V253" s="109" t="n"/>
      <c r="Z253" s="109" t="n"/>
      <c r="AA253" s="109" t="n"/>
      <c r="AB253" s="109" t="n"/>
      <c r="AF253" s="109" t="n"/>
      <c r="AG253" s="109" t="n"/>
      <c r="AH253" s="109" t="n"/>
      <c r="AL253" s="109" t="n"/>
      <c r="AM253" s="109" t="n"/>
      <c r="AN253" s="109" t="n"/>
    </row>
    <row r="254" ht="15.75" customHeight="1" s="216">
      <c r="D254" s="109" t="n"/>
      <c r="E254" s="109" t="n"/>
      <c r="J254" s="109" t="n"/>
      <c r="K254" s="109" t="n"/>
      <c r="L254" s="109" t="n"/>
      <c r="N254" s="109" t="n"/>
      <c r="O254" s="109" t="n"/>
      <c r="P254" s="109" t="n"/>
      <c r="T254" s="109" t="n"/>
      <c r="U254" s="109" t="n"/>
      <c r="V254" s="109" t="n"/>
      <c r="Z254" s="109" t="n"/>
      <c r="AA254" s="109" t="n"/>
      <c r="AB254" s="109" t="n"/>
      <c r="AF254" s="109" t="n"/>
      <c r="AG254" s="109" t="n"/>
      <c r="AH254" s="109" t="n"/>
      <c r="AL254" s="109" t="n"/>
      <c r="AM254" s="109" t="n"/>
      <c r="AN254" s="109" t="n"/>
    </row>
    <row r="255" ht="15.75" customHeight="1" s="216">
      <c r="D255" s="109" t="n"/>
      <c r="E255" s="109" t="n"/>
      <c r="J255" s="109" t="n"/>
      <c r="K255" s="109" t="n"/>
      <c r="L255" s="109" t="n"/>
      <c r="N255" s="109" t="n"/>
      <c r="O255" s="109" t="n"/>
      <c r="P255" s="109" t="n"/>
      <c r="T255" s="109" t="n"/>
      <c r="U255" s="109" t="n"/>
      <c r="V255" s="109" t="n"/>
      <c r="Z255" s="109" t="n"/>
      <c r="AA255" s="109" t="n"/>
      <c r="AB255" s="109" t="n"/>
      <c r="AF255" s="109" t="n"/>
      <c r="AG255" s="109" t="n"/>
      <c r="AH255" s="109" t="n"/>
      <c r="AL255" s="109" t="n"/>
      <c r="AM255" s="109" t="n"/>
      <c r="AN255" s="109" t="n"/>
    </row>
    <row r="256" ht="15.75" customHeight="1" s="216">
      <c r="D256" s="109" t="n"/>
      <c r="E256" s="109" t="n"/>
      <c r="J256" s="109" t="n"/>
      <c r="K256" s="109" t="n"/>
      <c r="L256" s="109" t="n"/>
      <c r="N256" s="109" t="n"/>
      <c r="O256" s="109" t="n"/>
      <c r="P256" s="109" t="n"/>
      <c r="T256" s="109" t="n"/>
      <c r="U256" s="109" t="n"/>
      <c r="V256" s="109" t="n"/>
      <c r="Z256" s="109" t="n"/>
      <c r="AA256" s="109" t="n"/>
      <c r="AB256" s="109" t="n"/>
      <c r="AF256" s="109" t="n"/>
      <c r="AG256" s="109" t="n"/>
      <c r="AH256" s="109" t="n"/>
      <c r="AL256" s="109" t="n"/>
      <c r="AM256" s="109" t="n"/>
      <c r="AN256" s="109" t="n"/>
    </row>
    <row r="257" ht="15.75" customHeight="1" s="216">
      <c r="D257" s="109" t="n"/>
      <c r="E257" s="109" t="n"/>
      <c r="J257" s="109" t="n"/>
      <c r="K257" s="109" t="n"/>
      <c r="L257" s="109" t="n"/>
      <c r="N257" s="109" t="n"/>
      <c r="O257" s="109" t="n"/>
      <c r="P257" s="109" t="n"/>
      <c r="T257" s="109" t="n"/>
      <c r="U257" s="109" t="n"/>
      <c r="V257" s="109" t="n"/>
      <c r="Z257" s="109" t="n"/>
      <c r="AA257" s="109" t="n"/>
      <c r="AB257" s="109" t="n"/>
      <c r="AF257" s="109" t="n"/>
      <c r="AG257" s="109" t="n"/>
      <c r="AH257" s="109" t="n"/>
      <c r="AL257" s="109" t="n"/>
      <c r="AM257" s="109" t="n"/>
      <c r="AN257" s="109" t="n"/>
    </row>
    <row r="258" ht="15.75" customHeight="1" s="216">
      <c r="D258" s="109" t="n"/>
      <c r="E258" s="109" t="n"/>
      <c r="J258" s="109" t="n"/>
      <c r="K258" s="109" t="n"/>
      <c r="L258" s="109" t="n"/>
      <c r="N258" s="109" t="n"/>
      <c r="O258" s="109" t="n"/>
      <c r="P258" s="109" t="n"/>
      <c r="T258" s="109" t="n"/>
      <c r="U258" s="109" t="n"/>
      <c r="V258" s="109" t="n"/>
      <c r="Z258" s="109" t="n"/>
      <c r="AA258" s="109" t="n"/>
      <c r="AB258" s="109" t="n"/>
      <c r="AF258" s="109" t="n"/>
      <c r="AG258" s="109" t="n"/>
      <c r="AH258" s="109" t="n"/>
      <c r="AL258" s="109" t="n"/>
      <c r="AM258" s="109" t="n"/>
      <c r="AN258" s="109" t="n"/>
    </row>
    <row r="259" ht="15.75" customHeight="1" s="216">
      <c r="D259" s="109" t="n"/>
      <c r="E259" s="109" t="n"/>
      <c r="J259" s="109" t="n"/>
      <c r="K259" s="109" t="n"/>
      <c r="L259" s="109" t="n"/>
      <c r="N259" s="109" t="n"/>
      <c r="O259" s="109" t="n"/>
      <c r="P259" s="109" t="n"/>
      <c r="T259" s="109" t="n"/>
      <c r="U259" s="109" t="n"/>
      <c r="V259" s="109" t="n"/>
      <c r="Z259" s="109" t="n"/>
      <c r="AA259" s="109" t="n"/>
      <c r="AB259" s="109" t="n"/>
      <c r="AF259" s="109" t="n"/>
      <c r="AG259" s="109" t="n"/>
      <c r="AH259" s="109" t="n"/>
      <c r="AL259" s="109" t="n"/>
      <c r="AM259" s="109" t="n"/>
      <c r="AN259" s="109" t="n"/>
    </row>
    <row r="260" ht="15.75" customHeight="1" s="216">
      <c r="D260" s="109" t="n"/>
      <c r="E260" s="109" t="n"/>
      <c r="J260" s="109" t="n"/>
      <c r="K260" s="109" t="n"/>
      <c r="L260" s="109" t="n"/>
      <c r="N260" s="109" t="n"/>
      <c r="O260" s="109" t="n"/>
      <c r="P260" s="109" t="n"/>
      <c r="T260" s="109" t="n"/>
      <c r="U260" s="109" t="n"/>
      <c r="V260" s="109" t="n"/>
      <c r="Z260" s="109" t="n"/>
      <c r="AA260" s="109" t="n"/>
      <c r="AB260" s="109" t="n"/>
      <c r="AF260" s="109" t="n"/>
      <c r="AG260" s="109" t="n"/>
      <c r="AH260" s="109" t="n"/>
      <c r="AL260" s="109" t="n"/>
      <c r="AM260" s="109" t="n"/>
      <c r="AN260" s="109" t="n"/>
    </row>
    <row r="261" ht="15.75" customHeight="1" s="216">
      <c r="D261" s="109" t="n"/>
      <c r="E261" s="109" t="n"/>
      <c r="J261" s="109" t="n"/>
      <c r="K261" s="109" t="n"/>
      <c r="L261" s="109" t="n"/>
      <c r="N261" s="109" t="n"/>
      <c r="O261" s="109" t="n"/>
      <c r="P261" s="109" t="n"/>
      <c r="T261" s="109" t="n"/>
      <c r="U261" s="109" t="n"/>
      <c r="V261" s="109" t="n"/>
      <c r="Z261" s="109" t="n"/>
      <c r="AA261" s="109" t="n"/>
      <c r="AB261" s="109" t="n"/>
      <c r="AF261" s="109" t="n"/>
      <c r="AG261" s="109" t="n"/>
      <c r="AH261" s="109" t="n"/>
      <c r="AL261" s="109" t="n"/>
      <c r="AM261" s="109" t="n"/>
      <c r="AN261" s="109" t="n"/>
    </row>
    <row r="262" ht="15.75" customHeight="1" s="216">
      <c r="D262" s="109" t="n"/>
      <c r="E262" s="109" t="n"/>
      <c r="J262" s="109" t="n"/>
      <c r="K262" s="109" t="n"/>
      <c r="L262" s="109" t="n"/>
      <c r="N262" s="109" t="n"/>
      <c r="O262" s="109" t="n"/>
      <c r="P262" s="109" t="n"/>
      <c r="T262" s="109" t="n"/>
      <c r="U262" s="109" t="n"/>
      <c r="V262" s="109" t="n"/>
      <c r="Z262" s="109" t="n"/>
      <c r="AA262" s="109" t="n"/>
      <c r="AB262" s="109" t="n"/>
      <c r="AF262" s="109" t="n"/>
      <c r="AG262" s="109" t="n"/>
      <c r="AH262" s="109" t="n"/>
      <c r="AL262" s="109" t="n"/>
      <c r="AM262" s="109" t="n"/>
      <c r="AN262" s="109" t="n"/>
    </row>
    <row r="263" ht="15.75" customHeight="1" s="216">
      <c r="D263" s="109" t="n"/>
      <c r="E263" s="109" t="n"/>
      <c r="J263" s="109" t="n"/>
      <c r="K263" s="109" t="n"/>
      <c r="L263" s="109" t="n"/>
      <c r="N263" s="109" t="n"/>
      <c r="O263" s="109" t="n"/>
      <c r="P263" s="109" t="n"/>
      <c r="T263" s="109" t="n"/>
      <c r="U263" s="109" t="n"/>
      <c r="V263" s="109" t="n"/>
      <c r="Z263" s="109" t="n"/>
      <c r="AA263" s="109" t="n"/>
      <c r="AB263" s="109" t="n"/>
      <c r="AF263" s="109" t="n"/>
      <c r="AG263" s="109" t="n"/>
      <c r="AH263" s="109" t="n"/>
      <c r="AL263" s="109" t="n"/>
      <c r="AM263" s="109" t="n"/>
      <c r="AN263" s="109" t="n"/>
    </row>
    <row r="264" ht="15.75" customHeight="1" s="216">
      <c r="D264" s="109" t="n"/>
      <c r="E264" s="109" t="n"/>
      <c r="J264" s="109" t="n"/>
      <c r="K264" s="109" t="n"/>
      <c r="L264" s="109" t="n"/>
      <c r="N264" s="109" t="n"/>
      <c r="O264" s="109" t="n"/>
      <c r="P264" s="109" t="n"/>
      <c r="T264" s="109" t="n"/>
      <c r="U264" s="109" t="n"/>
      <c r="V264" s="109" t="n"/>
      <c r="Z264" s="109" t="n"/>
      <c r="AA264" s="109" t="n"/>
      <c r="AB264" s="109" t="n"/>
      <c r="AF264" s="109" t="n"/>
      <c r="AG264" s="109" t="n"/>
      <c r="AH264" s="109" t="n"/>
      <c r="AL264" s="109" t="n"/>
      <c r="AM264" s="109" t="n"/>
      <c r="AN264" s="109" t="n"/>
    </row>
    <row r="265" ht="15.75" customHeight="1" s="216">
      <c r="D265" s="109" t="n"/>
      <c r="E265" s="109" t="n"/>
      <c r="J265" s="109" t="n"/>
      <c r="K265" s="109" t="n"/>
      <c r="L265" s="109" t="n"/>
      <c r="N265" s="109" t="n"/>
      <c r="O265" s="109" t="n"/>
      <c r="P265" s="109" t="n"/>
      <c r="T265" s="109" t="n"/>
      <c r="U265" s="109" t="n"/>
      <c r="V265" s="109" t="n"/>
      <c r="Z265" s="109" t="n"/>
      <c r="AA265" s="109" t="n"/>
      <c r="AB265" s="109" t="n"/>
      <c r="AF265" s="109" t="n"/>
      <c r="AG265" s="109" t="n"/>
      <c r="AH265" s="109" t="n"/>
      <c r="AL265" s="109" t="n"/>
      <c r="AM265" s="109" t="n"/>
      <c r="AN265" s="109" t="n"/>
    </row>
    <row r="266" ht="15.75" customHeight="1" s="216">
      <c r="D266" s="109" t="n"/>
      <c r="E266" s="109" t="n"/>
      <c r="J266" s="109" t="n"/>
      <c r="K266" s="109" t="n"/>
      <c r="L266" s="109" t="n"/>
      <c r="N266" s="109" t="n"/>
      <c r="O266" s="109" t="n"/>
      <c r="P266" s="109" t="n"/>
      <c r="T266" s="109" t="n"/>
      <c r="U266" s="109" t="n"/>
      <c r="V266" s="109" t="n"/>
      <c r="Z266" s="109" t="n"/>
      <c r="AA266" s="109" t="n"/>
      <c r="AB266" s="109" t="n"/>
      <c r="AF266" s="109" t="n"/>
      <c r="AG266" s="109" t="n"/>
      <c r="AH266" s="109" t="n"/>
      <c r="AL266" s="109" t="n"/>
      <c r="AM266" s="109" t="n"/>
      <c r="AN266" s="109" t="n"/>
    </row>
    <row r="267" ht="15.75" customHeight="1" s="216">
      <c r="D267" s="109" t="n"/>
      <c r="E267" s="109" t="n"/>
      <c r="J267" s="109" t="n"/>
      <c r="K267" s="109" t="n"/>
      <c r="L267" s="109" t="n"/>
      <c r="N267" s="109" t="n"/>
      <c r="O267" s="109" t="n"/>
      <c r="P267" s="109" t="n"/>
      <c r="T267" s="109" t="n"/>
      <c r="U267" s="109" t="n"/>
      <c r="V267" s="109" t="n"/>
      <c r="Z267" s="109" t="n"/>
      <c r="AA267" s="109" t="n"/>
      <c r="AB267" s="109" t="n"/>
      <c r="AF267" s="109" t="n"/>
      <c r="AG267" s="109" t="n"/>
      <c r="AH267" s="109" t="n"/>
      <c r="AL267" s="109" t="n"/>
      <c r="AM267" s="109" t="n"/>
      <c r="AN267" s="109" t="n"/>
    </row>
    <row r="268" ht="15.75" customHeight="1" s="216">
      <c r="D268" s="109" t="n"/>
      <c r="E268" s="109" t="n"/>
      <c r="J268" s="109" t="n"/>
      <c r="K268" s="109" t="n"/>
      <c r="L268" s="109" t="n"/>
      <c r="N268" s="109" t="n"/>
      <c r="O268" s="109" t="n"/>
      <c r="P268" s="109" t="n"/>
      <c r="T268" s="109" t="n"/>
      <c r="U268" s="109" t="n"/>
      <c r="V268" s="109" t="n"/>
      <c r="Z268" s="109" t="n"/>
      <c r="AA268" s="109" t="n"/>
      <c r="AB268" s="109" t="n"/>
      <c r="AF268" s="109" t="n"/>
      <c r="AG268" s="109" t="n"/>
      <c r="AH268" s="109" t="n"/>
      <c r="AL268" s="109" t="n"/>
      <c r="AM268" s="109" t="n"/>
      <c r="AN268" s="109" t="n"/>
    </row>
    <row r="269" ht="15.75" customHeight="1" s="216">
      <c r="D269" s="109" t="n"/>
      <c r="E269" s="109" t="n"/>
      <c r="J269" s="109" t="n"/>
      <c r="K269" s="109" t="n"/>
      <c r="L269" s="109" t="n"/>
      <c r="N269" s="109" t="n"/>
      <c r="O269" s="109" t="n"/>
      <c r="P269" s="109" t="n"/>
      <c r="T269" s="109" t="n"/>
      <c r="U269" s="109" t="n"/>
      <c r="V269" s="109" t="n"/>
      <c r="Z269" s="109" t="n"/>
      <c r="AA269" s="109" t="n"/>
      <c r="AB269" s="109" t="n"/>
      <c r="AF269" s="109" t="n"/>
      <c r="AG269" s="109" t="n"/>
      <c r="AH269" s="109" t="n"/>
      <c r="AL269" s="109" t="n"/>
      <c r="AM269" s="109" t="n"/>
      <c r="AN269" s="109" t="n"/>
    </row>
    <row r="270" ht="15.75" customHeight="1" s="216">
      <c r="D270" s="109" t="n"/>
      <c r="E270" s="109" t="n"/>
      <c r="J270" s="109" t="n"/>
      <c r="K270" s="109" t="n"/>
      <c r="L270" s="109" t="n"/>
      <c r="N270" s="109" t="n"/>
      <c r="O270" s="109" t="n"/>
      <c r="P270" s="109" t="n"/>
      <c r="T270" s="109" t="n"/>
      <c r="U270" s="109" t="n"/>
      <c r="V270" s="109" t="n"/>
      <c r="Z270" s="109" t="n"/>
      <c r="AA270" s="109" t="n"/>
      <c r="AB270" s="109" t="n"/>
      <c r="AF270" s="109" t="n"/>
      <c r="AG270" s="109" t="n"/>
      <c r="AH270" s="109" t="n"/>
      <c r="AL270" s="109" t="n"/>
      <c r="AM270" s="109" t="n"/>
      <c r="AN270" s="109" t="n"/>
    </row>
    <row r="271" ht="15.75" customHeight="1" s="216">
      <c r="D271" s="109" t="n"/>
      <c r="E271" s="109" t="n"/>
      <c r="J271" s="109" t="n"/>
      <c r="K271" s="109" t="n"/>
      <c r="L271" s="109" t="n"/>
      <c r="N271" s="109" t="n"/>
      <c r="O271" s="109" t="n"/>
      <c r="P271" s="109" t="n"/>
      <c r="T271" s="109" t="n"/>
      <c r="U271" s="109" t="n"/>
      <c r="V271" s="109" t="n"/>
      <c r="Z271" s="109" t="n"/>
      <c r="AA271" s="109" t="n"/>
      <c r="AB271" s="109" t="n"/>
      <c r="AF271" s="109" t="n"/>
      <c r="AG271" s="109" t="n"/>
      <c r="AH271" s="109" t="n"/>
      <c r="AL271" s="109" t="n"/>
      <c r="AM271" s="109" t="n"/>
      <c r="AN271" s="109" t="n"/>
    </row>
    <row r="272" ht="15.75" customHeight="1" s="216">
      <c r="D272" s="109" t="n"/>
      <c r="E272" s="109" t="n"/>
      <c r="J272" s="109" t="n"/>
      <c r="K272" s="109" t="n"/>
      <c r="L272" s="109" t="n"/>
      <c r="N272" s="109" t="n"/>
      <c r="O272" s="109" t="n"/>
      <c r="P272" s="109" t="n"/>
      <c r="T272" s="109" t="n"/>
      <c r="U272" s="109" t="n"/>
      <c r="V272" s="109" t="n"/>
      <c r="Z272" s="109" t="n"/>
      <c r="AA272" s="109" t="n"/>
      <c r="AB272" s="109" t="n"/>
      <c r="AF272" s="109" t="n"/>
      <c r="AG272" s="109" t="n"/>
      <c r="AH272" s="109" t="n"/>
      <c r="AL272" s="109" t="n"/>
      <c r="AM272" s="109" t="n"/>
      <c r="AN272" s="109" t="n"/>
    </row>
    <row r="273" ht="15.75" customHeight="1" s="216">
      <c r="D273" s="109" t="n"/>
      <c r="E273" s="109" t="n"/>
      <c r="J273" s="109" t="n"/>
      <c r="K273" s="109" t="n"/>
      <c r="L273" s="109" t="n"/>
      <c r="N273" s="109" t="n"/>
      <c r="O273" s="109" t="n"/>
      <c r="P273" s="109" t="n"/>
      <c r="T273" s="109" t="n"/>
      <c r="U273" s="109" t="n"/>
      <c r="V273" s="109" t="n"/>
      <c r="Z273" s="109" t="n"/>
      <c r="AA273" s="109" t="n"/>
      <c r="AB273" s="109" t="n"/>
      <c r="AF273" s="109" t="n"/>
      <c r="AG273" s="109" t="n"/>
      <c r="AH273" s="109" t="n"/>
      <c r="AL273" s="109" t="n"/>
      <c r="AM273" s="109" t="n"/>
      <c r="AN273" s="109" t="n"/>
    </row>
    <row r="274" ht="15.75" customHeight="1" s="216">
      <c r="D274" s="109" t="n"/>
      <c r="E274" s="109" t="n"/>
      <c r="J274" s="109" t="n"/>
      <c r="K274" s="109" t="n"/>
      <c r="L274" s="109" t="n"/>
      <c r="N274" s="109" t="n"/>
      <c r="O274" s="109" t="n"/>
      <c r="P274" s="109" t="n"/>
      <c r="T274" s="109" t="n"/>
      <c r="U274" s="109" t="n"/>
      <c r="V274" s="109" t="n"/>
      <c r="Z274" s="109" t="n"/>
      <c r="AA274" s="109" t="n"/>
      <c r="AB274" s="109" t="n"/>
      <c r="AF274" s="109" t="n"/>
      <c r="AG274" s="109" t="n"/>
      <c r="AH274" s="109" t="n"/>
      <c r="AL274" s="109" t="n"/>
      <c r="AM274" s="109" t="n"/>
      <c r="AN274" s="109" t="n"/>
    </row>
    <row r="275" ht="15.75" customHeight="1" s="216">
      <c r="D275" s="109" t="n"/>
      <c r="E275" s="109" t="n"/>
      <c r="J275" s="109" t="n"/>
      <c r="K275" s="109" t="n"/>
      <c r="L275" s="109" t="n"/>
      <c r="N275" s="109" t="n"/>
      <c r="O275" s="109" t="n"/>
      <c r="P275" s="109" t="n"/>
      <c r="T275" s="109" t="n"/>
      <c r="U275" s="109" t="n"/>
      <c r="V275" s="109" t="n"/>
      <c r="Z275" s="109" t="n"/>
      <c r="AA275" s="109" t="n"/>
      <c r="AB275" s="109" t="n"/>
      <c r="AF275" s="109" t="n"/>
      <c r="AG275" s="109" t="n"/>
      <c r="AH275" s="109" t="n"/>
      <c r="AL275" s="109" t="n"/>
      <c r="AM275" s="109" t="n"/>
      <c r="AN275" s="109" t="n"/>
    </row>
    <row r="276" ht="15.75" customHeight="1" s="216">
      <c r="D276" s="109" t="n"/>
      <c r="E276" s="109" t="n"/>
      <c r="J276" s="109" t="n"/>
      <c r="K276" s="109" t="n"/>
      <c r="L276" s="109" t="n"/>
      <c r="N276" s="109" t="n"/>
      <c r="O276" s="109" t="n"/>
      <c r="P276" s="109" t="n"/>
      <c r="T276" s="109" t="n"/>
      <c r="U276" s="109" t="n"/>
      <c r="V276" s="109" t="n"/>
      <c r="Z276" s="109" t="n"/>
      <c r="AA276" s="109" t="n"/>
      <c r="AB276" s="109" t="n"/>
      <c r="AF276" s="109" t="n"/>
      <c r="AG276" s="109" t="n"/>
      <c r="AH276" s="109" t="n"/>
      <c r="AL276" s="109" t="n"/>
      <c r="AM276" s="109" t="n"/>
      <c r="AN276" s="109" t="n"/>
    </row>
    <row r="277" ht="15.75" customHeight="1" s="216">
      <c r="D277" s="109" t="n"/>
      <c r="E277" s="109" t="n"/>
      <c r="J277" s="109" t="n"/>
      <c r="K277" s="109" t="n"/>
      <c r="L277" s="109" t="n"/>
      <c r="N277" s="109" t="n"/>
      <c r="O277" s="109" t="n"/>
      <c r="P277" s="109" t="n"/>
      <c r="T277" s="109" t="n"/>
      <c r="U277" s="109" t="n"/>
      <c r="V277" s="109" t="n"/>
      <c r="Z277" s="109" t="n"/>
      <c r="AA277" s="109" t="n"/>
      <c r="AB277" s="109" t="n"/>
      <c r="AF277" s="109" t="n"/>
      <c r="AG277" s="109" t="n"/>
      <c r="AH277" s="109" t="n"/>
      <c r="AL277" s="109" t="n"/>
      <c r="AM277" s="109" t="n"/>
      <c r="AN277" s="109" t="n"/>
    </row>
    <row r="278" ht="15.75" customHeight="1" s="216">
      <c r="D278" s="109" t="n"/>
      <c r="E278" s="109" t="n"/>
      <c r="J278" s="109" t="n"/>
      <c r="K278" s="109" t="n"/>
      <c r="L278" s="109" t="n"/>
      <c r="N278" s="109" t="n"/>
      <c r="O278" s="109" t="n"/>
      <c r="P278" s="109" t="n"/>
      <c r="T278" s="109" t="n"/>
      <c r="U278" s="109" t="n"/>
      <c r="V278" s="109" t="n"/>
      <c r="Z278" s="109" t="n"/>
      <c r="AA278" s="109" t="n"/>
      <c r="AB278" s="109" t="n"/>
      <c r="AF278" s="109" t="n"/>
      <c r="AG278" s="109" t="n"/>
      <c r="AH278" s="109" t="n"/>
      <c r="AL278" s="109" t="n"/>
      <c r="AM278" s="109" t="n"/>
      <c r="AN278" s="109" t="n"/>
    </row>
    <row r="279" ht="15.75" customHeight="1" s="216">
      <c r="D279" s="109" t="n"/>
      <c r="E279" s="109" t="n"/>
      <c r="J279" s="109" t="n"/>
      <c r="K279" s="109" t="n"/>
      <c r="L279" s="109" t="n"/>
      <c r="N279" s="109" t="n"/>
      <c r="O279" s="109" t="n"/>
      <c r="P279" s="109" t="n"/>
      <c r="T279" s="109" t="n"/>
      <c r="U279" s="109" t="n"/>
      <c r="V279" s="109" t="n"/>
      <c r="Z279" s="109" t="n"/>
      <c r="AA279" s="109" t="n"/>
      <c r="AB279" s="109" t="n"/>
      <c r="AF279" s="109" t="n"/>
      <c r="AG279" s="109" t="n"/>
      <c r="AH279" s="109" t="n"/>
      <c r="AL279" s="109" t="n"/>
      <c r="AM279" s="109" t="n"/>
      <c r="AN279" s="109" t="n"/>
    </row>
    <row r="280" ht="15.75" customHeight="1" s="216">
      <c r="D280" s="109" t="n"/>
      <c r="E280" s="109" t="n"/>
      <c r="J280" s="109" t="n"/>
      <c r="K280" s="109" t="n"/>
      <c r="L280" s="109" t="n"/>
      <c r="N280" s="109" t="n"/>
      <c r="O280" s="109" t="n"/>
      <c r="P280" s="109" t="n"/>
      <c r="T280" s="109" t="n"/>
      <c r="U280" s="109" t="n"/>
      <c r="V280" s="109" t="n"/>
      <c r="Z280" s="109" t="n"/>
      <c r="AA280" s="109" t="n"/>
      <c r="AB280" s="109" t="n"/>
      <c r="AF280" s="109" t="n"/>
      <c r="AG280" s="109" t="n"/>
      <c r="AH280" s="109" t="n"/>
      <c r="AL280" s="109" t="n"/>
      <c r="AM280" s="109" t="n"/>
      <c r="AN280" s="109" t="n"/>
    </row>
    <row r="281" ht="15.75" customHeight="1" s="216">
      <c r="D281" s="109" t="n"/>
      <c r="E281" s="109" t="n"/>
      <c r="J281" s="109" t="n"/>
      <c r="K281" s="109" t="n"/>
      <c r="L281" s="109" t="n"/>
      <c r="N281" s="109" t="n"/>
      <c r="O281" s="109" t="n"/>
      <c r="P281" s="109" t="n"/>
      <c r="T281" s="109" t="n"/>
      <c r="U281" s="109" t="n"/>
      <c r="V281" s="109" t="n"/>
      <c r="Z281" s="109" t="n"/>
      <c r="AA281" s="109" t="n"/>
      <c r="AB281" s="109" t="n"/>
      <c r="AF281" s="109" t="n"/>
      <c r="AG281" s="109" t="n"/>
      <c r="AH281" s="109" t="n"/>
      <c r="AL281" s="109" t="n"/>
      <c r="AM281" s="109" t="n"/>
      <c r="AN281" s="109" t="n"/>
    </row>
    <row r="282" ht="15.75" customHeight="1" s="216">
      <c r="D282" s="109" t="n"/>
      <c r="E282" s="109" t="n"/>
      <c r="J282" s="109" t="n"/>
      <c r="K282" s="109" t="n"/>
      <c r="L282" s="109" t="n"/>
      <c r="N282" s="109" t="n"/>
      <c r="O282" s="109" t="n"/>
      <c r="P282" s="109" t="n"/>
      <c r="T282" s="109" t="n"/>
      <c r="U282" s="109" t="n"/>
      <c r="V282" s="109" t="n"/>
      <c r="Z282" s="109" t="n"/>
      <c r="AA282" s="109" t="n"/>
      <c r="AB282" s="109" t="n"/>
      <c r="AF282" s="109" t="n"/>
      <c r="AG282" s="109" t="n"/>
      <c r="AH282" s="109" t="n"/>
      <c r="AL282" s="109" t="n"/>
      <c r="AM282" s="109" t="n"/>
      <c r="AN282" s="109" t="n"/>
    </row>
    <row r="283" ht="15.75" customHeight="1" s="216">
      <c r="D283" s="109" t="n"/>
      <c r="E283" s="109" t="n"/>
      <c r="J283" s="109" t="n"/>
      <c r="K283" s="109" t="n"/>
      <c r="L283" s="109" t="n"/>
      <c r="N283" s="109" t="n"/>
      <c r="O283" s="109" t="n"/>
      <c r="P283" s="109" t="n"/>
      <c r="T283" s="109" t="n"/>
      <c r="U283" s="109" t="n"/>
      <c r="V283" s="109" t="n"/>
      <c r="Z283" s="109" t="n"/>
      <c r="AA283" s="109" t="n"/>
      <c r="AB283" s="109" t="n"/>
      <c r="AF283" s="109" t="n"/>
      <c r="AG283" s="109" t="n"/>
      <c r="AH283" s="109" t="n"/>
      <c r="AL283" s="109" t="n"/>
      <c r="AM283" s="109" t="n"/>
      <c r="AN283" s="109" t="n"/>
    </row>
    <row r="284" ht="15.75" customHeight="1" s="216">
      <c r="D284" s="109" t="n"/>
      <c r="E284" s="109" t="n"/>
      <c r="J284" s="109" t="n"/>
      <c r="K284" s="109" t="n"/>
      <c r="L284" s="109" t="n"/>
      <c r="N284" s="109" t="n"/>
      <c r="O284" s="109" t="n"/>
      <c r="P284" s="109" t="n"/>
      <c r="T284" s="109" t="n"/>
      <c r="U284" s="109" t="n"/>
      <c r="V284" s="109" t="n"/>
      <c r="Z284" s="109" t="n"/>
      <c r="AA284" s="109" t="n"/>
      <c r="AB284" s="109" t="n"/>
      <c r="AF284" s="109" t="n"/>
      <c r="AG284" s="109" t="n"/>
      <c r="AH284" s="109" t="n"/>
      <c r="AL284" s="109" t="n"/>
      <c r="AM284" s="109" t="n"/>
      <c r="AN284" s="109" t="n"/>
    </row>
    <row r="285" ht="15.75" customHeight="1" s="216">
      <c r="D285" s="109" t="n"/>
      <c r="E285" s="109" t="n"/>
      <c r="J285" s="109" t="n"/>
      <c r="K285" s="109" t="n"/>
      <c r="L285" s="109" t="n"/>
      <c r="N285" s="109" t="n"/>
      <c r="O285" s="109" t="n"/>
      <c r="P285" s="109" t="n"/>
      <c r="T285" s="109" t="n"/>
      <c r="U285" s="109" t="n"/>
      <c r="V285" s="109" t="n"/>
      <c r="Z285" s="109" t="n"/>
      <c r="AA285" s="109" t="n"/>
      <c r="AB285" s="109" t="n"/>
      <c r="AF285" s="109" t="n"/>
      <c r="AG285" s="109" t="n"/>
      <c r="AH285" s="109" t="n"/>
      <c r="AL285" s="109" t="n"/>
      <c r="AM285" s="109" t="n"/>
      <c r="AN285" s="109" t="n"/>
    </row>
    <row r="286" ht="15.75" customHeight="1" s="216">
      <c r="D286" s="109" t="n"/>
      <c r="E286" s="109" t="n"/>
      <c r="J286" s="109" t="n"/>
      <c r="K286" s="109" t="n"/>
      <c r="L286" s="109" t="n"/>
      <c r="N286" s="109" t="n"/>
      <c r="O286" s="109" t="n"/>
      <c r="P286" s="109" t="n"/>
      <c r="T286" s="109" t="n"/>
      <c r="U286" s="109" t="n"/>
      <c r="V286" s="109" t="n"/>
      <c r="Z286" s="109" t="n"/>
      <c r="AA286" s="109" t="n"/>
      <c r="AB286" s="109" t="n"/>
      <c r="AF286" s="109" t="n"/>
      <c r="AG286" s="109" t="n"/>
      <c r="AH286" s="109" t="n"/>
      <c r="AL286" s="109" t="n"/>
      <c r="AM286" s="109" t="n"/>
      <c r="AN286" s="109" t="n"/>
    </row>
    <row r="287" ht="15.75" customHeight="1" s="216">
      <c r="D287" s="109" t="n"/>
      <c r="E287" s="109" t="n"/>
      <c r="J287" s="109" t="n"/>
      <c r="K287" s="109" t="n"/>
      <c r="L287" s="109" t="n"/>
      <c r="N287" s="109" t="n"/>
      <c r="O287" s="109" t="n"/>
      <c r="P287" s="109" t="n"/>
      <c r="T287" s="109" t="n"/>
      <c r="U287" s="109" t="n"/>
      <c r="V287" s="109" t="n"/>
      <c r="Z287" s="109" t="n"/>
      <c r="AA287" s="109" t="n"/>
      <c r="AB287" s="109" t="n"/>
      <c r="AF287" s="109" t="n"/>
      <c r="AG287" s="109" t="n"/>
      <c r="AH287" s="109" t="n"/>
      <c r="AL287" s="109" t="n"/>
      <c r="AM287" s="109" t="n"/>
      <c r="AN287" s="109" t="n"/>
    </row>
    <row r="288" ht="15.75" customHeight="1" s="216">
      <c r="D288" s="109" t="n"/>
      <c r="E288" s="109" t="n"/>
      <c r="J288" s="109" t="n"/>
      <c r="K288" s="109" t="n"/>
      <c r="L288" s="109" t="n"/>
      <c r="N288" s="109" t="n"/>
      <c r="O288" s="109" t="n"/>
      <c r="P288" s="109" t="n"/>
      <c r="T288" s="109" t="n"/>
      <c r="U288" s="109" t="n"/>
      <c r="V288" s="109" t="n"/>
      <c r="Z288" s="109" t="n"/>
      <c r="AA288" s="109" t="n"/>
      <c r="AB288" s="109" t="n"/>
      <c r="AF288" s="109" t="n"/>
      <c r="AG288" s="109" t="n"/>
      <c r="AH288" s="109" t="n"/>
      <c r="AL288" s="109" t="n"/>
      <c r="AM288" s="109" t="n"/>
      <c r="AN288" s="109" t="n"/>
    </row>
    <row r="289" ht="15.75" customHeight="1" s="216">
      <c r="D289" s="109" t="n"/>
      <c r="E289" s="109" t="n"/>
      <c r="J289" s="109" t="n"/>
      <c r="K289" s="109" t="n"/>
      <c r="L289" s="109" t="n"/>
      <c r="N289" s="109" t="n"/>
      <c r="O289" s="109" t="n"/>
      <c r="P289" s="109" t="n"/>
      <c r="T289" s="109" t="n"/>
      <c r="U289" s="109" t="n"/>
      <c r="V289" s="109" t="n"/>
      <c r="Z289" s="109" t="n"/>
      <c r="AA289" s="109" t="n"/>
      <c r="AB289" s="109" t="n"/>
      <c r="AF289" s="109" t="n"/>
      <c r="AG289" s="109" t="n"/>
      <c r="AH289" s="109" t="n"/>
      <c r="AL289" s="109" t="n"/>
      <c r="AM289" s="109" t="n"/>
      <c r="AN289" s="109" t="n"/>
    </row>
    <row r="290" ht="15.75" customHeight="1" s="216">
      <c r="D290" s="109" t="n"/>
      <c r="E290" s="109" t="n"/>
      <c r="J290" s="109" t="n"/>
      <c r="K290" s="109" t="n"/>
      <c r="L290" s="109" t="n"/>
      <c r="N290" s="109" t="n"/>
      <c r="O290" s="109" t="n"/>
      <c r="P290" s="109" t="n"/>
      <c r="T290" s="109" t="n"/>
      <c r="U290" s="109" t="n"/>
      <c r="V290" s="109" t="n"/>
      <c r="Z290" s="109" t="n"/>
      <c r="AA290" s="109" t="n"/>
      <c r="AB290" s="109" t="n"/>
      <c r="AF290" s="109" t="n"/>
      <c r="AG290" s="109" t="n"/>
      <c r="AH290" s="109" t="n"/>
      <c r="AL290" s="109" t="n"/>
      <c r="AM290" s="109" t="n"/>
      <c r="AN290" s="109" t="n"/>
    </row>
    <row r="291" ht="15.75" customHeight="1" s="216">
      <c r="D291" s="109" t="n"/>
      <c r="E291" s="109" t="n"/>
      <c r="J291" s="109" t="n"/>
      <c r="K291" s="109" t="n"/>
      <c r="L291" s="109" t="n"/>
      <c r="N291" s="109" t="n"/>
      <c r="O291" s="109" t="n"/>
      <c r="P291" s="109" t="n"/>
      <c r="T291" s="109" t="n"/>
      <c r="U291" s="109" t="n"/>
      <c r="V291" s="109" t="n"/>
      <c r="Z291" s="109" t="n"/>
      <c r="AA291" s="109" t="n"/>
      <c r="AB291" s="109" t="n"/>
      <c r="AF291" s="109" t="n"/>
      <c r="AG291" s="109" t="n"/>
      <c r="AH291" s="109" t="n"/>
      <c r="AL291" s="109" t="n"/>
      <c r="AM291" s="109" t="n"/>
      <c r="AN291" s="109" t="n"/>
    </row>
    <row r="292" ht="15.75" customHeight="1" s="216">
      <c r="D292" s="109" t="n"/>
      <c r="E292" s="109" t="n"/>
      <c r="J292" s="109" t="n"/>
      <c r="K292" s="109" t="n"/>
      <c r="L292" s="109" t="n"/>
      <c r="N292" s="109" t="n"/>
      <c r="O292" s="109" t="n"/>
      <c r="P292" s="109" t="n"/>
      <c r="T292" s="109" t="n"/>
      <c r="U292" s="109" t="n"/>
      <c r="V292" s="109" t="n"/>
      <c r="Z292" s="109" t="n"/>
      <c r="AA292" s="109" t="n"/>
      <c r="AB292" s="109" t="n"/>
      <c r="AF292" s="109" t="n"/>
      <c r="AG292" s="109" t="n"/>
      <c r="AH292" s="109" t="n"/>
      <c r="AL292" s="109" t="n"/>
      <c r="AM292" s="109" t="n"/>
      <c r="AN292" s="109" t="n"/>
    </row>
    <row r="293" ht="15.75" customHeight="1" s="216">
      <c r="D293" s="109" t="n"/>
      <c r="E293" s="109" t="n"/>
      <c r="J293" s="109" t="n"/>
      <c r="K293" s="109" t="n"/>
      <c r="L293" s="109" t="n"/>
      <c r="N293" s="109" t="n"/>
      <c r="O293" s="109" t="n"/>
      <c r="P293" s="109" t="n"/>
      <c r="T293" s="109" t="n"/>
      <c r="U293" s="109" t="n"/>
      <c r="V293" s="109" t="n"/>
      <c r="Z293" s="109" t="n"/>
      <c r="AA293" s="109" t="n"/>
      <c r="AB293" s="109" t="n"/>
      <c r="AF293" s="109" t="n"/>
      <c r="AG293" s="109" t="n"/>
      <c r="AH293" s="109" t="n"/>
      <c r="AL293" s="109" t="n"/>
      <c r="AM293" s="109" t="n"/>
      <c r="AN293" s="109" t="n"/>
    </row>
    <row r="294" ht="15.75" customHeight="1" s="216">
      <c r="D294" s="109" t="n"/>
      <c r="E294" s="109" t="n"/>
      <c r="J294" s="109" t="n"/>
      <c r="K294" s="109" t="n"/>
      <c r="L294" s="109" t="n"/>
      <c r="N294" s="109" t="n"/>
      <c r="O294" s="109" t="n"/>
      <c r="P294" s="109" t="n"/>
      <c r="T294" s="109" t="n"/>
      <c r="U294" s="109" t="n"/>
      <c r="V294" s="109" t="n"/>
      <c r="Z294" s="109" t="n"/>
      <c r="AA294" s="109" t="n"/>
      <c r="AB294" s="109" t="n"/>
      <c r="AF294" s="109" t="n"/>
      <c r="AG294" s="109" t="n"/>
      <c r="AH294" s="109" t="n"/>
      <c r="AL294" s="109" t="n"/>
      <c r="AM294" s="109" t="n"/>
      <c r="AN294" s="109" t="n"/>
    </row>
    <row r="295" ht="15.75" customHeight="1" s="216">
      <c r="D295" s="109" t="n"/>
      <c r="E295" s="109" t="n"/>
      <c r="J295" s="109" t="n"/>
      <c r="K295" s="109" t="n"/>
      <c r="L295" s="109" t="n"/>
      <c r="N295" s="109" t="n"/>
      <c r="O295" s="109" t="n"/>
      <c r="P295" s="109" t="n"/>
      <c r="T295" s="109" t="n"/>
      <c r="U295" s="109" t="n"/>
      <c r="V295" s="109" t="n"/>
      <c r="Z295" s="109" t="n"/>
      <c r="AA295" s="109" t="n"/>
      <c r="AB295" s="109" t="n"/>
      <c r="AF295" s="109" t="n"/>
      <c r="AG295" s="109" t="n"/>
      <c r="AH295" s="109" t="n"/>
      <c r="AL295" s="109" t="n"/>
      <c r="AM295" s="109" t="n"/>
      <c r="AN295" s="109" t="n"/>
    </row>
    <row r="296" ht="15.75" customHeight="1" s="216">
      <c r="D296" s="109" t="n"/>
      <c r="E296" s="109" t="n"/>
      <c r="J296" s="109" t="n"/>
      <c r="K296" s="109" t="n"/>
      <c r="L296" s="109" t="n"/>
      <c r="N296" s="109" t="n"/>
      <c r="O296" s="109" t="n"/>
      <c r="P296" s="109" t="n"/>
      <c r="T296" s="109" t="n"/>
      <c r="U296" s="109" t="n"/>
      <c r="V296" s="109" t="n"/>
      <c r="Z296" s="109" t="n"/>
      <c r="AA296" s="109" t="n"/>
      <c r="AB296" s="109" t="n"/>
      <c r="AF296" s="109" t="n"/>
      <c r="AG296" s="109" t="n"/>
      <c r="AH296" s="109" t="n"/>
      <c r="AL296" s="109" t="n"/>
      <c r="AM296" s="109" t="n"/>
      <c r="AN296" s="109" t="n"/>
    </row>
    <row r="297" ht="15.75" customHeight="1" s="216">
      <c r="D297" s="109" t="n"/>
      <c r="E297" s="109" t="n"/>
      <c r="J297" s="109" t="n"/>
      <c r="K297" s="109" t="n"/>
      <c r="L297" s="109" t="n"/>
      <c r="N297" s="109" t="n"/>
      <c r="O297" s="109" t="n"/>
      <c r="P297" s="109" t="n"/>
      <c r="T297" s="109" t="n"/>
      <c r="U297" s="109" t="n"/>
      <c r="V297" s="109" t="n"/>
      <c r="Z297" s="109" t="n"/>
      <c r="AA297" s="109" t="n"/>
      <c r="AB297" s="109" t="n"/>
      <c r="AF297" s="109" t="n"/>
      <c r="AG297" s="109" t="n"/>
      <c r="AH297" s="109" t="n"/>
      <c r="AL297" s="109" t="n"/>
      <c r="AM297" s="109" t="n"/>
      <c r="AN297" s="109" t="n"/>
    </row>
    <row r="298" ht="15.75" customHeight="1" s="216">
      <c r="D298" s="109" t="n"/>
      <c r="E298" s="109" t="n"/>
      <c r="J298" s="109" t="n"/>
      <c r="K298" s="109" t="n"/>
      <c r="L298" s="109" t="n"/>
      <c r="N298" s="109" t="n"/>
      <c r="O298" s="109" t="n"/>
      <c r="P298" s="109" t="n"/>
      <c r="T298" s="109" t="n"/>
      <c r="U298" s="109" t="n"/>
      <c r="V298" s="109" t="n"/>
      <c r="Z298" s="109" t="n"/>
      <c r="AA298" s="109" t="n"/>
      <c r="AB298" s="109" t="n"/>
      <c r="AF298" s="109" t="n"/>
      <c r="AG298" s="109" t="n"/>
      <c r="AH298" s="109" t="n"/>
      <c r="AL298" s="109" t="n"/>
      <c r="AM298" s="109" t="n"/>
      <c r="AN298" s="109" t="n"/>
    </row>
    <row r="299" ht="15.75" customHeight="1" s="216">
      <c r="D299" s="109" t="n"/>
      <c r="E299" s="109" t="n"/>
      <c r="J299" s="109" t="n"/>
      <c r="K299" s="109" t="n"/>
      <c r="L299" s="109" t="n"/>
      <c r="N299" s="109" t="n"/>
      <c r="O299" s="109" t="n"/>
      <c r="P299" s="109" t="n"/>
      <c r="T299" s="109" t="n"/>
      <c r="U299" s="109" t="n"/>
      <c r="V299" s="109" t="n"/>
      <c r="Z299" s="109" t="n"/>
      <c r="AA299" s="109" t="n"/>
      <c r="AB299" s="109" t="n"/>
      <c r="AF299" s="109" t="n"/>
      <c r="AG299" s="109" t="n"/>
      <c r="AH299" s="109" t="n"/>
      <c r="AL299" s="109" t="n"/>
      <c r="AM299" s="109" t="n"/>
      <c r="AN299" s="109" t="n"/>
    </row>
    <row r="300" ht="15.75" customHeight="1" s="216">
      <c r="D300" s="109" t="n"/>
      <c r="E300" s="109" t="n"/>
      <c r="J300" s="109" t="n"/>
      <c r="K300" s="109" t="n"/>
      <c r="L300" s="109" t="n"/>
      <c r="N300" s="109" t="n"/>
      <c r="O300" s="109" t="n"/>
      <c r="P300" s="109" t="n"/>
      <c r="T300" s="109" t="n"/>
      <c r="U300" s="109" t="n"/>
      <c r="V300" s="109" t="n"/>
      <c r="Z300" s="109" t="n"/>
      <c r="AA300" s="109" t="n"/>
      <c r="AB300" s="109" t="n"/>
      <c r="AF300" s="109" t="n"/>
      <c r="AG300" s="109" t="n"/>
      <c r="AH300" s="109" t="n"/>
      <c r="AL300" s="109" t="n"/>
      <c r="AM300" s="109" t="n"/>
      <c r="AN300" s="109" t="n"/>
    </row>
    <row r="301" ht="15.75" customHeight="1" s="216">
      <c r="D301" s="109" t="n"/>
      <c r="E301" s="109" t="n"/>
      <c r="J301" s="109" t="n"/>
      <c r="K301" s="109" t="n"/>
      <c r="L301" s="109" t="n"/>
      <c r="N301" s="109" t="n"/>
      <c r="O301" s="109" t="n"/>
      <c r="P301" s="109" t="n"/>
      <c r="T301" s="109" t="n"/>
      <c r="U301" s="109" t="n"/>
      <c r="V301" s="109" t="n"/>
      <c r="Z301" s="109" t="n"/>
      <c r="AA301" s="109" t="n"/>
      <c r="AB301" s="109" t="n"/>
      <c r="AF301" s="109" t="n"/>
      <c r="AG301" s="109" t="n"/>
      <c r="AH301" s="109" t="n"/>
      <c r="AL301" s="109" t="n"/>
      <c r="AM301" s="109" t="n"/>
      <c r="AN301" s="109" t="n"/>
    </row>
    <row r="302" ht="15.75" customHeight="1" s="216">
      <c r="D302" s="109" t="n"/>
      <c r="E302" s="109" t="n"/>
      <c r="J302" s="109" t="n"/>
      <c r="K302" s="109" t="n"/>
      <c r="L302" s="109" t="n"/>
      <c r="N302" s="109" t="n"/>
      <c r="O302" s="109" t="n"/>
      <c r="P302" s="109" t="n"/>
      <c r="T302" s="109" t="n"/>
      <c r="U302" s="109" t="n"/>
      <c r="V302" s="109" t="n"/>
      <c r="Z302" s="109" t="n"/>
      <c r="AA302" s="109" t="n"/>
      <c r="AB302" s="109" t="n"/>
      <c r="AF302" s="109" t="n"/>
      <c r="AG302" s="109" t="n"/>
      <c r="AH302" s="109" t="n"/>
      <c r="AL302" s="109" t="n"/>
      <c r="AM302" s="109" t="n"/>
      <c r="AN302" s="109" t="n"/>
    </row>
    <row r="303" ht="15.75" customHeight="1" s="216">
      <c r="D303" s="109" t="n"/>
      <c r="E303" s="109" t="n"/>
      <c r="J303" s="109" t="n"/>
      <c r="K303" s="109" t="n"/>
      <c r="L303" s="109" t="n"/>
      <c r="N303" s="109" t="n"/>
      <c r="O303" s="109" t="n"/>
      <c r="P303" s="109" t="n"/>
      <c r="T303" s="109" t="n"/>
      <c r="U303" s="109" t="n"/>
      <c r="V303" s="109" t="n"/>
      <c r="Z303" s="109" t="n"/>
      <c r="AA303" s="109" t="n"/>
      <c r="AB303" s="109" t="n"/>
      <c r="AF303" s="109" t="n"/>
      <c r="AG303" s="109" t="n"/>
      <c r="AH303" s="109" t="n"/>
      <c r="AL303" s="109" t="n"/>
      <c r="AM303" s="109" t="n"/>
      <c r="AN303" s="109" t="n"/>
    </row>
    <row r="304" ht="15.75" customHeight="1" s="216">
      <c r="D304" s="109" t="n"/>
      <c r="E304" s="109" t="n"/>
      <c r="J304" s="109" t="n"/>
      <c r="K304" s="109" t="n"/>
      <c r="L304" s="109" t="n"/>
      <c r="N304" s="109" t="n"/>
      <c r="O304" s="109" t="n"/>
      <c r="P304" s="109" t="n"/>
      <c r="T304" s="109" t="n"/>
      <c r="U304" s="109" t="n"/>
      <c r="V304" s="109" t="n"/>
      <c r="Z304" s="109" t="n"/>
      <c r="AA304" s="109" t="n"/>
      <c r="AB304" s="109" t="n"/>
      <c r="AF304" s="109" t="n"/>
      <c r="AG304" s="109" t="n"/>
      <c r="AH304" s="109" t="n"/>
      <c r="AL304" s="109" t="n"/>
      <c r="AM304" s="109" t="n"/>
      <c r="AN304" s="109" t="n"/>
    </row>
    <row r="305" ht="15.75" customHeight="1" s="216">
      <c r="D305" s="109" t="n"/>
      <c r="E305" s="109" t="n"/>
      <c r="J305" s="109" t="n"/>
      <c r="K305" s="109" t="n"/>
      <c r="L305" s="109" t="n"/>
      <c r="N305" s="109" t="n"/>
      <c r="O305" s="109" t="n"/>
      <c r="P305" s="109" t="n"/>
      <c r="T305" s="109" t="n"/>
      <c r="U305" s="109" t="n"/>
      <c r="V305" s="109" t="n"/>
      <c r="Z305" s="109" t="n"/>
      <c r="AA305" s="109" t="n"/>
      <c r="AB305" s="109" t="n"/>
      <c r="AF305" s="109" t="n"/>
      <c r="AG305" s="109" t="n"/>
      <c r="AH305" s="109" t="n"/>
      <c r="AL305" s="109" t="n"/>
      <c r="AM305" s="109" t="n"/>
      <c r="AN305" s="109" t="n"/>
    </row>
    <row r="306" ht="15.75" customHeight="1" s="216">
      <c r="D306" s="109" t="n"/>
      <c r="E306" s="109" t="n"/>
      <c r="J306" s="109" t="n"/>
      <c r="K306" s="109" t="n"/>
      <c r="L306" s="109" t="n"/>
      <c r="N306" s="109" t="n"/>
      <c r="O306" s="109" t="n"/>
      <c r="P306" s="109" t="n"/>
      <c r="T306" s="109" t="n"/>
      <c r="U306" s="109" t="n"/>
      <c r="V306" s="109" t="n"/>
      <c r="Z306" s="109" t="n"/>
      <c r="AA306" s="109" t="n"/>
      <c r="AB306" s="109" t="n"/>
      <c r="AF306" s="109" t="n"/>
      <c r="AG306" s="109" t="n"/>
      <c r="AH306" s="109" t="n"/>
      <c r="AL306" s="109" t="n"/>
      <c r="AM306" s="109" t="n"/>
      <c r="AN306" s="109" t="n"/>
    </row>
    <row r="307" ht="15.75" customHeight="1" s="216">
      <c r="D307" s="109" t="n"/>
      <c r="E307" s="109" t="n"/>
      <c r="J307" s="109" t="n"/>
      <c r="K307" s="109" t="n"/>
      <c r="L307" s="109" t="n"/>
      <c r="N307" s="109" t="n"/>
      <c r="O307" s="109" t="n"/>
      <c r="P307" s="109" t="n"/>
      <c r="T307" s="109" t="n"/>
      <c r="U307" s="109" t="n"/>
      <c r="V307" s="109" t="n"/>
      <c r="Z307" s="109" t="n"/>
      <c r="AA307" s="109" t="n"/>
      <c r="AB307" s="109" t="n"/>
      <c r="AF307" s="109" t="n"/>
      <c r="AG307" s="109" t="n"/>
      <c r="AH307" s="109" t="n"/>
      <c r="AL307" s="109" t="n"/>
      <c r="AM307" s="109" t="n"/>
      <c r="AN307" s="109" t="n"/>
    </row>
    <row r="308" ht="15.75" customHeight="1" s="216">
      <c r="D308" s="109" t="n"/>
      <c r="E308" s="109" t="n"/>
      <c r="J308" s="109" t="n"/>
      <c r="K308" s="109" t="n"/>
      <c r="L308" s="109" t="n"/>
      <c r="N308" s="109" t="n"/>
      <c r="O308" s="109" t="n"/>
      <c r="P308" s="109" t="n"/>
      <c r="T308" s="109" t="n"/>
      <c r="U308" s="109" t="n"/>
      <c r="V308" s="109" t="n"/>
      <c r="Z308" s="109" t="n"/>
      <c r="AA308" s="109" t="n"/>
      <c r="AB308" s="109" t="n"/>
      <c r="AF308" s="109" t="n"/>
      <c r="AG308" s="109" t="n"/>
      <c r="AH308" s="109" t="n"/>
      <c r="AL308" s="109" t="n"/>
      <c r="AM308" s="109" t="n"/>
      <c r="AN308" s="109" t="n"/>
    </row>
    <row r="309" ht="15.75" customHeight="1" s="216">
      <c r="D309" s="109" t="n"/>
      <c r="E309" s="109" t="n"/>
      <c r="J309" s="109" t="n"/>
      <c r="K309" s="109" t="n"/>
      <c r="L309" s="109" t="n"/>
      <c r="N309" s="109" t="n"/>
      <c r="O309" s="109" t="n"/>
      <c r="P309" s="109" t="n"/>
      <c r="T309" s="109" t="n"/>
      <c r="U309" s="109" t="n"/>
      <c r="V309" s="109" t="n"/>
      <c r="Z309" s="109" t="n"/>
      <c r="AA309" s="109" t="n"/>
      <c r="AB309" s="109" t="n"/>
      <c r="AF309" s="109" t="n"/>
      <c r="AG309" s="109" t="n"/>
      <c r="AH309" s="109" t="n"/>
      <c r="AL309" s="109" t="n"/>
      <c r="AM309" s="109" t="n"/>
      <c r="AN309" s="109" t="n"/>
    </row>
    <row r="310" ht="15.75" customHeight="1" s="216">
      <c r="D310" s="109" t="n"/>
      <c r="E310" s="109" t="n"/>
      <c r="J310" s="109" t="n"/>
      <c r="K310" s="109" t="n"/>
      <c r="L310" s="109" t="n"/>
      <c r="N310" s="109" t="n"/>
      <c r="O310" s="109" t="n"/>
      <c r="P310" s="109" t="n"/>
      <c r="T310" s="109" t="n"/>
      <c r="U310" s="109" t="n"/>
      <c r="V310" s="109" t="n"/>
      <c r="Z310" s="109" t="n"/>
      <c r="AA310" s="109" t="n"/>
      <c r="AB310" s="109" t="n"/>
      <c r="AF310" s="109" t="n"/>
      <c r="AG310" s="109" t="n"/>
      <c r="AH310" s="109" t="n"/>
      <c r="AL310" s="109" t="n"/>
      <c r="AM310" s="109" t="n"/>
      <c r="AN310" s="109" t="n"/>
    </row>
    <row r="311" ht="15.75" customHeight="1" s="216">
      <c r="D311" s="109" t="n"/>
      <c r="E311" s="109" t="n"/>
      <c r="J311" s="109" t="n"/>
      <c r="K311" s="109" t="n"/>
      <c r="L311" s="109" t="n"/>
      <c r="N311" s="109" t="n"/>
      <c r="O311" s="109" t="n"/>
      <c r="P311" s="109" t="n"/>
      <c r="T311" s="109" t="n"/>
      <c r="U311" s="109" t="n"/>
      <c r="V311" s="109" t="n"/>
      <c r="Z311" s="109" t="n"/>
      <c r="AA311" s="109" t="n"/>
      <c r="AB311" s="109" t="n"/>
      <c r="AF311" s="109" t="n"/>
      <c r="AG311" s="109" t="n"/>
      <c r="AH311" s="109" t="n"/>
      <c r="AL311" s="109" t="n"/>
      <c r="AM311" s="109" t="n"/>
      <c r="AN311" s="109" t="n"/>
    </row>
    <row r="312" ht="15.75" customHeight="1" s="216">
      <c r="D312" s="109" t="n"/>
      <c r="E312" s="109" t="n"/>
      <c r="J312" s="109" t="n"/>
      <c r="K312" s="109" t="n"/>
      <c r="L312" s="109" t="n"/>
      <c r="N312" s="109" t="n"/>
      <c r="O312" s="109" t="n"/>
      <c r="P312" s="109" t="n"/>
      <c r="T312" s="109" t="n"/>
      <c r="U312" s="109" t="n"/>
      <c r="V312" s="109" t="n"/>
      <c r="Z312" s="109" t="n"/>
      <c r="AA312" s="109" t="n"/>
      <c r="AB312" s="109" t="n"/>
      <c r="AF312" s="109" t="n"/>
      <c r="AG312" s="109" t="n"/>
      <c r="AH312" s="109" t="n"/>
      <c r="AL312" s="109" t="n"/>
      <c r="AM312" s="109" t="n"/>
      <c r="AN312" s="109" t="n"/>
    </row>
    <row r="313" ht="15.75" customHeight="1" s="216">
      <c r="D313" s="109" t="n"/>
      <c r="E313" s="109" t="n"/>
      <c r="J313" s="109" t="n"/>
      <c r="K313" s="109" t="n"/>
      <c r="L313" s="109" t="n"/>
      <c r="N313" s="109" t="n"/>
      <c r="O313" s="109" t="n"/>
      <c r="P313" s="109" t="n"/>
      <c r="T313" s="109" t="n"/>
      <c r="U313" s="109" t="n"/>
      <c r="V313" s="109" t="n"/>
      <c r="Z313" s="109" t="n"/>
      <c r="AA313" s="109" t="n"/>
      <c r="AB313" s="109" t="n"/>
      <c r="AF313" s="109" t="n"/>
      <c r="AG313" s="109" t="n"/>
      <c r="AH313" s="109" t="n"/>
      <c r="AL313" s="109" t="n"/>
      <c r="AM313" s="109" t="n"/>
      <c r="AN313" s="109" t="n"/>
    </row>
    <row r="314" ht="15.75" customHeight="1" s="216">
      <c r="D314" s="109" t="n"/>
      <c r="E314" s="109" t="n"/>
      <c r="J314" s="109" t="n"/>
      <c r="K314" s="109" t="n"/>
      <c r="L314" s="109" t="n"/>
      <c r="N314" s="109" t="n"/>
      <c r="O314" s="109" t="n"/>
      <c r="P314" s="109" t="n"/>
      <c r="T314" s="109" t="n"/>
      <c r="U314" s="109" t="n"/>
      <c r="V314" s="109" t="n"/>
      <c r="Z314" s="109" t="n"/>
      <c r="AA314" s="109" t="n"/>
      <c r="AB314" s="109" t="n"/>
      <c r="AF314" s="109" t="n"/>
      <c r="AG314" s="109" t="n"/>
      <c r="AH314" s="109" t="n"/>
      <c r="AL314" s="109" t="n"/>
      <c r="AM314" s="109" t="n"/>
      <c r="AN314" s="109" t="n"/>
    </row>
    <row r="315" ht="15.75" customHeight="1" s="216">
      <c r="D315" s="109" t="n"/>
      <c r="E315" s="109" t="n"/>
      <c r="J315" s="109" t="n"/>
      <c r="K315" s="109" t="n"/>
      <c r="L315" s="109" t="n"/>
      <c r="N315" s="109" t="n"/>
      <c r="O315" s="109" t="n"/>
      <c r="P315" s="109" t="n"/>
      <c r="T315" s="109" t="n"/>
      <c r="U315" s="109" t="n"/>
      <c r="V315" s="109" t="n"/>
      <c r="Z315" s="109" t="n"/>
      <c r="AA315" s="109" t="n"/>
      <c r="AB315" s="109" t="n"/>
      <c r="AF315" s="109" t="n"/>
      <c r="AG315" s="109" t="n"/>
      <c r="AH315" s="109" t="n"/>
      <c r="AL315" s="109" t="n"/>
      <c r="AM315" s="109" t="n"/>
      <c r="AN315" s="109" t="n"/>
    </row>
    <row r="316" ht="15.75" customHeight="1" s="216">
      <c r="D316" s="109" t="n"/>
      <c r="E316" s="109" t="n"/>
      <c r="J316" s="109" t="n"/>
      <c r="K316" s="109" t="n"/>
      <c r="L316" s="109" t="n"/>
      <c r="N316" s="109" t="n"/>
      <c r="O316" s="109" t="n"/>
      <c r="P316" s="109" t="n"/>
      <c r="T316" s="109" t="n"/>
      <c r="U316" s="109" t="n"/>
      <c r="V316" s="109" t="n"/>
      <c r="Z316" s="109" t="n"/>
      <c r="AA316" s="109" t="n"/>
      <c r="AB316" s="109" t="n"/>
      <c r="AF316" s="109" t="n"/>
      <c r="AG316" s="109" t="n"/>
      <c r="AH316" s="109" t="n"/>
      <c r="AL316" s="109" t="n"/>
      <c r="AM316" s="109" t="n"/>
      <c r="AN316" s="109" t="n"/>
    </row>
    <row r="317" ht="15.75" customHeight="1" s="216">
      <c r="D317" s="109" t="n"/>
      <c r="E317" s="109" t="n"/>
      <c r="J317" s="109" t="n"/>
      <c r="K317" s="109" t="n"/>
      <c r="L317" s="109" t="n"/>
      <c r="N317" s="109" t="n"/>
      <c r="O317" s="109" t="n"/>
      <c r="P317" s="109" t="n"/>
      <c r="T317" s="109" t="n"/>
      <c r="U317" s="109" t="n"/>
      <c r="V317" s="109" t="n"/>
      <c r="Z317" s="109" t="n"/>
      <c r="AA317" s="109" t="n"/>
      <c r="AB317" s="109" t="n"/>
      <c r="AF317" s="109" t="n"/>
      <c r="AG317" s="109" t="n"/>
      <c r="AH317" s="109" t="n"/>
      <c r="AL317" s="109" t="n"/>
      <c r="AM317" s="109" t="n"/>
      <c r="AN317" s="109" t="n"/>
    </row>
    <row r="318" ht="15.75" customHeight="1" s="216">
      <c r="D318" s="109" t="n"/>
      <c r="E318" s="109" t="n"/>
      <c r="J318" s="109" t="n"/>
      <c r="K318" s="109" t="n"/>
      <c r="L318" s="109" t="n"/>
      <c r="N318" s="109" t="n"/>
      <c r="O318" s="109" t="n"/>
      <c r="P318" s="109" t="n"/>
      <c r="T318" s="109" t="n"/>
      <c r="U318" s="109" t="n"/>
      <c r="V318" s="109" t="n"/>
      <c r="Z318" s="109" t="n"/>
      <c r="AA318" s="109" t="n"/>
      <c r="AB318" s="109" t="n"/>
      <c r="AF318" s="109" t="n"/>
      <c r="AG318" s="109" t="n"/>
      <c r="AH318" s="109" t="n"/>
      <c r="AL318" s="109" t="n"/>
      <c r="AM318" s="109" t="n"/>
      <c r="AN318" s="109" t="n"/>
    </row>
    <row r="319" ht="15.75" customHeight="1" s="216">
      <c r="D319" s="109" t="n"/>
      <c r="E319" s="109" t="n"/>
      <c r="J319" s="109" t="n"/>
      <c r="K319" s="109" t="n"/>
      <c r="L319" s="109" t="n"/>
      <c r="N319" s="109" t="n"/>
      <c r="O319" s="109" t="n"/>
      <c r="P319" s="109" t="n"/>
      <c r="T319" s="109" t="n"/>
      <c r="U319" s="109" t="n"/>
      <c r="V319" s="109" t="n"/>
      <c r="Z319" s="109" t="n"/>
      <c r="AA319" s="109" t="n"/>
      <c r="AB319" s="109" t="n"/>
      <c r="AF319" s="109" t="n"/>
      <c r="AG319" s="109" t="n"/>
      <c r="AH319" s="109" t="n"/>
      <c r="AL319" s="109" t="n"/>
      <c r="AM319" s="109" t="n"/>
      <c r="AN319" s="109" t="n"/>
    </row>
    <row r="320" ht="15.75" customHeight="1" s="216">
      <c r="D320" s="109" t="n"/>
      <c r="E320" s="109" t="n"/>
      <c r="J320" s="109" t="n"/>
      <c r="K320" s="109" t="n"/>
      <c r="L320" s="109" t="n"/>
      <c r="N320" s="109" t="n"/>
      <c r="O320" s="109" t="n"/>
      <c r="P320" s="109" t="n"/>
      <c r="T320" s="109" t="n"/>
      <c r="U320" s="109" t="n"/>
      <c r="V320" s="109" t="n"/>
      <c r="Z320" s="109" t="n"/>
      <c r="AA320" s="109" t="n"/>
      <c r="AB320" s="109" t="n"/>
      <c r="AF320" s="109" t="n"/>
      <c r="AG320" s="109" t="n"/>
      <c r="AH320" s="109" t="n"/>
      <c r="AL320" s="109" t="n"/>
      <c r="AM320" s="109" t="n"/>
      <c r="AN320" s="109" t="n"/>
    </row>
    <row r="321" ht="15.75" customHeight="1" s="216">
      <c r="D321" s="109" t="n"/>
      <c r="E321" s="109" t="n"/>
      <c r="J321" s="109" t="n"/>
      <c r="K321" s="109" t="n"/>
      <c r="L321" s="109" t="n"/>
      <c r="N321" s="109" t="n"/>
      <c r="O321" s="109" t="n"/>
      <c r="P321" s="109" t="n"/>
      <c r="T321" s="109" t="n"/>
      <c r="U321" s="109" t="n"/>
      <c r="V321" s="109" t="n"/>
      <c r="Z321" s="109" t="n"/>
      <c r="AA321" s="109" t="n"/>
      <c r="AB321" s="109" t="n"/>
      <c r="AF321" s="109" t="n"/>
      <c r="AG321" s="109" t="n"/>
      <c r="AH321" s="109" t="n"/>
      <c r="AL321" s="109" t="n"/>
      <c r="AM321" s="109" t="n"/>
      <c r="AN321" s="109" t="n"/>
    </row>
    <row r="322" ht="15.75" customHeight="1" s="216">
      <c r="D322" s="109" t="n"/>
      <c r="E322" s="109" t="n"/>
      <c r="J322" s="109" t="n"/>
      <c r="K322" s="109" t="n"/>
      <c r="L322" s="109" t="n"/>
      <c r="N322" s="109" t="n"/>
      <c r="O322" s="109" t="n"/>
      <c r="P322" s="109" t="n"/>
      <c r="T322" s="109" t="n"/>
      <c r="U322" s="109" t="n"/>
      <c r="V322" s="109" t="n"/>
      <c r="Z322" s="109" t="n"/>
      <c r="AA322" s="109" t="n"/>
      <c r="AB322" s="109" t="n"/>
      <c r="AF322" s="109" t="n"/>
      <c r="AG322" s="109" t="n"/>
      <c r="AH322" s="109" t="n"/>
      <c r="AL322" s="109" t="n"/>
      <c r="AM322" s="109" t="n"/>
      <c r="AN322" s="109" t="n"/>
    </row>
    <row r="323" ht="15.75" customHeight="1" s="216">
      <c r="D323" s="109" t="n"/>
      <c r="E323" s="109" t="n"/>
      <c r="J323" s="109" t="n"/>
      <c r="K323" s="109" t="n"/>
      <c r="L323" s="109" t="n"/>
      <c r="N323" s="109" t="n"/>
      <c r="O323" s="109" t="n"/>
      <c r="P323" s="109" t="n"/>
      <c r="T323" s="109" t="n"/>
      <c r="U323" s="109" t="n"/>
      <c r="V323" s="109" t="n"/>
      <c r="Z323" s="109" t="n"/>
      <c r="AA323" s="109" t="n"/>
      <c r="AB323" s="109" t="n"/>
      <c r="AF323" s="109" t="n"/>
      <c r="AG323" s="109" t="n"/>
      <c r="AH323" s="109" t="n"/>
      <c r="AL323" s="109" t="n"/>
      <c r="AM323" s="109" t="n"/>
      <c r="AN323" s="109" t="n"/>
    </row>
    <row r="324" ht="15.75" customHeight="1" s="216">
      <c r="D324" s="109" t="n"/>
      <c r="E324" s="109" t="n"/>
      <c r="J324" s="109" t="n"/>
      <c r="K324" s="109" t="n"/>
      <c r="L324" s="109" t="n"/>
      <c r="N324" s="109" t="n"/>
      <c r="O324" s="109" t="n"/>
      <c r="P324" s="109" t="n"/>
      <c r="T324" s="109" t="n"/>
      <c r="U324" s="109" t="n"/>
      <c r="V324" s="109" t="n"/>
      <c r="Z324" s="109" t="n"/>
      <c r="AA324" s="109" t="n"/>
      <c r="AB324" s="109" t="n"/>
      <c r="AF324" s="109" t="n"/>
      <c r="AG324" s="109" t="n"/>
      <c r="AH324" s="109" t="n"/>
      <c r="AL324" s="109" t="n"/>
      <c r="AM324" s="109" t="n"/>
      <c r="AN324" s="109" t="n"/>
    </row>
    <row r="325" ht="15.75" customHeight="1" s="216">
      <c r="D325" s="109" t="n"/>
      <c r="E325" s="109" t="n"/>
      <c r="J325" s="109" t="n"/>
      <c r="K325" s="109" t="n"/>
      <c r="L325" s="109" t="n"/>
      <c r="N325" s="109" t="n"/>
      <c r="O325" s="109" t="n"/>
      <c r="P325" s="109" t="n"/>
      <c r="T325" s="109" t="n"/>
      <c r="U325" s="109" t="n"/>
      <c r="V325" s="109" t="n"/>
      <c r="Z325" s="109" t="n"/>
      <c r="AA325" s="109" t="n"/>
      <c r="AB325" s="109" t="n"/>
      <c r="AF325" s="109" t="n"/>
      <c r="AG325" s="109" t="n"/>
      <c r="AH325" s="109" t="n"/>
      <c r="AL325" s="109" t="n"/>
      <c r="AM325" s="109" t="n"/>
      <c r="AN325" s="109" t="n"/>
    </row>
    <row r="326" ht="15.75" customHeight="1" s="216">
      <c r="D326" s="109" t="n"/>
      <c r="E326" s="109" t="n"/>
      <c r="J326" s="109" t="n"/>
      <c r="K326" s="109" t="n"/>
      <c r="L326" s="109" t="n"/>
      <c r="N326" s="109" t="n"/>
      <c r="O326" s="109" t="n"/>
      <c r="P326" s="109" t="n"/>
      <c r="T326" s="109" t="n"/>
      <c r="U326" s="109" t="n"/>
      <c r="V326" s="109" t="n"/>
      <c r="Z326" s="109" t="n"/>
      <c r="AA326" s="109" t="n"/>
      <c r="AB326" s="109" t="n"/>
      <c r="AF326" s="109" t="n"/>
      <c r="AG326" s="109" t="n"/>
      <c r="AH326" s="109" t="n"/>
      <c r="AL326" s="109" t="n"/>
      <c r="AM326" s="109" t="n"/>
      <c r="AN326" s="109" t="n"/>
    </row>
    <row r="327" ht="15.75" customHeight="1" s="216">
      <c r="D327" s="109" t="n"/>
      <c r="E327" s="109" t="n"/>
      <c r="J327" s="109" t="n"/>
      <c r="K327" s="109" t="n"/>
      <c r="L327" s="109" t="n"/>
      <c r="N327" s="109" t="n"/>
      <c r="O327" s="109" t="n"/>
      <c r="P327" s="109" t="n"/>
      <c r="T327" s="109" t="n"/>
      <c r="U327" s="109" t="n"/>
      <c r="V327" s="109" t="n"/>
      <c r="Z327" s="109" t="n"/>
      <c r="AA327" s="109" t="n"/>
      <c r="AB327" s="109" t="n"/>
      <c r="AF327" s="109" t="n"/>
      <c r="AG327" s="109" t="n"/>
      <c r="AH327" s="109" t="n"/>
      <c r="AL327" s="109" t="n"/>
      <c r="AM327" s="109" t="n"/>
      <c r="AN327" s="109" t="n"/>
    </row>
    <row r="328" ht="15.75" customHeight="1" s="216">
      <c r="D328" s="109" t="n"/>
      <c r="E328" s="109" t="n"/>
      <c r="J328" s="109" t="n"/>
      <c r="K328" s="109" t="n"/>
      <c r="L328" s="109" t="n"/>
      <c r="N328" s="109" t="n"/>
      <c r="O328" s="109" t="n"/>
      <c r="P328" s="109" t="n"/>
      <c r="T328" s="109" t="n"/>
      <c r="U328" s="109" t="n"/>
      <c r="V328" s="109" t="n"/>
      <c r="Z328" s="109" t="n"/>
      <c r="AA328" s="109" t="n"/>
      <c r="AB328" s="109" t="n"/>
      <c r="AF328" s="109" t="n"/>
      <c r="AG328" s="109" t="n"/>
      <c r="AH328" s="109" t="n"/>
      <c r="AL328" s="109" t="n"/>
      <c r="AM328" s="109" t="n"/>
      <c r="AN328" s="109" t="n"/>
    </row>
    <row r="329" ht="15.75" customHeight="1" s="216">
      <c r="D329" s="109" t="n"/>
      <c r="E329" s="109" t="n"/>
      <c r="J329" s="109" t="n"/>
      <c r="K329" s="109" t="n"/>
      <c r="L329" s="109" t="n"/>
      <c r="N329" s="109" t="n"/>
      <c r="O329" s="109" t="n"/>
      <c r="P329" s="109" t="n"/>
      <c r="T329" s="109" t="n"/>
      <c r="U329" s="109" t="n"/>
      <c r="V329" s="109" t="n"/>
      <c r="Z329" s="109" t="n"/>
      <c r="AA329" s="109" t="n"/>
      <c r="AB329" s="109" t="n"/>
      <c r="AF329" s="109" t="n"/>
      <c r="AG329" s="109" t="n"/>
      <c r="AH329" s="109" t="n"/>
      <c r="AL329" s="109" t="n"/>
      <c r="AM329" s="109" t="n"/>
      <c r="AN329" s="109" t="n"/>
    </row>
    <row r="330" ht="15.75" customHeight="1" s="216">
      <c r="D330" s="109" t="n"/>
      <c r="E330" s="109" t="n"/>
      <c r="J330" s="109" t="n"/>
      <c r="K330" s="109" t="n"/>
      <c r="L330" s="109" t="n"/>
      <c r="N330" s="109" t="n"/>
      <c r="O330" s="109" t="n"/>
      <c r="P330" s="109" t="n"/>
      <c r="T330" s="109" t="n"/>
      <c r="U330" s="109" t="n"/>
      <c r="V330" s="109" t="n"/>
      <c r="Z330" s="109" t="n"/>
      <c r="AA330" s="109" t="n"/>
      <c r="AB330" s="109" t="n"/>
      <c r="AF330" s="109" t="n"/>
      <c r="AG330" s="109" t="n"/>
      <c r="AH330" s="109" t="n"/>
      <c r="AL330" s="109" t="n"/>
      <c r="AM330" s="109" t="n"/>
      <c r="AN330" s="109" t="n"/>
    </row>
    <row r="331" ht="15.75" customHeight="1" s="216">
      <c r="D331" s="109" t="n"/>
      <c r="E331" s="109" t="n"/>
      <c r="J331" s="109" t="n"/>
      <c r="K331" s="109" t="n"/>
      <c r="L331" s="109" t="n"/>
      <c r="N331" s="109" t="n"/>
      <c r="O331" s="109" t="n"/>
      <c r="P331" s="109" t="n"/>
      <c r="T331" s="109" t="n"/>
      <c r="U331" s="109" t="n"/>
      <c r="V331" s="109" t="n"/>
      <c r="Z331" s="109" t="n"/>
      <c r="AA331" s="109" t="n"/>
      <c r="AB331" s="109" t="n"/>
      <c r="AF331" s="109" t="n"/>
      <c r="AG331" s="109" t="n"/>
      <c r="AH331" s="109" t="n"/>
      <c r="AL331" s="109" t="n"/>
      <c r="AM331" s="109" t="n"/>
      <c r="AN331" s="109" t="n"/>
    </row>
    <row r="332" ht="15.75" customHeight="1" s="216">
      <c r="D332" s="109" t="n"/>
      <c r="E332" s="109" t="n"/>
      <c r="J332" s="109" t="n"/>
      <c r="K332" s="109" t="n"/>
      <c r="L332" s="109" t="n"/>
      <c r="N332" s="109" t="n"/>
      <c r="O332" s="109" t="n"/>
      <c r="P332" s="109" t="n"/>
      <c r="T332" s="109" t="n"/>
      <c r="U332" s="109" t="n"/>
      <c r="V332" s="109" t="n"/>
      <c r="Z332" s="109" t="n"/>
      <c r="AA332" s="109" t="n"/>
      <c r="AB332" s="109" t="n"/>
      <c r="AF332" s="109" t="n"/>
      <c r="AG332" s="109" t="n"/>
      <c r="AH332" s="109" t="n"/>
      <c r="AL332" s="109" t="n"/>
      <c r="AM332" s="109" t="n"/>
      <c r="AN332" s="109" t="n"/>
    </row>
    <row r="333" ht="15.75" customHeight="1" s="216">
      <c r="D333" s="109" t="n"/>
      <c r="E333" s="109" t="n"/>
      <c r="J333" s="109" t="n"/>
      <c r="K333" s="109" t="n"/>
      <c r="L333" s="109" t="n"/>
      <c r="N333" s="109" t="n"/>
      <c r="O333" s="109" t="n"/>
      <c r="P333" s="109" t="n"/>
      <c r="T333" s="109" t="n"/>
      <c r="U333" s="109" t="n"/>
      <c r="V333" s="109" t="n"/>
      <c r="Z333" s="109" t="n"/>
      <c r="AA333" s="109" t="n"/>
      <c r="AB333" s="109" t="n"/>
      <c r="AF333" s="109" t="n"/>
      <c r="AG333" s="109" t="n"/>
      <c r="AH333" s="109" t="n"/>
      <c r="AL333" s="109" t="n"/>
      <c r="AM333" s="109" t="n"/>
      <c r="AN333" s="109" t="n"/>
    </row>
    <row r="334" ht="15.75" customHeight="1" s="216">
      <c r="D334" s="109" t="n"/>
      <c r="E334" s="109" t="n"/>
      <c r="J334" s="109" t="n"/>
      <c r="K334" s="109" t="n"/>
      <c r="L334" s="109" t="n"/>
      <c r="N334" s="109" t="n"/>
      <c r="O334" s="109" t="n"/>
      <c r="P334" s="109" t="n"/>
      <c r="T334" s="109" t="n"/>
      <c r="U334" s="109" t="n"/>
      <c r="V334" s="109" t="n"/>
      <c r="Z334" s="109" t="n"/>
      <c r="AA334" s="109" t="n"/>
      <c r="AB334" s="109" t="n"/>
      <c r="AF334" s="109" t="n"/>
      <c r="AG334" s="109" t="n"/>
      <c r="AH334" s="109" t="n"/>
      <c r="AL334" s="109" t="n"/>
      <c r="AM334" s="109" t="n"/>
      <c r="AN334" s="109" t="n"/>
    </row>
    <row r="335" ht="15.75" customHeight="1" s="216">
      <c r="D335" s="109" t="n"/>
      <c r="E335" s="109" t="n"/>
      <c r="J335" s="109" t="n"/>
      <c r="K335" s="109" t="n"/>
      <c r="L335" s="109" t="n"/>
      <c r="N335" s="109" t="n"/>
      <c r="O335" s="109" t="n"/>
      <c r="P335" s="109" t="n"/>
      <c r="T335" s="109" t="n"/>
      <c r="U335" s="109" t="n"/>
      <c r="V335" s="109" t="n"/>
      <c r="Z335" s="109" t="n"/>
      <c r="AA335" s="109" t="n"/>
      <c r="AB335" s="109" t="n"/>
      <c r="AF335" s="109" t="n"/>
      <c r="AG335" s="109" t="n"/>
      <c r="AH335" s="109" t="n"/>
      <c r="AL335" s="109" t="n"/>
      <c r="AM335" s="109" t="n"/>
      <c r="AN335" s="109" t="n"/>
    </row>
    <row r="336" ht="15.75" customHeight="1" s="216">
      <c r="D336" s="109" t="n"/>
      <c r="E336" s="109" t="n"/>
      <c r="J336" s="109" t="n"/>
      <c r="K336" s="109" t="n"/>
      <c r="L336" s="109" t="n"/>
      <c r="N336" s="109" t="n"/>
      <c r="O336" s="109" t="n"/>
      <c r="P336" s="109" t="n"/>
      <c r="T336" s="109" t="n"/>
      <c r="U336" s="109" t="n"/>
      <c r="V336" s="109" t="n"/>
      <c r="Z336" s="109" t="n"/>
      <c r="AA336" s="109" t="n"/>
      <c r="AB336" s="109" t="n"/>
      <c r="AF336" s="109" t="n"/>
      <c r="AG336" s="109" t="n"/>
      <c r="AH336" s="109" t="n"/>
      <c r="AL336" s="109" t="n"/>
      <c r="AM336" s="109" t="n"/>
      <c r="AN336" s="109" t="n"/>
    </row>
    <row r="337" ht="15.75" customHeight="1" s="216">
      <c r="D337" s="109" t="n"/>
      <c r="E337" s="109" t="n"/>
      <c r="J337" s="109" t="n"/>
      <c r="K337" s="109" t="n"/>
      <c r="L337" s="109" t="n"/>
      <c r="N337" s="109" t="n"/>
      <c r="O337" s="109" t="n"/>
      <c r="P337" s="109" t="n"/>
      <c r="T337" s="109" t="n"/>
      <c r="U337" s="109" t="n"/>
      <c r="V337" s="109" t="n"/>
      <c r="Z337" s="109" t="n"/>
      <c r="AA337" s="109" t="n"/>
      <c r="AB337" s="109" t="n"/>
      <c r="AF337" s="109" t="n"/>
      <c r="AG337" s="109" t="n"/>
      <c r="AH337" s="109" t="n"/>
      <c r="AL337" s="109" t="n"/>
      <c r="AM337" s="109" t="n"/>
      <c r="AN337" s="109" t="n"/>
    </row>
    <row r="338" ht="15.75" customHeight="1" s="216">
      <c r="D338" s="109" t="n"/>
      <c r="E338" s="109" t="n"/>
      <c r="J338" s="109" t="n"/>
      <c r="K338" s="109" t="n"/>
      <c r="L338" s="109" t="n"/>
      <c r="N338" s="109" t="n"/>
      <c r="O338" s="109" t="n"/>
      <c r="P338" s="109" t="n"/>
      <c r="T338" s="109" t="n"/>
      <c r="U338" s="109" t="n"/>
      <c r="V338" s="109" t="n"/>
      <c r="Z338" s="109" t="n"/>
      <c r="AA338" s="109" t="n"/>
      <c r="AB338" s="109" t="n"/>
      <c r="AF338" s="109" t="n"/>
      <c r="AG338" s="109" t="n"/>
      <c r="AH338" s="109" t="n"/>
      <c r="AL338" s="109" t="n"/>
      <c r="AM338" s="109" t="n"/>
      <c r="AN338" s="109" t="n"/>
    </row>
    <row r="339" ht="15.75" customHeight="1" s="216">
      <c r="D339" s="109" t="n"/>
      <c r="E339" s="109" t="n"/>
      <c r="J339" s="109" t="n"/>
      <c r="K339" s="109" t="n"/>
      <c r="L339" s="109" t="n"/>
      <c r="N339" s="109" t="n"/>
      <c r="O339" s="109" t="n"/>
      <c r="P339" s="109" t="n"/>
      <c r="T339" s="109" t="n"/>
      <c r="U339" s="109" t="n"/>
      <c r="V339" s="109" t="n"/>
      <c r="Z339" s="109" t="n"/>
      <c r="AA339" s="109" t="n"/>
      <c r="AB339" s="109" t="n"/>
      <c r="AF339" s="109" t="n"/>
      <c r="AG339" s="109" t="n"/>
      <c r="AH339" s="109" t="n"/>
      <c r="AL339" s="109" t="n"/>
      <c r="AM339" s="109" t="n"/>
      <c r="AN339" s="109" t="n"/>
    </row>
    <row r="340" ht="15.75" customHeight="1" s="216">
      <c r="D340" s="109" t="n"/>
      <c r="E340" s="109" t="n"/>
      <c r="J340" s="109" t="n"/>
      <c r="K340" s="109" t="n"/>
      <c r="L340" s="109" t="n"/>
      <c r="N340" s="109" t="n"/>
      <c r="O340" s="109" t="n"/>
      <c r="P340" s="109" t="n"/>
      <c r="T340" s="109" t="n"/>
      <c r="U340" s="109" t="n"/>
      <c r="V340" s="109" t="n"/>
      <c r="Z340" s="109" t="n"/>
      <c r="AA340" s="109" t="n"/>
      <c r="AB340" s="109" t="n"/>
      <c r="AF340" s="109" t="n"/>
      <c r="AG340" s="109" t="n"/>
      <c r="AH340" s="109" t="n"/>
      <c r="AL340" s="109" t="n"/>
      <c r="AM340" s="109" t="n"/>
      <c r="AN340" s="109" t="n"/>
    </row>
    <row r="341" ht="15.75" customHeight="1" s="216">
      <c r="D341" s="109" t="n"/>
      <c r="E341" s="109" t="n"/>
      <c r="J341" s="109" t="n"/>
      <c r="K341" s="109" t="n"/>
      <c r="L341" s="109" t="n"/>
      <c r="N341" s="109" t="n"/>
      <c r="O341" s="109" t="n"/>
      <c r="P341" s="109" t="n"/>
      <c r="T341" s="109" t="n"/>
      <c r="U341" s="109" t="n"/>
      <c r="V341" s="109" t="n"/>
      <c r="Z341" s="109" t="n"/>
      <c r="AA341" s="109" t="n"/>
      <c r="AB341" s="109" t="n"/>
      <c r="AF341" s="109" t="n"/>
      <c r="AG341" s="109" t="n"/>
      <c r="AH341" s="109" t="n"/>
      <c r="AL341" s="109" t="n"/>
      <c r="AM341" s="109" t="n"/>
      <c r="AN341" s="109" t="n"/>
    </row>
    <row r="342" ht="15.75" customHeight="1" s="216">
      <c r="D342" s="109" t="n"/>
      <c r="E342" s="109" t="n"/>
      <c r="J342" s="109" t="n"/>
      <c r="K342" s="109" t="n"/>
      <c r="L342" s="109" t="n"/>
      <c r="N342" s="109" t="n"/>
      <c r="O342" s="109" t="n"/>
      <c r="P342" s="109" t="n"/>
      <c r="T342" s="109" t="n"/>
      <c r="U342" s="109" t="n"/>
      <c r="V342" s="109" t="n"/>
      <c r="Z342" s="109" t="n"/>
      <c r="AA342" s="109" t="n"/>
      <c r="AB342" s="109" t="n"/>
      <c r="AF342" s="109" t="n"/>
      <c r="AG342" s="109" t="n"/>
      <c r="AH342" s="109" t="n"/>
      <c r="AL342" s="109" t="n"/>
      <c r="AM342" s="109" t="n"/>
      <c r="AN342" s="109" t="n"/>
    </row>
    <row r="343" ht="15.75" customHeight="1" s="216">
      <c r="D343" s="109" t="n"/>
      <c r="E343" s="109" t="n"/>
      <c r="J343" s="109" t="n"/>
      <c r="K343" s="109" t="n"/>
      <c r="L343" s="109" t="n"/>
      <c r="N343" s="109" t="n"/>
      <c r="O343" s="109" t="n"/>
      <c r="P343" s="109" t="n"/>
      <c r="T343" s="109" t="n"/>
      <c r="U343" s="109" t="n"/>
      <c r="V343" s="109" t="n"/>
      <c r="Z343" s="109" t="n"/>
      <c r="AA343" s="109" t="n"/>
      <c r="AB343" s="109" t="n"/>
      <c r="AF343" s="109" t="n"/>
      <c r="AG343" s="109" t="n"/>
      <c r="AH343" s="109" t="n"/>
      <c r="AL343" s="109" t="n"/>
      <c r="AM343" s="109" t="n"/>
      <c r="AN343" s="109" t="n"/>
    </row>
    <row r="344" ht="15.75" customHeight="1" s="216">
      <c r="D344" s="109" t="n"/>
      <c r="E344" s="109" t="n"/>
      <c r="J344" s="109" t="n"/>
      <c r="K344" s="109" t="n"/>
      <c r="L344" s="109" t="n"/>
      <c r="N344" s="109" t="n"/>
      <c r="O344" s="109" t="n"/>
      <c r="P344" s="109" t="n"/>
      <c r="T344" s="109" t="n"/>
      <c r="U344" s="109" t="n"/>
      <c r="V344" s="109" t="n"/>
      <c r="Z344" s="109" t="n"/>
      <c r="AA344" s="109" t="n"/>
      <c r="AB344" s="109" t="n"/>
      <c r="AF344" s="109" t="n"/>
      <c r="AG344" s="109" t="n"/>
      <c r="AH344" s="109" t="n"/>
      <c r="AL344" s="109" t="n"/>
      <c r="AM344" s="109" t="n"/>
      <c r="AN344" s="109" t="n"/>
    </row>
    <row r="345" ht="15.75" customHeight="1" s="216">
      <c r="D345" s="109" t="n"/>
      <c r="E345" s="109" t="n"/>
      <c r="J345" s="109" t="n"/>
      <c r="K345" s="109" t="n"/>
      <c r="L345" s="109" t="n"/>
      <c r="N345" s="109" t="n"/>
      <c r="O345" s="109" t="n"/>
      <c r="P345" s="109" t="n"/>
      <c r="T345" s="109" t="n"/>
      <c r="U345" s="109" t="n"/>
      <c r="V345" s="109" t="n"/>
      <c r="Z345" s="109" t="n"/>
      <c r="AA345" s="109" t="n"/>
      <c r="AB345" s="109" t="n"/>
      <c r="AF345" s="109" t="n"/>
      <c r="AG345" s="109" t="n"/>
      <c r="AH345" s="109" t="n"/>
      <c r="AL345" s="109" t="n"/>
      <c r="AM345" s="109" t="n"/>
      <c r="AN345" s="109" t="n"/>
    </row>
    <row r="346" ht="15.75" customHeight="1" s="216">
      <c r="D346" s="109" t="n"/>
      <c r="E346" s="109" t="n"/>
      <c r="J346" s="109" t="n"/>
      <c r="K346" s="109" t="n"/>
      <c r="L346" s="109" t="n"/>
      <c r="N346" s="109" t="n"/>
      <c r="O346" s="109" t="n"/>
      <c r="P346" s="109" t="n"/>
      <c r="T346" s="109" t="n"/>
      <c r="U346" s="109" t="n"/>
      <c r="V346" s="109" t="n"/>
      <c r="Z346" s="109" t="n"/>
      <c r="AA346" s="109" t="n"/>
      <c r="AB346" s="109" t="n"/>
      <c r="AF346" s="109" t="n"/>
      <c r="AG346" s="109" t="n"/>
      <c r="AH346" s="109" t="n"/>
      <c r="AL346" s="109" t="n"/>
      <c r="AM346" s="109" t="n"/>
      <c r="AN346" s="109" t="n"/>
    </row>
    <row r="347" ht="15.75" customHeight="1" s="216">
      <c r="D347" s="109" t="n"/>
      <c r="E347" s="109" t="n"/>
      <c r="J347" s="109" t="n"/>
      <c r="K347" s="109" t="n"/>
      <c r="L347" s="109" t="n"/>
      <c r="N347" s="109" t="n"/>
      <c r="O347" s="109" t="n"/>
      <c r="P347" s="109" t="n"/>
      <c r="T347" s="109" t="n"/>
      <c r="U347" s="109" t="n"/>
      <c r="V347" s="109" t="n"/>
      <c r="Z347" s="109" t="n"/>
      <c r="AA347" s="109" t="n"/>
      <c r="AB347" s="109" t="n"/>
      <c r="AF347" s="109" t="n"/>
      <c r="AG347" s="109" t="n"/>
      <c r="AH347" s="109" t="n"/>
      <c r="AL347" s="109" t="n"/>
      <c r="AM347" s="109" t="n"/>
      <c r="AN347" s="109" t="n"/>
    </row>
    <row r="348" ht="15.75" customHeight="1" s="216">
      <c r="D348" s="109" t="n"/>
      <c r="E348" s="109" t="n"/>
      <c r="J348" s="109" t="n"/>
      <c r="K348" s="109" t="n"/>
      <c r="L348" s="109" t="n"/>
      <c r="N348" s="109" t="n"/>
      <c r="O348" s="109" t="n"/>
      <c r="P348" s="109" t="n"/>
      <c r="T348" s="109" t="n"/>
      <c r="U348" s="109" t="n"/>
      <c r="V348" s="109" t="n"/>
      <c r="Z348" s="109" t="n"/>
      <c r="AA348" s="109" t="n"/>
      <c r="AB348" s="109" t="n"/>
      <c r="AF348" s="109" t="n"/>
      <c r="AG348" s="109" t="n"/>
      <c r="AH348" s="109" t="n"/>
      <c r="AL348" s="109" t="n"/>
      <c r="AM348" s="109" t="n"/>
      <c r="AN348" s="109" t="n"/>
    </row>
    <row r="349" ht="15.75" customHeight="1" s="216">
      <c r="D349" s="109" t="n"/>
      <c r="E349" s="109" t="n"/>
      <c r="J349" s="109" t="n"/>
      <c r="K349" s="109" t="n"/>
      <c r="L349" s="109" t="n"/>
      <c r="N349" s="109" t="n"/>
      <c r="O349" s="109" t="n"/>
      <c r="P349" s="109" t="n"/>
      <c r="T349" s="109" t="n"/>
      <c r="U349" s="109" t="n"/>
      <c r="V349" s="109" t="n"/>
      <c r="Z349" s="109" t="n"/>
      <c r="AA349" s="109" t="n"/>
      <c r="AB349" s="109" t="n"/>
      <c r="AF349" s="109" t="n"/>
      <c r="AG349" s="109" t="n"/>
      <c r="AH349" s="109" t="n"/>
      <c r="AL349" s="109" t="n"/>
      <c r="AM349" s="109" t="n"/>
      <c r="AN349" s="109" t="n"/>
    </row>
    <row r="350" ht="15.75" customHeight="1" s="216">
      <c r="D350" s="109" t="n"/>
      <c r="E350" s="109" t="n"/>
      <c r="J350" s="109" t="n"/>
      <c r="K350" s="109" t="n"/>
      <c r="L350" s="109" t="n"/>
      <c r="N350" s="109" t="n"/>
      <c r="O350" s="109" t="n"/>
      <c r="P350" s="109" t="n"/>
      <c r="T350" s="109" t="n"/>
      <c r="U350" s="109" t="n"/>
      <c r="V350" s="109" t="n"/>
      <c r="Z350" s="109" t="n"/>
      <c r="AA350" s="109" t="n"/>
      <c r="AB350" s="109" t="n"/>
      <c r="AF350" s="109" t="n"/>
      <c r="AG350" s="109" t="n"/>
      <c r="AH350" s="109" t="n"/>
      <c r="AL350" s="109" t="n"/>
      <c r="AM350" s="109" t="n"/>
      <c r="AN350" s="109" t="n"/>
    </row>
    <row r="351" ht="15.75" customHeight="1" s="216">
      <c r="D351" s="109" t="n"/>
      <c r="E351" s="109" t="n"/>
      <c r="J351" s="109" t="n"/>
      <c r="K351" s="109" t="n"/>
      <c r="L351" s="109" t="n"/>
      <c r="N351" s="109" t="n"/>
      <c r="O351" s="109" t="n"/>
      <c r="P351" s="109" t="n"/>
      <c r="T351" s="109" t="n"/>
      <c r="U351" s="109" t="n"/>
      <c r="V351" s="109" t="n"/>
      <c r="Z351" s="109" t="n"/>
      <c r="AA351" s="109" t="n"/>
      <c r="AB351" s="109" t="n"/>
      <c r="AF351" s="109" t="n"/>
      <c r="AG351" s="109" t="n"/>
      <c r="AH351" s="109" t="n"/>
      <c r="AL351" s="109" t="n"/>
      <c r="AM351" s="109" t="n"/>
      <c r="AN351" s="109" t="n"/>
    </row>
    <row r="352" ht="15.75" customHeight="1" s="216">
      <c r="D352" s="109" t="n"/>
      <c r="E352" s="109" t="n"/>
      <c r="J352" s="109" t="n"/>
      <c r="K352" s="109" t="n"/>
      <c r="L352" s="109" t="n"/>
      <c r="N352" s="109" t="n"/>
      <c r="O352" s="109" t="n"/>
      <c r="P352" s="109" t="n"/>
      <c r="T352" s="109" t="n"/>
      <c r="U352" s="109" t="n"/>
      <c r="V352" s="109" t="n"/>
      <c r="Z352" s="109" t="n"/>
      <c r="AA352" s="109" t="n"/>
      <c r="AB352" s="109" t="n"/>
      <c r="AF352" s="109" t="n"/>
      <c r="AG352" s="109" t="n"/>
      <c r="AH352" s="109" t="n"/>
      <c r="AL352" s="109" t="n"/>
      <c r="AM352" s="109" t="n"/>
      <c r="AN352" s="109" t="n"/>
    </row>
    <row r="353" ht="15.75" customHeight="1" s="216">
      <c r="D353" s="109" t="n"/>
      <c r="E353" s="109" t="n"/>
      <c r="J353" s="109" t="n"/>
      <c r="K353" s="109" t="n"/>
      <c r="L353" s="109" t="n"/>
      <c r="N353" s="109" t="n"/>
      <c r="O353" s="109" t="n"/>
      <c r="P353" s="109" t="n"/>
      <c r="T353" s="109" t="n"/>
      <c r="U353" s="109" t="n"/>
      <c r="V353" s="109" t="n"/>
      <c r="Z353" s="109" t="n"/>
      <c r="AA353" s="109" t="n"/>
      <c r="AB353" s="109" t="n"/>
      <c r="AF353" s="109" t="n"/>
      <c r="AG353" s="109" t="n"/>
      <c r="AH353" s="109" t="n"/>
      <c r="AL353" s="109" t="n"/>
      <c r="AM353" s="109" t="n"/>
      <c r="AN353" s="109" t="n"/>
    </row>
    <row r="354" ht="15.75" customHeight="1" s="216">
      <c r="D354" s="109" t="n"/>
      <c r="E354" s="109" t="n"/>
      <c r="J354" s="109" t="n"/>
      <c r="K354" s="109" t="n"/>
      <c r="L354" s="109" t="n"/>
      <c r="N354" s="109" t="n"/>
      <c r="O354" s="109" t="n"/>
      <c r="P354" s="109" t="n"/>
      <c r="T354" s="109" t="n"/>
      <c r="U354" s="109" t="n"/>
      <c r="V354" s="109" t="n"/>
      <c r="Z354" s="109" t="n"/>
      <c r="AA354" s="109" t="n"/>
      <c r="AB354" s="109" t="n"/>
      <c r="AF354" s="109" t="n"/>
      <c r="AG354" s="109" t="n"/>
      <c r="AH354" s="109" t="n"/>
      <c r="AL354" s="109" t="n"/>
      <c r="AM354" s="109" t="n"/>
      <c r="AN354" s="109" t="n"/>
    </row>
    <row r="355" ht="15.75" customHeight="1" s="216">
      <c r="D355" s="109" t="n"/>
      <c r="E355" s="109" t="n"/>
      <c r="J355" s="109" t="n"/>
      <c r="K355" s="109" t="n"/>
      <c r="L355" s="109" t="n"/>
      <c r="N355" s="109" t="n"/>
      <c r="O355" s="109" t="n"/>
      <c r="P355" s="109" t="n"/>
      <c r="T355" s="109" t="n"/>
      <c r="U355" s="109" t="n"/>
      <c r="V355" s="109" t="n"/>
      <c r="Z355" s="109" t="n"/>
      <c r="AA355" s="109" t="n"/>
      <c r="AB355" s="109" t="n"/>
      <c r="AF355" s="109" t="n"/>
      <c r="AG355" s="109" t="n"/>
      <c r="AH355" s="109" t="n"/>
      <c r="AL355" s="109" t="n"/>
      <c r="AM355" s="109" t="n"/>
      <c r="AN355" s="109" t="n"/>
    </row>
    <row r="356" ht="15.75" customHeight="1" s="216">
      <c r="D356" s="109" t="n"/>
      <c r="E356" s="109" t="n"/>
      <c r="J356" s="109" t="n"/>
      <c r="K356" s="109" t="n"/>
      <c r="L356" s="109" t="n"/>
      <c r="N356" s="109" t="n"/>
      <c r="O356" s="109" t="n"/>
      <c r="P356" s="109" t="n"/>
      <c r="T356" s="109" t="n"/>
      <c r="U356" s="109" t="n"/>
      <c r="V356" s="109" t="n"/>
      <c r="Z356" s="109" t="n"/>
      <c r="AA356" s="109" t="n"/>
      <c r="AB356" s="109" t="n"/>
      <c r="AF356" s="109" t="n"/>
      <c r="AG356" s="109" t="n"/>
      <c r="AH356" s="109" t="n"/>
      <c r="AL356" s="109" t="n"/>
      <c r="AM356" s="109" t="n"/>
      <c r="AN356" s="109" t="n"/>
    </row>
    <row r="357" ht="15.75" customHeight="1" s="216">
      <c r="D357" s="109" t="n"/>
      <c r="E357" s="109" t="n"/>
      <c r="J357" s="109" t="n"/>
      <c r="K357" s="109" t="n"/>
      <c r="L357" s="109" t="n"/>
      <c r="N357" s="109" t="n"/>
      <c r="O357" s="109" t="n"/>
      <c r="P357" s="109" t="n"/>
      <c r="T357" s="109" t="n"/>
      <c r="U357" s="109" t="n"/>
      <c r="V357" s="109" t="n"/>
      <c r="Z357" s="109" t="n"/>
      <c r="AA357" s="109" t="n"/>
      <c r="AB357" s="109" t="n"/>
      <c r="AF357" s="109" t="n"/>
      <c r="AG357" s="109" t="n"/>
      <c r="AH357" s="109" t="n"/>
      <c r="AL357" s="109" t="n"/>
      <c r="AM357" s="109" t="n"/>
      <c r="AN357" s="109" t="n"/>
    </row>
    <row r="358" ht="15.75" customHeight="1" s="216">
      <c r="D358" s="109" t="n"/>
      <c r="E358" s="109" t="n"/>
      <c r="J358" s="109" t="n"/>
      <c r="K358" s="109" t="n"/>
      <c r="L358" s="109" t="n"/>
      <c r="N358" s="109" t="n"/>
      <c r="O358" s="109" t="n"/>
      <c r="P358" s="109" t="n"/>
      <c r="T358" s="109" t="n"/>
      <c r="U358" s="109" t="n"/>
      <c r="V358" s="109" t="n"/>
      <c r="Z358" s="109" t="n"/>
      <c r="AA358" s="109" t="n"/>
      <c r="AB358" s="109" t="n"/>
      <c r="AF358" s="109" t="n"/>
      <c r="AG358" s="109" t="n"/>
      <c r="AH358" s="109" t="n"/>
      <c r="AL358" s="109" t="n"/>
      <c r="AM358" s="109" t="n"/>
      <c r="AN358" s="109" t="n"/>
    </row>
    <row r="359" ht="15.75" customHeight="1" s="216">
      <c r="D359" s="109" t="n"/>
      <c r="E359" s="109" t="n"/>
      <c r="J359" s="109" t="n"/>
      <c r="K359" s="109" t="n"/>
      <c r="L359" s="109" t="n"/>
      <c r="N359" s="109" t="n"/>
      <c r="O359" s="109" t="n"/>
      <c r="P359" s="109" t="n"/>
      <c r="T359" s="109" t="n"/>
      <c r="U359" s="109" t="n"/>
      <c r="V359" s="109" t="n"/>
      <c r="Z359" s="109" t="n"/>
      <c r="AA359" s="109" t="n"/>
      <c r="AB359" s="109" t="n"/>
      <c r="AF359" s="109" t="n"/>
      <c r="AG359" s="109" t="n"/>
      <c r="AH359" s="109" t="n"/>
      <c r="AL359" s="109" t="n"/>
      <c r="AM359" s="109" t="n"/>
      <c r="AN359" s="109" t="n"/>
    </row>
    <row r="360" ht="15.75" customHeight="1" s="216">
      <c r="D360" s="109" t="n"/>
      <c r="E360" s="109" t="n"/>
      <c r="J360" s="109" t="n"/>
      <c r="K360" s="109" t="n"/>
      <c r="L360" s="109" t="n"/>
      <c r="N360" s="109" t="n"/>
      <c r="O360" s="109" t="n"/>
      <c r="P360" s="109" t="n"/>
      <c r="T360" s="109" t="n"/>
      <c r="U360" s="109" t="n"/>
      <c r="V360" s="109" t="n"/>
      <c r="Z360" s="109" t="n"/>
      <c r="AA360" s="109" t="n"/>
      <c r="AB360" s="109" t="n"/>
      <c r="AF360" s="109" t="n"/>
      <c r="AG360" s="109" t="n"/>
      <c r="AH360" s="109" t="n"/>
      <c r="AL360" s="109" t="n"/>
      <c r="AM360" s="109" t="n"/>
      <c r="AN360" s="109" t="n"/>
    </row>
    <row r="361" ht="15.75" customHeight="1" s="216">
      <c r="D361" s="109" t="n"/>
      <c r="E361" s="109" t="n"/>
      <c r="J361" s="109" t="n"/>
      <c r="K361" s="109" t="n"/>
      <c r="L361" s="109" t="n"/>
      <c r="N361" s="109" t="n"/>
      <c r="O361" s="109" t="n"/>
      <c r="P361" s="109" t="n"/>
      <c r="T361" s="109" t="n"/>
      <c r="U361" s="109" t="n"/>
      <c r="V361" s="109" t="n"/>
      <c r="Z361" s="109" t="n"/>
      <c r="AA361" s="109" t="n"/>
      <c r="AB361" s="109" t="n"/>
      <c r="AF361" s="109" t="n"/>
      <c r="AG361" s="109" t="n"/>
      <c r="AH361" s="109" t="n"/>
      <c r="AL361" s="109" t="n"/>
      <c r="AM361" s="109" t="n"/>
      <c r="AN361" s="109" t="n"/>
    </row>
    <row r="362" ht="15.75" customHeight="1" s="216">
      <c r="D362" s="109" t="n"/>
      <c r="E362" s="109" t="n"/>
      <c r="J362" s="109" t="n"/>
      <c r="K362" s="109" t="n"/>
      <c r="L362" s="109" t="n"/>
      <c r="N362" s="109" t="n"/>
      <c r="O362" s="109" t="n"/>
      <c r="P362" s="109" t="n"/>
      <c r="T362" s="109" t="n"/>
      <c r="U362" s="109" t="n"/>
      <c r="V362" s="109" t="n"/>
      <c r="Z362" s="109" t="n"/>
      <c r="AA362" s="109" t="n"/>
      <c r="AB362" s="109" t="n"/>
      <c r="AF362" s="109" t="n"/>
      <c r="AG362" s="109" t="n"/>
      <c r="AH362" s="109" t="n"/>
      <c r="AL362" s="109" t="n"/>
      <c r="AM362" s="109" t="n"/>
      <c r="AN362" s="109" t="n"/>
    </row>
    <row r="363" ht="15.75" customHeight="1" s="216">
      <c r="D363" s="109" t="n"/>
      <c r="E363" s="109" t="n"/>
      <c r="J363" s="109" t="n"/>
      <c r="K363" s="109" t="n"/>
      <c r="L363" s="109" t="n"/>
      <c r="N363" s="109" t="n"/>
      <c r="O363" s="109" t="n"/>
      <c r="P363" s="109" t="n"/>
      <c r="T363" s="109" t="n"/>
      <c r="U363" s="109" t="n"/>
      <c r="V363" s="109" t="n"/>
      <c r="Z363" s="109" t="n"/>
      <c r="AA363" s="109" t="n"/>
      <c r="AB363" s="109" t="n"/>
      <c r="AF363" s="109" t="n"/>
      <c r="AG363" s="109" t="n"/>
      <c r="AH363" s="109" t="n"/>
      <c r="AL363" s="109" t="n"/>
      <c r="AM363" s="109" t="n"/>
      <c r="AN363" s="109" t="n"/>
    </row>
    <row r="364" ht="15.75" customHeight="1" s="216">
      <c r="D364" s="109" t="n"/>
      <c r="E364" s="109" t="n"/>
      <c r="J364" s="109" t="n"/>
      <c r="K364" s="109" t="n"/>
      <c r="L364" s="109" t="n"/>
      <c r="N364" s="109" t="n"/>
      <c r="O364" s="109" t="n"/>
      <c r="P364" s="109" t="n"/>
      <c r="T364" s="109" t="n"/>
      <c r="U364" s="109" t="n"/>
      <c r="V364" s="109" t="n"/>
      <c r="Z364" s="109" t="n"/>
      <c r="AA364" s="109" t="n"/>
      <c r="AB364" s="109" t="n"/>
      <c r="AF364" s="109" t="n"/>
      <c r="AG364" s="109" t="n"/>
      <c r="AH364" s="109" t="n"/>
      <c r="AL364" s="109" t="n"/>
      <c r="AM364" s="109" t="n"/>
      <c r="AN364" s="109" t="n"/>
    </row>
    <row r="365" ht="15.75" customHeight="1" s="216">
      <c r="D365" s="109" t="n"/>
      <c r="E365" s="109" t="n"/>
      <c r="J365" s="109" t="n"/>
      <c r="K365" s="109" t="n"/>
      <c r="L365" s="109" t="n"/>
      <c r="N365" s="109" t="n"/>
      <c r="O365" s="109" t="n"/>
      <c r="P365" s="109" t="n"/>
      <c r="T365" s="109" t="n"/>
      <c r="U365" s="109" t="n"/>
      <c r="V365" s="109" t="n"/>
      <c r="Z365" s="109" t="n"/>
      <c r="AA365" s="109" t="n"/>
      <c r="AB365" s="109" t="n"/>
      <c r="AF365" s="109" t="n"/>
      <c r="AG365" s="109" t="n"/>
      <c r="AH365" s="109" t="n"/>
      <c r="AL365" s="109" t="n"/>
      <c r="AM365" s="109" t="n"/>
      <c r="AN365" s="109" t="n"/>
    </row>
    <row r="366" ht="15.75" customHeight="1" s="216">
      <c r="D366" s="109" t="n"/>
      <c r="E366" s="109" t="n"/>
      <c r="J366" s="109" t="n"/>
      <c r="K366" s="109" t="n"/>
      <c r="L366" s="109" t="n"/>
      <c r="N366" s="109" t="n"/>
      <c r="O366" s="109" t="n"/>
      <c r="P366" s="109" t="n"/>
      <c r="T366" s="109" t="n"/>
      <c r="U366" s="109" t="n"/>
      <c r="V366" s="109" t="n"/>
      <c r="Z366" s="109" t="n"/>
      <c r="AA366" s="109" t="n"/>
      <c r="AB366" s="109" t="n"/>
      <c r="AF366" s="109" t="n"/>
      <c r="AG366" s="109" t="n"/>
      <c r="AH366" s="109" t="n"/>
      <c r="AL366" s="109" t="n"/>
      <c r="AM366" s="109" t="n"/>
      <c r="AN366" s="109" t="n"/>
    </row>
    <row r="367" ht="15.75" customHeight="1" s="216">
      <c r="D367" s="109" t="n"/>
      <c r="E367" s="109" t="n"/>
      <c r="J367" s="109" t="n"/>
      <c r="K367" s="109" t="n"/>
      <c r="L367" s="109" t="n"/>
      <c r="N367" s="109" t="n"/>
      <c r="O367" s="109" t="n"/>
      <c r="P367" s="109" t="n"/>
      <c r="T367" s="109" t="n"/>
      <c r="U367" s="109" t="n"/>
      <c r="V367" s="109" t="n"/>
      <c r="Z367" s="109" t="n"/>
      <c r="AA367" s="109" t="n"/>
      <c r="AB367" s="109" t="n"/>
      <c r="AF367" s="109" t="n"/>
      <c r="AG367" s="109" t="n"/>
      <c r="AH367" s="109" t="n"/>
      <c r="AL367" s="109" t="n"/>
      <c r="AM367" s="109" t="n"/>
      <c r="AN367" s="109" t="n"/>
    </row>
    <row r="368" ht="15.75" customHeight="1" s="216">
      <c r="D368" s="109" t="n"/>
      <c r="E368" s="109" t="n"/>
      <c r="J368" s="109" t="n"/>
      <c r="K368" s="109" t="n"/>
      <c r="L368" s="109" t="n"/>
      <c r="N368" s="109" t="n"/>
      <c r="O368" s="109" t="n"/>
      <c r="P368" s="109" t="n"/>
      <c r="T368" s="109" t="n"/>
      <c r="U368" s="109" t="n"/>
      <c r="V368" s="109" t="n"/>
      <c r="Z368" s="109" t="n"/>
      <c r="AA368" s="109" t="n"/>
      <c r="AB368" s="109" t="n"/>
      <c r="AF368" s="109" t="n"/>
      <c r="AG368" s="109" t="n"/>
      <c r="AH368" s="109" t="n"/>
      <c r="AL368" s="109" t="n"/>
      <c r="AM368" s="109" t="n"/>
      <c r="AN368" s="109" t="n"/>
    </row>
    <row r="369" ht="15.75" customHeight="1" s="216">
      <c r="D369" s="109" t="n"/>
      <c r="E369" s="109" t="n"/>
      <c r="J369" s="109" t="n"/>
      <c r="K369" s="109" t="n"/>
      <c r="L369" s="109" t="n"/>
      <c r="N369" s="109" t="n"/>
      <c r="O369" s="109" t="n"/>
      <c r="P369" s="109" t="n"/>
      <c r="T369" s="109" t="n"/>
      <c r="U369" s="109" t="n"/>
      <c r="V369" s="109" t="n"/>
      <c r="Z369" s="109" t="n"/>
      <c r="AA369" s="109" t="n"/>
      <c r="AB369" s="109" t="n"/>
      <c r="AF369" s="109" t="n"/>
      <c r="AG369" s="109" t="n"/>
      <c r="AH369" s="109" t="n"/>
      <c r="AL369" s="109" t="n"/>
      <c r="AM369" s="109" t="n"/>
      <c r="AN369" s="109" t="n"/>
    </row>
    <row r="370" ht="15.75" customHeight="1" s="216">
      <c r="D370" s="109" t="n"/>
      <c r="E370" s="109" t="n"/>
      <c r="J370" s="109" t="n"/>
      <c r="K370" s="109" t="n"/>
      <c r="L370" s="109" t="n"/>
      <c r="N370" s="109" t="n"/>
      <c r="O370" s="109" t="n"/>
      <c r="P370" s="109" t="n"/>
      <c r="T370" s="109" t="n"/>
      <c r="U370" s="109" t="n"/>
      <c r="V370" s="109" t="n"/>
      <c r="Z370" s="109" t="n"/>
      <c r="AA370" s="109" t="n"/>
      <c r="AB370" s="109" t="n"/>
      <c r="AF370" s="109" t="n"/>
      <c r="AG370" s="109" t="n"/>
      <c r="AH370" s="109" t="n"/>
      <c r="AL370" s="109" t="n"/>
      <c r="AM370" s="109" t="n"/>
      <c r="AN370" s="109" t="n"/>
    </row>
    <row r="371" ht="15.75" customHeight="1" s="216">
      <c r="D371" s="109" t="n"/>
      <c r="E371" s="109" t="n"/>
      <c r="J371" s="109" t="n"/>
      <c r="K371" s="109" t="n"/>
      <c r="L371" s="109" t="n"/>
      <c r="N371" s="109" t="n"/>
      <c r="O371" s="109" t="n"/>
      <c r="P371" s="109" t="n"/>
      <c r="T371" s="109" t="n"/>
      <c r="U371" s="109" t="n"/>
      <c r="V371" s="109" t="n"/>
      <c r="Z371" s="109" t="n"/>
      <c r="AA371" s="109" t="n"/>
      <c r="AB371" s="109" t="n"/>
      <c r="AF371" s="109" t="n"/>
      <c r="AG371" s="109" t="n"/>
      <c r="AH371" s="109" t="n"/>
      <c r="AL371" s="109" t="n"/>
      <c r="AM371" s="109" t="n"/>
      <c r="AN371" s="109" t="n"/>
    </row>
    <row r="372" ht="15.75" customHeight="1" s="216">
      <c r="D372" s="109" t="n"/>
      <c r="E372" s="109" t="n"/>
      <c r="J372" s="109" t="n"/>
      <c r="K372" s="109" t="n"/>
      <c r="L372" s="109" t="n"/>
      <c r="N372" s="109" t="n"/>
      <c r="O372" s="109" t="n"/>
      <c r="P372" s="109" t="n"/>
      <c r="T372" s="109" t="n"/>
      <c r="U372" s="109" t="n"/>
      <c r="V372" s="109" t="n"/>
      <c r="Z372" s="109" t="n"/>
      <c r="AA372" s="109" t="n"/>
      <c r="AB372" s="109" t="n"/>
      <c r="AF372" s="109" t="n"/>
      <c r="AG372" s="109" t="n"/>
      <c r="AH372" s="109" t="n"/>
      <c r="AL372" s="109" t="n"/>
      <c r="AM372" s="109" t="n"/>
      <c r="AN372" s="109" t="n"/>
    </row>
    <row r="373" ht="15.75" customHeight="1" s="216">
      <c r="D373" s="109" t="n"/>
      <c r="E373" s="109" t="n"/>
      <c r="J373" s="109" t="n"/>
      <c r="K373" s="109" t="n"/>
      <c r="L373" s="109" t="n"/>
      <c r="N373" s="109" t="n"/>
      <c r="O373" s="109" t="n"/>
      <c r="P373" s="109" t="n"/>
      <c r="T373" s="109" t="n"/>
      <c r="U373" s="109" t="n"/>
      <c r="V373" s="109" t="n"/>
      <c r="Z373" s="109" t="n"/>
      <c r="AA373" s="109" t="n"/>
      <c r="AB373" s="109" t="n"/>
      <c r="AF373" s="109" t="n"/>
      <c r="AG373" s="109" t="n"/>
      <c r="AH373" s="109" t="n"/>
      <c r="AL373" s="109" t="n"/>
      <c r="AM373" s="109" t="n"/>
      <c r="AN373" s="109" t="n"/>
    </row>
    <row r="374" ht="15.75" customHeight="1" s="216">
      <c r="D374" s="109" t="n"/>
      <c r="E374" s="109" t="n"/>
      <c r="J374" s="109" t="n"/>
      <c r="K374" s="109" t="n"/>
      <c r="L374" s="109" t="n"/>
      <c r="N374" s="109" t="n"/>
      <c r="O374" s="109" t="n"/>
      <c r="P374" s="109" t="n"/>
      <c r="T374" s="109" t="n"/>
      <c r="U374" s="109" t="n"/>
      <c r="V374" s="109" t="n"/>
      <c r="Z374" s="109" t="n"/>
      <c r="AA374" s="109" t="n"/>
      <c r="AB374" s="109" t="n"/>
      <c r="AF374" s="109" t="n"/>
      <c r="AG374" s="109" t="n"/>
      <c r="AH374" s="109" t="n"/>
      <c r="AL374" s="109" t="n"/>
      <c r="AM374" s="109" t="n"/>
      <c r="AN374" s="109" t="n"/>
    </row>
    <row r="375" ht="15.75" customHeight="1" s="216">
      <c r="D375" s="109" t="n"/>
      <c r="E375" s="109" t="n"/>
      <c r="J375" s="109" t="n"/>
      <c r="K375" s="109" t="n"/>
      <c r="L375" s="109" t="n"/>
      <c r="N375" s="109" t="n"/>
      <c r="O375" s="109" t="n"/>
      <c r="P375" s="109" t="n"/>
      <c r="T375" s="109" t="n"/>
      <c r="U375" s="109" t="n"/>
      <c r="V375" s="109" t="n"/>
      <c r="Z375" s="109" t="n"/>
      <c r="AA375" s="109" t="n"/>
      <c r="AB375" s="109" t="n"/>
      <c r="AF375" s="109" t="n"/>
      <c r="AG375" s="109" t="n"/>
      <c r="AH375" s="109" t="n"/>
      <c r="AL375" s="109" t="n"/>
      <c r="AM375" s="109" t="n"/>
      <c r="AN375" s="109" t="n"/>
    </row>
    <row r="376" ht="15.75" customHeight="1" s="216">
      <c r="D376" s="109" t="n"/>
      <c r="E376" s="109" t="n"/>
      <c r="J376" s="109" t="n"/>
      <c r="K376" s="109" t="n"/>
      <c r="L376" s="109" t="n"/>
      <c r="N376" s="109" t="n"/>
      <c r="O376" s="109" t="n"/>
      <c r="P376" s="109" t="n"/>
      <c r="T376" s="109" t="n"/>
      <c r="U376" s="109" t="n"/>
      <c r="V376" s="109" t="n"/>
      <c r="Z376" s="109" t="n"/>
      <c r="AA376" s="109" t="n"/>
      <c r="AB376" s="109" t="n"/>
      <c r="AF376" s="109" t="n"/>
      <c r="AG376" s="109" t="n"/>
      <c r="AH376" s="109" t="n"/>
      <c r="AL376" s="109" t="n"/>
      <c r="AM376" s="109" t="n"/>
      <c r="AN376" s="109" t="n"/>
    </row>
    <row r="377" ht="15.75" customHeight="1" s="216">
      <c r="D377" s="109" t="n"/>
      <c r="E377" s="109" t="n"/>
      <c r="J377" s="109" t="n"/>
      <c r="K377" s="109" t="n"/>
      <c r="L377" s="109" t="n"/>
      <c r="N377" s="109" t="n"/>
      <c r="O377" s="109" t="n"/>
      <c r="P377" s="109" t="n"/>
      <c r="T377" s="109" t="n"/>
      <c r="U377" s="109" t="n"/>
      <c r="V377" s="109" t="n"/>
      <c r="Z377" s="109" t="n"/>
      <c r="AA377" s="109" t="n"/>
      <c r="AB377" s="109" t="n"/>
      <c r="AF377" s="109" t="n"/>
      <c r="AG377" s="109" t="n"/>
      <c r="AH377" s="109" t="n"/>
      <c r="AL377" s="109" t="n"/>
      <c r="AM377" s="109" t="n"/>
      <c r="AN377" s="109" t="n"/>
    </row>
    <row r="378" ht="15.75" customHeight="1" s="216">
      <c r="D378" s="109" t="n"/>
      <c r="E378" s="109" t="n"/>
      <c r="J378" s="109" t="n"/>
      <c r="K378" s="109" t="n"/>
      <c r="L378" s="109" t="n"/>
      <c r="N378" s="109" t="n"/>
      <c r="O378" s="109" t="n"/>
      <c r="P378" s="109" t="n"/>
      <c r="T378" s="109" t="n"/>
      <c r="U378" s="109" t="n"/>
      <c r="V378" s="109" t="n"/>
      <c r="Z378" s="109" t="n"/>
      <c r="AA378" s="109" t="n"/>
      <c r="AB378" s="109" t="n"/>
      <c r="AF378" s="109" t="n"/>
      <c r="AG378" s="109" t="n"/>
      <c r="AH378" s="109" t="n"/>
      <c r="AL378" s="109" t="n"/>
      <c r="AM378" s="109" t="n"/>
      <c r="AN378" s="109" t="n"/>
    </row>
    <row r="379" ht="15.75" customHeight="1" s="216">
      <c r="D379" s="109" t="n"/>
      <c r="E379" s="109" t="n"/>
      <c r="J379" s="109" t="n"/>
      <c r="K379" s="109" t="n"/>
      <c r="L379" s="109" t="n"/>
      <c r="N379" s="109" t="n"/>
      <c r="O379" s="109" t="n"/>
      <c r="P379" s="109" t="n"/>
      <c r="T379" s="109" t="n"/>
      <c r="U379" s="109" t="n"/>
      <c r="V379" s="109" t="n"/>
      <c r="Z379" s="109" t="n"/>
      <c r="AA379" s="109" t="n"/>
      <c r="AB379" s="109" t="n"/>
      <c r="AF379" s="109" t="n"/>
      <c r="AG379" s="109" t="n"/>
      <c r="AH379" s="109" t="n"/>
      <c r="AL379" s="109" t="n"/>
      <c r="AM379" s="109" t="n"/>
      <c r="AN379" s="109" t="n"/>
    </row>
    <row r="380" ht="15.75" customHeight="1" s="216">
      <c r="D380" s="109" t="n"/>
      <c r="E380" s="109" t="n"/>
      <c r="J380" s="109" t="n"/>
      <c r="K380" s="109" t="n"/>
      <c r="L380" s="109" t="n"/>
      <c r="N380" s="109" t="n"/>
      <c r="O380" s="109" t="n"/>
      <c r="P380" s="109" t="n"/>
      <c r="T380" s="109" t="n"/>
      <c r="U380" s="109" t="n"/>
      <c r="V380" s="109" t="n"/>
      <c r="Z380" s="109" t="n"/>
      <c r="AA380" s="109" t="n"/>
      <c r="AB380" s="109" t="n"/>
      <c r="AF380" s="109" t="n"/>
      <c r="AG380" s="109" t="n"/>
      <c r="AH380" s="109" t="n"/>
      <c r="AL380" s="109" t="n"/>
      <c r="AM380" s="109" t="n"/>
      <c r="AN380" s="109" t="n"/>
    </row>
    <row r="381" ht="15.75" customHeight="1" s="216">
      <c r="D381" s="109" t="n"/>
      <c r="E381" s="109" t="n"/>
      <c r="J381" s="109" t="n"/>
      <c r="K381" s="109" t="n"/>
      <c r="L381" s="109" t="n"/>
      <c r="N381" s="109" t="n"/>
      <c r="O381" s="109" t="n"/>
      <c r="P381" s="109" t="n"/>
      <c r="T381" s="109" t="n"/>
      <c r="U381" s="109" t="n"/>
      <c r="V381" s="109" t="n"/>
      <c r="Z381" s="109" t="n"/>
      <c r="AA381" s="109" t="n"/>
      <c r="AB381" s="109" t="n"/>
      <c r="AF381" s="109" t="n"/>
      <c r="AG381" s="109" t="n"/>
      <c r="AH381" s="109" t="n"/>
      <c r="AL381" s="109" t="n"/>
      <c r="AM381" s="109" t="n"/>
      <c r="AN381" s="109" t="n"/>
    </row>
    <row r="382" ht="15.75" customHeight="1" s="216">
      <c r="D382" s="109" t="n"/>
      <c r="E382" s="109" t="n"/>
      <c r="J382" s="109" t="n"/>
      <c r="K382" s="109" t="n"/>
      <c r="L382" s="109" t="n"/>
      <c r="N382" s="109" t="n"/>
      <c r="O382" s="109" t="n"/>
      <c r="P382" s="109" t="n"/>
      <c r="T382" s="109" t="n"/>
      <c r="U382" s="109" t="n"/>
      <c r="V382" s="109" t="n"/>
      <c r="Z382" s="109" t="n"/>
      <c r="AA382" s="109" t="n"/>
      <c r="AB382" s="109" t="n"/>
      <c r="AF382" s="109" t="n"/>
      <c r="AG382" s="109" t="n"/>
      <c r="AH382" s="109" t="n"/>
      <c r="AL382" s="109" t="n"/>
      <c r="AM382" s="109" t="n"/>
      <c r="AN382" s="109" t="n"/>
    </row>
    <row r="383" ht="15.75" customHeight="1" s="216">
      <c r="D383" s="109" t="n"/>
      <c r="E383" s="109" t="n"/>
      <c r="J383" s="109" t="n"/>
      <c r="K383" s="109" t="n"/>
      <c r="L383" s="109" t="n"/>
      <c r="N383" s="109" t="n"/>
      <c r="O383" s="109" t="n"/>
      <c r="P383" s="109" t="n"/>
      <c r="T383" s="109" t="n"/>
      <c r="U383" s="109" t="n"/>
      <c r="V383" s="109" t="n"/>
      <c r="Z383" s="109" t="n"/>
      <c r="AA383" s="109" t="n"/>
      <c r="AB383" s="109" t="n"/>
      <c r="AF383" s="109" t="n"/>
      <c r="AG383" s="109" t="n"/>
      <c r="AH383" s="109" t="n"/>
      <c r="AL383" s="109" t="n"/>
      <c r="AM383" s="109" t="n"/>
      <c r="AN383" s="109" t="n"/>
    </row>
    <row r="384" ht="15.75" customHeight="1" s="216">
      <c r="D384" s="109" t="n"/>
      <c r="E384" s="109" t="n"/>
      <c r="J384" s="109" t="n"/>
      <c r="K384" s="109" t="n"/>
      <c r="L384" s="109" t="n"/>
      <c r="N384" s="109" t="n"/>
      <c r="O384" s="109" t="n"/>
      <c r="P384" s="109" t="n"/>
      <c r="T384" s="109" t="n"/>
      <c r="U384" s="109" t="n"/>
      <c r="V384" s="109" t="n"/>
      <c r="Z384" s="109" t="n"/>
      <c r="AA384" s="109" t="n"/>
      <c r="AB384" s="109" t="n"/>
      <c r="AF384" s="109" t="n"/>
      <c r="AG384" s="109" t="n"/>
      <c r="AH384" s="109" t="n"/>
      <c r="AL384" s="109" t="n"/>
      <c r="AM384" s="109" t="n"/>
      <c r="AN384" s="109" t="n"/>
    </row>
    <row r="385" ht="15.75" customHeight="1" s="216">
      <c r="D385" s="109" t="n"/>
      <c r="E385" s="109" t="n"/>
      <c r="J385" s="109" t="n"/>
      <c r="K385" s="109" t="n"/>
      <c r="L385" s="109" t="n"/>
      <c r="N385" s="109" t="n"/>
      <c r="O385" s="109" t="n"/>
      <c r="P385" s="109" t="n"/>
      <c r="T385" s="109" t="n"/>
      <c r="U385" s="109" t="n"/>
      <c r="V385" s="109" t="n"/>
      <c r="Z385" s="109" t="n"/>
      <c r="AA385" s="109" t="n"/>
      <c r="AB385" s="109" t="n"/>
      <c r="AF385" s="109" t="n"/>
      <c r="AG385" s="109" t="n"/>
      <c r="AH385" s="109" t="n"/>
      <c r="AL385" s="109" t="n"/>
      <c r="AM385" s="109" t="n"/>
      <c r="AN385" s="109" t="n"/>
    </row>
    <row r="386" ht="15.75" customHeight="1" s="216">
      <c r="D386" s="109" t="n"/>
      <c r="E386" s="109" t="n"/>
      <c r="J386" s="109" t="n"/>
      <c r="K386" s="109" t="n"/>
      <c r="L386" s="109" t="n"/>
      <c r="N386" s="109" t="n"/>
      <c r="O386" s="109" t="n"/>
      <c r="P386" s="109" t="n"/>
      <c r="T386" s="109" t="n"/>
      <c r="U386" s="109" t="n"/>
      <c r="V386" s="109" t="n"/>
      <c r="Z386" s="109" t="n"/>
      <c r="AA386" s="109" t="n"/>
      <c r="AB386" s="109" t="n"/>
      <c r="AF386" s="109" t="n"/>
      <c r="AG386" s="109" t="n"/>
      <c r="AH386" s="109" t="n"/>
      <c r="AL386" s="109" t="n"/>
      <c r="AM386" s="109" t="n"/>
      <c r="AN386" s="109" t="n"/>
    </row>
    <row r="387" ht="15.75" customHeight="1" s="216">
      <c r="D387" s="109" t="n"/>
      <c r="E387" s="109" t="n"/>
      <c r="J387" s="109" t="n"/>
      <c r="K387" s="109" t="n"/>
      <c r="L387" s="109" t="n"/>
      <c r="N387" s="109" t="n"/>
      <c r="O387" s="109" t="n"/>
      <c r="P387" s="109" t="n"/>
      <c r="T387" s="109" t="n"/>
      <c r="U387" s="109" t="n"/>
      <c r="V387" s="109" t="n"/>
      <c r="Z387" s="109" t="n"/>
      <c r="AA387" s="109" t="n"/>
      <c r="AB387" s="109" t="n"/>
      <c r="AF387" s="109" t="n"/>
      <c r="AG387" s="109" t="n"/>
      <c r="AH387" s="109" t="n"/>
      <c r="AL387" s="109" t="n"/>
      <c r="AM387" s="109" t="n"/>
      <c r="AN387" s="109" t="n"/>
    </row>
    <row r="388" ht="15.75" customHeight="1" s="216">
      <c r="D388" s="109" t="n"/>
      <c r="E388" s="109" t="n"/>
      <c r="J388" s="109" t="n"/>
      <c r="K388" s="109" t="n"/>
      <c r="L388" s="109" t="n"/>
      <c r="N388" s="109" t="n"/>
      <c r="O388" s="109" t="n"/>
      <c r="P388" s="109" t="n"/>
      <c r="T388" s="109" t="n"/>
      <c r="U388" s="109" t="n"/>
      <c r="V388" s="109" t="n"/>
      <c r="Z388" s="109" t="n"/>
      <c r="AA388" s="109" t="n"/>
      <c r="AB388" s="109" t="n"/>
      <c r="AF388" s="109" t="n"/>
      <c r="AG388" s="109" t="n"/>
      <c r="AH388" s="109" t="n"/>
      <c r="AL388" s="109" t="n"/>
      <c r="AM388" s="109" t="n"/>
      <c r="AN388" s="109" t="n"/>
    </row>
    <row r="389" ht="15.75" customHeight="1" s="216">
      <c r="D389" s="109" t="n"/>
      <c r="E389" s="109" t="n"/>
      <c r="J389" s="109" t="n"/>
      <c r="K389" s="109" t="n"/>
      <c r="L389" s="109" t="n"/>
      <c r="N389" s="109" t="n"/>
      <c r="O389" s="109" t="n"/>
      <c r="P389" s="109" t="n"/>
      <c r="T389" s="109" t="n"/>
      <c r="U389" s="109" t="n"/>
      <c r="V389" s="109" t="n"/>
      <c r="Z389" s="109" t="n"/>
      <c r="AA389" s="109" t="n"/>
      <c r="AB389" s="109" t="n"/>
      <c r="AF389" s="109" t="n"/>
      <c r="AG389" s="109" t="n"/>
      <c r="AH389" s="109" t="n"/>
      <c r="AL389" s="109" t="n"/>
      <c r="AM389" s="109" t="n"/>
      <c r="AN389" s="109" t="n"/>
    </row>
    <row r="390" ht="15.75" customHeight="1" s="216">
      <c r="D390" s="109" t="n"/>
      <c r="E390" s="109" t="n"/>
      <c r="J390" s="109" t="n"/>
      <c r="K390" s="109" t="n"/>
      <c r="L390" s="109" t="n"/>
      <c r="N390" s="109" t="n"/>
      <c r="O390" s="109" t="n"/>
      <c r="P390" s="109" t="n"/>
      <c r="T390" s="109" t="n"/>
      <c r="U390" s="109" t="n"/>
      <c r="V390" s="109" t="n"/>
      <c r="Z390" s="109" t="n"/>
      <c r="AA390" s="109" t="n"/>
      <c r="AB390" s="109" t="n"/>
      <c r="AF390" s="109" t="n"/>
      <c r="AG390" s="109" t="n"/>
      <c r="AH390" s="109" t="n"/>
      <c r="AL390" s="109" t="n"/>
      <c r="AM390" s="109" t="n"/>
      <c r="AN390" s="109" t="n"/>
    </row>
    <row r="391" ht="15.75" customHeight="1" s="216">
      <c r="D391" s="109" t="n"/>
      <c r="E391" s="109" t="n"/>
      <c r="J391" s="109" t="n"/>
      <c r="K391" s="109" t="n"/>
      <c r="L391" s="109" t="n"/>
      <c r="N391" s="109" t="n"/>
      <c r="O391" s="109" t="n"/>
      <c r="P391" s="109" t="n"/>
      <c r="T391" s="109" t="n"/>
      <c r="U391" s="109" t="n"/>
      <c r="V391" s="109" t="n"/>
      <c r="Z391" s="109" t="n"/>
      <c r="AA391" s="109" t="n"/>
      <c r="AB391" s="109" t="n"/>
      <c r="AF391" s="109" t="n"/>
      <c r="AG391" s="109" t="n"/>
      <c r="AH391" s="109" t="n"/>
      <c r="AL391" s="109" t="n"/>
      <c r="AM391" s="109" t="n"/>
      <c r="AN391" s="109" t="n"/>
    </row>
    <row r="392" ht="15.75" customHeight="1" s="216">
      <c r="D392" s="109" t="n"/>
      <c r="E392" s="109" t="n"/>
      <c r="J392" s="109" t="n"/>
      <c r="K392" s="109" t="n"/>
      <c r="L392" s="109" t="n"/>
      <c r="N392" s="109" t="n"/>
      <c r="O392" s="109" t="n"/>
      <c r="P392" s="109" t="n"/>
      <c r="T392" s="109" t="n"/>
      <c r="U392" s="109" t="n"/>
      <c r="V392" s="109" t="n"/>
      <c r="Z392" s="109" t="n"/>
      <c r="AA392" s="109" t="n"/>
      <c r="AB392" s="109" t="n"/>
      <c r="AF392" s="109" t="n"/>
      <c r="AG392" s="109" t="n"/>
      <c r="AH392" s="109" t="n"/>
      <c r="AL392" s="109" t="n"/>
      <c r="AM392" s="109" t="n"/>
      <c r="AN392" s="109" t="n"/>
    </row>
    <row r="393" ht="15.75" customHeight="1" s="216">
      <c r="D393" s="109" t="n"/>
      <c r="E393" s="109" t="n"/>
      <c r="J393" s="109" t="n"/>
      <c r="K393" s="109" t="n"/>
      <c r="L393" s="109" t="n"/>
      <c r="N393" s="109" t="n"/>
      <c r="O393" s="109" t="n"/>
      <c r="P393" s="109" t="n"/>
      <c r="T393" s="109" t="n"/>
      <c r="U393" s="109" t="n"/>
      <c r="V393" s="109" t="n"/>
      <c r="Z393" s="109" t="n"/>
      <c r="AA393" s="109" t="n"/>
      <c r="AB393" s="109" t="n"/>
      <c r="AF393" s="109" t="n"/>
      <c r="AG393" s="109" t="n"/>
      <c r="AH393" s="109" t="n"/>
      <c r="AL393" s="109" t="n"/>
      <c r="AM393" s="109" t="n"/>
      <c r="AN393" s="109" t="n"/>
    </row>
    <row r="394" ht="15.75" customHeight="1" s="216">
      <c r="D394" s="109" t="n"/>
      <c r="E394" s="109" t="n"/>
      <c r="J394" s="109" t="n"/>
      <c r="K394" s="109" t="n"/>
      <c r="L394" s="109" t="n"/>
      <c r="N394" s="109" t="n"/>
      <c r="O394" s="109" t="n"/>
      <c r="P394" s="109" t="n"/>
      <c r="T394" s="109" t="n"/>
      <c r="U394" s="109" t="n"/>
      <c r="V394" s="109" t="n"/>
      <c r="Z394" s="109" t="n"/>
      <c r="AA394" s="109" t="n"/>
      <c r="AB394" s="109" t="n"/>
      <c r="AF394" s="109" t="n"/>
      <c r="AG394" s="109" t="n"/>
      <c r="AH394" s="109" t="n"/>
      <c r="AL394" s="109" t="n"/>
      <c r="AM394" s="109" t="n"/>
      <c r="AN394" s="109" t="n"/>
    </row>
    <row r="395" ht="15.75" customHeight="1" s="216">
      <c r="D395" s="109" t="n"/>
      <c r="E395" s="109" t="n"/>
      <c r="J395" s="109" t="n"/>
      <c r="K395" s="109" t="n"/>
      <c r="L395" s="109" t="n"/>
      <c r="N395" s="109" t="n"/>
      <c r="O395" s="109" t="n"/>
      <c r="P395" s="109" t="n"/>
      <c r="T395" s="109" t="n"/>
      <c r="U395" s="109" t="n"/>
      <c r="V395" s="109" t="n"/>
      <c r="Z395" s="109" t="n"/>
      <c r="AA395" s="109" t="n"/>
      <c r="AB395" s="109" t="n"/>
      <c r="AF395" s="109" t="n"/>
      <c r="AG395" s="109" t="n"/>
      <c r="AH395" s="109" t="n"/>
      <c r="AL395" s="109" t="n"/>
      <c r="AM395" s="109" t="n"/>
      <c r="AN395" s="109" t="n"/>
    </row>
    <row r="396" ht="15.75" customHeight="1" s="216">
      <c r="D396" s="109" t="n"/>
      <c r="E396" s="109" t="n"/>
      <c r="J396" s="109" t="n"/>
      <c r="K396" s="109" t="n"/>
      <c r="L396" s="109" t="n"/>
      <c r="N396" s="109" t="n"/>
      <c r="O396" s="109" t="n"/>
      <c r="P396" s="109" t="n"/>
      <c r="T396" s="109" t="n"/>
      <c r="U396" s="109" t="n"/>
      <c r="V396" s="109" t="n"/>
      <c r="Z396" s="109" t="n"/>
      <c r="AA396" s="109" t="n"/>
      <c r="AB396" s="109" t="n"/>
      <c r="AF396" s="109" t="n"/>
      <c r="AG396" s="109" t="n"/>
      <c r="AH396" s="109" t="n"/>
      <c r="AL396" s="109" t="n"/>
      <c r="AM396" s="109" t="n"/>
      <c r="AN396" s="109" t="n"/>
    </row>
    <row r="397" ht="15.75" customHeight="1" s="216">
      <c r="D397" s="109" t="n"/>
      <c r="E397" s="109" t="n"/>
      <c r="J397" s="109" t="n"/>
      <c r="K397" s="109" t="n"/>
      <c r="L397" s="109" t="n"/>
      <c r="N397" s="109" t="n"/>
      <c r="O397" s="109" t="n"/>
      <c r="P397" s="109" t="n"/>
      <c r="T397" s="109" t="n"/>
      <c r="U397" s="109" t="n"/>
      <c r="V397" s="109" t="n"/>
      <c r="Z397" s="109" t="n"/>
      <c r="AA397" s="109" t="n"/>
      <c r="AB397" s="109" t="n"/>
      <c r="AF397" s="109" t="n"/>
      <c r="AG397" s="109" t="n"/>
      <c r="AH397" s="109" t="n"/>
      <c r="AL397" s="109" t="n"/>
      <c r="AM397" s="109" t="n"/>
      <c r="AN397" s="109" t="n"/>
    </row>
    <row r="398" ht="15.75" customHeight="1" s="216">
      <c r="D398" s="109" t="n"/>
      <c r="E398" s="109" t="n"/>
      <c r="J398" s="109" t="n"/>
      <c r="K398" s="109" t="n"/>
      <c r="L398" s="109" t="n"/>
      <c r="N398" s="109" t="n"/>
      <c r="O398" s="109" t="n"/>
      <c r="P398" s="109" t="n"/>
      <c r="T398" s="109" t="n"/>
      <c r="U398" s="109" t="n"/>
      <c r="V398" s="109" t="n"/>
      <c r="Z398" s="109" t="n"/>
      <c r="AA398" s="109" t="n"/>
      <c r="AB398" s="109" t="n"/>
      <c r="AF398" s="109" t="n"/>
      <c r="AG398" s="109" t="n"/>
      <c r="AH398" s="109" t="n"/>
      <c r="AL398" s="109" t="n"/>
      <c r="AM398" s="109" t="n"/>
      <c r="AN398" s="109" t="n"/>
    </row>
    <row r="399" ht="15.75" customHeight="1" s="216">
      <c r="D399" s="109" t="n"/>
      <c r="E399" s="109" t="n"/>
      <c r="J399" s="109" t="n"/>
      <c r="K399" s="109" t="n"/>
      <c r="L399" s="109" t="n"/>
      <c r="N399" s="109" t="n"/>
      <c r="O399" s="109" t="n"/>
      <c r="P399" s="109" t="n"/>
      <c r="T399" s="109" t="n"/>
      <c r="U399" s="109" t="n"/>
      <c r="V399" s="109" t="n"/>
      <c r="Z399" s="109" t="n"/>
      <c r="AA399" s="109" t="n"/>
      <c r="AB399" s="109" t="n"/>
      <c r="AF399" s="109" t="n"/>
      <c r="AG399" s="109" t="n"/>
      <c r="AH399" s="109" t="n"/>
      <c r="AL399" s="109" t="n"/>
      <c r="AM399" s="109" t="n"/>
      <c r="AN399" s="109" t="n"/>
    </row>
    <row r="400" ht="15.75" customHeight="1" s="216">
      <c r="D400" s="109" t="n"/>
      <c r="E400" s="109" t="n"/>
      <c r="J400" s="109" t="n"/>
      <c r="K400" s="109" t="n"/>
      <c r="L400" s="109" t="n"/>
      <c r="N400" s="109" t="n"/>
      <c r="O400" s="109" t="n"/>
      <c r="P400" s="109" t="n"/>
      <c r="T400" s="109" t="n"/>
      <c r="U400" s="109" t="n"/>
      <c r="V400" s="109" t="n"/>
      <c r="Z400" s="109" t="n"/>
      <c r="AA400" s="109" t="n"/>
      <c r="AB400" s="109" t="n"/>
      <c r="AF400" s="109" t="n"/>
      <c r="AG400" s="109" t="n"/>
      <c r="AH400" s="109" t="n"/>
      <c r="AL400" s="109" t="n"/>
      <c r="AM400" s="109" t="n"/>
      <c r="AN400" s="109" t="n"/>
    </row>
    <row r="401" ht="15.75" customHeight="1" s="216">
      <c r="D401" s="109" t="n"/>
      <c r="E401" s="109" t="n"/>
      <c r="J401" s="109" t="n"/>
      <c r="K401" s="109" t="n"/>
      <c r="L401" s="109" t="n"/>
      <c r="N401" s="109" t="n"/>
      <c r="O401" s="109" t="n"/>
      <c r="P401" s="109" t="n"/>
      <c r="T401" s="109" t="n"/>
      <c r="U401" s="109" t="n"/>
      <c r="V401" s="109" t="n"/>
      <c r="Z401" s="109" t="n"/>
      <c r="AA401" s="109" t="n"/>
      <c r="AB401" s="109" t="n"/>
      <c r="AF401" s="109" t="n"/>
      <c r="AG401" s="109" t="n"/>
      <c r="AH401" s="109" t="n"/>
      <c r="AL401" s="109" t="n"/>
      <c r="AM401" s="109" t="n"/>
      <c r="AN401" s="109" t="n"/>
    </row>
    <row r="402" ht="15.75" customHeight="1" s="216">
      <c r="D402" s="109" t="n"/>
      <c r="E402" s="109" t="n"/>
      <c r="J402" s="109" t="n"/>
      <c r="K402" s="109" t="n"/>
      <c r="L402" s="109" t="n"/>
      <c r="N402" s="109" t="n"/>
      <c r="O402" s="109" t="n"/>
      <c r="P402" s="109" t="n"/>
      <c r="T402" s="109" t="n"/>
      <c r="U402" s="109" t="n"/>
      <c r="V402" s="109" t="n"/>
      <c r="Z402" s="109" t="n"/>
      <c r="AA402" s="109" t="n"/>
      <c r="AB402" s="109" t="n"/>
      <c r="AF402" s="109" t="n"/>
      <c r="AG402" s="109" t="n"/>
      <c r="AH402" s="109" t="n"/>
      <c r="AL402" s="109" t="n"/>
      <c r="AM402" s="109" t="n"/>
      <c r="AN402" s="109" t="n"/>
    </row>
    <row r="403" ht="15.75" customHeight="1" s="216">
      <c r="D403" s="109" t="n"/>
      <c r="E403" s="109" t="n"/>
      <c r="J403" s="109" t="n"/>
      <c r="K403" s="109" t="n"/>
      <c r="L403" s="109" t="n"/>
      <c r="N403" s="109" t="n"/>
      <c r="O403" s="109" t="n"/>
      <c r="P403" s="109" t="n"/>
      <c r="T403" s="109" t="n"/>
      <c r="U403" s="109" t="n"/>
      <c r="V403" s="109" t="n"/>
      <c r="Z403" s="109" t="n"/>
      <c r="AA403" s="109" t="n"/>
      <c r="AB403" s="109" t="n"/>
      <c r="AF403" s="109" t="n"/>
      <c r="AG403" s="109" t="n"/>
      <c r="AH403" s="109" t="n"/>
      <c r="AL403" s="109" t="n"/>
      <c r="AM403" s="109" t="n"/>
      <c r="AN403" s="109" t="n"/>
    </row>
    <row r="404" ht="15.75" customHeight="1" s="216">
      <c r="D404" s="109" t="n"/>
      <c r="E404" s="109" t="n"/>
      <c r="J404" s="109" t="n"/>
      <c r="K404" s="109" t="n"/>
      <c r="L404" s="109" t="n"/>
      <c r="N404" s="109" t="n"/>
      <c r="O404" s="109" t="n"/>
      <c r="P404" s="109" t="n"/>
      <c r="T404" s="109" t="n"/>
      <c r="U404" s="109" t="n"/>
      <c r="V404" s="109" t="n"/>
      <c r="Z404" s="109" t="n"/>
      <c r="AA404" s="109" t="n"/>
      <c r="AB404" s="109" t="n"/>
      <c r="AF404" s="109" t="n"/>
      <c r="AG404" s="109" t="n"/>
      <c r="AH404" s="109" t="n"/>
      <c r="AL404" s="109" t="n"/>
      <c r="AM404" s="109" t="n"/>
      <c r="AN404" s="109" t="n"/>
    </row>
    <row r="405" ht="15.75" customHeight="1" s="216">
      <c r="D405" s="109" t="n"/>
      <c r="E405" s="109" t="n"/>
      <c r="J405" s="109" t="n"/>
      <c r="K405" s="109" t="n"/>
      <c r="L405" s="109" t="n"/>
      <c r="N405" s="109" t="n"/>
      <c r="O405" s="109" t="n"/>
      <c r="P405" s="109" t="n"/>
      <c r="T405" s="109" t="n"/>
      <c r="U405" s="109" t="n"/>
      <c r="V405" s="109" t="n"/>
      <c r="Z405" s="109" t="n"/>
      <c r="AA405" s="109" t="n"/>
      <c r="AB405" s="109" t="n"/>
      <c r="AF405" s="109" t="n"/>
      <c r="AG405" s="109" t="n"/>
      <c r="AH405" s="109" t="n"/>
      <c r="AL405" s="109" t="n"/>
      <c r="AM405" s="109" t="n"/>
      <c r="AN405" s="109" t="n"/>
    </row>
    <row r="406" ht="15.75" customHeight="1" s="216">
      <c r="D406" s="109" t="n"/>
      <c r="E406" s="109" t="n"/>
      <c r="J406" s="109" t="n"/>
      <c r="K406" s="109" t="n"/>
      <c r="L406" s="109" t="n"/>
      <c r="N406" s="109" t="n"/>
      <c r="O406" s="109" t="n"/>
      <c r="P406" s="109" t="n"/>
      <c r="T406" s="109" t="n"/>
      <c r="U406" s="109" t="n"/>
      <c r="V406" s="109" t="n"/>
      <c r="Z406" s="109" t="n"/>
      <c r="AA406" s="109" t="n"/>
      <c r="AB406" s="109" t="n"/>
      <c r="AF406" s="109" t="n"/>
      <c r="AG406" s="109" t="n"/>
      <c r="AH406" s="109" t="n"/>
      <c r="AL406" s="109" t="n"/>
      <c r="AM406" s="109" t="n"/>
      <c r="AN406" s="109" t="n"/>
    </row>
    <row r="407" ht="15.75" customHeight="1" s="216">
      <c r="D407" s="109" t="n"/>
      <c r="E407" s="109" t="n"/>
      <c r="J407" s="109" t="n"/>
      <c r="K407" s="109" t="n"/>
      <c r="L407" s="109" t="n"/>
      <c r="N407" s="109" t="n"/>
      <c r="O407" s="109" t="n"/>
      <c r="P407" s="109" t="n"/>
      <c r="T407" s="109" t="n"/>
      <c r="U407" s="109" t="n"/>
      <c r="V407" s="109" t="n"/>
      <c r="Z407" s="109" t="n"/>
      <c r="AA407" s="109" t="n"/>
      <c r="AB407" s="109" t="n"/>
      <c r="AF407" s="109" t="n"/>
      <c r="AG407" s="109" t="n"/>
      <c r="AH407" s="109" t="n"/>
      <c r="AL407" s="109" t="n"/>
      <c r="AM407" s="109" t="n"/>
      <c r="AN407" s="109" t="n"/>
    </row>
    <row r="408" ht="15.75" customHeight="1" s="216">
      <c r="D408" s="109" t="n"/>
      <c r="E408" s="109" t="n"/>
      <c r="J408" s="109" t="n"/>
      <c r="K408" s="109" t="n"/>
      <c r="L408" s="109" t="n"/>
      <c r="N408" s="109" t="n"/>
      <c r="O408" s="109" t="n"/>
      <c r="P408" s="109" t="n"/>
      <c r="T408" s="109" t="n"/>
      <c r="U408" s="109" t="n"/>
      <c r="V408" s="109" t="n"/>
      <c r="Z408" s="109" t="n"/>
      <c r="AA408" s="109" t="n"/>
      <c r="AB408" s="109" t="n"/>
      <c r="AF408" s="109" t="n"/>
      <c r="AG408" s="109" t="n"/>
      <c r="AH408" s="109" t="n"/>
      <c r="AL408" s="109" t="n"/>
      <c r="AM408" s="109" t="n"/>
      <c r="AN408" s="109" t="n"/>
    </row>
    <row r="409" ht="15.75" customHeight="1" s="216">
      <c r="D409" s="109" t="n"/>
      <c r="E409" s="109" t="n"/>
      <c r="J409" s="109" t="n"/>
      <c r="K409" s="109" t="n"/>
      <c r="L409" s="109" t="n"/>
      <c r="N409" s="109" t="n"/>
      <c r="O409" s="109" t="n"/>
      <c r="P409" s="109" t="n"/>
      <c r="T409" s="109" t="n"/>
      <c r="U409" s="109" t="n"/>
      <c r="V409" s="109" t="n"/>
      <c r="Z409" s="109" t="n"/>
      <c r="AA409" s="109" t="n"/>
      <c r="AB409" s="109" t="n"/>
      <c r="AF409" s="109" t="n"/>
      <c r="AG409" s="109" t="n"/>
      <c r="AH409" s="109" t="n"/>
      <c r="AL409" s="109" t="n"/>
      <c r="AM409" s="109" t="n"/>
      <c r="AN409" s="109" t="n"/>
    </row>
    <row r="410" ht="15.75" customHeight="1" s="216">
      <c r="D410" s="109" t="n"/>
      <c r="E410" s="109" t="n"/>
      <c r="J410" s="109" t="n"/>
      <c r="K410" s="109" t="n"/>
      <c r="L410" s="109" t="n"/>
      <c r="N410" s="109" t="n"/>
      <c r="O410" s="109" t="n"/>
      <c r="P410" s="109" t="n"/>
      <c r="T410" s="109" t="n"/>
      <c r="U410" s="109" t="n"/>
      <c r="V410" s="109" t="n"/>
      <c r="Z410" s="109" t="n"/>
      <c r="AA410" s="109" t="n"/>
      <c r="AB410" s="109" t="n"/>
      <c r="AF410" s="109" t="n"/>
      <c r="AG410" s="109" t="n"/>
      <c r="AH410" s="109" t="n"/>
      <c r="AL410" s="109" t="n"/>
      <c r="AM410" s="109" t="n"/>
      <c r="AN410" s="109" t="n"/>
    </row>
    <row r="411" ht="15.75" customHeight="1" s="216">
      <c r="D411" s="109" t="n"/>
      <c r="E411" s="109" t="n"/>
      <c r="J411" s="109" t="n"/>
      <c r="K411" s="109" t="n"/>
      <c r="L411" s="109" t="n"/>
      <c r="N411" s="109" t="n"/>
      <c r="O411" s="109" t="n"/>
      <c r="P411" s="109" t="n"/>
      <c r="T411" s="109" t="n"/>
      <c r="U411" s="109" t="n"/>
      <c r="V411" s="109" t="n"/>
      <c r="Z411" s="109" t="n"/>
      <c r="AA411" s="109" t="n"/>
      <c r="AB411" s="109" t="n"/>
      <c r="AF411" s="109" t="n"/>
      <c r="AG411" s="109" t="n"/>
      <c r="AH411" s="109" t="n"/>
      <c r="AL411" s="109" t="n"/>
      <c r="AM411" s="109" t="n"/>
      <c r="AN411" s="109" t="n"/>
    </row>
    <row r="412" ht="15.75" customHeight="1" s="216">
      <c r="D412" s="109" t="n"/>
      <c r="E412" s="109" t="n"/>
      <c r="J412" s="109" t="n"/>
      <c r="K412" s="109" t="n"/>
      <c r="L412" s="109" t="n"/>
      <c r="N412" s="109" t="n"/>
      <c r="O412" s="109" t="n"/>
      <c r="P412" s="109" t="n"/>
      <c r="T412" s="109" t="n"/>
      <c r="U412" s="109" t="n"/>
      <c r="V412" s="109" t="n"/>
      <c r="Z412" s="109" t="n"/>
      <c r="AA412" s="109" t="n"/>
      <c r="AB412" s="109" t="n"/>
      <c r="AF412" s="109" t="n"/>
      <c r="AG412" s="109" t="n"/>
      <c r="AH412" s="109" t="n"/>
      <c r="AL412" s="109" t="n"/>
      <c r="AM412" s="109" t="n"/>
      <c r="AN412" s="109" t="n"/>
    </row>
    <row r="413" ht="15.75" customHeight="1" s="216">
      <c r="D413" s="109" t="n"/>
      <c r="E413" s="109" t="n"/>
      <c r="J413" s="109" t="n"/>
      <c r="K413" s="109" t="n"/>
      <c r="L413" s="109" t="n"/>
      <c r="N413" s="109" t="n"/>
      <c r="O413" s="109" t="n"/>
      <c r="P413" s="109" t="n"/>
      <c r="T413" s="109" t="n"/>
      <c r="U413" s="109" t="n"/>
      <c r="V413" s="109" t="n"/>
      <c r="Z413" s="109" t="n"/>
      <c r="AA413" s="109" t="n"/>
      <c r="AB413" s="109" t="n"/>
      <c r="AF413" s="109" t="n"/>
      <c r="AG413" s="109" t="n"/>
      <c r="AH413" s="109" t="n"/>
      <c r="AL413" s="109" t="n"/>
      <c r="AM413" s="109" t="n"/>
      <c r="AN413" s="109" t="n"/>
    </row>
    <row r="414" ht="15.75" customHeight="1" s="216">
      <c r="D414" s="109" t="n"/>
      <c r="E414" s="109" t="n"/>
      <c r="J414" s="109" t="n"/>
      <c r="K414" s="109" t="n"/>
      <c r="L414" s="109" t="n"/>
      <c r="N414" s="109" t="n"/>
      <c r="O414" s="109" t="n"/>
      <c r="P414" s="109" t="n"/>
      <c r="T414" s="109" t="n"/>
      <c r="U414" s="109" t="n"/>
      <c r="V414" s="109" t="n"/>
      <c r="Z414" s="109" t="n"/>
      <c r="AA414" s="109" t="n"/>
      <c r="AB414" s="109" t="n"/>
      <c r="AF414" s="109" t="n"/>
      <c r="AG414" s="109" t="n"/>
      <c r="AH414" s="109" t="n"/>
      <c r="AL414" s="109" t="n"/>
      <c r="AM414" s="109" t="n"/>
      <c r="AN414" s="109" t="n"/>
    </row>
    <row r="415" ht="15.75" customHeight="1" s="216">
      <c r="D415" s="109" t="n"/>
      <c r="E415" s="109" t="n"/>
      <c r="J415" s="109" t="n"/>
      <c r="K415" s="109" t="n"/>
      <c r="L415" s="109" t="n"/>
      <c r="N415" s="109" t="n"/>
      <c r="O415" s="109" t="n"/>
      <c r="P415" s="109" t="n"/>
      <c r="T415" s="109" t="n"/>
      <c r="U415" s="109" t="n"/>
      <c r="V415" s="109" t="n"/>
      <c r="Z415" s="109" t="n"/>
      <c r="AA415" s="109" t="n"/>
      <c r="AB415" s="109" t="n"/>
      <c r="AF415" s="109" t="n"/>
      <c r="AG415" s="109" t="n"/>
      <c r="AH415" s="109" t="n"/>
      <c r="AL415" s="109" t="n"/>
      <c r="AM415" s="109" t="n"/>
      <c r="AN415" s="109" t="n"/>
    </row>
    <row r="416" ht="15.75" customHeight="1" s="216">
      <c r="D416" s="109" t="n"/>
      <c r="E416" s="109" t="n"/>
      <c r="J416" s="109" t="n"/>
      <c r="K416" s="109" t="n"/>
      <c r="L416" s="109" t="n"/>
      <c r="N416" s="109" t="n"/>
      <c r="O416" s="109" t="n"/>
      <c r="P416" s="109" t="n"/>
      <c r="T416" s="109" t="n"/>
      <c r="U416" s="109" t="n"/>
      <c r="V416" s="109" t="n"/>
      <c r="Z416" s="109" t="n"/>
      <c r="AA416" s="109" t="n"/>
      <c r="AB416" s="109" t="n"/>
      <c r="AF416" s="109" t="n"/>
      <c r="AG416" s="109" t="n"/>
      <c r="AH416" s="109" t="n"/>
      <c r="AL416" s="109" t="n"/>
      <c r="AM416" s="109" t="n"/>
      <c r="AN416" s="109" t="n"/>
    </row>
    <row r="417" ht="15.75" customHeight="1" s="216">
      <c r="D417" s="109" t="n"/>
      <c r="E417" s="109" t="n"/>
      <c r="J417" s="109" t="n"/>
      <c r="K417" s="109" t="n"/>
      <c r="L417" s="109" t="n"/>
      <c r="N417" s="109" t="n"/>
      <c r="O417" s="109" t="n"/>
      <c r="P417" s="109" t="n"/>
      <c r="T417" s="109" t="n"/>
      <c r="U417" s="109" t="n"/>
      <c r="V417" s="109" t="n"/>
      <c r="Z417" s="109" t="n"/>
      <c r="AA417" s="109" t="n"/>
      <c r="AB417" s="109" t="n"/>
      <c r="AF417" s="109" t="n"/>
      <c r="AG417" s="109" t="n"/>
      <c r="AH417" s="109" t="n"/>
      <c r="AL417" s="109" t="n"/>
      <c r="AM417" s="109" t="n"/>
      <c r="AN417" s="109" t="n"/>
    </row>
    <row r="418" ht="15.75" customHeight="1" s="216">
      <c r="D418" s="109" t="n"/>
      <c r="E418" s="109" t="n"/>
      <c r="J418" s="109" t="n"/>
      <c r="K418" s="109" t="n"/>
      <c r="L418" s="109" t="n"/>
      <c r="N418" s="109" t="n"/>
      <c r="O418" s="109" t="n"/>
      <c r="P418" s="109" t="n"/>
      <c r="T418" s="109" t="n"/>
      <c r="U418" s="109" t="n"/>
      <c r="V418" s="109" t="n"/>
      <c r="Z418" s="109" t="n"/>
      <c r="AA418" s="109" t="n"/>
      <c r="AB418" s="109" t="n"/>
      <c r="AF418" s="109" t="n"/>
      <c r="AG418" s="109" t="n"/>
      <c r="AH418" s="109" t="n"/>
      <c r="AL418" s="109" t="n"/>
      <c r="AM418" s="109" t="n"/>
      <c r="AN418" s="109" t="n"/>
    </row>
    <row r="419" ht="15.75" customHeight="1" s="216">
      <c r="D419" s="109" t="n"/>
      <c r="E419" s="109" t="n"/>
      <c r="J419" s="109" t="n"/>
      <c r="K419" s="109" t="n"/>
      <c r="L419" s="109" t="n"/>
      <c r="N419" s="109" t="n"/>
      <c r="O419" s="109" t="n"/>
      <c r="P419" s="109" t="n"/>
      <c r="T419" s="109" t="n"/>
      <c r="U419" s="109" t="n"/>
      <c r="V419" s="109" t="n"/>
      <c r="Z419" s="109" t="n"/>
      <c r="AA419" s="109" t="n"/>
      <c r="AB419" s="109" t="n"/>
      <c r="AF419" s="109" t="n"/>
      <c r="AG419" s="109" t="n"/>
      <c r="AH419" s="109" t="n"/>
      <c r="AL419" s="109" t="n"/>
      <c r="AM419" s="109" t="n"/>
      <c r="AN419" s="109" t="n"/>
    </row>
    <row r="420" ht="15.75" customHeight="1" s="216">
      <c r="D420" s="109" t="n"/>
      <c r="E420" s="109" t="n"/>
      <c r="J420" s="109" t="n"/>
      <c r="K420" s="109" t="n"/>
      <c r="L420" s="109" t="n"/>
      <c r="N420" s="109" t="n"/>
      <c r="O420" s="109" t="n"/>
      <c r="P420" s="109" t="n"/>
      <c r="T420" s="109" t="n"/>
      <c r="U420" s="109" t="n"/>
      <c r="V420" s="109" t="n"/>
      <c r="Z420" s="109" t="n"/>
      <c r="AA420" s="109" t="n"/>
      <c r="AB420" s="109" t="n"/>
      <c r="AF420" s="109" t="n"/>
      <c r="AG420" s="109" t="n"/>
      <c r="AH420" s="109" t="n"/>
      <c r="AL420" s="109" t="n"/>
      <c r="AM420" s="109" t="n"/>
      <c r="AN420" s="109" t="n"/>
    </row>
    <row r="421" ht="15.75" customHeight="1" s="216">
      <c r="D421" s="109" t="n"/>
      <c r="E421" s="109" t="n"/>
      <c r="J421" s="109" t="n"/>
      <c r="K421" s="109" t="n"/>
      <c r="L421" s="109" t="n"/>
      <c r="N421" s="109" t="n"/>
      <c r="O421" s="109" t="n"/>
      <c r="P421" s="109" t="n"/>
      <c r="T421" s="109" t="n"/>
      <c r="U421" s="109" t="n"/>
      <c r="V421" s="109" t="n"/>
      <c r="Z421" s="109" t="n"/>
      <c r="AA421" s="109" t="n"/>
      <c r="AB421" s="109" t="n"/>
      <c r="AF421" s="109" t="n"/>
      <c r="AG421" s="109" t="n"/>
      <c r="AH421" s="109" t="n"/>
      <c r="AL421" s="109" t="n"/>
      <c r="AM421" s="109" t="n"/>
      <c r="AN421" s="109" t="n"/>
    </row>
    <row r="422" ht="15.75" customHeight="1" s="216">
      <c r="D422" s="109" t="n"/>
      <c r="E422" s="109" t="n"/>
      <c r="J422" s="109" t="n"/>
      <c r="K422" s="109" t="n"/>
      <c r="L422" s="109" t="n"/>
      <c r="N422" s="109" t="n"/>
      <c r="O422" s="109" t="n"/>
      <c r="P422" s="109" t="n"/>
      <c r="T422" s="109" t="n"/>
      <c r="U422" s="109" t="n"/>
      <c r="V422" s="109" t="n"/>
      <c r="Z422" s="109" t="n"/>
      <c r="AA422" s="109" t="n"/>
      <c r="AB422" s="109" t="n"/>
      <c r="AF422" s="109" t="n"/>
      <c r="AG422" s="109" t="n"/>
      <c r="AH422" s="109" t="n"/>
      <c r="AL422" s="109" t="n"/>
      <c r="AM422" s="109" t="n"/>
      <c r="AN422" s="109" t="n"/>
    </row>
    <row r="423" ht="15.75" customHeight="1" s="216">
      <c r="D423" s="109" t="n"/>
      <c r="E423" s="109" t="n"/>
      <c r="J423" s="109" t="n"/>
      <c r="K423" s="109" t="n"/>
      <c r="L423" s="109" t="n"/>
      <c r="N423" s="109" t="n"/>
      <c r="O423" s="109" t="n"/>
      <c r="P423" s="109" t="n"/>
      <c r="T423" s="109" t="n"/>
      <c r="U423" s="109" t="n"/>
      <c r="V423" s="109" t="n"/>
      <c r="Z423" s="109" t="n"/>
      <c r="AA423" s="109" t="n"/>
      <c r="AB423" s="109" t="n"/>
      <c r="AF423" s="109" t="n"/>
      <c r="AG423" s="109" t="n"/>
      <c r="AH423" s="109" t="n"/>
      <c r="AL423" s="109" t="n"/>
      <c r="AM423" s="109" t="n"/>
      <c r="AN423" s="109" t="n"/>
    </row>
    <row r="424" ht="15.75" customHeight="1" s="216">
      <c r="D424" s="109" t="n"/>
      <c r="E424" s="109" t="n"/>
      <c r="J424" s="109" t="n"/>
      <c r="K424" s="109" t="n"/>
      <c r="L424" s="109" t="n"/>
      <c r="N424" s="109" t="n"/>
      <c r="O424" s="109" t="n"/>
      <c r="P424" s="109" t="n"/>
      <c r="T424" s="109" t="n"/>
      <c r="U424" s="109" t="n"/>
      <c r="V424" s="109" t="n"/>
      <c r="Z424" s="109" t="n"/>
      <c r="AA424" s="109" t="n"/>
      <c r="AB424" s="109" t="n"/>
      <c r="AF424" s="109" t="n"/>
      <c r="AG424" s="109" t="n"/>
      <c r="AH424" s="109" t="n"/>
      <c r="AL424" s="109" t="n"/>
      <c r="AM424" s="109" t="n"/>
      <c r="AN424" s="109" t="n"/>
    </row>
    <row r="425" ht="15.75" customHeight="1" s="216">
      <c r="D425" s="109" t="n"/>
      <c r="E425" s="109" t="n"/>
      <c r="J425" s="109" t="n"/>
      <c r="K425" s="109" t="n"/>
      <c r="L425" s="109" t="n"/>
      <c r="N425" s="109" t="n"/>
      <c r="O425" s="109" t="n"/>
      <c r="P425" s="109" t="n"/>
      <c r="T425" s="109" t="n"/>
      <c r="U425" s="109" t="n"/>
      <c r="V425" s="109" t="n"/>
      <c r="Z425" s="109" t="n"/>
      <c r="AA425" s="109" t="n"/>
      <c r="AB425" s="109" t="n"/>
      <c r="AF425" s="109" t="n"/>
      <c r="AG425" s="109" t="n"/>
      <c r="AH425" s="109" t="n"/>
      <c r="AL425" s="109" t="n"/>
      <c r="AM425" s="109" t="n"/>
      <c r="AN425" s="109" t="n"/>
    </row>
    <row r="426" ht="15.75" customHeight="1" s="216">
      <c r="D426" s="109" t="n"/>
      <c r="E426" s="109" t="n"/>
      <c r="J426" s="109" t="n"/>
      <c r="K426" s="109" t="n"/>
      <c r="L426" s="109" t="n"/>
      <c r="N426" s="109" t="n"/>
      <c r="O426" s="109" t="n"/>
      <c r="P426" s="109" t="n"/>
      <c r="T426" s="109" t="n"/>
      <c r="U426" s="109" t="n"/>
      <c r="V426" s="109" t="n"/>
      <c r="Z426" s="109" t="n"/>
      <c r="AA426" s="109" t="n"/>
      <c r="AB426" s="109" t="n"/>
      <c r="AF426" s="109" t="n"/>
      <c r="AG426" s="109" t="n"/>
      <c r="AH426" s="109" t="n"/>
      <c r="AL426" s="109" t="n"/>
      <c r="AM426" s="109" t="n"/>
      <c r="AN426" s="109" t="n"/>
    </row>
    <row r="427" ht="15.75" customHeight="1" s="216">
      <c r="D427" s="109" t="n"/>
      <c r="E427" s="109" t="n"/>
      <c r="J427" s="109" t="n"/>
      <c r="K427" s="109" t="n"/>
      <c r="L427" s="109" t="n"/>
      <c r="N427" s="109" t="n"/>
      <c r="O427" s="109" t="n"/>
      <c r="P427" s="109" t="n"/>
      <c r="T427" s="109" t="n"/>
      <c r="U427" s="109" t="n"/>
      <c r="V427" s="109" t="n"/>
      <c r="Z427" s="109" t="n"/>
      <c r="AA427" s="109" t="n"/>
      <c r="AB427" s="109" t="n"/>
      <c r="AF427" s="109" t="n"/>
      <c r="AG427" s="109" t="n"/>
      <c r="AH427" s="109" t="n"/>
      <c r="AL427" s="109" t="n"/>
      <c r="AM427" s="109" t="n"/>
      <c r="AN427" s="109" t="n"/>
    </row>
    <row r="428" ht="15.75" customHeight="1" s="216">
      <c r="D428" s="109" t="n"/>
      <c r="E428" s="109" t="n"/>
      <c r="J428" s="109" t="n"/>
      <c r="K428" s="109" t="n"/>
      <c r="L428" s="109" t="n"/>
      <c r="N428" s="109" t="n"/>
      <c r="O428" s="109" t="n"/>
      <c r="P428" s="109" t="n"/>
      <c r="T428" s="109" t="n"/>
      <c r="U428" s="109" t="n"/>
      <c r="V428" s="109" t="n"/>
      <c r="Z428" s="109" t="n"/>
      <c r="AA428" s="109" t="n"/>
      <c r="AB428" s="109" t="n"/>
      <c r="AF428" s="109" t="n"/>
      <c r="AG428" s="109" t="n"/>
      <c r="AH428" s="109" t="n"/>
      <c r="AL428" s="109" t="n"/>
      <c r="AM428" s="109" t="n"/>
      <c r="AN428" s="109" t="n"/>
    </row>
    <row r="429" ht="15.75" customHeight="1" s="216">
      <c r="D429" s="109" t="n"/>
      <c r="E429" s="109" t="n"/>
      <c r="J429" s="109" t="n"/>
      <c r="K429" s="109" t="n"/>
      <c r="L429" s="109" t="n"/>
      <c r="N429" s="109" t="n"/>
      <c r="O429" s="109" t="n"/>
      <c r="P429" s="109" t="n"/>
      <c r="T429" s="109" t="n"/>
      <c r="U429" s="109" t="n"/>
      <c r="V429" s="109" t="n"/>
      <c r="Z429" s="109" t="n"/>
      <c r="AA429" s="109" t="n"/>
      <c r="AB429" s="109" t="n"/>
      <c r="AF429" s="109" t="n"/>
      <c r="AG429" s="109" t="n"/>
      <c r="AH429" s="109" t="n"/>
      <c r="AL429" s="109" t="n"/>
      <c r="AM429" s="109" t="n"/>
      <c r="AN429" s="109" t="n"/>
    </row>
    <row r="430" ht="15.75" customHeight="1" s="216">
      <c r="D430" s="109" t="n"/>
      <c r="E430" s="109" t="n"/>
      <c r="J430" s="109" t="n"/>
      <c r="K430" s="109" t="n"/>
      <c r="L430" s="109" t="n"/>
      <c r="N430" s="109" t="n"/>
      <c r="O430" s="109" t="n"/>
      <c r="P430" s="109" t="n"/>
      <c r="T430" s="109" t="n"/>
      <c r="U430" s="109" t="n"/>
      <c r="V430" s="109" t="n"/>
      <c r="Z430" s="109" t="n"/>
      <c r="AA430" s="109" t="n"/>
      <c r="AB430" s="109" t="n"/>
      <c r="AF430" s="109" t="n"/>
      <c r="AG430" s="109" t="n"/>
      <c r="AH430" s="109" t="n"/>
      <c r="AL430" s="109" t="n"/>
      <c r="AM430" s="109" t="n"/>
      <c r="AN430" s="109" t="n"/>
    </row>
    <row r="431" ht="15.75" customHeight="1" s="216">
      <c r="D431" s="109" t="n"/>
      <c r="E431" s="109" t="n"/>
      <c r="J431" s="109" t="n"/>
      <c r="K431" s="109" t="n"/>
      <c r="L431" s="109" t="n"/>
      <c r="N431" s="109" t="n"/>
      <c r="O431" s="109" t="n"/>
      <c r="P431" s="109" t="n"/>
      <c r="T431" s="109" t="n"/>
      <c r="U431" s="109" t="n"/>
      <c r="V431" s="109" t="n"/>
      <c r="Z431" s="109" t="n"/>
      <c r="AA431" s="109" t="n"/>
      <c r="AB431" s="109" t="n"/>
      <c r="AF431" s="109" t="n"/>
      <c r="AG431" s="109" t="n"/>
      <c r="AH431" s="109" t="n"/>
      <c r="AL431" s="109" t="n"/>
      <c r="AM431" s="109" t="n"/>
      <c r="AN431" s="109" t="n"/>
    </row>
    <row r="432" ht="15.75" customHeight="1" s="216">
      <c r="D432" s="109" t="n"/>
      <c r="E432" s="109" t="n"/>
      <c r="J432" s="109" t="n"/>
      <c r="K432" s="109" t="n"/>
      <c r="L432" s="109" t="n"/>
      <c r="N432" s="109" t="n"/>
      <c r="O432" s="109" t="n"/>
      <c r="P432" s="109" t="n"/>
      <c r="T432" s="109" t="n"/>
      <c r="U432" s="109" t="n"/>
      <c r="V432" s="109" t="n"/>
      <c r="Z432" s="109" t="n"/>
      <c r="AA432" s="109" t="n"/>
      <c r="AB432" s="109" t="n"/>
      <c r="AF432" s="109" t="n"/>
      <c r="AG432" s="109" t="n"/>
      <c r="AH432" s="109" t="n"/>
      <c r="AL432" s="109" t="n"/>
      <c r="AM432" s="109" t="n"/>
      <c r="AN432" s="109" t="n"/>
    </row>
    <row r="433" ht="15.75" customHeight="1" s="216">
      <c r="D433" s="109" t="n"/>
      <c r="E433" s="109" t="n"/>
      <c r="J433" s="109" t="n"/>
      <c r="K433" s="109" t="n"/>
      <c r="L433" s="109" t="n"/>
      <c r="N433" s="109" t="n"/>
      <c r="O433" s="109" t="n"/>
      <c r="P433" s="109" t="n"/>
      <c r="T433" s="109" t="n"/>
      <c r="U433" s="109" t="n"/>
      <c r="V433" s="109" t="n"/>
      <c r="Z433" s="109" t="n"/>
      <c r="AA433" s="109" t="n"/>
      <c r="AB433" s="109" t="n"/>
      <c r="AF433" s="109" t="n"/>
      <c r="AG433" s="109" t="n"/>
      <c r="AH433" s="109" t="n"/>
      <c r="AL433" s="109" t="n"/>
      <c r="AM433" s="109" t="n"/>
      <c r="AN433" s="109" t="n"/>
    </row>
    <row r="434" ht="15.75" customHeight="1" s="216">
      <c r="D434" s="109" t="n"/>
      <c r="E434" s="109" t="n"/>
      <c r="J434" s="109" t="n"/>
      <c r="K434" s="109" t="n"/>
      <c r="L434" s="109" t="n"/>
      <c r="N434" s="109" t="n"/>
      <c r="O434" s="109" t="n"/>
      <c r="P434" s="109" t="n"/>
      <c r="T434" s="109" t="n"/>
      <c r="U434" s="109" t="n"/>
      <c r="V434" s="109" t="n"/>
      <c r="Z434" s="109" t="n"/>
      <c r="AA434" s="109" t="n"/>
      <c r="AB434" s="109" t="n"/>
      <c r="AF434" s="109" t="n"/>
      <c r="AG434" s="109" t="n"/>
      <c r="AH434" s="109" t="n"/>
      <c r="AL434" s="109" t="n"/>
      <c r="AM434" s="109" t="n"/>
      <c r="AN434" s="109" t="n"/>
    </row>
    <row r="435" ht="15.75" customHeight="1" s="216">
      <c r="D435" s="109" t="n"/>
      <c r="E435" s="109" t="n"/>
      <c r="J435" s="109" t="n"/>
      <c r="K435" s="109" t="n"/>
      <c r="L435" s="109" t="n"/>
      <c r="N435" s="109" t="n"/>
      <c r="O435" s="109" t="n"/>
      <c r="P435" s="109" t="n"/>
      <c r="T435" s="109" t="n"/>
      <c r="U435" s="109" t="n"/>
      <c r="V435" s="109" t="n"/>
      <c r="Z435" s="109" t="n"/>
      <c r="AA435" s="109" t="n"/>
      <c r="AB435" s="109" t="n"/>
      <c r="AF435" s="109" t="n"/>
      <c r="AG435" s="109" t="n"/>
      <c r="AH435" s="109" t="n"/>
      <c r="AL435" s="109" t="n"/>
      <c r="AM435" s="109" t="n"/>
      <c r="AN435" s="109" t="n"/>
    </row>
    <row r="436" ht="15.75" customHeight="1" s="216">
      <c r="D436" s="109" t="n"/>
      <c r="E436" s="109" t="n"/>
      <c r="J436" s="109" t="n"/>
      <c r="K436" s="109" t="n"/>
      <c r="L436" s="109" t="n"/>
      <c r="N436" s="109" t="n"/>
      <c r="O436" s="109" t="n"/>
      <c r="P436" s="109" t="n"/>
      <c r="T436" s="109" t="n"/>
      <c r="U436" s="109" t="n"/>
      <c r="V436" s="109" t="n"/>
      <c r="Z436" s="109" t="n"/>
      <c r="AA436" s="109" t="n"/>
      <c r="AB436" s="109" t="n"/>
      <c r="AF436" s="109" t="n"/>
      <c r="AG436" s="109" t="n"/>
      <c r="AH436" s="109" t="n"/>
      <c r="AL436" s="109" t="n"/>
      <c r="AM436" s="109" t="n"/>
      <c r="AN436" s="109" t="n"/>
    </row>
    <row r="437" ht="15.75" customHeight="1" s="216">
      <c r="D437" s="109" t="n"/>
      <c r="E437" s="109" t="n"/>
      <c r="J437" s="109" t="n"/>
      <c r="K437" s="109" t="n"/>
      <c r="L437" s="109" t="n"/>
      <c r="N437" s="109" t="n"/>
      <c r="O437" s="109" t="n"/>
      <c r="P437" s="109" t="n"/>
      <c r="T437" s="109" t="n"/>
      <c r="U437" s="109" t="n"/>
      <c r="V437" s="109" t="n"/>
      <c r="Z437" s="109" t="n"/>
      <c r="AA437" s="109" t="n"/>
      <c r="AB437" s="109" t="n"/>
      <c r="AF437" s="109" t="n"/>
      <c r="AG437" s="109" t="n"/>
      <c r="AH437" s="109" t="n"/>
      <c r="AL437" s="109" t="n"/>
      <c r="AM437" s="109" t="n"/>
      <c r="AN437" s="109" t="n"/>
    </row>
    <row r="438" ht="15.75" customHeight="1" s="216">
      <c r="D438" s="109" t="n"/>
      <c r="E438" s="109" t="n"/>
      <c r="J438" s="109" t="n"/>
      <c r="K438" s="109" t="n"/>
      <c r="L438" s="109" t="n"/>
      <c r="N438" s="109" t="n"/>
      <c r="O438" s="109" t="n"/>
      <c r="P438" s="109" t="n"/>
      <c r="T438" s="109" t="n"/>
      <c r="U438" s="109" t="n"/>
      <c r="V438" s="109" t="n"/>
      <c r="Z438" s="109" t="n"/>
      <c r="AA438" s="109" t="n"/>
      <c r="AB438" s="109" t="n"/>
      <c r="AF438" s="109" t="n"/>
      <c r="AG438" s="109" t="n"/>
      <c r="AH438" s="109" t="n"/>
      <c r="AL438" s="109" t="n"/>
      <c r="AM438" s="109" t="n"/>
      <c r="AN438" s="109" t="n"/>
    </row>
    <row r="439" ht="15.75" customHeight="1" s="216">
      <c r="D439" s="109" t="n"/>
      <c r="E439" s="109" t="n"/>
      <c r="J439" s="109" t="n"/>
      <c r="K439" s="109" t="n"/>
      <c r="L439" s="109" t="n"/>
      <c r="N439" s="109" t="n"/>
      <c r="O439" s="109" t="n"/>
      <c r="P439" s="109" t="n"/>
      <c r="T439" s="109" t="n"/>
      <c r="U439" s="109" t="n"/>
      <c r="V439" s="109" t="n"/>
      <c r="Z439" s="109" t="n"/>
      <c r="AA439" s="109" t="n"/>
      <c r="AB439" s="109" t="n"/>
      <c r="AF439" s="109" t="n"/>
      <c r="AG439" s="109" t="n"/>
      <c r="AH439" s="109" t="n"/>
      <c r="AL439" s="109" t="n"/>
      <c r="AM439" s="109" t="n"/>
      <c r="AN439" s="109" t="n"/>
    </row>
    <row r="440" ht="15.75" customHeight="1" s="216">
      <c r="D440" s="109" t="n"/>
      <c r="E440" s="109" t="n"/>
      <c r="J440" s="109" t="n"/>
      <c r="K440" s="109" t="n"/>
      <c r="L440" s="109" t="n"/>
      <c r="N440" s="109" t="n"/>
      <c r="O440" s="109" t="n"/>
      <c r="P440" s="109" t="n"/>
      <c r="T440" s="109" t="n"/>
      <c r="U440" s="109" t="n"/>
      <c r="V440" s="109" t="n"/>
      <c r="Z440" s="109" t="n"/>
      <c r="AA440" s="109" t="n"/>
      <c r="AB440" s="109" t="n"/>
      <c r="AF440" s="109" t="n"/>
      <c r="AG440" s="109" t="n"/>
      <c r="AH440" s="109" t="n"/>
      <c r="AL440" s="109" t="n"/>
      <c r="AM440" s="109" t="n"/>
      <c r="AN440" s="109" t="n"/>
    </row>
    <row r="441" ht="15.75" customHeight="1" s="216">
      <c r="D441" s="109" t="n"/>
      <c r="E441" s="109" t="n"/>
      <c r="J441" s="109" t="n"/>
      <c r="K441" s="109" t="n"/>
      <c r="L441" s="109" t="n"/>
      <c r="N441" s="109" t="n"/>
      <c r="O441" s="109" t="n"/>
      <c r="P441" s="109" t="n"/>
      <c r="T441" s="109" t="n"/>
      <c r="U441" s="109" t="n"/>
      <c r="V441" s="109" t="n"/>
      <c r="Z441" s="109" t="n"/>
      <c r="AA441" s="109" t="n"/>
      <c r="AB441" s="109" t="n"/>
      <c r="AF441" s="109" t="n"/>
      <c r="AG441" s="109" t="n"/>
      <c r="AH441" s="109" t="n"/>
      <c r="AL441" s="109" t="n"/>
      <c r="AM441" s="109" t="n"/>
      <c r="AN441" s="109" t="n"/>
    </row>
    <row r="442" ht="15.75" customHeight="1" s="216">
      <c r="D442" s="109" t="n"/>
      <c r="E442" s="109" t="n"/>
      <c r="J442" s="109" t="n"/>
      <c r="K442" s="109" t="n"/>
      <c r="L442" s="109" t="n"/>
      <c r="N442" s="109" t="n"/>
      <c r="O442" s="109" t="n"/>
      <c r="P442" s="109" t="n"/>
      <c r="T442" s="109" t="n"/>
      <c r="U442" s="109" t="n"/>
      <c r="V442" s="109" t="n"/>
      <c r="Z442" s="109" t="n"/>
      <c r="AA442" s="109" t="n"/>
      <c r="AB442" s="109" t="n"/>
      <c r="AF442" s="109" t="n"/>
      <c r="AG442" s="109" t="n"/>
      <c r="AH442" s="109" t="n"/>
      <c r="AL442" s="109" t="n"/>
      <c r="AM442" s="109" t="n"/>
      <c r="AN442" s="109" t="n"/>
    </row>
    <row r="443" ht="15.75" customHeight="1" s="216">
      <c r="D443" s="109" t="n"/>
      <c r="E443" s="109" t="n"/>
      <c r="J443" s="109" t="n"/>
      <c r="K443" s="109" t="n"/>
      <c r="L443" s="109" t="n"/>
      <c r="N443" s="109" t="n"/>
      <c r="O443" s="109" t="n"/>
      <c r="P443" s="109" t="n"/>
      <c r="T443" s="109" t="n"/>
      <c r="U443" s="109" t="n"/>
      <c r="V443" s="109" t="n"/>
      <c r="Z443" s="109" t="n"/>
      <c r="AA443" s="109" t="n"/>
      <c r="AB443" s="109" t="n"/>
      <c r="AF443" s="109" t="n"/>
      <c r="AG443" s="109" t="n"/>
      <c r="AH443" s="109" t="n"/>
      <c r="AL443" s="109" t="n"/>
      <c r="AM443" s="109" t="n"/>
      <c r="AN443" s="109" t="n"/>
    </row>
    <row r="444" ht="15.75" customHeight="1" s="216">
      <c r="D444" s="109" t="n"/>
      <c r="E444" s="109" t="n"/>
      <c r="J444" s="109" t="n"/>
      <c r="K444" s="109" t="n"/>
      <c r="L444" s="109" t="n"/>
      <c r="N444" s="109" t="n"/>
      <c r="O444" s="109" t="n"/>
      <c r="P444" s="109" t="n"/>
      <c r="T444" s="109" t="n"/>
      <c r="U444" s="109" t="n"/>
      <c r="V444" s="109" t="n"/>
      <c r="Z444" s="109" t="n"/>
      <c r="AA444" s="109" t="n"/>
      <c r="AB444" s="109" t="n"/>
      <c r="AF444" s="109" t="n"/>
      <c r="AG444" s="109" t="n"/>
      <c r="AH444" s="109" t="n"/>
      <c r="AL444" s="109" t="n"/>
      <c r="AM444" s="109" t="n"/>
      <c r="AN444" s="109" t="n"/>
    </row>
    <row r="445" ht="15.75" customHeight="1" s="216">
      <c r="D445" s="109" t="n"/>
      <c r="E445" s="109" t="n"/>
      <c r="J445" s="109" t="n"/>
      <c r="K445" s="109" t="n"/>
      <c r="L445" s="109" t="n"/>
      <c r="N445" s="109" t="n"/>
      <c r="O445" s="109" t="n"/>
      <c r="P445" s="109" t="n"/>
      <c r="T445" s="109" t="n"/>
      <c r="U445" s="109" t="n"/>
      <c r="V445" s="109" t="n"/>
      <c r="Z445" s="109" t="n"/>
      <c r="AA445" s="109" t="n"/>
      <c r="AB445" s="109" t="n"/>
      <c r="AF445" s="109" t="n"/>
      <c r="AG445" s="109" t="n"/>
      <c r="AH445" s="109" t="n"/>
      <c r="AL445" s="109" t="n"/>
      <c r="AM445" s="109" t="n"/>
      <c r="AN445" s="109" t="n"/>
    </row>
    <row r="446" ht="15.75" customHeight="1" s="216">
      <c r="D446" s="109" t="n"/>
      <c r="E446" s="109" t="n"/>
      <c r="J446" s="109" t="n"/>
      <c r="K446" s="109" t="n"/>
      <c r="L446" s="109" t="n"/>
      <c r="N446" s="109" t="n"/>
      <c r="O446" s="109" t="n"/>
      <c r="P446" s="109" t="n"/>
      <c r="T446" s="109" t="n"/>
      <c r="U446" s="109" t="n"/>
      <c r="V446" s="109" t="n"/>
      <c r="Z446" s="109" t="n"/>
      <c r="AA446" s="109" t="n"/>
      <c r="AB446" s="109" t="n"/>
      <c r="AF446" s="109" t="n"/>
      <c r="AG446" s="109" t="n"/>
      <c r="AH446" s="109" t="n"/>
      <c r="AL446" s="109" t="n"/>
      <c r="AM446" s="109" t="n"/>
      <c r="AN446" s="109" t="n"/>
    </row>
    <row r="447" ht="15.75" customHeight="1" s="216">
      <c r="D447" s="109" t="n"/>
      <c r="E447" s="109" t="n"/>
      <c r="J447" s="109" t="n"/>
      <c r="K447" s="109" t="n"/>
      <c r="L447" s="109" t="n"/>
      <c r="N447" s="109" t="n"/>
      <c r="O447" s="109" t="n"/>
      <c r="P447" s="109" t="n"/>
      <c r="T447" s="109" t="n"/>
      <c r="U447" s="109" t="n"/>
      <c r="V447" s="109" t="n"/>
      <c r="Z447" s="109" t="n"/>
      <c r="AA447" s="109" t="n"/>
      <c r="AB447" s="109" t="n"/>
      <c r="AF447" s="109" t="n"/>
      <c r="AG447" s="109" t="n"/>
      <c r="AH447" s="109" t="n"/>
      <c r="AL447" s="109" t="n"/>
      <c r="AM447" s="109" t="n"/>
      <c r="AN447" s="109" t="n"/>
    </row>
    <row r="448" ht="15.75" customHeight="1" s="216">
      <c r="D448" s="109" t="n"/>
      <c r="E448" s="109" t="n"/>
      <c r="J448" s="109" t="n"/>
      <c r="K448" s="109" t="n"/>
      <c r="L448" s="109" t="n"/>
      <c r="N448" s="109" t="n"/>
      <c r="O448" s="109" t="n"/>
      <c r="P448" s="109" t="n"/>
      <c r="T448" s="109" t="n"/>
      <c r="U448" s="109" t="n"/>
      <c r="V448" s="109" t="n"/>
      <c r="Z448" s="109" t="n"/>
      <c r="AA448" s="109" t="n"/>
      <c r="AB448" s="109" t="n"/>
      <c r="AF448" s="109" t="n"/>
      <c r="AG448" s="109" t="n"/>
      <c r="AH448" s="109" t="n"/>
      <c r="AL448" s="109" t="n"/>
      <c r="AM448" s="109" t="n"/>
      <c r="AN448" s="109" t="n"/>
    </row>
    <row r="449" ht="15.75" customHeight="1" s="216">
      <c r="D449" s="109" t="n"/>
      <c r="E449" s="109" t="n"/>
      <c r="J449" s="109" t="n"/>
      <c r="K449" s="109" t="n"/>
      <c r="L449" s="109" t="n"/>
      <c r="N449" s="109" t="n"/>
      <c r="O449" s="109" t="n"/>
      <c r="P449" s="109" t="n"/>
      <c r="T449" s="109" t="n"/>
      <c r="U449" s="109" t="n"/>
      <c r="V449" s="109" t="n"/>
      <c r="Z449" s="109" t="n"/>
      <c r="AA449" s="109" t="n"/>
      <c r="AB449" s="109" t="n"/>
      <c r="AF449" s="109" t="n"/>
      <c r="AG449" s="109" t="n"/>
      <c r="AH449" s="109" t="n"/>
      <c r="AL449" s="109" t="n"/>
      <c r="AM449" s="109" t="n"/>
      <c r="AN449" s="109" t="n"/>
    </row>
    <row r="450" ht="15.75" customHeight="1" s="216">
      <c r="D450" s="109" t="n"/>
      <c r="E450" s="109" t="n"/>
      <c r="J450" s="109" t="n"/>
      <c r="K450" s="109" t="n"/>
      <c r="L450" s="109" t="n"/>
      <c r="N450" s="109" t="n"/>
      <c r="O450" s="109" t="n"/>
      <c r="P450" s="109" t="n"/>
      <c r="T450" s="109" t="n"/>
      <c r="U450" s="109" t="n"/>
      <c r="V450" s="109" t="n"/>
      <c r="Z450" s="109" t="n"/>
      <c r="AA450" s="109" t="n"/>
      <c r="AB450" s="109" t="n"/>
      <c r="AF450" s="109" t="n"/>
      <c r="AG450" s="109" t="n"/>
      <c r="AH450" s="109" t="n"/>
      <c r="AL450" s="109" t="n"/>
      <c r="AM450" s="109" t="n"/>
      <c r="AN450" s="109" t="n"/>
    </row>
    <row r="451" ht="15.75" customHeight="1" s="216">
      <c r="D451" s="109" t="n"/>
      <c r="E451" s="109" t="n"/>
      <c r="J451" s="109" t="n"/>
      <c r="K451" s="109" t="n"/>
      <c r="L451" s="109" t="n"/>
      <c r="N451" s="109" t="n"/>
      <c r="O451" s="109" t="n"/>
      <c r="P451" s="109" t="n"/>
      <c r="T451" s="109" t="n"/>
      <c r="U451" s="109" t="n"/>
      <c r="V451" s="109" t="n"/>
      <c r="Z451" s="109" t="n"/>
      <c r="AA451" s="109" t="n"/>
      <c r="AB451" s="109" t="n"/>
      <c r="AF451" s="109" t="n"/>
      <c r="AG451" s="109" t="n"/>
      <c r="AH451" s="109" t="n"/>
      <c r="AL451" s="109" t="n"/>
      <c r="AM451" s="109" t="n"/>
      <c r="AN451" s="109" t="n"/>
    </row>
    <row r="452" ht="15.75" customHeight="1" s="216">
      <c r="D452" s="109" t="n"/>
      <c r="E452" s="109" t="n"/>
      <c r="J452" s="109" t="n"/>
      <c r="K452" s="109" t="n"/>
      <c r="L452" s="109" t="n"/>
      <c r="N452" s="109" t="n"/>
      <c r="O452" s="109" t="n"/>
      <c r="P452" s="109" t="n"/>
      <c r="T452" s="109" t="n"/>
      <c r="U452" s="109" t="n"/>
      <c r="V452" s="109" t="n"/>
      <c r="Z452" s="109" t="n"/>
      <c r="AA452" s="109" t="n"/>
      <c r="AB452" s="109" t="n"/>
      <c r="AF452" s="109" t="n"/>
      <c r="AG452" s="109" t="n"/>
      <c r="AH452" s="109" t="n"/>
      <c r="AL452" s="109" t="n"/>
      <c r="AM452" s="109" t="n"/>
      <c r="AN452" s="109" t="n"/>
    </row>
    <row r="453" ht="15.75" customHeight="1" s="216">
      <c r="D453" s="109" t="n"/>
      <c r="E453" s="109" t="n"/>
      <c r="J453" s="109" t="n"/>
      <c r="K453" s="109" t="n"/>
      <c r="L453" s="109" t="n"/>
      <c r="N453" s="109" t="n"/>
      <c r="O453" s="109" t="n"/>
      <c r="P453" s="109" t="n"/>
      <c r="T453" s="109" t="n"/>
      <c r="U453" s="109" t="n"/>
      <c r="V453" s="109" t="n"/>
      <c r="Z453" s="109" t="n"/>
      <c r="AA453" s="109" t="n"/>
      <c r="AB453" s="109" t="n"/>
      <c r="AF453" s="109" t="n"/>
      <c r="AG453" s="109" t="n"/>
      <c r="AH453" s="109" t="n"/>
      <c r="AL453" s="109" t="n"/>
      <c r="AM453" s="109" t="n"/>
      <c r="AN453" s="109" t="n"/>
    </row>
    <row r="454" ht="15.75" customHeight="1" s="216">
      <c r="D454" s="109" t="n"/>
      <c r="E454" s="109" t="n"/>
      <c r="J454" s="109" t="n"/>
      <c r="K454" s="109" t="n"/>
      <c r="L454" s="109" t="n"/>
      <c r="N454" s="109" t="n"/>
      <c r="O454" s="109" t="n"/>
      <c r="P454" s="109" t="n"/>
      <c r="T454" s="109" t="n"/>
      <c r="U454" s="109" t="n"/>
      <c r="V454" s="109" t="n"/>
      <c r="Z454" s="109" t="n"/>
      <c r="AA454" s="109" t="n"/>
      <c r="AB454" s="109" t="n"/>
      <c r="AF454" s="109" t="n"/>
      <c r="AG454" s="109" t="n"/>
      <c r="AH454" s="109" t="n"/>
      <c r="AL454" s="109" t="n"/>
      <c r="AM454" s="109" t="n"/>
      <c r="AN454" s="109" t="n"/>
    </row>
    <row r="455" ht="15.75" customHeight="1" s="216">
      <c r="D455" s="109" t="n"/>
      <c r="E455" s="109" t="n"/>
      <c r="J455" s="109" t="n"/>
      <c r="K455" s="109" t="n"/>
      <c r="L455" s="109" t="n"/>
      <c r="N455" s="109" t="n"/>
      <c r="O455" s="109" t="n"/>
      <c r="P455" s="109" t="n"/>
      <c r="T455" s="109" t="n"/>
      <c r="U455" s="109" t="n"/>
      <c r="V455" s="109" t="n"/>
      <c r="Z455" s="109" t="n"/>
      <c r="AA455" s="109" t="n"/>
      <c r="AB455" s="109" t="n"/>
      <c r="AF455" s="109" t="n"/>
      <c r="AG455" s="109" t="n"/>
      <c r="AH455" s="109" t="n"/>
      <c r="AL455" s="109" t="n"/>
      <c r="AM455" s="109" t="n"/>
      <c r="AN455" s="109" t="n"/>
    </row>
    <row r="456" ht="15.75" customHeight="1" s="216">
      <c r="D456" s="109" t="n"/>
      <c r="E456" s="109" t="n"/>
      <c r="J456" s="109" t="n"/>
      <c r="K456" s="109" t="n"/>
      <c r="L456" s="109" t="n"/>
      <c r="N456" s="109" t="n"/>
      <c r="O456" s="109" t="n"/>
      <c r="P456" s="109" t="n"/>
      <c r="T456" s="109" t="n"/>
      <c r="U456" s="109" t="n"/>
      <c r="V456" s="109" t="n"/>
      <c r="Z456" s="109" t="n"/>
      <c r="AA456" s="109" t="n"/>
      <c r="AB456" s="109" t="n"/>
      <c r="AF456" s="109" t="n"/>
      <c r="AG456" s="109" t="n"/>
      <c r="AH456" s="109" t="n"/>
      <c r="AL456" s="109" t="n"/>
      <c r="AM456" s="109" t="n"/>
      <c r="AN456" s="109" t="n"/>
    </row>
    <row r="457" ht="15.75" customHeight="1" s="216">
      <c r="D457" s="109" t="n"/>
      <c r="E457" s="109" t="n"/>
      <c r="J457" s="109" t="n"/>
      <c r="K457" s="109" t="n"/>
      <c r="L457" s="109" t="n"/>
      <c r="N457" s="109" t="n"/>
      <c r="O457" s="109" t="n"/>
      <c r="P457" s="109" t="n"/>
      <c r="T457" s="109" t="n"/>
      <c r="U457" s="109" t="n"/>
      <c r="V457" s="109" t="n"/>
      <c r="Z457" s="109" t="n"/>
      <c r="AA457" s="109" t="n"/>
      <c r="AB457" s="109" t="n"/>
      <c r="AF457" s="109" t="n"/>
      <c r="AG457" s="109" t="n"/>
      <c r="AH457" s="109" t="n"/>
      <c r="AL457" s="109" t="n"/>
      <c r="AM457" s="109" t="n"/>
      <c r="AN457" s="109" t="n"/>
    </row>
    <row r="458" ht="15.75" customHeight="1" s="216">
      <c r="D458" s="109" t="n"/>
      <c r="E458" s="109" t="n"/>
      <c r="J458" s="109" t="n"/>
      <c r="K458" s="109" t="n"/>
      <c r="L458" s="109" t="n"/>
      <c r="N458" s="109" t="n"/>
      <c r="O458" s="109" t="n"/>
      <c r="P458" s="109" t="n"/>
      <c r="T458" s="109" t="n"/>
      <c r="U458" s="109" t="n"/>
      <c r="V458" s="109" t="n"/>
      <c r="Z458" s="109" t="n"/>
      <c r="AA458" s="109" t="n"/>
      <c r="AB458" s="109" t="n"/>
      <c r="AF458" s="109" t="n"/>
      <c r="AG458" s="109" t="n"/>
      <c r="AH458" s="109" t="n"/>
      <c r="AL458" s="109" t="n"/>
      <c r="AM458" s="109" t="n"/>
      <c r="AN458" s="109" t="n"/>
    </row>
    <row r="459" ht="15.75" customHeight="1" s="216">
      <c r="D459" s="109" t="n"/>
      <c r="E459" s="109" t="n"/>
      <c r="J459" s="109" t="n"/>
      <c r="K459" s="109" t="n"/>
      <c r="L459" s="109" t="n"/>
      <c r="N459" s="109" t="n"/>
      <c r="O459" s="109" t="n"/>
      <c r="P459" s="109" t="n"/>
      <c r="T459" s="109" t="n"/>
      <c r="U459" s="109" t="n"/>
      <c r="V459" s="109" t="n"/>
      <c r="Z459" s="109" t="n"/>
      <c r="AA459" s="109" t="n"/>
      <c r="AB459" s="109" t="n"/>
      <c r="AF459" s="109" t="n"/>
      <c r="AG459" s="109" t="n"/>
      <c r="AH459" s="109" t="n"/>
      <c r="AL459" s="109" t="n"/>
      <c r="AM459" s="109" t="n"/>
      <c r="AN459" s="109" t="n"/>
    </row>
    <row r="460" ht="15.75" customHeight="1" s="216">
      <c r="D460" s="109" t="n"/>
      <c r="E460" s="109" t="n"/>
      <c r="J460" s="109" t="n"/>
      <c r="K460" s="109" t="n"/>
      <c r="L460" s="109" t="n"/>
      <c r="N460" s="109" t="n"/>
      <c r="O460" s="109" t="n"/>
      <c r="P460" s="109" t="n"/>
      <c r="T460" s="109" t="n"/>
      <c r="U460" s="109" t="n"/>
      <c r="V460" s="109" t="n"/>
      <c r="Z460" s="109" t="n"/>
      <c r="AA460" s="109" t="n"/>
      <c r="AB460" s="109" t="n"/>
      <c r="AF460" s="109" t="n"/>
      <c r="AG460" s="109" t="n"/>
      <c r="AH460" s="109" t="n"/>
      <c r="AL460" s="109" t="n"/>
      <c r="AM460" s="109" t="n"/>
      <c r="AN460" s="109" t="n"/>
    </row>
    <row r="461" ht="15.75" customHeight="1" s="216">
      <c r="D461" s="109" t="n"/>
      <c r="E461" s="109" t="n"/>
      <c r="J461" s="109" t="n"/>
      <c r="K461" s="109" t="n"/>
      <c r="L461" s="109" t="n"/>
      <c r="N461" s="109" t="n"/>
      <c r="O461" s="109" t="n"/>
      <c r="P461" s="109" t="n"/>
      <c r="T461" s="109" t="n"/>
      <c r="U461" s="109" t="n"/>
      <c r="V461" s="109" t="n"/>
      <c r="Z461" s="109" t="n"/>
      <c r="AA461" s="109" t="n"/>
      <c r="AB461" s="109" t="n"/>
      <c r="AF461" s="109" t="n"/>
      <c r="AG461" s="109" t="n"/>
      <c r="AH461" s="109" t="n"/>
      <c r="AL461" s="109" t="n"/>
      <c r="AM461" s="109" t="n"/>
      <c r="AN461" s="109" t="n"/>
    </row>
    <row r="462" ht="15.75" customHeight="1" s="216">
      <c r="D462" s="109" t="n"/>
      <c r="E462" s="109" t="n"/>
      <c r="J462" s="109" t="n"/>
      <c r="K462" s="109" t="n"/>
      <c r="L462" s="109" t="n"/>
      <c r="N462" s="109" t="n"/>
      <c r="O462" s="109" t="n"/>
      <c r="P462" s="109" t="n"/>
      <c r="T462" s="109" t="n"/>
      <c r="U462" s="109" t="n"/>
      <c r="V462" s="109" t="n"/>
      <c r="Z462" s="109" t="n"/>
      <c r="AA462" s="109" t="n"/>
      <c r="AB462" s="109" t="n"/>
      <c r="AF462" s="109" t="n"/>
      <c r="AG462" s="109" t="n"/>
      <c r="AH462" s="109" t="n"/>
      <c r="AL462" s="109" t="n"/>
      <c r="AM462" s="109" t="n"/>
      <c r="AN462" s="109" t="n"/>
    </row>
    <row r="463" ht="15.75" customHeight="1" s="216">
      <c r="D463" s="109" t="n"/>
      <c r="E463" s="109" t="n"/>
      <c r="J463" s="109" t="n"/>
      <c r="K463" s="109" t="n"/>
      <c r="L463" s="109" t="n"/>
      <c r="N463" s="109" t="n"/>
      <c r="O463" s="109" t="n"/>
      <c r="P463" s="109" t="n"/>
      <c r="T463" s="109" t="n"/>
      <c r="U463" s="109" t="n"/>
      <c r="V463" s="109" t="n"/>
      <c r="Z463" s="109" t="n"/>
      <c r="AA463" s="109" t="n"/>
      <c r="AB463" s="109" t="n"/>
      <c r="AF463" s="109" t="n"/>
      <c r="AG463" s="109" t="n"/>
      <c r="AH463" s="109" t="n"/>
      <c r="AL463" s="109" t="n"/>
      <c r="AM463" s="109" t="n"/>
      <c r="AN463" s="109" t="n"/>
    </row>
    <row r="464" ht="15.75" customHeight="1" s="216">
      <c r="D464" s="109" t="n"/>
      <c r="E464" s="109" t="n"/>
      <c r="J464" s="109" t="n"/>
      <c r="K464" s="109" t="n"/>
      <c r="L464" s="109" t="n"/>
      <c r="N464" s="109" t="n"/>
      <c r="O464" s="109" t="n"/>
      <c r="P464" s="109" t="n"/>
      <c r="T464" s="109" t="n"/>
      <c r="U464" s="109" t="n"/>
      <c r="V464" s="109" t="n"/>
      <c r="Z464" s="109" t="n"/>
      <c r="AA464" s="109" t="n"/>
      <c r="AB464" s="109" t="n"/>
      <c r="AF464" s="109" t="n"/>
      <c r="AG464" s="109" t="n"/>
      <c r="AH464" s="109" t="n"/>
      <c r="AL464" s="109" t="n"/>
      <c r="AM464" s="109" t="n"/>
      <c r="AN464" s="109" t="n"/>
    </row>
    <row r="465" ht="15.75" customHeight="1" s="216">
      <c r="D465" s="109" t="n"/>
      <c r="E465" s="109" t="n"/>
      <c r="J465" s="109" t="n"/>
      <c r="K465" s="109" t="n"/>
      <c r="L465" s="109" t="n"/>
      <c r="N465" s="109" t="n"/>
      <c r="O465" s="109" t="n"/>
      <c r="P465" s="109" t="n"/>
      <c r="T465" s="109" t="n"/>
      <c r="U465" s="109" t="n"/>
      <c r="V465" s="109" t="n"/>
      <c r="Z465" s="109" t="n"/>
      <c r="AA465" s="109" t="n"/>
      <c r="AB465" s="109" t="n"/>
      <c r="AF465" s="109" t="n"/>
      <c r="AG465" s="109" t="n"/>
      <c r="AH465" s="109" t="n"/>
      <c r="AL465" s="109" t="n"/>
      <c r="AM465" s="109" t="n"/>
      <c r="AN465" s="109" t="n"/>
    </row>
    <row r="466" ht="15.75" customHeight="1" s="216">
      <c r="D466" s="109" t="n"/>
      <c r="E466" s="109" t="n"/>
      <c r="J466" s="109" t="n"/>
      <c r="K466" s="109" t="n"/>
      <c r="L466" s="109" t="n"/>
      <c r="N466" s="109" t="n"/>
      <c r="O466" s="109" t="n"/>
      <c r="P466" s="109" t="n"/>
      <c r="T466" s="109" t="n"/>
      <c r="U466" s="109" t="n"/>
      <c r="V466" s="109" t="n"/>
      <c r="Z466" s="109" t="n"/>
      <c r="AA466" s="109" t="n"/>
      <c r="AB466" s="109" t="n"/>
      <c r="AF466" s="109" t="n"/>
      <c r="AG466" s="109" t="n"/>
      <c r="AH466" s="109" t="n"/>
      <c r="AL466" s="109" t="n"/>
      <c r="AM466" s="109" t="n"/>
      <c r="AN466" s="109" t="n"/>
    </row>
    <row r="467" ht="15.75" customHeight="1" s="216">
      <c r="D467" s="109" t="n"/>
      <c r="E467" s="109" t="n"/>
      <c r="J467" s="109" t="n"/>
      <c r="K467" s="109" t="n"/>
      <c r="L467" s="109" t="n"/>
      <c r="N467" s="109" t="n"/>
      <c r="O467" s="109" t="n"/>
      <c r="P467" s="109" t="n"/>
      <c r="T467" s="109" t="n"/>
      <c r="U467" s="109" t="n"/>
      <c r="V467" s="109" t="n"/>
      <c r="Z467" s="109" t="n"/>
      <c r="AA467" s="109" t="n"/>
      <c r="AB467" s="109" t="n"/>
      <c r="AF467" s="109" t="n"/>
      <c r="AG467" s="109" t="n"/>
      <c r="AH467" s="109" t="n"/>
      <c r="AL467" s="109" t="n"/>
      <c r="AM467" s="109" t="n"/>
      <c r="AN467" s="109" t="n"/>
    </row>
    <row r="468" ht="15.75" customHeight="1" s="216">
      <c r="D468" s="109" t="n"/>
      <c r="E468" s="109" t="n"/>
      <c r="J468" s="109" t="n"/>
      <c r="K468" s="109" t="n"/>
      <c r="L468" s="109" t="n"/>
      <c r="N468" s="109" t="n"/>
      <c r="O468" s="109" t="n"/>
      <c r="P468" s="109" t="n"/>
      <c r="T468" s="109" t="n"/>
      <c r="U468" s="109" t="n"/>
      <c r="V468" s="109" t="n"/>
      <c r="Z468" s="109" t="n"/>
      <c r="AA468" s="109" t="n"/>
      <c r="AB468" s="109" t="n"/>
      <c r="AF468" s="109" t="n"/>
      <c r="AG468" s="109" t="n"/>
      <c r="AH468" s="109" t="n"/>
      <c r="AL468" s="109" t="n"/>
      <c r="AM468" s="109" t="n"/>
      <c r="AN468" s="109" t="n"/>
    </row>
    <row r="469" ht="15.75" customHeight="1" s="216">
      <c r="D469" s="109" t="n"/>
      <c r="E469" s="109" t="n"/>
      <c r="J469" s="109" t="n"/>
      <c r="K469" s="109" t="n"/>
      <c r="L469" s="109" t="n"/>
      <c r="N469" s="109" t="n"/>
      <c r="O469" s="109" t="n"/>
      <c r="P469" s="109" t="n"/>
      <c r="T469" s="109" t="n"/>
      <c r="U469" s="109" t="n"/>
      <c r="V469" s="109" t="n"/>
      <c r="Z469" s="109" t="n"/>
      <c r="AA469" s="109" t="n"/>
      <c r="AB469" s="109" t="n"/>
      <c r="AF469" s="109" t="n"/>
      <c r="AG469" s="109" t="n"/>
      <c r="AH469" s="109" t="n"/>
      <c r="AL469" s="109" t="n"/>
      <c r="AM469" s="109" t="n"/>
      <c r="AN469" s="109" t="n"/>
    </row>
    <row r="470" ht="15.75" customHeight="1" s="216">
      <c r="D470" s="109" t="n"/>
      <c r="E470" s="109" t="n"/>
      <c r="J470" s="109" t="n"/>
      <c r="K470" s="109" t="n"/>
      <c r="L470" s="109" t="n"/>
      <c r="N470" s="109" t="n"/>
      <c r="O470" s="109" t="n"/>
      <c r="P470" s="109" t="n"/>
      <c r="T470" s="109" t="n"/>
      <c r="U470" s="109" t="n"/>
      <c r="V470" s="109" t="n"/>
      <c r="Z470" s="109" t="n"/>
      <c r="AA470" s="109" t="n"/>
      <c r="AB470" s="109" t="n"/>
      <c r="AF470" s="109" t="n"/>
      <c r="AG470" s="109" t="n"/>
      <c r="AH470" s="109" t="n"/>
      <c r="AL470" s="109" t="n"/>
      <c r="AM470" s="109" t="n"/>
      <c r="AN470" s="109" t="n"/>
    </row>
    <row r="471" ht="15.75" customHeight="1" s="216">
      <c r="D471" s="109" t="n"/>
      <c r="E471" s="109" t="n"/>
      <c r="J471" s="109" t="n"/>
      <c r="K471" s="109" t="n"/>
      <c r="L471" s="109" t="n"/>
      <c r="N471" s="109" t="n"/>
      <c r="O471" s="109" t="n"/>
      <c r="P471" s="109" t="n"/>
      <c r="T471" s="109" t="n"/>
      <c r="U471" s="109" t="n"/>
      <c r="V471" s="109" t="n"/>
      <c r="Z471" s="109" t="n"/>
      <c r="AA471" s="109" t="n"/>
      <c r="AB471" s="109" t="n"/>
      <c r="AF471" s="109" t="n"/>
      <c r="AG471" s="109" t="n"/>
      <c r="AH471" s="109" t="n"/>
      <c r="AL471" s="109" t="n"/>
      <c r="AM471" s="109" t="n"/>
      <c r="AN471" s="109" t="n"/>
    </row>
    <row r="472" ht="15.75" customHeight="1" s="216">
      <c r="D472" s="109" t="n"/>
      <c r="E472" s="109" t="n"/>
      <c r="J472" s="109" t="n"/>
      <c r="K472" s="109" t="n"/>
      <c r="L472" s="109" t="n"/>
      <c r="N472" s="109" t="n"/>
      <c r="O472" s="109" t="n"/>
      <c r="P472" s="109" t="n"/>
      <c r="T472" s="109" t="n"/>
      <c r="U472" s="109" t="n"/>
      <c r="V472" s="109" t="n"/>
      <c r="Z472" s="109" t="n"/>
      <c r="AA472" s="109" t="n"/>
      <c r="AB472" s="109" t="n"/>
      <c r="AF472" s="109" t="n"/>
      <c r="AG472" s="109" t="n"/>
      <c r="AH472" s="109" t="n"/>
      <c r="AL472" s="109" t="n"/>
      <c r="AM472" s="109" t="n"/>
      <c r="AN472" s="109" t="n"/>
    </row>
    <row r="473" ht="15.75" customHeight="1" s="216">
      <c r="D473" s="109" t="n"/>
      <c r="E473" s="109" t="n"/>
      <c r="J473" s="109" t="n"/>
      <c r="K473" s="109" t="n"/>
      <c r="L473" s="109" t="n"/>
      <c r="N473" s="109" t="n"/>
      <c r="O473" s="109" t="n"/>
      <c r="P473" s="109" t="n"/>
      <c r="T473" s="109" t="n"/>
      <c r="U473" s="109" t="n"/>
      <c r="V473" s="109" t="n"/>
      <c r="Z473" s="109" t="n"/>
      <c r="AA473" s="109" t="n"/>
      <c r="AB473" s="109" t="n"/>
      <c r="AF473" s="109" t="n"/>
      <c r="AG473" s="109" t="n"/>
      <c r="AH473" s="109" t="n"/>
      <c r="AL473" s="109" t="n"/>
      <c r="AM473" s="109" t="n"/>
      <c r="AN473" s="109" t="n"/>
    </row>
    <row r="474" ht="15.75" customHeight="1" s="216">
      <c r="D474" s="109" t="n"/>
      <c r="E474" s="109" t="n"/>
      <c r="J474" s="109" t="n"/>
      <c r="K474" s="109" t="n"/>
      <c r="L474" s="109" t="n"/>
      <c r="N474" s="109" t="n"/>
      <c r="O474" s="109" t="n"/>
      <c r="P474" s="109" t="n"/>
      <c r="T474" s="109" t="n"/>
      <c r="U474" s="109" t="n"/>
      <c r="V474" s="109" t="n"/>
      <c r="Z474" s="109" t="n"/>
      <c r="AA474" s="109" t="n"/>
      <c r="AB474" s="109" t="n"/>
      <c r="AF474" s="109" t="n"/>
      <c r="AG474" s="109" t="n"/>
      <c r="AH474" s="109" t="n"/>
      <c r="AL474" s="109" t="n"/>
      <c r="AM474" s="109" t="n"/>
      <c r="AN474" s="109" t="n"/>
    </row>
    <row r="475" ht="15.75" customHeight="1" s="216">
      <c r="D475" s="109" t="n"/>
      <c r="E475" s="109" t="n"/>
      <c r="J475" s="109" t="n"/>
      <c r="K475" s="109" t="n"/>
      <c r="L475" s="109" t="n"/>
      <c r="N475" s="109" t="n"/>
      <c r="O475" s="109" t="n"/>
      <c r="P475" s="109" t="n"/>
      <c r="T475" s="109" t="n"/>
      <c r="U475" s="109" t="n"/>
      <c r="V475" s="109" t="n"/>
      <c r="Z475" s="109" t="n"/>
      <c r="AA475" s="109" t="n"/>
      <c r="AB475" s="109" t="n"/>
      <c r="AF475" s="109" t="n"/>
      <c r="AG475" s="109" t="n"/>
      <c r="AH475" s="109" t="n"/>
      <c r="AL475" s="109" t="n"/>
      <c r="AM475" s="109" t="n"/>
      <c r="AN475" s="109" t="n"/>
    </row>
    <row r="476" ht="15.75" customHeight="1" s="216">
      <c r="D476" s="109" t="n"/>
      <c r="E476" s="109" t="n"/>
      <c r="J476" s="109" t="n"/>
      <c r="K476" s="109" t="n"/>
      <c r="L476" s="109" t="n"/>
      <c r="N476" s="109" t="n"/>
      <c r="O476" s="109" t="n"/>
      <c r="P476" s="109" t="n"/>
      <c r="T476" s="109" t="n"/>
      <c r="U476" s="109" t="n"/>
      <c r="V476" s="109" t="n"/>
      <c r="Z476" s="109" t="n"/>
      <c r="AA476" s="109" t="n"/>
      <c r="AB476" s="109" t="n"/>
      <c r="AF476" s="109" t="n"/>
      <c r="AG476" s="109" t="n"/>
      <c r="AH476" s="109" t="n"/>
      <c r="AL476" s="109" t="n"/>
      <c r="AM476" s="109" t="n"/>
      <c r="AN476" s="109" t="n"/>
    </row>
    <row r="477" ht="15.75" customHeight="1" s="216">
      <c r="D477" s="109" t="n"/>
      <c r="E477" s="109" t="n"/>
      <c r="J477" s="109" t="n"/>
      <c r="K477" s="109" t="n"/>
      <c r="L477" s="109" t="n"/>
      <c r="N477" s="109" t="n"/>
      <c r="O477" s="109" t="n"/>
      <c r="P477" s="109" t="n"/>
      <c r="T477" s="109" t="n"/>
      <c r="U477" s="109" t="n"/>
      <c r="V477" s="109" t="n"/>
      <c r="Z477" s="109" t="n"/>
      <c r="AA477" s="109" t="n"/>
      <c r="AB477" s="109" t="n"/>
      <c r="AF477" s="109" t="n"/>
      <c r="AG477" s="109" t="n"/>
      <c r="AH477" s="109" t="n"/>
      <c r="AL477" s="109" t="n"/>
      <c r="AM477" s="109" t="n"/>
      <c r="AN477" s="109" t="n"/>
    </row>
    <row r="478" ht="15.75" customHeight="1" s="216">
      <c r="D478" s="109" t="n"/>
      <c r="E478" s="109" t="n"/>
      <c r="J478" s="109" t="n"/>
      <c r="K478" s="109" t="n"/>
      <c r="L478" s="109" t="n"/>
      <c r="N478" s="109" t="n"/>
      <c r="O478" s="109" t="n"/>
      <c r="P478" s="109" t="n"/>
      <c r="T478" s="109" t="n"/>
      <c r="U478" s="109" t="n"/>
      <c r="V478" s="109" t="n"/>
      <c r="Z478" s="109" t="n"/>
      <c r="AA478" s="109" t="n"/>
      <c r="AB478" s="109" t="n"/>
      <c r="AF478" s="109" t="n"/>
      <c r="AG478" s="109" t="n"/>
      <c r="AH478" s="109" t="n"/>
      <c r="AL478" s="109" t="n"/>
      <c r="AM478" s="109" t="n"/>
      <c r="AN478" s="109" t="n"/>
    </row>
    <row r="479" ht="15.75" customHeight="1" s="216">
      <c r="D479" s="109" t="n"/>
      <c r="E479" s="109" t="n"/>
      <c r="J479" s="109" t="n"/>
      <c r="K479" s="109" t="n"/>
      <c r="L479" s="109" t="n"/>
      <c r="N479" s="109" t="n"/>
      <c r="O479" s="109" t="n"/>
      <c r="P479" s="109" t="n"/>
      <c r="T479" s="109" t="n"/>
      <c r="U479" s="109" t="n"/>
      <c r="V479" s="109" t="n"/>
      <c r="Z479" s="109" t="n"/>
      <c r="AA479" s="109" t="n"/>
      <c r="AB479" s="109" t="n"/>
      <c r="AF479" s="109" t="n"/>
      <c r="AG479" s="109" t="n"/>
      <c r="AH479" s="109" t="n"/>
      <c r="AL479" s="109" t="n"/>
      <c r="AM479" s="109" t="n"/>
      <c r="AN479" s="109" t="n"/>
    </row>
    <row r="480" ht="15.75" customHeight="1" s="216">
      <c r="D480" s="109" t="n"/>
      <c r="E480" s="109" t="n"/>
      <c r="J480" s="109" t="n"/>
      <c r="K480" s="109" t="n"/>
      <c r="L480" s="109" t="n"/>
      <c r="N480" s="109" t="n"/>
      <c r="O480" s="109" t="n"/>
      <c r="P480" s="109" t="n"/>
      <c r="T480" s="109" t="n"/>
      <c r="U480" s="109" t="n"/>
      <c r="V480" s="109" t="n"/>
      <c r="Z480" s="109" t="n"/>
      <c r="AA480" s="109" t="n"/>
      <c r="AB480" s="109" t="n"/>
      <c r="AF480" s="109" t="n"/>
      <c r="AG480" s="109" t="n"/>
      <c r="AH480" s="109" t="n"/>
      <c r="AL480" s="109" t="n"/>
      <c r="AM480" s="109" t="n"/>
      <c r="AN480" s="109" t="n"/>
    </row>
    <row r="481" ht="15.75" customHeight="1" s="216">
      <c r="D481" s="109" t="n"/>
      <c r="E481" s="109" t="n"/>
      <c r="J481" s="109" t="n"/>
      <c r="K481" s="109" t="n"/>
      <c r="L481" s="109" t="n"/>
      <c r="N481" s="109" t="n"/>
      <c r="O481" s="109" t="n"/>
      <c r="P481" s="109" t="n"/>
      <c r="T481" s="109" t="n"/>
      <c r="U481" s="109" t="n"/>
      <c r="V481" s="109" t="n"/>
      <c r="Z481" s="109" t="n"/>
      <c r="AA481" s="109" t="n"/>
      <c r="AB481" s="109" t="n"/>
      <c r="AF481" s="109" t="n"/>
      <c r="AG481" s="109" t="n"/>
      <c r="AH481" s="109" t="n"/>
      <c r="AL481" s="109" t="n"/>
      <c r="AM481" s="109" t="n"/>
      <c r="AN481" s="109" t="n"/>
    </row>
    <row r="482" ht="15.75" customHeight="1" s="216">
      <c r="D482" s="109" t="n"/>
      <c r="E482" s="109" t="n"/>
      <c r="J482" s="109" t="n"/>
      <c r="K482" s="109" t="n"/>
      <c r="L482" s="109" t="n"/>
      <c r="N482" s="109" t="n"/>
      <c r="O482" s="109" t="n"/>
      <c r="P482" s="109" t="n"/>
      <c r="T482" s="109" t="n"/>
      <c r="U482" s="109" t="n"/>
      <c r="V482" s="109" t="n"/>
      <c r="Z482" s="109" t="n"/>
      <c r="AA482" s="109" t="n"/>
      <c r="AB482" s="109" t="n"/>
      <c r="AF482" s="109" t="n"/>
      <c r="AG482" s="109" t="n"/>
      <c r="AH482" s="109" t="n"/>
      <c r="AL482" s="109" t="n"/>
      <c r="AM482" s="109" t="n"/>
      <c r="AN482" s="109" t="n"/>
    </row>
    <row r="483" ht="15.75" customHeight="1" s="216">
      <c r="D483" s="109" t="n"/>
      <c r="E483" s="109" t="n"/>
      <c r="J483" s="109" t="n"/>
      <c r="K483" s="109" t="n"/>
      <c r="L483" s="109" t="n"/>
      <c r="N483" s="109" t="n"/>
      <c r="O483" s="109" t="n"/>
      <c r="P483" s="109" t="n"/>
      <c r="T483" s="109" t="n"/>
      <c r="U483" s="109" t="n"/>
      <c r="V483" s="109" t="n"/>
      <c r="Z483" s="109" t="n"/>
      <c r="AA483" s="109" t="n"/>
      <c r="AB483" s="109" t="n"/>
      <c r="AF483" s="109" t="n"/>
      <c r="AG483" s="109" t="n"/>
      <c r="AH483" s="109" t="n"/>
      <c r="AL483" s="109" t="n"/>
      <c r="AM483" s="109" t="n"/>
      <c r="AN483" s="109" t="n"/>
    </row>
    <row r="484" ht="15.75" customHeight="1" s="216">
      <c r="D484" s="109" t="n"/>
      <c r="E484" s="109" t="n"/>
      <c r="J484" s="109" t="n"/>
      <c r="K484" s="109" t="n"/>
      <c r="L484" s="109" t="n"/>
      <c r="N484" s="109" t="n"/>
      <c r="O484" s="109" t="n"/>
      <c r="P484" s="109" t="n"/>
      <c r="T484" s="109" t="n"/>
      <c r="U484" s="109" t="n"/>
      <c r="V484" s="109" t="n"/>
      <c r="Z484" s="109" t="n"/>
      <c r="AA484" s="109" t="n"/>
      <c r="AB484" s="109" t="n"/>
      <c r="AF484" s="109" t="n"/>
      <c r="AG484" s="109" t="n"/>
      <c r="AH484" s="109" t="n"/>
      <c r="AL484" s="109" t="n"/>
      <c r="AM484" s="109" t="n"/>
      <c r="AN484" s="109" t="n"/>
    </row>
    <row r="485" ht="15.75" customHeight="1" s="216">
      <c r="D485" s="109" t="n"/>
      <c r="E485" s="109" t="n"/>
      <c r="J485" s="109" t="n"/>
      <c r="K485" s="109" t="n"/>
      <c r="L485" s="109" t="n"/>
      <c r="N485" s="109" t="n"/>
      <c r="O485" s="109" t="n"/>
      <c r="P485" s="109" t="n"/>
      <c r="T485" s="109" t="n"/>
      <c r="U485" s="109" t="n"/>
      <c r="V485" s="109" t="n"/>
      <c r="Z485" s="109" t="n"/>
      <c r="AA485" s="109" t="n"/>
      <c r="AB485" s="109" t="n"/>
      <c r="AF485" s="109" t="n"/>
      <c r="AG485" s="109" t="n"/>
      <c r="AH485" s="109" t="n"/>
      <c r="AL485" s="109" t="n"/>
      <c r="AM485" s="109" t="n"/>
      <c r="AN485" s="109" t="n"/>
    </row>
    <row r="486" ht="15.75" customHeight="1" s="216">
      <c r="D486" s="109" t="n"/>
      <c r="E486" s="109" t="n"/>
      <c r="J486" s="109" t="n"/>
      <c r="K486" s="109" t="n"/>
      <c r="L486" s="109" t="n"/>
      <c r="N486" s="109" t="n"/>
      <c r="O486" s="109" t="n"/>
      <c r="P486" s="109" t="n"/>
      <c r="T486" s="109" t="n"/>
      <c r="U486" s="109" t="n"/>
      <c r="V486" s="109" t="n"/>
      <c r="Z486" s="109" t="n"/>
      <c r="AA486" s="109" t="n"/>
      <c r="AB486" s="109" t="n"/>
      <c r="AF486" s="109" t="n"/>
      <c r="AG486" s="109" t="n"/>
      <c r="AH486" s="109" t="n"/>
      <c r="AL486" s="109" t="n"/>
      <c r="AM486" s="109" t="n"/>
      <c r="AN486" s="109" t="n"/>
    </row>
    <row r="487" ht="15.75" customHeight="1" s="216">
      <c r="D487" s="109" t="n"/>
      <c r="E487" s="109" t="n"/>
      <c r="J487" s="109" t="n"/>
      <c r="K487" s="109" t="n"/>
      <c r="L487" s="109" t="n"/>
      <c r="N487" s="109" t="n"/>
      <c r="O487" s="109" t="n"/>
      <c r="P487" s="109" t="n"/>
      <c r="T487" s="109" t="n"/>
      <c r="U487" s="109" t="n"/>
      <c r="V487" s="109" t="n"/>
      <c r="Z487" s="109" t="n"/>
      <c r="AA487" s="109" t="n"/>
      <c r="AB487" s="109" t="n"/>
      <c r="AF487" s="109" t="n"/>
      <c r="AG487" s="109" t="n"/>
      <c r="AH487" s="109" t="n"/>
      <c r="AL487" s="109" t="n"/>
      <c r="AM487" s="109" t="n"/>
      <c r="AN487" s="109" t="n"/>
    </row>
    <row r="488" ht="15.75" customHeight="1" s="216">
      <c r="D488" s="109" t="n"/>
      <c r="E488" s="109" t="n"/>
      <c r="J488" s="109" t="n"/>
      <c r="K488" s="109" t="n"/>
      <c r="L488" s="109" t="n"/>
      <c r="N488" s="109" t="n"/>
      <c r="O488" s="109" t="n"/>
      <c r="P488" s="109" t="n"/>
      <c r="T488" s="109" t="n"/>
      <c r="U488" s="109" t="n"/>
      <c r="V488" s="109" t="n"/>
      <c r="Z488" s="109" t="n"/>
      <c r="AA488" s="109" t="n"/>
      <c r="AB488" s="109" t="n"/>
      <c r="AF488" s="109" t="n"/>
      <c r="AG488" s="109" t="n"/>
      <c r="AH488" s="109" t="n"/>
      <c r="AL488" s="109" t="n"/>
      <c r="AM488" s="109" t="n"/>
      <c r="AN488" s="109" t="n"/>
    </row>
    <row r="489" ht="15.75" customHeight="1" s="216">
      <c r="D489" s="109" t="n"/>
      <c r="E489" s="109" t="n"/>
      <c r="J489" s="109" t="n"/>
      <c r="K489" s="109" t="n"/>
      <c r="L489" s="109" t="n"/>
      <c r="N489" s="109" t="n"/>
      <c r="O489" s="109" t="n"/>
      <c r="P489" s="109" t="n"/>
      <c r="T489" s="109" t="n"/>
      <c r="U489" s="109" t="n"/>
      <c r="V489" s="109" t="n"/>
      <c r="Z489" s="109" t="n"/>
      <c r="AA489" s="109" t="n"/>
      <c r="AB489" s="109" t="n"/>
      <c r="AF489" s="109" t="n"/>
      <c r="AG489" s="109" t="n"/>
      <c r="AH489" s="109" t="n"/>
      <c r="AL489" s="109" t="n"/>
      <c r="AM489" s="109" t="n"/>
      <c r="AN489" s="109" t="n"/>
    </row>
    <row r="490" ht="15.75" customHeight="1" s="216">
      <c r="D490" s="109" t="n"/>
      <c r="E490" s="109" t="n"/>
      <c r="J490" s="109" t="n"/>
      <c r="K490" s="109" t="n"/>
      <c r="L490" s="109" t="n"/>
      <c r="N490" s="109" t="n"/>
      <c r="O490" s="109" t="n"/>
      <c r="P490" s="109" t="n"/>
      <c r="T490" s="109" t="n"/>
      <c r="U490" s="109" t="n"/>
      <c r="V490" s="109" t="n"/>
      <c r="Z490" s="109" t="n"/>
      <c r="AA490" s="109" t="n"/>
      <c r="AB490" s="109" t="n"/>
      <c r="AF490" s="109" t="n"/>
      <c r="AG490" s="109" t="n"/>
      <c r="AH490" s="109" t="n"/>
      <c r="AL490" s="109" t="n"/>
      <c r="AM490" s="109" t="n"/>
      <c r="AN490" s="109" t="n"/>
    </row>
    <row r="491" ht="15.75" customHeight="1" s="216">
      <c r="D491" s="109" t="n"/>
      <c r="E491" s="109" t="n"/>
      <c r="J491" s="109" t="n"/>
      <c r="K491" s="109" t="n"/>
      <c r="L491" s="109" t="n"/>
      <c r="N491" s="109" t="n"/>
      <c r="O491" s="109" t="n"/>
      <c r="P491" s="109" t="n"/>
      <c r="T491" s="109" t="n"/>
      <c r="U491" s="109" t="n"/>
      <c r="V491" s="109" t="n"/>
      <c r="Z491" s="109" t="n"/>
      <c r="AA491" s="109" t="n"/>
      <c r="AB491" s="109" t="n"/>
      <c r="AF491" s="109" t="n"/>
      <c r="AG491" s="109" t="n"/>
      <c r="AH491" s="109" t="n"/>
      <c r="AL491" s="109" t="n"/>
      <c r="AM491" s="109" t="n"/>
      <c r="AN491" s="109" t="n"/>
    </row>
    <row r="492" ht="15.75" customHeight="1" s="216">
      <c r="D492" s="109" t="n"/>
      <c r="E492" s="109" t="n"/>
      <c r="J492" s="109" t="n"/>
      <c r="K492" s="109" t="n"/>
      <c r="L492" s="109" t="n"/>
      <c r="N492" s="109" t="n"/>
      <c r="O492" s="109" t="n"/>
      <c r="P492" s="109" t="n"/>
      <c r="T492" s="109" t="n"/>
      <c r="U492" s="109" t="n"/>
      <c r="V492" s="109" t="n"/>
      <c r="Z492" s="109" t="n"/>
      <c r="AA492" s="109" t="n"/>
      <c r="AB492" s="109" t="n"/>
      <c r="AF492" s="109" t="n"/>
      <c r="AG492" s="109" t="n"/>
      <c r="AH492" s="109" t="n"/>
      <c r="AL492" s="109" t="n"/>
      <c r="AM492" s="109" t="n"/>
      <c r="AN492" s="109" t="n"/>
    </row>
    <row r="493" ht="15.75" customHeight="1" s="216">
      <c r="D493" s="109" t="n"/>
      <c r="E493" s="109" t="n"/>
      <c r="J493" s="109" t="n"/>
      <c r="K493" s="109" t="n"/>
      <c r="L493" s="109" t="n"/>
      <c r="N493" s="109" t="n"/>
      <c r="O493" s="109" t="n"/>
      <c r="P493" s="109" t="n"/>
      <c r="T493" s="109" t="n"/>
      <c r="U493" s="109" t="n"/>
      <c r="V493" s="109" t="n"/>
      <c r="Z493" s="109" t="n"/>
      <c r="AA493" s="109" t="n"/>
      <c r="AB493" s="109" t="n"/>
      <c r="AF493" s="109" t="n"/>
      <c r="AG493" s="109" t="n"/>
      <c r="AH493" s="109" t="n"/>
      <c r="AL493" s="109" t="n"/>
      <c r="AM493" s="109" t="n"/>
      <c r="AN493" s="109" t="n"/>
    </row>
    <row r="494" ht="15.75" customHeight="1" s="216">
      <c r="D494" s="109" t="n"/>
      <c r="E494" s="109" t="n"/>
      <c r="J494" s="109" t="n"/>
      <c r="K494" s="109" t="n"/>
      <c r="L494" s="109" t="n"/>
      <c r="N494" s="109" t="n"/>
      <c r="O494" s="109" t="n"/>
      <c r="P494" s="109" t="n"/>
      <c r="T494" s="109" t="n"/>
      <c r="U494" s="109" t="n"/>
      <c r="V494" s="109" t="n"/>
      <c r="Z494" s="109" t="n"/>
      <c r="AA494" s="109" t="n"/>
      <c r="AB494" s="109" t="n"/>
      <c r="AF494" s="109" t="n"/>
      <c r="AG494" s="109" t="n"/>
      <c r="AH494" s="109" t="n"/>
      <c r="AL494" s="109" t="n"/>
      <c r="AM494" s="109" t="n"/>
      <c r="AN494" s="109" t="n"/>
    </row>
    <row r="495" ht="15.75" customHeight="1" s="216">
      <c r="D495" s="109" t="n"/>
      <c r="E495" s="109" t="n"/>
      <c r="J495" s="109" t="n"/>
      <c r="K495" s="109" t="n"/>
      <c r="L495" s="109" t="n"/>
      <c r="N495" s="109" t="n"/>
      <c r="O495" s="109" t="n"/>
      <c r="P495" s="109" t="n"/>
      <c r="T495" s="109" t="n"/>
      <c r="U495" s="109" t="n"/>
      <c r="V495" s="109" t="n"/>
      <c r="Z495" s="109" t="n"/>
      <c r="AA495" s="109" t="n"/>
      <c r="AB495" s="109" t="n"/>
      <c r="AF495" s="109" t="n"/>
      <c r="AG495" s="109" t="n"/>
      <c r="AH495" s="109" t="n"/>
      <c r="AL495" s="109" t="n"/>
      <c r="AM495" s="109" t="n"/>
      <c r="AN495" s="109" t="n"/>
    </row>
    <row r="496" ht="15.75" customHeight="1" s="216">
      <c r="D496" s="109" t="n"/>
      <c r="E496" s="109" t="n"/>
      <c r="J496" s="109" t="n"/>
      <c r="K496" s="109" t="n"/>
      <c r="L496" s="109" t="n"/>
      <c r="N496" s="109" t="n"/>
      <c r="O496" s="109" t="n"/>
      <c r="P496" s="109" t="n"/>
      <c r="T496" s="109" t="n"/>
      <c r="U496" s="109" t="n"/>
      <c r="V496" s="109" t="n"/>
      <c r="Z496" s="109" t="n"/>
      <c r="AA496" s="109" t="n"/>
      <c r="AB496" s="109" t="n"/>
      <c r="AF496" s="109" t="n"/>
      <c r="AG496" s="109" t="n"/>
      <c r="AH496" s="109" t="n"/>
      <c r="AL496" s="109" t="n"/>
      <c r="AM496" s="109" t="n"/>
      <c r="AN496" s="109" t="n"/>
    </row>
    <row r="497" ht="15.75" customHeight="1" s="216">
      <c r="D497" s="109" t="n"/>
      <c r="E497" s="109" t="n"/>
      <c r="J497" s="109" t="n"/>
      <c r="K497" s="109" t="n"/>
      <c r="L497" s="109" t="n"/>
      <c r="N497" s="109" t="n"/>
      <c r="O497" s="109" t="n"/>
      <c r="P497" s="109" t="n"/>
      <c r="T497" s="109" t="n"/>
      <c r="U497" s="109" t="n"/>
      <c r="V497" s="109" t="n"/>
      <c r="Z497" s="109" t="n"/>
      <c r="AA497" s="109" t="n"/>
      <c r="AB497" s="109" t="n"/>
      <c r="AF497" s="109" t="n"/>
      <c r="AG497" s="109" t="n"/>
      <c r="AH497" s="109" t="n"/>
      <c r="AL497" s="109" t="n"/>
      <c r="AM497" s="109" t="n"/>
      <c r="AN497" s="109" t="n"/>
    </row>
    <row r="498" ht="15.75" customHeight="1" s="216">
      <c r="D498" s="109" t="n"/>
      <c r="E498" s="109" t="n"/>
      <c r="J498" s="109" t="n"/>
      <c r="K498" s="109" t="n"/>
      <c r="L498" s="109" t="n"/>
      <c r="N498" s="109" t="n"/>
      <c r="O498" s="109" t="n"/>
      <c r="P498" s="109" t="n"/>
      <c r="T498" s="109" t="n"/>
      <c r="U498" s="109" t="n"/>
      <c r="V498" s="109" t="n"/>
      <c r="Z498" s="109" t="n"/>
      <c r="AA498" s="109" t="n"/>
      <c r="AB498" s="109" t="n"/>
      <c r="AF498" s="109" t="n"/>
      <c r="AG498" s="109" t="n"/>
      <c r="AH498" s="109" t="n"/>
      <c r="AL498" s="109" t="n"/>
      <c r="AM498" s="109" t="n"/>
      <c r="AN498" s="109" t="n"/>
    </row>
    <row r="499" ht="15.75" customHeight="1" s="216">
      <c r="D499" s="109" t="n"/>
      <c r="E499" s="109" t="n"/>
      <c r="J499" s="109" t="n"/>
      <c r="K499" s="109" t="n"/>
      <c r="L499" s="109" t="n"/>
      <c r="N499" s="109" t="n"/>
      <c r="O499" s="109" t="n"/>
      <c r="P499" s="109" t="n"/>
      <c r="T499" s="109" t="n"/>
      <c r="U499" s="109" t="n"/>
      <c r="V499" s="109" t="n"/>
      <c r="Z499" s="109" t="n"/>
      <c r="AA499" s="109" t="n"/>
      <c r="AB499" s="109" t="n"/>
      <c r="AF499" s="109" t="n"/>
      <c r="AG499" s="109" t="n"/>
      <c r="AH499" s="109" t="n"/>
      <c r="AL499" s="109" t="n"/>
      <c r="AM499" s="109" t="n"/>
      <c r="AN499" s="109" t="n"/>
    </row>
    <row r="500" ht="15.75" customHeight="1" s="216">
      <c r="D500" s="109" t="n"/>
      <c r="E500" s="109" t="n"/>
      <c r="J500" s="109" t="n"/>
      <c r="K500" s="109" t="n"/>
      <c r="L500" s="109" t="n"/>
      <c r="N500" s="109" t="n"/>
      <c r="O500" s="109" t="n"/>
      <c r="P500" s="109" t="n"/>
      <c r="T500" s="109" t="n"/>
      <c r="U500" s="109" t="n"/>
      <c r="V500" s="109" t="n"/>
      <c r="Z500" s="109" t="n"/>
      <c r="AA500" s="109" t="n"/>
      <c r="AB500" s="109" t="n"/>
      <c r="AF500" s="109" t="n"/>
      <c r="AG500" s="109" t="n"/>
      <c r="AH500" s="109" t="n"/>
      <c r="AL500" s="109" t="n"/>
      <c r="AM500" s="109" t="n"/>
      <c r="AN500" s="109" t="n"/>
    </row>
    <row r="501" ht="15.75" customHeight="1" s="216"/>
    <row r="502" ht="15.75" customHeight="1" s="216"/>
    <row r="503" ht="15.75" customHeight="1" s="216"/>
    <row r="504" ht="15.75" customHeight="1" s="216"/>
    <row r="505" ht="15.75" customHeight="1" s="216"/>
    <row r="506" ht="15.75" customHeight="1" s="216"/>
    <row r="507" ht="15.75" customHeight="1" s="216"/>
    <row r="508" ht="15.75" customHeight="1" s="216"/>
    <row r="509" ht="15.75" customHeight="1" s="216"/>
    <row r="510" ht="15.75" customHeight="1" s="216"/>
    <row r="511" ht="15.75" customHeight="1" s="216"/>
    <row r="512" ht="15.75" customHeight="1" s="216"/>
    <row r="513" ht="15.75" customHeight="1" s="216"/>
    <row r="514" ht="15.75" customHeight="1" s="216"/>
    <row r="515" ht="15.75" customHeight="1" s="216"/>
    <row r="516" ht="15.75" customHeight="1" s="216"/>
    <row r="517" ht="15.75" customHeight="1" s="216"/>
    <row r="518" ht="15.75" customHeight="1" s="216"/>
    <row r="519" ht="15.75" customHeight="1" s="216"/>
    <row r="520" ht="15.75" customHeight="1" s="216"/>
    <row r="521" ht="15.75" customHeight="1" s="216"/>
    <row r="522" ht="15.75" customHeight="1" s="216"/>
    <row r="523" ht="15.75" customHeight="1" s="216"/>
    <row r="524" ht="15.75" customHeight="1" s="216"/>
    <row r="525" ht="15.75" customHeight="1" s="216"/>
    <row r="526" ht="15.75" customHeight="1" s="216"/>
    <row r="527" ht="15.75" customHeight="1" s="216"/>
    <row r="528" ht="15.75" customHeight="1" s="216"/>
    <row r="529" ht="15.75" customHeight="1" s="216"/>
    <row r="530" ht="15.75" customHeight="1" s="216"/>
    <row r="531" ht="15.75" customHeight="1" s="216"/>
    <row r="532" ht="15.75" customHeight="1" s="216"/>
    <row r="533" ht="15.75" customHeight="1" s="216"/>
    <row r="534" ht="15.75" customHeight="1" s="216"/>
    <row r="535" ht="15.75" customHeight="1" s="216"/>
    <row r="536" ht="15.75" customHeight="1" s="216"/>
    <row r="537" ht="15.75" customHeight="1" s="216"/>
    <row r="538" ht="15.75" customHeight="1" s="216"/>
    <row r="539" ht="15.75" customHeight="1" s="216"/>
    <row r="540" ht="15.75" customHeight="1" s="216"/>
    <row r="541" ht="15.75" customHeight="1" s="216"/>
    <row r="542" ht="15.75" customHeight="1" s="216"/>
    <row r="543" ht="15.75" customHeight="1" s="216"/>
    <row r="544" ht="15.75" customHeight="1" s="216"/>
    <row r="545" ht="15.75" customHeight="1" s="216"/>
    <row r="546" ht="15.75" customHeight="1" s="216"/>
    <row r="547" ht="15.75" customHeight="1" s="216"/>
    <row r="548" ht="15.75" customHeight="1" s="216"/>
    <row r="549" ht="15.75" customHeight="1" s="216"/>
    <row r="550" ht="15.75" customHeight="1" s="216"/>
    <row r="551" ht="15.75" customHeight="1" s="216"/>
    <row r="552" ht="15.75" customHeight="1" s="216"/>
    <row r="553" ht="15.75" customHeight="1" s="216"/>
    <row r="554" ht="15.75" customHeight="1" s="216"/>
    <row r="555" ht="15.75" customHeight="1" s="216"/>
    <row r="556" ht="15.75" customHeight="1" s="216"/>
    <row r="557" ht="15.75" customHeight="1" s="216"/>
    <row r="558" ht="15.75" customHeight="1" s="216"/>
    <row r="559" ht="15.75" customHeight="1" s="216"/>
    <row r="560" ht="15.75" customHeight="1" s="216"/>
    <row r="561" ht="15.75" customHeight="1" s="216"/>
    <row r="562" ht="15.75" customHeight="1" s="216"/>
    <row r="563" ht="15.75" customHeight="1" s="216"/>
    <row r="564" ht="15.75" customHeight="1" s="216"/>
    <row r="565" ht="15.75" customHeight="1" s="216"/>
    <row r="566" ht="15.75" customHeight="1" s="216"/>
    <row r="567" ht="15.75" customHeight="1" s="216"/>
    <row r="568" ht="15.75" customHeight="1" s="216"/>
    <row r="569" ht="15.75" customHeight="1" s="216"/>
    <row r="570" ht="15.75" customHeight="1" s="216"/>
    <row r="571" ht="15.75" customHeight="1" s="216"/>
    <row r="572" ht="15.75" customHeight="1" s="216"/>
    <row r="573" ht="15.75" customHeight="1" s="216"/>
    <row r="574" ht="15.75" customHeight="1" s="216"/>
    <row r="575" ht="15.75" customHeight="1" s="216"/>
    <row r="576" ht="15.75" customHeight="1" s="216"/>
    <row r="577" ht="15.75" customHeight="1" s="216"/>
    <row r="578" ht="15.75" customHeight="1" s="216"/>
    <row r="579" ht="15.75" customHeight="1" s="216"/>
    <row r="580" ht="15.75" customHeight="1" s="216"/>
    <row r="581" ht="15.75" customHeight="1" s="216"/>
    <row r="582" ht="15.75" customHeight="1" s="216"/>
    <row r="583" ht="15.75" customHeight="1" s="216"/>
    <row r="584" ht="15.75" customHeight="1" s="216"/>
    <row r="585" ht="15.75" customHeight="1" s="216"/>
    <row r="586" ht="15.75" customHeight="1" s="216"/>
    <row r="587" ht="15.75" customHeight="1" s="216"/>
    <row r="588" ht="15.75" customHeight="1" s="216"/>
    <row r="589" ht="15.75" customHeight="1" s="216"/>
    <row r="590" ht="15.75" customHeight="1" s="216"/>
    <row r="591" ht="15.75" customHeight="1" s="216"/>
    <row r="592" ht="15.75" customHeight="1" s="216"/>
    <row r="593" ht="15.75" customHeight="1" s="216"/>
    <row r="594" ht="15.75" customHeight="1" s="216"/>
    <row r="595" ht="15.75" customHeight="1" s="216"/>
    <row r="596" ht="15.75" customHeight="1" s="216"/>
    <row r="597" ht="15.75" customHeight="1" s="216"/>
    <row r="598" ht="15.75" customHeight="1" s="216"/>
    <row r="599" ht="15.75" customHeight="1" s="216"/>
    <row r="600" ht="15.75" customHeight="1" s="216"/>
    <row r="601" ht="15.75" customHeight="1" s="216"/>
    <row r="602" ht="15.75" customHeight="1" s="216"/>
    <row r="603" ht="15.75" customHeight="1" s="216"/>
    <row r="604" ht="15.75" customHeight="1" s="216"/>
    <row r="605" ht="15.75" customHeight="1" s="216"/>
    <row r="606" ht="15.75" customHeight="1" s="216"/>
    <row r="607" ht="15.75" customHeight="1" s="216"/>
    <row r="608" ht="15.75" customHeight="1" s="216"/>
    <row r="609" ht="15.75" customHeight="1" s="216"/>
    <row r="610" ht="15.75" customHeight="1" s="216"/>
    <row r="611" ht="15.75" customHeight="1" s="216"/>
    <row r="612" ht="15.75" customHeight="1" s="216"/>
    <row r="613" ht="15.75" customHeight="1" s="216"/>
    <row r="614" ht="15.75" customHeight="1" s="216"/>
    <row r="615" ht="15.75" customHeight="1" s="216"/>
    <row r="616" ht="15.75" customHeight="1" s="216"/>
    <row r="617" ht="15.75" customHeight="1" s="216"/>
    <row r="618" ht="15.75" customHeight="1" s="216"/>
    <row r="619" ht="15.75" customHeight="1" s="216"/>
    <row r="620" ht="15.75" customHeight="1" s="216"/>
    <row r="621" ht="15.75" customHeight="1" s="216"/>
    <row r="622" ht="15.75" customHeight="1" s="216"/>
    <row r="623" ht="15.75" customHeight="1" s="216"/>
    <row r="624" ht="15.75" customHeight="1" s="216"/>
    <row r="625" ht="15.75" customHeight="1" s="216"/>
    <row r="626" ht="15.75" customHeight="1" s="216"/>
    <row r="627" ht="15.75" customHeight="1" s="216"/>
    <row r="628" ht="15.75" customHeight="1" s="216"/>
    <row r="629" ht="15.75" customHeight="1" s="216"/>
    <row r="630" ht="15.75" customHeight="1" s="216"/>
    <row r="631" ht="15.75" customHeight="1" s="216"/>
    <row r="632" ht="15.75" customHeight="1" s="216"/>
    <row r="633" ht="15.75" customHeight="1" s="216"/>
    <row r="634" ht="15.75" customHeight="1" s="216"/>
    <row r="635" ht="15.75" customHeight="1" s="216"/>
    <row r="636" ht="15.75" customHeight="1" s="216"/>
    <row r="637" ht="15.75" customHeight="1" s="216"/>
    <row r="638" ht="15.75" customHeight="1" s="216"/>
    <row r="639" ht="15.75" customHeight="1" s="216"/>
    <row r="640" ht="15.75" customHeight="1" s="216"/>
    <row r="641" ht="15.75" customHeight="1" s="216"/>
    <row r="642" ht="15.75" customHeight="1" s="216"/>
    <row r="643" ht="15.75" customHeight="1" s="216"/>
    <row r="644" ht="15.75" customHeight="1" s="216"/>
    <row r="645" ht="15.75" customHeight="1" s="216"/>
    <row r="646" ht="15.75" customHeight="1" s="216"/>
    <row r="647" ht="15.75" customHeight="1" s="216"/>
    <row r="648" ht="15.75" customHeight="1" s="216"/>
    <row r="649" ht="15.75" customHeight="1" s="216"/>
    <row r="650" ht="15.75" customHeight="1" s="216"/>
    <row r="651" ht="15.75" customHeight="1" s="216"/>
    <row r="652" ht="15.75" customHeight="1" s="216"/>
    <row r="653" ht="15.75" customHeight="1" s="216"/>
    <row r="654" ht="15.75" customHeight="1" s="216"/>
    <row r="655" ht="15.75" customHeight="1" s="216"/>
    <row r="656" ht="15.75" customHeight="1" s="216"/>
    <row r="657" ht="15.75" customHeight="1" s="216"/>
    <row r="658" ht="15.75" customHeight="1" s="216"/>
    <row r="659" ht="15.75" customHeight="1" s="216"/>
    <row r="660" ht="15.75" customHeight="1" s="216"/>
    <row r="661" ht="15.75" customHeight="1" s="216"/>
    <row r="662" ht="15.75" customHeight="1" s="216"/>
    <row r="663" ht="15.75" customHeight="1" s="216"/>
    <row r="664" ht="15.75" customHeight="1" s="216"/>
    <row r="665" ht="15.75" customHeight="1" s="216"/>
    <row r="666" ht="15.75" customHeight="1" s="216"/>
    <row r="667" ht="15.75" customHeight="1" s="216"/>
    <row r="668" ht="15.75" customHeight="1" s="216"/>
    <row r="669" ht="15.75" customHeight="1" s="216"/>
    <row r="670" ht="15.75" customHeight="1" s="216"/>
    <row r="671" ht="15.75" customHeight="1" s="216"/>
    <row r="672" ht="15.75" customHeight="1" s="216"/>
    <row r="673" ht="15.75" customHeight="1" s="216"/>
    <row r="674" ht="15.75" customHeight="1" s="216"/>
    <row r="675" ht="15.75" customHeight="1" s="216"/>
    <row r="676" ht="15.75" customHeight="1" s="216"/>
    <row r="677" ht="15.75" customHeight="1" s="216"/>
    <row r="678" ht="15.75" customHeight="1" s="216"/>
    <row r="679" ht="15.75" customHeight="1" s="216"/>
    <row r="680" ht="15.75" customHeight="1" s="216"/>
    <row r="681" ht="15.75" customHeight="1" s="216"/>
    <row r="682" ht="15.75" customHeight="1" s="216"/>
    <row r="683" ht="15.75" customHeight="1" s="216"/>
    <row r="684" ht="15.75" customHeight="1" s="216"/>
    <row r="685" ht="15.75" customHeight="1" s="216"/>
    <row r="686" ht="15.75" customHeight="1" s="216"/>
    <row r="687" ht="15.75" customHeight="1" s="216"/>
    <row r="688" ht="15.75" customHeight="1" s="216"/>
    <row r="689" ht="15.75" customHeight="1" s="216"/>
    <row r="690" ht="15.75" customHeight="1" s="216"/>
    <row r="691" ht="15.75" customHeight="1" s="216"/>
    <row r="692" ht="15.75" customHeight="1" s="216"/>
    <row r="693" ht="15.75" customHeight="1" s="216"/>
    <row r="694" ht="15.75" customHeight="1" s="216"/>
    <row r="695" ht="15.75" customHeight="1" s="216"/>
    <row r="696" ht="15.75" customHeight="1" s="216"/>
    <row r="697" ht="15.75" customHeight="1" s="216"/>
    <row r="698" ht="15.75" customHeight="1" s="216"/>
    <row r="699" ht="15.75" customHeight="1" s="216"/>
    <row r="700" ht="15.75" customHeight="1" s="216"/>
    <row r="701" ht="15.75" customHeight="1" s="216"/>
    <row r="702" ht="15.75" customHeight="1" s="216"/>
    <row r="703" ht="15.75" customHeight="1" s="216"/>
    <row r="704" ht="15.75" customHeight="1" s="216"/>
    <row r="705" ht="15.75" customHeight="1" s="216"/>
    <row r="706" ht="15.75" customHeight="1" s="216"/>
    <row r="707" ht="15.75" customHeight="1" s="216"/>
    <row r="708" ht="15.75" customHeight="1" s="216"/>
    <row r="709" ht="15.75" customHeight="1" s="216"/>
    <row r="710" ht="15.75" customHeight="1" s="216"/>
    <row r="711" ht="15.75" customHeight="1" s="216"/>
    <row r="712" ht="15.75" customHeight="1" s="216"/>
    <row r="713" ht="15.75" customHeight="1" s="216"/>
    <row r="714" ht="15.75" customHeight="1" s="216"/>
    <row r="715" ht="15.75" customHeight="1" s="216"/>
    <row r="716" ht="15.75" customHeight="1" s="216"/>
    <row r="717" ht="15.75" customHeight="1" s="216"/>
    <row r="718" ht="15.75" customHeight="1" s="216"/>
    <row r="719" ht="15.75" customHeight="1" s="216"/>
    <row r="720" ht="15.75" customHeight="1" s="216"/>
    <row r="721" ht="15.75" customHeight="1" s="216"/>
    <row r="722" ht="15.75" customHeight="1" s="216"/>
    <row r="723" ht="15.75" customHeight="1" s="216"/>
    <row r="724" ht="15.75" customHeight="1" s="216"/>
    <row r="725" ht="15.75" customHeight="1" s="216"/>
    <row r="726" ht="15.75" customHeight="1" s="216"/>
    <row r="727" ht="15.75" customHeight="1" s="216"/>
    <row r="728" ht="15.75" customHeight="1" s="216"/>
    <row r="729" ht="15.75" customHeight="1" s="216"/>
    <row r="730" ht="15.75" customHeight="1" s="216"/>
    <row r="731" ht="15.75" customHeight="1" s="216"/>
    <row r="732" ht="15.75" customHeight="1" s="216"/>
    <row r="733" ht="15.75" customHeight="1" s="216"/>
    <row r="734" ht="15.75" customHeight="1" s="216"/>
    <row r="735" ht="15.75" customHeight="1" s="216"/>
    <row r="736" ht="15.75" customHeight="1" s="216"/>
    <row r="737" ht="15.75" customHeight="1" s="216"/>
    <row r="738" ht="15.75" customHeight="1" s="216"/>
    <row r="739" ht="15.75" customHeight="1" s="216"/>
    <row r="740" ht="15.75" customHeight="1" s="216"/>
    <row r="741" ht="15.75" customHeight="1" s="216"/>
    <row r="742" ht="15.75" customHeight="1" s="216"/>
    <row r="743" ht="15.75" customHeight="1" s="216"/>
    <row r="744" ht="15.75" customHeight="1" s="216"/>
    <row r="745" ht="15.75" customHeight="1" s="216"/>
    <row r="746" ht="15.75" customHeight="1" s="216"/>
    <row r="747" ht="15.75" customHeight="1" s="216"/>
    <row r="748" ht="15.75" customHeight="1" s="216"/>
    <row r="749" ht="15.75" customHeight="1" s="216"/>
    <row r="750" ht="15.75" customHeight="1" s="216"/>
    <row r="751" ht="15.75" customHeight="1" s="216"/>
    <row r="752" ht="15.75" customHeight="1" s="216"/>
    <row r="753" ht="15.75" customHeight="1" s="216"/>
    <row r="754" ht="15.75" customHeight="1" s="216"/>
    <row r="755" ht="15.75" customHeight="1" s="216"/>
    <row r="756" ht="15.75" customHeight="1" s="216"/>
    <row r="757" ht="15.75" customHeight="1" s="216"/>
    <row r="758" ht="15.75" customHeight="1" s="216"/>
    <row r="759" ht="15.75" customHeight="1" s="216"/>
    <row r="760" ht="15.75" customHeight="1" s="216"/>
    <row r="761" ht="15.75" customHeight="1" s="216"/>
    <row r="762" ht="15.75" customHeight="1" s="216"/>
    <row r="763" ht="15.75" customHeight="1" s="216"/>
    <row r="764" ht="15.75" customHeight="1" s="216"/>
    <row r="765" ht="15.75" customHeight="1" s="216"/>
    <row r="766" ht="15.75" customHeight="1" s="216"/>
    <row r="767" ht="15.75" customHeight="1" s="216"/>
    <row r="768" ht="15.75" customHeight="1" s="216"/>
    <row r="769" ht="15.75" customHeight="1" s="216"/>
    <row r="770" ht="15.75" customHeight="1" s="216"/>
    <row r="771" ht="15.75" customHeight="1" s="216"/>
    <row r="772" ht="15.75" customHeight="1" s="216"/>
    <row r="773" ht="15.75" customHeight="1" s="216"/>
    <row r="774" ht="15.75" customHeight="1" s="216"/>
    <row r="775" ht="15.75" customHeight="1" s="216"/>
    <row r="776" ht="15.75" customHeight="1" s="216"/>
    <row r="777" ht="15.75" customHeight="1" s="216"/>
    <row r="778" ht="15.75" customHeight="1" s="216"/>
    <row r="779" ht="15.75" customHeight="1" s="216"/>
    <row r="780" ht="15.75" customHeight="1" s="216"/>
    <row r="781" ht="15.75" customHeight="1" s="216"/>
    <row r="782" ht="15.75" customHeight="1" s="216"/>
    <row r="783" ht="15.75" customHeight="1" s="216"/>
    <row r="784" ht="15.75" customHeight="1" s="216"/>
    <row r="785" ht="15.75" customHeight="1" s="216"/>
    <row r="786" ht="15.75" customHeight="1" s="216"/>
    <row r="787" ht="15.75" customHeight="1" s="216"/>
    <row r="788" ht="15.75" customHeight="1" s="216"/>
    <row r="789" ht="15.75" customHeight="1" s="216"/>
    <row r="790" ht="15.75" customHeight="1" s="216"/>
    <row r="791" ht="15.75" customHeight="1" s="216"/>
    <row r="792" ht="15.75" customHeight="1" s="216"/>
    <row r="793" ht="15.75" customHeight="1" s="216"/>
    <row r="794" ht="15.75" customHeight="1" s="216"/>
    <row r="795" ht="15.75" customHeight="1" s="216"/>
    <row r="796" ht="15.75" customHeight="1" s="216"/>
    <row r="797" ht="15.75" customHeight="1" s="216"/>
    <row r="798" ht="15.75" customHeight="1" s="216"/>
    <row r="799" ht="15.75" customHeight="1" s="216"/>
    <row r="800" ht="15.75" customHeight="1" s="216"/>
    <row r="801" ht="15.75" customHeight="1" s="216"/>
    <row r="802" ht="15.75" customHeight="1" s="216"/>
    <row r="803" ht="15.75" customHeight="1" s="216"/>
    <row r="804" ht="15.75" customHeight="1" s="216"/>
    <row r="805" ht="15.75" customHeight="1" s="216"/>
    <row r="806" ht="15.75" customHeight="1" s="216"/>
    <row r="807" ht="15.75" customHeight="1" s="216"/>
    <row r="808" ht="15.75" customHeight="1" s="216"/>
    <row r="809" ht="15.75" customHeight="1" s="216"/>
    <row r="810" ht="15.75" customHeight="1" s="216"/>
    <row r="811" ht="15.75" customHeight="1" s="216"/>
    <row r="812" ht="15.75" customHeight="1" s="216"/>
    <row r="813" ht="15.75" customHeight="1" s="216"/>
    <row r="814" ht="15.75" customHeight="1" s="216"/>
    <row r="815" ht="15.75" customHeight="1" s="216"/>
    <row r="816" ht="15.75" customHeight="1" s="216"/>
    <row r="817" ht="15.75" customHeight="1" s="216"/>
    <row r="818" ht="15.75" customHeight="1" s="216"/>
    <row r="819" ht="15.75" customHeight="1" s="216"/>
    <row r="820" ht="15.75" customHeight="1" s="216"/>
    <row r="821" ht="15.75" customHeight="1" s="216"/>
    <row r="822" ht="15.75" customHeight="1" s="216"/>
    <row r="823" ht="15.75" customHeight="1" s="216"/>
    <row r="824" ht="15.75" customHeight="1" s="216"/>
    <row r="825" ht="15.75" customHeight="1" s="216"/>
    <row r="826" ht="15.75" customHeight="1" s="216"/>
    <row r="827" ht="15.75" customHeight="1" s="216"/>
    <row r="828" ht="15.75" customHeight="1" s="216"/>
    <row r="829" ht="15.75" customHeight="1" s="216"/>
    <row r="830" ht="15.75" customHeight="1" s="216"/>
    <row r="831" ht="15.75" customHeight="1" s="216"/>
    <row r="832" ht="15.75" customHeight="1" s="216"/>
    <row r="833" ht="15.75" customHeight="1" s="216"/>
    <row r="834" ht="15.75" customHeight="1" s="216"/>
    <row r="835" ht="15.75" customHeight="1" s="216"/>
    <row r="836" ht="15.75" customHeight="1" s="216"/>
    <row r="837" ht="15.75" customHeight="1" s="216"/>
    <row r="838" ht="15.75" customHeight="1" s="216"/>
    <row r="839" ht="15.75" customHeight="1" s="216"/>
    <row r="840" ht="15.75" customHeight="1" s="216"/>
    <row r="841" ht="15.75" customHeight="1" s="216"/>
    <row r="842" ht="15.75" customHeight="1" s="216"/>
    <row r="843" ht="15.75" customHeight="1" s="216"/>
    <row r="844" ht="15.75" customHeight="1" s="216"/>
    <row r="845" ht="15.75" customHeight="1" s="216"/>
    <row r="846" ht="15.75" customHeight="1" s="216"/>
    <row r="847" ht="15.75" customHeight="1" s="216"/>
    <row r="848" ht="15.75" customHeight="1" s="216"/>
    <row r="849" ht="15.75" customHeight="1" s="216"/>
    <row r="850" ht="15.75" customHeight="1" s="216"/>
    <row r="851" ht="15.75" customHeight="1" s="216"/>
    <row r="852" ht="15.75" customHeight="1" s="216"/>
    <row r="853" ht="15.75" customHeight="1" s="216"/>
    <row r="854" ht="15.75" customHeight="1" s="216"/>
    <row r="855" ht="15.75" customHeight="1" s="216"/>
    <row r="856" ht="15.75" customHeight="1" s="216"/>
    <row r="857" ht="15.75" customHeight="1" s="216"/>
    <row r="858" ht="15.75" customHeight="1" s="216"/>
    <row r="859" ht="15.75" customHeight="1" s="216"/>
    <row r="860" ht="15.75" customHeight="1" s="216"/>
    <row r="861" ht="15.75" customHeight="1" s="216"/>
    <row r="862" ht="15.75" customHeight="1" s="216"/>
    <row r="863" ht="15.75" customHeight="1" s="216"/>
    <row r="864" ht="15.75" customHeight="1" s="216"/>
    <row r="865" ht="15.75" customHeight="1" s="216"/>
    <row r="866" ht="15.75" customHeight="1" s="216"/>
    <row r="867" ht="15.75" customHeight="1" s="216"/>
    <row r="868" ht="15.75" customHeight="1" s="216"/>
    <row r="869" ht="15.75" customHeight="1" s="216"/>
    <row r="870" ht="15.75" customHeight="1" s="216"/>
    <row r="871" ht="15.75" customHeight="1" s="216"/>
    <row r="872" ht="15.75" customHeight="1" s="216"/>
    <row r="873" ht="15.75" customHeight="1" s="216"/>
    <row r="874" ht="15.75" customHeight="1" s="216"/>
    <row r="875" ht="15.75" customHeight="1" s="216"/>
    <row r="876" ht="15.75" customHeight="1" s="216"/>
    <row r="877" ht="15.75" customHeight="1" s="216"/>
    <row r="878" ht="15.75" customHeight="1" s="216"/>
    <row r="879" ht="15.75" customHeight="1" s="216"/>
    <row r="880" ht="15.75" customHeight="1" s="216"/>
    <row r="881" ht="15.75" customHeight="1" s="216"/>
    <row r="882" ht="15.75" customHeight="1" s="216"/>
    <row r="883" ht="15.75" customHeight="1" s="216"/>
    <row r="884" ht="15.75" customHeight="1" s="216"/>
    <row r="885" ht="15.75" customHeight="1" s="216"/>
    <row r="886" ht="15.75" customHeight="1" s="216"/>
    <row r="887" ht="15.75" customHeight="1" s="216"/>
    <row r="888" ht="15.75" customHeight="1" s="216"/>
    <row r="889" ht="15.75" customHeight="1" s="216"/>
    <row r="890" ht="15.75" customHeight="1" s="216"/>
    <row r="891" ht="15.75" customHeight="1" s="216"/>
    <row r="892" ht="15.75" customHeight="1" s="216"/>
    <row r="893" ht="15.75" customHeight="1" s="216"/>
    <row r="894" ht="15.75" customHeight="1" s="216"/>
    <row r="895" ht="15.75" customHeight="1" s="216"/>
    <row r="896" ht="15.75" customHeight="1" s="216"/>
    <row r="897" ht="15.75" customHeight="1" s="216"/>
    <row r="898" ht="15.75" customHeight="1" s="216"/>
    <row r="899" ht="15.75" customHeight="1" s="216"/>
    <row r="900" ht="15.75" customHeight="1" s="216"/>
    <row r="901" ht="15.75" customHeight="1" s="216"/>
    <row r="902" ht="15.75" customHeight="1" s="216"/>
    <row r="903" ht="15.75" customHeight="1" s="216"/>
    <row r="904" ht="15.75" customHeight="1" s="216"/>
    <row r="905" ht="15.75" customHeight="1" s="216"/>
    <row r="906" ht="15.75" customHeight="1" s="216"/>
    <row r="907" ht="15.75" customHeight="1" s="216"/>
    <row r="908" ht="15.75" customHeight="1" s="216"/>
    <row r="909" ht="15.75" customHeight="1" s="216"/>
    <row r="910" ht="15.75" customHeight="1" s="216"/>
    <row r="911" ht="15.75" customHeight="1" s="216"/>
    <row r="912" ht="15.75" customHeight="1" s="216"/>
    <row r="913" ht="15.75" customHeight="1" s="216"/>
    <row r="914" ht="15.75" customHeight="1" s="216"/>
    <row r="915" ht="15.75" customHeight="1" s="216"/>
    <row r="916" ht="15.75" customHeight="1" s="216"/>
    <row r="917" ht="15.75" customHeight="1" s="216"/>
    <row r="918" ht="15.75" customHeight="1" s="216"/>
    <row r="919" ht="15.75" customHeight="1" s="216"/>
    <row r="920" ht="15.75" customHeight="1" s="216"/>
    <row r="921" ht="15.75" customHeight="1" s="216"/>
    <row r="922" ht="15.75" customHeight="1" s="216"/>
    <row r="923" ht="15.75" customHeight="1" s="216"/>
    <row r="924" ht="15.75" customHeight="1" s="216"/>
    <row r="925" ht="15.75" customHeight="1" s="216"/>
    <row r="926" ht="15.75" customHeight="1" s="216"/>
    <row r="927" ht="15.75" customHeight="1" s="216"/>
    <row r="928" ht="15.75" customHeight="1" s="216"/>
    <row r="929" ht="15.75" customHeight="1" s="216"/>
    <row r="930" ht="15.75" customHeight="1" s="216"/>
    <row r="931" ht="15.75" customHeight="1" s="216"/>
    <row r="932" ht="15.75" customHeight="1" s="216"/>
    <row r="933" ht="15.75" customHeight="1" s="216"/>
    <row r="934" ht="15.75" customHeight="1" s="216"/>
    <row r="935" ht="15.75" customHeight="1" s="216"/>
    <row r="936" ht="15.75" customHeight="1" s="216"/>
    <row r="937" ht="15.75" customHeight="1" s="216"/>
    <row r="938" ht="15.75" customHeight="1" s="216"/>
    <row r="939" ht="15.75" customHeight="1" s="216"/>
    <row r="940" ht="15.75" customHeight="1" s="216"/>
    <row r="941" ht="15.75" customHeight="1" s="216"/>
    <row r="942" ht="15.75" customHeight="1" s="216"/>
    <row r="943" ht="15.75" customHeight="1" s="216"/>
    <row r="944" ht="15.75" customHeight="1" s="216"/>
    <row r="945" ht="15.75" customHeight="1" s="216"/>
    <row r="946" ht="15.75" customHeight="1" s="216"/>
    <row r="947" ht="15.75" customHeight="1" s="216"/>
    <row r="948" ht="15.75" customHeight="1" s="216"/>
    <row r="949" ht="15.75" customHeight="1" s="216"/>
    <row r="950" ht="15.75" customHeight="1" s="216"/>
    <row r="951" ht="15.75" customHeight="1" s="216"/>
    <row r="952" ht="15.75" customHeight="1" s="216"/>
    <row r="953" ht="15.75" customHeight="1" s="216"/>
    <row r="954" ht="15.75" customHeight="1" s="216"/>
    <row r="955" ht="15.75" customHeight="1" s="216"/>
    <row r="956" ht="15.75" customHeight="1" s="216"/>
    <row r="957" ht="15.75" customHeight="1" s="216"/>
    <row r="958" ht="15.75" customHeight="1" s="216"/>
    <row r="959" ht="15.75" customHeight="1" s="216"/>
    <row r="960" ht="15.75" customHeight="1" s="216"/>
    <row r="961" ht="15.75" customHeight="1" s="216"/>
    <row r="962" ht="15.75" customHeight="1" s="216"/>
    <row r="963" ht="15.75" customHeight="1" s="216"/>
    <row r="964" ht="15.75" customHeight="1" s="216"/>
    <row r="965" ht="15.75" customHeight="1" s="216"/>
    <row r="966" ht="15.75" customHeight="1" s="216"/>
    <row r="967" ht="15.75" customHeight="1" s="216"/>
    <row r="968" ht="15.75" customHeight="1" s="216"/>
    <row r="969" ht="15.75" customHeight="1" s="216"/>
    <row r="970" ht="15.75" customHeight="1" s="216"/>
    <row r="971" ht="15.75" customHeight="1" s="216"/>
    <row r="972" ht="15.75" customHeight="1" s="216"/>
    <row r="973" ht="15.75" customHeight="1" s="216"/>
    <row r="974" ht="15.75" customHeight="1" s="216"/>
    <row r="975" ht="15.75" customHeight="1" s="216"/>
    <row r="976" ht="15.75" customHeight="1" s="216"/>
    <row r="977" ht="15.75" customHeight="1" s="216"/>
    <row r="978" ht="15.75" customHeight="1" s="216"/>
    <row r="979" ht="15.75" customHeight="1" s="216"/>
    <row r="980" ht="15.75" customHeight="1" s="216"/>
    <row r="981" ht="15.75" customHeight="1" s="216"/>
    <row r="982" ht="15.75" customHeight="1" s="216"/>
    <row r="983" ht="15.75" customHeight="1" s="216"/>
    <row r="984" ht="15.75" customHeight="1" s="216"/>
    <row r="985" ht="15.75" customHeight="1" s="216"/>
    <row r="986" ht="15.75" customHeight="1" s="216"/>
    <row r="987" ht="15.75" customHeight="1" s="216"/>
    <row r="988" ht="15.75" customHeight="1" s="216"/>
    <row r="989" ht="15.75" customHeight="1" s="216"/>
    <row r="990" ht="15.75" customHeight="1" s="216"/>
    <row r="991" ht="15.75" customHeight="1" s="216"/>
    <row r="992" ht="15.75" customHeight="1" s="216"/>
    <row r="993" ht="15.75" customHeight="1" s="216"/>
    <row r="994" ht="15.75" customHeight="1" s="216"/>
    <row r="995" ht="15.75" customHeight="1" s="216"/>
    <row r="996" ht="15.75" customHeight="1" s="216"/>
    <row r="997" ht="15.75" customHeight="1" s="216"/>
    <row r="998" ht="15.75" customHeight="1" s="216"/>
    <row r="999" ht="15.75" customHeight="1" s="216"/>
    <row r="1000" ht="15.75" customHeight="1" s="216"/>
  </sheetData>
  <autoFilter ref="A6:AU6"/>
  <mergeCells count="19">
    <mergeCell ref="AR5:AU5"/>
    <mergeCell ref="N5:S5"/>
    <mergeCell ref="C2:E2"/>
    <mergeCell ref="A5:C5"/>
    <mergeCell ref="Z5:AE5"/>
    <mergeCell ref="AF5:AK5"/>
    <mergeCell ref="AL5:AQ5"/>
    <mergeCell ref="J5:M5"/>
    <mergeCell ref="A3:B3"/>
    <mergeCell ref="G3:H3"/>
    <mergeCell ref="I3:J3"/>
    <mergeCell ref="A2:B2"/>
    <mergeCell ref="D5:I5"/>
    <mergeCell ref="C3:E3"/>
    <mergeCell ref="A4:B4"/>
    <mergeCell ref="G4:H4"/>
    <mergeCell ref="T5:Y5"/>
    <mergeCell ref="I4:J4"/>
    <mergeCell ref="C4:E4"/>
  </mergeCells>
  <conditionalFormatting sqref="O7:O500 P7:P500 U7:U500 V7:V500 AA7:AA500 AB7:AB500 AG7:AG500 AH7:AH500 AM7:AM500 AN7:AN500 AS7:AS500 AT7:AT500">
    <cfRule type="cellIs" priority="1" operator="equal" dxfId="5">
      <formula>"Pass"</formula>
    </cfRule>
    <cfRule type="cellIs" priority="2" operator="equal" dxfId="6">
      <formula>"Fail"</formula>
    </cfRule>
    <cfRule type="cellIs" priority="3" operator="equal" dxfId="7">
      <formula>"Block"</formula>
    </cfRule>
    <cfRule type="cellIs" priority="4" operator="equal" dxfId="8">
      <formula>"N/A"</formula>
    </cfRule>
  </conditionalFormatting>
  <dataValidations count="8">
    <dataValidation sqref="J7:J500" showDropDown="0" showInputMessage="0" showErrorMessage="0" allowBlank="1" type="list">
      <formula1>"AI,QC"</formula1>
    </dataValidation>
    <dataValidation sqref="E7:E500" showDropDown="0" showInputMessage="0" showErrorMessage="0" allowBlank="1" type="list">
      <formula1>"High,Medium,Low"</formula1>
    </dataValidation>
    <dataValidation sqref="P7:P500 V7:V500 AB7:AB500 AH7:AH500 AN7:AN500" showDropDown="0" showInputMessage="0" showErrorMessage="0" allowBlank="1" type="list">
      <formula1>"Pass,Fail,Block,N/A"</formula1>
    </dataValidation>
    <dataValidation sqref="N7:N500 T7:T500 Z7:Z500 AF7:AF500 AL7:AL500" showDropDown="0" showInputMessage="0" showErrorMessage="0" allowBlank="1" type="list">
      <formula1>"Yes,No,N/A"</formula1>
    </dataValidation>
    <dataValidation sqref="O7:O500 U7:U500 AA7:AA500 AG7:AG500 AM7:AM500" showDropDown="0" showInputMessage="0" showErrorMessage="0" allowBlank="1" type="list">
      <formula1>"Pass,Fail,Block,N/A,Chưa chạy"</formula1>
    </dataValidation>
    <dataValidation sqref="D7:D500" showDropDown="0" showInputMessage="0" showErrorMessage="0" allowBlank="1" type="list">
      <formula1>"Functional,UI,Integration,Database Test Case"</formula1>
    </dataValidation>
    <dataValidation sqref="K7:K500" showDropDown="0" showInputMessage="0" showErrorMessage="0" allowBlank="1" type="list">
      <formula1>"Reviewed,Pending,N/A"</formula1>
    </dataValidation>
    <dataValidation sqref="L7:L500" showDropDown="0" showInputMessage="0" showErrorMessage="0" allowBlank="1" type="list">
      <formula1>"Yes,No"</formula1>
    </dataValidation>
  </dataValidations>
  <pageMargins left="0.75" right="0.75" top="1" bottom="1" header="0" footer="0"/>
  <pageSetup orientation="landscape" fitToHeight="0"/>
</worksheet>
</file>

<file path=xl/worksheets/sheet15.xml><?xml version="1.0" encoding="utf-8"?>
<worksheet xmlns="http://schemas.openxmlformats.org/spreadsheetml/2006/main">
  <sheetPr>
    <outlinePr summaryBelow="1" summaryRight="1"/>
    <pageSetUpPr fitToPage="1"/>
  </sheetPr>
  <dimension ref="A1:AV520"/>
  <sheetViews>
    <sheetView workbookViewId="0">
      <pane xSplit="1" ySplit="6" topLeftCell="B7" activePane="bottomRight" state="frozen"/>
      <selection pane="topRight"/>
      <selection pane="bottomLeft"/>
      <selection pane="bottomRight" activeCell="A1" sqref="A1"/>
    </sheetView>
  </sheetViews>
  <sheetFormatPr baseColWidth="8" defaultColWidth="14.43" defaultRowHeight="15" customHeight="1"/>
  <cols>
    <col width="14" customWidth="1" style="216" min="1" max="2"/>
    <col width="13" customWidth="1" style="216" min="3" max="4"/>
    <col width="11" customWidth="1" style="216" min="5" max="5"/>
    <col width="34" customWidth="1" style="216" min="6" max="6"/>
    <col width="28" customWidth="1" style="216" min="7" max="7"/>
    <col width="40" customWidth="1" style="216" min="8" max="8"/>
    <col width="34" customWidth="1" style="216" min="9" max="9"/>
    <col width="10" customWidth="1" style="216" min="10" max="10"/>
    <col width="12.43" customWidth="1" style="216" min="11" max="11"/>
    <col width="14" customWidth="1" style="216" min="12" max="12"/>
    <col width="26.14" customWidth="1" style="216" min="13" max="13"/>
    <col width="9" customWidth="1" style="216" min="14" max="14"/>
    <col width="10" customWidth="1" style="216" min="15" max="15"/>
    <col width="9" customWidth="1" style="216" min="16" max="16"/>
    <col width="13" customWidth="1" style="216" min="17" max="17"/>
    <col width="11" customWidth="1" style="216" min="18" max="18"/>
    <col width="22" customWidth="1" style="216" min="19" max="19"/>
    <col width="9" customWidth="1" style="216" min="20" max="20"/>
    <col width="10" customWidth="1" style="216" min="21" max="21"/>
    <col width="9" customWidth="1" style="216" min="22" max="22"/>
    <col width="13" customWidth="1" style="216" min="23" max="23"/>
    <col width="11" customWidth="1" style="216" min="24" max="24"/>
    <col width="22" customWidth="1" style="216" min="25" max="25"/>
    <col width="9" customWidth="1" style="216" min="26" max="26"/>
    <col width="10" customWidth="1" style="216" min="27" max="27"/>
    <col width="9" customWidth="1" style="216" min="28" max="28"/>
    <col width="13" customWidth="1" style="216" min="29" max="29"/>
    <col width="11" customWidth="1" style="216" min="30" max="30"/>
    <col width="22" customWidth="1" style="216" min="31" max="31"/>
    <col width="9" customWidth="1" style="216" min="32" max="32"/>
    <col width="10" customWidth="1" style="216" min="33" max="33"/>
    <col width="9" customWidth="1" style="216" min="34" max="34"/>
    <col width="13" customWidth="1" style="216" min="35" max="35"/>
    <col width="11" customWidth="1" style="216" min="36" max="36"/>
    <col width="22" customWidth="1" style="216" min="37" max="37"/>
    <col width="9" customWidth="1" style="216" min="38" max="38"/>
    <col width="10" customWidth="1" style="216" min="39" max="39"/>
    <col width="9" customWidth="1" style="216" min="40" max="40"/>
    <col width="13" customWidth="1" style="216" min="41" max="41"/>
    <col width="11" customWidth="1" style="216" min="42" max="42"/>
    <col width="22" customWidth="1" style="216" min="43" max="43"/>
    <col width="12" customWidth="1" style="216" min="44" max="44"/>
    <col width="14" customWidth="1" style="216" min="45" max="45"/>
    <col width="11" customWidth="1" style="216" min="46" max="46"/>
    <col width="24" customWidth="1" style="216" min="47" max="47"/>
  </cols>
  <sheetData>
    <row r="1">
      <c r="A1" s="106"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row>
    <row r="2">
      <c r="A2" s="255" t="inlineStr">
        <is>
          <t>Mã chức năng</t>
        </is>
      </c>
      <c r="B2" s="218" t="n"/>
      <c r="C2" s="256" t="inlineStr">
        <is>
          <t>TC_07</t>
        </is>
      </c>
      <c r="D2" s="220" t="n"/>
      <c r="E2" s="218"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row>
    <row r="3" ht="15" customHeight="1" s="216">
      <c r="A3" s="255" t="inlineStr">
        <is>
          <t>Tên chức năng</t>
        </is>
      </c>
      <c r="B3" s="218" t="n"/>
      <c r="C3" s="256" t="inlineStr">
        <is>
          <t>Trang chủ</t>
        </is>
      </c>
      <c r="D3" s="220" t="n"/>
      <c r="E3" s="218" t="n"/>
      <c r="F3" s="1" t="n"/>
      <c r="G3" s="255" t="inlineStr">
        <is>
          <t>Version</t>
        </is>
      </c>
      <c r="H3" s="218" t="n"/>
      <c r="I3" s="174">
        <f>Summary!$C$8</f>
        <v/>
      </c>
      <c r="J3" s="218"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row>
    <row r="4" ht="15" customHeight="1" s="216">
      <c r="A4" s="255" t="inlineStr">
        <is>
          <t>Execution</t>
        </is>
      </c>
      <c r="B4" s="218" t="n"/>
      <c r="C4" s="174">
        <f>TEXT(Summary!$C$10,"DD/MM/YYYY")&amp;"  →  "&amp;TEXT(Summary!$C$11,"DD/MM/YYYY")</f>
        <v/>
      </c>
      <c r="D4" s="220" t="n"/>
      <c r="E4" s="218" t="n"/>
      <c r="F4" s="1" t="n"/>
      <c r="G4" s="255" t="inlineStr">
        <is>
          <t>PIC</t>
        </is>
      </c>
      <c r="H4" s="218" t="n"/>
      <c r="I4" s="174">
        <f>Summary!$C$13</f>
        <v/>
      </c>
      <c r="J4" s="218"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1" t="n"/>
      <c r="AL4" s="1" t="n"/>
      <c r="AM4" s="1" t="n"/>
      <c r="AN4" s="1" t="n"/>
      <c r="AO4" s="1" t="n"/>
      <c r="AP4" s="1" t="n"/>
      <c r="AQ4" s="1" t="n"/>
      <c r="AR4" s="1" t="n"/>
      <c r="AS4" s="1" t="n"/>
      <c r="AT4" s="1" t="n"/>
      <c r="AU4" s="1" t="n"/>
    </row>
    <row r="5" ht="15" customHeight="1" s="216">
      <c r="A5" s="257" t="inlineStr">
        <is>
          <t>TRACEABILITY</t>
        </is>
      </c>
      <c r="B5" s="220" t="n"/>
      <c r="C5" s="218" t="n"/>
      <c r="D5" s="246" t="inlineStr">
        <is>
          <t>TEST DESIGN</t>
        </is>
      </c>
      <c r="E5" s="220" t="n"/>
      <c r="F5" s="220" t="n"/>
      <c r="G5" s="220" t="n"/>
      <c r="H5" s="220" t="n"/>
      <c r="I5" s="218" t="n"/>
      <c r="J5" s="250" t="inlineStr">
        <is>
          <t>SDLC</t>
        </is>
      </c>
      <c r="K5" s="220" t="n"/>
      <c r="L5" s="220" t="n"/>
      <c r="M5" s="218" t="n"/>
      <c r="N5" s="258" t="inlineStr">
        <is>
          <t>ROUND 1</t>
        </is>
      </c>
      <c r="O5" s="252" t="n"/>
      <c r="P5" s="252" t="n"/>
      <c r="Q5" s="252" t="n"/>
      <c r="R5" s="252" t="n"/>
      <c r="S5" s="253" t="n"/>
      <c r="T5" s="259" t="inlineStr">
        <is>
          <t>ROUND 2</t>
        </is>
      </c>
      <c r="U5" s="252" t="n"/>
      <c r="V5" s="252" t="n"/>
      <c r="W5" s="252" t="n"/>
      <c r="X5" s="252" t="n"/>
      <c r="Y5" s="253" t="n"/>
      <c r="Z5" s="258" t="inlineStr">
        <is>
          <t>ROUND 3</t>
        </is>
      </c>
      <c r="AA5" s="252" t="n"/>
      <c r="AB5" s="252" t="n"/>
      <c r="AC5" s="252" t="n"/>
      <c r="AD5" s="252" t="n"/>
      <c r="AE5" s="253" t="n"/>
      <c r="AF5" s="259" t="inlineStr">
        <is>
          <t>ROUND 4</t>
        </is>
      </c>
      <c r="AG5" s="252" t="n"/>
      <c r="AH5" s="252" t="n"/>
      <c r="AI5" s="252" t="n"/>
      <c r="AJ5" s="252" t="n"/>
      <c r="AK5" s="253" t="n"/>
      <c r="AL5" s="258" t="inlineStr">
        <is>
          <t>ROUND 5</t>
        </is>
      </c>
      <c r="AM5" s="252" t="n"/>
      <c r="AN5" s="252" t="n"/>
      <c r="AO5" s="252" t="n"/>
      <c r="AP5" s="252" t="n"/>
      <c r="AQ5" s="253" t="n"/>
      <c r="AR5" s="262" t="inlineStr">
        <is>
          <t>KẾT QUẢ TỔNG</t>
        </is>
      </c>
      <c r="AS5" s="252" t="n"/>
      <c r="AT5" s="252" t="n"/>
      <c r="AU5" s="253" t="n"/>
    </row>
    <row r="6" ht="30" customHeight="1" s="216">
      <c r="A6" s="152" t="inlineStr">
        <is>
          <t>Testcase ID</t>
        </is>
      </c>
      <c r="B6" s="152" t="inlineStr">
        <is>
          <t>Req ID</t>
        </is>
      </c>
      <c r="C6" s="152" t="inlineStr">
        <is>
          <t>DOC Source</t>
        </is>
      </c>
      <c r="D6" s="114" t="inlineStr">
        <is>
          <t>Group</t>
        </is>
      </c>
      <c r="E6" s="114" t="inlineStr">
        <is>
          <t>Priority</t>
        </is>
      </c>
      <c r="F6" s="114" t="inlineStr">
        <is>
          <t>Test Title
(Nội dung test)</t>
        </is>
      </c>
      <c r="G6" s="114" t="inlineStr">
        <is>
          <t>Pre-condition
(Điều kiện/Dữ liệu)</t>
        </is>
      </c>
      <c r="H6" s="114" t="inlineStr">
        <is>
          <t>Test Steps
(Các bước)</t>
        </is>
      </c>
      <c r="I6" s="114" t="inlineStr">
        <is>
          <t>Expected Result
(Kết quả mong đợi)</t>
        </is>
      </c>
      <c r="J6" s="112" t="inlineStr">
        <is>
          <t>Origin</t>
        </is>
      </c>
      <c r="K6" s="112" t="inlineStr">
        <is>
          <t>Review</t>
        </is>
      </c>
      <c r="L6" s="112" t="inlineStr">
        <is>
          <t>Automated</t>
        </is>
      </c>
      <c r="M6" s="112" t="inlineStr">
        <is>
          <t>Script</t>
        </is>
      </c>
      <c r="N6" s="153" t="inlineStr">
        <is>
          <t>Vibe-test</t>
        </is>
      </c>
      <c r="O6" s="153" t="inlineStr">
        <is>
          <t>KQ Script</t>
        </is>
      </c>
      <c r="P6" s="153" t="inlineStr">
        <is>
          <t>Kết quả</t>
        </is>
      </c>
      <c r="Q6" s="153" t="inlineStr">
        <is>
          <t>Executed By</t>
        </is>
      </c>
      <c r="R6" s="153" t="inlineStr">
        <is>
          <t>ID Bugs</t>
        </is>
      </c>
      <c r="S6" s="153" t="inlineStr">
        <is>
          <t>Note</t>
        </is>
      </c>
      <c r="T6" s="153" t="inlineStr">
        <is>
          <t>Vibe-test</t>
        </is>
      </c>
      <c r="U6" s="153" t="inlineStr">
        <is>
          <t>KQ Script</t>
        </is>
      </c>
      <c r="V6" s="153" t="inlineStr">
        <is>
          <t>Kết quả</t>
        </is>
      </c>
      <c r="W6" s="153" t="inlineStr">
        <is>
          <t>Executed By</t>
        </is>
      </c>
      <c r="X6" s="153" t="inlineStr">
        <is>
          <t>ID Bugs</t>
        </is>
      </c>
      <c r="Y6" s="153" t="inlineStr">
        <is>
          <t>Note</t>
        </is>
      </c>
      <c r="Z6" s="153" t="inlineStr">
        <is>
          <t>Vibe-test</t>
        </is>
      </c>
      <c r="AA6" s="153" t="inlineStr">
        <is>
          <t>KQ Script</t>
        </is>
      </c>
      <c r="AB6" s="153" t="inlineStr">
        <is>
          <t>Kết quả</t>
        </is>
      </c>
      <c r="AC6" s="153" t="inlineStr">
        <is>
          <t>Executed By</t>
        </is>
      </c>
      <c r="AD6" s="153" t="inlineStr">
        <is>
          <t>ID Bugs</t>
        </is>
      </c>
      <c r="AE6" s="153" t="inlineStr">
        <is>
          <t>Note</t>
        </is>
      </c>
      <c r="AF6" s="153" t="inlineStr">
        <is>
          <t>Vibe-test</t>
        </is>
      </c>
      <c r="AG6" s="153" t="inlineStr">
        <is>
          <t>KQ Script</t>
        </is>
      </c>
      <c r="AH6" s="153" t="inlineStr">
        <is>
          <t>Kết quả</t>
        </is>
      </c>
      <c r="AI6" s="153" t="inlineStr">
        <is>
          <t>Executed By</t>
        </is>
      </c>
      <c r="AJ6" s="153" t="inlineStr">
        <is>
          <t>ID Bugs</t>
        </is>
      </c>
      <c r="AK6" s="153" t="inlineStr">
        <is>
          <t>Note</t>
        </is>
      </c>
      <c r="AL6" s="153" t="inlineStr">
        <is>
          <t>Vibe-test</t>
        </is>
      </c>
      <c r="AM6" s="153" t="inlineStr">
        <is>
          <t>KQ Script</t>
        </is>
      </c>
      <c r="AN6" s="153" t="inlineStr">
        <is>
          <t>Kết quả</t>
        </is>
      </c>
      <c r="AO6" s="153" t="inlineStr">
        <is>
          <t>Executed By</t>
        </is>
      </c>
      <c r="AP6" s="153" t="inlineStr">
        <is>
          <t>ID Bugs</t>
        </is>
      </c>
      <c r="AQ6" s="153" t="inlineStr">
        <is>
          <t>Note</t>
        </is>
      </c>
      <c r="AR6" s="263" t="inlineStr">
        <is>
          <t>Vibe-test
(tổng)</t>
        </is>
      </c>
      <c r="AS6" s="263" t="inlineStr">
        <is>
          <t>KQ Script
(tổng)</t>
        </is>
      </c>
      <c r="AT6" s="154" t="inlineStr">
        <is>
          <t>Status</t>
        </is>
      </c>
      <c r="AU6" s="154" t="inlineStr">
        <is>
          <t>Remark</t>
        </is>
      </c>
    </row>
    <row r="7" ht="60" customHeight="1" s="216">
      <c r="A7" s="160">
        <f>IF($F7="","",$C$2&amp;"."&amp;COUNTA($F$7:$F7)&amp;"")</f>
        <v/>
      </c>
      <c r="B7" s="160" t="inlineStr">
        <is>
          <t>REQ-HOME-004</t>
        </is>
      </c>
      <c r="C7" s="160" t="inlineStr">
        <is>
          <t>DOC-v1.1-01</t>
        </is>
      </c>
      <c r="D7" s="160" t="inlineStr">
        <is>
          <t>Functional</t>
        </is>
      </c>
      <c r="E7" s="160" t="inlineStr">
        <is>
          <t>Medium</t>
        </is>
      </c>
      <c r="F7" s="11" t="inlineStr">
        <is>
          <t>Check card Đóng góp của bạn hiện đúng số đơn đã giúp và không có chỉ số môi trường</t>
        </is>
      </c>
      <c r="G7" s="11" t="inlineStr">
        <is>
          <t>- Tài khoản A, B, C là ba CBNV khác nhau trên STG.
- Host app FoxPro đã cài trên thiết bị Android/iOS.
Test Data: 1 đơn Hoàn thành mà A đóng vai người vận chuyển = `SEED-HOME-03` (test_data_catalog §HOME — Số đơn đã giúp theo vai)</t>
        </is>
      </c>
      <c r="H7" s="11" t="inlineStr">
        <is>
          <t>1. Đăng nhập bằng tài khoản A, mở Trang chủ và ghi lại con số đơn đã giúp ở khối hero. (setup)
2. Đăng xuất, đăng nhập bằng tài khoản B, đăng 1 tin NEED khai tài khoản C là người nhận, rồi đăng xuất. (setup)
3. Đăng nhập bằng tài khoản A, nhận đơn đó, nhấn "Tôi đã lấy hàng" và xác nhận, rồi giao hàng cho tới khi đơn sang "Đã giao", sau đó đăng xuất. (setup)
4. Đăng nhập bằng tài khoản C, mở đơn đó và nhấn xác nhận đã nhận hàng, rồi đăng xuất. (setup)
5. Đăng nhập lại bằng tài khoản A và mở Trang chủ. (setup)
6. Check con số ở khối hero, dòng số liệu cộng đồng và toàn bộ nội dung card "Đóng góp của bạn".</t>
        </is>
      </c>
      <c r="I7" s="11" t="inlineStr">
        <is>
          <t>6. Khối hero hiện con số lớn hơn đúng 1 so với con số đã ghi ở step 1; dòng số liệu cộng đồng hiện đúng định dạng "[số] đơn · [số] người"; card KHÔNG hiện chỉ số CO₂ hay điểm ECO nào.</t>
        </is>
      </c>
      <c r="J7" s="160" t="inlineStr">
        <is>
          <t>AI</t>
        </is>
      </c>
      <c r="K7" s="160" t="inlineStr">
        <is>
          <t>Pending</t>
        </is>
      </c>
      <c r="L7" s="160" t="inlineStr">
        <is>
          <t>No</t>
        </is>
      </c>
      <c r="M7" s="160" t="inlineStr"/>
      <c r="N7" s="264" t="inlineStr"/>
      <c r="O7" s="264" t="inlineStr"/>
      <c r="P7" s="264" t="inlineStr"/>
      <c r="Q7" s="264" t="inlineStr"/>
      <c r="R7" s="264" t="inlineStr"/>
      <c r="S7" s="264" t="inlineStr"/>
      <c r="T7" s="264" t="n"/>
      <c r="U7" s="264" t="n"/>
      <c r="V7" s="264" t="n"/>
      <c r="W7" s="264" t="n"/>
      <c r="X7" s="264" t="n"/>
      <c r="Y7" s="264" t="n"/>
      <c r="Z7" s="264" t="n"/>
      <c r="AA7" s="264" t="n"/>
      <c r="AB7" s="264" t="n"/>
      <c r="AC7" s="264" t="n"/>
      <c r="AD7" s="264" t="n"/>
      <c r="AE7" s="264" t="n"/>
      <c r="AF7" s="264" t="n"/>
      <c r="AG7" s="264" t="n"/>
      <c r="AH7" s="264" t="n"/>
      <c r="AI7" s="264" t="n"/>
      <c r="AJ7" s="264" t="n"/>
      <c r="AK7" s="264" t="n"/>
      <c r="AL7" s="264" t="n"/>
      <c r="AM7" s="264" t="n"/>
      <c r="AN7" s="264" t="n"/>
      <c r="AO7" s="264" t="n"/>
      <c r="AP7" s="264" t="n"/>
      <c r="AQ7" s="264" t="n"/>
      <c r="AR7" s="158">
        <f>IF($A7="","",IF(OR($N7="Yes",$T7="Yes",$Z7="Yes",$AF7="Yes",$AL7="Yes"),"Yes","No"))</f>
        <v/>
      </c>
      <c r="AS7" s="158">
        <f>IF($A7="","",IFERROR(IF($AM7&lt;&gt;"",$AM7,IF($AG7&lt;&gt;"",$AG7,IF($AA7&lt;&gt;"",$AA7,IF($U7&lt;&gt;"",$U7,IF($O7&lt;&gt;"",$O7,""))))),""))</f>
        <v/>
      </c>
      <c r="AT7" s="158">
        <f>IFERROR(IF($AN7&lt;&gt;"",$AN7,IF($AH7&lt;&gt;"",$AH7,IF($AB7&lt;&gt;"",$AB7,IF($V7&lt;&gt;"",$V7,IF($P7&lt;&gt;"",$P7,""))))),"")</f>
        <v/>
      </c>
      <c r="AU7" s="265" t="inlineStr">
        <is>
          <t>Đã sửa theo BA trả lời `C-HOME-06` 2026-09-17: hero chỉ đếm đơn **Hoàn thành ở vai người vận chuyển**, bản v1.0 chưa có công thức nên chỉ assert "có hiện số". · Mục đích: đo bằng phép tăng 1 thay vì so với con số tuyệt đối — tài khoản dùng chung trên STG không có con số gốc tin cậy. · Căn cứ: `BR14-04` (đơn Đã trả người gửi KHÔNG tính — verify ở `TC-DLV-065`). ⛔ Không assert số người ở dòng cộng đồng: BA đề nghị bỏ qua định nghĩa "người tham gia".</t>
        </is>
      </c>
    </row>
    <row r="8" ht="60" customHeight="1" s="216">
      <c r="A8" s="160">
        <f>IF($F8="","",$C$2&amp;"."&amp;COUNTA($F$7:$F8)&amp;"")</f>
        <v/>
      </c>
      <c r="B8" s="160" t="inlineStr">
        <is>
          <t>REQ-HOME-004</t>
        </is>
      </c>
      <c r="C8" s="160" t="inlineStr">
        <is>
          <t>DOC-v1.1-01</t>
        </is>
      </c>
      <c r="D8" s="160" t="inlineStr">
        <is>
          <t>Functional</t>
        </is>
      </c>
      <c r="E8" s="160" t="inlineStr">
        <is>
          <t>Low</t>
        </is>
      </c>
      <c r="F8" s="11" t="inlineStr">
        <is>
          <t>Check hero hiện số không với tài khoản chỉ từng làm người gửi</t>
        </is>
      </c>
      <c r="G8" s="11" t="inlineStr">
        <is>
          <t>- Tài khoản CBNV "sạch" trên STG = `SEED-HOME-01` (0 đóng góp) — dùng chung với `TC-HOME-027/028`, không chuẩn bị lại.
- Tài khoản B và C là hai CBNV khác trên STG.
- Host app FoxPro đã cài trên thiết bị Android/iOS.
Test Data: Tài khoản chỉ làm người gửi, có ≥1 đơn Hoàn thành (test_data_catalog §HOME — Số đơn đã giúp theo vai, nhánh invalid)</t>
        </is>
      </c>
      <c r="H8" s="11" t="inlineStr">
        <is>
          <t>1. Đăng nhập bằng tài khoản "sạch", đăng 1 tin NEED khai tài khoản C là người nhận, rồi đăng xuất. (setup)
2. Đăng nhập bằng tài khoản B, nhận đơn đó, nhấn "Tôi đã lấy hàng" và xác nhận, rồi giao hàng cho tới khi đơn sang "Đã giao", sau đó đăng xuất. (setup)
3. Đăng nhập bằng tài khoản C, mở đơn đó và nhấn xác nhận đã nhận hàng, rồi đăng xuất. (setup)
4. Đăng nhập lại bằng tài khoản "sạch" và mở Trang chủ. (setup)
5. Check con số đơn đã giúp ở khối hero.</t>
        </is>
      </c>
      <c r="I8" s="11" t="inlineStr">
        <is>
          <t>5. Khối hero hiện số 0, đơn Hoàn thành ở vai người gửi KHÔNG được cộng vào.</t>
        </is>
      </c>
      <c r="J8" s="160" t="inlineStr">
        <is>
          <t>AI</t>
        </is>
      </c>
      <c r="K8" s="160" t="inlineStr">
        <is>
          <t>Pending</t>
        </is>
      </c>
      <c r="L8" s="160" t="inlineStr">
        <is>
          <t>No</t>
        </is>
      </c>
      <c r="M8" s="160" t="inlineStr"/>
      <c r="N8" s="264" t="inlineStr"/>
      <c r="O8" s="264" t="inlineStr"/>
      <c r="P8" s="264" t="inlineStr"/>
      <c r="Q8" s="264" t="inlineStr"/>
      <c r="R8" s="264" t="inlineStr"/>
      <c r="S8" s="264" t="inlineStr"/>
      <c r="T8" s="264" t="n"/>
      <c r="U8" s="264" t="n"/>
      <c r="V8" s="264" t="n"/>
      <c r="W8" s="264" t="n"/>
      <c r="X8" s="264" t="n"/>
      <c r="Y8" s="264" t="n"/>
      <c r="Z8" s="264" t="n"/>
      <c r="AA8" s="264" t="n"/>
      <c r="AB8" s="264" t="n"/>
      <c r="AC8" s="264" t="n"/>
      <c r="AD8" s="264" t="n"/>
      <c r="AE8" s="264" t="n"/>
      <c r="AF8" s="264" t="n"/>
      <c r="AG8" s="264" t="n"/>
      <c r="AH8" s="264" t="n"/>
      <c r="AI8" s="264" t="n"/>
      <c r="AJ8" s="264" t="n"/>
      <c r="AK8" s="264" t="n"/>
      <c r="AL8" s="264" t="n"/>
      <c r="AM8" s="264" t="n"/>
      <c r="AN8" s="264" t="n"/>
      <c r="AO8" s="264" t="n"/>
      <c r="AP8" s="264" t="n"/>
      <c r="AQ8" s="264" t="n"/>
      <c r="AR8" s="158">
        <f>IF($A8="","",IF(OR($N8="Yes",$T8="Yes",$Z8="Yes",$AF8="Yes",$AL8="Yes"),"Yes","No"))</f>
        <v/>
      </c>
      <c r="AS8" s="158">
        <f>IF($A8="","",IFERROR(IF($AM8&lt;&gt;"",$AM8,IF($AG8&lt;&gt;"",$AG8,IF($AA8&lt;&gt;"",$AA8,IF($U8&lt;&gt;"",$U8,IF($O8&lt;&gt;"",$O8,""))))),""))</f>
        <v/>
      </c>
      <c r="AT8" s="158">
        <f>IFERROR(IF($AN8&lt;&gt;"",$AN8,IF($AH8&lt;&gt;"",$AH8,IF($AB8&lt;&gt;"",$AB8,IF($V8&lt;&gt;"",$V8,IF($P8&lt;&gt;"",$P8,""))))),"")</f>
        <v/>
      </c>
      <c r="AU8" s="265" t="inlineStr">
        <is>
          <t>Mục đích: đối chứng âm cho `TC-HOME-008` — cùng 1 đơn Hoàn thành nhưng đếm cho vai người vận chuyển chứ không cho vai người gửi; lỗi hay gặp là đếm mọi đơn Hoàn thành mà tài khoản có liên quan. · Căn cứ: BA trả lời `C-HOME-06(a)` 2026-09-17 + `AC-26.2.01`.</t>
        </is>
      </c>
    </row>
    <row r="9" ht="60" customHeight="1" s="216">
      <c r="A9" s="160">
        <f>IF($F9="","",$C$2&amp;"."&amp;COUNTA($F$7:$F9)&amp;"")</f>
        <v/>
      </c>
      <c r="B9" s="160" t="inlineStr">
        <is>
          <t>REQ-HOME-004</t>
        </is>
      </c>
      <c r="C9" s="160" t="inlineStr">
        <is>
          <t>DOC-v1.1-01</t>
        </is>
      </c>
      <c r="D9" s="160" t="inlineStr">
        <is>
          <t>Functional</t>
        </is>
      </c>
      <c r="E9" s="160" t="inlineStr">
        <is>
          <t>Medium</t>
        </is>
      </c>
      <c r="F9" s="11" t="inlineStr">
        <is>
          <t>Check số đơn cộng đồng tăng đúng một ngay sau khi có đơn hoàn thành</t>
        </is>
      </c>
      <c r="G9" s="11" t="inlineStr">
        <is>
          <t>- Tài khoản A, B, C là ba CBNV khác nhau trên STG.
- Host app FoxPro đã cài trên thiết bị Android/iOS.
Test Data: Số đơn cộng đồng trước và sau 1 đơn Hoàn thành (test_data_catalog §HOME — "[x] đơn · [y] người" cộng đồng)</t>
        </is>
      </c>
      <c r="H9" s="11" t="inlineStr">
        <is>
          <t>1. Đăng nhập bằng tài khoản A, mở Trang chủ và ghi lại số đơn ở dòng số liệu cộng đồng. (setup)
2. Đăng xuất, đăng nhập bằng tài khoản B, đăng 1 tin NEED khai tài khoản C là người nhận, nhờ một tài khoản phụ khác nhận và giao đơn đó cho tới khi đơn sang "Đã giao", rồi đăng xuất. (setup)
3. Đăng nhập bằng tài khoản C, mở đơn đó và nhấn xác nhận đã nhận hàng, rồi đăng xuất. (setup)
4. Đăng nhập lại bằng tài khoản A và mở lại Trang chủ. (setup)
5. Check số đơn ở dòng số liệu cộng đồng.</t>
        </is>
      </c>
      <c r="I9" s="11" t="inlineStr">
        <is>
          <t>5. Số đơn ở dòng cộng đồng lớn hơn đúng 1 so với con số đã ghi ở step 1.</t>
        </is>
      </c>
      <c r="J9" s="160" t="inlineStr">
        <is>
          <t>AI</t>
        </is>
      </c>
      <c r="K9" s="160" t="inlineStr">
        <is>
          <t>Pending</t>
        </is>
      </c>
      <c r="L9" s="160" t="inlineStr">
        <is>
          <t>No</t>
        </is>
      </c>
      <c r="M9" s="160" t="inlineStr"/>
      <c r="N9" s="264" t="inlineStr"/>
      <c r="O9" s="264" t="inlineStr"/>
      <c r="P9" s="264" t="inlineStr"/>
      <c r="Q9" s="264" t="inlineStr"/>
      <c r="R9" s="264" t="inlineStr"/>
      <c r="S9" s="264" t="inlineStr"/>
      <c r="T9" s="264" t="n"/>
      <c r="U9" s="264" t="n"/>
      <c r="V9" s="264" t="n"/>
      <c r="W9" s="264" t="n"/>
      <c r="X9" s="264" t="n"/>
      <c r="Y9" s="264" t="n"/>
      <c r="Z9" s="264" t="n"/>
      <c r="AA9" s="264" t="n"/>
      <c r="AB9" s="264" t="n"/>
      <c r="AC9" s="264" t="n"/>
      <c r="AD9" s="264" t="n"/>
      <c r="AE9" s="264" t="n"/>
      <c r="AF9" s="264" t="n"/>
      <c r="AG9" s="264" t="n"/>
      <c r="AH9" s="264" t="n"/>
      <c r="AI9" s="264" t="n"/>
      <c r="AJ9" s="264" t="n"/>
      <c r="AK9" s="264" t="n"/>
      <c r="AL9" s="264" t="n"/>
      <c r="AM9" s="264" t="n"/>
      <c r="AN9" s="264" t="n"/>
      <c r="AO9" s="264" t="n"/>
      <c r="AP9" s="264" t="n"/>
      <c r="AQ9" s="264" t="n"/>
      <c r="AR9" s="158">
        <f>IF($A9="","",IF(OR($N9="Yes",$T9="Yes",$Z9="Yes",$AF9="Yes",$AL9="Yes"),"Yes","No"))</f>
        <v/>
      </c>
      <c r="AS9" s="158">
        <f>IF($A9="","",IFERROR(IF($AM9&lt;&gt;"",$AM9,IF($AG9&lt;&gt;"",$AG9,IF($AA9&lt;&gt;"",$AA9,IF($U9&lt;&gt;"",$U9,IF($O9&lt;&gt;"",$O9,""))))),""))</f>
        <v/>
      </c>
      <c r="AT9" s="158">
        <f>IFERROR(IF($AN9&lt;&gt;"",$AN9,IF($AH9&lt;&gt;"",$AH9,IF($AB9&lt;&gt;"",$AB9,IF($V9&lt;&gt;"",$V9,IF($P9&lt;&gt;"",$P9,""))))),"")</f>
        <v/>
      </c>
      <c r="AU9" s="265" t="inlineStr">
        <is>
          <t>Mục đích: đồng thời chốt hai vế của `C-HOME-06(b)(c)` — x đếm **toàn hệ thống** (đơn do tài khoản khác hoàn thành vẫn cộng vào số A nhìn thấy) và cập nhật **realtime** (tăng ngay lần mở lại, không chờ chu kỳ). · Căn cứ: BA trả lời `C-HOME-06(b)(c)` 2026-09-17. ⛔ Không assert số người ở dòng này — định nghĩa "người tham gia" BA đề nghị bỏ qua.</t>
        </is>
      </c>
    </row>
    <row r="10">
      <c r="A10" s="160">
        <f>IF($F10="","",$C$2&amp;"."&amp;COUNTA($F$7:$F10)&amp;"")</f>
        <v/>
      </c>
      <c r="B10" s="160" t="inlineStr">
        <is>
          <t>REQ-HOME-011</t>
        </is>
      </c>
      <c r="C10" s="160" t="inlineStr">
        <is>
          <t>DOC-v1.1-01</t>
        </is>
      </c>
      <c r="D10" s="160" t="inlineStr">
        <is>
          <t>Functional</t>
        </is>
      </c>
      <c r="E10" s="160" t="inlineStr">
        <is>
          <t>Low</t>
        </is>
      </c>
      <c r="F10" s="11" t="inlineStr">
        <is>
          <t>Check section Tin mới hiển thị đúng năm tin khi hệ thống có nhiều hơn năm tin hợp lệ</t>
        </is>
      </c>
      <c r="G10" s="11" t="inlineStr">
        <is>
          <t>- Tài khoản A và B là hai CBNV khác nhau trên STG.
- Host app FoxPro đã cài trên thiết bị Android/iOS.
Test Data: ≥6 tin NEED `POSTED` hợp lệ = `SEED-HOME-02` (test_data_catalog §HOME — Số tin NEED section "Tin mới")</t>
        </is>
      </c>
      <c r="H10" s="11" t="inlineStr">
        <is>
          <t>1. Đăng nhập bằng tài khoản B, đăng 6 tin NEED còn hiệu lực qua wizard "+ Đăng tin", rồi đăng xuất. (setup)
2. Đăng nhập bằng tài khoản A và mở Trang chủ. (setup)
3. Đếm số tin hiển thị trong section "Tin mới".</t>
        </is>
      </c>
      <c r="I10" s="11" t="inlineStr">
        <is>
          <t>3. Section "Tin mới" hiển thị đúng 5 tin, không nhiều hơn và không ít hơn.</t>
        </is>
      </c>
      <c r="J10" s="160" t="inlineStr">
        <is>
          <t>AI</t>
        </is>
      </c>
      <c r="K10" s="160" t="inlineStr">
        <is>
          <t>Pending</t>
        </is>
      </c>
      <c r="L10" s="160" t="inlineStr">
        <is>
          <t>No</t>
        </is>
      </c>
      <c r="M10" s="160" t="inlineStr"/>
      <c r="N10" s="264" t="inlineStr">
        <is>
          <t>Yes</t>
        </is>
      </c>
      <c r="O10" s="264" t="inlineStr"/>
      <c r="P10" s="264" t="inlineStr">
        <is>
          <t>Pass</t>
        </is>
      </c>
      <c r="Q10" s="264" t="inlineStr">
        <is>
          <t>GiangDC2</t>
        </is>
      </c>
      <c r="R10" s="264" t="inlineStr"/>
      <c r="S10" s="264" t="inlineStr"/>
      <c r="T10" s="264" t="n"/>
      <c r="U10" s="264" t="n"/>
      <c r="V10" s="264" t="n"/>
      <c r="W10" s="264" t="n"/>
      <c r="X10" s="264" t="n"/>
      <c r="Y10" s="264" t="n"/>
      <c r="Z10" s="264" t="n"/>
      <c r="AA10" s="264" t="n"/>
      <c r="AB10" s="264" t="n"/>
      <c r="AC10" s="264" t="n"/>
      <c r="AD10" s="264" t="n"/>
      <c r="AE10" s="264" t="n"/>
      <c r="AF10" s="264" t="n"/>
      <c r="AG10" s="264" t="n"/>
      <c r="AH10" s="264" t="n"/>
      <c r="AI10" s="264" t="n"/>
      <c r="AJ10" s="264" t="n"/>
      <c r="AK10" s="264" t="n"/>
      <c r="AL10" s="264" t="n"/>
      <c r="AM10" s="264" t="n"/>
      <c r="AN10" s="264" t="n"/>
      <c r="AO10" s="264" t="n"/>
      <c r="AP10" s="264" t="n"/>
      <c r="AQ10" s="264" t="n"/>
      <c r="AR10" s="158">
        <f>IF($A10="","",IF(OR($N10="Yes",$T10="Yes",$Z10="Yes",$AF10="Yes",$AL10="Yes"),"Yes","No"))</f>
        <v/>
      </c>
      <c r="AS10" s="158">
        <f>IF($A10="","",IFERROR(IF($AM10&lt;&gt;"",$AM10,IF($AG10&lt;&gt;"",$AG10,IF($AA10&lt;&gt;"",$AA10,IF($U10&lt;&gt;"",$U10,IF($O10&lt;&gt;"",$O10,""))))),""))</f>
        <v/>
      </c>
      <c r="AT10" s="158">
        <f>IFERROR(IF($AN10&lt;&gt;"",$AN10,IF($AH10&lt;&gt;"",$AH10,IF($AB10&lt;&gt;"",$AB10,IF($V10&lt;&gt;"",$V10,IF($P10&lt;&gt;"",$P10,""))))),"")</f>
        <v/>
      </c>
      <c r="AU10" s="265" t="inlineStr">
        <is>
          <t>Đã sửa theo `C-HOME-03` Resolved 2026-09-15 (`AC-11.1.01`): đổi từ *"hiển thị nhiều nhất 5 tin"* của bản v1.0 sang **đúng 5 tin** — PRD v1.1 thắng cả `DOC-v1.0-02` (1 tin) lẫn BRD `US-D06`. · Mục đích: app từng hiện đúng 1 tin; "nhiều nhất 5" khiến 1 tin cũng PASS, đó là lý do phải siết thành số chính xác. · Căn cứ: 3 lớp loại trừ verify riêng ở `TC-HOME-030` — TC này chỉ chốt số lượng.</t>
        </is>
      </c>
    </row>
    <row r="11">
      <c r="A11" s="160">
        <f>IF($F11="","",$C$2&amp;"."&amp;COUNTA($F$7:$F11)&amp;"")</f>
        <v/>
      </c>
      <c r="B11" s="160" t="inlineStr">
        <is>
          <t>REQ-HOME-011</t>
        </is>
      </c>
      <c r="C11" s="160" t="inlineStr">
        <is>
          <t>DOC-v1.1-01</t>
        </is>
      </c>
      <c r="D11" s="160" t="inlineStr">
        <is>
          <t>Functional</t>
        </is>
      </c>
      <c r="E11" s="160" t="inlineStr">
        <is>
          <t>Low</t>
        </is>
      </c>
      <c r="F11" s="11" t="inlineStr">
        <is>
          <t>Check nút Xem thêm trên Bảng tin hiện và dẫn sang Bảng tin khi có hơn năm tin hợp lệ</t>
        </is>
      </c>
      <c r="G11" s="11" t="inlineStr">
        <is>
          <t>- Tài khoản A và B là hai CBNV khác nhau trên STG.
- Host app FoxPro đã cài trên thiết bị Android/iOS.
Test Data: &gt;5 tin NEED hợp lệ = `SEED-HOME-02` (test_data_catalog §HOME — Tổng tin hợp lệ, biên trên)</t>
        </is>
      </c>
      <c r="H11" s="11" t="inlineStr">
        <is>
          <t>1. Đăng nhập bằng tài khoản B, đăng 6 tin NEED còn hiệu lực qua wizard "+ Đăng tin", rồi đăng xuất. (setup)
2. Đăng nhập bằng tài khoản A và mở Trang chủ. (setup)
3. Cuộn xuống cuối section "Tin mới".
4. Nhấn nút "Xem thêm trên Bảng tin".
5. Check tên màn vừa mở.</t>
        </is>
      </c>
      <c r="I11" s="11" t="inlineStr">
        <is>
          <t>5. Nút "Xem thêm trên Bảng tin" hiện ở cuối section và nhấn vào mở đúng màn Bảng tin.</t>
        </is>
      </c>
      <c r="J11" s="160" t="inlineStr">
        <is>
          <t>AI</t>
        </is>
      </c>
      <c r="K11" s="160" t="inlineStr">
        <is>
          <t>Pending</t>
        </is>
      </c>
      <c r="L11" s="160" t="inlineStr">
        <is>
          <t>No</t>
        </is>
      </c>
      <c r="M11" s="160" t="inlineStr"/>
      <c r="N11" s="264" t="inlineStr">
        <is>
          <t>Yes</t>
        </is>
      </c>
      <c r="O11" s="264" t="inlineStr"/>
      <c r="P11" s="264" t="inlineStr">
        <is>
          <t>Pass</t>
        </is>
      </c>
      <c r="Q11" s="264" t="inlineStr">
        <is>
          <t>GiangDC2</t>
        </is>
      </c>
      <c r="R11" s="264" t="inlineStr"/>
      <c r="S11" s="264" t="inlineStr"/>
      <c r="T11" s="264" t="n"/>
      <c r="U11" s="264" t="n"/>
      <c r="V11" s="264" t="n"/>
      <c r="W11" s="264" t="n"/>
      <c r="X11" s="264" t="n"/>
      <c r="Y11" s="264" t="n"/>
      <c r="Z11" s="264" t="n"/>
      <c r="AA11" s="264" t="n"/>
      <c r="AB11" s="264" t="n"/>
      <c r="AC11" s="264" t="n"/>
      <c r="AD11" s="264" t="n"/>
      <c r="AE11" s="264" t="n"/>
      <c r="AF11" s="264" t="n"/>
      <c r="AG11" s="264" t="n"/>
      <c r="AH11" s="264" t="n"/>
      <c r="AI11" s="264" t="n"/>
      <c r="AJ11" s="264" t="n"/>
      <c r="AK11" s="264" t="n"/>
      <c r="AL11" s="264" t="n"/>
      <c r="AM11" s="264" t="n"/>
      <c r="AN11" s="264" t="n"/>
      <c r="AO11" s="264" t="n"/>
      <c r="AP11" s="264" t="n"/>
      <c r="AQ11" s="264" t="n"/>
      <c r="AR11" s="158">
        <f>IF($A11="","",IF(OR($N11="Yes",$T11="Yes",$Z11="Yes",$AF11="Yes",$AL11="Yes"),"Yes","No"))</f>
        <v/>
      </c>
      <c r="AS11" s="158">
        <f>IF($A11="","",IFERROR(IF($AM11&lt;&gt;"",$AM11,IF($AG11&lt;&gt;"",$AG11,IF($AA11&lt;&gt;"",$AA11,IF($U11&lt;&gt;"",$U11,IF($O11&lt;&gt;"",$O11,""))))),""))</f>
        <v/>
      </c>
      <c r="AT11" s="158">
        <f>IFERROR(IF($AN11&lt;&gt;"",$AN11,IF($AH11&lt;&gt;"",$AH11,IF($AB11&lt;&gt;"",$AB11,IF($V11&lt;&gt;"",$V11,IF($P11&lt;&gt;"",$P11,""))))),"")</f>
        <v/>
      </c>
      <c r="AU11" s="265" t="inlineStr">
        <is>
          <t>Đã sửa theo `AC-11.1.01` 2026-09-17: bổ sung điều kiện hiện nút (**&gt;5 tin hợp lệ**) mà bản v1.0 cố ý bỏ trống vì khi đó không có nguồn tài liệu (`RISK-HOME-03`). · Mục đích: cặp biên với `TC-HOME-025` — chiều dương của cùng ngưỡng 5.</t>
        </is>
      </c>
    </row>
    <row r="12">
      <c r="A12" s="160">
        <f>IF($F12="","",$C$2&amp;"."&amp;COUNTA($F$7:$F12)&amp;"")</f>
        <v/>
      </c>
      <c r="B12" s="160" t="inlineStr">
        <is>
          <t>REQ-HOME-011</t>
        </is>
      </c>
      <c r="C12" s="160" t="inlineStr">
        <is>
          <t>DOC-v1.1-01</t>
        </is>
      </c>
      <c r="D12" s="160" t="inlineStr">
        <is>
          <t>Functional</t>
        </is>
      </c>
      <c r="E12" s="160" t="inlineStr">
        <is>
          <t>Low</t>
        </is>
      </c>
      <c r="F12" s="11" t="inlineStr">
        <is>
          <t>Check nút Xem thêm trên Bảng tin không hiện khi chỉ có đúng năm tin hợp lệ</t>
        </is>
      </c>
      <c r="G12" s="11" t="inlineStr">
        <is>
          <t>- Tài khoản A là CBNV có hồ sơ đầy đủ trên STG.
- Host app FoxPro đã cài trên thiết bị Android/iOS.
- Môi trường STG riêng hoặc khung giờ đã dọn dữ liệu, cho phép khống chế tổng số tin NEED hợp lệ của TOÀN hệ thống.
Test Data: Đúng 5 tin NEED hợp lệ toàn hệ thống — biên dưới (test_data_catalog §HOME — Tổng tin hợp lệ, biên)</t>
        </is>
      </c>
      <c r="H12" s="11" t="inlineStr">
        <is>
          <t>1. Dọn dữ liệu STG để toàn hệ thống không còn tin NEED hợp lệ nào, rồi đăng đúng 5 tin NEED còn hiệu lực bằng tài khoản phụ, sau đó đăng xuất. (setup)
2. Đăng nhập bằng tài khoản A và mở Trang chủ. (setup)
3. Đếm số tin trong section "Tin mới" rồi cuộn xuống cuối section.
4. Check khu vực cuối section "Tin mới".</t>
        </is>
      </c>
      <c r="I12" s="11" t="inlineStr">
        <is>
          <t>4. Section hiển thị đúng 5 tin và cuối section KHÔNG có nút "Xem thêm trên Bảng tin".</t>
        </is>
      </c>
      <c r="J12" s="160" t="inlineStr">
        <is>
          <t>AI</t>
        </is>
      </c>
      <c r="K12" s="160" t="inlineStr">
        <is>
          <t>Pending</t>
        </is>
      </c>
      <c r="L12" s="160" t="inlineStr">
        <is>
          <t>No</t>
        </is>
      </c>
      <c r="M12" s="160" t="inlineStr"/>
      <c r="N12" s="264" t="inlineStr">
        <is>
          <t>Yes</t>
        </is>
      </c>
      <c r="O12" s="264" t="inlineStr"/>
      <c r="P12" s="264" t="inlineStr">
        <is>
          <t>Fail</t>
        </is>
      </c>
      <c r="Q12" s="264" t="inlineStr">
        <is>
          <t>GiangDC2</t>
        </is>
      </c>
      <c r="R12" s="264" t="inlineStr">
        <is>
          <t>FE-309</t>
        </is>
      </c>
      <c r="S12" s="264" t="inlineStr"/>
      <c r="T12" s="264" t="n"/>
      <c r="U12" s="264" t="n"/>
      <c r="V12" s="264" t="n"/>
      <c r="W12" s="264" t="n"/>
      <c r="X12" s="264" t="n"/>
      <c r="Y12" s="264" t="n"/>
      <c r="Z12" s="264" t="n"/>
      <c r="AA12" s="264" t="n"/>
      <c r="AB12" s="264" t="n"/>
      <c r="AC12" s="264" t="n"/>
      <c r="AD12" s="264" t="n"/>
      <c r="AE12" s="264" t="n"/>
      <c r="AF12" s="264" t="n"/>
      <c r="AG12" s="264" t="n"/>
      <c r="AH12" s="264" t="n"/>
      <c r="AI12" s="264" t="n"/>
      <c r="AJ12" s="264" t="n"/>
      <c r="AK12" s="264" t="n"/>
      <c r="AL12" s="264" t="n"/>
      <c r="AM12" s="264" t="n"/>
      <c r="AN12" s="264" t="n"/>
      <c r="AO12" s="264" t="n"/>
      <c r="AP12" s="264" t="n"/>
      <c r="AQ12" s="264" t="n"/>
      <c r="AR12" s="158">
        <f>IF($A12="","",IF(OR($N12="Yes",$T12="Yes",$Z12="Yes",$AF12="Yes",$AL12="Yes"),"Yes","No"))</f>
        <v/>
      </c>
      <c r="AS12" s="158">
        <f>IF($A12="","",IFERROR(IF($AM12&lt;&gt;"",$AM12,IF($AG12&lt;&gt;"",$AG12,IF($AA12&lt;&gt;"",$AA12,IF($U12&lt;&gt;"",$U12,IF($O12&lt;&gt;"",$O12,""))))),""))</f>
        <v/>
      </c>
      <c r="AT12" s="158">
        <f>IFERROR(IF($AN12&lt;&gt;"",$AN12,IF($AH12&lt;&gt;"",$AH12,IF($AB12&lt;&gt;"",$AB12,IF($V12&lt;&gt;"",$V12,IF($P12&lt;&gt;"",$P12,""))))),"")</f>
        <v/>
      </c>
      <c r="AU12" s="265" t="inlineStr">
        <is>
          <t>Mục đích: cặp biên âm với `TC-HOME-021` — ngưỡng 5 phải phân định được hai chiều, chỉ chạy chiều dương thì nút luôn-hiện cũng PASS. · Căn cứ: `AC-11.1.01`. ⚠️ **Không dựng được trên STG dùng chung**: `C-HOME-04` Resolved 2026-09-17 chốt tin load **toàn quốc** nên phải khống chế dữ liệu toàn hệ thống, không chỉ dữ liệu tài khoản test. Không có môi trường riêng ⇒ ghi **`Blocked` kèm lý do**, ⛔ KHÔNG đánh PASS cho xong.</t>
        </is>
      </c>
    </row>
    <row r="13">
      <c r="A13" s="160">
        <f>IF($F13="","",$C$2&amp;"."&amp;COUNTA($F$7:$F13)&amp;"")</f>
        <v/>
      </c>
      <c r="B13" s="160" t="inlineStr">
        <is>
          <t>REQ-HOME-011, REQ-HOME-012</t>
        </is>
      </c>
      <c r="C13" s="160" t="inlineStr">
        <is>
          <t>DOC-v1.1-01</t>
        </is>
      </c>
      <c r="D13" s="160" t="inlineStr">
        <is>
          <t>UI</t>
        </is>
      </c>
      <c r="E13" s="160" t="inlineStr">
        <is>
          <t>Low</t>
        </is>
      </c>
      <c r="F13" s="11" t="inlineStr">
        <is>
          <t>Check empty state section Tin mới hiện đúng chuỗi và nút đăng tin ngay</t>
        </is>
      </c>
      <c r="G13" s="11" t="inlineStr">
        <is>
          <t>- Tài khoản A là CBNV có hồ sơ đầy đủ trên STG.
- Host app FoxPro đã cài trên thiết bị Android/iOS.
- Môi trường STG riêng hoặc khung giờ đã dọn dữ liệu, cho phép đưa toàn hệ thống về 0 tin NEED hợp lệ.
Test Data: Tài khoản "sạch" + 0 tin hợp lệ toàn hệ thống (test_data_catalog §HOME — Tài khoản "sạch" cho empty state)</t>
        </is>
      </c>
      <c r="H13" s="11" t="inlineStr">
        <is>
          <t>1. Dọn dữ liệu STG để toàn hệ thống không còn tin NEED hợp lệ nào ngoài tin của chính tài khoản A. (setup)
2. Đăng nhập bằng tài khoản A và mở Trang chủ. (setup)
3. Check vùng nội dung của section "Tin mới": icon, dòng tiêu đề, dòng giải thích và nút CTA.</t>
        </is>
      </c>
      <c r="I13" s="11" t="inlineStr">
        <is>
          <t>3. Section hiện icon nét mảnh, dòng tiêu đề đúng chuỗi "Chưa có tin nào trong khu vực của bạn", dòng giải thích "Đăng tin để đồng nghiệp nhìn thấy nhu cầu của bạn" và nút CTA "Đăng tin ngay"; không có skeleton kéo dài.</t>
        </is>
      </c>
      <c r="J13" s="160" t="inlineStr">
        <is>
          <t>AI</t>
        </is>
      </c>
      <c r="K13" s="160" t="inlineStr">
        <is>
          <t>Pending</t>
        </is>
      </c>
      <c r="L13" s="160" t="inlineStr">
        <is>
          <t>No</t>
        </is>
      </c>
      <c r="M13" s="160" t="inlineStr"/>
      <c r="N13" s="264" t="inlineStr">
        <is>
          <t>Yes</t>
        </is>
      </c>
      <c r="O13" s="264" t="inlineStr"/>
      <c r="P13" s="264" t="inlineStr">
        <is>
          <t>Pass</t>
        </is>
      </c>
      <c r="Q13" s="264" t="inlineStr">
        <is>
          <t>GiangDC2</t>
        </is>
      </c>
      <c r="R13" s="264" t="inlineStr"/>
      <c r="S13" s="264" t="inlineStr"/>
      <c r="T13" s="264" t="n"/>
      <c r="U13" s="264" t="n"/>
      <c r="V13" s="264" t="n"/>
      <c r="W13" s="264" t="n"/>
      <c r="X13" s="264" t="n"/>
      <c r="Y13" s="264" t="n"/>
      <c r="Z13" s="264" t="n"/>
      <c r="AA13" s="264" t="n"/>
      <c r="AB13" s="264" t="n"/>
      <c r="AC13" s="264" t="n"/>
      <c r="AD13" s="264" t="n"/>
      <c r="AE13" s="264" t="n"/>
      <c r="AF13" s="264" t="n"/>
      <c r="AG13" s="264" t="n"/>
      <c r="AH13" s="264" t="n"/>
      <c r="AI13" s="264" t="n"/>
      <c r="AJ13" s="264" t="n"/>
      <c r="AK13" s="264" t="n"/>
      <c r="AL13" s="264" t="n"/>
      <c r="AM13" s="264" t="n"/>
      <c r="AN13" s="264" t="n"/>
      <c r="AO13" s="264" t="n"/>
      <c r="AP13" s="264" t="n"/>
      <c r="AQ13" s="264" t="n"/>
      <c r="AR13" s="158">
        <f>IF($A13="","",IF(OR($N13="Yes",$T13="Yes",$Z13="Yes",$AF13="Yes",$AL13="Yes"),"Yes","No"))</f>
        <v/>
      </c>
      <c r="AS13" s="158">
        <f>IF($A13="","",IFERROR(IF($AM13&lt;&gt;"",$AM13,IF($AG13&lt;&gt;"",$AG13,IF($AA13&lt;&gt;"",$AA13,IF($U13&lt;&gt;"",$U13,IF($O13&lt;&gt;"",$O13,""))))),""))</f>
        <v/>
      </c>
      <c r="AT13" s="158">
        <f>IFERROR(IF($AN13&lt;&gt;"",$AN13,IF($AH13&lt;&gt;"",$AH13,IF($AB13&lt;&gt;"",$AB13,IF($V13&lt;&gt;"",$V13,IF($P13&lt;&gt;"",$P13,""))))),"")</f>
        <v/>
      </c>
      <c r="AU13" s="265" t="inlineStr">
        <is>
          <t>Mục đích: kết quả phản trực giác — `C-HOME-04` chốt tin load **toàn quốc** nên chữ *"trong khu vực của bạn"* KHÔNG còn khớp hành vi, nhưng BA trả lời vòng 3 *"giữ nguyên nhé"* ⇒ **assert cứng chuỗi PRD**, ⛔ không sửa Expected theo logic. · Căn cứ: `EMP-01` + `AC-11.2.01`. App đổi chữ ⇒ FAIL và dẫn `C-HOME-04`. ⚠️ Cùng ràng buộc môi trường với `TC-HOME-025`; không dựng được ⇒ ghi `Blocked` kèm lý do.</t>
        </is>
      </c>
    </row>
    <row r="14">
      <c r="A14" s="160">
        <f>IF($F14="","",$C$2&amp;"."&amp;COUNTA($F$7:$F14)&amp;"")</f>
        <v/>
      </c>
      <c r="B14" s="160" t="inlineStr">
        <is>
          <t>REQ-HOME-011</t>
        </is>
      </c>
      <c r="C14" s="160" t="inlineStr">
        <is>
          <t>DOC-v1.1-01</t>
        </is>
      </c>
      <c r="D14" s="160" t="inlineStr">
        <is>
          <t>Functional</t>
        </is>
      </c>
      <c r="E14" s="160" t="inlineStr">
        <is>
          <t>Low</t>
        </is>
      </c>
      <c r="F14" s="11" t="inlineStr">
        <is>
          <t>Check section Tin mới loại trừ tin đã ghép tin hết hạn và tin của chính mình</t>
        </is>
      </c>
      <c r="G14" s="11" t="inlineStr">
        <is>
          <t>- Tài khoản A và B là hai CBNV khác nhau trên STG.
- Host app FoxPro đã cài trên thiết bị Android/iOS.
- Dev/QA hỗ trợ lùi "Đến ngày" của 1 tin để tạo tin hết hạn — ⛔ không tạo được qua UI.
Test Data: 1 tin đã ghép + 1 tin hết hạn + 1 tin của chính tài khoản quan sát = `SEED-HOME-02` (test_data_catalog §HOME — Số tin NEED section "Tin mới")</t>
        </is>
      </c>
      <c r="H14" s="11" t="inlineStr">
        <is>
          <t>1. Đăng nhập bằng tài khoản B, đăng 6 tin NEED còn hiệu lực với tiêu đề phân biệt được, rồi đăng xuất. (setup)
2. Đăng nhập bằng tài khoản phụ thứ ba, nhận 1 trong 6 tin đó để đưa tin sang trạng thái đã ghép, rồi đăng xuất. (setup)
3. Nhờ dev/QA lùi "Đến ngày" của 1 tin khác trong 6 tin đó để tin chuyển sang hết hạn. (setup)
4. Đăng nhập bằng tài khoản A, đăng 1 tin NEED với tiêu đề riêng biệt. (setup)
5. Mở Trang chủ và đối chiếu tiêu đề từng tin trong section "Tin mới" với ba tin đã đánh dấu ở step 2, 3 và 4.</t>
        </is>
      </c>
      <c r="I14" s="11" t="inlineStr">
        <is>
          <t>5. Cả ba tin đã đánh dấu đều KHÔNG xuất hiện trong section "Tin mới".</t>
        </is>
      </c>
      <c r="J14" s="160" t="inlineStr">
        <is>
          <t>AI</t>
        </is>
      </c>
      <c r="K14" s="160" t="inlineStr">
        <is>
          <t>Pending</t>
        </is>
      </c>
      <c r="L14" s="160" t="inlineStr">
        <is>
          <t>No</t>
        </is>
      </c>
      <c r="M14" s="160" t="inlineStr"/>
      <c r="N14" s="264" t="inlineStr"/>
      <c r="O14" s="264" t="inlineStr"/>
      <c r="P14" s="264" t="inlineStr"/>
      <c r="Q14" s="264" t="inlineStr"/>
      <c r="R14" s="264" t="inlineStr"/>
      <c r="S14" s="264" t="inlineStr"/>
      <c r="T14" s="264" t="n"/>
      <c r="U14" s="264" t="n"/>
      <c r="V14" s="264" t="n"/>
      <c r="W14" s="264" t="n"/>
      <c r="X14" s="264" t="n"/>
      <c r="Y14" s="264" t="n"/>
      <c r="Z14" s="264" t="n"/>
      <c r="AA14" s="264" t="n"/>
      <c r="AB14" s="264" t="n"/>
      <c r="AC14" s="264" t="n"/>
      <c r="AD14" s="264" t="n"/>
      <c r="AE14" s="264" t="n"/>
      <c r="AF14" s="264" t="n"/>
      <c r="AG14" s="264" t="n"/>
      <c r="AH14" s="264" t="n"/>
      <c r="AI14" s="264" t="n"/>
      <c r="AJ14" s="264" t="n"/>
      <c r="AK14" s="264" t="n"/>
      <c r="AL14" s="264" t="n"/>
      <c r="AM14" s="264" t="n"/>
      <c r="AN14" s="264" t="n"/>
      <c r="AO14" s="264" t="n"/>
      <c r="AP14" s="264" t="n"/>
      <c r="AQ14" s="264" t="n"/>
      <c r="AR14" s="158">
        <f>IF($A14="","",IF(OR($N14="Yes",$T14="Yes",$Z14="Yes",$AF14="Yes",$AL14="Yes"),"Yes","No"))</f>
        <v/>
      </c>
      <c r="AS14" s="158">
        <f>IF($A14="","",IFERROR(IF($AM14&lt;&gt;"",$AM14,IF($AG14&lt;&gt;"",$AG14,IF($AA14&lt;&gt;"",$AA14,IF($U14&lt;&gt;"",$U14,IF($O14&lt;&gt;"",$O14,""))))),""))</f>
        <v/>
      </c>
      <c r="AT14" s="158">
        <f>IFERROR(IF($AN14&lt;&gt;"",$AN14,IF($AH14&lt;&gt;"",$AH14,IF($AB14&lt;&gt;"",$AB14,IF($V14&lt;&gt;"",$V14,IF($P14&lt;&gt;"",$P14,""))))),"")</f>
        <v/>
      </c>
      <c r="AU14" s="265" t="inlineStr">
        <is>
          <t>Mục đích: fail độc lập với `TC-HOME-019` — đếm đúng 5 tin không đảm bảo lọc đúng; app có thể trả đủ 5 nhưng lẫn tin đã ghép. · Căn cứ: `AC-11.1.01` — 3 lớp loại trừ là phần PRD v1.1 bổ sung, không nguồn v1.0 nào có. ✅ TC này **dựng được trên STG dùng chung** vì chỉ cần chứng minh 3 tin CỤ THỂ vắng mặt, ⛔ không cần khống chế toàn bộ danh sách như `TC-HOME-025`/`026`.</t>
        </is>
      </c>
    </row>
    <row r="15">
      <c r="A15" s="160">
        <f>IF($F15="","",$C$2&amp;"."&amp;COUNTA($F$7:$F15)&amp;"")</f>
        <v/>
      </c>
      <c r="B15" s="160" t="inlineStr">
        <is>
          <t>REQ-HOME-012</t>
        </is>
      </c>
      <c r="C15" s="160" t="inlineStr">
        <is>
          <t>DOC-v1.1-01</t>
        </is>
      </c>
      <c r="D15" s="160" t="inlineStr">
        <is>
          <t>UI</t>
        </is>
      </c>
      <c r="E15" s="160" t="inlineStr">
        <is>
          <t>Low</t>
        </is>
      </c>
      <c r="F15" s="11" t="inlineStr">
        <is>
          <t>Check section Đơn của tôi vẫn hiện kèm empty state khi chưa có đơn đang chạy</t>
        </is>
      </c>
      <c r="G15" s="11" t="inlineStr">
        <is>
          <t>- Tài khoản CBNV "sạch" trên STG = `SEED-HOME-01` (0 tin đã đăng, 0 đơn đang chạy, 0 đóng góp) — dùng chung với `TC-HOME-028/029`, chuẩn bị 1 lần.
- Host app FoxPro đã cài trên thiết bị Android/iOS.
Test Data: Tài khoản 0 đơn đang chạy = `SEED-HOME-01` (test_data_catalog §HOME — Tài khoản "sạch")</t>
        </is>
      </c>
      <c r="H15" s="11" t="inlineStr">
        <is>
          <t>1. Đăng nhập FoxEco bằng tài khoản "sạch". (setup)
2. Mở Trang chủ. (setup)
3. Check sự tồn tại của section "Đơn của tôi" và nội dung bên trong section đó.</t>
        </is>
      </c>
      <c r="I15" s="11" t="inlineStr">
        <is>
          <t>3. Section "Đơn của tôi" VẪN hiển thị trên Trang chủ, bên trong có icon nét mảnh, dòng "Bạn chưa có đơn nào đang chạy" và nút CTA "Tạo đơn gửi hàng".</t>
        </is>
      </c>
      <c r="J15" s="160" t="inlineStr">
        <is>
          <t>AI</t>
        </is>
      </c>
      <c r="K15" s="160" t="inlineStr">
        <is>
          <t>Pending</t>
        </is>
      </c>
      <c r="L15" s="160" t="inlineStr">
        <is>
          <t>No</t>
        </is>
      </c>
      <c r="M15" s="160" t="inlineStr"/>
      <c r="N15" s="264" t="inlineStr">
        <is>
          <t>Yes</t>
        </is>
      </c>
      <c r="O15" s="264" t="inlineStr"/>
      <c r="P15" s="264" t="inlineStr">
        <is>
          <t>Fail</t>
        </is>
      </c>
      <c r="Q15" s="264" t="inlineStr">
        <is>
          <t>GiangDC2</t>
        </is>
      </c>
      <c r="R15" s="264" t="inlineStr">
        <is>
          <t>FE-310</t>
        </is>
      </c>
      <c r="S15" s="264" t="inlineStr"/>
      <c r="T15" s="264" t="n"/>
      <c r="U15" s="264" t="n"/>
      <c r="V15" s="264" t="n"/>
      <c r="W15" s="264" t="n"/>
      <c r="X15" s="264" t="n"/>
      <c r="Y15" s="264" t="n"/>
      <c r="Z15" s="264" t="n"/>
      <c r="AA15" s="264" t="n"/>
      <c r="AB15" s="264" t="n"/>
      <c r="AC15" s="264" t="n"/>
      <c r="AD15" s="264" t="n"/>
      <c r="AE15" s="264" t="n"/>
      <c r="AF15" s="264" t="n"/>
      <c r="AG15" s="264" t="n"/>
      <c r="AH15" s="264" t="n"/>
      <c r="AI15" s="264" t="n"/>
      <c r="AJ15" s="264" t="n"/>
      <c r="AK15" s="264" t="n"/>
      <c r="AL15" s="264" t="n"/>
      <c r="AM15" s="264" t="n"/>
      <c r="AN15" s="264" t="n"/>
      <c r="AO15" s="264" t="n"/>
      <c r="AP15" s="264" t="n"/>
      <c r="AQ15" s="264" t="n"/>
      <c r="AR15" s="158">
        <f>IF($A15="","",IF(OR($N15="Yes",$T15="Yes",$Z15="Yes",$AF15="Yes",$AL15="Yes"),"Yes","No"))</f>
        <v/>
      </c>
      <c r="AS15" s="158">
        <f>IF($A15="","",IFERROR(IF($AM15&lt;&gt;"",$AM15,IF($AG15&lt;&gt;"",$AG15,IF($AA15&lt;&gt;"",$AA15,IF($U15&lt;&gt;"",$U15,IF($O15&lt;&gt;"",$O15,""))))),""))</f>
        <v/>
      </c>
      <c r="AT15" s="158">
        <f>IFERROR(IF($AN15&lt;&gt;"",$AN15,IF($AH15&lt;&gt;"",$AH15,IF($AB15&lt;&gt;"",$AB15,IF($V15&lt;&gt;"",$V15,IF($P15&lt;&gt;"",$P15,""))))),"")</f>
        <v/>
      </c>
      <c r="AU15" s="265" t="inlineStr">
        <is>
          <t>Mục đích: thay thế `TC-HOME-010` đã gỡ — TC cũ assert **NGƯỢC HẲN** (*"Trang chủ KHÔNG có section Đơn của tôi"*). Người chạy quen bản v1.0 rất dễ cho FAIL nhầm khi thấy section hiện ra. · Căn cứ: `C-HOME-05` **Resolved 2026-09-17** — BA chốt HIỆN `EMP-02`, không ẩn; ảnh demo `HOME_03` (không có section) nay là **lệch demo ↔ rule**, ⛔ không còn là oracle. Section bị ẩn ⇒ FAIL và log bug.</t>
        </is>
      </c>
    </row>
    <row r="16">
      <c r="A16" s="160">
        <f>IF($F16="","",$C$2&amp;"."&amp;COUNTA($F$7:$F16)&amp;"")</f>
        <v/>
      </c>
      <c r="B16" s="160" t="inlineStr">
        <is>
          <t>REQ-HOME-012</t>
        </is>
      </c>
      <c r="C16" s="160" t="inlineStr">
        <is>
          <t>DOC-v1.1-01</t>
        </is>
      </c>
      <c r="D16" s="160" t="inlineStr">
        <is>
          <t>UI</t>
        </is>
      </c>
      <c r="E16" s="160" t="inlineStr">
        <is>
          <t>Low</t>
        </is>
      </c>
      <c r="F16" s="11" t="inlineStr">
        <is>
          <t>Check hero và cụm cộng đồng hiện số không khi tài khoản và hệ thống chưa có đóng góp</t>
        </is>
      </c>
      <c r="G16" s="11" t="inlineStr">
        <is>
          <t>- Tài khoản CBNV "sạch" trên STG = `SEED-HOME-01` (0 tin đã đăng, 0 đơn đang chạy, 0 đóng góp) — dùng chung với `TC-HOME-027/029`, không chuẩn bị lại.
- Host app FoxPro đã cài trên thiết bị Android/iOS.
- Môi trường STG chưa có đơn Hoàn thành nào của bất kỳ tài khoản nào.
Test Data: Tài khoản "sạch" + hệ thống 0 đơn Hoàn thành (test_data_catalog §HOME — Tài khoản "sạch")</t>
        </is>
      </c>
      <c r="H16" s="11" t="inlineStr">
        <is>
          <t>1. Đăng nhập FoxEco bằng tài khoản "sạch". (setup)
2. Mở Trang chủ. (setup)
3. Check khối hero, cụm số liệu cộng đồng và các nút CTA trong vùng này.</t>
        </is>
      </c>
      <c r="I16" s="11" t="inlineStr">
        <is>
          <t>3. Khối hero hiện "0 · Chưa có đóng góp nào", cụm cộng đồng hiện "0 đơn · 0 người", và vùng này KHÔNG có nút CTA nào.</t>
        </is>
      </c>
      <c r="J16" s="160" t="inlineStr">
        <is>
          <t>AI</t>
        </is>
      </c>
      <c r="K16" s="160" t="inlineStr">
        <is>
          <t>Pending</t>
        </is>
      </c>
      <c r="L16" s="160" t="inlineStr">
        <is>
          <t>No</t>
        </is>
      </c>
      <c r="M16" s="160" t="inlineStr"/>
      <c r="N16" s="264" t="inlineStr">
        <is>
          <t>Yes</t>
        </is>
      </c>
      <c r="O16" s="264" t="inlineStr"/>
      <c r="P16" s="264" t="inlineStr">
        <is>
          <t>Block</t>
        </is>
      </c>
      <c r="Q16" s="264" t="inlineStr">
        <is>
          <t>GiangDC2</t>
        </is>
      </c>
      <c r="R16" s="264" t="inlineStr"/>
      <c r="S16" s="264" t="inlineStr"/>
      <c r="T16" s="264" t="n"/>
      <c r="U16" s="264" t="n"/>
      <c r="V16" s="264" t="n"/>
      <c r="W16" s="264" t="n"/>
      <c r="X16" s="264" t="n"/>
      <c r="Y16" s="264" t="n"/>
      <c r="Z16" s="264" t="n"/>
      <c r="AA16" s="264" t="n"/>
      <c r="AB16" s="264" t="n"/>
      <c r="AC16" s="264" t="n"/>
      <c r="AD16" s="264" t="n"/>
      <c r="AE16" s="264" t="n"/>
      <c r="AF16" s="264" t="n"/>
      <c r="AG16" s="264" t="n"/>
      <c r="AH16" s="264" t="n"/>
      <c r="AI16" s="264" t="n"/>
      <c r="AJ16" s="264" t="n"/>
      <c r="AK16" s="264" t="n"/>
      <c r="AL16" s="264" t="n"/>
      <c r="AM16" s="264" t="n"/>
      <c r="AN16" s="264" t="n"/>
      <c r="AO16" s="264" t="n"/>
      <c r="AP16" s="264" t="n"/>
      <c r="AQ16" s="264" t="n"/>
      <c r="AR16" s="158">
        <f>IF($A16="","",IF(OR($N16="Yes",$T16="Yes",$Z16="Yes",$AF16="Yes",$AL16="Yes"),"Yes","No"))</f>
        <v/>
      </c>
      <c r="AS16" s="158">
        <f>IF($A16="","",IFERROR(IF($AM16&lt;&gt;"",$AM16,IF($AG16&lt;&gt;"",$AG16,IF($AA16&lt;&gt;"",$AA16,IF($U16&lt;&gt;"",$U16,IF($O16&lt;&gt;"",$O16,""))))),""))</f>
        <v/>
      </c>
      <c r="AT16" s="158">
        <f>IFERROR(IF($AN16&lt;&gt;"",$AN16,IF($AH16&lt;&gt;"",$AH16,IF($AB16&lt;&gt;"",$AB16,IF($V16&lt;&gt;"",$V16,IF($P16&lt;&gt;"",$P16,""))))),"")</f>
        <v/>
      </c>
      <c r="AU16" s="265" t="inlineStr">
        <is>
          <t>Mục đích: `EMP-03` là empty state duy nhất của Trang chủ **KHÔNG có CTA** — bất đối xứng với `EMP-01` và `EMP-02` (đều có 1 CTA); app hiện nút ở đây là **sai spec**. · Căn cứ: `AC-26.2.01` + `EMP-03` + `BR17-01` (*"tối đa một CTA"*).</t>
        </is>
      </c>
    </row>
    <row r="17">
      <c r="A17" s="160">
        <f>IF($F17="","",$C$2&amp;"."&amp;COUNTA($F$7:$F17)&amp;"")</f>
        <v/>
      </c>
      <c r="B17" s="160" t="inlineStr">
        <is>
          <t>REQ-HOME-013</t>
        </is>
      </c>
      <c r="C17" s="160" t="inlineStr">
        <is>
          <t>DOC-v1.1-01</t>
        </is>
      </c>
      <c r="D17" s="160" t="inlineStr">
        <is>
          <t>Functional</t>
        </is>
      </c>
      <c r="E17" s="160" t="inlineStr">
        <is>
          <t>Medium</t>
        </is>
      </c>
      <c r="F17" s="11" t="inlineStr">
        <is>
          <t>Check nội dung đầu Trang chủ hiển thị dưới hai giây khi có một nghìn người dùng đồng thời</t>
        </is>
      </c>
      <c r="G17" s="11" t="inlineStr">
        <is>
          <t>- Tài khoản A là CBNV có hồ sơ đầy đủ trên STG.
- Môi trường load-test mô phỏng được 1.000 người dùng đồng thời trên mạng 4G — ⛔ không dựng được bằng thiết bị tay.
- Có sẵn công cụ đo thời gian hiển thị nội dung đầu tiên.
Test Data: 1.000 user đồng thời, mạng 4G, ngưỡng &lt;2s p95 (test_data_catalog §HOME — Môi trường load-test NFR01)</t>
        </is>
      </c>
      <c r="H17" s="11" t="inlineStr">
        <is>
          <t>1. Khởi động kịch bản load-test mô phỏng 1.000 người dùng đồng thời truy cập FoxEco trên mạng 4G. (setup)
2. Mở Trang chủ bằng tài khoản A trong lúc tải đang ở mức đỉnh.
3. Check số đo thời gian từ lúc mở màn tới lúc nội dung đầu tiên hiển thị, lấy theo phân vị 95.</t>
        </is>
      </c>
      <c r="I17" s="11" t="inlineStr">
        <is>
          <t>3. Số đo phân vị 95 nhỏ hơn 2 giây.</t>
        </is>
      </c>
      <c r="J17" s="160" t="inlineStr">
        <is>
          <t>AI</t>
        </is>
      </c>
      <c r="K17" s="160" t="inlineStr">
        <is>
          <t>Pending</t>
        </is>
      </c>
      <c r="L17" s="160" t="inlineStr">
        <is>
          <t>No</t>
        </is>
      </c>
      <c r="M17" s="160" t="inlineStr"/>
      <c r="N17" s="264" t="inlineStr">
        <is>
          <t>Yes</t>
        </is>
      </c>
      <c r="O17" s="264" t="inlineStr"/>
      <c r="P17" s="264" t="inlineStr">
        <is>
          <t>N/A</t>
        </is>
      </c>
      <c r="Q17" s="264" t="inlineStr">
        <is>
          <t>GiangDC2</t>
        </is>
      </c>
      <c r="R17" s="264" t="inlineStr"/>
      <c r="S17" s="264" t="inlineStr"/>
      <c r="T17" s="264" t="n"/>
      <c r="U17" s="264" t="n"/>
      <c r="V17" s="264" t="n"/>
      <c r="W17" s="264" t="n"/>
      <c r="X17" s="264" t="n"/>
      <c r="Y17" s="264" t="n"/>
      <c r="Z17" s="264" t="n"/>
      <c r="AA17" s="264" t="n"/>
      <c r="AB17" s="264" t="n"/>
      <c r="AC17" s="264" t="n"/>
      <c r="AD17" s="264" t="n"/>
      <c r="AE17" s="264" t="n"/>
      <c r="AF17" s="264" t="n"/>
      <c r="AG17" s="264" t="n"/>
      <c r="AH17" s="264" t="n"/>
      <c r="AI17" s="264" t="n"/>
      <c r="AJ17" s="264" t="n"/>
      <c r="AK17" s="264" t="n"/>
      <c r="AL17" s="264" t="n"/>
      <c r="AM17" s="264" t="n"/>
      <c r="AN17" s="264" t="n"/>
      <c r="AO17" s="264" t="n"/>
      <c r="AP17" s="264" t="n"/>
      <c r="AQ17" s="264" t="n"/>
      <c r="AR17" s="158">
        <f>IF($A17="","",IF(OR($N17="Yes",$T17="Yes",$Z17="Yes",$AF17="Yes",$AL17="Yes"),"Yes","No"))</f>
        <v/>
      </c>
      <c r="AS17" s="158">
        <f>IF($A17="","",IFERROR(IF($AM17&lt;&gt;"",$AM17,IF($AG17&lt;&gt;"",$AG17,IF($AA17&lt;&gt;"",$AA17,IF($U17&lt;&gt;"",$U17,IF($O17&lt;&gt;"",$O17,""))))),""))</f>
        <v/>
      </c>
      <c r="AT17" s="158">
        <f>IFERROR(IF($AN17&lt;&gt;"",$AN17,IF($AH17&lt;&gt;"",$AH17,IF($AB17&lt;&gt;"",$AB17,IF($V17&lt;&gt;"",$V17,IF($P17&lt;&gt;"",$P17,""))))),"")</f>
        <v/>
      </c>
      <c r="AU17" s="265" t="inlineStr">
        <is>
          <t>Mục đích: giữ traceability cho `NFR01` thay vì bỏ hẳn SC — `test_data_catalog §HOME` ghi rõ *"không viết TC manual assert số đo"*, nên TC tồn tại để `execute-maintain` biết cần defer cho automation/load-test. · Căn cứ: `DOC-v1.1-01` §9 NFR01. ⛔ Loại khỏi mẫu số pass-rate cho tới khi có môi trường load-test. · 🚫 Deferred — cần công cụ load-test, ⛔ không test tay được (QC GiangDC2, 2026-09-17)</t>
        </is>
      </c>
    </row>
    <row r="18">
      <c r="A18" s="160">
        <f>IF($F18="","",$C$2&amp;"."&amp;COUNTA($F$7:$F18)&amp;"")</f>
        <v/>
      </c>
      <c r="B18" s="160" t="inlineStr">
        <is>
          <t>REQ-HOME-001</t>
        </is>
      </c>
      <c r="C18" s="160" t="inlineStr">
        <is>
          <t>DOC-v1.0-02</t>
        </is>
      </c>
      <c r="D18" s="160" t="inlineStr">
        <is>
          <t>UI</t>
        </is>
      </c>
      <c r="E18" s="160" t="inlineStr">
        <is>
          <t>High</t>
        </is>
      </c>
      <c r="F18" s="11" t="inlineStr">
        <is>
          <t>Check bottom nav đủ 5 tab đúng thứ tự và tab "Trang chủ" đang active</t>
        </is>
      </c>
      <c r="G18" s="11" t="inlineStr">
        <is>
          <t>Tài khoản SSO CBNV còn hiệu lực trên STG.
Test Data: —</t>
        </is>
      </c>
      <c r="H18" s="11" t="inlineStr">
        <is>
          <t>1. Đăng nhập FoxEco từ host app FoxPro. (setup)
2. Check thanh tab dưới cùng của màn Trang chủ.</t>
        </is>
      </c>
      <c r="I18" s="11" t="inlineStr">
        <is>
          <t>2. Bottom nav hiển thị đúng 5 tab theo thứ tự từ trái sang: "Trang chủ", "Bảng tin", nút "+ Đăng tin", "Hoạt động", "Cá nhân"; tab "Trang chủ" ở trạng thái active.</t>
        </is>
      </c>
      <c r="J18" s="160" t="inlineStr">
        <is>
          <t>AI</t>
        </is>
      </c>
      <c r="K18" s="160" t="inlineStr">
        <is>
          <t>Pending</t>
        </is>
      </c>
      <c r="L18" s="160" t="inlineStr">
        <is>
          <t>No</t>
        </is>
      </c>
      <c r="M18" s="160" t="inlineStr"/>
      <c r="N18" s="264" t="inlineStr">
        <is>
          <t>Yes</t>
        </is>
      </c>
      <c r="O18" s="264" t="inlineStr"/>
      <c r="P18" s="264" t="inlineStr">
        <is>
          <t>Pass</t>
        </is>
      </c>
      <c r="Q18" s="264" t="inlineStr">
        <is>
          <t>GiangDC2</t>
        </is>
      </c>
      <c r="R18" s="264" t="inlineStr"/>
      <c r="S18" s="264" t="inlineStr"/>
      <c r="T18" s="264" t="n"/>
      <c r="U18" s="264" t="n"/>
      <c r="V18" s="264" t="n"/>
      <c r="W18" s="264" t="n"/>
      <c r="X18" s="264" t="n"/>
      <c r="Y18" s="264" t="n"/>
      <c r="Z18" s="264" t="n"/>
      <c r="AA18" s="264" t="n"/>
      <c r="AB18" s="264" t="n"/>
      <c r="AC18" s="264" t="n"/>
      <c r="AD18" s="264" t="n"/>
      <c r="AE18" s="264" t="n"/>
      <c r="AF18" s="264" t="n"/>
      <c r="AG18" s="264" t="n"/>
      <c r="AH18" s="264" t="n"/>
      <c r="AI18" s="264" t="n"/>
      <c r="AJ18" s="264" t="n"/>
      <c r="AK18" s="264" t="n"/>
      <c r="AL18" s="264" t="n"/>
      <c r="AM18" s="264" t="n"/>
      <c r="AN18" s="264" t="n"/>
      <c r="AO18" s="264" t="n"/>
      <c r="AP18" s="264" t="n"/>
      <c r="AQ18" s="264" t="n"/>
      <c r="AR18" s="158">
        <f>IF($A18="","",IF(OR($N18="Yes",$T18="Yes",$Z18="Yes",$AF18="Yes",$AL18="Yes"),"Yes","No"))</f>
        <v/>
      </c>
      <c r="AS18" s="158">
        <f>IF($A18="","",IFERROR(IF($AM18&lt;&gt;"",$AM18,IF($AG18&lt;&gt;"",$AG18,IF($AA18&lt;&gt;"",$AA18,IF($U18&lt;&gt;"",$U18,IF($O18&lt;&gt;"",$O18,""))))),""))</f>
        <v/>
      </c>
      <c r="AT18" s="158">
        <f>IFERROR(IF($AN18&lt;&gt;"",$AN18,IF($AH18&lt;&gt;"",$AH18,IF($AB18&lt;&gt;"",$AB18,IF($V18&lt;&gt;"",$V18,IF($P18&lt;&gt;"",$P18,""))))),"")</f>
        <v/>
      </c>
      <c r="AU18" s="265" t="inlineStr"/>
    </row>
    <row r="19">
      <c r="A19" s="160">
        <f>IF($F19="","",$C$2&amp;"."&amp;COUNTA($F$7:$F19)&amp;"")</f>
        <v/>
      </c>
      <c r="B19" s="160" t="inlineStr">
        <is>
          <t>REQ-HOME-001</t>
        </is>
      </c>
      <c r="C19" s="160" t="inlineStr">
        <is>
          <t>DOC-v1.0-02</t>
        </is>
      </c>
      <c r="D19" s="160" t="inlineStr">
        <is>
          <t>UI</t>
        </is>
      </c>
      <c r="E19" s="160" t="inlineStr">
        <is>
          <t>Low</t>
        </is>
      </c>
      <c r="F19" s="11" t="inlineStr">
        <is>
          <t>Check các màn con không hiển thị bottom nav mà chỉ có nút quay lại</t>
        </is>
      </c>
      <c r="G19" s="11" t="inlineStr">
        <is>
          <t>Tài khoản SSO CBNV còn hiệu lực trên STG.
- Có sẵn 1 đơn đang hoạt động của tài khoản và ≥1 tin cộng đồng còn hiệu lực.
Test Data: 1 đơn đang hoạt động + ≥1 tin cộng đồng (test_data_catalog §HOME)</t>
        </is>
      </c>
      <c r="H19" s="11" t="inlineStr">
        <is>
          <t>1. Đăng nhập FoxEco từ host app FoxPro. (setup)
2. Nhấn tab "Bảng tin" rồi nhấn 1 tin để mở màn Chi tiết tin; check vùng dưới cùng của màn.
3. Nhấn nút quay lại, nhấn tab "Trang chủ", chạm section "Đơn của tôi" để mở màn Theo dõi đơn; check vùng dưới cùng.
4. Nhấn nút quay lại, nhấn nút "+ Đăng tin" để mở wizard đăng tin; check vùng dưới cùng.
5. Nhấn nút quay lại, nhấn icon chuông để mở màn Thông báo; check vùng dưới cùng.</t>
        </is>
      </c>
      <c r="I19" s="11" t="inlineStr">
        <is>
          <t>2. Màn Chi tiết tin KHÔNG có bottom nav; có nút quay lại ở góc trên.
3. Màn Theo dõi đơn KHÔNG có bottom nav; có nút quay lại ở góc trên.
4. Wizard đăng tin KHÔNG có bottom nav; có nút quay lại ở góc trên.
5. Màn Thông báo KHÔNG có bottom nav; có nút quay lại ở góc trên.</t>
        </is>
      </c>
      <c r="J19" s="160" t="inlineStr">
        <is>
          <t>AI</t>
        </is>
      </c>
      <c r="K19" s="160" t="inlineStr">
        <is>
          <t>Pending</t>
        </is>
      </c>
      <c r="L19" s="160" t="inlineStr">
        <is>
          <t>No</t>
        </is>
      </c>
      <c r="M19" s="160" t="inlineStr"/>
      <c r="N19" s="264" t="inlineStr">
        <is>
          <t>Yes</t>
        </is>
      </c>
      <c r="O19" s="264" t="inlineStr"/>
      <c r="P19" s="264" t="inlineStr">
        <is>
          <t>Block</t>
        </is>
      </c>
      <c r="Q19" s="264" t="inlineStr">
        <is>
          <t>GiangDC2</t>
        </is>
      </c>
      <c r="R19" s="264" t="inlineStr"/>
      <c r="S19" s="264" t="inlineStr"/>
      <c r="T19" s="264" t="n"/>
      <c r="U19" s="264" t="n"/>
      <c r="V19" s="264" t="n"/>
      <c r="W19" s="264" t="n"/>
      <c r="X19" s="264" t="n"/>
      <c r="Y19" s="264" t="n"/>
      <c r="Z19" s="264" t="n"/>
      <c r="AA19" s="264" t="n"/>
      <c r="AB19" s="264" t="n"/>
      <c r="AC19" s="264" t="n"/>
      <c r="AD19" s="264" t="n"/>
      <c r="AE19" s="264" t="n"/>
      <c r="AF19" s="264" t="n"/>
      <c r="AG19" s="264" t="n"/>
      <c r="AH19" s="264" t="n"/>
      <c r="AI19" s="264" t="n"/>
      <c r="AJ19" s="264" t="n"/>
      <c r="AK19" s="264" t="n"/>
      <c r="AL19" s="264" t="n"/>
      <c r="AM19" s="264" t="n"/>
      <c r="AN19" s="264" t="n"/>
      <c r="AO19" s="264" t="n"/>
      <c r="AP19" s="264" t="n"/>
      <c r="AQ19" s="264" t="n"/>
      <c r="AR19" s="158">
        <f>IF($A19="","",IF(OR($N19="Yes",$T19="Yes",$Z19="Yes",$AF19="Yes",$AL19="Yes"),"Yes","No"))</f>
        <v/>
      </c>
      <c r="AS19" s="158">
        <f>IF($A19="","",IFERROR(IF($AM19&lt;&gt;"",$AM19,IF($AG19&lt;&gt;"",$AG19,IF($AA19&lt;&gt;"",$AA19,IF($U19&lt;&gt;"",$U19,IF($O19&lt;&gt;"",$O19,""))))),""))</f>
        <v/>
      </c>
      <c r="AT19" s="158">
        <f>IFERROR(IF($AN19&lt;&gt;"",$AN19,IF($AH19&lt;&gt;"",$AH19,IF($AB19&lt;&gt;"",$AB19,IF($V19&lt;&gt;"",$V19,IF($P19&lt;&gt;"",$P19,""))))),"")</f>
        <v/>
      </c>
      <c r="AU19" s="265" t="inlineStr">
        <is>
          <t>Căn cứ: màn "Tặng quà" nằm trong cùng luật nhưng cần đơn ở trạng thái Hoàn thành nên verify ở `TC-GIFT-*`, không nhồi vào TC này.</t>
        </is>
      </c>
    </row>
    <row r="20">
      <c r="A20" s="160">
        <f>IF($F20="","",$C$2&amp;"."&amp;COUNTA($F$7:$F20)&amp;"")</f>
        <v/>
      </c>
      <c r="B20" s="160" t="inlineStr">
        <is>
          <t>REQ-HOME-002</t>
        </is>
      </c>
      <c r="C20" s="160" t="inlineStr">
        <is>
          <t>DOC-v1.0-02</t>
        </is>
      </c>
      <c r="D20" s="160" t="inlineStr">
        <is>
          <t>UI</t>
        </is>
      </c>
      <c r="E20" s="160" t="inlineStr">
        <is>
          <t>Medium</t>
        </is>
      </c>
      <c r="F20" s="11" t="inlineStr">
        <is>
          <t>Check header hiển thị lời chào kèm đúng tên hồ sơ của tài khoản đăng nhập</t>
        </is>
      </c>
      <c r="G20" s="11" t="inlineStr">
        <is>
          <t>Tài khoản SSO CBNV có tên hiển thị trong hồ sơ nhân viên.
Test Data: Tên hiển thị từ hồ sơ nhân viên (test_data_catalog §HOME)</t>
        </is>
      </c>
      <c r="H20" s="11" t="inlineStr">
        <is>
          <t>1. Đăng nhập FoxEco từ host app FoxPro. (setup)
2. Check dòng lời chào ở header màn Trang chủ.</t>
        </is>
      </c>
      <c r="I20" s="11" t="inlineStr">
        <is>
          <t>2. Header hiển thị "Xin chào, [tên tài khoản]" với tên trùng khớp hồ sơ nhân viên của tài khoản đang đăng nhập.</t>
        </is>
      </c>
      <c r="J20" s="160" t="inlineStr">
        <is>
          <t>AI</t>
        </is>
      </c>
      <c r="K20" s="160" t="inlineStr">
        <is>
          <t>Pending</t>
        </is>
      </c>
      <c r="L20" s="160" t="inlineStr">
        <is>
          <t>No</t>
        </is>
      </c>
      <c r="M20" s="160" t="inlineStr"/>
      <c r="N20" s="264" t="inlineStr">
        <is>
          <t>Yes</t>
        </is>
      </c>
      <c r="O20" s="264" t="inlineStr"/>
      <c r="P20" s="264" t="inlineStr">
        <is>
          <t>Pass</t>
        </is>
      </c>
      <c r="Q20" s="264" t="inlineStr">
        <is>
          <t>GiangDC2</t>
        </is>
      </c>
      <c r="R20" s="264" t="inlineStr"/>
      <c r="S20" s="264" t="inlineStr"/>
      <c r="T20" s="264" t="n"/>
      <c r="U20" s="264" t="n"/>
      <c r="V20" s="264" t="n"/>
      <c r="W20" s="264" t="n"/>
      <c r="X20" s="264" t="n"/>
      <c r="Y20" s="264" t="n"/>
      <c r="Z20" s="264" t="n"/>
      <c r="AA20" s="264" t="n"/>
      <c r="AB20" s="264" t="n"/>
      <c r="AC20" s="264" t="n"/>
      <c r="AD20" s="264" t="n"/>
      <c r="AE20" s="264" t="n"/>
      <c r="AF20" s="264" t="n"/>
      <c r="AG20" s="264" t="n"/>
      <c r="AH20" s="264" t="n"/>
      <c r="AI20" s="264" t="n"/>
      <c r="AJ20" s="264" t="n"/>
      <c r="AK20" s="264" t="n"/>
      <c r="AL20" s="264" t="n"/>
      <c r="AM20" s="264" t="n"/>
      <c r="AN20" s="264" t="n"/>
      <c r="AO20" s="264" t="n"/>
      <c r="AP20" s="264" t="n"/>
      <c r="AQ20" s="264" t="n"/>
      <c r="AR20" s="158">
        <f>IF($A20="","",IF(OR($N20="Yes",$T20="Yes",$Z20="Yes",$AF20="Yes",$AL20="Yes"),"Yes","No"))</f>
        <v/>
      </c>
      <c r="AS20" s="158">
        <f>IF($A20="","",IFERROR(IF($AM20&lt;&gt;"",$AM20,IF($AG20&lt;&gt;"",$AG20,IF($AA20&lt;&gt;"",$AA20,IF($U20&lt;&gt;"",$U20,IF($O20&lt;&gt;"",$O20,""))))),""))</f>
        <v/>
      </c>
      <c r="AT20" s="158">
        <f>IFERROR(IF($AN20&lt;&gt;"",$AN20,IF($AH20&lt;&gt;"",$AH20,IF($AB20&lt;&gt;"",$AB20,IF($V20&lt;&gt;"",$V20,IF($P20&lt;&gt;"",$P20,""))))),"")</f>
        <v/>
      </c>
      <c r="AU20" s="265" t="inlineStr"/>
    </row>
    <row r="21" ht="15.75" customHeight="1" s="216">
      <c r="A21" s="160">
        <f>IF($F21="","",$C$2&amp;"."&amp;COUNTA($F$7:$F21)&amp;"")</f>
        <v/>
      </c>
      <c r="B21" s="160" t="inlineStr">
        <is>
          <t>REQ-HOME-002</t>
        </is>
      </c>
      <c r="C21" s="160" t="inlineStr">
        <is>
          <t>DOC-v1.0-02 · DOC-v1.0-06</t>
        </is>
      </c>
      <c r="D21" s="160" t="inlineStr">
        <is>
          <t>UI</t>
        </is>
      </c>
      <c r="E21" s="160" t="inlineStr">
        <is>
          <t>Low</t>
        </is>
      </c>
      <c r="F21" s="11" t="inlineStr">
        <is>
          <t>Check header hiển thị icon vai trò và icon khác nhau giữa ba vai</t>
        </is>
      </c>
      <c r="G21" s="11" t="inlineStr">
        <is>
          <t>Ba tài khoản STG đang giữ ba vai khác nhau trên cùng một đơn (Sender, Carrier, Receiver).
Test Data: 3 tài khoản 3 vai trên cùng 1 đơn (test_data_catalog §HOME)</t>
        </is>
      </c>
      <c r="H21" s="11" t="inlineStr">
        <is>
          <t>1. Nhờ dev/QA seed 1 đơn đã ghép có đủ 3 vai trên 3 tài khoản. (setup)
2. Đăng nhập FoxEco bằng tài khoản Sender và check icon vai trò ở header.
3. Đăng xuất, đăng nhập bằng tài khoản Carrier và check icon vai trò ở header.
4. Đăng xuất, đăng nhập bằng tài khoản Receiver và check icon vai trò ở header.</t>
        </is>
      </c>
      <c r="I21" s="11" t="inlineStr">
        <is>
          <t>2. Header hiển thị đúng 1 icon vai trò.
3. Header hiển thị đúng 1 icon vai trò, khác icon ghi ở bước 2.
4. Header hiển thị đúng 1 icon vai trò, khác cả 2 icon ghi ở bước 2 và 3.</t>
        </is>
      </c>
      <c r="J21" s="160" t="inlineStr">
        <is>
          <t>AI</t>
        </is>
      </c>
      <c r="K21" s="160" t="inlineStr">
        <is>
          <t>Pending</t>
        </is>
      </c>
      <c r="L21" s="160" t="inlineStr">
        <is>
          <t>No</t>
        </is>
      </c>
      <c r="M21" s="160" t="inlineStr"/>
      <c r="N21" s="264" t="inlineStr"/>
      <c r="O21" s="264" t="inlineStr"/>
      <c r="P21" s="264" t="inlineStr"/>
      <c r="Q21" s="264" t="inlineStr"/>
      <c r="R21" s="264" t="inlineStr"/>
      <c r="S21" s="264" t="inlineStr"/>
      <c r="T21" s="264" t="n"/>
      <c r="U21" s="264" t="n"/>
      <c r="V21" s="264" t="n"/>
      <c r="W21" s="264" t="n"/>
      <c r="X21" s="264" t="n"/>
      <c r="Y21" s="264" t="n"/>
      <c r="Z21" s="264" t="n"/>
      <c r="AA21" s="264" t="n"/>
      <c r="AB21" s="264" t="n"/>
      <c r="AC21" s="264" t="n"/>
      <c r="AD21" s="264" t="n"/>
      <c r="AE21" s="264" t="n"/>
      <c r="AF21" s="264" t="n"/>
      <c r="AG21" s="264" t="n"/>
      <c r="AH21" s="264" t="n"/>
      <c r="AI21" s="264" t="n"/>
      <c r="AJ21" s="264" t="n"/>
      <c r="AK21" s="264" t="n"/>
      <c r="AL21" s="264" t="n"/>
      <c r="AM21" s="264" t="n"/>
      <c r="AN21" s="264" t="n"/>
      <c r="AO21" s="264" t="n"/>
      <c r="AP21" s="264" t="n"/>
      <c r="AQ21" s="264" t="n"/>
      <c r="AR21" s="158">
        <f>IF($A21="","",IF(OR($N21="Yes",$T21="Yes",$Z21="Yes",$AF21="Yes",$AL21="Yes"),"Yes","No"))</f>
        <v/>
      </c>
      <c r="AS21" s="158">
        <f>IF($A21="","",IFERROR(IF($AM21&lt;&gt;"",$AM21,IF($AG21&lt;&gt;"",$AG21,IF($AA21&lt;&gt;"",$AA21,IF($U21&lt;&gt;"",$U21,IF($O21&lt;&gt;"",$O21,""))))),""))</f>
        <v/>
      </c>
      <c r="AT21" s="158">
        <f>IFERROR(IF($AN21&lt;&gt;"",$AN21,IF($AH21&lt;&gt;"",$AH21,IF($AB21&lt;&gt;"",$AB21,IF($V21&lt;&gt;"",$V21,IF($P21&lt;&gt;"",$P21,""))))),"")</f>
        <v/>
      </c>
      <c r="AU21" s="265" t="inlineStr">
        <is>
          <t>Mục đích: assert được vế "có icon và phân biệt theo vai" mà không cần mapping icon cụ thể. · Căn cứ: `DOC-v1.0-02` §2 nêu header có icon vai trò; mapping icon↔vai **chưa chốt** (`C-HOME-01` Open) nên ⛔ không assert hình icon. Ba vai cùng một icon hoặc thiếu icon ⇒ FAIL và dẫn `C-HOME-01`.</t>
        </is>
      </c>
    </row>
    <row r="22" ht="15.75" customHeight="1" s="216">
      <c r="A22" s="160">
        <f>IF($F22="","",$C$2&amp;"."&amp;COUNTA($F$7:$F22)&amp;"")</f>
        <v/>
      </c>
      <c r="B22" s="160" t="inlineStr">
        <is>
          <t>REQ-HOME-002</t>
        </is>
      </c>
      <c r="C22" s="160" t="inlineStr">
        <is>
          <t>DOC-v1.0-02</t>
        </is>
      </c>
      <c r="D22" s="160" t="inlineStr">
        <is>
          <t>UI</t>
        </is>
      </c>
      <c r="E22" s="160" t="inlineStr">
        <is>
          <t>Medium</t>
        </is>
      </c>
      <c r="F22" s="11" t="inlineStr">
        <is>
          <t>Check icon chuông hiển thị chấm đỏ khi còn thông báo chưa đọc</t>
        </is>
      </c>
      <c r="G22" s="11" t="inlineStr">
        <is>
          <t>Tài khoản CBNV có ≥1 thông báo chưa đọc trên STG.
Test Data: ≥1 thông báo chưa đọc (test_data_catalog §HOME)</t>
        </is>
      </c>
      <c r="H22" s="11" t="inlineStr">
        <is>
          <t>1. Đăng nhập FoxEco bằng tài khoản có thông báo chưa đọc. (setup)
2. Check icon chuông ở header màn Trang chủ.</t>
        </is>
      </c>
      <c r="I22" s="11" t="inlineStr">
        <is>
          <t>2. Icon chuông hiển thị chấm đỏ.</t>
        </is>
      </c>
      <c r="J22" s="160" t="inlineStr">
        <is>
          <t>AI</t>
        </is>
      </c>
      <c r="K22" s="160" t="inlineStr">
        <is>
          <t>Pending</t>
        </is>
      </c>
      <c r="L22" s="160" t="inlineStr">
        <is>
          <t>No</t>
        </is>
      </c>
      <c r="M22" s="160" t="inlineStr"/>
      <c r="N22" s="264" t="inlineStr">
        <is>
          <t>Yes</t>
        </is>
      </c>
      <c r="O22" s="264" t="inlineStr"/>
      <c r="P22" s="264" t="inlineStr">
        <is>
          <t>Pass</t>
        </is>
      </c>
      <c r="Q22" s="264" t="inlineStr">
        <is>
          <t>GiangDC2</t>
        </is>
      </c>
      <c r="R22" s="264" t="inlineStr"/>
      <c r="S22" s="264" t="inlineStr"/>
      <c r="T22" s="264" t="n"/>
      <c r="U22" s="264" t="n"/>
      <c r="V22" s="264" t="n"/>
      <c r="W22" s="264" t="n"/>
      <c r="X22" s="264" t="n"/>
      <c r="Y22" s="264" t="n"/>
      <c r="Z22" s="264" t="n"/>
      <c r="AA22" s="264" t="n"/>
      <c r="AB22" s="264" t="n"/>
      <c r="AC22" s="264" t="n"/>
      <c r="AD22" s="264" t="n"/>
      <c r="AE22" s="264" t="n"/>
      <c r="AF22" s="264" t="n"/>
      <c r="AG22" s="264" t="n"/>
      <c r="AH22" s="264" t="n"/>
      <c r="AI22" s="264" t="n"/>
      <c r="AJ22" s="264" t="n"/>
      <c r="AK22" s="264" t="n"/>
      <c r="AL22" s="264" t="n"/>
      <c r="AM22" s="264" t="n"/>
      <c r="AN22" s="264" t="n"/>
      <c r="AO22" s="264" t="n"/>
      <c r="AP22" s="264" t="n"/>
      <c r="AQ22" s="264" t="n"/>
      <c r="AR22" s="158">
        <f>IF($A22="","",IF(OR($N22="Yes",$T22="Yes",$Z22="Yes",$AF22="Yes",$AL22="Yes"),"Yes","No"))</f>
        <v/>
      </c>
      <c r="AS22" s="158">
        <f>IF($A22="","",IFERROR(IF($AM22&lt;&gt;"",$AM22,IF($AG22&lt;&gt;"",$AG22,IF($AA22&lt;&gt;"",$AA22,IF($U22&lt;&gt;"",$U22,IF($O22&lt;&gt;"",$O22,""))))),""))</f>
        <v/>
      </c>
      <c r="AT22" s="158">
        <f>IFERROR(IF($AN22&lt;&gt;"",$AN22,IF($AH22&lt;&gt;"",$AH22,IF($AB22&lt;&gt;"",$AB22,IF($V22&lt;&gt;"",$V22,IF($P22&lt;&gt;"",$P22,""))))),"")</f>
        <v/>
      </c>
      <c r="AU22" s="265" t="inlineStr">
        <is>
          <t>Mục đích: cặp đối chứng dương với TC-HOME-006.</t>
        </is>
      </c>
    </row>
    <row r="23" ht="15.75" customHeight="1" s="216">
      <c r="A23" s="160">
        <f>IF($F23="","",$C$2&amp;"."&amp;COUNTA($F$7:$F23)&amp;"")</f>
        <v/>
      </c>
      <c r="B23" s="160" t="inlineStr">
        <is>
          <t>REQ-HOME-002</t>
        </is>
      </c>
      <c r="C23" s="160" t="inlineStr">
        <is>
          <t>DOC-v1.0-02</t>
        </is>
      </c>
      <c r="D23" s="160" t="inlineStr">
        <is>
          <t>UI</t>
        </is>
      </c>
      <c r="E23" s="160" t="inlineStr">
        <is>
          <t>Low</t>
        </is>
      </c>
      <c r="F23" s="11" t="inlineStr">
        <is>
          <t>Check icon chuông không có chấm đỏ khi đã đọc hết thông báo</t>
        </is>
      </c>
      <c r="G23" s="11" t="inlineStr">
        <is>
          <t>Tài khoản CBNV có sẵn thông báo trên STG.
Test Data: 0 thông báo chưa đọc (test_data_catalog §HOME, biên)</t>
        </is>
      </c>
      <c r="H23" s="11" t="inlineStr">
        <is>
          <t>1. Đăng nhập FoxEco bằng tài khoản có thông báo. (setup)
2. Nhấn icon chuông, mở lần lượt toàn bộ thông báo còn chấm đỏ cho tới khi không còn item nào chưa đọc. (setup)
3. Nhấn nút quay lại về màn Trang chủ.
4. Check icon chuông ở header.</t>
        </is>
      </c>
      <c r="I23" s="11" t="inlineStr">
        <is>
          <t>4. Icon chuông KHÔNG hiển thị chấm đỏ.</t>
        </is>
      </c>
      <c r="J23" s="160" t="inlineStr">
        <is>
          <t>AI</t>
        </is>
      </c>
      <c r="K23" s="160" t="inlineStr">
        <is>
          <t>Pending</t>
        </is>
      </c>
      <c r="L23" s="160" t="inlineStr">
        <is>
          <t>No</t>
        </is>
      </c>
      <c r="M23" s="160" t="inlineStr"/>
      <c r="N23" s="264" t="inlineStr">
        <is>
          <t>Yes</t>
        </is>
      </c>
      <c r="O23" s="264" t="inlineStr"/>
      <c r="P23" s="264" t="inlineStr">
        <is>
          <t>Pass</t>
        </is>
      </c>
      <c r="Q23" s="264" t="inlineStr">
        <is>
          <t>GiangDC2</t>
        </is>
      </c>
      <c r="R23" s="264" t="inlineStr"/>
      <c r="S23" s="264" t="inlineStr"/>
      <c r="T23" s="264" t="n"/>
      <c r="U23" s="264" t="n"/>
      <c r="V23" s="264" t="n"/>
      <c r="W23" s="264" t="n"/>
      <c r="X23" s="264" t="n"/>
      <c r="Y23" s="264" t="n"/>
      <c r="Z23" s="264" t="n"/>
      <c r="AA23" s="264" t="n"/>
      <c r="AB23" s="264" t="n"/>
      <c r="AC23" s="264" t="n"/>
      <c r="AD23" s="264" t="n"/>
      <c r="AE23" s="264" t="n"/>
      <c r="AF23" s="264" t="n"/>
      <c r="AG23" s="264" t="n"/>
      <c r="AH23" s="264" t="n"/>
      <c r="AI23" s="264" t="n"/>
      <c r="AJ23" s="264" t="n"/>
      <c r="AK23" s="264" t="n"/>
      <c r="AL23" s="264" t="n"/>
      <c r="AM23" s="264" t="n"/>
      <c r="AN23" s="264" t="n"/>
      <c r="AO23" s="264" t="n"/>
      <c r="AP23" s="264" t="n"/>
      <c r="AQ23" s="264" t="n"/>
      <c r="AR23" s="158">
        <f>IF($A23="","",IF(OR($N23="Yes",$T23="Yes",$Z23="Yes",$AF23="Yes",$AL23="Yes"),"Yes","No"))</f>
        <v/>
      </c>
      <c r="AS23" s="158">
        <f>IF($A23="","",IFERROR(IF($AM23&lt;&gt;"",$AM23,IF($AG23&lt;&gt;"",$AG23,IF($AA23&lt;&gt;"",$AA23,IF($U23&lt;&gt;"",$U23,IF($O23&lt;&gt;"",$O23,""))))),""))</f>
        <v/>
      </c>
      <c r="AT23" s="158">
        <f>IFERROR(IF($AN23&lt;&gt;"",$AN23,IF($AH23&lt;&gt;"",$AH23,IF($AB23&lt;&gt;"",$AB23,IF($V23&lt;&gt;"",$V23,IF($P23&lt;&gt;"",$P23,""))))),"")</f>
        <v/>
      </c>
      <c r="AU23" s="265" t="inlineStr">
        <is>
          <t>Mục đích: cặp đối chứng âm với TC-HOME-005. · Căn cứ: cơ chế đánh dấu đã đọc còn chờ `C-NTF-03(a)`; TC dùng đường mở từng item nên không phụ thuộc nút mark-all, app không hạ chấm sau khi đọc hết ⇒ FAIL và dẫn `C-NTF-03`.</t>
        </is>
      </c>
    </row>
    <row r="24" ht="15.75" customHeight="1" s="216">
      <c r="A24" s="160">
        <f>IF($F24="","",$C$2&amp;"."&amp;COUNTA($F$7:$F24)&amp;"")</f>
        <v/>
      </c>
      <c r="B24" s="160" t="inlineStr">
        <is>
          <t>REQ-HOME-003</t>
        </is>
      </c>
      <c r="C24" s="160" t="inlineStr">
        <is>
          <t>DOC-v1.0-01 · DOC-v1.0-02</t>
        </is>
      </c>
      <c r="D24" s="160" t="inlineStr">
        <is>
          <t>UI</t>
        </is>
      </c>
      <c r="E24" s="160" t="inlineStr">
        <is>
          <t>Low</t>
        </is>
      </c>
      <c r="F24" s="11" t="inlineStr">
        <is>
          <t>Check banner quảng bá hiển thị tagline kèm logo và không phát sinh điều hướng khi nhấn</t>
        </is>
      </c>
      <c r="G24" s="11" t="inlineStr">
        <is>
          <t>Tài khoản SSO CBNV còn hiệu lực trên STG.
Test Data: Tagline banner (test_data_catalog §HOME)</t>
        </is>
      </c>
      <c r="H24" s="11" t="inlineStr">
        <is>
          <t>1. Đăng nhập FoxEco từ host app FoxPro. (setup)
2. Check vùng banner quảng bá ở màn Trang chủ.
3. Nhấn vào banner.</t>
        </is>
      </c>
      <c r="I24" s="11" t="inlineStr">
        <is>
          <t>2. Banner hiển thị logo "FOX ECO" kèm tagline "Tiện đường — Giúp đồng nghiệp".
3. Nhấn banner không mở màn nào, không hiện popup, màn Trang chủ giữ nguyên.</t>
        </is>
      </c>
      <c r="J24" s="160" t="inlineStr">
        <is>
          <t>AI</t>
        </is>
      </c>
      <c r="K24" s="160" t="inlineStr">
        <is>
          <t>Pending</t>
        </is>
      </c>
      <c r="L24" s="160" t="inlineStr">
        <is>
          <t>No</t>
        </is>
      </c>
      <c r="M24" s="160" t="inlineStr"/>
      <c r="N24" s="264" t="inlineStr">
        <is>
          <t>Yes</t>
        </is>
      </c>
      <c r="O24" s="264" t="inlineStr"/>
      <c r="P24" s="264" t="inlineStr">
        <is>
          <t>Pass</t>
        </is>
      </c>
      <c r="Q24" s="264" t="inlineStr">
        <is>
          <t>GiangDC2</t>
        </is>
      </c>
      <c r="R24" s="264" t="inlineStr"/>
      <c r="S24" s="264" t="inlineStr"/>
      <c r="T24" s="264" t="n"/>
      <c r="U24" s="264" t="n"/>
      <c r="V24" s="264" t="n"/>
      <c r="W24" s="264" t="n"/>
      <c r="X24" s="264" t="n"/>
      <c r="Y24" s="264" t="n"/>
      <c r="Z24" s="264" t="n"/>
      <c r="AA24" s="264" t="n"/>
      <c r="AB24" s="264" t="n"/>
      <c r="AC24" s="264" t="n"/>
      <c r="AD24" s="264" t="n"/>
      <c r="AE24" s="264" t="n"/>
      <c r="AF24" s="264" t="n"/>
      <c r="AG24" s="264" t="n"/>
      <c r="AH24" s="264" t="n"/>
      <c r="AI24" s="264" t="n"/>
      <c r="AJ24" s="264" t="n"/>
      <c r="AK24" s="264" t="n"/>
      <c r="AL24" s="264" t="n"/>
      <c r="AM24" s="264" t="n"/>
      <c r="AN24" s="264" t="n"/>
      <c r="AO24" s="264" t="n"/>
      <c r="AP24" s="264" t="n"/>
      <c r="AQ24" s="264" t="n"/>
      <c r="AR24" s="158">
        <f>IF($A24="","",IF(OR($N24="Yes",$T24="Yes",$Z24="Yes",$AF24="Yes",$AL24="Yes"),"Yes","No"))</f>
        <v/>
      </c>
      <c r="AS24" s="158">
        <f>IF($A24="","",IFERROR(IF($AM24&lt;&gt;"",$AM24,IF($AG24&lt;&gt;"",$AG24,IF($AA24&lt;&gt;"",$AA24,IF($U24&lt;&gt;"",$U24,IF($O24&lt;&gt;"",$O24,""))))),""))</f>
        <v/>
      </c>
      <c r="AT24" s="158">
        <f>IFERROR(IF($AN24&lt;&gt;"",$AN24,IF($AH24&lt;&gt;"",$AH24,IF($AB24&lt;&gt;"",$AB24,IF($V24&lt;&gt;"",$V24,IF($P24&lt;&gt;"",$P24,""))))),"")</f>
        <v/>
      </c>
      <c r="AU24" s="265" t="inlineStr">
        <is>
          <t>Mục đích: banner hiển thị đúng tagline đã chốt. · Căn cứ: dùng chuỗi PRD "Tiện đường — Giúp đồng nghiệp" (`C-HOME-01(b)` RESOLVED 2026-09-15 — khớp design HOME_01/02/04; PRD thắng khi mô tả chi tiết màn hình, `MASTER-MEMORY §2`). BRD `§A3` L29 "Đồng nghiệp giúp nhau" là nguồn lỗi thời. · 2026-09-21: sửa Expected từ chuỗi BRD sang chuỗi PRD sau VR-005 (app hiện đúng chuỗi PRD).</t>
        </is>
      </c>
    </row>
    <row r="25" ht="15.75" customHeight="1" s="216">
      <c r="A25" s="160">
        <f>IF($F25="","",$C$2&amp;"."&amp;COUNTA($F$7:$F25)&amp;"")</f>
        <v/>
      </c>
      <c r="B25" s="160" t="inlineStr">
        <is>
          <t>REQ-HOME-005</t>
        </is>
      </c>
      <c r="C25" s="160" t="inlineStr">
        <is>
          <t>DOC-v1.0-02</t>
        </is>
      </c>
      <c r="D25" s="160" t="inlineStr">
        <is>
          <t>UI</t>
        </is>
      </c>
      <c r="E25" s="160" t="inlineStr">
        <is>
          <t>Medium</t>
        </is>
      </c>
      <c r="F25" s="11" t="inlineStr">
        <is>
          <t>Check section "Đơn của tôi" hiển thị đủ sáu thành phần khi tài khoản có đơn đang hoạt động</t>
        </is>
      </c>
      <c r="G25" s="11" t="inlineStr">
        <is>
          <t>Tài khoản Sender trên STG.
Test Data: 1 đơn Fixture ở trạng thái "Chờ ghép" (test_data_catalog §HOME)</t>
        </is>
      </c>
      <c r="H25" s="11" t="inlineStr">
        <is>
          <t>1. Đăng nhập FoxEco và đăng 1 tin NEED qua wizard "+ Đăng tin" để có đơn ở trạng thái "Chờ ghép". (setup)
2. Nhấn tab "Trang chủ".
3. Check lần lượt các thành phần của section "Đơn của tôi".</t>
        </is>
      </c>
      <c r="I25" s="11" t="inlineStr">
        <is>
          <t>3. Section hiển thị đủ 6 thành phần: nhãn vai kèm loại hàng và giá trị hàng, badge trạng thái, dòng "Từ:", dòng "Đến:", thanh progress 5 bước, dòng chữ "Chạm để theo dõi đơn của bạn".</t>
        </is>
      </c>
      <c r="J25" s="160" t="inlineStr">
        <is>
          <t>AI</t>
        </is>
      </c>
      <c r="K25" s="160" t="inlineStr">
        <is>
          <t>Pending</t>
        </is>
      </c>
      <c r="L25" s="160" t="inlineStr">
        <is>
          <t>No</t>
        </is>
      </c>
      <c r="M25" s="160" t="inlineStr"/>
      <c r="N25" s="264" t="inlineStr">
        <is>
          <t>Yes</t>
        </is>
      </c>
      <c r="O25" s="264" t="inlineStr"/>
      <c r="P25" s="264" t="inlineStr">
        <is>
          <t>Pass</t>
        </is>
      </c>
      <c r="Q25" s="264" t="inlineStr">
        <is>
          <t>GiangDC2</t>
        </is>
      </c>
      <c r="R25" s="264" t="inlineStr"/>
      <c r="S25" s="264" t="inlineStr"/>
      <c r="T25" s="264" t="n"/>
      <c r="U25" s="264" t="n"/>
      <c r="V25" s="264" t="n"/>
      <c r="W25" s="264" t="n"/>
      <c r="X25" s="264" t="n"/>
      <c r="Y25" s="264" t="n"/>
      <c r="Z25" s="264" t="n"/>
      <c r="AA25" s="264" t="n"/>
      <c r="AB25" s="264" t="n"/>
      <c r="AC25" s="264" t="n"/>
      <c r="AD25" s="264" t="n"/>
      <c r="AE25" s="264" t="n"/>
      <c r="AF25" s="264" t="n"/>
      <c r="AG25" s="264" t="n"/>
      <c r="AH25" s="264" t="n"/>
      <c r="AI25" s="264" t="n"/>
      <c r="AJ25" s="264" t="n"/>
      <c r="AK25" s="264" t="n"/>
      <c r="AL25" s="264" t="n"/>
      <c r="AM25" s="264" t="n"/>
      <c r="AN25" s="264" t="n"/>
      <c r="AO25" s="264" t="n"/>
      <c r="AP25" s="264" t="n"/>
      <c r="AQ25" s="264" t="n"/>
      <c r="AR25" s="158">
        <f>IF($A25="","",IF(OR($N25="Yes",$T25="Yes",$Z25="Yes",$AF25="Yes",$AL25="Yes"),"Yes","No"))</f>
        <v/>
      </c>
      <c r="AS25" s="158">
        <f>IF($A25="","",IFERROR(IF($AM25&lt;&gt;"",$AM25,IF($AG25&lt;&gt;"",$AG25,IF($AA25&lt;&gt;"",$AA25,IF($U25&lt;&gt;"",$U25,IF($O25&lt;&gt;"",$O25,""))))),""))</f>
        <v/>
      </c>
      <c r="AT25" s="158">
        <f>IFERROR(IF($AN25&lt;&gt;"",$AN25,IF($AH25&lt;&gt;"",$AH25,IF($AB25&lt;&gt;"",$AB25,IF($V25&lt;&gt;"",$V25,IF($P25&lt;&gt;"",$P25,""))))),"")</f>
        <v/>
      </c>
      <c r="AU25" s="265" t="inlineStr"/>
    </row>
    <row r="26" ht="15.75" customHeight="1" s="216">
      <c r="A26" s="160">
        <f>IF($F26="","",$C$2&amp;"."&amp;COUNTA($F$7:$F26)&amp;"")</f>
        <v/>
      </c>
      <c r="B26" s="160" t="inlineStr">
        <is>
          <t>REQ-HOME-005</t>
        </is>
      </c>
      <c r="C26" s="160" t="inlineStr">
        <is>
          <t>DOC-v1.0-02</t>
        </is>
      </c>
      <c r="D26" s="160" t="inlineStr">
        <is>
          <t>Functional</t>
        </is>
      </c>
      <c r="E26" s="160" t="inlineStr">
        <is>
          <t>Medium</t>
        </is>
      </c>
      <c r="F26" s="11" t="inlineStr">
        <is>
          <t>Check section "Đơn của tôi" bị ẩn khi tài khoản không có đơn đang hoạt động</t>
        </is>
      </c>
      <c r="G26" s="11" t="inlineStr">
        <is>
          <t>Tài khoản CBNV "trắng" trên STG (không có đơn nào ở trạng thái từ "Chờ ghép" đến "Đã giao").
Test Data: Tài khoản 0 đơn đang hoạt động (test_data_catalog §HOME, biên)</t>
        </is>
      </c>
      <c r="H26" s="11" t="inlineStr">
        <is>
          <t>1. Đăng nhập FoxEco bằng tài khoản "trắng". (setup)
2. Check thứ tự các section trên màn Trang chủ từ trên xuống.</t>
        </is>
      </c>
      <c r="I26" s="11" t="inlineStr">
        <is>
          <t>2. KHÔNG có section "Đơn của tôi"; sau card "Đóng góp của bạn" là section "Tin mới".</t>
        </is>
      </c>
      <c r="J26" s="160" t="inlineStr">
        <is>
          <t>AI</t>
        </is>
      </c>
      <c r="K26" s="160" t="inlineStr">
        <is>
          <t>Pending</t>
        </is>
      </c>
      <c r="L26" s="160" t="inlineStr">
        <is>
          <t>No</t>
        </is>
      </c>
      <c r="M26" s="160" t="inlineStr"/>
      <c r="N26" s="264" t="inlineStr">
        <is>
          <t>Yes</t>
        </is>
      </c>
      <c r="O26" s="264" t="inlineStr"/>
      <c r="P26" s="264" t="inlineStr">
        <is>
          <t>N/A</t>
        </is>
      </c>
      <c r="Q26" s="264" t="inlineStr">
        <is>
          <t>GiangDC2</t>
        </is>
      </c>
      <c r="R26" s="264" t="inlineStr"/>
      <c r="S26" s="264" t="inlineStr"/>
      <c r="T26" s="264" t="n"/>
      <c r="U26" s="264" t="n"/>
      <c r="V26" s="264" t="n"/>
      <c r="W26" s="264" t="n"/>
      <c r="X26" s="264" t="n"/>
      <c r="Y26" s="264" t="n"/>
      <c r="Z26" s="264" t="n"/>
      <c r="AA26" s="264" t="n"/>
      <c r="AB26" s="264" t="n"/>
      <c r="AC26" s="264" t="n"/>
      <c r="AD26" s="264" t="n"/>
      <c r="AE26" s="264" t="n"/>
      <c r="AF26" s="264" t="n"/>
      <c r="AG26" s="264" t="n"/>
      <c r="AH26" s="264" t="n"/>
      <c r="AI26" s="264" t="n"/>
      <c r="AJ26" s="264" t="n"/>
      <c r="AK26" s="264" t="n"/>
      <c r="AL26" s="264" t="n"/>
      <c r="AM26" s="264" t="n"/>
      <c r="AN26" s="264" t="n"/>
      <c r="AO26" s="264" t="n"/>
      <c r="AP26" s="264" t="n"/>
      <c r="AQ26" s="264" t="n"/>
      <c r="AR26" s="158">
        <f>IF($A26="","",IF(OR($N26="Yes",$T26="Yes",$Z26="Yes",$AF26="Yes",$AL26="Yes"),"Yes","No"))</f>
        <v/>
      </c>
      <c r="AS26" s="158">
        <f>IF($A26="","",IFERROR(IF($AM26&lt;&gt;"",$AM26,IF($AG26&lt;&gt;"",$AG26,IF($AA26&lt;&gt;"",$AA26,IF($U26&lt;&gt;"",$U26,IF($O26&lt;&gt;"",$O26,""))))),""))</f>
        <v/>
      </c>
      <c r="AT26" s="158">
        <f>IFERROR(IF($AN26&lt;&gt;"",$AN26,IF($AH26&lt;&gt;"",$AH26,IF($AB26&lt;&gt;"",$AB26,IF($V26&lt;&gt;"",$V26,IF($P26&lt;&gt;"",$P26,""))))),"")</f>
        <v/>
      </c>
      <c r="AU26" s="265" t="inlineStr">
        <is>
          <t>Mục đích: neo vào `C-HOME-02` Open — 2 cách hiểu rule ẩn section (theo điều kiện có đơn vs theo vai trò). · Căn cứ: assert theo `DOC-v1.0-02` §3.1 + §4.1 (ẩn theo điều kiện có đơn) vì đây là nguồn duy nhất có mô tả; nếu app ẩn theo vai trò (vd Carrier không bao giờ thấy section dù đang có đơn) ⇒ FAIL và dẫn `C-HOME-02`. · 🗑️ DESCOPED 2026-09-21 (`§10.5`, giữ nguyên dòng): `SC-HOME-010` DEPRECATED ở v1.1 — `C-HOME-05` Resolved 2026-09-17: BA chốt **HIỆN** empty state `EMP-02`, không ẩn ⇒ kỳ vọng cũ ngược hẳn; thay bằng `TC-HOME-027`. Nguồn: `TC-HOME-v1.1.md §0.1`.</t>
        </is>
      </c>
    </row>
    <row r="27" ht="15.75" customHeight="1" s="216">
      <c r="A27" s="160">
        <f>IF($F27="","",$C$2&amp;"."&amp;COUNTA($F$7:$F27)&amp;"")</f>
        <v/>
      </c>
      <c r="B27" s="160" t="inlineStr">
        <is>
          <t>REQ-HOME-005</t>
        </is>
      </c>
      <c r="C27" s="160" t="inlineStr">
        <is>
          <t>DOC-v1.0-02</t>
        </is>
      </c>
      <c r="D27" s="160" t="inlineStr">
        <is>
          <t>Functional</t>
        </is>
      </c>
      <c r="E27" s="160" t="inlineStr">
        <is>
          <t>Medium</t>
        </is>
      </c>
      <c r="F27" s="11" t="inlineStr">
        <is>
          <t>Check section "Đơn của tôi" dùng nhãn "Gửi:" khi tài khoản là người gửi</t>
        </is>
      </c>
      <c r="G27" s="11" t="inlineStr">
        <is>
          <t>Tài khoản Sender trên STG.
Test Data: Nhãn vai `Gửi:` (test_data_catalog §HOME)</t>
        </is>
      </c>
      <c r="H27" s="11" t="inlineStr">
        <is>
          <t>1. Đăng nhập FoxEco và đăng 1 tin NEED qua wizard "+ Đăng tin" để có đơn đang hoạt động. (setup)
2. Nhấn tab "Trang chủ".
3. Check nhãn vai ở dòng đầu section "Đơn của tôi".</t>
        </is>
      </c>
      <c r="I27" s="11" t="inlineStr">
        <is>
          <t>3. Nhãn vai hiển thị đúng chuỗi "Gửi:".</t>
        </is>
      </c>
      <c r="J27" s="160" t="inlineStr">
        <is>
          <t>AI</t>
        </is>
      </c>
      <c r="K27" s="160" t="inlineStr">
        <is>
          <t>Pending</t>
        </is>
      </c>
      <c r="L27" s="160" t="inlineStr">
        <is>
          <t>No</t>
        </is>
      </c>
      <c r="M27" s="160" t="inlineStr"/>
      <c r="N27" s="264" t="inlineStr">
        <is>
          <t>Yes</t>
        </is>
      </c>
      <c r="O27" s="264" t="inlineStr"/>
      <c r="P27" s="264" t="inlineStr">
        <is>
          <t>Pass</t>
        </is>
      </c>
      <c r="Q27" s="264" t="inlineStr">
        <is>
          <t>GiangDC2</t>
        </is>
      </c>
      <c r="R27" s="264" t="inlineStr"/>
      <c r="S27" s="264" t="inlineStr"/>
      <c r="T27" s="264" t="n"/>
      <c r="U27" s="264" t="n"/>
      <c r="V27" s="264" t="n"/>
      <c r="W27" s="264" t="n"/>
      <c r="X27" s="264" t="n"/>
      <c r="Y27" s="264" t="n"/>
      <c r="Z27" s="264" t="n"/>
      <c r="AA27" s="264" t="n"/>
      <c r="AB27" s="264" t="n"/>
      <c r="AC27" s="264" t="n"/>
      <c r="AD27" s="264" t="n"/>
      <c r="AE27" s="264" t="n"/>
      <c r="AF27" s="264" t="n"/>
      <c r="AG27" s="264" t="n"/>
      <c r="AH27" s="264" t="n"/>
      <c r="AI27" s="264" t="n"/>
      <c r="AJ27" s="264" t="n"/>
      <c r="AK27" s="264" t="n"/>
      <c r="AL27" s="264" t="n"/>
      <c r="AM27" s="264" t="n"/>
      <c r="AN27" s="264" t="n"/>
      <c r="AO27" s="264" t="n"/>
      <c r="AP27" s="264" t="n"/>
      <c r="AQ27" s="264" t="n"/>
      <c r="AR27" s="158">
        <f>IF($A27="","",IF(OR($N27="Yes",$T27="Yes",$Z27="Yes",$AF27="Yes",$AL27="Yes"),"Yes","No"))</f>
        <v/>
      </c>
      <c r="AS27" s="158">
        <f>IF($A27="","",IFERROR(IF($AM27&lt;&gt;"",$AM27,IF($AG27&lt;&gt;"",$AG27,IF($AA27&lt;&gt;"",$AA27,IF($U27&lt;&gt;"",$U27,IF($O27&lt;&gt;"",$O27,""))))),""))</f>
        <v/>
      </c>
      <c r="AT27" s="158">
        <f>IFERROR(IF($AN27&lt;&gt;"",$AN27,IF($AH27&lt;&gt;"",$AH27,IF($AB27&lt;&gt;"",$AB27,IF($V27&lt;&gt;"",$V27,IF($P27&lt;&gt;"",$P27,""))))),"")</f>
        <v/>
      </c>
      <c r="AU27" s="265" t="inlineStr">
        <is>
          <t>Mục đích: 1 trong 3 ca phân biệt nhãn theo vai — bộ ba TC-HOME-011/012/013 phải khác nhãn nhau.</t>
        </is>
      </c>
    </row>
    <row r="28" ht="15.75" customHeight="1" s="216">
      <c r="A28" s="160">
        <f>IF($F28="","",$C$2&amp;"."&amp;COUNTA($F$7:$F28)&amp;"")</f>
        <v/>
      </c>
      <c r="B28" s="160" t="inlineStr">
        <is>
          <t>REQ-HOME-005</t>
        </is>
      </c>
      <c r="C28" s="160" t="inlineStr">
        <is>
          <t>DOC-v1.0-02</t>
        </is>
      </c>
      <c r="D28" s="160" t="inlineStr">
        <is>
          <t>Functional</t>
        </is>
      </c>
      <c r="E28" s="160" t="inlineStr">
        <is>
          <t>Medium</t>
        </is>
      </c>
      <c r="F28" s="11" t="inlineStr">
        <is>
          <t>Check section "Đơn của tôi" dùng nhãn "Giao:" khi tài khoản là người vận chuyển</t>
        </is>
      </c>
      <c r="G28" s="11" t="inlineStr">
        <is>
          <t>Tài khoản Carrier trên STG.
- Có sẵn ≥1 tin NEED của tài khoản khác đang chờ ghép.
Test Data: Nhãn vai `Giao:`; 1 tin NEED của tài khoản khác (test_data_catalog §HOME)</t>
        </is>
      </c>
      <c r="H28" s="11" t="inlineStr">
        <is>
          <t>1. Đăng nhập FoxEco bằng tài khoản Carrier, mở tab "Bảng tin", nhấn 1 tin rồi nhấn "Tôi mang giúp được" để nhận đơn. (setup)
2. Nhấn tab "Trang chủ".
3. Check nhãn vai ở dòng đầu section "Đơn của tôi".</t>
        </is>
      </c>
      <c r="I28" s="11" t="inlineStr">
        <is>
          <t>3. Nhãn vai hiển thị đúng chuỗi "Giao:".</t>
        </is>
      </c>
      <c r="J28" s="160" t="inlineStr">
        <is>
          <t>AI</t>
        </is>
      </c>
      <c r="K28" s="160" t="inlineStr">
        <is>
          <t>Pending</t>
        </is>
      </c>
      <c r="L28" s="160" t="inlineStr">
        <is>
          <t>No</t>
        </is>
      </c>
      <c r="M28" s="160" t="inlineStr"/>
      <c r="N28" s="264" t="inlineStr">
        <is>
          <t>Yes</t>
        </is>
      </c>
      <c r="O28" s="264" t="inlineStr"/>
      <c r="P28" s="264" t="inlineStr">
        <is>
          <t>Pass</t>
        </is>
      </c>
      <c r="Q28" s="264" t="inlineStr">
        <is>
          <t>GiangDC2</t>
        </is>
      </c>
      <c r="R28" s="264" t="inlineStr"/>
      <c r="S28" s="264" t="inlineStr"/>
      <c r="T28" s="264" t="n"/>
      <c r="U28" s="264" t="n"/>
      <c r="V28" s="264" t="n"/>
      <c r="W28" s="264" t="n"/>
      <c r="X28" s="264" t="n"/>
      <c r="Y28" s="264" t="n"/>
      <c r="Z28" s="264" t="n"/>
      <c r="AA28" s="264" t="n"/>
      <c r="AB28" s="264" t="n"/>
      <c r="AC28" s="264" t="n"/>
      <c r="AD28" s="264" t="n"/>
      <c r="AE28" s="264" t="n"/>
      <c r="AF28" s="264" t="n"/>
      <c r="AG28" s="264" t="n"/>
      <c r="AH28" s="264" t="n"/>
      <c r="AI28" s="264" t="n"/>
      <c r="AJ28" s="264" t="n"/>
      <c r="AK28" s="264" t="n"/>
      <c r="AL28" s="264" t="n"/>
      <c r="AM28" s="264" t="n"/>
      <c r="AN28" s="264" t="n"/>
      <c r="AO28" s="264" t="n"/>
      <c r="AP28" s="264" t="n"/>
      <c r="AQ28" s="264" t="n"/>
      <c r="AR28" s="158">
        <f>IF($A28="","",IF(OR($N28="Yes",$T28="Yes",$Z28="Yes",$AF28="Yes",$AL28="Yes"),"Yes","No"))</f>
        <v/>
      </c>
      <c r="AS28" s="158">
        <f>IF($A28="","",IFERROR(IF($AM28&lt;&gt;"",$AM28,IF($AG28&lt;&gt;"",$AG28,IF($AA28&lt;&gt;"",$AA28,IF($U28&lt;&gt;"",$U28,IF($O28&lt;&gt;"",$O28,""))))),""))</f>
        <v/>
      </c>
      <c r="AT28" s="158">
        <f>IFERROR(IF($AN28&lt;&gt;"",$AN28,IF($AH28&lt;&gt;"",$AH28,IF($AB28&lt;&gt;"",$AB28,IF($V28&lt;&gt;"",$V28,IF($P28&lt;&gt;"",$P28,""))))),"")</f>
        <v/>
      </c>
      <c r="AU28" s="265" t="inlineStr">
        <is>
          <t>Mục đích: 1 trong 3 ca phân biệt nhãn theo vai.</t>
        </is>
      </c>
    </row>
    <row r="29" ht="15.75" customHeight="1" s="216">
      <c r="A29" s="160">
        <f>IF($F29="","",$C$2&amp;"."&amp;COUNTA($F$7:$F29)&amp;"")</f>
        <v/>
      </c>
      <c r="B29" s="160" t="inlineStr">
        <is>
          <t>REQ-HOME-005</t>
        </is>
      </c>
      <c r="C29" s="160" t="inlineStr">
        <is>
          <t>DOC-v1.0-02</t>
        </is>
      </c>
      <c r="D29" s="160" t="inlineStr">
        <is>
          <t>Functional</t>
        </is>
      </c>
      <c r="E29" s="160" t="inlineStr">
        <is>
          <t>Medium</t>
        </is>
      </c>
      <c r="F29" s="11" t="inlineStr">
        <is>
          <t>Check section "Đơn của tôi" dùng nhãn "Nhận:" khi tài khoản là người nhận</t>
        </is>
      </c>
      <c r="G29" s="11" t="inlineStr">
        <is>
          <t>Tài khoản Receiver trên STG.
Test Data: Nhãn vai `Nhận:`; 1 đơn có tài khoản ở vai người nhận (test_data_catalog §HOME)</t>
        </is>
      </c>
      <c r="H29" s="11" t="inlineStr">
        <is>
          <t>1. Nhờ dev/QA seed 1 đơn đang hoạt động mà tài khoản này là người nhận. (setup)
2. Đăng nhập FoxEco bằng tài khoản Receiver.
3. Check nhãn vai ở dòng đầu section "Đơn của tôi".</t>
        </is>
      </c>
      <c r="I29" s="11" t="inlineStr">
        <is>
          <t>3. Nhãn vai hiển thị đúng chuỗi "Nhận:".</t>
        </is>
      </c>
      <c r="J29" s="160" t="inlineStr">
        <is>
          <t>AI</t>
        </is>
      </c>
      <c r="K29" s="160" t="inlineStr">
        <is>
          <t>Pending</t>
        </is>
      </c>
      <c r="L29" s="160" t="inlineStr">
        <is>
          <t>No</t>
        </is>
      </c>
      <c r="M29" s="160" t="inlineStr"/>
      <c r="N29" s="264" t="inlineStr">
        <is>
          <t>Yes</t>
        </is>
      </c>
      <c r="O29" s="264" t="inlineStr"/>
      <c r="P29" s="264" t="inlineStr">
        <is>
          <t>Pass</t>
        </is>
      </c>
      <c r="Q29" s="264" t="inlineStr">
        <is>
          <t>GiangDC2</t>
        </is>
      </c>
      <c r="R29" s="264" t="inlineStr"/>
      <c r="S29" s="264" t="inlineStr"/>
      <c r="T29" s="264" t="n"/>
      <c r="U29" s="264" t="n"/>
      <c r="V29" s="264" t="n"/>
      <c r="W29" s="264" t="n"/>
      <c r="X29" s="264" t="n"/>
      <c r="Y29" s="264" t="n"/>
      <c r="Z29" s="264" t="n"/>
      <c r="AA29" s="264" t="n"/>
      <c r="AB29" s="264" t="n"/>
      <c r="AC29" s="264" t="n"/>
      <c r="AD29" s="264" t="n"/>
      <c r="AE29" s="264" t="n"/>
      <c r="AF29" s="264" t="n"/>
      <c r="AG29" s="264" t="n"/>
      <c r="AH29" s="264" t="n"/>
      <c r="AI29" s="264" t="n"/>
      <c r="AJ29" s="264" t="n"/>
      <c r="AK29" s="264" t="n"/>
      <c r="AL29" s="264" t="n"/>
      <c r="AM29" s="264" t="n"/>
      <c r="AN29" s="264" t="n"/>
      <c r="AO29" s="264" t="n"/>
      <c r="AP29" s="264" t="n"/>
      <c r="AQ29" s="264" t="n"/>
      <c r="AR29" s="158">
        <f>IF($A29="","",IF(OR($N29="Yes",$T29="Yes",$Z29="Yes",$AF29="Yes",$AL29="Yes"),"Yes","No"))</f>
        <v/>
      </c>
      <c r="AS29" s="158">
        <f>IF($A29="","",IFERROR(IF($AM29&lt;&gt;"",$AM29,IF($AG29&lt;&gt;"",$AG29,IF($AA29&lt;&gt;"",$AA29,IF($U29&lt;&gt;"",$U29,IF($O29&lt;&gt;"",$O29,""))))),""))</f>
        <v/>
      </c>
      <c r="AT29" s="158">
        <f>IFERROR(IF($AN29&lt;&gt;"",$AN29,IF($AH29&lt;&gt;"",$AH29,IF($AB29&lt;&gt;"",$AB29,IF($V29&lt;&gt;"",$V29,IF($P29&lt;&gt;"",$P29,""))))),"")</f>
        <v/>
      </c>
      <c r="AU29" s="265" t="inlineStr">
        <is>
          <t>Mục đích: 1 trong 3 ca phân biệt nhãn theo vai. · Căn cứ: vai Receiver do Sender chỉ định khi đăng tin nên phải seed từ tài khoản khác, không dựng được bằng chính tài khoản đang test.</t>
        </is>
      </c>
    </row>
    <row r="30" ht="15.75" customHeight="1" s="216">
      <c r="A30" s="160">
        <f>IF($F30="","",$C$2&amp;"."&amp;COUNTA($F$7:$F30)&amp;"")</f>
        <v/>
      </c>
      <c r="B30" s="160" t="inlineStr">
        <is>
          <t>REQ-HOME-005</t>
        </is>
      </c>
      <c r="C30" s="160" t="inlineStr">
        <is>
          <t>DOC-v1.0-02 · DOC-v1.0-01</t>
        </is>
      </c>
      <c r="D30" s="160" t="inlineStr">
        <is>
          <t>UI</t>
        </is>
      </c>
      <c r="E30" s="160" t="inlineStr">
        <is>
          <t>Low</t>
        </is>
      </c>
      <c r="F30" s="11" t="inlineStr">
        <is>
          <t>Check badge trạng thái và thanh progress khớp nhau ở từng trạng thái của đơn</t>
        </is>
      </c>
      <c r="G30" s="11" t="inlineStr">
        <is>
          <t>Tài khoản Sender trên STG.
- Có tài khoản Carrier và Receiver để đẩy đơn qua các trạng thái.
Test Data: Badge thuộc tập {Chờ ghép, Đã ghép, Đang giao, Đã giao, Hoàn thành}; 5 mốc progress (test_data_catalog §HOME)</t>
        </is>
      </c>
      <c r="H30" s="11" t="inlineStr">
        <is>
          <t>1. Đăng nhập FoxEco và đăng 1 tin NEED để có đơn ở trạng thái "Chờ ghép". (setup)
2. Nhấn tab "Trang chủ", check badge và số bước được tô trên thanh progress.
3. Nhờ tài khoản Carrier nhận đơn, quay lại tab "Trang chủ" và check badge cùng thanh progress.
4. Nhờ Carrier bấm đã lấy hàng, quay lại tab "Trang chủ" và check badge cùng thanh progress.
5. Nhờ Carrier bấm đã giao, quay lại tab "Trang chủ" và check badge cùng thanh progress.</t>
        </is>
      </c>
      <c r="I30" s="11" t="inlineStr">
        <is>
          <t>2. Badge hiển thị "Chờ ghép"; thanh progress tô đúng 1 trong 5 bước.
3. Badge hiển thị "Đã ghép"; thanh progress tô đúng 2 trong 5 bước.
4. Badge hiển thị "Đang giao"; thanh progress tô đúng 3 trong 5 bước.
5. Badge hiển thị "Đã giao"; thanh progress tô đúng 4 trong 5 bước.</t>
        </is>
      </c>
      <c r="J30" s="160" t="inlineStr">
        <is>
          <t>AI</t>
        </is>
      </c>
      <c r="K30" s="160" t="inlineStr">
        <is>
          <t>Pending</t>
        </is>
      </c>
      <c r="L30" s="160" t="inlineStr">
        <is>
          <t>No</t>
        </is>
      </c>
      <c r="M30" s="160" t="inlineStr"/>
      <c r="N30" s="264" t="inlineStr"/>
      <c r="O30" s="264" t="inlineStr"/>
      <c r="P30" s="264" t="inlineStr"/>
      <c r="Q30" s="264" t="inlineStr"/>
      <c r="R30" s="264" t="inlineStr"/>
      <c r="S30" s="264" t="inlineStr"/>
      <c r="T30" s="264" t="n"/>
      <c r="U30" s="264" t="n"/>
      <c r="V30" s="264" t="n"/>
      <c r="W30" s="264" t="n"/>
      <c r="X30" s="264" t="n"/>
      <c r="Y30" s="264" t="n"/>
      <c r="Z30" s="264" t="n"/>
      <c r="AA30" s="264" t="n"/>
      <c r="AB30" s="264" t="n"/>
      <c r="AC30" s="264" t="n"/>
      <c r="AD30" s="264" t="n"/>
      <c r="AE30" s="264" t="n"/>
      <c r="AF30" s="264" t="n"/>
      <c r="AG30" s="264" t="n"/>
      <c r="AH30" s="264" t="n"/>
      <c r="AI30" s="264" t="n"/>
      <c r="AJ30" s="264" t="n"/>
      <c r="AK30" s="264" t="n"/>
      <c r="AL30" s="264" t="n"/>
      <c r="AM30" s="264" t="n"/>
      <c r="AN30" s="264" t="n"/>
      <c r="AO30" s="264" t="n"/>
      <c r="AP30" s="264" t="n"/>
      <c r="AQ30" s="264" t="n"/>
      <c r="AR30" s="158">
        <f>IF($A30="","",IF(OR($N30="Yes",$T30="Yes",$Z30="Yes",$AF30="Yes",$AL30="Yes"),"Yes","No"))</f>
        <v/>
      </c>
      <c r="AS30" s="158">
        <f>IF($A30="","",IFERROR(IF($AM30&lt;&gt;"",$AM30,IF($AG30&lt;&gt;"",$AG30,IF($AA30&lt;&gt;"",$AA30,IF($U30&lt;&gt;"",$U30,IF($O30&lt;&gt;"",$O30,""))))),""))</f>
        <v/>
      </c>
      <c r="AT30" s="158">
        <f>IFERROR(IF($AN30&lt;&gt;"",$AN30,IF($AH30&lt;&gt;"",$AH30,IF($AB30&lt;&gt;"",$AB30,IF($V30&lt;&gt;"",$V30,IF($P30&lt;&gt;"",$P30,""))))),"")</f>
        <v/>
      </c>
      <c r="AU30" s="265" t="inlineStr">
        <is>
          <t>Căn cứ: 5 mốc lấy từ `§D2` L232. Trạng thái "Hoàn thành" verify ở `TC-ACT-*` vì đó là ranh giới đơn còn/không còn "đang hoạt động" và chưa có đặc tả rõ (`test_data_catalog §HOME` biên).</t>
        </is>
      </c>
    </row>
    <row r="31" ht="15.75" customHeight="1" s="216">
      <c r="A31" s="160">
        <f>IF($F31="","",$C$2&amp;"."&amp;COUNTA($F$7:$F31)&amp;"")</f>
        <v/>
      </c>
      <c r="B31" s="160" t="inlineStr">
        <is>
          <t>REQ-HOME-005</t>
        </is>
      </c>
      <c r="C31" s="160" t="inlineStr">
        <is>
          <t>DOC-v1.0-02</t>
        </is>
      </c>
      <c r="D31" s="160" t="inlineStr">
        <is>
          <t>Functional</t>
        </is>
      </c>
      <c r="E31" s="160" t="inlineStr">
        <is>
          <t>Medium</t>
        </is>
      </c>
      <c r="F31" s="11" t="inlineStr">
        <is>
          <t>Check chạm section "Đơn của tôi" mở màn Theo dõi đơn của đúng đơn đang hiển thị</t>
        </is>
      </c>
      <c r="G31" s="11" t="inlineStr">
        <is>
          <t>Tài khoản Sender trên STG.
Test Data: 1 đơn Fixture ở trạng thái "Chờ ghép" (test_data_catalog §HOME)</t>
        </is>
      </c>
      <c r="H31" s="11" t="inlineStr">
        <is>
          <t>1. Đăng nhập FoxEco và đăng 1 tin NEED qua wizard "+ Đăng tin", ghi lại loại hàng và địa chỉ của tin vừa đăng. (setup)
2. Nhấn tab "Trang chủ".
3. Chạm vào section "Đơn của tôi".</t>
        </is>
      </c>
      <c r="I31" s="11" t="inlineStr">
        <is>
          <t>3. Mở màn Theo dõi đơn với loại hàng và địa chỉ trùng khớp tin đã ghi ở bước 1.</t>
        </is>
      </c>
      <c r="J31" s="160" t="inlineStr">
        <is>
          <t>AI</t>
        </is>
      </c>
      <c r="K31" s="160" t="inlineStr">
        <is>
          <t>Pending</t>
        </is>
      </c>
      <c r="L31" s="160" t="inlineStr">
        <is>
          <t>No</t>
        </is>
      </c>
      <c r="M31" s="160" t="inlineStr"/>
      <c r="N31" s="264" t="inlineStr">
        <is>
          <t>Yes</t>
        </is>
      </c>
      <c r="O31" s="264" t="inlineStr"/>
      <c r="P31" s="264" t="inlineStr">
        <is>
          <t>Pass</t>
        </is>
      </c>
      <c r="Q31" s="264" t="inlineStr">
        <is>
          <t>GiangDC2</t>
        </is>
      </c>
      <c r="R31" s="264" t="inlineStr"/>
      <c r="S31" s="264" t="inlineStr"/>
      <c r="T31" s="264" t="n"/>
      <c r="U31" s="264" t="n"/>
      <c r="V31" s="264" t="n"/>
      <c r="W31" s="264" t="n"/>
      <c r="X31" s="264" t="n"/>
      <c r="Y31" s="264" t="n"/>
      <c r="Z31" s="264" t="n"/>
      <c r="AA31" s="264" t="n"/>
      <c r="AB31" s="264" t="n"/>
      <c r="AC31" s="264" t="n"/>
      <c r="AD31" s="264" t="n"/>
      <c r="AE31" s="264" t="n"/>
      <c r="AF31" s="264" t="n"/>
      <c r="AG31" s="264" t="n"/>
      <c r="AH31" s="264" t="n"/>
      <c r="AI31" s="264" t="n"/>
      <c r="AJ31" s="264" t="n"/>
      <c r="AK31" s="264" t="n"/>
      <c r="AL31" s="264" t="n"/>
      <c r="AM31" s="264" t="n"/>
      <c r="AN31" s="264" t="n"/>
      <c r="AO31" s="264" t="n"/>
      <c r="AP31" s="264" t="n"/>
      <c r="AQ31" s="264" t="n"/>
      <c r="AR31" s="158">
        <f>IF($A31="","",IF(OR($N31="Yes",$T31="Yes",$Z31="Yes",$AF31="Yes",$AL31="Yes"),"Yes","No"))</f>
        <v/>
      </c>
      <c r="AS31" s="158">
        <f>IF($A31="","",IFERROR(IF($AM31&lt;&gt;"",$AM31,IF($AG31&lt;&gt;"",$AG31,IF($AA31&lt;&gt;"",$AA31,IF($U31&lt;&gt;"",$U31,IF($O31&lt;&gt;"",$O31,""))))),""))</f>
        <v/>
      </c>
      <c r="AT31" s="158">
        <f>IFERROR(IF($AN31&lt;&gt;"",$AN31,IF($AH31&lt;&gt;"",$AH31,IF($AB31&lt;&gt;"",$AB31,IF($V31&lt;&gt;"",$V31,IF($P31&lt;&gt;"",$P31,""))))),"")</f>
        <v/>
      </c>
      <c r="AU31" s="265" t="inlineStr"/>
    </row>
    <row r="32" ht="15.75" customHeight="1" s="216">
      <c r="A32" s="160">
        <f>IF($F32="","",$C$2&amp;"."&amp;COUNTA($F$7:$F32)&amp;"")</f>
        <v/>
      </c>
      <c r="B32" s="160" t="inlineStr">
        <is>
          <t>REQ-HOME-006</t>
        </is>
      </c>
      <c r="C32" s="160" t="inlineStr">
        <is>
          <t>DOC-v1.0-02</t>
        </is>
      </c>
      <c r="D32" s="160" t="inlineStr">
        <is>
          <t>Functional</t>
        </is>
      </c>
      <c r="E32" s="160" t="inlineStr">
        <is>
          <t>Low</t>
        </is>
      </c>
      <c r="F32" s="11" t="inlineStr">
        <is>
          <t>Check nhấn "Xem tất cả" ở section "Đơn của tôi" mở màn Hoạt động</t>
        </is>
      </c>
      <c r="G32" s="11" t="inlineStr">
        <is>
          <t>Tài khoản Sender trên STG.
Test Data: 1 đơn Fixture ở trạng thái "Chờ ghép" (test_data_catalog §HOME)</t>
        </is>
      </c>
      <c r="H32" s="11" t="inlineStr">
        <is>
          <t>1. Đăng nhập FoxEco và đăng 1 tin NEED qua wizard "+ Đăng tin". (setup)
2. Nhấn tab "Trang chủ".
3. Nhấn "Xem tất cả" ở section "Đơn của tôi".</t>
        </is>
      </c>
      <c r="I32" s="11" t="inlineStr">
        <is>
          <t>3. Mở màn Hoạt động.</t>
        </is>
      </c>
      <c r="J32" s="160" t="inlineStr">
        <is>
          <t>AI</t>
        </is>
      </c>
      <c r="K32" s="160" t="inlineStr">
        <is>
          <t>Pending</t>
        </is>
      </c>
      <c r="L32" s="160" t="inlineStr">
        <is>
          <t>No</t>
        </is>
      </c>
      <c r="M32" s="160" t="inlineStr"/>
      <c r="N32" s="264" t="inlineStr">
        <is>
          <t>Yes</t>
        </is>
      </c>
      <c r="O32" s="264" t="inlineStr"/>
      <c r="P32" s="264" t="inlineStr">
        <is>
          <t>Pass</t>
        </is>
      </c>
      <c r="Q32" s="264" t="inlineStr">
        <is>
          <t>GiangDC2</t>
        </is>
      </c>
      <c r="R32" s="264" t="inlineStr"/>
      <c r="S32" s="264" t="inlineStr"/>
      <c r="T32" s="264" t="n"/>
      <c r="U32" s="264" t="n"/>
      <c r="V32" s="264" t="n"/>
      <c r="W32" s="264" t="n"/>
      <c r="X32" s="264" t="n"/>
      <c r="Y32" s="264" t="n"/>
      <c r="Z32" s="264" t="n"/>
      <c r="AA32" s="264" t="n"/>
      <c r="AB32" s="264" t="n"/>
      <c r="AC32" s="264" t="n"/>
      <c r="AD32" s="264" t="n"/>
      <c r="AE32" s="264" t="n"/>
      <c r="AF32" s="264" t="n"/>
      <c r="AG32" s="264" t="n"/>
      <c r="AH32" s="264" t="n"/>
      <c r="AI32" s="264" t="n"/>
      <c r="AJ32" s="264" t="n"/>
      <c r="AK32" s="264" t="n"/>
      <c r="AL32" s="264" t="n"/>
      <c r="AM32" s="264" t="n"/>
      <c r="AN32" s="264" t="n"/>
      <c r="AO32" s="264" t="n"/>
      <c r="AP32" s="264" t="n"/>
      <c r="AQ32" s="264" t="n"/>
      <c r="AR32" s="158">
        <f>IF($A32="","",IF(OR($N32="Yes",$T32="Yes",$Z32="Yes",$AF32="Yes",$AL32="Yes"),"Yes","No"))</f>
        <v/>
      </c>
      <c r="AS32" s="158">
        <f>IF($A32="","",IFERROR(IF($AM32&lt;&gt;"",$AM32,IF($AG32&lt;&gt;"",$AG32,IF($AA32&lt;&gt;"",$AA32,IF($U32&lt;&gt;"",$U32,IF($O32&lt;&gt;"",$O32,""))))),""))</f>
        <v/>
      </c>
      <c r="AT32" s="158">
        <f>IFERROR(IF($AN32&lt;&gt;"",$AN32,IF($AH32&lt;&gt;"",$AH32,IF($AB32&lt;&gt;"",$AB32,IF($V32&lt;&gt;"",$V32,IF($P32&lt;&gt;"",$P32,""))))),"")</f>
        <v/>
      </c>
      <c r="AU32" s="265" t="inlineStr">
        <is>
          <t>Căn cứ: nút này không có mô tả trong BRD/PRD (`KP-05 §3` #1) nên chỉ assert đích điều hướng, ⛔ không assert tab mặc định hay bộ lọc của màn Hoạt động.</t>
        </is>
      </c>
    </row>
    <row r="33" ht="15.75" customHeight="1" s="216">
      <c r="A33" s="160">
        <f>IF($F33="","",$C$2&amp;"."&amp;COUNTA($F$7:$F33)&amp;"")</f>
        <v/>
      </c>
      <c r="B33" s="160" t="inlineStr">
        <is>
          <t>REQ-HOME-007</t>
        </is>
      </c>
      <c r="C33" s="160" t="inlineStr">
        <is>
          <t>DOC-v1.0-06</t>
        </is>
      </c>
      <c r="D33" s="160" t="inlineStr">
        <is>
          <t>Functional</t>
        </is>
      </c>
      <c r="E33" s="160" t="inlineStr">
        <is>
          <t>Medium</t>
        </is>
      </c>
      <c r="F33" s="11" t="inlineStr">
        <is>
          <t>Check section "Tin mới" vẫn hiển thị với tài khoản đang ở vai người gửi</t>
        </is>
      </c>
      <c r="G33" s="11" t="inlineStr">
        <is>
          <t>Tài khoản Sender trên STG.
- Cộng đồng có ≥1 tin NEED còn hiệu lực do tài khoản khác đăng.
Test Data: ≥1 tin cộng đồng còn hiệu lực (test_data_catalog §HOME)</t>
        </is>
      </c>
      <c r="H33" s="11" t="inlineStr">
        <is>
          <t>1. Đăng nhập FoxEco và đăng 1 tin NEED để tài khoản đang ở vai người gửi. (setup)
2. Nhấn tab "Trang chủ".
3. Check section "Tin mới".</t>
        </is>
      </c>
      <c r="I33" s="11" t="inlineStr">
        <is>
          <t>3. Section "Tin mới" hiển thị và chứa ≥1 tin của cộng đồng.</t>
        </is>
      </c>
      <c r="J33" s="160" t="inlineStr">
        <is>
          <t>AI</t>
        </is>
      </c>
      <c r="K33" s="160" t="inlineStr">
        <is>
          <t>Pending</t>
        </is>
      </c>
      <c r="L33" s="160" t="inlineStr">
        <is>
          <t>No</t>
        </is>
      </c>
      <c r="M33" s="160" t="inlineStr"/>
      <c r="N33" s="264" t="inlineStr"/>
      <c r="O33" s="264" t="inlineStr"/>
      <c r="P33" s="264" t="inlineStr"/>
      <c r="Q33" s="264" t="inlineStr"/>
      <c r="R33" s="264" t="inlineStr"/>
      <c r="S33" s="264" t="inlineStr"/>
      <c r="T33" s="264" t="n"/>
      <c r="U33" s="264" t="n"/>
      <c r="V33" s="264" t="n"/>
      <c r="W33" s="264" t="n"/>
      <c r="X33" s="264" t="n"/>
      <c r="Y33" s="264" t="n"/>
      <c r="Z33" s="264" t="n"/>
      <c r="AA33" s="264" t="n"/>
      <c r="AB33" s="264" t="n"/>
      <c r="AC33" s="264" t="n"/>
      <c r="AD33" s="264" t="n"/>
      <c r="AE33" s="264" t="n"/>
      <c r="AF33" s="264" t="n"/>
      <c r="AG33" s="264" t="n"/>
      <c r="AH33" s="264" t="n"/>
      <c r="AI33" s="264" t="n"/>
      <c r="AJ33" s="264" t="n"/>
      <c r="AK33" s="264" t="n"/>
      <c r="AL33" s="264" t="n"/>
      <c r="AM33" s="264" t="n"/>
      <c r="AN33" s="264" t="n"/>
      <c r="AO33" s="264" t="n"/>
      <c r="AP33" s="264" t="n"/>
      <c r="AQ33" s="264" t="n"/>
      <c r="AR33" s="158">
        <f>IF($A33="","",IF(OR($N33="Yes",$T33="Yes",$Z33="Yes",$AF33="Yes",$AL33="Yes"),"Yes","No"))</f>
        <v/>
      </c>
      <c r="AS33" s="158">
        <f>IF($A33="","",IFERROR(IF($AM33&lt;&gt;"",$AM33,IF($AG33&lt;&gt;"",$AG33,IF($AA33&lt;&gt;"",$AA33,IF($U33&lt;&gt;"",$U33,IF($O33&lt;&gt;"",$O33,""))))),""))</f>
        <v/>
      </c>
      <c r="AT33" s="158">
        <f>IFERROR(IF($AN33&lt;&gt;"",$AN33,IF($AH33&lt;&gt;"",$AH33,IF($AB33&lt;&gt;"",$AB33,IF($V33&lt;&gt;"",$V33,IF($P33&lt;&gt;"",$P33,""))))),"")</f>
        <v/>
      </c>
      <c r="AU33" s="265" t="inlineStr">
        <is>
          <t>Mục đích: chốt "Tin mới" KHÔNG phải tính năng riêng của Carrier — neo vào `C-ORD-07` và `KB-ORD-08`.</t>
        </is>
      </c>
    </row>
    <row r="34" ht="15.75" customHeight="1" s="216">
      <c r="A34" s="160">
        <f>IF($F34="","",$C$2&amp;"."&amp;COUNTA($F$7:$F34)&amp;"")</f>
        <v/>
      </c>
      <c r="B34" s="160" t="inlineStr">
        <is>
          <t>REQ-HOME-007</t>
        </is>
      </c>
      <c r="C34" s="160" t="inlineStr">
        <is>
          <t>DOC-v1.0-01</t>
        </is>
      </c>
      <c r="D34" s="160" t="inlineStr">
        <is>
          <t>Functional</t>
        </is>
      </c>
      <c r="E34" s="160" t="inlineStr">
        <is>
          <t>Medium</t>
        </is>
      </c>
      <c r="F34" s="11" t="inlineStr">
        <is>
          <t>Check section "Tin mới" hiển thị tin của cả cộng đồng với tài khoản vai người vận chuyển</t>
        </is>
      </c>
      <c r="G34" s="11" t="inlineStr">
        <is>
          <t>Tài khoản Carrier trên STG.
- Cộng đồng có ≥1 tin NEED còn hiệu lực do tài khoản khác đăng.
Test Data: ≥1 tin cộng đồng còn hiệu lực (test_data_catalog §HOME)</t>
        </is>
      </c>
      <c r="H34" s="11" t="inlineStr">
        <is>
          <t>1. Đăng nhập FoxEco bằng tài khoản Carrier. (setup)
2. Nhấn tab "Trang chủ".
3. Check các tin trong section "Tin mới".</t>
        </is>
      </c>
      <c r="I34" s="11" t="inlineStr">
        <is>
          <t>3. Section "Tin mới" hiển thị tin do tài khoản khác đăng, không giới hạn ở tin của chính tài khoản đang đăng nhập.</t>
        </is>
      </c>
      <c r="J34" s="160" t="inlineStr">
        <is>
          <t>AI</t>
        </is>
      </c>
      <c r="K34" s="160" t="inlineStr">
        <is>
          <t>Pending</t>
        </is>
      </c>
      <c r="L34" s="160" t="inlineStr">
        <is>
          <t>No</t>
        </is>
      </c>
      <c r="M34" s="160" t="inlineStr"/>
      <c r="N34" s="264" t="inlineStr"/>
      <c r="O34" s="264" t="inlineStr"/>
      <c r="P34" s="264" t="inlineStr"/>
      <c r="Q34" s="264" t="inlineStr"/>
      <c r="R34" s="264" t="inlineStr"/>
      <c r="S34" s="264" t="inlineStr"/>
      <c r="T34" s="264" t="n"/>
      <c r="U34" s="264" t="n"/>
      <c r="V34" s="264" t="n"/>
      <c r="W34" s="264" t="n"/>
      <c r="X34" s="264" t="n"/>
      <c r="Y34" s="264" t="n"/>
      <c r="Z34" s="264" t="n"/>
      <c r="AA34" s="264" t="n"/>
      <c r="AB34" s="264" t="n"/>
      <c r="AC34" s="264" t="n"/>
      <c r="AD34" s="264" t="n"/>
      <c r="AE34" s="264" t="n"/>
      <c r="AF34" s="264" t="n"/>
      <c r="AG34" s="264" t="n"/>
      <c r="AH34" s="264" t="n"/>
      <c r="AI34" s="264" t="n"/>
      <c r="AJ34" s="264" t="n"/>
      <c r="AK34" s="264" t="n"/>
      <c r="AL34" s="264" t="n"/>
      <c r="AM34" s="264" t="n"/>
      <c r="AN34" s="264" t="n"/>
      <c r="AO34" s="264" t="n"/>
      <c r="AP34" s="264" t="n"/>
      <c r="AQ34" s="264" t="n"/>
      <c r="AR34" s="158">
        <f>IF($A34="","",IF(OR($N34="Yes",$T34="Yes",$Z34="Yes",$AF34="Yes",$AL34="Yes"),"Yes","No"))</f>
        <v/>
      </c>
      <c r="AS34" s="158">
        <f>IF($A34="","",IFERROR(IF($AM34&lt;&gt;"",$AM34,IF($AG34&lt;&gt;"",$AG34,IF($AA34&lt;&gt;"",$AA34,IF($U34&lt;&gt;"",$U34,IF($O34&lt;&gt;"",$O34,""))))),""))</f>
        <v/>
      </c>
      <c r="AT34" s="158">
        <f>IFERROR(IF($AN34&lt;&gt;"",$AN34,IF($AH34&lt;&gt;"",$AH34,IF($AB34&lt;&gt;"",$AB34,IF($V34&lt;&gt;"",$V34,IF($P34&lt;&gt;"",$P34,""))))),"")</f>
        <v/>
      </c>
      <c r="AU34" s="265" t="inlineStr"/>
    </row>
    <row r="35" ht="15.75" customHeight="1" s="216">
      <c r="A35" s="160">
        <f>IF($F35="","",$C$2&amp;"."&amp;COUNTA($F$7:$F35)&amp;"")</f>
        <v/>
      </c>
      <c r="B35" s="160" t="inlineStr">
        <is>
          <t>REQ-HOME-007</t>
        </is>
      </c>
      <c r="C35" s="160" t="inlineStr">
        <is>
          <t>DOC-v1.0-02</t>
        </is>
      </c>
      <c r="D35" s="160" t="inlineStr">
        <is>
          <t>Functional</t>
        </is>
      </c>
      <c r="E35" s="160" t="inlineStr">
        <is>
          <t>Low</t>
        </is>
      </c>
      <c r="F35" s="11" t="inlineStr">
        <is>
          <t>Check nhấn một tin ở section "Tin mới" mở màn Chi tiết tin của đúng tin đó</t>
        </is>
      </c>
      <c r="G35" s="11" t="inlineStr">
        <is>
          <t>Tài khoản CBNV trên STG.
- Cộng đồng có ≥1 tin NEED còn hiệu lực.
Test Data: ≥1 tin cộng đồng còn hiệu lực (test_data_catalog §HOME)</t>
        </is>
      </c>
      <c r="H35" s="11" t="inlineStr">
        <is>
          <t>1. Đăng nhập FoxEco từ host app FoxPro. (setup)
2. Ở section "Tin mới", ghi lại loại hàng và tuyến đường của tin đầu tiên.
3. Nhấn vào tin đầu tiên.</t>
        </is>
      </c>
      <c r="I35" s="11" t="inlineStr">
        <is>
          <t>3. Mở màn Chi tiết tin có loại hàng và tuyến đường trùng khớp tin đã ghi ở bước 2.</t>
        </is>
      </c>
      <c r="J35" s="160" t="inlineStr">
        <is>
          <t>AI</t>
        </is>
      </c>
      <c r="K35" s="160" t="inlineStr">
        <is>
          <t>Pending</t>
        </is>
      </c>
      <c r="L35" s="160" t="inlineStr">
        <is>
          <t>No</t>
        </is>
      </c>
      <c r="M35" s="160" t="inlineStr"/>
      <c r="N35" s="264" t="inlineStr"/>
      <c r="O35" s="264" t="inlineStr"/>
      <c r="P35" s="264" t="inlineStr"/>
      <c r="Q35" s="264" t="inlineStr"/>
      <c r="R35" s="264" t="inlineStr"/>
      <c r="S35" s="264" t="inlineStr"/>
      <c r="T35" s="264" t="n"/>
      <c r="U35" s="264" t="n"/>
      <c r="V35" s="264" t="n"/>
      <c r="W35" s="264" t="n"/>
      <c r="X35" s="264" t="n"/>
      <c r="Y35" s="264" t="n"/>
      <c r="Z35" s="264" t="n"/>
      <c r="AA35" s="264" t="n"/>
      <c r="AB35" s="264" t="n"/>
      <c r="AC35" s="264" t="n"/>
      <c r="AD35" s="264" t="n"/>
      <c r="AE35" s="264" t="n"/>
      <c r="AF35" s="264" t="n"/>
      <c r="AG35" s="264" t="n"/>
      <c r="AH35" s="264" t="n"/>
      <c r="AI35" s="264" t="n"/>
      <c r="AJ35" s="264" t="n"/>
      <c r="AK35" s="264" t="n"/>
      <c r="AL35" s="264" t="n"/>
      <c r="AM35" s="264" t="n"/>
      <c r="AN35" s="264" t="n"/>
      <c r="AO35" s="264" t="n"/>
      <c r="AP35" s="264" t="n"/>
      <c r="AQ35" s="264" t="n"/>
      <c r="AR35" s="158">
        <f>IF($A35="","",IF(OR($N35="Yes",$T35="Yes",$Z35="Yes",$AF35="Yes",$AL35="Yes"),"Yes","No"))</f>
        <v/>
      </c>
      <c r="AS35" s="158">
        <f>IF($A35="","",IFERROR(IF($AM35&lt;&gt;"",$AM35,IF($AG35&lt;&gt;"",$AG35,IF($AA35&lt;&gt;"",$AA35,IF($U35&lt;&gt;"",$U35,IF($O35&lt;&gt;"",$O35,""))))),""))</f>
        <v/>
      </c>
      <c r="AT35" s="158">
        <f>IFERROR(IF($AN35&lt;&gt;"",$AN35,IF($AH35&lt;&gt;"",$AH35,IF($AB35&lt;&gt;"",$AB35,IF($V35&lt;&gt;"",$V35,IF($P35&lt;&gt;"",$P35,""))))),"")</f>
        <v/>
      </c>
      <c r="AU35" s="265" t="inlineStr"/>
    </row>
    <row r="36" ht="15.75" customHeight="1" s="216">
      <c r="A36" s="160">
        <f>IF($F36="","",$C$2&amp;"."&amp;COUNTA($F$7:$F36)&amp;"")</f>
        <v/>
      </c>
      <c r="B36" s="160" t="inlineStr">
        <is>
          <t>REQ-HOME-008</t>
        </is>
      </c>
      <c r="C36" s="160" t="inlineStr">
        <is>
          <t>DOC-v1.0-02</t>
        </is>
      </c>
      <c r="D36" s="160" t="inlineStr">
        <is>
          <t>Functional</t>
        </is>
      </c>
      <c r="E36" s="160" t="inlineStr">
        <is>
          <t>Medium</t>
        </is>
      </c>
      <c r="F36" s="11" t="inlineStr">
        <is>
          <t>Check nhấn "Xem bảng tin gửi hàng" chuyển sang tab Bảng tin</t>
        </is>
      </c>
      <c r="G36" s="11" t="inlineStr">
        <is>
          <t>Tài khoản SSO CBNV còn hiệu lực trên STG.
Test Data: —</t>
        </is>
      </c>
      <c r="H36" s="11" t="inlineStr">
        <is>
          <t>1. Đăng nhập FoxEco từ host app FoxPro. (setup)
2. Nhấn nút "Xem bảng tin gửi hàng" ở màn Trang chủ.</t>
        </is>
      </c>
      <c r="I36" s="11" t="inlineStr">
        <is>
          <t>2. Chuyển sang tab "Bảng tin"; tab "Bảng tin" ở trạng thái active trên bottom nav.</t>
        </is>
      </c>
      <c r="J36" s="160" t="inlineStr">
        <is>
          <t>AI</t>
        </is>
      </c>
      <c r="K36" s="160" t="inlineStr">
        <is>
          <t>Pending</t>
        </is>
      </c>
      <c r="L36" s="160" t="inlineStr">
        <is>
          <t>No</t>
        </is>
      </c>
      <c r="M36" s="160" t="inlineStr"/>
      <c r="N36" s="264" t="inlineStr">
        <is>
          <t>Yes</t>
        </is>
      </c>
      <c r="O36" s="264" t="inlineStr"/>
      <c r="P36" s="264" t="inlineStr">
        <is>
          <t>Pass</t>
        </is>
      </c>
      <c r="Q36" s="264" t="inlineStr">
        <is>
          <t>GiangDC2</t>
        </is>
      </c>
      <c r="R36" s="264" t="inlineStr"/>
      <c r="S36" s="264" t="inlineStr"/>
      <c r="T36" s="264" t="n"/>
      <c r="U36" s="264" t="n"/>
      <c r="V36" s="264" t="n"/>
      <c r="W36" s="264" t="n"/>
      <c r="X36" s="264" t="n"/>
      <c r="Y36" s="264" t="n"/>
      <c r="Z36" s="264" t="n"/>
      <c r="AA36" s="264" t="n"/>
      <c r="AB36" s="264" t="n"/>
      <c r="AC36" s="264" t="n"/>
      <c r="AD36" s="264" t="n"/>
      <c r="AE36" s="264" t="n"/>
      <c r="AF36" s="264" t="n"/>
      <c r="AG36" s="264" t="n"/>
      <c r="AH36" s="264" t="n"/>
      <c r="AI36" s="264" t="n"/>
      <c r="AJ36" s="264" t="n"/>
      <c r="AK36" s="264" t="n"/>
      <c r="AL36" s="264" t="n"/>
      <c r="AM36" s="264" t="n"/>
      <c r="AN36" s="264" t="n"/>
      <c r="AO36" s="264" t="n"/>
      <c r="AP36" s="264" t="n"/>
      <c r="AQ36" s="264" t="n"/>
      <c r="AR36" s="158">
        <f>IF($A36="","",IF(OR($N36="Yes",$T36="Yes",$Z36="Yes",$AF36="Yes",$AL36="Yes"),"Yes","No"))</f>
        <v/>
      </c>
      <c r="AS36" s="158">
        <f>IF($A36="","",IFERROR(IF($AM36&lt;&gt;"",$AM36,IF($AG36&lt;&gt;"",$AG36,IF($AA36&lt;&gt;"",$AA36,IF($U36&lt;&gt;"",$U36,IF($O36&lt;&gt;"",$O36,""))))),""))</f>
        <v/>
      </c>
      <c r="AT36" s="158">
        <f>IFERROR(IF($AN36&lt;&gt;"",$AN36,IF($AH36&lt;&gt;"",$AH36,IF($AB36&lt;&gt;"",$AB36,IF($V36&lt;&gt;"",$V36,IF($P36&lt;&gt;"",$P36,""))))),"")</f>
        <v/>
      </c>
      <c r="AU36" s="265" t="inlineStr"/>
    </row>
    <row r="37" ht="15.75" customHeight="1" s="216">
      <c r="A37" s="160">
        <f>IF($F37="","",$C$2&amp;"."&amp;COUNTA($F$7:$F37)&amp;"")</f>
        <v/>
      </c>
      <c r="B37" s="160" t="inlineStr">
        <is>
          <t>REQ-HOME-009</t>
        </is>
      </c>
      <c r="C37" s="160" t="inlineStr">
        <is>
          <t>DOC-v1.0-02</t>
        </is>
      </c>
      <c r="D37" s="160" t="inlineStr">
        <is>
          <t>Functional</t>
        </is>
      </c>
      <c r="E37" s="160" t="inlineStr">
        <is>
          <t>Low</t>
        </is>
      </c>
      <c r="F37" s="11" t="inlineStr">
        <is>
          <t>Check sau khi xác nhận "Tôi mang giúp được" app vào thẳng màn Theo dõi đơn</t>
        </is>
      </c>
      <c r="G37" s="11" t="inlineStr">
        <is>
          <t>Tài khoản Carrier trên STG.
- Cộng đồng có ≥1 tin NEED còn hiệu lực do tài khoản khác đăng.
Test Data: ≥1 tin NEED của tài khoản khác (test_data_catalog §HOME)</t>
        </is>
      </c>
      <c r="H37" s="11" t="inlineStr">
        <is>
          <t>1. Đăng nhập FoxEco bằng tài khoản Carrier. (setup)
2. Nhấn tab "Bảng tin" và nhấn 1 tin để mở màn Chi tiết tin.
3. Nhấn "Tôi mang giúp được" và xác nhận trên popup.</t>
        </is>
      </c>
      <c r="I37" s="11" t="inlineStr">
        <is>
          <t>3. Màn hiện ra ngay sau khi xác nhận là màn Theo dõi đơn của đơn vừa nhận; KHÔNG quay về màn Trang chủ.</t>
        </is>
      </c>
      <c r="J37" s="160" t="inlineStr">
        <is>
          <t>AI</t>
        </is>
      </c>
      <c r="K37" s="160" t="inlineStr">
        <is>
          <t>Pending</t>
        </is>
      </c>
      <c r="L37" s="160" t="inlineStr">
        <is>
          <t>No</t>
        </is>
      </c>
      <c r="M37" s="160" t="inlineStr"/>
      <c r="N37" s="264" t="inlineStr"/>
      <c r="O37" s="264" t="inlineStr"/>
      <c r="P37" s="264" t="inlineStr"/>
      <c r="Q37" s="264" t="inlineStr"/>
      <c r="R37" s="264" t="inlineStr"/>
      <c r="S37" s="264" t="inlineStr"/>
      <c r="T37" s="264" t="n"/>
      <c r="U37" s="264" t="n"/>
      <c r="V37" s="264" t="n"/>
      <c r="W37" s="264" t="n"/>
      <c r="X37" s="264" t="n"/>
      <c r="Y37" s="264" t="n"/>
      <c r="Z37" s="264" t="n"/>
      <c r="AA37" s="264" t="n"/>
      <c r="AB37" s="264" t="n"/>
      <c r="AC37" s="264" t="n"/>
      <c r="AD37" s="264" t="n"/>
      <c r="AE37" s="264" t="n"/>
      <c r="AF37" s="264" t="n"/>
      <c r="AG37" s="264" t="n"/>
      <c r="AH37" s="264" t="n"/>
      <c r="AI37" s="264" t="n"/>
      <c r="AJ37" s="264" t="n"/>
      <c r="AK37" s="264" t="n"/>
      <c r="AL37" s="264" t="n"/>
      <c r="AM37" s="264" t="n"/>
      <c r="AN37" s="264" t="n"/>
      <c r="AO37" s="264" t="n"/>
      <c r="AP37" s="264" t="n"/>
      <c r="AQ37" s="264" t="n"/>
      <c r="AR37" s="158">
        <f>IF($A37="","",IF(OR($N37="Yes",$T37="Yes",$Z37="Yes",$AF37="Yes",$AL37="Yes"),"Yes","No"))</f>
        <v/>
      </c>
      <c r="AS37" s="158">
        <f>IF($A37="","",IFERROR(IF($AM37&lt;&gt;"",$AM37,IF($AG37&lt;&gt;"",$AG37,IF($AA37&lt;&gt;"",$AA37,IF($U37&lt;&gt;"",$U37,IF($O37&lt;&gt;"",$O37,""))))),""))</f>
        <v/>
      </c>
      <c r="AT37" s="158">
        <f>IFERROR(IF($AN37&lt;&gt;"",$AN37,IF($AH37&lt;&gt;"",$AH37,IF($AB37&lt;&gt;"",$AB37,IF($V37&lt;&gt;"",$V37,IF($P37&lt;&gt;"",$P37,""))))),"")</f>
        <v/>
      </c>
      <c r="AU37" s="265" t="inlineStr"/>
    </row>
    <row r="38" ht="15.75" customHeight="1" s="216">
      <c r="A38" s="160">
        <f>IF($F38="","",$C$2&amp;"."&amp;COUNTA($F$7:$F38)&amp;"")</f>
        <v/>
      </c>
      <c r="B38" s="160" t="inlineStr">
        <is>
          <t>REQ-HOME-010</t>
        </is>
      </c>
      <c r="C38" s="160" t="inlineStr">
        <is>
          <t>DOC-v1.0-06</t>
        </is>
      </c>
      <c r="D38" s="160" t="inlineStr">
        <is>
          <t>UI</t>
        </is>
      </c>
      <c r="E38" s="160" t="inlineStr">
        <is>
          <t>Low</t>
        </is>
      </c>
      <c r="F38" s="11" t="inlineStr">
        <is>
          <t>Check màn Trang chủ với tài khoản trắng vẫn giữ header, banner và card đóng góp, ẩn section "Đơn của tôi"</t>
        </is>
      </c>
      <c r="G38" s="11" t="inlineStr">
        <is>
          <t>Tài khoản CBNV "trắng" trên STG (chưa từng đăng hay nhận đơn nào).
- Cộng đồng không có tin NEED nào còn hiệu lực.
Test Data: Tài khoản 0 đơn; 0 tin cộng đồng (test_data_catalog §HOME, biên)</t>
        </is>
      </c>
      <c r="H38" s="11" t="inlineStr">
        <is>
          <t>1. Nhờ dev/QA chuẩn bị môi trường không còn tin NEED hiệu lực và 1 tài khoản chưa từng có đơn. (setup)
2. Đăng nhập FoxEco bằng tài khoản "trắng".
3. Check các thành phần trên màn Trang chủ từ trên xuống.</t>
        </is>
      </c>
      <c r="I38" s="11" t="inlineStr">
        <is>
          <t>3. Header lời chào, icon chuông, banner và card "Đóng góp của bạn" vẫn hiển thị; KHÔNG có section "Đơn của tôi"; section "Tin mới" không chứa tin nào.</t>
        </is>
      </c>
      <c r="J38" s="160" t="inlineStr">
        <is>
          <t>AI</t>
        </is>
      </c>
      <c r="K38" s="160" t="inlineStr">
        <is>
          <t>Pending</t>
        </is>
      </c>
      <c r="L38" s="160" t="inlineStr">
        <is>
          <t>No</t>
        </is>
      </c>
      <c r="M38" s="160" t="inlineStr"/>
      <c r="N38" s="264" t="inlineStr">
        <is>
          <t>Yes</t>
        </is>
      </c>
      <c r="O38" s="264" t="inlineStr"/>
      <c r="P38" s="264" t="inlineStr">
        <is>
          <t>N/A</t>
        </is>
      </c>
      <c r="Q38" s="264" t="inlineStr">
        <is>
          <t>GiangDC2</t>
        </is>
      </c>
      <c r="R38" s="264" t="inlineStr"/>
      <c r="S38" s="264" t="inlineStr"/>
      <c r="T38" s="264" t="n"/>
      <c r="U38" s="264" t="n"/>
      <c r="V38" s="264" t="n"/>
      <c r="W38" s="264" t="n"/>
      <c r="X38" s="264" t="n"/>
      <c r="Y38" s="264" t="n"/>
      <c r="Z38" s="264" t="n"/>
      <c r="AA38" s="264" t="n"/>
      <c r="AB38" s="264" t="n"/>
      <c r="AC38" s="264" t="n"/>
      <c r="AD38" s="264" t="n"/>
      <c r="AE38" s="264" t="n"/>
      <c r="AF38" s="264" t="n"/>
      <c r="AG38" s="264" t="n"/>
      <c r="AH38" s="264" t="n"/>
      <c r="AI38" s="264" t="n"/>
      <c r="AJ38" s="264" t="n"/>
      <c r="AK38" s="264" t="n"/>
      <c r="AL38" s="264" t="n"/>
      <c r="AM38" s="264" t="n"/>
      <c r="AN38" s="264" t="n"/>
      <c r="AO38" s="264" t="n"/>
      <c r="AP38" s="264" t="n"/>
      <c r="AQ38" s="264" t="n"/>
      <c r="AR38" s="158">
        <f>IF($A38="","",IF(OR($N38="Yes",$T38="Yes",$Z38="Yes",$AF38="Yes",$AL38="Yes"),"Yes","No"))</f>
        <v/>
      </c>
      <c r="AS38" s="158">
        <f>IF($A38="","",IFERROR(IF($AM38&lt;&gt;"",$AM38,IF($AG38&lt;&gt;"",$AG38,IF($AA38&lt;&gt;"",$AA38,IF($U38&lt;&gt;"",$U38,IF($O38&lt;&gt;"",$O38,""))))),""))</f>
        <v/>
      </c>
      <c r="AT38" s="158">
        <f>IFERROR(IF($AN38&lt;&gt;"",$AN38,IF($AH38&lt;&gt;"",$AH38,IF($AB38&lt;&gt;"",$AB38,IF($V38&lt;&gt;"",$V38,IF($P38&lt;&gt;"",$P38,""))))),"")</f>
        <v/>
      </c>
      <c r="AU38" s="265" t="inlineStr">
        <is>
          <t>Mục đích: neo vào `C-ORD-06` Open — text và ảnh empty state chưa có đặc tả. · Căn cứ: chỉ assert phần suy được từ `DOC-v1.0-02` §3.1/§4.1 (khung màn còn nguyên, section theo điều kiện bị ẩn); ⛔ không assert chuỗi empty state. App làm trắng cả header/banner ⇒ FAIL và dẫn `C-ORD-06`. · 🗑️ DESCOPED 2026-09-21 (`§10.5`, giữ nguyên dòng): `SC-HOME-024` DEPRECATED ở v1.1 — tách thành 3 SC atomic `EMP-01/02/03`; thay bằng `TC-HOME-026/027/028`. Nguồn: `TC-HOME-v1.1.md §0.1`.</t>
        </is>
      </c>
    </row>
    <row r="39" ht="15.75" customHeight="1" s="216">
      <c r="A39" s="160" t="n"/>
      <c r="B39" s="160" t="n"/>
      <c r="C39" s="160" t="n"/>
      <c r="D39" s="160" t="n"/>
      <c r="E39" s="160" t="n"/>
      <c r="F39" s="160" t="n"/>
      <c r="G39" s="160" t="n"/>
      <c r="H39" s="160" t="n"/>
      <c r="I39" s="160" t="n"/>
      <c r="J39" s="160" t="n"/>
      <c r="K39" s="160" t="n"/>
      <c r="L39" s="160" t="n"/>
      <c r="M39" s="160" t="n"/>
      <c r="N39" s="160" t="n"/>
      <c r="O39" s="160" t="n"/>
      <c r="P39" s="160" t="n"/>
      <c r="Q39" s="160"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61" t="n"/>
      <c r="AS39" s="161" t="n"/>
      <c r="AT39" s="1" t="n"/>
      <c r="AU39" s="1" t="n"/>
    </row>
    <row r="40" ht="15.75" customHeight="1" s="216">
      <c r="A40" s="160" t="n"/>
      <c r="B40" s="160" t="n"/>
      <c r="C40" s="160" t="n"/>
      <c r="D40" s="160" t="n"/>
      <c r="E40" s="160" t="n"/>
      <c r="F40" s="160" t="n"/>
      <c r="G40" s="160" t="n"/>
      <c r="H40" s="160" t="n"/>
      <c r="I40" s="160" t="n"/>
      <c r="J40" s="160" t="n"/>
      <c r="K40" s="160" t="n"/>
      <c r="L40" s="160" t="n"/>
      <c r="M40" s="160" t="n"/>
      <c r="N40" s="160" t="n"/>
      <c r="O40" s="160" t="n"/>
      <c r="P40" s="160" t="n"/>
      <c r="Q40" s="160"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61" t="n"/>
      <c r="AS40" s="161" t="n"/>
      <c r="AT40" s="1" t="n"/>
      <c r="AU40" s="1" t="n"/>
    </row>
    <row r="41" ht="15.75" customHeight="1" s="216">
      <c r="A41" s="160" t="n"/>
      <c r="B41" s="160" t="n"/>
      <c r="C41" s="160" t="n"/>
      <c r="D41" s="160" t="n"/>
      <c r="E41" s="160" t="n"/>
      <c r="F41" s="160" t="n"/>
      <c r="G41" s="160" t="n"/>
      <c r="H41" s="160" t="n"/>
      <c r="I41" s="160" t="n"/>
      <c r="J41" s="160" t="n"/>
      <c r="K41" s="160" t="n"/>
      <c r="L41" s="160" t="n"/>
      <c r="M41" s="160" t="n"/>
      <c r="N41" s="160" t="n"/>
      <c r="O41" s="160" t="n"/>
      <c r="P41" s="160" t="n"/>
      <c r="Q41" s="160"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61" t="n"/>
      <c r="AS41" s="161" t="n"/>
      <c r="AT41" s="1" t="n"/>
      <c r="AU41" s="1" t="n"/>
    </row>
    <row r="42" ht="15.75" customHeight="1" s="216">
      <c r="A42" s="160" t="n"/>
      <c r="B42" s="160" t="n"/>
      <c r="C42" s="160" t="n"/>
      <c r="D42" s="160" t="n"/>
      <c r="E42" s="160" t="n"/>
      <c r="F42" s="160" t="n"/>
      <c r="G42" s="160" t="n"/>
      <c r="H42" s="160" t="n"/>
      <c r="I42" s="160" t="n"/>
      <c r="J42" s="160" t="n"/>
      <c r="K42" s="160" t="n"/>
      <c r="L42" s="160" t="n"/>
      <c r="M42" s="160" t="n"/>
      <c r="N42" s="160" t="n"/>
      <c r="O42" s="160" t="n"/>
      <c r="P42" s="160" t="n"/>
      <c r="Q42" s="160"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61" t="n"/>
      <c r="AS42" s="161" t="n"/>
      <c r="AT42" s="1" t="n"/>
      <c r="AU42" s="1" t="n"/>
    </row>
    <row r="43" ht="15.75" customHeight="1" s="216">
      <c r="A43" s="160" t="n"/>
      <c r="B43" s="160" t="n"/>
      <c r="C43" s="160" t="n"/>
      <c r="D43" s="160" t="n"/>
      <c r="E43" s="160" t="n"/>
      <c r="F43" s="160" t="n"/>
      <c r="G43" s="160" t="n"/>
      <c r="H43" s="160" t="n"/>
      <c r="I43" s="160" t="n"/>
      <c r="J43" s="160" t="n"/>
      <c r="K43" s="160" t="n"/>
      <c r="L43" s="160" t="n"/>
      <c r="M43" s="160" t="n"/>
      <c r="N43" s="160" t="n"/>
      <c r="O43" s="160" t="n"/>
      <c r="P43" s="160" t="n"/>
      <c r="Q43" s="160"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61" t="n"/>
      <c r="AS43" s="161" t="n"/>
      <c r="AT43" s="1" t="n"/>
      <c r="AU43" s="1" t="n"/>
    </row>
    <row r="44" ht="15.75" customHeight="1" s="216">
      <c r="A44" s="160" t="n"/>
      <c r="B44" s="160" t="n"/>
      <c r="C44" s="160" t="n"/>
      <c r="D44" s="160" t="n"/>
      <c r="E44" s="160" t="n"/>
      <c r="F44" s="160" t="n"/>
      <c r="G44" s="160" t="n"/>
      <c r="H44" s="160" t="n"/>
      <c r="I44" s="160" t="n"/>
      <c r="J44" s="160" t="n"/>
      <c r="K44" s="160" t="n"/>
      <c r="L44" s="160" t="n"/>
      <c r="M44" s="160" t="n"/>
      <c r="N44" s="160" t="n"/>
      <c r="O44" s="160" t="n"/>
      <c r="P44" s="160" t="n"/>
      <c r="Q44" s="160"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61" t="n"/>
      <c r="AS44" s="161" t="n"/>
      <c r="AT44" s="1" t="n"/>
      <c r="AU44" s="1" t="n"/>
    </row>
    <row r="45" ht="15.75" customHeight="1" s="216">
      <c r="A45" s="160" t="n"/>
      <c r="B45" s="160" t="n"/>
      <c r="C45" s="160" t="n"/>
      <c r="D45" s="160" t="n"/>
      <c r="E45" s="160" t="n"/>
      <c r="F45" s="160" t="n"/>
      <c r="G45" s="160" t="n"/>
      <c r="H45" s="160" t="n"/>
      <c r="I45" s="160" t="n"/>
      <c r="J45" s="160" t="n"/>
      <c r="K45" s="160" t="n"/>
      <c r="L45" s="160" t="n"/>
      <c r="M45" s="160" t="n"/>
      <c r="N45" s="160" t="n"/>
      <c r="O45" s="160" t="n"/>
      <c r="P45" s="160" t="n"/>
      <c r="Q45" s="160"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61" t="n"/>
      <c r="AS45" s="161" t="n"/>
      <c r="AT45" s="1" t="n"/>
      <c r="AU45" s="1" t="n"/>
    </row>
    <row r="46" ht="15.75" customHeight="1" s="216">
      <c r="A46" s="160" t="n"/>
      <c r="B46" s="160" t="n"/>
      <c r="C46" s="160" t="n"/>
      <c r="D46" s="160" t="n"/>
      <c r="E46" s="160" t="n"/>
      <c r="F46" s="160" t="n"/>
      <c r="G46" s="160" t="n"/>
      <c r="H46" s="160" t="n"/>
      <c r="I46" s="160" t="n"/>
      <c r="J46" s="160" t="n"/>
      <c r="K46" s="160" t="n"/>
      <c r="L46" s="160" t="n"/>
      <c r="M46" s="160" t="n"/>
      <c r="N46" s="160" t="n"/>
      <c r="O46" s="160" t="n"/>
      <c r="P46" s="160" t="n"/>
      <c r="Q46" s="160"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61" t="n"/>
      <c r="AS46" s="161" t="n"/>
      <c r="AT46" s="1" t="n"/>
      <c r="AU46" s="1" t="n"/>
    </row>
    <row r="47" ht="15.75" customHeight="1" s="216">
      <c r="A47" s="160" t="n"/>
      <c r="B47" s="160" t="n"/>
      <c r="C47" s="160" t="n"/>
      <c r="D47" s="160" t="n"/>
      <c r="E47" s="160" t="n"/>
      <c r="F47" s="160" t="n"/>
      <c r="G47" s="160" t="n"/>
      <c r="H47" s="160" t="n"/>
      <c r="I47" s="160" t="n"/>
      <c r="J47" s="160" t="n"/>
      <c r="K47" s="160" t="n"/>
      <c r="L47" s="160" t="n"/>
      <c r="M47" s="160" t="n"/>
      <c r="N47" s="160" t="n"/>
      <c r="O47" s="160" t="n"/>
      <c r="P47" s="160" t="n"/>
      <c r="Q47" s="160"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61" t="n"/>
      <c r="AS47" s="161" t="n"/>
      <c r="AT47" s="1" t="n"/>
      <c r="AU47" s="1" t="n"/>
    </row>
    <row r="48" ht="15.75" customHeight="1" s="216">
      <c r="A48" s="160" t="n"/>
      <c r="B48" s="160" t="n"/>
      <c r="C48" s="160" t="n"/>
      <c r="D48" s="160" t="n"/>
      <c r="E48" s="160" t="n"/>
      <c r="F48" s="160" t="n"/>
      <c r="G48" s="160" t="n"/>
      <c r="H48" s="160" t="n"/>
      <c r="I48" s="160" t="n"/>
      <c r="J48" s="160" t="n"/>
      <c r="K48" s="160" t="n"/>
      <c r="L48" s="160" t="n"/>
      <c r="M48" s="160" t="n"/>
      <c r="N48" s="160" t="n"/>
      <c r="O48" s="160" t="n"/>
      <c r="P48" s="160" t="n"/>
      <c r="Q48" s="160"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61" t="n"/>
      <c r="AS48" s="161" t="n"/>
      <c r="AT48" s="1" t="n"/>
      <c r="AU48" s="1" t="n"/>
    </row>
    <row r="49" ht="15.75" customHeight="1" s="216">
      <c r="A49" s="160" t="n"/>
      <c r="B49" s="160" t="n"/>
      <c r="C49" s="160" t="n"/>
      <c r="D49" s="160" t="n"/>
      <c r="E49" s="160" t="n"/>
      <c r="F49" s="160" t="n"/>
      <c r="G49" s="160" t="n"/>
      <c r="H49" s="160" t="n"/>
      <c r="I49" s="160" t="n"/>
      <c r="J49" s="160" t="n"/>
      <c r="K49" s="160" t="n"/>
      <c r="L49" s="160" t="n"/>
      <c r="M49" s="160" t="n"/>
      <c r="N49" s="160" t="n"/>
      <c r="O49" s="160" t="n"/>
      <c r="P49" s="160" t="n"/>
      <c r="Q49" s="160"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61" t="n"/>
      <c r="AS49" s="161" t="n"/>
      <c r="AT49" s="1" t="n"/>
      <c r="AU49" s="1" t="n"/>
    </row>
    <row r="50" ht="15.75" customHeight="1" s="216">
      <c r="A50" s="160" t="n"/>
      <c r="B50" s="160" t="n"/>
      <c r="C50" s="160" t="n"/>
      <c r="D50" s="160" t="n"/>
      <c r="E50" s="160" t="n"/>
      <c r="F50" s="160" t="n"/>
      <c r="G50" s="160" t="n"/>
      <c r="H50" s="160" t="n"/>
      <c r="I50" s="160" t="n"/>
      <c r="J50" s="160" t="n"/>
      <c r="K50" s="160" t="n"/>
      <c r="L50" s="160" t="n"/>
      <c r="M50" s="160" t="n"/>
      <c r="N50" s="160" t="n"/>
      <c r="O50" s="160" t="n"/>
      <c r="P50" s="160" t="n"/>
      <c r="Q50" s="160"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61" t="n"/>
      <c r="AS50" s="161" t="n"/>
      <c r="AT50" s="1" t="n"/>
      <c r="AU50" s="1" t="n"/>
    </row>
    <row r="51" ht="15.75" customHeight="1" s="216">
      <c r="A51" s="160" t="n"/>
      <c r="B51" s="160" t="n"/>
      <c r="C51" s="160" t="n"/>
      <c r="D51" s="160" t="n"/>
      <c r="E51" s="160" t="n"/>
      <c r="F51" s="160" t="n"/>
      <c r="G51" s="160" t="n"/>
      <c r="H51" s="160" t="n"/>
      <c r="I51" s="160" t="n"/>
      <c r="J51" s="160" t="n"/>
      <c r="K51" s="160" t="n"/>
      <c r="L51" s="160" t="n"/>
      <c r="M51" s="160" t="n"/>
      <c r="N51" s="160" t="n"/>
      <c r="O51" s="160" t="n"/>
      <c r="P51" s="160" t="n"/>
      <c r="Q51" s="160"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61" t="n"/>
      <c r="AS51" s="161" t="n"/>
      <c r="AT51" s="1" t="n"/>
      <c r="AU51" s="1" t="n"/>
    </row>
    <row r="52" ht="15.75" customHeight="1" s="216">
      <c r="A52" s="160" t="n"/>
      <c r="B52" s="160" t="n"/>
      <c r="C52" s="160" t="n"/>
      <c r="D52" s="160" t="n"/>
      <c r="E52" s="160" t="n"/>
      <c r="F52" s="160" t="n"/>
      <c r="G52" s="160" t="n"/>
      <c r="H52" s="160" t="n"/>
      <c r="I52" s="160" t="n"/>
      <c r="J52" s="160" t="n"/>
      <c r="K52" s="160" t="n"/>
      <c r="L52" s="160" t="n"/>
      <c r="M52" s="160" t="n"/>
      <c r="N52" s="160" t="n"/>
      <c r="O52" s="160" t="n"/>
      <c r="P52" s="160" t="n"/>
      <c r="Q52" s="160"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61" t="n"/>
      <c r="AS52" s="161" t="n"/>
      <c r="AT52" s="1" t="n"/>
      <c r="AU52" s="1" t="n"/>
    </row>
    <row r="53" ht="15.75" customHeight="1" s="216">
      <c r="A53" s="160" t="n"/>
      <c r="B53" s="160" t="n"/>
      <c r="C53" s="160" t="n"/>
      <c r="D53" s="160" t="n"/>
      <c r="E53" s="160" t="n"/>
      <c r="F53" s="160" t="n"/>
      <c r="G53" s="160" t="n"/>
      <c r="H53" s="160" t="n"/>
      <c r="I53" s="160" t="n"/>
      <c r="J53" s="160" t="n"/>
      <c r="K53" s="160" t="n"/>
      <c r="L53" s="160" t="n"/>
      <c r="M53" s="160" t="n"/>
      <c r="N53" s="160" t="n"/>
      <c r="O53" s="160" t="n"/>
      <c r="P53" s="160" t="n"/>
      <c r="Q53" s="160"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61" t="n"/>
      <c r="AS53" s="161" t="n"/>
      <c r="AT53" s="1" t="n"/>
      <c r="AU53" s="1" t="n"/>
    </row>
    <row r="54" ht="15.75" customHeight="1" s="216">
      <c r="A54" s="160" t="n"/>
      <c r="B54" s="160" t="n"/>
      <c r="C54" s="160" t="n"/>
      <c r="D54" s="160" t="n"/>
      <c r="E54" s="160" t="n"/>
      <c r="F54" s="160" t="n"/>
      <c r="G54" s="160" t="n"/>
      <c r="H54" s="160" t="n"/>
      <c r="I54" s="160" t="n"/>
      <c r="J54" s="160" t="n"/>
      <c r="K54" s="160" t="n"/>
      <c r="L54" s="160" t="n"/>
      <c r="M54" s="160" t="n"/>
      <c r="N54" s="160" t="n"/>
      <c r="O54" s="160" t="n"/>
      <c r="P54" s="160" t="n"/>
      <c r="Q54" s="160"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61" t="n"/>
      <c r="AS54" s="161" t="n"/>
      <c r="AT54" s="1" t="n"/>
      <c r="AU54" s="1" t="n"/>
    </row>
    <row r="55" ht="15.75" customHeight="1" s="216">
      <c r="A55" s="160" t="n"/>
      <c r="B55" s="160" t="n"/>
      <c r="C55" s="160" t="n"/>
      <c r="D55" s="160" t="n"/>
      <c r="E55" s="160" t="n"/>
      <c r="F55" s="160" t="n"/>
      <c r="G55" s="160" t="n"/>
      <c r="H55" s="160" t="n"/>
      <c r="I55" s="160" t="n"/>
      <c r="J55" s="160" t="n"/>
      <c r="K55" s="160" t="n"/>
      <c r="L55" s="160" t="n"/>
      <c r="M55" s="160" t="n"/>
      <c r="N55" s="160" t="n"/>
      <c r="O55" s="160" t="n"/>
      <c r="P55" s="160" t="n"/>
      <c r="Q55" s="160"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61" t="n"/>
      <c r="AS55" s="161" t="n"/>
      <c r="AT55" s="1" t="n"/>
      <c r="AU55" s="1" t="n"/>
    </row>
    <row r="56" ht="15.75" customHeight="1" s="216">
      <c r="A56" s="160" t="n"/>
      <c r="B56" s="160" t="n"/>
      <c r="C56" s="160" t="n"/>
      <c r="D56" s="160" t="n"/>
      <c r="E56" s="160" t="n"/>
      <c r="F56" s="160" t="n"/>
      <c r="G56" s="160" t="n"/>
      <c r="H56" s="160" t="n"/>
      <c r="I56" s="160" t="n"/>
      <c r="J56" s="160" t="n"/>
      <c r="K56" s="160" t="n"/>
      <c r="L56" s="160" t="n"/>
      <c r="M56" s="160" t="n"/>
      <c r="N56" s="160" t="n"/>
      <c r="O56" s="160" t="n"/>
      <c r="P56" s="160" t="n"/>
      <c r="Q56" s="160"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61" t="n"/>
      <c r="AS56" s="161" t="n"/>
      <c r="AT56" s="1" t="n"/>
      <c r="AU56" s="1" t="n"/>
    </row>
    <row r="57" ht="15.75" customHeight="1" s="216">
      <c r="A57" s="160" t="n"/>
      <c r="B57" s="160" t="n"/>
      <c r="C57" s="160" t="n"/>
      <c r="D57" s="160" t="n"/>
      <c r="E57" s="160" t="n"/>
      <c r="F57" s="160" t="n"/>
      <c r="G57" s="160" t="n"/>
      <c r="H57" s="160" t="n"/>
      <c r="I57" s="160" t="n"/>
      <c r="J57" s="160" t="n"/>
      <c r="K57" s="160" t="n"/>
      <c r="L57" s="160" t="n"/>
      <c r="M57" s="160" t="n"/>
      <c r="N57" s="160" t="n"/>
      <c r="O57" s="160" t="n"/>
      <c r="P57" s="160" t="n"/>
      <c r="Q57" s="160"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61" t="n"/>
      <c r="AS57" s="161" t="n"/>
      <c r="AT57" s="1" t="n"/>
      <c r="AU57" s="1" t="n"/>
    </row>
    <row r="58" ht="15.75" customHeight="1" s="216">
      <c r="A58" s="160" t="n"/>
      <c r="B58" s="160" t="n"/>
      <c r="C58" s="160" t="n"/>
      <c r="D58" s="160" t="n"/>
      <c r="E58" s="160" t="n"/>
      <c r="F58" s="160" t="n"/>
      <c r="G58" s="160" t="n"/>
      <c r="H58" s="160" t="n"/>
      <c r="I58" s="160" t="n"/>
      <c r="J58" s="160" t="n"/>
      <c r="K58" s="160" t="n"/>
      <c r="L58" s="160" t="n"/>
      <c r="M58" s="160" t="n"/>
      <c r="N58" s="160" t="n"/>
      <c r="O58" s="160" t="n"/>
      <c r="P58" s="160" t="n"/>
      <c r="Q58" s="160"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61" t="n"/>
      <c r="AS58" s="161" t="n"/>
      <c r="AT58" s="1" t="n"/>
      <c r="AU58" s="1" t="n"/>
    </row>
    <row r="59" ht="15.75" customHeight="1" s="216">
      <c r="A59" s="160" t="n"/>
      <c r="B59" s="160" t="n"/>
      <c r="C59" s="160" t="n"/>
      <c r="D59" s="160" t="n"/>
      <c r="E59" s="160" t="n"/>
      <c r="F59" s="160" t="n"/>
      <c r="G59" s="160" t="n"/>
      <c r="H59" s="160" t="n"/>
      <c r="I59" s="160" t="n"/>
      <c r="J59" s="160" t="n"/>
      <c r="K59" s="160" t="n"/>
      <c r="L59" s="160" t="n"/>
      <c r="M59" s="160" t="n"/>
      <c r="N59" s="160" t="n"/>
      <c r="O59" s="160" t="n"/>
      <c r="P59" s="160" t="n"/>
      <c r="Q59" s="160"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61" t="n"/>
      <c r="AS59" s="161" t="n"/>
      <c r="AT59" s="1" t="n"/>
      <c r="AU59" s="1" t="n"/>
    </row>
    <row r="60" ht="15.75" customHeight="1" s="216">
      <c r="A60" s="160" t="n"/>
      <c r="B60" s="160" t="n"/>
      <c r="C60" s="160" t="n"/>
      <c r="D60" s="160" t="n"/>
      <c r="E60" s="160" t="n"/>
      <c r="F60" s="160" t="n"/>
      <c r="G60" s="160" t="n"/>
      <c r="H60" s="160" t="n"/>
      <c r="I60" s="160" t="n"/>
      <c r="J60" s="160" t="n"/>
      <c r="K60" s="160" t="n"/>
      <c r="L60" s="160" t="n"/>
      <c r="M60" s="160" t="n"/>
      <c r="N60" s="160" t="n"/>
      <c r="O60" s="160" t="n"/>
      <c r="P60" s="160" t="n"/>
      <c r="Q60" s="160"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61" t="n"/>
      <c r="AS60" s="161" t="n"/>
      <c r="AT60" s="1" t="n"/>
      <c r="AU60" s="1" t="n"/>
    </row>
    <row r="61" ht="15.75" customHeight="1" s="216">
      <c r="A61" s="1" t="n"/>
      <c r="B61" s="1" t="n"/>
      <c r="C61" s="1" t="n"/>
      <c r="D61" s="1" t="n"/>
      <c r="E61" s="181" t="n"/>
      <c r="F61" s="181" t="n"/>
      <c r="G61" s="1" t="n"/>
      <c r="H61" s="1" t="n"/>
      <c r="I61" s="1" t="n"/>
      <c r="J61" s="1" t="n"/>
      <c r="K61" s="181" t="n"/>
      <c r="L61" s="181" t="n"/>
      <c r="M61" s="181" t="n"/>
      <c r="N61" s="1" t="n"/>
      <c r="O61" s="181" t="n"/>
      <c r="P61" s="181" t="n"/>
      <c r="Q61" s="18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row>
    <row r="62" ht="15.75" customHeight="1" s="216">
      <c r="A62" s="1" t="n"/>
      <c r="B62" s="1" t="n"/>
      <c r="C62" s="1" t="n"/>
      <c r="D62" s="1" t="n"/>
      <c r="E62" s="181" t="n"/>
      <c r="F62" s="181" t="n"/>
      <c r="G62" s="1" t="n"/>
      <c r="H62" s="1" t="n"/>
      <c r="I62" s="1" t="n"/>
      <c r="J62" s="1" t="n"/>
      <c r="K62" s="181" t="n"/>
      <c r="L62" s="181" t="n"/>
      <c r="M62" s="181" t="n"/>
      <c r="N62" s="1" t="n"/>
      <c r="O62" s="181" t="n"/>
      <c r="P62" s="181" t="n"/>
      <c r="Q62" s="18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row>
    <row r="63" ht="15.75" customHeight="1" s="216">
      <c r="A63" s="1" t="n"/>
      <c r="B63" s="1" t="n"/>
      <c r="C63" s="1" t="n"/>
      <c r="D63" s="1" t="n"/>
      <c r="E63" s="181" t="n"/>
      <c r="F63" s="181" t="n"/>
      <c r="G63" s="1" t="n"/>
      <c r="H63" s="1" t="n"/>
      <c r="I63" s="1" t="n"/>
      <c r="J63" s="1" t="n"/>
      <c r="K63" s="181" t="n"/>
      <c r="L63" s="181" t="n"/>
      <c r="M63" s="181" t="n"/>
      <c r="N63" s="1" t="n"/>
      <c r="O63" s="181" t="n"/>
      <c r="P63" s="181" t="n"/>
      <c r="Q63" s="18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row>
    <row r="64" ht="15.75" customHeight="1" s="216">
      <c r="A64" s="1" t="n"/>
      <c r="B64" s="1" t="n"/>
      <c r="C64" s="1" t="n"/>
      <c r="D64" s="1" t="n"/>
      <c r="E64" s="181" t="n"/>
      <c r="F64" s="181" t="n"/>
      <c r="G64" s="1" t="n"/>
      <c r="H64" s="1" t="n"/>
      <c r="I64" s="1" t="n"/>
      <c r="J64" s="1" t="n"/>
      <c r="K64" s="181" t="n"/>
      <c r="L64" s="181" t="n"/>
      <c r="M64" s="181" t="n"/>
      <c r="N64" s="1" t="n"/>
      <c r="O64" s="181" t="n"/>
      <c r="P64" s="181" t="n"/>
      <c r="Q64" s="18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row>
    <row r="65" ht="15.75" customHeight="1" s="216">
      <c r="A65" s="1" t="n"/>
      <c r="B65" s="1" t="n"/>
      <c r="C65" s="1" t="n"/>
      <c r="D65" s="1" t="n"/>
      <c r="E65" s="181" t="n"/>
      <c r="F65" s="181" t="n"/>
      <c r="G65" s="1" t="n"/>
      <c r="H65" s="1" t="n"/>
      <c r="I65" s="1" t="n"/>
      <c r="J65" s="1" t="n"/>
      <c r="K65" s="181" t="n"/>
      <c r="L65" s="181" t="n"/>
      <c r="M65" s="181" t="n"/>
      <c r="N65" s="1" t="n"/>
      <c r="O65" s="181" t="n"/>
      <c r="P65" s="181" t="n"/>
      <c r="Q65" s="18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row>
    <row r="66" ht="15.75" customHeight="1" s="216">
      <c r="A66" s="1" t="n"/>
      <c r="B66" s="1" t="n"/>
      <c r="C66" s="1" t="n"/>
      <c r="D66" s="1" t="n"/>
      <c r="E66" s="181" t="n"/>
      <c r="F66" s="181" t="n"/>
      <c r="G66" s="1" t="n"/>
      <c r="H66" s="1" t="n"/>
      <c r="I66" s="1" t="n"/>
      <c r="J66" s="1" t="n"/>
      <c r="K66" s="181" t="n"/>
      <c r="L66" s="181" t="n"/>
      <c r="M66" s="181" t="n"/>
      <c r="N66" s="1" t="n"/>
      <c r="O66" s="181" t="n"/>
      <c r="P66" s="181" t="n"/>
      <c r="Q66" s="18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row>
    <row r="67" ht="15.75" customHeight="1" s="216">
      <c r="A67" s="1" t="n"/>
      <c r="B67" s="1" t="n"/>
      <c r="C67" s="1" t="n"/>
      <c r="D67" s="1" t="n"/>
      <c r="E67" s="181" t="n"/>
      <c r="F67" s="181" t="n"/>
      <c r="G67" s="1" t="n"/>
      <c r="H67" s="1" t="n"/>
      <c r="I67" s="1" t="n"/>
      <c r="J67" s="1" t="n"/>
      <c r="K67" s="181" t="n"/>
      <c r="L67" s="181" t="n"/>
      <c r="M67" s="181" t="n"/>
      <c r="N67" s="1" t="n"/>
      <c r="O67" s="181" t="n"/>
      <c r="P67" s="181" t="n"/>
      <c r="Q67" s="18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row>
    <row r="68" ht="15.75" customHeight="1" s="216">
      <c r="A68" s="1" t="n"/>
      <c r="B68" s="1" t="n"/>
      <c r="C68" s="1" t="n"/>
      <c r="D68" s="1" t="n"/>
      <c r="E68" s="181" t="n"/>
      <c r="F68" s="181" t="n"/>
      <c r="G68" s="1" t="n"/>
      <c r="H68" s="1" t="n"/>
      <c r="I68" s="1" t="n"/>
      <c r="J68" s="1" t="n"/>
      <c r="K68" s="181" t="n"/>
      <c r="L68" s="181" t="n"/>
      <c r="M68" s="181" t="n"/>
      <c r="N68" s="1" t="n"/>
      <c r="O68" s="181" t="n"/>
      <c r="P68" s="181" t="n"/>
      <c r="Q68" s="18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row>
    <row r="69" ht="15.75" customHeight="1" s="216">
      <c r="A69" s="1" t="n"/>
      <c r="B69" s="1" t="n"/>
      <c r="C69" s="1" t="n"/>
      <c r="D69" s="1" t="n"/>
      <c r="E69" s="181" t="n"/>
      <c r="F69" s="181" t="n"/>
      <c r="G69" s="1" t="n"/>
      <c r="H69" s="1" t="n"/>
      <c r="I69" s="1" t="n"/>
      <c r="J69" s="1" t="n"/>
      <c r="K69" s="181" t="n"/>
      <c r="L69" s="181" t="n"/>
      <c r="M69" s="181" t="n"/>
      <c r="N69" s="1" t="n"/>
      <c r="O69" s="181" t="n"/>
      <c r="P69" s="181" t="n"/>
      <c r="Q69" s="18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row>
    <row r="70" ht="15.75" customHeight="1" s="216">
      <c r="A70" s="1" t="n"/>
      <c r="B70" s="1" t="n"/>
      <c r="C70" s="1" t="n"/>
      <c r="D70" s="1" t="n"/>
      <c r="E70" s="181" t="n"/>
      <c r="F70" s="181" t="n"/>
      <c r="G70" s="1" t="n"/>
      <c r="H70" s="1" t="n"/>
      <c r="I70" s="1" t="n"/>
      <c r="J70" s="1" t="n"/>
      <c r="K70" s="181" t="n"/>
      <c r="L70" s="181" t="n"/>
      <c r="M70" s="181" t="n"/>
      <c r="N70" s="1" t="n"/>
      <c r="O70" s="181" t="n"/>
      <c r="P70" s="181" t="n"/>
      <c r="Q70" s="18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row>
    <row r="71" ht="15.75" customHeight="1" s="216">
      <c r="A71" s="1" t="n"/>
      <c r="B71" s="1" t="n"/>
      <c r="C71" s="1" t="n"/>
      <c r="D71" s="1" t="n"/>
      <c r="E71" s="181" t="n"/>
      <c r="F71" s="181" t="n"/>
      <c r="G71" s="1" t="n"/>
      <c r="H71" s="1" t="n"/>
      <c r="I71" s="1" t="n"/>
      <c r="J71" s="1" t="n"/>
      <c r="K71" s="181" t="n"/>
      <c r="L71" s="181" t="n"/>
      <c r="M71" s="181" t="n"/>
      <c r="N71" s="1" t="n"/>
      <c r="O71" s="181" t="n"/>
      <c r="P71" s="181" t="n"/>
      <c r="Q71" s="18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row>
    <row r="72" ht="15.75" customHeight="1" s="216">
      <c r="A72" s="1" t="n"/>
      <c r="B72" s="1" t="n"/>
      <c r="C72" s="1" t="n"/>
      <c r="D72" s="1" t="n"/>
      <c r="E72" s="181" t="n"/>
      <c r="F72" s="181" t="n"/>
      <c r="G72" s="1" t="n"/>
      <c r="H72" s="1" t="n"/>
      <c r="I72" s="1" t="n"/>
      <c r="J72" s="1" t="n"/>
      <c r="K72" s="181" t="n"/>
      <c r="L72" s="181" t="n"/>
      <c r="M72" s="181" t="n"/>
      <c r="N72" s="1" t="n"/>
      <c r="O72" s="181" t="n"/>
      <c r="P72" s="181" t="n"/>
      <c r="Q72" s="18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row>
    <row r="73" ht="15.75" customHeight="1" s="216">
      <c r="A73" s="1" t="n"/>
      <c r="B73" s="1" t="n"/>
      <c r="C73" s="1" t="n"/>
      <c r="D73" s="1" t="n"/>
      <c r="E73" s="181" t="n"/>
      <c r="F73" s="181" t="n"/>
      <c r="G73" s="1" t="n"/>
      <c r="H73" s="1" t="n"/>
      <c r="I73" s="1" t="n"/>
      <c r="J73" s="1" t="n"/>
      <c r="K73" s="181" t="n"/>
      <c r="L73" s="181" t="n"/>
      <c r="M73" s="181" t="n"/>
      <c r="N73" s="1" t="n"/>
      <c r="O73" s="181" t="n"/>
      <c r="P73" s="181" t="n"/>
      <c r="Q73" s="18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row>
    <row r="74" ht="15.75" customHeight="1" s="216">
      <c r="A74" s="1" t="n"/>
      <c r="B74" s="1" t="n"/>
      <c r="C74" s="1" t="n"/>
      <c r="D74" s="1" t="n"/>
      <c r="E74" s="181" t="n"/>
      <c r="F74" s="181" t="n"/>
      <c r="G74" s="1" t="n"/>
      <c r="H74" s="1" t="n"/>
      <c r="I74" s="1" t="n"/>
      <c r="J74" s="1" t="n"/>
      <c r="K74" s="181" t="n"/>
      <c r="L74" s="181" t="n"/>
      <c r="M74" s="181" t="n"/>
      <c r="N74" s="1" t="n"/>
      <c r="O74" s="181" t="n"/>
      <c r="P74" s="181" t="n"/>
      <c r="Q74" s="18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row>
    <row r="75" ht="15.75" customHeight="1" s="216">
      <c r="A75" s="1" t="n"/>
      <c r="B75" s="1" t="n"/>
      <c r="C75" s="1" t="n"/>
      <c r="D75" s="1" t="n"/>
      <c r="E75" s="181" t="n"/>
      <c r="F75" s="181" t="n"/>
      <c r="G75" s="1" t="n"/>
      <c r="H75" s="1" t="n"/>
      <c r="I75" s="1" t="n"/>
      <c r="J75" s="1" t="n"/>
      <c r="K75" s="181" t="n"/>
      <c r="L75" s="181" t="n"/>
      <c r="M75" s="181" t="n"/>
      <c r="N75" s="1" t="n"/>
      <c r="O75" s="181" t="n"/>
      <c r="P75" s="181" t="n"/>
      <c r="Q75" s="18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row>
    <row r="76" ht="15.75" customHeight="1" s="216">
      <c r="A76" s="1" t="n"/>
      <c r="B76" s="1" t="n"/>
      <c r="C76" s="1" t="n"/>
      <c r="D76" s="1" t="n"/>
      <c r="E76" s="181" t="n"/>
      <c r="F76" s="181" t="n"/>
      <c r="G76" s="1" t="n"/>
      <c r="H76" s="1" t="n"/>
      <c r="I76" s="1" t="n"/>
      <c r="J76" s="1" t="n"/>
      <c r="K76" s="181" t="n"/>
      <c r="L76" s="181" t="n"/>
      <c r="M76" s="181" t="n"/>
      <c r="N76" s="1" t="n"/>
      <c r="O76" s="181" t="n"/>
      <c r="P76" s="181" t="n"/>
      <c r="Q76" s="18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row>
    <row r="77" ht="15.75" customHeight="1" s="216">
      <c r="A77" s="1" t="n"/>
      <c r="B77" s="1" t="n"/>
      <c r="C77" s="1" t="n"/>
      <c r="D77" s="1" t="n"/>
      <c r="E77" s="181" t="n"/>
      <c r="F77" s="181" t="n"/>
      <c r="G77" s="1" t="n"/>
      <c r="H77" s="1" t="n"/>
      <c r="I77" s="1" t="n"/>
      <c r="J77" s="1" t="n"/>
      <c r="K77" s="181" t="n"/>
      <c r="L77" s="181" t="n"/>
      <c r="M77" s="181" t="n"/>
      <c r="N77" s="1" t="n"/>
      <c r="O77" s="181" t="n"/>
      <c r="P77" s="181" t="n"/>
      <c r="Q77" s="18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row>
    <row r="78" ht="15.75" customHeight="1" s="216">
      <c r="A78" s="1" t="n"/>
      <c r="B78" s="1" t="n"/>
      <c r="C78" s="1" t="n"/>
      <c r="D78" s="1" t="n"/>
      <c r="E78" s="181" t="n"/>
      <c r="F78" s="181" t="n"/>
      <c r="G78" s="1" t="n"/>
      <c r="H78" s="1" t="n"/>
      <c r="I78" s="1" t="n"/>
      <c r="J78" s="1" t="n"/>
      <c r="K78" s="181" t="n"/>
      <c r="L78" s="181" t="n"/>
      <c r="M78" s="181" t="n"/>
      <c r="N78" s="1" t="n"/>
      <c r="O78" s="181" t="n"/>
      <c r="P78" s="181" t="n"/>
      <c r="Q78" s="18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row>
    <row r="79" ht="15.75" customHeight="1" s="216">
      <c r="A79" s="1" t="n"/>
      <c r="B79" s="1" t="n"/>
      <c r="C79" s="1" t="n"/>
      <c r="D79" s="1" t="n"/>
      <c r="E79" s="181" t="n"/>
      <c r="F79" s="181" t="n"/>
      <c r="G79" s="1" t="n"/>
      <c r="H79" s="1" t="n"/>
      <c r="I79" s="1" t="n"/>
      <c r="J79" s="1" t="n"/>
      <c r="K79" s="181" t="n"/>
      <c r="L79" s="181" t="n"/>
      <c r="M79" s="181" t="n"/>
      <c r="N79" s="1" t="n"/>
      <c r="O79" s="181" t="n"/>
      <c r="P79" s="181" t="n"/>
      <c r="Q79" s="18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row>
    <row r="80" ht="15.75" customHeight="1" s="216">
      <c r="A80" s="1" t="n"/>
      <c r="B80" s="1" t="n"/>
      <c r="C80" s="1" t="n"/>
      <c r="D80" s="1" t="n"/>
      <c r="E80" s="181" t="n"/>
      <c r="F80" s="181" t="n"/>
      <c r="G80" s="1" t="n"/>
      <c r="H80" s="1" t="n"/>
      <c r="I80" s="1" t="n"/>
      <c r="J80" s="1" t="n"/>
      <c r="K80" s="181" t="n"/>
      <c r="L80" s="181" t="n"/>
      <c r="M80" s="181" t="n"/>
      <c r="N80" s="1" t="n"/>
      <c r="O80" s="181" t="n"/>
      <c r="P80" s="181" t="n"/>
      <c r="Q80" s="18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row>
    <row r="81" ht="15.75" customHeight="1" s="216">
      <c r="A81" s="1" t="n"/>
      <c r="B81" s="1" t="n"/>
      <c r="C81" s="1" t="n"/>
      <c r="D81" s="1" t="n"/>
      <c r="E81" s="181" t="n"/>
      <c r="F81" s="181" t="n"/>
      <c r="G81" s="1" t="n"/>
      <c r="H81" s="1" t="n"/>
      <c r="I81" s="1" t="n"/>
      <c r="J81" s="1" t="n"/>
      <c r="K81" s="181" t="n"/>
      <c r="L81" s="181" t="n"/>
      <c r="M81" s="181" t="n"/>
      <c r="N81" s="1" t="n"/>
      <c r="O81" s="181" t="n"/>
      <c r="P81" s="181" t="n"/>
      <c r="Q81" s="18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row>
    <row r="82" ht="15.75" customHeight="1" s="216">
      <c r="A82" s="1" t="n"/>
      <c r="B82" s="1" t="n"/>
      <c r="C82" s="1" t="n"/>
      <c r="D82" s="1" t="n"/>
      <c r="E82" s="181" t="n"/>
      <c r="F82" s="181" t="n"/>
      <c r="G82" s="1" t="n"/>
      <c r="H82" s="1" t="n"/>
      <c r="I82" s="1" t="n"/>
      <c r="J82" s="1" t="n"/>
      <c r="K82" s="181" t="n"/>
      <c r="L82" s="181" t="n"/>
      <c r="M82" s="181" t="n"/>
      <c r="N82" s="1" t="n"/>
      <c r="O82" s="181" t="n"/>
      <c r="P82" s="181" t="n"/>
      <c r="Q82" s="18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row>
    <row r="83" ht="15.75" customHeight="1" s="216">
      <c r="A83" s="1" t="n"/>
      <c r="B83" s="1" t="n"/>
      <c r="C83" s="1" t="n"/>
      <c r="D83" s="1" t="n"/>
      <c r="E83" s="181" t="n"/>
      <c r="F83" s="181" t="n"/>
      <c r="G83" s="1" t="n"/>
      <c r="H83" s="1" t="n"/>
      <c r="I83" s="1" t="n"/>
      <c r="J83" s="1" t="n"/>
      <c r="K83" s="181" t="n"/>
      <c r="L83" s="181" t="n"/>
      <c r="M83" s="181" t="n"/>
      <c r="N83" s="1" t="n"/>
      <c r="O83" s="181" t="n"/>
      <c r="P83" s="181" t="n"/>
      <c r="Q83" s="18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row>
    <row r="84" ht="15.75" customHeight="1" s="216">
      <c r="A84" s="1" t="n"/>
      <c r="B84" s="1" t="n"/>
      <c r="C84" s="1" t="n"/>
      <c r="D84" s="1" t="n"/>
      <c r="E84" s="181" t="n"/>
      <c r="F84" s="181" t="n"/>
      <c r="G84" s="1" t="n"/>
      <c r="H84" s="1" t="n"/>
      <c r="I84" s="1" t="n"/>
      <c r="J84" s="1" t="n"/>
      <c r="K84" s="181" t="n"/>
      <c r="L84" s="181" t="n"/>
      <c r="M84" s="181" t="n"/>
      <c r="N84" s="1" t="n"/>
      <c r="O84" s="181" t="n"/>
      <c r="P84" s="181" t="n"/>
      <c r="Q84" s="18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row>
    <row r="85" ht="15.75" customHeight="1" s="216">
      <c r="A85" s="1" t="n"/>
      <c r="B85" s="1" t="n"/>
      <c r="C85" s="1" t="n"/>
      <c r="D85" s="1" t="n"/>
      <c r="E85" s="181" t="n"/>
      <c r="F85" s="181" t="n"/>
      <c r="G85" s="1" t="n"/>
      <c r="H85" s="1" t="n"/>
      <c r="I85" s="1" t="n"/>
      <c r="J85" s="1" t="n"/>
      <c r="K85" s="181" t="n"/>
      <c r="L85" s="181" t="n"/>
      <c r="M85" s="181" t="n"/>
      <c r="N85" s="1" t="n"/>
      <c r="O85" s="181" t="n"/>
      <c r="P85" s="181" t="n"/>
      <c r="Q85" s="18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row>
    <row r="86" ht="15.75" customHeight="1" s="216">
      <c r="A86" s="1" t="n"/>
      <c r="B86" s="1" t="n"/>
      <c r="C86" s="1" t="n"/>
      <c r="D86" s="1" t="n"/>
      <c r="E86" s="181" t="n"/>
      <c r="F86" s="181" t="n"/>
      <c r="G86" s="1" t="n"/>
      <c r="H86" s="1" t="n"/>
      <c r="I86" s="1" t="n"/>
      <c r="J86" s="1" t="n"/>
      <c r="K86" s="181" t="n"/>
      <c r="L86" s="181" t="n"/>
      <c r="M86" s="181" t="n"/>
      <c r="N86" s="1" t="n"/>
      <c r="O86" s="181" t="n"/>
      <c r="P86" s="181" t="n"/>
      <c r="Q86" s="18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row>
    <row r="87" ht="15.75" customHeight="1" s="216">
      <c r="A87" s="1" t="n"/>
      <c r="B87" s="1" t="n"/>
      <c r="C87" s="1" t="n"/>
      <c r="D87" s="1" t="n"/>
      <c r="E87" s="181" t="n"/>
      <c r="F87" s="181" t="n"/>
      <c r="G87" s="1" t="n"/>
      <c r="H87" s="1" t="n"/>
      <c r="I87" s="1" t="n"/>
      <c r="J87" s="1" t="n"/>
      <c r="K87" s="181" t="n"/>
      <c r="L87" s="181" t="n"/>
      <c r="M87" s="181" t="n"/>
      <c r="N87" s="1" t="n"/>
      <c r="O87" s="181" t="n"/>
      <c r="P87" s="181" t="n"/>
      <c r="Q87" s="18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row>
    <row r="88" ht="15.75" customHeight="1" s="216">
      <c r="A88" s="1" t="n"/>
      <c r="B88" s="1" t="n"/>
      <c r="C88" s="1" t="n"/>
      <c r="D88" s="1" t="n"/>
      <c r="E88" s="181" t="n"/>
      <c r="F88" s="181" t="n"/>
      <c r="G88" s="1" t="n"/>
      <c r="H88" s="1" t="n"/>
      <c r="I88" s="1" t="n"/>
      <c r="J88" s="1" t="n"/>
      <c r="K88" s="181" t="n"/>
      <c r="L88" s="181" t="n"/>
      <c r="M88" s="181" t="n"/>
      <c r="N88" s="1" t="n"/>
      <c r="O88" s="181" t="n"/>
      <c r="P88" s="181" t="n"/>
      <c r="Q88" s="18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row>
    <row r="89" ht="15.75" customHeight="1" s="216">
      <c r="A89" s="1" t="n"/>
      <c r="B89" s="1" t="n"/>
      <c r="C89" s="1" t="n"/>
      <c r="D89" s="1" t="n"/>
      <c r="E89" s="181" t="n"/>
      <c r="F89" s="181" t="n"/>
      <c r="G89" s="1" t="n"/>
      <c r="H89" s="1" t="n"/>
      <c r="I89" s="1" t="n"/>
      <c r="J89" s="1" t="n"/>
      <c r="K89" s="181" t="n"/>
      <c r="L89" s="181" t="n"/>
      <c r="M89" s="181" t="n"/>
      <c r="N89" s="1" t="n"/>
      <c r="O89" s="181" t="n"/>
      <c r="P89" s="181" t="n"/>
      <c r="Q89" s="18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row>
    <row r="90" ht="15.75" customHeight="1" s="216">
      <c r="A90" s="1" t="n"/>
      <c r="B90" s="1" t="n"/>
      <c r="C90" s="1" t="n"/>
      <c r="D90" s="1" t="n"/>
      <c r="E90" s="181" t="n"/>
      <c r="F90" s="181" t="n"/>
      <c r="G90" s="1" t="n"/>
      <c r="H90" s="1" t="n"/>
      <c r="I90" s="1" t="n"/>
      <c r="J90" s="1" t="n"/>
      <c r="K90" s="181" t="n"/>
      <c r="L90" s="181" t="n"/>
      <c r="M90" s="181" t="n"/>
      <c r="N90" s="1" t="n"/>
      <c r="O90" s="181" t="n"/>
      <c r="P90" s="181" t="n"/>
      <c r="Q90" s="18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row>
    <row r="91" ht="15.75" customHeight="1" s="216">
      <c r="A91" s="1" t="n"/>
      <c r="B91" s="1" t="n"/>
      <c r="C91" s="1" t="n"/>
      <c r="D91" s="1" t="n"/>
      <c r="E91" s="181" t="n"/>
      <c r="F91" s="181" t="n"/>
      <c r="G91" s="1" t="n"/>
      <c r="H91" s="1" t="n"/>
      <c r="I91" s="1" t="n"/>
      <c r="J91" s="1" t="n"/>
      <c r="K91" s="181" t="n"/>
      <c r="L91" s="181" t="n"/>
      <c r="M91" s="181" t="n"/>
      <c r="N91" s="1" t="n"/>
      <c r="O91" s="181" t="n"/>
      <c r="P91" s="181" t="n"/>
      <c r="Q91" s="18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row>
    <row r="92" ht="15.75" customHeight="1" s="216">
      <c r="A92" s="1" t="n"/>
      <c r="B92" s="1" t="n"/>
      <c r="C92" s="1" t="n"/>
      <c r="D92" s="1" t="n"/>
      <c r="E92" s="181" t="n"/>
      <c r="F92" s="181" t="n"/>
      <c r="G92" s="1" t="n"/>
      <c r="H92" s="1" t="n"/>
      <c r="I92" s="1" t="n"/>
      <c r="J92" s="1" t="n"/>
      <c r="K92" s="181" t="n"/>
      <c r="L92" s="181" t="n"/>
      <c r="M92" s="181" t="n"/>
      <c r="N92" s="1" t="n"/>
      <c r="O92" s="181" t="n"/>
      <c r="P92" s="181" t="n"/>
      <c r="Q92" s="18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row>
    <row r="93" ht="15.75" customHeight="1" s="216">
      <c r="A93" s="1" t="n"/>
      <c r="B93" s="1" t="n"/>
      <c r="C93" s="1" t="n"/>
      <c r="D93" s="1" t="n"/>
      <c r="E93" s="181" t="n"/>
      <c r="F93" s="181" t="n"/>
      <c r="G93" s="1" t="n"/>
      <c r="H93" s="1" t="n"/>
      <c r="I93" s="1" t="n"/>
      <c r="J93" s="1" t="n"/>
      <c r="K93" s="181" t="n"/>
      <c r="L93" s="181" t="n"/>
      <c r="M93" s="181" t="n"/>
      <c r="N93" s="1" t="n"/>
      <c r="O93" s="181" t="n"/>
      <c r="P93" s="181" t="n"/>
      <c r="Q93" s="18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row>
    <row r="94" ht="15.75" customHeight="1" s="216">
      <c r="A94" s="1" t="n"/>
      <c r="B94" s="1" t="n"/>
      <c r="C94" s="1" t="n"/>
      <c r="D94" s="1" t="n"/>
      <c r="E94" s="181" t="n"/>
      <c r="F94" s="181" t="n"/>
      <c r="G94" s="1" t="n"/>
      <c r="H94" s="1" t="n"/>
      <c r="I94" s="1" t="n"/>
      <c r="J94" s="1" t="n"/>
      <c r="K94" s="181" t="n"/>
      <c r="L94" s="181" t="n"/>
      <c r="M94" s="181" t="n"/>
      <c r="N94" s="1" t="n"/>
      <c r="O94" s="181" t="n"/>
      <c r="P94" s="181" t="n"/>
      <c r="Q94" s="18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row>
    <row r="95" ht="15.75" customHeight="1" s="216">
      <c r="A95" s="1" t="n"/>
      <c r="B95" s="1" t="n"/>
      <c r="C95" s="1" t="n"/>
      <c r="D95" s="1" t="n"/>
      <c r="E95" s="181" t="n"/>
      <c r="F95" s="181" t="n"/>
      <c r="G95" s="1" t="n"/>
      <c r="H95" s="1" t="n"/>
      <c r="I95" s="1" t="n"/>
      <c r="J95" s="1" t="n"/>
      <c r="K95" s="181" t="n"/>
      <c r="L95" s="181" t="n"/>
      <c r="M95" s="181" t="n"/>
      <c r="N95" s="1" t="n"/>
      <c r="O95" s="181" t="n"/>
      <c r="P95" s="181" t="n"/>
      <c r="Q95" s="18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row>
    <row r="96" ht="15.75" customHeight="1" s="216">
      <c r="A96" s="1" t="n"/>
      <c r="B96" s="1" t="n"/>
      <c r="C96" s="1" t="n"/>
      <c r="D96" s="1" t="n"/>
      <c r="E96" s="181" t="n"/>
      <c r="F96" s="181" t="n"/>
      <c r="G96" s="1" t="n"/>
      <c r="H96" s="1" t="n"/>
      <c r="I96" s="1" t="n"/>
      <c r="J96" s="1" t="n"/>
      <c r="K96" s="181" t="n"/>
      <c r="L96" s="181" t="n"/>
      <c r="M96" s="181" t="n"/>
      <c r="N96" s="1" t="n"/>
      <c r="O96" s="181" t="n"/>
      <c r="P96" s="181" t="n"/>
      <c r="Q96" s="18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row>
    <row r="97" ht="15.75" customHeight="1" s="216">
      <c r="A97" s="1" t="n"/>
      <c r="B97" s="1" t="n"/>
      <c r="C97" s="1" t="n"/>
      <c r="D97" s="1" t="n"/>
      <c r="E97" s="181" t="n"/>
      <c r="F97" s="181" t="n"/>
      <c r="G97" s="1" t="n"/>
      <c r="H97" s="1" t="n"/>
      <c r="I97" s="1" t="n"/>
      <c r="J97" s="1" t="n"/>
      <c r="K97" s="181" t="n"/>
      <c r="L97" s="181" t="n"/>
      <c r="M97" s="181" t="n"/>
      <c r="N97" s="1" t="n"/>
      <c r="O97" s="181" t="n"/>
      <c r="P97" s="181" t="n"/>
      <c r="Q97" s="18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row>
    <row r="98" ht="15.75" customHeight="1" s="216">
      <c r="A98" s="1" t="n"/>
      <c r="B98" s="1" t="n"/>
      <c r="C98" s="1" t="n"/>
      <c r="D98" s="1" t="n"/>
      <c r="E98" s="181" t="n"/>
      <c r="F98" s="181" t="n"/>
      <c r="G98" s="1" t="n"/>
      <c r="H98" s="1" t="n"/>
      <c r="I98" s="1" t="n"/>
      <c r="J98" s="1" t="n"/>
      <c r="K98" s="181" t="n"/>
      <c r="L98" s="181" t="n"/>
      <c r="M98" s="181" t="n"/>
      <c r="N98" s="1" t="n"/>
      <c r="O98" s="181" t="n"/>
      <c r="P98" s="181" t="n"/>
      <c r="Q98" s="18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row>
    <row r="99" ht="15.75" customHeight="1" s="216">
      <c r="A99" s="1" t="n"/>
      <c r="B99" s="1" t="n"/>
      <c r="C99" s="1" t="n"/>
      <c r="D99" s="1" t="n"/>
      <c r="E99" s="181" t="n"/>
      <c r="F99" s="181" t="n"/>
      <c r="G99" s="1" t="n"/>
      <c r="H99" s="1" t="n"/>
      <c r="I99" s="1" t="n"/>
      <c r="J99" s="1" t="n"/>
      <c r="K99" s="181" t="n"/>
      <c r="L99" s="181" t="n"/>
      <c r="M99" s="181" t="n"/>
      <c r="N99" s="1" t="n"/>
      <c r="O99" s="181" t="n"/>
      <c r="P99" s="181" t="n"/>
      <c r="Q99" s="18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row>
    <row r="100" ht="15.75" customHeight="1" s="216">
      <c r="A100" s="1" t="n"/>
      <c r="B100" s="1" t="n"/>
      <c r="C100" s="1" t="n"/>
      <c r="D100" s="1" t="n"/>
      <c r="E100" s="181" t="n"/>
      <c r="F100" s="181" t="n"/>
      <c r="G100" s="1" t="n"/>
      <c r="H100" s="1" t="n"/>
      <c r="I100" s="1" t="n"/>
      <c r="J100" s="1" t="n"/>
      <c r="K100" s="181" t="n"/>
      <c r="L100" s="181" t="n"/>
      <c r="M100" s="181" t="n"/>
      <c r="N100" s="1" t="n"/>
      <c r="O100" s="181" t="n"/>
      <c r="P100" s="181" t="n"/>
      <c r="Q100" s="18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row>
    <row r="101" ht="15.75" customHeight="1" s="216">
      <c r="A101" s="1" t="n"/>
      <c r="B101" s="1" t="n"/>
      <c r="C101" s="1" t="n"/>
      <c r="D101" s="1" t="n"/>
      <c r="E101" s="181" t="n"/>
      <c r="F101" s="181" t="n"/>
      <c r="G101" s="1" t="n"/>
      <c r="H101" s="1" t="n"/>
      <c r="I101" s="1" t="n"/>
      <c r="J101" s="1" t="n"/>
      <c r="K101" s="181" t="n"/>
      <c r="L101" s="181" t="n"/>
      <c r="M101" s="181" t="n"/>
      <c r="N101" s="1" t="n"/>
      <c r="O101" s="181" t="n"/>
      <c r="P101" s="181" t="n"/>
      <c r="Q101" s="18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row>
    <row r="102" ht="15.75" customHeight="1" s="216">
      <c r="A102" s="1" t="n"/>
      <c r="B102" s="1" t="n"/>
      <c r="C102" s="1" t="n"/>
      <c r="D102" s="1" t="n"/>
      <c r="E102" s="181" t="n"/>
      <c r="F102" s="181" t="n"/>
      <c r="G102" s="1" t="n"/>
      <c r="H102" s="1" t="n"/>
      <c r="I102" s="1" t="n"/>
      <c r="J102" s="1" t="n"/>
      <c r="K102" s="181" t="n"/>
      <c r="L102" s="181" t="n"/>
      <c r="M102" s="181" t="n"/>
      <c r="N102" s="1" t="n"/>
      <c r="O102" s="181" t="n"/>
      <c r="P102" s="181" t="n"/>
      <c r="Q102" s="18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row>
    <row r="103" ht="15.75" customHeight="1" s="216">
      <c r="A103" s="1" t="n"/>
      <c r="B103" s="1" t="n"/>
      <c r="C103" s="1" t="n"/>
      <c r="D103" s="1" t="n"/>
      <c r="E103" s="181" t="n"/>
      <c r="F103" s="181" t="n"/>
      <c r="G103" s="1" t="n"/>
      <c r="H103" s="1" t="n"/>
      <c r="I103" s="1" t="n"/>
      <c r="J103" s="1" t="n"/>
      <c r="K103" s="181" t="n"/>
      <c r="L103" s="181" t="n"/>
      <c r="M103" s="181" t="n"/>
      <c r="N103" s="1" t="n"/>
      <c r="O103" s="181" t="n"/>
      <c r="P103" s="181" t="n"/>
      <c r="Q103" s="18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row>
    <row r="104" ht="15.75" customHeight="1" s="216">
      <c r="A104" s="1" t="n"/>
      <c r="B104" s="1" t="n"/>
      <c r="C104" s="1" t="n"/>
      <c r="D104" s="1" t="n"/>
      <c r="E104" s="181" t="n"/>
      <c r="F104" s="181" t="n"/>
      <c r="G104" s="1" t="n"/>
      <c r="H104" s="1" t="n"/>
      <c r="I104" s="1" t="n"/>
      <c r="J104" s="1" t="n"/>
      <c r="K104" s="181" t="n"/>
      <c r="L104" s="181" t="n"/>
      <c r="M104" s="181" t="n"/>
      <c r="N104" s="1" t="n"/>
      <c r="O104" s="181" t="n"/>
      <c r="P104" s="181" t="n"/>
      <c r="Q104" s="18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row>
    <row r="105" ht="15.75" customHeight="1" s="216">
      <c r="A105" s="1" t="n"/>
      <c r="B105" s="1" t="n"/>
      <c r="C105" s="1" t="n"/>
      <c r="D105" s="1" t="n"/>
      <c r="E105" s="181" t="n"/>
      <c r="F105" s="181" t="n"/>
      <c r="G105" s="1" t="n"/>
      <c r="H105" s="1" t="n"/>
      <c r="I105" s="1" t="n"/>
      <c r="J105" s="1" t="n"/>
      <c r="K105" s="181" t="n"/>
      <c r="L105" s="181" t="n"/>
      <c r="M105" s="181" t="n"/>
      <c r="N105" s="1" t="n"/>
      <c r="O105" s="181" t="n"/>
      <c r="P105" s="181" t="n"/>
      <c r="Q105" s="18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row>
    <row r="106" ht="15.75" customHeight="1" s="216">
      <c r="A106" s="1" t="n"/>
      <c r="B106" s="1" t="n"/>
      <c r="C106" s="1" t="n"/>
      <c r="D106" s="1" t="n"/>
      <c r="E106" s="181" t="n"/>
      <c r="F106" s="181" t="n"/>
      <c r="G106" s="1" t="n"/>
      <c r="H106" s="1" t="n"/>
      <c r="I106" s="1" t="n"/>
      <c r="J106" s="1" t="n"/>
      <c r="K106" s="181" t="n"/>
      <c r="L106" s="181" t="n"/>
      <c r="M106" s="181" t="n"/>
      <c r="N106" s="1" t="n"/>
      <c r="O106" s="181" t="n"/>
      <c r="P106" s="181" t="n"/>
      <c r="Q106" s="18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row>
    <row r="107" ht="15.75" customHeight="1" s="216">
      <c r="A107" s="1" t="n"/>
      <c r="B107" s="1" t="n"/>
      <c r="C107" s="1" t="n"/>
      <c r="D107" s="1" t="n"/>
      <c r="E107" s="181" t="n"/>
      <c r="F107" s="181" t="n"/>
      <c r="G107" s="1" t="n"/>
      <c r="H107" s="1" t="n"/>
      <c r="I107" s="1" t="n"/>
      <c r="J107" s="1" t="n"/>
      <c r="K107" s="181" t="n"/>
      <c r="L107" s="181" t="n"/>
      <c r="M107" s="181" t="n"/>
      <c r="N107" s="1" t="n"/>
      <c r="O107" s="181" t="n"/>
      <c r="P107" s="181" t="n"/>
      <c r="Q107" s="18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row>
    <row r="108" ht="15.75" customHeight="1" s="216">
      <c r="A108" s="1" t="n"/>
      <c r="B108" s="1" t="n"/>
      <c r="C108" s="1" t="n"/>
      <c r="D108" s="1" t="n"/>
      <c r="E108" s="181" t="n"/>
      <c r="F108" s="181" t="n"/>
      <c r="G108" s="1" t="n"/>
      <c r="H108" s="1" t="n"/>
      <c r="I108" s="1" t="n"/>
      <c r="J108" s="1" t="n"/>
      <c r="K108" s="181" t="n"/>
      <c r="L108" s="181" t="n"/>
      <c r="M108" s="181" t="n"/>
      <c r="N108" s="1" t="n"/>
      <c r="O108" s="181" t="n"/>
      <c r="P108" s="181" t="n"/>
      <c r="Q108" s="18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row>
    <row r="109" ht="15.75" customHeight="1" s="216">
      <c r="A109" s="1" t="n"/>
      <c r="B109" s="1" t="n"/>
      <c r="C109" s="1" t="n"/>
      <c r="D109" s="1" t="n"/>
      <c r="E109" s="181" t="n"/>
      <c r="F109" s="181" t="n"/>
      <c r="G109" s="1" t="n"/>
      <c r="H109" s="1" t="n"/>
      <c r="I109" s="1" t="n"/>
      <c r="J109" s="1" t="n"/>
      <c r="K109" s="181" t="n"/>
      <c r="L109" s="181" t="n"/>
      <c r="M109" s="181" t="n"/>
      <c r="N109" s="1" t="n"/>
      <c r="O109" s="181" t="n"/>
      <c r="P109" s="181" t="n"/>
      <c r="Q109" s="18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row>
    <row r="110" ht="15.75" customHeight="1" s="216">
      <c r="A110" s="1" t="n"/>
      <c r="B110" s="1" t="n"/>
      <c r="C110" s="1" t="n"/>
      <c r="D110" s="1" t="n"/>
      <c r="E110" s="181" t="n"/>
      <c r="F110" s="181" t="n"/>
      <c r="G110" s="1" t="n"/>
      <c r="H110" s="1" t="n"/>
      <c r="I110" s="1" t="n"/>
      <c r="J110" s="1" t="n"/>
      <c r="K110" s="181" t="n"/>
      <c r="L110" s="181" t="n"/>
      <c r="M110" s="181" t="n"/>
      <c r="N110" s="1" t="n"/>
      <c r="O110" s="181" t="n"/>
      <c r="P110" s="181" t="n"/>
      <c r="Q110" s="18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row>
    <row r="111" ht="15.75" customHeight="1" s="216">
      <c r="A111" s="1" t="n"/>
      <c r="B111" s="1" t="n"/>
      <c r="C111" s="1" t="n"/>
      <c r="D111" s="1" t="n"/>
      <c r="E111" s="181" t="n"/>
      <c r="F111" s="181" t="n"/>
      <c r="G111" s="1" t="n"/>
      <c r="H111" s="1" t="n"/>
      <c r="I111" s="1" t="n"/>
      <c r="J111" s="1" t="n"/>
      <c r="K111" s="181" t="n"/>
      <c r="L111" s="181" t="n"/>
      <c r="M111" s="181" t="n"/>
      <c r="N111" s="1" t="n"/>
      <c r="O111" s="181" t="n"/>
      <c r="P111" s="181" t="n"/>
      <c r="Q111" s="18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row>
    <row r="112" ht="15.75" customHeight="1" s="216">
      <c r="A112" s="1" t="n"/>
      <c r="B112" s="1" t="n"/>
      <c r="C112" s="1" t="n"/>
      <c r="D112" s="1" t="n"/>
      <c r="E112" s="181" t="n"/>
      <c r="F112" s="181" t="n"/>
      <c r="G112" s="1" t="n"/>
      <c r="H112" s="1" t="n"/>
      <c r="I112" s="1" t="n"/>
      <c r="J112" s="1" t="n"/>
      <c r="K112" s="181" t="n"/>
      <c r="L112" s="181" t="n"/>
      <c r="M112" s="181" t="n"/>
      <c r="N112" s="1" t="n"/>
      <c r="O112" s="181" t="n"/>
      <c r="P112" s="181" t="n"/>
      <c r="Q112" s="18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row>
    <row r="113" ht="15.75" customHeight="1" s="216">
      <c r="A113" s="1" t="n"/>
      <c r="B113" s="1" t="n"/>
      <c r="C113" s="1" t="n"/>
      <c r="D113" s="1" t="n"/>
      <c r="E113" s="181" t="n"/>
      <c r="F113" s="181" t="n"/>
      <c r="G113" s="1" t="n"/>
      <c r="H113" s="1" t="n"/>
      <c r="I113" s="1" t="n"/>
      <c r="J113" s="1" t="n"/>
      <c r="K113" s="181" t="n"/>
      <c r="L113" s="181" t="n"/>
      <c r="M113" s="181" t="n"/>
      <c r="N113" s="1" t="n"/>
      <c r="O113" s="181" t="n"/>
      <c r="P113" s="181" t="n"/>
      <c r="Q113" s="18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row>
    <row r="114" ht="15.75" customHeight="1" s="216">
      <c r="A114" s="1" t="n"/>
      <c r="B114" s="1" t="n"/>
      <c r="C114" s="1" t="n"/>
      <c r="D114" s="1" t="n"/>
      <c r="E114" s="181" t="n"/>
      <c r="F114" s="181" t="n"/>
      <c r="G114" s="1" t="n"/>
      <c r="H114" s="1" t="n"/>
      <c r="I114" s="1" t="n"/>
      <c r="J114" s="1" t="n"/>
      <c r="K114" s="181" t="n"/>
      <c r="L114" s="181" t="n"/>
      <c r="M114" s="181" t="n"/>
      <c r="N114" s="1" t="n"/>
      <c r="O114" s="181" t="n"/>
      <c r="P114" s="181" t="n"/>
      <c r="Q114" s="18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row>
    <row r="115" ht="15.75" customHeight="1" s="216">
      <c r="A115" s="1" t="n"/>
      <c r="B115" s="1" t="n"/>
      <c r="C115" s="1" t="n"/>
      <c r="D115" s="1" t="n"/>
      <c r="E115" s="181" t="n"/>
      <c r="F115" s="181" t="n"/>
      <c r="G115" s="1" t="n"/>
      <c r="H115" s="1" t="n"/>
      <c r="I115" s="1" t="n"/>
      <c r="J115" s="1" t="n"/>
      <c r="K115" s="181" t="n"/>
      <c r="L115" s="181" t="n"/>
      <c r="M115" s="181" t="n"/>
      <c r="N115" s="1" t="n"/>
      <c r="O115" s="181" t="n"/>
      <c r="P115" s="181" t="n"/>
      <c r="Q115" s="18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row>
    <row r="116" ht="15.75" customHeight="1" s="216">
      <c r="A116" s="1" t="n"/>
      <c r="B116" s="1" t="n"/>
      <c r="C116" s="1" t="n"/>
      <c r="D116" s="1" t="n"/>
      <c r="E116" s="181" t="n"/>
      <c r="F116" s="181" t="n"/>
      <c r="G116" s="1" t="n"/>
      <c r="H116" s="1" t="n"/>
      <c r="I116" s="1" t="n"/>
      <c r="J116" s="1" t="n"/>
      <c r="K116" s="181" t="n"/>
      <c r="L116" s="181" t="n"/>
      <c r="M116" s="181" t="n"/>
      <c r="N116" s="1" t="n"/>
      <c r="O116" s="181" t="n"/>
      <c r="P116" s="181" t="n"/>
      <c r="Q116" s="18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row>
    <row r="117" ht="15.75" customHeight="1" s="216">
      <c r="A117" s="1" t="n"/>
      <c r="B117" s="1" t="n"/>
      <c r="C117" s="1" t="n"/>
      <c r="D117" s="1" t="n"/>
      <c r="E117" s="181" t="n"/>
      <c r="F117" s="181" t="n"/>
      <c r="G117" s="1" t="n"/>
      <c r="H117" s="1" t="n"/>
      <c r="I117" s="1" t="n"/>
      <c r="J117" s="1" t="n"/>
      <c r="K117" s="181" t="n"/>
      <c r="L117" s="181" t="n"/>
      <c r="M117" s="181" t="n"/>
      <c r="N117" s="1" t="n"/>
      <c r="O117" s="181" t="n"/>
      <c r="P117" s="181" t="n"/>
      <c r="Q117" s="18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row>
    <row r="118" ht="15.75" customHeight="1" s="216">
      <c r="A118" s="1" t="n"/>
      <c r="B118" s="1" t="n"/>
      <c r="C118" s="1" t="n"/>
      <c r="D118" s="1" t="n"/>
      <c r="E118" s="181" t="n"/>
      <c r="F118" s="181" t="n"/>
      <c r="G118" s="1" t="n"/>
      <c r="H118" s="1" t="n"/>
      <c r="I118" s="1" t="n"/>
      <c r="J118" s="1" t="n"/>
      <c r="K118" s="181" t="n"/>
      <c r="L118" s="181" t="n"/>
      <c r="M118" s="181" t="n"/>
      <c r="N118" s="1" t="n"/>
      <c r="O118" s="181" t="n"/>
      <c r="P118" s="181" t="n"/>
      <c r="Q118" s="18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row>
    <row r="119" ht="15.75" customHeight="1" s="216">
      <c r="A119" s="1" t="n"/>
      <c r="B119" s="1" t="n"/>
      <c r="C119" s="1" t="n"/>
      <c r="D119" s="1" t="n"/>
      <c r="E119" s="181" t="n"/>
      <c r="F119" s="181" t="n"/>
      <c r="G119" s="1" t="n"/>
      <c r="H119" s="1" t="n"/>
      <c r="I119" s="1" t="n"/>
      <c r="J119" s="1" t="n"/>
      <c r="K119" s="181" t="n"/>
      <c r="L119" s="181" t="n"/>
      <c r="M119" s="181" t="n"/>
      <c r="N119" s="1" t="n"/>
      <c r="O119" s="181" t="n"/>
      <c r="P119" s="181" t="n"/>
      <c r="Q119" s="18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row>
    <row r="120" ht="15.75" customHeight="1" s="216">
      <c r="A120" s="1" t="n"/>
      <c r="B120" s="1" t="n"/>
      <c r="C120" s="1" t="n"/>
      <c r="D120" s="1" t="n"/>
      <c r="E120" s="181" t="n"/>
      <c r="F120" s="181" t="n"/>
      <c r="G120" s="1" t="n"/>
      <c r="H120" s="1" t="n"/>
      <c r="I120" s="1" t="n"/>
      <c r="J120" s="1" t="n"/>
      <c r="K120" s="181" t="n"/>
      <c r="L120" s="181" t="n"/>
      <c r="M120" s="181" t="n"/>
      <c r="N120" s="1" t="n"/>
      <c r="O120" s="181" t="n"/>
      <c r="P120" s="181" t="n"/>
      <c r="Q120" s="18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row>
    <row r="121" ht="15.75" customHeight="1" s="216">
      <c r="A121" s="1" t="n"/>
      <c r="B121" s="1" t="n"/>
      <c r="C121" s="1" t="n"/>
      <c r="D121" s="1" t="n"/>
      <c r="E121" s="181" t="n"/>
      <c r="F121" s="181" t="n"/>
      <c r="G121" s="1" t="n"/>
      <c r="H121" s="1" t="n"/>
      <c r="I121" s="1" t="n"/>
      <c r="J121" s="1" t="n"/>
      <c r="K121" s="181" t="n"/>
      <c r="L121" s="181" t="n"/>
      <c r="M121" s="181" t="n"/>
      <c r="N121" s="1" t="n"/>
      <c r="O121" s="181" t="n"/>
      <c r="P121" s="181" t="n"/>
      <c r="Q121" s="18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row>
    <row r="122" ht="15.75" customHeight="1" s="216">
      <c r="A122" s="1" t="n"/>
      <c r="B122" s="1" t="n"/>
      <c r="C122" s="1" t="n"/>
      <c r="D122" s="1" t="n"/>
      <c r="E122" s="181" t="n"/>
      <c r="F122" s="181" t="n"/>
      <c r="G122" s="1" t="n"/>
      <c r="H122" s="1" t="n"/>
      <c r="I122" s="1" t="n"/>
      <c r="J122" s="1" t="n"/>
      <c r="K122" s="181" t="n"/>
      <c r="L122" s="181" t="n"/>
      <c r="M122" s="181" t="n"/>
      <c r="N122" s="1" t="n"/>
      <c r="O122" s="181" t="n"/>
      <c r="P122" s="181" t="n"/>
      <c r="Q122" s="18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row>
    <row r="123" ht="15.75" customHeight="1" s="216">
      <c r="A123" s="1" t="n"/>
      <c r="B123" s="1" t="n"/>
      <c r="C123" s="1" t="n"/>
      <c r="D123" s="1" t="n"/>
      <c r="E123" s="181" t="n"/>
      <c r="F123" s="181" t="n"/>
      <c r="G123" s="1" t="n"/>
      <c r="H123" s="1" t="n"/>
      <c r="I123" s="1" t="n"/>
      <c r="J123" s="1" t="n"/>
      <c r="K123" s="181" t="n"/>
      <c r="L123" s="181" t="n"/>
      <c r="M123" s="181" t="n"/>
      <c r="N123" s="1" t="n"/>
      <c r="O123" s="181" t="n"/>
      <c r="P123" s="181" t="n"/>
      <c r="Q123" s="18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row>
    <row r="124" ht="15.75" customHeight="1" s="216">
      <c r="A124" s="1" t="n"/>
      <c r="B124" s="1" t="n"/>
      <c r="C124" s="1" t="n"/>
      <c r="D124" s="1" t="n"/>
      <c r="E124" s="181" t="n"/>
      <c r="F124" s="181" t="n"/>
      <c r="G124" s="1" t="n"/>
      <c r="H124" s="1" t="n"/>
      <c r="I124" s="1" t="n"/>
      <c r="J124" s="1" t="n"/>
      <c r="K124" s="181" t="n"/>
      <c r="L124" s="181" t="n"/>
      <c r="M124" s="181" t="n"/>
      <c r="N124" s="1" t="n"/>
      <c r="O124" s="181" t="n"/>
      <c r="P124" s="181" t="n"/>
      <c r="Q124" s="18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row>
    <row r="125" ht="15.75" customHeight="1" s="216">
      <c r="A125" s="1" t="n"/>
      <c r="B125" s="1" t="n"/>
      <c r="C125" s="1" t="n"/>
      <c r="D125" s="1" t="n"/>
      <c r="E125" s="181" t="n"/>
      <c r="F125" s="181" t="n"/>
      <c r="G125" s="1" t="n"/>
      <c r="H125" s="1" t="n"/>
      <c r="I125" s="1" t="n"/>
      <c r="J125" s="1" t="n"/>
      <c r="K125" s="181" t="n"/>
      <c r="L125" s="181" t="n"/>
      <c r="M125" s="181" t="n"/>
      <c r="N125" s="1" t="n"/>
      <c r="O125" s="181" t="n"/>
      <c r="P125" s="181" t="n"/>
      <c r="Q125" s="18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row>
    <row r="126" ht="15.75" customHeight="1" s="216">
      <c r="A126" s="1" t="n"/>
      <c r="B126" s="1" t="n"/>
      <c r="C126" s="1" t="n"/>
      <c r="D126" s="1" t="n"/>
      <c r="E126" s="181" t="n"/>
      <c r="F126" s="181" t="n"/>
      <c r="G126" s="1" t="n"/>
      <c r="H126" s="1" t="n"/>
      <c r="I126" s="1" t="n"/>
      <c r="J126" s="1" t="n"/>
      <c r="K126" s="181" t="n"/>
      <c r="L126" s="181" t="n"/>
      <c r="M126" s="181" t="n"/>
      <c r="N126" s="1" t="n"/>
      <c r="O126" s="181" t="n"/>
      <c r="P126" s="181" t="n"/>
      <c r="Q126" s="18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row>
    <row r="127" ht="15.75" customHeight="1" s="216">
      <c r="A127" s="1" t="n"/>
      <c r="B127" s="1" t="n"/>
      <c r="C127" s="1" t="n"/>
      <c r="D127" s="1" t="n"/>
      <c r="E127" s="181" t="n"/>
      <c r="F127" s="181" t="n"/>
      <c r="G127" s="1" t="n"/>
      <c r="H127" s="1" t="n"/>
      <c r="I127" s="1" t="n"/>
      <c r="J127" s="1" t="n"/>
      <c r="K127" s="181" t="n"/>
      <c r="L127" s="181" t="n"/>
      <c r="M127" s="181" t="n"/>
      <c r="N127" s="1" t="n"/>
      <c r="O127" s="181" t="n"/>
      <c r="P127" s="181" t="n"/>
      <c r="Q127" s="18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row>
    <row r="128" ht="15.75" customHeight="1" s="216">
      <c r="A128" s="1" t="n"/>
      <c r="B128" s="1" t="n"/>
      <c r="C128" s="1" t="n"/>
      <c r="D128" s="1" t="n"/>
      <c r="E128" s="181" t="n"/>
      <c r="F128" s="181" t="n"/>
      <c r="G128" s="1" t="n"/>
      <c r="H128" s="1" t="n"/>
      <c r="I128" s="1" t="n"/>
      <c r="J128" s="1" t="n"/>
      <c r="K128" s="181" t="n"/>
      <c r="L128" s="181" t="n"/>
      <c r="M128" s="181" t="n"/>
      <c r="N128" s="1" t="n"/>
      <c r="O128" s="181" t="n"/>
      <c r="P128" s="181" t="n"/>
      <c r="Q128" s="18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row>
    <row r="129" ht="15.75" customHeight="1" s="216">
      <c r="A129" s="1" t="n"/>
      <c r="B129" s="1" t="n"/>
      <c r="C129" s="1" t="n"/>
      <c r="D129" s="1" t="n"/>
      <c r="E129" s="181" t="n"/>
      <c r="F129" s="181" t="n"/>
      <c r="G129" s="1" t="n"/>
      <c r="H129" s="1" t="n"/>
      <c r="I129" s="1" t="n"/>
      <c r="J129" s="1" t="n"/>
      <c r="K129" s="181" t="n"/>
      <c r="L129" s="181" t="n"/>
      <c r="M129" s="181" t="n"/>
      <c r="N129" s="1" t="n"/>
      <c r="O129" s="181" t="n"/>
      <c r="P129" s="181" t="n"/>
      <c r="Q129" s="18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row>
    <row r="130" ht="15.75" customHeight="1" s="216">
      <c r="A130" s="1" t="n"/>
      <c r="B130" s="1" t="n"/>
      <c r="C130" s="1" t="n"/>
      <c r="D130" s="1" t="n"/>
      <c r="E130" s="181" t="n"/>
      <c r="F130" s="181" t="n"/>
      <c r="G130" s="1" t="n"/>
      <c r="H130" s="1" t="n"/>
      <c r="I130" s="1" t="n"/>
      <c r="J130" s="1" t="n"/>
      <c r="K130" s="181" t="n"/>
      <c r="L130" s="181" t="n"/>
      <c r="M130" s="181" t="n"/>
      <c r="N130" s="1" t="n"/>
      <c r="O130" s="181" t="n"/>
      <c r="P130" s="181" t="n"/>
      <c r="Q130" s="18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row>
    <row r="131" ht="15.75" customHeight="1" s="216">
      <c r="A131" s="1" t="n"/>
      <c r="B131" s="1" t="n"/>
      <c r="C131" s="1" t="n"/>
      <c r="D131" s="1" t="n"/>
      <c r="E131" s="181" t="n"/>
      <c r="F131" s="181" t="n"/>
      <c r="G131" s="1" t="n"/>
      <c r="H131" s="1" t="n"/>
      <c r="I131" s="1" t="n"/>
      <c r="J131" s="1" t="n"/>
      <c r="K131" s="181" t="n"/>
      <c r="L131" s="181" t="n"/>
      <c r="M131" s="181" t="n"/>
      <c r="N131" s="1" t="n"/>
      <c r="O131" s="181" t="n"/>
      <c r="P131" s="181" t="n"/>
      <c r="Q131" s="18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row>
    <row r="132" ht="15.75" customHeight="1" s="216">
      <c r="A132" s="1" t="n"/>
      <c r="B132" s="1" t="n"/>
      <c r="C132" s="1" t="n"/>
      <c r="D132" s="1" t="n"/>
      <c r="E132" s="181" t="n"/>
      <c r="F132" s="181" t="n"/>
      <c r="G132" s="1" t="n"/>
      <c r="H132" s="1" t="n"/>
      <c r="I132" s="1" t="n"/>
      <c r="J132" s="1" t="n"/>
      <c r="K132" s="181" t="n"/>
      <c r="L132" s="181" t="n"/>
      <c r="M132" s="181" t="n"/>
      <c r="N132" s="1" t="n"/>
      <c r="O132" s="181" t="n"/>
      <c r="P132" s="181" t="n"/>
      <c r="Q132" s="18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row>
    <row r="133" ht="15.75" customHeight="1" s="216">
      <c r="A133" s="1" t="n"/>
      <c r="B133" s="1" t="n"/>
      <c r="C133" s="1" t="n"/>
      <c r="D133" s="1" t="n"/>
      <c r="E133" s="181" t="n"/>
      <c r="F133" s="181" t="n"/>
      <c r="G133" s="1" t="n"/>
      <c r="H133" s="1" t="n"/>
      <c r="I133" s="1" t="n"/>
      <c r="J133" s="1" t="n"/>
      <c r="K133" s="181" t="n"/>
      <c r="L133" s="181" t="n"/>
      <c r="M133" s="181" t="n"/>
      <c r="N133" s="1" t="n"/>
      <c r="O133" s="181" t="n"/>
      <c r="P133" s="181" t="n"/>
      <c r="Q133" s="18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row>
    <row r="134" ht="15.75" customHeight="1" s="216">
      <c r="A134" s="1" t="n"/>
      <c r="B134" s="1" t="n"/>
      <c r="C134" s="1" t="n"/>
      <c r="D134" s="1" t="n"/>
      <c r="E134" s="181" t="n"/>
      <c r="F134" s="181" t="n"/>
      <c r="G134" s="1" t="n"/>
      <c r="H134" s="1" t="n"/>
      <c r="I134" s="1" t="n"/>
      <c r="J134" s="1" t="n"/>
      <c r="K134" s="181" t="n"/>
      <c r="L134" s="181" t="n"/>
      <c r="M134" s="181" t="n"/>
      <c r="N134" s="1" t="n"/>
      <c r="O134" s="181" t="n"/>
      <c r="P134" s="181" t="n"/>
      <c r="Q134" s="18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row>
    <row r="135" ht="15.75" customHeight="1" s="216">
      <c r="A135" s="1" t="n"/>
      <c r="B135" s="1" t="n"/>
      <c r="C135" s="1" t="n"/>
      <c r="D135" s="1" t="n"/>
      <c r="E135" s="181" t="n"/>
      <c r="F135" s="181" t="n"/>
      <c r="G135" s="1" t="n"/>
      <c r="H135" s="1" t="n"/>
      <c r="I135" s="1" t="n"/>
      <c r="J135" s="1" t="n"/>
      <c r="K135" s="181" t="n"/>
      <c r="L135" s="181" t="n"/>
      <c r="M135" s="181" t="n"/>
      <c r="N135" s="1" t="n"/>
      <c r="O135" s="181" t="n"/>
      <c r="P135" s="181" t="n"/>
      <c r="Q135" s="18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row>
    <row r="136" ht="15.75" customHeight="1" s="216">
      <c r="A136" s="1" t="n"/>
      <c r="B136" s="1" t="n"/>
      <c r="C136" s="1" t="n"/>
      <c r="D136" s="1" t="n"/>
      <c r="E136" s="181" t="n"/>
      <c r="F136" s="181" t="n"/>
      <c r="G136" s="1" t="n"/>
      <c r="H136" s="1" t="n"/>
      <c r="I136" s="1" t="n"/>
      <c r="J136" s="1" t="n"/>
      <c r="K136" s="181" t="n"/>
      <c r="L136" s="181" t="n"/>
      <c r="M136" s="181" t="n"/>
      <c r="N136" s="1" t="n"/>
      <c r="O136" s="181" t="n"/>
      <c r="P136" s="181" t="n"/>
      <c r="Q136" s="18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row>
    <row r="137" ht="15.75" customHeight="1" s="216">
      <c r="A137" s="1" t="n"/>
      <c r="B137" s="1" t="n"/>
      <c r="C137" s="1" t="n"/>
      <c r="D137" s="1" t="n"/>
      <c r="E137" s="181" t="n"/>
      <c r="F137" s="181" t="n"/>
      <c r="G137" s="1" t="n"/>
      <c r="H137" s="1" t="n"/>
      <c r="I137" s="1" t="n"/>
      <c r="J137" s="1" t="n"/>
      <c r="K137" s="181" t="n"/>
      <c r="L137" s="181" t="n"/>
      <c r="M137" s="181" t="n"/>
      <c r="N137" s="1" t="n"/>
      <c r="O137" s="181" t="n"/>
      <c r="P137" s="181" t="n"/>
      <c r="Q137" s="18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row>
    <row r="138" ht="15.75" customHeight="1" s="216">
      <c r="A138" s="1" t="n"/>
      <c r="B138" s="1" t="n"/>
      <c r="C138" s="1" t="n"/>
      <c r="D138" s="1" t="n"/>
      <c r="E138" s="181" t="n"/>
      <c r="F138" s="181" t="n"/>
      <c r="G138" s="1" t="n"/>
      <c r="H138" s="1" t="n"/>
      <c r="I138" s="1" t="n"/>
      <c r="J138" s="1" t="n"/>
      <c r="K138" s="181" t="n"/>
      <c r="L138" s="181" t="n"/>
      <c r="M138" s="181" t="n"/>
      <c r="N138" s="1" t="n"/>
      <c r="O138" s="181" t="n"/>
      <c r="P138" s="181" t="n"/>
      <c r="Q138" s="18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row>
    <row r="139" ht="15.75" customHeight="1" s="216">
      <c r="A139" s="1" t="n"/>
      <c r="B139" s="1" t="n"/>
      <c r="C139" s="1" t="n"/>
      <c r="D139" s="1" t="n"/>
      <c r="E139" s="181" t="n"/>
      <c r="F139" s="181" t="n"/>
      <c r="G139" s="1" t="n"/>
      <c r="H139" s="1" t="n"/>
      <c r="I139" s="1" t="n"/>
      <c r="J139" s="1" t="n"/>
      <c r="K139" s="181" t="n"/>
      <c r="L139" s="181" t="n"/>
      <c r="M139" s="181" t="n"/>
      <c r="N139" s="1" t="n"/>
      <c r="O139" s="181" t="n"/>
      <c r="P139" s="181" t="n"/>
      <c r="Q139" s="18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row>
    <row r="140" ht="15.75" customHeight="1" s="216">
      <c r="A140" s="1" t="n"/>
      <c r="B140" s="1" t="n"/>
      <c r="C140" s="1" t="n"/>
      <c r="D140" s="1" t="n"/>
      <c r="E140" s="181" t="n"/>
      <c r="F140" s="181" t="n"/>
      <c r="G140" s="1" t="n"/>
      <c r="H140" s="1" t="n"/>
      <c r="I140" s="1" t="n"/>
      <c r="J140" s="1" t="n"/>
      <c r="K140" s="181" t="n"/>
      <c r="L140" s="181" t="n"/>
      <c r="M140" s="181" t="n"/>
      <c r="N140" s="1" t="n"/>
      <c r="O140" s="181" t="n"/>
      <c r="P140" s="181" t="n"/>
      <c r="Q140" s="18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row>
    <row r="141" ht="15.75" customHeight="1" s="216">
      <c r="A141" s="1" t="n"/>
      <c r="B141" s="1" t="n"/>
      <c r="C141" s="1" t="n"/>
      <c r="D141" s="1" t="n"/>
      <c r="E141" s="181" t="n"/>
      <c r="F141" s="181" t="n"/>
      <c r="G141" s="1" t="n"/>
      <c r="H141" s="1" t="n"/>
      <c r="I141" s="1" t="n"/>
      <c r="J141" s="1" t="n"/>
      <c r="K141" s="181" t="n"/>
      <c r="L141" s="181" t="n"/>
      <c r="M141" s="181" t="n"/>
      <c r="N141" s="1" t="n"/>
      <c r="O141" s="181" t="n"/>
      <c r="P141" s="181" t="n"/>
      <c r="Q141" s="18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row>
    <row r="142" ht="15.75" customHeight="1" s="216">
      <c r="A142" s="1" t="n"/>
      <c r="B142" s="1" t="n"/>
      <c r="C142" s="1" t="n"/>
      <c r="D142" s="1" t="n"/>
      <c r="E142" s="181" t="n"/>
      <c r="F142" s="181" t="n"/>
      <c r="G142" s="1" t="n"/>
      <c r="H142" s="1" t="n"/>
      <c r="I142" s="1" t="n"/>
      <c r="J142" s="1" t="n"/>
      <c r="K142" s="181" t="n"/>
      <c r="L142" s="181" t="n"/>
      <c r="M142" s="181" t="n"/>
      <c r="N142" s="1" t="n"/>
      <c r="O142" s="181" t="n"/>
      <c r="P142" s="181" t="n"/>
      <c r="Q142" s="18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row>
    <row r="143" ht="15.75" customHeight="1" s="216">
      <c r="A143" s="1" t="n"/>
      <c r="B143" s="1" t="n"/>
      <c r="C143" s="1" t="n"/>
      <c r="D143" s="1" t="n"/>
      <c r="E143" s="181" t="n"/>
      <c r="F143" s="181" t="n"/>
      <c r="G143" s="1" t="n"/>
      <c r="H143" s="1" t="n"/>
      <c r="I143" s="1" t="n"/>
      <c r="J143" s="1" t="n"/>
      <c r="K143" s="181" t="n"/>
      <c r="L143" s="181" t="n"/>
      <c r="M143" s="181" t="n"/>
      <c r="N143" s="1" t="n"/>
      <c r="O143" s="181" t="n"/>
      <c r="P143" s="181" t="n"/>
      <c r="Q143" s="18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row>
    <row r="144" ht="15.75" customHeight="1" s="216">
      <c r="A144" s="1" t="n"/>
      <c r="B144" s="1" t="n"/>
      <c r="C144" s="1" t="n"/>
      <c r="D144" s="1" t="n"/>
      <c r="E144" s="181" t="n"/>
      <c r="F144" s="181" t="n"/>
      <c r="G144" s="1" t="n"/>
      <c r="H144" s="1" t="n"/>
      <c r="I144" s="1" t="n"/>
      <c r="J144" s="1" t="n"/>
      <c r="K144" s="181" t="n"/>
      <c r="L144" s="181" t="n"/>
      <c r="M144" s="181" t="n"/>
      <c r="N144" s="1" t="n"/>
      <c r="O144" s="181" t="n"/>
      <c r="P144" s="181" t="n"/>
      <c r="Q144" s="18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row>
    <row r="145" ht="15.75" customHeight="1" s="216">
      <c r="A145" s="1" t="n"/>
      <c r="B145" s="1" t="n"/>
      <c r="C145" s="1" t="n"/>
      <c r="D145" s="1" t="n"/>
      <c r="E145" s="181" t="n"/>
      <c r="F145" s="181" t="n"/>
      <c r="G145" s="1" t="n"/>
      <c r="H145" s="1" t="n"/>
      <c r="I145" s="1" t="n"/>
      <c r="J145" s="1" t="n"/>
      <c r="K145" s="181" t="n"/>
      <c r="L145" s="181" t="n"/>
      <c r="M145" s="181" t="n"/>
      <c r="N145" s="1" t="n"/>
      <c r="O145" s="181" t="n"/>
      <c r="P145" s="181" t="n"/>
      <c r="Q145" s="18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row>
    <row r="146" ht="15.75" customHeight="1" s="216">
      <c r="A146" s="1" t="n"/>
      <c r="B146" s="1" t="n"/>
      <c r="C146" s="1" t="n"/>
      <c r="D146" s="1" t="n"/>
      <c r="E146" s="181" t="n"/>
      <c r="F146" s="181" t="n"/>
      <c r="G146" s="1" t="n"/>
      <c r="H146" s="1" t="n"/>
      <c r="I146" s="1" t="n"/>
      <c r="J146" s="1" t="n"/>
      <c r="K146" s="181" t="n"/>
      <c r="L146" s="181" t="n"/>
      <c r="M146" s="181" t="n"/>
      <c r="N146" s="1" t="n"/>
      <c r="O146" s="181" t="n"/>
      <c r="P146" s="181" t="n"/>
      <c r="Q146" s="18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row>
    <row r="147" ht="15.75" customHeight="1" s="216">
      <c r="A147" s="1" t="n"/>
      <c r="B147" s="1" t="n"/>
      <c r="C147" s="1" t="n"/>
      <c r="D147" s="1" t="n"/>
      <c r="E147" s="181" t="n"/>
      <c r="F147" s="181" t="n"/>
      <c r="G147" s="1" t="n"/>
      <c r="H147" s="1" t="n"/>
      <c r="I147" s="1" t="n"/>
      <c r="J147" s="1" t="n"/>
      <c r="K147" s="181" t="n"/>
      <c r="L147" s="181" t="n"/>
      <c r="M147" s="181" t="n"/>
      <c r="N147" s="1" t="n"/>
      <c r="O147" s="181" t="n"/>
      <c r="P147" s="181" t="n"/>
      <c r="Q147" s="18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row>
    <row r="148" ht="15.75" customHeight="1" s="216">
      <c r="A148" s="1" t="n"/>
      <c r="B148" s="1" t="n"/>
      <c r="C148" s="1" t="n"/>
      <c r="D148" s="1" t="n"/>
      <c r="E148" s="181" t="n"/>
      <c r="F148" s="181" t="n"/>
      <c r="G148" s="1" t="n"/>
      <c r="H148" s="1" t="n"/>
      <c r="I148" s="1" t="n"/>
      <c r="J148" s="1" t="n"/>
      <c r="K148" s="181" t="n"/>
      <c r="L148" s="181" t="n"/>
      <c r="M148" s="181" t="n"/>
      <c r="N148" s="1" t="n"/>
      <c r="O148" s="181" t="n"/>
      <c r="P148" s="181" t="n"/>
      <c r="Q148" s="18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row>
    <row r="149" ht="15.75" customHeight="1" s="216">
      <c r="A149" s="1" t="n"/>
      <c r="B149" s="1" t="n"/>
      <c r="C149" s="1" t="n"/>
      <c r="D149" s="1" t="n"/>
      <c r="E149" s="181" t="n"/>
      <c r="F149" s="181" t="n"/>
      <c r="G149" s="1" t="n"/>
      <c r="H149" s="1" t="n"/>
      <c r="I149" s="1" t="n"/>
      <c r="J149" s="1" t="n"/>
      <c r="K149" s="181" t="n"/>
      <c r="L149" s="181" t="n"/>
      <c r="M149" s="181" t="n"/>
      <c r="N149" s="1" t="n"/>
      <c r="O149" s="181" t="n"/>
      <c r="P149" s="181" t="n"/>
      <c r="Q149" s="18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row>
    <row r="150" ht="15.75" customHeight="1" s="216">
      <c r="A150" s="1" t="n"/>
      <c r="B150" s="1" t="n"/>
      <c r="C150" s="1" t="n"/>
      <c r="D150" s="1" t="n"/>
      <c r="E150" s="181" t="n"/>
      <c r="F150" s="181" t="n"/>
      <c r="G150" s="1" t="n"/>
      <c r="H150" s="1" t="n"/>
      <c r="I150" s="1" t="n"/>
      <c r="J150" s="1" t="n"/>
      <c r="K150" s="181" t="n"/>
      <c r="L150" s="181" t="n"/>
      <c r="M150" s="181" t="n"/>
      <c r="N150" s="1" t="n"/>
      <c r="O150" s="181" t="n"/>
      <c r="P150" s="181" t="n"/>
      <c r="Q150" s="18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row>
    <row r="151" ht="15.75" customHeight="1" s="216">
      <c r="A151" s="1" t="n"/>
      <c r="B151" s="1" t="n"/>
      <c r="C151" s="1" t="n"/>
      <c r="D151" s="1" t="n"/>
      <c r="E151" s="181" t="n"/>
      <c r="F151" s="181" t="n"/>
      <c r="G151" s="1" t="n"/>
      <c r="H151" s="1" t="n"/>
      <c r="I151" s="1" t="n"/>
      <c r="J151" s="1" t="n"/>
      <c r="K151" s="181" t="n"/>
      <c r="L151" s="181" t="n"/>
      <c r="M151" s="181" t="n"/>
      <c r="N151" s="1" t="n"/>
      <c r="O151" s="181" t="n"/>
      <c r="P151" s="181" t="n"/>
      <c r="Q151" s="18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row>
    <row r="152" ht="15.75" customHeight="1" s="216">
      <c r="A152" s="1" t="n"/>
      <c r="B152" s="1" t="n"/>
      <c r="C152" s="1" t="n"/>
      <c r="D152" s="1" t="n"/>
      <c r="E152" s="181" t="n"/>
      <c r="F152" s="181" t="n"/>
      <c r="G152" s="1" t="n"/>
      <c r="H152" s="1" t="n"/>
      <c r="I152" s="1" t="n"/>
      <c r="J152" s="1" t="n"/>
      <c r="K152" s="181" t="n"/>
      <c r="L152" s="181" t="n"/>
      <c r="M152" s="181" t="n"/>
      <c r="N152" s="1" t="n"/>
      <c r="O152" s="181" t="n"/>
      <c r="P152" s="181" t="n"/>
      <c r="Q152" s="18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row>
    <row r="153" ht="15.75" customHeight="1" s="216">
      <c r="A153" s="1" t="n"/>
      <c r="B153" s="1" t="n"/>
      <c r="C153" s="1" t="n"/>
      <c r="D153" s="1" t="n"/>
      <c r="E153" s="181" t="n"/>
      <c r="F153" s="181" t="n"/>
      <c r="G153" s="1" t="n"/>
      <c r="H153" s="1" t="n"/>
      <c r="I153" s="1" t="n"/>
      <c r="J153" s="1" t="n"/>
      <c r="K153" s="181" t="n"/>
      <c r="L153" s="181" t="n"/>
      <c r="M153" s="181" t="n"/>
      <c r="N153" s="1" t="n"/>
      <c r="O153" s="181" t="n"/>
      <c r="P153" s="181" t="n"/>
      <c r="Q153" s="18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row>
    <row r="154" ht="15.75" customHeight="1" s="216">
      <c r="A154" s="1" t="n"/>
      <c r="B154" s="1" t="n"/>
      <c r="C154" s="1" t="n"/>
      <c r="D154" s="1" t="n"/>
      <c r="E154" s="181" t="n"/>
      <c r="F154" s="181" t="n"/>
      <c r="G154" s="1" t="n"/>
      <c r="H154" s="1" t="n"/>
      <c r="I154" s="1" t="n"/>
      <c r="J154" s="1" t="n"/>
      <c r="K154" s="181" t="n"/>
      <c r="L154" s="181" t="n"/>
      <c r="M154" s="181" t="n"/>
      <c r="N154" s="1" t="n"/>
      <c r="O154" s="181" t="n"/>
      <c r="P154" s="181" t="n"/>
      <c r="Q154" s="18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row>
    <row r="155" ht="15.75" customHeight="1" s="216">
      <c r="A155" s="1" t="n"/>
      <c r="B155" s="1" t="n"/>
      <c r="C155" s="1" t="n"/>
      <c r="D155" s="1" t="n"/>
      <c r="E155" s="181" t="n"/>
      <c r="F155" s="181" t="n"/>
      <c r="G155" s="1" t="n"/>
      <c r="H155" s="1" t="n"/>
      <c r="I155" s="1" t="n"/>
      <c r="J155" s="1" t="n"/>
      <c r="K155" s="181" t="n"/>
      <c r="L155" s="181" t="n"/>
      <c r="M155" s="181" t="n"/>
      <c r="N155" s="1" t="n"/>
      <c r="O155" s="181" t="n"/>
      <c r="P155" s="181" t="n"/>
      <c r="Q155" s="18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row>
    <row r="156" ht="15.75" customHeight="1" s="216">
      <c r="A156" s="1" t="n"/>
      <c r="B156" s="1" t="n"/>
      <c r="C156" s="1" t="n"/>
      <c r="D156" s="1" t="n"/>
      <c r="E156" s="181" t="n"/>
      <c r="F156" s="181" t="n"/>
      <c r="G156" s="1" t="n"/>
      <c r="H156" s="1" t="n"/>
      <c r="I156" s="1" t="n"/>
      <c r="J156" s="1" t="n"/>
      <c r="K156" s="181" t="n"/>
      <c r="L156" s="181" t="n"/>
      <c r="M156" s="181" t="n"/>
      <c r="N156" s="1" t="n"/>
      <c r="O156" s="181" t="n"/>
      <c r="P156" s="181" t="n"/>
      <c r="Q156" s="18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row>
    <row r="157" ht="15.75" customHeight="1" s="216">
      <c r="A157" s="1" t="n"/>
      <c r="B157" s="1" t="n"/>
      <c r="C157" s="1" t="n"/>
      <c r="D157" s="1" t="n"/>
      <c r="E157" s="181" t="n"/>
      <c r="F157" s="181" t="n"/>
      <c r="G157" s="1" t="n"/>
      <c r="H157" s="1" t="n"/>
      <c r="I157" s="1" t="n"/>
      <c r="J157" s="1" t="n"/>
      <c r="K157" s="181" t="n"/>
      <c r="L157" s="181" t="n"/>
      <c r="M157" s="181" t="n"/>
      <c r="N157" s="1" t="n"/>
      <c r="O157" s="181" t="n"/>
      <c r="P157" s="181" t="n"/>
      <c r="Q157" s="18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row>
    <row r="158" ht="15.75" customHeight="1" s="216">
      <c r="A158" s="1" t="n"/>
      <c r="B158" s="1" t="n"/>
      <c r="C158" s="1" t="n"/>
      <c r="D158" s="1" t="n"/>
      <c r="E158" s="181" t="n"/>
      <c r="F158" s="181" t="n"/>
      <c r="G158" s="1" t="n"/>
      <c r="H158" s="1" t="n"/>
      <c r="I158" s="1" t="n"/>
      <c r="J158" s="1" t="n"/>
      <c r="K158" s="181" t="n"/>
      <c r="L158" s="181" t="n"/>
      <c r="M158" s="181" t="n"/>
      <c r="N158" s="1" t="n"/>
      <c r="O158" s="181" t="n"/>
      <c r="P158" s="181" t="n"/>
      <c r="Q158" s="18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row>
    <row r="159" ht="15.75" customHeight="1" s="216">
      <c r="A159" s="1" t="n"/>
      <c r="B159" s="1" t="n"/>
      <c r="C159" s="1" t="n"/>
      <c r="D159" s="1" t="n"/>
      <c r="E159" s="181" t="n"/>
      <c r="F159" s="181" t="n"/>
      <c r="G159" s="1" t="n"/>
      <c r="H159" s="1" t="n"/>
      <c r="I159" s="1" t="n"/>
      <c r="J159" s="1" t="n"/>
      <c r="K159" s="181" t="n"/>
      <c r="L159" s="181" t="n"/>
      <c r="M159" s="181" t="n"/>
      <c r="N159" s="1" t="n"/>
      <c r="O159" s="181" t="n"/>
      <c r="P159" s="181" t="n"/>
      <c r="Q159" s="18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row>
    <row r="160" ht="15.75" customHeight="1" s="216">
      <c r="A160" s="1" t="n"/>
      <c r="B160" s="1" t="n"/>
      <c r="C160" s="1" t="n"/>
      <c r="D160" s="1" t="n"/>
      <c r="E160" s="181" t="n"/>
      <c r="F160" s="181" t="n"/>
      <c r="G160" s="1" t="n"/>
      <c r="H160" s="1" t="n"/>
      <c r="I160" s="1" t="n"/>
      <c r="J160" s="1" t="n"/>
      <c r="K160" s="181" t="n"/>
      <c r="L160" s="181" t="n"/>
      <c r="M160" s="181" t="n"/>
      <c r="N160" s="1" t="n"/>
      <c r="O160" s="181" t="n"/>
      <c r="P160" s="181" t="n"/>
      <c r="Q160" s="18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row>
    <row r="161" ht="15.75" customHeight="1" s="216">
      <c r="A161" s="1" t="n"/>
      <c r="B161" s="1" t="n"/>
      <c r="C161" s="1" t="n"/>
      <c r="D161" s="1" t="n"/>
      <c r="E161" s="181" t="n"/>
      <c r="F161" s="181" t="n"/>
      <c r="G161" s="1" t="n"/>
      <c r="H161" s="1" t="n"/>
      <c r="I161" s="1" t="n"/>
      <c r="J161" s="1" t="n"/>
      <c r="K161" s="181" t="n"/>
      <c r="L161" s="181" t="n"/>
      <c r="M161" s="181" t="n"/>
      <c r="N161" s="1" t="n"/>
      <c r="O161" s="181" t="n"/>
      <c r="P161" s="181" t="n"/>
      <c r="Q161" s="18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row>
    <row r="162" ht="15.75" customHeight="1" s="216">
      <c r="A162" s="1" t="n"/>
      <c r="B162" s="1" t="n"/>
      <c r="C162" s="1" t="n"/>
      <c r="D162" s="1" t="n"/>
      <c r="E162" s="181" t="n"/>
      <c r="F162" s="181" t="n"/>
      <c r="G162" s="1" t="n"/>
      <c r="H162" s="1" t="n"/>
      <c r="I162" s="1" t="n"/>
      <c r="J162" s="1" t="n"/>
      <c r="K162" s="181" t="n"/>
      <c r="L162" s="181" t="n"/>
      <c r="M162" s="181" t="n"/>
      <c r="N162" s="1" t="n"/>
      <c r="O162" s="181" t="n"/>
      <c r="P162" s="181" t="n"/>
      <c r="Q162" s="18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row>
    <row r="163" ht="15.75" customHeight="1" s="216">
      <c r="A163" s="1" t="n"/>
      <c r="B163" s="1" t="n"/>
      <c r="C163" s="1" t="n"/>
      <c r="D163" s="1" t="n"/>
      <c r="E163" s="181" t="n"/>
      <c r="F163" s="181" t="n"/>
      <c r="G163" s="1" t="n"/>
      <c r="H163" s="1" t="n"/>
      <c r="I163" s="1" t="n"/>
      <c r="J163" s="1" t="n"/>
      <c r="K163" s="181" t="n"/>
      <c r="L163" s="181" t="n"/>
      <c r="M163" s="181" t="n"/>
      <c r="N163" s="1" t="n"/>
      <c r="O163" s="181" t="n"/>
      <c r="P163" s="181" t="n"/>
      <c r="Q163" s="18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row>
    <row r="164" ht="15.75" customHeight="1" s="216">
      <c r="A164" s="1" t="n"/>
      <c r="B164" s="1" t="n"/>
      <c r="C164" s="1" t="n"/>
      <c r="D164" s="1" t="n"/>
      <c r="E164" s="181" t="n"/>
      <c r="F164" s="181" t="n"/>
      <c r="G164" s="1" t="n"/>
      <c r="H164" s="1" t="n"/>
      <c r="I164" s="1" t="n"/>
      <c r="J164" s="1" t="n"/>
      <c r="K164" s="181" t="n"/>
      <c r="L164" s="181" t="n"/>
      <c r="M164" s="181" t="n"/>
      <c r="N164" s="1" t="n"/>
      <c r="O164" s="181" t="n"/>
      <c r="P164" s="181" t="n"/>
      <c r="Q164" s="18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row>
    <row r="165" ht="15.75" customHeight="1" s="216">
      <c r="A165" s="1" t="n"/>
      <c r="B165" s="1" t="n"/>
      <c r="C165" s="1" t="n"/>
      <c r="D165" s="1" t="n"/>
      <c r="E165" s="181" t="n"/>
      <c r="F165" s="181" t="n"/>
      <c r="G165" s="1" t="n"/>
      <c r="H165" s="1" t="n"/>
      <c r="I165" s="1" t="n"/>
      <c r="J165" s="1" t="n"/>
      <c r="K165" s="181" t="n"/>
      <c r="L165" s="181" t="n"/>
      <c r="M165" s="181" t="n"/>
      <c r="N165" s="1" t="n"/>
      <c r="O165" s="181" t="n"/>
      <c r="P165" s="181" t="n"/>
      <c r="Q165" s="18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row>
    <row r="166" ht="15.75" customHeight="1" s="216">
      <c r="A166" s="1" t="n"/>
      <c r="B166" s="1" t="n"/>
      <c r="C166" s="1" t="n"/>
      <c r="D166" s="1" t="n"/>
      <c r="E166" s="181" t="n"/>
      <c r="F166" s="181" t="n"/>
      <c r="G166" s="1" t="n"/>
      <c r="H166" s="1" t="n"/>
      <c r="I166" s="1" t="n"/>
      <c r="J166" s="1" t="n"/>
      <c r="K166" s="181" t="n"/>
      <c r="L166" s="181" t="n"/>
      <c r="M166" s="181" t="n"/>
      <c r="N166" s="1" t="n"/>
      <c r="O166" s="181" t="n"/>
      <c r="P166" s="181" t="n"/>
      <c r="Q166" s="18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row>
    <row r="167" ht="15.75" customHeight="1" s="216">
      <c r="A167" s="1" t="n"/>
      <c r="B167" s="1" t="n"/>
      <c r="C167" s="1" t="n"/>
      <c r="D167" s="1" t="n"/>
      <c r="E167" s="181" t="n"/>
      <c r="F167" s="181" t="n"/>
      <c r="G167" s="1" t="n"/>
      <c r="H167" s="1" t="n"/>
      <c r="I167" s="1" t="n"/>
      <c r="J167" s="1" t="n"/>
      <c r="K167" s="181" t="n"/>
      <c r="L167" s="181" t="n"/>
      <c r="M167" s="181" t="n"/>
      <c r="N167" s="1" t="n"/>
      <c r="O167" s="181" t="n"/>
      <c r="P167" s="181" t="n"/>
      <c r="Q167" s="18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row>
    <row r="168" ht="15.75" customHeight="1" s="216">
      <c r="A168" s="1" t="n"/>
      <c r="B168" s="1" t="n"/>
      <c r="C168" s="1" t="n"/>
      <c r="D168" s="1" t="n"/>
      <c r="E168" s="181" t="n"/>
      <c r="F168" s="181" t="n"/>
      <c r="G168" s="1" t="n"/>
      <c r="H168" s="1" t="n"/>
      <c r="I168" s="1" t="n"/>
      <c r="J168" s="1" t="n"/>
      <c r="K168" s="181" t="n"/>
      <c r="L168" s="181" t="n"/>
      <c r="M168" s="181" t="n"/>
      <c r="N168" s="1" t="n"/>
      <c r="O168" s="181" t="n"/>
      <c r="P168" s="181" t="n"/>
      <c r="Q168" s="18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row>
    <row r="169" ht="15.75" customHeight="1" s="216">
      <c r="A169" s="1" t="n"/>
      <c r="B169" s="1" t="n"/>
      <c r="C169" s="1" t="n"/>
      <c r="D169" s="1" t="n"/>
      <c r="E169" s="181" t="n"/>
      <c r="F169" s="181" t="n"/>
      <c r="G169" s="1" t="n"/>
      <c r="H169" s="1" t="n"/>
      <c r="I169" s="1" t="n"/>
      <c r="J169" s="1" t="n"/>
      <c r="K169" s="181" t="n"/>
      <c r="L169" s="181" t="n"/>
      <c r="M169" s="181" t="n"/>
      <c r="N169" s="1" t="n"/>
      <c r="O169" s="181" t="n"/>
      <c r="P169" s="181" t="n"/>
      <c r="Q169" s="18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row>
    <row r="170" ht="15.75" customHeight="1" s="216">
      <c r="A170" s="1" t="n"/>
      <c r="B170" s="1" t="n"/>
      <c r="C170" s="1" t="n"/>
      <c r="D170" s="1" t="n"/>
      <c r="E170" s="181" t="n"/>
      <c r="F170" s="181" t="n"/>
      <c r="G170" s="1" t="n"/>
      <c r="H170" s="1" t="n"/>
      <c r="I170" s="1" t="n"/>
      <c r="J170" s="1" t="n"/>
      <c r="K170" s="181" t="n"/>
      <c r="L170" s="181" t="n"/>
      <c r="M170" s="181" t="n"/>
      <c r="N170" s="1" t="n"/>
      <c r="O170" s="181" t="n"/>
      <c r="P170" s="181" t="n"/>
      <c r="Q170" s="18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row>
    <row r="171" ht="15.75" customHeight="1" s="216">
      <c r="A171" s="1" t="n"/>
      <c r="B171" s="1" t="n"/>
      <c r="C171" s="1" t="n"/>
      <c r="D171" s="1" t="n"/>
      <c r="E171" s="181" t="n"/>
      <c r="F171" s="181" t="n"/>
      <c r="G171" s="1" t="n"/>
      <c r="H171" s="1" t="n"/>
      <c r="I171" s="1" t="n"/>
      <c r="J171" s="1" t="n"/>
      <c r="K171" s="181" t="n"/>
      <c r="L171" s="181" t="n"/>
      <c r="M171" s="181" t="n"/>
      <c r="N171" s="1" t="n"/>
      <c r="O171" s="181" t="n"/>
      <c r="P171" s="181" t="n"/>
      <c r="Q171" s="18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row>
    <row r="172" ht="15.75" customHeight="1" s="216">
      <c r="A172" s="1" t="n"/>
      <c r="B172" s="1" t="n"/>
      <c r="C172" s="1" t="n"/>
      <c r="D172" s="1" t="n"/>
      <c r="E172" s="181" t="n"/>
      <c r="F172" s="181" t="n"/>
      <c r="G172" s="1" t="n"/>
      <c r="H172" s="1" t="n"/>
      <c r="I172" s="1" t="n"/>
      <c r="J172" s="1" t="n"/>
      <c r="K172" s="181" t="n"/>
      <c r="L172" s="181" t="n"/>
      <c r="M172" s="181" t="n"/>
      <c r="N172" s="1" t="n"/>
      <c r="O172" s="181" t="n"/>
      <c r="P172" s="181" t="n"/>
      <c r="Q172" s="18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row>
    <row r="173" ht="15.75" customHeight="1" s="216">
      <c r="A173" s="1" t="n"/>
      <c r="B173" s="1" t="n"/>
      <c r="C173" s="1" t="n"/>
      <c r="D173" s="1" t="n"/>
      <c r="E173" s="181" t="n"/>
      <c r="F173" s="181" t="n"/>
      <c r="G173" s="1" t="n"/>
      <c r="H173" s="1" t="n"/>
      <c r="I173" s="1" t="n"/>
      <c r="J173" s="1" t="n"/>
      <c r="K173" s="181" t="n"/>
      <c r="L173" s="181" t="n"/>
      <c r="M173" s="181" t="n"/>
      <c r="N173" s="1" t="n"/>
      <c r="O173" s="181" t="n"/>
      <c r="P173" s="181" t="n"/>
      <c r="Q173" s="18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row>
    <row r="174" ht="15.75" customHeight="1" s="216">
      <c r="A174" s="1" t="n"/>
      <c r="B174" s="1" t="n"/>
      <c r="C174" s="1" t="n"/>
      <c r="D174" s="1" t="n"/>
      <c r="E174" s="181" t="n"/>
      <c r="F174" s="181" t="n"/>
      <c r="G174" s="1" t="n"/>
      <c r="H174" s="1" t="n"/>
      <c r="I174" s="1" t="n"/>
      <c r="J174" s="1" t="n"/>
      <c r="K174" s="181" t="n"/>
      <c r="L174" s="181" t="n"/>
      <c r="M174" s="181" t="n"/>
      <c r="N174" s="1" t="n"/>
      <c r="O174" s="181" t="n"/>
      <c r="P174" s="181" t="n"/>
      <c r="Q174" s="18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row>
    <row r="175" ht="15.75" customHeight="1" s="216">
      <c r="A175" s="1" t="n"/>
      <c r="B175" s="1" t="n"/>
      <c r="C175" s="1" t="n"/>
      <c r="D175" s="1" t="n"/>
      <c r="E175" s="181" t="n"/>
      <c r="F175" s="181" t="n"/>
      <c r="G175" s="1" t="n"/>
      <c r="H175" s="1" t="n"/>
      <c r="I175" s="1" t="n"/>
      <c r="J175" s="1" t="n"/>
      <c r="K175" s="181" t="n"/>
      <c r="L175" s="181" t="n"/>
      <c r="M175" s="181" t="n"/>
      <c r="N175" s="1" t="n"/>
      <c r="O175" s="181" t="n"/>
      <c r="P175" s="181" t="n"/>
      <c r="Q175" s="18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row>
    <row r="176" ht="15.75" customHeight="1" s="216">
      <c r="A176" s="1" t="n"/>
      <c r="B176" s="1" t="n"/>
      <c r="C176" s="1" t="n"/>
      <c r="D176" s="1" t="n"/>
      <c r="E176" s="181" t="n"/>
      <c r="F176" s="181" t="n"/>
      <c r="G176" s="1" t="n"/>
      <c r="H176" s="1" t="n"/>
      <c r="I176" s="1" t="n"/>
      <c r="J176" s="1" t="n"/>
      <c r="K176" s="181" t="n"/>
      <c r="L176" s="181" t="n"/>
      <c r="M176" s="181" t="n"/>
      <c r="N176" s="1" t="n"/>
      <c r="O176" s="181" t="n"/>
      <c r="P176" s="181" t="n"/>
      <c r="Q176" s="18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row>
    <row r="177" ht="15.75" customHeight="1" s="216">
      <c r="A177" s="1" t="n"/>
      <c r="B177" s="1" t="n"/>
      <c r="C177" s="1" t="n"/>
      <c r="D177" s="1" t="n"/>
      <c r="E177" s="181" t="n"/>
      <c r="F177" s="181" t="n"/>
      <c r="G177" s="1" t="n"/>
      <c r="H177" s="1" t="n"/>
      <c r="I177" s="1" t="n"/>
      <c r="J177" s="1" t="n"/>
      <c r="K177" s="181" t="n"/>
      <c r="L177" s="181" t="n"/>
      <c r="M177" s="181" t="n"/>
      <c r="N177" s="1" t="n"/>
      <c r="O177" s="181" t="n"/>
      <c r="P177" s="181" t="n"/>
      <c r="Q177" s="18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row>
    <row r="178" ht="15.75" customHeight="1" s="216">
      <c r="A178" s="1" t="n"/>
      <c r="B178" s="1" t="n"/>
      <c r="C178" s="1" t="n"/>
      <c r="D178" s="1" t="n"/>
      <c r="E178" s="181" t="n"/>
      <c r="F178" s="181" t="n"/>
      <c r="G178" s="1" t="n"/>
      <c r="H178" s="1" t="n"/>
      <c r="I178" s="1" t="n"/>
      <c r="J178" s="1" t="n"/>
      <c r="K178" s="181" t="n"/>
      <c r="L178" s="181" t="n"/>
      <c r="M178" s="181" t="n"/>
      <c r="N178" s="1" t="n"/>
      <c r="O178" s="181" t="n"/>
      <c r="P178" s="181" t="n"/>
      <c r="Q178" s="18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row>
    <row r="179" ht="15.75" customHeight="1" s="216">
      <c r="A179" s="1" t="n"/>
      <c r="B179" s="1" t="n"/>
      <c r="C179" s="1" t="n"/>
      <c r="D179" s="1" t="n"/>
      <c r="E179" s="181" t="n"/>
      <c r="F179" s="181" t="n"/>
      <c r="G179" s="1" t="n"/>
      <c r="H179" s="1" t="n"/>
      <c r="I179" s="1" t="n"/>
      <c r="J179" s="1" t="n"/>
      <c r="K179" s="181" t="n"/>
      <c r="L179" s="181" t="n"/>
      <c r="M179" s="181" t="n"/>
      <c r="N179" s="1" t="n"/>
      <c r="O179" s="181" t="n"/>
      <c r="P179" s="181" t="n"/>
      <c r="Q179" s="18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row>
    <row r="180" ht="15.75" customHeight="1" s="216">
      <c r="A180" s="1" t="n"/>
      <c r="B180" s="1" t="n"/>
      <c r="C180" s="1" t="n"/>
      <c r="D180" s="1" t="n"/>
      <c r="E180" s="181" t="n"/>
      <c r="F180" s="181" t="n"/>
      <c r="G180" s="1" t="n"/>
      <c r="H180" s="1" t="n"/>
      <c r="I180" s="1" t="n"/>
      <c r="J180" s="1" t="n"/>
      <c r="K180" s="181" t="n"/>
      <c r="L180" s="181" t="n"/>
      <c r="M180" s="181" t="n"/>
      <c r="N180" s="1" t="n"/>
      <c r="O180" s="181" t="n"/>
      <c r="P180" s="181" t="n"/>
      <c r="Q180" s="18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row>
    <row r="181" ht="15.75" customHeight="1" s="216">
      <c r="A181" s="1" t="n"/>
      <c r="B181" s="1" t="n"/>
      <c r="C181" s="1" t="n"/>
      <c r="D181" s="1" t="n"/>
      <c r="E181" s="181" t="n"/>
      <c r="F181" s="181" t="n"/>
      <c r="G181" s="1" t="n"/>
      <c r="H181" s="1" t="n"/>
      <c r="I181" s="1" t="n"/>
      <c r="J181" s="1" t="n"/>
      <c r="K181" s="181" t="n"/>
      <c r="L181" s="181" t="n"/>
      <c r="M181" s="181" t="n"/>
      <c r="N181" s="1" t="n"/>
      <c r="O181" s="181" t="n"/>
      <c r="P181" s="181" t="n"/>
      <c r="Q181" s="18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row>
    <row r="182" ht="15.75" customHeight="1" s="216">
      <c r="A182" s="1" t="n"/>
      <c r="B182" s="1" t="n"/>
      <c r="C182" s="1" t="n"/>
      <c r="D182" s="1" t="n"/>
      <c r="E182" s="181" t="n"/>
      <c r="F182" s="181" t="n"/>
      <c r="G182" s="1" t="n"/>
      <c r="H182" s="1" t="n"/>
      <c r="I182" s="1" t="n"/>
      <c r="J182" s="1" t="n"/>
      <c r="K182" s="181" t="n"/>
      <c r="L182" s="181" t="n"/>
      <c r="M182" s="181" t="n"/>
      <c r="N182" s="1" t="n"/>
      <c r="O182" s="181" t="n"/>
      <c r="P182" s="181" t="n"/>
      <c r="Q182" s="18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row>
    <row r="183" ht="15.75" customHeight="1" s="216">
      <c r="A183" s="1" t="n"/>
      <c r="B183" s="1" t="n"/>
      <c r="C183" s="1" t="n"/>
      <c r="D183" s="1" t="n"/>
      <c r="E183" s="181" t="n"/>
      <c r="F183" s="181" t="n"/>
      <c r="G183" s="1" t="n"/>
      <c r="H183" s="1" t="n"/>
      <c r="I183" s="1" t="n"/>
      <c r="J183" s="1" t="n"/>
      <c r="K183" s="181" t="n"/>
      <c r="L183" s="181" t="n"/>
      <c r="M183" s="181" t="n"/>
      <c r="N183" s="1" t="n"/>
      <c r="O183" s="181" t="n"/>
      <c r="P183" s="181" t="n"/>
      <c r="Q183" s="18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row>
    <row r="184" ht="15.75" customHeight="1" s="216">
      <c r="A184" s="1" t="n"/>
      <c r="B184" s="1" t="n"/>
      <c r="C184" s="1" t="n"/>
      <c r="D184" s="1" t="n"/>
      <c r="E184" s="181" t="n"/>
      <c r="F184" s="181" t="n"/>
      <c r="G184" s="1" t="n"/>
      <c r="H184" s="1" t="n"/>
      <c r="I184" s="1" t="n"/>
      <c r="J184" s="1" t="n"/>
      <c r="K184" s="181" t="n"/>
      <c r="L184" s="181" t="n"/>
      <c r="M184" s="181" t="n"/>
      <c r="N184" s="1" t="n"/>
      <c r="O184" s="181" t="n"/>
      <c r="P184" s="181" t="n"/>
      <c r="Q184" s="18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row>
    <row r="185" ht="15.75" customHeight="1" s="216">
      <c r="A185" s="1" t="n"/>
      <c r="B185" s="1" t="n"/>
      <c r="C185" s="1" t="n"/>
      <c r="D185" s="1" t="n"/>
      <c r="E185" s="181" t="n"/>
      <c r="F185" s="181" t="n"/>
      <c r="G185" s="1" t="n"/>
      <c r="H185" s="1" t="n"/>
      <c r="I185" s="1" t="n"/>
      <c r="J185" s="1" t="n"/>
      <c r="K185" s="181" t="n"/>
      <c r="L185" s="181" t="n"/>
      <c r="M185" s="181" t="n"/>
      <c r="N185" s="1" t="n"/>
      <c r="O185" s="181" t="n"/>
      <c r="P185" s="181" t="n"/>
      <c r="Q185" s="18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row>
    <row r="186" ht="15.75" customHeight="1" s="216">
      <c r="A186" s="1" t="n"/>
      <c r="B186" s="1" t="n"/>
      <c r="C186" s="1" t="n"/>
      <c r="D186" s="1" t="n"/>
      <c r="E186" s="181" t="n"/>
      <c r="F186" s="181" t="n"/>
      <c r="G186" s="1" t="n"/>
      <c r="H186" s="1" t="n"/>
      <c r="I186" s="1" t="n"/>
      <c r="J186" s="1" t="n"/>
      <c r="K186" s="181" t="n"/>
      <c r="L186" s="181" t="n"/>
      <c r="M186" s="181" t="n"/>
      <c r="N186" s="1" t="n"/>
      <c r="O186" s="181" t="n"/>
      <c r="P186" s="181" t="n"/>
      <c r="Q186" s="18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row>
    <row r="187" ht="15.75" customHeight="1" s="216">
      <c r="A187" s="1" t="n"/>
      <c r="B187" s="1" t="n"/>
      <c r="C187" s="1" t="n"/>
      <c r="D187" s="1" t="n"/>
      <c r="E187" s="181" t="n"/>
      <c r="F187" s="181" t="n"/>
      <c r="G187" s="1" t="n"/>
      <c r="H187" s="1" t="n"/>
      <c r="I187" s="1" t="n"/>
      <c r="J187" s="1" t="n"/>
      <c r="K187" s="181" t="n"/>
      <c r="L187" s="181" t="n"/>
      <c r="M187" s="181" t="n"/>
      <c r="N187" s="1" t="n"/>
      <c r="O187" s="181" t="n"/>
      <c r="P187" s="181" t="n"/>
      <c r="Q187" s="18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row>
    <row r="188" ht="15.75" customHeight="1" s="216">
      <c r="A188" s="1" t="n"/>
      <c r="B188" s="1" t="n"/>
      <c r="C188" s="1" t="n"/>
      <c r="D188" s="1" t="n"/>
      <c r="E188" s="181" t="n"/>
      <c r="F188" s="181" t="n"/>
      <c r="G188" s="1" t="n"/>
      <c r="H188" s="1" t="n"/>
      <c r="I188" s="1" t="n"/>
      <c r="J188" s="1" t="n"/>
      <c r="K188" s="181" t="n"/>
      <c r="L188" s="181" t="n"/>
      <c r="M188" s="181" t="n"/>
      <c r="N188" s="1" t="n"/>
      <c r="O188" s="181" t="n"/>
      <c r="P188" s="181" t="n"/>
      <c r="Q188" s="18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row>
    <row r="189" ht="15.75" customHeight="1" s="216">
      <c r="A189" s="1" t="n"/>
      <c r="B189" s="1" t="n"/>
      <c r="C189" s="1" t="n"/>
      <c r="D189" s="1" t="n"/>
      <c r="E189" s="181" t="n"/>
      <c r="F189" s="181" t="n"/>
      <c r="G189" s="1" t="n"/>
      <c r="H189" s="1" t="n"/>
      <c r="I189" s="1" t="n"/>
      <c r="J189" s="1" t="n"/>
      <c r="K189" s="181" t="n"/>
      <c r="L189" s="181" t="n"/>
      <c r="M189" s="181" t="n"/>
      <c r="N189" s="1" t="n"/>
      <c r="O189" s="181" t="n"/>
      <c r="P189" s="181" t="n"/>
      <c r="Q189" s="18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row>
    <row r="190" ht="15.75" customHeight="1" s="216">
      <c r="A190" s="1" t="n"/>
      <c r="B190" s="1" t="n"/>
      <c r="C190" s="1" t="n"/>
      <c r="D190" s="1" t="n"/>
      <c r="E190" s="181" t="n"/>
      <c r="F190" s="181" t="n"/>
      <c r="G190" s="1" t="n"/>
      <c r="H190" s="1" t="n"/>
      <c r="I190" s="1" t="n"/>
      <c r="J190" s="1" t="n"/>
      <c r="K190" s="181" t="n"/>
      <c r="L190" s="181" t="n"/>
      <c r="M190" s="181" t="n"/>
      <c r="N190" s="1" t="n"/>
      <c r="O190" s="181" t="n"/>
      <c r="P190" s="181" t="n"/>
      <c r="Q190" s="18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row>
    <row r="191" ht="15.75" customHeight="1" s="216">
      <c r="A191" s="1" t="n"/>
      <c r="B191" s="1" t="n"/>
      <c r="C191" s="1" t="n"/>
      <c r="D191" s="1" t="n"/>
      <c r="E191" s="181" t="n"/>
      <c r="F191" s="181" t="n"/>
      <c r="G191" s="1" t="n"/>
      <c r="H191" s="1" t="n"/>
      <c r="I191" s="1" t="n"/>
      <c r="J191" s="1" t="n"/>
      <c r="K191" s="181" t="n"/>
      <c r="L191" s="181" t="n"/>
      <c r="M191" s="181" t="n"/>
      <c r="N191" s="1" t="n"/>
      <c r="O191" s="181" t="n"/>
      <c r="P191" s="181" t="n"/>
      <c r="Q191" s="18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row>
    <row r="192" ht="15.75" customHeight="1" s="216">
      <c r="A192" s="1" t="n"/>
      <c r="B192" s="1" t="n"/>
      <c r="C192" s="1" t="n"/>
      <c r="D192" s="1" t="n"/>
      <c r="E192" s="181" t="n"/>
      <c r="F192" s="181" t="n"/>
      <c r="G192" s="1" t="n"/>
      <c r="H192" s="1" t="n"/>
      <c r="I192" s="1" t="n"/>
      <c r="J192" s="1" t="n"/>
      <c r="K192" s="181" t="n"/>
      <c r="L192" s="181" t="n"/>
      <c r="M192" s="181" t="n"/>
      <c r="N192" s="1" t="n"/>
      <c r="O192" s="181" t="n"/>
      <c r="P192" s="181" t="n"/>
      <c r="Q192" s="18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row>
    <row r="193" ht="15.75" customHeight="1" s="216">
      <c r="A193" s="1" t="n"/>
      <c r="B193" s="1" t="n"/>
      <c r="C193" s="1" t="n"/>
      <c r="D193" s="1" t="n"/>
      <c r="E193" s="181" t="n"/>
      <c r="F193" s="181" t="n"/>
      <c r="G193" s="1" t="n"/>
      <c r="H193" s="1" t="n"/>
      <c r="I193" s="1" t="n"/>
      <c r="J193" s="1" t="n"/>
      <c r="K193" s="181" t="n"/>
      <c r="L193" s="181" t="n"/>
      <c r="M193" s="181" t="n"/>
      <c r="N193" s="1" t="n"/>
      <c r="O193" s="181" t="n"/>
      <c r="P193" s="181" t="n"/>
      <c r="Q193" s="18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row>
    <row r="194" ht="15.75" customHeight="1" s="216">
      <c r="A194" s="1" t="n"/>
      <c r="B194" s="1" t="n"/>
      <c r="C194" s="1" t="n"/>
      <c r="D194" s="1" t="n"/>
      <c r="E194" s="181" t="n"/>
      <c r="F194" s="181" t="n"/>
      <c r="G194" s="1" t="n"/>
      <c r="H194" s="1" t="n"/>
      <c r="I194" s="1" t="n"/>
      <c r="J194" s="1" t="n"/>
      <c r="K194" s="181" t="n"/>
      <c r="L194" s="181" t="n"/>
      <c r="M194" s="181" t="n"/>
      <c r="N194" s="1" t="n"/>
      <c r="O194" s="181" t="n"/>
      <c r="P194" s="181" t="n"/>
      <c r="Q194" s="18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row>
    <row r="195" ht="15.75" customHeight="1" s="216">
      <c r="A195" s="1" t="n"/>
      <c r="B195" s="1" t="n"/>
      <c r="C195" s="1" t="n"/>
      <c r="D195" s="1" t="n"/>
      <c r="E195" s="181" t="n"/>
      <c r="F195" s="181" t="n"/>
      <c r="G195" s="1" t="n"/>
      <c r="H195" s="1" t="n"/>
      <c r="I195" s="1" t="n"/>
      <c r="J195" s="1" t="n"/>
      <c r="K195" s="181" t="n"/>
      <c r="L195" s="181" t="n"/>
      <c r="M195" s="181" t="n"/>
      <c r="N195" s="1" t="n"/>
      <c r="O195" s="181" t="n"/>
      <c r="P195" s="181" t="n"/>
      <c r="Q195" s="18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row>
    <row r="196" ht="15.75" customHeight="1" s="216">
      <c r="A196" s="1" t="n"/>
      <c r="B196" s="1" t="n"/>
      <c r="C196" s="1" t="n"/>
      <c r="D196" s="1" t="n"/>
      <c r="E196" s="181" t="n"/>
      <c r="F196" s="181" t="n"/>
      <c r="G196" s="1" t="n"/>
      <c r="H196" s="1" t="n"/>
      <c r="I196" s="1" t="n"/>
      <c r="J196" s="1" t="n"/>
      <c r="K196" s="181" t="n"/>
      <c r="L196" s="181" t="n"/>
      <c r="M196" s="181" t="n"/>
      <c r="N196" s="1" t="n"/>
      <c r="O196" s="181" t="n"/>
      <c r="P196" s="181" t="n"/>
      <c r="Q196" s="18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row>
    <row r="197" ht="15.75" customHeight="1" s="216">
      <c r="A197" s="1" t="n"/>
      <c r="B197" s="1" t="n"/>
      <c r="C197" s="1" t="n"/>
      <c r="D197" s="1" t="n"/>
      <c r="E197" s="181" t="n"/>
      <c r="F197" s="181" t="n"/>
      <c r="G197" s="1" t="n"/>
      <c r="H197" s="1" t="n"/>
      <c r="I197" s="1" t="n"/>
      <c r="J197" s="1" t="n"/>
      <c r="K197" s="181" t="n"/>
      <c r="L197" s="181" t="n"/>
      <c r="M197" s="181" t="n"/>
      <c r="N197" s="1" t="n"/>
      <c r="O197" s="181" t="n"/>
      <c r="P197" s="181" t="n"/>
      <c r="Q197" s="18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row>
    <row r="198" ht="15.75" customHeight="1" s="216">
      <c r="A198" s="1" t="n"/>
      <c r="B198" s="1" t="n"/>
      <c r="C198" s="1" t="n"/>
      <c r="D198" s="1" t="n"/>
      <c r="E198" s="181" t="n"/>
      <c r="F198" s="181" t="n"/>
      <c r="G198" s="1" t="n"/>
      <c r="H198" s="1" t="n"/>
      <c r="I198" s="1" t="n"/>
      <c r="J198" s="1" t="n"/>
      <c r="K198" s="181" t="n"/>
      <c r="L198" s="181" t="n"/>
      <c r="M198" s="181" t="n"/>
      <c r="N198" s="1" t="n"/>
      <c r="O198" s="181" t="n"/>
      <c r="P198" s="181" t="n"/>
      <c r="Q198" s="18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row>
    <row r="199" ht="15.75" customHeight="1" s="216">
      <c r="A199" s="1" t="n"/>
      <c r="B199" s="1" t="n"/>
      <c r="C199" s="1" t="n"/>
      <c r="D199" s="1" t="n"/>
      <c r="E199" s="181" t="n"/>
      <c r="F199" s="181" t="n"/>
      <c r="G199" s="1" t="n"/>
      <c r="H199" s="1" t="n"/>
      <c r="I199" s="1" t="n"/>
      <c r="J199" s="1" t="n"/>
      <c r="K199" s="181" t="n"/>
      <c r="L199" s="181" t="n"/>
      <c r="M199" s="181" t="n"/>
      <c r="N199" s="1" t="n"/>
      <c r="O199" s="181" t="n"/>
      <c r="P199" s="181" t="n"/>
      <c r="Q199" s="18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row>
    <row r="200" ht="15.75" customHeight="1" s="216">
      <c r="A200" s="1" t="n"/>
      <c r="B200" s="1" t="n"/>
      <c r="C200" s="1" t="n"/>
      <c r="D200" s="1" t="n"/>
      <c r="E200" s="181" t="n"/>
      <c r="F200" s="181" t="n"/>
      <c r="G200" s="1" t="n"/>
      <c r="H200" s="1" t="n"/>
      <c r="I200" s="1" t="n"/>
      <c r="J200" s="1" t="n"/>
      <c r="K200" s="181" t="n"/>
      <c r="L200" s="181" t="n"/>
      <c r="M200" s="181" t="n"/>
      <c r="N200" s="1" t="n"/>
      <c r="O200" s="181" t="n"/>
      <c r="P200" s="181" t="n"/>
      <c r="Q200" s="18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row>
    <row r="201" ht="15.75" customHeight="1" s="216">
      <c r="A201" s="1" t="n"/>
      <c r="B201" s="1" t="n"/>
      <c r="C201" s="1" t="n"/>
      <c r="D201" s="1" t="n"/>
      <c r="E201" s="181" t="n"/>
      <c r="F201" s="181" t="n"/>
      <c r="G201" s="1" t="n"/>
      <c r="H201" s="1" t="n"/>
      <c r="I201" s="1" t="n"/>
      <c r="J201" s="1" t="n"/>
      <c r="K201" s="181" t="n"/>
      <c r="L201" s="181" t="n"/>
      <c r="M201" s="181" t="n"/>
      <c r="N201" s="1" t="n"/>
      <c r="O201" s="181" t="n"/>
      <c r="P201" s="181" t="n"/>
      <c r="Q201" s="18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row>
    <row r="202" ht="15.75" customHeight="1" s="216">
      <c r="A202" s="1" t="n"/>
      <c r="B202" s="1" t="n"/>
      <c r="C202" s="1" t="n"/>
      <c r="D202" s="1" t="n"/>
      <c r="E202" s="181" t="n"/>
      <c r="F202" s="181" t="n"/>
      <c r="G202" s="1" t="n"/>
      <c r="H202" s="1" t="n"/>
      <c r="I202" s="1" t="n"/>
      <c r="J202" s="1" t="n"/>
      <c r="K202" s="181" t="n"/>
      <c r="L202" s="181" t="n"/>
      <c r="M202" s="181" t="n"/>
      <c r="N202" s="1" t="n"/>
      <c r="O202" s="181" t="n"/>
      <c r="P202" s="181" t="n"/>
      <c r="Q202" s="18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row>
    <row r="203" ht="15.75" customHeight="1" s="216">
      <c r="A203" s="1" t="n"/>
      <c r="B203" s="1" t="n"/>
      <c r="C203" s="1" t="n"/>
      <c r="D203" s="1" t="n"/>
      <c r="E203" s="181" t="n"/>
      <c r="F203" s="181" t="n"/>
      <c r="G203" s="1" t="n"/>
      <c r="H203" s="1" t="n"/>
      <c r="I203" s="1" t="n"/>
      <c r="J203" s="1" t="n"/>
      <c r="K203" s="181" t="n"/>
      <c r="L203" s="181" t="n"/>
      <c r="M203" s="181" t="n"/>
      <c r="N203" s="1" t="n"/>
      <c r="O203" s="181" t="n"/>
      <c r="P203" s="181" t="n"/>
      <c r="Q203" s="18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row>
    <row r="204" ht="15.75" customHeight="1" s="216">
      <c r="A204" s="1" t="n"/>
      <c r="B204" s="1" t="n"/>
      <c r="C204" s="1" t="n"/>
      <c r="D204" s="1" t="n"/>
      <c r="E204" s="181" t="n"/>
      <c r="F204" s="181" t="n"/>
      <c r="G204" s="1" t="n"/>
      <c r="H204" s="1" t="n"/>
      <c r="I204" s="1" t="n"/>
      <c r="J204" s="1" t="n"/>
      <c r="K204" s="181" t="n"/>
      <c r="L204" s="181" t="n"/>
      <c r="M204" s="181" t="n"/>
      <c r="N204" s="1" t="n"/>
      <c r="O204" s="181" t="n"/>
      <c r="P204" s="181" t="n"/>
      <c r="Q204" s="18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row>
    <row r="205" ht="15.75" customHeight="1" s="216">
      <c r="A205" s="1" t="n"/>
      <c r="B205" s="1" t="n"/>
      <c r="C205" s="1" t="n"/>
      <c r="D205" s="1" t="n"/>
      <c r="E205" s="181" t="n"/>
      <c r="F205" s="181" t="n"/>
      <c r="G205" s="1" t="n"/>
      <c r="H205" s="1" t="n"/>
      <c r="I205" s="1" t="n"/>
      <c r="J205" s="1" t="n"/>
      <c r="K205" s="181" t="n"/>
      <c r="L205" s="181" t="n"/>
      <c r="M205" s="181" t="n"/>
      <c r="N205" s="1" t="n"/>
      <c r="O205" s="181" t="n"/>
      <c r="P205" s="181" t="n"/>
      <c r="Q205" s="18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row>
    <row r="206" ht="15.75" customHeight="1" s="216">
      <c r="A206" s="1" t="n"/>
      <c r="B206" s="1" t="n"/>
      <c r="C206" s="1" t="n"/>
      <c r="D206" s="1" t="n"/>
      <c r="E206" s="181" t="n"/>
      <c r="F206" s="181" t="n"/>
      <c r="G206" s="1" t="n"/>
      <c r="H206" s="1" t="n"/>
      <c r="I206" s="1" t="n"/>
      <c r="J206" s="1" t="n"/>
      <c r="K206" s="181" t="n"/>
      <c r="L206" s="181" t="n"/>
      <c r="M206" s="181" t="n"/>
      <c r="N206" s="1" t="n"/>
      <c r="O206" s="181" t="n"/>
      <c r="P206" s="181" t="n"/>
      <c r="Q206" s="18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row>
    <row r="207" ht="15.75" customHeight="1" s="216">
      <c r="A207" s="1" t="n"/>
      <c r="B207" s="1" t="n"/>
      <c r="C207" s="1" t="n"/>
      <c r="D207" s="1" t="n"/>
      <c r="E207" s="181" t="n"/>
      <c r="F207" s="181" t="n"/>
      <c r="G207" s="1" t="n"/>
      <c r="H207" s="1" t="n"/>
      <c r="I207" s="1" t="n"/>
      <c r="J207" s="1" t="n"/>
      <c r="K207" s="181" t="n"/>
      <c r="L207" s="181" t="n"/>
      <c r="M207" s="181" t="n"/>
      <c r="N207" s="1" t="n"/>
      <c r="O207" s="181" t="n"/>
      <c r="P207" s="181" t="n"/>
      <c r="Q207" s="18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row>
    <row r="208" ht="15.75" customHeight="1" s="216">
      <c r="A208" s="1" t="n"/>
      <c r="B208" s="1" t="n"/>
      <c r="C208" s="1" t="n"/>
      <c r="D208" s="1" t="n"/>
      <c r="E208" s="181" t="n"/>
      <c r="F208" s="181" t="n"/>
      <c r="G208" s="1" t="n"/>
      <c r="H208" s="1" t="n"/>
      <c r="I208" s="1" t="n"/>
      <c r="J208" s="1" t="n"/>
      <c r="K208" s="181" t="n"/>
      <c r="L208" s="181" t="n"/>
      <c r="M208" s="181" t="n"/>
      <c r="N208" s="1" t="n"/>
      <c r="O208" s="181" t="n"/>
      <c r="P208" s="181" t="n"/>
      <c r="Q208" s="18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row>
    <row r="209" ht="15.75" customHeight="1" s="216">
      <c r="A209" s="1" t="n"/>
      <c r="B209" s="1" t="n"/>
      <c r="C209" s="1" t="n"/>
      <c r="D209" s="1" t="n"/>
      <c r="E209" s="181" t="n"/>
      <c r="F209" s="181" t="n"/>
      <c r="G209" s="1" t="n"/>
      <c r="H209" s="1" t="n"/>
      <c r="I209" s="1" t="n"/>
      <c r="J209" s="1" t="n"/>
      <c r="K209" s="181" t="n"/>
      <c r="L209" s="181" t="n"/>
      <c r="M209" s="181" t="n"/>
      <c r="N209" s="1" t="n"/>
      <c r="O209" s="181" t="n"/>
      <c r="P209" s="181" t="n"/>
      <c r="Q209" s="18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row>
    <row r="210" ht="15.75" customHeight="1" s="216">
      <c r="A210" s="1" t="n"/>
      <c r="B210" s="1" t="n"/>
      <c r="C210" s="1" t="n"/>
      <c r="D210" s="1" t="n"/>
      <c r="E210" s="181" t="n"/>
      <c r="F210" s="181" t="n"/>
      <c r="G210" s="1" t="n"/>
      <c r="H210" s="1" t="n"/>
      <c r="I210" s="1" t="n"/>
      <c r="J210" s="1" t="n"/>
      <c r="K210" s="181" t="n"/>
      <c r="L210" s="181" t="n"/>
      <c r="M210" s="181" t="n"/>
      <c r="N210" s="1" t="n"/>
      <c r="O210" s="181" t="n"/>
      <c r="P210" s="181" t="n"/>
      <c r="Q210" s="18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row>
    <row r="211" ht="15.75" customHeight="1" s="216">
      <c r="A211" s="1" t="n"/>
      <c r="B211" s="1" t="n"/>
      <c r="C211" s="1" t="n"/>
      <c r="D211" s="1" t="n"/>
      <c r="E211" s="181" t="n"/>
      <c r="F211" s="181" t="n"/>
      <c r="G211" s="1" t="n"/>
      <c r="H211" s="1" t="n"/>
      <c r="I211" s="1" t="n"/>
      <c r="J211" s="1" t="n"/>
      <c r="K211" s="181" t="n"/>
      <c r="L211" s="181" t="n"/>
      <c r="M211" s="181" t="n"/>
      <c r="N211" s="1" t="n"/>
      <c r="O211" s="181" t="n"/>
      <c r="P211" s="181" t="n"/>
      <c r="Q211" s="18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row>
    <row r="212" ht="15.75" customHeight="1" s="216">
      <c r="A212" s="1" t="n"/>
      <c r="B212" s="1" t="n"/>
      <c r="C212" s="1" t="n"/>
      <c r="D212" s="1" t="n"/>
      <c r="E212" s="181" t="n"/>
      <c r="F212" s="181" t="n"/>
      <c r="G212" s="1" t="n"/>
      <c r="H212" s="1" t="n"/>
      <c r="I212" s="1" t="n"/>
      <c r="J212" s="1" t="n"/>
      <c r="K212" s="181" t="n"/>
      <c r="L212" s="181" t="n"/>
      <c r="M212" s="181" t="n"/>
      <c r="N212" s="1" t="n"/>
      <c r="O212" s="181" t="n"/>
      <c r="P212" s="181" t="n"/>
      <c r="Q212" s="18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row>
    <row r="213" ht="15.75" customHeight="1" s="216">
      <c r="A213" s="1" t="n"/>
      <c r="B213" s="1" t="n"/>
      <c r="C213" s="1" t="n"/>
      <c r="D213" s="1" t="n"/>
      <c r="E213" s="181" t="n"/>
      <c r="F213" s="181" t="n"/>
      <c r="G213" s="1" t="n"/>
      <c r="H213" s="1" t="n"/>
      <c r="I213" s="1" t="n"/>
      <c r="J213" s="1" t="n"/>
      <c r="K213" s="181" t="n"/>
      <c r="L213" s="181" t="n"/>
      <c r="M213" s="181" t="n"/>
      <c r="N213" s="1" t="n"/>
      <c r="O213" s="181" t="n"/>
      <c r="P213" s="181" t="n"/>
      <c r="Q213" s="18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row>
    <row r="214" ht="15.75" customHeight="1" s="216">
      <c r="A214" s="1" t="n"/>
      <c r="B214" s="1" t="n"/>
      <c r="C214" s="1" t="n"/>
      <c r="D214" s="1" t="n"/>
      <c r="E214" s="181" t="n"/>
      <c r="F214" s="181" t="n"/>
      <c r="G214" s="1" t="n"/>
      <c r="H214" s="1" t="n"/>
      <c r="I214" s="1" t="n"/>
      <c r="J214" s="1" t="n"/>
      <c r="K214" s="181" t="n"/>
      <c r="L214" s="181" t="n"/>
      <c r="M214" s="181" t="n"/>
      <c r="N214" s="1" t="n"/>
      <c r="O214" s="181" t="n"/>
      <c r="P214" s="181" t="n"/>
      <c r="Q214" s="18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row>
    <row r="215" ht="15.75" customHeight="1" s="216">
      <c r="A215" s="1" t="n"/>
      <c r="B215" s="1" t="n"/>
      <c r="C215" s="1" t="n"/>
      <c r="D215" s="1" t="n"/>
      <c r="E215" s="181" t="n"/>
      <c r="F215" s="181" t="n"/>
      <c r="G215" s="1" t="n"/>
      <c r="H215" s="1" t="n"/>
      <c r="I215" s="1" t="n"/>
      <c r="J215" s="1" t="n"/>
      <c r="K215" s="181" t="n"/>
      <c r="L215" s="181" t="n"/>
      <c r="M215" s="181" t="n"/>
      <c r="N215" s="1" t="n"/>
      <c r="O215" s="181" t="n"/>
      <c r="P215" s="181" t="n"/>
      <c r="Q215" s="18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row>
    <row r="216" ht="15.75" customHeight="1" s="216">
      <c r="A216" s="1" t="n"/>
      <c r="B216" s="1" t="n"/>
      <c r="C216" s="1" t="n"/>
      <c r="D216" s="1" t="n"/>
      <c r="E216" s="181" t="n"/>
      <c r="F216" s="181" t="n"/>
      <c r="G216" s="1" t="n"/>
      <c r="H216" s="1" t="n"/>
      <c r="I216" s="1" t="n"/>
      <c r="J216" s="1" t="n"/>
      <c r="K216" s="181" t="n"/>
      <c r="L216" s="181" t="n"/>
      <c r="M216" s="181" t="n"/>
      <c r="N216" s="1" t="n"/>
      <c r="O216" s="181" t="n"/>
      <c r="P216" s="181" t="n"/>
      <c r="Q216" s="18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row>
    <row r="217" ht="15.75" customHeight="1" s="216">
      <c r="A217" s="1" t="n"/>
      <c r="B217" s="1" t="n"/>
      <c r="C217" s="1" t="n"/>
      <c r="D217" s="1" t="n"/>
      <c r="E217" s="181" t="n"/>
      <c r="F217" s="181" t="n"/>
      <c r="G217" s="1" t="n"/>
      <c r="H217" s="1" t="n"/>
      <c r="I217" s="1" t="n"/>
      <c r="J217" s="1" t="n"/>
      <c r="K217" s="181" t="n"/>
      <c r="L217" s="181" t="n"/>
      <c r="M217" s="181" t="n"/>
      <c r="N217" s="1" t="n"/>
      <c r="O217" s="181" t="n"/>
      <c r="P217" s="181" t="n"/>
      <c r="Q217" s="18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row>
    <row r="218" ht="15.75" customHeight="1" s="216">
      <c r="A218" s="1" t="n"/>
      <c r="B218" s="1" t="n"/>
      <c r="C218" s="1" t="n"/>
      <c r="D218" s="1" t="n"/>
      <c r="E218" s="181" t="n"/>
      <c r="F218" s="181" t="n"/>
      <c r="G218" s="1" t="n"/>
      <c r="H218" s="1" t="n"/>
      <c r="I218" s="1" t="n"/>
      <c r="J218" s="1" t="n"/>
      <c r="K218" s="181" t="n"/>
      <c r="L218" s="181" t="n"/>
      <c r="M218" s="181" t="n"/>
      <c r="N218" s="1" t="n"/>
      <c r="O218" s="181" t="n"/>
      <c r="P218" s="181" t="n"/>
      <c r="Q218" s="18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row>
    <row r="219" ht="15.75" customHeight="1" s="216">
      <c r="A219" s="1" t="n"/>
      <c r="B219" s="1" t="n"/>
      <c r="C219" s="1" t="n"/>
      <c r="D219" s="1" t="n"/>
      <c r="E219" s="181" t="n"/>
      <c r="F219" s="181" t="n"/>
      <c r="G219" s="1" t="n"/>
      <c r="H219" s="1" t="n"/>
      <c r="I219" s="1" t="n"/>
      <c r="J219" s="1" t="n"/>
      <c r="K219" s="181" t="n"/>
      <c r="L219" s="181" t="n"/>
      <c r="M219" s="181" t="n"/>
      <c r="N219" s="1" t="n"/>
      <c r="O219" s="181" t="n"/>
      <c r="P219" s="181" t="n"/>
      <c r="Q219" s="18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row>
    <row r="220" ht="15.75" customHeight="1" s="216">
      <c r="A220" s="1" t="n"/>
      <c r="B220" s="1" t="n"/>
      <c r="C220" s="1" t="n"/>
      <c r="D220" s="1" t="n"/>
      <c r="E220" s="181" t="n"/>
      <c r="F220" s="181" t="n"/>
      <c r="G220" s="1" t="n"/>
      <c r="H220" s="1" t="n"/>
      <c r="I220" s="1" t="n"/>
      <c r="J220" s="1" t="n"/>
      <c r="K220" s="181" t="n"/>
      <c r="L220" s="181" t="n"/>
      <c r="M220" s="181" t="n"/>
      <c r="N220" s="1" t="n"/>
      <c r="O220" s="181" t="n"/>
      <c r="P220" s="181" t="n"/>
      <c r="Q220" s="18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row>
    <row r="221" ht="15.75" customHeight="1" s="216">
      <c r="D221" s="109" t="n"/>
      <c r="E221" s="109" t="n"/>
      <c r="J221" s="109" t="n"/>
      <c r="K221" s="109" t="n"/>
      <c r="L221" s="109" t="n"/>
      <c r="N221" s="109" t="n"/>
      <c r="O221" s="109" t="n"/>
      <c r="P221" s="109" t="n"/>
      <c r="T221" s="109" t="n"/>
      <c r="U221" s="109" t="n"/>
      <c r="V221" s="109" t="n"/>
      <c r="Z221" s="109" t="n"/>
      <c r="AA221" s="109" t="n"/>
      <c r="AB221" s="109" t="n"/>
      <c r="AF221" s="109" t="n"/>
      <c r="AG221" s="109" t="n"/>
      <c r="AH221" s="109" t="n"/>
      <c r="AL221" s="109" t="n"/>
      <c r="AM221" s="109" t="n"/>
      <c r="AN221" s="109" t="n"/>
    </row>
    <row r="222" ht="15.75" customHeight="1" s="216">
      <c r="D222" s="109" t="n"/>
      <c r="E222" s="109" t="n"/>
      <c r="J222" s="109" t="n"/>
      <c r="K222" s="109" t="n"/>
      <c r="L222" s="109" t="n"/>
      <c r="N222" s="109" t="n"/>
      <c r="O222" s="109" t="n"/>
      <c r="P222" s="109" t="n"/>
      <c r="T222" s="109" t="n"/>
      <c r="U222" s="109" t="n"/>
      <c r="V222" s="109" t="n"/>
      <c r="Z222" s="109" t="n"/>
      <c r="AA222" s="109" t="n"/>
      <c r="AB222" s="109" t="n"/>
      <c r="AF222" s="109" t="n"/>
      <c r="AG222" s="109" t="n"/>
      <c r="AH222" s="109" t="n"/>
      <c r="AL222" s="109" t="n"/>
      <c r="AM222" s="109" t="n"/>
      <c r="AN222" s="109" t="n"/>
    </row>
    <row r="223" ht="15.75" customHeight="1" s="216">
      <c r="D223" s="109" t="n"/>
      <c r="E223" s="109" t="n"/>
      <c r="J223" s="109" t="n"/>
      <c r="K223" s="109" t="n"/>
      <c r="L223" s="109" t="n"/>
      <c r="N223" s="109" t="n"/>
      <c r="O223" s="109" t="n"/>
      <c r="P223" s="109" t="n"/>
      <c r="T223" s="109" t="n"/>
      <c r="U223" s="109" t="n"/>
      <c r="V223" s="109" t="n"/>
      <c r="Z223" s="109" t="n"/>
      <c r="AA223" s="109" t="n"/>
      <c r="AB223" s="109" t="n"/>
      <c r="AF223" s="109" t="n"/>
      <c r="AG223" s="109" t="n"/>
      <c r="AH223" s="109" t="n"/>
      <c r="AL223" s="109" t="n"/>
      <c r="AM223" s="109" t="n"/>
      <c r="AN223" s="109" t="n"/>
    </row>
    <row r="224" ht="15.75" customHeight="1" s="216">
      <c r="D224" s="109" t="n"/>
      <c r="E224" s="109" t="n"/>
      <c r="J224" s="109" t="n"/>
      <c r="K224" s="109" t="n"/>
      <c r="L224" s="109" t="n"/>
      <c r="N224" s="109" t="n"/>
      <c r="O224" s="109" t="n"/>
      <c r="P224" s="109" t="n"/>
      <c r="T224" s="109" t="n"/>
      <c r="U224" s="109" t="n"/>
      <c r="V224" s="109" t="n"/>
      <c r="Z224" s="109" t="n"/>
      <c r="AA224" s="109" t="n"/>
      <c r="AB224" s="109" t="n"/>
      <c r="AF224" s="109" t="n"/>
      <c r="AG224" s="109" t="n"/>
      <c r="AH224" s="109" t="n"/>
      <c r="AL224" s="109" t="n"/>
      <c r="AM224" s="109" t="n"/>
      <c r="AN224" s="109" t="n"/>
    </row>
    <row r="225" ht="15.75" customHeight="1" s="216">
      <c r="D225" s="109" t="n"/>
      <c r="E225" s="109" t="n"/>
      <c r="J225" s="109" t="n"/>
      <c r="K225" s="109" t="n"/>
      <c r="L225" s="109" t="n"/>
      <c r="N225" s="109" t="n"/>
      <c r="O225" s="109" t="n"/>
      <c r="P225" s="109" t="n"/>
      <c r="T225" s="109" t="n"/>
      <c r="U225" s="109" t="n"/>
      <c r="V225" s="109" t="n"/>
      <c r="Z225" s="109" t="n"/>
      <c r="AA225" s="109" t="n"/>
      <c r="AB225" s="109" t="n"/>
      <c r="AF225" s="109" t="n"/>
      <c r="AG225" s="109" t="n"/>
      <c r="AH225" s="109" t="n"/>
      <c r="AL225" s="109" t="n"/>
      <c r="AM225" s="109" t="n"/>
      <c r="AN225" s="109" t="n"/>
    </row>
    <row r="226" ht="15.75" customHeight="1" s="216">
      <c r="D226" s="109" t="n"/>
      <c r="E226" s="109" t="n"/>
      <c r="J226" s="109" t="n"/>
      <c r="K226" s="109" t="n"/>
      <c r="L226" s="109" t="n"/>
      <c r="N226" s="109" t="n"/>
      <c r="O226" s="109" t="n"/>
      <c r="P226" s="109" t="n"/>
      <c r="T226" s="109" t="n"/>
      <c r="U226" s="109" t="n"/>
      <c r="V226" s="109" t="n"/>
      <c r="Z226" s="109" t="n"/>
      <c r="AA226" s="109" t="n"/>
      <c r="AB226" s="109" t="n"/>
      <c r="AF226" s="109" t="n"/>
      <c r="AG226" s="109" t="n"/>
      <c r="AH226" s="109" t="n"/>
      <c r="AL226" s="109" t="n"/>
      <c r="AM226" s="109" t="n"/>
      <c r="AN226" s="109" t="n"/>
    </row>
    <row r="227" ht="15.75" customHeight="1" s="216">
      <c r="D227" s="109" t="n"/>
      <c r="E227" s="109" t="n"/>
      <c r="J227" s="109" t="n"/>
      <c r="K227" s="109" t="n"/>
      <c r="L227" s="109" t="n"/>
      <c r="N227" s="109" t="n"/>
      <c r="O227" s="109" t="n"/>
      <c r="P227" s="109" t="n"/>
      <c r="T227" s="109" t="n"/>
      <c r="U227" s="109" t="n"/>
      <c r="V227" s="109" t="n"/>
      <c r="Z227" s="109" t="n"/>
      <c r="AA227" s="109" t="n"/>
      <c r="AB227" s="109" t="n"/>
      <c r="AF227" s="109" t="n"/>
      <c r="AG227" s="109" t="n"/>
      <c r="AH227" s="109" t="n"/>
      <c r="AL227" s="109" t="n"/>
      <c r="AM227" s="109" t="n"/>
      <c r="AN227" s="109" t="n"/>
    </row>
    <row r="228" ht="15.75" customHeight="1" s="216">
      <c r="D228" s="109" t="n"/>
      <c r="E228" s="109" t="n"/>
      <c r="J228" s="109" t="n"/>
      <c r="K228" s="109" t="n"/>
      <c r="L228" s="109" t="n"/>
      <c r="N228" s="109" t="n"/>
      <c r="O228" s="109" t="n"/>
      <c r="P228" s="109" t="n"/>
      <c r="T228" s="109" t="n"/>
      <c r="U228" s="109" t="n"/>
      <c r="V228" s="109" t="n"/>
      <c r="Z228" s="109" t="n"/>
      <c r="AA228" s="109" t="n"/>
      <c r="AB228" s="109" t="n"/>
      <c r="AF228" s="109" t="n"/>
      <c r="AG228" s="109" t="n"/>
      <c r="AH228" s="109" t="n"/>
      <c r="AL228" s="109" t="n"/>
      <c r="AM228" s="109" t="n"/>
      <c r="AN228" s="109" t="n"/>
    </row>
    <row r="229" ht="15.75" customHeight="1" s="216">
      <c r="D229" s="109" t="n"/>
      <c r="E229" s="109" t="n"/>
      <c r="J229" s="109" t="n"/>
      <c r="K229" s="109" t="n"/>
      <c r="L229" s="109" t="n"/>
      <c r="N229" s="109" t="n"/>
      <c r="O229" s="109" t="n"/>
      <c r="P229" s="109" t="n"/>
      <c r="T229" s="109" t="n"/>
      <c r="U229" s="109" t="n"/>
      <c r="V229" s="109" t="n"/>
      <c r="Z229" s="109" t="n"/>
      <c r="AA229" s="109" t="n"/>
      <c r="AB229" s="109" t="n"/>
      <c r="AF229" s="109" t="n"/>
      <c r="AG229" s="109" t="n"/>
      <c r="AH229" s="109" t="n"/>
      <c r="AL229" s="109" t="n"/>
      <c r="AM229" s="109" t="n"/>
      <c r="AN229" s="109" t="n"/>
    </row>
    <row r="230" ht="15.75" customHeight="1" s="216">
      <c r="D230" s="109" t="n"/>
      <c r="E230" s="109" t="n"/>
      <c r="J230" s="109" t="n"/>
      <c r="K230" s="109" t="n"/>
      <c r="L230" s="109" t="n"/>
      <c r="N230" s="109" t="n"/>
      <c r="O230" s="109" t="n"/>
      <c r="P230" s="109" t="n"/>
      <c r="T230" s="109" t="n"/>
      <c r="U230" s="109" t="n"/>
      <c r="V230" s="109" t="n"/>
      <c r="Z230" s="109" t="n"/>
      <c r="AA230" s="109" t="n"/>
      <c r="AB230" s="109" t="n"/>
      <c r="AF230" s="109" t="n"/>
      <c r="AG230" s="109" t="n"/>
      <c r="AH230" s="109" t="n"/>
      <c r="AL230" s="109" t="n"/>
      <c r="AM230" s="109" t="n"/>
      <c r="AN230" s="109" t="n"/>
    </row>
    <row r="231" ht="15.75" customHeight="1" s="216">
      <c r="D231" s="109" t="n"/>
      <c r="E231" s="109" t="n"/>
      <c r="J231" s="109" t="n"/>
      <c r="K231" s="109" t="n"/>
      <c r="L231" s="109" t="n"/>
      <c r="N231" s="109" t="n"/>
      <c r="O231" s="109" t="n"/>
      <c r="P231" s="109" t="n"/>
      <c r="T231" s="109" t="n"/>
      <c r="U231" s="109" t="n"/>
      <c r="V231" s="109" t="n"/>
      <c r="Z231" s="109" t="n"/>
      <c r="AA231" s="109" t="n"/>
      <c r="AB231" s="109" t="n"/>
      <c r="AF231" s="109" t="n"/>
      <c r="AG231" s="109" t="n"/>
      <c r="AH231" s="109" t="n"/>
      <c r="AL231" s="109" t="n"/>
      <c r="AM231" s="109" t="n"/>
      <c r="AN231" s="109" t="n"/>
    </row>
    <row r="232" ht="15.75" customHeight="1" s="216">
      <c r="D232" s="109" t="n"/>
      <c r="E232" s="109" t="n"/>
      <c r="J232" s="109" t="n"/>
      <c r="K232" s="109" t="n"/>
      <c r="L232" s="109" t="n"/>
      <c r="N232" s="109" t="n"/>
      <c r="O232" s="109" t="n"/>
      <c r="P232" s="109" t="n"/>
      <c r="T232" s="109" t="n"/>
      <c r="U232" s="109" t="n"/>
      <c r="V232" s="109" t="n"/>
      <c r="Z232" s="109" t="n"/>
      <c r="AA232" s="109" t="n"/>
      <c r="AB232" s="109" t="n"/>
      <c r="AF232" s="109" t="n"/>
      <c r="AG232" s="109" t="n"/>
      <c r="AH232" s="109" t="n"/>
      <c r="AL232" s="109" t="n"/>
      <c r="AM232" s="109" t="n"/>
      <c r="AN232" s="109" t="n"/>
    </row>
    <row r="233" ht="15.75" customHeight="1" s="216">
      <c r="D233" s="109" t="n"/>
      <c r="E233" s="109" t="n"/>
      <c r="J233" s="109" t="n"/>
      <c r="K233" s="109" t="n"/>
      <c r="L233" s="109" t="n"/>
      <c r="N233" s="109" t="n"/>
      <c r="O233" s="109" t="n"/>
      <c r="P233" s="109" t="n"/>
      <c r="T233" s="109" t="n"/>
      <c r="U233" s="109" t="n"/>
      <c r="V233" s="109" t="n"/>
      <c r="Z233" s="109" t="n"/>
      <c r="AA233" s="109" t="n"/>
      <c r="AB233" s="109" t="n"/>
      <c r="AF233" s="109" t="n"/>
      <c r="AG233" s="109" t="n"/>
      <c r="AH233" s="109" t="n"/>
      <c r="AL233" s="109" t="n"/>
      <c r="AM233" s="109" t="n"/>
      <c r="AN233" s="109" t="n"/>
    </row>
    <row r="234" ht="15.75" customHeight="1" s="216">
      <c r="D234" s="109" t="n"/>
      <c r="E234" s="109" t="n"/>
      <c r="J234" s="109" t="n"/>
      <c r="K234" s="109" t="n"/>
      <c r="L234" s="109" t="n"/>
      <c r="N234" s="109" t="n"/>
      <c r="O234" s="109" t="n"/>
      <c r="P234" s="109" t="n"/>
      <c r="T234" s="109" t="n"/>
      <c r="U234" s="109" t="n"/>
      <c r="V234" s="109" t="n"/>
      <c r="Z234" s="109" t="n"/>
      <c r="AA234" s="109" t="n"/>
      <c r="AB234" s="109" t="n"/>
      <c r="AF234" s="109" t="n"/>
      <c r="AG234" s="109" t="n"/>
      <c r="AH234" s="109" t="n"/>
      <c r="AL234" s="109" t="n"/>
      <c r="AM234" s="109" t="n"/>
      <c r="AN234" s="109" t="n"/>
    </row>
    <row r="235" ht="15.75" customHeight="1" s="216">
      <c r="D235" s="109" t="n"/>
      <c r="E235" s="109" t="n"/>
      <c r="J235" s="109" t="n"/>
      <c r="K235" s="109" t="n"/>
      <c r="L235" s="109" t="n"/>
      <c r="N235" s="109" t="n"/>
      <c r="O235" s="109" t="n"/>
      <c r="P235" s="109" t="n"/>
      <c r="T235" s="109" t="n"/>
      <c r="U235" s="109" t="n"/>
      <c r="V235" s="109" t="n"/>
      <c r="Z235" s="109" t="n"/>
      <c r="AA235" s="109" t="n"/>
      <c r="AB235" s="109" t="n"/>
      <c r="AF235" s="109" t="n"/>
      <c r="AG235" s="109" t="n"/>
      <c r="AH235" s="109" t="n"/>
      <c r="AL235" s="109" t="n"/>
      <c r="AM235" s="109" t="n"/>
      <c r="AN235" s="109" t="n"/>
    </row>
    <row r="236" ht="15.75" customHeight="1" s="216">
      <c r="D236" s="109" t="n"/>
      <c r="E236" s="109" t="n"/>
      <c r="J236" s="109" t="n"/>
      <c r="K236" s="109" t="n"/>
      <c r="L236" s="109" t="n"/>
      <c r="N236" s="109" t="n"/>
      <c r="O236" s="109" t="n"/>
      <c r="P236" s="109" t="n"/>
      <c r="T236" s="109" t="n"/>
      <c r="U236" s="109" t="n"/>
      <c r="V236" s="109" t="n"/>
      <c r="Z236" s="109" t="n"/>
      <c r="AA236" s="109" t="n"/>
      <c r="AB236" s="109" t="n"/>
      <c r="AF236" s="109" t="n"/>
      <c r="AG236" s="109" t="n"/>
      <c r="AH236" s="109" t="n"/>
      <c r="AL236" s="109" t="n"/>
      <c r="AM236" s="109" t="n"/>
      <c r="AN236" s="109" t="n"/>
    </row>
    <row r="237" ht="15.75" customHeight="1" s="216">
      <c r="D237" s="109" t="n"/>
      <c r="E237" s="109" t="n"/>
      <c r="J237" s="109" t="n"/>
      <c r="K237" s="109" t="n"/>
      <c r="L237" s="109" t="n"/>
      <c r="N237" s="109" t="n"/>
      <c r="O237" s="109" t="n"/>
      <c r="P237" s="109" t="n"/>
      <c r="T237" s="109" t="n"/>
      <c r="U237" s="109" t="n"/>
      <c r="V237" s="109" t="n"/>
      <c r="Z237" s="109" t="n"/>
      <c r="AA237" s="109" t="n"/>
      <c r="AB237" s="109" t="n"/>
      <c r="AF237" s="109" t="n"/>
      <c r="AG237" s="109" t="n"/>
      <c r="AH237" s="109" t="n"/>
      <c r="AL237" s="109" t="n"/>
      <c r="AM237" s="109" t="n"/>
      <c r="AN237" s="109" t="n"/>
    </row>
    <row r="238" ht="15.75" customHeight="1" s="216">
      <c r="D238" s="109" t="n"/>
      <c r="E238" s="109" t="n"/>
      <c r="J238" s="109" t="n"/>
      <c r="K238" s="109" t="n"/>
      <c r="L238" s="109" t="n"/>
      <c r="N238" s="109" t="n"/>
      <c r="O238" s="109" t="n"/>
      <c r="P238" s="109" t="n"/>
      <c r="T238" s="109" t="n"/>
      <c r="U238" s="109" t="n"/>
      <c r="V238" s="109" t="n"/>
      <c r="Z238" s="109" t="n"/>
      <c r="AA238" s="109" t="n"/>
      <c r="AB238" s="109" t="n"/>
      <c r="AF238" s="109" t="n"/>
      <c r="AG238" s="109" t="n"/>
      <c r="AH238" s="109" t="n"/>
      <c r="AL238" s="109" t="n"/>
      <c r="AM238" s="109" t="n"/>
      <c r="AN238" s="109" t="n"/>
    </row>
    <row r="239" ht="15.75" customHeight="1" s="216">
      <c r="D239" s="109" t="n"/>
      <c r="E239" s="109" t="n"/>
      <c r="J239" s="109" t="n"/>
      <c r="K239" s="109" t="n"/>
      <c r="L239" s="109" t="n"/>
      <c r="N239" s="109" t="n"/>
      <c r="O239" s="109" t="n"/>
      <c r="P239" s="109" t="n"/>
      <c r="T239" s="109" t="n"/>
      <c r="U239" s="109" t="n"/>
      <c r="V239" s="109" t="n"/>
      <c r="Z239" s="109" t="n"/>
      <c r="AA239" s="109" t="n"/>
      <c r="AB239" s="109" t="n"/>
      <c r="AF239" s="109" t="n"/>
      <c r="AG239" s="109" t="n"/>
      <c r="AH239" s="109" t="n"/>
      <c r="AL239" s="109" t="n"/>
      <c r="AM239" s="109" t="n"/>
      <c r="AN239" s="109" t="n"/>
    </row>
    <row r="240" ht="15.75" customHeight="1" s="216">
      <c r="D240" s="109" t="n"/>
      <c r="E240" s="109" t="n"/>
      <c r="J240" s="109" t="n"/>
      <c r="K240" s="109" t="n"/>
      <c r="L240" s="109" t="n"/>
      <c r="N240" s="109" t="n"/>
      <c r="O240" s="109" t="n"/>
      <c r="P240" s="109" t="n"/>
      <c r="T240" s="109" t="n"/>
      <c r="U240" s="109" t="n"/>
      <c r="V240" s="109" t="n"/>
      <c r="Z240" s="109" t="n"/>
      <c r="AA240" s="109" t="n"/>
      <c r="AB240" s="109" t="n"/>
      <c r="AF240" s="109" t="n"/>
      <c r="AG240" s="109" t="n"/>
      <c r="AH240" s="109" t="n"/>
      <c r="AL240" s="109" t="n"/>
      <c r="AM240" s="109" t="n"/>
      <c r="AN240" s="109" t="n"/>
    </row>
    <row r="241" ht="15.75" customHeight="1" s="216">
      <c r="D241" s="109" t="n"/>
      <c r="E241" s="109" t="n"/>
      <c r="J241" s="109" t="n"/>
      <c r="K241" s="109" t="n"/>
      <c r="L241" s="109" t="n"/>
      <c r="N241" s="109" t="n"/>
      <c r="O241" s="109" t="n"/>
      <c r="P241" s="109" t="n"/>
      <c r="T241" s="109" t="n"/>
      <c r="U241" s="109" t="n"/>
      <c r="V241" s="109" t="n"/>
      <c r="Z241" s="109" t="n"/>
      <c r="AA241" s="109" t="n"/>
      <c r="AB241" s="109" t="n"/>
      <c r="AF241" s="109" t="n"/>
      <c r="AG241" s="109" t="n"/>
      <c r="AH241" s="109" t="n"/>
      <c r="AL241" s="109" t="n"/>
      <c r="AM241" s="109" t="n"/>
      <c r="AN241" s="109" t="n"/>
    </row>
    <row r="242" ht="15.75" customHeight="1" s="216">
      <c r="D242" s="109" t="n"/>
      <c r="E242" s="109" t="n"/>
      <c r="J242" s="109" t="n"/>
      <c r="K242" s="109" t="n"/>
      <c r="L242" s="109" t="n"/>
      <c r="N242" s="109" t="n"/>
      <c r="O242" s="109" t="n"/>
      <c r="P242" s="109" t="n"/>
      <c r="T242" s="109" t="n"/>
      <c r="U242" s="109" t="n"/>
      <c r="V242" s="109" t="n"/>
      <c r="Z242" s="109" t="n"/>
      <c r="AA242" s="109" t="n"/>
      <c r="AB242" s="109" t="n"/>
      <c r="AF242" s="109" t="n"/>
      <c r="AG242" s="109" t="n"/>
      <c r="AH242" s="109" t="n"/>
      <c r="AL242" s="109" t="n"/>
      <c r="AM242" s="109" t="n"/>
      <c r="AN242" s="109" t="n"/>
    </row>
    <row r="243" ht="15.75" customHeight="1" s="216">
      <c r="D243" s="109" t="n"/>
      <c r="E243" s="109" t="n"/>
      <c r="J243" s="109" t="n"/>
      <c r="K243" s="109" t="n"/>
      <c r="L243" s="109" t="n"/>
      <c r="N243" s="109" t="n"/>
      <c r="O243" s="109" t="n"/>
      <c r="P243" s="109" t="n"/>
      <c r="T243" s="109" t="n"/>
      <c r="U243" s="109" t="n"/>
      <c r="V243" s="109" t="n"/>
      <c r="Z243" s="109" t="n"/>
      <c r="AA243" s="109" t="n"/>
      <c r="AB243" s="109" t="n"/>
      <c r="AF243" s="109" t="n"/>
      <c r="AG243" s="109" t="n"/>
      <c r="AH243" s="109" t="n"/>
      <c r="AL243" s="109" t="n"/>
      <c r="AM243" s="109" t="n"/>
      <c r="AN243" s="109" t="n"/>
    </row>
    <row r="244" ht="15.75" customHeight="1" s="216">
      <c r="D244" s="109" t="n"/>
      <c r="E244" s="109" t="n"/>
      <c r="J244" s="109" t="n"/>
      <c r="K244" s="109" t="n"/>
      <c r="L244" s="109" t="n"/>
      <c r="N244" s="109" t="n"/>
      <c r="O244" s="109" t="n"/>
      <c r="P244" s="109" t="n"/>
      <c r="T244" s="109" t="n"/>
      <c r="U244" s="109" t="n"/>
      <c r="V244" s="109" t="n"/>
      <c r="Z244" s="109" t="n"/>
      <c r="AA244" s="109" t="n"/>
      <c r="AB244" s="109" t="n"/>
      <c r="AF244" s="109" t="n"/>
      <c r="AG244" s="109" t="n"/>
      <c r="AH244" s="109" t="n"/>
      <c r="AL244" s="109" t="n"/>
      <c r="AM244" s="109" t="n"/>
      <c r="AN244" s="109" t="n"/>
    </row>
    <row r="245" ht="15.75" customHeight="1" s="216">
      <c r="D245" s="109" t="n"/>
      <c r="E245" s="109" t="n"/>
      <c r="J245" s="109" t="n"/>
      <c r="K245" s="109" t="n"/>
      <c r="L245" s="109" t="n"/>
      <c r="N245" s="109" t="n"/>
      <c r="O245" s="109" t="n"/>
      <c r="P245" s="109" t="n"/>
      <c r="T245" s="109" t="n"/>
      <c r="U245" s="109" t="n"/>
      <c r="V245" s="109" t="n"/>
      <c r="Z245" s="109" t="n"/>
      <c r="AA245" s="109" t="n"/>
      <c r="AB245" s="109" t="n"/>
      <c r="AF245" s="109" t="n"/>
      <c r="AG245" s="109" t="n"/>
      <c r="AH245" s="109" t="n"/>
      <c r="AL245" s="109" t="n"/>
      <c r="AM245" s="109" t="n"/>
      <c r="AN245" s="109" t="n"/>
    </row>
    <row r="246" ht="15.75" customHeight="1" s="216">
      <c r="D246" s="109" t="n"/>
      <c r="E246" s="109" t="n"/>
      <c r="J246" s="109" t="n"/>
      <c r="K246" s="109" t="n"/>
      <c r="L246" s="109" t="n"/>
      <c r="N246" s="109" t="n"/>
      <c r="O246" s="109" t="n"/>
      <c r="P246" s="109" t="n"/>
      <c r="T246" s="109" t="n"/>
      <c r="U246" s="109" t="n"/>
      <c r="V246" s="109" t="n"/>
      <c r="Z246" s="109" t="n"/>
      <c r="AA246" s="109" t="n"/>
      <c r="AB246" s="109" t="n"/>
      <c r="AF246" s="109" t="n"/>
      <c r="AG246" s="109" t="n"/>
      <c r="AH246" s="109" t="n"/>
      <c r="AL246" s="109" t="n"/>
      <c r="AM246" s="109" t="n"/>
      <c r="AN246" s="109" t="n"/>
    </row>
    <row r="247" ht="15.75" customHeight="1" s="216">
      <c r="D247" s="109" t="n"/>
      <c r="E247" s="109" t="n"/>
      <c r="J247" s="109" t="n"/>
      <c r="K247" s="109" t="n"/>
      <c r="L247" s="109" t="n"/>
      <c r="N247" s="109" t="n"/>
      <c r="O247" s="109" t="n"/>
      <c r="P247" s="109" t="n"/>
      <c r="T247" s="109" t="n"/>
      <c r="U247" s="109" t="n"/>
      <c r="V247" s="109" t="n"/>
      <c r="Z247" s="109" t="n"/>
      <c r="AA247" s="109" t="n"/>
      <c r="AB247" s="109" t="n"/>
      <c r="AF247" s="109" t="n"/>
      <c r="AG247" s="109" t="n"/>
      <c r="AH247" s="109" t="n"/>
      <c r="AL247" s="109" t="n"/>
      <c r="AM247" s="109" t="n"/>
      <c r="AN247" s="109" t="n"/>
    </row>
    <row r="248" ht="15.75" customHeight="1" s="216">
      <c r="D248" s="109" t="n"/>
      <c r="E248" s="109" t="n"/>
      <c r="J248" s="109" t="n"/>
      <c r="K248" s="109" t="n"/>
      <c r="L248" s="109" t="n"/>
      <c r="N248" s="109" t="n"/>
      <c r="O248" s="109" t="n"/>
      <c r="P248" s="109" t="n"/>
      <c r="T248" s="109" t="n"/>
      <c r="U248" s="109" t="n"/>
      <c r="V248" s="109" t="n"/>
      <c r="Z248" s="109" t="n"/>
      <c r="AA248" s="109" t="n"/>
      <c r="AB248" s="109" t="n"/>
      <c r="AF248" s="109" t="n"/>
      <c r="AG248" s="109" t="n"/>
      <c r="AH248" s="109" t="n"/>
      <c r="AL248" s="109" t="n"/>
      <c r="AM248" s="109" t="n"/>
      <c r="AN248" s="109" t="n"/>
    </row>
    <row r="249" ht="15.75" customHeight="1" s="216">
      <c r="D249" s="109" t="n"/>
      <c r="E249" s="109" t="n"/>
      <c r="J249" s="109" t="n"/>
      <c r="K249" s="109" t="n"/>
      <c r="L249" s="109" t="n"/>
      <c r="N249" s="109" t="n"/>
      <c r="O249" s="109" t="n"/>
      <c r="P249" s="109" t="n"/>
      <c r="T249" s="109" t="n"/>
      <c r="U249" s="109" t="n"/>
      <c r="V249" s="109" t="n"/>
      <c r="Z249" s="109" t="n"/>
      <c r="AA249" s="109" t="n"/>
      <c r="AB249" s="109" t="n"/>
      <c r="AF249" s="109" t="n"/>
      <c r="AG249" s="109" t="n"/>
      <c r="AH249" s="109" t="n"/>
      <c r="AL249" s="109" t="n"/>
      <c r="AM249" s="109" t="n"/>
      <c r="AN249" s="109" t="n"/>
    </row>
    <row r="250" ht="15.75" customHeight="1" s="216">
      <c r="D250" s="109" t="n"/>
      <c r="E250" s="109" t="n"/>
      <c r="J250" s="109" t="n"/>
      <c r="K250" s="109" t="n"/>
      <c r="L250" s="109" t="n"/>
      <c r="N250" s="109" t="n"/>
      <c r="O250" s="109" t="n"/>
      <c r="P250" s="109" t="n"/>
      <c r="T250" s="109" t="n"/>
      <c r="U250" s="109" t="n"/>
      <c r="V250" s="109" t="n"/>
      <c r="Z250" s="109" t="n"/>
      <c r="AA250" s="109" t="n"/>
      <c r="AB250" s="109" t="n"/>
      <c r="AF250" s="109" t="n"/>
      <c r="AG250" s="109" t="n"/>
      <c r="AH250" s="109" t="n"/>
      <c r="AL250" s="109" t="n"/>
      <c r="AM250" s="109" t="n"/>
      <c r="AN250" s="109" t="n"/>
    </row>
    <row r="251" ht="15.75" customHeight="1" s="216">
      <c r="D251" s="109" t="n"/>
      <c r="E251" s="109" t="n"/>
      <c r="J251" s="109" t="n"/>
      <c r="K251" s="109" t="n"/>
      <c r="L251" s="109" t="n"/>
      <c r="N251" s="109" t="n"/>
      <c r="O251" s="109" t="n"/>
      <c r="P251" s="109" t="n"/>
      <c r="T251" s="109" t="n"/>
      <c r="U251" s="109" t="n"/>
      <c r="V251" s="109" t="n"/>
      <c r="Z251" s="109" t="n"/>
      <c r="AA251" s="109" t="n"/>
      <c r="AB251" s="109" t="n"/>
      <c r="AF251" s="109" t="n"/>
      <c r="AG251" s="109" t="n"/>
      <c r="AH251" s="109" t="n"/>
      <c r="AL251" s="109" t="n"/>
      <c r="AM251" s="109" t="n"/>
      <c r="AN251" s="109" t="n"/>
    </row>
    <row r="252" ht="15.75" customHeight="1" s="216">
      <c r="D252" s="109" t="n"/>
      <c r="E252" s="109" t="n"/>
      <c r="J252" s="109" t="n"/>
      <c r="K252" s="109" t="n"/>
      <c r="L252" s="109" t="n"/>
      <c r="N252" s="109" t="n"/>
      <c r="O252" s="109" t="n"/>
      <c r="P252" s="109" t="n"/>
      <c r="T252" s="109" t="n"/>
      <c r="U252" s="109" t="n"/>
      <c r="V252" s="109" t="n"/>
      <c r="Z252" s="109" t="n"/>
      <c r="AA252" s="109" t="n"/>
      <c r="AB252" s="109" t="n"/>
      <c r="AF252" s="109" t="n"/>
      <c r="AG252" s="109" t="n"/>
      <c r="AH252" s="109" t="n"/>
      <c r="AL252" s="109" t="n"/>
      <c r="AM252" s="109" t="n"/>
      <c r="AN252" s="109" t="n"/>
    </row>
    <row r="253" ht="15.75" customHeight="1" s="216">
      <c r="D253" s="109" t="n"/>
      <c r="E253" s="109" t="n"/>
      <c r="J253" s="109" t="n"/>
      <c r="K253" s="109" t="n"/>
      <c r="L253" s="109" t="n"/>
      <c r="N253" s="109" t="n"/>
      <c r="O253" s="109" t="n"/>
      <c r="P253" s="109" t="n"/>
      <c r="T253" s="109" t="n"/>
      <c r="U253" s="109" t="n"/>
      <c r="V253" s="109" t="n"/>
      <c r="Z253" s="109" t="n"/>
      <c r="AA253" s="109" t="n"/>
      <c r="AB253" s="109" t="n"/>
      <c r="AF253" s="109" t="n"/>
      <c r="AG253" s="109" t="n"/>
      <c r="AH253" s="109" t="n"/>
      <c r="AL253" s="109" t="n"/>
      <c r="AM253" s="109" t="n"/>
      <c r="AN253" s="109" t="n"/>
    </row>
    <row r="254" ht="15.75" customHeight="1" s="216">
      <c r="D254" s="109" t="n"/>
      <c r="E254" s="109" t="n"/>
      <c r="J254" s="109" t="n"/>
      <c r="K254" s="109" t="n"/>
      <c r="L254" s="109" t="n"/>
      <c r="N254" s="109" t="n"/>
      <c r="O254" s="109" t="n"/>
      <c r="P254" s="109" t="n"/>
      <c r="T254" s="109" t="n"/>
      <c r="U254" s="109" t="n"/>
      <c r="V254" s="109" t="n"/>
      <c r="Z254" s="109" t="n"/>
      <c r="AA254" s="109" t="n"/>
      <c r="AB254" s="109" t="n"/>
      <c r="AF254" s="109" t="n"/>
      <c r="AG254" s="109" t="n"/>
      <c r="AH254" s="109" t="n"/>
      <c r="AL254" s="109" t="n"/>
      <c r="AM254" s="109" t="n"/>
      <c r="AN254" s="109" t="n"/>
    </row>
    <row r="255" ht="15.75" customHeight="1" s="216">
      <c r="D255" s="109" t="n"/>
      <c r="E255" s="109" t="n"/>
      <c r="J255" s="109" t="n"/>
      <c r="K255" s="109" t="n"/>
      <c r="L255" s="109" t="n"/>
      <c r="N255" s="109" t="n"/>
      <c r="O255" s="109" t="n"/>
      <c r="P255" s="109" t="n"/>
      <c r="T255" s="109" t="n"/>
      <c r="U255" s="109" t="n"/>
      <c r="V255" s="109" t="n"/>
      <c r="Z255" s="109" t="n"/>
      <c r="AA255" s="109" t="n"/>
      <c r="AB255" s="109" t="n"/>
      <c r="AF255" s="109" t="n"/>
      <c r="AG255" s="109" t="n"/>
      <c r="AH255" s="109" t="n"/>
      <c r="AL255" s="109" t="n"/>
      <c r="AM255" s="109" t="n"/>
      <c r="AN255" s="109" t="n"/>
    </row>
    <row r="256" ht="15.75" customHeight="1" s="216">
      <c r="D256" s="109" t="n"/>
      <c r="E256" s="109" t="n"/>
      <c r="J256" s="109" t="n"/>
      <c r="K256" s="109" t="n"/>
      <c r="L256" s="109" t="n"/>
      <c r="N256" s="109" t="n"/>
      <c r="O256" s="109" t="n"/>
      <c r="P256" s="109" t="n"/>
      <c r="T256" s="109" t="n"/>
      <c r="U256" s="109" t="n"/>
      <c r="V256" s="109" t="n"/>
      <c r="Z256" s="109" t="n"/>
      <c r="AA256" s="109" t="n"/>
      <c r="AB256" s="109" t="n"/>
      <c r="AF256" s="109" t="n"/>
      <c r="AG256" s="109" t="n"/>
      <c r="AH256" s="109" t="n"/>
      <c r="AL256" s="109" t="n"/>
      <c r="AM256" s="109" t="n"/>
      <c r="AN256" s="109" t="n"/>
    </row>
    <row r="257" ht="15.75" customHeight="1" s="216">
      <c r="D257" s="109" t="n"/>
      <c r="E257" s="109" t="n"/>
      <c r="J257" s="109" t="n"/>
      <c r="K257" s="109" t="n"/>
      <c r="L257" s="109" t="n"/>
      <c r="N257" s="109" t="n"/>
      <c r="O257" s="109" t="n"/>
      <c r="P257" s="109" t="n"/>
      <c r="T257" s="109" t="n"/>
      <c r="U257" s="109" t="n"/>
      <c r="V257" s="109" t="n"/>
      <c r="Z257" s="109" t="n"/>
      <c r="AA257" s="109" t="n"/>
      <c r="AB257" s="109" t="n"/>
      <c r="AF257" s="109" t="n"/>
      <c r="AG257" s="109" t="n"/>
      <c r="AH257" s="109" t="n"/>
      <c r="AL257" s="109" t="n"/>
      <c r="AM257" s="109" t="n"/>
      <c r="AN257" s="109" t="n"/>
    </row>
    <row r="258" ht="15.75" customHeight="1" s="216">
      <c r="D258" s="109" t="n"/>
      <c r="E258" s="109" t="n"/>
      <c r="J258" s="109" t="n"/>
      <c r="K258" s="109" t="n"/>
      <c r="L258" s="109" t="n"/>
      <c r="N258" s="109" t="n"/>
      <c r="O258" s="109" t="n"/>
      <c r="P258" s="109" t="n"/>
      <c r="T258" s="109" t="n"/>
      <c r="U258" s="109" t="n"/>
      <c r="V258" s="109" t="n"/>
      <c r="Z258" s="109" t="n"/>
      <c r="AA258" s="109" t="n"/>
      <c r="AB258" s="109" t="n"/>
      <c r="AF258" s="109" t="n"/>
      <c r="AG258" s="109" t="n"/>
      <c r="AH258" s="109" t="n"/>
      <c r="AL258" s="109" t="n"/>
      <c r="AM258" s="109" t="n"/>
      <c r="AN258" s="109" t="n"/>
    </row>
    <row r="259" ht="15.75" customHeight="1" s="216">
      <c r="D259" s="109" t="n"/>
      <c r="E259" s="109" t="n"/>
      <c r="J259" s="109" t="n"/>
      <c r="K259" s="109" t="n"/>
      <c r="L259" s="109" t="n"/>
      <c r="N259" s="109" t="n"/>
      <c r="O259" s="109" t="n"/>
      <c r="P259" s="109" t="n"/>
      <c r="T259" s="109" t="n"/>
      <c r="U259" s="109" t="n"/>
      <c r="V259" s="109" t="n"/>
      <c r="Z259" s="109" t="n"/>
      <c r="AA259" s="109" t="n"/>
      <c r="AB259" s="109" t="n"/>
      <c r="AF259" s="109" t="n"/>
      <c r="AG259" s="109" t="n"/>
      <c r="AH259" s="109" t="n"/>
      <c r="AL259" s="109" t="n"/>
      <c r="AM259" s="109" t="n"/>
      <c r="AN259" s="109" t="n"/>
    </row>
    <row r="260" ht="15.75" customHeight="1" s="216">
      <c r="D260" s="109" t="n"/>
      <c r="E260" s="109" t="n"/>
      <c r="J260" s="109" t="n"/>
      <c r="K260" s="109" t="n"/>
      <c r="L260" s="109" t="n"/>
      <c r="N260" s="109" t="n"/>
      <c r="O260" s="109" t="n"/>
      <c r="P260" s="109" t="n"/>
      <c r="T260" s="109" t="n"/>
      <c r="U260" s="109" t="n"/>
      <c r="V260" s="109" t="n"/>
      <c r="Z260" s="109" t="n"/>
      <c r="AA260" s="109" t="n"/>
      <c r="AB260" s="109" t="n"/>
      <c r="AF260" s="109" t="n"/>
      <c r="AG260" s="109" t="n"/>
      <c r="AH260" s="109" t="n"/>
      <c r="AL260" s="109" t="n"/>
      <c r="AM260" s="109" t="n"/>
      <c r="AN260" s="109" t="n"/>
    </row>
    <row r="261" ht="15.75" customHeight="1" s="216">
      <c r="D261" s="109" t="n"/>
      <c r="E261" s="109" t="n"/>
      <c r="J261" s="109" t="n"/>
      <c r="K261" s="109" t="n"/>
      <c r="L261" s="109" t="n"/>
      <c r="N261" s="109" t="n"/>
      <c r="O261" s="109" t="n"/>
      <c r="P261" s="109" t="n"/>
      <c r="T261" s="109" t="n"/>
      <c r="U261" s="109" t="n"/>
      <c r="V261" s="109" t="n"/>
      <c r="Z261" s="109" t="n"/>
      <c r="AA261" s="109" t="n"/>
      <c r="AB261" s="109" t="n"/>
      <c r="AF261" s="109" t="n"/>
      <c r="AG261" s="109" t="n"/>
      <c r="AH261" s="109" t="n"/>
      <c r="AL261" s="109" t="n"/>
      <c r="AM261" s="109" t="n"/>
      <c r="AN261" s="109" t="n"/>
    </row>
    <row r="262" ht="15.75" customHeight="1" s="216">
      <c r="D262" s="109" t="n"/>
      <c r="E262" s="109" t="n"/>
      <c r="J262" s="109" t="n"/>
      <c r="K262" s="109" t="n"/>
      <c r="L262" s="109" t="n"/>
      <c r="N262" s="109" t="n"/>
      <c r="O262" s="109" t="n"/>
      <c r="P262" s="109" t="n"/>
      <c r="T262" s="109" t="n"/>
      <c r="U262" s="109" t="n"/>
      <c r="V262" s="109" t="n"/>
      <c r="Z262" s="109" t="n"/>
      <c r="AA262" s="109" t="n"/>
      <c r="AB262" s="109" t="n"/>
      <c r="AF262" s="109" t="n"/>
      <c r="AG262" s="109" t="n"/>
      <c r="AH262" s="109" t="n"/>
      <c r="AL262" s="109" t="n"/>
      <c r="AM262" s="109" t="n"/>
      <c r="AN262" s="109" t="n"/>
    </row>
    <row r="263" ht="15.75" customHeight="1" s="216">
      <c r="D263" s="109" t="n"/>
      <c r="E263" s="109" t="n"/>
      <c r="J263" s="109" t="n"/>
      <c r="K263" s="109" t="n"/>
      <c r="L263" s="109" t="n"/>
      <c r="N263" s="109" t="n"/>
      <c r="O263" s="109" t="n"/>
      <c r="P263" s="109" t="n"/>
      <c r="T263" s="109" t="n"/>
      <c r="U263" s="109" t="n"/>
      <c r="V263" s="109" t="n"/>
      <c r="Z263" s="109" t="n"/>
      <c r="AA263" s="109" t="n"/>
      <c r="AB263" s="109" t="n"/>
      <c r="AF263" s="109" t="n"/>
      <c r="AG263" s="109" t="n"/>
      <c r="AH263" s="109" t="n"/>
      <c r="AL263" s="109" t="n"/>
      <c r="AM263" s="109" t="n"/>
      <c r="AN263" s="109" t="n"/>
    </row>
    <row r="264" ht="15.75" customHeight="1" s="216">
      <c r="D264" s="109" t="n"/>
      <c r="E264" s="109" t="n"/>
      <c r="J264" s="109" t="n"/>
      <c r="K264" s="109" t="n"/>
      <c r="L264" s="109" t="n"/>
      <c r="N264" s="109" t="n"/>
      <c r="O264" s="109" t="n"/>
      <c r="P264" s="109" t="n"/>
      <c r="T264" s="109" t="n"/>
      <c r="U264" s="109" t="n"/>
      <c r="V264" s="109" t="n"/>
      <c r="Z264" s="109" t="n"/>
      <c r="AA264" s="109" t="n"/>
      <c r="AB264" s="109" t="n"/>
      <c r="AF264" s="109" t="n"/>
      <c r="AG264" s="109" t="n"/>
      <c r="AH264" s="109" t="n"/>
      <c r="AL264" s="109" t="n"/>
      <c r="AM264" s="109" t="n"/>
      <c r="AN264" s="109" t="n"/>
    </row>
    <row r="265" ht="15.75" customHeight="1" s="216">
      <c r="D265" s="109" t="n"/>
      <c r="E265" s="109" t="n"/>
      <c r="J265" s="109" t="n"/>
      <c r="K265" s="109" t="n"/>
      <c r="L265" s="109" t="n"/>
      <c r="N265" s="109" t="n"/>
      <c r="O265" s="109" t="n"/>
      <c r="P265" s="109" t="n"/>
      <c r="T265" s="109" t="n"/>
      <c r="U265" s="109" t="n"/>
      <c r="V265" s="109" t="n"/>
      <c r="Z265" s="109" t="n"/>
      <c r="AA265" s="109" t="n"/>
      <c r="AB265" s="109" t="n"/>
      <c r="AF265" s="109" t="n"/>
      <c r="AG265" s="109" t="n"/>
      <c r="AH265" s="109" t="n"/>
      <c r="AL265" s="109" t="n"/>
      <c r="AM265" s="109" t="n"/>
      <c r="AN265" s="109" t="n"/>
    </row>
    <row r="266" ht="15.75" customHeight="1" s="216">
      <c r="D266" s="109" t="n"/>
      <c r="E266" s="109" t="n"/>
      <c r="J266" s="109" t="n"/>
      <c r="K266" s="109" t="n"/>
      <c r="L266" s="109" t="n"/>
      <c r="N266" s="109" t="n"/>
      <c r="O266" s="109" t="n"/>
      <c r="P266" s="109" t="n"/>
      <c r="T266" s="109" t="n"/>
      <c r="U266" s="109" t="n"/>
      <c r="V266" s="109" t="n"/>
      <c r="Z266" s="109" t="n"/>
      <c r="AA266" s="109" t="n"/>
      <c r="AB266" s="109" t="n"/>
      <c r="AF266" s="109" t="n"/>
      <c r="AG266" s="109" t="n"/>
      <c r="AH266" s="109" t="n"/>
      <c r="AL266" s="109" t="n"/>
      <c r="AM266" s="109" t="n"/>
      <c r="AN266" s="109" t="n"/>
    </row>
    <row r="267" ht="15.75" customHeight="1" s="216">
      <c r="D267" s="109" t="n"/>
      <c r="E267" s="109" t="n"/>
      <c r="J267" s="109" t="n"/>
      <c r="K267" s="109" t="n"/>
      <c r="L267" s="109" t="n"/>
      <c r="N267" s="109" t="n"/>
      <c r="O267" s="109" t="n"/>
      <c r="P267" s="109" t="n"/>
      <c r="T267" s="109" t="n"/>
      <c r="U267" s="109" t="n"/>
      <c r="V267" s="109" t="n"/>
      <c r="Z267" s="109" t="n"/>
      <c r="AA267" s="109" t="n"/>
      <c r="AB267" s="109" t="n"/>
      <c r="AF267" s="109" t="n"/>
      <c r="AG267" s="109" t="n"/>
      <c r="AH267" s="109" t="n"/>
      <c r="AL267" s="109" t="n"/>
      <c r="AM267" s="109" t="n"/>
      <c r="AN267" s="109" t="n"/>
    </row>
    <row r="268" ht="15.75" customHeight="1" s="216">
      <c r="D268" s="109" t="n"/>
      <c r="E268" s="109" t="n"/>
      <c r="J268" s="109" t="n"/>
      <c r="K268" s="109" t="n"/>
      <c r="L268" s="109" t="n"/>
      <c r="N268" s="109" t="n"/>
      <c r="O268" s="109" t="n"/>
      <c r="P268" s="109" t="n"/>
      <c r="T268" s="109" t="n"/>
      <c r="U268" s="109" t="n"/>
      <c r="V268" s="109" t="n"/>
      <c r="Z268" s="109" t="n"/>
      <c r="AA268" s="109" t="n"/>
      <c r="AB268" s="109" t="n"/>
      <c r="AF268" s="109" t="n"/>
      <c r="AG268" s="109" t="n"/>
      <c r="AH268" s="109" t="n"/>
      <c r="AL268" s="109" t="n"/>
      <c r="AM268" s="109" t="n"/>
      <c r="AN268" s="109" t="n"/>
    </row>
    <row r="269" ht="15.75" customHeight="1" s="216">
      <c r="D269" s="109" t="n"/>
      <c r="E269" s="109" t="n"/>
      <c r="J269" s="109" t="n"/>
      <c r="K269" s="109" t="n"/>
      <c r="L269" s="109" t="n"/>
      <c r="N269" s="109" t="n"/>
      <c r="O269" s="109" t="n"/>
      <c r="P269" s="109" t="n"/>
      <c r="T269" s="109" t="n"/>
      <c r="U269" s="109" t="n"/>
      <c r="V269" s="109" t="n"/>
      <c r="Z269" s="109" t="n"/>
      <c r="AA269" s="109" t="n"/>
      <c r="AB269" s="109" t="n"/>
      <c r="AF269" s="109" t="n"/>
      <c r="AG269" s="109" t="n"/>
      <c r="AH269" s="109" t="n"/>
      <c r="AL269" s="109" t="n"/>
      <c r="AM269" s="109" t="n"/>
      <c r="AN269" s="109" t="n"/>
    </row>
    <row r="270" ht="15.75" customHeight="1" s="216">
      <c r="D270" s="109" t="n"/>
      <c r="E270" s="109" t="n"/>
      <c r="J270" s="109" t="n"/>
      <c r="K270" s="109" t="n"/>
      <c r="L270" s="109" t="n"/>
      <c r="N270" s="109" t="n"/>
      <c r="O270" s="109" t="n"/>
      <c r="P270" s="109" t="n"/>
      <c r="T270" s="109" t="n"/>
      <c r="U270" s="109" t="n"/>
      <c r="V270" s="109" t="n"/>
      <c r="Z270" s="109" t="n"/>
      <c r="AA270" s="109" t="n"/>
      <c r="AB270" s="109" t="n"/>
      <c r="AF270" s="109" t="n"/>
      <c r="AG270" s="109" t="n"/>
      <c r="AH270" s="109" t="n"/>
      <c r="AL270" s="109" t="n"/>
      <c r="AM270" s="109" t="n"/>
      <c r="AN270" s="109" t="n"/>
    </row>
    <row r="271" ht="15.75" customHeight="1" s="216">
      <c r="D271" s="109" t="n"/>
      <c r="E271" s="109" t="n"/>
      <c r="J271" s="109" t="n"/>
      <c r="K271" s="109" t="n"/>
      <c r="L271" s="109" t="n"/>
      <c r="N271" s="109" t="n"/>
      <c r="O271" s="109" t="n"/>
      <c r="P271" s="109" t="n"/>
      <c r="T271" s="109" t="n"/>
      <c r="U271" s="109" t="n"/>
      <c r="V271" s="109" t="n"/>
      <c r="Z271" s="109" t="n"/>
      <c r="AA271" s="109" t="n"/>
      <c r="AB271" s="109" t="n"/>
      <c r="AF271" s="109" t="n"/>
      <c r="AG271" s="109" t="n"/>
      <c r="AH271" s="109" t="n"/>
      <c r="AL271" s="109" t="n"/>
      <c r="AM271" s="109" t="n"/>
      <c r="AN271" s="109" t="n"/>
    </row>
    <row r="272" ht="15.75" customHeight="1" s="216">
      <c r="D272" s="109" t="n"/>
      <c r="E272" s="109" t="n"/>
      <c r="J272" s="109" t="n"/>
      <c r="K272" s="109" t="n"/>
      <c r="L272" s="109" t="n"/>
      <c r="N272" s="109" t="n"/>
      <c r="O272" s="109" t="n"/>
      <c r="P272" s="109" t="n"/>
      <c r="T272" s="109" t="n"/>
      <c r="U272" s="109" t="n"/>
      <c r="V272" s="109" t="n"/>
      <c r="Z272" s="109" t="n"/>
      <c r="AA272" s="109" t="n"/>
      <c r="AB272" s="109" t="n"/>
      <c r="AF272" s="109" t="n"/>
      <c r="AG272" s="109" t="n"/>
      <c r="AH272" s="109" t="n"/>
      <c r="AL272" s="109" t="n"/>
      <c r="AM272" s="109" t="n"/>
      <c r="AN272" s="109" t="n"/>
    </row>
    <row r="273" ht="15.75" customHeight="1" s="216">
      <c r="D273" s="109" t="n"/>
      <c r="E273" s="109" t="n"/>
      <c r="J273" s="109" t="n"/>
      <c r="K273" s="109" t="n"/>
      <c r="L273" s="109" t="n"/>
      <c r="N273" s="109" t="n"/>
      <c r="O273" s="109" t="n"/>
      <c r="P273" s="109" t="n"/>
      <c r="T273" s="109" t="n"/>
      <c r="U273" s="109" t="n"/>
      <c r="V273" s="109" t="n"/>
      <c r="Z273" s="109" t="n"/>
      <c r="AA273" s="109" t="n"/>
      <c r="AB273" s="109" t="n"/>
      <c r="AF273" s="109" t="n"/>
      <c r="AG273" s="109" t="n"/>
      <c r="AH273" s="109" t="n"/>
      <c r="AL273" s="109" t="n"/>
      <c r="AM273" s="109" t="n"/>
      <c r="AN273" s="109" t="n"/>
    </row>
    <row r="274" ht="15.75" customHeight="1" s="216">
      <c r="D274" s="109" t="n"/>
      <c r="E274" s="109" t="n"/>
      <c r="J274" s="109" t="n"/>
      <c r="K274" s="109" t="n"/>
      <c r="L274" s="109" t="n"/>
      <c r="N274" s="109" t="n"/>
      <c r="O274" s="109" t="n"/>
      <c r="P274" s="109" t="n"/>
      <c r="T274" s="109" t="n"/>
      <c r="U274" s="109" t="n"/>
      <c r="V274" s="109" t="n"/>
      <c r="Z274" s="109" t="n"/>
      <c r="AA274" s="109" t="n"/>
      <c r="AB274" s="109" t="n"/>
      <c r="AF274" s="109" t="n"/>
      <c r="AG274" s="109" t="n"/>
      <c r="AH274" s="109" t="n"/>
      <c r="AL274" s="109" t="n"/>
      <c r="AM274" s="109" t="n"/>
      <c r="AN274" s="109" t="n"/>
    </row>
    <row r="275" ht="15.75" customHeight="1" s="216">
      <c r="D275" s="109" t="n"/>
      <c r="E275" s="109" t="n"/>
      <c r="J275" s="109" t="n"/>
      <c r="K275" s="109" t="n"/>
      <c r="L275" s="109" t="n"/>
      <c r="N275" s="109" t="n"/>
      <c r="O275" s="109" t="n"/>
      <c r="P275" s="109" t="n"/>
      <c r="T275" s="109" t="n"/>
      <c r="U275" s="109" t="n"/>
      <c r="V275" s="109" t="n"/>
      <c r="Z275" s="109" t="n"/>
      <c r="AA275" s="109" t="n"/>
      <c r="AB275" s="109" t="n"/>
      <c r="AF275" s="109" t="n"/>
      <c r="AG275" s="109" t="n"/>
      <c r="AH275" s="109" t="n"/>
      <c r="AL275" s="109" t="n"/>
      <c r="AM275" s="109" t="n"/>
      <c r="AN275" s="109" t="n"/>
    </row>
    <row r="276" ht="15.75" customHeight="1" s="216">
      <c r="D276" s="109" t="n"/>
      <c r="E276" s="109" t="n"/>
      <c r="J276" s="109" t="n"/>
      <c r="K276" s="109" t="n"/>
      <c r="L276" s="109" t="n"/>
      <c r="N276" s="109" t="n"/>
      <c r="O276" s="109" t="n"/>
      <c r="P276" s="109" t="n"/>
      <c r="T276" s="109" t="n"/>
      <c r="U276" s="109" t="n"/>
      <c r="V276" s="109" t="n"/>
      <c r="Z276" s="109" t="n"/>
      <c r="AA276" s="109" t="n"/>
      <c r="AB276" s="109" t="n"/>
      <c r="AF276" s="109" t="n"/>
      <c r="AG276" s="109" t="n"/>
      <c r="AH276" s="109" t="n"/>
      <c r="AL276" s="109" t="n"/>
      <c r="AM276" s="109" t="n"/>
      <c r="AN276" s="109" t="n"/>
    </row>
    <row r="277" ht="15.75" customHeight="1" s="216">
      <c r="D277" s="109" t="n"/>
      <c r="E277" s="109" t="n"/>
      <c r="J277" s="109" t="n"/>
      <c r="K277" s="109" t="n"/>
      <c r="L277" s="109" t="n"/>
      <c r="N277" s="109" t="n"/>
      <c r="O277" s="109" t="n"/>
      <c r="P277" s="109" t="n"/>
      <c r="T277" s="109" t="n"/>
      <c r="U277" s="109" t="n"/>
      <c r="V277" s="109" t="n"/>
      <c r="Z277" s="109" t="n"/>
      <c r="AA277" s="109" t="n"/>
      <c r="AB277" s="109" t="n"/>
      <c r="AF277" s="109" t="n"/>
      <c r="AG277" s="109" t="n"/>
      <c r="AH277" s="109" t="n"/>
      <c r="AL277" s="109" t="n"/>
      <c r="AM277" s="109" t="n"/>
      <c r="AN277" s="109" t="n"/>
    </row>
    <row r="278" ht="15.75" customHeight="1" s="216">
      <c r="D278" s="109" t="n"/>
      <c r="E278" s="109" t="n"/>
      <c r="J278" s="109" t="n"/>
      <c r="K278" s="109" t="n"/>
      <c r="L278" s="109" t="n"/>
      <c r="N278" s="109" t="n"/>
      <c r="O278" s="109" t="n"/>
      <c r="P278" s="109" t="n"/>
      <c r="T278" s="109" t="n"/>
      <c r="U278" s="109" t="n"/>
      <c r="V278" s="109" t="n"/>
      <c r="Z278" s="109" t="n"/>
      <c r="AA278" s="109" t="n"/>
      <c r="AB278" s="109" t="n"/>
      <c r="AF278" s="109" t="n"/>
      <c r="AG278" s="109" t="n"/>
      <c r="AH278" s="109" t="n"/>
      <c r="AL278" s="109" t="n"/>
      <c r="AM278" s="109" t="n"/>
      <c r="AN278" s="109" t="n"/>
    </row>
    <row r="279" ht="15.75" customHeight="1" s="216">
      <c r="D279" s="109" t="n"/>
      <c r="E279" s="109" t="n"/>
      <c r="J279" s="109" t="n"/>
      <c r="K279" s="109" t="n"/>
      <c r="L279" s="109" t="n"/>
      <c r="N279" s="109" t="n"/>
      <c r="O279" s="109" t="n"/>
      <c r="P279" s="109" t="n"/>
      <c r="T279" s="109" t="n"/>
      <c r="U279" s="109" t="n"/>
      <c r="V279" s="109" t="n"/>
      <c r="Z279" s="109" t="n"/>
      <c r="AA279" s="109" t="n"/>
      <c r="AB279" s="109" t="n"/>
      <c r="AF279" s="109" t="n"/>
      <c r="AG279" s="109" t="n"/>
      <c r="AH279" s="109" t="n"/>
      <c r="AL279" s="109" t="n"/>
      <c r="AM279" s="109" t="n"/>
      <c r="AN279" s="109" t="n"/>
    </row>
    <row r="280" ht="15.75" customHeight="1" s="216">
      <c r="D280" s="109" t="n"/>
      <c r="E280" s="109" t="n"/>
      <c r="J280" s="109" t="n"/>
      <c r="K280" s="109" t="n"/>
      <c r="L280" s="109" t="n"/>
      <c r="N280" s="109" t="n"/>
      <c r="O280" s="109" t="n"/>
      <c r="P280" s="109" t="n"/>
      <c r="T280" s="109" t="n"/>
      <c r="U280" s="109" t="n"/>
      <c r="V280" s="109" t="n"/>
      <c r="Z280" s="109" t="n"/>
      <c r="AA280" s="109" t="n"/>
      <c r="AB280" s="109" t="n"/>
      <c r="AF280" s="109" t="n"/>
      <c r="AG280" s="109" t="n"/>
      <c r="AH280" s="109" t="n"/>
      <c r="AL280" s="109" t="n"/>
      <c r="AM280" s="109" t="n"/>
      <c r="AN280" s="109" t="n"/>
    </row>
    <row r="281" ht="15.75" customHeight="1" s="216">
      <c r="D281" s="109" t="n"/>
      <c r="E281" s="109" t="n"/>
      <c r="J281" s="109" t="n"/>
      <c r="K281" s="109" t="n"/>
      <c r="L281" s="109" t="n"/>
      <c r="N281" s="109" t="n"/>
      <c r="O281" s="109" t="n"/>
      <c r="P281" s="109" t="n"/>
      <c r="T281" s="109" t="n"/>
      <c r="U281" s="109" t="n"/>
      <c r="V281" s="109" t="n"/>
      <c r="Z281" s="109" t="n"/>
      <c r="AA281" s="109" t="n"/>
      <c r="AB281" s="109" t="n"/>
      <c r="AF281" s="109" t="n"/>
      <c r="AG281" s="109" t="n"/>
      <c r="AH281" s="109" t="n"/>
      <c r="AL281" s="109" t="n"/>
      <c r="AM281" s="109" t="n"/>
      <c r="AN281" s="109" t="n"/>
    </row>
    <row r="282" ht="15.75" customHeight="1" s="216">
      <c r="D282" s="109" t="n"/>
      <c r="E282" s="109" t="n"/>
      <c r="J282" s="109" t="n"/>
      <c r="K282" s="109" t="n"/>
      <c r="L282" s="109" t="n"/>
      <c r="N282" s="109" t="n"/>
      <c r="O282" s="109" t="n"/>
      <c r="P282" s="109" t="n"/>
      <c r="T282" s="109" t="n"/>
      <c r="U282" s="109" t="n"/>
      <c r="V282" s="109" t="n"/>
      <c r="Z282" s="109" t="n"/>
      <c r="AA282" s="109" t="n"/>
      <c r="AB282" s="109" t="n"/>
      <c r="AF282" s="109" t="n"/>
      <c r="AG282" s="109" t="n"/>
      <c r="AH282" s="109" t="n"/>
      <c r="AL282" s="109" t="n"/>
      <c r="AM282" s="109" t="n"/>
      <c r="AN282" s="109" t="n"/>
    </row>
    <row r="283" ht="15.75" customHeight="1" s="216">
      <c r="D283" s="109" t="n"/>
      <c r="E283" s="109" t="n"/>
      <c r="J283" s="109" t="n"/>
      <c r="K283" s="109" t="n"/>
      <c r="L283" s="109" t="n"/>
      <c r="N283" s="109" t="n"/>
      <c r="O283" s="109" t="n"/>
      <c r="P283" s="109" t="n"/>
      <c r="T283" s="109" t="n"/>
      <c r="U283" s="109" t="n"/>
      <c r="V283" s="109" t="n"/>
      <c r="Z283" s="109" t="n"/>
      <c r="AA283" s="109" t="n"/>
      <c r="AB283" s="109" t="n"/>
      <c r="AF283" s="109" t="n"/>
      <c r="AG283" s="109" t="n"/>
      <c r="AH283" s="109" t="n"/>
      <c r="AL283" s="109" t="n"/>
      <c r="AM283" s="109" t="n"/>
      <c r="AN283" s="109" t="n"/>
    </row>
    <row r="284" ht="15.75" customHeight="1" s="216">
      <c r="D284" s="109" t="n"/>
      <c r="E284" s="109" t="n"/>
      <c r="J284" s="109" t="n"/>
      <c r="K284" s="109" t="n"/>
      <c r="L284" s="109" t="n"/>
      <c r="N284" s="109" t="n"/>
      <c r="O284" s="109" t="n"/>
      <c r="P284" s="109" t="n"/>
      <c r="T284" s="109" t="n"/>
      <c r="U284" s="109" t="n"/>
      <c r="V284" s="109" t="n"/>
      <c r="Z284" s="109" t="n"/>
      <c r="AA284" s="109" t="n"/>
      <c r="AB284" s="109" t="n"/>
      <c r="AF284" s="109" t="n"/>
      <c r="AG284" s="109" t="n"/>
      <c r="AH284" s="109" t="n"/>
      <c r="AL284" s="109" t="n"/>
      <c r="AM284" s="109" t="n"/>
      <c r="AN284" s="109" t="n"/>
    </row>
    <row r="285" ht="15.75" customHeight="1" s="216">
      <c r="D285" s="109" t="n"/>
      <c r="E285" s="109" t="n"/>
      <c r="J285" s="109" t="n"/>
      <c r="K285" s="109" t="n"/>
      <c r="L285" s="109" t="n"/>
      <c r="N285" s="109" t="n"/>
      <c r="O285" s="109" t="n"/>
      <c r="P285" s="109" t="n"/>
      <c r="T285" s="109" t="n"/>
      <c r="U285" s="109" t="n"/>
      <c r="V285" s="109" t="n"/>
      <c r="Z285" s="109" t="n"/>
      <c r="AA285" s="109" t="n"/>
      <c r="AB285" s="109" t="n"/>
      <c r="AF285" s="109" t="n"/>
      <c r="AG285" s="109" t="n"/>
      <c r="AH285" s="109" t="n"/>
      <c r="AL285" s="109" t="n"/>
      <c r="AM285" s="109" t="n"/>
      <c r="AN285" s="109" t="n"/>
    </row>
    <row r="286" ht="15.75" customHeight="1" s="216">
      <c r="D286" s="109" t="n"/>
      <c r="E286" s="109" t="n"/>
      <c r="J286" s="109" t="n"/>
      <c r="K286" s="109" t="n"/>
      <c r="L286" s="109" t="n"/>
      <c r="N286" s="109" t="n"/>
      <c r="O286" s="109" t="n"/>
      <c r="P286" s="109" t="n"/>
      <c r="T286" s="109" t="n"/>
      <c r="U286" s="109" t="n"/>
      <c r="V286" s="109" t="n"/>
      <c r="Z286" s="109" t="n"/>
      <c r="AA286" s="109" t="n"/>
      <c r="AB286" s="109" t="n"/>
      <c r="AF286" s="109" t="n"/>
      <c r="AG286" s="109" t="n"/>
      <c r="AH286" s="109" t="n"/>
      <c r="AL286" s="109" t="n"/>
      <c r="AM286" s="109" t="n"/>
      <c r="AN286" s="109" t="n"/>
    </row>
    <row r="287" ht="15.75" customHeight="1" s="216">
      <c r="D287" s="109" t="n"/>
      <c r="E287" s="109" t="n"/>
      <c r="J287" s="109" t="n"/>
      <c r="K287" s="109" t="n"/>
      <c r="L287" s="109" t="n"/>
      <c r="N287" s="109" t="n"/>
      <c r="O287" s="109" t="n"/>
      <c r="P287" s="109" t="n"/>
      <c r="T287" s="109" t="n"/>
      <c r="U287" s="109" t="n"/>
      <c r="V287" s="109" t="n"/>
      <c r="Z287" s="109" t="n"/>
      <c r="AA287" s="109" t="n"/>
      <c r="AB287" s="109" t="n"/>
      <c r="AF287" s="109" t="n"/>
      <c r="AG287" s="109" t="n"/>
      <c r="AH287" s="109" t="n"/>
      <c r="AL287" s="109" t="n"/>
      <c r="AM287" s="109" t="n"/>
      <c r="AN287" s="109" t="n"/>
    </row>
    <row r="288" ht="15.75" customHeight="1" s="216">
      <c r="D288" s="109" t="n"/>
      <c r="E288" s="109" t="n"/>
      <c r="J288" s="109" t="n"/>
      <c r="K288" s="109" t="n"/>
      <c r="L288" s="109" t="n"/>
      <c r="N288" s="109" t="n"/>
      <c r="O288" s="109" t="n"/>
      <c r="P288" s="109" t="n"/>
      <c r="T288" s="109" t="n"/>
      <c r="U288" s="109" t="n"/>
      <c r="V288" s="109" t="n"/>
      <c r="Z288" s="109" t="n"/>
      <c r="AA288" s="109" t="n"/>
      <c r="AB288" s="109" t="n"/>
      <c r="AF288" s="109" t="n"/>
      <c r="AG288" s="109" t="n"/>
      <c r="AH288" s="109" t="n"/>
      <c r="AL288" s="109" t="n"/>
      <c r="AM288" s="109" t="n"/>
      <c r="AN288" s="109" t="n"/>
    </row>
    <row r="289" ht="15.75" customHeight="1" s="216">
      <c r="D289" s="109" t="n"/>
      <c r="E289" s="109" t="n"/>
      <c r="J289" s="109" t="n"/>
      <c r="K289" s="109" t="n"/>
      <c r="L289" s="109" t="n"/>
      <c r="N289" s="109" t="n"/>
      <c r="O289" s="109" t="n"/>
      <c r="P289" s="109" t="n"/>
      <c r="T289" s="109" t="n"/>
      <c r="U289" s="109" t="n"/>
      <c r="V289" s="109" t="n"/>
      <c r="Z289" s="109" t="n"/>
      <c r="AA289" s="109" t="n"/>
      <c r="AB289" s="109" t="n"/>
      <c r="AF289" s="109" t="n"/>
      <c r="AG289" s="109" t="n"/>
      <c r="AH289" s="109" t="n"/>
      <c r="AL289" s="109" t="n"/>
      <c r="AM289" s="109" t="n"/>
      <c r="AN289" s="109" t="n"/>
    </row>
    <row r="290" ht="15.75" customHeight="1" s="216">
      <c r="D290" s="109" t="n"/>
      <c r="E290" s="109" t="n"/>
      <c r="J290" s="109" t="n"/>
      <c r="K290" s="109" t="n"/>
      <c r="L290" s="109" t="n"/>
      <c r="N290" s="109" t="n"/>
      <c r="O290" s="109" t="n"/>
      <c r="P290" s="109" t="n"/>
      <c r="T290" s="109" t="n"/>
      <c r="U290" s="109" t="n"/>
      <c r="V290" s="109" t="n"/>
      <c r="Z290" s="109" t="n"/>
      <c r="AA290" s="109" t="n"/>
      <c r="AB290" s="109" t="n"/>
      <c r="AF290" s="109" t="n"/>
      <c r="AG290" s="109" t="n"/>
      <c r="AH290" s="109" t="n"/>
      <c r="AL290" s="109" t="n"/>
      <c r="AM290" s="109" t="n"/>
      <c r="AN290" s="109" t="n"/>
    </row>
    <row r="291" ht="15.75" customHeight="1" s="216">
      <c r="D291" s="109" t="n"/>
      <c r="E291" s="109" t="n"/>
      <c r="J291" s="109" t="n"/>
      <c r="K291" s="109" t="n"/>
      <c r="L291" s="109" t="n"/>
      <c r="N291" s="109" t="n"/>
      <c r="O291" s="109" t="n"/>
      <c r="P291" s="109" t="n"/>
      <c r="T291" s="109" t="n"/>
      <c r="U291" s="109" t="n"/>
      <c r="V291" s="109" t="n"/>
      <c r="Z291" s="109" t="n"/>
      <c r="AA291" s="109" t="n"/>
      <c r="AB291" s="109" t="n"/>
      <c r="AF291" s="109" t="n"/>
      <c r="AG291" s="109" t="n"/>
      <c r="AH291" s="109" t="n"/>
      <c r="AL291" s="109" t="n"/>
      <c r="AM291" s="109" t="n"/>
      <c r="AN291" s="109" t="n"/>
    </row>
    <row r="292" ht="15.75" customHeight="1" s="216">
      <c r="D292" s="109" t="n"/>
      <c r="E292" s="109" t="n"/>
      <c r="J292" s="109" t="n"/>
      <c r="K292" s="109" t="n"/>
      <c r="L292" s="109" t="n"/>
      <c r="N292" s="109" t="n"/>
      <c r="O292" s="109" t="n"/>
      <c r="P292" s="109" t="n"/>
      <c r="T292" s="109" t="n"/>
      <c r="U292" s="109" t="n"/>
      <c r="V292" s="109" t="n"/>
      <c r="Z292" s="109" t="n"/>
      <c r="AA292" s="109" t="n"/>
      <c r="AB292" s="109" t="n"/>
      <c r="AF292" s="109" t="n"/>
      <c r="AG292" s="109" t="n"/>
      <c r="AH292" s="109" t="n"/>
      <c r="AL292" s="109" t="n"/>
      <c r="AM292" s="109" t="n"/>
      <c r="AN292" s="109" t="n"/>
    </row>
    <row r="293" ht="15.75" customHeight="1" s="216">
      <c r="D293" s="109" t="n"/>
      <c r="E293" s="109" t="n"/>
      <c r="J293" s="109" t="n"/>
      <c r="K293" s="109" t="n"/>
      <c r="L293" s="109" t="n"/>
      <c r="N293" s="109" t="n"/>
      <c r="O293" s="109" t="n"/>
      <c r="P293" s="109" t="n"/>
      <c r="T293" s="109" t="n"/>
      <c r="U293" s="109" t="n"/>
      <c r="V293" s="109" t="n"/>
      <c r="Z293" s="109" t="n"/>
      <c r="AA293" s="109" t="n"/>
      <c r="AB293" s="109" t="n"/>
      <c r="AF293" s="109" t="n"/>
      <c r="AG293" s="109" t="n"/>
      <c r="AH293" s="109" t="n"/>
      <c r="AL293" s="109" t="n"/>
      <c r="AM293" s="109" t="n"/>
      <c r="AN293" s="109" t="n"/>
    </row>
    <row r="294" ht="15.75" customHeight="1" s="216">
      <c r="D294" s="109" t="n"/>
      <c r="E294" s="109" t="n"/>
      <c r="J294" s="109" t="n"/>
      <c r="K294" s="109" t="n"/>
      <c r="L294" s="109" t="n"/>
      <c r="N294" s="109" t="n"/>
      <c r="O294" s="109" t="n"/>
      <c r="P294" s="109" t="n"/>
      <c r="T294" s="109" t="n"/>
      <c r="U294" s="109" t="n"/>
      <c r="V294" s="109" t="n"/>
      <c r="Z294" s="109" t="n"/>
      <c r="AA294" s="109" t="n"/>
      <c r="AB294" s="109" t="n"/>
      <c r="AF294" s="109" t="n"/>
      <c r="AG294" s="109" t="n"/>
      <c r="AH294" s="109" t="n"/>
      <c r="AL294" s="109" t="n"/>
      <c r="AM294" s="109" t="n"/>
      <c r="AN294" s="109" t="n"/>
    </row>
    <row r="295" ht="15.75" customHeight="1" s="216">
      <c r="D295" s="109" t="n"/>
      <c r="E295" s="109" t="n"/>
      <c r="J295" s="109" t="n"/>
      <c r="K295" s="109" t="n"/>
      <c r="L295" s="109" t="n"/>
      <c r="N295" s="109" t="n"/>
      <c r="O295" s="109" t="n"/>
      <c r="P295" s="109" t="n"/>
      <c r="T295" s="109" t="n"/>
      <c r="U295" s="109" t="n"/>
      <c r="V295" s="109" t="n"/>
      <c r="Z295" s="109" t="n"/>
      <c r="AA295" s="109" t="n"/>
      <c r="AB295" s="109" t="n"/>
      <c r="AF295" s="109" t="n"/>
      <c r="AG295" s="109" t="n"/>
      <c r="AH295" s="109" t="n"/>
      <c r="AL295" s="109" t="n"/>
      <c r="AM295" s="109" t="n"/>
      <c r="AN295" s="109" t="n"/>
    </row>
    <row r="296" ht="15.75" customHeight="1" s="216">
      <c r="D296" s="109" t="n"/>
      <c r="E296" s="109" t="n"/>
      <c r="J296" s="109" t="n"/>
      <c r="K296" s="109" t="n"/>
      <c r="L296" s="109" t="n"/>
      <c r="N296" s="109" t="n"/>
      <c r="O296" s="109" t="n"/>
      <c r="P296" s="109" t="n"/>
      <c r="T296" s="109" t="n"/>
      <c r="U296" s="109" t="n"/>
      <c r="V296" s="109" t="n"/>
      <c r="Z296" s="109" t="n"/>
      <c r="AA296" s="109" t="n"/>
      <c r="AB296" s="109" t="n"/>
      <c r="AF296" s="109" t="n"/>
      <c r="AG296" s="109" t="n"/>
      <c r="AH296" s="109" t="n"/>
      <c r="AL296" s="109" t="n"/>
      <c r="AM296" s="109" t="n"/>
      <c r="AN296" s="109" t="n"/>
    </row>
    <row r="297" ht="15.75" customHeight="1" s="216">
      <c r="D297" s="109" t="n"/>
      <c r="E297" s="109" t="n"/>
      <c r="J297" s="109" t="n"/>
      <c r="K297" s="109" t="n"/>
      <c r="L297" s="109" t="n"/>
      <c r="N297" s="109" t="n"/>
      <c r="O297" s="109" t="n"/>
      <c r="P297" s="109" t="n"/>
      <c r="T297" s="109" t="n"/>
      <c r="U297" s="109" t="n"/>
      <c r="V297" s="109" t="n"/>
      <c r="Z297" s="109" t="n"/>
      <c r="AA297" s="109" t="n"/>
      <c r="AB297" s="109" t="n"/>
      <c r="AF297" s="109" t="n"/>
      <c r="AG297" s="109" t="n"/>
      <c r="AH297" s="109" t="n"/>
      <c r="AL297" s="109" t="n"/>
      <c r="AM297" s="109" t="n"/>
      <c r="AN297" s="109" t="n"/>
    </row>
    <row r="298" ht="15.75" customHeight="1" s="216">
      <c r="D298" s="109" t="n"/>
      <c r="E298" s="109" t="n"/>
      <c r="J298" s="109" t="n"/>
      <c r="K298" s="109" t="n"/>
      <c r="L298" s="109" t="n"/>
      <c r="N298" s="109" t="n"/>
      <c r="O298" s="109" t="n"/>
      <c r="P298" s="109" t="n"/>
      <c r="T298" s="109" t="n"/>
      <c r="U298" s="109" t="n"/>
      <c r="V298" s="109" t="n"/>
      <c r="Z298" s="109" t="n"/>
      <c r="AA298" s="109" t="n"/>
      <c r="AB298" s="109" t="n"/>
      <c r="AF298" s="109" t="n"/>
      <c r="AG298" s="109" t="n"/>
      <c r="AH298" s="109" t="n"/>
      <c r="AL298" s="109" t="n"/>
      <c r="AM298" s="109" t="n"/>
      <c r="AN298" s="109" t="n"/>
    </row>
    <row r="299" ht="15.75" customHeight="1" s="216">
      <c r="D299" s="109" t="n"/>
      <c r="E299" s="109" t="n"/>
      <c r="J299" s="109" t="n"/>
      <c r="K299" s="109" t="n"/>
      <c r="L299" s="109" t="n"/>
      <c r="N299" s="109" t="n"/>
      <c r="O299" s="109" t="n"/>
      <c r="P299" s="109" t="n"/>
      <c r="T299" s="109" t="n"/>
      <c r="U299" s="109" t="n"/>
      <c r="V299" s="109" t="n"/>
      <c r="Z299" s="109" t="n"/>
      <c r="AA299" s="109" t="n"/>
      <c r="AB299" s="109" t="n"/>
      <c r="AF299" s="109" t="n"/>
      <c r="AG299" s="109" t="n"/>
      <c r="AH299" s="109" t="n"/>
      <c r="AL299" s="109" t="n"/>
      <c r="AM299" s="109" t="n"/>
      <c r="AN299" s="109" t="n"/>
    </row>
    <row r="300" ht="15.75" customHeight="1" s="216">
      <c r="D300" s="109" t="n"/>
      <c r="E300" s="109" t="n"/>
      <c r="J300" s="109" t="n"/>
      <c r="K300" s="109" t="n"/>
      <c r="L300" s="109" t="n"/>
      <c r="N300" s="109" t="n"/>
      <c r="O300" s="109" t="n"/>
      <c r="P300" s="109" t="n"/>
      <c r="T300" s="109" t="n"/>
      <c r="U300" s="109" t="n"/>
      <c r="V300" s="109" t="n"/>
      <c r="Z300" s="109" t="n"/>
      <c r="AA300" s="109" t="n"/>
      <c r="AB300" s="109" t="n"/>
      <c r="AF300" s="109" t="n"/>
      <c r="AG300" s="109" t="n"/>
      <c r="AH300" s="109" t="n"/>
      <c r="AL300" s="109" t="n"/>
      <c r="AM300" s="109" t="n"/>
      <c r="AN300" s="109" t="n"/>
    </row>
    <row r="301" ht="15.75" customHeight="1" s="216">
      <c r="D301" s="109" t="n"/>
      <c r="E301" s="109" t="n"/>
      <c r="J301" s="109" t="n"/>
      <c r="K301" s="109" t="n"/>
      <c r="L301" s="109" t="n"/>
      <c r="N301" s="109" t="n"/>
      <c r="O301" s="109" t="n"/>
      <c r="P301" s="109" t="n"/>
      <c r="T301" s="109" t="n"/>
      <c r="U301" s="109" t="n"/>
      <c r="V301" s="109" t="n"/>
      <c r="Z301" s="109" t="n"/>
      <c r="AA301" s="109" t="n"/>
      <c r="AB301" s="109" t="n"/>
      <c r="AF301" s="109" t="n"/>
      <c r="AG301" s="109" t="n"/>
      <c r="AH301" s="109" t="n"/>
      <c r="AL301" s="109" t="n"/>
      <c r="AM301" s="109" t="n"/>
      <c r="AN301" s="109" t="n"/>
    </row>
    <row r="302" ht="15.75" customHeight="1" s="216">
      <c r="D302" s="109" t="n"/>
      <c r="E302" s="109" t="n"/>
      <c r="J302" s="109" t="n"/>
      <c r="K302" s="109" t="n"/>
      <c r="L302" s="109" t="n"/>
      <c r="N302" s="109" t="n"/>
      <c r="O302" s="109" t="n"/>
      <c r="P302" s="109" t="n"/>
      <c r="T302" s="109" t="n"/>
      <c r="U302" s="109" t="n"/>
      <c r="V302" s="109" t="n"/>
      <c r="Z302" s="109" t="n"/>
      <c r="AA302" s="109" t="n"/>
      <c r="AB302" s="109" t="n"/>
      <c r="AF302" s="109" t="n"/>
      <c r="AG302" s="109" t="n"/>
      <c r="AH302" s="109" t="n"/>
      <c r="AL302" s="109" t="n"/>
      <c r="AM302" s="109" t="n"/>
      <c r="AN302" s="109" t="n"/>
    </row>
    <row r="303" ht="15.75" customHeight="1" s="216">
      <c r="D303" s="109" t="n"/>
      <c r="E303" s="109" t="n"/>
      <c r="J303" s="109" t="n"/>
      <c r="K303" s="109" t="n"/>
      <c r="L303" s="109" t="n"/>
      <c r="N303" s="109" t="n"/>
      <c r="O303" s="109" t="n"/>
      <c r="P303" s="109" t="n"/>
      <c r="T303" s="109" t="n"/>
      <c r="U303" s="109" t="n"/>
      <c r="V303" s="109" t="n"/>
      <c r="Z303" s="109" t="n"/>
      <c r="AA303" s="109" t="n"/>
      <c r="AB303" s="109" t="n"/>
      <c r="AF303" s="109" t="n"/>
      <c r="AG303" s="109" t="n"/>
      <c r="AH303" s="109" t="n"/>
      <c r="AL303" s="109" t="n"/>
      <c r="AM303" s="109" t="n"/>
      <c r="AN303" s="109" t="n"/>
    </row>
    <row r="304" ht="15.75" customHeight="1" s="216">
      <c r="D304" s="109" t="n"/>
      <c r="E304" s="109" t="n"/>
      <c r="J304" s="109" t="n"/>
      <c r="K304" s="109" t="n"/>
      <c r="L304" s="109" t="n"/>
      <c r="N304" s="109" t="n"/>
      <c r="O304" s="109" t="n"/>
      <c r="P304" s="109" t="n"/>
      <c r="T304" s="109" t="n"/>
      <c r="U304" s="109" t="n"/>
      <c r="V304" s="109" t="n"/>
      <c r="Z304" s="109" t="n"/>
      <c r="AA304" s="109" t="n"/>
      <c r="AB304" s="109" t="n"/>
      <c r="AF304" s="109" t="n"/>
      <c r="AG304" s="109" t="n"/>
      <c r="AH304" s="109" t="n"/>
      <c r="AL304" s="109" t="n"/>
      <c r="AM304" s="109" t="n"/>
      <c r="AN304" s="109" t="n"/>
    </row>
    <row r="305" ht="15.75" customHeight="1" s="216">
      <c r="D305" s="109" t="n"/>
      <c r="E305" s="109" t="n"/>
      <c r="J305" s="109" t="n"/>
      <c r="K305" s="109" t="n"/>
      <c r="L305" s="109" t="n"/>
      <c r="N305" s="109" t="n"/>
      <c r="O305" s="109" t="n"/>
      <c r="P305" s="109" t="n"/>
      <c r="T305" s="109" t="n"/>
      <c r="U305" s="109" t="n"/>
      <c r="V305" s="109" t="n"/>
      <c r="Z305" s="109" t="n"/>
      <c r="AA305" s="109" t="n"/>
      <c r="AB305" s="109" t="n"/>
      <c r="AF305" s="109" t="n"/>
      <c r="AG305" s="109" t="n"/>
      <c r="AH305" s="109" t="n"/>
      <c r="AL305" s="109" t="n"/>
      <c r="AM305" s="109" t="n"/>
      <c r="AN305" s="109" t="n"/>
    </row>
    <row r="306" ht="15.75" customHeight="1" s="216">
      <c r="D306" s="109" t="n"/>
      <c r="E306" s="109" t="n"/>
      <c r="J306" s="109" t="n"/>
      <c r="K306" s="109" t="n"/>
      <c r="L306" s="109" t="n"/>
      <c r="N306" s="109" t="n"/>
      <c r="O306" s="109" t="n"/>
      <c r="P306" s="109" t="n"/>
      <c r="T306" s="109" t="n"/>
      <c r="U306" s="109" t="n"/>
      <c r="V306" s="109" t="n"/>
      <c r="Z306" s="109" t="n"/>
      <c r="AA306" s="109" t="n"/>
      <c r="AB306" s="109" t="n"/>
      <c r="AF306" s="109" t="n"/>
      <c r="AG306" s="109" t="n"/>
      <c r="AH306" s="109" t="n"/>
      <c r="AL306" s="109" t="n"/>
      <c r="AM306" s="109" t="n"/>
      <c r="AN306" s="109" t="n"/>
    </row>
    <row r="307" ht="15.75" customHeight="1" s="216">
      <c r="D307" s="109" t="n"/>
      <c r="E307" s="109" t="n"/>
      <c r="J307" s="109" t="n"/>
      <c r="K307" s="109" t="n"/>
      <c r="L307" s="109" t="n"/>
      <c r="N307" s="109" t="n"/>
      <c r="O307" s="109" t="n"/>
      <c r="P307" s="109" t="n"/>
      <c r="T307" s="109" t="n"/>
      <c r="U307" s="109" t="n"/>
      <c r="V307" s="109" t="n"/>
      <c r="Z307" s="109" t="n"/>
      <c r="AA307" s="109" t="n"/>
      <c r="AB307" s="109" t="n"/>
      <c r="AF307" s="109" t="n"/>
      <c r="AG307" s="109" t="n"/>
      <c r="AH307" s="109" t="n"/>
      <c r="AL307" s="109" t="n"/>
      <c r="AM307" s="109" t="n"/>
      <c r="AN307" s="109" t="n"/>
    </row>
    <row r="308" ht="15.75" customHeight="1" s="216">
      <c r="D308" s="109" t="n"/>
      <c r="E308" s="109" t="n"/>
      <c r="J308" s="109" t="n"/>
      <c r="K308" s="109" t="n"/>
      <c r="L308" s="109" t="n"/>
      <c r="N308" s="109" t="n"/>
      <c r="O308" s="109" t="n"/>
      <c r="P308" s="109" t="n"/>
      <c r="T308" s="109" t="n"/>
      <c r="U308" s="109" t="n"/>
      <c r="V308" s="109" t="n"/>
      <c r="Z308" s="109" t="n"/>
      <c r="AA308" s="109" t="n"/>
      <c r="AB308" s="109" t="n"/>
      <c r="AF308" s="109" t="n"/>
      <c r="AG308" s="109" t="n"/>
      <c r="AH308" s="109" t="n"/>
      <c r="AL308" s="109" t="n"/>
      <c r="AM308" s="109" t="n"/>
      <c r="AN308" s="109" t="n"/>
    </row>
    <row r="309" ht="15.75" customHeight="1" s="216">
      <c r="D309" s="109" t="n"/>
      <c r="E309" s="109" t="n"/>
      <c r="J309" s="109" t="n"/>
      <c r="K309" s="109" t="n"/>
      <c r="L309" s="109" t="n"/>
      <c r="N309" s="109" t="n"/>
      <c r="O309" s="109" t="n"/>
      <c r="P309" s="109" t="n"/>
      <c r="T309" s="109" t="n"/>
      <c r="U309" s="109" t="n"/>
      <c r="V309" s="109" t="n"/>
      <c r="Z309" s="109" t="n"/>
      <c r="AA309" s="109" t="n"/>
      <c r="AB309" s="109" t="n"/>
      <c r="AF309" s="109" t="n"/>
      <c r="AG309" s="109" t="n"/>
      <c r="AH309" s="109" t="n"/>
      <c r="AL309" s="109" t="n"/>
      <c r="AM309" s="109" t="n"/>
      <c r="AN309" s="109" t="n"/>
    </row>
    <row r="310" ht="15.75" customHeight="1" s="216">
      <c r="D310" s="109" t="n"/>
      <c r="E310" s="109" t="n"/>
      <c r="J310" s="109" t="n"/>
      <c r="K310" s="109" t="n"/>
      <c r="L310" s="109" t="n"/>
      <c r="N310" s="109" t="n"/>
      <c r="O310" s="109" t="n"/>
      <c r="P310" s="109" t="n"/>
      <c r="T310" s="109" t="n"/>
      <c r="U310" s="109" t="n"/>
      <c r="V310" s="109" t="n"/>
      <c r="Z310" s="109" t="n"/>
      <c r="AA310" s="109" t="n"/>
      <c r="AB310" s="109" t="n"/>
      <c r="AF310" s="109" t="n"/>
      <c r="AG310" s="109" t="n"/>
      <c r="AH310" s="109" t="n"/>
      <c r="AL310" s="109" t="n"/>
      <c r="AM310" s="109" t="n"/>
      <c r="AN310" s="109" t="n"/>
    </row>
    <row r="311" ht="15.75" customHeight="1" s="216">
      <c r="D311" s="109" t="n"/>
      <c r="E311" s="109" t="n"/>
      <c r="J311" s="109" t="n"/>
      <c r="K311" s="109" t="n"/>
      <c r="L311" s="109" t="n"/>
      <c r="N311" s="109" t="n"/>
      <c r="O311" s="109" t="n"/>
      <c r="P311" s="109" t="n"/>
      <c r="T311" s="109" t="n"/>
      <c r="U311" s="109" t="n"/>
      <c r="V311" s="109" t="n"/>
      <c r="Z311" s="109" t="n"/>
      <c r="AA311" s="109" t="n"/>
      <c r="AB311" s="109" t="n"/>
      <c r="AF311" s="109" t="n"/>
      <c r="AG311" s="109" t="n"/>
      <c r="AH311" s="109" t="n"/>
      <c r="AL311" s="109" t="n"/>
      <c r="AM311" s="109" t="n"/>
      <c r="AN311" s="109" t="n"/>
    </row>
    <row r="312" ht="15.75" customHeight="1" s="216">
      <c r="D312" s="109" t="n"/>
      <c r="E312" s="109" t="n"/>
      <c r="J312" s="109" t="n"/>
      <c r="K312" s="109" t="n"/>
      <c r="L312" s="109" t="n"/>
      <c r="N312" s="109" t="n"/>
      <c r="O312" s="109" t="n"/>
      <c r="P312" s="109" t="n"/>
      <c r="T312" s="109" t="n"/>
      <c r="U312" s="109" t="n"/>
      <c r="V312" s="109" t="n"/>
      <c r="Z312" s="109" t="n"/>
      <c r="AA312" s="109" t="n"/>
      <c r="AB312" s="109" t="n"/>
      <c r="AF312" s="109" t="n"/>
      <c r="AG312" s="109" t="n"/>
      <c r="AH312" s="109" t="n"/>
      <c r="AL312" s="109" t="n"/>
      <c r="AM312" s="109" t="n"/>
      <c r="AN312" s="109" t="n"/>
    </row>
    <row r="313" ht="15.75" customHeight="1" s="216">
      <c r="D313" s="109" t="n"/>
      <c r="E313" s="109" t="n"/>
      <c r="J313" s="109" t="n"/>
      <c r="K313" s="109" t="n"/>
      <c r="L313" s="109" t="n"/>
      <c r="N313" s="109" t="n"/>
      <c r="O313" s="109" t="n"/>
      <c r="P313" s="109" t="n"/>
      <c r="T313" s="109" t="n"/>
      <c r="U313" s="109" t="n"/>
      <c r="V313" s="109" t="n"/>
      <c r="Z313" s="109" t="n"/>
      <c r="AA313" s="109" t="n"/>
      <c r="AB313" s="109" t="n"/>
      <c r="AF313" s="109" t="n"/>
      <c r="AG313" s="109" t="n"/>
      <c r="AH313" s="109" t="n"/>
      <c r="AL313" s="109" t="n"/>
      <c r="AM313" s="109" t="n"/>
      <c r="AN313" s="109" t="n"/>
    </row>
    <row r="314" ht="15.75" customHeight="1" s="216">
      <c r="D314" s="109" t="n"/>
      <c r="E314" s="109" t="n"/>
      <c r="J314" s="109" t="n"/>
      <c r="K314" s="109" t="n"/>
      <c r="L314" s="109" t="n"/>
      <c r="N314" s="109" t="n"/>
      <c r="O314" s="109" t="n"/>
      <c r="P314" s="109" t="n"/>
      <c r="T314" s="109" t="n"/>
      <c r="U314" s="109" t="n"/>
      <c r="V314" s="109" t="n"/>
      <c r="Z314" s="109" t="n"/>
      <c r="AA314" s="109" t="n"/>
      <c r="AB314" s="109" t="n"/>
      <c r="AF314" s="109" t="n"/>
      <c r="AG314" s="109" t="n"/>
      <c r="AH314" s="109" t="n"/>
      <c r="AL314" s="109" t="n"/>
      <c r="AM314" s="109" t="n"/>
      <c r="AN314" s="109" t="n"/>
    </row>
    <row r="315" ht="15.75" customHeight="1" s="216">
      <c r="D315" s="109" t="n"/>
      <c r="E315" s="109" t="n"/>
      <c r="J315" s="109" t="n"/>
      <c r="K315" s="109" t="n"/>
      <c r="L315" s="109" t="n"/>
      <c r="N315" s="109" t="n"/>
      <c r="O315" s="109" t="n"/>
      <c r="P315" s="109" t="n"/>
      <c r="T315" s="109" t="n"/>
      <c r="U315" s="109" t="n"/>
      <c r="V315" s="109" t="n"/>
      <c r="Z315" s="109" t="n"/>
      <c r="AA315" s="109" t="n"/>
      <c r="AB315" s="109" t="n"/>
      <c r="AF315" s="109" t="n"/>
      <c r="AG315" s="109" t="n"/>
      <c r="AH315" s="109" t="n"/>
      <c r="AL315" s="109" t="n"/>
      <c r="AM315" s="109" t="n"/>
      <c r="AN315" s="109" t="n"/>
    </row>
    <row r="316" ht="15.75" customHeight="1" s="216">
      <c r="D316" s="109" t="n"/>
      <c r="E316" s="109" t="n"/>
      <c r="J316" s="109" t="n"/>
      <c r="K316" s="109" t="n"/>
      <c r="L316" s="109" t="n"/>
      <c r="N316" s="109" t="n"/>
      <c r="O316" s="109" t="n"/>
      <c r="P316" s="109" t="n"/>
      <c r="T316" s="109" t="n"/>
      <c r="U316" s="109" t="n"/>
      <c r="V316" s="109" t="n"/>
      <c r="Z316" s="109" t="n"/>
      <c r="AA316" s="109" t="n"/>
      <c r="AB316" s="109" t="n"/>
      <c r="AF316" s="109" t="n"/>
      <c r="AG316" s="109" t="n"/>
      <c r="AH316" s="109" t="n"/>
      <c r="AL316" s="109" t="n"/>
      <c r="AM316" s="109" t="n"/>
      <c r="AN316" s="109" t="n"/>
    </row>
    <row r="317" ht="15.75" customHeight="1" s="216">
      <c r="D317" s="109" t="n"/>
      <c r="E317" s="109" t="n"/>
      <c r="J317" s="109" t="n"/>
      <c r="K317" s="109" t="n"/>
      <c r="L317" s="109" t="n"/>
      <c r="N317" s="109" t="n"/>
      <c r="O317" s="109" t="n"/>
      <c r="P317" s="109" t="n"/>
      <c r="T317" s="109" t="n"/>
      <c r="U317" s="109" t="n"/>
      <c r="V317" s="109" t="n"/>
      <c r="Z317" s="109" t="n"/>
      <c r="AA317" s="109" t="n"/>
      <c r="AB317" s="109" t="n"/>
      <c r="AF317" s="109" t="n"/>
      <c r="AG317" s="109" t="n"/>
      <c r="AH317" s="109" t="n"/>
      <c r="AL317" s="109" t="n"/>
      <c r="AM317" s="109" t="n"/>
      <c r="AN317" s="109" t="n"/>
    </row>
    <row r="318" ht="15.75" customHeight="1" s="216">
      <c r="D318" s="109" t="n"/>
      <c r="E318" s="109" t="n"/>
      <c r="J318" s="109" t="n"/>
      <c r="K318" s="109" t="n"/>
      <c r="L318" s="109" t="n"/>
      <c r="N318" s="109" t="n"/>
      <c r="O318" s="109" t="n"/>
      <c r="P318" s="109" t="n"/>
      <c r="T318" s="109" t="n"/>
      <c r="U318" s="109" t="n"/>
      <c r="V318" s="109" t="n"/>
      <c r="Z318" s="109" t="n"/>
      <c r="AA318" s="109" t="n"/>
      <c r="AB318" s="109" t="n"/>
      <c r="AF318" s="109" t="n"/>
      <c r="AG318" s="109" t="n"/>
      <c r="AH318" s="109" t="n"/>
      <c r="AL318" s="109" t="n"/>
      <c r="AM318" s="109" t="n"/>
      <c r="AN318" s="109" t="n"/>
    </row>
    <row r="319" ht="15.75" customHeight="1" s="216">
      <c r="D319" s="109" t="n"/>
      <c r="E319" s="109" t="n"/>
      <c r="J319" s="109" t="n"/>
      <c r="K319" s="109" t="n"/>
      <c r="L319" s="109" t="n"/>
      <c r="N319" s="109" t="n"/>
      <c r="O319" s="109" t="n"/>
      <c r="P319" s="109" t="n"/>
      <c r="T319" s="109" t="n"/>
      <c r="U319" s="109" t="n"/>
      <c r="V319" s="109" t="n"/>
      <c r="Z319" s="109" t="n"/>
      <c r="AA319" s="109" t="n"/>
      <c r="AB319" s="109" t="n"/>
      <c r="AF319" s="109" t="n"/>
      <c r="AG319" s="109" t="n"/>
      <c r="AH319" s="109" t="n"/>
      <c r="AL319" s="109" t="n"/>
      <c r="AM319" s="109" t="n"/>
      <c r="AN319" s="109" t="n"/>
    </row>
    <row r="320" ht="15.75" customHeight="1" s="216">
      <c r="D320" s="109" t="n"/>
      <c r="E320" s="109" t="n"/>
      <c r="J320" s="109" t="n"/>
      <c r="K320" s="109" t="n"/>
      <c r="L320" s="109" t="n"/>
      <c r="N320" s="109" t="n"/>
      <c r="O320" s="109" t="n"/>
      <c r="P320" s="109" t="n"/>
      <c r="T320" s="109" t="n"/>
      <c r="U320" s="109" t="n"/>
      <c r="V320" s="109" t="n"/>
      <c r="Z320" s="109" t="n"/>
      <c r="AA320" s="109" t="n"/>
      <c r="AB320" s="109" t="n"/>
      <c r="AF320" s="109" t="n"/>
      <c r="AG320" s="109" t="n"/>
      <c r="AH320" s="109" t="n"/>
      <c r="AL320" s="109" t="n"/>
      <c r="AM320" s="109" t="n"/>
      <c r="AN320" s="109" t="n"/>
    </row>
    <row r="321" ht="15.75" customHeight="1" s="216">
      <c r="D321" s="109" t="n"/>
      <c r="E321" s="109" t="n"/>
      <c r="J321" s="109" t="n"/>
      <c r="K321" s="109" t="n"/>
      <c r="L321" s="109" t="n"/>
      <c r="N321" s="109" t="n"/>
      <c r="O321" s="109" t="n"/>
      <c r="P321" s="109" t="n"/>
      <c r="T321" s="109" t="n"/>
      <c r="U321" s="109" t="n"/>
      <c r="V321" s="109" t="n"/>
      <c r="Z321" s="109" t="n"/>
      <c r="AA321" s="109" t="n"/>
      <c r="AB321" s="109" t="n"/>
      <c r="AF321" s="109" t="n"/>
      <c r="AG321" s="109" t="n"/>
      <c r="AH321" s="109" t="n"/>
      <c r="AL321" s="109" t="n"/>
      <c r="AM321" s="109" t="n"/>
      <c r="AN321" s="109" t="n"/>
    </row>
    <row r="322" ht="15.75" customHeight="1" s="216">
      <c r="D322" s="109" t="n"/>
      <c r="E322" s="109" t="n"/>
      <c r="J322" s="109" t="n"/>
      <c r="K322" s="109" t="n"/>
      <c r="L322" s="109" t="n"/>
      <c r="N322" s="109" t="n"/>
      <c r="O322" s="109" t="n"/>
      <c r="P322" s="109" t="n"/>
      <c r="T322" s="109" t="n"/>
      <c r="U322" s="109" t="n"/>
      <c r="V322" s="109" t="n"/>
      <c r="Z322" s="109" t="n"/>
      <c r="AA322" s="109" t="n"/>
      <c r="AB322" s="109" t="n"/>
      <c r="AF322" s="109" t="n"/>
      <c r="AG322" s="109" t="n"/>
      <c r="AH322" s="109" t="n"/>
      <c r="AL322" s="109" t="n"/>
      <c r="AM322" s="109" t="n"/>
      <c r="AN322" s="109" t="n"/>
    </row>
    <row r="323" ht="15.75" customHeight="1" s="216">
      <c r="D323" s="109" t="n"/>
      <c r="E323" s="109" t="n"/>
      <c r="J323" s="109" t="n"/>
      <c r="K323" s="109" t="n"/>
      <c r="L323" s="109" t="n"/>
      <c r="N323" s="109" t="n"/>
      <c r="O323" s="109" t="n"/>
      <c r="P323" s="109" t="n"/>
      <c r="T323" s="109" t="n"/>
      <c r="U323" s="109" t="n"/>
      <c r="V323" s="109" t="n"/>
      <c r="Z323" s="109" t="n"/>
      <c r="AA323" s="109" t="n"/>
      <c r="AB323" s="109" t="n"/>
      <c r="AF323" s="109" t="n"/>
      <c r="AG323" s="109" t="n"/>
      <c r="AH323" s="109" t="n"/>
      <c r="AL323" s="109" t="n"/>
      <c r="AM323" s="109" t="n"/>
      <c r="AN323" s="109" t="n"/>
    </row>
    <row r="324" ht="15.75" customHeight="1" s="216">
      <c r="D324" s="109" t="n"/>
      <c r="E324" s="109" t="n"/>
      <c r="J324" s="109" t="n"/>
      <c r="K324" s="109" t="n"/>
      <c r="L324" s="109" t="n"/>
      <c r="N324" s="109" t="n"/>
      <c r="O324" s="109" t="n"/>
      <c r="P324" s="109" t="n"/>
      <c r="T324" s="109" t="n"/>
      <c r="U324" s="109" t="n"/>
      <c r="V324" s="109" t="n"/>
      <c r="Z324" s="109" t="n"/>
      <c r="AA324" s="109" t="n"/>
      <c r="AB324" s="109" t="n"/>
      <c r="AF324" s="109" t="n"/>
      <c r="AG324" s="109" t="n"/>
      <c r="AH324" s="109" t="n"/>
      <c r="AL324" s="109" t="n"/>
      <c r="AM324" s="109" t="n"/>
      <c r="AN324" s="109" t="n"/>
    </row>
    <row r="325" ht="15.75" customHeight="1" s="216">
      <c r="D325" s="109" t="n"/>
      <c r="E325" s="109" t="n"/>
      <c r="J325" s="109" t="n"/>
      <c r="K325" s="109" t="n"/>
      <c r="L325" s="109" t="n"/>
      <c r="N325" s="109" t="n"/>
      <c r="O325" s="109" t="n"/>
      <c r="P325" s="109" t="n"/>
      <c r="T325" s="109" t="n"/>
      <c r="U325" s="109" t="n"/>
      <c r="V325" s="109" t="n"/>
      <c r="Z325" s="109" t="n"/>
      <c r="AA325" s="109" t="n"/>
      <c r="AB325" s="109" t="n"/>
      <c r="AF325" s="109" t="n"/>
      <c r="AG325" s="109" t="n"/>
      <c r="AH325" s="109" t="n"/>
      <c r="AL325" s="109" t="n"/>
      <c r="AM325" s="109" t="n"/>
      <c r="AN325" s="109" t="n"/>
    </row>
    <row r="326" ht="15.75" customHeight="1" s="216">
      <c r="D326" s="109" t="n"/>
      <c r="E326" s="109" t="n"/>
      <c r="J326" s="109" t="n"/>
      <c r="K326" s="109" t="n"/>
      <c r="L326" s="109" t="n"/>
      <c r="N326" s="109" t="n"/>
      <c r="O326" s="109" t="n"/>
      <c r="P326" s="109" t="n"/>
      <c r="T326" s="109" t="n"/>
      <c r="U326" s="109" t="n"/>
      <c r="V326" s="109" t="n"/>
      <c r="Z326" s="109" t="n"/>
      <c r="AA326" s="109" t="n"/>
      <c r="AB326" s="109" t="n"/>
      <c r="AF326" s="109" t="n"/>
      <c r="AG326" s="109" t="n"/>
      <c r="AH326" s="109" t="n"/>
      <c r="AL326" s="109" t="n"/>
      <c r="AM326" s="109" t="n"/>
      <c r="AN326" s="109" t="n"/>
    </row>
    <row r="327" ht="15.75" customHeight="1" s="216">
      <c r="D327" s="109" t="n"/>
      <c r="E327" s="109" t="n"/>
      <c r="J327" s="109" t="n"/>
      <c r="K327" s="109" t="n"/>
      <c r="L327" s="109" t="n"/>
      <c r="N327" s="109" t="n"/>
      <c r="O327" s="109" t="n"/>
      <c r="P327" s="109" t="n"/>
      <c r="T327" s="109" t="n"/>
      <c r="U327" s="109" t="n"/>
      <c r="V327" s="109" t="n"/>
      <c r="Z327" s="109" t="n"/>
      <c r="AA327" s="109" t="n"/>
      <c r="AB327" s="109" t="n"/>
      <c r="AF327" s="109" t="n"/>
      <c r="AG327" s="109" t="n"/>
      <c r="AH327" s="109" t="n"/>
      <c r="AL327" s="109" t="n"/>
      <c r="AM327" s="109" t="n"/>
      <c r="AN327" s="109" t="n"/>
    </row>
    <row r="328" ht="15.75" customHeight="1" s="216">
      <c r="D328" s="109" t="n"/>
      <c r="E328" s="109" t="n"/>
      <c r="J328" s="109" t="n"/>
      <c r="K328" s="109" t="n"/>
      <c r="L328" s="109" t="n"/>
      <c r="N328" s="109" t="n"/>
      <c r="O328" s="109" t="n"/>
      <c r="P328" s="109" t="n"/>
      <c r="T328" s="109" t="n"/>
      <c r="U328" s="109" t="n"/>
      <c r="V328" s="109" t="n"/>
      <c r="Z328" s="109" t="n"/>
      <c r="AA328" s="109" t="n"/>
      <c r="AB328" s="109" t="n"/>
      <c r="AF328" s="109" t="n"/>
      <c r="AG328" s="109" t="n"/>
      <c r="AH328" s="109" t="n"/>
      <c r="AL328" s="109" t="n"/>
      <c r="AM328" s="109" t="n"/>
      <c r="AN328" s="109" t="n"/>
    </row>
    <row r="329" ht="15.75" customHeight="1" s="216">
      <c r="D329" s="109" t="n"/>
      <c r="E329" s="109" t="n"/>
      <c r="J329" s="109" t="n"/>
      <c r="K329" s="109" t="n"/>
      <c r="L329" s="109" t="n"/>
      <c r="N329" s="109" t="n"/>
      <c r="O329" s="109" t="n"/>
      <c r="P329" s="109" t="n"/>
      <c r="T329" s="109" t="n"/>
      <c r="U329" s="109" t="n"/>
      <c r="V329" s="109" t="n"/>
      <c r="Z329" s="109" t="n"/>
      <c r="AA329" s="109" t="n"/>
      <c r="AB329" s="109" t="n"/>
      <c r="AF329" s="109" t="n"/>
      <c r="AG329" s="109" t="n"/>
      <c r="AH329" s="109" t="n"/>
      <c r="AL329" s="109" t="n"/>
      <c r="AM329" s="109" t="n"/>
      <c r="AN329" s="109" t="n"/>
    </row>
    <row r="330" ht="15.75" customHeight="1" s="216">
      <c r="D330" s="109" t="n"/>
      <c r="E330" s="109" t="n"/>
      <c r="J330" s="109" t="n"/>
      <c r="K330" s="109" t="n"/>
      <c r="L330" s="109" t="n"/>
      <c r="N330" s="109" t="n"/>
      <c r="O330" s="109" t="n"/>
      <c r="P330" s="109" t="n"/>
      <c r="T330" s="109" t="n"/>
      <c r="U330" s="109" t="n"/>
      <c r="V330" s="109" t="n"/>
      <c r="Z330" s="109" t="n"/>
      <c r="AA330" s="109" t="n"/>
      <c r="AB330" s="109" t="n"/>
      <c r="AF330" s="109" t="n"/>
      <c r="AG330" s="109" t="n"/>
      <c r="AH330" s="109" t="n"/>
      <c r="AL330" s="109" t="n"/>
      <c r="AM330" s="109" t="n"/>
      <c r="AN330" s="109" t="n"/>
    </row>
    <row r="331" ht="15.75" customHeight="1" s="216">
      <c r="D331" s="109" t="n"/>
      <c r="E331" s="109" t="n"/>
      <c r="J331" s="109" t="n"/>
      <c r="K331" s="109" t="n"/>
      <c r="L331" s="109" t="n"/>
      <c r="N331" s="109" t="n"/>
      <c r="O331" s="109" t="n"/>
      <c r="P331" s="109" t="n"/>
      <c r="T331" s="109" t="n"/>
      <c r="U331" s="109" t="n"/>
      <c r="V331" s="109" t="n"/>
      <c r="Z331" s="109" t="n"/>
      <c r="AA331" s="109" t="n"/>
      <c r="AB331" s="109" t="n"/>
      <c r="AF331" s="109" t="n"/>
      <c r="AG331" s="109" t="n"/>
      <c r="AH331" s="109" t="n"/>
      <c r="AL331" s="109" t="n"/>
      <c r="AM331" s="109" t="n"/>
      <c r="AN331" s="109" t="n"/>
    </row>
    <row r="332" ht="15.75" customHeight="1" s="216">
      <c r="D332" s="109" t="n"/>
      <c r="E332" s="109" t="n"/>
      <c r="J332" s="109" t="n"/>
      <c r="K332" s="109" t="n"/>
      <c r="L332" s="109" t="n"/>
      <c r="N332" s="109" t="n"/>
      <c r="O332" s="109" t="n"/>
      <c r="P332" s="109" t="n"/>
      <c r="T332" s="109" t="n"/>
      <c r="U332" s="109" t="n"/>
      <c r="V332" s="109" t="n"/>
      <c r="Z332" s="109" t="n"/>
      <c r="AA332" s="109" t="n"/>
      <c r="AB332" s="109" t="n"/>
      <c r="AF332" s="109" t="n"/>
      <c r="AG332" s="109" t="n"/>
      <c r="AH332" s="109" t="n"/>
      <c r="AL332" s="109" t="n"/>
      <c r="AM332" s="109" t="n"/>
      <c r="AN332" s="109" t="n"/>
    </row>
    <row r="333" ht="15.75" customHeight="1" s="216">
      <c r="D333" s="109" t="n"/>
      <c r="E333" s="109" t="n"/>
      <c r="J333" s="109" t="n"/>
      <c r="K333" s="109" t="n"/>
      <c r="L333" s="109" t="n"/>
      <c r="N333" s="109" t="n"/>
      <c r="O333" s="109" t="n"/>
      <c r="P333" s="109" t="n"/>
      <c r="T333" s="109" t="n"/>
      <c r="U333" s="109" t="n"/>
      <c r="V333" s="109" t="n"/>
      <c r="Z333" s="109" t="n"/>
      <c r="AA333" s="109" t="n"/>
      <c r="AB333" s="109" t="n"/>
      <c r="AF333" s="109" t="n"/>
      <c r="AG333" s="109" t="n"/>
      <c r="AH333" s="109" t="n"/>
      <c r="AL333" s="109" t="n"/>
      <c r="AM333" s="109" t="n"/>
      <c r="AN333" s="109" t="n"/>
    </row>
    <row r="334" ht="15.75" customHeight="1" s="216">
      <c r="D334" s="109" t="n"/>
      <c r="E334" s="109" t="n"/>
      <c r="J334" s="109" t="n"/>
      <c r="K334" s="109" t="n"/>
      <c r="L334" s="109" t="n"/>
      <c r="N334" s="109" t="n"/>
      <c r="O334" s="109" t="n"/>
      <c r="P334" s="109" t="n"/>
      <c r="T334" s="109" t="n"/>
      <c r="U334" s="109" t="n"/>
      <c r="V334" s="109" t="n"/>
      <c r="Z334" s="109" t="n"/>
      <c r="AA334" s="109" t="n"/>
      <c r="AB334" s="109" t="n"/>
      <c r="AF334" s="109" t="n"/>
      <c r="AG334" s="109" t="n"/>
      <c r="AH334" s="109" t="n"/>
      <c r="AL334" s="109" t="n"/>
      <c r="AM334" s="109" t="n"/>
      <c r="AN334" s="109" t="n"/>
    </row>
    <row r="335" ht="15.75" customHeight="1" s="216">
      <c r="D335" s="109" t="n"/>
      <c r="E335" s="109" t="n"/>
      <c r="J335" s="109" t="n"/>
      <c r="K335" s="109" t="n"/>
      <c r="L335" s="109" t="n"/>
      <c r="N335" s="109" t="n"/>
      <c r="O335" s="109" t="n"/>
      <c r="P335" s="109" t="n"/>
      <c r="T335" s="109" t="n"/>
      <c r="U335" s="109" t="n"/>
      <c r="V335" s="109" t="n"/>
      <c r="Z335" s="109" t="n"/>
      <c r="AA335" s="109" t="n"/>
      <c r="AB335" s="109" t="n"/>
      <c r="AF335" s="109" t="n"/>
      <c r="AG335" s="109" t="n"/>
      <c r="AH335" s="109" t="n"/>
      <c r="AL335" s="109" t="n"/>
      <c r="AM335" s="109" t="n"/>
      <c r="AN335" s="109" t="n"/>
    </row>
    <row r="336" ht="15.75" customHeight="1" s="216">
      <c r="D336" s="109" t="n"/>
      <c r="E336" s="109" t="n"/>
      <c r="J336" s="109" t="n"/>
      <c r="K336" s="109" t="n"/>
      <c r="L336" s="109" t="n"/>
      <c r="N336" s="109" t="n"/>
      <c r="O336" s="109" t="n"/>
      <c r="P336" s="109" t="n"/>
      <c r="T336" s="109" t="n"/>
      <c r="U336" s="109" t="n"/>
      <c r="V336" s="109" t="n"/>
      <c r="Z336" s="109" t="n"/>
      <c r="AA336" s="109" t="n"/>
      <c r="AB336" s="109" t="n"/>
      <c r="AF336" s="109" t="n"/>
      <c r="AG336" s="109" t="n"/>
      <c r="AH336" s="109" t="n"/>
      <c r="AL336" s="109" t="n"/>
      <c r="AM336" s="109" t="n"/>
      <c r="AN336" s="109" t="n"/>
    </row>
    <row r="337" ht="15.75" customHeight="1" s="216">
      <c r="D337" s="109" t="n"/>
      <c r="E337" s="109" t="n"/>
      <c r="J337" s="109" t="n"/>
      <c r="K337" s="109" t="n"/>
      <c r="L337" s="109" t="n"/>
      <c r="N337" s="109" t="n"/>
      <c r="O337" s="109" t="n"/>
      <c r="P337" s="109" t="n"/>
      <c r="T337" s="109" t="n"/>
      <c r="U337" s="109" t="n"/>
      <c r="V337" s="109" t="n"/>
      <c r="Z337" s="109" t="n"/>
      <c r="AA337" s="109" t="n"/>
      <c r="AB337" s="109" t="n"/>
      <c r="AF337" s="109" t="n"/>
      <c r="AG337" s="109" t="n"/>
      <c r="AH337" s="109" t="n"/>
      <c r="AL337" s="109" t="n"/>
      <c r="AM337" s="109" t="n"/>
      <c r="AN337" s="109" t="n"/>
    </row>
    <row r="338" ht="15.75" customHeight="1" s="216">
      <c r="D338" s="109" t="n"/>
      <c r="E338" s="109" t="n"/>
      <c r="J338" s="109" t="n"/>
      <c r="K338" s="109" t="n"/>
      <c r="L338" s="109" t="n"/>
      <c r="N338" s="109" t="n"/>
      <c r="O338" s="109" t="n"/>
      <c r="P338" s="109" t="n"/>
      <c r="T338" s="109" t="n"/>
      <c r="U338" s="109" t="n"/>
      <c r="V338" s="109" t="n"/>
      <c r="Z338" s="109" t="n"/>
      <c r="AA338" s="109" t="n"/>
      <c r="AB338" s="109" t="n"/>
      <c r="AF338" s="109" t="n"/>
      <c r="AG338" s="109" t="n"/>
      <c r="AH338" s="109" t="n"/>
      <c r="AL338" s="109" t="n"/>
      <c r="AM338" s="109" t="n"/>
      <c r="AN338" s="109" t="n"/>
    </row>
    <row r="339" ht="15.75" customHeight="1" s="216">
      <c r="D339" s="109" t="n"/>
      <c r="E339" s="109" t="n"/>
      <c r="J339" s="109" t="n"/>
      <c r="K339" s="109" t="n"/>
      <c r="L339" s="109" t="n"/>
      <c r="N339" s="109" t="n"/>
      <c r="O339" s="109" t="n"/>
      <c r="P339" s="109" t="n"/>
      <c r="T339" s="109" t="n"/>
      <c r="U339" s="109" t="n"/>
      <c r="V339" s="109" t="n"/>
      <c r="Z339" s="109" t="n"/>
      <c r="AA339" s="109" t="n"/>
      <c r="AB339" s="109" t="n"/>
      <c r="AF339" s="109" t="n"/>
      <c r="AG339" s="109" t="n"/>
      <c r="AH339" s="109" t="n"/>
      <c r="AL339" s="109" t="n"/>
      <c r="AM339" s="109" t="n"/>
      <c r="AN339" s="109" t="n"/>
    </row>
    <row r="340" ht="15.75" customHeight="1" s="216">
      <c r="D340" s="109" t="n"/>
      <c r="E340" s="109" t="n"/>
      <c r="J340" s="109" t="n"/>
      <c r="K340" s="109" t="n"/>
      <c r="L340" s="109" t="n"/>
      <c r="N340" s="109" t="n"/>
      <c r="O340" s="109" t="n"/>
      <c r="P340" s="109" t="n"/>
      <c r="T340" s="109" t="n"/>
      <c r="U340" s="109" t="n"/>
      <c r="V340" s="109" t="n"/>
      <c r="Z340" s="109" t="n"/>
      <c r="AA340" s="109" t="n"/>
      <c r="AB340" s="109" t="n"/>
      <c r="AF340" s="109" t="n"/>
      <c r="AG340" s="109" t="n"/>
      <c r="AH340" s="109" t="n"/>
      <c r="AL340" s="109" t="n"/>
      <c r="AM340" s="109" t="n"/>
      <c r="AN340" s="109" t="n"/>
    </row>
    <row r="341" ht="15.75" customHeight="1" s="216">
      <c r="D341" s="109" t="n"/>
      <c r="E341" s="109" t="n"/>
      <c r="J341" s="109" t="n"/>
      <c r="K341" s="109" t="n"/>
      <c r="L341" s="109" t="n"/>
      <c r="N341" s="109" t="n"/>
      <c r="O341" s="109" t="n"/>
      <c r="P341" s="109" t="n"/>
      <c r="T341" s="109" t="n"/>
      <c r="U341" s="109" t="n"/>
      <c r="V341" s="109" t="n"/>
      <c r="Z341" s="109" t="n"/>
      <c r="AA341" s="109" t="n"/>
      <c r="AB341" s="109" t="n"/>
      <c r="AF341" s="109" t="n"/>
      <c r="AG341" s="109" t="n"/>
      <c r="AH341" s="109" t="n"/>
      <c r="AL341" s="109" t="n"/>
      <c r="AM341" s="109" t="n"/>
      <c r="AN341" s="109" t="n"/>
    </row>
    <row r="342" ht="15.75" customHeight="1" s="216">
      <c r="D342" s="109" t="n"/>
      <c r="E342" s="109" t="n"/>
      <c r="J342" s="109" t="n"/>
      <c r="K342" s="109" t="n"/>
      <c r="L342" s="109" t="n"/>
      <c r="N342" s="109" t="n"/>
      <c r="O342" s="109" t="n"/>
      <c r="P342" s="109" t="n"/>
      <c r="T342" s="109" t="n"/>
      <c r="U342" s="109" t="n"/>
      <c r="V342" s="109" t="n"/>
      <c r="Z342" s="109" t="n"/>
      <c r="AA342" s="109" t="n"/>
      <c r="AB342" s="109" t="n"/>
      <c r="AF342" s="109" t="n"/>
      <c r="AG342" s="109" t="n"/>
      <c r="AH342" s="109" t="n"/>
      <c r="AL342" s="109" t="n"/>
      <c r="AM342" s="109" t="n"/>
      <c r="AN342" s="109" t="n"/>
    </row>
    <row r="343" ht="15.75" customHeight="1" s="216">
      <c r="D343" s="109" t="n"/>
      <c r="E343" s="109" t="n"/>
      <c r="J343" s="109" t="n"/>
      <c r="K343" s="109" t="n"/>
      <c r="L343" s="109" t="n"/>
      <c r="N343" s="109" t="n"/>
      <c r="O343" s="109" t="n"/>
      <c r="P343" s="109" t="n"/>
      <c r="T343" s="109" t="n"/>
      <c r="U343" s="109" t="n"/>
      <c r="V343" s="109" t="n"/>
      <c r="Z343" s="109" t="n"/>
      <c r="AA343" s="109" t="n"/>
      <c r="AB343" s="109" t="n"/>
      <c r="AF343" s="109" t="n"/>
      <c r="AG343" s="109" t="n"/>
      <c r="AH343" s="109" t="n"/>
      <c r="AL343" s="109" t="n"/>
      <c r="AM343" s="109" t="n"/>
      <c r="AN343" s="109" t="n"/>
    </row>
    <row r="344" ht="15.75" customHeight="1" s="216">
      <c r="D344" s="109" t="n"/>
      <c r="E344" s="109" t="n"/>
      <c r="J344" s="109" t="n"/>
      <c r="K344" s="109" t="n"/>
      <c r="L344" s="109" t="n"/>
      <c r="N344" s="109" t="n"/>
      <c r="O344" s="109" t="n"/>
      <c r="P344" s="109" t="n"/>
      <c r="T344" s="109" t="n"/>
      <c r="U344" s="109" t="n"/>
      <c r="V344" s="109" t="n"/>
      <c r="Z344" s="109" t="n"/>
      <c r="AA344" s="109" t="n"/>
      <c r="AB344" s="109" t="n"/>
      <c r="AF344" s="109" t="n"/>
      <c r="AG344" s="109" t="n"/>
      <c r="AH344" s="109" t="n"/>
      <c r="AL344" s="109" t="n"/>
      <c r="AM344" s="109" t="n"/>
      <c r="AN344" s="109" t="n"/>
    </row>
    <row r="345" ht="15.75" customHeight="1" s="216">
      <c r="D345" s="109" t="n"/>
      <c r="E345" s="109" t="n"/>
      <c r="J345" s="109" t="n"/>
      <c r="K345" s="109" t="n"/>
      <c r="L345" s="109" t="n"/>
      <c r="N345" s="109" t="n"/>
      <c r="O345" s="109" t="n"/>
      <c r="P345" s="109" t="n"/>
      <c r="T345" s="109" t="n"/>
      <c r="U345" s="109" t="n"/>
      <c r="V345" s="109" t="n"/>
      <c r="Z345" s="109" t="n"/>
      <c r="AA345" s="109" t="n"/>
      <c r="AB345" s="109" t="n"/>
      <c r="AF345" s="109" t="n"/>
      <c r="AG345" s="109" t="n"/>
      <c r="AH345" s="109" t="n"/>
      <c r="AL345" s="109" t="n"/>
      <c r="AM345" s="109" t="n"/>
      <c r="AN345" s="109" t="n"/>
    </row>
    <row r="346" ht="15.75" customHeight="1" s="216">
      <c r="D346" s="109" t="n"/>
      <c r="E346" s="109" t="n"/>
      <c r="J346" s="109" t="n"/>
      <c r="K346" s="109" t="n"/>
      <c r="L346" s="109" t="n"/>
      <c r="N346" s="109" t="n"/>
      <c r="O346" s="109" t="n"/>
      <c r="P346" s="109" t="n"/>
      <c r="T346" s="109" t="n"/>
      <c r="U346" s="109" t="n"/>
      <c r="V346" s="109" t="n"/>
      <c r="Z346" s="109" t="n"/>
      <c r="AA346" s="109" t="n"/>
      <c r="AB346" s="109" t="n"/>
      <c r="AF346" s="109" t="n"/>
      <c r="AG346" s="109" t="n"/>
      <c r="AH346" s="109" t="n"/>
      <c r="AL346" s="109" t="n"/>
      <c r="AM346" s="109" t="n"/>
      <c r="AN346" s="109" t="n"/>
    </row>
    <row r="347" ht="15.75" customHeight="1" s="216">
      <c r="D347" s="109" t="n"/>
      <c r="E347" s="109" t="n"/>
      <c r="J347" s="109" t="n"/>
      <c r="K347" s="109" t="n"/>
      <c r="L347" s="109" t="n"/>
      <c r="N347" s="109" t="n"/>
      <c r="O347" s="109" t="n"/>
      <c r="P347" s="109" t="n"/>
      <c r="T347" s="109" t="n"/>
      <c r="U347" s="109" t="n"/>
      <c r="V347" s="109" t="n"/>
      <c r="Z347" s="109" t="n"/>
      <c r="AA347" s="109" t="n"/>
      <c r="AB347" s="109" t="n"/>
      <c r="AF347" s="109" t="n"/>
      <c r="AG347" s="109" t="n"/>
      <c r="AH347" s="109" t="n"/>
      <c r="AL347" s="109" t="n"/>
      <c r="AM347" s="109" t="n"/>
      <c r="AN347" s="109" t="n"/>
    </row>
    <row r="348" ht="15.75" customHeight="1" s="216">
      <c r="D348" s="109" t="n"/>
      <c r="E348" s="109" t="n"/>
      <c r="J348" s="109" t="n"/>
      <c r="K348" s="109" t="n"/>
      <c r="L348" s="109" t="n"/>
      <c r="N348" s="109" t="n"/>
      <c r="O348" s="109" t="n"/>
      <c r="P348" s="109" t="n"/>
      <c r="T348" s="109" t="n"/>
      <c r="U348" s="109" t="n"/>
      <c r="V348" s="109" t="n"/>
      <c r="Z348" s="109" t="n"/>
      <c r="AA348" s="109" t="n"/>
      <c r="AB348" s="109" t="n"/>
      <c r="AF348" s="109" t="n"/>
      <c r="AG348" s="109" t="n"/>
      <c r="AH348" s="109" t="n"/>
      <c r="AL348" s="109" t="n"/>
      <c r="AM348" s="109" t="n"/>
      <c r="AN348" s="109" t="n"/>
    </row>
    <row r="349" ht="15.75" customHeight="1" s="216">
      <c r="D349" s="109" t="n"/>
      <c r="E349" s="109" t="n"/>
      <c r="J349" s="109" t="n"/>
      <c r="K349" s="109" t="n"/>
      <c r="L349" s="109" t="n"/>
      <c r="N349" s="109" t="n"/>
      <c r="O349" s="109" t="n"/>
      <c r="P349" s="109" t="n"/>
      <c r="T349" s="109" t="n"/>
      <c r="U349" s="109" t="n"/>
      <c r="V349" s="109" t="n"/>
      <c r="Z349" s="109" t="n"/>
      <c r="AA349" s="109" t="n"/>
      <c r="AB349" s="109" t="n"/>
      <c r="AF349" s="109" t="n"/>
      <c r="AG349" s="109" t="n"/>
      <c r="AH349" s="109" t="n"/>
      <c r="AL349" s="109" t="n"/>
      <c r="AM349" s="109" t="n"/>
      <c r="AN349" s="109" t="n"/>
    </row>
    <row r="350" ht="15.75" customHeight="1" s="216">
      <c r="D350" s="109" t="n"/>
      <c r="E350" s="109" t="n"/>
      <c r="J350" s="109" t="n"/>
      <c r="K350" s="109" t="n"/>
      <c r="L350" s="109" t="n"/>
      <c r="N350" s="109" t="n"/>
      <c r="O350" s="109" t="n"/>
      <c r="P350" s="109" t="n"/>
      <c r="T350" s="109" t="n"/>
      <c r="U350" s="109" t="n"/>
      <c r="V350" s="109" t="n"/>
      <c r="Z350" s="109" t="n"/>
      <c r="AA350" s="109" t="n"/>
      <c r="AB350" s="109" t="n"/>
      <c r="AF350" s="109" t="n"/>
      <c r="AG350" s="109" t="n"/>
      <c r="AH350" s="109" t="n"/>
      <c r="AL350" s="109" t="n"/>
      <c r="AM350" s="109" t="n"/>
      <c r="AN350" s="109" t="n"/>
    </row>
    <row r="351" ht="15.75" customHeight="1" s="216">
      <c r="D351" s="109" t="n"/>
      <c r="E351" s="109" t="n"/>
      <c r="J351" s="109" t="n"/>
      <c r="K351" s="109" t="n"/>
      <c r="L351" s="109" t="n"/>
      <c r="N351" s="109" t="n"/>
      <c r="O351" s="109" t="n"/>
      <c r="P351" s="109" t="n"/>
      <c r="T351" s="109" t="n"/>
      <c r="U351" s="109" t="n"/>
      <c r="V351" s="109" t="n"/>
      <c r="Z351" s="109" t="n"/>
      <c r="AA351" s="109" t="n"/>
      <c r="AB351" s="109" t="n"/>
      <c r="AF351" s="109" t="n"/>
      <c r="AG351" s="109" t="n"/>
      <c r="AH351" s="109" t="n"/>
      <c r="AL351" s="109" t="n"/>
      <c r="AM351" s="109" t="n"/>
      <c r="AN351" s="109" t="n"/>
    </row>
    <row r="352" ht="15.75" customHeight="1" s="216">
      <c r="D352" s="109" t="n"/>
      <c r="E352" s="109" t="n"/>
      <c r="J352" s="109" t="n"/>
      <c r="K352" s="109" t="n"/>
      <c r="L352" s="109" t="n"/>
      <c r="N352" s="109" t="n"/>
      <c r="O352" s="109" t="n"/>
      <c r="P352" s="109" t="n"/>
      <c r="T352" s="109" t="n"/>
      <c r="U352" s="109" t="n"/>
      <c r="V352" s="109" t="n"/>
      <c r="Z352" s="109" t="n"/>
      <c r="AA352" s="109" t="n"/>
      <c r="AB352" s="109" t="n"/>
      <c r="AF352" s="109" t="n"/>
      <c r="AG352" s="109" t="n"/>
      <c r="AH352" s="109" t="n"/>
      <c r="AL352" s="109" t="n"/>
      <c r="AM352" s="109" t="n"/>
      <c r="AN352" s="109" t="n"/>
    </row>
    <row r="353" ht="15.75" customHeight="1" s="216">
      <c r="D353" s="109" t="n"/>
      <c r="E353" s="109" t="n"/>
      <c r="J353" s="109" t="n"/>
      <c r="K353" s="109" t="n"/>
      <c r="L353" s="109" t="n"/>
      <c r="N353" s="109" t="n"/>
      <c r="O353" s="109" t="n"/>
      <c r="P353" s="109" t="n"/>
      <c r="T353" s="109" t="n"/>
      <c r="U353" s="109" t="n"/>
      <c r="V353" s="109" t="n"/>
      <c r="Z353" s="109" t="n"/>
      <c r="AA353" s="109" t="n"/>
      <c r="AB353" s="109" t="n"/>
      <c r="AF353" s="109" t="n"/>
      <c r="AG353" s="109" t="n"/>
      <c r="AH353" s="109" t="n"/>
      <c r="AL353" s="109" t="n"/>
      <c r="AM353" s="109" t="n"/>
      <c r="AN353" s="109" t="n"/>
    </row>
    <row r="354" ht="15.75" customHeight="1" s="216">
      <c r="D354" s="109" t="n"/>
      <c r="E354" s="109" t="n"/>
      <c r="J354" s="109" t="n"/>
      <c r="K354" s="109" t="n"/>
      <c r="L354" s="109" t="n"/>
      <c r="N354" s="109" t="n"/>
      <c r="O354" s="109" t="n"/>
      <c r="P354" s="109" t="n"/>
      <c r="T354" s="109" t="n"/>
      <c r="U354" s="109" t="n"/>
      <c r="V354" s="109" t="n"/>
      <c r="Z354" s="109" t="n"/>
      <c r="AA354" s="109" t="n"/>
      <c r="AB354" s="109" t="n"/>
      <c r="AF354" s="109" t="n"/>
      <c r="AG354" s="109" t="n"/>
      <c r="AH354" s="109" t="n"/>
      <c r="AL354" s="109" t="n"/>
      <c r="AM354" s="109" t="n"/>
      <c r="AN354" s="109" t="n"/>
    </row>
    <row r="355" ht="15.75" customHeight="1" s="216">
      <c r="D355" s="109" t="n"/>
      <c r="E355" s="109" t="n"/>
      <c r="J355" s="109" t="n"/>
      <c r="K355" s="109" t="n"/>
      <c r="L355" s="109" t="n"/>
      <c r="N355" s="109" t="n"/>
      <c r="O355" s="109" t="n"/>
      <c r="P355" s="109" t="n"/>
      <c r="T355" s="109" t="n"/>
      <c r="U355" s="109" t="n"/>
      <c r="V355" s="109" t="n"/>
      <c r="Z355" s="109" t="n"/>
      <c r="AA355" s="109" t="n"/>
      <c r="AB355" s="109" t="n"/>
      <c r="AF355" s="109" t="n"/>
      <c r="AG355" s="109" t="n"/>
      <c r="AH355" s="109" t="n"/>
      <c r="AL355" s="109" t="n"/>
      <c r="AM355" s="109" t="n"/>
      <c r="AN355" s="109" t="n"/>
    </row>
    <row r="356" ht="15.75" customHeight="1" s="216">
      <c r="D356" s="109" t="n"/>
      <c r="E356" s="109" t="n"/>
      <c r="J356" s="109" t="n"/>
      <c r="K356" s="109" t="n"/>
      <c r="L356" s="109" t="n"/>
      <c r="N356" s="109" t="n"/>
      <c r="O356" s="109" t="n"/>
      <c r="P356" s="109" t="n"/>
      <c r="T356" s="109" t="n"/>
      <c r="U356" s="109" t="n"/>
      <c r="V356" s="109" t="n"/>
      <c r="Z356" s="109" t="n"/>
      <c r="AA356" s="109" t="n"/>
      <c r="AB356" s="109" t="n"/>
      <c r="AF356" s="109" t="n"/>
      <c r="AG356" s="109" t="n"/>
      <c r="AH356" s="109" t="n"/>
      <c r="AL356" s="109" t="n"/>
      <c r="AM356" s="109" t="n"/>
      <c r="AN356" s="109" t="n"/>
    </row>
    <row r="357" ht="15.75" customHeight="1" s="216">
      <c r="D357" s="109" t="n"/>
      <c r="E357" s="109" t="n"/>
      <c r="J357" s="109" t="n"/>
      <c r="K357" s="109" t="n"/>
      <c r="L357" s="109" t="n"/>
      <c r="N357" s="109" t="n"/>
      <c r="O357" s="109" t="n"/>
      <c r="P357" s="109" t="n"/>
      <c r="T357" s="109" t="n"/>
      <c r="U357" s="109" t="n"/>
      <c r="V357" s="109" t="n"/>
      <c r="Z357" s="109" t="n"/>
      <c r="AA357" s="109" t="n"/>
      <c r="AB357" s="109" t="n"/>
      <c r="AF357" s="109" t="n"/>
      <c r="AG357" s="109" t="n"/>
      <c r="AH357" s="109" t="n"/>
      <c r="AL357" s="109" t="n"/>
      <c r="AM357" s="109" t="n"/>
      <c r="AN357" s="109" t="n"/>
    </row>
    <row r="358" ht="15.75" customHeight="1" s="216">
      <c r="D358" s="109" t="n"/>
      <c r="E358" s="109" t="n"/>
      <c r="J358" s="109" t="n"/>
      <c r="K358" s="109" t="n"/>
      <c r="L358" s="109" t="n"/>
      <c r="N358" s="109" t="n"/>
      <c r="O358" s="109" t="n"/>
      <c r="P358" s="109" t="n"/>
      <c r="T358" s="109" t="n"/>
      <c r="U358" s="109" t="n"/>
      <c r="V358" s="109" t="n"/>
      <c r="Z358" s="109" t="n"/>
      <c r="AA358" s="109" t="n"/>
      <c r="AB358" s="109" t="n"/>
      <c r="AF358" s="109" t="n"/>
      <c r="AG358" s="109" t="n"/>
      <c r="AH358" s="109" t="n"/>
      <c r="AL358" s="109" t="n"/>
      <c r="AM358" s="109" t="n"/>
      <c r="AN358" s="109" t="n"/>
    </row>
    <row r="359" ht="15.75" customHeight="1" s="216">
      <c r="D359" s="109" t="n"/>
      <c r="E359" s="109" t="n"/>
      <c r="J359" s="109" t="n"/>
      <c r="K359" s="109" t="n"/>
      <c r="L359" s="109" t="n"/>
      <c r="N359" s="109" t="n"/>
      <c r="O359" s="109" t="n"/>
      <c r="P359" s="109" t="n"/>
      <c r="T359" s="109" t="n"/>
      <c r="U359" s="109" t="n"/>
      <c r="V359" s="109" t="n"/>
      <c r="Z359" s="109" t="n"/>
      <c r="AA359" s="109" t="n"/>
      <c r="AB359" s="109" t="n"/>
      <c r="AF359" s="109" t="n"/>
      <c r="AG359" s="109" t="n"/>
      <c r="AH359" s="109" t="n"/>
      <c r="AL359" s="109" t="n"/>
      <c r="AM359" s="109" t="n"/>
      <c r="AN359" s="109" t="n"/>
    </row>
    <row r="360" ht="15.75" customHeight="1" s="216">
      <c r="D360" s="109" t="n"/>
      <c r="E360" s="109" t="n"/>
      <c r="J360" s="109" t="n"/>
      <c r="K360" s="109" t="n"/>
      <c r="L360" s="109" t="n"/>
      <c r="N360" s="109" t="n"/>
      <c r="O360" s="109" t="n"/>
      <c r="P360" s="109" t="n"/>
      <c r="T360" s="109" t="n"/>
      <c r="U360" s="109" t="n"/>
      <c r="V360" s="109" t="n"/>
      <c r="Z360" s="109" t="n"/>
      <c r="AA360" s="109" t="n"/>
      <c r="AB360" s="109" t="n"/>
      <c r="AF360" s="109" t="n"/>
      <c r="AG360" s="109" t="n"/>
      <c r="AH360" s="109" t="n"/>
      <c r="AL360" s="109" t="n"/>
      <c r="AM360" s="109" t="n"/>
      <c r="AN360" s="109" t="n"/>
    </row>
    <row r="361" ht="15.75" customHeight="1" s="216">
      <c r="D361" s="109" t="n"/>
      <c r="E361" s="109" t="n"/>
      <c r="J361" s="109" t="n"/>
      <c r="K361" s="109" t="n"/>
      <c r="L361" s="109" t="n"/>
      <c r="N361" s="109" t="n"/>
      <c r="O361" s="109" t="n"/>
      <c r="P361" s="109" t="n"/>
      <c r="T361" s="109" t="n"/>
      <c r="U361" s="109" t="n"/>
      <c r="V361" s="109" t="n"/>
      <c r="Z361" s="109" t="n"/>
      <c r="AA361" s="109" t="n"/>
      <c r="AB361" s="109" t="n"/>
      <c r="AF361" s="109" t="n"/>
      <c r="AG361" s="109" t="n"/>
      <c r="AH361" s="109" t="n"/>
      <c r="AL361" s="109" t="n"/>
      <c r="AM361" s="109" t="n"/>
      <c r="AN361" s="109" t="n"/>
    </row>
    <row r="362" ht="15.75" customHeight="1" s="216">
      <c r="D362" s="109" t="n"/>
      <c r="E362" s="109" t="n"/>
      <c r="J362" s="109" t="n"/>
      <c r="K362" s="109" t="n"/>
      <c r="L362" s="109" t="n"/>
      <c r="N362" s="109" t="n"/>
      <c r="O362" s="109" t="n"/>
      <c r="P362" s="109" t="n"/>
      <c r="T362" s="109" t="n"/>
      <c r="U362" s="109" t="n"/>
      <c r="V362" s="109" t="n"/>
      <c r="Z362" s="109" t="n"/>
      <c r="AA362" s="109" t="n"/>
      <c r="AB362" s="109" t="n"/>
      <c r="AF362" s="109" t="n"/>
      <c r="AG362" s="109" t="n"/>
      <c r="AH362" s="109" t="n"/>
      <c r="AL362" s="109" t="n"/>
      <c r="AM362" s="109" t="n"/>
      <c r="AN362" s="109" t="n"/>
    </row>
    <row r="363" ht="15.75" customHeight="1" s="216">
      <c r="D363" s="109" t="n"/>
      <c r="E363" s="109" t="n"/>
      <c r="J363" s="109" t="n"/>
      <c r="K363" s="109" t="n"/>
      <c r="L363" s="109" t="n"/>
      <c r="N363" s="109" t="n"/>
      <c r="O363" s="109" t="n"/>
      <c r="P363" s="109" t="n"/>
      <c r="T363" s="109" t="n"/>
      <c r="U363" s="109" t="n"/>
      <c r="V363" s="109" t="n"/>
      <c r="Z363" s="109" t="n"/>
      <c r="AA363" s="109" t="n"/>
      <c r="AB363" s="109" t="n"/>
      <c r="AF363" s="109" t="n"/>
      <c r="AG363" s="109" t="n"/>
      <c r="AH363" s="109" t="n"/>
      <c r="AL363" s="109" t="n"/>
      <c r="AM363" s="109" t="n"/>
      <c r="AN363" s="109" t="n"/>
    </row>
    <row r="364" ht="15.75" customHeight="1" s="216">
      <c r="D364" s="109" t="n"/>
      <c r="E364" s="109" t="n"/>
      <c r="J364" s="109" t="n"/>
      <c r="K364" s="109" t="n"/>
      <c r="L364" s="109" t="n"/>
      <c r="N364" s="109" t="n"/>
      <c r="O364" s="109" t="n"/>
      <c r="P364" s="109" t="n"/>
      <c r="T364" s="109" t="n"/>
      <c r="U364" s="109" t="n"/>
      <c r="V364" s="109" t="n"/>
      <c r="Z364" s="109" t="n"/>
      <c r="AA364" s="109" t="n"/>
      <c r="AB364" s="109" t="n"/>
      <c r="AF364" s="109" t="n"/>
      <c r="AG364" s="109" t="n"/>
      <c r="AH364" s="109" t="n"/>
      <c r="AL364" s="109" t="n"/>
      <c r="AM364" s="109" t="n"/>
      <c r="AN364" s="109" t="n"/>
    </row>
    <row r="365" ht="15.75" customHeight="1" s="216">
      <c r="D365" s="109" t="n"/>
      <c r="E365" s="109" t="n"/>
      <c r="J365" s="109" t="n"/>
      <c r="K365" s="109" t="n"/>
      <c r="L365" s="109" t="n"/>
      <c r="N365" s="109" t="n"/>
      <c r="O365" s="109" t="n"/>
      <c r="P365" s="109" t="n"/>
      <c r="T365" s="109" t="n"/>
      <c r="U365" s="109" t="n"/>
      <c r="V365" s="109" t="n"/>
      <c r="Z365" s="109" t="n"/>
      <c r="AA365" s="109" t="n"/>
      <c r="AB365" s="109" t="n"/>
      <c r="AF365" s="109" t="n"/>
      <c r="AG365" s="109" t="n"/>
      <c r="AH365" s="109" t="n"/>
      <c r="AL365" s="109" t="n"/>
      <c r="AM365" s="109" t="n"/>
      <c r="AN365" s="109" t="n"/>
    </row>
    <row r="366" ht="15.75" customHeight="1" s="216">
      <c r="D366" s="109" t="n"/>
      <c r="E366" s="109" t="n"/>
      <c r="J366" s="109" t="n"/>
      <c r="K366" s="109" t="n"/>
      <c r="L366" s="109" t="n"/>
      <c r="N366" s="109" t="n"/>
      <c r="O366" s="109" t="n"/>
      <c r="P366" s="109" t="n"/>
      <c r="T366" s="109" t="n"/>
      <c r="U366" s="109" t="n"/>
      <c r="V366" s="109" t="n"/>
      <c r="Z366" s="109" t="n"/>
      <c r="AA366" s="109" t="n"/>
      <c r="AB366" s="109" t="n"/>
      <c r="AF366" s="109" t="n"/>
      <c r="AG366" s="109" t="n"/>
      <c r="AH366" s="109" t="n"/>
      <c r="AL366" s="109" t="n"/>
      <c r="AM366" s="109" t="n"/>
      <c r="AN366" s="109" t="n"/>
    </row>
    <row r="367" ht="15.75" customHeight="1" s="216">
      <c r="D367" s="109" t="n"/>
      <c r="E367" s="109" t="n"/>
      <c r="J367" s="109" t="n"/>
      <c r="K367" s="109" t="n"/>
      <c r="L367" s="109" t="n"/>
      <c r="N367" s="109" t="n"/>
      <c r="O367" s="109" t="n"/>
      <c r="P367" s="109" t="n"/>
      <c r="T367" s="109" t="n"/>
      <c r="U367" s="109" t="n"/>
      <c r="V367" s="109" t="n"/>
      <c r="Z367" s="109" t="n"/>
      <c r="AA367" s="109" t="n"/>
      <c r="AB367" s="109" t="n"/>
      <c r="AF367" s="109" t="n"/>
      <c r="AG367" s="109" t="n"/>
      <c r="AH367" s="109" t="n"/>
      <c r="AL367" s="109" t="n"/>
      <c r="AM367" s="109" t="n"/>
      <c r="AN367" s="109" t="n"/>
    </row>
    <row r="368" ht="15.75" customHeight="1" s="216">
      <c r="D368" s="109" t="n"/>
      <c r="E368" s="109" t="n"/>
      <c r="J368" s="109" t="n"/>
      <c r="K368" s="109" t="n"/>
      <c r="L368" s="109" t="n"/>
      <c r="N368" s="109" t="n"/>
      <c r="O368" s="109" t="n"/>
      <c r="P368" s="109" t="n"/>
      <c r="T368" s="109" t="n"/>
      <c r="U368" s="109" t="n"/>
      <c r="V368" s="109" t="n"/>
      <c r="Z368" s="109" t="n"/>
      <c r="AA368" s="109" t="n"/>
      <c r="AB368" s="109" t="n"/>
      <c r="AF368" s="109" t="n"/>
      <c r="AG368" s="109" t="n"/>
      <c r="AH368" s="109" t="n"/>
      <c r="AL368" s="109" t="n"/>
      <c r="AM368" s="109" t="n"/>
      <c r="AN368" s="109" t="n"/>
    </row>
    <row r="369" ht="15.75" customHeight="1" s="216">
      <c r="D369" s="109" t="n"/>
      <c r="E369" s="109" t="n"/>
      <c r="J369" s="109" t="n"/>
      <c r="K369" s="109" t="n"/>
      <c r="L369" s="109" t="n"/>
      <c r="N369" s="109" t="n"/>
      <c r="O369" s="109" t="n"/>
      <c r="P369" s="109" t="n"/>
      <c r="T369" s="109" t="n"/>
      <c r="U369" s="109" t="n"/>
      <c r="V369" s="109" t="n"/>
      <c r="Z369" s="109" t="n"/>
      <c r="AA369" s="109" t="n"/>
      <c r="AB369" s="109" t="n"/>
      <c r="AF369" s="109" t="n"/>
      <c r="AG369" s="109" t="n"/>
      <c r="AH369" s="109" t="n"/>
      <c r="AL369" s="109" t="n"/>
      <c r="AM369" s="109" t="n"/>
      <c r="AN369" s="109" t="n"/>
    </row>
    <row r="370" ht="15.75" customHeight="1" s="216">
      <c r="D370" s="109" t="n"/>
      <c r="E370" s="109" t="n"/>
      <c r="J370" s="109" t="n"/>
      <c r="K370" s="109" t="n"/>
      <c r="L370" s="109" t="n"/>
      <c r="N370" s="109" t="n"/>
      <c r="O370" s="109" t="n"/>
      <c r="P370" s="109" t="n"/>
      <c r="T370" s="109" t="n"/>
      <c r="U370" s="109" t="n"/>
      <c r="V370" s="109" t="n"/>
      <c r="Z370" s="109" t="n"/>
      <c r="AA370" s="109" t="n"/>
      <c r="AB370" s="109" t="n"/>
      <c r="AF370" s="109" t="n"/>
      <c r="AG370" s="109" t="n"/>
      <c r="AH370" s="109" t="n"/>
      <c r="AL370" s="109" t="n"/>
      <c r="AM370" s="109" t="n"/>
      <c r="AN370" s="109" t="n"/>
    </row>
    <row r="371" ht="15.75" customHeight="1" s="216">
      <c r="D371" s="109" t="n"/>
      <c r="E371" s="109" t="n"/>
      <c r="J371" s="109" t="n"/>
      <c r="K371" s="109" t="n"/>
      <c r="L371" s="109" t="n"/>
      <c r="N371" s="109" t="n"/>
      <c r="O371" s="109" t="n"/>
      <c r="P371" s="109" t="n"/>
      <c r="T371" s="109" t="n"/>
      <c r="U371" s="109" t="n"/>
      <c r="V371" s="109" t="n"/>
      <c r="Z371" s="109" t="n"/>
      <c r="AA371" s="109" t="n"/>
      <c r="AB371" s="109" t="n"/>
      <c r="AF371" s="109" t="n"/>
      <c r="AG371" s="109" t="n"/>
      <c r="AH371" s="109" t="n"/>
      <c r="AL371" s="109" t="n"/>
      <c r="AM371" s="109" t="n"/>
      <c r="AN371" s="109" t="n"/>
    </row>
    <row r="372" ht="15.75" customHeight="1" s="216">
      <c r="D372" s="109" t="n"/>
      <c r="E372" s="109" t="n"/>
      <c r="J372" s="109" t="n"/>
      <c r="K372" s="109" t="n"/>
      <c r="L372" s="109" t="n"/>
      <c r="N372" s="109" t="n"/>
      <c r="O372" s="109" t="n"/>
      <c r="P372" s="109" t="n"/>
      <c r="T372" s="109" t="n"/>
      <c r="U372" s="109" t="n"/>
      <c r="V372" s="109" t="n"/>
      <c r="Z372" s="109" t="n"/>
      <c r="AA372" s="109" t="n"/>
      <c r="AB372" s="109" t="n"/>
      <c r="AF372" s="109" t="n"/>
      <c r="AG372" s="109" t="n"/>
      <c r="AH372" s="109" t="n"/>
      <c r="AL372" s="109" t="n"/>
      <c r="AM372" s="109" t="n"/>
      <c r="AN372" s="109" t="n"/>
    </row>
    <row r="373" ht="15.75" customHeight="1" s="216">
      <c r="D373" s="109" t="n"/>
      <c r="E373" s="109" t="n"/>
      <c r="J373" s="109" t="n"/>
      <c r="K373" s="109" t="n"/>
      <c r="L373" s="109" t="n"/>
      <c r="N373" s="109" t="n"/>
      <c r="O373" s="109" t="n"/>
      <c r="P373" s="109" t="n"/>
      <c r="T373" s="109" t="n"/>
      <c r="U373" s="109" t="n"/>
      <c r="V373" s="109" t="n"/>
      <c r="Z373" s="109" t="n"/>
      <c r="AA373" s="109" t="n"/>
      <c r="AB373" s="109" t="n"/>
      <c r="AF373" s="109" t="n"/>
      <c r="AG373" s="109" t="n"/>
      <c r="AH373" s="109" t="n"/>
      <c r="AL373" s="109" t="n"/>
      <c r="AM373" s="109" t="n"/>
      <c r="AN373" s="109" t="n"/>
    </row>
    <row r="374" ht="15.75" customHeight="1" s="216">
      <c r="D374" s="109" t="n"/>
      <c r="E374" s="109" t="n"/>
      <c r="J374" s="109" t="n"/>
      <c r="K374" s="109" t="n"/>
      <c r="L374" s="109" t="n"/>
      <c r="N374" s="109" t="n"/>
      <c r="O374" s="109" t="n"/>
      <c r="P374" s="109" t="n"/>
      <c r="T374" s="109" t="n"/>
      <c r="U374" s="109" t="n"/>
      <c r="V374" s="109" t="n"/>
      <c r="Z374" s="109" t="n"/>
      <c r="AA374" s="109" t="n"/>
      <c r="AB374" s="109" t="n"/>
      <c r="AF374" s="109" t="n"/>
      <c r="AG374" s="109" t="n"/>
      <c r="AH374" s="109" t="n"/>
      <c r="AL374" s="109" t="n"/>
      <c r="AM374" s="109" t="n"/>
      <c r="AN374" s="109" t="n"/>
    </row>
    <row r="375" ht="15.75" customHeight="1" s="216">
      <c r="D375" s="109" t="n"/>
      <c r="E375" s="109" t="n"/>
      <c r="J375" s="109" t="n"/>
      <c r="K375" s="109" t="n"/>
      <c r="L375" s="109" t="n"/>
      <c r="N375" s="109" t="n"/>
      <c r="O375" s="109" t="n"/>
      <c r="P375" s="109" t="n"/>
      <c r="T375" s="109" t="n"/>
      <c r="U375" s="109" t="n"/>
      <c r="V375" s="109" t="n"/>
      <c r="Z375" s="109" t="n"/>
      <c r="AA375" s="109" t="n"/>
      <c r="AB375" s="109" t="n"/>
      <c r="AF375" s="109" t="n"/>
      <c r="AG375" s="109" t="n"/>
      <c r="AH375" s="109" t="n"/>
      <c r="AL375" s="109" t="n"/>
      <c r="AM375" s="109" t="n"/>
      <c r="AN375" s="109" t="n"/>
    </row>
    <row r="376" ht="15.75" customHeight="1" s="216">
      <c r="D376" s="109" t="n"/>
      <c r="E376" s="109" t="n"/>
      <c r="J376" s="109" t="n"/>
      <c r="K376" s="109" t="n"/>
      <c r="L376" s="109" t="n"/>
      <c r="N376" s="109" t="n"/>
      <c r="O376" s="109" t="n"/>
      <c r="P376" s="109" t="n"/>
      <c r="T376" s="109" t="n"/>
      <c r="U376" s="109" t="n"/>
      <c r="V376" s="109" t="n"/>
      <c r="Z376" s="109" t="n"/>
      <c r="AA376" s="109" t="n"/>
      <c r="AB376" s="109" t="n"/>
      <c r="AF376" s="109" t="n"/>
      <c r="AG376" s="109" t="n"/>
      <c r="AH376" s="109" t="n"/>
      <c r="AL376" s="109" t="n"/>
      <c r="AM376" s="109" t="n"/>
      <c r="AN376" s="109" t="n"/>
    </row>
    <row r="377" ht="15.75" customHeight="1" s="216">
      <c r="D377" s="109" t="n"/>
      <c r="E377" s="109" t="n"/>
      <c r="J377" s="109" t="n"/>
      <c r="K377" s="109" t="n"/>
      <c r="L377" s="109" t="n"/>
      <c r="N377" s="109" t="n"/>
      <c r="O377" s="109" t="n"/>
      <c r="P377" s="109" t="n"/>
      <c r="T377" s="109" t="n"/>
      <c r="U377" s="109" t="n"/>
      <c r="V377" s="109" t="n"/>
      <c r="Z377" s="109" t="n"/>
      <c r="AA377" s="109" t="n"/>
      <c r="AB377" s="109" t="n"/>
      <c r="AF377" s="109" t="n"/>
      <c r="AG377" s="109" t="n"/>
      <c r="AH377" s="109" t="n"/>
      <c r="AL377" s="109" t="n"/>
      <c r="AM377" s="109" t="n"/>
      <c r="AN377" s="109" t="n"/>
    </row>
    <row r="378" ht="15.75" customHeight="1" s="216">
      <c r="D378" s="109" t="n"/>
      <c r="E378" s="109" t="n"/>
      <c r="J378" s="109" t="n"/>
      <c r="K378" s="109" t="n"/>
      <c r="L378" s="109" t="n"/>
      <c r="N378" s="109" t="n"/>
      <c r="O378" s="109" t="n"/>
      <c r="P378" s="109" t="n"/>
      <c r="T378" s="109" t="n"/>
      <c r="U378" s="109" t="n"/>
      <c r="V378" s="109" t="n"/>
      <c r="Z378" s="109" t="n"/>
      <c r="AA378" s="109" t="n"/>
      <c r="AB378" s="109" t="n"/>
      <c r="AF378" s="109" t="n"/>
      <c r="AG378" s="109" t="n"/>
      <c r="AH378" s="109" t="n"/>
      <c r="AL378" s="109" t="n"/>
      <c r="AM378" s="109" t="n"/>
      <c r="AN378" s="109" t="n"/>
    </row>
    <row r="379" ht="15.75" customHeight="1" s="216">
      <c r="D379" s="109" t="n"/>
      <c r="E379" s="109" t="n"/>
      <c r="J379" s="109" t="n"/>
      <c r="K379" s="109" t="n"/>
      <c r="L379" s="109" t="n"/>
      <c r="N379" s="109" t="n"/>
      <c r="O379" s="109" t="n"/>
      <c r="P379" s="109" t="n"/>
      <c r="T379" s="109" t="n"/>
      <c r="U379" s="109" t="n"/>
      <c r="V379" s="109" t="n"/>
      <c r="Z379" s="109" t="n"/>
      <c r="AA379" s="109" t="n"/>
      <c r="AB379" s="109" t="n"/>
      <c r="AF379" s="109" t="n"/>
      <c r="AG379" s="109" t="n"/>
      <c r="AH379" s="109" t="n"/>
      <c r="AL379" s="109" t="n"/>
      <c r="AM379" s="109" t="n"/>
      <c r="AN379" s="109" t="n"/>
    </row>
    <row r="380" ht="15.75" customHeight="1" s="216">
      <c r="D380" s="109" t="n"/>
      <c r="E380" s="109" t="n"/>
      <c r="J380" s="109" t="n"/>
      <c r="K380" s="109" t="n"/>
      <c r="L380" s="109" t="n"/>
      <c r="N380" s="109" t="n"/>
      <c r="O380" s="109" t="n"/>
      <c r="P380" s="109" t="n"/>
      <c r="T380" s="109" t="n"/>
      <c r="U380" s="109" t="n"/>
      <c r="V380" s="109" t="n"/>
      <c r="Z380" s="109" t="n"/>
      <c r="AA380" s="109" t="n"/>
      <c r="AB380" s="109" t="n"/>
      <c r="AF380" s="109" t="n"/>
      <c r="AG380" s="109" t="n"/>
      <c r="AH380" s="109" t="n"/>
      <c r="AL380" s="109" t="n"/>
      <c r="AM380" s="109" t="n"/>
      <c r="AN380" s="109" t="n"/>
    </row>
    <row r="381" ht="15.75" customHeight="1" s="216">
      <c r="D381" s="109" t="n"/>
      <c r="E381" s="109" t="n"/>
      <c r="J381" s="109" t="n"/>
      <c r="K381" s="109" t="n"/>
      <c r="L381" s="109" t="n"/>
      <c r="N381" s="109" t="n"/>
      <c r="O381" s="109" t="n"/>
      <c r="P381" s="109" t="n"/>
      <c r="T381" s="109" t="n"/>
      <c r="U381" s="109" t="n"/>
      <c r="V381" s="109" t="n"/>
      <c r="Z381" s="109" t="n"/>
      <c r="AA381" s="109" t="n"/>
      <c r="AB381" s="109" t="n"/>
      <c r="AF381" s="109" t="n"/>
      <c r="AG381" s="109" t="n"/>
      <c r="AH381" s="109" t="n"/>
      <c r="AL381" s="109" t="n"/>
      <c r="AM381" s="109" t="n"/>
      <c r="AN381" s="109" t="n"/>
    </row>
    <row r="382" ht="15.75" customHeight="1" s="216">
      <c r="D382" s="109" t="n"/>
      <c r="E382" s="109" t="n"/>
      <c r="J382" s="109" t="n"/>
      <c r="K382" s="109" t="n"/>
      <c r="L382" s="109" t="n"/>
      <c r="N382" s="109" t="n"/>
      <c r="O382" s="109" t="n"/>
      <c r="P382" s="109" t="n"/>
      <c r="T382" s="109" t="n"/>
      <c r="U382" s="109" t="n"/>
      <c r="V382" s="109" t="n"/>
      <c r="Z382" s="109" t="n"/>
      <c r="AA382" s="109" t="n"/>
      <c r="AB382" s="109" t="n"/>
      <c r="AF382" s="109" t="n"/>
      <c r="AG382" s="109" t="n"/>
      <c r="AH382" s="109" t="n"/>
      <c r="AL382" s="109" t="n"/>
      <c r="AM382" s="109" t="n"/>
      <c r="AN382" s="109" t="n"/>
    </row>
    <row r="383" ht="15.75" customHeight="1" s="216">
      <c r="D383" s="109" t="n"/>
      <c r="E383" s="109" t="n"/>
      <c r="J383" s="109" t="n"/>
      <c r="K383" s="109" t="n"/>
      <c r="L383" s="109" t="n"/>
      <c r="N383" s="109" t="n"/>
      <c r="O383" s="109" t="n"/>
      <c r="P383" s="109" t="n"/>
      <c r="T383" s="109" t="n"/>
      <c r="U383" s="109" t="n"/>
      <c r="V383" s="109" t="n"/>
      <c r="Z383" s="109" t="n"/>
      <c r="AA383" s="109" t="n"/>
      <c r="AB383" s="109" t="n"/>
      <c r="AF383" s="109" t="n"/>
      <c r="AG383" s="109" t="n"/>
      <c r="AH383" s="109" t="n"/>
      <c r="AL383" s="109" t="n"/>
      <c r="AM383" s="109" t="n"/>
      <c r="AN383" s="109" t="n"/>
    </row>
    <row r="384" ht="15.75" customHeight="1" s="216">
      <c r="D384" s="109" t="n"/>
      <c r="E384" s="109" t="n"/>
      <c r="J384" s="109" t="n"/>
      <c r="K384" s="109" t="n"/>
      <c r="L384" s="109" t="n"/>
      <c r="N384" s="109" t="n"/>
      <c r="O384" s="109" t="n"/>
      <c r="P384" s="109" t="n"/>
      <c r="T384" s="109" t="n"/>
      <c r="U384" s="109" t="n"/>
      <c r="V384" s="109" t="n"/>
      <c r="Z384" s="109" t="n"/>
      <c r="AA384" s="109" t="n"/>
      <c r="AB384" s="109" t="n"/>
      <c r="AF384" s="109" t="n"/>
      <c r="AG384" s="109" t="n"/>
      <c r="AH384" s="109" t="n"/>
      <c r="AL384" s="109" t="n"/>
      <c r="AM384" s="109" t="n"/>
      <c r="AN384" s="109" t="n"/>
    </row>
    <row r="385" ht="15.75" customHeight="1" s="216">
      <c r="D385" s="109" t="n"/>
      <c r="E385" s="109" t="n"/>
      <c r="J385" s="109" t="n"/>
      <c r="K385" s="109" t="n"/>
      <c r="L385" s="109" t="n"/>
      <c r="N385" s="109" t="n"/>
      <c r="O385" s="109" t="n"/>
      <c r="P385" s="109" t="n"/>
      <c r="T385" s="109" t="n"/>
      <c r="U385" s="109" t="n"/>
      <c r="V385" s="109" t="n"/>
      <c r="Z385" s="109" t="n"/>
      <c r="AA385" s="109" t="n"/>
      <c r="AB385" s="109" t="n"/>
      <c r="AF385" s="109" t="n"/>
      <c r="AG385" s="109" t="n"/>
      <c r="AH385" s="109" t="n"/>
      <c r="AL385" s="109" t="n"/>
      <c r="AM385" s="109" t="n"/>
      <c r="AN385" s="109" t="n"/>
    </row>
    <row r="386" ht="15.75" customHeight="1" s="216">
      <c r="D386" s="109" t="n"/>
      <c r="E386" s="109" t="n"/>
      <c r="J386" s="109" t="n"/>
      <c r="K386" s="109" t="n"/>
      <c r="L386" s="109" t="n"/>
      <c r="N386" s="109" t="n"/>
      <c r="O386" s="109" t="n"/>
      <c r="P386" s="109" t="n"/>
      <c r="T386" s="109" t="n"/>
      <c r="U386" s="109" t="n"/>
      <c r="V386" s="109" t="n"/>
      <c r="Z386" s="109" t="n"/>
      <c r="AA386" s="109" t="n"/>
      <c r="AB386" s="109" t="n"/>
      <c r="AF386" s="109" t="n"/>
      <c r="AG386" s="109" t="n"/>
      <c r="AH386" s="109" t="n"/>
      <c r="AL386" s="109" t="n"/>
      <c r="AM386" s="109" t="n"/>
      <c r="AN386" s="109" t="n"/>
    </row>
    <row r="387" ht="15.75" customHeight="1" s="216">
      <c r="D387" s="109" t="n"/>
      <c r="E387" s="109" t="n"/>
      <c r="J387" s="109" t="n"/>
      <c r="K387" s="109" t="n"/>
      <c r="L387" s="109" t="n"/>
      <c r="N387" s="109" t="n"/>
      <c r="O387" s="109" t="n"/>
      <c r="P387" s="109" t="n"/>
      <c r="T387" s="109" t="n"/>
      <c r="U387" s="109" t="n"/>
      <c r="V387" s="109" t="n"/>
      <c r="Z387" s="109" t="n"/>
      <c r="AA387" s="109" t="n"/>
      <c r="AB387" s="109" t="n"/>
      <c r="AF387" s="109" t="n"/>
      <c r="AG387" s="109" t="n"/>
      <c r="AH387" s="109" t="n"/>
      <c r="AL387" s="109" t="n"/>
      <c r="AM387" s="109" t="n"/>
      <c r="AN387" s="109" t="n"/>
    </row>
    <row r="388" ht="15.75" customHeight="1" s="216">
      <c r="D388" s="109" t="n"/>
      <c r="E388" s="109" t="n"/>
      <c r="J388" s="109" t="n"/>
      <c r="K388" s="109" t="n"/>
      <c r="L388" s="109" t="n"/>
      <c r="N388" s="109" t="n"/>
      <c r="O388" s="109" t="n"/>
      <c r="P388" s="109" t="n"/>
      <c r="T388" s="109" t="n"/>
      <c r="U388" s="109" t="n"/>
      <c r="V388" s="109" t="n"/>
      <c r="Z388" s="109" t="n"/>
      <c r="AA388" s="109" t="n"/>
      <c r="AB388" s="109" t="n"/>
      <c r="AF388" s="109" t="n"/>
      <c r="AG388" s="109" t="n"/>
      <c r="AH388" s="109" t="n"/>
      <c r="AL388" s="109" t="n"/>
      <c r="AM388" s="109" t="n"/>
      <c r="AN388" s="109" t="n"/>
    </row>
    <row r="389" ht="15.75" customHeight="1" s="216">
      <c r="D389" s="109" t="n"/>
      <c r="E389" s="109" t="n"/>
      <c r="J389" s="109" t="n"/>
      <c r="K389" s="109" t="n"/>
      <c r="L389" s="109" t="n"/>
      <c r="N389" s="109" t="n"/>
      <c r="O389" s="109" t="n"/>
      <c r="P389" s="109" t="n"/>
      <c r="T389" s="109" t="n"/>
      <c r="U389" s="109" t="n"/>
      <c r="V389" s="109" t="n"/>
      <c r="Z389" s="109" t="n"/>
      <c r="AA389" s="109" t="n"/>
      <c r="AB389" s="109" t="n"/>
      <c r="AF389" s="109" t="n"/>
      <c r="AG389" s="109" t="n"/>
      <c r="AH389" s="109" t="n"/>
      <c r="AL389" s="109" t="n"/>
      <c r="AM389" s="109" t="n"/>
      <c r="AN389" s="109" t="n"/>
    </row>
    <row r="390" ht="15.75" customHeight="1" s="216">
      <c r="D390" s="109" t="n"/>
      <c r="E390" s="109" t="n"/>
      <c r="J390" s="109" t="n"/>
      <c r="K390" s="109" t="n"/>
      <c r="L390" s="109" t="n"/>
      <c r="N390" s="109" t="n"/>
      <c r="O390" s="109" t="n"/>
      <c r="P390" s="109" t="n"/>
      <c r="T390" s="109" t="n"/>
      <c r="U390" s="109" t="n"/>
      <c r="V390" s="109" t="n"/>
      <c r="Z390" s="109" t="n"/>
      <c r="AA390" s="109" t="n"/>
      <c r="AB390" s="109" t="n"/>
      <c r="AF390" s="109" t="n"/>
      <c r="AG390" s="109" t="n"/>
      <c r="AH390" s="109" t="n"/>
      <c r="AL390" s="109" t="n"/>
      <c r="AM390" s="109" t="n"/>
      <c r="AN390" s="109" t="n"/>
    </row>
    <row r="391" ht="15.75" customHeight="1" s="216">
      <c r="D391" s="109" t="n"/>
      <c r="E391" s="109" t="n"/>
      <c r="J391" s="109" t="n"/>
      <c r="K391" s="109" t="n"/>
      <c r="L391" s="109" t="n"/>
      <c r="N391" s="109" t="n"/>
      <c r="O391" s="109" t="n"/>
      <c r="P391" s="109" t="n"/>
      <c r="T391" s="109" t="n"/>
      <c r="U391" s="109" t="n"/>
      <c r="V391" s="109" t="n"/>
      <c r="Z391" s="109" t="n"/>
      <c r="AA391" s="109" t="n"/>
      <c r="AB391" s="109" t="n"/>
      <c r="AF391" s="109" t="n"/>
      <c r="AG391" s="109" t="n"/>
      <c r="AH391" s="109" t="n"/>
      <c r="AL391" s="109" t="n"/>
      <c r="AM391" s="109" t="n"/>
      <c r="AN391" s="109" t="n"/>
    </row>
    <row r="392" ht="15.75" customHeight="1" s="216">
      <c r="D392" s="109" t="n"/>
      <c r="E392" s="109" t="n"/>
      <c r="J392" s="109" t="n"/>
      <c r="K392" s="109" t="n"/>
      <c r="L392" s="109" t="n"/>
      <c r="N392" s="109" t="n"/>
      <c r="O392" s="109" t="n"/>
      <c r="P392" s="109" t="n"/>
      <c r="T392" s="109" t="n"/>
      <c r="U392" s="109" t="n"/>
      <c r="V392" s="109" t="n"/>
      <c r="Z392" s="109" t="n"/>
      <c r="AA392" s="109" t="n"/>
      <c r="AB392" s="109" t="n"/>
      <c r="AF392" s="109" t="n"/>
      <c r="AG392" s="109" t="n"/>
      <c r="AH392" s="109" t="n"/>
      <c r="AL392" s="109" t="n"/>
      <c r="AM392" s="109" t="n"/>
      <c r="AN392" s="109" t="n"/>
    </row>
    <row r="393" ht="15.75" customHeight="1" s="216">
      <c r="D393" s="109" t="n"/>
      <c r="E393" s="109" t="n"/>
      <c r="J393" s="109" t="n"/>
      <c r="K393" s="109" t="n"/>
      <c r="L393" s="109" t="n"/>
      <c r="N393" s="109" t="n"/>
      <c r="O393" s="109" t="n"/>
      <c r="P393" s="109" t="n"/>
      <c r="T393" s="109" t="n"/>
      <c r="U393" s="109" t="n"/>
      <c r="V393" s="109" t="n"/>
      <c r="Z393" s="109" t="n"/>
      <c r="AA393" s="109" t="n"/>
      <c r="AB393" s="109" t="n"/>
      <c r="AF393" s="109" t="n"/>
      <c r="AG393" s="109" t="n"/>
      <c r="AH393" s="109" t="n"/>
      <c r="AL393" s="109" t="n"/>
      <c r="AM393" s="109" t="n"/>
      <c r="AN393" s="109" t="n"/>
    </row>
    <row r="394" ht="15.75" customHeight="1" s="216">
      <c r="D394" s="109" t="n"/>
      <c r="E394" s="109" t="n"/>
      <c r="J394" s="109" t="n"/>
      <c r="K394" s="109" t="n"/>
      <c r="L394" s="109" t="n"/>
      <c r="N394" s="109" t="n"/>
      <c r="O394" s="109" t="n"/>
      <c r="P394" s="109" t="n"/>
      <c r="T394" s="109" t="n"/>
      <c r="U394" s="109" t="n"/>
      <c r="V394" s="109" t="n"/>
      <c r="Z394" s="109" t="n"/>
      <c r="AA394" s="109" t="n"/>
      <c r="AB394" s="109" t="n"/>
      <c r="AF394" s="109" t="n"/>
      <c r="AG394" s="109" t="n"/>
      <c r="AH394" s="109" t="n"/>
      <c r="AL394" s="109" t="n"/>
      <c r="AM394" s="109" t="n"/>
      <c r="AN394" s="109" t="n"/>
    </row>
    <row r="395" ht="15.75" customHeight="1" s="216">
      <c r="D395" s="109" t="n"/>
      <c r="E395" s="109" t="n"/>
      <c r="J395" s="109" t="n"/>
      <c r="K395" s="109" t="n"/>
      <c r="L395" s="109" t="n"/>
      <c r="N395" s="109" t="n"/>
      <c r="O395" s="109" t="n"/>
      <c r="P395" s="109" t="n"/>
      <c r="T395" s="109" t="n"/>
      <c r="U395" s="109" t="n"/>
      <c r="V395" s="109" t="n"/>
      <c r="Z395" s="109" t="n"/>
      <c r="AA395" s="109" t="n"/>
      <c r="AB395" s="109" t="n"/>
      <c r="AF395" s="109" t="n"/>
      <c r="AG395" s="109" t="n"/>
      <c r="AH395" s="109" t="n"/>
      <c r="AL395" s="109" t="n"/>
      <c r="AM395" s="109" t="n"/>
      <c r="AN395" s="109" t="n"/>
    </row>
    <row r="396" ht="15.75" customHeight="1" s="216">
      <c r="D396" s="109" t="n"/>
      <c r="E396" s="109" t="n"/>
      <c r="J396" s="109" t="n"/>
      <c r="K396" s="109" t="n"/>
      <c r="L396" s="109" t="n"/>
      <c r="N396" s="109" t="n"/>
      <c r="O396" s="109" t="n"/>
      <c r="P396" s="109" t="n"/>
      <c r="T396" s="109" t="n"/>
      <c r="U396" s="109" t="n"/>
      <c r="V396" s="109" t="n"/>
      <c r="Z396" s="109" t="n"/>
      <c r="AA396" s="109" t="n"/>
      <c r="AB396" s="109" t="n"/>
      <c r="AF396" s="109" t="n"/>
      <c r="AG396" s="109" t="n"/>
      <c r="AH396" s="109" t="n"/>
      <c r="AL396" s="109" t="n"/>
      <c r="AM396" s="109" t="n"/>
      <c r="AN396" s="109" t="n"/>
    </row>
    <row r="397" ht="15.75" customHeight="1" s="216">
      <c r="D397" s="109" t="n"/>
      <c r="E397" s="109" t="n"/>
      <c r="J397" s="109" t="n"/>
      <c r="K397" s="109" t="n"/>
      <c r="L397" s="109" t="n"/>
      <c r="N397" s="109" t="n"/>
      <c r="O397" s="109" t="n"/>
      <c r="P397" s="109" t="n"/>
      <c r="T397" s="109" t="n"/>
      <c r="U397" s="109" t="n"/>
      <c r="V397" s="109" t="n"/>
      <c r="Z397" s="109" t="n"/>
      <c r="AA397" s="109" t="n"/>
      <c r="AB397" s="109" t="n"/>
      <c r="AF397" s="109" t="n"/>
      <c r="AG397" s="109" t="n"/>
      <c r="AH397" s="109" t="n"/>
      <c r="AL397" s="109" t="n"/>
      <c r="AM397" s="109" t="n"/>
      <c r="AN397" s="109" t="n"/>
    </row>
    <row r="398" ht="15.75" customHeight="1" s="216">
      <c r="D398" s="109" t="n"/>
      <c r="E398" s="109" t="n"/>
      <c r="J398" s="109" t="n"/>
      <c r="K398" s="109" t="n"/>
      <c r="L398" s="109" t="n"/>
      <c r="N398" s="109" t="n"/>
      <c r="O398" s="109" t="n"/>
      <c r="P398" s="109" t="n"/>
      <c r="T398" s="109" t="n"/>
      <c r="U398" s="109" t="n"/>
      <c r="V398" s="109" t="n"/>
      <c r="Z398" s="109" t="n"/>
      <c r="AA398" s="109" t="n"/>
      <c r="AB398" s="109" t="n"/>
      <c r="AF398" s="109" t="n"/>
      <c r="AG398" s="109" t="n"/>
      <c r="AH398" s="109" t="n"/>
      <c r="AL398" s="109" t="n"/>
      <c r="AM398" s="109" t="n"/>
      <c r="AN398" s="109" t="n"/>
    </row>
    <row r="399" ht="15.75" customHeight="1" s="216">
      <c r="D399" s="109" t="n"/>
      <c r="E399" s="109" t="n"/>
      <c r="J399" s="109" t="n"/>
      <c r="K399" s="109" t="n"/>
      <c r="L399" s="109" t="n"/>
      <c r="N399" s="109" t="n"/>
      <c r="O399" s="109" t="n"/>
      <c r="P399" s="109" t="n"/>
      <c r="T399" s="109" t="n"/>
      <c r="U399" s="109" t="n"/>
      <c r="V399" s="109" t="n"/>
      <c r="Z399" s="109" t="n"/>
      <c r="AA399" s="109" t="n"/>
      <c r="AB399" s="109" t="n"/>
      <c r="AF399" s="109" t="n"/>
      <c r="AG399" s="109" t="n"/>
      <c r="AH399" s="109" t="n"/>
      <c r="AL399" s="109" t="n"/>
      <c r="AM399" s="109" t="n"/>
      <c r="AN399" s="109" t="n"/>
    </row>
    <row r="400" ht="15.75" customHeight="1" s="216">
      <c r="D400" s="109" t="n"/>
      <c r="E400" s="109" t="n"/>
      <c r="J400" s="109" t="n"/>
      <c r="K400" s="109" t="n"/>
      <c r="L400" s="109" t="n"/>
      <c r="N400" s="109" t="n"/>
      <c r="O400" s="109" t="n"/>
      <c r="P400" s="109" t="n"/>
      <c r="T400" s="109" t="n"/>
      <c r="U400" s="109" t="n"/>
      <c r="V400" s="109" t="n"/>
      <c r="Z400" s="109" t="n"/>
      <c r="AA400" s="109" t="n"/>
      <c r="AB400" s="109" t="n"/>
      <c r="AF400" s="109" t="n"/>
      <c r="AG400" s="109" t="n"/>
      <c r="AH400" s="109" t="n"/>
      <c r="AL400" s="109" t="n"/>
      <c r="AM400" s="109" t="n"/>
      <c r="AN400" s="109" t="n"/>
    </row>
    <row r="401" ht="15.75" customHeight="1" s="216">
      <c r="D401" s="109" t="n"/>
      <c r="E401" s="109" t="n"/>
      <c r="J401" s="109" t="n"/>
      <c r="K401" s="109" t="n"/>
      <c r="L401" s="109" t="n"/>
      <c r="N401" s="109" t="n"/>
      <c r="O401" s="109" t="n"/>
      <c r="P401" s="109" t="n"/>
      <c r="T401" s="109" t="n"/>
      <c r="U401" s="109" t="n"/>
      <c r="V401" s="109" t="n"/>
      <c r="Z401" s="109" t="n"/>
      <c r="AA401" s="109" t="n"/>
      <c r="AB401" s="109" t="n"/>
      <c r="AF401" s="109" t="n"/>
      <c r="AG401" s="109" t="n"/>
      <c r="AH401" s="109" t="n"/>
      <c r="AL401" s="109" t="n"/>
      <c r="AM401" s="109" t="n"/>
      <c r="AN401" s="109" t="n"/>
    </row>
    <row r="402" ht="15.75" customHeight="1" s="216">
      <c r="D402" s="109" t="n"/>
      <c r="E402" s="109" t="n"/>
      <c r="J402" s="109" t="n"/>
      <c r="K402" s="109" t="n"/>
      <c r="L402" s="109" t="n"/>
      <c r="N402" s="109" t="n"/>
      <c r="O402" s="109" t="n"/>
      <c r="P402" s="109" t="n"/>
      <c r="T402" s="109" t="n"/>
      <c r="U402" s="109" t="n"/>
      <c r="V402" s="109" t="n"/>
      <c r="Z402" s="109" t="n"/>
      <c r="AA402" s="109" t="n"/>
      <c r="AB402" s="109" t="n"/>
      <c r="AF402" s="109" t="n"/>
      <c r="AG402" s="109" t="n"/>
      <c r="AH402" s="109" t="n"/>
      <c r="AL402" s="109" t="n"/>
      <c r="AM402" s="109" t="n"/>
      <c r="AN402" s="109" t="n"/>
    </row>
    <row r="403" ht="15.75" customHeight="1" s="216">
      <c r="D403" s="109" t="n"/>
      <c r="E403" s="109" t="n"/>
      <c r="J403" s="109" t="n"/>
      <c r="K403" s="109" t="n"/>
      <c r="L403" s="109" t="n"/>
      <c r="N403" s="109" t="n"/>
      <c r="O403" s="109" t="n"/>
      <c r="P403" s="109" t="n"/>
      <c r="T403" s="109" t="n"/>
      <c r="U403" s="109" t="n"/>
      <c r="V403" s="109" t="n"/>
      <c r="Z403" s="109" t="n"/>
      <c r="AA403" s="109" t="n"/>
      <c r="AB403" s="109" t="n"/>
      <c r="AF403" s="109" t="n"/>
      <c r="AG403" s="109" t="n"/>
      <c r="AH403" s="109" t="n"/>
      <c r="AL403" s="109" t="n"/>
      <c r="AM403" s="109" t="n"/>
      <c r="AN403" s="109" t="n"/>
    </row>
    <row r="404" ht="15.75" customHeight="1" s="216">
      <c r="D404" s="109" t="n"/>
      <c r="E404" s="109" t="n"/>
      <c r="J404" s="109" t="n"/>
      <c r="K404" s="109" t="n"/>
      <c r="L404" s="109" t="n"/>
      <c r="N404" s="109" t="n"/>
      <c r="O404" s="109" t="n"/>
      <c r="P404" s="109" t="n"/>
      <c r="T404" s="109" t="n"/>
      <c r="U404" s="109" t="n"/>
      <c r="V404" s="109" t="n"/>
      <c r="Z404" s="109" t="n"/>
      <c r="AA404" s="109" t="n"/>
      <c r="AB404" s="109" t="n"/>
      <c r="AF404" s="109" t="n"/>
      <c r="AG404" s="109" t="n"/>
      <c r="AH404" s="109" t="n"/>
      <c r="AL404" s="109" t="n"/>
      <c r="AM404" s="109" t="n"/>
      <c r="AN404" s="109" t="n"/>
    </row>
    <row r="405" ht="15.75" customHeight="1" s="216">
      <c r="D405" s="109" t="n"/>
      <c r="E405" s="109" t="n"/>
      <c r="J405" s="109" t="n"/>
      <c r="K405" s="109" t="n"/>
      <c r="L405" s="109" t="n"/>
      <c r="N405" s="109" t="n"/>
      <c r="O405" s="109" t="n"/>
      <c r="P405" s="109" t="n"/>
      <c r="T405" s="109" t="n"/>
      <c r="U405" s="109" t="n"/>
      <c r="V405" s="109" t="n"/>
      <c r="Z405" s="109" t="n"/>
      <c r="AA405" s="109" t="n"/>
      <c r="AB405" s="109" t="n"/>
      <c r="AF405" s="109" t="n"/>
      <c r="AG405" s="109" t="n"/>
      <c r="AH405" s="109" t="n"/>
      <c r="AL405" s="109" t="n"/>
      <c r="AM405" s="109" t="n"/>
      <c r="AN405" s="109" t="n"/>
    </row>
    <row r="406" ht="15.75" customHeight="1" s="216">
      <c r="D406" s="109" t="n"/>
      <c r="E406" s="109" t="n"/>
      <c r="J406" s="109" t="n"/>
      <c r="K406" s="109" t="n"/>
      <c r="L406" s="109" t="n"/>
      <c r="N406" s="109" t="n"/>
      <c r="O406" s="109" t="n"/>
      <c r="P406" s="109" t="n"/>
      <c r="T406" s="109" t="n"/>
      <c r="U406" s="109" t="n"/>
      <c r="V406" s="109" t="n"/>
      <c r="Z406" s="109" t="n"/>
      <c r="AA406" s="109" t="n"/>
      <c r="AB406" s="109" t="n"/>
      <c r="AF406" s="109" t="n"/>
      <c r="AG406" s="109" t="n"/>
      <c r="AH406" s="109" t="n"/>
      <c r="AL406" s="109" t="n"/>
      <c r="AM406" s="109" t="n"/>
      <c r="AN406" s="109" t="n"/>
    </row>
    <row r="407" ht="15.75" customHeight="1" s="216">
      <c r="D407" s="109" t="n"/>
      <c r="E407" s="109" t="n"/>
      <c r="J407" s="109" t="n"/>
      <c r="K407" s="109" t="n"/>
      <c r="L407" s="109" t="n"/>
      <c r="N407" s="109" t="n"/>
      <c r="O407" s="109" t="n"/>
      <c r="P407" s="109" t="n"/>
      <c r="T407" s="109" t="n"/>
      <c r="U407" s="109" t="n"/>
      <c r="V407" s="109" t="n"/>
      <c r="Z407" s="109" t="n"/>
      <c r="AA407" s="109" t="n"/>
      <c r="AB407" s="109" t="n"/>
      <c r="AF407" s="109" t="n"/>
      <c r="AG407" s="109" t="n"/>
      <c r="AH407" s="109" t="n"/>
      <c r="AL407" s="109" t="n"/>
      <c r="AM407" s="109" t="n"/>
      <c r="AN407" s="109" t="n"/>
    </row>
    <row r="408" ht="15.75" customHeight="1" s="216">
      <c r="D408" s="109" t="n"/>
      <c r="E408" s="109" t="n"/>
      <c r="J408" s="109" t="n"/>
      <c r="K408" s="109" t="n"/>
      <c r="L408" s="109" t="n"/>
      <c r="N408" s="109" t="n"/>
      <c r="O408" s="109" t="n"/>
      <c r="P408" s="109" t="n"/>
      <c r="T408" s="109" t="n"/>
      <c r="U408" s="109" t="n"/>
      <c r="V408" s="109" t="n"/>
      <c r="Z408" s="109" t="n"/>
      <c r="AA408" s="109" t="n"/>
      <c r="AB408" s="109" t="n"/>
      <c r="AF408" s="109" t="n"/>
      <c r="AG408" s="109" t="n"/>
      <c r="AH408" s="109" t="n"/>
      <c r="AL408" s="109" t="n"/>
      <c r="AM408" s="109" t="n"/>
      <c r="AN408" s="109" t="n"/>
    </row>
    <row r="409" ht="15.75" customHeight="1" s="216">
      <c r="D409" s="109" t="n"/>
      <c r="E409" s="109" t="n"/>
      <c r="J409" s="109" t="n"/>
      <c r="K409" s="109" t="n"/>
      <c r="L409" s="109" t="n"/>
      <c r="N409" s="109" t="n"/>
      <c r="O409" s="109" t="n"/>
      <c r="P409" s="109" t="n"/>
      <c r="T409" s="109" t="n"/>
      <c r="U409" s="109" t="n"/>
      <c r="V409" s="109" t="n"/>
      <c r="Z409" s="109" t="n"/>
      <c r="AA409" s="109" t="n"/>
      <c r="AB409" s="109" t="n"/>
      <c r="AF409" s="109" t="n"/>
      <c r="AG409" s="109" t="n"/>
      <c r="AH409" s="109" t="n"/>
      <c r="AL409" s="109" t="n"/>
      <c r="AM409" s="109" t="n"/>
      <c r="AN409" s="109" t="n"/>
    </row>
    <row r="410" ht="15.75" customHeight="1" s="216">
      <c r="D410" s="109" t="n"/>
      <c r="E410" s="109" t="n"/>
      <c r="J410" s="109" t="n"/>
      <c r="K410" s="109" t="n"/>
      <c r="L410" s="109" t="n"/>
      <c r="N410" s="109" t="n"/>
      <c r="O410" s="109" t="n"/>
      <c r="P410" s="109" t="n"/>
      <c r="T410" s="109" t="n"/>
      <c r="U410" s="109" t="n"/>
      <c r="V410" s="109" t="n"/>
      <c r="Z410" s="109" t="n"/>
      <c r="AA410" s="109" t="n"/>
      <c r="AB410" s="109" t="n"/>
      <c r="AF410" s="109" t="n"/>
      <c r="AG410" s="109" t="n"/>
      <c r="AH410" s="109" t="n"/>
      <c r="AL410" s="109" t="n"/>
      <c r="AM410" s="109" t="n"/>
      <c r="AN410" s="109" t="n"/>
    </row>
    <row r="411" ht="15.75" customHeight="1" s="216">
      <c r="D411" s="109" t="n"/>
      <c r="E411" s="109" t="n"/>
      <c r="J411" s="109" t="n"/>
      <c r="K411" s="109" t="n"/>
      <c r="L411" s="109" t="n"/>
      <c r="N411" s="109" t="n"/>
      <c r="O411" s="109" t="n"/>
      <c r="P411" s="109" t="n"/>
      <c r="T411" s="109" t="n"/>
      <c r="U411" s="109" t="n"/>
      <c r="V411" s="109" t="n"/>
      <c r="Z411" s="109" t="n"/>
      <c r="AA411" s="109" t="n"/>
      <c r="AB411" s="109" t="n"/>
      <c r="AF411" s="109" t="n"/>
      <c r="AG411" s="109" t="n"/>
      <c r="AH411" s="109" t="n"/>
      <c r="AL411" s="109" t="n"/>
      <c r="AM411" s="109" t="n"/>
      <c r="AN411" s="109" t="n"/>
    </row>
    <row r="412" ht="15.75" customHeight="1" s="216">
      <c r="D412" s="109" t="n"/>
      <c r="E412" s="109" t="n"/>
      <c r="J412" s="109" t="n"/>
      <c r="K412" s="109" t="n"/>
      <c r="L412" s="109" t="n"/>
      <c r="N412" s="109" t="n"/>
      <c r="O412" s="109" t="n"/>
      <c r="P412" s="109" t="n"/>
      <c r="T412" s="109" t="n"/>
      <c r="U412" s="109" t="n"/>
      <c r="V412" s="109" t="n"/>
      <c r="Z412" s="109" t="n"/>
      <c r="AA412" s="109" t="n"/>
      <c r="AB412" s="109" t="n"/>
      <c r="AF412" s="109" t="n"/>
      <c r="AG412" s="109" t="n"/>
      <c r="AH412" s="109" t="n"/>
      <c r="AL412" s="109" t="n"/>
      <c r="AM412" s="109" t="n"/>
      <c r="AN412" s="109" t="n"/>
    </row>
    <row r="413" ht="15.75" customHeight="1" s="216">
      <c r="D413" s="109" t="n"/>
      <c r="E413" s="109" t="n"/>
      <c r="J413" s="109" t="n"/>
      <c r="K413" s="109" t="n"/>
      <c r="L413" s="109" t="n"/>
      <c r="N413" s="109" t="n"/>
      <c r="O413" s="109" t="n"/>
      <c r="P413" s="109" t="n"/>
      <c r="T413" s="109" t="n"/>
      <c r="U413" s="109" t="n"/>
      <c r="V413" s="109" t="n"/>
      <c r="Z413" s="109" t="n"/>
      <c r="AA413" s="109" t="n"/>
      <c r="AB413" s="109" t="n"/>
      <c r="AF413" s="109" t="n"/>
      <c r="AG413" s="109" t="n"/>
      <c r="AH413" s="109" t="n"/>
      <c r="AL413" s="109" t="n"/>
      <c r="AM413" s="109" t="n"/>
      <c r="AN413" s="109" t="n"/>
    </row>
    <row r="414" ht="15.75" customHeight="1" s="216">
      <c r="D414" s="109" t="n"/>
      <c r="E414" s="109" t="n"/>
      <c r="J414" s="109" t="n"/>
      <c r="K414" s="109" t="n"/>
      <c r="L414" s="109" t="n"/>
      <c r="N414" s="109" t="n"/>
      <c r="O414" s="109" t="n"/>
      <c r="P414" s="109" t="n"/>
      <c r="T414" s="109" t="n"/>
      <c r="U414" s="109" t="n"/>
      <c r="V414" s="109" t="n"/>
      <c r="Z414" s="109" t="n"/>
      <c r="AA414" s="109" t="n"/>
      <c r="AB414" s="109" t="n"/>
      <c r="AF414" s="109" t="n"/>
      <c r="AG414" s="109" t="n"/>
      <c r="AH414" s="109" t="n"/>
      <c r="AL414" s="109" t="n"/>
      <c r="AM414" s="109" t="n"/>
      <c r="AN414" s="109" t="n"/>
    </row>
    <row r="415" ht="15.75" customHeight="1" s="216">
      <c r="D415" s="109" t="n"/>
      <c r="E415" s="109" t="n"/>
      <c r="J415" s="109" t="n"/>
      <c r="K415" s="109" t="n"/>
      <c r="L415" s="109" t="n"/>
      <c r="N415" s="109" t="n"/>
      <c r="O415" s="109" t="n"/>
      <c r="P415" s="109" t="n"/>
      <c r="T415" s="109" t="n"/>
      <c r="U415" s="109" t="n"/>
      <c r="V415" s="109" t="n"/>
      <c r="Z415" s="109" t="n"/>
      <c r="AA415" s="109" t="n"/>
      <c r="AB415" s="109" t="n"/>
      <c r="AF415" s="109" t="n"/>
      <c r="AG415" s="109" t="n"/>
      <c r="AH415" s="109" t="n"/>
      <c r="AL415" s="109" t="n"/>
      <c r="AM415" s="109" t="n"/>
      <c r="AN415" s="109" t="n"/>
    </row>
    <row r="416" ht="15.75" customHeight="1" s="216">
      <c r="D416" s="109" t="n"/>
      <c r="E416" s="109" t="n"/>
      <c r="J416" s="109" t="n"/>
      <c r="K416" s="109" t="n"/>
      <c r="L416" s="109" t="n"/>
      <c r="N416" s="109" t="n"/>
      <c r="O416" s="109" t="n"/>
      <c r="P416" s="109" t="n"/>
      <c r="T416" s="109" t="n"/>
      <c r="U416" s="109" t="n"/>
      <c r="V416" s="109" t="n"/>
      <c r="Z416" s="109" t="n"/>
      <c r="AA416" s="109" t="n"/>
      <c r="AB416" s="109" t="n"/>
      <c r="AF416" s="109" t="n"/>
      <c r="AG416" s="109" t="n"/>
      <c r="AH416" s="109" t="n"/>
      <c r="AL416" s="109" t="n"/>
      <c r="AM416" s="109" t="n"/>
      <c r="AN416" s="109" t="n"/>
    </row>
    <row r="417" ht="15.75" customHeight="1" s="216">
      <c r="D417" s="109" t="n"/>
      <c r="E417" s="109" t="n"/>
      <c r="J417" s="109" t="n"/>
      <c r="K417" s="109" t="n"/>
      <c r="L417" s="109" t="n"/>
      <c r="N417" s="109" t="n"/>
      <c r="O417" s="109" t="n"/>
      <c r="P417" s="109" t="n"/>
      <c r="T417" s="109" t="n"/>
      <c r="U417" s="109" t="n"/>
      <c r="V417" s="109" t="n"/>
      <c r="Z417" s="109" t="n"/>
      <c r="AA417" s="109" t="n"/>
      <c r="AB417" s="109" t="n"/>
      <c r="AF417" s="109" t="n"/>
      <c r="AG417" s="109" t="n"/>
      <c r="AH417" s="109" t="n"/>
      <c r="AL417" s="109" t="n"/>
      <c r="AM417" s="109" t="n"/>
      <c r="AN417" s="109" t="n"/>
    </row>
    <row r="418" ht="15.75" customHeight="1" s="216">
      <c r="D418" s="109" t="n"/>
      <c r="E418" s="109" t="n"/>
      <c r="J418" s="109" t="n"/>
      <c r="K418" s="109" t="n"/>
      <c r="L418" s="109" t="n"/>
      <c r="N418" s="109" t="n"/>
      <c r="O418" s="109" t="n"/>
      <c r="P418" s="109" t="n"/>
      <c r="T418" s="109" t="n"/>
      <c r="U418" s="109" t="n"/>
      <c r="V418" s="109" t="n"/>
      <c r="Z418" s="109" t="n"/>
      <c r="AA418" s="109" t="n"/>
      <c r="AB418" s="109" t="n"/>
      <c r="AF418" s="109" t="n"/>
      <c r="AG418" s="109" t="n"/>
      <c r="AH418" s="109" t="n"/>
      <c r="AL418" s="109" t="n"/>
      <c r="AM418" s="109" t="n"/>
      <c r="AN418" s="109" t="n"/>
    </row>
    <row r="419" ht="15.75" customHeight="1" s="216">
      <c r="D419" s="109" t="n"/>
      <c r="E419" s="109" t="n"/>
      <c r="J419" s="109" t="n"/>
      <c r="K419" s="109" t="n"/>
      <c r="L419" s="109" t="n"/>
      <c r="N419" s="109" t="n"/>
      <c r="O419" s="109" t="n"/>
      <c r="P419" s="109" t="n"/>
      <c r="T419" s="109" t="n"/>
      <c r="U419" s="109" t="n"/>
      <c r="V419" s="109" t="n"/>
      <c r="Z419" s="109" t="n"/>
      <c r="AA419" s="109" t="n"/>
      <c r="AB419" s="109" t="n"/>
      <c r="AF419" s="109" t="n"/>
      <c r="AG419" s="109" t="n"/>
      <c r="AH419" s="109" t="n"/>
      <c r="AL419" s="109" t="n"/>
      <c r="AM419" s="109" t="n"/>
      <c r="AN419" s="109" t="n"/>
    </row>
    <row r="420" ht="15.75" customHeight="1" s="216">
      <c r="D420" s="109" t="n"/>
      <c r="E420" s="109" t="n"/>
      <c r="J420" s="109" t="n"/>
      <c r="K420" s="109" t="n"/>
      <c r="L420" s="109" t="n"/>
      <c r="N420" s="109" t="n"/>
      <c r="O420" s="109" t="n"/>
      <c r="P420" s="109" t="n"/>
      <c r="T420" s="109" t="n"/>
      <c r="U420" s="109" t="n"/>
      <c r="V420" s="109" t="n"/>
      <c r="Z420" s="109" t="n"/>
      <c r="AA420" s="109" t="n"/>
      <c r="AB420" s="109" t="n"/>
      <c r="AF420" s="109" t="n"/>
      <c r="AG420" s="109" t="n"/>
      <c r="AH420" s="109" t="n"/>
      <c r="AL420" s="109" t="n"/>
      <c r="AM420" s="109" t="n"/>
      <c r="AN420" s="109" t="n"/>
    </row>
    <row r="421" ht="15.75" customHeight="1" s="216">
      <c r="D421" s="109" t="n"/>
      <c r="E421" s="109" t="n"/>
      <c r="J421" s="109" t="n"/>
      <c r="K421" s="109" t="n"/>
      <c r="L421" s="109" t="n"/>
      <c r="N421" s="109" t="n"/>
      <c r="O421" s="109" t="n"/>
      <c r="P421" s="109" t="n"/>
      <c r="T421" s="109" t="n"/>
      <c r="U421" s="109" t="n"/>
      <c r="V421" s="109" t="n"/>
      <c r="Z421" s="109" t="n"/>
      <c r="AA421" s="109" t="n"/>
      <c r="AB421" s="109" t="n"/>
      <c r="AF421" s="109" t="n"/>
      <c r="AG421" s="109" t="n"/>
      <c r="AH421" s="109" t="n"/>
      <c r="AL421" s="109" t="n"/>
      <c r="AM421" s="109" t="n"/>
      <c r="AN421" s="109" t="n"/>
    </row>
    <row r="422" ht="15.75" customHeight="1" s="216">
      <c r="D422" s="109" t="n"/>
      <c r="E422" s="109" t="n"/>
      <c r="J422" s="109" t="n"/>
      <c r="K422" s="109" t="n"/>
      <c r="L422" s="109" t="n"/>
      <c r="N422" s="109" t="n"/>
      <c r="O422" s="109" t="n"/>
      <c r="P422" s="109" t="n"/>
      <c r="T422" s="109" t="n"/>
      <c r="U422" s="109" t="n"/>
      <c r="V422" s="109" t="n"/>
      <c r="Z422" s="109" t="n"/>
      <c r="AA422" s="109" t="n"/>
      <c r="AB422" s="109" t="n"/>
      <c r="AF422" s="109" t="n"/>
      <c r="AG422" s="109" t="n"/>
      <c r="AH422" s="109" t="n"/>
      <c r="AL422" s="109" t="n"/>
      <c r="AM422" s="109" t="n"/>
      <c r="AN422" s="109" t="n"/>
    </row>
    <row r="423" ht="15.75" customHeight="1" s="216">
      <c r="D423" s="109" t="n"/>
      <c r="E423" s="109" t="n"/>
      <c r="J423" s="109" t="n"/>
      <c r="K423" s="109" t="n"/>
      <c r="L423" s="109" t="n"/>
      <c r="N423" s="109" t="n"/>
      <c r="O423" s="109" t="n"/>
      <c r="P423" s="109" t="n"/>
      <c r="T423" s="109" t="n"/>
      <c r="U423" s="109" t="n"/>
      <c r="V423" s="109" t="n"/>
      <c r="Z423" s="109" t="n"/>
      <c r="AA423" s="109" t="n"/>
      <c r="AB423" s="109" t="n"/>
      <c r="AF423" s="109" t="n"/>
      <c r="AG423" s="109" t="n"/>
      <c r="AH423" s="109" t="n"/>
      <c r="AL423" s="109" t="n"/>
      <c r="AM423" s="109" t="n"/>
      <c r="AN423" s="109" t="n"/>
    </row>
    <row r="424" ht="15.75" customHeight="1" s="216">
      <c r="D424" s="109" t="n"/>
      <c r="E424" s="109" t="n"/>
      <c r="J424" s="109" t="n"/>
      <c r="K424" s="109" t="n"/>
      <c r="L424" s="109" t="n"/>
      <c r="N424" s="109" t="n"/>
      <c r="O424" s="109" t="n"/>
      <c r="P424" s="109" t="n"/>
      <c r="T424" s="109" t="n"/>
      <c r="U424" s="109" t="n"/>
      <c r="V424" s="109" t="n"/>
      <c r="Z424" s="109" t="n"/>
      <c r="AA424" s="109" t="n"/>
      <c r="AB424" s="109" t="n"/>
      <c r="AF424" s="109" t="n"/>
      <c r="AG424" s="109" t="n"/>
      <c r="AH424" s="109" t="n"/>
      <c r="AL424" s="109" t="n"/>
      <c r="AM424" s="109" t="n"/>
      <c r="AN424" s="109" t="n"/>
    </row>
    <row r="425" ht="15.75" customHeight="1" s="216">
      <c r="D425" s="109" t="n"/>
      <c r="E425" s="109" t="n"/>
      <c r="J425" s="109" t="n"/>
      <c r="K425" s="109" t="n"/>
      <c r="L425" s="109" t="n"/>
      <c r="N425" s="109" t="n"/>
      <c r="O425" s="109" t="n"/>
      <c r="P425" s="109" t="n"/>
      <c r="T425" s="109" t="n"/>
      <c r="U425" s="109" t="n"/>
      <c r="V425" s="109" t="n"/>
      <c r="Z425" s="109" t="n"/>
      <c r="AA425" s="109" t="n"/>
      <c r="AB425" s="109" t="n"/>
      <c r="AF425" s="109" t="n"/>
      <c r="AG425" s="109" t="n"/>
      <c r="AH425" s="109" t="n"/>
      <c r="AL425" s="109" t="n"/>
      <c r="AM425" s="109" t="n"/>
      <c r="AN425" s="109" t="n"/>
    </row>
    <row r="426" ht="15.75" customHeight="1" s="216">
      <c r="D426" s="109" t="n"/>
      <c r="E426" s="109" t="n"/>
      <c r="J426" s="109" t="n"/>
      <c r="K426" s="109" t="n"/>
      <c r="L426" s="109" t="n"/>
      <c r="N426" s="109" t="n"/>
      <c r="O426" s="109" t="n"/>
      <c r="P426" s="109" t="n"/>
      <c r="T426" s="109" t="n"/>
      <c r="U426" s="109" t="n"/>
      <c r="V426" s="109" t="n"/>
      <c r="Z426" s="109" t="n"/>
      <c r="AA426" s="109" t="n"/>
      <c r="AB426" s="109" t="n"/>
      <c r="AF426" s="109" t="n"/>
      <c r="AG426" s="109" t="n"/>
      <c r="AH426" s="109" t="n"/>
      <c r="AL426" s="109" t="n"/>
      <c r="AM426" s="109" t="n"/>
      <c r="AN426" s="109" t="n"/>
    </row>
    <row r="427" ht="15.75" customHeight="1" s="216">
      <c r="D427" s="109" t="n"/>
      <c r="E427" s="109" t="n"/>
      <c r="J427" s="109" t="n"/>
      <c r="K427" s="109" t="n"/>
      <c r="L427" s="109" t="n"/>
      <c r="N427" s="109" t="n"/>
      <c r="O427" s="109" t="n"/>
      <c r="P427" s="109" t="n"/>
      <c r="T427" s="109" t="n"/>
      <c r="U427" s="109" t="n"/>
      <c r="V427" s="109" t="n"/>
      <c r="Z427" s="109" t="n"/>
      <c r="AA427" s="109" t="n"/>
      <c r="AB427" s="109" t="n"/>
      <c r="AF427" s="109" t="n"/>
      <c r="AG427" s="109" t="n"/>
      <c r="AH427" s="109" t="n"/>
      <c r="AL427" s="109" t="n"/>
      <c r="AM427" s="109" t="n"/>
      <c r="AN427" s="109" t="n"/>
    </row>
    <row r="428" ht="15.75" customHeight="1" s="216">
      <c r="D428" s="109" t="n"/>
      <c r="E428" s="109" t="n"/>
      <c r="J428" s="109" t="n"/>
      <c r="K428" s="109" t="n"/>
      <c r="L428" s="109" t="n"/>
      <c r="N428" s="109" t="n"/>
      <c r="O428" s="109" t="n"/>
      <c r="P428" s="109" t="n"/>
      <c r="T428" s="109" t="n"/>
      <c r="U428" s="109" t="n"/>
      <c r="V428" s="109" t="n"/>
      <c r="Z428" s="109" t="n"/>
      <c r="AA428" s="109" t="n"/>
      <c r="AB428" s="109" t="n"/>
      <c r="AF428" s="109" t="n"/>
      <c r="AG428" s="109" t="n"/>
      <c r="AH428" s="109" t="n"/>
      <c r="AL428" s="109" t="n"/>
      <c r="AM428" s="109" t="n"/>
      <c r="AN428" s="109" t="n"/>
    </row>
    <row r="429" ht="15.75" customHeight="1" s="216">
      <c r="D429" s="109" t="n"/>
      <c r="E429" s="109" t="n"/>
      <c r="J429" s="109" t="n"/>
      <c r="K429" s="109" t="n"/>
      <c r="L429" s="109" t="n"/>
      <c r="N429" s="109" t="n"/>
      <c r="O429" s="109" t="n"/>
      <c r="P429" s="109" t="n"/>
      <c r="T429" s="109" t="n"/>
      <c r="U429" s="109" t="n"/>
      <c r="V429" s="109" t="n"/>
      <c r="Z429" s="109" t="n"/>
      <c r="AA429" s="109" t="n"/>
      <c r="AB429" s="109" t="n"/>
      <c r="AF429" s="109" t="n"/>
      <c r="AG429" s="109" t="n"/>
      <c r="AH429" s="109" t="n"/>
      <c r="AL429" s="109" t="n"/>
      <c r="AM429" s="109" t="n"/>
      <c r="AN429" s="109" t="n"/>
    </row>
    <row r="430" ht="15.75" customHeight="1" s="216">
      <c r="D430" s="109" t="n"/>
      <c r="E430" s="109" t="n"/>
      <c r="J430" s="109" t="n"/>
      <c r="K430" s="109" t="n"/>
      <c r="L430" s="109" t="n"/>
      <c r="N430" s="109" t="n"/>
      <c r="O430" s="109" t="n"/>
      <c r="P430" s="109" t="n"/>
      <c r="T430" s="109" t="n"/>
      <c r="U430" s="109" t="n"/>
      <c r="V430" s="109" t="n"/>
      <c r="Z430" s="109" t="n"/>
      <c r="AA430" s="109" t="n"/>
      <c r="AB430" s="109" t="n"/>
      <c r="AF430" s="109" t="n"/>
      <c r="AG430" s="109" t="n"/>
      <c r="AH430" s="109" t="n"/>
      <c r="AL430" s="109" t="n"/>
      <c r="AM430" s="109" t="n"/>
      <c r="AN430" s="109" t="n"/>
    </row>
    <row r="431" ht="15.75" customHeight="1" s="216">
      <c r="D431" s="109" t="n"/>
      <c r="E431" s="109" t="n"/>
      <c r="J431" s="109" t="n"/>
      <c r="K431" s="109" t="n"/>
      <c r="L431" s="109" t="n"/>
      <c r="N431" s="109" t="n"/>
      <c r="O431" s="109" t="n"/>
      <c r="P431" s="109" t="n"/>
      <c r="T431" s="109" t="n"/>
      <c r="U431" s="109" t="n"/>
      <c r="V431" s="109" t="n"/>
      <c r="Z431" s="109" t="n"/>
      <c r="AA431" s="109" t="n"/>
      <c r="AB431" s="109" t="n"/>
      <c r="AF431" s="109" t="n"/>
      <c r="AG431" s="109" t="n"/>
      <c r="AH431" s="109" t="n"/>
      <c r="AL431" s="109" t="n"/>
      <c r="AM431" s="109" t="n"/>
      <c r="AN431" s="109" t="n"/>
    </row>
    <row r="432" ht="15.75" customHeight="1" s="216">
      <c r="D432" s="109" t="n"/>
      <c r="E432" s="109" t="n"/>
      <c r="J432" s="109" t="n"/>
      <c r="K432" s="109" t="n"/>
      <c r="L432" s="109" t="n"/>
      <c r="N432" s="109" t="n"/>
      <c r="O432" s="109" t="n"/>
      <c r="P432" s="109" t="n"/>
      <c r="T432" s="109" t="n"/>
      <c r="U432" s="109" t="n"/>
      <c r="V432" s="109" t="n"/>
      <c r="Z432" s="109" t="n"/>
      <c r="AA432" s="109" t="n"/>
      <c r="AB432" s="109" t="n"/>
      <c r="AF432" s="109" t="n"/>
      <c r="AG432" s="109" t="n"/>
      <c r="AH432" s="109" t="n"/>
      <c r="AL432" s="109" t="n"/>
      <c r="AM432" s="109" t="n"/>
      <c r="AN432" s="109" t="n"/>
    </row>
    <row r="433" ht="15.75" customHeight="1" s="216">
      <c r="D433" s="109" t="n"/>
      <c r="E433" s="109" t="n"/>
      <c r="J433" s="109" t="n"/>
      <c r="K433" s="109" t="n"/>
      <c r="L433" s="109" t="n"/>
      <c r="N433" s="109" t="n"/>
      <c r="O433" s="109" t="n"/>
      <c r="P433" s="109" t="n"/>
      <c r="T433" s="109" t="n"/>
      <c r="U433" s="109" t="n"/>
      <c r="V433" s="109" t="n"/>
      <c r="Z433" s="109" t="n"/>
      <c r="AA433" s="109" t="n"/>
      <c r="AB433" s="109" t="n"/>
      <c r="AF433" s="109" t="n"/>
      <c r="AG433" s="109" t="n"/>
      <c r="AH433" s="109" t="n"/>
      <c r="AL433" s="109" t="n"/>
      <c r="AM433" s="109" t="n"/>
      <c r="AN433" s="109" t="n"/>
    </row>
    <row r="434" ht="15.75" customHeight="1" s="216">
      <c r="D434" s="109" t="n"/>
      <c r="E434" s="109" t="n"/>
      <c r="J434" s="109" t="n"/>
      <c r="K434" s="109" t="n"/>
      <c r="L434" s="109" t="n"/>
      <c r="N434" s="109" t="n"/>
      <c r="O434" s="109" t="n"/>
      <c r="P434" s="109" t="n"/>
      <c r="T434" s="109" t="n"/>
      <c r="U434" s="109" t="n"/>
      <c r="V434" s="109" t="n"/>
      <c r="Z434" s="109" t="n"/>
      <c r="AA434" s="109" t="n"/>
      <c r="AB434" s="109" t="n"/>
      <c r="AF434" s="109" t="n"/>
      <c r="AG434" s="109" t="n"/>
      <c r="AH434" s="109" t="n"/>
      <c r="AL434" s="109" t="n"/>
      <c r="AM434" s="109" t="n"/>
      <c r="AN434" s="109" t="n"/>
    </row>
    <row r="435" ht="15.75" customHeight="1" s="216">
      <c r="D435" s="109" t="n"/>
      <c r="E435" s="109" t="n"/>
      <c r="J435" s="109" t="n"/>
      <c r="K435" s="109" t="n"/>
      <c r="L435" s="109" t="n"/>
      <c r="N435" s="109" t="n"/>
      <c r="O435" s="109" t="n"/>
      <c r="P435" s="109" t="n"/>
      <c r="T435" s="109" t="n"/>
      <c r="U435" s="109" t="n"/>
      <c r="V435" s="109" t="n"/>
      <c r="Z435" s="109" t="n"/>
      <c r="AA435" s="109" t="n"/>
      <c r="AB435" s="109" t="n"/>
      <c r="AF435" s="109" t="n"/>
      <c r="AG435" s="109" t="n"/>
      <c r="AH435" s="109" t="n"/>
      <c r="AL435" s="109" t="n"/>
      <c r="AM435" s="109" t="n"/>
      <c r="AN435" s="109" t="n"/>
    </row>
    <row r="436" ht="15.75" customHeight="1" s="216">
      <c r="D436" s="109" t="n"/>
      <c r="E436" s="109" t="n"/>
      <c r="J436" s="109" t="n"/>
      <c r="K436" s="109" t="n"/>
      <c r="L436" s="109" t="n"/>
      <c r="N436" s="109" t="n"/>
      <c r="O436" s="109" t="n"/>
      <c r="P436" s="109" t="n"/>
      <c r="T436" s="109" t="n"/>
      <c r="U436" s="109" t="n"/>
      <c r="V436" s="109" t="n"/>
      <c r="Z436" s="109" t="n"/>
      <c r="AA436" s="109" t="n"/>
      <c r="AB436" s="109" t="n"/>
      <c r="AF436" s="109" t="n"/>
      <c r="AG436" s="109" t="n"/>
      <c r="AH436" s="109" t="n"/>
      <c r="AL436" s="109" t="n"/>
      <c r="AM436" s="109" t="n"/>
      <c r="AN436" s="109" t="n"/>
    </row>
    <row r="437" ht="15.75" customHeight="1" s="216">
      <c r="D437" s="109" t="n"/>
      <c r="E437" s="109" t="n"/>
      <c r="J437" s="109" t="n"/>
      <c r="K437" s="109" t="n"/>
      <c r="L437" s="109" t="n"/>
      <c r="N437" s="109" t="n"/>
      <c r="O437" s="109" t="n"/>
      <c r="P437" s="109" t="n"/>
      <c r="T437" s="109" t="n"/>
      <c r="U437" s="109" t="n"/>
      <c r="V437" s="109" t="n"/>
      <c r="Z437" s="109" t="n"/>
      <c r="AA437" s="109" t="n"/>
      <c r="AB437" s="109" t="n"/>
      <c r="AF437" s="109" t="n"/>
      <c r="AG437" s="109" t="n"/>
      <c r="AH437" s="109" t="n"/>
      <c r="AL437" s="109" t="n"/>
      <c r="AM437" s="109" t="n"/>
      <c r="AN437" s="109" t="n"/>
    </row>
    <row r="438" ht="15.75" customHeight="1" s="216">
      <c r="D438" s="109" t="n"/>
      <c r="E438" s="109" t="n"/>
      <c r="J438" s="109" t="n"/>
      <c r="K438" s="109" t="n"/>
      <c r="L438" s="109" t="n"/>
      <c r="N438" s="109" t="n"/>
      <c r="O438" s="109" t="n"/>
      <c r="P438" s="109" t="n"/>
      <c r="T438" s="109" t="n"/>
      <c r="U438" s="109" t="n"/>
      <c r="V438" s="109" t="n"/>
      <c r="Z438" s="109" t="n"/>
      <c r="AA438" s="109" t="n"/>
      <c r="AB438" s="109" t="n"/>
      <c r="AF438" s="109" t="n"/>
      <c r="AG438" s="109" t="n"/>
      <c r="AH438" s="109" t="n"/>
      <c r="AL438" s="109" t="n"/>
      <c r="AM438" s="109" t="n"/>
      <c r="AN438" s="109" t="n"/>
    </row>
    <row r="439" ht="15.75" customHeight="1" s="216">
      <c r="D439" s="109" t="n"/>
      <c r="E439" s="109" t="n"/>
      <c r="J439" s="109" t="n"/>
      <c r="K439" s="109" t="n"/>
      <c r="L439" s="109" t="n"/>
      <c r="N439" s="109" t="n"/>
      <c r="O439" s="109" t="n"/>
      <c r="P439" s="109" t="n"/>
      <c r="T439" s="109" t="n"/>
      <c r="U439" s="109" t="n"/>
      <c r="V439" s="109" t="n"/>
      <c r="Z439" s="109" t="n"/>
      <c r="AA439" s="109" t="n"/>
      <c r="AB439" s="109" t="n"/>
      <c r="AF439" s="109" t="n"/>
      <c r="AG439" s="109" t="n"/>
      <c r="AH439" s="109" t="n"/>
      <c r="AL439" s="109" t="n"/>
      <c r="AM439" s="109" t="n"/>
      <c r="AN439" s="109" t="n"/>
    </row>
    <row r="440" ht="15.75" customHeight="1" s="216">
      <c r="D440" s="109" t="n"/>
      <c r="E440" s="109" t="n"/>
      <c r="J440" s="109" t="n"/>
      <c r="K440" s="109" t="n"/>
      <c r="L440" s="109" t="n"/>
      <c r="N440" s="109" t="n"/>
      <c r="O440" s="109" t="n"/>
      <c r="P440" s="109" t="n"/>
      <c r="T440" s="109" t="n"/>
      <c r="U440" s="109" t="n"/>
      <c r="V440" s="109" t="n"/>
      <c r="Z440" s="109" t="n"/>
      <c r="AA440" s="109" t="n"/>
      <c r="AB440" s="109" t="n"/>
      <c r="AF440" s="109" t="n"/>
      <c r="AG440" s="109" t="n"/>
      <c r="AH440" s="109" t="n"/>
      <c r="AL440" s="109" t="n"/>
      <c r="AM440" s="109" t="n"/>
      <c r="AN440" s="109" t="n"/>
    </row>
    <row r="441" ht="15.75" customHeight="1" s="216">
      <c r="D441" s="109" t="n"/>
      <c r="E441" s="109" t="n"/>
      <c r="J441" s="109" t="n"/>
      <c r="K441" s="109" t="n"/>
      <c r="L441" s="109" t="n"/>
      <c r="N441" s="109" t="n"/>
      <c r="O441" s="109" t="n"/>
      <c r="P441" s="109" t="n"/>
      <c r="T441" s="109" t="n"/>
      <c r="U441" s="109" t="n"/>
      <c r="V441" s="109" t="n"/>
      <c r="Z441" s="109" t="n"/>
      <c r="AA441" s="109" t="n"/>
      <c r="AB441" s="109" t="n"/>
      <c r="AF441" s="109" t="n"/>
      <c r="AG441" s="109" t="n"/>
      <c r="AH441" s="109" t="n"/>
      <c r="AL441" s="109" t="n"/>
      <c r="AM441" s="109" t="n"/>
      <c r="AN441" s="109" t="n"/>
    </row>
    <row r="442" ht="15.75" customHeight="1" s="216">
      <c r="D442" s="109" t="n"/>
      <c r="E442" s="109" t="n"/>
      <c r="J442" s="109" t="n"/>
      <c r="K442" s="109" t="n"/>
      <c r="L442" s="109" t="n"/>
      <c r="N442" s="109" t="n"/>
      <c r="O442" s="109" t="n"/>
      <c r="P442" s="109" t="n"/>
      <c r="T442" s="109" t="n"/>
      <c r="U442" s="109" t="n"/>
      <c r="V442" s="109" t="n"/>
      <c r="Z442" s="109" t="n"/>
      <c r="AA442" s="109" t="n"/>
      <c r="AB442" s="109" t="n"/>
      <c r="AF442" s="109" t="n"/>
      <c r="AG442" s="109" t="n"/>
      <c r="AH442" s="109" t="n"/>
      <c r="AL442" s="109" t="n"/>
      <c r="AM442" s="109" t="n"/>
      <c r="AN442" s="109" t="n"/>
    </row>
    <row r="443" ht="15.75" customHeight="1" s="216">
      <c r="D443" s="109" t="n"/>
      <c r="E443" s="109" t="n"/>
      <c r="J443" s="109" t="n"/>
      <c r="K443" s="109" t="n"/>
      <c r="L443" s="109" t="n"/>
      <c r="N443" s="109" t="n"/>
      <c r="O443" s="109" t="n"/>
      <c r="P443" s="109" t="n"/>
      <c r="T443" s="109" t="n"/>
      <c r="U443" s="109" t="n"/>
      <c r="V443" s="109" t="n"/>
      <c r="Z443" s="109" t="n"/>
      <c r="AA443" s="109" t="n"/>
      <c r="AB443" s="109" t="n"/>
      <c r="AF443" s="109" t="n"/>
      <c r="AG443" s="109" t="n"/>
      <c r="AH443" s="109" t="n"/>
      <c r="AL443" s="109" t="n"/>
      <c r="AM443" s="109" t="n"/>
      <c r="AN443" s="109" t="n"/>
    </row>
    <row r="444" ht="15.75" customHeight="1" s="216">
      <c r="D444" s="109" t="n"/>
      <c r="E444" s="109" t="n"/>
      <c r="J444" s="109" t="n"/>
      <c r="K444" s="109" t="n"/>
      <c r="L444" s="109" t="n"/>
      <c r="N444" s="109" t="n"/>
      <c r="O444" s="109" t="n"/>
      <c r="P444" s="109" t="n"/>
      <c r="T444" s="109" t="n"/>
      <c r="U444" s="109" t="n"/>
      <c r="V444" s="109" t="n"/>
      <c r="Z444" s="109" t="n"/>
      <c r="AA444" s="109" t="n"/>
      <c r="AB444" s="109" t="n"/>
      <c r="AF444" s="109" t="n"/>
      <c r="AG444" s="109" t="n"/>
      <c r="AH444" s="109" t="n"/>
      <c r="AL444" s="109" t="n"/>
      <c r="AM444" s="109" t="n"/>
      <c r="AN444" s="109" t="n"/>
    </row>
    <row r="445" ht="15.75" customHeight="1" s="216">
      <c r="D445" s="109" t="n"/>
      <c r="E445" s="109" t="n"/>
      <c r="J445" s="109" t="n"/>
      <c r="K445" s="109" t="n"/>
      <c r="L445" s="109" t="n"/>
      <c r="N445" s="109" t="n"/>
      <c r="O445" s="109" t="n"/>
      <c r="P445" s="109" t="n"/>
      <c r="T445" s="109" t="n"/>
      <c r="U445" s="109" t="n"/>
      <c r="V445" s="109" t="n"/>
      <c r="Z445" s="109" t="n"/>
      <c r="AA445" s="109" t="n"/>
      <c r="AB445" s="109" t="n"/>
      <c r="AF445" s="109" t="n"/>
      <c r="AG445" s="109" t="n"/>
      <c r="AH445" s="109" t="n"/>
      <c r="AL445" s="109" t="n"/>
      <c r="AM445" s="109" t="n"/>
      <c r="AN445" s="109" t="n"/>
    </row>
    <row r="446" ht="15.75" customHeight="1" s="216">
      <c r="D446" s="109" t="n"/>
      <c r="E446" s="109" t="n"/>
      <c r="J446" s="109" t="n"/>
      <c r="K446" s="109" t="n"/>
      <c r="L446" s="109" t="n"/>
      <c r="N446" s="109" t="n"/>
      <c r="O446" s="109" t="n"/>
      <c r="P446" s="109" t="n"/>
      <c r="T446" s="109" t="n"/>
      <c r="U446" s="109" t="n"/>
      <c r="V446" s="109" t="n"/>
      <c r="Z446" s="109" t="n"/>
      <c r="AA446" s="109" t="n"/>
      <c r="AB446" s="109" t="n"/>
      <c r="AF446" s="109" t="n"/>
      <c r="AG446" s="109" t="n"/>
      <c r="AH446" s="109" t="n"/>
      <c r="AL446" s="109" t="n"/>
      <c r="AM446" s="109" t="n"/>
      <c r="AN446" s="109" t="n"/>
    </row>
    <row r="447" ht="15.75" customHeight="1" s="216">
      <c r="D447" s="109" t="n"/>
      <c r="E447" s="109" t="n"/>
      <c r="J447" s="109" t="n"/>
      <c r="K447" s="109" t="n"/>
      <c r="L447" s="109" t="n"/>
      <c r="N447" s="109" t="n"/>
      <c r="O447" s="109" t="n"/>
      <c r="P447" s="109" t="n"/>
      <c r="T447" s="109" t="n"/>
      <c r="U447" s="109" t="n"/>
      <c r="V447" s="109" t="n"/>
      <c r="Z447" s="109" t="n"/>
      <c r="AA447" s="109" t="n"/>
      <c r="AB447" s="109" t="n"/>
      <c r="AF447" s="109" t="n"/>
      <c r="AG447" s="109" t="n"/>
      <c r="AH447" s="109" t="n"/>
      <c r="AL447" s="109" t="n"/>
      <c r="AM447" s="109" t="n"/>
      <c r="AN447" s="109" t="n"/>
    </row>
    <row r="448" ht="15.75" customHeight="1" s="216">
      <c r="D448" s="109" t="n"/>
      <c r="E448" s="109" t="n"/>
      <c r="J448" s="109" t="n"/>
      <c r="K448" s="109" t="n"/>
      <c r="L448" s="109" t="n"/>
      <c r="N448" s="109" t="n"/>
      <c r="O448" s="109" t="n"/>
      <c r="P448" s="109" t="n"/>
      <c r="T448" s="109" t="n"/>
      <c r="U448" s="109" t="n"/>
      <c r="V448" s="109" t="n"/>
      <c r="Z448" s="109" t="n"/>
      <c r="AA448" s="109" t="n"/>
      <c r="AB448" s="109" t="n"/>
      <c r="AF448" s="109" t="n"/>
      <c r="AG448" s="109" t="n"/>
      <c r="AH448" s="109" t="n"/>
      <c r="AL448" s="109" t="n"/>
      <c r="AM448" s="109" t="n"/>
      <c r="AN448" s="109" t="n"/>
    </row>
    <row r="449" ht="15.75" customHeight="1" s="216">
      <c r="D449" s="109" t="n"/>
      <c r="E449" s="109" t="n"/>
      <c r="J449" s="109" t="n"/>
      <c r="K449" s="109" t="n"/>
      <c r="L449" s="109" t="n"/>
      <c r="N449" s="109" t="n"/>
      <c r="O449" s="109" t="n"/>
      <c r="P449" s="109" t="n"/>
      <c r="T449" s="109" t="n"/>
      <c r="U449" s="109" t="n"/>
      <c r="V449" s="109" t="n"/>
      <c r="Z449" s="109" t="n"/>
      <c r="AA449" s="109" t="n"/>
      <c r="AB449" s="109" t="n"/>
      <c r="AF449" s="109" t="n"/>
      <c r="AG449" s="109" t="n"/>
      <c r="AH449" s="109" t="n"/>
      <c r="AL449" s="109" t="n"/>
      <c r="AM449" s="109" t="n"/>
      <c r="AN449" s="109" t="n"/>
    </row>
    <row r="450" ht="15.75" customHeight="1" s="216">
      <c r="D450" s="109" t="n"/>
      <c r="E450" s="109" t="n"/>
      <c r="J450" s="109" t="n"/>
      <c r="K450" s="109" t="n"/>
      <c r="L450" s="109" t="n"/>
      <c r="N450" s="109" t="n"/>
      <c r="O450" s="109" t="n"/>
      <c r="P450" s="109" t="n"/>
      <c r="T450" s="109" t="n"/>
      <c r="U450" s="109" t="n"/>
      <c r="V450" s="109" t="n"/>
      <c r="Z450" s="109" t="n"/>
      <c r="AA450" s="109" t="n"/>
      <c r="AB450" s="109" t="n"/>
      <c r="AF450" s="109" t="n"/>
      <c r="AG450" s="109" t="n"/>
      <c r="AH450" s="109" t="n"/>
      <c r="AL450" s="109" t="n"/>
      <c r="AM450" s="109" t="n"/>
      <c r="AN450" s="109" t="n"/>
    </row>
    <row r="451" ht="15.75" customHeight="1" s="216">
      <c r="D451" s="109" t="n"/>
      <c r="E451" s="109" t="n"/>
      <c r="J451" s="109" t="n"/>
      <c r="K451" s="109" t="n"/>
      <c r="L451" s="109" t="n"/>
      <c r="N451" s="109" t="n"/>
      <c r="O451" s="109" t="n"/>
      <c r="P451" s="109" t="n"/>
      <c r="T451" s="109" t="n"/>
      <c r="U451" s="109" t="n"/>
      <c r="V451" s="109" t="n"/>
      <c r="Z451" s="109" t="n"/>
      <c r="AA451" s="109" t="n"/>
      <c r="AB451" s="109" t="n"/>
      <c r="AF451" s="109" t="n"/>
      <c r="AG451" s="109" t="n"/>
      <c r="AH451" s="109" t="n"/>
      <c r="AL451" s="109" t="n"/>
      <c r="AM451" s="109" t="n"/>
      <c r="AN451" s="109" t="n"/>
    </row>
    <row r="452" ht="15.75" customHeight="1" s="216">
      <c r="D452" s="109" t="n"/>
      <c r="E452" s="109" t="n"/>
      <c r="J452" s="109" t="n"/>
      <c r="K452" s="109" t="n"/>
      <c r="L452" s="109" t="n"/>
      <c r="N452" s="109" t="n"/>
      <c r="O452" s="109" t="n"/>
      <c r="P452" s="109" t="n"/>
      <c r="T452" s="109" t="n"/>
      <c r="U452" s="109" t="n"/>
      <c r="V452" s="109" t="n"/>
      <c r="Z452" s="109" t="n"/>
      <c r="AA452" s="109" t="n"/>
      <c r="AB452" s="109" t="n"/>
      <c r="AF452" s="109" t="n"/>
      <c r="AG452" s="109" t="n"/>
      <c r="AH452" s="109" t="n"/>
      <c r="AL452" s="109" t="n"/>
      <c r="AM452" s="109" t="n"/>
      <c r="AN452" s="109" t="n"/>
    </row>
    <row r="453" ht="15.75" customHeight="1" s="216">
      <c r="D453" s="109" t="n"/>
      <c r="E453" s="109" t="n"/>
      <c r="J453" s="109" t="n"/>
      <c r="K453" s="109" t="n"/>
      <c r="L453" s="109" t="n"/>
      <c r="N453" s="109" t="n"/>
      <c r="O453" s="109" t="n"/>
      <c r="P453" s="109" t="n"/>
      <c r="T453" s="109" t="n"/>
      <c r="U453" s="109" t="n"/>
      <c r="V453" s="109" t="n"/>
      <c r="Z453" s="109" t="n"/>
      <c r="AA453" s="109" t="n"/>
      <c r="AB453" s="109" t="n"/>
      <c r="AF453" s="109" t="n"/>
      <c r="AG453" s="109" t="n"/>
      <c r="AH453" s="109" t="n"/>
      <c r="AL453" s="109" t="n"/>
      <c r="AM453" s="109" t="n"/>
      <c r="AN453" s="109" t="n"/>
    </row>
    <row r="454" ht="15.75" customHeight="1" s="216">
      <c r="D454" s="109" t="n"/>
      <c r="E454" s="109" t="n"/>
      <c r="J454" s="109" t="n"/>
      <c r="K454" s="109" t="n"/>
      <c r="L454" s="109" t="n"/>
      <c r="N454" s="109" t="n"/>
      <c r="O454" s="109" t="n"/>
      <c r="P454" s="109" t="n"/>
      <c r="T454" s="109" t="n"/>
      <c r="U454" s="109" t="n"/>
      <c r="V454" s="109" t="n"/>
      <c r="Z454" s="109" t="n"/>
      <c r="AA454" s="109" t="n"/>
      <c r="AB454" s="109" t="n"/>
      <c r="AF454" s="109" t="n"/>
      <c r="AG454" s="109" t="n"/>
      <c r="AH454" s="109" t="n"/>
      <c r="AL454" s="109" t="n"/>
      <c r="AM454" s="109" t="n"/>
      <c r="AN454" s="109" t="n"/>
    </row>
    <row r="455" ht="15.75" customHeight="1" s="216">
      <c r="D455" s="109" t="n"/>
      <c r="E455" s="109" t="n"/>
      <c r="J455" s="109" t="n"/>
      <c r="K455" s="109" t="n"/>
      <c r="L455" s="109" t="n"/>
      <c r="N455" s="109" t="n"/>
      <c r="O455" s="109" t="n"/>
      <c r="P455" s="109" t="n"/>
      <c r="T455" s="109" t="n"/>
      <c r="U455" s="109" t="n"/>
      <c r="V455" s="109" t="n"/>
      <c r="Z455" s="109" t="n"/>
      <c r="AA455" s="109" t="n"/>
      <c r="AB455" s="109" t="n"/>
      <c r="AF455" s="109" t="n"/>
      <c r="AG455" s="109" t="n"/>
      <c r="AH455" s="109" t="n"/>
      <c r="AL455" s="109" t="n"/>
      <c r="AM455" s="109" t="n"/>
      <c r="AN455" s="109" t="n"/>
    </row>
    <row r="456" ht="15.75" customHeight="1" s="216">
      <c r="D456" s="109" t="n"/>
      <c r="E456" s="109" t="n"/>
      <c r="J456" s="109" t="n"/>
      <c r="K456" s="109" t="n"/>
      <c r="L456" s="109" t="n"/>
      <c r="N456" s="109" t="n"/>
      <c r="O456" s="109" t="n"/>
      <c r="P456" s="109" t="n"/>
      <c r="T456" s="109" t="n"/>
      <c r="U456" s="109" t="n"/>
      <c r="V456" s="109" t="n"/>
      <c r="Z456" s="109" t="n"/>
      <c r="AA456" s="109" t="n"/>
      <c r="AB456" s="109" t="n"/>
      <c r="AF456" s="109" t="n"/>
      <c r="AG456" s="109" t="n"/>
      <c r="AH456" s="109" t="n"/>
      <c r="AL456" s="109" t="n"/>
      <c r="AM456" s="109" t="n"/>
      <c r="AN456" s="109" t="n"/>
    </row>
    <row r="457" ht="15.75" customHeight="1" s="216">
      <c r="D457" s="109" t="n"/>
      <c r="E457" s="109" t="n"/>
      <c r="J457" s="109" t="n"/>
      <c r="K457" s="109" t="n"/>
      <c r="L457" s="109" t="n"/>
      <c r="N457" s="109" t="n"/>
      <c r="O457" s="109" t="n"/>
      <c r="P457" s="109" t="n"/>
      <c r="T457" s="109" t="n"/>
      <c r="U457" s="109" t="n"/>
      <c r="V457" s="109" t="n"/>
      <c r="Z457" s="109" t="n"/>
      <c r="AA457" s="109" t="n"/>
      <c r="AB457" s="109" t="n"/>
      <c r="AF457" s="109" t="n"/>
      <c r="AG457" s="109" t="n"/>
      <c r="AH457" s="109" t="n"/>
      <c r="AL457" s="109" t="n"/>
      <c r="AM457" s="109" t="n"/>
      <c r="AN457" s="109" t="n"/>
    </row>
    <row r="458" ht="15.75" customHeight="1" s="216">
      <c r="D458" s="109" t="n"/>
      <c r="E458" s="109" t="n"/>
      <c r="J458" s="109" t="n"/>
      <c r="K458" s="109" t="n"/>
      <c r="L458" s="109" t="n"/>
      <c r="N458" s="109" t="n"/>
      <c r="O458" s="109" t="n"/>
      <c r="P458" s="109" t="n"/>
      <c r="T458" s="109" t="n"/>
      <c r="U458" s="109" t="n"/>
      <c r="V458" s="109" t="n"/>
      <c r="Z458" s="109" t="n"/>
      <c r="AA458" s="109" t="n"/>
      <c r="AB458" s="109" t="n"/>
      <c r="AF458" s="109" t="n"/>
      <c r="AG458" s="109" t="n"/>
      <c r="AH458" s="109" t="n"/>
      <c r="AL458" s="109" t="n"/>
      <c r="AM458" s="109" t="n"/>
      <c r="AN458" s="109" t="n"/>
    </row>
    <row r="459" ht="15.75" customHeight="1" s="216">
      <c r="D459" s="109" t="n"/>
      <c r="E459" s="109" t="n"/>
      <c r="J459" s="109" t="n"/>
      <c r="K459" s="109" t="n"/>
      <c r="L459" s="109" t="n"/>
      <c r="N459" s="109" t="n"/>
      <c r="O459" s="109" t="n"/>
      <c r="P459" s="109" t="n"/>
      <c r="T459" s="109" t="n"/>
      <c r="U459" s="109" t="n"/>
      <c r="V459" s="109" t="n"/>
      <c r="Z459" s="109" t="n"/>
      <c r="AA459" s="109" t="n"/>
      <c r="AB459" s="109" t="n"/>
      <c r="AF459" s="109" t="n"/>
      <c r="AG459" s="109" t="n"/>
      <c r="AH459" s="109" t="n"/>
      <c r="AL459" s="109" t="n"/>
      <c r="AM459" s="109" t="n"/>
      <c r="AN459" s="109" t="n"/>
    </row>
    <row r="460" ht="15.75" customHeight="1" s="216">
      <c r="D460" s="109" t="n"/>
      <c r="E460" s="109" t="n"/>
      <c r="J460" s="109" t="n"/>
      <c r="K460" s="109" t="n"/>
      <c r="L460" s="109" t="n"/>
      <c r="N460" s="109" t="n"/>
      <c r="O460" s="109" t="n"/>
      <c r="P460" s="109" t="n"/>
      <c r="T460" s="109" t="n"/>
      <c r="U460" s="109" t="n"/>
      <c r="V460" s="109" t="n"/>
      <c r="Z460" s="109" t="n"/>
      <c r="AA460" s="109" t="n"/>
      <c r="AB460" s="109" t="n"/>
      <c r="AF460" s="109" t="n"/>
      <c r="AG460" s="109" t="n"/>
      <c r="AH460" s="109" t="n"/>
      <c r="AL460" s="109" t="n"/>
      <c r="AM460" s="109" t="n"/>
      <c r="AN460" s="109" t="n"/>
    </row>
    <row r="461" ht="15.75" customHeight="1" s="216">
      <c r="D461" s="109" t="n"/>
      <c r="E461" s="109" t="n"/>
      <c r="J461" s="109" t="n"/>
      <c r="K461" s="109" t="n"/>
      <c r="L461" s="109" t="n"/>
      <c r="N461" s="109" t="n"/>
      <c r="O461" s="109" t="n"/>
      <c r="P461" s="109" t="n"/>
      <c r="T461" s="109" t="n"/>
      <c r="U461" s="109" t="n"/>
      <c r="V461" s="109" t="n"/>
      <c r="Z461" s="109" t="n"/>
      <c r="AA461" s="109" t="n"/>
      <c r="AB461" s="109" t="n"/>
      <c r="AF461" s="109" t="n"/>
      <c r="AG461" s="109" t="n"/>
      <c r="AH461" s="109" t="n"/>
      <c r="AL461" s="109" t="n"/>
      <c r="AM461" s="109" t="n"/>
      <c r="AN461" s="109" t="n"/>
    </row>
    <row r="462" ht="15.75" customHeight="1" s="216">
      <c r="D462" s="109" t="n"/>
      <c r="E462" s="109" t="n"/>
      <c r="J462" s="109" t="n"/>
      <c r="K462" s="109" t="n"/>
      <c r="L462" s="109" t="n"/>
      <c r="N462" s="109" t="n"/>
      <c r="O462" s="109" t="n"/>
      <c r="P462" s="109" t="n"/>
      <c r="T462" s="109" t="n"/>
      <c r="U462" s="109" t="n"/>
      <c r="V462" s="109" t="n"/>
      <c r="Z462" s="109" t="n"/>
      <c r="AA462" s="109" t="n"/>
      <c r="AB462" s="109" t="n"/>
      <c r="AF462" s="109" t="n"/>
      <c r="AG462" s="109" t="n"/>
      <c r="AH462" s="109" t="n"/>
      <c r="AL462" s="109" t="n"/>
      <c r="AM462" s="109" t="n"/>
      <c r="AN462" s="109" t="n"/>
    </row>
    <row r="463" ht="15.75" customHeight="1" s="216">
      <c r="D463" s="109" t="n"/>
      <c r="E463" s="109" t="n"/>
      <c r="J463" s="109" t="n"/>
      <c r="K463" s="109" t="n"/>
      <c r="L463" s="109" t="n"/>
      <c r="N463" s="109" t="n"/>
      <c r="O463" s="109" t="n"/>
      <c r="P463" s="109" t="n"/>
      <c r="T463" s="109" t="n"/>
      <c r="U463" s="109" t="n"/>
      <c r="V463" s="109" t="n"/>
      <c r="Z463" s="109" t="n"/>
      <c r="AA463" s="109" t="n"/>
      <c r="AB463" s="109" t="n"/>
      <c r="AF463" s="109" t="n"/>
      <c r="AG463" s="109" t="n"/>
      <c r="AH463" s="109" t="n"/>
      <c r="AL463" s="109" t="n"/>
      <c r="AM463" s="109" t="n"/>
      <c r="AN463" s="109" t="n"/>
    </row>
    <row r="464" ht="15.75" customHeight="1" s="216">
      <c r="D464" s="109" t="n"/>
      <c r="E464" s="109" t="n"/>
      <c r="J464" s="109" t="n"/>
      <c r="K464" s="109" t="n"/>
      <c r="L464" s="109" t="n"/>
      <c r="N464" s="109" t="n"/>
      <c r="O464" s="109" t="n"/>
      <c r="P464" s="109" t="n"/>
      <c r="T464" s="109" t="n"/>
      <c r="U464" s="109" t="n"/>
      <c r="V464" s="109" t="n"/>
      <c r="Z464" s="109" t="n"/>
      <c r="AA464" s="109" t="n"/>
      <c r="AB464" s="109" t="n"/>
      <c r="AF464" s="109" t="n"/>
      <c r="AG464" s="109" t="n"/>
      <c r="AH464" s="109" t="n"/>
      <c r="AL464" s="109" t="n"/>
      <c r="AM464" s="109" t="n"/>
      <c r="AN464" s="109" t="n"/>
    </row>
    <row r="465" ht="15.75" customHeight="1" s="216">
      <c r="D465" s="109" t="n"/>
      <c r="E465" s="109" t="n"/>
      <c r="J465" s="109" t="n"/>
      <c r="K465" s="109" t="n"/>
      <c r="L465" s="109" t="n"/>
      <c r="N465" s="109" t="n"/>
      <c r="O465" s="109" t="n"/>
      <c r="P465" s="109" t="n"/>
      <c r="T465" s="109" t="n"/>
      <c r="U465" s="109" t="n"/>
      <c r="V465" s="109" t="n"/>
      <c r="Z465" s="109" t="n"/>
      <c r="AA465" s="109" t="n"/>
      <c r="AB465" s="109" t="n"/>
      <c r="AF465" s="109" t="n"/>
      <c r="AG465" s="109" t="n"/>
      <c r="AH465" s="109" t="n"/>
      <c r="AL465" s="109" t="n"/>
      <c r="AM465" s="109" t="n"/>
      <c r="AN465" s="109" t="n"/>
    </row>
    <row r="466" ht="15.75" customHeight="1" s="216">
      <c r="D466" s="109" t="n"/>
      <c r="E466" s="109" t="n"/>
      <c r="J466" s="109" t="n"/>
      <c r="K466" s="109" t="n"/>
      <c r="L466" s="109" t="n"/>
      <c r="N466" s="109" t="n"/>
      <c r="O466" s="109" t="n"/>
      <c r="P466" s="109" t="n"/>
      <c r="T466" s="109" t="n"/>
      <c r="U466" s="109" t="n"/>
      <c r="V466" s="109" t="n"/>
      <c r="Z466" s="109" t="n"/>
      <c r="AA466" s="109" t="n"/>
      <c r="AB466" s="109" t="n"/>
      <c r="AF466" s="109" t="n"/>
      <c r="AG466" s="109" t="n"/>
      <c r="AH466" s="109" t="n"/>
      <c r="AL466" s="109" t="n"/>
      <c r="AM466" s="109" t="n"/>
      <c r="AN466" s="109" t="n"/>
    </row>
    <row r="467" ht="15.75" customHeight="1" s="216">
      <c r="D467" s="109" t="n"/>
      <c r="E467" s="109" t="n"/>
      <c r="J467" s="109" t="n"/>
      <c r="K467" s="109" t="n"/>
      <c r="L467" s="109" t="n"/>
      <c r="N467" s="109" t="n"/>
      <c r="O467" s="109" t="n"/>
      <c r="P467" s="109" t="n"/>
      <c r="T467" s="109" t="n"/>
      <c r="U467" s="109" t="n"/>
      <c r="V467" s="109" t="n"/>
      <c r="Z467" s="109" t="n"/>
      <c r="AA467" s="109" t="n"/>
      <c r="AB467" s="109" t="n"/>
      <c r="AF467" s="109" t="n"/>
      <c r="AG467" s="109" t="n"/>
      <c r="AH467" s="109" t="n"/>
      <c r="AL467" s="109" t="n"/>
      <c r="AM467" s="109" t="n"/>
      <c r="AN467" s="109" t="n"/>
    </row>
    <row r="468" ht="15.75" customHeight="1" s="216">
      <c r="D468" s="109" t="n"/>
      <c r="E468" s="109" t="n"/>
      <c r="J468" s="109" t="n"/>
      <c r="K468" s="109" t="n"/>
      <c r="L468" s="109" t="n"/>
      <c r="N468" s="109" t="n"/>
      <c r="O468" s="109" t="n"/>
      <c r="P468" s="109" t="n"/>
      <c r="T468" s="109" t="n"/>
      <c r="U468" s="109" t="n"/>
      <c r="V468" s="109" t="n"/>
      <c r="Z468" s="109" t="n"/>
      <c r="AA468" s="109" t="n"/>
      <c r="AB468" s="109" t="n"/>
      <c r="AF468" s="109" t="n"/>
      <c r="AG468" s="109" t="n"/>
      <c r="AH468" s="109" t="n"/>
      <c r="AL468" s="109" t="n"/>
      <c r="AM468" s="109" t="n"/>
      <c r="AN468" s="109" t="n"/>
    </row>
    <row r="469" ht="15.75" customHeight="1" s="216">
      <c r="D469" s="109" t="n"/>
      <c r="E469" s="109" t="n"/>
      <c r="J469" s="109" t="n"/>
      <c r="K469" s="109" t="n"/>
      <c r="L469" s="109" t="n"/>
      <c r="N469" s="109" t="n"/>
      <c r="O469" s="109" t="n"/>
      <c r="P469" s="109" t="n"/>
      <c r="T469" s="109" t="n"/>
      <c r="U469" s="109" t="n"/>
      <c r="V469" s="109" t="n"/>
      <c r="Z469" s="109" t="n"/>
      <c r="AA469" s="109" t="n"/>
      <c r="AB469" s="109" t="n"/>
      <c r="AF469" s="109" t="n"/>
      <c r="AG469" s="109" t="n"/>
      <c r="AH469" s="109" t="n"/>
      <c r="AL469" s="109" t="n"/>
      <c r="AM469" s="109" t="n"/>
      <c r="AN469" s="109" t="n"/>
    </row>
    <row r="470" ht="15.75" customHeight="1" s="216">
      <c r="D470" s="109" t="n"/>
      <c r="E470" s="109" t="n"/>
      <c r="J470" s="109" t="n"/>
      <c r="K470" s="109" t="n"/>
      <c r="L470" s="109" t="n"/>
      <c r="N470" s="109" t="n"/>
      <c r="O470" s="109" t="n"/>
      <c r="P470" s="109" t="n"/>
      <c r="T470" s="109" t="n"/>
      <c r="U470" s="109" t="n"/>
      <c r="V470" s="109" t="n"/>
      <c r="Z470" s="109" t="n"/>
      <c r="AA470" s="109" t="n"/>
      <c r="AB470" s="109" t="n"/>
      <c r="AF470" s="109" t="n"/>
      <c r="AG470" s="109" t="n"/>
      <c r="AH470" s="109" t="n"/>
      <c r="AL470" s="109" t="n"/>
      <c r="AM470" s="109" t="n"/>
      <c r="AN470" s="109" t="n"/>
    </row>
    <row r="471" ht="15.75" customHeight="1" s="216">
      <c r="D471" s="109" t="n"/>
      <c r="E471" s="109" t="n"/>
      <c r="J471" s="109" t="n"/>
      <c r="K471" s="109" t="n"/>
      <c r="L471" s="109" t="n"/>
      <c r="N471" s="109" t="n"/>
      <c r="O471" s="109" t="n"/>
      <c r="P471" s="109" t="n"/>
      <c r="T471" s="109" t="n"/>
      <c r="U471" s="109" t="n"/>
      <c r="V471" s="109" t="n"/>
      <c r="Z471" s="109" t="n"/>
      <c r="AA471" s="109" t="n"/>
      <c r="AB471" s="109" t="n"/>
      <c r="AF471" s="109" t="n"/>
      <c r="AG471" s="109" t="n"/>
      <c r="AH471" s="109" t="n"/>
      <c r="AL471" s="109" t="n"/>
      <c r="AM471" s="109" t="n"/>
      <c r="AN471" s="109" t="n"/>
    </row>
    <row r="472" ht="15.75" customHeight="1" s="216">
      <c r="D472" s="109" t="n"/>
      <c r="E472" s="109" t="n"/>
      <c r="J472" s="109" t="n"/>
      <c r="K472" s="109" t="n"/>
      <c r="L472" s="109" t="n"/>
      <c r="N472" s="109" t="n"/>
      <c r="O472" s="109" t="n"/>
      <c r="P472" s="109" t="n"/>
      <c r="T472" s="109" t="n"/>
      <c r="U472" s="109" t="n"/>
      <c r="V472" s="109" t="n"/>
      <c r="Z472" s="109" t="n"/>
      <c r="AA472" s="109" t="n"/>
      <c r="AB472" s="109" t="n"/>
      <c r="AF472" s="109" t="n"/>
      <c r="AG472" s="109" t="n"/>
      <c r="AH472" s="109" t="n"/>
      <c r="AL472" s="109" t="n"/>
      <c r="AM472" s="109" t="n"/>
      <c r="AN472" s="109" t="n"/>
    </row>
    <row r="473" ht="15.75" customHeight="1" s="216">
      <c r="D473" s="109" t="n"/>
      <c r="E473" s="109" t="n"/>
      <c r="J473" s="109" t="n"/>
      <c r="K473" s="109" t="n"/>
      <c r="L473" s="109" t="n"/>
      <c r="N473" s="109" t="n"/>
      <c r="O473" s="109" t="n"/>
      <c r="P473" s="109" t="n"/>
      <c r="T473" s="109" t="n"/>
      <c r="U473" s="109" t="n"/>
      <c r="V473" s="109" t="n"/>
      <c r="Z473" s="109" t="n"/>
      <c r="AA473" s="109" t="n"/>
      <c r="AB473" s="109" t="n"/>
      <c r="AF473" s="109" t="n"/>
      <c r="AG473" s="109" t="n"/>
      <c r="AH473" s="109" t="n"/>
      <c r="AL473" s="109" t="n"/>
      <c r="AM473" s="109" t="n"/>
      <c r="AN473" s="109" t="n"/>
    </row>
    <row r="474" ht="15.75" customHeight="1" s="216">
      <c r="D474" s="109" t="n"/>
      <c r="E474" s="109" t="n"/>
      <c r="J474" s="109" t="n"/>
      <c r="K474" s="109" t="n"/>
      <c r="L474" s="109" t="n"/>
      <c r="N474" s="109" t="n"/>
      <c r="O474" s="109" t="n"/>
      <c r="P474" s="109" t="n"/>
      <c r="T474" s="109" t="n"/>
      <c r="U474" s="109" t="n"/>
      <c r="V474" s="109" t="n"/>
      <c r="Z474" s="109" t="n"/>
      <c r="AA474" s="109" t="n"/>
      <c r="AB474" s="109" t="n"/>
      <c r="AF474" s="109" t="n"/>
      <c r="AG474" s="109" t="n"/>
      <c r="AH474" s="109" t="n"/>
      <c r="AL474" s="109" t="n"/>
      <c r="AM474" s="109" t="n"/>
      <c r="AN474" s="109" t="n"/>
    </row>
    <row r="475" ht="15.75" customHeight="1" s="216">
      <c r="D475" s="109" t="n"/>
      <c r="E475" s="109" t="n"/>
      <c r="J475" s="109" t="n"/>
      <c r="K475" s="109" t="n"/>
      <c r="L475" s="109" t="n"/>
      <c r="N475" s="109" t="n"/>
      <c r="O475" s="109" t="n"/>
      <c r="P475" s="109" t="n"/>
      <c r="T475" s="109" t="n"/>
      <c r="U475" s="109" t="n"/>
      <c r="V475" s="109" t="n"/>
      <c r="Z475" s="109" t="n"/>
      <c r="AA475" s="109" t="n"/>
      <c r="AB475" s="109" t="n"/>
      <c r="AF475" s="109" t="n"/>
      <c r="AG475" s="109" t="n"/>
      <c r="AH475" s="109" t="n"/>
      <c r="AL475" s="109" t="n"/>
      <c r="AM475" s="109" t="n"/>
      <c r="AN475" s="109" t="n"/>
    </row>
    <row r="476" ht="15.75" customHeight="1" s="216">
      <c r="D476" s="109" t="n"/>
      <c r="E476" s="109" t="n"/>
      <c r="J476" s="109" t="n"/>
      <c r="K476" s="109" t="n"/>
      <c r="L476" s="109" t="n"/>
      <c r="N476" s="109" t="n"/>
      <c r="O476" s="109" t="n"/>
      <c r="P476" s="109" t="n"/>
      <c r="T476" s="109" t="n"/>
      <c r="U476" s="109" t="n"/>
      <c r="V476" s="109" t="n"/>
      <c r="Z476" s="109" t="n"/>
      <c r="AA476" s="109" t="n"/>
      <c r="AB476" s="109" t="n"/>
      <c r="AF476" s="109" t="n"/>
      <c r="AG476" s="109" t="n"/>
      <c r="AH476" s="109" t="n"/>
      <c r="AL476" s="109" t="n"/>
      <c r="AM476" s="109" t="n"/>
      <c r="AN476" s="109" t="n"/>
    </row>
    <row r="477" ht="15.75" customHeight="1" s="216">
      <c r="D477" s="109" t="n"/>
      <c r="E477" s="109" t="n"/>
      <c r="J477" s="109" t="n"/>
      <c r="K477" s="109" t="n"/>
      <c r="L477" s="109" t="n"/>
      <c r="N477" s="109" t="n"/>
      <c r="O477" s="109" t="n"/>
      <c r="P477" s="109" t="n"/>
      <c r="T477" s="109" t="n"/>
      <c r="U477" s="109" t="n"/>
      <c r="V477" s="109" t="n"/>
      <c r="Z477" s="109" t="n"/>
      <c r="AA477" s="109" t="n"/>
      <c r="AB477" s="109" t="n"/>
      <c r="AF477" s="109" t="n"/>
      <c r="AG477" s="109" t="n"/>
      <c r="AH477" s="109" t="n"/>
      <c r="AL477" s="109" t="n"/>
      <c r="AM477" s="109" t="n"/>
      <c r="AN477" s="109" t="n"/>
    </row>
    <row r="478" ht="15.75" customHeight="1" s="216">
      <c r="D478" s="109" t="n"/>
      <c r="E478" s="109" t="n"/>
      <c r="J478" s="109" t="n"/>
      <c r="K478" s="109" t="n"/>
      <c r="L478" s="109" t="n"/>
      <c r="N478" s="109" t="n"/>
      <c r="O478" s="109" t="n"/>
      <c r="P478" s="109" t="n"/>
      <c r="T478" s="109" t="n"/>
      <c r="U478" s="109" t="n"/>
      <c r="V478" s="109" t="n"/>
      <c r="Z478" s="109" t="n"/>
      <c r="AA478" s="109" t="n"/>
      <c r="AB478" s="109" t="n"/>
      <c r="AF478" s="109" t="n"/>
      <c r="AG478" s="109" t="n"/>
      <c r="AH478" s="109" t="n"/>
      <c r="AL478" s="109" t="n"/>
      <c r="AM478" s="109" t="n"/>
      <c r="AN478" s="109" t="n"/>
    </row>
    <row r="479" ht="15.75" customHeight="1" s="216">
      <c r="D479" s="109" t="n"/>
      <c r="E479" s="109" t="n"/>
      <c r="J479" s="109" t="n"/>
      <c r="K479" s="109" t="n"/>
      <c r="L479" s="109" t="n"/>
      <c r="N479" s="109" t="n"/>
      <c r="O479" s="109" t="n"/>
      <c r="P479" s="109" t="n"/>
      <c r="T479" s="109" t="n"/>
      <c r="U479" s="109" t="n"/>
      <c r="V479" s="109" t="n"/>
      <c r="Z479" s="109" t="n"/>
      <c r="AA479" s="109" t="n"/>
      <c r="AB479" s="109" t="n"/>
      <c r="AF479" s="109" t="n"/>
      <c r="AG479" s="109" t="n"/>
      <c r="AH479" s="109" t="n"/>
      <c r="AL479" s="109" t="n"/>
      <c r="AM479" s="109" t="n"/>
      <c r="AN479" s="109" t="n"/>
    </row>
    <row r="480" ht="15.75" customHeight="1" s="216">
      <c r="D480" s="109" t="n"/>
      <c r="E480" s="109" t="n"/>
      <c r="J480" s="109" t="n"/>
      <c r="K480" s="109" t="n"/>
      <c r="L480" s="109" t="n"/>
      <c r="N480" s="109" t="n"/>
      <c r="O480" s="109" t="n"/>
      <c r="P480" s="109" t="n"/>
      <c r="T480" s="109" t="n"/>
      <c r="U480" s="109" t="n"/>
      <c r="V480" s="109" t="n"/>
      <c r="Z480" s="109" t="n"/>
      <c r="AA480" s="109" t="n"/>
      <c r="AB480" s="109" t="n"/>
      <c r="AF480" s="109" t="n"/>
      <c r="AG480" s="109" t="n"/>
      <c r="AH480" s="109" t="n"/>
      <c r="AL480" s="109" t="n"/>
      <c r="AM480" s="109" t="n"/>
      <c r="AN480" s="109" t="n"/>
    </row>
    <row r="481" ht="15.75" customHeight="1" s="216">
      <c r="D481" s="109" t="n"/>
      <c r="E481" s="109" t="n"/>
      <c r="J481" s="109" t="n"/>
      <c r="K481" s="109" t="n"/>
      <c r="L481" s="109" t="n"/>
      <c r="N481" s="109" t="n"/>
      <c r="O481" s="109" t="n"/>
      <c r="P481" s="109" t="n"/>
      <c r="T481" s="109" t="n"/>
      <c r="U481" s="109" t="n"/>
      <c r="V481" s="109" t="n"/>
      <c r="Z481" s="109" t="n"/>
      <c r="AA481" s="109" t="n"/>
      <c r="AB481" s="109" t="n"/>
      <c r="AF481" s="109" t="n"/>
      <c r="AG481" s="109" t="n"/>
      <c r="AH481" s="109" t="n"/>
      <c r="AL481" s="109" t="n"/>
      <c r="AM481" s="109" t="n"/>
      <c r="AN481" s="109" t="n"/>
    </row>
    <row r="482" ht="15.75" customHeight="1" s="216">
      <c r="D482" s="109" t="n"/>
      <c r="E482" s="109" t="n"/>
      <c r="J482" s="109" t="n"/>
      <c r="K482" s="109" t="n"/>
      <c r="L482" s="109" t="n"/>
      <c r="N482" s="109" t="n"/>
      <c r="O482" s="109" t="n"/>
      <c r="P482" s="109" t="n"/>
      <c r="T482" s="109" t="n"/>
      <c r="U482" s="109" t="n"/>
      <c r="V482" s="109" t="n"/>
      <c r="Z482" s="109" t="n"/>
      <c r="AA482" s="109" t="n"/>
      <c r="AB482" s="109" t="n"/>
      <c r="AF482" s="109" t="n"/>
      <c r="AG482" s="109" t="n"/>
      <c r="AH482" s="109" t="n"/>
      <c r="AL482" s="109" t="n"/>
      <c r="AM482" s="109" t="n"/>
      <c r="AN482" s="109" t="n"/>
    </row>
    <row r="483" ht="15.75" customHeight="1" s="216">
      <c r="D483" s="109" t="n"/>
      <c r="E483" s="109" t="n"/>
      <c r="J483" s="109" t="n"/>
      <c r="K483" s="109" t="n"/>
      <c r="L483" s="109" t="n"/>
      <c r="N483" s="109" t="n"/>
      <c r="O483" s="109" t="n"/>
      <c r="P483" s="109" t="n"/>
      <c r="T483" s="109" t="n"/>
      <c r="U483" s="109" t="n"/>
      <c r="V483" s="109" t="n"/>
      <c r="Z483" s="109" t="n"/>
      <c r="AA483" s="109" t="n"/>
      <c r="AB483" s="109" t="n"/>
      <c r="AF483" s="109" t="n"/>
      <c r="AG483" s="109" t="n"/>
      <c r="AH483" s="109" t="n"/>
      <c r="AL483" s="109" t="n"/>
      <c r="AM483" s="109" t="n"/>
      <c r="AN483" s="109" t="n"/>
    </row>
    <row r="484" ht="15.75" customHeight="1" s="216">
      <c r="D484" s="109" t="n"/>
      <c r="E484" s="109" t="n"/>
      <c r="J484" s="109" t="n"/>
      <c r="K484" s="109" t="n"/>
      <c r="L484" s="109" t="n"/>
      <c r="N484" s="109" t="n"/>
      <c r="O484" s="109" t="n"/>
      <c r="P484" s="109" t="n"/>
      <c r="T484" s="109" t="n"/>
      <c r="U484" s="109" t="n"/>
      <c r="V484" s="109" t="n"/>
      <c r="Z484" s="109" t="n"/>
      <c r="AA484" s="109" t="n"/>
      <c r="AB484" s="109" t="n"/>
      <c r="AF484" s="109" t="n"/>
      <c r="AG484" s="109" t="n"/>
      <c r="AH484" s="109" t="n"/>
      <c r="AL484" s="109" t="n"/>
      <c r="AM484" s="109" t="n"/>
      <c r="AN484" s="109" t="n"/>
    </row>
    <row r="485" ht="15.75" customHeight="1" s="216">
      <c r="D485" s="109" t="n"/>
      <c r="E485" s="109" t="n"/>
      <c r="J485" s="109" t="n"/>
      <c r="K485" s="109" t="n"/>
      <c r="L485" s="109" t="n"/>
      <c r="N485" s="109" t="n"/>
      <c r="O485" s="109" t="n"/>
      <c r="P485" s="109" t="n"/>
      <c r="T485" s="109" t="n"/>
      <c r="U485" s="109" t="n"/>
      <c r="V485" s="109" t="n"/>
      <c r="Z485" s="109" t="n"/>
      <c r="AA485" s="109" t="n"/>
      <c r="AB485" s="109" t="n"/>
      <c r="AF485" s="109" t="n"/>
      <c r="AG485" s="109" t="n"/>
      <c r="AH485" s="109" t="n"/>
      <c r="AL485" s="109" t="n"/>
      <c r="AM485" s="109" t="n"/>
      <c r="AN485" s="109" t="n"/>
    </row>
    <row r="486" ht="15.75" customHeight="1" s="216">
      <c r="D486" s="109" t="n"/>
      <c r="E486" s="109" t="n"/>
      <c r="J486" s="109" t="n"/>
      <c r="K486" s="109" t="n"/>
      <c r="L486" s="109" t="n"/>
      <c r="N486" s="109" t="n"/>
      <c r="O486" s="109" t="n"/>
      <c r="P486" s="109" t="n"/>
      <c r="T486" s="109" t="n"/>
      <c r="U486" s="109" t="n"/>
      <c r="V486" s="109" t="n"/>
      <c r="Z486" s="109" t="n"/>
      <c r="AA486" s="109" t="n"/>
      <c r="AB486" s="109" t="n"/>
      <c r="AF486" s="109" t="n"/>
      <c r="AG486" s="109" t="n"/>
      <c r="AH486" s="109" t="n"/>
      <c r="AL486" s="109" t="n"/>
      <c r="AM486" s="109" t="n"/>
      <c r="AN486" s="109" t="n"/>
    </row>
    <row r="487" ht="15.75" customHeight="1" s="216">
      <c r="D487" s="109" t="n"/>
      <c r="E487" s="109" t="n"/>
      <c r="J487" s="109" t="n"/>
      <c r="K487" s="109" t="n"/>
      <c r="L487" s="109" t="n"/>
      <c r="N487" s="109" t="n"/>
      <c r="O487" s="109" t="n"/>
      <c r="P487" s="109" t="n"/>
      <c r="T487" s="109" t="n"/>
      <c r="U487" s="109" t="n"/>
      <c r="V487" s="109" t="n"/>
      <c r="Z487" s="109" t="n"/>
      <c r="AA487" s="109" t="n"/>
      <c r="AB487" s="109" t="n"/>
      <c r="AF487" s="109" t="n"/>
      <c r="AG487" s="109" t="n"/>
      <c r="AH487" s="109" t="n"/>
      <c r="AL487" s="109" t="n"/>
      <c r="AM487" s="109" t="n"/>
      <c r="AN487" s="109" t="n"/>
    </row>
    <row r="488" ht="15.75" customHeight="1" s="216">
      <c r="D488" s="109" t="n"/>
      <c r="E488" s="109" t="n"/>
      <c r="J488" s="109" t="n"/>
      <c r="K488" s="109" t="n"/>
      <c r="L488" s="109" t="n"/>
      <c r="N488" s="109" t="n"/>
      <c r="O488" s="109" t="n"/>
      <c r="P488" s="109" t="n"/>
      <c r="T488" s="109" t="n"/>
      <c r="U488" s="109" t="n"/>
      <c r="V488" s="109" t="n"/>
      <c r="Z488" s="109" t="n"/>
      <c r="AA488" s="109" t="n"/>
      <c r="AB488" s="109" t="n"/>
      <c r="AF488" s="109" t="n"/>
      <c r="AG488" s="109" t="n"/>
      <c r="AH488" s="109" t="n"/>
      <c r="AL488" s="109" t="n"/>
      <c r="AM488" s="109" t="n"/>
      <c r="AN488" s="109" t="n"/>
    </row>
    <row r="489" ht="15.75" customHeight="1" s="216">
      <c r="D489" s="109" t="n"/>
      <c r="E489" s="109" t="n"/>
      <c r="J489" s="109" t="n"/>
      <c r="K489" s="109" t="n"/>
      <c r="L489" s="109" t="n"/>
      <c r="N489" s="109" t="n"/>
      <c r="O489" s="109" t="n"/>
      <c r="P489" s="109" t="n"/>
      <c r="T489" s="109" t="n"/>
      <c r="U489" s="109" t="n"/>
      <c r="V489" s="109" t="n"/>
      <c r="Z489" s="109" t="n"/>
      <c r="AA489" s="109" t="n"/>
      <c r="AB489" s="109" t="n"/>
      <c r="AF489" s="109" t="n"/>
      <c r="AG489" s="109" t="n"/>
      <c r="AH489" s="109" t="n"/>
      <c r="AL489" s="109" t="n"/>
      <c r="AM489" s="109" t="n"/>
      <c r="AN489" s="109" t="n"/>
    </row>
    <row r="490" ht="15.75" customHeight="1" s="216">
      <c r="D490" s="109" t="n"/>
      <c r="E490" s="109" t="n"/>
      <c r="J490" s="109" t="n"/>
      <c r="K490" s="109" t="n"/>
      <c r="L490" s="109" t="n"/>
      <c r="N490" s="109" t="n"/>
      <c r="O490" s="109" t="n"/>
      <c r="P490" s="109" t="n"/>
      <c r="T490" s="109" t="n"/>
      <c r="U490" s="109" t="n"/>
      <c r="V490" s="109" t="n"/>
      <c r="Z490" s="109" t="n"/>
      <c r="AA490" s="109" t="n"/>
      <c r="AB490" s="109" t="n"/>
      <c r="AF490" s="109" t="n"/>
      <c r="AG490" s="109" t="n"/>
      <c r="AH490" s="109" t="n"/>
      <c r="AL490" s="109" t="n"/>
      <c r="AM490" s="109" t="n"/>
      <c r="AN490" s="109" t="n"/>
    </row>
    <row r="491" ht="15.75" customHeight="1" s="216">
      <c r="D491" s="109" t="n"/>
      <c r="E491" s="109" t="n"/>
      <c r="J491" s="109" t="n"/>
      <c r="K491" s="109" t="n"/>
      <c r="L491" s="109" t="n"/>
      <c r="N491" s="109" t="n"/>
      <c r="O491" s="109" t="n"/>
      <c r="P491" s="109" t="n"/>
      <c r="T491" s="109" t="n"/>
      <c r="U491" s="109" t="n"/>
      <c r="V491" s="109" t="n"/>
      <c r="Z491" s="109" t="n"/>
      <c r="AA491" s="109" t="n"/>
      <c r="AB491" s="109" t="n"/>
      <c r="AF491" s="109" t="n"/>
      <c r="AG491" s="109" t="n"/>
      <c r="AH491" s="109" t="n"/>
      <c r="AL491" s="109" t="n"/>
      <c r="AM491" s="109" t="n"/>
      <c r="AN491" s="109" t="n"/>
    </row>
    <row r="492" ht="15.75" customHeight="1" s="216">
      <c r="D492" s="109" t="n"/>
      <c r="E492" s="109" t="n"/>
      <c r="J492" s="109" t="n"/>
      <c r="K492" s="109" t="n"/>
      <c r="L492" s="109" t="n"/>
      <c r="N492" s="109" t="n"/>
      <c r="O492" s="109" t="n"/>
      <c r="P492" s="109" t="n"/>
      <c r="T492" s="109" t="n"/>
      <c r="U492" s="109" t="n"/>
      <c r="V492" s="109" t="n"/>
      <c r="Z492" s="109" t="n"/>
      <c r="AA492" s="109" t="n"/>
      <c r="AB492" s="109" t="n"/>
      <c r="AF492" s="109" t="n"/>
      <c r="AG492" s="109" t="n"/>
      <c r="AH492" s="109" t="n"/>
      <c r="AL492" s="109" t="n"/>
      <c r="AM492" s="109" t="n"/>
      <c r="AN492" s="109" t="n"/>
    </row>
    <row r="493" ht="15.75" customHeight="1" s="216">
      <c r="D493" s="109" t="n"/>
      <c r="E493" s="109" t="n"/>
      <c r="J493" s="109" t="n"/>
      <c r="K493" s="109" t="n"/>
      <c r="L493" s="109" t="n"/>
      <c r="N493" s="109" t="n"/>
      <c r="O493" s="109" t="n"/>
      <c r="P493" s="109" t="n"/>
      <c r="T493" s="109" t="n"/>
      <c r="U493" s="109" t="n"/>
      <c r="V493" s="109" t="n"/>
      <c r="Z493" s="109" t="n"/>
      <c r="AA493" s="109" t="n"/>
      <c r="AB493" s="109" t="n"/>
      <c r="AF493" s="109" t="n"/>
      <c r="AG493" s="109" t="n"/>
      <c r="AH493" s="109" t="n"/>
      <c r="AL493" s="109" t="n"/>
      <c r="AM493" s="109" t="n"/>
      <c r="AN493" s="109" t="n"/>
    </row>
    <row r="494" ht="15.75" customHeight="1" s="216">
      <c r="D494" s="109" t="n"/>
      <c r="E494" s="109" t="n"/>
      <c r="J494" s="109" t="n"/>
      <c r="K494" s="109" t="n"/>
      <c r="L494" s="109" t="n"/>
      <c r="N494" s="109" t="n"/>
      <c r="O494" s="109" t="n"/>
      <c r="P494" s="109" t="n"/>
      <c r="T494" s="109" t="n"/>
      <c r="U494" s="109" t="n"/>
      <c r="V494" s="109" t="n"/>
      <c r="Z494" s="109" t="n"/>
      <c r="AA494" s="109" t="n"/>
      <c r="AB494" s="109" t="n"/>
      <c r="AF494" s="109" t="n"/>
      <c r="AG494" s="109" t="n"/>
      <c r="AH494" s="109" t="n"/>
      <c r="AL494" s="109" t="n"/>
      <c r="AM494" s="109" t="n"/>
      <c r="AN494" s="109" t="n"/>
    </row>
    <row r="495" ht="15.75" customHeight="1" s="216">
      <c r="D495" s="109" t="n"/>
      <c r="E495" s="109" t="n"/>
      <c r="J495" s="109" t="n"/>
      <c r="K495" s="109" t="n"/>
      <c r="L495" s="109" t="n"/>
      <c r="N495" s="109" t="n"/>
      <c r="O495" s="109" t="n"/>
      <c r="P495" s="109" t="n"/>
      <c r="T495" s="109" t="n"/>
      <c r="U495" s="109" t="n"/>
      <c r="V495" s="109" t="n"/>
      <c r="Z495" s="109" t="n"/>
      <c r="AA495" s="109" t="n"/>
      <c r="AB495" s="109" t="n"/>
      <c r="AF495" s="109" t="n"/>
      <c r="AG495" s="109" t="n"/>
      <c r="AH495" s="109" t="n"/>
      <c r="AL495" s="109" t="n"/>
      <c r="AM495" s="109" t="n"/>
      <c r="AN495" s="109" t="n"/>
    </row>
    <row r="496" ht="15.75" customHeight="1" s="216">
      <c r="D496" s="109" t="n"/>
      <c r="E496" s="109" t="n"/>
      <c r="J496" s="109" t="n"/>
      <c r="K496" s="109" t="n"/>
      <c r="L496" s="109" t="n"/>
      <c r="N496" s="109" t="n"/>
      <c r="O496" s="109" t="n"/>
      <c r="P496" s="109" t="n"/>
      <c r="T496" s="109" t="n"/>
      <c r="U496" s="109" t="n"/>
      <c r="V496" s="109" t="n"/>
      <c r="Z496" s="109" t="n"/>
      <c r="AA496" s="109" t="n"/>
      <c r="AB496" s="109" t="n"/>
      <c r="AF496" s="109" t="n"/>
      <c r="AG496" s="109" t="n"/>
      <c r="AH496" s="109" t="n"/>
      <c r="AL496" s="109" t="n"/>
      <c r="AM496" s="109" t="n"/>
      <c r="AN496" s="109" t="n"/>
    </row>
    <row r="497" ht="15.75" customHeight="1" s="216">
      <c r="D497" s="109" t="n"/>
      <c r="E497" s="109" t="n"/>
      <c r="J497" s="109" t="n"/>
      <c r="K497" s="109" t="n"/>
      <c r="L497" s="109" t="n"/>
      <c r="N497" s="109" t="n"/>
      <c r="O497" s="109" t="n"/>
      <c r="P497" s="109" t="n"/>
      <c r="T497" s="109" t="n"/>
      <c r="U497" s="109" t="n"/>
      <c r="V497" s="109" t="n"/>
      <c r="Z497" s="109" t="n"/>
      <c r="AA497" s="109" t="n"/>
      <c r="AB497" s="109" t="n"/>
      <c r="AF497" s="109" t="n"/>
      <c r="AG497" s="109" t="n"/>
      <c r="AH497" s="109" t="n"/>
      <c r="AL497" s="109" t="n"/>
      <c r="AM497" s="109" t="n"/>
      <c r="AN497" s="109" t="n"/>
    </row>
    <row r="498" ht="15.75" customHeight="1" s="216">
      <c r="D498" s="109" t="n"/>
      <c r="E498" s="109" t="n"/>
      <c r="J498" s="109" t="n"/>
      <c r="K498" s="109" t="n"/>
      <c r="L498" s="109" t="n"/>
      <c r="N498" s="109" t="n"/>
      <c r="O498" s="109" t="n"/>
      <c r="P498" s="109" t="n"/>
      <c r="T498" s="109" t="n"/>
      <c r="U498" s="109" t="n"/>
      <c r="V498" s="109" t="n"/>
      <c r="Z498" s="109" t="n"/>
      <c r="AA498" s="109" t="n"/>
      <c r="AB498" s="109" t="n"/>
      <c r="AF498" s="109" t="n"/>
      <c r="AG498" s="109" t="n"/>
      <c r="AH498" s="109" t="n"/>
      <c r="AL498" s="109" t="n"/>
      <c r="AM498" s="109" t="n"/>
      <c r="AN498" s="109" t="n"/>
    </row>
    <row r="499" ht="15.75" customHeight="1" s="216">
      <c r="D499" s="109" t="n"/>
      <c r="E499" s="109" t="n"/>
      <c r="J499" s="109" t="n"/>
      <c r="K499" s="109" t="n"/>
      <c r="L499" s="109" t="n"/>
      <c r="N499" s="109" t="n"/>
      <c r="O499" s="109" t="n"/>
      <c r="P499" s="109" t="n"/>
      <c r="T499" s="109" t="n"/>
      <c r="U499" s="109" t="n"/>
      <c r="V499" s="109" t="n"/>
      <c r="Z499" s="109" t="n"/>
      <c r="AA499" s="109" t="n"/>
      <c r="AB499" s="109" t="n"/>
      <c r="AF499" s="109" t="n"/>
      <c r="AG499" s="109" t="n"/>
      <c r="AH499" s="109" t="n"/>
      <c r="AL499" s="109" t="n"/>
      <c r="AM499" s="109" t="n"/>
      <c r="AN499" s="109" t="n"/>
    </row>
    <row r="500" ht="15.75" customHeight="1" s="216">
      <c r="D500" s="109" t="n"/>
      <c r="E500" s="109" t="n"/>
      <c r="J500" s="109" t="n"/>
      <c r="K500" s="109" t="n"/>
      <c r="L500" s="109" t="n"/>
      <c r="N500" s="109" t="n"/>
      <c r="O500" s="109" t="n"/>
      <c r="P500" s="109" t="n"/>
      <c r="T500" s="109" t="n"/>
      <c r="U500" s="109" t="n"/>
      <c r="V500" s="109" t="n"/>
      <c r="Z500" s="109" t="n"/>
      <c r="AA500" s="109" t="n"/>
      <c r="AB500" s="109" t="n"/>
      <c r="AF500" s="109" t="n"/>
      <c r="AG500" s="109" t="n"/>
      <c r="AH500" s="109" t="n"/>
      <c r="AL500" s="109" t="n"/>
      <c r="AM500" s="109" t="n"/>
      <c r="AN500" s="109" t="n"/>
    </row>
    <row r="501" ht="15.75" customHeight="1" s="216"/>
    <row r="502" ht="15.75" customHeight="1" s="216"/>
    <row r="503" ht="15.75" customHeight="1" s="216"/>
    <row r="504" ht="15.75" customHeight="1" s="216"/>
    <row r="505" ht="15.75" customHeight="1" s="216"/>
    <row r="506" ht="15.75" customHeight="1" s="216"/>
    <row r="507" ht="15.75" customHeight="1" s="216"/>
    <row r="508" ht="15.75" customHeight="1" s="216"/>
    <row r="509" ht="15.75" customHeight="1" s="216"/>
    <row r="510" ht="15.75" customHeight="1" s="216"/>
    <row r="511" ht="15.75" customHeight="1" s="216"/>
    <row r="512" ht="15.75" customHeight="1" s="216"/>
    <row r="513" ht="15.75" customHeight="1" s="216"/>
    <row r="514" ht="15.75" customHeight="1" s="216"/>
    <row r="515" ht="15.75" customHeight="1" s="216"/>
    <row r="516" ht="15.75" customHeight="1" s="216"/>
    <row r="517" ht="15.75" customHeight="1" s="216"/>
    <row r="518" ht="15.75" customHeight="1" s="216"/>
    <row r="519" ht="15.75" customHeight="1" s="216"/>
    <row r="520" ht="15.75" customHeight="1" s="216"/>
    <row r="521" ht="15.75" customHeight="1" s="216"/>
    <row r="522" ht="15.75" customHeight="1" s="216"/>
    <row r="523" ht="15.75" customHeight="1" s="216"/>
    <row r="524" ht="15.75" customHeight="1" s="216"/>
    <row r="525" ht="15.75" customHeight="1" s="216"/>
    <row r="526" ht="15.75" customHeight="1" s="216"/>
    <row r="527" ht="15.75" customHeight="1" s="216"/>
    <row r="528" ht="15.75" customHeight="1" s="216"/>
    <row r="529" ht="15.75" customHeight="1" s="216"/>
    <row r="530" ht="15.75" customHeight="1" s="216"/>
    <row r="531" ht="15.75" customHeight="1" s="216"/>
    <row r="532" ht="15.75" customHeight="1" s="216"/>
    <row r="533" ht="15.75" customHeight="1" s="216"/>
    <row r="534" ht="15.75" customHeight="1" s="216"/>
    <row r="535" ht="15.75" customHeight="1" s="216"/>
    <row r="536" ht="15.75" customHeight="1" s="216"/>
    <row r="537" ht="15.75" customHeight="1" s="216"/>
    <row r="538" ht="15.75" customHeight="1" s="216"/>
    <row r="539" ht="15.75" customHeight="1" s="216"/>
    <row r="540" ht="15.75" customHeight="1" s="216"/>
    <row r="541" ht="15.75" customHeight="1" s="216"/>
    <row r="542" ht="15.75" customHeight="1" s="216"/>
    <row r="543" ht="15.75" customHeight="1" s="216"/>
    <row r="544" ht="15.75" customHeight="1" s="216"/>
    <row r="545" ht="15.75" customHeight="1" s="216"/>
    <row r="546" ht="15.75" customHeight="1" s="216"/>
    <row r="547" ht="15.75" customHeight="1" s="216"/>
    <row r="548" ht="15.75" customHeight="1" s="216"/>
    <row r="549" ht="15.75" customHeight="1" s="216"/>
    <row r="550" ht="15.75" customHeight="1" s="216"/>
    <row r="551" ht="15.75" customHeight="1" s="216"/>
    <row r="552" ht="15.75" customHeight="1" s="216"/>
    <row r="553" ht="15.75" customHeight="1" s="216"/>
    <row r="554" ht="15.75" customHeight="1" s="216"/>
    <row r="555" ht="15.75" customHeight="1" s="216"/>
    <row r="556" ht="15.75" customHeight="1" s="216"/>
    <row r="557" ht="15.75" customHeight="1" s="216"/>
    <row r="558" ht="15.75" customHeight="1" s="216"/>
    <row r="559" ht="15.75" customHeight="1" s="216"/>
    <row r="560" ht="15.75" customHeight="1" s="216"/>
    <row r="561" ht="15.75" customHeight="1" s="216"/>
    <row r="562" ht="15.75" customHeight="1" s="216"/>
    <row r="563" ht="15.75" customHeight="1" s="216"/>
    <row r="564" ht="15.75" customHeight="1" s="216"/>
    <row r="565" ht="15.75" customHeight="1" s="216"/>
    <row r="566" ht="15.75" customHeight="1" s="216"/>
    <row r="567" ht="15.75" customHeight="1" s="216"/>
    <row r="568" ht="15.75" customHeight="1" s="216"/>
    <row r="569" ht="15.75" customHeight="1" s="216"/>
    <row r="570" ht="15.75" customHeight="1" s="216"/>
    <row r="571" ht="15.75" customHeight="1" s="216"/>
    <row r="572" ht="15.75" customHeight="1" s="216"/>
    <row r="573" ht="15.75" customHeight="1" s="216"/>
    <row r="574" ht="15.75" customHeight="1" s="216"/>
    <row r="575" ht="15.75" customHeight="1" s="216"/>
    <row r="576" ht="15.75" customHeight="1" s="216"/>
    <row r="577" ht="15.75" customHeight="1" s="216"/>
    <row r="578" ht="15.75" customHeight="1" s="216"/>
    <row r="579" ht="15.75" customHeight="1" s="216"/>
    <row r="580" ht="15.75" customHeight="1" s="216"/>
    <row r="581" ht="15.75" customHeight="1" s="216"/>
    <row r="582" ht="15.75" customHeight="1" s="216"/>
    <row r="583" ht="15.75" customHeight="1" s="216"/>
    <row r="584" ht="15.75" customHeight="1" s="216"/>
    <row r="585" ht="15.75" customHeight="1" s="216"/>
    <row r="586" ht="15.75" customHeight="1" s="216"/>
    <row r="587" ht="15.75" customHeight="1" s="216"/>
    <row r="588" ht="15.75" customHeight="1" s="216"/>
    <row r="589" ht="15.75" customHeight="1" s="216"/>
    <row r="590" ht="15.75" customHeight="1" s="216"/>
    <row r="591" ht="15.75" customHeight="1" s="216"/>
    <row r="592" ht="15.75" customHeight="1" s="216"/>
    <row r="593" ht="15.75" customHeight="1" s="216"/>
    <row r="594" ht="15.75" customHeight="1" s="216"/>
    <row r="595" ht="15.75" customHeight="1" s="216"/>
    <row r="596" ht="15.75" customHeight="1" s="216"/>
    <row r="597" ht="15.75" customHeight="1" s="216"/>
    <row r="598" ht="15.75" customHeight="1" s="216"/>
    <row r="599" ht="15.75" customHeight="1" s="216"/>
    <row r="600" ht="15.75" customHeight="1" s="216"/>
    <row r="601" ht="15.75" customHeight="1" s="216"/>
    <row r="602" ht="15.75" customHeight="1" s="216"/>
    <row r="603" ht="15.75" customHeight="1" s="216"/>
    <row r="604" ht="15.75" customHeight="1" s="216"/>
    <row r="605" ht="15.75" customHeight="1" s="216"/>
    <row r="606" ht="15.75" customHeight="1" s="216"/>
    <row r="607" ht="15.75" customHeight="1" s="216"/>
    <row r="608" ht="15.75" customHeight="1" s="216"/>
    <row r="609" ht="15.75" customHeight="1" s="216"/>
    <row r="610" ht="15.75" customHeight="1" s="216"/>
    <row r="611" ht="15.75" customHeight="1" s="216"/>
    <row r="612" ht="15.75" customHeight="1" s="216"/>
    <row r="613" ht="15.75" customHeight="1" s="216"/>
    <row r="614" ht="15.75" customHeight="1" s="216"/>
    <row r="615" ht="15.75" customHeight="1" s="216"/>
    <row r="616" ht="15.75" customHeight="1" s="216"/>
    <row r="617" ht="15.75" customHeight="1" s="216"/>
    <row r="618" ht="15.75" customHeight="1" s="216"/>
    <row r="619" ht="15.75" customHeight="1" s="216"/>
    <row r="620" ht="15.75" customHeight="1" s="216"/>
    <row r="621" ht="15.75" customHeight="1" s="216"/>
    <row r="622" ht="15.75" customHeight="1" s="216"/>
    <row r="623" ht="15.75" customHeight="1" s="216"/>
    <row r="624" ht="15.75" customHeight="1" s="216"/>
    <row r="625" ht="15.75" customHeight="1" s="216"/>
    <row r="626" ht="15.75" customHeight="1" s="216"/>
    <row r="627" ht="15.75" customHeight="1" s="216"/>
    <row r="628" ht="15.75" customHeight="1" s="216"/>
    <row r="629" ht="15.75" customHeight="1" s="216"/>
    <row r="630" ht="15.75" customHeight="1" s="216"/>
    <row r="631" ht="15.75" customHeight="1" s="216"/>
    <row r="632" ht="15.75" customHeight="1" s="216"/>
    <row r="633" ht="15.75" customHeight="1" s="216"/>
    <row r="634" ht="15.75" customHeight="1" s="216"/>
    <row r="635" ht="15.75" customHeight="1" s="216"/>
    <row r="636" ht="15.75" customHeight="1" s="216"/>
    <row r="637" ht="15.75" customHeight="1" s="216"/>
    <row r="638" ht="15.75" customHeight="1" s="216"/>
    <row r="639" ht="15.75" customHeight="1" s="216"/>
    <row r="640" ht="15.75" customHeight="1" s="216"/>
    <row r="641" ht="15.75" customHeight="1" s="216"/>
    <row r="642" ht="15.75" customHeight="1" s="216"/>
    <row r="643" ht="15.75" customHeight="1" s="216"/>
    <row r="644" ht="15.75" customHeight="1" s="216"/>
    <row r="645" ht="15.75" customHeight="1" s="216"/>
    <row r="646" ht="15.75" customHeight="1" s="216"/>
    <row r="647" ht="15.75" customHeight="1" s="216"/>
    <row r="648" ht="15.75" customHeight="1" s="216"/>
    <row r="649" ht="15.75" customHeight="1" s="216"/>
    <row r="650" ht="15.75" customHeight="1" s="216"/>
    <row r="651" ht="15.75" customHeight="1" s="216"/>
    <row r="652" ht="15.75" customHeight="1" s="216"/>
    <row r="653" ht="15.75" customHeight="1" s="216"/>
    <row r="654" ht="15.75" customHeight="1" s="216"/>
    <row r="655" ht="15.75" customHeight="1" s="216"/>
    <row r="656" ht="15.75" customHeight="1" s="216"/>
    <row r="657" ht="15.75" customHeight="1" s="216"/>
    <row r="658" ht="15.75" customHeight="1" s="216"/>
    <row r="659" ht="15.75" customHeight="1" s="216"/>
    <row r="660" ht="15.75" customHeight="1" s="216"/>
    <row r="661" ht="15.75" customHeight="1" s="216"/>
    <row r="662" ht="15.75" customHeight="1" s="216"/>
    <row r="663" ht="15.75" customHeight="1" s="216"/>
    <row r="664" ht="15.75" customHeight="1" s="216"/>
    <row r="665" ht="15.75" customHeight="1" s="216"/>
    <row r="666" ht="15.75" customHeight="1" s="216"/>
    <row r="667" ht="15.75" customHeight="1" s="216"/>
    <row r="668" ht="15.75" customHeight="1" s="216"/>
    <row r="669" ht="15.75" customHeight="1" s="216"/>
    <row r="670" ht="15.75" customHeight="1" s="216"/>
    <row r="671" ht="15.75" customHeight="1" s="216"/>
    <row r="672" ht="15.75" customHeight="1" s="216"/>
    <row r="673" ht="15.75" customHeight="1" s="216"/>
    <row r="674" ht="15.75" customHeight="1" s="216"/>
    <row r="675" ht="15.75" customHeight="1" s="216"/>
    <row r="676" ht="15.75" customHeight="1" s="216"/>
    <row r="677" ht="15.75" customHeight="1" s="216"/>
    <row r="678" ht="15.75" customHeight="1" s="216"/>
    <row r="679" ht="15.75" customHeight="1" s="216"/>
    <row r="680" ht="15.75" customHeight="1" s="216"/>
    <row r="681" ht="15.75" customHeight="1" s="216"/>
    <row r="682" ht="15.75" customHeight="1" s="216"/>
    <row r="683" ht="15.75" customHeight="1" s="216"/>
    <row r="684" ht="15.75" customHeight="1" s="216"/>
    <row r="685" ht="15.75" customHeight="1" s="216"/>
    <row r="686" ht="15.75" customHeight="1" s="216"/>
    <row r="687" ht="15.75" customHeight="1" s="216"/>
    <row r="688" ht="15.75" customHeight="1" s="216"/>
    <row r="689" ht="15.75" customHeight="1" s="216"/>
    <row r="690" ht="15.75" customHeight="1" s="216"/>
    <row r="691" ht="15.75" customHeight="1" s="216"/>
    <row r="692" ht="15.75" customHeight="1" s="216"/>
    <row r="693" ht="15.75" customHeight="1" s="216"/>
    <row r="694" ht="15.75" customHeight="1" s="216"/>
    <row r="695" ht="15.75" customHeight="1" s="216"/>
    <row r="696" ht="15.75" customHeight="1" s="216"/>
    <row r="697" ht="15.75" customHeight="1" s="216"/>
    <row r="698" ht="15.75" customHeight="1" s="216"/>
    <row r="699" ht="15.75" customHeight="1" s="216"/>
    <row r="700" ht="15.75" customHeight="1" s="216"/>
    <row r="701" ht="15.75" customHeight="1" s="216"/>
    <row r="702" ht="15.75" customHeight="1" s="216"/>
    <row r="703" ht="15.75" customHeight="1" s="216"/>
    <row r="704" ht="15.75" customHeight="1" s="216"/>
    <row r="705" ht="15.75" customHeight="1" s="216"/>
    <row r="706" ht="15.75" customHeight="1" s="216"/>
    <row r="707" ht="15.75" customHeight="1" s="216"/>
    <row r="708" ht="15.75" customHeight="1" s="216"/>
    <row r="709" ht="15.75" customHeight="1" s="216"/>
    <row r="710" ht="15.75" customHeight="1" s="216"/>
    <row r="711" ht="15.75" customHeight="1" s="216"/>
    <row r="712" ht="15.75" customHeight="1" s="216"/>
    <row r="713" ht="15.75" customHeight="1" s="216"/>
    <row r="714" ht="15.75" customHeight="1" s="216"/>
    <row r="715" ht="15.75" customHeight="1" s="216"/>
    <row r="716" ht="15.75" customHeight="1" s="216"/>
    <row r="717" ht="15.75" customHeight="1" s="216"/>
    <row r="718" ht="15.75" customHeight="1" s="216"/>
    <row r="719" ht="15.75" customHeight="1" s="216"/>
    <row r="720" ht="15.75" customHeight="1" s="216"/>
    <row r="721" ht="15.75" customHeight="1" s="216"/>
    <row r="722" ht="15.75" customHeight="1" s="216"/>
    <row r="723" ht="15.75" customHeight="1" s="216"/>
    <row r="724" ht="15.75" customHeight="1" s="216"/>
    <row r="725" ht="15.75" customHeight="1" s="216"/>
    <row r="726" ht="15.75" customHeight="1" s="216"/>
    <row r="727" ht="15.75" customHeight="1" s="216"/>
    <row r="728" ht="15.75" customHeight="1" s="216"/>
    <row r="729" ht="15.75" customHeight="1" s="216"/>
    <row r="730" ht="15.75" customHeight="1" s="216"/>
    <row r="731" ht="15.75" customHeight="1" s="216"/>
    <row r="732" ht="15.75" customHeight="1" s="216"/>
    <row r="733" ht="15.75" customHeight="1" s="216"/>
    <row r="734" ht="15.75" customHeight="1" s="216"/>
    <row r="735" ht="15.75" customHeight="1" s="216"/>
    <row r="736" ht="15.75" customHeight="1" s="216"/>
    <row r="737" ht="15.75" customHeight="1" s="216"/>
    <row r="738" ht="15.75" customHeight="1" s="216"/>
    <row r="739" ht="15.75" customHeight="1" s="216"/>
    <row r="740" ht="15.75" customHeight="1" s="216"/>
    <row r="741" ht="15.75" customHeight="1" s="216"/>
    <row r="742" ht="15.75" customHeight="1" s="216"/>
    <row r="743" ht="15.75" customHeight="1" s="216"/>
    <row r="744" ht="15.75" customHeight="1" s="216"/>
    <row r="745" ht="15.75" customHeight="1" s="216"/>
    <row r="746" ht="15.75" customHeight="1" s="216"/>
    <row r="747" ht="15.75" customHeight="1" s="216"/>
    <row r="748" ht="15.75" customHeight="1" s="216"/>
    <row r="749" ht="15.75" customHeight="1" s="216"/>
    <row r="750" ht="15.75" customHeight="1" s="216"/>
    <row r="751" ht="15.75" customHeight="1" s="216"/>
    <row r="752" ht="15.75" customHeight="1" s="216"/>
    <row r="753" ht="15.75" customHeight="1" s="216"/>
    <row r="754" ht="15.75" customHeight="1" s="216"/>
    <row r="755" ht="15.75" customHeight="1" s="216"/>
    <row r="756" ht="15.75" customHeight="1" s="216"/>
    <row r="757" ht="15.75" customHeight="1" s="216"/>
    <row r="758" ht="15.75" customHeight="1" s="216"/>
    <row r="759" ht="15.75" customHeight="1" s="216"/>
    <row r="760" ht="15.75" customHeight="1" s="216"/>
    <row r="761" ht="15.75" customHeight="1" s="216"/>
    <row r="762" ht="15.75" customHeight="1" s="216"/>
    <row r="763" ht="15.75" customHeight="1" s="216"/>
    <row r="764" ht="15.75" customHeight="1" s="216"/>
    <row r="765" ht="15.75" customHeight="1" s="216"/>
    <row r="766" ht="15.75" customHeight="1" s="216"/>
    <row r="767" ht="15.75" customHeight="1" s="216"/>
    <row r="768" ht="15.75" customHeight="1" s="216"/>
    <row r="769" ht="15.75" customHeight="1" s="216"/>
    <row r="770" ht="15.75" customHeight="1" s="216"/>
    <row r="771" ht="15.75" customHeight="1" s="216"/>
    <row r="772" ht="15.75" customHeight="1" s="216"/>
    <row r="773" ht="15.75" customHeight="1" s="216"/>
    <row r="774" ht="15.75" customHeight="1" s="216"/>
    <row r="775" ht="15.75" customHeight="1" s="216"/>
    <row r="776" ht="15.75" customHeight="1" s="216"/>
    <row r="777" ht="15.75" customHeight="1" s="216"/>
    <row r="778" ht="15.75" customHeight="1" s="216"/>
    <row r="779" ht="15.75" customHeight="1" s="216"/>
    <row r="780" ht="15.75" customHeight="1" s="216"/>
    <row r="781" ht="15.75" customHeight="1" s="216"/>
    <row r="782" ht="15.75" customHeight="1" s="216"/>
    <row r="783" ht="15.75" customHeight="1" s="216"/>
    <row r="784" ht="15.75" customHeight="1" s="216"/>
    <row r="785" ht="15.75" customHeight="1" s="216"/>
    <row r="786" ht="15.75" customHeight="1" s="216"/>
    <row r="787" ht="15.75" customHeight="1" s="216"/>
    <row r="788" ht="15.75" customHeight="1" s="216"/>
    <row r="789" ht="15.75" customHeight="1" s="216"/>
    <row r="790" ht="15.75" customHeight="1" s="216"/>
    <row r="791" ht="15.75" customHeight="1" s="216"/>
    <row r="792" ht="15.75" customHeight="1" s="216"/>
    <row r="793" ht="15.75" customHeight="1" s="216"/>
    <row r="794" ht="15.75" customHeight="1" s="216"/>
    <row r="795" ht="15.75" customHeight="1" s="216"/>
    <row r="796" ht="15.75" customHeight="1" s="216"/>
    <row r="797" ht="15.75" customHeight="1" s="216"/>
    <row r="798" ht="15.75" customHeight="1" s="216"/>
    <row r="799" ht="15.75" customHeight="1" s="216"/>
    <row r="800" ht="15.75" customHeight="1" s="216"/>
    <row r="801" ht="15.75" customHeight="1" s="216"/>
    <row r="802" ht="15.75" customHeight="1" s="216"/>
    <row r="803" ht="15.75" customHeight="1" s="216"/>
    <row r="804" ht="15.75" customHeight="1" s="216"/>
    <row r="805" ht="15.75" customHeight="1" s="216"/>
    <row r="806" ht="15.75" customHeight="1" s="216"/>
    <row r="807" ht="15.75" customHeight="1" s="216"/>
    <row r="808" ht="15.75" customHeight="1" s="216"/>
    <row r="809" ht="15.75" customHeight="1" s="216"/>
    <row r="810" ht="15.75" customHeight="1" s="216"/>
    <row r="811" ht="15.75" customHeight="1" s="216"/>
    <row r="812" ht="15.75" customHeight="1" s="216"/>
    <row r="813" ht="15.75" customHeight="1" s="216"/>
    <row r="814" ht="15.75" customHeight="1" s="216"/>
    <row r="815" ht="15.75" customHeight="1" s="216"/>
    <row r="816" ht="15.75" customHeight="1" s="216"/>
    <row r="817" ht="15.75" customHeight="1" s="216"/>
    <row r="818" ht="15.75" customHeight="1" s="216"/>
    <row r="819" ht="15.75" customHeight="1" s="216"/>
    <row r="820" ht="15.75" customHeight="1" s="216"/>
    <row r="821" ht="15.75" customHeight="1" s="216"/>
    <row r="822" ht="15.75" customHeight="1" s="216"/>
    <row r="823" ht="15.75" customHeight="1" s="216"/>
    <row r="824" ht="15.75" customHeight="1" s="216"/>
    <row r="825" ht="15.75" customHeight="1" s="216"/>
    <row r="826" ht="15.75" customHeight="1" s="216"/>
    <row r="827" ht="15.75" customHeight="1" s="216"/>
    <row r="828" ht="15.75" customHeight="1" s="216"/>
    <row r="829" ht="15.75" customHeight="1" s="216"/>
    <row r="830" ht="15.75" customHeight="1" s="216"/>
    <row r="831" ht="15.75" customHeight="1" s="216"/>
    <row r="832" ht="15.75" customHeight="1" s="216"/>
    <row r="833" ht="15.75" customHeight="1" s="216"/>
    <row r="834" ht="15.75" customHeight="1" s="216"/>
    <row r="835" ht="15.75" customHeight="1" s="216"/>
    <row r="836" ht="15.75" customHeight="1" s="216"/>
    <row r="837" ht="15.75" customHeight="1" s="216"/>
    <row r="838" ht="15.75" customHeight="1" s="216"/>
    <row r="839" ht="15.75" customHeight="1" s="216"/>
    <row r="840" ht="15.75" customHeight="1" s="216"/>
    <row r="841" ht="15.75" customHeight="1" s="216"/>
    <row r="842" ht="15.75" customHeight="1" s="216"/>
    <row r="843" ht="15.75" customHeight="1" s="216"/>
    <row r="844" ht="15.75" customHeight="1" s="216"/>
    <row r="845" ht="15.75" customHeight="1" s="216"/>
    <row r="846" ht="15.75" customHeight="1" s="216"/>
    <row r="847" ht="15.75" customHeight="1" s="216"/>
    <row r="848" ht="15.75" customHeight="1" s="216"/>
    <row r="849" ht="15.75" customHeight="1" s="216"/>
    <row r="850" ht="15.75" customHeight="1" s="216"/>
    <row r="851" ht="15.75" customHeight="1" s="216"/>
    <row r="852" ht="15.75" customHeight="1" s="216"/>
    <row r="853" ht="15.75" customHeight="1" s="216"/>
    <row r="854" ht="15.75" customHeight="1" s="216"/>
    <row r="855" ht="15.75" customHeight="1" s="216"/>
    <row r="856" ht="15.75" customHeight="1" s="216"/>
    <row r="857" ht="15.75" customHeight="1" s="216"/>
    <row r="858" ht="15.75" customHeight="1" s="216"/>
    <row r="859" ht="15.75" customHeight="1" s="216"/>
    <row r="860" ht="15.75" customHeight="1" s="216"/>
    <row r="861" ht="15.75" customHeight="1" s="216"/>
    <row r="862" ht="15.75" customHeight="1" s="216"/>
    <row r="863" ht="15.75" customHeight="1" s="216"/>
    <row r="864" ht="15.75" customHeight="1" s="216"/>
    <row r="865" ht="15.75" customHeight="1" s="216"/>
    <row r="866" ht="15.75" customHeight="1" s="216"/>
    <row r="867" ht="15.75" customHeight="1" s="216"/>
    <row r="868" ht="15.75" customHeight="1" s="216"/>
    <row r="869" ht="15.75" customHeight="1" s="216"/>
    <row r="870" ht="15.75" customHeight="1" s="216"/>
    <row r="871" ht="15.75" customHeight="1" s="216"/>
    <row r="872" ht="15.75" customHeight="1" s="216"/>
    <row r="873" ht="15.75" customHeight="1" s="216"/>
    <row r="874" ht="15.75" customHeight="1" s="216"/>
    <row r="875" ht="15.75" customHeight="1" s="216"/>
    <row r="876" ht="15.75" customHeight="1" s="216"/>
    <row r="877" ht="15.75" customHeight="1" s="216"/>
    <row r="878" ht="15.75" customHeight="1" s="216"/>
    <row r="879" ht="15.75" customHeight="1" s="216"/>
    <row r="880" ht="15.75" customHeight="1" s="216"/>
    <row r="881" ht="15.75" customHeight="1" s="216"/>
    <row r="882" ht="15.75" customHeight="1" s="216"/>
    <row r="883" ht="15.75" customHeight="1" s="216"/>
    <row r="884" ht="15.75" customHeight="1" s="216"/>
    <row r="885" ht="15.75" customHeight="1" s="216"/>
    <row r="886" ht="15.75" customHeight="1" s="216"/>
    <row r="887" ht="15.75" customHeight="1" s="216"/>
    <row r="888" ht="15.75" customHeight="1" s="216"/>
    <row r="889" ht="15.75" customHeight="1" s="216"/>
    <row r="890" ht="15.75" customHeight="1" s="216"/>
    <row r="891" ht="15.75" customHeight="1" s="216"/>
    <row r="892" ht="15.75" customHeight="1" s="216"/>
    <row r="893" ht="15.75" customHeight="1" s="216"/>
    <row r="894" ht="15.75" customHeight="1" s="216"/>
    <row r="895" ht="15.75" customHeight="1" s="216"/>
    <row r="896" ht="15.75" customHeight="1" s="216"/>
    <row r="897" ht="15.75" customHeight="1" s="216"/>
    <row r="898" ht="15.75" customHeight="1" s="216"/>
    <row r="899" ht="15.75" customHeight="1" s="216"/>
    <row r="900" ht="15.75" customHeight="1" s="216"/>
    <row r="901" ht="15.75" customHeight="1" s="216"/>
    <row r="902" ht="15.75" customHeight="1" s="216"/>
    <row r="903" ht="15.75" customHeight="1" s="216"/>
    <row r="904" ht="15.75" customHeight="1" s="216"/>
    <row r="905" ht="15.75" customHeight="1" s="216"/>
    <row r="906" ht="15.75" customHeight="1" s="216"/>
    <row r="907" ht="15.75" customHeight="1" s="216"/>
    <row r="908" ht="15.75" customHeight="1" s="216"/>
    <row r="909" ht="15.75" customHeight="1" s="216"/>
    <row r="910" ht="15.75" customHeight="1" s="216"/>
    <row r="911" ht="15.75" customHeight="1" s="216"/>
    <row r="912" ht="15.75" customHeight="1" s="216"/>
    <row r="913" ht="15.75" customHeight="1" s="216"/>
    <row r="914" ht="15.75" customHeight="1" s="216"/>
    <row r="915" ht="15.75" customHeight="1" s="216"/>
    <row r="916" ht="15.75" customHeight="1" s="216"/>
    <row r="917" ht="15.75" customHeight="1" s="216"/>
    <row r="918" ht="15.75" customHeight="1" s="216"/>
    <row r="919" ht="15.75" customHeight="1" s="216"/>
    <row r="920" ht="15.75" customHeight="1" s="216"/>
    <row r="921" ht="15.75" customHeight="1" s="216"/>
    <row r="922" ht="15.75" customHeight="1" s="216"/>
    <row r="923" ht="15.75" customHeight="1" s="216"/>
    <row r="924" ht="15.75" customHeight="1" s="216"/>
    <row r="925" ht="15.75" customHeight="1" s="216"/>
    <row r="926" ht="15.75" customHeight="1" s="216"/>
    <row r="927" ht="15.75" customHeight="1" s="216"/>
    <row r="928" ht="15.75" customHeight="1" s="216"/>
    <row r="929" ht="15.75" customHeight="1" s="216"/>
    <row r="930" ht="15.75" customHeight="1" s="216"/>
    <row r="931" ht="15.75" customHeight="1" s="216"/>
    <row r="932" ht="15.75" customHeight="1" s="216"/>
    <row r="933" ht="15.75" customHeight="1" s="216"/>
    <row r="934" ht="15.75" customHeight="1" s="216"/>
    <row r="935" ht="15.75" customHeight="1" s="216"/>
    <row r="936" ht="15.75" customHeight="1" s="216"/>
    <row r="937" ht="15.75" customHeight="1" s="216"/>
    <row r="938" ht="15.75" customHeight="1" s="216"/>
    <row r="939" ht="15.75" customHeight="1" s="216"/>
    <row r="940" ht="15.75" customHeight="1" s="216"/>
    <row r="941" ht="15.75" customHeight="1" s="216"/>
    <row r="942" ht="15.75" customHeight="1" s="216"/>
    <row r="943" ht="15.75" customHeight="1" s="216"/>
    <row r="944" ht="15.75" customHeight="1" s="216"/>
    <row r="945" ht="15.75" customHeight="1" s="216"/>
    <row r="946" ht="15.75" customHeight="1" s="216"/>
    <row r="947" ht="15.75" customHeight="1" s="216"/>
    <row r="948" ht="15.75" customHeight="1" s="216"/>
    <row r="949" ht="15.75" customHeight="1" s="216"/>
    <row r="950" ht="15.75" customHeight="1" s="216"/>
    <row r="951" ht="15.75" customHeight="1" s="216"/>
    <row r="952" ht="15.75" customHeight="1" s="216"/>
    <row r="953" ht="15.75" customHeight="1" s="216"/>
    <row r="954" ht="15.75" customHeight="1" s="216"/>
    <row r="955" ht="15.75" customHeight="1" s="216"/>
    <row r="956" ht="15.75" customHeight="1" s="216"/>
    <row r="957" ht="15.75" customHeight="1" s="216"/>
    <row r="958" ht="15.75" customHeight="1" s="216"/>
    <row r="959" ht="15.75" customHeight="1" s="216"/>
    <row r="960" ht="15.75" customHeight="1" s="216"/>
    <row r="961" ht="15.75" customHeight="1" s="216"/>
    <row r="962" ht="15.75" customHeight="1" s="216"/>
    <row r="963" ht="15.75" customHeight="1" s="216"/>
    <row r="964" ht="15.75" customHeight="1" s="216"/>
    <row r="965" ht="15.75" customHeight="1" s="216"/>
    <row r="966" ht="15.75" customHeight="1" s="216"/>
    <row r="967" ht="15.75" customHeight="1" s="216"/>
    <row r="968" ht="15.75" customHeight="1" s="216"/>
    <row r="969" ht="15.75" customHeight="1" s="216"/>
    <row r="970" ht="15.75" customHeight="1" s="216"/>
    <row r="971" ht="15.75" customHeight="1" s="216"/>
    <row r="972" ht="15.75" customHeight="1" s="216"/>
    <row r="973" ht="15.75" customHeight="1" s="216"/>
    <row r="974" ht="15.75" customHeight="1" s="216"/>
    <row r="975" ht="15.75" customHeight="1" s="216"/>
    <row r="976" ht="15.75" customHeight="1" s="216"/>
    <row r="977" ht="15.75" customHeight="1" s="216"/>
    <row r="978" ht="15.75" customHeight="1" s="216"/>
    <row r="979" ht="15.75" customHeight="1" s="216"/>
    <row r="980" ht="15.75" customHeight="1" s="216"/>
    <row r="981" ht="15.75" customHeight="1" s="216"/>
    <row r="982" ht="15.75" customHeight="1" s="216"/>
    <row r="983" ht="15.75" customHeight="1" s="216"/>
    <row r="984" ht="15.75" customHeight="1" s="216"/>
    <row r="985" ht="15.75" customHeight="1" s="216"/>
    <row r="986" ht="15.75" customHeight="1" s="216"/>
    <row r="987" ht="15.75" customHeight="1" s="216"/>
    <row r="988" ht="15.75" customHeight="1" s="216"/>
    <row r="989" ht="15.75" customHeight="1" s="216"/>
    <row r="990" ht="15.75" customHeight="1" s="216"/>
    <row r="991" ht="15.75" customHeight="1" s="216"/>
    <row r="992" ht="15.75" customHeight="1" s="216"/>
    <row r="993" ht="15.75" customHeight="1" s="216"/>
    <row r="994" ht="15.75" customHeight="1" s="216"/>
    <row r="995" ht="15.75" customHeight="1" s="216"/>
    <row r="996" ht="15.75" customHeight="1" s="216"/>
    <row r="997" ht="15.75" customHeight="1" s="216"/>
    <row r="998" ht="15.75" customHeight="1" s="216"/>
    <row r="999" ht="15.75" customHeight="1" s="216"/>
    <row r="1000" ht="15.75" customHeight="1" s="216"/>
  </sheetData>
  <autoFilter ref="A6:AU6"/>
  <mergeCells count="19">
    <mergeCell ref="AR5:AU5"/>
    <mergeCell ref="N5:S5"/>
    <mergeCell ref="C2:E2"/>
    <mergeCell ref="A5:C5"/>
    <mergeCell ref="Z5:AE5"/>
    <mergeCell ref="AF5:AK5"/>
    <mergeCell ref="AL5:AQ5"/>
    <mergeCell ref="J5:M5"/>
    <mergeCell ref="A3:B3"/>
    <mergeCell ref="G3:H3"/>
    <mergeCell ref="I3:J3"/>
    <mergeCell ref="A2:B2"/>
    <mergeCell ref="D5:I5"/>
    <mergeCell ref="C3:E3"/>
    <mergeCell ref="A4:B4"/>
    <mergeCell ref="G4:H4"/>
    <mergeCell ref="T5:Y5"/>
    <mergeCell ref="I4:J4"/>
    <mergeCell ref="C4:E4"/>
  </mergeCells>
  <conditionalFormatting sqref="O7:O500 P7:P500 U7:U500 V7:V500 AA7:AA500 AB7:AB500 AG7:AG500 AH7:AH500 AM7:AM500 AN7:AN500 AS7:AS500 AT7:AT500">
    <cfRule type="cellIs" priority="1" operator="equal" dxfId="5">
      <formula>"Pass"</formula>
    </cfRule>
    <cfRule type="cellIs" priority="2" operator="equal" dxfId="6">
      <formula>"Fail"</formula>
    </cfRule>
    <cfRule type="cellIs" priority="3" operator="equal" dxfId="7">
      <formula>"Block"</formula>
    </cfRule>
    <cfRule type="cellIs" priority="4" operator="equal" dxfId="8">
      <formula>"N/A"</formula>
    </cfRule>
  </conditionalFormatting>
  <dataValidations count="8">
    <dataValidation sqref="J7:J500" showDropDown="0" showInputMessage="0" showErrorMessage="0" allowBlank="1" type="list">
      <formula1>"AI,QC"</formula1>
    </dataValidation>
    <dataValidation sqref="E7:E500" showDropDown="0" showInputMessage="0" showErrorMessage="0" allowBlank="1" type="list">
      <formula1>"High,Medium,Low"</formula1>
    </dataValidation>
    <dataValidation sqref="P7:P500 V7:V500 AB7:AB500 AH7:AH500 AN7:AN500" showDropDown="0" showInputMessage="0" showErrorMessage="0" allowBlank="1" type="list">
      <formula1>"Pass,Fail,Block,N/A"</formula1>
    </dataValidation>
    <dataValidation sqref="N7:N500 T7:T500 Z7:Z500 AF7:AF500 AL7:AL500" showDropDown="0" showInputMessage="0" showErrorMessage="0" allowBlank="1" type="list">
      <formula1>"Yes,No,N/A"</formula1>
    </dataValidation>
    <dataValidation sqref="O7:O500 U7:U500 AA7:AA500 AG7:AG500 AM7:AM500" showDropDown="0" showInputMessage="0" showErrorMessage="0" allowBlank="1" type="list">
      <formula1>"Pass,Fail,Block,N/A,Chưa chạy"</formula1>
    </dataValidation>
    <dataValidation sqref="D7:D500" showDropDown="0" showInputMessage="0" showErrorMessage="0" allowBlank="1" type="list">
      <formula1>"Functional,UI,Integration,Database Test Case"</formula1>
    </dataValidation>
    <dataValidation sqref="K7:K500" showDropDown="0" showInputMessage="0" showErrorMessage="0" allowBlank="1" type="list">
      <formula1>"Reviewed,Pending,N/A"</formula1>
    </dataValidation>
    <dataValidation sqref="L7:L500" showDropDown="0" showInputMessage="0" showErrorMessage="0" allowBlank="1" type="list">
      <formula1>"Yes,No"</formula1>
    </dataValidation>
  </dataValidations>
  <pageMargins left="0.75" right="0.75" top="1" bottom="1" header="0" footer="0"/>
  <pageSetup orientation="landscape" fitToHeight="0"/>
</worksheet>
</file>

<file path=xl/worksheets/sheet16.xml><?xml version="1.0" encoding="utf-8"?>
<worksheet xmlns="http://schemas.openxmlformats.org/spreadsheetml/2006/main">
  <sheetPr>
    <outlinePr summaryBelow="1" summaryRight="1"/>
    <pageSetUpPr fitToPage="1"/>
  </sheetPr>
  <dimension ref="A1:AV520"/>
  <sheetViews>
    <sheetView workbookViewId="0">
      <pane xSplit="1" ySplit="6" topLeftCell="B7" activePane="bottomRight" state="frozen"/>
      <selection pane="topRight"/>
      <selection pane="bottomLeft"/>
      <selection pane="bottomRight" activeCell="A1" sqref="A1"/>
    </sheetView>
  </sheetViews>
  <sheetFormatPr baseColWidth="8" defaultColWidth="14.43" defaultRowHeight="15" customHeight="1"/>
  <cols>
    <col width="14" customWidth="1" style="216" min="1" max="2"/>
    <col width="13" customWidth="1" style="216" min="3" max="4"/>
    <col width="11" customWidth="1" style="216" min="5" max="5"/>
    <col width="34" customWidth="1" style="216" min="6" max="6"/>
    <col width="28" customWidth="1" style="216" min="7" max="7"/>
    <col width="40" customWidth="1" style="216" min="8" max="8"/>
    <col width="34" customWidth="1" style="216" min="9" max="9"/>
    <col width="10" customWidth="1" style="216" min="10" max="10"/>
    <col width="12.43" customWidth="1" style="216" min="11" max="11"/>
    <col width="14" customWidth="1" style="216" min="12" max="12"/>
    <col width="26.14" customWidth="1" style="216" min="13" max="13"/>
    <col width="9" customWidth="1" style="216" min="14" max="14"/>
    <col width="10" customWidth="1" style="216" min="15" max="15"/>
    <col width="9" customWidth="1" style="216" min="16" max="16"/>
    <col width="13" customWidth="1" style="216" min="17" max="17"/>
    <col width="11" customWidth="1" style="216" min="18" max="18"/>
    <col width="22" customWidth="1" style="216" min="19" max="19"/>
    <col width="9" customWidth="1" style="216" min="20" max="20"/>
    <col width="10" customWidth="1" style="216" min="21" max="21"/>
    <col width="9" customWidth="1" style="216" min="22" max="22"/>
    <col width="13" customWidth="1" style="216" min="23" max="23"/>
    <col width="11" customWidth="1" style="216" min="24" max="24"/>
    <col width="22" customWidth="1" style="216" min="25" max="25"/>
    <col width="9" customWidth="1" style="216" min="26" max="26"/>
    <col width="10" customWidth="1" style="216" min="27" max="27"/>
    <col width="9" customWidth="1" style="216" min="28" max="28"/>
    <col width="13" customWidth="1" style="216" min="29" max="29"/>
    <col width="11" customWidth="1" style="216" min="30" max="30"/>
    <col width="22" customWidth="1" style="216" min="31" max="31"/>
    <col width="9" customWidth="1" style="216" min="32" max="32"/>
    <col width="10" customWidth="1" style="216" min="33" max="33"/>
    <col width="9" customWidth="1" style="216" min="34" max="34"/>
    <col width="13" customWidth="1" style="216" min="35" max="35"/>
    <col width="11" customWidth="1" style="216" min="36" max="36"/>
    <col width="22" customWidth="1" style="216" min="37" max="37"/>
    <col width="9" customWidth="1" style="216" min="38" max="38"/>
    <col width="10" customWidth="1" style="216" min="39" max="39"/>
    <col width="9" customWidth="1" style="216" min="40" max="40"/>
    <col width="13" customWidth="1" style="216" min="41" max="41"/>
    <col width="11" customWidth="1" style="216" min="42" max="42"/>
    <col width="22" customWidth="1" style="216" min="43" max="43"/>
    <col width="12" customWidth="1" style="216" min="44" max="44"/>
    <col width="14" customWidth="1" style="216" min="45" max="45"/>
    <col width="11" customWidth="1" style="216" min="46" max="46"/>
    <col width="24" customWidth="1" style="216" min="47" max="47"/>
  </cols>
  <sheetData>
    <row r="1">
      <c r="A1" s="106"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row>
    <row r="2">
      <c r="A2" s="255" t="inlineStr">
        <is>
          <t>Mã chức năng</t>
        </is>
      </c>
      <c r="B2" s="218" t="n"/>
      <c r="C2" s="256" t="inlineStr">
        <is>
          <t>TC_08</t>
        </is>
      </c>
      <c r="D2" s="220" t="n"/>
      <c r="E2" s="218"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row>
    <row r="3" ht="15" customHeight="1" s="216">
      <c r="A3" s="255" t="inlineStr">
        <is>
          <t>Tên chức năng</t>
        </is>
      </c>
      <c r="B3" s="218" t="n"/>
      <c r="C3" s="256" t="inlineStr">
        <is>
          <t>Thông báo</t>
        </is>
      </c>
      <c r="D3" s="220" t="n"/>
      <c r="E3" s="218" t="n"/>
      <c r="F3" s="1" t="n"/>
      <c r="G3" s="255" t="inlineStr">
        <is>
          <t>Version</t>
        </is>
      </c>
      <c r="H3" s="218" t="n"/>
      <c r="I3" s="174">
        <f>Summary!$C$8</f>
        <v/>
      </c>
      <c r="J3" s="218"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row>
    <row r="4" ht="15" customHeight="1" s="216">
      <c r="A4" s="255" t="inlineStr">
        <is>
          <t>Execution</t>
        </is>
      </c>
      <c r="B4" s="218" t="n"/>
      <c r="C4" s="174">
        <f>TEXT(Summary!$C$10,"DD/MM/YYYY")&amp;"  →  "&amp;TEXT(Summary!$C$11,"DD/MM/YYYY")</f>
        <v/>
      </c>
      <c r="D4" s="220" t="n"/>
      <c r="E4" s="218" t="n"/>
      <c r="F4" s="1" t="n"/>
      <c r="G4" s="255" t="inlineStr">
        <is>
          <t>PIC</t>
        </is>
      </c>
      <c r="H4" s="218" t="n"/>
      <c r="I4" s="174">
        <f>Summary!$C$13</f>
        <v/>
      </c>
      <c r="J4" s="218"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1" t="n"/>
      <c r="AL4" s="1" t="n"/>
      <c r="AM4" s="1" t="n"/>
      <c r="AN4" s="1" t="n"/>
      <c r="AO4" s="1" t="n"/>
      <c r="AP4" s="1" t="n"/>
      <c r="AQ4" s="1" t="n"/>
      <c r="AR4" s="1" t="n"/>
      <c r="AS4" s="1" t="n"/>
      <c r="AT4" s="1" t="n"/>
      <c r="AU4" s="1" t="n"/>
    </row>
    <row r="5" ht="15" customHeight="1" s="216">
      <c r="A5" s="257" t="inlineStr">
        <is>
          <t>TRACEABILITY</t>
        </is>
      </c>
      <c r="B5" s="220" t="n"/>
      <c r="C5" s="218" t="n"/>
      <c r="D5" s="246" t="inlineStr">
        <is>
          <t>TEST DESIGN</t>
        </is>
      </c>
      <c r="E5" s="220" t="n"/>
      <c r="F5" s="220" t="n"/>
      <c r="G5" s="220" t="n"/>
      <c r="H5" s="220" t="n"/>
      <c r="I5" s="218" t="n"/>
      <c r="J5" s="250" t="inlineStr">
        <is>
          <t>SDLC</t>
        </is>
      </c>
      <c r="K5" s="220" t="n"/>
      <c r="L5" s="220" t="n"/>
      <c r="M5" s="218" t="n"/>
      <c r="N5" s="258" t="inlineStr">
        <is>
          <t>ROUND 1</t>
        </is>
      </c>
      <c r="O5" s="252" t="n"/>
      <c r="P5" s="252" t="n"/>
      <c r="Q5" s="252" t="n"/>
      <c r="R5" s="252" t="n"/>
      <c r="S5" s="253" t="n"/>
      <c r="T5" s="259" t="inlineStr">
        <is>
          <t>ROUND 2</t>
        </is>
      </c>
      <c r="U5" s="252" t="n"/>
      <c r="V5" s="252" t="n"/>
      <c r="W5" s="252" t="n"/>
      <c r="X5" s="252" t="n"/>
      <c r="Y5" s="253" t="n"/>
      <c r="Z5" s="258" t="inlineStr">
        <is>
          <t>ROUND 3</t>
        </is>
      </c>
      <c r="AA5" s="252" t="n"/>
      <c r="AB5" s="252" t="n"/>
      <c r="AC5" s="252" t="n"/>
      <c r="AD5" s="252" t="n"/>
      <c r="AE5" s="253" t="n"/>
      <c r="AF5" s="259" t="inlineStr">
        <is>
          <t>ROUND 4</t>
        </is>
      </c>
      <c r="AG5" s="252" t="n"/>
      <c r="AH5" s="252" t="n"/>
      <c r="AI5" s="252" t="n"/>
      <c r="AJ5" s="252" t="n"/>
      <c r="AK5" s="253" t="n"/>
      <c r="AL5" s="258" t="inlineStr">
        <is>
          <t>ROUND 5</t>
        </is>
      </c>
      <c r="AM5" s="252" t="n"/>
      <c r="AN5" s="252" t="n"/>
      <c r="AO5" s="252" t="n"/>
      <c r="AP5" s="252" t="n"/>
      <c r="AQ5" s="253" t="n"/>
      <c r="AR5" s="262" t="inlineStr">
        <is>
          <t>KẾT QUẢ TỔNG</t>
        </is>
      </c>
      <c r="AS5" s="252" t="n"/>
      <c r="AT5" s="252" t="n"/>
      <c r="AU5" s="253" t="n"/>
    </row>
    <row r="6" ht="30" customHeight="1" s="216">
      <c r="A6" s="152" t="inlineStr">
        <is>
          <t>Testcase ID</t>
        </is>
      </c>
      <c r="B6" s="152" t="inlineStr">
        <is>
          <t>Req ID</t>
        </is>
      </c>
      <c r="C6" s="152" t="inlineStr">
        <is>
          <t>DOC Source</t>
        </is>
      </c>
      <c r="D6" s="114" t="inlineStr">
        <is>
          <t>Group</t>
        </is>
      </c>
      <c r="E6" s="114" t="inlineStr">
        <is>
          <t>Priority</t>
        </is>
      </c>
      <c r="F6" s="114" t="inlineStr">
        <is>
          <t>Test Title
(Nội dung test)</t>
        </is>
      </c>
      <c r="G6" s="114" t="inlineStr">
        <is>
          <t>Pre-condition
(Điều kiện/Dữ liệu)</t>
        </is>
      </c>
      <c r="H6" s="114" t="inlineStr">
        <is>
          <t>Test Steps
(Các bước)</t>
        </is>
      </c>
      <c r="I6" s="114" t="inlineStr">
        <is>
          <t>Expected Result
(Kết quả mong đợi)</t>
        </is>
      </c>
      <c r="J6" s="112" t="inlineStr">
        <is>
          <t>Origin</t>
        </is>
      </c>
      <c r="K6" s="112" t="inlineStr">
        <is>
          <t>Review</t>
        </is>
      </c>
      <c r="L6" s="112" t="inlineStr">
        <is>
          <t>Automated</t>
        </is>
      </c>
      <c r="M6" s="112" t="inlineStr">
        <is>
          <t>Script</t>
        </is>
      </c>
      <c r="N6" s="153" t="inlineStr">
        <is>
          <t>Vibe-test</t>
        </is>
      </c>
      <c r="O6" s="153" t="inlineStr">
        <is>
          <t>KQ Script</t>
        </is>
      </c>
      <c r="P6" s="153" t="inlineStr">
        <is>
          <t>Kết quả</t>
        </is>
      </c>
      <c r="Q6" s="153" t="inlineStr">
        <is>
          <t>Executed By</t>
        </is>
      </c>
      <c r="R6" s="153" t="inlineStr">
        <is>
          <t>ID Bugs</t>
        </is>
      </c>
      <c r="S6" s="153" t="inlineStr">
        <is>
          <t>Note</t>
        </is>
      </c>
      <c r="T6" s="153" t="inlineStr">
        <is>
          <t>Vibe-test</t>
        </is>
      </c>
      <c r="U6" s="153" t="inlineStr">
        <is>
          <t>KQ Script</t>
        </is>
      </c>
      <c r="V6" s="153" t="inlineStr">
        <is>
          <t>Kết quả</t>
        </is>
      </c>
      <c r="W6" s="153" t="inlineStr">
        <is>
          <t>Executed By</t>
        </is>
      </c>
      <c r="X6" s="153" t="inlineStr">
        <is>
          <t>ID Bugs</t>
        </is>
      </c>
      <c r="Y6" s="153" t="inlineStr">
        <is>
          <t>Note</t>
        </is>
      </c>
      <c r="Z6" s="153" t="inlineStr">
        <is>
          <t>Vibe-test</t>
        </is>
      </c>
      <c r="AA6" s="153" t="inlineStr">
        <is>
          <t>KQ Script</t>
        </is>
      </c>
      <c r="AB6" s="153" t="inlineStr">
        <is>
          <t>Kết quả</t>
        </is>
      </c>
      <c r="AC6" s="153" t="inlineStr">
        <is>
          <t>Executed By</t>
        </is>
      </c>
      <c r="AD6" s="153" t="inlineStr">
        <is>
          <t>ID Bugs</t>
        </is>
      </c>
      <c r="AE6" s="153" t="inlineStr">
        <is>
          <t>Note</t>
        </is>
      </c>
      <c r="AF6" s="153" t="inlineStr">
        <is>
          <t>Vibe-test</t>
        </is>
      </c>
      <c r="AG6" s="153" t="inlineStr">
        <is>
          <t>KQ Script</t>
        </is>
      </c>
      <c r="AH6" s="153" t="inlineStr">
        <is>
          <t>Kết quả</t>
        </is>
      </c>
      <c r="AI6" s="153" t="inlineStr">
        <is>
          <t>Executed By</t>
        </is>
      </c>
      <c r="AJ6" s="153" t="inlineStr">
        <is>
          <t>ID Bugs</t>
        </is>
      </c>
      <c r="AK6" s="153" t="inlineStr">
        <is>
          <t>Note</t>
        </is>
      </c>
      <c r="AL6" s="153" t="inlineStr">
        <is>
          <t>Vibe-test</t>
        </is>
      </c>
      <c r="AM6" s="153" t="inlineStr">
        <is>
          <t>KQ Script</t>
        </is>
      </c>
      <c r="AN6" s="153" t="inlineStr">
        <is>
          <t>Kết quả</t>
        </is>
      </c>
      <c r="AO6" s="153" t="inlineStr">
        <is>
          <t>Executed By</t>
        </is>
      </c>
      <c r="AP6" s="153" t="inlineStr">
        <is>
          <t>ID Bugs</t>
        </is>
      </c>
      <c r="AQ6" s="153" t="inlineStr">
        <is>
          <t>Note</t>
        </is>
      </c>
      <c r="AR6" s="263" t="inlineStr">
        <is>
          <t>Vibe-test
(tổng)</t>
        </is>
      </c>
      <c r="AS6" s="263" t="inlineStr">
        <is>
          <t>KQ Script
(tổng)</t>
        </is>
      </c>
      <c r="AT6" s="154" t="inlineStr">
        <is>
          <t>Status</t>
        </is>
      </c>
      <c r="AU6" s="154" t="inlineStr">
        <is>
          <t>Remark</t>
        </is>
      </c>
    </row>
    <row r="7" ht="60" customHeight="1" s="216">
      <c r="A7" s="160">
        <f>IF($F7="","",$C$2&amp;"."&amp;COUNTA($F$7:$F7)&amp;"")</f>
        <v/>
      </c>
      <c r="B7" s="160" t="inlineStr">
        <is>
          <t>REQ-NTF-003</t>
        </is>
      </c>
      <c r="C7" s="160" t="inlineStr">
        <is>
          <t>DOC-v1.1-01</t>
        </is>
      </c>
      <c r="D7" s="160" t="inlineStr">
        <is>
          <t>Functional</t>
        </is>
      </c>
      <c r="E7" s="160" t="inlineStr">
        <is>
          <t>Medium</t>
        </is>
      </c>
      <c r="F7" s="11" t="inlineStr">
        <is>
          <t>Check xác nhận nhận hàng sinh thông báo hoàn tất đúng text cho hai vai</t>
        </is>
      </c>
      <c r="G7" s="11" t="inlineStr">
        <is>
          <t>- Đơn đã ở checkpoint 3 (`DELIVERED`/Đã giao) của `SEED-DLV-01` — không seed riêng, không cần 2 thiết bị.
- Host app FoxPro đã cài trên thiết bị Android/iOS.
Test Data: Đơn `COMPLETED` đủ 3 vai của `SEED-DLV-01` (test_data_catalog §NTF v1.1)</t>
        </is>
      </c>
      <c r="H7" s="11" t="inlineStr">
        <is>
          <t>1. Ngay sau khi người nhận nhấn "Xác nhận đã nhận hàng" và xác nhận (đẩy đơn sang `COMPLETED`), đăng nhập tài khoản A (người gửi), nhấn icon chuông, check nội dung thông báo về đơn đó. (setup)
2. Đăng nhập tài khoản B (người vận chuyển), nhấn icon chuông, check nội dung thông báo về đơn đó.</t>
        </is>
      </c>
      <c r="I7" s="11" t="inlineStr">
        <is>
          <t>2. Cả tài khoản A và tài khoản B đều có thông báo đúng chuỗi verbatim "Đơn đã hoàn tất — cảm ơn bạn!".</t>
        </is>
      </c>
      <c r="J7" s="160" t="inlineStr">
        <is>
          <t>AI</t>
        </is>
      </c>
      <c r="K7" s="160" t="inlineStr">
        <is>
          <t>Pending</t>
        </is>
      </c>
      <c r="L7" s="160" t="inlineStr">
        <is>
          <t>No</t>
        </is>
      </c>
      <c r="M7" s="160" t="inlineStr"/>
      <c r="N7" s="264" t="inlineStr"/>
      <c r="O7" s="264" t="inlineStr"/>
      <c r="P7" s="264" t="inlineStr"/>
      <c r="Q7" s="264" t="inlineStr"/>
      <c r="R7" s="264" t="inlineStr"/>
      <c r="S7" s="264" t="inlineStr"/>
      <c r="T7" s="264" t="n"/>
      <c r="U7" s="264" t="n"/>
      <c r="V7" s="264" t="n"/>
      <c r="W7" s="264" t="n"/>
      <c r="X7" s="264" t="n"/>
      <c r="Y7" s="264" t="n"/>
      <c r="Z7" s="264" t="n"/>
      <c r="AA7" s="264" t="n"/>
      <c r="AB7" s="264" t="n"/>
      <c r="AC7" s="264" t="n"/>
      <c r="AD7" s="264" t="n"/>
      <c r="AE7" s="264" t="n"/>
      <c r="AF7" s="264" t="n"/>
      <c r="AG7" s="264" t="n"/>
      <c r="AH7" s="264" t="n"/>
      <c r="AI7" s="264" t="n"/>
      <c r="AJ7" s="264" t="n"/>
      <c r="AK7" s="264" t="n"/>
      <c r="AL7" s="264" t="n"/>
      <c r="AM7" s="264" t="n"/>
      <c r="AN7" s="264" t="n"/>
      <c r="AO7" s="264" t="n"/>
      <c r="AP7" s="264" t="n"/>
      <c r="AQ7" s="264" t="n"/>
      <c r="AR7" s="158">
        <f>IF($A7="","",IF(OR($N7="Yes",$T7="Yes",$Z7="Yes",$AF7="Yes",$AL7="Yes"),"Yes","No"))</f>
        <v/>
      </c>
      <c r="AS7" s="158">
        <f>IF($A7="","",IFERROR(IF($AM7&lt;&gt;"",$AM7,IF($AG7&lt;&gt;"",$AG7,IF($AA7&lt;&gt;"",$AA7,IF($U7&lt;&gt;"",$U7,IF($O7&lt;&gt;"",$O7,""))))),""))</f>
        <v/>
      </c>
      <c r="AT7" s="158">
        <f>IFERROR(IF($AN7&lt;&gt;"",$AN7,IF($AH7&lt;&gt;"",$AH7,IF($AB7&lt;&gt;"",$AB7,IF($V7&lt;&gt;"",$V7,IF($P7&lt;&gt;"",$P7,""))))),"")</f>
        <v/>
      </c>
      <c r="AU7" s="265" t="inlineStr">
        <is>
          <t>Mục đích: PRD chính thức `DOC-v1.1-01` chốt dứt điểm text `NTF-06`, thay bản BRD "nguồn thắng có điều kiện" của v1.0 — hết rủi ro phải dẫn `C-NTF-01` nếu app lệch, vì `C-NTF-01` đã Resolved 2026-09-15. · Căn cứ: `DOC-v1.1-01 §8.13.1` dòng `NTF-06`. · Đã sửa theo delta v1.1 (2026-09-15): bỏ hedge "App hiện bản PRD ⇒ FAIL và dẫn C-NTF-01" ở Notes v1.0, nay assert dứt khoát không còn đường thoát CL.</t>
        </is>
      </c>
    </row>
    <row r="8" ht="60" customHeight="1" s="216">
      <c r="A8" s="160">
        <f>IF($F8="","",$C$2&amp;"."&amp;COUNTA($F$7:$F8)&amp;"")</f>
        <v/>
      </c>
      <c r="B8" s="160" t="inlineStr">
        <is>
          <t>REQ-NTF-005</t>
        </is>
      </c>
      <c r="C8" s="160" t="inlineStr">
        <is>
          <t>DOC-v1.1-01</t>
        </is>
      </c>
      <c r="D8" s="160" t="inlineStr">
        <is>
          <t>Functional</t>
        </is>
      </c>
      <c r="E8" s="160" t="inlineStr">
        <is>
          <t>High</t>
        </is>
      </c>
      <c r="F8" s="11" t="inlineStr">
        <is>
          <t>Check không thông báo nào trong đủ 15 sự kiện chứa số điện thoại</t>
        </is>
      </c>
      <c r="G8" s="11" t="inlineStr">
        <is>
          <t>- Có sẵn 1 đơn đi trọn vòng đời chính (`SEED-DLV-01` checkpoint 0→4) VÀ đơn/nhóm đơn đã đi qua đủ 6 nhánh phụ FR08/FR09 (uỷ quyền · quầy lễ tân · quầy bảo vệ · không liên lạc được · hẹn giao lại · trả hàng — tái dùng từ `TC-NTF-017..022` bên dưới, không seed riêng).
- Vế push cần ≥2 thiết bị/phiên thật đăng nhập đúng lúc sự kiện xảy ra.
- Host app FoxPro đã cài trên thiết bị Android/iOS.
Test Data: Đủ 15 sự kiện, kiểm cả in-app và push (test_data_catalog §NTF v1.1)</t>
        </is>
      </c>
      <c r="H8" s="11" t="inlineStr">
        <is>
          <t>1. Với từng tài khoản liên quan (người gửi/vận chuyển/nhận) của toàn bộ đơn trên, đăng nhập lần lượt, nhấn icon chuông và đọc toàn bộ nội dung từng thông báo trong danh sách — bao trùm đủ 15 sự kiện `NTF-01..15`.
2. Với thiết bị đã đăng nhập sẵn trong lúc sự kiện xảy ra, kéo thanh thông báo hệ thống và đọc toàn bộ nội dung các push đã nhận.</t>
        </is>
      </c>
      <c r="I8" s="11" t="inlineStr">
        <is>
          <t>2. KHÔNG thông báo nào (in-app lẫn push), kể cả 6 sự kiện mới `NTF-10..15`, chứa dãy số điện thoại; các dòng nhạy cảm nhất (`NTF-10`/`11`/`12`) chỉ được nhắc "có ảnh bằng chứng"/"cần xác nhận uỷ quyền", không kèm số.</t>
        </is>
      </c>
      <c r="J8" s="160" t="inlineStr">
        <is>
          <t>AI</t>
        </is>
      </c>
      <c r="K8" s="160" t="inlineStr">
        <is>
          <t>Pending</t>
        </is>
      </c>
      <c r="L8" s="160" t="inlineStr">
        <is>
          <t>No</t>
        </is>
      </c>
      <c r="M8" s="160" t="inlineStr"/>
      <c r="N8" s="264" t="inlineStr"/>
      <c r="O8" s="264" t="inlineStr"/>
      <c r="P8" s="264" t="inlineStr"/>
      <c r="Q8" s="264" t="inlineStr"/>
      <c r="R8" s="264" t="inlineStr"/>
      <c r="S8" s="264" t="inlineStr"/>
      <c r="T8" s="264" t="n"/>
      <c r="U8" s="264" t="n"/>
      <c r="V8" s="264" t="n"/>
      <c r="W8" s="264" t="n"/>
      <c r="X8" s="264" t="n"/>
      <c r="Y8" s="264" t="n"/>
      <c r="Z8" s="264" t="n"/>
      <c r="AA8" s="264" t="n"/>
      <c r="AB8" s="264" t="n"/>
      <c r="AC8" s="264" t="n"/>
      <c r="AD8" s="264" t="n"/>
      <c r="AE8" s="264" t="n"/>
      <c r="AF8" s="264" t="n"/>
      <c r="AG8" s="264" t="n"/>
      <c r="AH8" s="264" t="n"/>
      <c r="AI8" s="264" t="n"/>
      <c r="AJ8" s="264" t="n"/>
      <c r="AK8" s="264" t="n"/>
      <c r="AL8" s="264" t="n"/>
      <c r="AM8" s="264" t="n"/>
      <c r="AN8" s="264" t="n"/>
      <c r="AO8" s="264" t="n"/>
      <c r="AP8" s="264" t="n"/>
      <c r="AQ8" s="264" t="n"/>
      <c r="AR8" s="158">
        <f>IF($A8="","",IF(OR($N8="Yes",$T8="Yes",$Z8="Yes",$AF8="Yes",$AL8="Yes"),"Yes","No"))</f>
        <v/>
      </c>
      <c r="AS8" s="158">
        <f>IF($A8="","",IFERROR(IF($AM8&lt;&gt;"",$AM8,IF($AG8&lt;&gt;"",$AG8,IF($AA8&lt;&gt;"",$AA8,IF($U8&lt;&gt;"",$U8,IF($O8&lt;&gt;"",$O8,""))))),""))</f>
        <v/>
      </c>
      <c r="AT8" s="158">
        <f>IFERROR(IF($AN8&lt;&gt;"",$AN8,IF($AH8&lt;&gt;"",$AH8,IF($AB8&lt;&gt;"",$AB8,IF($V8&lt;&gt;"",$V8,IF($P8&lt;&gt;"",$P8,""))))),"")</f>
        <v/>
      </c>
      <c r="AU8" s="265" t="inlineStr">
        <is>
          <t>Mục đích: mở rộng phạm vi P1 từ 9/9 (v1.0) sang **đủ 15/15 sự kiện** — bỏ sót 1 trong 6 sự kiện mới là bỏ sót đúng chỗ nhạy cảm nhất (uỷ quyền/quầy/không liên lạc được). · Căn cứ: `DOC-v1.1-01 §8.13.1` (đối chiếu toàn bộ 15 dòng "Nội dung (mẫu)"). Có thông báo chứa số ⇒ FAIL và log bug mức cao (rò rỉ dữ liệu cá nhân).</t>
        </is>
      </c>
    </row>
    <row r="9" ht="60" customHeight="1" s="216">
      <c r="A9" s="160">
        <f>IF($F9="","",$C$2&amp;"."&amp;COUNTA($F$7:$F9)&amp;"")</f>
        <v/>
      </c>
      <c r="B9" s="160" t="inlineStr">
        <is>
          <t>REQ-NTF-010</t>
        </is>
      </c>
      <c r="C9" s="160" t="inlineStr">
        <is>
          <t>DOC-v1.1-01</t>
        </is>
      </c>
      <c r="D9" s="160" t="inlineStr">
        <is>
          <t>Functional</t>
        </is>
      </c>
      <c r="E9" s="160" t="inlineStr">
        <is>
          <t>Medium</t>
        </is>
      </c>
      <c r="F9" s="11" t="inlineStr">
        <is>
          <t>Check quan sát đủ 15 loại thông báo chính thức đúng người nhận từng loại</t>
        </is>
      </c>
      <c r="G9" s="11" t="inlineStr">
        <is>
          <t>- Có sẵn cùng bộ đơn của `TC-NTF-008` (vòng đời chính + đủ 6 nhánh phụ FR08/FR09) — không seed riêng.
- Host app FoxPro đã cài trên thiết bị Android/iOS.
Test Data: Đơn trọn vòng đời chính + 1 lượt qua mỗi nhánh phụ FR08/FR09, đối chiếu 15 loại chính thức (test_data_catalog §NTF v1.1)</t>
        </is>
      </c>
      <c r="H9" s="11" t="inlineStr">
        <is>
          <t>1. Với từng tài khoản liên quan, đăng nhập lần lượt, nhấn icon chuông và liệt kê toàn bộ loại thông báo (nội dung + người nhận) đã nhận được cho các đơn trên.
2. Đối chiếu danh sách vừa liệt kê với danh mục 15 loại chính thức `NTF-01..15` (test_data_catalog §NTF v1.1).</t>
        </is>
      </c>
      <c r="I9" s="11" t="inlineStr">
        <is>
          <t>2. Quan sát đủ **15/15 loại** thông báo chính thức, mỗi loại đúng người nhận theo danh mục; thiếu loại nào hoặc sai người nhận loại nào thì ghi rõ tên loại thiếu/sai để log finding.</t>
        </is>
      </c>
      <c r="J9" s="160" t="inlineStr">
        <is>
          <t>AI</t>
        </is>
      </c>
      <c r="K9" s="160" t="inlineStr">
        <is>
          <t>Pending</t>
        </is>
      </c>
      <c r="L9" s="160" t="inlineStr">
        <is>
          <t>No</t>
        </is>
      </c>
      <c r="M9" s="160" t="inlineStr"/>
      <c r="N9" s="264" t="inlineStr"/>
      <c r="O9" s="264" t="inlineStr"/>
      <c r="P9" s="264" t="inlineStr"/>
      <c r="Q9" s="264" t="inlineStr"/>
      <c r="R9" s="264" t="inlineStr"/>
      <c r="S9" s="264" t="inlineStr"/>
      <c r="T9" s="264" t="n"/>
      <c r="U9" s="264" t="n"/>
      <c r="V9" s="264" t="n"/>
      <c r="W9" s="264" t="n"/>
      <c r="X9" s="264" t="n"/>
      <c r="Y9" s="264" t="n"/>
      <c r="Z9" s="264" t="n"/>
      <c r="AA9" s="264" t="n"/>
      <c r="AB9" s="264" t="n"/>
      <c r="AC9" s="264" t="n"/>
      <c r="AD9" s="264" t="n"/>
      <c r="AE9" s="264" t="n"/>
      <c r="AF9" s="264" t="n"/>
      <c r="AG9" s="264" t="n"/>
      <c r="AH9" s="264" t="n"/>
      <c r="AI9" s="264" t="n"/>
      <c r="AJ9" s="264" t="n"/>
      <c r="AK9" s="264" t="n"/>
      <c r="AL9" s="264" t="n"/>
      <c r="AM9" s="264" t="n"/>
      <c r="AN9" s="264" t="n"/>
      <c r="AO9" s="264" t="n"/>
      <c r="AP9" s="264" t="n"/>
      <c r="AQ9" s="264" t="n"/>
      <c r="AR9" s="158">
        <f>IF($A9="","",IF(OR($N9="Yes",$T9="Yes",$Z9="Yes",$AF9="Yes",$AL9="Yes"),"Yes","No"))</f>
        <v/>
      </c>
      <c r="AS9" s="158">
        <f>IF($A9="","",IFERROR(IF($AM9&lt;&gt;"",$AM9,IF($AG9&lt;&gt;"",$AG9,IF($AA9&lt;&gt;"",$AA9,IF($U9&lt;&gt;"",$U9,IF($O9&lt;&gt;"",$O9,""))))),""))</f>
        <v/>
      </c>
      <c r="AT9" s="158">
        <f>IFERROR(IF($AN9&lt;&gt;"",$AN9,IF($AH9&lt;&gt;"",$AH9,IF($AB9&lt;&gt;"",$AB9,IF($V9&lt;&gt;"",$V9,IF($P9&lt;&gt;"",$P9,""))))),"")</f>
        <v/>
      </c>
      <c r="AU9" s="265" t="inlineStr">
        <is>
          <t>Mục đích: đảo vai trò từ `[GAP]` ghi-nhận (v1.0) sang **assert đủ-danh-mục** — thiếu 1 trong 15 loại là bằng chứng cụ thể để log finding, không còn coi "có SC chạy qua" là đủ coverage. · Căn cứ: `DOC-v1.1-01 §8.13.1` bảng 15 dòng, `C-NTF-01` Resolved 2026-09-15. Tiền đề tốn thời gian nhất module — gộp chạy chung lô vibe-test `DLV` (`RISK-NTF-05`). · Đã sửa theo delta v1.1 (2026-09-15): bỏ 2 assert-absent cũ (đánh giá 5 sao, CO₂) — nay gộp vào phép đối chiếu đủ-danh-mục (loại đó không có trong 15 loại chính thức nên tự động không xuất hiện nếu quan sát đúng đủ 15/15).</t>
        </is>
      </c>
    </row>
    <row r="10">
      <c r="A10" s="160">
        <f>IF($F10="","",$C$2&amp;"."&amp;COUNTA($F$7:$F10)&amp;"")</f>
        <v/>
      </c>
      <c r="B10" s="160" t="inlineStr">
        <is>
          <t>REQ-NTF-012</t>
        </is>
      </c>
      <c r="C10" s="160" t="inlineStr">
        <is>
          <t>DOC-v1.1-01</t>
        </is>
      </c>
      <c r="D10" s="160" t="inlineStr">
        <is>
          <t>Functional</t>
        </is>
      </c>
      <c r="E10" s="160" t="inlineStr">
        <is>
          <t>Medium</t>
        </is>
      </c>
      <c r="F10" s="11" t="inlineStr">
        <is>
          <t>Check giao cho người được uỷ quyền sinh thông báo NTF-10 cho hai vai</t>
        </is>
      </c>
      <c r="G10" s="11" t="inlineStr">
        <is>
          <t>- Đơn đã được Carrier xác nhận giao hàng theo phương án "Người được uỷ quyền" ở nhánh FR08 (Carrier nhập tên người nhận thay, đính ≥1 ảnh, xác nhận — theo `SC-DLV-038`) — không seed riêng, chạy chung lô vibe-test `DLV`.
- Host app FoxPro đã cài trên thiết bị Android/iOS.
Test Data: Đơn giao qua uỷ quyền, tái dùng từ luồng `SC-DLV-038` (test_data_catalog §NTF v1.1)</t>
        </is>
      </c>
      <c r="H10" s="11" t="inlineStr">
        <is>
          <t>1. Đăng nhập tài khoản người nhận, nhấn icon chuông, check nội dung thông báo về đơn đó.
2. Đăng nhập tài khoản người gửi, nhấn icon chuông, check nội dung thông báo về đơn đó.</t>
        </is>
      </c>
      <c r="I10" s="11" t="inlineStr">
        <is>
          <t>2. Cả người nhận và người gửi đều có thông báo `NTF-10` nêu đúng tên người nhận thay, đúng người uỷ quyền (người gửi hoặc người nhận), có nhắc "có ảnh bằng chứng"; KHÔNG chứa số điện thoại.</t>
        </is>
      </c>
      <c r="J10" s="160" t="inlineStr">
        <is>
          <t>AI</t>
        </is>
      </c>
      <c r="K10" s="160" t="inlineStr">
        <is>
          <t>Pending</t>
        </is>
      </c>
      <c r="L10" s="160" t="inlineStr">
        <is>
          <t>No</t>
        </is>
      </c>
      <c r="M10" s="160" t="inlineStr"/>
      <c r="N10" s="264" t="inlineStr"/>
      <c r="O10" s="264" t="inlineStr"/>
      <c r="P10" s="264" t="inlineStr"/>
      <c r="Q10" s="264" t="inlineStr"/>
      <c r="R10" s="264" t="inlineStr"/>
      <c r="S10" s="264" t="inlineStr"/>
      <c r="T10" s="264" t="n"/>
      <c r="U10" s="264" t="n"/>
      <c r="V10" s="264" t="n"/>
      <c r="W10" s="264" t="n"/>
      <c r="X10" s="264" t="n"/>
      <c r="Y10" s="264" t="n"/>
      <c r="Z10" s="264" t="n"/>
      <c r="AA10" s="264" t="n"/>
      <c r="AB10" s="264" t="n"/>
      <c r="AC10" s="264" t="n"/>
      <c r="AD10" s="264" t="n"/>
      <c r="AE10" s="264" t="n"/>
      <c r="AF10" s="264" t="n"/>
      <c r="AG10" s="264" t="n"/>
      <c r="AH10" s="264" t="n"/>
      <c r="AI10" s="264" t="n"/>
      <c r="AJ10" s="264" t="n"/>
      <c r="AK10" s="264" t="n"/>
      <c r="AL10" s="264" t="n"/>
      <c r="AM10" s="264" t="n"/>
      <c r="AN10" s="264" t="n"/>
      <c r="AO10" s="264" t="n"/>
      <c r="AP10" s="264" t="n"/>
      <c r="AQ10" s="264" t="n"/>
      <c r="AR10" s="158">
        <f>IF($A10="","",IF(OR($N10="Yes",$T10="Yes",$Z10="Yes",$AF10="Yes",$AL10="Yes"),"Yes","No"))</f>
        <v/>
      </c>
      <c r="AS10" s="158">
        <f>IF($A10="","",IFERROR(IF($AM10&lt;&gt;"",$AM10,IF($AG10&lt;&gt;"",$AG10,IF($AA10&lt;&gt;"",$AA10,IF($U10&lt;&gt;"",$U10,IF($O10&lt;&gt;"",$O10,""))))),""))</f>
        <v/>
      </c>
      <c r="AT10" s="158">
        <f>IFERROR(IF($AN10&lt;&gt;"",$AN10,IF($AH10&lt;&gt;"",$AH10,IF($AB10&lt;&gt;"",$AB10,IF($V10&lt;&gt;"",$V10,IF($P10&lt;&gt;"",$P10,""))))),"")</f>
        <v/>
      </c>
      <c r="AU10" s="265" t="inlineStr">
        <is>
          <t>Mục đích: SC hoàn toàn mới — chỉ test đúng bắn thông báo/người nhận/nội dung, KHÔNG lặp nghiệp vụ giao nhận (đã có SC bên `DLV` delta v1.1). · Căn cứ: `DOC-v1.1-01 §8.13.1` dòng `NTF-10`. Tiền đề phụ thuộc vibe-test nhánh FR08 bên `DLV` (`RISK-NTF-07`), chưa có TC-DLV-v1.1 tại thời điểm generate — cập nhật tham chiếu khi có.</t>
        </is>
      </c>
    </row>
    <row r="11">
      <c r="A11" s="160">
        <f>IF($F11="","",$C$2&amp;"."&amp;COUNTA($F$7:$F11)&amp;"")</f>
        <v/>
      </c>
      <c r="B11" s="160" t="inlineStr">
        <is>
          <t>REQ-NTF-012</t>
        </is>
      </c>
      <c r="C11" s="160" t="inlineStr">
        <is>
          <t>DOC-v1.1-01</t>
        </is>
      </c>
      <c r="D11" s="160" t="inlineStr">
        <is>
          <t>Functional</t>
        </is>
      </c>
      <c r="E11" s="160" t="inlineStr">
        <is>
          <t>Medium</t>
        </is>
      </c>
      <c r="F11" s="11" t="inlineStr">
        <is>
          <t>Check gửi tại quầy sinh thông báo NTF-11 cho hai vai</t>
        </is>
      </c>
      <c r="G11" s="11" t="inlineStr">
        <is>
          <t>- Đơn đã được Carrier xác nhận giao hàng theo phương án gửi quầy (lễ tân hoặc bảo vệ) ở nhánh FR08 (nhập tên người trực, đính ≥1 ảnh, xác nhận — theo `SC-DLV-039`) — không seed riêng, chạy chung lô vibe-test `DLV`.
- Host app FoxPro đã cài trên thiết bị Android/iOS.
Test Data: Đơn giao qua quầy, tái dùng từ luồng `SC-DLV-039` (test_data_catalog §NTF v1.1)</t>
        </is>
      </c>
      <c r="H11" s="11" t="inlineStr">
        <is>
          <t>1. Đăng nhập tài khoản người nhận, nhấn icon chuông, check nội dung thông báo về đơn đó.
2. Đăng nhập tài khoản người gửi, nhấn icon chuông, check nội dung thông báo về đơn đó.</t>
        </is>
      </c>
      <c r="I11" s="11" t="inlineStr">
        <is>
          <t>2. Cả người nhận và người gửi đều có thông báo `NTF-11` nêu đúng loại quầy (lễ tân/bảo vệ) + tên người trực; KHÔNG chứa số điện thoại.</t>
        </is>
      </c>
      <c r="J11" s="160" t="inlineStr">
        <is>
          <t>AI</t>
        </is>
      </c>
      <c r="K11" s="160" t="inlineStr">
        <is>
          <t>Pending</t>
        </is>
      </c>
      <c r="L11" s="160" t="inlineStr">
        <is>
          <t>No</t>
        </is>
      </c>
      <c r="M11" s="160" t="inlineStr"/>
      <c r="N11" s="264" t="inlineStr"/>
      <c r="O11" s="264" t="inlineStr"/>
      <c r="P11" s="264" t="inlineStr"/>
      <c r="Q11" s="264" t="inlineStr"/>
      <c r="R11" s="264" t="inlineStr"/>
      <c r="S11" s="264" t="inlineStr"/>
      <c r="T11" s="264" t="n"/>
      <c r="U11" s="264" t="n"/>
      <c r="V11" s="264" t="n"/>
      <c r="W11" s="264" t="n"/>
      <c r="X11" s="264" t="n"/>
      <c r="Y11" s="264" t="n"/>
      <c r="Z11" s="264" t="n"/>
      <c r="AA11" s="264" t="n"/>
      <c r="AB11" s="264" t="n"/>
      <c r="AC11" s="264" t="n"/>
      <c r="AD11" s="264" t="n"/>
      <c r="AE11" s="264" t="n"/>
      <c r="AF11" s="264" t="n"/>
      <c r="AG11" s="264" t="n"/>
      <c r="AH11" s="264" t="n"/>
      <c r="AI11" s="264" t="n"/>
      <c r="AJ11" s="264" t="n"/>
      <c r="AK11" s="264" t="n"/>
      <c r="AL11" s="264" t="n"/>
      <c r="AM11" s="264" t="n"/>
      <c r="AN11" s="264" t="n"/>
      <c r="AO11" s="264" t="n"/>
      <c r="AP11" s="264" t="n"/>
      <c r="AQ11" s="264" t="n"/>
      <c r="AR11" s="158">
        <f>IF($A11="","",IF(OR($N11="Yes",$T11="Yes",$Z11="Yes",$AF11="Yes",$AL11="Yes"),"Yes","No"))</f>
        <v/>
      </c>
      <c r="AS11" s="158">
        <f>IF($A11="","",IFERROR(IF($AM11&lt;&gt;"",$AM11,IF($AG11&lt;&gt;"",$AG11,IF($AA11&lt;&gt;"",$AA11,IF($U11&lt;&gt;"",$U11,IF($O11&lt;&gt;"",$O11,""))))),""))</f>
        <v/>
      </c>
      <c r="AT11" s="158">
        <f>IFERROR(IF($AN11&lt;&gt;"",$AN11,IF($AH11&lt;&gt;"",$AH11,IF($AB11&lt;&gt;"",$AB11,IF($V11&lt;&gt;"",$V11,IF($P11&lt;&gt;"",$P11,""))))),"")</f>
        <v/>
      </c>
      <c r="AU11" s="265" t="inlineStr">
        <is>
          <t>Mục đích: SC hoàn toàn mới, chỉ test bắn thông báo/người nhận/nội dung. · Căn cứ: `DOC-v1.1-01 §8.13.1` dòng `NTF-11`. Tiền đề phụ thuộc vibe-test nhánh FR08 bên `DLV`, chưa có TC-DLV-v1.1 tại thời điểm generate.</t>
        </is>
      </c>
    </row>
    <row r="12">
      <c r="A12" s="160">
        <f>IF($F12="","",$C$2&amp;"."&amp;COUNTA($F$7:$F12)&amp;"")</f>
        <v/>
      </c>
      <c r="B12" s="160" t="inlineStr">
        <is>
          <t>REQ-NTF-012</t>
        </is>
      </c>
      <c r="C12" s="160" t="inlineStr">
        <is>
          <t>DOC-v1.1-01</t>
        </is>
      </c>
      <c r="D12" s="160" t="inlineStr">
        <is>
          <t>Functional</t>
        </is>
      </c>
      <c r="E12" s="160" t="inlineStr">
        <is>
          <t>Medium</t>
        </is>
      </c>
      <c r="F12" s="11" t="inlineStr">
        <is>
          <t>Check không liên lạc được người nhận sinh thông báo NTF-12 cho người gửi</t>
        </is>
      </c>
      <c r="G12" s="11" t="inlineStr">
        <is>
          <t>- Carrier đã bấm "Không liên lạc được người nhận?" và chọn hướng liên hệ người gửi xin uỷ quyền khác ở nhánh FR08 (theo `SC-DLV-044`) — không seed riêng, chạy chung lô vibe-test `DLV`.
- Host app FoxPro đã cài trên thiết bị Android/iOS.
Test Data: Đơn ở nhánh không liên lạc được, tái dùng từ luồng `SC-DLV-044` (test_data_catalog §NTF v1.1)</t>
        </is>
      </c>
      <c r="H12" s="11" t="inlineStr">
        <is>
          <t>1. Đăng nhập tài khoản người gửi, nhấn icon chuông, check nội dung thông báo về đơn đó.</t>
        </is>
      </c>
      <c r="I12" s="11" t="inlineStr">
        <is>
          <t>1. Tài khoản người gửi có thông báo `NTF-12` đúng chuỗi "Người vận chuyển không liên lạc được người nhận — cần bạn xác nhận uỷ quyền cho người khác nhận hàng"; KHÔNG chứa số điện thoại người nhận.</t>
        </is>
      </c>
      <c r="J12" s="160" t="inlineStr">
        <is>
          <t>AI</t>
        </is>
      </c>
      <c r="K12" s="160" t="inlineStr">
        <is>
          <t>Pending</t>
        </is>
      </c>
      <c r="L12" s="160" t="inlineStr">
        <is>
          <t>No</t>
        </is>
      </c>
      <c r="M12" s="160" t="inlineStr"/>
      <c r="N12" s="264" t="inlineStr"/>
      <c r="O12" s="264" t="inlineStr"/>
      <c r="P12" s="264" t="inlineStr"/>
      <c r="Q12" s="264" t="inlineStr"/>
      <c r="R12" s="264" t="inlineStr"/>
      <c r="S12" s="264" t="inlineStr"/>
      <c r="T12" s="264" t="n"/>
      <c r="U12" s="264" t="n"/>
      <c r="V12" s="264" t="n"/>
      <c r="W12" s="264" t="n"/>
      <c r="X12" s="264" t="n"/>
      <c r="Y12" s="264" t="n"/>
      <c r="Z12" s="264" t="n"/>
      <c r="AA12" s="264" t="n"/>
      <c r="AB12" s="264" t="n"/>
      <c r="AC12" s="264" t="n"/>
      <c r="AD12" s="264" t="n"/>
      <c r="AE12" s="264" t="n"/>
      <c r="AF12" s="264" t="n"/>
      <c r="AG12" s="264" t="n"/>
      <c r="AH12" s="264" t="n"/>
      <c r="AI12" s="264" t="n"/>
      <c r="AJ12" s="264" t="n"/>
      <c r="AK12" s="264" t="n"/>
      <c r="AL12" s="264" t="n"/>
      <c r="AM12" s="264" t="n"/>
      <c r="AN12" s="264" t="n"/>
      <c r="AO12" s="264" t="n"/>
      <c r="AP12" s="264" t="n"/>
      <c r="AQ12" s="264" t="n"/>
      <c r="AR12" s="158">
        <f>IF($A12="","",IF(OR($N12="Yes",$T12="Yes",$Z12="Yes",$AF12="Yes",$AL12="Yes"),"Yes","No"))</f>
        <v/>
      </c>
      <c r="AS12" s="158">
        <f>IF($A12="","",IFERROR(IF($AM12&lt;&gt;"",$AM12,IF($AG12&lt;&gt;"",$AG12,IF($AA12&lt;&gt;"",$AA12,IF($U12&lt;&gt;"",$U12,IF($O12&lt;&gt;"",$O12,""))))),""))</f>
        <v/>
      </c>
      <c r="AT12" s="158">
        <f>IFERROR(IF($AN12&lt;&gt;"",$AN12,IF($AH12&lt;&gt;"",$AH12,IF($AB12&lt;&gt;"",$AB12,IF($V12&lt;&gt;"",$V12,IF($P12&lt;&gt;"",$P12,""))))),"")</f>
        <v/>
      </c>
      <c r="AU12" s="265" t="inlineStr">
        <is>
          <t>Mục đích: SC hoàn toàn mới; chỉ 1 vai (người gửi) nhận theo đúng danh mục `§8.13.1` dòng `NTF-12`, khác `NTF-10`/`11` có 2 vai. · Căn cứ: `DOC-v1.1-01 §8.13.1` dòng `NTF-12`. Tiền đề phụ thuộc vibe-test nhánh FR08 bên `DLV`, chưa có TC-DLV-v1.1 tại thời điểm generate.</t>
        </is>
      </c>
    </row>
    <row r="13">
      <c r="A13" s="160">
        <f>IF($F13="","",$C$2&amp;"."&amp;COUNTA($F$7:$F13)&amp;"")</f>
        <v/>
      </c>
      <c r="B13" s="160" t="inlineStr">
        <is>
          <t>REQ-NTF-012</t>
        </is>
      </c>
      <c r="C13" s="160" t="inlineStr">
        <is>
          <t>DOC-v1.1-01</t>
        </is>
      </c>
      <c r="D13" s="160" t="inlineStr">
        <is>
          <t>Functional</t>
        </is>
      </c>
      <c r="E13" s="160" t="inlineStr">
        <is>
          <t>Medium</t>
        </is>
      </c>
      <c r="F13" s="11" t="inlineStr">
        <is>
          <t>Check hẹn giao lại sinh thông báo NTF-13 đúng biến cho hai vai</t>
        </is>
      </c>
      <c r="G13" s="11" t="inlineStr">
        <is>
          <t>- Carrier đã chọn "Cầm hàng về" → chế độ hẹn giao lại (`retry`), nhập lịch hẹn hợp lệ {ngày · giờ} + {nơi hẹn} ở nhánh FR09 (theo `SC-DLV-049`), đơn chuyển `RESCHEDULED` — không seed riêng, chạy chung lô vibe-test `DLV`.
- Host app FoxPro đã cài trên thiết bị Android/iOS.
Test Data: Đơn `RESCHEDULED`, tái dùng từ luồng `SC-DLV-049` (test_data_catalog §NTF v1.1)</t>
        </is>
      </c>
      <c r="H13" s="11" t="inlineStr">
        <is>
          <t>1. Đăng nhập tài khoản người nhận, nhấn icon chuông, check nội dung thông báo về đơn đó.
2. Đăng nhập tài khoản người gửi, nhấn icon chuông, check nội dung thông báo về đơn đó.</t>
        </is>
      </c>
      <c r="I13" s="11" t="inlineStr">
        <is>
          <t>2. Cả người nhận và người gửi đều có thông báo `NTF-13` đúng {ngày · giờ} và {nơi hẹn} vừa nhập; KHÔNG chứa số điện thoại.</t>
        </is>
      </c>
      <c r="J13" s="160" t="inlineStr">
        <is>
          <t>AI</t>
        </is>
      </c>
      <c r="K13" s="160" t="inlineStr">
        <is>
          <t>Pending</t>
        </is>
      </c>
      <c r="L13" s="160" t="inlineStr">
        <is>
          <t>No</t>
        </is>
      </c>
      <c r="M13" s="160" t="inlineStr"/>
      <c r="N13" s="264" t="inlineStr"/>
      <c r="O13" s="264" t="inlineStr"/>
      <c r="P13" s="264" t="inlineStr"/>
      <c r="Q13" s="264" t="inlineStr"/>
      <c r="R13" s="264" t="inlineStr"/>
      <c r="S13" s="264" t="inlineStr"/>
      <c r="T13" s="264" t="n"/>
      <c r="U13" s="264" t="n"/>
      <c r="V13" s="264" t="n"/>
      <c r="W13" s="264" t="n"/>
      <c r="X13" s="264" t="n"/>
      <c r="Y13" s="264" t="n"/>
      <c r="Z13" s="264" t="n"/>
      <c r="AA13" s="264" t="n"/>
      <c r="AB13" s="264" t="n"/>
      <c r="AC13" s="264" t="n"/>
      <c r="AD13" s="264" t="n"/>
      <c r="AE13" s="264" t="n"/>
      <c r="AF13" s="264" t="n"/>
      <c r="AG13" s="264" t="n"/>
      <c r="AH13" s="264" t="n"/>
      <c r="AI13" s="264" t="n"/>
      <c r="AJ13" s="264" t="n"/>
      <c r="AK13" s="264" t="n"/>
      <c r="AL13" s="264" t="n"/>
      <c r="AM13" s="264" t="n"/>
      <c r="AN13" s="264" t="n"/>
      <c r="AO13" s="264" t="n"/>
      <c r="AP13" s="264" t="n"/>
      <c r="AQ13" s="264" t="n"/>
      <c r="AR13" s="158">
        <f>IF($A13="","",IF(OR($N13="Yes",$T13="Yes",$Z13="Yes",$AF13="Yes",$AL13="Yes"),"Yes","No"))</f>
        <v/>
      </c>
      <c r="AS13" s="158">
        <f>IF($A13="","",IFERROR(IF($AM13&lt;&gt;"",$AM13,IF($AG13&lt;&gt;"",$AG13,IF($AA13&lt;&gt;"",$AA13,IF($U13&lt;&gt;"",$U13,IF($O13&lt;&gt;"",$O13,""))))),""))</f>
        <v/>
      </c>
      <c r="AT13" s="158">
        <f>IFERROR(IF($AN13&lt;&gt;"",$AN13,IF($AH13&lt;&gt;"",$AH13,IF($AB13&lt;&gt;"",$AB13,IF($V13&lt;&gt;"",$V13,IF($P13&lt;&gt;"",$P13,""))))),"")</f>
        <v/>
      </c>
      <c r="AU13" s="265" t="inlineStr">
        <is>
          <t>Mục đích: SC hoàn toàn mới, chỉ test đúng biến `{ngày · giờ}`/`{nơi hẹn}` được thay đúng giá trị runtime, không lặp validate field lịch hẹn (đã có ở `SC-DLV-049`). · Căn cứ: `DOC-v1.1-01 §8.13.1` dòng `NTF-13`. Tiền đề phụ thuộc vibe-test nhánh FR09 bên `DLV`, chưa có TC-DLV-v1.1 tại thời điểm generate.</t>
        </is>
      </c>
    </row>
    <row r="14">
      <c r="A14" s="160">
        <f>IF($F14="","",$C$2&amp;"."&amp;COUNTA($F$7:$F14)&amp;"")</f>
        <v/>
      </c>
      <c r="B14" s="160" t="inlineStr">
        <is>
          <t>REQ-NTF-012</t>
        </is>
      </c>
      <c r="C14" s="160" t="inlineStr">
        <is>
          <t>DOC-v1.1-01</t>
        </is>
      </c>
      <c r="D14" s="160" t="inlineStr">
        <is>
          <t>Functional</t>
        </is>
      </c>
      <c r="E14" s="160" t="inlineStr">
        <is>
          <t>Medium</t>
        </is>
      </c>
      <c r="F14" s="11" t="inlineStr">
        <is>
          <t>Check trả hàng về người gửi sinh thông báo NTF-14 đúng biến cho hai vai</t>
        </is>
      </c>
      <c r="G14" s="11" t="inlineStr">
        <is>
          <t>- Carrier đã chọn "Cầm hàng về" → chế độ trả người gửi (`return`), nhập lịch hẹn hợp lệ {ngày · giờ} + {nơi hẹn} ở nhánh FR09 (theo `SC-DLV-049`, chế độ khác `TC-NTF-020`), đơn chuyển `RETURNING` — không seed riêng, chạy chung lô vibe-test `DLV`.
- Host app FoxPro đã cài trên thiết bị Android/iOS.
Test Data: Đơn `RETURNING`, tái dùng từ luồng `SC-DLV-049` chế độ `return` (test_data_catalog §NTF v1.1)</t>
        </is>
      </c>
      <c r="H14" s="11" t="inlineStr">
        <is>
          <t>1. Đăng nhập tài khoản người gửi, nhấn icon chuông, check nội dung thông báo về đơn đó.
2. Đăng nhập tài khoản người nhận, nhấn icon chuông, check nội dung thông báo về đơn đó.</t>
        </is>
      </c>
      <c r="I14" s="11" t="inlineStr">
        <is>
          <t>2. Cả người gửi và người nhận đều có thông báo `NTF-14` đúng {ngày · giờ} và {nơi hẹn} vừa nhập; KHÔNG chứa số điện thoại.</t>
        </is>
      </c>
      <c r="J14" s="160" t="inlineStr">
        <is>
          <t>AI</t>
        </is>
      </c>
      <c r="K14" s="160" t="inlineStr">
        <is>
          <t>Pending</t>
        </is>
      </c>
      <c r="L14" s="160" t="inlineStr">
        <is>
          <t>No</t>
        </is>
      </c>
      <c r="M14" s="160" t="inlineStr"/>
      <c r="N14" s="264" t="inlineStr"/>
      <c r="O14" s="264" t="inlineStr"/>
      <c r="P14" s="264" t="inlineStr"/>
      <c r="Q14" s="264" t="inlineStr"/>
      <c r="R14" s="264" t="inlineStr"/>
      <c r="S14" s="264" t="inlineStr"/>
      <c r="T14" s="264" t="n"/>
      <c r="U14" s="264" t="n"/>
      <c r="V14" s="264" t="n"/>
      <c r="W14" s="264" t="n"/>
      <c r="X14" s="264" t="n"/>
      <c r="Y14" s="264" t="n"/>
      <c r="Z14" s="264" t="n"/>
      <c r="AA14" s="264" t="n"/>
      <c r="AB14" s="264" t="n"/>
      <c r="AC14" s="264" t="n"/>
      <c r="AD14" s="264" t="n"/>
      <c r="AE14" s="264" t="n"/>
      <c r="AF14" s="264" t="n"/>
      <c r="AG14" s="264" t="n"/>
      <c r="AH14" s="264" t="n"/>
      <c r="AI14" s="264" t="n"/>
      <c r="AJ14" s="264" t="n"/>
      <c r="AK14" s="264" t="n"/>
      <c r="AL14" s="264" t="n"/>
      <c r="AM14" s="264" t="n"/>
      <c r="AN14" s="264" t="n"/>
      <c r="AO14" s="264" t="n"/>
      <c r="AP14" s="264" t="n"/>
      <c r="AQ14" s="264" t="n"/>
      <c r="AR14" s="158">
        <f>IF($A14="","",IF(OR($N14="Yes",$T14="Yes",$Z14="Yes",$AF14="Yes",$AL14="Yes"),"Yes","No"))</f>
        <v/>
      </c>
      <c r="AS14" s="158">
        <f>IF($A14="","",IFERROR(IF($AM14&lt;&gt;"",$AM14,IF($AG14&lt;&gt;"",$AG14,IF($AA14&lt;&gt;"",$AA14,IF($U14&lt;&gt;"",$U14,IF($O14&lt;&gt;"",$O14,""))))),""))</f>
        <v/>
      </c>
      <c r="AT14" s="158">
        <f>IFERROR(IF($AN14&lt;&gt;"",$AN14,IF($AH14&lt;&gt;"",$AH14,IF($AB14&lt;&gt;"",$AB14,IF($V14&lt;&gt;"",$V14,IF($P14&lt;&gt;"",$P14,""))))),"")</f>
        <v/>
      </c>
      <c r="AU14" s="265" t="inlineStr">
        <is>
          <t>Mục đích: đối chứng với `TC-NTF-020` — cùng field lịch hẹn nhưng khác chế độ (`return` thay `retry`), nội dung/đích thông báo khác hẳn (`NTF-14` thay `NTF-13`). · Căn cứ: `DOC-v1.1-01 §8.13.1` dòng `NTF-14`. Tiền đề phụ thuộc vibe-test nhánh FR09 bên `DLV`, chưa có TC-DLV-v1.1 tại thời điểm generate.</t>
        </is>
      </c>
    </row>
    <row r="15">
      <c r="A15" s="160">
        <f>IF($F15="","",$C$2&amp;"."&amp;COUNTA($F$7:$F15)&amp;"")</f>
        <v/>
      </c>
      <c r="B15" s="160" t="inlineStr">
        <is>
          <t>REQ-NTF-012</t>
        </is>
      </c>
      <c r="C15" s="160" t="inlineStr">
        <is>
          <t>DOC-v1.1-01</t>
        </is>
      </c>
      <c r="D15" s="160" t="inlineStr">
        <is>
          <t>Functional</t>
        </is>
      </c>
      <c r="E15" s="160" t="inlineStr">
        <is>
          <t>Low</t>
        </is>
      </c>
      <c r="F15" s="11" t="inlineStr">
        <is>
          <t>Check xác nhận đã nhận lại hàng sinh thông báo NTF-15 cho hai vai</t>
        </is>
      </c>
      <c r="G15" s="11" t="inlineStr">
        <is>
          <t>- Đơn đã ở `RETURNING` (tái dùng từ `TC-NTF-021`) — không seed riêng.
- Host app FoxPro đã cài trên thiết bị Android/iOS.
Test Data: Đơn `RETURNED`, tái dùng từ `TC-NTF-021` (test_data_catalog §NTF v1.1)</t>
        </is>
      </c>
      <c r="H15" s="11" t="inlineStr">
        <is>
          <t>1. Đăng nhập tài khoản người gửi, nhấn "Xác nhận đã nhận lại hàng" và xác nhận (đẩy đơn sang `RETURNED`). (setup)
2. Đăng nhập tài khoản người vận chuyển, nhấn icon chuông, check nội dung thông báo về đơn đó.
3. Đăng nhập tài khoản người nhận, nhấn icon chuông, check nội dung thông báo về đơn đó.</t>
        </is>
      </c>
      <c r="I15" s="11" t="inlineStr">
        <is>
          <t>3. Cả người vận chuyển và người nhận đều có thông báo `NTF-15` đúng chuỗi "Đơn đã đóng — hàng đã được trả lại người gửi".</t>
        </is>
      </c>
      <c r="J15" s="160" t="inlineStr">
        <is>
          <t>AI</t>
        </is>
      </c>
      <c r="K15" s="160" t="inlineStr">
        <is>
          <t>Pending</t>
        </is>
      </c>
      <c r="L15" s="160" t="inlineStr">
        <is>
          <t>No</t>
        </is>
      </c>
      <c r="M15" s="160" t="inlineStr"/>
      <c r="N15" s="264" t="inlineStr"/>
      <c r="O15" s="264" t="inlineStr"/>
      <c r="P15" s="264" t="inlineStr"/>
      <c r="Q15" s="264" t="inlineStr"/>
      <c r="R15" s="264" t="inlineStr"/>
      <c r="S15" s="264" t="inlineStr"/>
      <c r="T15" s="264" t="n"/>
      <c r="U15" s="264" t="n"/>
      <c r="V15" s="264" t="n"/>
      <c r="W15" s="264" t="n"/>
      <c r="X15" s="264" t="n"/>
      <c r="Y15" s="264" t="n"/>
      <c r="Z15" s="264" t="n"/>
      <c r="AA15" s="264" t="n"/>
      <c r="AB15" s="264" t="n"/>
      <c r="AC15" s="264" t="n"/>
      <c r="AD15" s="264" t="n"/>
      <c r="AE15" s="264" t="n"/>
      <c r="AF15" s="264" t="n"/>
      <c r="AG15" s="264" t="n"/>
      <c r="AH15" s="264" t="n"/>
      <c r="AI15" s="264" t="n"/>
      <c r="AJ15" s="264" t="n"/>
      <c r="AK15" s="264" t="n"/>
      <c r="AL15" s="264" t="n"/>
      <c r="AM15" s="264" t="n"/>
      <c r="AN15" s="264" t="n"/>
      <c r="AO15" s="264" t="n"/>
      <c r="AP15" s="264" t="n"/>
      <c r="AQ15" s="264" t="n"/>
      <c r="AR15" s="158">
        <f>IF($A15="","",IF(OR($N15="Yes",$T15="Yes",$Z15="Yes",$AF15="Yes",$AL15="Yes"),"Yes","No"))</f>
        <v/>
      </c>
      <c r="AS15" s="158">
        <f>IF($A15="","",IFERROR(IF($AM15&lt;&gt;"",$AM15,IF($AG15&lt;&gt;"",$AG15,IF($AA15&lt;&gt;"",$AA15,IF($U15&lt;&gt;"",$U15,IF($O15&lt;&gt;"",$O15,""))))),""))</f>
        <v/>
      </c>
      <c r="AT15" s="158">
        <f>IFERROR(IF($AN15&lt;&gt;"",$AN15,IF($AH15&lt;&gt;"",$AH15,IF($AB15&lt;&gt;"",$AB15,IF($V15&lt;&gt;"",$V15,IF($P15&lt;&gt;"",$P15,""))))),"")</f>
        <v/>
      </c>
      <c r="AU15" s="265" t="inlineStr">
        <is>
          <t>Mục đích: SC cuối cùng của nhánh hoàn hàng — đóng đúng vòng đời `RETURNING → RETURNED`, cross-ref `SC-GIFT-013/014` (module `GIFT`) cùng phụ thuộc trạng thái `RETURNED` này. · Căn cứ: `DOC-v1.1-01 §8.13.1` dòng `NTF-15`.</t>
        </is>
      </c>
    </row>
    <row r="16">
      <c r="A16" s="160">
        <f>IF($F16="","",$C$2&amp;"."&amp;COUNTA($F$7:$F16)&amp;"")</f>
        <v/>
      </c>
      <c r="B16" s="160" t="inlineStr">
        <is>
          <t>REQ-NTF-001</t>
        </is>
      </c>
      <c r="C16" s="160" t="inlineStr">
        <is>
          <t>DOC-v1.0-01</t>
        </is>
      </c>
      <c r="D16" s="160" t="inlineStr">
        <is>
          <t>Functional</t>
        </is>
      </c>
      <c r="E16" s="160" t="inlineStr">
        <is>
          <t>Medium</t>
        </is>
      </c>
      <c r="F16" s="11" t="inlineStr">
        <is>
          <t>Check ghép đơn sinh thông báo cho cả người gửi và người nhận</t>
        </is>
      </c>
      <c r="G16" s="11" t="inlineStr">
        <is>
          <t>Ba tài khoản CBNV trên STG (A người gửi, B người vận chuyển, C người nhận) trên hai thiết bị.
Test Data: 1 đơn `MATCHED` có khai người nhận (test_data_catalog §NTF)</t>
        </is>
      </c>
      <c r="H16" s="11" t="inlineStr">
        <is>
          <t>1. Đăng nhập tài khoản A trên thiết bị 1, đăng 1 tin NEED khai C là người nhận, rồi đăng xuất. (setup)
2. Đăng nhập tài khoản B trên thiết bị 2, nhận đơn đó bằng "Tôi mang giúp được" và xác nhận. (setup)
3. Trên thiết bị 1, đăng nhập tài khoản A, nhấn icon chuông và check danh sách thông báo.
4. Trên thiết bị 1, đăng nhập tài khoản C, nhấn icon chuông và check danh sách thông báo.</t>
        </is>
      </c>
      <c r="I16" s="11" t="inlineStr">
        <is>
          <t>3. Tài khoản A có thông báo nội dung "Đã có người nhận mang giúp đơn của bạn — SĐT đã được lộ để liên hệ".
4. Tài khoản C có thông báo nội dung "Đơn gửi tới bạn đã có người vận chuyển nhận giao".</t>
        </is>
      </c>
      <c r="J16" s="160" t="inlineStr">
        <is>
          <t>AI</t>
        </is>
      </c>
      <c r="K16" s="160" t="inlineStr">
        <is>
          <t>Pending</t>
        </is>
      </c>
      <c r="L16" s="160" t="inlineStr">
        <is>
          <t>No</t>
        </is>
      </c>
      <c r="M16" s="160" t="inlineStr"/>
      <c r="N16" s="264" t="inlineStr"/>
      <c r="O16" s="264" t="inlineStr"/>
      <c r="P16" s="264" t="inlineStr"/>
      <c r="Q16" s="264" t="inlineStr"/>
      <c r="R16" s="264" t="inlineStr"/>
      <c r="S16" s="264" t="inlineStr"/>
      <c r="T16" s="264" t="n"/>
      <c r="U16" s="264" t="n"/>
      <c r="V16" s="264" t="n"/>
      <c r="W16" s="264" t="n"/>
      <c r="X16" s="264" t="n"/>
      <c r="Y16" s="264" t="n"/>
      <c r="Z16" s="264" t="n"/>
      <c r="AA16" s="264" t="n"/>
      <c r="AB16" s="264" t="n"/>
      <c r="AC16" s="264" t="n"/>
      <c r="AD16" s="264" t="n"/>
      <c r="AE16" s="264" t="n"/>
      <c r="AF16" s="264" t="n"/>
      <c r="AG16" s="264" t="n"/>
      <c r="AH16" s="264" t="n"/>
      <c r="AI16" s="264" t="n"/>
      <c r="AJ16" s="264" t="n"/>
      <c r="AK16" s="264" t="n"/>
      <c r="AL16" s="264" t="n"/>
      <c r="AM16" s="264" t="n"/>
      <c r="AN16" s="264" t="n"/>
      <c r="AO16" s="264" t="n"/>
      <c r="AP16" s="264" t="n"/>
      <c r="AQ16" s="264" t="n"/>
      <c r="AR16" s="158">
        <f>IF($A16="","",IF(OR($N16="Yes",$T16="Yes",$Z16="Yes",$AF16="Yes",$AL16="Yes"),"Yes","No"))</f>
        <v/>
      </c>
      <c r="AS16" s="158">
        <f>IF($A16="","",IFERROR(IF($AM16&lt;&gt;"",$AM16,IF($AG16&lt;&gt;"",$AG16,IF($AA16&lt;&gt;"",$AA16,IF($U16&lt;&gt;"",$U16,IF($O16&lt;&gt;"",$O16,""))))),""))</f>
        <v/>
      </c>
      <c r="AT16" s="158">
        <f>IFERROR(IF($AN16&lt;&gt;"",$AN16,IF($AH16&lt;&gt;"",$AH16,IF($AB16&lt;&gt;"",$AB16,IF($V16&lt;&gt;"",$V16,IF($P16&lt;&gt;"",$P16,""))))),"")</f>
        <v/>
      </c>
      <c r="AU16" s="265" t="inlineStr">
        <is>
          <t>Căn cứ: `§D6` L319-320 (`NTF-01` và `NTF-02`). Danh sách loại thông báo chính thức còn chờ `C-NTF-01`; nội dung lệch ⇒ dẫn `C-NTF-01` để BA chốt, ⛔ không tự sửa chuỗi trong TC.</t>
        </is>
      </c>
    </row>
    <row r="17">
      <c r="A17" s="160">
        <f>IF($F17="","",$C$2&amp;"."&amp;COUNTA($F$7:$F17)&amp;"")</f>
        <v/>
      </c>
      <c r="B17" s="160" t="inlineStr">
        <is>
          <t>REQ-NTF-002</t>
        </is>
      </c>
      <c r="C17" s="160" t="inlineStr">
        <is>
          <t>DOC-v1.0-01</t>
        </is>
      </c>
      <c r="D17" s="160" t="inlineStr">
        <is>
          <t>Functional</t>
        </is>
      </c>
      <c r="E17" s="160" t="inlineStr">
        <is>
          <t>Medium</t>
        </is>
      </c>
      <c r="F17" s="11" t="inlineStr">
        <is>
          <t>Check hệ thống khớp tuyến sinh thông báo cho người vận chuyển có tin OFFER</t>
        </is>
      </c>
      <c r="G17" s="11" t="inlineStr">
        <is>
          <t>Hai tài khoản CBNV trên STG (B người vận chuyển có tin OFFER, A người đăng tin NEED).
Test Data: 1 tin OFFER + 1 tin NEED khớp tuyến (test_data_catalog §NTF)</t>
        </is>
      </c>
      <c r="H17" s="11" t="inlineStr">
        <is>
          <t>1. Đăng nhập bằng tài khoản B, đăng 1 tin OFFER với điểm lấy hàng, điểm giao hàng và khung giờ xác định, rồi đăng xuất. (setup)
2. Đăng nhập bằng tài khoản A, đăng 1 tin NEED trùng đúng 2 điểm và khung giờ giao nhau với tin OFFER, rồi đăng xuất. (setup)
3. Đăng nhập bằng tài khoản B, nhấn icon chuông và check danh sách thông báo.</t>
        </is>
      </c>
      <c r="I17" s="11" t="inlineStr">
        <is>
          <t>3. Danh sách thông báo có thông báo nội dung "Tìm thấy đơn hàng phù hợp tuyến của bạn — xem chi tiết để nhận giao".</t>
        </is>
      </c>
      <c r="J17" s="160" t="inlineStr">
        <is>
          <t>AI</t>
        </is>
      </c>
      <c r="K17" s="160" t="inlineStr">
        <is>
          <t>Pending</t>
        </is>
      </c>
      <c r="L17" s="160" t="inlineStr">
        <is>
          <t>No</t>
        </is>
      </c>
      <c r="M17" s="160" t="inlineStr"/>
      <c r="N17" s="264" t="inlineStr"/>
      <c r="O17" s="264" t="inlineStr"/>
      <c r="P17" s="264" t="inlineStr"/>
      <c r="Q17" s="264" t="inlineStr"/>
      <c r="R17" s="264" t="inlineStr"/>
      <c r="S17" s="264" t="inlineStr"/>
      <c r="T17" s="264" t="n"/>
      <c r="U17" s="264" t="n"/>
      <c r="V17" s="264" t="n"/>
      <c r="W17" s="264" t="n"/>
      <c r="X17" s="264" t="n"/>
      <c r="Y17" s="264" t="n"/>
      <c r="Z17" s="264" t="n"/>
      <c r="AA17" s="264" t="n"/>
      <c r="AB17" s="264" t="n"/>
      <c r="AC17" s="264" t="n"/>
      <c r="AD17" s="264" t="n"/>
      <c r="AE17" s="264" t="n"/>
      <c r="AF17" s="264" t="n"/>
      <c r="AG17" s="264" t="n"/>
      <c r="AH17" s="264" t="n"/>
      <c r="AI17" s="264" t="n"/>
      <c r="AJ17" s="264" t="n"/>
      <c r="AK17" s="264" t="n"/>
      <c r="AL17" s="264" t="n"/>
      <c r="AM17" s="264" t="n"/>
      <c r="AN17" s="264" t="n"/>
      <c r="AO17" s="264" t="n"/>
      <c r="AP17" s="264" t="n"/>
      <c r="AQ17" s="264" t="n"/>
      <c r="AR17" s="158">
        <f>IF($A17="","",IF(OR($N17="Yes",$T17="Yes",$Z17="Yes",$AF17="Yes",$AL17="Yes"),"Yes","No"))</f>
        <v/>
      </c>
      <c r="AS17" s="158">
        <f>IF($A17="","",IFERROR(IF($AM17&lt;&gt;"",$AM17,IF($AG17&lt;&gt;"",$AG17,IF($AA17&lt;&gt;"",$AA17,IF($U17&lt;&gt;"",$U17,IF($O17&lt;&gt;"",$O17,""))))),""))</f>
        <v/>
      </c>
      <c r="AT17" s="158">
        <f>IFERROR(IF($AN17&lt;&gt;"",$AN17,IF($AH17&lt;&gt;"",$AH17,IF($AB17&lt;&gt;"",$AB17,IF($V17&lt;&gt;"",$V17,IF($P17&lt;&gt;"",$P17,""))))),"")</f>
        <v/>
      </c>
      <c r="AU17" s="265" t="inlineStr">
        <is>
          <t>Căn cứ: `§D6` L321 (`NTF-03`) + `US-D12` §D1b L186. ⛔ Không assert độ trễ hay chu kỳ quét — chưa chốt (`C-NTF-02` Partially Resolved).</t>
        </is>
      </c>
    </row>
    <row r="18">
      <c r="A18" s="160">
        <f>IF($F18="","",$C$2&amp;"."&amp;COUNTA($F$7:$F18)&amp;"")</f>
        <v/>
      </c>
      <c r="B18" s="160" t="inlineStr">
        <is>
          <t>REQ-NTF-003</t>
        </is>
      </c>
      <c r="C18" s="160" t="inlineStr">
        <is>
          <t>DOC-v1.0-01</t>
        </is>
      </c>
      <c r="D18" s="160" t="inlineStr">
        <is>
          <t>Functional</t>
        </is>
      </c>
      <c r="E18" s="160" t="inlineStr">
        <is>
          <t>Medium</t>
        </is>
      </c>
      <c r="F18" s="11" t="inlineStr">
        <is>
          <t>Check người vận chuyển lấy hàng sinh thông báo cho cả người gửi và người nhận</t>
        </is>
      </c>
      <c r="G18" s="11" t="inlineStr">
        <is>
          <t>Ba tài khoản CBNV trên STG (A người gửi, B người vận chuyển, C người nhận) trên hai thiết bị.
Test Data: 1 đơn `MATCHED` đủ 3 vai (test_data_catalog §NTF)</t>
        </is>
      </c>
      <c r="H18" s="11" t="inlineStr">
        <is>
          <t>1. Nhờ dev/QA seed 1 đơn ở trạng thái "Đã ghép" với đủ 3 vai A, B, C. (setup)
2. Đăng nhập tài khoản B trên thiết bị 2, mở màn Theo dõi đơn, nhấn "Tôi đã lấy hàng" và xác nhận trên popup.
3. Trên thiết bị 1, đăng nhập tài khoản A, nhấn icon chuông và check danh sách thông báo.
4. Trên thiết bị 1, đăng nhập tài khoản C, nhấn icon chuông và check danh sách thông báo.</t>
        </is>
      </c>
      <c r="I18" s="11" t="inlineStr">
        <is>
          <t>3. Tài khoản A có thông báo nội dung "Người vận chuyển đã lấy hàng và bắt đầu giao".
4. Tài khoản C có thông báo nội dung "Người vận chuyển đã lấy hàng và bắt đầu giao".</t>
        </is>
      </c>
      <c r="J18" s="160" t="inlineStr">
        <is>
          <t>AI</t>
        </is>
      </c>
      <c r="K18" s="160" t="inlineStr">
        <is>
          <t>Pending</t>
        </is>
      </c>
      <c r="L18" s="160" t="inlineStr">
        <is>
          <t>No</t>
        </is>
      </c>
      <c r="M18" s="160" t="inlineStr"/>
      <c r="N18" s="264" t="inlineStr"/>
      <c r="O18" s="264" t="inlineStr"/>
      <c r="P18" s="264" t="inlineStr"/>
      <c r="Q18" s="264" t="inlineStr"/>
      <c r="R18" s="264" t="inlineStr"/>
      <c r="S18" s="264" t="inlineStr"/>
      <c r="T18" s="264" t="n"/>
      <c r="U18" s="264" t="n"/>
      <c r="V18" s="264" t="n"/>
      <c r="W18" s="264" t="n"/>
      <c r="X18" s="264" t="n"/>
      <c r="Y18" s="264" t="n"/>
      <c r="Z18" s="264" t="n"/>
      <c r="AA18" s="264" t="n"/>
      <c r="AB18" s="264" t="n"/>
      <c r="AC18" s="264" t="n"/>
      <c r="AD18" s="264" t="n"/>
      <c r="AE18" s="264" t="n"/>
      <c r="AF18" s="264" t="n"/>
      <c r="AG18" s="264" t="n"/>
      <c r="AH18" s="264" t="n"/>
      <c r="AI18" s="264" t="n"/>
      <c r="AJ18" s="264" t="n"/>
      <c r="AK18" s="264" t="n"/>
      <c r="AL18" s="264" t="n"/>
      <c r="AM18" s="264" t="n"/>
      <c r="AN18" s="264" t="n"/>
      <c r="AO18" s="264" t="n"/>
      <c r="AP18" s="264" t="n"/>
      <c r="AQ18" s="264" t="n"/>
      <c r="AR18" s="158">
        <f>IF($A18="","",IF(OR($N18="Yes",$T18="Yes",$Z18="Yes",$AF18="Yes",$AL18="Yes"),"Yes","No"))</f>
        <v/>
      </c>
      <c r="AS18" s="158">
        <f>IF($A18="","",IFERROR(IF($AM18&lt;&gt;"",$AM18,IF($AG18&lt;&gt;"",$AG18,IF($AA18&lt;&gt;"",$AA18,IF($U18&lt;&gt;"",$U18,IF($O18&lt;&gt;"",$O18,""))))),""))</f>
        <v/>
      </c>
      <c r="AT18" s="158">
        <f>IFERROR(IF($AN18&lt;&gt;"",$AN18,IF($AH18&lt;&gt;"",$AH18,IF($AB18&lt;&gt;"",$AB18,IF($V18&lt;&gt;"",$V18,IF($P18&lt;&gt;"",$P18,""))))),"")</f>
        <v/>
      </c>
      <c r="AU18" s="265" t="inlineStr">
        <is>
          <t>Mục đích: `NTF-04` có **2 người nhận** ⇒ phải kiểm cả hai, thiếu một vai là bỏ sót nửa rule. · Căn cứ: `§D6` L322.</t>
        </is>
      </c>
    </row>
    <row r="19">
      <c r="A19" s="160">
        <f>IF($F19="","",$C$2&amp;"."&amp;COUNTA($F$7:$F19)&amp;"")</f>
        <v/>
      </c>
      <c r="B19" s="160" t="inlineStr">
        <is>
          <t>REQ-NTF-003</t>
        </is>
      </c>
      <c r="C19" s="160" t="inlineStr">
        <is>
          <t>DOC-v1.0-01</t>
        </is>
      </c>
      <c r="D19" s="160" t="inlineStr">
        <is>
          <t>Functional</t>
        </is>
      </c>
      <c r="E19" s="160" t="inlineStr">
        <is>
          <t>Medium</t>
        </is>
      </c>
      <c r="F19" s="11" t="inlineStr">
        <is>
          <t>Check người vận chuyển giao hàng sinh thông báo cho cả người nhận và người gửi</t>
        </is>
      </c>
      <c r="G19" s="11" t="inlineStr">
        <is>
          <t>Ba tài khoản CBNV trên STG (A người gửi, B người vận chuyển, C người nhận) trên hai thiết bị.
Test Data: 1 đơn `IN_TRANSIT` đủ 3 vai (test_data_catalog §NTF)</t>
        </is>
      </c>
      <c r="H19" s="11" t="inlineStr">
        <is>
          <t>1. Nhờ dev/QA seed 1 đơn ở trạng thái "Đang giao" với đủ 3 vai A, B, C. (setup)
2. Đăng nhập tài khoản B trên thiết bị 2, mở màn Theo dõi đơn, nhấn "Đã giao cho người nhận" và xác nhận trên popup.
3. Trên thiết bị 1, đăng nhập tài khoản C, nhấn icon chuông và check danh sách thông báo.
4. Trên thiết bị 1, đăng nhập tài khoản A, nhấn icon chuông và check danh sách thông báo.</t>
        </is>
      </c>
      <c r="I19" s="11" t="inlineStr">
        <is>
          <t>3. Tài khoản C có thông báo nội dung "Đơn đã được giao — vui lòng xác nhận đã nhận hàng".
4. Tài khoản A có thông báo nội dung "Đơn đã được giao — vui lòng xác nhận đã nhận hàng".</t>
        </is>
      </c>
      <c r="J19" s="160" t="inlineStr">
        <is>
          <t>AI</t>
        </is>
      </c>
      <c r="K19" s="160" t="inlineStr">
        <is>
          <t>Pending</t>
        </is>
      </c>
      <c r="L19" s="160" t="inlineStr">
        <is>
          <t>No</t>
        </is>
      </c>
      <c r="M19" s="160" t="inlineStr"/>
      <c r="N19" s="264" t="inlineStr"/>
      <c r="O19" s="264" t="inlineStr"/>
      <c r="P19" s="264" t="inlineStr"/>
      <c r="Q19" s="264" t="inlineStr"/>
      <c r="R19" s="264" t="inlineStr"/>
      <c r="S19" s="264" t="inlineStr"/>
      <c r="T19" s="264" t="n"/>
      <c r="U19" s="264" t="n"/>
      <c r="V19" s="264" t="n"/>
      <c r="W19" s="264" t="n"/>
      <c r="X19" s="264" t="n"/>
      <c r="Y19" s="264" t="n"/>
      <c r="Z19" s="264" t="n"/>
      <c r="AA19" s="264" t="n"/>
      <c r="AB19" s="264" t="n"/>
      <c r="AC19" s="264" t="n"/>
      <c r="AD19" s="264" t="n"/>
      <c r="AE19" s="264" t="n"/>
      <c r="AF19" s="264" t="n"/>
      <c r="AG19" s="264" t="n"/>
      <c r="AH19" s="264" t="n"/>
      <c r="AI19" s="264" t="n"/>
      <c r="AJ19" s="264" t="n"/>
      <c r="AK19" s="264" t="n"/>
      <c r="AL19" s="264" t="n"/>
      <c r="AM19" s="264" t="n"/>
      <c r="AN19" s="264" t="n"/>
      <c r="AO19" s="264" t="n"/>
      <c r="AP19" s="264" t="n"/>
      <c r="AQ19" s="264" t="n"/>
      <c r="AR19" s="158">
        <f>IF($A19="","",IF(OR($N19="Yes",$T19="Yes",$Z19="Yes",$AF19="Yes",$AL19="Yes"),"Yes","No"))</f>
        <v/>
      </c>
      <c r="AS19" s="158">
        <f>IF($A19="","",IFERROR(IF($AM19&lt;&gt;"",$AM19,IF($AG19&lt;&gt;"",$AG19,IF($AA19&lt;&gt;"",$AA19,IF($U19&lt;&gt;"",$U19,IF($O19&lt;&gt;"",$O19,""))))),""))</f>
        <v/>
      </c>
      <c r="AT19" s="158">
        <f>IFERROR(IF($AN19&lt;&gt;"",$AN19,IF($AH19&lt;&gt;"",$AH19,IF($AB19&lt;&gt;"",$AB19,IF($V19&lt;&gt;"",$V19,IF($P19&lt;&gt;"",$P19,""))))),"")</f>
        <v/>
      </c>
      <c r="AU19" s="265" t="inlineStr">
        <is>
          <t>Mục đích: `NTF-05` có 2 người nhận. · Căn cứ: `§D6` L323.</t>
        </is>
      </c>
    </row>
    <row r="20">
      <c r="A20" s="160">
        <f>IF($F20="","",$C$2&amp;"."&amp;COUNTA($F$7:$F20)&amp;"")</f>
        <v/>
      </c>
      <c r="B20" s="160" t="inlineStr">
        <is>
          <t>REQ-NTF-004</t>
        </is>
      </c>
      <c r="C20" s="160" t="inlineStr">
        <is>
          <t>DOC-v1.0-01 · DOC-v1.0-06</t>
        </is>
      </c>
      <c r="D20" s="160" t="inlineStr">
        <is>
          <t>Functional</t>
        </is>
      </c>
      <c r="E20" s="160" t="inlineStr">
        <is>
          <t>Medium</t>
        </is>
      </c>
      <c r="F20" s="11" t="inlineStr">
        <is>
          <t>Check huỷ đơn sinh thông báo nêu rõ vai người huỷ kèm lý do cho các bên còn lại</t>
        </is>
      </c>
      <c r="G20" s="11" t="inlineStr">
        <is>
          <t>Ba tài khoản CBNV trên STG (A người gửi, B người vận chuyển, C người nhận) trên hai thiết bị.
Test Data: 1 đơn `MATCHED`; lý do huỷ ≥5 ký tự (test_data_catalog §NTF)</t>
        </is>
      </c>
      <c r="H20" s="11" t="inlineStr">
        <is>
          <t>1. Nhờ dev/QA seed 1 đơn ở trạng thái "Đã ghép" với đủ 3 vai A, B, C. (setup)
2. Đăng nhập tài khoản A trên thiết bị 1, mở đơn đó, nhấn "Huỷ đơn", nhập lý do "Nguoi nhan da tu di lay" và xác nhận.
3. Trên thiết bị 2, đăng nhập tài khoản B, nhấn icon chuông và check nội dung thông báo về đơn đó.
4. Trên thiết bị 2, đăng nhập tài khoản C, nhấn icon chuông và check nội dung thông báo về đơn đó.</t>
        </is>
      </c>
      <c r="I20" s="11" t="inlineStr">
        <is>
          <t>3. Tài khoản B có thông báo nêu vai người huỷ là "Người gửi" kèm lý do "Nguoi nhan da tu di lay".
4. Tài khoản C có thông báo nêu vai người huỷ là "Người gửi" kèm lý do "Nguoi nhan da tu di lay".</t>
        </is>
      </c>
      <c r="J20" s="160" t="inlineStr">
        <is>
          <t>AI</t>
        </is>
      </c>
      <c r="K20" s="160" t="inlineStr">
        <is>
          <t>Pending</t>
        </is>
      </c>
      <c r="L20" s="160" t="inlineStr">
        <is>
          <t>No</t>
        </is>
      </c>
      <c r="M20" s="160" t="inlineStr"/>
      <c r="N20" s="264" t="inlineStr"/>
      <c r="O20" s="264" t="inlineStr"/>
      <c r="P20" s="264" t="inlineStr"/>
      <c r="Q20" s="264" t="inlineStr"/>
      <c r="R20" s="264" t="inlineStr"/>
      <c r="S20" s="264" t="inlineStr"/>
      <c r="T20" s="264" t="n"/>
      <c r="U20" s="264" t="n"/>
      <c r="V20" s="264" t="n"/>
      <c r="W20" s="264" t="n"/>
      <c r="X20" s="264" t="n"/>
      <c r="Y20" s="264" t="n"/>
      <c r="Z20" s="264" t="n"/>
      <c r="AA20" s="264" t="n"/>
      <c r="AB20" s="264" t="n"/>
      <c r="AC20" s="264" t="n"/>
      <c r="AD20" s="264" t="n"/>
      <c r="AE20" s="264" t="n"/>
      <c r="AF20" s="264" t="n"/>
      <c r="AG20" s="264" t="n"/>
      <c r="AH20" s="264" t="n"/>
      <c r="AI20" s="264" t="n"/>
      <c r="AJ20" s="264" t="n"/>
      <c r="AK20" s="264" t="n"/>
      <c r="AL20" s="264" t="n"/>
      <c r="AM20" s="264" t="n"/>
      <c r="AN20" s="264" t="n"/>
      <c r="AO20" s="264" t="n"/>
      <c r="AP20" s="264" t="n"/>
      <c r="AQ20" s="264" t="n"/>
      <c r="AR20" s="158">
        <f>IF($A20="","",IF(OR($N20="Yes",$T20="Yes",$Z20="Yes",$AF20="Yes",$AL20="Yes"),"Yes","No"))</f>
        <v/>
      </c>
      <c r="AS20" s="158">
        <f>IF($A20="","",IFERROR(IF($AM20&lt;&gt;"",$AM20,IF($AG20&lt;&gt;"",$AG20,IF($AA20&lt;&gt;"",$AA20,IF($U20&lt;&gt;"",$U20,IF($O20&lt;&gt;"",$O20,""))))),""))</f>
        <v/>
      </c>
      <c r="AT20" s="158">
        <f>IFERROR(IF($AN20&lt;&gt;"",$AN20,IF($AH20&lt;&gt;"",$AH20,IF($AB20&lt;&gt;"",$AB20,IF($V20&lt;&gt;"",$V20,IF($P20&lt;&gt;"",$P20,""))))),"")</f>
        <v/>
      </c>
      <c r="AU20" s="265" t="inlineStr">
        <is>
          <t>Căn cứ: `§D6` L326 (`NTF-08`). Nhánh Carrier huỷ nhận có thêm câu "Đơn đang chờ người vận chuyển mới…" theo Figma (`KP-07` hàng #8) — nhánh đó thuộc `TC-CNL-007`, ⛔ không nhồi vào TC này.</t>
        </is>
      </c>
    </row>
    <row r="21" ht="15.75" customHeight="1" s="216">
      <c r="A21" s="160">
        <f>IF($F21="","",$C$2&amp;"."&amp;COUNTA($F$7:$F21)&amp;"")</f>
        <v/>
      </c>
      <c r="B21" s="160" t="inlineStr">
        <is>
          <t>REQ-NTF-004</t>
        </is>
      </c>
      <c r="C21" s="160" t="inlineStr">
        <is>
          <t>DOC-v1.0-01</t>
        </is>
      </c>
      <c r="D21" s="160" t="inlineStr">
        <is>
          <t>Functional</t>
        </is>
      </c>
      <c r="E21" s="160" t="inlineStr">
        <is>
          <t>Medium</t>
        </is>
      </c>
      <c r="F21" s="11" t="inlineStr">
        <is>
          <t>Check tin quá hạn sinh thông báo cho người đăng tin</t>
        </is>
      </c>
      <c r="G21" s="11" t="inlineStr">
        <is>
          <t>Tài khoản A trên STG.
Test Data: 1 tin NEED "Hết hạn" (test_data_catalog §NTF — ⛔ không seed được qua UI)</t>
        </is>
      </c>
      <c r="H21" s="11" t="inlineStr">
        <is>
          <t>1. Nhờ dev/QA seed 1 tin NEED của tài khoản A có "Đến ngày" vừa trôi qua và chưa ai nhận, để hệ thống chuyển tin sang "Hết hạn". (setup)
2. Đăng nhập FoxEco bằng tài khoản A.
3. Nhấn icon chuông và check danh sách thông báo.</t>
        </is>
      </c>
      <c r="I21" s="11" t="inlineStr">
        <is>
          <t>3. Danh sách thông báo có thông báo nội dung "Tin của bạn đã quá hạn — gỡ hoặc đăng lại nếu vẫn cần".</t>
        </is>
      </c>
      <c r="J21" s="160" t="inlineStr">
        <is>
          <t>AI</t>
        </is>
      </c>
      <c r="K21" s="160" t="inlineStr">
        <is>
          <t>Pending</t>
        </is>
      </c>
      <c r="L21" s="160" t="inlineStr">
        <is>
          <t>No</t>
        </is>
      </c>
      <c r="M21" s="160" t="inlineStr"/>
      <c r="N21" s="264" t="inlineStr"/>
      <c r="O21" s="264" t="inlineStr"/>
      <c r="P21" s="264" t="inlineStr"/>
      <c r="Q21" s="264" t="inlineStr"/>
      <c r="R21" s="264" t="inlineStr"/>
      <c r="S21" s="264" t="inlineStr"/>
      <c r="T21" s="264" t="n"/>
      <c r="U21" s="264" t="n"/>
      <c r="V21" s="264" t="n"/>
      <c r="W21" s="264" t="n"/>
      <c r="X21" s="264" t="n"/>
      <c r="Y21" s="264" t="n"/>
      <c r="Z21" s="264" t="n"/>
      <c r="AA21" s="264" t="n"/>
      <c r="AB21" s="264" t="n"/>
      <c r="AC21" s="264" t="n"/>
      <c r="AD21" s="264" t="n"/>
      <c r="AE21" s="264" t="n"/>
      <c r="AF21" s="264" t="n"/>
      <c r="AG21" s="264" t="n"/>
      <c r="AH21" s="264" t="n"/>
      <c r="AI21" s="264" t="n"/>
      <c r="AJ21" s="264" t="n"/>
      <c r="AK21" s="264" t="n"/>
      <c r="AL21" s="264" t="n"/>
      <c r="AM21" s="264" t="n"/>
      <c r="AN21" s="264" t="n"/>
      <c r="AO21" s="264" t="n"/>
      <c r="AP21" s="264" t="n"/>
      <c r="AQ21" s="264" t="n"/>
      <c r="AR21" s="158">
        <f>IF($A21="","",IF(OR($N21="Yes",$T21="Yes",$Z21="Yes",$AF21="Yes",$AL21="Yes"),"Yes","No"))</f>
        <v/>
      </c>
      <c r="AS21" s="158">
        <f>IF($A21="","",IFERROR(IF($AM21&lt;&gt;"",$AM21,IF($AG21&lt;&gt;"",$AG21,IF($AA21&lt;&gt;"",$AA21,IF($U21&lt;&gt;"",$U21,IF($O21&lt;&gt;"",$O21,""))))),""))</f>
        <v/>
      </c>
      <c r="AT21" s="158">
        <f>IFERROR(IF($AN21&lt;&gt;"",$AN21,IF($AH21&lt;&gt;"",$AH21,IF($AB21&lt;&gt;"",$AB21,IF($V21&lt;&gt;"",$V21,IF($P21&lt;&gt;"",$P21,""))))),"")</f>
        <v/>
      </c>
      <c r="AU21" s="265" t="inlineStr">
        <is>
          <t>Căn cứ: `§D6` L327 (`NTF-09`).</t>
        </is>
      </c>
    </row>
    <row r="22" ht="15.75" customHeight="1" s="216">
      <c r="A22" s="160">
        <f>IF($F22="","",$C$2&amp;"."&amp;COUNTA($F$7:$F22)&amp;"")</f>
        <v/>
      </c>
      <c r="B22" s="160" t="inlineStr">
        <is>
          <t>REQ-NTF-006</t>
        </is>
      </c>
      <c r="C22" s="160" t="inlineStr">
        <is>
          <t>DOC-v1.0-02 · DOC-v1.0-04</t>
        </is>
      </c>
      <c r="D22" s="160" t="inlineStr">
        <is>
          <t>UI</t>
        </is>
      </c>
      <c r="E22" s="160" t="inlineStr">
        <is>
          <t>Medium</t>
        </is>
      </c>
      <c r="F22" s="11" t="inlineStr">
        <is>
          <t>Check màn Thông báo nhóm danh sách theo mốc "Hôm nay", "Hôm qua" và "Tuần này"</t>
        </is>
      </c>
      <c r="G22" s="11" t="inlineStr">
        <is>
          <t>Tài khoản A trên STG có thông báo phát sinh hôm nay, hôm qua và trong tuần này.
Test Data: Thông báo ở 3 mốc thời gian (test_data_catalog §NTF)</t>
        </is>
      </c>
      <c r="H22" s="11" t="inlineStr">
        <is>
          <t>1. Nhờ dev/QA seed cho tài khoản A thông báo ở 3 mốc thời gian: hôm nay, hôm qua và trong tuần này. (setup)
2. Đăng nhập FoxEco bằng tài khoản A và nhấn icon chuông.
3. Check các tiêu đề nhóm và thứ tự nhóm trong danh sách.</t>
        </is>
      </c>
      <c r="I22" s="11" t="inlineStr">
        <is>
          <t>3. Danh sách có nhóm "Hôm nay", nhóm "Hôm qua" và nhóm "Tuần này", mỗi thông báo nằm đúng nhóm theo thời gian phát sinh.</t>
        </is>
      </c>
      <c r="J22" s="160" t="inlineStr">
        <is>
          <t>AI</t>
        </is>
      </c>
      <c r="K22" s="160" t="inlineStr">
        <is>
          <t>Pending</t>
        </is>
      </c>
      <c r="L22" s="160" t="inlineStr">
        <is>
          <t>No</t>
        </is>
      </c>
      <c r="M22" s="160" t="inlineStr"/>
      <c r="N22" s="264" t="inlineStr"/>
      <c r="O22" s="264" t="inlineStr"/>
      <c r="P22" s="264" t="inlineStr"/>
      <c r="Q22" s="264" t="inlineStr"/>
      <c r="R22" s="264" t="inlineStr"/>
      <c r="S22" s="264" t="inlineStr"/>
      <c r="T22" s="264" t="n"/>
      <c r="U22" s="264" t="n"/>
      <c r="V22" s="264" t="n"/>
      <c r="W22" s="264" t="n"/>
      <c r="X22" s="264" t="n"/>
      <c r="Y22" s="264" t="n"/>
      <c r="Z22" s="264" t="n"/>
      <c r="AA22" s="264" t="n"/>
      <c r="AB22" s="264" t="n"/>
      <c r="AC22" s="264" t="n"/>
      <c r="AD22" s="264" t="n"/>
      <c r="AE22" s="264" t="n"/>
      <c r="AF22" s="264" t="n"/>
      <c r="AG22" s="264" t="n"/>
      <c r="AH22" s="264" t="n"/>
      <c r="AI22" s="264" t="n"/>
      <c r="AJ22" s="264" t="n"/>
      <c r="AK22" s="264" t="n"/>
      <c r="AL22" s="264" t="n"/>
      <c r="AM22" s="264" t="n"/>
      <c r="AN22" s="264" t="n"/>
      <c r="AO22" s="264" t="n"/>
      <c r="AP22" s="264" t="n"/>
      <c r="AQ22" s="264" t="n"/>
      <c r="AR22" s="158">
        <f>IF($A22="","",IF(OR($N22="Yes",$T22="Yes",$Z22="Yes",$AF22="Yes",$AL22="Yes"),"Yes","No"))</f>
        <v/>
      </c>
      <c r="AS22" s="158">
        <f>IF($A22="","",IFERROR(IF($AM22&lt;&gt;"",$AM22,IF($AG22&lt;&gt;"",$AG22,IF($AA22&lt;&gt;"",$AA22,IF($U22&lt;&gt;"",$U22,IF($O22&lt;&gt;"",$O22,""))))),""))</f>
        <v/>
      </c>
      <c r="AT22" s="158">
        <f>IFERROR(IF($AN22&lt;&gt;"",$AN22,IF($AH22&lt;&gt;"",$AH22,IF($AB22&lt;&gt;"",$AB22,IF($V22&lt;&gt;"",$V22,IF($P22&lt;&gt;"",$P22,""))))),"")</f>
        <v/>
      </c>
      <c r="AU22" s="265" t="inlineStr">
        <is>
          <t>Căn cứ: `DOC-v1.0-02` §3.2 + ảnh Figma `3e626d39…`. ⛔ Không assert nhóm cho thông báo cũ hơn 1 tuần — không có nguồn mô tả.</t>
        </is>
      </c>
    </row>
    <row r="23" ht="15.75" customHeight="1" s="216">
      <c r="A23" s="160">
        <f>IF($F23="","",$C$2&amp;"."&amp;COUNTA($F$7:$F23)&amp;"")</f>
        <v/>
      </c>
      <c r="B23" s="160" t="inlineStr">
        <is>
          <t>REQ-NTF-007</t>
        </is>
      </c>
      <c r="C23" s="160" t="inlineStr">
        <is>
          <t>DOC-v1.0-06 · DOC-v1.0-04</t>
        </is>
      </c>
      <c r="D23" s="160" t="inlineStr">
        <is>
          <t>UI</t>
        </is>
      </c>
      <c r="E23" s="160" t="inlineStr">
        <is>
          <t>Low</t>
        </is>
      </c>
      <c r="F23" s="11" t="inlineStr">
        <is>
          <t>Check chấm đỏ đánh dấu theo từng thông báo chứ không theo cả nhóm thời gian</t>
        </is>
      </c>
      <c r="G23" s="11" t="inlineStr">
        <is>
          <t>Tài khoản A trên STG có ≥2 thông báo chưa đọc và ≥1 thông báo đã đọc trong cùng một nhóm thời gian.
Test Data: 3 thông báo cùng nhóm thời gian, 1 đã đọc (test_data_catalog §NTF, biên)</t>
        </is>
      </c>
      <c r="H23" s="11" t="inlineStr">
        <is>
          <t>1. Nhờ dev/QA seed cho tài khoản A 3 thông báo cùng phát sinh trong hôm nay. (setup)
2. Đăng nhập FoxEco bằng tài khoản A, nhấn icon chuông và mở thông báo đầu tiên để nó thành đã đọc. (setup)
3. Nhấn nút quay lại về màn Thông báo.
4. Check chấm đỏ trên từng item trong nhóm "Hôm nay".</t>
        </is>
      </c>
      <c r="I23" s="11" t="inlineStr">
        <is>
          <t>4. Thông báo đã mở ở bước 2 KHÔNG có chấm đỏ; 2 thông báo còn lại vẫn có chấm đỏ riêng của từng item; tiêu đề nhóm "Hôm nay" không mang chấm đỏ chung.</t>
        </is>
      </c>
      <c r="J23" s="160" t="inlineStr">
        <is>
          <t>AI</t>
        </is>
      </c>
      <c r="K23" s="160" t="inlineStr">
        <is>
          <t>Pending</t>
        </is>
      </c>
      <c r="L23" s="160" t="inlineStr">
        <is>
          <t>No</t>
        </is>
      </c>
      <c r="M23" s="160" t="inlineStr"/>
      <c r="N23" s="264" t="inlineStr"/>
      <c r="O23" s="264" t="inlineStr"/>
      <c r="P23" s="264" t="inlineStr"/>
      <c r="Q23" s="264" t="inlineStr"/>
      <c r="R23" s="264" t="inlineStr"/>
      <c r="S23" s="264" t="inlineStr"/>
      <c r="T23" s="264" t="n"/>
      <c r="U23" s="264" t="n"/>
      <c r="V23" s="264" t="n"/>
      <c r="W23" s="264" t="n"/>
      <c r="X23" s="264" t="n"/>
      <c r="Y23" s="264" t="n"/>
      <c r="Z23" s="264" t="n"/>
      <c r="AA23" s="264" t="n"/>
      <c r="AB23" s="264" t="n"/>
      <c r="AC23" s="264" t="n"/>
      <c r="AD23" s="264" t="n"/>
      <c r="AE23" s="264" t="n"/>
      <c r="AF23" s="264" t="n"/>
      <c r="AG23" s="264" t="n"/>
      <c r="AH23" s="264" t="n"/>
      <c r="AI23" s="264" t="n"/>
      <c r="AJ23" s="264" t="n"/>
      <c r="AK23" s="264" t="n"/>
      <c r="AL23" s="264" t="n"/>
      <c r="AM23" s="264" t="n"/>
      <c r="AN23" s="264" t="n"/>
      <c r="AO23" s="264" t="n"/>
      <c r="AP23" s="264" t="n"/>
      <c r="AQ23" s="264" t="n"/>
      <c r="AR23" s="158">
        <f>IF($A23="","",IF(OR($N23="Yes",$T23="Yes",$Z23="Yes",$AF23="Yes",$AL23="Yes"),"Yes","No"))</f>
        <v/>
      </c>
      <c r="AS23" s="158">
        <f>IF($A23="","",IFERROR(IF($AM23&lt;&gt;"",$AM23,IF($AG23&lt;&gt;"",$AG23,IF($AA23&lt;&gt;"",$AA23,IF($U23&lt;&gt;"",$U23,IF($O23&lt;&gt;"",$O23,""))))),""))</f>
        <v/>
      </c>
      <c r="AT23" s="158">
        <f>IFERROR(IF($AN23&lt;&gt;"",$AN23,IF($AH23&lt;&gt;"",$AH23,IF($AB23&lt;&gt;"",$AB23,IF($V23&lt;&gt;"",$V23,IF($P23&lt;&gt;"",$P23,""))))),"")</f>
        <v/>
      </c>
      <c r="AU23" s="265" t="inlineStr">
        <is>
          <t>Căn cứ: `KB-NTF-01` + ảnh Figma `3e626d39…` — trạng thái đọc theo **từng item**.</t>
        </is>
      </c>
    </row>
    <row r="24" ht="15.75" customHeight="1" s="216">
      <c r="A24" s="160">
        <f>IF($F24="","",$C$2&amp;"."&amp;COUNTA($F$7:$F24)&amp;"")</f>
        <v/>
      </c>
      <c r="B24" s="160" t="inlineStr">
        <is>
          <t>REQ-NTF-007</t>
        </is>
      </c>
      <c r="C24" s="160" t="inlineStr">
        <is>
          <t>DOC-v1.0-06</t>
        </is>
      </c>
      <c r="D24" s="160" t="inlineStr">
        <is>
          <t>Functional</t>
        </is>
      </c>
      <c r="E24" s="160" t="inlineStr">
        <is>
          <t>Low</t>
        </is>
      </c>
      <c r="F24" s="11" t="inlineStr">
        <is>
          <t>Check mở một thông báo chưa đọc chỉ hạ chấm đỏ của đúng thông báo đó</t>
        </is>
      </c>
      <c r="G24" s="11" t="inlineStr">
        <is>
          <t>Tài khoản A trên STG có ≥2 thông báo chưa đọc.
Test Data: 2 thông báo chưa đọc (test_data_catalog §NTF)</t>
        </is>
      </c>
      <c r="H24" s="11" t="inlineStr">
        <is>
          <t>1. Nhờ dev/QA seed cho tài khoản A 2 thông báo chưa đọc. (setup)
2. Đăng nhập FoxEco bằng tài khoản A và nhấn icon chuông.
3. Ghi lại thứ tự và nội dung 2 thông báo đang có chấm đỏ.
4. Nhấn vào thông báo thứ nhất, sau đó nhấn nút quay lại về màn Thông báo.
5. Check chấm đỏ của cả 2 thông báo.</t>
        </is>
      </c>
      <c r="I24" s="11" t="inlineStr">
        <is>
          <t>5. Thông báo thứ nhất KHÔNG còn chấm đỏ; thông báo thứ hai VẪN còn chấm đỏ.</t>
        </is>
      </c>
      <c r="J24" s="160" t="inlineStr">
        <is>
          <t>AI</t>
        </is>
      </c>
      <c r="K24" s="160" t="inlineStr">
        <is>
          <t>Pending</t>
        </is>
      </c>
      <c r="L24" s="160" t="inlineStr">
        <is>
          <t>No</t>
        </is>
      </c>
      <c r="M24" s="160" t="inlineStr"/>
      <c r="N24" s="264" t="inlineStr"/>
      <c r="O24" s="264" t="inlineStr"/>
      <c r="P24" s="264" t="inlineStr"/>
      <c r="Q24" s="264" t="inlineStr"/>
      <c r="R24" s="264" t="inlineStr"/>
      <c r="S24" s="264" t="inlineStr"/>
      <c r="T24" s="264" t="n"/>
      <c r="U24" s="264" t="n"/>
      <c r="V24" s="264" t="n"/>
      <c r="W24" s="264" t="n"/>
      <c r="X24" s="264" t="n"/>
      <c r="Y24" s="264" t="n"/>
      <c r="Z24" s="264" t="n"/>
      <c r="AA24" s="264" t="n"/>
      <c r="AB24" s="264" t="n"/>
      <c r="AC24" s="264" t="n"/>
      <c r="AD24" s="264" t="n"/>
      <c r="AE24" s="264" t="n"/>
      <c r="AF24" s="264" t="n"/>
      <c r="AG24" s="264" t="n"/>
      <c r="AH24" s="264" t="n"/>
      <c r="AI24" s="264" t="n"/>
      <c r="AJ24" s="264" t="n"/>
      <c r="AK24" s="264" t="n"/>
      <c r="AL24" s="264" t="n"/>
      <c r="AM24" s="264" t="n"/>
      <c r="AN24" s="264" t="n"/>
      <c r="AO24" s="264" t="n"/>
      <c r="AP24" s="264" t="n"/>
      <c r="AQ24" s="264" t="n"/>
      <c r="AR24" s="158">
        <f>IF($A24="","",IF(OR($N24="Yes",$T24="Yes",$Z24="Yes",$AF24="Yes",$AL24="Yes"),"Yes","No"))</f>
        <v/>
      </c>
      <c r="AS24" s="158">
        <f>IF($A24="","",IFERROR(IF($AM24&lt;&gt;"",$AM24,IF($AG24&lt;&gt;"",$AG24,IF($AA24&lt;&gt;"",$AA24,IF($U24&lt;&gt;"",$U24,IF($O24&lt;&gt;"",$O24,""))))),""))</f>
        <v/>
      </c>
      <c r="AT24" s="158">
        <f>IFERROR(IF($AN24&lt;&gt;"",$AN24,IF($AH24&lt;&gt;"",$AH24,IF($AB24&lt;&gt;"",$AB24,IF($V24&lt;&gt;"",$V24,IF($P24&lt;&gt;"",$P24,""))))),"")</f>
        <v/>
      </c>
      <c r="AU24" s="265" t="inlineStr">
        <is>
          <t>Mục đích: neo vào `C-NTF-03(a)` Open — chỉ assert vế suy được từ `KB-NTF-01` (trạng thái theo từng item). · Căn cứ: ⛔ không assert nút "Đánh dấu đã đọc" là mark-all hay mark-per-item; cơ chế nút chờ BA chốt.</t>
        </is>
      </c>
    </row>
    <row r="25" ht="15.75" customHeight="1" s="216">
      <c r="A25" s="160">
        <f>IF($F25="","",$C$2&amp;"."&amp;COUNTA($F$7:$F25)&amp;"")</f>
        <v/>
      </c>
      <c r="B25" s="160" t="inlineStr">
        <is>
          <t>REQ-NTF-008</t>
        </is>
      </c>
      <c r="C25" s="160" t="inlineStr">
        <is>
          <t>DOC-v1.0-06</t>
        </is>
      </c>
      <c r="D25" s="160" t="inlineStr">
        <is>
          <t>Functional</t>
        </is>
      </c>
      <c r="E25" s="160" t="inlineStr">
        <is>
          <t>Low</t>
        </is>
      </c>
      <c r="F25" s="11" t="inlineStr">
        <is>
          <t>Check cuộn tới cuối danh sách thông báo tải thêm dữ liệu</t>
        </is>
      </c>
      <c r="G25" s="11" t="inlineStr">
        <is>
          <t>Tài khoản A trên STG có danh sách thông báo dài hơn một trang hiển thị.
Test Data: Danh sách thông báo dài hơn 1 trang (test_data_catalog §NTF, biên)</t>
        </is>
      </c>
      <c r="H25" s="11" t="inlineStr">
        <is>
          <t>1. Nhờ dev/QA seed cho tài khoản A lượng thông báo đủ dài hơn một trang hiển thị. (setup)
2. Đăng nhập FoxEco bằng tài khoản A và nhấn icon chuông.
3. Ghi lại nội dung thông báo cuối cùng đang hiển thị.
4. Cuộn xuống cuối danh sách và chờ danh sách phản hồi.
5. Check danh sách sau khi cuộn.</t>
        </is>
      </c>
      <c r="I25" s="11" t="inlineStr">
        <is>
          <t>5. Danh sách hiển thị thêm thông báo nằm sau thông báo đã ghi ở bước 3; danh sách không dừng lại ở trang đầu.</t>
        </is>
      </c>
      <c r="J25" s="160" t="inlineStr">
        <is>
          <t>AI</t>
        </is>
      </c>
      <c r="K25" s="160" t="inlineStr">
        <is>
          <t>Pending</t>
        </is>
      </c>
      <c r="L25" s="160" t="inlineStr">
        <is>
          <t>No</t>
        </is>
      </c>
      <c r="M25" s="160" t="inlineStr"/>
      <c r="N25" s="264" t="inlineStr"/>
      <c r="O25" s="264" t="inlineStr"/>
      <c r="P25" s="264" t="inlineStr"/>
      <c r="Q25" s="264" t="inlineStr"/>
      <c r="R25" s="264" t="inlineStr"/>
      <c r="S25" s="264" t="inlineStr"/>
      <c r="T25" s="264" t="n"/>
      <c r="U25" s="264" t="n"/>
      <c r="V25" s="264" t="n"/>
      <c r="W25" s="264" t="n"/>
      <c r="X25" s="264" t="n"/>
      <c r="Y25" s="264" t="n"/>
      <c r="Z25" s="264" t="n"/>
      <c r="AA25" s="264" t="n"/>
      <c r="AB25" s="264" t="n"/>
      <c r="AC25" s="264" t="n"/>
      <c r="AD25" s="264" t="n"/>
      <c r="AE25" s="264" t="n"/>
      <c r="AF25" s="264" t="n"/>
      <c r="AG25" s="264" t="n"/>
      <c r="AH25" s="264" t="n"/>
      <c r="AI25" s="264" t="n"/>
      <c r="AJ25" s="264" t="n"/>
      <c r="AK25" s="264" t="n"/>
      <c r="AL25" s="264" t="n"/>
      <c r="AM25" s="264" t="n"/>
      <c r="AN25" s="264" t="n"/>
      <c r="AO25" s="264" t="n"/>
      <c r="AP25" s="264" t="n"/>
      <c r="AQ25" s="264" t="n"/>
      <c r="AR25" s="158">
        <f>IF($A25="","",IF(OR($N25="Yes",$T25="Yes",$Z25="Yes",$AF25="Yes",$AL25="Yes"),"Yes","No"))</f>
        <v/>
      </c>
      <c r="AS25" s="158">
        <f>IF($A25="","",IFERROR(IF($AM25&lt;&gt;"",$AM25,IF($AG25&lt;&gt;"",$AG25,IF($AA25&lt;&gt;"",$AA25,IF($U25&lt;&gt;"",$U25,IF($O25&lt;&gt;"",$O25,""))))),""))</f>
        <v/>
      </c>
      <c r="AT25" s="158">
        <f>IFERROR(IF($AN25&lt;&gt;"",$AN25,IF($AH25&lt;&gt;"",$AH25,IF($AB25&lt;&gt;"",$AB25,IF($V25&lt;&gt;"",$V25,IF($P25&lt;&gt;"",$P25,""))))),"")</f>
        <v/>
      </c>
      <c r="AU25" s="265" t="inlineStr">
        <is>
          <t>Căn cứ: `KB-NTF-02`. ⛔ Không assert số item mỗi trang — không có nguồn mô tả.</t>
        </is>
      </c>
    </row>
    <row r="26" ht="15.75" customHeight="1" s="216">
      <c r="A26" s="160">
        <f>IF($F26="","",$C$2&amp;"."&amp;COUNTA($F$7:$F26)&amp;"")</f>
        <v/>
      </c>
      <c r="B26" s="160" t="inlineStr">
        <is>
          <t>REQ-NTF-009</t>
        </is>
      </c>
      <c r="C26" s="160" t="inlineStr">
        <is>
          <t>DOC-v1.0-02</t>
        </is>
      </c>
      <c r="D26" s="160" t="inlineStr">
        <is>
          <t>Functional</t>
        </is>
      </c>
      <c r="E26" s="160" t="inlineStr">
        <is>
          <t>Medium</t>
        </is>
      </c>
      <c r="F26" s="11" t="inlineStr">
        <is>
          <t>Check chấm đỏ ở chuông tắt sau khi đọc hết thông báo chưa đọc</t>
        </is>
      </c>
      <c r="G26" s="11" t="inlineStr">
        <is>
          <t>Tài khoản A trên STG có đúng 2 thông báo chưa đọc.
Test Data: Đúng 2 thông báo chưa đọc (test_data_catalog §NTF, biên)</t>
        </is>
      </c>
      <c r="H26" s="11" t="inlineStr">
        <is>
          <t>1. Nhờ dev/QA seed cho tài khoản A đúng 2 thông báo chưa đọc. (setup)
2. Đăng nhập FoxEco bằng tài khoản A và check chấm đỏ ở icon chuông trên header.
3. Nhấn icon chuông, mở thông báo thứ nhất rồi quay lại màn Thông báo.
4. Nhấn nút quay lại về màn Trang chủ và check chấm đỏ ở icon chuông.
5. Nhấn icon chuông, mở thông báo thứ hai, quay lại màn Trang chủ và check chấm đỏ ở icon chuông.</t>
        </is>
      </c>
      <c r="I26" s="11" t="inlineStr">
        <is>
          <t>2. Icon chuông có chấm đỏ.
4. Icon chuông VẪN có chấm đỏ vì còn 1 thông báo chưa đọc.
5. Icon chuông KHÔNG còn chấm đỏ.</t>
        </is>
      </c>
      <c r="J26" s="160" t="inlineStr">
        <is>
          <t>AI</t>
        </is>
      </c>
      <c r="K26" s="160" t="inlineStr">
        <is>
          <t>Pending</t>
        </is>
      </c>
      <c r="L26" s="160" t="inlineStr">
        <is>
          <t>No</t>
        </is>
      </c>
      <c r="M26" s="160" t="inlineStr"/>
      <c r="N26" s="264" t="inlineStr"/>
      <c r="O26" s="264" t="inlineStr"/>
      <c r="P26" s="264" t="inlineStr"/>
      <c r="Q26" s="264" t="inlineStr"/>
      <c r="R26" s="264" t="inlineStr"/>
      <c r="S26" s="264" t="inlineStr"/>
      <c r="T26" s="264" t="n"/>
      <c r="U26" s="264" t="n"/>
      <c r="V26" s="264" t="n"/>
      <c r="W26" s="264" t="n"/>
      <c r="X26" s="264" t="n"/>
      <c r="Y26" s="264" t="n"/>
      <c r="Z26" s="264" t="n"/>
      <c r="AA26" s="264" t="n"/>
      <c r="AB26" s="264" t="n"/>
      <c r="AC26" s="264" t="n"/>
      <c r="AD26" s="264" t="n"/>
      <c r="AE26" s="264" t="n"/>
      <c r="AF26" s="264" t="n"/>
      <c r="AG26" s="264" t="n"/>
      <c r="AH26" s="264" t="n"/>
      <c r="AI26" s="264" t="n"/>
      <c r="AJ26" s="264" t="n"/>
      <c r="AK26" s="264" t="n"/>
      <c r="AL26" s="264" t="n"/>
      <c r="AM26" s="264" t="n"/>
      <c r="AN26" s="264" t="n"/>
      <c r="AO26" s="264" t="n"/>
      <c r="AP26" s="264" t="n"/>
      <c r="AQ26" s="264" t="n"/>
      <c r="AR26" s="158">
        <f>IF($A26="","",IF(OR($N26="Yes",$T26="Yes",$Z26="Yes",$AF26="Yes",$AL26="Yes"),"Yes","No"))</f>
        <v/>
      </c>
      <c r="AS26" s="158">
        <f>IF($A26="","",IFERROR(IF($AM26&lt;&gt;"",$AM26,IF($AG26&lt;&gt;"",$AG26,IF($AA26&lt;&gt;"",$AA26,IF($U26&lt;&gt;"",$U26,IF($O26&lt;&gt;"",$O26,""))))),""))</f>
        <v/>
      </c>
      <c r="AT26" s="158">
        <f>IFERROR(IF($AN26&lt;&gt;"",$AN26,IF($AH26&lt;&gt;"",$AH26,IF($AB26&lt;&gt;"",$AB26,IF($V26&lt;&gt;"",$V26,IF($P26&lt;&gt;"",$P26,""))))),"")</f>
        <v/>
      </c>
      <c r="AU26" s="265" t="inlineStr">
        <is>
          <t>Mục đích: ranh giới của chấm đỏ là **thông báo chưa đọc cuối cùng** — bước 4 tồn tại để bắt lỗi tắt chấm đỏ quá sớm.</t>
        </is>
      </c>
    </row>
    <row r="27" ht="15.75" customHeight="1" s="216">
      <c r="A27" s="160">
        <f>IF($F27="","",$C$2&amp;"."&amp;COUNTA($F$7:$F27)&amp;"")</f>
        <v/>
      </c>
      <c r="B27" s="160" t="inlineStr">
        <is>
          <t>REQ-NTF-011</t>
        </is>
      </c>
      <c r="C27" s="160" t="inlineStr">
        <is>
          <t>DOC-v1.0-06</t>
        </is>
      </c>
      <c r="D27" s="160" t="inlineStr">
        <is>
          <t>UI</t>
        </is>
      </c>
      <c r="E27" s="160" t="inlineStr">
        <is>
          <t>Low</t>
        </is>
      </c>
      <c r="F27" s="11" t="inlineStr">
        <is>
          <t>Check màn Thông báo của tài khoản chưa có thông báo không hiển thị item nào</t>
        </is>
      </c>
      <c r="G27" s="11" t="inlineStr">
        <is>
          <t>Tài khoản CBNV "trắng" trên STG (chưa từng phát sinh thông báo nào).
Test Data: Tài khoản 0 thông báo (test_data_catalog §NTF, biên)</t>
        </is>
      </c>
      <c r="H27" s="11" t="inlineStr">
        <is>
          <t>1. Đăng nhập FoxEco bằng tài khoản "trắng". (setup)
2. Nhấn icon chuông ở header.
3. Check vùng danh sách và các thành phần khung của màn.</t>
        </is>
      </c>
      <c r="I27" s="11" t="inlineStr">
        <is>
          <t>3. KHÔNG có item thông báo nào và KHÔNG có tiêu đề nhóm thời gian nào; tiêu đề màn và nút quay lại vẫn hiển thị.</t>
        </is>
      </c>
      <c r="J27" s="160" t="inlineStr">
        <is>
          <t>AI</t>
        </is>
      </c>
      <c r="K27" s="160" t="inlineStr">
        <is>
          <t>Pending</t>
        </is>
      </c>
      <c r="L27" s="160" t="inlineStr">
        <is>
          <t>No</t>
        </is>
      </c>
      <c r="M27" s="160" t="inlineStr"/>
      <c r="N27" s="264" t="inlineStr"/>
      <c r="O27" s="264" t="inlineStr"/>
      <c r="P27" s="264" t="inlineStr"/>
      <c r="Q27" s="264" t="inlineStr"/>
      <c r="R27" s="264" t="inlineStr"/>
      <c r="S27" s="264" t="inlineStr"/>
      <c r="T27" s="264" t="n"/>
      <c r="U27" s="264" t="n"/>
      <c r="V27" s="264" t="n"/>
      <c r="W27" s="264" t="n"/>
      <c r="X27" s="264" t="n"/>
      <c r="Y27" s="264" t="n"/>
      <c r="Z27" s="264" t="n"/>
      <c r="AA27" s="264" t="n"/>
      <c r="AB27" s="264" t="n"/>
      <c r="AC27" s="264" t="n"/>
      <c r="AD27" s="264" t="n"/>
      <c r="AE27" s="264" t="n"/>
      <c r="AF27" s="264" t="n"/>
      <c r="AG27" s="264" t="n"/>
      <c r="AH27" s="264" t="n"/>
      <c r="AI27" s="264" t="n"/>
      <c r="AJ27" s="264" t="n"/>
      <c r="AK27" s="264" t="n"/>
      <c r="AL27" s="264" t="n"/>
      <c r="AM27" s="264" t="n"/>
      <c r="AN27" s="264" t="n"/>
      <c r="AO27" s="264" t="n"/>
      <c r="AP27" s="264" t="n"/>
      <c r="AQ27" s="264" t="n"/>
      <c r="AR27" s="158">
        <f>IF($A27="","",IF(OR($N27="Yes",$T27="Yes",$Z27="Yes",$AF27="Yes",$AL27="Yes"),"Yes","No"))</f>
        <v/>
      </c>
      <c r="AS27" s="158">
        <f>IF($A27="","",IFERROR(IF($AM27&lt;&gt;"",$AM27,IF($AG27&lt;&gt;"",$AG27,IF($AA27&lt;&gt;"",$AA27,IF($U27&lt;&gt;"",$U27,IF($O27&lt;&gt;"",$O27,""))))),""))</f>
        <v/>
      </c>
      <c r="AT27" s="158">
        <f>IFERROR(IF($AN27&lt;&gt;"",$AN27,IF($AH27&lt;&gt;"",$AH27,IF($AB27&lt;&gt;"",$AB27,IF($V27&lt;&gt;"",$V27,IF($P27&lt;&gt;"",$P27,""))))),"")</f>
        <v/>
      </c>
      <c r="AU27" s="265" t="inlineStr">
        <is>
          <t>Mục đích: neo vào `C-ORD-06` Open — text empty state chưa có đặc tả. · Căn cứ: chỉ assert phần suy được; ⛔ không assert chuỗi hay ảnh empty state.</t>
        </is>
      </c>
    </row>
    <row r="28" ht="15.75" customHeight="1" s="216">
      <c r="A28" s="160">
        <f>IF($F28="","",$C$2&amp;"."&amp;COUNTA($F$7:$F28)&amp;"")</f>
        <v/>
      </c>
      <c r="B28" s="160" t="inlineStr">
        <is>
          <t>REQ-NTF-011</t>
        </is>
      </c>
      <c r="C28" s="160" t="inlineStr">
        <is>
          <t>DOC-v1.0-02 · DOC-v1.0-06</t>
        </is>
      </c>
      <c r="D28" s="160" t="inlineStr">
        <is>
          <t>Functional</t>
        </is>
      </c>
      <c r="E28" s="160" t="inlineStr">
        <is>
          <t>Low</t>
        </is>
      </c>
      <c r="F28" s="11" t="inlineStr">
        <is>
          <t>Check nhấn quay lại ở màn Thông báo trở về màn Trang chủ</t>
        </is>
      </c>
      <c r="G28" s="11" t="inlineStr">
        <is>
          <t>Tài khoản A trên STG có ≥1 thông báo.
Test Data: Tài khoản có ≥1 thông báo (test_data_catalog §NTF)</t>
        </is>
      </c>
      <c r="H28" s="11" t="inlineStr">
        <is>
          <t>1. Nhờ dev/QA seed cho tài khoản A ≥1 thông báo. (setup)
2. Đăng nhập FoxEco bằng tài khoản A và giữ ở màn Trang chủ.
3. Nhấn icon chuông ở header để mở màn Thông báo.
4. Nhấn nút quay lại.</t>
        </is>
      </c>
      <c r="I28" s="11" t="inlineStr">
        <is>
          <t>4. Về màn Trang chủ với header lời chào và bottom nav hiển thị, tab "Trang chủ" đang active.</t>
        </is>
      </c>
      <c r="J28" s="160" t="inlineStr">
        <is>
          <t>AI</t>
        </is>
      </c>
      <c r="K28" s="160" t="inlineStr">
        <is>
          <t>Pending</t>
        </is>
      </c>
      <c r="L28" s="160" t="inlineStr">
        <is>
          <t>No</t>
        </is>
      </c>
      <c r="M28" s="160" t="inlineStr"/>
      <c r="N28" s="264" t="inlineStr"/>
      <c r="O28" s="264" t="inlineStr"/>
      <c r="P28" s="264" t="inlineStr"/>
      <c r="Q28" s="264" t="inlineStr"/>
      <c r="R28" s="264" t="inlineStr"/>
      <c r="S28" s="264" t="inlineStr"/>
      <c r="T28" s="264" t="n"/>
      <c r="U28" s="264" t="n"/>
      <c r="V28" s="264" t="n"/>
      <c r="W28" s="264" t="n"/>
      <c r="X28" s="264" t="n"/>
      <c r="Y28" s="264" t="n"/>
      <c r="Z28" s="264" t="n"/>
      <c r="AA28" s="264" t="n"/>
      <c r="AB28" s="264" t="n"/>
      <c r="AC28" s="264" t="n"/>
      <c r="AD28" s="264" t="n"/>
      <c r="AE28" s="264" t="n"/>
      <c r="AF28" s="264" t="n"/>
      <c r="AG28" s="264" t="n"/>
      <c r="AH28" s="264" t="n"/>
      <c r="AI28" s="264" t="n"/>
      <c r="AJ28" s="264" t="n"/>
      <c r="AK28" s="264" t="n"/>
      <c r="AL28" s="264" t="n"/>
      <c r="AM28" s="264" t="n"/>
      <c r="AN28" s="264" t="n"/>
      <c r="AO28" s="264" t="n"/>
      <c r="AP28" s="264" t="n"/>
      <c r="AQ28" s="264" t="n"/>
      <c r="AR28" s="158">
        <f>IF($A28="","",IF(OR($N28="Yes",$T28="Yes",$Z28="Yes",$AF28="Yes",$AL28="Yes"),"Yes","No"))</f>
        <v/>
      </c>
      <c r="AS28" s="158">
        <f>IF($A28="","",IFERROR(IF($AM28&lt;&gt;"",$AM28,IF($AG28&lt;&gt;"",$AG28,IF($AA28&lt;&gt;"",$AA28,IF($U28&lt;&gt;"",$U28,IF($O28&lt;&gt;"",$O28,""))))),""))</f>
        <v/>
      </c>
      <c r="AT28" s="158">
        <f>IFERROR(IF($AN28&lt;&gt;"",$AN28,IF($AH28&lt;&gt;"",$AH28,IF($AB28&lt;&gt;"",$AB28,IF($V28&lt;&gt;"",$V28,IF($P28&lt;&gt;"",$P28,""))))),"")</f>
        <v/>
      </c>
      <c r="AU28" s="265" t="inlineStr">
        <is>
          <t>Căn cứ: đích "Trang chủ" suy từ đường vào (chuông ở header Trang chủ) — `KP-05 §3` #6 ghi nhận nút back này chưa có mô tả trong doc. Mở chuông từ màn khác là ca khác, ⛔ không nhồi vào TC này.</t>
        </is>
      </c>
    </row>
    <row r="29" ht="15.75" customHeight="1" s="216">
      <c r="A29" s="160" t="n"/>
      <c r="B29" s="160" t="n"/>
      <c r="C29" s="160" t="n"/>
      <c r="D29" s="160" t="n"/>
      <c r="E29" s="160" t="n"/>
      <c r="F29" s="160" t="n"/>
      <c r="G29" s="160" t="n"/>
      <c r="H29" s="160" t="n"/>
      <c r="I29" s="160" t="n"/>
      <c r="J29" s="160" t="n"/>
      <c r="K29" s="160" t="n"/>
      <c r="L29" s="160" t="n"/>
      <c r="M29" s="160" t="n"/>
      <c r="N29" s="160" t="n"/>
      <c r="O29" s="160" t="n"/>
      <c r="P29" s="160" t="n"/>
      <c r="Q29" s="160"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61" t="n"/>
      <c r="AS29" s="161" t="n"/>
      <c r="AT29" s="1" t="n"/>
      <c r="AU29" s="1" t="n"/>
    </row>
    <row r="30" ht="15.75" customHeight="1" s="216">
      <c r="A30" s="160" t="n"/>
      <c r="B30" s="160" t="n"/>
      <c r="C30" s="160" t="n"/>
      <c r="D30" s="160" t="n"/>
      <c r="E30" s="160" t="n"/>
      <c r="F30" s="160" t="n"/>
      <c r="G30" s="160" t="n"/>
      <c r="H30" s="160" t="n"/>
      <c r="I30" s="160" t="n"/>
      <c r="J30" s="160" t="n"/>
      <c r="K30" s="160" t="n"/>
      <c r="L30" s="160" t="n"/>
      <c r="M30" s="160" t="n"/>
      <c r="N30" s="160" t="n"/>
      <c r="O30" s="160" t="n"/>
      <c r="P30" s="160" t="n"/>
      <c r="Q30" s="160"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61" t="n"/>
      <c r="AS30" s="161" t="n"/>
      <c r="AT30" s="1" t="n"/>
      <c r="AU30" s="1" t="n"/>
    </row>
    <row r="31" ht="15.75" customHeight="1" s="216">
      <c r="A31" s="160" t="n"/>
      <c r="B31" s="160" t="n"/>
      <c r="C31" s="160" t="n"/>
      <c r="D31" s="160" t="n"/>
      <c r="E31" s="160" t="n"/>
      <c r="F31" s="160" t="n"/>
      <c r="G31" s="160" t="n"/>
      <c r="H31" s="160" t="n"/>
      <c r="I31" s="160" t="n"/>
      <c r="J31" s="160" t="n"/>
      <c r="K31" s="160" t="n"/>
      <c r="L31" s="160" t="n"/>
      <c r="M31" s="160" t="n"/>
      <c r="N31" s="160" t="n"/>
      <c r="O31" s="160" t="n"/>
      <c r="P31" s="160" t="n"/>
      <c r="Q31" s="160"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61" t="n"/>
      <c r="AS31" s="161" t="n"/>
      <c r="AT31" s="1" t="n"/>
      <c r="AU31" s="1" t="n"/>
    </row>
    <row r="32" ht="15.75" customHeight="1" s="216">
      <c r="A32" s="160" t="n"/>
      <c r="B32" s="160" t="n"/>
      <c r="C32" s="160" t="n"/>
      <c r="D32" s="160" t="n"/>
      <c r="E32" s="160" t="n"/>
      <c r="F32" s="160" t="n"/>
      <c r="G32" s="160" t="n"/>
      <c r="H32" s="160" t="n"/>
      <c r="I32" s="160" t="n"/>
      <c r="J32" s="160" t="n"/>
      <c r="K32" s="160" t="n"/>
      <c r="L32" s="160" t="n"/>
      <c r="M32" s="160" t="n"/>
      <c r="N32" s="160" t="n"/>
      <c r="O32" s="160" t="n"/>
      <c r="P32" s="160" t="n"/>
      <c r="Q32" s="160"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61" t="n"/>
      <c r="AS32" s="161" t="n"/>
      <c r="AT32" s="1" t="n"/>
      <c r="AU32" s="1" t="n"/>
    </row>
    <row r="33" ht="15.75" customHeight="1" s="216">
      <c r="A33" s="160" t="n"/>
      <c r="B33" s="160" t="n"/>
      <c r="C33" s="160" t="n"/>
      <c r="D33" s="160" t="n"/>
      <c r="E33" s="160" t="n"/>
      <c r="F33" s="160" t="n"/>
      <c r="G33" s="160" t="n"/>
      <c r="H33" s="160" t="n"/>
      <c r="I33" s="160" t="n"/>
      <c r="J33" s="160" t="n"/>
      <c r="K33" s="160" t="n"/>
      <c r="L33" s="160" t="n"/>
      <c r="M33" s="160" t="n"/>
      <c r="N33" s="160" t="n"/>
      <c r="O33" s="160" t="n"/>
      <c r="P33" s="160" t="n"/>
      <c r="Q33" s="160"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61" t="n"/>
      <c r="AS33" s="161" t="n"/>
      <c r="AT33" s="1" t="n"/>
      <c r="AU33" s="1" t="n"/>
    </row>
    <row r="34" ht="15.75" customHeight="1" s="216">
      <c r="A34" s="160" t="n"/>
      <c r="B34" s="160" t="n"/>
      <c r="C34" s="160" t="n"/>
      <c r="D34" s="160" t="n"/>
      <c r="E34" s="160" t="n"/>
      <c r="F34" s="160" t="n"/>
      <c r="G34" s="160" t="n"/>
      <c r="H34" s="160" t="n"/>
      <c r="I34" s="160" t="n"/>
      <c r="J34" s="160" t="n"/>
      <c r="K34" s="160" t="n"/>
      <c r="L34" s="160" t="n"/>
      <c r="M34" s="160" t="n"/>
      <c r="N34" s="160" t="n"/>
      <c r="O34" s="160" t="n"/>
      <c r="P34" s="160" t="n"/>
      <c r="Q34" s="160"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61" t="n"/>
      <c r="AS34" s="161" t="n"/>
      <c r="AT34" s="1" t="n"/>
      <c r="AU34" s="1" t="n"/>
    </row>
    <row r="35" ht="15.75" customHeight="1" s="216">
      <c r="A35" s="160" t="n"/>
      <c r="B35" s="160" t="n"/>
      <c r="C35" s="160" t="n"/>
      <c r="D35" s="160" t="n"/>
      <c r="E35" s="160" t="n"/>
      <c r="F35" s="160" t="n"/>
      <c r="G35" s="160" t="n"/>
      <c r="H35" s="160" t="n"/>
      <c r="I35" s="160" t="n"/>
      <c r="J35" s="160" t="n"/>
      <c r="K35" s="160" t="n"/>
      <c r="L35" s="160" t="n"/>
      <c r="M35" s="160" t="n"/>
      <c r="N35" s="160" t="n"/>
      <c r="O35" s="160" t="n"/>
      <c r="P35" s="160" t="n"/>
      <c r="Q35" s="160"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61" t="n"/>
      <c r="AS35" s="161" t="n"/>
      <c r="AT35" s="1" t="n"/>
      <c r="AU35" s="1" t="n"/>
    </row>
    <row r="36" ht="15.75" customHeight="1" s="216">
      <c r="A36" s="160" t="n"/>
      <c r="B36" s="160" t="n"/>
      <c r="C36" s="160" t="n"/>
      <c r="D36" s="160" t="n"/>
      <c r="E36" s="160" t="n"/>
      <c r="F36" s="160" t="n"/>
      <c r="G36" s="160" t="n"/>
      <c r="H36" s="160" t="n"/>
      <c r="I36" s="160" t="n"/>
      <c r="J36" s="160" t="n"/>
      <c r="K36" s="160" t="n"/>
      <c r="L36" s="160" t="n"/>
      <c r="M36" s="160" t="n"/>
      <c r="N36" s="160" t="n"/>
      <c r="O36" s="160" t="n"/>
      <c r="P36" s="160" t="n"/>
      <c r="Q36" s="160"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61" t="n"/>
      <c r="AS36" s="161" t="n"/>
      <c r="AT36" s="1" t="n"/>
      <c r="AU36" s="1" t="n"/>
    </row>
    <row r="37" ht="15.75" customHeight="1" s="216">
      <c r="A37" s="160" t="n"/>
      <c r="B37" s="160" t="n"/>
      <c r="C37" s="160" t="n"/>
      <c r="D37" s="160" t="n"/>
      <c r="E37" s="160" t="n"/>
      <c r="F37" s="160" t="n"/>
      <c r="G37" s="160" t="n"/>
      <c r="H37" s="160" t="n"/>
      <c r="I37" s="160" t="n"/>
      <c r="J37" s="160" t="n"/>
      <c r="K37" s="160" t="n"/>
      <c r="L37" s="160" t="n"/>
      <c r="M37" s="160" t="n"/>
      <c r="N37" s="160" t="n"/>
      <c r="O37" s="160" t="n"/>
      <c r="P37" s="160" t="n"/>
      <c r="Q37" s="160"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61" t="n"/>
      <c r="AS37" s="161" t="n"/>
      <c r="AT37" s="1" t="n"/>
      <c r="AU37" s="1" t="n"/>
    </row>
    <row r="38" ht="15.75" customHeight="1" s="216">
      <c r="A38" s="160" t="n"/>
      <c r="B38" s="160" t="n"/>
      <c r="C38" s="160" t="n"/>
      <c r="D38" s="160" t="n"/>
      <c r="E38" s="160" t="n"/>
      <c r="F38" s="160" t="n"/>
      <c r="G38" s="160" t="n"/>
      <c r="H38" s="160" t="n"/>
      <c r="I38" s="160" t="n"/>
      <c r="J38" s="160" t="n"/>
      <c r="K38" s="160" t="n"/>
      <c r="L38" s="160" t="n"/>
      <c r="M38" s="160" t="n"/>
      <c r="N38" s="160" t="n"/>
      <c r="O38" s="160" t="n"/>
      <c r="P38" s="160" t="n"/>
      <c r="Q38" s="160"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61" t="n"/>
      <c r="AS38" s="161" t="n"/>
      <c r="AT38" s="1" t="n"/>
      <c r="AU38" s="1" t="n"/>
    </row>
    <row r="39" ht="15.75" customHeight="1" s="216">
      <c r="A39" s="160" t="n"/>
      <c r="B39" s="160" t="n"/>
      <c r="C39" s="160" t="n"/>
      <c r="D39" s="160" t="n"/>
      <c r="E39" s="160" t="n"/>
      <c r="F39" s="160" t="n"/>
      <c r="G39" s="160" t="n"/>
      <c r="H39" s="160" t="n"/>
      <c r="I39" s="160" t="n"/>
      <c r="J39" s="160" t="n"/>
      <c r="K39" s="160" t="n"/>
      <c r="L39" s="160" t="n"/>
      <c r="M39" s="160" t="n"/>
      <c r="N39" s="160" t="n"/>
      <c r="O39" s="160" t="n"/>
      <c r="P39" s="160" t="n"/>
      <c r="Q39" s="160"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61" t="n"/>
      <c r="AS39" s="161" t="n"/>
      <c r="AT39" s="1" t="n"/>
      <c r="AU39" s="1" t="n"/>
    </row>
    <row r="40" ht="15.75" customHeight="1" s="216">
      <c r="A40" s="160" t="n"/>
      <c r="B40" s="160" t="n"/>
      <c r="C40" s="160" t="n"/>
      <c r="D40" s="160" t="n"/>
      <c r="E40" s="160" t="n"/>
      <c r="F40" s="160" t="n"/>
      <c r="G40" s="160" t="n"/>
      <c r="H40" s="160" t="n"/>
      <c r="I40" s="160" t="n"/>
      <c r="J40" s="160" t="n"/>
      <c r="K40" s="160" t="n"/>
      <c r="L40" s="160" t="n"/>
      <c r="M40" s="160" t="n"/>
      <c r="N40" s="160" t="n"/>
      <c r="O40" s="160" t="n"/>
      <c r="P40" s="160" t="n"/>
      <c r="Q40" s="160"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61" t="n"/>
      <c r="AS40" s="161" t="n"/>
      <c r="AT40" s="1" t="n"/>
      <c r="AU40" s="1" t="n"/>
    </row>
    <row r="41" ht="15.75" customHeight="1" s="216">
      <c r="A41" s="160" t="n"/>
      <c r="B41" s="160" t="n"/>
      <c r="C41" s="160" t="n"/>
      <c r="D41" s="160" t="n"/>
      <c r="E41" s="160" t="n"/>
      <c r="F41" s="160" t="n"/>
      <c r="G41" s="160" t="n"/>
      <c r="H41" s="160" t="n"/>
      <c r="I41" s="160" t="n"/>
      <c r="J41" s="160" t="n"/>
      <c r="K41" s="160" t="n"/>
      <c r="L41" s="160" t="n"/>
      <c r="M41" s="160" t="n"/>
      <c r="N41" s="160" t="n"/>
      <c r="O41" s="160" t="n"/>
      <c r="P41" s="160" t="n"/>
      <c r="Q41" s="160"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61" t="n"/>
      <c r="AS41" s="161" t="n"/>
      <c r="AT41" s="1" t="n"/>
      <c r="AU41" s="1" t="n"/>
    </row>
    <row r="42" ht="15.75" customHeight="1" s="216">
      <c r="A42" s="160" t="n"/>
      <c r="B42" s="160" t="n"/>
      <c r="C42" s="160" t="n"/>
      <c r="D42" s="160" t="n"/>
      <c r="E42" s="160" t="n"/>
      <c r="F42" s="160" t="n"/>
      <c r="G42" s="160" t="n"/>
      <c r="H42" s="160" t="n"/>
      <c r="I42" s="160" t="n"/>
      <c r="J42" s="160" t="n"/>
      <c r="K42" s="160" t="n"/>
      <c r="L42" s="160" t="n"/>
      <c r="M42" s="160" t="n"/>
      <c r="N42" s="160" t="n"/>
      <c r="O42" s="160" t="n"/>
      <c r="P42" s="160" t="n"/>
      <c r="Q42" s="160"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61" t="n"/>
      <c r="AS42" s="161" t="n"/>
      <c r="AT42" s="1" t="n"/>
      <c r="AU42" s="1" t="n"/>
    </row>
    <row r="43" ht="15.75" customHeight="1" s="216">
      <c r="A43" s="160" t="n"/>
      <c r="B43" s="160" t="n"/>
      <c r="C43" s="160" t="n"/>
      <c r="D43" s="160" t="n"/>
      <c r="E43" s="160" t="n"/>
      <c r="F43" s="160" t="n"/>
      <c r="G43" s="160" t="n"/>
      <c r="H43" s="160" t="n"/>
      <c r="I43" s="160" t="n"/>
      <c r="J43" s="160" t="n"/>
      <c r="K43" s="160" t="n"/>
      <c r="L43" s="160" t="n"/>
      <c r="M43" s="160" t="n"/>
      <c r="N43" s="160" t="n"/>
      <c r="O43" s="160" t="n"/>
      <c r="P43" s="160" t="n"/>
      <c r="Q43" s="160"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61" t="n"/>
      <c r="AS43" s="161" t="n"/>
      <c r="AT43" s="1" t="n"/>
      <c r="AU43" s="1" t="n"/>
    </row>
    <row r="44" ht="15.75" customHeight="1" s="216">
      <c r="A44" s="160" t="n"/>
      <c r="B44" s="160" t="n"/>
      <c r="C44" s="160" t="n"/>
      <c r="D44" s="160" t="n"/>
      <c r="E44" s="160" t="n"/>
      <c r="F44" s="160" t="n"/>
      <c r="G44" s="160" t="n"/>
      <c r="H44" s="160" t="n"/>
      <c r="I44" s="160" t="n"/>
      <c r="J44" s="160" t="n"/>
      <c r="K44" s="160" t="n"/>
      <c r="L44" s="160" t="n"/>
      <c r="M44" s="160" t="n"/>
      <c r="N44" s="160" t="n"/>
      <c r="O44" s="160" t="n"/>
      <c r="P44" s="160" t="n"/>
      <c r="Q44" s="160"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61" t="n"/>
      <c r="AS44" s="161" t="n"/>
      <c r="AT44" s="1" t="n"/>
      <c r="AU44" s="1" t="n"/>
    </row>
    <row r="45" ht="15.75" customHeight="1" s="216">
      <c r="A45" s="160" t="n"/>
      <c r="B45" s="160" t="n"/>
      <c r="C45" s="160" t="n"/>
      <c r="D45" s="160" t="n"/>
      <c r="E45" s="160" t="n"/>
      <c r="F45" s="160" t="n"/>
      <c r="G45" s="160" t="n"/>
      <c r="H45" s="160" t="n"/>
      <c r="I45" s="160" t="n"/>
      <c r="J45" s="160" t="n"/>
      <c r="K45" s="160" t="n"/>
      <c r="L45" s="160" t="n"/>
      <c r="M45" s="160" t="n"/>
      <c r="N45" s="160" t="n"/>
      <c r="O45" s="160" t="n"/>
      <c r="P45" s="160" t="n"/>
      <c r="Q45" s="160"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61" t="n"/>
      <c r="AS45" s="161" t="n"/>
      <c r="AT45" s="1" t="n"/>
      <c r="AU45" s="1" t="n"/>
    </row>
    <row r="46" ht="15.75" customHeight="1" s="216">
      <c r="A46" s="160" t="n"/>
      <c r="B46" s="160" t="n"/>
      <c r="C46" s="160" t="n"/>
      <c r="D46" s="160" t="n"/>
      <c r="E46" s="160" t="n"/>
      <c r="F46" s="160" t="n"/>
      <c r="G46" s="160" t="n"/>
      <c r="H46" s="160" t="n"/>
      <c r="I46" s="160" t="n"/>
      <c r="J46" s="160" t="n"/>
      <c r="K46" s="160" t="n"/>
      <c r="L46" s="160" t="n"/>
      <c r="M46" s="160" t="n"/>
      <c r="N46" s="160" t="n"/>
      <c r="O46" s="160" t="n"/>
      <c r="P46" s="160" t="n"/>
      <c r="Q46" s="160"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61" t="n"/>
      <c r="AS46" s="161" t="n"/>
      <c r="AT46" s="1" t="n"/>
      <c r="AU46" s="1" t="n"/>
    </row>
    <row r="47" ht="15.75" customHeight="1" s="216">
      <c r="A47" s="160" t="n"/>
      <c r="B47" s="160" t="n"/>
      <c r="C47" s="160" t="n"/>
      <c r="D47" s="160" t="n"/>
      <c r="E47" s="160" t="n"/>
      <c r="F47" s="160" t="n"/>
      <c r="G47" s="160" t="n"/>
      <c r="H47" s="160" t="n"/>
      <c r="I47" s="160" t="n"/>
      <c r="J47" s="160" t="n"/>
      <c r="K47" s="160" t="n"/>
      <c r="L47" s="160" t="n"/>
      <c r="M47" s="160" t="n"/>
      <c r="N47" s="160" t="n"/>
      <c r="O47" s="160" t="n"/>
      <c r="P47" s="160" t="n"/>
      <c r="Q47" s="160"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61" t="n"/>
      <c r="AS47" s="161" t="n"/>
      <c r="AT47" s="1" t="n"/>
      <c r="AU47" s="1" t="n"/>
    </row>
    <row r="48" ht="15.75" customHeight="1" s="216">
      <c r="A48" s="160" t="n"/>
      <c r="B48" s="160" t="n"/>
      <c r="C48" s="160" t="n"/>
      <c r="D48" s="160" t="n"/>
      <c r="E48" s="160" t="n"/>
      <c r="F48" s="160" t="n"/>
      <c r="G48" s="160" t="n"/>
      <c r="H48" s="160" t="n"/>
      <c r="I48" s="160" t="n"/>
      <c r="J48" s="160" t="n"/>
      <c r="K48" s="160" t="n"/>
      <c r="L48" s="160" t="n"/>
      <c r="M48" s="160" t="n"/>
      <c r="N48" s="160" t="n"/>
      <c r="O48" s="160" t="n"/>
      <c r="P48" s="160" t="n"/>
      <c r="Q48" s="160"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61" t="n"/>
      <c r="AS48" s="161" t="n"/>
      <c r="AT48" s="1" t="n"/>
      <c r="AU48" s="1" t="n"/>
    </row>
    <row r="49" ht="15.75" customHeight="1" s="216">
      <c r="A49" s="160" t="n"/>
      <c r="B49" s="160" t="n"/>
      <c r="C49" s="160" t="n"/>
      <c r="D49" s="160" t="n"/>
      <c r="E49" s="160" t="n"/>
      <c r="F49" s="160" t="n"/>
      <c r="G49" s="160" t="n"/>
      <c r="H49" s="160" t="n"/>
      <c r="I49" s="160" t="n"/>
      <c r="J49" s="160" t="n"/>
      <c r="K49" s="160" t="n"/>
      <c r="L49" s="160" t="n"/>
      <c r="M49" s="160" t="n"/>
      <c r="N49" s="160" t="n"/>
      <c r="O49" s="160" t="n"/>
      <c r="P49" s="160" t="n"/>
      <c r="Q49" s="160"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61" t="n"/>
      <c r="AS49" s="161" t="n"/>
      <c r="AT49" s="1" t="n"/>
      <c r="AU49" s="1" t="n"/>
    </row>
    <row r="50" ht="15.75" customHeight="1" s="216">
      <c r="A50" s="160" t="n"/>
      <c r="B50" s="160" t="n"/>
      <c r="C50" s="160" t="n"/>
      <c r="D50" s="160" t="n"/>
      <c r="E50" s="160" t="n"/>
      <c r="F50" s="160" t="n"/>
      <c r="G50" s="160" t="n"/>
      <c r="H50" s="160" t="n"/>
      <c r="I50" s="160" t="n"/>
      <c r="J50" s="160" t="n"/>
      <c r="K50" s="160" t="n"/>
      <c r="L50" s="160" t="n"/>
      <c r="M50" s="160" t="n"/>
      <c r="N50" s="160" t="n"/>
      <c r="O50" s="160" t="n"/>
      <c r="P50" s="160" t="n"/>
      <c r="Q50" s="160"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61" t="n"/>
      <c r="AS50" s="161" t="n"/>
      <c r="AT50" s="1" t="n"/>
      <c r="AU50" s="1" t="n"/>
    </row>
    <row r="51" ht="15.75" customHeight="1" s="216">
      <c r="A51" s="160" t="n"/>
      <c r="B51" s="160" t="n"/>
      <c r="C51" s="160" t="n"/>
      <c r="D51" s="160" t="n"/>
      <c r="E51" s="160" t="n"/>
      <c r="F51" s="160" t="n"/>
      <c r="G51" s="160" t="n"/>
      <c r="H51" s="160" t="n"/>
      <c r="I51" s="160" t="n"/>
      <c r="J51" s="160" t="n"/>
      <c r="K51" s="160" t="n"/>
      <c r="L51" s="160" t="n"/>
      <c r="M51" s="160" t="n"/>
      <c r="N51" s="160" t="n"/>
      <c r="O51" s="160" t="n"/>
      <c r="P51" s="160" t="n"/>
      <c r="Q51" s="160"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61" t="n"/>
      <c r="AS51" s="161" t="n"/>
      <c r="AT51" s="1" t="n"/>
      <c r="AU51" s="1" t="n"/>
    </row>
    <row r="52" ht="15.75" customHeight="1" s="216">
      <c r="A52" s="160" t="n"/>
      <c r="B52" s="160" t="n"/>
      <c r="C52" s="160" t="n"/>
      <c r="D52" s="160" t="n"/>
      <c r="E52" s="160" t="n"/>
      <c r="F52" s="160" t="n"/>
      <c r="G52" s="160" t="n"/>
      <c r="H52" s="160" t="n"/>
      <c r="I52" s="160" t="n"/>
      <c r="J52" s="160" t="n"/>
      <c r="K52" s="160" t="n"/>
      <c r="L52" s="160" t="n"/>
      <c r="M52" s="160" t="n"/>
      <c r="N52" s="160" t="n"/>
      <c r="O52" s="160" t="n"/>
      <c r="P52" s="160" t="n"/>
      <c r="Q52" s="160"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61" t="n"/>
      <c r="AS52" s="161" t="n"/>
      <c r="AT52" s="1" t="n"/>
      <c r="AU52" s="1" t="n"/>
    </row>
    <row r="53" ht="15.75" customHeight="1" s="216">
      <c r="A53" s="160" t="n"/>
      <c r="B53" s="160" t="n"/>
      <c r="C53" s="160" t="n"/>
      <c r="D53" s="160" t="n"/>
      <c r="E53" s="160" t="n"/>
      <c r="F53" s="160" t="n"/>
      <c r="G53" s="160" t="n"/>
      <c r="H53" s="160" t="n"/>
      <c r="I53" s="160" t="n"/>
      <c r="J53" s="160" t="n"/>
      <c r="K53" s="160" t="n"/>
      <c r="L53" s="160" t="n"/>
      <c r="M53" s="160" t="n"/>
      <c r="N53" s="160" t="n"/>
      <c r="O53" s="160" t="n"/>
      <c r="P53" s="160" t="n"/>
      <c r="Q53" s="160"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61" t="n"/>
      <c r="AS53" s="161" t="n"/>
      <c r="AT53" s="1" t="n"/>
      <c r="AU53" s="1" t="n"/>
    </row>
    <row r="54" ht="15.75" customHeight="1" s="216">
      <c r="A54" s="160" t="n"/>
      <c r="B54" s="160" t="n"/>
      <c r="C54" s="160" t="n"/>
      <c r="D54" s="160" t="n"/>
      <c r="E54" s="160" t="n"/>
      <c r="F54" s="160" t="n"/>
      <c r="G54" s="160" t="n"/>
      <c r="H54" s="160" t="n"/>
      <c r="I54" s="160" t="n"/>
      <c r="J54" s="160" t="n"/>
      <c r="K54" s="160" t="n"/>
      <c r="L54" s="160" t="n"/>
      <c r="M54" s="160" t="n"/>
      <c r="N54" s="160" t="n"/>
      <c r="O54" s="160" t="n"/>
      <c r="P54" s="160" t="n"/>
      <c r="Q54" s="160"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61" t="n"/>
      <c r="AS54" s="161" t="n"/>
      <c r="AT54" s="1" t="n"/>
      <c r="AU54" s="1" t="n"/>
    </row>
    <row r="55" ht="15.75" customHeight="1" s="216">
      <c r="A55" s="160" t="n"/>
      <c r="B55" s="160" t="n"/>
      <c r="C55" s="160" t="n"/>
      <c r="D55" s="160" t="n"/>
      <c r="E55" s="160" t="n"/>
      <c r="F55" s="160" t="n"/>
      <c r="G55" s="160" t="n"/>
      <c r="H55" s="160" t="n"/>
      <c r="I55" s="160" t="n"/>
      <c r="J55" s="160" t="n"/>
      <c r="K55" s="160" t="n"/>
      <c r="L55" s="160" t="n"/>
      <c r="M55" s="160" t="n"/>
      <c r="N55" s="160" t="n"/>
      <c r="O55" s="160" t="n"/>
      <c r="P55" s="160" t="n"/>
      <c r="Q55" s="160"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61" t="n"/>
      <c r="AS55" s="161" t="n"/>
      <c r="AT55" s="1" t="n"/>
      <c r="AU55" s="1" t="n"/>
    </row>
    <row r="56" ht="15.75" customHeight="1" s="216">
      <c r="A56" s="160" t="n"/>
      <c r="B56" s="160" t="n"/>
      <c r="C56" s="160" t="n"/>
      <c r="D56" s="160" t="n"/>
      <c r="E56" s="160" t="n"/>
      <c r="F56" s="160" t="n"/>
      <c r="G56" s="160" t="n"/>
      <c r="H56" s="160" t="n"/>
      <c r="I56" s="160" t="n"/>
      <c r="J56" s="160" t="n"/>
      <c r="K56" s="160" t="n"/>
      <c r="L56" s="160" t="n"/>
      <c r="M56" s="160" t="n"/>
      <c r="N56" s="160" t="n"/>
      <c r="O56" s="160" t="n"/>
      <c r="P56" s="160" t="n"/>
      <c r="Q56" s="160"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61" t="n"/>
      <c r="AS56" s="161" t="n"/>
      <c r="AT56" s="1" t="n"/>
      <c r="AU56" s="1" t="n"/>
    </row>
    <row r="57" ht="15.75" customHeight="1" s="216">
      <c r="A57" s="160" t="n"/>
      <c r="B57" s="160" t="n"/>
      <c r="C57" s="160" t="n"/>
      <c r="D57" s="160" t="n"/>
      <c r="E57" s="160" t="n"/>
      <c r="F57" s="160" t="n"/>
      <c r="G57" s="160" t="n"/>
      <c r="H57" s="160" t="n"/>
      <c r="I57" s="160" t="n"/>
      <c r="J57" s="160" t="n"/>
      <c r="K57" s="160" t="n"/>
      <c r="L57" s="160" t="n"/>
      <c r="M57" s="160" t="n"/>
      <c r="N57" s="160" t="n"/>
      <c r="O57" s="160" t="n"/>
      <c r="P57" s="160" t="n"/>
      <c r="Q57" s="160"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61" t="n"/>
      <c r="AS57" s="161" t="n"/>
      <c r="AT57" s="1" t="n"/>
      <c r="AU57" s="1" t="n"/>
    </row>
    <row r="58" ht="15.75" customHeight="1" s="216">
      <c r="A58" s="160" t="n"/>
      <c r="B58" s="160" t="n"/>
      <c r="C58" s="160" t="n"/>
      <c r="D58" s="160" t="n"/>
      <c r="E58" s="160" t="n"/>
      <c r="F58" s="160" t="n"/>
      <c r="G58" s="160" t="n"/>
      <c r="H58" s="160" t="n"/>
      <c r="I58" s="160" t="n"/>
      <c r="J58" s="160" t="n"/>
      <c r="K58" s="160" t="n"/>
      <c r="L58" s="160" t="n"/>
      <c r="M58" s="160" t="n"/>
      <c r="N58" s="160" t="n"/>
      <c r="O58" s="160" t="n"/>
      <c r="P58" s="160" t="n"/>
      <c r="Q58" s="160"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61" t="n"/>
      <c r="AS58" s="161" t="n"/>
      <c r="AT58" s="1" t="n"/>
      <c r="AU58" s="1" t="n"/>
    </row>
    <row r="59" ht="15.75" customHeight="1" s="216">
      <c r="A59" s="160" t="n"/>
      <c r="B59" s="160" t="n"/>
      <c r="C59" s="160" t="n"/>
      <c r="D59" s="160" t="n"/>
      <c r="E59" s="160" t="n"/>
      <c r="F59" s="160" t="n"/>
      <c r="G59" s="160" t="n"/>
      <c r="H59" s="160" t="n"/>
      <c r="I59" s="160" t="n"/>
      <c r="J59" s="160" t="n"/>
      <c r="K59" s="160" t="n"/>
      <c r="L59" s="160" t="n"/>
      <c r="M59" s="160" t="n"/>
      <c r="N59" s="160" t="n"/>
      <c r="O59" s="160" t="n"/>
      <c r="P59" s="160" t="n"/>
      <c r="Q59" s="160"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61" t="n"/>
      <c r="AS59" s="161" t="n"/>
      <c r="AT59" s="1" t="n"/>
      <c r="AU59" s="1" t="n"/>
    </row>
    <row r="60" ht="15.75" customHeight="1" s="216">
      <c r="A60" s="160" t="n"/>
      <c r="B60" s="160" t="n"/>
      <c r="C60" s="160" t="n"/>
      <c r="D60" s="160" t="n"/>
      <c r="E60" s="160" t="n"/>
      <c r="F60" s="160" t="n"/>
      <c r="G60" s="160" t="n"/>
      <c r="H60" s="160" t="n"/>
      <c r="I60" s="160" t="n"/>
      <c r="J60" s="160" t="n"/>
      <c r="K60" s="160" t="n"/>
      <c r="L60" s="160" t="n"/>
      <c r="M60" s="160" t="n"/>
      <c r="N60" s="160" t="n"/>
      <c r="O60" s="160" t="n"/>
      <c r="P60" s="160" t="n"/>
      <c r="Q60" s="160"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61" t="n"/>
      <c r="AS60" s="161" t="n"/>
      <c r="AT60" s="1" t="n"/>
      <c r="AU60" s="1" t="n"/>
    </row>
    <row r="61" ht="15.75" customHeight="1" s="216">
      <c r="A61" s="1" t="n"/>
      <c r="B61" s="1" t="n"/>
      <c r="C61" s="1" t="n"/>
      <c r="D61" s="1" t="n"/>
      <c r="E61" s="181" t="n"/>
      <c r="F61" s="181" t="n"/>
      <c r="G61" s="1" t="n"/>
      <c r="H61" s="1" t="n"/>
      <c r="I61" s="1" t="n"/>
      <c r="J61" s="1" t="n"/>
      <c r="K61" s="181" t="n"/>
      <c r="L61" s="181" t="n"/>
      <c r="M61" s="181" t="n"/>
      <c r="N61" s="1" t="n"/>
      <c r="O61" s="181" t="n"/>
      <c r="P61" s="181" t="n"/>
      <c r="Q61" s="18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row>
    <row r="62" ht="15.75" customHeight="1" s="216">
      <c r="A62" s="1" t="n"/>
      <c r="B62" s="1" t="n"/>
      <c r="C62" s="1" t="n"/>
      <c r="D62" s="1" t="n"/>
      <c r="E62" s="181" t="n"/>
      <c r="F62" s="181" t="n"/>
      <c r="G62" s="1" t="n"/>
      <c r="H62" s="1" t="n"/>
      <c r="I62" s="1" t="n"/>
      <c r="J62" s="1" t="n"/>
      <c r="K62" s="181" t="n"/>
      <c r="L62" s="181" t="n"/>
      <c r="M62" s="181" t="n"/>
      <c r="N62" s="1" t="n"/>
      <c r="O62" s="181" t="n"/>
      <c r="P62" s="181" t="n"/>
      <c r="Q62" s="18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row>
    <row r="63" ht="15.75" customHeight="1" s="216">
      <c r="A63" s="1" t="n"/>
      <c r="B63" s="1" t="n"/>
      <c r="C63" s="1" t="n"/>
      <c r="D63" s="1" t="n"/>
      <c r="E63" s="181" t="n"/>
      <c r="F63" s="181" t="n"/>
      <c r="G63" s="1" t="n"/>
      <c r="H63" s="1" t="n"/>
      <c r="I63" s="1" t="n"/>
      <c r="J63" s="1" t="n"/>
      <c r="K63" s="181" t="n"/>
      <c r="L63" s="181" t="n"/>
      <c r="M63" s="181" t="n"/>
      <c r="N63" s="1" t="n"/>
      <c r="O63" s="181" t="n"/>
      <c r="P63" s="181" t="n"/>
      <c r="Q63" s="18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row>
    <row r="64" ht="15.75" customHeight="1" s="216">
      <c r="A64" s="1" t="n"/>
      <c r="B64" s="1" t="n"/>
      <c r="C64" s="1" t="n"/>
      <c r="D64" s="1" t="n"/>
      <c r="E64" s="181" t="n"/>
      <c r="F64" s="181" t="n"/>
      <c r="G64" s="1" t="n"/>
      <c r="H64" s="1" t="n"/>
      <c r="I64" s="1" t="n"/>
      <c r="J64" s="1" t="n"/>
      <c r="K64" s="181" t="n"/>
      <c r="L64" s="181" t="n"/>
      <c r="M64" s="181" t="n"/>
      <c r="N64" s="1" t="n"/>
      <c r="O64" s="181" t="n"/>
      <c r="P64" s="181" t="n"/>
      <c r="Q64" s="18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row>
    <row r="65" ht="15.75" customHeight="1" s="216">
      <c r="A65" s="1" t="n"/>
      <c r="B65" s="1" t="n"/>
      <c r="C65" s="1" t="n"/>
      <c r="D65" s="1" t="n"/>
      <c r="E65" s="181" t="n"/>
      <c r="F65" s="181" t="n"/>
      <c r="G65" s="1" t="n"/>
      <c r="H65" s="1" t="n"/>
      <c r="I65" s="1" t="n"/>
      <c r="J65" s="1" t="n"/>
      <c r="K65" s="181" t="n"/>
      <c r="L65" s="181" t="n"/>
      <c r="M65" s="181" t="n"/>
      <c r="N65" s="1" t="n"/>
      <c r="O65" s="181" t="n"/>
      <c r="P65" s="181" t="n"/>
      <c r="Q65" s="18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row>
    <row r="66" ht="15.75" customHeight="1" s="216">
      <c r="A66" s="1" t="n"/>
      <c r="B66" s="1" t="n"/>
      <c r="C66" s="1" t="n"/>
      <c r="D66" s="1" t="n"/>
      <c r="E66" s="181" t="n"/>
      <c r="F66" s="181" t="n"/>
      <c r="G66" s="1" t="n"/>
      <c r="H66" s="1" t="n"/>
      <c r="I66" s="1" t="n"/>
      <c r="J66" s="1" t="n"/>
      <c r="K66" s="181" t="n"/>
      <c r="L66" s="181" t="n"/>
      <c r="M66" s="181" t="n"/>
      <c r="N66" s="1" t="n"/>
      <c r="O66" s="181" t="n"/>
      <c r="P66" s="181" t="n"/>
      <c r="Q66" s="18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row>
    <row r="67" ht="15.75" customHeight="1" s="216">
      <c r="A67" s="1" t="n"/>
      <c r="B67" s="1" t="n"/>
      <c r="C67" s="1" t="n"/>
      <c r="D67" s="1" t="n"/>
      <c r="E67" s="181" t="n"/>
      <c r="F67" s="181" t="n"/>
      <c r="G67" s="1" t="n"/>
      <c r="H67" s="1" t="n"/>
      <c r="I67" s="1" t="n"/>
      <c r="J67" s="1" t="n"/>
      <c r="K67" s="181" t="n"/>
      <c r="L67" s="181" t="n"/>
      <c r="M67" s="181" t="n"/>
      <c r="N67" s="1" t="n"/>
      <c r="O67" s="181" t="n"/>
      <c r="P67" s="181" t="n"/>
      <c r="Q67" s="18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row>
    <row r="68" ht="15.75" customHeight="1" s="216">
      <c r="A68" s="1" t="n"/>
      <c r="B68" s="1" t="n"/>
      <c r="C68" s="1" t="n"/>
      <c r="D68" s="1" t="n"/>
      <c r="E68" s="181" t="n"/>
      <c r="F68" s="181" t="n"/>
      <c r="G68" s="1" t="n"/>
      <c r="H68" s="1" t="n"/>
      <c r="I68" s="1" t="n"/>
      <c r="J68" s="1" t="n"/>
      <c r="K68" s="181" t="n"/>
      <c r="L68" s="181" t="n"/>
      <c r="M68" s="181" t="n"/>
      <c r="N68" s="1" t="n"/>
      <c r="O68" s="181" t="n"/>
      <c r="P68" s="181" t="n"/>
      <c r="Q68" s="18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row>
    <row r="69" ht="15.75" customHeight="1" s="216">
      <c r="A69" s="1" t="n"/>
      <c r="B69" s="1" t="n"/>
      <c r="C69" s="1" t="n"/>
      <c r="D69" s="1" t="n"/>
      <c r="E69" s="181" t="n"/>
      <c r="F69" s="181" t="n"/>
      <c r="G69" s="1" t="n"/>
      <c r="H69" s="1" t="n"/>
      <c r="I69" s="1" t="n"/>
      <c r="J69" s="1" t="n"/>
      <c r="K69" s="181" t="n"/>
      <c r="L69" s="181" t="n"/>
      <c r="M69" s="181" t="n"/>
      <c r="N69" s="1" t="n"/>
      <c r="O69" s="181" t="n"/>
      <c r="P69" s="181" t="n"/>
      <c r="Q69" s="18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row>
    <row r="70" ht="15.75" customHeight="1" s="216">
      <c r="A70" s="1" t="n"/>
      <c r="B70" s="1" t="n"/>
      <c r="C70" s="1" t="n"/>
      <c r="D70" s="1" t="n"/>
      <c r="E70" s="181" t="n"/>
      <c r="F70" s="181" t="n"/>
      <c r="G70" s="1" t="n"/>
      <c r="H70" s="1" t="n"/>
      <c r="I70" s="1" t="n"/>
      <c r="J70" s="1" t="n"/>
      <c r="K70" s="181" t="n"/>
      <c r="L70" s="181" t="n"/>
      <c r="M70" s="181" t="n"/>
      <c r="N70" s="1" t="n"/>
      <c r="O70" s="181" t="n"/>
      <c r="P70" s="181" t="n"/>
      <c r="Q70" s="18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row>
    <row r="71" ht="15.75" customHeight="1" s="216">
      <c r="A71" s="1" t="n"/>
      <c r="B71" s="1" t="n"/>
      <c r="C71" s="1" t="n"/>
      <c r="D71" s="1" t="n"/>
      <c r="E71" s="181" t="n"/>
      <c r="F71" s="181" t="n"/>
      <c r="G71" s="1" t="n"/>
      <c r="H71" s="1" t="n"/>
      <c r="I71" s="1" t="n"/>
      <c r="J71" s="1" t="n"/>
      <c r="K71" s="181" t="n"/>
      <c r="L71" s="181" t="n"/>
      <c r="M71" s="181" t="n"/>
      <c r="N71" s="1" t="n"/>
      <c r="O71" s="181" t="n"/>
      <c r="P71" s="181" t="n"/>
      <c r="Q71" s="18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row>
    <row r="72" ht="15.75" customHeight="1" s="216">
      <c r="A72" s="1" t="n"/>
      <c r="B72" s="1" t="n"/>
      <c r="C72" s="1" t="n"/>
      <c r="D72" s="1" t="n"/>
      <c r="E72" s="181" t="n"/>
      <c r="F72" s="181" t="n"/>
      <c r="G72" s="1" t="n"/>
      <c r="H72" s="1" t="n"/>
      <c r="I72" s="1" t="n"/>
      <c r="J72" s="1" t="n"/>
      <c r="K72" s="181" t="n"/>
      <c r="L72" s="181" t="n"/>
      <c r="M72" s="181" t="n"/>
      <c r="N72" s="1" t="n"/>
      <c r="O72" s="181" t="n"/>
      <c r="P72" s="181" t="n"/>
      <c r="Q72" s="18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row>
    <row r="73" ht="15.75" customHeight="1" s="216">
      <c r="A73" s="1" t="n"/>
      <c r="B73" s="1" t="n"/>
      <c r="C73" s="1" t="n"/>
      <c r="D73" s="1" t="n"/>
      <c r="E73" s="181" t="n"/>
      <c r="F73" s="181" t="n"/>
      <c r="G73" s="1" t="n"/>
      <c r="H73" s="1" t="n"/>
      <c r="I73" s="1" t="n"/>
      <c r="J73" s="1" t="n"/>
      <c r="K73" s="181" t="n"/>
      <c r="L73" s="181" t="n"/>
      <c r="M73" s="181" t="n"/>
      <c r="N73" s="1" t="n"/>
      <c r="O73" s="181" t="n"/>
      <c r="P73" s="181" t="n"/>
      <c r="Q73" s="18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row>
    <row r="74" ht="15.75" customHeight="1" s="216">
      <c r="A74" s="1" t="n"/>
      <c r="B74" s="1" t="n"/>
      <c r="C74" s="1" t="n"/>
      <c r="D74" s="1" t="n"/>
      <c r="E74" s="181" t="n"/>
      <c r="F74" s="181" t="n"/>
      <c r="G74" s="1" t="n"/>
      <c r="H74" s="1" t="n"/>
      <c r="I74" s="1" t="n"/>
      <c r="J74" s="1" t="n"/>
      <c r="K74" s="181" t="n"/>
      <c r="L74" s="181" t="n"/>
      <c r="M74" s="181" t="n"/>
      <c r="N74" s="1" t="n"/>
      <c r="O74" s="181" t="n"/>
      <c r="P74" s="181" t="n"/>
      <c r="Q74" s="18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row>
    <row r="75" ht="15.75" customHeight="1" s="216">
      <c r="A75" s="1" t="n"/>
      <c r="B75" s="1" t="n"/>
      <c r="C75" s="1" t="n"/>
      <c r="D75" s="1" t="n"/>
      <c r="E75" s="181" t="n"/>
      <c r="F75" s="181" t="n"/>
      <c r="G75" s="1" t="n"/>
      <c r="H75" s="1" t="n"/>
      <c r="I75" s="1" t="n"/>
      <c r="J75" s="1" t="n"/>
      <c r="K75" s="181" t="n"/>
      <c r="L75" s="181" t="n"/>
      <c r="M75" s="181" t="n"/>
      <c r="N75" s="1" t="n"/>
      <c r="O75" s="181" t="n"/>
      <c r="P75" s="181" t="n"/>
      <c r="Q75" s="18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row>
    <row r="76" ht="15.75" customHeight="1" s="216">
      <c r="A76" s="1" t="n"/>
      <c r="B76" s="1" t="n"/>
      <c r="C76" s="1" t="n"/>
      <c r="D76" s="1" t="n"/>
      <c r="E76" s="181" t="n"/>
      <c r="F76" s="181" t="n"/>
      <c r="G76" s="1" t="n"/>
      <c r="H76" s="1" t="n"/>
      <c r="I76" s="1" t="n"/>
      <c r="J76" s="1" t="n"/>
      <c r="K76" s="181" t="n"/>
      <c r="L76" s="181" t="n"/>
      <c r="M76" s="181" t="n"/>
      <c r="N76" s="1" t="n"/>
      <c r="O76" s="181" t="n"/>
      <c r="P76" s="181" t="n"/>
      <c r="Q76" s="18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row>
    <row r="77" ht="15.75" customHeight="1" s="216">
      <c r="A77" s="1" t="n"/>
      <c r="B77" s="1" t="n"/>
      <c r="C77" s="1" t="n"/>
      <c r="D77" s="1" t="n"/>
      <c r="E77" s="181" t="n"/>
      <c r="F77" s="181" t="n"/>
      <c r="G77" s="1" t="n"/>
      <c r="H77" s="1" t="n"/>
      <c r="I77" s="1" t="n"/>
      <c r="J77" s="1" t="n"/>
      <c r="K77" s="181" t="n"/>
      <c r="L77" s="181" t="n"/>
      <c r="M77" s="181" t="n"/>
      <c r="N77" s="1" t="n"/>
      <c r="O77" s="181" t="n"/>
      <c r="P77" s="181" t="n"/>
      <c r="Q77" s="18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row>
    <row r="78" ht="15.75" customHeight="1" s="216">
      <c r="A78" s="1" t="n"/>
      <c r="B78" s="1" t="n"/>
      <c r="C78" s="1" t="n"/>
      <c r="D78" s="1" t="n"/>
      <c r="E78" s="181" t="n"/>
      <c r="F78" s="181" t="n"/>
      <c r="G78" s="1" t="n"/>
      <c r="H78" s="1" t="n"/>
      <c r="I78" s="1" t="n"/>
      <c r="J78" s="1" t="n"/>
      <c r="K78" s="181" t="n"/>
      <c r="L78" s="181" t="n"/>
      <c r="M78" s="181" t="n"/>
      <c r="N78" s="1" t="n"/>
      <c r="O78" s="181" t="n"/>
      <c r="P78" s="181" t="n"/>
      <c r="Q78" s="18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row>
    <row r="79" ht="15.75" customHeight="1" s="216">
      <c r="A79" s="1" t="n"/>
      <c r="B79" s="1" t="n"/>
      <c r="C79" s="1" t="n"/>
      <c r="D79" s="1" t="n"/>
      <c r="E79" s="181" t="n"/>
      <c r="F79" s="181" t="n"/>
      <c r="G79" s="1" t="n"/>
      <c r="H79" s="1" t="n"/>
      <c r="I79" s="1" t="n"/>
      <c r="J79" s="1" t="n"/>
      <c r="K79" s="181" t="n"/>
      <c r="L79" s="181" t="n"/>
      <c r="M79" s="181" t="n"/>
      <c r="N79" s="1" t="n"/>
      <c r="O79" s="181" t="n"/>
      <c r="P79" s="181" t="n"/>
      <c r="Q79" s="18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row>
    <row r="80" ht="15.75" customHeight="1" s="216">
      <c r="A80" s="1" t="n"/>
      <c r="B80" s="1" t="n"/>
      <c r="C80" s="1" t="n"/>
      <c r="D80" s="1" t="n"/>
      <c r="E80" s="181" t="n"/>
      <c r="F80" s="181" t="n"/>
      <c r="G80" s="1" t="n"/>
      <c r="H80" s="1" t="n"/>
      <c r="I80" s="1" t="n"/>
      <c r="J80" s="1" t="n"/>
      <c r="K80" s="181" t="n"/>
      <c r="L80" s="181" t="n"/>
      <c r="M80" s="181" t="n"/>
      <c r="N80" s="1" t="n"/>
      <c r="O80" s="181" t="n"/>
      <c r="P80" s="181" t="n"/>
      <c r="Q80" s="18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row>
    <row r="81" ht="15.75" customHeight="1" s="216">
      <c r="A81" s="1" t="n"/>
      <c r="B81" s="1" t="n"/>
      <c r="C81" s="1" t="n"/>
      <c r="D81" s="1" t="n"/>
      <c r="E81" s="181" t="n"/>
      <c r="F81" s="181" t="n"/>
      <c r="G81" s="1" t="n"/>
      <c r="H81" s="1" t="n"/>
      <c r="I81" s="1" t="n"/>
      <c r="J81" s="1" t="n"/>
      <c r="K81" s="181" t="n"/>
      <c r="L81" s="181" t="n"/>
      <c r="M81" s="181" t="n"/>
      <c r="N81" s="1" t="n"/>
      <c r="O81" s="181" t="n"/>
      <c r="P81" s="181" t="n"/>
      <c r="Q81" s="18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row>
    <row r="82" ht="15.75" customHeight="1" s="216">
      <c r="A82" s="1" t="n"/>
      <c r="B82" s="1" t="n"/>
      <c r="C82" s="1" t="n"/>
      <c r="D82" s="1" t="n"/>
      <c r="E82" s="181" t="n"/>
      <c r="F82" s="181" t="n"/>
      <c r="G82" s="1" t="n"/>
      <c r="H82" s="1" t="n"/>
      <c r="I82" s="1" t="n"/>
      <c r="J82" s="1" t="n"/>
      <c r="K82" s="181" t="n"/>
      <c r="L82" s="181" t="n"/>
      <c r="M82" s="181" t="n"/>
      <c r="N82" s="1" t="n"/>
      <c r="O82" s="181" t="n"/>
      <c r="P82" s="181" t="n"/>
      <c r="Q82" s="18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row>
    <row r="83" ht="15.75" customHeight="1" s="216">
      <c r="A83" s="1" t="n"/>
      <c r="B83" s="1" t="n"/>
      <c r="C83" s="1" t="n"/>
      <c r="D83" s="1" t="n"/>
      <c r="E83" s="181" t="n"/>
      <c r="F83" s="181" t="n"/>
      <c r="G83" s="1" t="n"/>
      <c r="H83" s="1" t="n"/>
      <c r="I83" s="1" t="n"/>
      <c r="J83" s="1" t="n"/>
      <c r="K83" s="181" t="n"/>
      <c r="L83" s="181" t="n"/>
      <c r="M83" s="181" t="n"/>
      <c r="N83" s="1" t="n"/>
      <c r="O83" s="181" t="n"/>
      <c r="P83" s="181" t="n"/>
      <c r="Q83" s="18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row>
    <row r="84" ht="15.75" customHeight="1" s="216">
      <c r="A84" s="1" t="n"/>
      <c r="B84" s="1" t="n"/>
      <c r="C84" s="1" t="n"/>
      <c r="D84" s="1" t="n"/>
      <c r="E84" s="181" t="n"/>
      <c r="F84" s="181" t="n"/>
      <c r="G84" s="1" t="n"/>
      <c r="H84" s="1" t="n"/>
      <c r="I84" s="1" t="n"/>
      <c r="J84" s="1" t="n"/>
      <c r="K84" s="181" t="n"/>
      <c r="L84" s="181" t="n"/>
      <c r="M84" s="181" t="n"/>
      <c r="N84" s="1" t="n"/>
      <c r="O84" s="181" t="n"/>
      <c r="P84" s="181" t="n"/>
      <c r="Q84" s="18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row>
    <row r="85" ht="15.75" customHeight="1" s="216">
      <c r="A85" s="1" t="n"/>
      <c r="B85" s="1" t="n"/>
      <c r="C85" s="1" t="n"/>
      <c r="D85" s="1" t="n"/>
      <c r="E85" s="181" t="n"/>
      <c r="F85" s="181" t="n"/>
      <c r="G85" s="1" t="n"/>
      <c r="H85" s="1" t="n"/>
      <c r="I85" s="1" t="n"/>
      <c r="J85" s="1" t="n"/>
      <c r="K85" s="181" t="n"/>
      <c r="L85" s="181" t="n"/>
      <c r="M85" s="181" t="n"/>
      <c r="N85" s="1" t="n"/>
      <c r="O85" s="181" t="n"/>
      <c r="P85" s="181" t="n"/>
      <c r="Q85" s="18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row>
    <row r="86" ht="15.75" customHeight="1" s="216">
      <c r="A86" s="1" t="n"/>
      <c r="B86" s="1" t="n"/>
      <c r="C86" s="1" t="n"/>
      <c r="D86" s="1" t="n"/>
      <c r="E86" s="181" t="n"/>
      <c r="F86" s="181" t="n"/>
      <c r="G86" s="1" t="n"/>
      <c r="H86" s="1" t="n"/>
      <c r="I86" s="1" t="n"/>
      <c r="J86" s="1" t="n"/>
      <c r="K86" s="181" t="n"/>
      <c r="L86" s="181" t="n"/>
      <c r="M86" s="181" t="n"/>
      <c r="N86" s="1" t="n"/>
      <c r="O86" s="181" t="n"/>
      <c r="P86" s="181" t="n"/>
      <c r="Q86" s="18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row>
    <row r="87" ht="15.75" customHeight="1" s="216">
      <c r="A87" s="1" t="n"/>
      <c r="B87" s="1" t="n"/>
      <c r="C87" s="1" t="n"/>
      <c r="D87" s="1" t="n"/>
      <c r="E87" s="181" t="n"/>
      <c r="F87" s="181" t="n"/>
      <c r="G87" s="1" t="n"/>
      <c r="H87" s="1" t="n"/>
      <c r="I87" s="1" t="n"/>
      <c r="J87" s="1" t="n"/>
      <c r="K87" s="181" t="n"/>
      <c r="L87" s="181" t="n"/>
      <c r="M87" s="181" t="n"/>
      <c r="N87" s="1" t="n"/>
      <c r="O87" s="181" t="n"/>
      <c r="P87" s="181" t="n"/>
      <c r="Q87" s="18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row>
    <row r="88" ht="15.75" customHeight="1" s="216">
      <c r="A88" s="1" t="n"/>
      <c r="B88" s="1" t="n"/>
      <c r="C88" s="1" t="n"/>
      <c r="D88" s="1" t="n"/>
      <c r="E88" s="181" t="n"/>
      <c r="F88" s="181" t="n"/>
      <c r="G88" s="1" t="n"/>
      <c r="H88" s="1" t="n"/>
      <c r="I88" s="1" t="n"/>
      <c r="J88" s="1" t="n"/>
      <c r="K88" s="181" t="n"/>
      <c r="L88" s="181" t="n"/>
      <c r="M88" s="181" t="n"/>
      <c r="N88" s="1" t="n"/>
      <c r="O88" s="181" t="n"/>
      <c r="P88" s="181" t="n"/>
      <c r="Q88" s="18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row>
    <row r="89" ht="15.75" customHeight="1" s="216">
      <c r="A89" s="1" t="n"/>
      <c r="B89" s="1" t="n"/>
      <c r="C89" s="1" t="n"/>
      <c r="D89" s="1" t="n"/>
      <c r="E89" s="181" t="n"/>
      <c r="F89" s="181" t="n"/>
      <c r="G89" s="1" t="n"/>
      <c r="H89" s="1" t="n"/>
      <c r="I89" s="1" t="n"/>
      <c r="J89" s="1" t="n"/>
      <c r="K89" s="181" t="n"/>
      <c r="L89" s="181" t="n"/>
      <c r="M89" s="181" t="n"/>
      <c r="N89" s="1" t="n"/>
      <c r="O89" s="181" t="n"/>
      <c r="P89" s="181" t="n"/>
      <c r="Q89" s="18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row>
    <row r="90" ht="15.75" customHeight="1" s="216">
      <c r="A90" s="1" t="n"/>
      <c r="B90" s="1" t="n"/>
      <c r="C90" s="1" t="n"/>
      <c r="D90" s="1" t="n"/>
      <c r="E90" s="181" t="n"/>
      <c r="F90" s="181" t="n"/>
      <c r="G90" s="1" t="n"/>
      <c r="H90" s="1" t="n"/>
      <c r="I90" s="1" t="n"/>
      <c r="J90" s="1" t="n"/>
      <c r="K90" s="181" t="n"/>
      <c r="L90" s="181" t="n"/>
      <c r="M90" s="181" t="n"/>
      <c r="N90" s="1" t="n"/>
      <c r="O90" s="181" t="n"/>
      <c r="P90" s="181" t="n"/>
      <c r="Q90" s="18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row>
    <row r="91" ht="15.75" customHeight="1" s="216">
      <c r="A91" s="1" t="n"/>
      <c r="B91" s="1" t="n"/>
      <c r="C91" s="1" t="n"/>
      <c r="D91" s="1" t="n"/>
      <c r="E91" s="181" t="n"/>
      <c r="F91" s="181" t="n"/>
      <c r="G91" s="1" t="n"/>
      <c r="H91" s="1" t="n"/>
      <c r="I91" s="1" t="n"/>
      <c r="J91" s="1" t="n"/>
      <c r="K91" s="181" t="n"/>
      <c r="L91" s="181" t="n"/>
      <c r="M91" s="181" t="n"/>
      <c r="N91" s="1" t="n"/>
      <c r="O91" s="181" t="n"/>
      <c r="P91" s="181" t="n"/>
      <c r="Q91" s="18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row>
    <row r="92" ht="15.75" customHeight="1" s="216">
      <c r="A92" s="1" t="n"/>
      <c r="B92" s="1" t="n"/>
      <c r="C92" s="1" t="n"/>
      <c r="D92" s="1" t="n"/>
      <c r="E92" s="181" t="n"/>
      <c r="F92" s="181" t="n"/>
      <c r="G92" s="1" t="n"/>
      <c r="H92" s="1" t="n"/>
      <c r="I92" s="1" t="n"/>
      <c r="J92" s="1" t="n"/>
      <c r="K92" s="181" t="n"/>
      <c r="L92" s="181" t="n"/>
      <c r="M92" s="181" t="n"/>
      <c r="N92" s="1" t="n"/>
      <c r="O92" s="181" t="n"/>
      <c r="P92" s="181" t="n"/>
      <c r="Q92" s="18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row>
    <row r="93" ht="15.75" customHeight="1" s="216">
      <c r="A93" s="1" t="n"/>
      <c r="B93" s="1" t="n"/>
      <c r="C93" s="1" t="n"/>
      <c r="D93" s="1" t="n"/>
      <c r="E93" s="181" t="n"/>
      <c r="F93" s="181" t="n"/>
      <c r="G93" s="1" t="n"/>
      <c r="H93" s="1" t="n"/>
      <c r="I93" s="1" t="n"/>
      <c r="J93" s="1" t="n"/>
      <c r="K93" s="181" t="n"/>
      <c r="L93" s="181" t="n"/>
      <c r="M93" s="181" t="n"/>
      <c r="N93" s="1" t="n"/>
      <c r="O93" s="181" t="n"/>
      <c r="P93" s="181" t="n"/>
      <c r="Q93" s="18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row>
    <row r="94" ht="15.75" customHeight="1" s="216">
      <c r="A94" s="1" t="n"/>
      <c r="B94" s="1" t="n"/>
      <c r="C94" s="1" t="n"/>
      <c r="D94" s="1" t="n"/>
      <c r="E94" s="181" t="n"/>
      <c r="F94" s="181" t="n"/>
      <c r="G94" s="1" t="n"/>
      <c r="H94" s="1" t="n"/>
      <c r="I94" s="1" t="n"/>
      <c r="J94" s="1" t="n"/>
      <c r="K94" s="181" t="n"/>
      <c r="L94" s="181" t="n"/>
      <c r="M94" s="181" t="n"/>
      <c r="N94" s="1" t="n"/>
      <c r="O94" s="181" t="n"/>
      <c r="P94" s="181" t="n"/>
      <c r="Q94" s="18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row>
    <row r="95" ht="15.75" customHeight="1" s="216">
      <c r="A95" s="1" t="n"/>
      <c r="B95" s="1" t="n"/>
      <c r="C95" s="1" t="n"/>
      <c r="D95" s="1" t="n"/>
      <c r="E95" s="181" t="n"/>
      <c r="F95" s="181" t="n"/>
      <c r="G95" s="1" t="n"/>
      <c r="H95" s="1" t="n"/>
      <c r="I95" s="1" t="n"/>
      <c r="J95" s="1" t="n"/>
      <c r="K95" s="181" t="n"/>
      <c r="L95" s="181" t="n"/>
      <c r="M95" s="181" t="n"/>
      <c r="N95" s="1" t="n"/>
      <c r="O95" s="181" t="n"/>
      <c r="P95" s="181" t="n"/>
      <c r="Q95" s="18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row>
    <row r="96" ht="15.75" customHeight="1" s="216">
      <c r="A96" s="1" t="n"/>
      <c r="B96" s="1" t="n"/>
      <c r="C96" s="1" t="n"/>
      <c r="D96" s="1" t="n"/>
      <c r="E96" s="181" t="n"/>
      <c r="F96" s="181" t="n"/>
      <c r="G96" s="1" t="n"/>
      <c r="H96" s="1" t="n"/>
      <c r="I96" s="1" t="n"/>
      <c r="J96" s="1" t="n"/>
      <c r="K96" s="181" t="n"/>
      <c r="L96" s="181" t="n"/>
      <c r="M96" s="181" t="n"/>
      <c r="N96" s="1" t="n"/>
      <c r="O96" s="181" t="n"/>
      <c r="P96" s="181" t="n"/>
      <c r="Q96" s="18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row>
    <row r="97" ht="15.75" customHeight="1" s="216">
      <c r="A97" s="1" t="n"/>
      <c r="B97" s="1" t="n"/>
      <c r="C97" s="1" t="n"/>
      <c r="D97" s="1" t="n"/>
      <c r="E97" s="181" t="n"/>
      <c r="F97" s="181" t="n"/>
      <c r="G97" s="1" t="n"/>
      <c r="H97" s="1" t="n"/>
      <c r="I97" s="1" t="n"/>
      <c r="J97" s="1" t="n"/>
      <c r="K97" s="181" t="n"/>
      <c r="L97" s="181" t="n"/>
      <c r="M97" s="181" t="n"/>
      <c r="N97" s="1" t="n"/>
      <c r="O97" s="181" t="n"/>
      <c r="P97" s="181" t="n"/>
      <c r="Q97" s="18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row>
    <row r="98" ht="15.75" customHeight="1" s="216">
      <c r="A98" s="1" t="n"/>
      <c r="B98" s="1" t="n"/>
      <c r="C98" s="1" t="n"/>
      <c r="D98" s="1" t="n"/>
      <c r="E98" s="181" t="n"/>
      <c r="F98" s="181" t="n"/>
      <c r="G98" s="1" t="n"/>
      <c r="H98" s="1" t="n"/>
      <c r="I98" s="1" t="n"/>
      <c r="J98" s="1" t="n"/>
      <c r="K98" s="181" t="n"/>
      <c r="L98" s="181" t="n"/>
      <c r="M98" s="181" t="n"/>
      <c r="N98" s="1" t="n"/>
      <c r="O98" s="181" t="n"/>
      <c r="P98" s="181" t="n"/>
      <c r="Q98" s="18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row>
    <row r="99" ht="15.75" customHeight="1" s="216">
      <c r="A99" s="1" t="n"/>
      <c r="B99" s="1" t="n"/>
      <c r="C99" s="1" t="n"/>
      <c r="D99" s="1" t="n"/>
      <c r="E99" s="181" t="n"/>
      <c r="F99" s="181" t="n"/>
      <c r="G99" s="1" t="n"/>
      <c r="H99" s="1" t="n"/>
      <c r="I99" s="1" t="n"/>
      <c r="J99" s="1" t="n"/>
      <c r="K99" s="181" t="n"/>
      <c r="L99" s="181" t="n"/>
      <c r="M99" s="181" t="n"/>
      <c r="N99" s="1" t="n"/>
      <c r="O99" s="181" t="n"/>
      <c r="P99" s="181" t="n"/>
      <c r="Q99" s="18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row>
    <row r="100" ht="15.75" customHeight="1" s="216">
      <c r="A100" s="1" t="n"/>
      <c r="B100" s="1" t="n"/>
      <c r="C100" s="1" t="n"/>
      <c r="D100" s="1" t="n"/>
      <c r="E100" s="181" t="n"/>
      <c r="F100" s="181" t="n"/>
      <c r="G100" s="1" t="n"/>
      <c r="H100" s="1" t="n"/>
      <c r="I100" s="1" t="n"/>
      <c r="J100" s="1" t="n"/>
      <c r="K100" s="181" t="n"/>
      <c r="L100" s="181" t="n"/>
      <c r="M100" s="181" t="n"/>
      <c r="N100" s="1" t="n"/>
      <c r="O100" s="181" t="n"/>
      <c r="P100" s="181" t="n"/>
      <c r="Q100" s="18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row>
    <row r="101" ht="15.75" customHeight="1" s="216">
      <c r="A101" s="1" t="n"/>
      <c r="B101" s="1" t="n"/>
      <c r="C101" s="1" t="n"/>
      <c r="D101" s="1" t="n"/>
      <c r="E101" s="181" t="n"/>
      <c r="F101" s="181" t="n"/>
      <c r="G101" s="1" t="n"/>
      <c r="H101" s="1" t="n"/>
      <c r="I101" s="1" t="n"/>
      <c r="J101" s="1" t="n"/>
      <c r="K101" s="181" t="n"/>
      <c r="L101" s="181" t="n"/>
      <c r="M101" s="181" t="n"/>
      <c r="N101" s="1" t="n"/>
      <c r="O101" s="181" t="n"/>
      <c r="P101" s="181" t="n"/>
      <c r="Q101" s="18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row>
    <row r="102" ht="15.75" customHeight="1" s="216">
      <c r="A102" s="1" t="n"/>
      <c r="B102" s="1" t="n"/>
      <c r="C102" s="1" t="n"/>
      <c r="D102" s="1" t="n"/>
      <c r="E102" s="181" t="n"/>
      <c r="F102" s="181" t="n"/>
      <c r="G102" s="1" t="n"/>
      <c r="H102" s="1" t="n"/>
      <c r="I102" s="1" t="n"/>
      <c r="J102" s="1" t="n"/>
      <c r="K102" s="181" t="n"/>
      <c r="L102" s="181" t="n"/>
      <c r="M102" s="181" t="n"/>
      <c r="N102" s="1" t="n"/>
      <c r="O102" s="181" t="n"/>
      <c r="P102" s="181" t="n"/>
      <c r="Q102" s="18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row>
    <row r="103" ht="15.75" customHeight="1" s="216">
      <c r="A103" s="1" t="n"/>
      <c r="B103" s="1" t="n"/>
      <c r="C103" s="1" t="n"/>
      <c r="D103" s="1" t="n"/>
      <c r="E103" s="181" t="n"/>
      <c r="F103" s="181" t="n"/>
      <c r="G103" s="1" t="n"/>
      <c r="H103" s="1" t="n"/>
      <c r="I103" s="1" t="n"/>
      <c r="J103" s="1" t="n"/>
      <c r="K103" s="181" t="n"/>
      <c r="L103" s="181" t="n"/>
      <c r="M103" s="181" t="n"/>
      <c r="N103" s="1" t="n"/>
      <c r="O103" s="181" t="n"/>
      <c r="P103" s="181" t="n"/>
      <c r="Q103" s="18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row>
    <row r="104" ht="15.75" customHeight="1" s="216">
      <c r="A104" s="1" t="n"/>
      <c r="B104" s="1" t="n"/>
      <c r="C104" s="1" t="n"/>
      <c r="D104" s="1" t="n"/>
      <c r="E104" s="181" t="n"/>
      <c r="F104" s="181" t="n"/>
      <c r="G104" s="1" t="n"/>
      <c r="H104" s="1" t="n"/>
      <c r="I104" s="1" t="n"/>
      <c r="J104" s="1" t="n"/>
      <c r="K104" s="181" t="n"/>
      <c r="L104" s="181" t="n"/>
      <c r="M104" s="181" t="n"/>
      <c r="N104" s="1" t="n"/>
      <c r="O104" s="181" t="n"/>
      <c r="P104" s="181" t="n"/>
      <c r="Q104" s="18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row>
    <row r="105" ht="15.75" customHeight="1" s="216">
      <c r="A105" s="1" t="n"/>
      <c r="B105" s="1" t="n"/>
      <c r="C105" s="1" t="n"/>
      <c r="D105" s="1" t="n"/>
      <c r="E105" s="181" t="n"/>
      <c r="F105" s="181" t="n"/>
      <c r="G105" s="1" t="n"/>
      <c r="H105" s="1" t="n"/>
      <c r="I105" s="1" t="n"/>
      <c r="J105" s="1" t="n"/>
      <c r="K105" s="181" t="n"/>
      <c r="L105" s="181" t="n"/>
      <c r="M105" s="181" t="n"/>
      <c r="N105" s="1" t="n"/>
      <c r="O105" s="181" t="n"/>
      <c r="P105" s="181" t="n"/>
      <c r="Q105" s="18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row>
    <row r="106" ht="15.75" customHeight="1" s="216">
      <c r="A106" s="1" t="n"/>
      <c r="B106" s="1" t="n"/>
      <c r="C106" s="1" t="n"/>
      <c r="D106" s="1" t="n"/>
      <c r="E106" s="181" t="n"/>
      <c r="F106" s="181" t="n"/>
      <c r="G106" s="1" t="n"/>
      <c r="H106" s="1" t="n"/>
      <c r="I106" s="1" t="n"/>
      <c r="J106" s="1" t="n"/>
      <c r="K106" s="181" t="n"/>
      <c r="L106" s="181" t="n"/>
      <c r="M106" s="181" t="n"/>
      <c r="N106" s="1" t="n"/>
      <c r="O106" s="181" t="n"/>
      <c r="P106" s="181" t="n"/>
      <c r="Q106" s="18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row>
    <row r="107" ht="15.75" customHeight="1" s="216">
      <c r="A107" s="1" t="n"/>
      <c r="B107" s="1" t="n"/>
      <c r="C107" s="1" t="n"/>
      <c r="D107" s="1" t="n"/>
      <c r="E107" s="181" t="n"/>
      <c r="F107" s="181" t="n"/>
      <c r="G107" s="1" t="n"/>
      <c r="H107" s="1" t="n"/>
      <c r="I107" s="1" t="n"/>
      <c r="J107" s="1" t="n"/>
      <c r="K107" s="181" t="n"/>
      <c r="L107" s="181" t="n"/>
      <c r="M107" s="181" t="n"/>
      <c r="N107" s="1" t="n"/>
      <c r="O107" s="181" t="n"/>
      <c r="P107" s="181" t="n"/>
      <c r="Q107" s="18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row>
    <row r="108" ht="15.75" customHeight="1" s="216">
      <c r="A108" s="1" t="n"/>
      <c r="B108" s="1" t="n"/>
      <c r="C108" s="1" t="n"/>
      <c r="D108" s="1" t="n"/>
      <c r="E108" s="181" t="n"/>
      <c r="F108" s="181" t="n"/>
      <c r="G108" s="1" t="n"/>
      <c r="H108" s="1" t="n"/>
      <c r="I108" s="1" t="n"/>
      <c r="J108" s="1" t="n"/>
      <c r="K108" s="181" t="n"/>
      <c r="L108" s="181" t="n"/>
      <c r="M108" s="181" t="n"/>
      <c r="N108" s="1" t="n"/>
      <c r="O108" s="181" t="n"/>
      <c r="P108" s="181" t="n"/>
      <c r="Q108" s="18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row>
    <row r="109" ht="15.75" customHeight="1" s="216">
      <c r="A109" s="1" t="n"/>
      <c r="B109" s="1" t="n"/>
      <c r="C109" s="1" t="n"/>
      <c r="D109" s="1" t="n"/>
      <c r="E109" s="181" t="n"/>
      <c r="F109" s="181" t="n"/>
      <c r="G109" s="1" t="n"/>
      <c r="H109" s="1" t="n"/>
      <c r="I109" s="1" t="n"/>
      <c r="J109" s="1" t="n"/>
      <c r="K109" s="181" t="n"/>
      <c r="L109" s="181" t="n"/>
      <c r="M109" s="181" t="n"/>
      <c r="N109" s="1" t="n"/>
      <c r="O109" s="181" t="n"/>
      <c r="P109" s="181" t="n"/>
      <c r="Q109" s="18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row>
    <row r="110" ht="15.75" customHeight="1" s="216">
      <c r="A110" s="1" t="n"/>
      <c r="B110" s="1" t="n"/>
      <c r="C110" s="1" t="n"/>
      <c r="D110" s="1" t="n"/>
      <c r="E110" s="181" t="n"/>
      <c r="F110" s="181" t="n"/>
      <c r="G110" s="1" t="n"/>
      <c r="H110" s="1" t="n"/>
      <c r="I110" s="1" t="n"/>
      <c r="J110" s="1" t="n"/>
      <c r="K110" s="181" t="n"/>
      <c r="L110" s="181" t="n"/>
      <c r="M110" s="181" t="n"/>
      <c r="N110" s="1" t="n"/>
      <c r="O110" s="181" t="n"/>
      <c r="P110" s="181" t="n"/>
      <c r="Q110" s="18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row>
    <row r="111" ht="15.75" customHeight="1" s="216">
      <c r="A111" s="1" t="n"/>
      <c r="B111" s="1" t="n"/>
      <c r="C111" s="1" t="n"/>
      <c r="D111" s="1" t="n"/>
      <c r="E111" s="181" t="n"/>
      <c r="F111" s="181" t="n"/>
      <c r="G111" s="1" t="n"/>
      <c r="H111" s="1" t="n"/>
      <c r="I111" s="1" t="n"/>
      <c r="J111" s="1" t="n"/>
      <c r="K111" s="181" t="n"/>
      <c r="L111" s="181" t="n"/>
      <c r="M111" s="181" t="n"/>
      <c r="N111" s="1" t="n"/>
      <c r="O111" s="181" t="n"/>
      <c r="P111" s="181" t="n"/>
      <c r="Q111" s="18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row>
    <row r="112" ht="15.75" customHeight="1" s="216">
      <c r="A112" s="1" t="n"/>
      <c r="B112" s="1" t="n"/>
      <c r="C112" s="1" t="n"/>
      <c r="D112" s="1" t="n"/>
      <c r="E112" s="181" t="n"/>
      <c r="F112" s="181" t="n"/>
      <c r="G112" s="1" t="n"/>
      <c r="H112" s="1" t="n"/>
      <c r="I112" s="1" t="n"/>
      <c r="J112" s="1" t="n"/>
      <c r="K112" s="181" t="n"/>
      <c r="L112" s="181" t="n"/>
      <c r="M112" s="181" t="n"/>
      <c r="N112" s="1" t="n"/>
      <c r="O112" s="181" t="n"/>
      <c r="P112" s="181" t="n"/>
      <c r="Q112" s="18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row>
    <row r="113" ht="15.75" customHeight="1" s="216">
      <c r="A113" s="1" t="n"/>
      <c r="B113" s="1" t="n"/>
      <c r="C113" s="1" t="n"/>
      <c r="D113" s="1" t="n"/>
      <c r="E113" s="181" t="n"/>
      <c r="F113" s="181" t="n"/>
      <c r="G113" s="1" t="n"/>
      <c r="H113" s="1" t="n"/>
      <c r="I113" s="1" t="n"/>
      <c r="J113" s="1" t="n"/>
      <c r="K113" s="181" t="n"/>
      <c r="L113" s="181" t="n"/>
      <c r="M113" s="181" t="n"/>
      <c r="N113" s="1" t="n"/>
      <c r="O113" s="181" t="n"/>
      <c r="P113" s="181" t="n"/>
      <c r="Q113" s="18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row>
    <row r="114" ht="15.75" customHeight="1" s="216">
      <c r="A114" s="1" t="n"/>
      <c r="B114" s="1" t="n"/>
      <c r="C114" s="1" t="n"/>
      <c r="D114" s="1" t="n"/>
      <c r="E114" s="181" t="n"/>
      <c r="F114" s="181" t="n"/>
      <c r="G114" s="1" t="n"/>
      <c r="H114" s="1" t="n"/>
      <c r="I114" s="1" t="n"/>
      <c r="J114" s="1" t="n"/>
      <c r="K114" s="181" t="n"/>
      <c r="L114" s="181" t="n"/>
      <c r="M114" s="181" t="n"/>
      <c r="N114" s="1" t="n"/>
      <c r="O114" s="181" t="n"/>
      <c r="P114" s="181" t="n"/>
      <c r="Q114" s="18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row>
    <row r="115" ht="15.75" customHeight="1" s="216">
      <c r="A115" s="1" t="n"/>
      <c r="B115" s="1" t="n"/>
      <c r="C115" s="1" t="n"/>
      <c r="D115" s="1" t="n"/>
      <c r="E115" s="181" t="n"/>
      <c r="F115" s="181" t="n"/>
      <c r="G115" s="1" t="n"/>
      <c r="H115" s="1" t="n"/>
      <c r="I115" s="1" t="n"/>
      <c r="J115" s="1" t="n"/>
      <c r="K115" s="181" t="n"/>
      <c r="L115" s="181" t="n"/>
      <c r="M115" s="181" t="n"/>
      <c r="N115" s="1" t="n"/>
      <c r="O115" s="181" t="n"/>
      <c r="P115" s="181" t="n"/>
      <c r="Q115" s="18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row>
    <row r="116" ht="15.75" customHeight="1" s="216">
      <c r="A116" s="1" t="n"/>
      <c r="B116" s="1" t="n"/>
      <c r="C116" s="1" t="n"/>
      <c r="D116" s="1" t="n"/>
      <c r="E116" s="181" t="n"/>
      <c r="F116" s="181" t="n"/>
      <c r="G116" s="1" t="n"/>
      <c r="H116" s="1" t="n"/>
      <c r="I116" s="1" t="n"/>
      <c r="J116" s="1" t="n"/>
      <c r="K116" s="181" t="n"/>
      <c r="L116" s="181" t="n"/>
      <c r="M116" s="181" t="n"/>
      <c r="N116" s="1" t="n"/>
      <c r="O116" s="181" t="n"/>
      <c r="P116" s="181" t="n"/>
      <c r="Q116" s="18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row>
    <row r="117" ht="15.75" customHeight="1" s="216">
      <c r="A117" s="1" t="n"/>
      <c r="B117" s="1" t="n"/>
      <c r="C117" s="1" t="n"/>
      <c r="D117" s="1" t="n"/>
      <c r="E117" s="181" t="n"/>
      <c r="F117" s="181" t="n"/>
      <c r="G117" s="1" t="n"/>
      <c r="H117" s="1" t="n"/>
      <c r="I117" s="1" t="n"/>
      <c r="J117" s="1" t="n"/>
      <c r="K117" s="181" t="n"/>
      <c r="L117" s="181" t="n"/>
      <c r="M117" s="181" t="n"/>
      <c r="N117" s="1" t="n"/>
      <c r="O117" s="181" t="n"/>
      <c r="P117" s="181" t="n"/>
      <c r="Q117" s="18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row>
    <row r="118" ht="15.75" customHeight="1" s="216">
      <c r="A118" s="1" t="n"/>
      <c r="B118" s="1" t="n"/>
      <c r="C118" s="1" t="n"/>
      <c r="D118" s="1" t="n"/>
      <c r="E118" s="181" t="n"/>
      <c r="F118" s="181" t="n"/>
      <c r="G118" s="1" t="n"/>
      <c r="H118" s="1" t="n"/>
      <c r="I118" s="1" t="n"/>
      <c r="J118" s="1" t="n"/>
      <c r="K118" s="181" t="n"/>
      <c r="L118" s="181" t="n"/>
      <c r="M118" s="181" t="n"/>
      <c r="N118" s="1" t="n"/>
      <c r="O118" s="181" t="n"/>
      <c r="P118" s="181" t="n"/>
      <c r="Q118" s="18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row>
    <row r="119" ht="15.75" customHeight="1" s="216">
      <c r="A119" s="1" t="n"/>
      <c r="B119" s="1" t="n"/>
      <c r="C119" s="1" t="n"/>
      <c r="D119" s="1" t="n"/>
      <c r="E119" s="181" t="n"/>
      <c r="F119" s="181" t="n"/>
      <c r="G119" s="1" t="n"/>
      <c r="H119" s="1" t="n"/>
      <c r="I119" s="1" t="n"/>
      <c r="J119" s="1" t="n"/>
      <c r="K119" s="181" t="n"/>
      <c r="L119" s="181" t="n"/>
      <c r="M119" s="181" t="n"/>
      <c r="N119" s="1" t="n"/>
      <c r="O119" s="181" t="n"/>
      <c r="P119" s="181" t="n"/>
      <c r="Q119" s="18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row>
    <row r="120" ht="15.75" customHeight="1" s="216">
      <c r="A120" s="1" t="n"/>
      <c r="B120" s="1" t="n"/>
      <c r="C120" s="1" t="n"/>
      <c r="D120" s="1" t="n"/>
      <c r="E120" s="181" t="n"/>
      <c r="F120" s="181" t="n"/>
      <c r="G120" s="1" t="n"/>
      <c r="H120" s="1" t="n"/>
      <c r="I120" s="1" t="n"/>
      <c r="J120" s="1" t="n"/>
      <c r="K120" s="181" t="n"/>
      <c r="L120" s="181" t="n"/>
      <c r="M120" s="181" t="n"/>
      <c r="N120" s="1" t="n"/>
      <c r="O120" s="181" t="n"/>
      <c r="P120" s="181" t="n"/>
      <c r="Q120" s="18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row>
    <row r="121" ht="15.75" customHeight="1" s="216">
      <c r="A121" s="1" t="n"/>
      <c r="B121" s="1" t="n"/>
      <c r="C121" s="1" t="n"/>
      <c r="D121" s="1" t="n"/>
      <c r="E121" s="181" t="n"/>
      <c r="F121" s="181" t="n"/>
      <c r="G121" s="1" t="n"/>
      <c r="H121" s="1" t="n"/>
      <c r="I121" s="1" t="n"/>
      <c r="J121" s="1" t="n"/>
      <c r="K121" s="181" t="n"/>
      <c r="L121" s="181" t="n"/>
      <c r="M121" s="181" t="n"/>
      <c r="N121" s="1" t="n"/>
      <c r="O121" s="181" t="n"/>
      <c r="P121" s="181" t="n"/>
      <c r="Q121" s="18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row>
    <row r="122" ht="15.75" customHeight="1" s="216">
      <c r="A122" s="1" t="n"/>
      <c r="B122" s="1" t="n"/>
      <c r="C122" s="1" t="n"/>
      <c r="D122" s="1" t="n"/>
      <c r="E122" s="181" t="n"/>
      <c r="F122" s="181" t="n"/>
      <c r="G122" s="1" t="n"/>
      <c r="H122" s="1" t="n"/>
      <c r="I122" s="1" t="n"/>
      <c r="J122" s="1" t="n"/>
      <c r="K122" s="181" t="n"/>
      <c r="L122" s="181" t="n"/>
      <c r="M122" s="181" t="n"/>
      <c r="N122" s="1" t="n"/>
      <c r="O122" s="181" t="n"/>
      <c r="P122" s="181" t="n"/>
      <c r="Q122" s="18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row>
    <row r="123" ht="15.75" customHeight="1" s="216">
      <c r="A123" s="1" t="n"/>
      <c r="B123" s="1" t="n"/>
      <c r="C123" s="1" t="n"/>
      <c r="D123" s="1" t="n"/>
      <c r="E123" s="181" t="n"/>
      <c r="F123" s="181" t="n"/>
      <c r="G123" s="1" t="n"/>
      <c r="H123" s="1" t="n"/>
      <c r="I123" s="1" t="n"/>
      <c r="J123" s="1" t="n"/>
      <c r="K123" s="181" t="n"/>
      <c r="L123" s="181" t="n"/>
      <c r="M123" s="181" t="n"/>
      <c r="N123" s="1" t="n"/>
      <c r="O123" s="181" t="n"/>
      <c r="P123" s="181" t="n"/>
      <c r="Q123" s="18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row>
    <row r="124" ht="15.75" customHeight="1" s="216">
      <c r="A124" s="1" t="n"/>
      <c r="B124" s="1" t="n"/>
      <c r="C124" s="1" t="n"/>
      <c r="D124" s="1" t="n"/>
      <c r="E124" s="181" t="n"/>
      <c r="F124" s="181" t="n"/>
      <c r="G124" s="1" t="n"/>
      <c r="H124" s="1" t="n"/>
      <c r="I124" s="1" t="n"/>
      <c r="J124" s="1" t="n"/>
      <c r="K124" s="181" t="n"/>
      <c r="L124" s="181" t="n"/>
      <c r="M124" s="181" t="n"/>
      <c r="N124" s="1" t="n"/>
      <c r="O124" s="181" t="n"/>
      <c r="P124" s="181" t="n"/>
      <c r="Q124" s="18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row>
    <row r="125" ht="15.75" customHeight="1" s="216">
      <c r="A125" s="1" t="n"/>
      <c r="B125" s="1" t="n"/>
      <c r="C125" s="1" t="n"/>
      <c r="D125" s="1" t="n"/>
      <c r="E125" s="181" t="n"/>
      <c r="F125" s="181" t="n"/>
      <c r="G125" s="1" t="n"/>
      <c r="H125" s="1" t="n"/>
      <c r="I125" s="1" t="n"/>
      <c r="J125" s="1" t="n"/>
      <c r="K125" s="181" t="n"/>
      <c r="L125" s="181" t="n"/>
      <c r="M125" s="181" t="n"/>
      <c r="N125" s="1" t="n"/>
      <c r="O125" s="181" t="n"/>
      <c r="P125" s="181" t="n"/>
      <c r="Q125" s="18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row>
    <row r="126" ht="15.75" customHeight="1" s="216">
      <c r="A126" s="1" t="n"/>
      <c r="B126" s="1" t="n"/>
      <c r="C126" s="1" t="n"/>
      <c r="D126" s="1" t="n"/>
      <c r="E126" s="181" t="n"/>
      <c r="F126" s="181" t="n"/>
      <c r="G126" s="1" t="n"/>
      <c r="H126" s="1" t="n"/>
      <c r="I126" s="1" t="n"/>
      <c r="J126" s="1" t="n"/>
      <c r="K126" s="181" t="n"/>
      <c r="L126" s="181" t="n"/>
      <c r="M126" s="181" t="n"/>
      <c r="N126" s="1" t="n"/>
      <c r="O126" s="181" t="n"/>
      <c r="P126" s="181" t="n"/>
      <c r="Q126" s="18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row>
    <row r="127" ht="15.75" customHeight="1" s="216">
      <c r="A127" s="1" t="n"/>
      <c r="B127" s="1" t="n"/>
      <c r="C127" s="1" t="n"/>
      <c r="D127" s="1" t="n"/>
      <c r="E127" s="181" t="n"/>
      <c r="F127" s="181" t="n"/>
      <c r="G127" s="1" t="n"/>
      <c r="H127" s="1" t="n"/>
      <c r="I127" s="1" t="n"/>
      <c r="J127" s="1" t="n"/>
      <c r="K127" s="181" t="n"/>
      <c r="L127" s="181" t="n"/>
      <c r="M127" s="181" t="n"/>
      <c r="N127" s="1" t="n"/>
      <c r="O127" s="181" t="n"/>
      <c r="P127" s="181" t="n"/>
      <c r="Q127" s="18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row>
    <row r="128" ht="15.75" customHeight="1" s="216">
      <c r="A128" s="1" t="n"/>
      <c r="B128" s="1" t="n"/>
      <c r="C128" s="1" t="n"/>
      <c r="D128" s="1" t="n"/>
      <c r="E128" s="181" t="n"/>
      <c r="F128" s="181" t="n"/>
      <c r="G128" s="1" t="n"/>
      <c r="H128" s="1" t="n"/>
      <c r="I128" s="1" t="n"/>
      <c r="J128" s="1" t="n"/>
      <c r="K128" s="181" t="n"/>
      <c r="L128" s="181" t="n"/>
      <c r="M128" s="181" t="n"/>
      <c r="N128" s="1" t="n"/>
      <c r="O128" s="181" t="n"/>
      <c r="P128" s="181" t="n"/>
      <c r="Q128" s="18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row>
    <row r="129" ht="15.75" customHeight="1" s="216">
      <c r="A129" s="1" t="n"/>
      <c r="B129" s="1" t="n"/>
      <c r="C129" s="1" t="n"/>
      <c r="D129" s="1" t="n"/>
      <c r="E129" s="181" t="n"/>
      <c r="F129" s="181" t="n"/>
      <c r="G129" s="1" t="n"/>
      <c r="H129" s="1" t="n"/>
      <c r="I129" s="1" t="n"/>
      <c r="J129" s="1" t="n"/>
      <c r="K129" s="181" t="n"/>
      <c r="L129" s="181" t="n"/>
      <c r="M129" s="181" t="n"/>
      <c r="N129" s="1" t="n"/>
      <c r="O129" s="181" t="n"/>
      <c r="P129" s="181" t="n"/>
      <c r="Q129" s="18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row>
    <row r="130" ht="15.75" customHeight="1" s="216">
      <c r="A130" s="1" t="n"/>
      <c r="B130" s="1" t="n"/>
      <c r="C130" s="1" t="n"/>
      <c r="D130" s="1" t="n"/>
      <c r="E130" s="181" t="n"/>
      <c r="F130" s="181" t="n"/>
      <c r="G130" s="1" t="n"/>
      <c r="H130" s="1" t="n"/>
      <c r="I130" s="1" t="n"/>
      <c r="J130" s="1" t="n"/>
      <c r="K130" s="181" t="n"/>
      <c r="L130" s="181" t="n"/>
      <c r="M130" s="181" t="n"/>
      <c r="N130" s="1" t="n"/>
      <c r="O130" s="181" t="n"/>
      <c r="P130" s="181" t="n"/>
      <c r="Q130" s="18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row>
    <row r="131" ht="15.75" customHeight="1" s="216">
      <c r="A131" s="1" t="n"/>
      <c r="B131" s="1" t="n"/>
      <c r="C131" s="1" t="n"/>
      <c r="D131" s="1" t="n"/>
      <c r="E131" s="181" t="n"/>
      <c r="F131" s="181" t="n"/>
      <c r="G131" s="1" t="n"/>
      <c r="H131" s="1" t="n"/>
      <c r="I131" s="1" t="n"/>
      <c r="J131" s="1" t="n"/>
      <c r="K131" s="181" t="n"/>
      <c r="L131" s="181" t="n"/>
      <c r="M131" s="181" t="n"/>
      <c r="N131" s="1" t="n"/>
      <c r="O131" s="181" t="n"/>
      <c r="P131" s="181" t="n"/>
      <c r="Q131" s="18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row>
    <row r="132" ht="15.75" customHeight="1" s="216">
      <c r="A132" s="1" t="n"/>
      <c r="B132" s="1" t="n"/>
      <c r="C132" s="1" t="n"/>
      <c r="D132" s="1" t="n"/>
      <c r="E132" s="181" t="n"/>
      <c r="F132" s="181" t="n"/>
      <c r="G132" s="1" t="n"/>
      <c r="H132" s="1" t="n"/>
      <c r="I132" s="1" t="n"/>
      <c r="J132" s="1" t="n"/>
      <c r="K132" s="181" t="n"/>
      <c r="L132" s="181" t="n"/>
      <c r="M132" s="181" t="n"/>
      <c r="N132" s="1" t="n"/>
      <c r="O132" s="181" t="n"/>
      <c r="P132" s="181" t="n"/>
      <c r="Q132" s="18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row>
    <row r="133" ht="15.75" customHeight="1" s="216">
      <c r="A133" s="1" t="n"/>
      <c r="B133" s="1" t="n"/>
      <c r="C133" s="1" t="n"/>
      <c r="D133" s="1" t="n"/>
      <c r="E133" s="181" t="n"/>
      <c r="F133" s="181" t="n"/>
      <c r="G133" s="1" t="n"/>
      <c r="H133" s="1" t="n"/>
      <c r="I133" s="1" t="n"/>
      <c r="J133" s="1" t="n"/>
      <c r="K133" s="181" t="n"/>
      <c r="L133" s="181" t="n"/>
      <c r="M133" s="181" t="n"/>
      <c r="N133" s="1" t="n"/>
      <c r="O133" s="181" t="n"/>
      <c r="P133" s="181" t="n"/>
      <c r="Q133" s="18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row>
    <row r="134" ht="15.75" customHeight="1" s="216">
      <c r="A134" s="1" t="n"/>
      <c r="B134" s="1" t="n"/>
      <c r="C134" s="1" t="n"/>
      <c r="D134" s="1" t="n"/>
      <c r="E134" s="181" t="n"/>
      <c r="F134" s="181" t="n"/>
      <c r="G134" s="1" t="n"/>
      <c r="H134" s="1" t="n"/>
      <c r="I134" s="1" t="n"/>
      <c r="J134" s="1" t="n"/>
      <c r="K134" s="181" t="n"/>
      <c r="L134" s="181" t="n"/>
      <c r="M134" s="181" t="n"/>
      <c r="N134" s="1" t="n"/>
      <c r="O134" s="181" t="n"/>
      <c r="P134" s="181" t="n"/>
      <c r="Q134" s="18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row>
    <row r="135" ht="15.75" customHeight="1" s="216">
      <c r="A135" s="1" t="n"/>
      <c r="B135" s="1" t="n"/>
      <c r="C135" s="1" t="n"/>
      <c r="D135" s="1" t="n"/>
      <c r="E135" s="181" t="n"/>
      <c r="F135" s="181" t="n"/>
      <c r="G135" s="1" t="n"/>
      <c r="H135" s="1" t="n"/>
      <c r="I135" s="1" t="n"/>
      <c r="J135" s="1" t="n"/>
      <c r="K135" s="181" t="n"/>
      <c r="L135" s="181" t="n"/>
      <c r="M135" s="181" t="n"/>
      <c r="N135" s="1" t="n"/>
      <c r="O135" s="181" t="n"/>
      <c r="P135" s="181" t="n"/>
      <c r="Q135" s="18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row>
    <row r="136" ht="15.75" customHeight="1" s="216">
      <c r="A136" s="1" t="n"/>
      <c r="B136" s="1" t="n"/>
      <c r="C136" s="1" t="n"/>
      <c r="D136" s="1" t="n"/>
      <c r="E136" s="181" t="n"/>
      <c r="F136" s="181" t="n"/>
      <c r="G136" s="1" t="n"/>
      <c r="H136" s="1" t="n"/>
      <c r="I136" s="1" t="n"/>
      <c r="J136" s="1" t="n"/>
      <c r="K136" s="181" t="n"/>
      <c r="L136" s="181" t="n"/>
      <c r="M136" s="181" t="n"/>
      <c r="N136" s="1" t="n"/>
      <c r="O136" s="181" t="n"/>
      <c r="P136" s="181" t="n"/>
      <c r="Q136" s="18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row>
    <row r="137" ht="15.75" customHeight="1" s="216">
      <c r="A137" s="1" t="n"/>
      <c r="B137" s="1" t="n"/>
      <c r="C137" s="1" t="n"/>
      <c r="D137" s="1" t="n"/>
      <c r="E137" s="181" t="n"/>
      <c r="F137" s="181" t="n"/>
      <c r="G137" s="1" t="n"/>
      <c r="H137" s="1" t="n"/>
      <c r="I137" s="1" t="n"/>
      <c r="J137" s="1" t="n"/>
      <c r="K137" s="181" t="n"/>
      <c r="L137" s="181" t="n"/>
      <c r="M137" s="181" t="n"/>
      <c r="N137" s="1" t="n"/>
      <c r="O137" s="181" t="n"/>
      <c r="P137" s="181" t="n"/>
      <c r="Q137" s="18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row>
    <row r="138" ht="15.75" customHeight="1" s="216">
      <c r="A138" s="1" t="n"/>
      <c r="B138" s="1" t="n"/>
      <c r="C138" s="1" t="n"/>
      <c r="D138" s="1" t="n"/>
      <c r="E138" s="181" t="n"/>
      <c r="F138" s="181" t="n"/>
      <c r="G138" s="1" t="n"/>
      <c r="H138" s="1" t="n"/>
      <c r="I138" s="1" t="n"/>
      <c r="J138" s="1" t="n"/>
      <c r="K138" s="181" t="n"/>
      <c r="L138" s="181" t="n"/>
      <c r="M138" s="181" t="n"/>
      <c r="N138" s="1" t="n"/>
      <c r="O138" s="181" t="n"/>
      <c r="P138" s="181" t="n"/>
      <c r="Q138" s="18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row>
    <row r="139" ht="15.75" customHeight="1" s="216">
      <c r="A139" s="1" t="n"/>
      <c r="B139" s="1" t="n"/>
      <c r="C139" s="1" t="n"/>
      <c r="D139" s="1" t="n"/>
      <c r="E139" s="181" t="n"/>
      <c r="F139" s="181" t="n"/>
      <c r="G139" s="1" t="n"/>
      <c r="H139" s="1" t="n"/>
      <c r="I139" s="1" t="n"/>
      <c r="J139" s="1" t="n"/>
      <c r="K139" s="181" t="n"/>
      <c r="L139" s="181" t="n"/>
      <c r="M139" s="181" t="n"/>
      <c r="N139" s="1" t="n"/>
      <c r="O139" s="181" t="n"/>
      <c r="P139" s="181" t="n"/>
      <c r="Q139" s="18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row>
    <row r="140" ht="15.75" customHeight="1" s="216">
      <c r="A140" s="1" t="n"/>
      <c r="B140" s="1" t="n"/>
      <c r="C140" s="1" t="n"/>
      <c r="D140" s="1" t="n"/>
      <c r="E140" s="181" t="n"/>
      <c r="F140" s="181" t="n"/>
      <c r="G140" s="1" t="n"/>
      <c r="H140" s="1" t="n"/>
      <c r="I140" s="1" t="n"/>
      <c r="J140" s="1" t="n"/>
      <c r="K140" s="181" t="n"/>
      <c r="L140" s="181" t="n"/>
      <c r="M140" s="181" t="n"/>
      <c r="N140" s="1" t="n"/>
      <c r="O140" s="181" t="n"/>
      <c r="P140" s="181" t="n"/>
      <c r="Q140" s="18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row>
    <row r="141" ht="15.75" customHeight="1" s="216">
      <c r="A141" s="1" t="n"/>
      <c r="B141" s="1" t="n"/>
      <c r="C141" s="1" t="n"/>
      <c r="D141" s="1" t="n"/>
      <c r="E141" s="181" t="n"/>
      <c r="F141" s="181" t="n"/>
      <c r="G141" s="1" t="n"/>
      <c r="H141" s="1" t="n"/>
      <c r="I141" s="1" t="n"/>
      <c r="J141" s="1" t="n"/>
      <c r="K141" s="181" t="n"/>
      <c r="L141" s="181" t="n"/>
      <c r="M141" s="181" t="n"/>
      <c r="N141" s="1" t="n"/>
      <c r="O141" s="181" t="n"/>
      <c r="P141" s="181" t="n"/>
      <c r="Q141" s="18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row>
    <row r="142" ht="15.75" customHeight="1" s="216">
      <c r="A142" s="1" t="n"/>
      <c r="B142" s="1" t="n"/>
      <c r="C142" s="1" t="n"/>
      <c r="D142" s="1" t="n"/>
      <c r="E142" s="181" t="n"/>
      <c r="F142" s="181" t="n"/>
      <c r="G142" s="1" t="n"/>
      <c r="H142" s="1" t="n"/>
      <c r="I142" s="1" t="n"/>
      <c r="J142" s="1" t="n"/>
      <c r="K142" s="181" t="n"/>
      <c r="L142" s="181" t="n"/>
      <c r="M142" s="181" t="n"/>
      <c r="N142" s="1" t="n"/>
      <c r="O142" s="181" t="n"/>
      <c r="P142" s="181" t="n"/>
      <c r="Q142" s="18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row>
    <row r="143" ht="15.75" customHeight="1" s="216">
      <c r="A143" s="1" t="n"/>
      <c r="B143" s="1" t="n"/>
      <c r="C143" s="1" t="n"/>
      <c r="D143" s="1" t="n"/>
      <c r="E143" s="181" t="n"/>
      <c r="F143" s="181" t="n"/>
      <c r="G143" s="1" t="n"/>
      <c r="H143" s="1" t="n"/>
      <c r="I143" s="1" t="n"/>
      <c r="J143" s="1" t="n"/>
      <c r="K143" s="181" t="n"/>
      <c r="L143" s="181" t="n"/>
      <c r="M143" s="181" t="n"/>
      <c r="N143" s="1" t="n"/>
      <c r="O143" s="181" t="n"/>
      <c r="P143" s="181" t="n"/>
      <c r="Q143" s="18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row>
    <row r="144" ht="15.75" customHeight="1" s="216">
      <c r="A144" s="1" t="n"/>
      <c r="B144" s="1" t="n"/>
      <c r="C144" s="1" t="n"/>
      <c r="D144" s="1" t="n"/>
      <c r="E144" s="181" t="n"/>
      <c r="F144" s="181" t="n"/>
      <c r="G144" s="1" t="n"/>
      <c r="H144" s="1" t="n"/>
      <c r="I144" s="1" t="n"/>
      <c r="J144" s="1" t="n"/>
      <c r="K144" s="181" t="n"/>
      <c r="L144" s="181" t="n"/>
      <c r="M144" s="181" t="n"/>
      <c r="N144" s="1" t="n"/>
      <c r="O144" s="181" t="n"/>
      <c r="P144" s="181" t="n"/>
      <c r="Q144" s="18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row>
    <row r="145" ht="15.75" customHeight="1" s="216">
      <c r="A145" s="1" t="n"/>
      <c r="B145" s="1" t="n"/>
      <c r="C145" s="1" t="n"/>
      <c r="D145" s="1" t="n"/>
      <c r="E145" s="181" t="n"/>
      <c r="F145" s="181" t="n"/>
      <c r="G145" s="1" t="n"/>
      <c r="H145" s="1" t="n"/>
      <c r="I145" s="1" t="n"/>
      <c r="J145" s="1" t="n"/>
      <c r="K145" s="181" t="n"/>
      <c r="L145" s="181" t="n"/>
      <c r="M145" s="181" t="n"/>
      <c r="N145" s="1" t="n"/>
      <c r="O145" s="181" t="n"/>
      <c r="P145" s="181" t="n"/>
      <c r="Q145" s="18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row>
    <row r="146" ht="15.75" customHeight="1" s="216">
      <c r="A146" s="1" t="n"/>
      <c r="B146" s="1" t="n"/>
      <c r="C146" s="1" t="n"/>
      <c r="D146" s="1" t="n"/>
      <c r="E146" s="181" t="n"/>
      <c r="F146" s="181" t="n"/>
      <c r="G146" s="1" t="n"/>
      <c r="H146" s="1" t="n"/>
      <c r="I146" s="1" t="n"/>
      <c r="J146" s="1" t="n"/>
      <c r="K146" s="181" t="n"/>
      <c r="L146" s="181" t="n"/>
      <c r="M146" s="181" t="n"/>
      <c r="N146" s="1" t="n"/>
      <c r="O146" s="181" t="n"/>
      <c r="P146" s="181" t="n"/>
      <c r="Q146" s="18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row>
    <row r="147" ht="15.75" customHeight="1" s="216">
      <c r="A147" s="1" t="n"/>
      <c r="B147" s="1" t="n"/>
      <c r="C147" s="1" t="n"/>
      <c r="D147" s="1" t="n"/>
      <c r="E147" s="181" t="n"/>
      <c r="F147" s="181" t="n"/>
      <c r="G147" s="1" t="n"/>
      <c r="H147" s="1" t="n"/>
      <c r="I147" s="1" t="n"/>
      <c r="J147" s="1" t="n"/>
      <c r="K147" s="181" t="n"/>
      <c r="L147" s="181" t="n"/>
      <c r="M147" s="181" t="n"/>
      <c r="N147" s="1" t="n"/>
      <c r="O147" s="181" t="n"/>
      <c r="P147" s="181" t="n"/>
      <c r="Q147" s="18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row>
    <row r="148" ht="15.75" customHeight="1" s="216">
      <c r="A148" s="1" t="n"/>
      <c r="B148" s="1" t="n"/>
      <c r="C148" s="1" t="n"/>
      <c r="D148" s="1" t="n"/>
      <c r="E148" s="181" t="n"/>
      <c r="F148" s="181" t="n"/>
      <c r="G148" s="1" t="n"/>
      <c r="H148" s="1" t="n"/>
      <c r="I148" s="1" t="n"/>
      <c r="J148" s="1" t="n"/>
      <c r="K148" s="181" t="n"/>
      <c r="L148" s="181" t="n"/>
      <c r="M148" s="181" t="n"/>
      <c r="N148" s="1" t="n"/>
      <c r="O148" s="181" t="n"/>
      <c r="P148" s="181" t="n"/>
      <c r="Q148" s="18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row>
    <row r="149" ht="15.75" customHeight="1" s="216">
      <c r="A149" s="1" t="n"/>
      <c r="B149" s="1" t="n"/>
      <c r="C149" s="1" t="n"/>
      <c r="D149" s="1" t="n"/>
      <c r="E149" s="181" t="n"/>
      <c r="F149" s="181" t="n"/>
      <c r="G149" s="1" t="n"/>
      <c r="H149" s="1" t="n"/>
      <c r="I149" s="1" t="n"/>
      <c r="J149" s="1" t="n"/>
      <c r="K149" s="181" t="n"/>
      <c r="L149" s="181" t="n"/>
      <c r="M149" s="181" t="n"/>
      <c r="N149" s="1" t="n"/>
      <c r="O149" s="181" t="n"/>
      <c r="P149" s="181" t="n"/>
      <c r="Q149" s="18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row>
    <row r="150" ht="15.75" customHeight="1" s="216">
      <c r="A150" s="1" t="n"/>
      <c r="B150" s="1" t="n"/>
      <c r="C150" s="1" t="n"/>
      <c r="D150" s="1" t="n"/>
      <c r="E150" s="181" t="n"/>
      <c r="F150" s="181" t="n"/>
      <c r="G150" s="1" t="n"/>
      <c r="H150" s="1" t="n"/>
      <c r="I150" s="1" t="n"/>
      <c r="J150" s="1" t="n"/>
      <c r="K150" s="181" t="n"/>
      <c r="L150" s="181" t="n"/>
      <c r="M150" s="181" t="n"/>
      <c r="N150" s="1" t="n"/>
      <c r="O150" s="181" t="n"/>
      <c r="P150" s="181" t="n"/>
      <c r="Q150" s="18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row>
    <row r="151" ht="15.75" customHeight="1" s="216">
      <c r="A151" s="1" t="n"/>
      <c r="B151" s="1" t="n"/>
      <c r="C151" s="1" t="n"/>
      <c r="D151" s="1" t="n"/>
      <c r="E151" s="181" t="n"/>
      <c r="F151" s="181" t="n"/>
      <c r="G151" s="1" t="n"/>
      <c r="H151" s="1" t="n"/>
      <c r="I151" s="1" t="n"/>
      <c r="J151" s="1" t="n"/>
      <c r="K151" s="181" t="n"/>
      <c r="L151" s="181" t="n"/>
      <c r="M151" s="181" t="n"/>
      <c r="N151" s="1" t="n"/>
      <c r="O151" s="181" t="n"/>
      <c r="P151" s="181" t="n"/>
      <c r="Q151" s="18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row>
    <row r="152" ht="15.75" customHeight="1" s="216">
      <c r="A152" s="1" t="n"/>
      <c r="B152" s="1" t="n"/>
      <c r="C152" s="1" t="n"/>
      <c r="D152" s="1" t="n"/>
      <c r="E152" s="181" t="n"/>
      <c r="F152" s="181" t="n"/>
      <c r="G152" s="1" t="n"/>
      <c r="H152" s="1" t="n"/>
      <c r="I152" s="1" t="n"/>
      <c r="J152" s="1" t="n"/>
      <c r="K152" s="181" t="n"/>
      <c r="L152" s="181" t="n"/>
      <c r="M152" s="181" t="n"/>
      <c r="N152" s="1" t="n"/>
      <c r="O152" s="181" t="n"/>
      <c r="P152" s="181" t="n"/>
      <c r="Q152" s="18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row>
    <row r="153" ht="15.75" customHeight="1" s="216">
      <c r="A153" s="1" t="n"/>
      <c r="B153" s="1" t="n"/>
      <c r="C153" s="1" t="n"/>
      <c r="D153" s="1" t="n"/>
      <c r="E153" s="181" t="n"/>
      <c r="F153" s="181" t="n"/>
      <c r="G153" s="1" t="n"/>
      <c r="H153" s="1" t="n"/>
      <c r="I153" s="1" t="n"/>
      <c r="J153" s="1" t="n"/>
      <c r="K153" s="181" t="n"/>
      <c r="L153" s="181" t="n"/>
      <c r="M153" s="181" t="n"/>
      <c r="N153" s="1" t="n"/>
      <c r="O153" s="181" t="n"/>
      <c r="P153" s="181" t="n"/>
      <c r="Q153" s="18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row>
    <row r="154" ht="15.75" customHeight="1" s="216">
      <c r="A154" s="1" t="n"/>
      <c r="B154" s="1" t="n"/>
      <c r="C154" s="1" t="n"/>
      <c r="D154" s="1" t="n"/>
      <c r="E154" s="181" t="n"/>
      <c r="F154" s="181" t="n"/>
      <c r="G154" s="1" t="n"/>
      <c r="H154" s="1" t="n"/>
      <c r="I154" s="1" t="n"/>
      <c r="J154" s="1" t="n"/>
      <c r="K154" s="181" t="n"/>
      <c r="L154" s="181" t="n"/>
      <c r="M154" s="181" t="n"/>
      <c r="N154" s="1" t="n"/>
      <c r="O154" s="181" t="n"/>
      <c r="P154" s="181" t="n"/>
      <c r="Q154" s="18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row>
    <row r="155" ht="15.75" customHeight="1" s="216">
      <c r="A155" s="1" t="n"/>
      <c r="B155" s="1" t="n"/>
      <c r="C155" s="1" t="n"/>
      <c r="D155" s="1" t="n"/>
      <c r="E155" s="181" t="n"/>
      <c r="F155" s="181" t="n"/>
      <c r="G155" s="1" t="n"/>
      <c r="H155" s="1" t="n"/>
      <c r="I155" s="1" t="n"/>
      <c r="J155" s="1" t="n"/>
      <c r="K155" s="181" t="n"/>
      <c r="L155" s="181" t="n"/>
      <c r="M155" s="181" t="n"/>
      <c r="N155" s="1" t="n"/>
      <c r="O155" s="181" t="n"/>
      <c r="P155" s="181" t="n"/>
      <c r="Q155" s="18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row>
    <row r="156" ht="15.75" customHeight="1" s="216">
      <c r="A156" s="1" t="n"/>
      <c r="B156" s="1" t="n"/>
      <c r="C156" s="1" t="n"/>
      <c r="D156" s="1" t="n"/>
      <c r="E156" s="181" t="n"/>
      <c r="F156" s="181" t="n"/>
      <c r="G156" s="1" t="n"/>
      <c r="H156" s="1" t="n"/>
      <c r="I156" s="1" t="n"/>
      <c r="J156" s="1" t="n"/>
      <c r="K156" s="181" t="n"/>
      <c r="L156" s="181" t="n"/>
      <c r="M156" s="181" t="n"/>
      <c r="N156" s="1" t="n"/>
      <c r="O156" s="181" t="n"/>
      <c r="P156" s="181" t="n"/>
      <c r="Q156" s="18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row>
    <row r="157" ht="15.75" customHeight="1" s="216">
      <c r="A157" s="1" t="n"/>
      <c r="B157" s="1" t="n"/>
      <c r="C157" s="1" t="n"/>
      <c r="D157" s="1" t="n"/>
      <c r="E157" s="181" t="n"/>
      <c r="F157" s="181" t="n"/>
      <c r="G157" s="1" t="n"/>
      <c r="H157" s="1" t="n"/>
      <c r="I157" s="1" t="n"/>
      <c r="J157" s="1" t="n"/>
      <c r="K157" s="181" t="n"/>
      <c r="L157" s="181" t="n"/>
      <c r="M157" s="181" t="n"/>
      <c r="N157" s="1" t="n"/>
      <c r="O157" s="181" t="n"/>
      <c r="P157" s="181" t="n"/>
      <c r="Q157" s="18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row>
    <row r="158" ht="15.75" customHeight="1" s="216">
      <c r="A158" s="1" t="n"/>
      <c r="B158" s="1" t="n"/>
      <c r="C158" s="1" t="n"/>
      <c r="D158" s="1" t="n"/>
      <c r="E158" s="181" t="n"/>
      <c r="F158" s="181" t="n"/>
      <c r="G158" s="1" t="n"/>
      <c r="H158" s="1" t="n"/>
      <c r="I158" s="1" t="n"/>
      <c r="J158" s="1" t="n"/>
      <c r="K158" s="181" t="n"/>
      <c r="L158" s="181" t="n"/>
      <c r="M158" s="181" t="n"/>
      <c r="N158" s="1" t="n"/>
      <c r="O158" s="181" t="n"/>
      <c r="P158" s="181" t="n"/>
      <c r="Q158" s="18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row>
    <row r="159" ht="15.75" customHeight="1" s="216">
      <c r="A159" s="1" t="n"/>
      <c r="B159" s="1" t="n"/>
      <c r="C159" s="1" t="n"/>
      <c r="D159" s="1" t="n"/>
      <c r="E159" s="181" t="n"/>
      <c r="F159" s="181" t="n"/>
      <c r="G159" s="1" t="n"/>
      <c r="H159" s="1" t="n"/>
      <c r="I159" s="1" t="n"/>
      <c r="J159" s="1" t="n"/>
      <c r="K159" s="181" t="n"/>
      <c r="L159" s="181" t="n"/>
      <c r="M159" s="181" t="n"/>
      <c r="N159" s="1" t="n"/>
      <c r="O159" s="181" t="n"/>
      <c r="P159" s="181" t="n"/>
      <c r="Q159" s="18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row>
    <row r="160" ht="15.75" customHeight="1" s="216">
      <c r="A160" s="1" t="n"/>
      <c r="B160" s="1" t="n"/>
      <c r="C160" s="1" t="n"/>
      <c r="D160" s="1" t="n"/>
      <c r="E160" s="181" t="n"/>
      <c r="F160" s="181" t="n"/>
      <c r="G160" s="1" t="n"/>
      <c r="H160" s="1" t="n"/>
      <c r="I160" s="1" t="n"/>
      <c r="J160" s="1" t="n"/>
      <c r="K160" s="181" t="n"/>
      <c r="L160" s="181" t="n"/>
      <c r="M160" s="181" t="n"/>
      <c r="N160" s="1" t="n"/>
      <c r="O160" s="181" t="n"/>
      <c r="P160" s="181" t="n"/>
      <c r="Q160" s="18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row>
    <row r="161" ht="15.75" customHeight="1" s="216">
      <c r="A161" s="1" t="n"/>
      <c r="B161" s="1" t="n"/>
      <c r="C161" s="1" t="n"/>
      <c r="D161" s="1" t="n"/>
      <c r="E161" s="181" t="n"/>
      <c r="F161" s="181" t="n"/>
      <c r="G161" s="1" t="n"/>
      <c r="H161" s="1" t="n"/>
      <c r="I161" s="1" t="n"/>
      <c r="J161" s="1" t="n"/>
      <c r="K161" s="181" t="n"/>
      <c r="L161" s="181" t="n"/>
      <c r="M161" s="181" t="n"/>
      <c r="N161" s="1" t="n"/>
      <c r="O161" s="181" t="n"/>
      <c r="P161" s="181" t="n"/>
      <c r="Q161" s="18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row>
    <row r="162" ht="15.75" customHeight="1" s="216">
      <c r="A162" s="1" t="n"/>
      <c r="B162" s="1" t="n"/>
      <c r="C162" s="1" t="n"/>
      <c r="D162" s="1" t="n"/>
      <c r="E162" s="181" t="n"/>
      <c r="F162" s="181" t="n"/>
      <c r="G162" s="1" t="n"/>
      <c r="H162" s="1" t="n"/>
      <c r="I162" s="1" t="n"/>
      <c r="J162" s="1" t="n"/>
      <c r="K162" s="181" t="n"/>
      <c r="L162" s="181" t="n"/>
      <c r="M162" s="181" t="n"/>
      <c r="N162" s="1" t="n"/>
      <c r="O162" s="181" t="n"/>
      <c r="P162" s="181" t="n"/>
      <c r="Q162" s="18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row>
    <row r="163" ht="15.75" customHeight="1" s="216">
      <c r="A163" s="1" t="n"/>
      <c r="B163" s="1" t="n"/>
      <c r="C163" s="1" t="n"/>
      <c r="D163" s="1" t="n"/>
      <c r="E163" s="181" t="n"/>
      <c r="F163" s="181" t="n"/>
      <c r="G163" s="1" t="n"/>
      <c r="H163" s="1" t="n"/>
      <c r="I163" s="1" t="n"/>
      <c r="J163" s="1" t="n"/>
      <c r="K163" s="181" t="n"/>
      <c r="L163" s="181" t="n"/>
      <c r="M163" s="181" t="n"/>
      <c r="N163" s="1" t="n"/>
      <c r="O163" s="181" t="n"/>
      <c r="P163" s="181" t="n"/>
      <c r="Q163" s="18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row>
    <row r="164" ht="15.75" customHeight="1" s="216">
      <c r="A164" s="1" t="n"/>
      <c r="B164" s="1" t="n"/>
      <c r="C164" s="1" t="n"/>
      <c r="D164" s="1" t="n"/>
      <c r="E164" s="181" t="n"/>
      <c r="F164" s="181" t="n"/>
      <c r="G164" s="1" t="n"/>
      <c r="H164" s="1" t="n"/>
      <c r="I164" s="1" t="n"/>
      <c r="J164" s="1" t="n"/>
      <c r="K164" s="181" t="n"/>
      <c r="L164" s="181" t="n"/>
      <c r="M164" s="181" t="n"/>
      <c r="N164" s="1" t="n"/>
      <c r="O164" s="181" t="n"/>
      <c r="P164" s="181" t="n"/>
      <c r="Q164" s="18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row>
    <row r="165" ht="15.75" customHeight="1" s="216">
      <c r="A165" s="1" t="n"/>
      <c r="B165" s="1" t="n"/>
      <c r="C165" s="1" t="n"/>
      <c r="D165" s="1" t="n"/>
      <c r="E165" s="181" t="n"/>
      <c r="F165" s="181" t="n"/>
      <c r="G165" s="1" t="n"/>
      <c r="H165" s="1" t="n"/>
      <c r="I165" s="1" t="n"/>
      <c r="J165" s="1" t="n"/>
      <c r="K165" s="181" t="n"/>
      <c r="L165" s="181" t="n"/>
      <c r="M165" s="181" t="n"/>
      <c r="N165" s="1" t="n"/>
      <c r="O165" s="181" t="n"/>
      <c r="P165" s="181" t="n"/>
      <c r="Q165" s="18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row>
    <row r="166" ht="15.75" customHeight="1" s="216">
      <c r="A166" s="1" t="n"/>
      <c r="B166" s="1" t="n"/>
      <c r="C166" s="1" t="n"/>
      <c r="D166" s="1" t="n"/>
      <c r="E166" s="181" t="n"/>
      <c r="F166" s="181" t="n"/>
      <c r="G166" s="1" t="n"/>
      <c r="H166" s="1" t="n"/>
      <c r="I166" s="1" t="n"/>
      <c r="J166" s="1" t="n"/>
      <c r="K166" s="181" t="n"/>
      <c r="L166" s="181" t="n"/>
      <c r="M166" s="181" t="n"/>
      <c r="N166" s="1" t="n"/>
      <c r="O166" s="181" t="n"/>
      <c r="P166" s="181" t="n"/>
      <c r="Q166" s="18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row>
    <row r="167" ht="15.75" customHeight="1" s="216">
      <c r="A167" s="1" t="n"/>
      <c r="B167" s="1" t="n"/>
      <c r="C167" s="1" t="n"/>
      <c r="D167" s="1" t="n"/>
      <c r="E167" s="181" t="n"/>
      <c r="F167" s="181" t="n"/>
      <c r="G167" s="1" t="n"/>
      <c r="H167" s="1" t="n"/>
      <c r="I167" s="1" t="n"/>
      <c r="J167" s="1" t="n"/>
      <c r="K167" s="181" t="n"/>
      <c r="L167" s="181" t="n"/>
      <c r="M167" s="181" t="n"/>
      <c r="N167" s="1" t="n"/>
      <c r="O167" s="181" t="n"/>
      <c r="P167" s="181" t="n"/>
      <c r="Q167" s="18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row>
    <row r="168" ht="15.75" customHeight="1" s="216">
      <c r="A168" s="1" t="n"/>
      <c r="B168" s="1" t="n"/>
      <c r="C168" s="1" t="n"/>
      <c r="D168" s="1" t="n"/>
      <c r="E168" s="181" t="n"/>
      <c r="F168" s="181" t="n"/>
      <c r="G168" s="1" t="n"/>
      <c r="H168" s="1" t="n"/>
      <c r="I168" s="1" t="n"/>
      <c r="J168" s="1" t="n"/>
      <c r="K168" s="181" t="n"/>
      <c r="L168" s="181" t="n"/>
      <c r="M168" s="181" t="n"/>
      <c r="N168" s="1" t="n"/>
      <c r="O168" s="181" t="n"/>
      <c r="P168" s="181" t="n"/>
      <c r="Q168" s="18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row>
    <row r="169" ht="15.75" customHeight="1" s="216">
      <c r="A169" s="1" t="n"/>
      <c r="B169" s="1" t="n"/>
      <c r="C169" s="1" t="n"/>
      <c r="D169" s="1" t="n"/>
      <c r="E169" s="181" t="n"/>
      <c r="F169" s="181" t="n"/>
      <c r="G169" s="1" t="n"/>
      <c r="H169" s="1" t="n"/>
      <c r="I169" s="1" t="n"/>
      <c r="J169" s="1" t="n"/>
      <c r="K169" s="181" t="n"/>
      <c r="L169" s="181" t="n"/>
      <c r="M169" s="181" t="n"/>
      <c r="N169" s="1" t="n"/>
      <c r="O169" s="181" t="n"/>
      <c r="P169" s="181" t="n"/>
      <c r="Q169" s="18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row>
    <row r="170" ht="15.75" customHeight="1" s="216">
      <c r="A170" s="1" t="n"/>
      <c r="B170" s="1" t="n"/>
      <c r="C170" s="1" t="n"/>
      <c r="D170" s="1" t="n"/>
      <c r="E170" s="181" t="n"/>
      <c r="F170" s="181" t="n"/>
      <c r="G170" s="1" t="n"/>
      <c r="H170" s="1" t="n"/>
      <c r="I170" s="1" t="n"/>
      <c r="J170" s="1" t="n"/>
      <c r="K170" s="181" t="n"/>
      <c r="L170" s="181" t="n"/>
      <c r="M170" s="181" t="n"/>
      <c r="N170" s="1" t="n"/>
      <c r="O170" s="181" t="n"/>
      <c r="P170" s="181" t="n"/>
      <c r="Q170" s="18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row>
    <row r="171" ht="15.75" customHeight="1" s="216">
      <c r="A171" s="1" t="n"/>
      <c r="B171" s="1" t="n"/>
      <c r="C171" s="1" t="n"/>
      <c r="D171" s="1" t="n"/>
      <c r="E171" s="181" t="n"/>
      <c r="F171" s="181" t="n"/>
      <c r="G171" s="1" t="n"/>
      <c r="H171" s="1" t="n"/>
      <c r="I171" s="1" t="n"/>
      <c r="J171" s="1" t="n"/>
      <c r="K171" s="181" t="n"/>
      <c r="L171" s="181" t="n"/>
      <c r="M171" s="181" t="n"/>
      <c r="N171" s="1" t="n"/>
      <c r="O171" s="181" t="n"/>
      <c r="P171" s="181" t="n"/>
      <c r="Q171" s="18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row>
    <row r="172" ht="15.75" customHeight="1" s="216">
      <c r="A172" s="1" t="n"/>
      <c r="B172" s="1" t="n"/>
      <c r="C172" s="1" t="n"/>
      <c r="D172" s="1" t="n"/>
      <c r="E172" s="181" t="n"/>
      <c r="F172" s="181" t="n"/>
      <c r="G172" s="1" t="n"/>
      <c r="H172" s="1" t="n"/>
      <c r="I172" s="1" t="n"/>
      <c r="J172" s="1" t="n"/>
      <c r="K172" s="181" t="n"/>
      <c r="L172" s="181" t="n"/>
      <c r="M172" s="181" t="n"/>
      <c r="N172" s="1" t="n"/>
      <c r="O172" s="181" t="n"/>
      <c r="P172" s="181" t="n"/>
      <c r="Q172" s="18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row>
    <row r="173" ht="15.75" customHeight="1" s="216">
      <c r="A173" s="1" t="n"/>
      <c r="B173" s="1" t="n"/>
      <c r="C173" s="1" t="n"/>
      <c r="D173" s="1" t="n"/>
      <c r="E173" s="181" t="n"/>
      <c r="F173" s="181" t="n"/>
      <c r="G173" s="1" t="n"/>
      <c r="H173" s="1" t="n"/>
      <c r="I173" s="1" t="n"/>
      <c r="J173" s="1" t="n"/>
      <c r="K173" s="181" t="n"/>
      <c r="L173" s="181" t="n"/>
      <c r="M173" s="181" t="n"/>
      <c r="N173" s="1" t="n"/>
      <c r="O173" s="181" t="n"/>
      <c r="P173" s="181" t="n"/>
      <c r="Q173" s="18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row>
    <row r="174" ht="15.75" customHeight="1" s="216">
      <c r="A174" s="1" t="n"/>
      <c r="B174" s="1" t="n"/>
      <c r="C174" s="1" t="n"/>
      <c r="D174" s="1" t="n"/>
      <c r="E174" s="181" t="n"/>
      <c r="F174" s="181" t="n"/>
      <c r="G174" s="1" t="n"/>
      <c r="H174" s="1" t="n"/>
      <c r="I174" s="1" t="n"/>
      <c r="J174" s="1" t="n"/>
      <c r="K174" s="181" t="n"/>
      <c r="L174" s="181" t="n"/>
      <c r="M174" s="181" t="n"/>
      <c r="N174" s="1" t="n"/>
      <c r="O174" s="181" t="n"/>
      <c r="P174" s="181" t="n"/>
      <c r="Q174" s="18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row>
    <row r="175" ht="15.75" customHeight="1" s="216">
      <c r="A175" s="1" t="n"/>
      <c r="B175" s="1" t="n"/>
      <c r="C175" s="1" t="n"/>
      <c r="D175" s="1" t="n"/>
      <c r="E175" s="181" t="n"/>
      <c r="F175" s="181" t="n"/>
      <c r="G175" s="1" t="n"/>
      <c r="H175" s="1" t="n"/>
      <c r="I175" s="1" t="n"/>
      <c r="J175" s="1" t="n"/>
      <c r="K175" s="181" t="n"/>
      <c r="L175" s="181" t="n"/>
      <c r="M175" s="181" t="n"/>
      <c r="N175" s="1" t="n"/>
      <c r="O175" s="181" t="n"/>
      <c r="P175" s="181" t="n"/>
      <c r="Q175" s="18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row>
    <row r="176" ht="15.75" customHeight="1" s="216">
      <c r="A176" s="1" t="n"/>
      <c r="B176" s="1" t="n"/>
      <c r="C176" s="1" t="n"/>
      <c r="D176" s="1" t="n"/>
      <c r="E176" s="181" t="n"/>
      <c r="F176" s="181" t="n"/>
      <c r="G176" s="1" t="n"/>
      <c r="H176" s="1" t="n"/>
      <c r="I176" s="1" t="n"/>
      <c r="J176" s="1" t="n"/>
      <c r="K176" s="181" t="n"/>
      <c r="L176" s="181" t="n"/>
      <c r="M176" s="181" t="n"/>
      <c r="N176" s="1" t="n"/>
      <c r="O176" s="181" t="n"/>
      <c r="P176" s="181" t="n"/>
      <c r="Q176" s="18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row>
    <row r="177" ht="15.75" customHeight="1" s="216">
      <c r="A177" s="1" t="n"/>
      <c r="B177" s="1" t="n"/>
      <c r="C177" s="1" t="n"/>
      <c r="D177" s="1" t="n"/>
      <c r="E177" s="181" t="n"/>
      <c r="F177" s="181" t="n"/>
      <c r="G177" s="1" t="n"/>
      <c r="H177" s="1" t="n"/>
      <c r="I177" s="1" t="n"/>
      <c r="J177" s="1" t="n"/>
      <c r="K177" s="181" t="n"/>
      <c r="L177" s="181" t="n"/>
      <c r="M177" s="181" t="n"/>
      <c r="N177" s="1" t="n"/>
      <c r="O177" s="181" t="n"/>
      <c r="P177" s="181" t="n"/>
      <c r="Q177" s="18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row>
    <row r="178" ht="15.75" customHeight="1" s="216">
      <c r="A178" s="1" t="n"/>
      <c r="B178" s="1" t="n"/>
      <c r="C178" s="1" t="n"/>
      <c r="D178" s="1" t="n"/>
      <c r="E178" s="181" t="n"/>
      <c r="F178" s="181" t="n"/>
      <c r="G178" s="1" t="n"/>
      <c r="H178" s="1" t="n"/>
      <c r="I178" s="1" t="n"/>
      <c r="J178" s="1" t="n"/>
      <c r="K178" s="181" t="n"/>
      <c r="L178" s="181" t="n"/>
      <c r="M178" s="181" t="n"/>
      <c r="N178" s="1" t="n"/>
      <c r="O178" s="181" t="n"/>
      <c r="P178" s="181" t="n"/>
      <c r="Q178" s="18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row>
    <row r="179" ht="15.75" customHeight="1" s="216">
      <c r="A179" s="1" t="n"/>
      <c r="B179" s="1" t="n"/>
      <c r="C179" s="1" t="n"/>
      <c r="D179" s="1" t="n"/>
      <c r="E179" s="181" t="n"/>
      <c r="F179" s="181" t="n"/>
      <c r="G179" s="1" t="n"/>
      <c r="H179" s="1" t="n"/>
      <c r="I179" s="1" t="n"/>
      <c r="J179" s="1" t="n"/>
      <c r="K179" s="181" t="n"/>
      <c r="L179" s="181" t="n"/>
      <c r="M179" s="181" t="n"/>
      <c r="N179" s="1" t="n"/>
      <c r="O179" s="181" t="n"/>
      <c r="P179" s="181" t="n"/>
      <c r="Q179" s="18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row>
    <row r="180" ht="15.75" customHeight="1" s="216">
      <c r="A180" s="1" t="n"/>
      <c r="B180" s="1" t="n"/>
      <c r="C180" s="1" t="n"/>
      <c r="D180" s="1" t="n"/>
      <c r="E180" s="181" t="n"/>
      <c r="F180" s="181" t="n"/>
      <c r="G180" s="1" t="n"/>
      <c r="H180" s="1" t="n"/>
      <c r="I180" s="1" t="n"/>
      <c r="J180" s="1" t="n"/>
      <c r="K180" s="181" t="n"/>
      <c r="L180" s="181" t="n"/>
      <c r="M180" s="181" t="n"/>
      <c r="N180" s="1" t="n"/>
      <c r="O180" s="181" t="n"/>
      <c r="P180" s="181" t="n"/>
      <c r="Q180" s="18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row>
    <row r="181" ht="15.75" customHeight="1" s="216">
      <c r="A181" s="1" t="n"/>
      <c r="B181" s="1" t="n"/>
      <c r="C181" s="1" t="n"/>
      <c r="D181" s="1" t="n"/>
      <c r="E181" s="181" t="n"/>
      <c r="F181" s="181" t="n"/>
      <c r="G181" s="1" t="n"/>
      <c r="H181" s="1" t="n"/>
      <c r="I181" s="1" t="n"/>
      <c r="J181" s="1" t="n"/>
      <c r="K181" s="181" t="n"/>
      <c r="L181" s="181" t="n"/>
      <c r="M181" s="181" t="n"/>
      <c r="N181" s="1" t="n"/>
      <c r="O181" s="181" t="n"/>
      <c r="P181" s="181" t="n"/>
      <c r="Q181" s="18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row>
    <row r="182" ht="15.75" customHeight="1" s="216">
      <c r="A182" s="1" t="n"/>
      <c r="B182" s="1" t="n"/>
      <c r="C182" s="1" t="n"/>
      <c r="D182" s="1" t="n"/>
      <c r="E182" s="181" t="n"/>
      <c r="F182" s="181" t="n"/>
      <c r="G182" s="1" t="n"/>
      <c r="H182" s="1" t="n"/>
      <c r="I182" s="1" t="n"/>
      <c r="J182" s="1" t="n"/>
      <c r="K182" s="181" t="n"/>
      <c r="L182" s="181" t="n"/>
      <c r="M182" s="181" t="n"/>
      <c r="N182" s="1" t="n"/>
      <c r="O182" s="181" t="n"/>
      <c r="P182" s="181" t="n"/>
      <c r="Q182" s="18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row>
    <row r="183" ht="15.75" customHeight="1" s="216">
      <c r="A183" s="1" t="n"/>
      <c r="B183" s="1" t="n"/>
      <c r="C183" s="1" t="n"/>
      <c r="D183" s="1" t="n"/>
      <c r="E183" s="181" t="n"/>
      <c r="F183" s="181" t="n"/>
      <c r="G183" s="1" t="n"/>
      <c r="H183" s="1" t="n"/>
      <c r="I183" s="1" t="n"/>
      <c r="J183" s="1" t="n"/>
      <c r="K183" s="181" t="n"/>
      <c r="L183" s="181" t="n"/>
      <c r="M183" s="181" t="n"/>
      <c r="N183" s="1" t="n"/>
      <c r="O183" s="181" t="n"/>
      <c r="P183" s="181" t="n"/>
      <c r="Q183" s="18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row>
    <row r="184" ht="15.75" customHeight="1" s="216">
      <c r="A184" s="1" t="n"/>
      <c r="B184" s="1" t="n"/>
      <c r="C184" s="1" t="n"/>
      <c r="D184" s="1" t="n"/>
      <c r="E184" s="181" t="n"/>
      <c r="F184" s="181" t="n"/>
      <c r="G184" s="1" t="n"/>
      <c r="H184" s="1" t="n"/>
      <c r="I184" s="1" t="n"/>
      <c r="J184" s="1" t="n"/>
      <c r="K184" s="181" t="n"/>
      <c r="L184" s="181" t="n"/>
      <c r="M184" s="181" t="n"/>
      <c r="N184" s="1" t="n"/>
      <c r="O184" s="181" t="n"/>
      <c r="P184" s="181" t="n"/>
      <c r="Q184" s="18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row>
    <row r="185" ht="15.75" customHeight="1" s="216">
      <c r="A185" s="1" t="n"/>
      <c r="B185" s="1" t="n"/>
      <c r="C185" s="1" t="n"/>
      <c r="D185" s="1" t="n"/>
      <c r="E185" s="181" t="n"/>
      <c r="F185" s="181" t="n"/>
      <c r="G185" s="1" t="n"/>
      <c r="H185" s="1" t="n"/>
      <c r="I185" s="1" t="n"/>
      <c r="J185" s="1" t="n"/>
      <c r="K185" s="181" t="n"/>
      <c r="L185" s="181" t="n"/>
      <c r="M185" s="181" t="n"/>
      <c r="N185" s="1" t="n"/>
      <c r="O185" s="181" t="n"/>
      <c r="P185" s="181" t="n"/>
      <c r="Q185" s="18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row>
    <row r="186" ht="15.75" customHeight="1" s="216">
      <c r="A186" s="1" t="n"/>
      <c r="B186" s="1" t="n"/>
      <c r="C186" s="1" t="n"/>
      <c r="D186" s="1" t="n"/>
      <c r="E186" s="181" t="n"/>
      <c r="F186" s="181" t="n"/>
      <c r="G186" s="1" t="n"/>
      <c r="H186" s="1" t="n"/>
      <c r="I186" s="1" t="n"/>
      <c r="J186" s="1" t="n"/>
      <c r="K186" s="181" t="n"/>
      <c r="L186" s="181" t="n"/>
      <c r="M186" s="181" t="n"/>
      <c r="N186" s="1" t="n"/>
      <c r="O186" s="181" t="n"/>
      <c r="P186" s="181" t="n"/>
      <c r="Q186" s="18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row>
    <row r="187" ht="15.75" customHeight="1" s="216">
      <c r="A187" s="1" t="n"/>
      <c r="B187" s="1" t="n"/>
      <c r="C187" s="1" t="n"/>
      <c r="D187" s="1" t="n"/>
      <c r="E187" s="181" t="n"/>
      <c r="F187" s="181" t="n"/>
      <c r="G187" s="1" t="n"/>
      <c r="H187" s="1" t="n"/>
      <c r="I187" s="1" t="n"/>
      <c r="J187" s="1" t="n"/>
      <c r="K187" s="181" t="n"/>
      <c r="L187" s="181" t="n"/>
      <c r="M187" s="181" t="n"/>
      <c r="N187" s="1" t="n"/>
      <c r="O187" s="181" t="n"/>
      <c r="P187" s="181" t="n"/>
      <c r="Q187" s="18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row>
    <row r="188" ht="15.75" customHeight="1" s="216">
      <c r="A188" s="1" t="n"/>
      <c r="B188" s="1" t="n"/>
      <c r="C188" s="1" t="n"/>
      <c r="D188" s="1" t="n"/>
      <c r="E188" s="181" t="n"/>
      <c r="F188" s="181" t="n"/>
      <c r="G188" s="1" t="n"/>
      <c r="H188" s="1" t="n"/>
      <c r="I188" s="1" t="n"/>
      <c r="J188" s="1" t="n"/>
      <c r="K188" s="181" t="n"/>
      <c r="L188" s="181" t="n"/>
      <c r="M188" s="181" t="n"/>
      <c r="N188" s="1" t="n"/>
      <c r="O188" s="181" t="n"/>
      <c r="P188" s="181" t="n"/>
      <c r="Q188" s="18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row>
    <row r="189" ht="15.75" customHeight="1" s="216">
      <c r="A189" s="1" t="n"/>
      <c r="B189" s="1" t="n"/>
      <c r="C189" s="1" t="n"/>
      <c r="D189" s="1" t="n"/>
      <c r="E189" s="181" t="n"/>
      <c r="F189" s="181" t="n"/>
      <c r="G189" s="1" t="n"/>
      <c r="H189" s="1" t="n"/>
      <c r="I189" s="1" t="n"/>
      <c r="J189" s="1" t="n"/>
      <c r="K189" s="181" t="n"/>
      <c r="L189" s="181" t="n"/>
      <c r="M189" s="181" t="n"/>
      <c r="N189" s="1" t="n"/>
      <c r="O189" s="181" t="n"/>
      <c r="P189" s="181" t="n"/>
      <c r="Q189" s="18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row>
    <row r="190" ht="15.75" customHeight="1" s="216">
      <c r="A190" s="1" t="n"/>
      <c r="B190" s="1" t="n"/>
      <c r="C190" s="1" t="n"/>
      <c r="D190" s="1" t="n"/>
      <c r="E190" s="181" t="n"/>
      <c r="F190" s="181" t="n"/>
      <c r="G190" s="1" t="n"/>
      <c r="H190" s="1" t="n"/>
      <c r="I190" s="1" t="n"/>
      <c r="J190" s="1" t="n"/>
      <c r="K190" s="181" t="n"/>
      <c r="L190" s="181" t="n"/>
      <c r="M190" s="181" t="n"/>
      <c r="N190" s="1" t="n"/>
      <c r="O190" s="181" t="n"/>
      <c r="P190" s="181" t="n"/>
      <c r="Q190" s="18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row>
    <row r="191" ht="15.75" customHeight="1" s="216">
      <c r="A191" s="1" t="n"/>
      <c r="B191" s="1" t="n"/>
      <c r="C191" s="1" t="n"/>
      <c r="D191" s="1" t="n"/>
      <c r="E191" s="181" t="n"/>
      <c r="F191" s="181" t="n"/>
      <c r="G191" s="1" t="n"/>
      <c r="H191" s="1" t="n"/>
      <c r="I191" s="1" t="n"/>
      <c r="J191" s="1" t="n"/>
      <c r="K191" s="181" t="n"/>
      <c r="L191" s="181" t="n"/>
      <c r="M191" s="181" t="n"/>
      <c r="N191" s="1" t="n"/>
      <c r="O191" s="181" t="n"/>
      <c r="P191" s="181" t="n"/>
      <c r="Q191" s="18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row>
    <row r="192" ht="15.75" customHeight="1" s="216">
      <c r="A192" s="1" t="n"/>
      <c r="B192" s="1" t="n"/>
      <c r="C192" s="1" t="n"/>
      <c r="D192" s="1" t="n"/>
      <c r="E192" s="181" t="n"/>
      <c r="F192" s="181" t="n"/>
      <c r="G192" s="1" t="n"/>
      <c r="H192" s="1" t="n"/>
      <c r="I192" s="1" t="n"/>
      <c r="J192" s="1" t="n"/>
      <c r="K192" s="181" t="n"/>
      <c r="L192" s="181" t="n"/>
      <c r="M192" s="181" t="n"/>
      <c r="N192" s="1" t="n"/>
      <c r="O192" s="181" t="n"/>
      <c r="P192" s="181" t="n"/>
      <c r="Q192" s="18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row>
    <row r="193" ht="15.75" customHeight="1" s="216">
      <c r="A193" s="1" t="n"/>
      <c r="B193" s="1" t="n"/>
      <c r="C193" s="1" t="n"/>
      <c r="D193" s="1" t="n"/>
      <c r="E193" s="181" t="n"/>
      <c r="F193" s="181" t="n"/>
      <c r="G193" s="1" t="n"/>
      <c r="H193" s="1" t="n"/>
      <c r="I193" s="1" t="n"/>
      <c r="J193" s="1" t="n"/>
      <c r="K193" s="181" t="n"/>
      <c r="L193" s="181" t="n"/>
      <c r="M193" s="181" t="n"/>
      <c r="N193" s="1" t="n"/>
      <c r="O193" s="181" t="n"/>
      <c r="P193" s="181" t="n"/>
      <c r="Q193" s="18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row>
    <row r="194" ht="15.75" customHeight="1" s="216">
      <c r="A194" s="1" t="n"/>
      <c r="B194" s="1" t="n"/>
      <c r="C194" s="1" t="n"/>
      <c r="D194" s="1" t="n"/>
      <c r="E194" s="181" t="n"/>
      <c r="F194" s="181" t="n"/>
      <c r="G194" s="1" t="n"/>
      <c r="H194" s="1" t="n"/>
      <c r="I194" s="1" t="n"/>
      <c r="J194" s="1" t="n"/>
      <c r="K194" s="181" t="n"/>
      <c r="L194" s="181" t="n"/>
      <c r="M194" s="181" t="n"/>
      <c r="N194" s="1" t="n"/>
      <c r="O194" s="181" t="n"/>
      <c r="P194" s="181" t="n"/>
      <c r="Q194" s="18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row>
    <row r="195" ht="15.75" customHeight="1" s="216">
      <c r="A195" s="1" t="n"/>
      <c r="B195" s="1" t="n"/>
      <c r="C195" s="1" t="n"/>
      <c r="D195" s="1" t="n"/>
      <c r="E195" s="181" t="n"/>
      <c r="F195" s="181" t="n"/>
      <c r="G195" s="1" t="n"/>
      <c r="H195" s="1" t="n"/>
      <c r="I195" s="1" t="n"/>
      <c r="J195" s="1" t="n"/>
      <c r="K195" s="181" t="n"/>
      <c r="L195" s="181" t="n"/>
      <c r="M195" s="181" t="n"/>
      <c r="N195" s="1" t="n"/>
      <c r="O195" s="181" t="n"/>
      <c r="P195" s="181" t="n"/>
      <c r="Q195" s="18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row>
    <row r="196" ht="15.75" customHeight="1" s="216">
      <c r="A196" s="1" t="n"/>
      <c r="B196" s="1" t="n"/>
      <c r="C196" s="1" t="n"/>
      <c r="D196" s="1" t="n"/>
      <c r="E196" s="181" t="n"/>
      <c r="F196" s="181" t="n"/>
      <c r="G196" s="1" t="n"/>
      <c r="H196" s="1" t="n"/>
      <c r="I196" s="1" t="n"/>
      <c r="J196" s="1" t="n"/>
      <c r="K196" s="181" t="n"/>
      <c r="L196" s="181" t="n"/>
      <c r="M196" s="181" t="n"/>
      <c r="N196" s="1" t="n"/>
      <c r="O196" s="181" t="n"/>
      <c r="P196" s="181" t="n"/>
      <c r="Q196" s="18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row>
    <row r="197" ht="15.75" customHeight="1" s="216">
      <c r="A197" s="1" t="n"/>
      <c r="B197" s="1" t="n"/>
      <c r="C197" s="1" t="n"/>
      <c r="D197" s="1" t="n"/>
      <c r="E197" s="181" t="n"/>
      <c r="F197" s="181" t="n"/>
      <c r="G197" s="1" t="n"/>
      <c r="H197" s="1" t="n"/>
      <c r="I197" s="1" t="n"/>
      <c r="J197" s="1" t="n"/>
      <c r="K197" s="181" t="n"/>
      <c r="L197" s="181" t="n"/>
      <c r="M197" s="181" t="n"/>
      <c r="N197" s="1" t="n"/>
      <c r="O197" s="181" t="n"/>
      <c r="P197" s="181" t="n"/>
      <c r="Q197" s="18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row>
    <row r="198" ht="15.75" customHeight="1" s="216">
      <c r="A198" s="1" t="n"/>
      <c r="B198" s="1" t="n"/>
      <c r="C198" s="1" t="n"/>
      <c r="D198" s="1" t="n"/>
      <c r="E198" s="181" t="n"/>
      <c r="F198" s="181" t="n"/>
      <c r="G198" s="1" t="n"/>
      <c r="H198" s="1" t="n"/>
      <c r="I198" s="1" t="n"/>
      <c r="J198" s="1" t="n"/>
      <c r="K198" s="181" t="n"/>
      <c r="L198" s="181" t="n"/>
      <c r="M198" s="181" t="n"/>
      <c r="N198" s="1" t="n"/>
      <c r="O198" s="181" t="n"/>
      <c r="P198" s="181" t="n"/>
      <c r="Q198" s="18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row>
    <row r="199" ht="15.75" customHeight="1" s="216">
      <c r="A199" s="1" t="n"/>
      <c r="B199" s="1" t="n"/>
      <c r="C199" s="1" t="n"/>
      <c r="D199" s="1" t="n"/>
      <c r="E199" s="181" t="n"/>
      <c r="F199" s="181" t="n"/>
      <c r="G199" s="1" t="n"/>
      <c r="H199" s="1" t="n"/>
      <c r="I199" s="1" t="n"/>
      <c r="J199" s="1" t="n"/>
      <c r="K199" s="181" t="n"/>
      <c r="L199" s="181" t="n"/>
      <c r="M199" s="181" t="n"/>
      <c r="N199" s="1" t="n"/>
      <c r="O199" s="181" t="n"/>
      <c r="P199" s="181" t="n"/>
      <c r="Q199" s="18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row>
    <row r="200" ht="15.75" customHeight="1" s="216">
      <c r="A200" s="1" t="n"/>
      <c r="B200" s="1" t="n"/>
      <c r="C200" s="1" t="n"/>
      <c r="D200" s="1" t="n"/>
      <c r="E200" s="181" t="n"/>
      <c r="F200" s="181" t="n"/>
      <c r="G200" s="1" t="n"/>
      <c r="H200" s="1" t="n"/>
      <c r="I200" s="1" t="n"/>
      <c r="J200" s="1" t="n"/>
      <c r="K200" s="181" t="n"/>
      <c r="L200" s="181" t="n"/>
      <c r="M200" s="181" t="n"/>
      <c r="N200" s="1" t="n"/>
      <c r="O200" s="181" t="n"/>
      <c r="P200" s="181" t="n"/>
      <c r="Q200" s="18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row>
    <row r="201" ht="15.75" customHeight="1" s="216">
      <c r="A201" s="1" t="n"/>
      <c r="B201" s="1" t="n"/>
      <c r="C201" s="1" t="n"/>
      <c r="D201" s="1" t="n"/>
      <c r="E201" s="181" t="n"/>
      <c r="F201" s="181" t="n"/>
      <c r="G201" s="1" t="n"/>
      <c r="H201" s="1" t="n"/>
      <c r="I201" s="1" t="n"/>
      <c r="J201" s="1" t="n"/>
      <c r="K201" s="181" t="n"/>
      <c r="L201" s="181" t="n"/>
      <c r="M201" s="181" t="n"/>
      <c r="N201" s="1" t="n"/>
      <c r="O201" s="181" t="n"/>
      <c r="P201" s="181" t="n"/>
      <c r="Q201" s="18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row>
    <row r="202" ht="15.75" customHeight="1" s="216">
      <c r="A202" s="1" t="n"/>
      <c r="B202" s="1" t="n"/>
      <c r="C202" s="1" t="n"/>
      <c r="D202" s="1" t="n"/>
      <c r="E202" s="181" t="n"/>
      <c r="F202" s="181" t="n"/>
      <c r="G202" s="1" t="n"/>
      <c r="H202" s="1" t="n"/>
      <c r="I202" s="1" t="n"/>
      <c r="J202" s="1" t="n"/>
      <c r="K202" s="181" t="n"/>
      <c r="L202" s="181" t="n"/>
      <c r="M202" s="181" t="n"/>
      <c r="N202" s="1" t="n"/>
      <c r="O202" s="181" t="n"/>
      <c r="P202" s="181" t="n"/>
      <c r="Q202" s="18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row>
    <row r="203" ht="15.75" customHeight="1" s="216">
      <c r="A203" s="1" t="n"/>
      <c r="B203" s="1" t="n"/>
      <c r="C203" s="1" t="n"/>
      <c r="D203" s="1" t="n"/>
      <c r="E203" s="181" t="n"/>
      <c r="F203" s="181" t="n"/>
      <c r="G203" s="1" t="n"/>
      <c r="H203" s="1" t="n"/>
      <c r="I203" s="1" t="n"/>
      <c r="J203" s="1" t="n"/>
      <c r="K203" s="181" t="n"/>
      <c r="L203" s="181" t="n"/>
      <c r="M203" s="181" t="n"/>
      <c r="N203" s="1" t="n"/>
      <c r="O203" s="181" t="n"/>
      <c r="P203" s="181" t="n"/>
      <c r="Q203" s="18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row>
    <row r="204" ht="15.75" customHeight="1" s="216">
      <c r="A204" s="1" t="n"/>
      <c r="B204" s="1" t="n"/>
      <c r="C204" s="1" t="n"/>
      <c r="D204" s="1" t="n"/>
      <c r="E204" s="181" t="n"/>
      <c r="F204" s="181" t="n"/>
      <c r="G204" s="1" t="n"/>
      <c r="H204" s="1" t="n"/>
      <c r="I204" s="1" t="n"/>
      <c r="J204" s="1" t="n"/>
      <c r="K204" s="181" t="n"/>
      <c r="L204" s="181" t="n"/>
      <c r="M204" s="181" t="n"/>
      <c r="N204" s="1" t="n"/>
      <c r="O204" s="181" t="n"/>
      <c r="P204" s="181" t="n"/>
      <c r="Q204" s="18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row>
    <row r="205" ht="15.75" customHeight="1" s="216">
      <c r="A205" s="1" t="n"/>
      <c r="B205" s="1" t="n"/>
      <c r="C205" s="1" t="n"/>
      <c r="D205" s="1" t="n"/>
      <c r="E205" s="181" t="n"/>
      <c r="F205" s="181" t="n"/>
      <c r="G205" s="1" t="n"/>
      <c r="H205" s="1" t="n"/>
      <c r="I205" s="1" t="n"/>
      <c r="J205" s="1" t="n"/>
      <c r="K205" s="181" t="n"/>
      <c r="L205" s="181" t="n"/>
      <c r="M205" s="181" t="n"/>
      <c r="N205" s="1" t="n"/>
      <c r="O205" s="181" t="n"/>
      <c r="P205" s="181" t="n"/>
      <c r="Q205" s="18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row>
    <row r="206" ht="15.75" customHeight="1" s="216">
      <c r="A206" s="1" t="n"/>
      <c r="B206" s="1" t="n"/>
      <c r="C206" s="1" t="n"/>
      <c r="D206" s="1" t="n"/>
      <c r="E206" s="181" t="n"/>
      <c r="F206" s="181" t="n"/>
      <c r="G206" s="1" t="n"/>
      <c r="H206" s="1" t="n"/>
      <c r="I206" s="1" t="n"/>
      <c r="J206" s="1" t="n"/>
      <c r="K206" s="181" t="n"/>
      <c r="L206" s="181" t="n"/>
      <c r="M206" s="181" t="n"/>
      <c r="N206" s="1" t="n"/>
      <c r="O206" s="181" t="n"/>
      <c r="P206" s="181" t="n"/>
      <c r="Q206" s="18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row>
    <row r="207" ht="15.75" customHeight="1" s="216">
      <c r="A207" s="1" t="n"/>
      <c r="B207" s="1" t="n"/>
      <c r="C207" s="1" t="n"/>
      <c r="D207" s="1" t="n"/>
      <c r="E207" s="181" t="n"/>
      <c r="F207" s="181" t="n"/>
      <c r="G207" s="1" t="n"/>
      <c r="H207" s="1" t="n"/>
      <c r="I207" s="1" t="n"/>
      <c r="J207" s="1" t="n"/>
      <c r="K207" s="181" t="n"/>
      <c r="L207" s="181" t="n"/>
      <c r="M207" s="181" t="n"/>
      <c r="N207" s="1" t="n"/>
      <c r="O207" s="181" t="n"/>
      <c r="P207" s="181" t="n"/>
      <c r="Q207" s="18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row>
    <row r="208" ht="15.75" customHeight="1" s="216">
      <c r="A208" s="1" t="n"/>
      <c r="B208" s="1" t="n"/>
      <c r="C208" s="1" t="n"/>
      <c r="D208" s="1" t="n"/>
      <c r="E208" s="181" t="n"/>
      <c r="F208" s="181" t="n"/>
      <c r="G208" s="1" t="n"/>
      <c r="H208" s="1" t="n"/>
      <c r="I208" s="1" t="n"/>
      <c r="J208" s="1" t="n"/>
      <c r="K208" s="181" t="n"/>
      <c r="L208" s="181" t="n"/>
      <c r="M208" s="181" t="n"/>
      <c r="N208" s="1" t="n"/>
      <c r="O208" s="181" t="n"/>
      <c r="P208" s="181" t="n"/>
      <c r="Q208" s="18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row>
    <row r="209" ht="15.75" customHeight="1" s="216">
      <c r="A209" s="1" t="n"/>
      <c r="B209" s="1" t="n"/>
      <c r="C209" s="1" t="n"/>
      <c r="D209" s="1" t="n"/>
      <c r="E209" s="181" t="n"/>
      <c r="F209" s="181" t="n"/>
      <c r="G209" s="1" t="n"/>
      <c r="H209" s="1" t="n"/>
      <c r="I209" s="1" t="n"/>
      <c r="J209" s="1" t="n"/>
      <c r="K209" s="181" t="n"/>
      <c r="L209" s="181" t="n"/>
      <c r="M209" s="181" t="n"/>
      <c r="N209" s="1" t="n"/>
      <c r="O209" s="181" t="n"/>
      <c r="P209" s="181" t="n"/>
      <c r="Q209" s="18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row>
    <row r="210" ht="15.75" customHeight="1" s="216">
      <c r="A210" s="1" t="n"/>
      <c r="B210" s="1" t="n"/>
      <c r="C210" s="1" t="n"/>
      <c r="D210" s="1" t="n"/>
      <c r="E210" s="181" t="n"/>
      <c r="F210" s="181" t="n"/>
      <c r="G210" s="1" t="n"/>
      <c r="H210" s="1" t="n"/>
      <c r="I210" s="1" t="n"/>
      <c r="J210" s="1" t="n"/>
      <c r="K210" s="181" t="n"/>
      <c r="L210" s="181" t="n"/>
      <c r="M210" s="181" t="n"/>
      <c r="N210" s="1" t="n"/>
      <c r="O210" s="181" t="n"/>
      <c r="P210" s="181" t="n"/>
      <c r="Q210" s="18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row>
    <row r="211" ht="15.75" customHeight="1" s="216">
      <c r="A211" s="1" t="n"/>
      <c r="B211" s="1" t="n"/>
      <c r="C211" s="1" t="n"/>
      <c r="D211" s="1" t="n"/>
      <c r="E211" s="181" t="n"/>
      <c r="F211" s="181" t="n"/>
      <c r="G211" s="1" t="n"/>
      <c r="H211" s="1" t="n"/>
      <c r="I211" s="1" t="n"/>
      <c r="J211" s="1" t="n"/>
      <c r="K211" s="181" t="n"/>
      <c r="L211" s="181" t="n"/>
      <c r="M211" s="181" t="n"/>
      <c r="N211" s="1" t="n"/>
      <c r="O211" s="181" t="n"/>
      <c r="P211" s="181" t="n"/>
      <c r="Q211" s="18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row>
    <row r="212" ht="15.75" customHeight="1" s="216">
      <c r="A212" s="1" t="n"/>
      <c r="B212" s="1" t="n"/>
      <c r="C212" s="1" t="n"/>
      <c r="D212" s="1" t="n"/>
      <c r="E212" s="181" t="n"/>
      <c r="F212" s="181" t="n"/>
      <c r="G212" s="1" t="n"/>
      <c r="H212" s="1" t="n"/>
      <c r="I212" s="1" t="n"/>
      <c r="J212" s="1" t="n"/>
      <c r="K212" s="181" t="n"/>
      <c r="L212" s="181" t="n"/>
      <c r="M212" s="181" t="n"/>
      <c r="N212" s="1" t="n"/>
      <c r="O212" s="181" t="n"/>
      <c r="P212" s="181" t="n"/>
      <c r="Q212" s="18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row>
    <row r="213" ht="15.75" customHeight="1" s="216">
      <c r="A213" s="1" t="n"/>
      <c r="B213" s="1" t="n"/>
      <c r="C213" s="1" t="n"/>
      <c r="D213" s="1" t="n"/>
      <c r="E213" s="181" t="n"/>
      <c r="F213" s="181" t="n"/>
      <c r="G213" s="1" t="n"/>
      <c r="H213" s="1" t="n"/>
      <c r="I213" s="1" t="n"/>
      <c r="J213" s="1" t="n"/>
      <c r="K213" s="181" t="n"/>
      <c r="L213" s="181" t="n"/>
      <c r="M213" s="181" t="n"/>
      <c r="N213" s="1" t="n"/>
      <c r="O213" s="181" t="n"/>
      <c r="P213" s="181" t="n"/>
      <c r="Q213" s="18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row>
    <row r="214" ht="15.75" customHeight="1" s="216">
      <c r="A214" s="1" t="n"/>
      <c r="B214" s="1" t="n"/>
      <c r="C214" s="1" t="n"/>
      <c r="D214" s="1" t="n"/>
      <c r="E214" s="181" t="n"/>
      <c r="F214" s="181" t="n"/>
      <c r="G214" s="1" t="n"/>
      <c r="H214" s="1" t="n"/>
      <c r="I214" s="1" t="n"/>
      <c r="J214" s="1" t="n"/>
      <c r="K214" s="181" t="n"/>
      <c r="L214" s="181" t="n"/>
      <c r="M214" s="181" t="n"/>
      <c r="N214" s="1" t="n"/>
      <c r="O214" s="181" t="n"/>
      <c r="P214" s="181" t="n"/>
      <c r="Q214" s="18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row>
    <row r="215" ht="15.75" customHeight="1" s="216">
      <c r="A215" s="1" t="n"/>
      <c r="B215" s="1" t="n"/>
      <c r="C215" s="1" t="n"/>
      <c r="D215" s="1" t="n"/>
      <c r="E215" s="181" t="n"/>
      <c r="F215" s="181" t="n"/>
      <c r="G215" s="1" t="n"/>
      <c r="H215" s="1" t="n"/>
      <c r="I215" s="1" t="n"/>
      <c r="J215" s="1" t="n"/>
      <c r="K215" s="181" t="n"/>
      <c r="L215" s="181" t="n"/>
      <c r="M215" s="181" t="n"/>
      <c r="N215" s="1" t="n"/>
      <c r="O215" s="181" t="n"/>
      <c r="P215" s="181" t="n"/>
      <c r="Q215" s="18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row>
    <row r="216" ht="15.75" customHeight="1" s="216">
      <c r="A216" s="1" t="n"/>
      <c r="B216" s="1" t="n"/>
      <c r="C216" s="1" t="n"/>
      <c r="D216" s="1" t="n"/>
      <c r="E216" s="181" t="n"/>
      <c r="F216" s="181" t="n"/>
      <c r="G216" s="1" t="n"/>
      <c r="H216" s="1" t="n"/>
      <c r="I216" s="1" t="n"/>
      <c r="J216" s="1" t="n"/>
      <c r="K216" s="181" t="n"/>
      <c r="L216" s="181" t="n"/>
      <c r="M216" s="181" t="n"/>
      <c r="N216" s="1" t="n"/>
      <c r="O216" s="181" t="n"/>
      <c r="P216" s="181" t="n"/>
      <c r="Q216" s="18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row>
    <row r="217" ht="15.75" customHeight="1" s="216">
      <c r="A217" s="1" t="n"/>
      <c r="B217" s="1" t="n"/>
      <c r="C217" s="1" t="n"/>
      <c r="D217" s="1" t="n"/>
      <c r="E217" s="181" t="n"/>
      <c r="F217" s="181" t="n"/>
      <c r="G217" s="1" t="n"/>
      <c r="H217" s="1" t="n"/>
      <c r="I217" s="1" t="n"/>
      <c r="J217" s="1" t="n"/>
      <c r="K217" s="181" t="n"/>
      <c r="L217" s="181" t="n"/>
      <c r="M217" s="181" t="n"/>
      <c r="N217" s="1" t="n"/>
      <c r="O217" s="181" t="n"/>
      <c r="P217" s="181" t="n"/>
      <c r="Q217" s="18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row>
    <row r="218" ht="15.75" customHeight="1" s="216">
      <c r="A218" s="1" t="n"/>
      <c r="B218" s="1" t="n"/>
      <c r="C218" s="1" t="n"/>
      <c r="D218" s="1" t="n"/>
      <c r="E218" s="181" t="n"/>
      <c r="F218" s="181" t="n"/>
      <c r="G218" s="1" t="n"/>
      <c r="H218" s="1" t="n"/>
      <c r="I218" s="1" t="n"/>
      <c r="J218" s="1" t="n"/>
      <c r="K218" s="181" t="n"/>
      <c r="L218" s="181" t="n"/>
      <c r="M218" s="181" t="n"/>
      <c r="N218" s="1" t="n"/>
      <c r="O218" s="181" t="n"/>
      <c r="P218" s="181" t="n"/>
      <c r="Q218" s="18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row>
    <row r="219" ht="15.75" customHeight="1" s="216">
      <c r="A219" s="1" t="n"/>
      <c r="B219" s="1" t="n"/>
      <c r="C219" s="1" t="n"/>
      <c r="D219" s="1" t="n"/>
      <c r="E219" s="181" t="n"/>
      <c r="F219" s="181" t="n"/>
      <c r="G219" s="1" t="n"/>
      <c r="H219" s="1" t="n"/>
      <c r="I219" s="1" t="n"/>
      <c r="J219" s="1" t="n"/>
      <c r="K219" s="181" t="n"/>
      <c r="L219" s="181" t="n"/>
      <c r="M219" s="181" t="n"/>
      <c r="N219" s="1" t="n"/>
      <c r="O219" s="181" t="n"/>
      <c r="P219" s="181" t="n"/>
      <c r="Q219" s="18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row>
    <row r="220" ht="15.75" customHeight="1" s="216">
      <c r="A220" s="1" t="n"/>
      <c r="B220" s="1" t="n"/>
      <c r="C220" s="1" t="n"/>
      <c r="D220" s="1" t="n"/>
      <c r="E220" s="181" t="n"/>
      <c r="F220" s="181" t="n"/>
      <c r="G220" s="1" t="n"/>
      <c r="H220" s="1" t="n"/>
      <c r="I220" s="1" t="n"/>
      <c r="J220" s="1" t="n"/>
      <c r="K220" s="181" t="n"/>
      <c r="L220" s="181" t="n"/>
      <c r="M220" s="181" t="n"/>
      <c r="N220" s="1" t="n"/>
      <c r="O220" s="181" t="n"/>
      <c r="P220" s="181" t="n"/>
      <c r="Q220" s="18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row>
    <row r="221" ht="15.75" customHeight="1" s="216">
      <c r="D221" s="109" t="n"/>
      <c r="E221" s="109" t="n"/>
      <c r="J221" s="109" t="n"/>
      <c r="K221" s="109" t="n"/>
      <c r="L221" s="109" t="n"/>
      <c r="N221" s="109" t="n"/>
      <c r="O221" s="109" t="n"/>
      <c r="P221" s="109" t="n"/>
      <c r="T221" s="109" t="n"/>
      <c r="U221" s="109" t="n"/>
      <c r="V221" s="109" t="n"/>
      <c r="Z221" s="109" t="n"/>
      <c r="AA221" s="109" t="n"/>
      <c r="AB221" s="109" t="n"/>
      <c r="AF221" s="109" t="n"/>
      <c r="AG221" s="109" t="n"/>
      <c r="AH221" s="109" t="n"/>
      <c r="AL221" s="109" t="n"/>
      <c r="AM221" s="109" t="n"/>
      <c r="AN221" s="109" t="n"/>
    </row>
    <row r="222" ht="15.75" customHeight="1" s="216">
      <c r="D222" s="109" t="n"/>
      <c r="E222" s="109" t="n"/>
      <c r="J222" s="109" t="n"/>
      <c r="K222" s="109" t="n"/>
      <c r="L222" s="109" t="n"/>
      <c r="N222" s="109" t="n"/>
      <c r="O222" s="109" t="n"/>
      <c r="P222" s="109" t="n"/>
      <c r="T222" s="109" t="n"/>
      <c r="U222" s="109" t="n"/>
      <c r="V222" s="109" t="n"/>
      <c r="Z222" s="109" t="n"/>
      <c r="AA222" s="109" t="n"/>
      <c r="AB222" s="109" t="n"/>
      <c r="AF222" s="109" t="n"/>
      <c r="AG222" s="109" t="n"/>
      <c r="AH222" s="109" t="n"/>
      <c r="AL222" s="109" t="n"/>
      <c r="AM222" s="109" t="n"/>
      <c r="AN222" s="109" t="n"/>
    </row>
    <row r="223" ht="15.75" customHeight="1" s="216">
      <c r="D223" s="109" t="n"/>
      <c r="E223" s="109" t="n"/>
      <c r="J223" s="109" t="n"/>
      <c r="K223" s="109" t="n"/>
      <c r="L223" s="109" t="n"/>
      <c r="N223" s="109" t="n"/>
      <c r="O223" s="109" t="n"/>
      <c r="P223" s="109" t="n"/>
      <c r="T223" s="109" t="n"/>
      <c r="U223" s="109" t="n"/>
      <c r="V223" s="109" t="n"/>
      <c r="Z223" s="109" t="n"/>
      <c r="AA223" s="109" t="n"/>
      <c r="AB223" s="109" t="n"/>
      <c r="AF223" s="109" t="n"/>
      <c r="AG223" s="109" t="n"/>
      <c r="AH223" s="109" t="n"/>
      <c r="AL223" s="109" t="n"/>
      <c r="AM223" s="109" t="n"/>
      <c r="AN223" s="109" t="n"/>
    </row>
    <row r="224" ht="15.75" customHeight="1" s="216">
      <c r="D224" s="109" t="n"/>
      <c r="E224" s="109" t="n"/>
      <c r="J224" s="109" t="n"/>
      <c r="K224" s="109" t="n"/>
      <c r="L224" s="109" t="n"/>
      <c r="N224" s="109" t="n"/>
      <c r="O224" s="109" t="n"/>
      <c r="P224" s="109" t="n"/>
      <c r="T224" s="109" t="n"/>
      <c r="U224" s="109" t="n"/>
      <c r="V224" s="109" t="n"/>
      <c r="Z224" s="109" t="n"/>
      <c r="AA224" s="109" t="n"/>
      <c r="AB224" s="109" t="n"/>
      <c r="AF224" s="109" t="n"/>
      <c r="AG224" s="109" t="n"/>
      <c r="AH224" s="109" t="n"/>
      <c r="AL224" s="109" t="n"/>
      <c r="AM224" s="109" t="n"/>
      <c r="AN224" s="109" t="n"/>
    </row>
    <row r="225" ht="15.75" customHeight="1" s="216">
      <c r="D225" s="109" t="n"/>
      <c r="E225" s="109" t="n"/>
      <c r="J225" s="109" t="n"/>
      <c r="K225" s="109" t="n"/>
      <c r="L225" s="109" t="n"/>
      <c r="N225" s="109" t="n"/>
      <c r="O225" s="109" t="n"/>
      <c r="P225" s="109" t="n"/>
      <c r="T225" s="109" t="n"/>
      <c r="U225" s="109" t="n"/>
      <c r="V225" s="109" t="n"/>
      <c r="Z225" s="109" t="n"/>
      <c r="AA225" s="109" t="n"/>
      <c r="AB225" s="109" t="n"/>
      <c r="AF225" s="109" t="n"/>
      <c r="AG225" s="109" t="n"/>
      <c r="AH225" s="109" t="n"/>
      <c r="AL225" s="109" t="n"/>
      <c r="AM225" s="109" t="n"/>
      <c r="AN225" s="109" t="n"/>
    </row>
    <row r="226" ht="15.75" customHeight="1" s="216">
      <c r="D226" s="109" t="n"/>
      <c r="E226" s="109" t="n"/>
      <c r="J226" s="109" t="n"/>
      <c r="K226" s="109" t="n"/>
      <c r="L226" s="109" t="n"/>
      <c r="N226" s="109" t="n"/>
      <c r="O226" s="109" t="n"/>
      <c r="P226" s="109" t="n"/>
      <c r="T226" s="109" t="n"/>
      <c r="U226" s="109" t="n"/>
      <c r="V226" s="109" t="n"/>
      <c r="Z226" s="109" t="n"/>
      <c r="AA226" s="109" t="n"/>
      <c r="AB226" s="109" t="n"/>
      <c r="AF226" s="109" t="n"/>
      <c r="AG226" s="109" t="n"/>
      <c r="AH226" s="109" t="n"/>
      <c r="AL226" s="109" t="n"/>
      <c r="AM226" s="109" t="n"/>
      <c r="AN226" s="109" t="n"/>
    </row>
    <row r="227" ht="15.75" customHeight="1" s="216">
      <c r="D227" s="109" t="n"/>
      <c r="E227" s="109" t="n"/>
      <c r="J227" s="109" t="n"/>
      <c r="K227" s="109" t="n"/>
      <c r="L227" s="109" t="n"/>
      <c r="N227" s="109" t="n"/>
      <c r="O227" s="109" t="n"/>
      <c r="P227" s="109" t="n"/>
      <c r="T227" s="109" t="n"/>
      <c r="U227" s="109" t="n"/>
      <c r="V227" s="109" t="n"/>
      <c r="Z227" s="109" t="n"/>
      <c r="AA227" s="109" t="n"/>
      <c r="AB227" s="109" t="n"/>
      <c r="AF227" s="109" t="n"/>
      <c r="AG227" s="109" t="n"/>
      <c r="AH227" s="109" t="n"/>
      <c r="AL227" s="109" t="n"/>
      <c r="AM227" s="109" t="n"/>
      <c r="AN227" s="109" t="n"/>
    </row>
    <row r="228" ht="15.75" customHeight="1" s="216">
      <c r="D228" s="109" t="n"/>
      <c r="E228" s="109" t="n"/>
      <c r="J228" s="109" t="n"/>
      <c r="K228" s="109" t="n"/>
      <c r="L228" s="109" t="n"/>
      <c r="N228" s="109" t="n"/>
      <c r="O228" s="109" t="n"/>
      <c r="P228" s="109" t="n"/>
      <c r="T228" s="109" t="n"/>
      <c r="U228" s="109" t="n"/>
      <c r="V228" s="109" t="n"/>
      <c r="Z228" s="109" t="n"/>
      <c r="AA228" s="109" t="n"/>
      <c r="AB228" s="109" t="n"/>
      <c r="AF228" s="109" t="n"/>
      <c r="AG228" s="109" t="n"/>
      <c r="AH228" s="109" t="n"/>
      <c r="AL228" s="109" t="n"/>
      <c r="AM228" s="109" t="n"/>
      <c r="AN228" s="109" t="n"/>
    </row>
    <row r="229" ht="15.75" customHeight="1" s="216">
      <c r="D229" s="109" t="n"/>
      <c r="E229" s="109" t="n"/>
      <c r="J229" s="109" t="n"/>
      <c r="K229" s="109" t="n"/>
      <c r="L229" s="109" t="n"/>
      <c r="N229" s="109" t="n"/>
      <c r="O229" s="109" t="n"/>
      <c r="P229" s="109" t="n"/>
      <c r="T229" s="109" t="n"/>
      <c r="U229" s="109" t="n"/>
      <c r="V229" s="109" t="n"/>
      <c r="Z229" s="109" t="n"/>
      <c r="AA229" s="109" t="n"/>
      <c r="AB229" s="109" t="n"/>
      <c r="AF229" s="109" t="n"/>
      <c r="AG229" s="109" t="n"/>
      <c r="AH229" s="109" t="n"/>
      <c r="AL229" s="109" t="n"/>
      <c r="AM229" s="109" t="n"/>
      <c r="AN229" s="109" t="n"/>
    </row>
    <row r="230" ht="15.75" customHeight="1" s="216">
      <c r="D230" s="109" t="n"/>
      <c r="E230" s="109" t="n"/>
      <c r="J230" s="109" t="n"/>
      <c r="K230" s="109" t="n"/>
      <c r="L230" s="109" t="n"/>
      <c r="N230" s="109" t="n"/>
      <c r="O230" s="109" t="n"/>
      <c r="P230" s="109" t="n"/>
      <c r="T230" s="109" t="n"/>
      <c r="U230" s="109" t="n"/>
      <c r="V230" s="109" t="n"/>
      <c r="Z230" s="109" t="n"/>
      <c r="AA230" s="109" t="n"/>
      <c r="AB230" s="109" t="n"/>
      <c r="AF230" s="109" t="n"/>
      <c r="AG230" s="109" t="n"/>
      <c r="AH230" s="109" t="n"/>
      <c r="AL230" s="109" t="n"/>
      <c r="AM230" s="109" t="n"/>
      <c r="AN230" s="109" t="n"/>
    </row>
    <row r="231" ht="15.75" customHeight="1" s="216">
      <c r="D231" s="109" t="n"/>
      <c r="E231" s="109" t="n"/>
      <c r="J231" s="109" t="n"/>
      <c r="K231" s="109" t="n"/>
      <c r="L231" s="109" t="n"/>
      <c r="N231" s="109" t="n"/>
      <c r="O231" s="109" t="n"/>
      <c r="P231" s="109" t="n"/>
      <c r="T231" s="109" t="n"/>
      <c r="U231" s="109" t="n"/>
      <c r="V231" s="109" t="n"/>
      <c r="Z231" s="109" t="n"/>
      <c r="AA231" s="109" t="n"/>
      <c r="AB231" s="109" t="n"/>
      <c r="AF231" s="109" t="n"/>
      <c r="AG231" s="109" t="n"/>
      <c r="AH231" s="109" t="n"/>
      <c r="AL231" s="109" t="n"/>
      <c r="AM231" s="109" t="n"/>
      <c r="AN231" s="109" t="n"/>
    </row>
    <row r="232" ht="15.75" customHeight="1" s="216">
      <c r="D232" s="109" t="n"/>
      <c r="E232" s="109" t="n"/>
      <c r="J232" s="109" t="n"/>
      <c r="K232" s="109" t="n"/>
      <c r="L232" s="109" t="n"/>
      <c r="N232" s="109" t="n"/>
      <c r="O232" s="109" t="n"/>
      <c r="P232" s="109" t="n"/>
      <c r="T232" s="109" t="n"/>
      <c r="U232" s="109" t="n"/>
      <c r="V232" s="109" t="n"/>
      <c r="Z232" s="109" t="n"/>
      <c r="AA232" s="109" t="n"/>
      <c r="AB232" s="109" t="n"/>
      <c r="AF232" s="109" t="n"/>
      <c r="AG232" s="109" t="n"/>
      <c r="AH232" s="109" t="n"/>
      <c r="AL232" s="109" t="n"/>
      <c r="AM232" s="109" t="n"/>
      <c r="AN232" s="109" t="n"/>
    </row>
    <row r="233" ht="15.75" customHeight="1" s="216">
      <c r="D233" s="109" t="n"/>
      <c r="E233" s="109" t="n"/>
      <c r="J233" s="109" t="n"/>
      <c r="K233" s="109" t="n"/>
      <c r="L233" s="109" t="n"/>
      <c r="N233" s="109" t="n"/>
      <c r="O233" s="109" t="n"/>
      <c r="P233" s="109" t="n"/>
      <c r="T233" s="109" t="n"/>
      <c r="U233" s="109" t="n"/>
      <c r="V233" s="109" t="n"/>
      <c r="Z233" s="109" t="n"/>
      <c r="AA233" s="109" t="n"/>
      <c r="AB233" s="109" t="n"/>
      <c r="AF233" s="109" t="n"/>
      <c r="AG233" s="109" t="n"/>
      <c r="AH233" s="109" t="n"/>
      <c r="AL233" s="109" t="n"/>
      <c r="AM233" s="109" t="n"/>
      <c r="AN233" s="109" t="n"/>
    </row>
    <row r="234" ht="15.75" customHeight="1" s="216">
      <c r="D234" s="109" t="n"/>
      <c r="E234" s="109" t="n"/>
      <c r="J234" s="109" t="n"/>
      <c r="K234" s="109" t="n"/>
      <c r="L234" s="109" t="n"/>
      <c r="N234" s="109" t="n"/>
      <c r="O234" s="109" t="n"/>
      <c r="P234" s="109" t="n"/>
      <c r="T234" s="109" t="n"/>
      <c r="U234" s="109" t="n"/>
      <c r="V234" s="109" t="n"/>
      <c r="Z234" s="109" t="n"/>
      <c r="AA234" s="109" t="n"/>
      <c r="AB234" s="109" t="n"/>
      <c r="AF234" s="109" t="n"/>
      <c r="AG234" s="109" t="n"/>
      <c r="AH234" s="109" t="n"/>
      <c r="AL234" s="109" t="n"/>
      <c r="AM234" s="109" t="n"/>
      <c r="AN234" s="109" t="n"/>
    </row>
    <row r="235" ht="15.75" customHeight="1" s="216">
      <c r="D235" s="109" t="n"/>
      <c r="E235" s="109" t="n"/>
      <c r="J235" s="109" t="n"/>
      <c r="K235" s="109" t="n"/>
      <c r="L235" s="109" t="n"/>
      <c r="N235" s="109" t="n"/>
      <c r="O235" s="109" t="n"/>
      <c r="P235" s="109" t="n"/>
      <c r="T235" s="109" t="n"/>
      <c r="U235" s="109" t="n"/>
      <c r="V235" s="109" t="n"/>
      <c r="Z235" s="109" t="n"/>
      <c r="AA235" s="109" t="n"/>
      <c r="AB235" s="109" t="n"/>
      <c r="AF235" s="109" t="n"/>
      <c r="AG235" s="109" t="n"/>
      <c r="AH235" s="109" t="n"/>
      <c r="AL235" s="109" t="n"/>
      <c r="AM235" s="109" t="n"/>
      <c r="AN235" s="109" t="n"/>
    </row>
    <row r="236" ht="15.75" customHeight="1" s="216">
      <c r="D236" s="109" t="n"/>
      <c r="E236" s="109" t="n"/>
      <c r="J236" s="109" t="n"/>
      <c r="K236" s="109" t="n"/>
      <c r="L236" s="109" t="n"/>
      <c r="N236" s="109" t="n"/>
      <c r="O236" s="109" t="n"/>
      <c r="P236" s="109" t="n"/>
      <c r="T236" s="109" t="n"/>
      <c r="U236" s="109" t="n"/>
      <c r="V236" s="109" t="n"/>
      <c r="Z236" s="109" t="n"/>
      <c r="AA236" s="109" t="n"/>
      <c r="AB236" s="109" t="n"/>
      <c r="AF236" s="109" t="n"/>
      <c r="AG236" s="109" t="n"/>
      <c r="AH236" s="109" t="n"/>
      <c r="AL236" s="109" t="n"/>
      <c r="AM236" s="109" t="n"/>
      <c r="AN236" s="109" t="n"/>
    </row>
    <row r="237" ht="15.75" customHeight="1" s="216">
      <c r="D237" s="109" t="n"/>
      <c r="E237" s="109" t="n"/>
      <c r="J237" s="109" t="n"/>
      <c r="K237" s="109" t="n"/>
      <c r="L237" s="109" t="n"/>
      <c r="N237" s="109" t="n"/>
      <c r="O237" s="109" t="n"/>
      <c r="P237" s="109" t="n"/>
      <c r="T237" s="109" t="n"/>
      <c r="U237" s="109" t="n"/>
      <c r="V237" s="109" t="n"/>
      <c r="Z237" s="109" t="n"/>
      <c r="AA237" s="109" t="n"/>
      <c r="AB237" s="109" t="n"/>
      <c r="AF237" s="109" t="n"/>
      <c r="AG237" s="109" t="n"/>
      <c r="AH237" s="109" t="n"/>
      <c r="AL237" s="109" t="n"/>
      <c r="AM237" s="109" t="n"/>
      <c r="AN237" s="109" t="n"/>
    </row>
    <row r="238" ht="15.75" customHeight="1" s="216">
      <c r="D238" s="109" t="n"/>
      <c r="E238" s="109" t="n"/>
      <c r="J238" s="109" t="n"/>
      <c r="K238" s="109" t="n"/>
      <c r="L238" s="109" t="n"/>
      <c r="N238" s="109" t="n"/>
      <c r="O238" s="109" t="n"/>
      <c r="P238" s="109" t="n"/>
      <c r="T238" s="109" t="n"/>
      <c r="U238" s="109" t="n"/>
      <c r="V238" s="109" t="n"/>
      <c r="Z238" s="109" t="n"/>
      <c r="AA238" s="109" t="n"/>
      <c r="AB238" s="109" t="n"/>
      <c r="AF238" s="109" t="n"/>
      <c r="AG238" s="109" t="n"/>
      <c r="AH238" s="109" t="n"/>
      <c r="AL238" s="109" t="n"/>
      <c r="AM238" s="109" t="n"/>
      <c r="AN238" s="109" t="n"/>
    </row>
    <row r="239" ht="15.75" customHeight="1" s="216">
      <c r="D239" s="109" t="n"/>
      <c r="E239" s="109" t="n"/>
      <c r="J239" s="109" t="n"/>
      <c r="K239" s="109" t="n"/>
      <c r="L239" s="109" t="n"/>
      <c r="N239" s="109" t="n"/>
      <c r="O239" s="109" t="n"/>
      <c r="P239" s="109" t="n"/>
      <c r="T239" s="109" t="n"/>
      <c r="U239" s="109" t="n"/>
      <c r="V239" s="109" t="n"/>
      <c r="Z239" s="109" t="n"/>
      <c r="AA239" s="109" t="n"/>
      <c r="AB239" s="109" t="n"/>
      <c r="AF239" s="109" t="n"/>
      <c r="AG239" s="109" t="n"/>
      <c r="AH239" s="109" t="n"/>
      <c r="AL239" s="109" t="n"/>
      <c r="AM239" s="109" t="n"/>
      <c r="AN239" s="109" t="n"/>
    </row>
    <row r="240" ht="15.75" customHeight="1" s="216">
      <c r="D240" s="109" t="n"/>
      <c r="E240" s="109" t="n"/>
      <c r="J240" s="109" t="n"/>
      <c r="K240" s="109" t="n"/>
      <c r="L240" s="109" t="n"/>
      <c r="N240" s="109" t="n"/>
      <c r="O240" s="109" t="n"/>
      <c r="P240" s="109" t="n"/>
      <c r="T240" s="109" t="n"/>
      <c r="U240" s="109" t="n"/>
      <c r="V240" s="109" t="n"/>
      <c r="Z240" s="109" t="n"/>
      <c r="AA240" s="109" t="n"/>
      <c r="AB240" s="109" t="n"/>
      <c r="AF240" s="109" t="n"/>
      <c r="AG240" s="109" t="n"/>
      <c r="AH240" s="109" t="n"/>
      <c r="AL240" s="109" t="n"/>
      <c r="AM240" s="109" t="n"/>
      <c r="AN240" s="109" t="n"/>
    </row>
    <row r="241" ht="15.75" customHeight="1" s="216">
      <c r="D241" s="109" t="n"/>
      <c r="E241" s="109" t="n"/>
      <c r="J241" s="109" t="n"/>
      <c r="K241" s="109" t="n"/>
      <c r="L241" s="109" t="n"/>
      <c r="N241" s="109" t="n"/>
      <c r="O241" s="109" t="n"/>
      <c r="P241" s="109" t="n"/>
      <c r="T241" s="109" t="n"/>
      <c r="U241" s="109" t="n"/>
      <c r="V241" s="109" t="n"/>
      <c r="Z241" s="109" t="n"/>
      <c r="AA241" s="109" t="n"/>
      <c r="AB241" s="109" t="n"/>
      <c r="AF241" s="109" t="n"/>
      <c r="AG241" s="109" t="n"/>
      <c r="AH241" s="109" t="n"/>
      <c r="AL241" s="109" t="n"/>
      <c r="AM241" s="109" t="n"/>
      <c r="AN241" s="109" t="n"/>
    </row>
    <row r="242" ht="15.75" customHeight="1" s="216">
      <c r="D242" s="109" t="n"/>
      <c r="E242" s="109" t="n"/>
      <c r="J242" s="109" t="n"/>
      <c r="K242" s="109" t="n"/>
      <c r="L242" s="109" t="n"/>
      <c r="N242" s="109" t="n"/>
      <c r="O242" s="109" t="n"/>
      <c r="P242" s="109" t="n"/>
      <c r="T242" s="109" t="n"/>
      <c r="U242" s="109" t="n"/>
      <c r="V242" s="109" t="n"/>
      <c r="Z242" s="109" t="n"/>
      <c r="AA242" s="109" t="n"/>
      <c r="AB242" s="109" t="n"/>
      <c r="AF242" s="109" t="n"/>
      <c r="AG242" s="109" t="n"/>
      <c r="AH242" s="109" t="n"/>
      <c r="AL242" s="109" t="n"/>
      <c r="AM242" s="109" t="n"/>
      <c r="AN242" s="109" t="n"/>
    </row>
    <row r="243" ht="15.75" customHeight="1" s="216">
      <c r="D243" s="109" t="n"/>
      <c r="E243" s="109" t="n"/>
      <c r="J243" s="109" t="n"/>
      <c r="K243" s="109" t="n"/>
      <c r="L243" s="109" t="n"/>
      <c r="N243" s="109" t="n"/>
      <c r="O243" s="109" t="n"/>
      <c r="P243" s="109" t="n"/>
      <c r="T243" s="109" t="n"/>
      <c r="U243" s="109" t="n"/>
      <c r="V243" s="109" t="n"/>
      <c r="Z243" s="109" t="n"/>
      <c r="AA243" s="109" t="n"/>
      <c r="AB243" s="109" t="n"/>
      <c r="AF243" s="109" t="n"/>
      <c r="AG243" s="109" t="n"/>
      <c r="AH243" s="109" t="n"/>
      <c r="AL243" s="109" t="n"/>
      <c r="AM243" s="109" t="n"/>
      <c r="AN243" s="109" t="n"/>
    </row>
    <row r="244" ht="15.75" customHeight="1" s="216">
      <c r="D244" s="109" t="n"/>
      <c r="E244" s="109" t="n"/>
      <c r="J244" s="109" t="n"/>
      <c r="K244" s="109" t="n"/>
      <c r="L244" s="109" t="n"/>
      <c r="N244" s="109" t="n"/>
      <c r="O244" s="109" t="n"/>
      <c r="P244" s="109" t="n"/>
      <c r="T244" s="109" t="n"/>
      <c r="U244" s="109" t="n"/>
      <c r="V244" s="109" t="n"/>
      <c r="Z244" s="109" t="n"/>
      <c r="AA244" s="109" t="n"/>
      <c r="AB244" s="109" t="n"/>
      <c r="AF244" s="109" t="n"/>
      <c r="AG244" s="109" t="n"/>
      <c r="AH244" s="109" t="n"/>
      <c r="AL244" s="109" t="n"/>
      <c r="AM244" s="109" t="n"/>
      <c r="AN244" s="109" t="n"/>
    </row>
    <row r="245" ht="15.75" customHeight="1" s="216">
      <c r="D245" s="109" t="n"/>
      <c r="E245" s="109" t="n"/>
      <c r="J245" s="109" t="n"/>
      <c r="K245" s="109" t="n"/>
      <c r="L245" s="109" t="n"/>
      <c r="N245" s="109" t="n"/>
      <c r="O245" s="109" t="n"/>
      <c r="P245" s="109" t="n"/>
      <c r="T245" s="109" t="n"/>
      <c r="U245" s="109" t="n"/>
      <c r="V245" s="109" t="n"/>
      <c r="Z245" s="109" t="n"/>
      <c r="AA245" s="109" t="n"/>
      <c r="AB245" s="109" t="n"/>
      <c r="AF245" s="109" t="n"/>
      <c r="AG245" s="109" t="n"/>
      <c r="AH245" s="109" t="n"/>
      <c r="AL245" s="109" t="n"/>
      <c r="AM245" s="109" t="n"/>
      <c r="AN245" s="109" t="n"/>
    </row>
    <row r="246" ht="15.75" customHeight="1" s="216">
      <c r="D246" s="109" t="n"/>
      <c r="E246" s="109" t="n"/>
      <c r="J246" s="109" t="n"/>
      <c r="K246" s="109" t="n"/>
      <c r="L246" s="109" t="n"/>
      <c r="N246" s="109" t="n"/>
      <c r="O246" s="109" t="n"/>
      <c r="P246" s="109" t="n"/>
      <c r="T246" s="109" t="n"/>
      <c r="U246" s="109" t="n"/>
      <c r="V246" s="109" t="n"/>
      <c r="Z246" s="109" t="n"/>
      <c r="AA246" s="109" t="n"/>
      <c r="AB246" s="109" t="n"/>
      <c r="AF246" s="109" t="n"/>
      <c r="AG246" s="109" t="n"/>
      <c r="AH246" s="109" t="n"/>
      <c r="AL246" s="109" t="n"/>
      <c r="AM246" s="109" t="n"/>
      <c r="AN246" s="109" t="n"/>
    </row>
    <row r="247" ht="15.75" customHeight="1" s="216">
      <c r="D247" s="109" t="n"/>
      <c r="E247" s="109" t="n"/>
      <c r="J247" s="109" t="n"/>
      <c r="K247" s="109" t="n"/>
      <c r="L247" s="109" t="n"/>
      <c r="N247" s="109" t="n"/>
      <c r="O247" s="109" t="n"/>
      <c r="P247" s="109" t="n"/>
      <c r="T247" s="109" t="n"/>
      <c r="U247" s="109" t="n"/>
      <c r="V247" s="109" t="n"/>
      <c r="Z247" s="109" t="n"/>
      <c r="AA247" s="109" t="n"/>
      <c r="AB247" s="109" t="n"/>
      <c r="AF247" s="109" t="n"/>
      <c r="AG247" s="109" t="n"/>
      <c r="AH247" s="109" t="n"/>
      <c r="AL247" s="109" t="n"/>
      <c r="AM247" s="109" t="n"/>
      <c r="AN247" s="109" t="n"/>
    </row>
    <row r="248" ht="15.75" customHeight="1" s="216">
      <c r="D248" s="109" t="n"/>
      <c r="E248" s="109" t="n"/>
      <c r="J248" s="109" t="n"/>
      <c r="K248" s="109" t="n"/>
      <c r="L248" s="109" t="n"/>
      <c r="N248" s="109" t="n"/>
      <c r="O248" s="109" t="n"/>
      <c r="P248" s="109" t="n"/>
      <c r="T248" s="109" t="n"/>
      <c r="U248" s="109" t="n"/>
      <c r="V248" s="109" t="n"/>
      <c r="Z248" s="109" t="n"/>
      <c r="AA248" s="109" t="n"/>
      <c r="AB248" s="109" t="n"/>
      <c r="AF248" s="109" t="n"/>
      <c r="AG248" s="109" t="n"/>
      <c r="AH248" s="109" t="n"/>
      <c r="AL248" s="109" t="n"/>
      <c r="AM248" s="109" t="n"/>
      <c r="AN248" s="109" t="n"/>
    </row>
    <row r="249" ht="15.75" customHeight="1" s="216">
      <c r="D249" s="109" t="n"/>
      <c r="E249" s="109" t="n"/>
      <c r="J249" s="109" t="n"/>
      <c r="K249" s="109" t="n"/>
      <c r="L249" s="109" t="n"/>
      <c r="N249" s="109" t="n"/>
      <c r="O249" s="109" t="n"/>
      <c r="P249" s="109" t="n"/>
      <c r="T249" s="109" t="n"/>
      <c r="U249" s="109" t="n"/>
      <c r="V249" s="109" t="n"/>
      <c r="Z249" s="109" t="n"/>
      <c r="AA249" s="109" t="n"/>
      <c r="AB249" s="109" t="n"/>
      <c r="AF249" s="109" t="n"/>
      <c r="AG249" s="109" t="n"/>
      <c r="AH249" s="109" t="n"/>
      <c r="AL249" s="109" t="n"/>
      <c r="AM249" s="109" t="n"/>
      <c r="AN249" s="109" t="n"/>
    </row>
    <row r="250" ht="15.75" customHeight="1" s="216">
      <c r="D250" s="109" t="n"/>
      <c r="E250" s="109" t="n"/>
      <c r="J250" s="109" t="n"/>
      <c r="K250" s="109" t="n"/>
      <c r="L250" s="109" t="n"/>
      <c r="N250" s="109" t="n"/>
      <c r="O250" s="109" t="n"/>
      <c r="P250" s="109" t="n"/>
      <c r="T250" s="109" t="n"/>
      <c r="U250" s="109" t="n"/>
      <c r="V250" s="109" t="n"/>
      <c r="Z250" s="109" t="n"/>
      <c r="AA250" s="109" t="n"/>
      <c r="AB250" s="109" t="n"/>
      <c r="AF250" s="109" t="n"/>
      <c r="AG250" s="109" t="n"/>
      <c r="AH250" s="109" t="n"/>
      <c r="AL250" s="109" t="n"/>
      <c r="AM250" s="109" t="n"/>
      <c r="AN250" s="109" t="n"/>
    </row>
    <row r="251" ht="15.75" customHeight="1" s="216">
      <c r="D251" s="109" t="n"/>
      <c r="E251" s="109" t="n"/>
      <c r="J251" s="109" t="n"/>
      <c r="K251" s="109" t="n"/>
      <c r="L251" s="109" t="n"/>
      <c r="N251" s="109" t="n"/>
      <c r="O251" s="109" t="n"/>
      <c r="P251" s="109" t="n"/>
      <c r="T251" s="109" t="n"/>
      <c r="U251" s="109" t="n"/>
      <c r="V251" s="109" t="n"/>
      <c r="Z251" s="109" t="n"/>
      <c r="AA251" s="109" t="n"/>
      <c r="AB251" s="109" t="n"/>
      <c r="AF251" s="109" t="n"/>
      <c r="AG251" s="109" t="n"/>
      <c r="AH251" s="109" t="n"/>
      <c r="AL251" s="109" t="n"/>
      <c r="AM251" s="109" t="n"/>
      <c r="AN251" s="109" t="n"/>
    </row>
    <row r="252" ht="15.75" customHeight="1" s="216">
      <c r="D252" s="109" t="n"/>
      <c r="E252" s="109" t="n"/>
      <c r="J252" s="109" t="n"/>
      <c r="K252" s="109" t="n"/>
      <c r="L252" s="109" t="n"/>
      <c r="N252" s="109" t="n"/>
      <c r="O252" s="109" t="n"/>
      <c r="P252" s="109" t="n"/>
      <c r="T252" s="109" t="n"/>
      <c r="U252" s="109" t="n"/>
      <c r="V252" s="109" t="n"/>
      <c r="Z252" s="109" t="n"/>
      <c r="AA252" s="109" t="n"/>
      <c r="AB252" s="109" t="n"/>
      <c r="AF252" s="109" t="n"/>
      <c r="AG252" s="109" t="n"/>
      <c r="AH252" s="109" t="n"/>
      <c r="AL252" s="109" t="n"/>
      <c r="AM252" s="109" t="n"/>
      <c r="AN252" s="109" t="n"/>
    </row>
    <row r="253" ht="15.75" customHeight="1" s="216">
      <c r="D253" s="109" t="n"/>
      <c r="E253" s="109" t="n"/>
      <c r="J253" s="109" t="n"/>
      <c r="K253" s="109" t="n"/>
      <c r="L253" s="109" t="n"/>
      <c r="N253" s="109" t="n"/>
      <c r="O253" s="109" t="n"/>
      <c r="P253" s="109" t="n"/>
      <c r="T253" s="109" t="n"/>
      <c r="U253" s="109" t="n"/>
      <c r="V253" s="109" t="n"/>
      <c r="Z253" s="109" t="n"/>
      <c r="AA253" s="109" t="n"/>
      <c r="AB253" s="109" t="n"/>
      <c r="AF253" s="109" t="n"/>
      <c r="AG253" s="109" t="n"/>
      <c r="AH253" s="109" t="n"/>
      <c r="AL253" s="109" t="n"/>
      <c r="AM253" s="109" t="n"/>
      <c r="AN253" s="109" t="n"/>
    </row>
    <row r="254" ht="15.75" customHeight="1" s="216">
      <c r="D254" s="109" t="n"/>
      <c r="E254" s="109" t="n"/>
      <c r="J254" s="109" t="n"/>
      <c r="K254" s="109" t="n"/>
      <c r="L254" s="109" t="n"/>
      <c r="N254" s="109" t="n"/>
      <c r="O254" s="109" t="n"/>
      <c r="P254" s="109" t="n"/>
      <c r="T254" s="109" t="n"/>
      <c r="U254" s="109" t="n"/>
      <c r="V254" s="109" t="n"/>
      <c r="Z254" s="109" t="n"/>
      <c r="AA254" s="109" t="n"/>
      <c r="AB254" s="109" t="n"/>
      <c r="AF254" s="109" t="n"/>
      <c r="AG254" s="109" t="n"/>
      <c r="AH254" s="109" t="n"/>
      <c r="AL254" s="109" t="n"/>
      <c r="AM254" s="109" t="n"/>
      <c r="AN254" s="109" t="n"/>
    </row>
    <row r="255" ht="15.75" customHeight="1" s="216">
      <c r="D255" s="109" t="n"/>
      <c r="E255" s="109" t="n"/>
      <c r="J255" s="109" t="n"/>
      <c r="K255" s="109" t="n"/>
      <c r="L255" s="109" t="n"/>
      <c r="N255" s="109" t="n"/>
      <c r="O255" s="109" t="n"/>
      <c r="P255" s="109" t="n"/>
      <c r="T255" s="109" t="n"/>
      <c r="U255" s="109" t="n"/>
      <c r="V255" s="109" t="n"/>
      <c r="Z255" s="109" t="n"/>
      <c r="AA255" s="109" t="n"/>
      <c r="AB255" s="109" t="n"/>
      <c r="AF255" s="109" t="n"/>
      <c r="AG255" s="109" t="n"/>
      <c r="AH255" s="109" t="n"/>
      <c r="AL255" s="109" t="n"/>
      <c r="AM255" s="109" t="n"/>
      <c r="AN255" s="109" t="n"/>
    </row>
    <row r="256" ht="15.75" customHeight="1" s="216">
      <c r="D256" s="109" t="n"/>
      <c r="E256" s="109" t="n"/>
      <c r="J256" s="109" t="n"/>
      <c r="K256" s="109" t="n"/>
      <c r="L256" s="109" t="n"/>
      <c r="N256" s="109" t="n"/>
      <c r="O256" s="109" t="n"/>
      <c r="P256" s="109" t="n"/>
      <c r="T256" s="109" t="n"/>
      <c r="U256" s="109" t="n"/>
      <c r="V256" s="109" t="n"/>
      <c r="Z256" s="109" t="n"/>
      <c r="AA256" s="109" t="n"/>
      <c r="AB256" s="109" t="n"/>
      <c r="AF256" s="109" t="n"/>
      <c r="AG256" s="109" t="n"/>
      <c r="AH256" s="109" t="n"/>
      <c r="AL256" s="109" t="n"/>
      <c r="AM256" s="109" t="n"/>
      <c r="AN256" s="109" t="n"/>
    </row>
    <row r="257" ht="15.75" customHeight="1" s="216">
      <c r="D257" s="109" t="n"/>
      <c r="E257" s="109" t="n"/>
      <c r="J257" s="109" t="n"/>
      <c r="K257" s="109" t="n"/>
      <c r="L257" s="109" t="n"/>
      <c r="N257" s="109" t="n"/>
      <c r="O257" s="109" t="n"/>
      <c r="P257" s="109" t="n"/>
      <c r="T257" s="109" t="n"/>
      <c r="U257" s="109" t="n"/>
      <c r="V257" s="109" t="n"/>
      <c r="Z257" s="109" t="n"/>
      <c r="AA257" s="109" t="n"/>
      <c r="AB257" s="109" t="n"/>
      <c r="AF257" s="109" t="n"/>
      <c r="AG257" s="109" t="n"/>
      <c r="AH257" s="109" t="n"/>
      <c r="AL257" s="109" t="n"/>
      <c r="AM257" s="109" t="n"/>
      <c r="AN257" s="109" t="n"/>
    </row>
    <row r="258" ht="15.75" customHeight="1" s="216">
      <c r="D258" s="109" t="n"/>
      <c r="E258" s="109" t="n"/>
      <c r="J258" s="109" t="n"/>
      <c r="K258" s="109" t="n"/>
      <c r="L258" s="109" t="n"/>
      <c r="N258" s="109" t="n"/>
      <c r="O258" s="109" t="n"/>
      <c r="P258" s="109" t="n"/>
      <c r="T258" s="109" t="n"/>
      <c r="U258" s="109" t="n"/>
      <c r="V258" s="109" t="n"/>
      <c r="Z258" s="109" t="n"/>
      <c r="AA258" s="109" t="n"/>
      <c r="AB258" s="109" t="n"/>
      <c r="AF258" s="109" t="n"/>
      <c r="AG258" s="109" t="n"/>
      <c r="AH258" s="109" t="n"/>
      <c r="AL258" s="109" t="n"/>
      <c r="AM258" s="109" t="n"/>
      <c r="AN258" s="109" t="n"/>
    </row>
    <row r="259" ht="15.75" customHeight="1" s="216">
      <c r="D259" s="109" t="n"/>
      <c r="E259" s="109" t="n"/>
      <c r="J259" s="109" t="n"/>
      <c r="K259" s="109" t="n"/>
      <c r="L259" s="109" t="n"/>
      <c r="N259" s="109" t="n"/>
      <c r="O259" s="109" t="n"/>
      <c r="P259" s="109" t="n"/>
      <c r="T259" s="109" t="n"/>
      <c r="U259" s="109" t="n"/>
      <c r="V259" s="109" t="n"/>
      <c r="Z259" s="109" t="n"/>
      <c r="AA259" s="109" t="n"/>
      <c r="AB259" s="109" t="n"/>
      <c r="AF259" s="109" t="n"/>
      <c r="AG259" s="109" t="n"/>
      <c r="AH259" s="109" t="n"/>
      <c r="AL259" s="109" t="n"/>
      <c r="AM259" s="109" t="n"/>
      <c r="AN259" s="109" t="n"/>
    </row>
    <row r="260" ht="15.75" customHeight="1" s="216">
      <c r="D260" s="109" t="n"/>
      <c r="E260" s="109" t="n"/>
      <c r="J260" s="109" t="n"/>
      <c r="K260" s="109" t="n"/>
      <c r="L260" s="109" t="n"/>
      <c r="N260" s="109" t="n"/>
      <c r="O260" s="109" t="n"/>
      <c r="P260" s="109" t="n"/>
      <c r="T260" s="109" t="n"/>
      <c r="U260" s="109" t="n"/>
      <c r="V260" s="109" t="n"/>
      <c r="Z260" s="109" t="n"/>
      <c r="AA260" s="109" t="n"/>
      <c r="AB260" s="109" t="n"/>
      <c r="AF260" s="109" t="n"/>
      <c r="AG260" s="109" t="n"/>
      <c r="AH260" s="109" t="n"/>
      <c r="AL260" s="109" t="n"/>
      <c r="AM260" s="109" t="n"/>
      <c r="AN260" s="109" t="n"/>
    </row>
    <row r="261" ht="15.75" customHeight="1" s="216">
      <c r="D261" s="109" t="n"/>
      <c r="E261" s="109" t="n"/>
      <c r="J261" s="109" t="n"/>
      <c r="K261" s="109" t="n"/>
      <c r="L261" s="109" t="n"/>
      <c r="N261" s="109" t="n"/>
      <c r="O261" s="109" t="n"/>
      <c r="P261" s="109" t="n"/>
      <c r="T261" s="109" t="n"/>
      <c r="U261" s="109" t="n"/>
      <c r="V261" s="109" t="n"/>
      <c r="Z261" s="109" t="n"/>
      <c r="AA261" s="109" t="n"/>
      <c r="AB261" s="109" t="n"/>
      <c r="AF261" s="109" t="n"/>
      <c r="AG261" s="109" t="n"/>
      <c r="AH261" s="109" t="n"/>
      <c r="AL261" s="109" t="n"/>
      <c r="AM261" s="109" t="n"/>
      <c r="AN261" s="109" t="n"/>
    </row>
    <row r="262" ht="15.75" customHeight="1" s="216">
      <c r="D262" s="109" t="n"/>
      <c r="E262" s="109" t="n"/>
      <c r="J262" s="109" t="n"/>
      <c r="K262" s="109" t="n"/>
      <c r="L262" s="109" t="n"/>
      <c r="N262" s="109" t="n"/>
      <c r="O262" s="109" t="n"/>
      <c r="P262" s="109" t="n"/>
      <c r="T262" s="109" t="n"/>
      <c r="U262" s="109" t="n"/>
      <c r="V262" s="109" t="n"/>
      <c r="Z262" s="109" t="n"/>
      <c r="AA262" s="109" t="n"/>
      <c r="AB262" s="109" t="n"/>
      <c r="AF262" s="109" t="n"/>
      <c r="AG262" s="109" t="n"/>
      <c r="AH262" s="109" t="n"/>
      <c r="AL262" s="109" t="n"/>
      <c r="AM262" s="109" t="n"/>
      <c r="AN262" s="109" t="n"/>
    </row>
    <row r="263" ht="15.75" customHeight="1" s="216">
      <c r="D263" s="109" t="n"/>
      <c r="E263" s="109" t="n"/>
      <c r="J263" s="109" t="n"/>
      <c r="K263" s="109" t="n"/>
      <c r="L263" s="109" t="n"/>
      <c r="N263" s="109" t="n"/>
      <c r="O263" s="109" t="n"/>
      <c r="P263" s="109" t="n"/>
      <c r="T263" s="109" t="n"/>
      <c r="U263" s="109" t="n"/>
      <c r="V263" s="109" t="n"/>
      <c r="Z263" s="109" t="n"/>
      <c r="AA263" s="109" t="n"/>
      <c r="AB263" s="109" t="n"/>
      <c r="AF263" s="109" t="n"/>
      <c r="AG263" s="109" t="n"/>
      <c r="AH263" s="109" t="n"/>
      <c r="AL263" s="109" t="n"/>
      <c r="AM263" s="109" t="n"/>
      <c r="AN263" s="109" t="n"/>
    </row>
    <row r="264" ht="15.75" customHeight="1" s="216">
      <c r="D264" s="109" t="n"/>
      <c r="E264" s="109" t="n"/>
      <c r="J264" s="109" t="n"/>
      <c r="K264" s="109" t="n"/>
      <c r="L264" s="109" t="n"/>
      <c r="N264" s="109" t="n"/>
      <c r="O264" s="109" t="n"/>
      <c r="P264" s="109" t="n"/>
      <c r="T264" s="109" t="n"/>
      <c r="U264" s="109" t="n"/>
      <c r="V264" s="109" t="n"/>
      <c r="Z264" s="109" t="n"/>
      <c r="AA264" s="109" t="n"/>
      <c r="AB264" s="109" t="n"/>
      <c r="AF264" s="109" t="n"/>
      <c r="AG264" s="109" t="n"/>
      <c r="AH264" s="109" t="n"/>
      <c r="AL264" s="109" t="n"/>
      <c r="AM264" s="109" t="n"/>
      <c r="AN264" s="109" t="n"/>
    </row>
    <row r="265" ht="15.75" customHeight="1" s="216">
      <c r="D265" s="109" t="n"/>
      <c r="E265" s="109" t="n"/>
      <c r="J265" s="109" t="n"/>
      <c r="K265" s="109" t="n"/>
      <c r="L265" s="109" t="n"/>
      <c r="N265" s="109" t="n"/>
      <c r="O265" s="109" t="n"/>
      <c r="P265" s="109" t="n"/>
      <c r="T265" s="109" t="n"/>
      <c r="U265" s="109" t="n"/>
      <c r="V265" s="109" t="n"/>
      <c r="Z265" s="109" t="n"/>
      <c r="AA265" s="109" t="n"/>
      <c r="AB265" s="109" t="n"/>
      <c r="AF265" s="109" t="n"/>
      <c r="AG265" s="109" t="n"/>
      <c r="AH265" s="109" t="n"/>
      <c r="AL265" s="109" t="n"/>
      <c r="AM265" s="109" t="n"/>
      <c r="AN265" s="109" t="n"/>
    </row>
    <row r="266" ht="15.75" customHeight="1" s="216">
      <c r="D266" s="109" t="n"/>
      <c r="E266" s="109" t="n"/>
      <c r="J266" s="109" t="n"/>
      <c r="K266" s="109" t="n"/>
      <c r="L266" s="109" t="n"/>
      <c r="N266" s="109" t="n"/>
      <c r="O266" s="109" t="n"/>
      <c r="P266" s="109" t="n"/>
      <c r="T266" s="109" t="n"/>
      <c r="U266" s="109" t="n"/>
      <c r="V266" s="109" t="n"/>
      <c r="Z266" s="109" t="n"/>
      <c r="AA266" s="109" t="n"/>
      <c r="AB266" s="109" t="n"/>
      <c r="AF266" s="109" t="n"/>
      <c r="AG266" s="109" t="n"/>
      <c r="AH266" s="109" t="n"/>
      <c r="AL266" s="109" t="n"/>
      <c r="AM266" s="109" t="n"/>
      <c r="AN266" s="109" t="n"/>
    </row>
    <row r="267" ht="15.75" customHeight="1" s="216">
      <c r="D267" s="109" t="n"/>
      <c r="E267" s="109" t="n"/>
      <c r="J267" s="109" t="n"/>
      <c r="K267" s="109" t="n"/>
      <c r="L267" s="109" t="n"/>
      <c r="N267" s="109" t="n"/>
      <c r="O267" s="109" t="n"/>
      <c r="P267" s="109" t="n"/>
      <c r="T267" s="109" t="n"/>
      <c r="U267" s="109" t="n"/>
      <c r="V267" s="109" t="n"/>
      <c r="Z267" s="109" t="n"/>
      <c r="AA267" s="109" t="n"/>
      <c r="AB267" s="109" t="n"/>
      <c r="AF267" s="109" t="n"/>
      <c r="AG267" s="109" t="n"/>
      <c r="AH267" s="109" t="n"/>
      <c r="AL267" s="109" t="n"/>
      <c r="AM267" s="109" t="n"/>
      <c r="AN267" s="109" t="n"/>
    </row>
    <row r="268" ht="15.75" customHeight="1" s="216">
      <c r="D268" s="109" t="n"/>
      <c r="E268" s="109" t="n"/>
      <c r="J268" s="109" t="n"/>
      <c r="K268" s="109" t="n"/>
      <c r="L268" s="109" t="n"/>
      <c r="N268" s="109" t="n"/>
      <c r="O268" s="109" t="n"/>
      <c r="P268" s="109" t="n"/>
      <c r="T268" s="109" t="n"/>
      <c r="U268" s="109" t="n"/>
      <c r="V268" s="109" t="n"/>
      <c r="Z268" s="109" t="n"/>
      <c r="AA268" s="109" t="n"/>
      <c r="AB268" s="109" t="n"/>
      <c r="AF268" s="109" t="n"/>
      <c r="AG268" s="109" t="n"/>
      <c r="AH268" s="109" t="n"/>
      <c r="AL268" s="109" t="n"/>
      <c r="AM268" s="109" t="n"/>
      <c r="AN268" s="109" t="n"/>
    </row>
    <row r="269" ht="15.75" customHeight="1" s="216">
      <c r="D269" s="109" t="n"/>
      <c r="E269" s="109" t="n"/>
      <c r="J269" s="109" t="n"/>
      <c r="K269" s="109" t="n"/>
      <c r="L269" s="109" t="n"/>
      <c r="N269" s="109" t="n"/>
      <c r="O269" s="109" t="n"/>
      <c r="P269" s="109" t="n"/>
      <c r="T269" s="109" t="n"/>
      <c r="U269" s="109" t="n"/>
      <c r="V269" s="109" t="n"/>
      <c r="Z269" s="109" t="n"/>
      <c r="AA269" s="109" t="n"/>
      <c r="AB269" s="109" t="n"/>
      <c r="AF269" s="109" t="n"/>
      <c r="AG269" s="109" t="n"/>
      <c r="AH269" s="109" t="n"/>
      <c r="AL269" s="109" t="n"/>
      <c r="AM269" s="109" t="n"/>
      <c r="AN269" s="109" t="n"/>
    </row>
    <row r="270" ht="15.75" customHeight="1" s="216">
      <c r="D270" s="109" t="n"/>
      <c r="E270" s="109" t="n"/>
      <c r="J270" s="109" t="n"/>
      <c r="K270" s="109" t="n"/>
      <c r="L270" s="109" t="n"/>
      <c r="N270" s="109" t="n"/>
      <c r="O270" s="109" t="n"/>
      <c r="P270" s="109" t="n"/>
      <c r="T270" s="109" t="n"/>
      <c r="U270" s="109" t="n"/>
      <c r="V270" s="109" t="n"/>
      <c r="Z270" s="109" t="n"/>
      <c r="AA270" s="109" t="n"/>
      <c r="AB270" s="109" t="n"/>
      <c r="AF270" s="109" t="n"/>
      <c r="AG270" s="109" t="n"/>
      <c r="AH270" s="109" t="n"/>
      <c r="AL270" s="109" t="n"/>
      <c r="AM270" s="109" t="n"/>
      <c r="AN270" s="109" t="n"/>
    </row>
    <row r="271" ht="15.75" customHeight="1" s="216">
      <c r="D271" s="109" t="n"/>
      <c r="E271" s="109" t="n"/>
      <c r="J271" s="109" t="n"/>
      <c r="K271" s="109" t="n"/>
      <c r="L271" s="109" t="n"/>
      <c r="N271" s="109" t="n"/>
      <c r="O271" s="109" t="n"/>
      <c r="P271" s="109" t="n"/>
      <c r="T271" s="109" t="n"/>
      <c r="U271" s="109" t="n"/>
      <c r="V271" s="109" t="n"/>
      <c r="Z271" s="109" t="n"/>
      <c r="AA271" s="109" t="n"/>
      <c r="AB271" s="109" t="n"/>
      <c r="AF271" s="109" t="n"/>
      <c r="AG271" s="109" t="n"/>
      <c r="AH271" s="109" t="n"/>
      <c r="AL271" s="109" t="n"/>
      <c r="AM271" s="109" t="n"/>
      <c r="AN271" s="109" t="n"/>
    </row>
    <row r="272" ht="15.75" customHeight="1" s="216">
      <c r="D272" s="109" t="n"/>
      <c r="E272" s="109" t="n"/>
      <c r="J272" s="109" t="n"/>
      <c r="K272" s="109" t="n"/>
      <c r="L272" s="109" t="n"/>
      <c r="N272" s="109" t="n"/>
      <c r="O272" s="109" t="n"/>
      <c r="P272" s="109" t="n"/>
      <c r="T272" s="109" t="n"/>
      <c r="U272" s="109" t="n"/>
      <c r="V272" s="109" t="n"/>
      <c r="Z272" s="109" t="n"/>
      <c r="AA272" s="109" t="n"/>
      <c r="AB272" s="109" t="n"/>
      <c r="AF272" s="109" t="n"/>
      <c r="AG272" s="109" t="n"/>
      <c r="AH272" s="109" t="n"/>
      <c r="AL272" s="109" t="n"/>
      <c r="AM272" s="109" t="n"/>
      <c r="AN272" s="109" t="n"/>
    </row>
    <row r="273" ht="15.75" customHeight="1" s="216">
      <c r="D273" s="109" t="n"/>
      <c r="E273" s="109" t="n"/>
      <c r="J273" s="109" t="n"/>
      <c r="K273" s="109" t="n"/>
      <c r="L273" s="109" t="n"/>
      <c r="N273" s="109" t="n"/>
      <c r="O273" s="109" t="n"/>
      <c r="P273" s="109" t="n"/>
      <c r="T273" s="109" t="n"/>
      <c r="U273" s="109" t="n"/>
      <c r="V273" s="109" t="n"/>
      <c r="Z273" s="109" t="n"/>
      <c r="AA273" s="109" t="n"/>
      <c r="AB273" s="109" t="n"/>
      <c r="AF273" s="109" t="n"/>
      <c r="AG273" s="109" t="n"/>
      <c r="AH273" s="109" t="n"/>
      <c r="AL273" s="109" t="n"/>
      <c r="AM273" s="109" t="n"/>
      <c r="AN273" s="109" t="n"/>
    </row>
    <row r="274" ht="15.75" customHeight="1" s="216">
      <c r="D274" s="109" t="n"/>
      <c r="E274" s="109" t="n"/>
      <c r="J274" s="109" t="n"/>
      <c r="K274" s="109" t="n"/>
      <c r="L274" s="109" t="n"/>
      <c r="N274" s="109" t="n"/>
      <c r="O274" s="109" t="n"/>
      <c r="P274" s="109" t="n"/>
      <c r="T274" s="109" t="n"/>
      <c r="U274" s="109" t="n"/>
      <c r="V274" s="109" t="n"/>
      <c r="Z274" s="109" t="n"/>
      <c r="AA274" s="109" t="n"/>
      <c r="AB274" s="109" t="n"/>
      <c r="AF274" s="109" t="n"/>
      <c r="AG274" s="109" t="n"/>
      <c r="AH274" s="109" t="n"/>
      <c r="AL274" s="109" t="n"/>
      <c r="AM274" s="109" t="n"/>
      <c r="AN274" s="109" t="n"/>
    </row>
    <row r="275" ht="15.75" customHeight="1" s="216">
      <c r="D275" s="109" t="n"/>
      <c r="E275" s="109" t="n"/>
      <c r="J275" s="109" t="n"/>
      <c r="K275" s="109" t="n"/>
      <c r="L275" s="109" t="n"/>
      <c r="N275" s="109" t="n"/>
      <c r="O275" s="109" t="n"/>
      <c r="P275" s="109" t="n"/>
      <c r="T275" s="109" t="n"/>
      <c r="U275" s="109" t="n"/>
      <c r="V275" s="109" t="n"/>
      <c r="Z275" s="109" t="n"/>
      <c r="AA275" s="109" t="n"/>
      <c r="AB275" s="109" t="n"/>
      <c r="AF275" s="109" t="n"/>
      <c r="AG275" s="109" t="n"/>
      <c r="AH275" s="109" t="n"/>
      <c r="AL275" s="109" t="n"/>
      <c r="AM275" s="109" t="n"/>
      <c r="AN275" s="109" t="n"/>
    </row>
    <row r="276" ht="15.75" customHeight="1" s="216">
      <c r="D276" s="109" t="n"/>
      <c r="E276" s="109" t="n"/>
      <c r="J276" s="109" t="n"/>
      <c r="K276" s="109" t="n"/>
      <c r="L276" s="109" t="n"/>
      <c r="N276" s="109" t="n"/>
      <c r="O276" s="109" t="n"/>
      <c r="P276" s="109" t="n"/>
      <c r="T276" s="109" t="n"/>
      <c r="U276" s="109" t="n"/>
      <c r="V276" s="109" t="n"/>
      <c r="Z276" s="109" t="n"/>
      <c r="AA276" s="109" t="n"/>
      <c r="AB276" s="109" t="n"/>
      <c r="AF276" s="109" t="n"/>
      <c r="AG276" s="109" t="n"/>
      <c r="AH276" s="109" t="n"/>
      <c r="AL276" s="109" t="n"/>
      <c r="AM276" s="109" t="n"/>
      <c r="AN276" s="109" t="n"/>
    </row>
    <row r="277" ht="15.75" customHeight="1" s="216">
      <c r="D277" s="109" t="n"/>
      <c r="E277" s="109" t="n"/>
      <c r="J277" s="109" t="n"/>
      <c r="K277" s="109" t="n"/>
      <c r="L277" s="109" t="n"/>
      <c r="N277" s="109" t="n"/>
      <c r="O277" s="109" t="n"/>
      <c r="P277" s="109" t="n"/>
      <c r="T277" s="109" t="n"/>
      <c r="U277" s="109" t="n"/>
      <c r="V277" s="109" t="n"/>
      <c r="Z277" s="109" t="n"/>
      <c r="AA277" s="109" t="n"/>
      <c r="AB277" s="109" t="n"/>
      <c r="AF277" s="109" t="n"/>
      <c r="AG277" s="109" t="n"/>
      <c r="AH277" s="109" t="n"/>
      <c r="AL277" s="109" t="n"/>
      <c r="AM277" s="109" t="n"/>
      <c r="AN277" s="109" t="n"/>
    </row>
    <row r="278" ht="15.75" customHeight="1" s="216">
      <c r="D278" s="109" t="n"/>
      <c r="E278" s="109" t="n"/>
      <c r="J278" s="109" t="n"/>
      <c r="K278" s="109" t="n"/>
      <c r="L278" s="109" t="n"/>
      <c r="N278" s="109" t="n"/>
      <c r="O278" s="109" t="n"/>
      <c r="P278" s="109" t="n"/>
      <c r="T278" s="109" t="n"/>
      <c r="U278" s="109" t="n"/>
      <c r="V278" s="109" t="n"/>
      <c r="Z278" s="109" t="n"/>
      <c r="AA278" s="109" t="n"/>
      <c r="AB278" s="109" t="n"/>
      <c r="AF278" s="109" t="n"/>
      <c r="AG278" s="109" t="n"/>
      <c r="AH278" s="109" t="n"/>
      <c r="AL278" s="109" t="n"/>
      <c r="AM278" s="109" t="n"/>
      <c r="AN278" s="109" t="n"/>
    </row>
    <row r="279" ht="15.75" customHeight="1" s="216">
      <c r="D279" s="109" t="n"/>
      <c r="E279" s="109" t="n"/>
      <c r="J279" s="109" t="n"/>
      <c r="K279" s="109" t="n"/>
      <c r="L279" s="109" t="n"/>
      <c r="N279" s="109" t="n"/>
      <c r="O279" s="109" t="n"/>
      <c r="P279" s="109" t="n"/>
      <c r="T279" s="109" t="n"/>
      <c r="U279" s="109" t="n"/>
      <c r="V279" s="109" t="n"/>
      <c r="Z279" s="109" t="n"/>
      <c r="AA279" s="109" t="n"/>
      <c r="AB279" s="109" t="n"/>
      <c r="AF279" s="109" t="n"/>
      <c r="AG279" s="109" t="n"/>
      <c r="AH279" s="109" t="n"/>
      <c r="AL279" s="109" t="n"/>
      <c r="AM279" s="109" t="n"/>
      <c r="AN279" s="109" t="n"/>
    </row>
    <row r="280" ht="15.75" customHeight="1" s="216">
      <c r="D280" s="109" t="n"/>
      <c r="E280" s="109" t="n"/>
      <c r="J280" s="109" t="n"/>
      <c r="K280" s="109" t="n"/>
      <c r="L280" s="109" t="n"/>
      <c r="N280" s="109" t="n"/>
      <c r="O280" s="109" t="n"/>
      <c r="P280" s="109" t="n"/>
      <c r="T280" s="109" t="n"/>
      <c r="U280" s="109" t="n"/>
      <c r="V280" s="109" t="n"/>
      <c r="Z280" s="109" t="n"/>
      <c r="AA280" s="109" t="n"/>
      <c r="AB280" s="109" t="n"/>
      <c r="AF280" s="109" t="n"/>
      <c r="AG280" s="109" t="n"/>
      <c r="AH280" s="109" t="n"/>
      <c r="AL280" s="109" t="n"/>
      <c r="AM280" s="109" t="n"/>
      <c r="AN280" s="109" t="n"/>
    </row>
    <row r="281" ht="15.75" customHeight="1" s="216">
      <c r="D281" s="109" t="n"/>
      <c r="E281" s="109" t="n"/>
      <c r="J281" s="109" t="n"/>
      <c r="K281" s="109" t="n"/>
      <c r="L281" s="109" t="n"/>
      <c r="N281" s="109" t="n"/>
      <c r="O281" s="109" t="n"/>
      <c r="P281" s="109" t="n"/>
      <c r="T281" s="109" t="n"/>
      <c r="U281" s="109" t="n"/>
      <c r="V281" s="109" t="n"/>
      <c r="Z281" s="109" t="n"/>
      <c r="AA281" s="109" t="n"/>
      <c r="AB281" s="109" t="n"/>
      <c r="AF281" s="109" t="n"/>
      <c r="AG281" s="109" t="n"/>
      <c r="AH281" s="109" t="n"/>
      <c r="AL281" s="109" t="n"/>
      <c r="AM281" s="109" t="n"/>
      <c r="AN281" s="109" t="n"/>
    </row>
    <row r="282" ht="15.75" customHeight="1" s="216">
      <c r="D282" s="109" t="n"/>
      <c r="E282" s="109" t="n"/>
      <c r="J282" s="109" t="n"/>
      <c r="K282" s="109" t="n"/>
      <c r="L282" s="109" t="n"/>
      <c r="N282" s="109" t="n"/>
      <c r="O282" s="109" t="n"/>
      <c r="P282" s="109" t="n"/>
      <c r="T282" s="109" t="n"/>
      <c r="U282" s="109" t="n"/>
      <c r="V282" s="109" t="n"/>
      <c r="Z282" s="109" t="n"/>
      <c r="AA282" s="109" t="n"/>
      <c r="AB282" s="109" t="n"/>
      <c r="AF282" s="109" t="n"/>
      <c r="AG282" s="109" t="n"/>
      <c r="AH282" s="109" t="n"/>
      <c r="AL282" s="109" t="n"/>
      <c r="AM282" s="109" t="n"/>
      <c r="AN282" s="109" t="n"/>
    </row>
    <row r="283" ht="15.75" customHeight="1" s="216">
      <c r="D283" s="109" t="n"/>
      <c r="E283" s="109" t="n"/>
      <c r="J283" s="109" t="n"/>
      <c r="K283" s="109" t="n"/>
      <c r="L283" s="109" t="n"/>
      <c r="N283" s="109" t="n"/>
      <c r="O283" s="109" t="n"/>
      <c r="P283" s="109" t="n"/>
      <c r="T283" s="109" t="n"/>
      <c r="U283" s="109" t="n"/>
      <c r="V283" s="109" t="n"/>
      <c r="Z283" s="109" t="n"/>
      <c r="AA283" s="109" t="n"/>
      <c r="AB283" s="109" t="n"/>
      <c r="AF283" s="109" t="n"/>
      <c r="AG283" s="109" t="n"/>
      <c r="AH283" s="109" t="n"/>
      <c r="AL283" s="109" t="n"/>
      <c r="AM283" s="109" t="n"/>
      <c r="AN283" s="109" t="n"/>
    </row>
    <row r="284" ht="15.75" customHeight="1" s="216">
      <c r="D284" s="109" t="n"/>
      <c r="E284" s="109" t="n"/>
      <c r="J284" s="109" t="n"/>
      <c r="K284" s="109" t="n"/>
      <c r="L284" s="109" t="n"/>
      <c r="N284" s="109" t="n"/>
      <c r="O284" s="109" t="n"/>
      <c r="P284" s="109" t="n"/>
      <c r="T284" s="109" t="n"/>
      <c r="U284" s="109" t="n"/>
      <c r="V284" s="109" t="n"/>
      <c r="Z284" s="109" t="n"/>
      <c r="AA284" s="109" t="n"/>
      <c r="AB284" s="109" t="n"/>
      <c r="AF284" s="109" t="n"/>
      <c r="AG284" s="109" t="n"/>
      <c r="AH284" s="109" t="n"/>
      <c r="AL284" s="109" t="n"/>
      <c r="AM284" s="109" t="n"/>
      <c r="AN284" s="109" t="n"/>
    </row>
    <row r="285" ht="15.75" customHeight="1" s="216">
      <c r="D285" s="109" t="n"/>
      <c r="E285" s="109" t="n"/>
      <c r="J285" s="109" t="n"/>
      <c r="K285" s="109" t="n"/>
      <c r="L285" s="109" t="n"/>
      <c r="N285" s="109" t="n"/>
      <c r="O285" s="109" t="n"/>
      <c r="P285" s="109" t="n"/>
      <c r="T285" s="109" t="n"/>
      <c r="U285" s="109" t="n"/>
      <c r="V285" s="109" t="n"/>
      <c r="Z285" s="109" t="n"/>
      <c r="AA285" s="109" t="n"/>
      <c r="AB285" s="109" t="n"/>
      <c r="AF285" s="109" t="n"/>
      <c r="AG285" s="109" t="n"/>
      <c r="AH285" s="109" t="n"/>
      <c r="AL285" s="109" t="n"/>
      <c r="AM285" s="109" t="n"/>
      <c r="AN285" s="109" t="n"/>
    </row>
    <row r="286" ht="15.75" customHeight="1" s="216">
      <c r="D286" s="109" t="n"/>
      <c r="E286" s="109" t="n"/>
      <c r="J286" s="109" t="n"/>
      <c r="K286" s="109" t="n"/>
      <c r="L286" s="109" t="n"/>
      <c r="N286" s="109" t="n"/>
      <c r="O286" s="109" t="n"/>
      <c r="P286" s="109" t="n"/>
      <c r="T286" s="109" t="n"/>
      <c r="U286" s="109" t="n"/>
      <c r="V286" s="109" t="n"/>
      <c r="Z286" s="109" t="n"/>
      <c r="AA286" s="109" t="n"/>
      <c r="AB286" s="109" t="n"/>
      <c r="AF286" s="109" t="n"/>
      <c r="AG286" s="109" t="n"/>
      <c r="AH286" s="109" t="n"/>
      <c r="AL286" s="109" t="n"/>
      <c r="AM286" s="109" t="n"/>
      <c r="AN286" s="109" t="n"/>
    </row>
    <row r="287" ht="15.75" customHeight="1" s="216">
      <c r="D287" s="109" t="n"/>
      <c r="E287" s="109" t="n"/>
      <c r="J287" s="109" t="n"/>
      <c r="K287" s="109" t="n"/>
      <c r="L287" s="109" t="n"/>
      <c r="N287" s="109" t="n"/>
      <c r="O287" s="109" t="n"/>
      <c r="P287" s="109" t="n"/>
      <c r="T287" s="109" t="n"/>
      <c r="U287" s="109" t="n"/>
      <c r="V287" s="109" t="n"/>
      <c r="Z287" s="109" t="n"/>
      <c r="AA287" s="109" t="n"/>
      <c r="AB287" s="109" t="n"/>
      <c r="AF287" s="109" t="n"/>
      <c r="AG287" s="109" t="n"/>
      <c r="AH287" s="109" t="n"/>
      <c r="AL287" s="109" t="n"/>
      <c r="AM287" s="109" t="n"/>
      <c r="AN287" s="109" t="n"/>
    </row>
    <row r="288" ht="15.75" customHeight="1" s="216">
      <c r="D288" s="109" t="n"/>
      <c r="E288" s="109" t="n"/>
      <c r="J288" s="109" t="n"/>
      <c r="K288" s="109" t="n"/>
      <c r="L288" s="109" t="n"/>
      <c r="N288" s="109" t="n"/>
      <c r="O288" s="109" t="n"/>
      <c r="P288" s="109" t="n"/>
      <c r="T288" s="109" t="n"/>
      <c r="U288" s="109" t="n"/>
      <c r="V288" s="109" t="n"/>
      <c r="Z288" s="109" t="n"/>
      <c r="AA288" s="109" t="n"/>
      <c r="AB288" s="109" t="n"/>
      <c r="AF288" s="109" t="n"/>
      <c r="AG288" s="109" t="n"/>
      <c r="AH288" s="109" t="n"/>
      <c r="AL288" s="109" t="n"/>
      <c r="AM288" s="109" t="n"/>
      <c r="AN288" s="109" t="n"/>
    </row>
    <row r="289" ht="15.75" customHeight="1" s="216">
      <c r="D289" s="109" t="n"/>
      <c r="E289" s="109" t="n"/>
      <c r="J289" s="109" t="n"/>
      <c r="K289" s="109" t="n"/>
      <c r="L289" s="109" t="n"/>
      <c r="N289" s="109" t="n"/>
      <c r="O289" s="109" t="n"/>
      <c r="P289" s="109" t="n"/>
      <c r="T289" s="109" t="n"/>
      <c r="U289" s="109" t="n"/>
      <c r="V289" s="109" t="n"/>
      <c r="Z289" s="109" t="n"/>
      <c r="AA289" s="109" t="n"/>
      <c r="AB289" s="109" t="n"/>
      <c r="AF289" s="109" t="n"/>
      <c r="AG289" s="109" t="n"/>
      <c r="AH289" s="109" t="n"/>
      <c r="AL289" s="109" t="n"/>
      <c r="AM289" s="109" t="n"/>
      <c r="AN289" s="109" t="n"/>
    </row>
    <row r="290" ht="15.75" customHeight="1" s="216">
      <c r="D290" s="109" t="n"/>
      <c r="E290" s="109" t="n"/>
      <c r="J290" s="109" t="n"/>
      <c r="K290" s="109" t="n"/>
      <c r="L290" s="109" t="n"/>
      <c r="N290" s="109" t="n"/>
      <c r="O290" s="109" t="n"/>
      <c r="P290" s="109" t="n"/>
      <c r="T290" s="109" t="n"/>
      <c r="U290" s="109" t="n"/>
      <c r="V290" s="109" t="n"/>
      <c r="Z290" s="109" t="n"/>
      <c r="AA290" s="109" t="n"/>
      <c r="AB290" s="109" t="n"/>
      <c r="AF290" s="109" t="n"/>
      <c r="AG290" s="109" t="n"/>
      <c r="AH290" s="109" t="n"/>
      <c r="AL290" s="109" t="n"/>
      <c r="AM290" s="109" t="n"/>
      <c r="AN290" s="109" t="n"/>
    </row>
    <row r="291" ht="15.75" customHeight="1" s="216">
      <c r="D291" s="109" t="n"/>
      <c r="E291" s="109" t="n"/>
      <c r="J291" s="109" t="n"/>
      <c r="K291" s="109" t="n"/>
      <c r="L291" s="109" t="n"/>
      <c r="N291" s="109" t="n"/>
      <c r="O291" s="109" t="n"/>
      <c r="P291" s="109" t="n"/>
      <c r="T291" s="109" t="n"/>
      <c r="U291" s="109" t="n"/>
      <c r="V291" s="109" t="n"/>
      <c r="Z291" s="109" t="n"/>
      <c r="AA291" s="109" t="n"/>
      <c r="AB291" s="109" t="n"/>
      <c r="AF291" s="109" t="n"/>
      <c r="AG291" s="109" t="n"/>
      <c r="AH291" s="109" t="n"/>
      <c r="AL291" s="109" t="n"/>
      <c r="AM291" s="109" t="n"/>
      <c r="AN291" s="109" t="n"/>
    </row>
    <row r="292" ht="15.75" customHeight="1" s="216">
      <c r="D292" s="109" t="n"/>
      <c r="E292" s="109" t="n"/>
      <c r="J292" s="109" t="n"/>
      <c r="K292" s="109" t="n"/>
      <c r="L292" s="109" t="n"/>
      <c r="N292" s="109" t="n"/>
      <c r="O292" s="109" t="n"/>
      <c r="P292" s="109" t="n"/>
      <c r="T292" s="109" t="n"/>
      <c r="U292" s="109" t="n"/>
      <c r="V292" s="109" t="n"/>
      <c r="Z292" s="109" t="n"/>
      <c r="AA292" s="109" t="n"/>
      <c r="AB292" s="109" t="n"/>
      <c r="AF292" s="109" t="n"/>
      <c r="AG292" s="109" t="n"/>
      <c r="AH292" s="109" t="n"/>
      <c r="AL292" s="109" t="n"/>
      <c r="AM292" s="109" t="n"/>
      <c r="AN292" s="109" t="n"/>
    </row>
    <row r="293" ht="15.75" customHeight="1" s="216">
      <c r="D293" s="109" t="n"/>
      <c r="E293" s="109" t="n"/>
      <c r="J293" s="109" t="n"/>
      <c r="K293" s="109" t="n"/>
      <c r="L293" s="109" t="n"/>
      <c r="N293" s="109" t="n"/>
      <c r="O293" s="109" t="n"/>
      <c r="P293" s="109" t="n"/>
      <c r="T293" s="109" t="n"/>
      <c r="U293" s="109" t="n"/>
      <c r="V293" s="109" t="n"/>
      <c r="Z293" s="109" t="n"/>
      <c r="AA293" s="109" t="n"/>
      <c r="AB293" s="109" t="n"/>
      <c r="AF293" s="109" t="n"/>
      <c r="AG293" s="109" t="n"/>
      <c r="AH293" s="109" t="n"/>
      <c r="AL293" s="109" t="n"/>
      <c r="AM293" s="109" t="n"/>
      <c r="AN293" s="109" t="n"/>
    </row>
    <row r="294" ht="15.75" customHeight="1" s="216">
      <c r="D294" s="109" t="n"/>
      <c r="E294" s="109" t="n"/>
      <c r="J294" s="109" t="n"/>
      <c r="K294" s="109" t="n"/>
      <c r="L294" s="109" t="n"/>
      <c r="N294" s="109" t="n"/>
      <c r="O294" s="109" t="n"/>
      <c r="P294" s="109" t="n"/>
      <c r="T294" s="109" t="n"/>
      <c r="U294" s="109" t="n"/>
      <c r="V294" s="109" t="n"/>
      <c r="Z294" s="109" t="n"/>
      <c r="AA294" s="109" t="n"/>
      <c r="AB294" s="109" t="n"/>
      <c r="AF294" s="109" t="n"/>
      <c r="AG294" s="109" t="n"/>
      <c r="AH294" s="109" t="n"/>
      <c r="AL294" s="109" t="n"/>
      <c r="AM294" s="109" t="n"/>
      <c r="AN294" s="109" t="n"/>
    </row>
    <row r="295" ht="15.75" customHeight="1" s="216">
      <c r="D295" s="109" t="n"/>
      <c r="E295" s="109" t="n"/>
      <c r="J295" s="109" t="n"/>
      <c r="K295" s="109" t="n"/>
      <c r="L295" s="109" t="n"/>
      <c r="N295" s="109" t="n"/>
      <c r="O295" s="109" t="n"/>
      <c r="P295" s="109" t="n"/>
      <c r="T295" s="109" t="n"/>
      <c r="U295" s="109" t="n"/>
      <c r="V295" s="109" t="n"/>
      <c r="Z295" s="109" t="n"/>
      <c r="AA295" s="109" t="n"/>
      <c r="AB295" s="109" t="n"/>
      <c r="AF295" s="109" t="n"/>
      <c r="AG295" s="109" t="n"/>
      <c r="AH295" s="109" t="n"/>
      <c r="AL295" s="109" t="n"/>
      <c r="AM295" s="109" t="n"/>
      <c r="AN295" s="109" t="n"/>
    </row>
    <row r="296" ht="15.75" customHeight="1" s="216">
      <c r="D296" s="109" t="n"/>
      <c r="E296" s="109" t="n"/>
      <c r="J296" s="109" t="n"/>
      <c r="K296" s="109" t="n"/>
      <c r="L296" s="109" t="n"/>
      <c r="N296" s="109" t="n"/>
      <c r="O296" s="109" t="n"/>
      <c r="P296" s="109" t="n"/>
      <c r="T296" s="109" t="n"/>
      <c r="U296" s="109" t="n"/>
      <c r="V296" s="109" t="n"/>
      <c r="Z296" s="109" t="n"/>
      <c r="AA296" s="109" t="n"/>
      <c r="AB296" s="109" t="n"/>
      <c r="AF296" s="109" t="n"/>
      <c r="AG296" s="109" t="n"/>
      <c r="AH296" s="109" t="n"/>
      <c r="AL296" s="109" t="n"/>
      <c r="AM296" s="109" t="n"/>
      <c r="AN296" s="109" t="n"/>
    </row>
    <row r="297" ht="15.75" customHeight="1" s="216">
      <c r="D297" s="109" t="n"/>
      <c r="E297" s="109" t="n"/>
      <c r="J297" s="109" t="n"/>
      <c r="K297" s="109" t="n"/>
      <c r="L297" s="109" t="n"/>
      <c r="N297" s="109" t="n"/>
      <c r="O297" s="109" t="n"/>
      <c r="P297" s="109" t="n"/>
      <c r="T297" s="109" t="n"/>
      <c r="U297" s="109" t="n"/>
      <c r="V297" s="109" t="n"/>
      <c r="Z297" s="109" t="n"/>
      <c r="AA297" s="109" t="n"/>
      <c r="AB297" s="109" t="n"/>
      <c r="AF297" s="109" t="n"/>
      <c r="AG297" s="109" t="n"/>
      <c r="AH297" s="109" t="n"/>
      <c r="AL297" s="109" t="n"/>
      <c r="AM297" s="109" t="n"/>
      <c r="AN297" s="109" t="n"/>
    </row>
    <row r="298" ht="15.75" customHeight="1" s="216">
      <c r="D298" s="109" t="n"/>
      <c r="E298" s="109" t="n"/>
      <c r="J298" s="109" t="n"/>
      <c r="K298" s="109" t="n"/>
      <c r="L298" s="109" t="n"/>
      <c r="N298" s="109" t="n"/>
      <c r="O298" s="109" t="n"/>
      <c r="P298" s="109" t="n"/>
      <c r="T298" s="109" t="n"/>
      <c r="U298" s="109" t="n"/>
      <c r="V298" s="109" t="n"/>
      <c r="Z298" s="109" t="n"/>
      <c r="AA298" s="109" t="n"/>
      <c r="AB298" s="109" t="n"/>
      <c r="AF298" s="109" t="n"/>
      <c r="AG298" s="109" t="n"/>
      <c r="AH298" s="109" t="n"/>
      <c r="AL298" s="109" t="n"/>
      <c r="AM298" s="109" t="n"/>
      <c r="AN298" s="109" t="n"/>
    </row>
    <row r="299" ht="15.75" customHeight="1" s="216">
      <c r="D299" s="109" t="n"/>
      <c r="E299" s="109" t="n"/>
      <c r="J299" s="109" t="n"/>
      <c r="K299" s="109" t="n"/>
      <c r="L299" s="109" t="n"/>
      <c r="N299" s="109" t="n"/>
      <c r="O299" s="109" t="n"/>
      <c r="P299" s="109" t="n"/>
      <c r="T299" s="109" t="n"/>
      <c r="U299" s="109" t="n"/>
      <c r="V299" s="109" t="n"/>
      <c r="Z299" s="109" t="n"/>
      <c r="AA299" s="109" t="n"/>
      <c r="AB299" s="109" t="n"/>
      <c r="AF299" s="109" t="n"/>
      <c r="AG299" s="109" t="n"/>
      <c r="AH299" s="109" t="n"/>
      <c r="AL299" s="109" t="n"/>
      <c r="AM299" s="109" t="n"/>
      <c r="AN299" s="109" t="n"/>
    </row>
    <row r="300" ht="15.75" customHeight="1" s="216">
      <c r="D300" s="109" t="n"/>
      <c r="E300" s="109" t="n"/>
      <c r="J300" s="109" t="n"/>
      <c r="K300" s="109" t="n"/>
      <c r="L300" s="109" t="n"/>
      <c r="N300" s="109" t="n"/>
      <c r="O300" s="109" t="n"/>
      <c r="P300" s="109" t="n"/>
      <c r="T300" s="109" t="n"/>
      <c r="U300" s="109" t="n"/>
      <c r="V300" s="109" t="n"/>
      <c r="Z300" s="109" t="n"/>
      <c r="AA300" s="109" t="n"/>
      <c r="AB300" s="109" t="n"/>
      <c r="AF300" s="109" t="n"/>
      <c r="AG300" s="109" t="n"/>
      <c r="AH300" s="109" t="n"/>
      <c r="AL300" s="109" t="n"/>
      <c r="AM300" s="109" t="n"/>
      <c r="AN300" s="109" t="n"/>
    </row>
    <row r="301" ht="15.75" customHeight="1" s="216">
      <c r="D301" s="109" t="n"/>
      <c r="E301" s="109" t="n"/>
      <c r="J301" s="109" t="n"/>
      <c r="K301" s="109" t="n"/>
      <c r="L301" s="109" t="n"/>
      <c r="N301" s="109" t="n"/>
      <c r="O301" s="109" t="n"/>
      <c r="P301" s="109" t="n"/>
      <c r="T301" s="109" t="n"/>
      <c r="U301" s="109" t="n"/>
      <c r="V301" s="109" t="n"/>
      <c r="Z301" s="109" t="n"/>
      <c r="AA301" s="109" t="n"/>
      <c r="AB301" s="109" t="n"/>
      <c r="AF301" s="109" t="n"/>
      <c r="AG301" s="109" t="n"/>
      <c r="AH301" s="109" t="n"/>
      <c r="AL301" s="109" t="n"/>
      <c r="AM301" s="109" t="n"/>
      <c r="AN301" s="109" t="n"/>
    </row>
    <row r="302" ht="15.75" customHeight="1" s="216">
      <c r="D302" s="109" t="n"/>
      <c r="E302" s="109" t="n"/>
      <c r="J302" s="109" t="n"/>
      <c r="K302" s="109" t="n"/>
      <c r="L302" s="109" t="n"/>
      <c r="N302" s="109" t="n"/>
      <c r="O302" s="109" t="n"/>
      <c r="P302" s="109" t="n"/>
      <c r="T302" s="109" t="n"/>
      <c r="U302" s="109" t="n"/>
      <c r="V302" s="109" t="n"/>
      <c r="Z302" s="109" t="n"/>
      <c r="AA302" s="109" t="n"/>
      <c r="AB302" s="109" t="n"/>
      <c r="AF302" s="109" t="n"/>
      <c r="AG302" s="109" t="n"/>
      <c r="AH302" s="109" t="n"/>
      <c r="AL302" s="109" t="n"/>
      <c r="AM302" s="109" t="n"/>
      <c r="AN302" s="109" t="n"/>
    </row>
    <row r="303" ht="15.75" customHeight="1" s="216">
      <c r="D303" s="109" t="n"/>
      <c r="E303" s="109" t="n"/>
      <c r="J303" s="109" t="n"/>
      <c r="K303" s="109" t="n"/>
      <c r="L303" s="109" t="n"/>
      <c r="N303" s="109" t="n"/>
      <c r="O303" s="109" t="n"/>
      <c r="P303" s="109" t="n"/>
      <c r="T303" s="109" t="n"/>
      <c r="U303" s="109" t="n"/>
      <c r="V303" s="109" t="n"/>
      <c r="Z303" s="109" t="n"/>
      <c r="AA303" s="109" t="n"/>
      <c r="AB303" s="109" t="n"/>
      <c r="AF303" s="109" t="n"/>
      <c r="AG303" s="109" t="n"/>
      <c r="AH303" s="109" t="n"/>
      <c r="AL303" s="109" t="n"/>
      <c r="AM303" s="109" t="n"/>
      <c r="AN303" s="109" t="n"/>
    </row>
    <row r="304" ht="15.75" customHeight="1" s="216">
      <c r="D304" s="109" t="n"/>
      <c r="E304" s="109" t="n"/>
      <c r="J304" s="109" t="n"/>
      <c r="K304" s="109" t="n"/>
      <c r="L304" s="109" t="n"/>
      <c r="N304" s="109" t="n"/>
      <c r="O304" s="109" t="n"/>
      <c r="P304" s="109" t="n"/>
      <c r="T304" s="109" t="n"/>
      <c r="U304" s="109" t="n"/>
      <c r="V304" s="109" t="n"/>
      <c r="Z304" s="109" t="n"/>
      <c r="AA304" s="109" t="n"/>
      <c r="AB304" s="109" t="n"/>
      <c r="AF304" s="109" t="n"/>
      <c r="AG304" s="109" t="n"/>
      <c r="AH304" s="109" t="n"/>
      <c r="AL304" s="109" t="n"/>
      <c r="AM304" s="109" t="n"/>
      <c r="AN304" s="109" t="n"/>
    </row>
    <row r="305" ht="15.75" customHeight="1" s="216">
      <c r="D305" s="109" t="n"/>
      <c r="E305" s="109" t="n"/>
      <c r="J305" s="109" t="n"/>
      <c r="K305" s="109" t="n"/>
      <c r="L305" s="109" t="n"/>
      <c r="N305" s="109" t="n"/>
      <c r="O305" s="109" t="n"/>
      <c r="P305" s="109" t="n"/>
      <c r="T305" s="109" t="n"/>
      <c r="U305" s="109" t="n"/>
      <c r="V305" s="109" t="n"/>
      <c r="Z305" s="109" t="n"/>
      <c r="AA305" s="109" t="n"/>
      <c r="AB305" s="109" t="n"/>
      <c r="AF305" s="109" t="n"/>
      <c r="AG305" s="109" t="n"/>
      <c r="AH305" s="109" t="n"/>
      <c r="AL305" s="109" t="n"/>
      <c r="AM305" s="109" t="n"/>
      <c r="AN305" s="109" t="n"/>
    </row>
    <row r="306" ht="15.75" customHeight="1" s="216">
      <c r="D306" s="109" t="n"/>
      <c r="E306" s="109" t="n"/>
      <c r="J306" s="109" t="n"/>
      <c r="K306" s="109" t="n"/>
      <c r="L306" s="109" t="n"/>
      <c r="N306" s="109" t="n"/>
      <c r="O306" s="109" t="n"/>
      <c r="P306" s="109" t="n"/>
      <c r="T306" s="109" t="n"/>
      <c r="U306" s="109" t="n"/>
      <c r="V306" s="109" t="n"/>
      <c r="Z306" s="109" t="n"/>
      <c r="AA306" s="109" t="n"/>
      <c r="AB306" s="109" t="n"/>
      <c r="AF306" s="109" t="n"/>
      <c r="AG306" s="109" t="n"/>
      <c r="AH306" s="109" t="n"/>
      <c r="AL306" s="109" t="n"/>
      <c r="AM306" s="109" t="n"/>
      <c r="AN306" s="109" t="n"/>
    </row>
    <row r="307" ht="15.75" customHeight="1" s="216">
      <c r="D307" s="109" t="n"/>
      <c r="E307" s="109" t="n"/>
      <c r="J307" s="109" t="n"/>
      <c r="K307" s="109" t="n"/>
      <c r="L307" s="109" t="n"/>
      <c r="N307" s="109" t="n"/>
      <c r="O307" s="109" t="n"/>
      <c r="P307" s="109" t="n"/>
      <c r="T307" s="109" t="n"/>
      <c r="U307" s="109" t="n"/>
      <c r="V307" s="109" t="n"/>
      <c r="Z307" s="109" t="n"/>
      <c r="AA307" s="109" t="n"/>
      <c r="AB307" s="109" t="n"/>
      <c r="AF307" s="109" t="n"/>
      <c r="AG307" s="109" t="n"/>
      <c r="AH307" s="109" t="n"/>
      <c r="AL307" s="109" t="n"/>
      <c r="AM307" s="109" t="n"/>
      <c r="AN307" s="109" t="n"/>
    </row>
    <row r="308" ht="15.75" customHeight="1" s="216">
      <c r="D308" s="109" t="n"/>
      <c r="E308" s="109" t="n"/>
      <c r="J308" s="109" t="n"/>
      <c r="K308" s="109" t="n"/>
      <c r="L308" s="109" t="n"/>
      <c r="N308" s="109" t="n"/>
      <c r="O308" s="109" t="n"/>
      <c r="P308" s="109" t="n"/>
      <c r="T308" s="109" t="n"/>
      <c r="U308" s="109" t="n"/>
      <c r="V308" s="109" t="n"/>
      <c r="Z308" s="109" t="n"/>
      <c r="AA308" s="109" t="n"/>
      <c r="AB308" s="109" t="n"/>
      <c r="AF308" s="109" t="n"/>
      <c r="AG308" s="109" t="n"/>
      <c r="AH308" s="109" t="n"/>
      <c r="AL308" s="109" t="n"/>
      <c r="AM308" s="109" t="n"/>
      <c r="AN308" s="109" t="n"/>
    </row>
    <row r="309" ht="15.75" customHeight="1" s="216">
      <c r="D309" s="109" t="n"/>
      <c r="E309" s="109" t="n"/>
      <c r="J309" s="109" t="n"/>
      <c r="K309" s="109" t="n"/>
      <c r="L309" s="109" t="n"/>
      <c r="N309" s="109" t="n"/>
      <c r="O309" s="109" t="n"/>
      <c r="P309" s="109" t="n"/>
      <c r="T309" s="109" t="n"/>
      <c r="U309" s="109" t="n"/>
      <c r="V309" s="109" t="n"/>
      <c r="Z309" s="109" t="n"/>
      <c r="AA309" s="109" t="n"/>
      <c r="AB309" s="109" t="n"/>
      <c r="AF309" s="109" t="n"/>
      <c r="AG309" s="109" t="n"/>
      <c r="AH309" s="109" t="n"/>
      <c r="AL309" s="109" t="n"/>
      <c r="AM309" s="109" t="n"/>
      <c r="AN309" s="109" t="n"/>
    </row>
    <row r="310" ht="15.75" customHeight="1" s="216">
      <c r="D310" s="109" t="n"/>
      <c r="E310" s="109" t="n"/>
      <c r="J310" s="109" t="n"/>
      <c r="K310" s="109" t="n"/>
      <c r="L310" s="109" t="n"/>
      <c r="N310" s="109" t="n"/>
      <c r="O310" s="109" t="n"/>
      <c r="P310" s="109" t="n"/>
      <c r="T310" s="109" t="n"/>
      <c r="U310" s="109" t="n"/>
      <c r="V310" s="109" t="n"/>
      <c r="Z310" s="109" t="n"/>
      <c r="AA310" s="109" t="n"/>
      <c r="AB310" s="109" t="n"/>
      <c r="AF310" s="109" t="n"/>
      <c r="AG310" s="109" t="n"/>
      <c r="AH310" s="109" t="n"/>
      <c r="AL310" s="109" t="n"/>
      <c r="AM310" s="109" t="n"/>
      <c r="AN310" s="109" t="n"/>
    </row>
    <row r="311" ht="15.75" customHeight="1" s="216">
      <c r="D311" s="109" t="n"/>
      <c r="E311" s="109" t="n"/>
      <c r="J311" s="109" t="n"/>
      <c r="K311" s="109" t="n"/>
      <c r="L311" s="109" t="n"/>
      <c r="N311" s="109" t="n"/>
      <c r="O311" s="109" t="n"/>
      <c r="P311" s="109" t="n"/>
      <c r="T311" s="109" t="n"/>
      <c r="U311" s="109" t="n"/>
      <c r="V311" s="109" t="n"/>
      <c r="Z311" s="109" t="n"/>
      <c r="AA311" s="109" t="n"/>
      <c r="AB311" s="109" t="n"/>
      <c r="AF311" s="109" t="n"/>
      <c r="AG311" s="109" t="n"/>
      <c r="AH311" s="109" t="n"/>
      <c r="AL311" s="109" t="n"/>
      <c r="AM311" s="109" t="n"/>
      <c r="AN311" s="109" t="n"/>
    </row>
    <row r="312" ht="15.75" customHeight="1" s="216">
      <c r="D312" s="109" t="n"/>
      <c r="E312" s="109" t="n"/>
      <c r="J312" s="109" t="n"/>
      <c r="K312" s="109" t="n"/>
      <c r="L312" s="109" t="n"/>
      <c r="N312" s="109" t="n"/>
      <c r="O312" s="109" t="n"/>
      <c r="P312" s="109" t="n"/>
      <c r="T312" s="109" t="n"/>
      <c r="U312" s="109" t="n"/>
      <c r="V312" s="109" t="n"/>
      <c r="Z312" s="109" t="n"/>
      <c r="AA312" s="109" t="n"/>
      <c r="AB312" s="109" t="n"/>
      <c r="AF312" s="109" t="n"/>
      <c r="AG312" s="109" t="n"/>
      <c r="AH312" s="109" t="n"/>
      <c r="AL312" s="109" t="n"/>
      <c r="AM312" s="109" t="n"/>
      <c r="AN312" s="109" t="n"/>
    </row>
    <row r="313" ht="15.75" customHeight="1" s="216">
      <c r="D313" s="109" t="n"/>
      <c r="E313" s="109" t="n"/>
      <c r="J313" s="109" t="n"/>
      <c r="K313" s="109" t="n"/>
      <c r="L313" s="109" t="n"/>
      <c r="N313" s="109" t="n"/>
      <c r="O313" s="109" t="n"/>
      <c r="P313" s="109" t="n"/>
      <c r="T313" s="109" t="n"/>
      <c r="U313" s="109" t="n"/>
      <c r="V313" s="109" t="n"/>
      <c r="Z313" s="109" t="n"/>
      <c r="AA313" s="109" t="n"/>
      <c r="AB313" s="109" t="n"/>
      <c r="AF313" s="109" t="n"/>
      <c r="AG313" s="109" t="n"/>
      <c r="AH313" s="109" t="n"/>
      <c r="AL313" s="109" t="n"/>
      <c r="AM313" s="109" t="n"/>
      <c r="AN313" s="109" t="n"/>
    </row>
    <row r="314" ht="15.75" customHeight="1" s="216">
      <c r="D314" s="109" t="n"/>
      <c r="E314" s="109" t="n"/>
      <c r="J314" s="109" t="n"/>
      <c r="K314" s="109" t="n"/>
      <c r="L314" s="109" t="n"/>
      <c r="N314" s="109" t="n"/>
      <c r="O314" s="109" t="n"/>
      <c r="P314" s="109" t="n"/>
      <c r="T314" s="109" t="n"/>
      <c r="U314" s="109" t="n"/>
      <c r="V314" s="109" t="n"/>
      <c r="Z314" s="109" t="n"/>
      <c r="AA314" s="109" t="n"/>
      <c r="AB314" s="109" t="n"/>
      <c r="AF314" s="109" t="n"/>
      <c r="AG314" s="109" t="n"/>
      <c r="AH314" s="109" t="n"/>
      <c r="AL314" s="109" t="n"/>
      <c r="AM314" s="109" t="n"/>
      <c r="AN314" s="109" t="n"/>
    </row>
    <row r="315" ht="15.75" customHeight="1" s="216">
      <c r="D315" s="109" t="n"/>
      <c r="E315" s="109" t="n"/>
      <c r="J315" s="109" t="n"/>
      <c r="K315" s="109" t="n"/>
      <c r="L315" s="109" t="n"/>
      <c r="N315" s="109" t="n"/>
      <c r="O315" s="109" t="n"/>
      <c r="P315" s="109" t="n"/>
      <c r="T315" s="109" t="n"/>
      <c r="U315" s="109" t="n"/>
      <c r="V315" s="109" t="n"/>
      <c r="Z315" s="109" t="n"/>
      <c r="AA315" s="109" t="n"/>
      <c r="AB315" s="109" t="n"/>
      <c r="AF315" s="109" t="n"/>
      <c r="AG315" s="109" t="n"/>
      <c r="AH315" s="109" t="n"/>
      <c r="AL315" s="109" t="n"/>
      <c r="AM315" s="109" t="n"/>
      <c r="AN315" s="109" t="n"/>
    </row>
    <row r="316" ht="15.75" customHeight="1" s="216">
      <c r="D316" s="109" t="n"/>
      <c r="E316" s="109" t="n"/>
      <c r="J316" s="109" t="n"/>
      <c r="K316" s="109" t="n"/>
      <c r="L316" s="109" t="n"/>
      <c r="N316" s="109" t="n"/>
      <c r="O316" s="109" t="n"/>
      <c r="P316" s="109" t="n"/>
      <c r="T316" s="109" t="n"/>
      <c r="U316" s="109" t="n"/>
      <c r="V316" s="109" t="n"/>
      <c r="Z316" s="109" t="n"/>
      <c r="AA316" s="109" t="n"/>
      <c r="AB316" s="109" t="n"/>
      <c r="AF316" s="109" t="n"/>
      <c r="AG316" s="109" t="n"/>
      <c r="AH316" s="109" t="n"/>
      <c r="AL316" s="109" t="n"/>
      <c r="AM316" s="109" t="n"/>
      <c r="AN316" s="109" t="n"/>
    </row>
    <row r="317" ht="15.75" customHeight="1" s="216">
      <c r="D317" s="109" t="n"/>
      <c r="E317" s="109" t="n"/>
      <c r="J317" s="109" t="n"/>
      <c r="K317" s="109" t="n"/>
      <c r="L317" s="109" t="n"/>
      <c r="N317" s="109" t="n"/>
      <c r="O317" s="109" t="n"/>
      <c r="P317" s="109" t="n"/>
      <c r="T317" s="109" t="n"/>
      <c r="U317" s="109" t="n"/>
      <c r="V317" s="109" t="n"/>
      <c r="Z317" s="109" t="n"/>
      <c r="AA317" s="109" t="n"/>
      <c r="AB317" s="109" t="n"/>
      <c r="AF317" s="109" t="n"/>
      <c r="AG317" s="109" t="n"/>
      <c r="AH317" s="109" t="n"/>
      <c r="AL317" s="109" t="n"/>
      <c r="AM317" s="109" t="n"/>
      <c r="AN317" s="109" t="n"/>
    </row>
    <row r="318" ht="15.75" customHeight="1" s="216">
      <c r="D318" s="109" t="n"/>
      <c r="E318" s="109" t="n"/>
      <c r="J318" s="109" t="n"/>
      <c r="K318" s="109" t="n"/>
      <c r="L318" s="109" t="n"/>
      <c r="N318" s="109" t="n"/>
      <c r="O318" s="109" t="n"/>
      <c r="P318" s="109" t="n"/>
      <c r="T318" s="109" t="n"/>
      <c r="U318" s="109" t="n"/>
      <c r="V318" s="109" t="n"/>
      <c r="Z318" s="109" t="n"/>
      <c r="AA318" s="109" t="n"/>
      <c r="AB318" s="109" t="n"/>
      <c r="AF318" s="109" t="n"/>
      <c r="AG318" s="109" t="n"/>
      <c r="AH318" s="109" t="n"/>
      <c r="AL318" s="109" t="n"/>
      <c r="AM318" s="109" t="n"/>
      <c r="AN318" s="109" t="n"/>
    </row>
    <row r="319" ht="15.75" customHeight="1" s="216">
      <c r="D319" s="109" t="n"/>
      <c r="E319" s="109" t="n"/>
      <c r="J319" s="109" t="n"/>
      <c r="K319" s="109" t="n"/>
      <c r="L319" s="109" t="n"/>
      <c r="N319" s="109" t="n"/>
      <c r="O319" s="109" t="n"/>
      <c r="P319" s="109" t="n"/>
      <c r="T319" s="109" t="n"/>
      <c r="U319" s="109" t="n"/>
      <c r="V319" s="109" t="n"/>
      <c r="Z319" s="109" t="n"/>
      <c r="AA319" s="109" t="n"/>
      <c r="AB319" s="109" t="n"/>
      <c r="AF319" s="109" t="n"/>
      <c r="AG319" s="109" t="n"/>
      <c r="AH319" s="109" t="n"/>
      <c r="AL319" s="109" t="n"/>
      <c r="AM319" s="109" t="n"/>
      <c r="AN319" s="109" t="n"/>
    </row>
    <row r="320" ht="15.75" customHeight="1" s="216">
      <c r="D320" s="109" t="n"/>
      <c r="E320" s="109" t="n"/>
      <c r="J320" s="109" t="n"/>
      <c r="K320" s="109" t="n"/>
      <c r="L320" s="109" t="n"/>
      <c r="N320" s="109" t="n"/>
      <c r="O320" s="109" t="n"/>
      <c r="P320" s="109" t="n"/>
      <c r="T320" s="109" t="n"/>
      <c r="U320" s="109" t="n"/>
      <c r="V320" s="109" t="n"/>
      <c r="Z320" s="109" t="n"/>
      <c r="AA320" s="109" t="n"/>
      <c r="AB320" s="109" t="n"/>
      <c r="AF320" s="109" t="n"/>
      <c r="AG320" s="109" t="n"/>
      <c r="AH320" s="109" t="n"/>
      <c r="AL320" s="109" t="n"/>
      <c r="AM320" s="109" t="n"/>
      <c r="AN320" s="109" t="n"/>
    </row>
    <row r="321" ht="15.75" customHeight="1" s="216">
      <c r="D321" s="109" t="n"/>
      <c r="E321" s="109" t="n"/>
      <c r="J321" s="109" t="n"/>
      <c r="K321" s="109" t="n"/>
      <c r="L321" s="109" t="n"/>
      <c r="N321" s="109" t="n"/>
      <c r="O321" s="109" t="n"/>
      <c r="P321" s="109" t="n"/>
      <c r="T321" s="109" t="n"/>
      <c r="U321" s="109" t="n"/>
      <c r="V321" s="109" t="n"/>
      <c r="Z321" s="109" t="n"/>
      <c r="AA321" s="109" t="n"/>
      <c r="AB321" s="109" t="n"/>
      <c r="AF321" s="109" t="n"/>
      <c r="AG321" s="109" t="n"/>
      <c r="AH321" s="109" t="n"/>
      <c r="AL321" s="109" t="n"/>
      <c r="AM321" s="109" t="n"/>
      <c r="AN321" s="109" t="n"/>
    </row>
    <row r="322" ht="15.75" customHeight="1" s="216">
      <c r="D322" s="109" t="n"/>
      <c r="E322" s="109" t="n"/>
      <c r="J322" s="109" t="n"/>
      <c r="K322" s="109" t="n"/>
      <c r="L322" s="109" t="n"/>
      <c r="N322" s="109" t="n"/>
      <c r="O322" s="109" t="n"/>
      <c r="P322" s="109" t="n"/>
      <c r="T322" s="109" t="n"/>
      <c r="U322" s="109" t="n"/>
      <c r="V322" s="109" t="n"/>
      <c r="Z322" s="109" t="n"/>
      <c r="AA322" s="109" t="n"/>
      <c r="AB322" s="109" t="n"/>
      <c r="AF322" s="109" t="n"/>
      <c r="AG322" s="109" t="n"/>
      <c r="AH322" s="109" t="n"/>
      <c r="AL322" s="109" t="n"/>
      <c r="AM322" s="109" t="n"/>
      <c r="AN322" s="109" t="n"/>
    </row>
    <row r="323" ht="15.75" customHeight="1" s="216">
      <c r="D323" s="109" t="n"/>
      <c r="E323" s="109" t="n"/>
      <c r="J323" s="109" t="n"/>
      <c r="K323" s="109" t="n"/>
      <c r="L323" s="109" t="n"/>
      <c r="N323" s="109" t="n"/>
      <c r="O323" s="109" t="n"/>
      <c r="P323" s="109" t="n"/>
      <c r="T323" s="109" t="n"/>
      <c r="U323" s="109" t="n"/>
      <c r="V323" s="109" t="n"/>
      <c r="Z323" s="109" t="n"/>
      <c r="AA323" s="109" t="n"/>
      <c r="AB323" s="109" t="n"/>
      <c r="AF323" s="109" t="n"/>
      <c r="AG323" s="109" t="n"/>
      <c r="AH323" s="109" t="n"/>
      <c r="AL323" s="109" t="n"/>
      <c r="AM323" s="109" t="n"/>
      <c r="AN323" s="109" t="n"/>
    </row>
    <row r="324" ht="15.75" customHeight="1" s="216">
      <c r="D324" s="109" t="n"/>
      <c r="E324" s="109" t="n"/>
      <c r="J324" s="109" t="n"/>
      <c r="K324" s="109" t="n"/>
      <c r="L324" s="109" t="n"/>
      <c r="N324" s="109" t="n"/>
      <c r="O324" s="109" t="n"/>
      <c r="P324" s="109" t="n"/>
      <c r="T324" s="109" t="n"/>
      <c r="U324" s="109" t="n"/>
      <c r="V324" s="109" t="n"/>
      <c r="Z324" s="109" t="n"/>
      <c r="AA324" s="109" t="n"/>
      <c r="AB324" s="109" t="n"/>
      <c r="AF324" s="109" t="n"/>
      <c r="AG324" s="109" t="n"/>
      <c r="AH324" s="109" t="n"/>
      <c r="AL324" s="109" t="n"/>
      <c r="AM324" s="109" t="n"/>
      <c r="AN324" s="109" t="n"/>
    </row>
    <row r="325" ht="15.75" customHeight="1" s="216">
      <c r="D325" s="109" t="n"/>
      <c r="E325" s="109" t="n"/>
      <c r="J325" s="109" t="n"/>
      <c r="K325" s="109" t="n"/>
      <c r="L325" s="109" t="n"/>
      <c r="N325" s="109" t="n"/>
      <c r="O325" s="109" t="n"/>
      <c r="P325" s="109" t="n"/>
      <c r="T325" s="109" t="n"/>
      <c r="U325" s="109" t="n"/>
      <c r="V325" s="109" t="n"/>
      <c r="Z325" s="109" t="n"/>
      <c r="AA325" s="109" t="n"/>
      <c r="AB325" s="109" t="n"/>
      <c r="AF325" s="109" t="n"/>
      <c r="AG325" s="109" t="n"/>
      <c r="AH325" s="109" t="n"/>
      <c r="AL325" s="109" t="n"/>
      <c r="AM325" s="109" t="n"/>
      <c r="AN325" s="109" t="n"/>
    </row>
    <row r="326" ht="15.75" customHeight="1" s="216">
      <c r="D326" s="109" t="n"/>
      <c r="E326" s="109" t="n"/>
      <c r="J326" s="109" t="n"/>
      <c r="K326" s="109" t="n"/>
      <c r="L326" s="109" t="n"/>
      <c r="N326" s="109" t="n"/>
      <c r="O326" s="109" t="n"/>
      <c r="P326" s="109" t="n"/>
      <c r="T326" s="109" t="n"/>
      <c r="U326" s="109" t="n"/>
      <c r="V326" s="109" t="n"/>
      <c r="Z326" s="109" t="n"/>
      <c r="AA326" s="109" t="n"/>
      <c r="AB326" s="109" t="n"/>
      <c r="AF326" s="109" t="n"/>
      <c r="AG326" s="109" t="n"/>
      <c r="AH326" s="109" t="n"/>
      <c r="AL326" s="109" t="n"/>
      <c r="AM326" s="109" t="n"/>
      <c r="AN326" s="109" t="n"/>
    </row>
    <row r="327" ht="15.75" customHeight="1" s="216">
      <c r="D327" s="109" t="n"/>
      <c r="E327" s="109" t="n"/>
      <c r="J327" s="109" t="n"/>
      <c r="K327" s="109" t="n"/>
      <c r="L327" s="109" t="n"/>
      <c r="N327" s="109" t="n"/>
      <c r="O327" s="109" t="n"/>
      <c r="P327" s="109" t="n"/>
      <c r="T327" s="109" t="n"/>
      <c r="U327" s="109" t="n"/>
      <c r="V327" s="109" t="n"/>
      <c r="Z327" s="109" t="n"/>
      <c r="AA327" s="109" t="n"/>
      <c r="AB327" s="109" t="n"/>
      <c r="AF327" s="109" t="n"/>
      <c r="AG327" s="109" t="n"/>
      <c r="AH327" s="109" t="n"/>
      <c r="AL327" s="109" t="n"/>
      <c r="AM327" s="109" t="n"/>
      <c r="AN327" s="109" t="n"/>
    </row>
    <row r="328" ht="15.75" customHeight="1" s="216">
      <c r="D328" s="109" t="n"/>
      <c r="E328" s="109" t="n"/>
      <c r="J328" s="109" t="n"/>
      <c r="K328" s="109" t="n"/>
      <c r="L328" s="109" t="n"/>
      <c r="N328" s="109" t="n"/>
      <c r="O328" s="109" t="n"/>
      <c r="P328" s="109" t="n"/>
      <c r="T328" s="109" t="n"/>
      <c r="U328" s="109" t="n"/>
      <c r="V328" s="109" t="n"/>
      <c r="Z328" s="109" t="n"/>
      <c r="AA328" s="109" t="n"/>
      <c r="AB328" s="109" t="n"/>
      <c r="AF328" s="109" t="n"/>
      <c r="AG328" s="109" t="n"/>
      <c r="AH328" s="109" t="n"/>
      <c r="AL328" s="109" t="n"/>
      <c r="AM328" s="109" t="n"/>
      <c r="AN328" s="109" t="n"/>
    </row>
    <row r="329" ht="15.75" customHeight="1" s="216">
      <c r="D329" s="109" t="n"/>
      <c r="E329" s="109" t="n"/>
      <c r="J329" s="109" t="n"/>
      <c r="K329" s="109" t="n"/>
      <c r="L329" s="109" t="n"/>
      <c r="N329" s="109" t="n"/>
      <c r="O329" s="109" t="n"/>
      <c r="P329" s="109" t="n"/>
      <c r="T329" s="109" t="n"/>
      <c r="U329" s="109" t="n"/>
      <c r="V329" s="109" t="n"/>
      <c r="Z329" s="109" t="n"/>
      <c r="AA329" s="109" t="n"/>
      <c r="AB329" s="109" t="n"/>
      <c r="AF329" s="109" t="n"/>
      <c r="AG329" s="109" t="n"/>
      <c r="AH329" s="109" t="n"/>
      <c r="AL329" s="109" t="n"/>
      <c r="AM329" s="109" t="n"/>
      <c r="AN329" s="109" t="n"/>
    </row>
    <row r="330" ht="15.75" customHeight="1" s="216">
      <c r="D330" s="109" t="n"/>
      <c r="E330" s="109" t="n"/>
      <c r="J330" s="109" t="n"/>
      <c r="K330" s="109" t="n"/>
      <c r="L330" s="109" t="n"/>
      <c r="N330" s="109" t="n"/>
      <c r="O330" s="109" t="n"/>
      <c r="P330" s="109" t="n"/>
      <c r="T330" s="109" t="n"/>
      <c r="U330" s="109" t="n"/>
      <c r="V330" s="109" t="n"/>
      <c r="Z330" s="109" t="n"/>
      <c r="AA330" s="109" t="n"/>
      <c r="AB330" s="109" t="n"/>
      <c r="AF330" s="109" t="n"/>
      <c r="AG330" s="109" t="n"/>
      <c r="AH330" s="109" t="n"/>
      <c r="AL330" s="109" t="n"/>
      <c r="AM330" s="109" t="n"/>
      <c r="AN330" s="109" t="n"/>
    </row>
    <row r="331" ht="15.75" customHeight="1" s="216">
      <c r="D331" s="109" t="n"/>
      <c r="E331" s="109" t="n"/>
      <c r="J331" s="109" t="n"/>
      <c r="K331" s="109" t="n"/>
      <c r="L331" s="109" t="n"/>
      <c r="N331" s="109" t="n"/>
      <c r="O331" s="109" t="n"/>
      <c r="P331" s="109" t="n"/>
      <c r="T331" s="109" t="n"/>
      <c r="U331" s="109" t="n"/>
      <c r="V331" s="109" t="n"/>
      <c r="Z331" s="109" t="n"/>
      <c r="AA331" s="109" t="n"/>
      <c r="AB331" s="109" t="n"/>
      <c r="AF331" s="109" t="n"/>
      <c r="AG331" s="109" t="n"/>
      <c r="AH331" s="109" t="n"/>
      <c r="AL331" s="109" t="n"/>
      <c r="AM331" s="109" t="n"/>
      <c r="AN331" s="109" t="n"/>
    </row>
    <row r="332" ht="15.75" customHeight="1" s="216">
      <c r="D332" s="109" t="n"/>
      <c r="E332" s="109" t="n"/>
      <c r="J332" s="109" t="n"/>
      <c r="K332" s="109" t="n"/>
      <c r="L332" s="109" t="n"/>
      <c r="N332" s="109" t="n"/>
      <c r="O332" s="109" t="n"/>
      <c r="P332" s="109" t="n"/>
      <c r="T332" s="109" t="n"/>
      <c r="U332" s="109" t="n"/>
      <c r="V332" s="109" t="n"/>
      <c r="Z332" s="109" t="n"/>
      <c r="AA332" s="109" t="n"/>
      <c r="AB332" s="109" t="n"/>
      <c r="AF332" s="109" t="n"/>
      <c r="AG332" s="109" t="n"/>
      <c r="AH332" s="109" t="n"/>
      <c r="AL332" s="109" t="n"/>
      <c r="AM332" s="109" t="n"/>
      <c r="AN332" s="109" t="n"/>
    </row>
    <row r="333" ht="15.75" customHeight="1" s="216">
      <c r="D333" s="109" t="n"/>
      <c r="E333" s="109" t="n"/>
      <c r="J333" s="109" t="n"/>
      <c r="K333" s="109" t="n"/>
      <c r="L333" s="109" t="n"/>
      <c r="N333" s="109" t="n"/>
      <c r="O333" s="109" t="n"/>
      <c r="P333" s="109" t="n"/>
      <c r="T333" s="109" t="n"/>
      <c r="U333" s="109" t="n"/>
      <c r="V333" s="109" t="n"/>
      <c r="Z333" s="109" t="n"/>
      <c r="AA333" s="109" t="n"/>
      <c r="AB333" s="109" t="n"/>
      <c r="AF333" s="109" t="n"/>
      <c r="AG333" s="109" t="n"/>
      <c r="AH333" s="109" t="n"/>
      <c r="AL333" s="109" t="n"/>
      <c r="AM333" s="109" t="n"/>
      <c r="AN333" s="109" t="n"/>
    </row>
    <row r="334" ht="15.75" customHeight="1" s="216">
      <c r="D334" s="109" t="n"/>
      <c r="E334" s="109" t="n"/>
      <c r="J334" s="109" t="n"/>
      <c r="K334" s="109" t="n"/>
      <c r="L334" s="109" t="n"/>
      <c r="N334" s="109" t="n"/>
      <c r="O334" s="109" t="n"/>
      <c r="P334" s="109" t="n"/>
      <c r="T334" s="109" t="n"/>
      <c r="U334" s="109" t="n"/>
      <c r="V334" s="109" t="n"/>
      <c r="Z334" s="109" t="n"/>
      <c r="AA334" s="109" t="n"/>
      <c r="AB334" s="109" t="n"/>
      <c r="AF334" s="109" t="n"/>
      <c r="AG334" s="109" t="n"/>
      <c r="AH334" s="109" t="n"/>
      <c r="AL334" s="109" t="n"/>
      <c r="AM334" s="109" t="n"/>
      <c r="AN334" s="109" t="n"/>
    </row>
    <row r="335" ht="15.75" customHeight="1" s="216">
      <c r="D335" s="109" t="n"/>
      <c r="E335" s="109" t="n"/>
      <c r="J335" s="109" t="n"/>
      <c r="K335" s="109" t="n"/>
      <c r="L335" s="109" t="n"/>
      <c r="N335" s="109" t="n"/>
      <c r="O335" s="109" t="n"/>
      <c r="P335" s="109" t="n"/>
      <c r="T335" s="109" t="n"/>
      <c r="U335" s="109" t="n"/>
      <c r="V335" s="109" t="n"/>
      <c r="Z335" s="109" t="n"/>
      <c r="AA335" s="109" t="n"/>
      <c r="AB335" s="109" t="n"/>
      <c r="AF335" s="109" t="n"/>
      <c r="AG335" s="109" t="n"/>
      <c r="AH335" s="109" t="n"/>
      <c r="AL335" s="109" t="n"/>
      <c r="AM335" s="109" t="n"/>
      <c r="AN335" s="109" t="n"/>
    </row>
    <row r="336" ht="15.75" customHeight="1" s="216">
      <c r="D336" s="109" t="n"/>
      <c r="E336" s="109" t="n"/>
      <c r="J336" s="109" t="n"/>
      <c r="K336" s="109" t="n"/>
      <c r="L336" s="109" t="n"/>
      <c r="N336" s="109" t="n"/>
      <c r="O336" s="109" t="n"/>
      <c r="P336" s="109" t="n"/>
      <c r="T336" s="109" t="n"/>
      <c r="U336" s="109" t="n"/>
      <c r="V336" s="109" t="n"/>
      <c r="Z336" s="109" t="n"/>
      <c r="AA336" s="109" t="n"/>
      <c r="AB336" s="109" t="n"/>
      <c r="AF336" s="109" t="n"/>
      <c r="AG336" s="109" t="n"/>
      <c r="AH336" s="109" t="n"/>
      <c r="AL336" s="109" t="n"/>
      <c r="AM336" s="109" t="n"/>
      <c r="AN336" s="109" t="n"/>
    </row>
    <row r="337" ht="15.75" customHeight="1" s="216">
      <c r="D337" s="109" t="n"/>
      <c r="E337" s="109" t="n"/>
      <c r="J337" s="109" t="n"/>
      <c r="K337" s="109" t="n"/>
      <c r="L337" s="109" t="n"/>
      <c r="N337" s="109" t="n"/>
      <c r="O337" s="109" t="n"/>
      <c r="P337" s="109" t="n"/>
      <c r="T337" s="109" t="n"/>
      <c r="U337" s="109" t="n"/>
      <c r="V337" s="109" t="n"/>
      <c r="Z337" s="109" t="n"/>
      <c r="AA337" s="109" t="n"/>
      <c r="AB337" s="109" t="n"/>
      <c r="AF337" s="109" t="n"/>
      <c r="AG337" s="109" t="n"/>
      <c r="AH337" s="109" t="n"/>
      <c r="AL337" s="109" t="n"/>
      <c r="AM337" s="109" t="n"/>
      <c r="AN337" s="109" t="n"/>
    </row>
    <row r="338" ht="15.75" customHeight="1" s="216">
      <c r="D338" s="109" t="n"/>
      <c r="E338" s="109" t="n"/>
      <c r="J338" s="109" t="n"/>
      <c r="K338" s="109" t="n"/>
      <c r="L338" s="109" t="n"/>
      <c r="N338" s="109" t="n"/>
      <c r="O338" s="109" t="n"/>
      <c r="P338" s="109" t="n"/>
      <c r="T338" s="109" t="n"/>
      <c r="U338" s="109" t="n"/>
      <c r="V338" s="109" t="n"/>
      <c r="Z338" s="109" t="n"/>
      <c r="AA338" s="109" t="n"/>
      <c r="AB338" s="109" t="n"/>
      <c r="AF338" s="109" t="n"/>
      <c r="AG338" s="109" t="n"/>
      <c r="AH338" s="109" t="n"/>
      <c r="AL338" s="109" t="n"/>
      <c r="AM338" s="109" t="n"/>
      <c r="AN338" s="109" t="n"/>
    </row>
    <row r="339" ht="15.75" customHeight="1" s="216">
      <c r="D339" s="109" t="n"/>
      <c r="E339" s="109" t="n"/>
      <c r="J339" s="109" t="n"/>
      <c r="K339" s="109" t="n"/>
      <c r="L339" s="109" t="n"/>
      <c r="N339" s="109" t="n"/>
      <c r="O339" s="109" t="n"/>
      <c r="P339" s="109" t="n"/>
      <c r="T339" s="109" t="n"/>
      <c r="U339" s="109" t="n"/>
      <c r="V339" s="109" t="n"/>
      <c r="Z339" s="109" t="n"/>
      <c r="AA339" s="109" t="n"/>
      <c r="AB339" s="109" t="n"/>
      <c r="AF339" s="109" t="n"/>
      <c r="AG339" s="109" t="n"/>
      <c r="AH339" s="109" t="n"/>
      <c r="AL339" s="109" t="n"/>
      <c r="AM339" s="109" t="n"/>
      <c r="AN339" s="109" t="n"/>
    </row>
    <row r="340" ht="15.75" customHeight="1" s="216">
      <c r="D340" s="109" t="n"/>
      <c r="E340" s="109" t="n"/>
      <c r="J340" s="109" t="n"/>
      <c r="K340" s="109" t="n"/>
      <c r="L340" s="109" t="n"/>
      <c r="N340" s="109" t="n"/>
      <c r="O340" s="109" t="n"/>
      <c r="P340" s="109" t="n"/>
      <c r="T340" s="109" t="n"/>
      <c r="U340" s="109" t="n"/>
      <c r="V340" s="109" t="n"/>
      <c r="Z340" s="109" t="n"/>
      <c r="AA340" s="109" t="n"/>
      <c r="AB340" s="109" t="n"/>
      <c r="AF340" s="109" t="n"/>
      <c r="AG340" s="109" t="n"/>
      <c r="AH340" s="109" t="n"/>
      <c r="AL340" s="109" t="n"/>
      <c r="AM340" s="109" t="n"/>
      <c r="AN340" s="109" t="n"/>
    </row>
    <row r="341" ht="15.75" customHeight="1" s="216">
      <c r="D341" s="109" t="n"/>
      <c r="E341" s="109" t="n"/>
      <c r="J341" s="109" t="n"/>
      <c r="K341" s="109" t="n"/>
      <c r="L341" s="109" t="n"/>
      <c r="N341" s="109" t="n"/>
      <c r="O341" s="109" t="n"/>
      <c r="P341" s="109" t="n"/>
      <c r="T341" s="109" t="n"/>
      <c r="U341" s="109" t="n"/>
      <c r="V341" s="109" t="n"/>
      <c r="Z341" s="109" t="n"/>
      <c r="AA341" s="109" t="n"/>
      <c r="AB341" s="109" t="n"/>
      <c r="AF341" s="109" t="n"/>
      <c r="AG341" s="109" t="n"/>
      <c r="AH341" s="109" t="n"/>
      <c r="AL341" s="109" t="n"/>
      <c r="AM341" s="109" t="n"/>
      <c r="AN341" s="109" t="n"/>
    </row>
    <row r="342" ht="15.75" customHeight="1" s="216">
      <c r="D342" s="109" t="n"/>
      <c r="E342" s="109" t="n"/>
      <c r="J342" s="109" t="n"/>
      <c r="K342" s="109" t="n"/>
      <c r="L342" s="109" t="n"/>
      <c r="N342" s="109" t="n"/>
      <c r="O342" s="109" t="n"/>
      <c r="P342" s="109" t="n"/>
      <c r="T342" s="109" t="n"/>
      <c r="U342" s="109" t="n"/>
      <c r="V342" s="109" t="n"/>
      <c r="Z342" s="109" t="n"/>
      <c r="AA342" s="109" t="n"/>
      <c r="AB342" s="109" t="n"/>
      <c r="AF342" s="109" t="n"/>
      <c r="AG342" s="109" t="n"/>
      <c r="AH342" s="109" t="n"/>
      <c r="AL342" s="109" t="n"/>
      <c r="AM342" s="109" t="n"/>
      <c r="AN342" s="109" t="n"/>
    </row>
    <row r="343" ht="15.75" customHeight="1" s="216">
      <c r="D343" s="109" t="n"/>
      <c r="E343" s="109" t="n"/>
      <c r="J343" s="109" t="n"/>
      <c r="K343" s="109" t="n"/>
      <c r="L343" s="109" t="n"/>
      <c r="N343" s="109" t="n"/>
      <c r="O343" s="109" t="n"/>
      <c r="P343" s="109" t="n"/>
      <c r="T343" s="109" t="n"/>
      <c r="U343" s="109" t="n"/>
      <c r="V343" s="109" t="n"/>
      <c r="Z343" s="109" t="n"/>
      <c r="AA343" s="109" t="n"/>
      <c r="AB343" s="109" t="n"/>
      <c r="AF343" s="109" t="n"/>
      <c r="AG343" s="109" t="n"/>
      <c r="AH343" s="109" t="n"/>
      <c r="AL343" s="109" t="n"/>
      <c r="AM343" s="109" t="n"/>
      <c r="AN343" s="109" t="n"/>
    </row>
    <row r="344" ht="15.75" customHeight="1" s="216">
      <c r="D344" s="109" t="n"/>
      <c r="E344" s="109" t="n"/>
      <c r="J344" s="109" t="n"/>
      <c r="K344" s="109" t="n"/>
      <c r="L344" s="109" t="n"/>
      <c r="N344" s="109" t="n"/>
      <c r="O344" s="109" t="n"/>
      <c r="P344" s="109" t="n"/>
      <c r="T344" s="109" t="n"/>
      <c r="U344" s="109" t="n"/>
      <c r="V344" s="109" t="n"/>
      <c r="Z344" s="109" t="n"/>
      <c r="AA344" s="109" t="n"/>
      <c r="AB344" s="109" t="n"/>
      <c r="AF344" s="109" t="n"/>
      <c r="AG344" s="109" t="n"/>
      <c r="AH344" s="109" t="n"/>
      <c r="AL344" s="109" t="n"/>
      <c r="AM344" s="109" t="n"/>
      <c r="AN344" s="109" t="n"/>
    </row>
    <row r="345" ht="15.75" customHeight="1" s="216">
      <c r="D345" s="109" t="n"/>
      <c r="E345" s="109" t="n"/>
      <c r="J345" s="109" t="n"/>
      <c r="K345" s="109" t="n"/>
      <c r="L345" s="109" t="n"/>
      <c r="N345" s="109" t="n"/>
      <c r="O345" s="109" t="n"/>
      <c r="P345" s="109" t="n"/>
      <c r="T345" s="109" t="n"/>
      <c r="U345" s="109" t="n"/>
      <c r="V345" s="109" t="n"/>
      <c r="Z345" s="109" t="n"/>
      <c r="AA345" s="109" t="n"/>
      <c r="AB345" s="109" t="n"/>
      <c r="AF345" s="109" t="n"/>
      <c r="AG345" s="109" t="n"/>
      <c r="AH345" s="109" t="n"/>
      <c r="AL345" s="109" t="n"/>
      <c r="AM345" s="109" t="n"/>
      <c r="AN345" s="109" t="n"/>
    </row>
    <row r="346" ht="15.75" customHeight="1" s="216">
      <c r="D346" s="109" t="n"/>
      <c r="E346" s="109" t="n"/>
      <c r="J346" s="109" t="n"/>
      <c r="K346" s="109" t="n"/>
      <c r="L346" s="109" t="n"/>
      <c r="N346" s="109" t="n"/>
      <c r="O346" s="109" t="n"/>
      <c r="P346" s="109" t="n"/>
      <c r="T346" s="109" t="n"/>
      <c r="U346" s="109" t="n"/>
      <c r="V346" s="109" t="n"/>
      <c r="Z346" s="109" t="n"/>
      <c r="AA346" s="109" t="n"/>
      <c r="AB346" s="109" t="n"/>
      <c r="AF346" s="109" t="n"/>
      <c r="AG346" s="109" t="n"/>
      <c r="AH346" s="109" t="n"/>
      <c r="AL346" s="109" t="n"/>
      <c r="AM346" s="109" t="n"/>
      <c r="AN346" s="109" t="n"/>
    </row>
    <row r="347" ht="15.75" customHeight="1" s="216">
      <c r="D347" s="109" t="n"/>
      <c r="E347" s="109" t="n"/>
      <c r="J347" s="109" t="n"/>
      <c r="K347" s="109" t="n"/>
      <c r="L347" s="109" t="n"/>
      <c r="N347" s="109" t="n"/>
      <c r="O347" s="109" t="n"/>
      <c r="P347" s="109" t="n"/>
      <c r="T347" s="109" t="n"/>
      <c r="U347" s="109" t="n"/>
      <c r="V347" s="109" t="n"/>
      <c r="Z347" s="109" t="n"/>
      <c r="AA347" s="109" t="n"/>
      <c r="AB347" s="109" t="n"/>
      <c r="AF347" s="109" t="n"/>
      <c r="AG347" s="109" t="n"/>
      <c r="AH347" s="109" t="n"/>
      <c r="AL347" s="109" t="n"/>
      <c r="AM347" s="109" t="n"/>
      <c r="AN347" s="109" t="n"/>
    </row>
    <row r="348" ht="15.75" customHeight="1" s="216">
      <c r="D348" s="109" t="n"/>
      <c r="E348" s="109" t="n"/>
      <c r="J348" s="109" t="n"/>
      <c r="K348" s="109" t="n"/>
      <c r="L348" s="109" t="n"/>
      <c r="N348" s="109" t="n"/>
      <c r="O348" s="109" t="n"/>
      <c r="P348" s="109" t="n"/>
      <c r="T348" s="109" t="n"/>
      <c r="U348" s="109" t="n"/>
      <c r="V348" s="109" t="n"/>
      <c r="Z348" s="109" t="n"/>
      <c r="AA348" s="109" t="n"/>
      <c r="AB348" s="109" t="n"/>
      <c r="AF348" s="109" t="n"/>
      <c r="AG348" s="109" t="n"/>
      <c r="AH348" s="109" t="n"/>
      <c r="AL348" s="109" t="n"/>
      <c r="AM348" s="109" t="n"/>
      <c r="AN348" s="109" t="n"/>
    </row>
    <row r="349" ht="15.75" customHeight="1" s="216">
      <c r="D349" s="109" t="n"/>
      <c r="E349" s="109" t="n"/>
      <c r="J349" s="109" t="n"/>
      <c r="K349" s="109" t="n"/>
      <c r="L349" s="109" t="n"/>
      <c r="N349" s="109" t="n"/>
      <c r="O349" s="109" t="n"/>
      <c r="P349" s="109" t="n"/>
      <c r="T349" s="109" t="n"/>
      <c r="U349" s="109" t="n"/>
      <c r="V349" s="109" t="n"/>
      <c r="Z349" s="109" t="n"/>
      <c r="AA349" s="109" t="n"/>
      <c r="AB349" s="109" t="n"/>
      <c r="AF349" s="109" t="n"/>
      <c r="AG349" s="109" t="n"/>
      <c r="AH349" s="109" t="n"/>
      <c r="AL349" s="109" t="n"/>
      <c r="AM349" s="109" t="n"/>
      <c r="AN349" s="109" t="n"/>
    </row>
    <row r="350" ht="15.75" customHeight="1" s="216">
      <c r="D350" s="109" t="n"/>
      <c r="E350" s="109" t="n"/>
      <c r="J350" s="109" t="n"/>
      <c r="K350" s="109" t="n"/>
      <c r="L350" s="109" t="n"/>
      <c r="N350" s="109" t="n"/>
      <c r="O350" s="109" t="n"/>
      <c r="P350" s="109" t="n"/>
      <c r="T350" s="109" t="n"/>
      <c r="U350" s="109" t="n"/>
      <c r="V350" s="109" t="n"/>
      <c r="Z350" s="109" t="n"/>
      <c r="AA350" s="109" t="n"/>
      <c r="AB350" s="109" t="n"/>
      <c r="AF350" s="109" t="n"/>
      <c r="AG350" s="109" t="n"/>
      <c r="AH350" s="109" t="n"/>
      <c r="AL350" s="109" t="n"/>
      <c r="AM350" s="109" t="n"/>
      <c r="AN350" s="109" t="n"/>
    </row>
    <row r="351" ht="15.75" customHeight="1" s="216">
      <c r="D351" s="109" t="n"/>
      <c r="E351" s="109" t="n"/>
      <c r="J351" s="109" t="n"/>
      <c r="K351" s="109" t="n"/>
      <c r="L351" s="109" t="n"/>
      <c r="N351" s="109" t="n"/>
      <c r="O351" s="109" t="n"/>
      <c r="P351" s="109" t="n"/>
      <c r="T351" s="109" t="n"/>
      <c r="U351" s="109" t="n"/>
      <c r="V351" s="109" t="n"/>
      <c r="Z351" s="109" t="n"/>
      <c r="AA351" s="109" t="n"/>
      <c r="AB351" s="109" t="n"/>
      <c r="AF351" s="109" t="n"/>
      <c r="AG351" s="109" t="n"/>
      <c r="AH351" s="109" t="n"/>
      <c r="AL351" s="109" t="n"/>
      <c r="AM351" s="109" t="n"/>
      <c r="AN351" s="109" t="n"/>
    </row>
    <row r="352" ht="15.75" customHeight="1" s="216">
      <c r="D352" s="109" t="n"/>
      <c r="E352" s="109" t="n"/>
      <c r="J352" s="109" t="n"/>
      <c r="K352" s="109" t="n"/>
      <c r="L352" s="109" t="n"/>
      <c r="N352" s="109" t="n"/>
      <c r="O352" s="109" t="n"/>
      <c r="P352" s="109" t="n"/>
      <c r="T352" s="109" t="n"/>
      <c r="U352" s="109" t="n"/>
      <c r="V352" s="109" t="n"/>
      <c r="Z352" s="109" t="n"/>
      <c r="AA352" s="109" t="n"/>
      <c r="AB352" s="109" t="n"/>
      <c r="AF352" s="109" t="n"/>
      <c r="AG352" s="109" t="n"/>
      <c r="AH352" s="109" t="n"/>
      <c r="AL352" s="109" t="n"/>
      <c r="AM352" s="109" t="n"/>
      <c r="AN352" s="109" t="n"/>
    </row>
    <row r="353" ht="15.75" customHeight="1" s="216">
      <c r="D353" s="109" t="n"/>
      <c r="E353" s="109" t="n"/>
      <c r="J353" s="109" t="n"/>
      <c r="K353" s="109" t="n"/>
      <c r="L353" s="109" t="n"/>
      <c r="N353" s="109" t="n"/>
      <c r="O353" s="109" t="n"/>
      <c r="P353" s="109" t="n"/>
      <c r="T353" s="109" t="n"/>
      <c r="U353" s="109" t="n"/>
      <c r="V353" s="109" t="n"/>
      <c r="Z353" s="109" t="n"/>
      <c r="AA353" s="109" t="n"/>
      <c r="AB353" s="109" t="n"/>
      <c r="AF353" s="109" t="n"/>
      <c r="AG353" s="109" t="n"/>
      <c r="AH353" s="109" t="n"/>
      <c r="AL353" s="109" t="n"/>
      <c r="AM353" s="109" t="n"/>
      <c r="AN353" s="109" t="n"/>
    </row>
    <row r="354" ht="15.75" customHeight="1" s="216">
      <c r="D354" s="109" t="n"/>
      <c r="E354" s="109" t="n"/>
      <c r="J354" s="109" t="n"/>
      <c r="K354" s="109" t="n"/>
      <c r="L354" s="109" t="n"/>
      <c r="N354" s="109" t="n"/>
      <c r="O354" s="109" t="n"/>
      <c r="P354" s="109" t="n"/>
      <c r="T354" s="109" t="n"/>
      <c r="U354" s="109" t="n"/>
      <c r="V354" s="109" t="n"/>
      <c r="Z354" s="109" t="n"/>
      <c r="AA354" s="109" t="n"/>
      <c r="AB354" s="109" t="n"/>
      <c r="AF354" s="109" t="n"/>
      <c r="AG354" s="109" t="n"/>
      <c r="AH354" s="109" t="n"/>
      <c r="AL354" s="109" t="n"/>
      <c r="AM354" s="109" t="n"/>
      <c r="AN354" s="109" t="n"/>
    </row>
    <row r="355" ht="15.75" customHeight="1" s="216">
      <c r="D355" s="109" t="n"/>
      <c r="E355" s="109" t="n"/>
      <c r="J355" s="109" t="n"/>
      <c r="K355" s="109" t="n"/>
      <c r="L355" s="109" t="n"/>
      <c r="N355" s="109" t="n"/>
      <c r="O355" s="109" t="n"/>
      <c r="P355" s="109" t="n"/>
      <c r="T355" s="109" t="n"/>
      <c r="U355" s="109" t="n"/>
      <c r="V355" s="109" t="n"/>
      <c r="Z355" s="109" t="n"/>
      <c r="AA355" s="109" t="n"/>
      <c r="AB355" s="109" t="n"/>
      <c r="AF355" s="109" t="n"/>
      <c r="AG355" s="109" t="n"/>
      <c r="AH355" s="109" t="n"/>
      <c r="AL355" s="109" t="n"/>
      <c r="AM355" s="109" t="n"/>
      <c r="AN355" s="109" t="n"/>
    </row>
    <row r="356" ht="15.75" customHeight="1" s="216">
      <c r="D356" s="109" t="n"/>
      <c r="E356" s="109" t="n"/>
      <c r="J356" s="109" t="n"/>
      <c r="K356" s="109" t="n"/>
      <c r="L356" s="109" t="n"/>
      <c r="N356" s="109" t="n"/>
      <c r="O356" s="109" t="n"/>
      <c r="P356" s="109" t="n"/>
      <c r="T356" s="109" t="n"/>
      <c r="U356" s="109" t="n"/>
      <c r="V356" s="109" t="n"/>
      <c r="Z356" s="109" t="n"/>
      <c r="AA356" s="109" t="n"/>
      <c r="AB356" s="109" t="n"/>
      <c r="AF356" s="109" t="n"/>
      <c r="AG356" s="109" t="n"/>
      <c r="AH356" s="109" t="n"/>
      <c r="AL356" s="109" t="n"/>
      <c r="AM356" s="109" t="n"/>
      <c r="AN356" s="109" t="n"/>
    </row>
    <row r="357" ht="15.75" customHeight="1" s="216">
      <c r="D357" s="109" t="n"/>
      <c r="E357" s="109" t="n"/>
      <c r="J357" s="109" t="n"/>
      <c r="K357" s="109" t="n"/>
      <c r="L357" s="109" t="n"/>
      <c r="N357" s="109" t="n"/>
      <c r="O357" s="109" t="n"/>
      <c r="P357" s="109" t="n"/>
      <c r="T357" s="109" t="n"/>
      <c r="U357" s="109" t="n"/>
      <c r="V357" s="109" t="n"/>
      <c r="Z357" s="109" t="n"/>
      <c r="AA357" s="109" t="n"/>
      <c r="AB357" s="109" t="n"/>
      <c r="AF357" s="109" t="n"/>
      <c r="AG357" s="109" t="n"/>
      <c r="AH357" s="109" t="n"/>
      <c r="AL357" s="109" t="n"/>
      <c r="AM357" s="109" t="n"/>
      <c r="AN357" s="109" t="n"/>
    </row>
    <row r="358" ht="15.75" customHeight="1" s="216">
      <c r="D358" s="109" t="n"/>
      <c r="E358" s="109" t="n"/>
      <c r="J358" s="109" t="n"/>
      <c r="K358" s="109" t="n"/>
      <c r="L358" s="109" t="n"/>
      <c r="N358" s="109" t="n"/>
      <c r="O358" s="109" t="n"/>
      <c r="P358" s="109" t="n"/>
      <c r="T358" s="109" t="n"/>
      <c r="U358" s="109" t="n"/>
      <c r="V358" s="109" t="n"/>
      <c r="Z358" s="109" t="n"/>
      <c r="AA358" s="109" t="n"/>
      <c r="AB358" s="109" t="n"/>
      <c r="AF358" s="109" t="n"/>
      <c r="AG358" s="109" t="n"/>
      <c r="AH358" s="109" t="n"/>
      <c r="AL358" s="109" t="n"/>
      <c r="AM358" s="109" t="n"/>
      <c r="AN358" s="109" t="n"/>
    </row>
    <row r="359" ht="15.75" customHeight="1" s="216">
      <c r="D359" s="109" t="n"/>
      <c r="E359" s="109" t="n"/>
      <c r="J359" s="109" t="n"/>
      <c r="K359" s="109" t="n"/>
      <c r="L359" s="109" t="n"/>
      <c r="N359" s="109" t="n"/>
      <c r="O359" s="109" t="n"/>
      <c r="P359" s="109" t="n"/>
      <c r="T359" s="109" t="n"/>
      <c r="U359" s="109" t="n"/>
      <c r="V359" s="109" t="n"/>
      <c r="Z359" s="109" t="n"/>
      <c r="AA359" s="109" t="n"/>
      <c r="AB359" s="109" t="n"/>
      <c r="AF359" s="109" t="n"/>
      <c r="AG359" s="109" t="n"/>
      <c r="AH359" s="109" t="n"/>
      <c r="AL359" s="109" t="n"/>
      <c r="AM359" s="109" t="n"/>
      <c r="AN359" s="109" t="n"/>
    </row>
    <row r="360" ht="15.75" customHeight="1" s="216">
      <c r="D360" s="109" t="n"/>
      <c r="E360" s="109" t="n"/>
      <c r="J360" s="109" t="n"/>
      <c r="K360" s="109" t="n"/>
      <c r="L360" s="109" t="n"/>
      <c r="N360" s="109" t="n"/>
      <c r="O360" s="109" t="n"/>
      <c r="P360" s="109" t="n"/>
      <c r="T360" s="109" t="n"/>
      <c r="U360" s="109" t="n"/>
      <c r="V360" s="109" t="n"/>
      <c r="Z360" s="109" t="n"/>
      <c r="AA360" s="109" t="n"/>
      <c r="AB360" s="109" t="n"/>
      <c r="AF360" s="109" t="n"/>
      <c r="AG360" s="109" t="n"/>
      <c r="AH360" s="109" t="n"/>
      <c r="AL360" s="109" t="n"/>
      <c r="AM360" s="109" t="n"/>
      <c r="AN360" s="109" t="n"/>
    </row>
    <row r="361" ht="15.75" customHeight="1" s="216">
      <c r="D361" s="109" t="n"/>
      <c r="E361" s="109" t="n"/>
      <c r="J361" s="109" t="n"/>
      <c r="K361" s="109" t="n"/>
      <c r="L361" s="109" t="n"/>
      <c r="N361" s="109" t="n"/>
      <c r="O361" s="109" t="n"/>
      <c r="P361" s="109" t="n"/>
      <c r="T361" s="109" t="n"/>
      <c r="U361" s="109" t="n"/>
      <c r="V361" s="109" t="n"/>
      <c r="Z361" s="109" t="n"/>
      <c r="AA361" s="109" t="n"/>
      <c r="AB361" s="109" t="n"/>
      <c r="AF361" s="109" t="n"/>
      <c r="AG361" s="109" t="n"/>
      <c r="AH361" s="109" t="n"/>
      <c r="AL361" s="109" t="n"/>
      <c r="AM361" s="109" t="n"/>
      <c r="AN361" s="109" t="n"/>
    </row>
    <row r="362" ht="15.75" customHeight="1" s="216">
      <c r="D362" s="109" t="n"/>
      <c r="E362" s="109" t="n"/>
      <c r="J362" s="109" t="n"/>
      <c r="K362" s="109" t="n"/>
      <c r="L362" s="109" t="n"/>
      <c r="N362" s="109" t="n"/>
      <c r="O362" s="109" t="n"/>
      <c r="P362" s="109" t="n"/>
      <c r="T362" s="109" t="n"/>
      <c r="U362" s="109" t="n"/>
      <c r="V362" s="109" t="n"/>
      <c r="Z362" s="109" t="n"/>
      <c r="AA362" s="109" t="n"/>
      <c r="AB362" s="109" t="n"/>
      <c r="AF362" s="109" t="n"/>
      <c r="AG362" s="109" t="n"/>
      <c r="AH362" s="109" t="n"/>
      <c r="AL362" s="109" t="n"/>
      <c r="AM362" s="109" t="n"/>
      <c r="AN362" s="109" t="n"/>
    </row>
    <row r="363" ht="15.75" customHeight="1" s="216">
      <c r="D363" s="109" t="n"/>
      <c r="E363" s="109" t="n"/>
      <c r="J363" s="109" t="n"/>
      <c r="K363" s="109" t="n"/>
      <c r="L363" s="109" t="n"/>
      <c r="N363" s="109" t="n"/>
      <c r="O363" s="109" t="n"/>
      <c r="P363" s="109" t="n"/>
      <c r="T363" s="109" t="n"/>
      <c r="U363" s="109" t="n"/>
      <c r="V363" s="109" t="n"/>
      <c r="Z363" s="109" t="n"/>
      <c r="AA363" s="109" t="n"/>
      <c r="AB363" s="109" t="n"/>
      <c r="AF363" s="109" t="n"/>
      <c r="AG363" s="109" t="n"/>
      <c r="AH363" s="109" t="n"/>
      <c r="AL363" s="109" t="n"/>
      <c r="AM363" s="109" t="n"/>
      <c r="AN363" s="109" t="n"/>
    </row>
    <row r="364" ht="15.75" customHeight="1" s="216">
      <c r="D364" s="109" t="n"/>
      <c r="E364" s="109" t="n"/>
      <c r="J364" s="109" t="n"/>
      <c r="K364" s="109" t="n"/>
      <c r="L364" s="109" t="n"/>
      <c r="N364" s="109" t="n"/>
      <c r="O364" s="109" t="n"/>
      <c r="P364" s="109" t="n"/>
      <c r="T364" s="109" t="n"/>
      <c r="U364" s="109" t="n"/>
      <c r="V364" s="109" t="n"/>
      <c r="Z364" s="109" t="n"/>
      <c r="AA364" s="109" t="n"/>
      <c r="AB364" s="109" t="n"/>
      <c r="AF364" s="109" t="n"/>
      <c r="AG364" s="109" t="n"/>
      <c r="AH364" s="109" t="n"/>
      <c r="AL364" s="109" t="n"/>
      <c r="AM364" s="109" t="n"/>
      <c r="AN364" s="109" t="n"/>
    </row>
    <row r="365" ht="15.75" customHeight="1" s="216">
      <c r="D365" s="109" t="n"/>
      <c r="E365" s="109" t="n"/>
      <c r="J365" s="109" t="n"/>
      <c r="K365" s="109" t="n"/>
      <c r="L365" s="109" t="n"/>
      <c r="N365" s="109" t="n"/>
      <c r="O365" s="109" t="n"/>
      <c r="P365" s="109" t="n"/>
      <c r="T365" s="109" t="n"/>
      <c r="U365" s="109" t="n"/>
      <c r="V365" s="109" t="n"/>
      <c r="Z365" s="109" t="n"/>
      <c r="AA365" s="109" t="n"/>
      <c r="AB365" s="109" t="n"/>
      <c r="AF365" s="109" t="n"/>
      <c r="AG365" s="109" t="n"/>
      <c r="AH365" s="109" t="n"/>
      <c r="AL365" s="109" t="n"/>
      <c r="AM365" s="109" t="n"/>
      <c r="AN365" s="109" t="n"/>
    </row>
    <row r="366" ht="15.75" customHeight="1" s="216">
      <c r="D366" s="109" t="n"/>
      <c r="E366" s="109" t="n"/>
      <c r="J366" s="109" t="n"/>
      <c r="K366" s="109" t="n"/>
      <c r="L366" s="109" t="n"/>
      <c r="N366" s="109" t="n"/>
      <c r="O366" s="109" t="n"/>
      <c r="P366" s="109" t="n"/>
      <c r="T366" s="109" t="n"/>
      <c r="U366" s="109" t="n"/>
      <c r="V366" s="109" t="n"/>
      <c r="Z366" s="109" t="n"/>
      <c r="AA366" s="109" t="n"/>
      <c r="AB366" s="109" t="n"/>
      <c r="AF366" s="109" t="n"/>
      <c r="AG366" s="109" t="n"/>
      <c r="AH366" s="109" t="n"/>
      <c r="AL366" s="109" t="n"/>
      <c r="AM366" s="109" t="n"/>
      <c r="AN366" s="109" t="n"/>
    </row>
    <row r="367" ht="15.75" customHeight="1" s="216">
      <c r="D367" s="109" t="n"/>
      <c r="E367" s="109" t="n"/>
      <c r="J367" s="109" t="n"/>
      <c r="K367" s="109" t="n"/>
      <c r="L367" s="109" t="n"/>
      <c r="N367" s="109" t="n"/>
      <c r="O367" s="109" t="n"/>
      <c r="P367" s="109" t="n"/>
      <c r="T367" s="109" t="n"/>
      <c r="U367" s="109" t="n"/>
      <c r="V367" s="109" t="n"/>
      <c r="Z367" s="109" t="n"/>
      <c r="AA367" s="109" t="n"/>
      <c r="AB367" s="109" t="n"/>
      <c r="AF367" s="109" t="n"/>
      <c r="AG367" s="109" t="n"/>
      <c r="AH367" s="109" t="n"/>
      <c r="AL367" s="109" t="n"/>
      <c r="AM367" s="109" t="n"/>
      <c r="AN367" s="109" t="n"/>
    </row>
    <row r="368" ht="15.75" customHeight="1" s="216">
      <c r="D368" s="109" t="n"/>
      <c r="E368" s="109" t="n"/>
      <c r="J368" s="109" t="n"/>
      <c r="K368" s="109" t="n"/>
      <c r="L368" s="109" t="n"/>
      <c r="N368" s="109" t="n"/>
      <c r="O368" s="109" t="n"/>
      <c r="P368" s="109" t="n"/>
      <c r="T368" s="109" t="n"/>
      <c r="U368" s="109" t="n"/>
      <c r="V368" s="109" t="n"/>
      <c r="Z368" s="109" t="n"/>
      <c r="AA368" s="109" t="n"/>
      <c r="AB368" s="109" t="n"/>
      <c r="AF368" s="109" t="n"/>
      <c r="AG368" s="109" t="n"/>
      <c r="AH368" s="109" t="n"/>
      <c r="AL368" s="109" t="n"/>
      <c r="AM368" s="109" t="n"/>
      <c r="AN368" s="109" t="n"/>
    </row>
    <row r="369" ht="15.75" customHeight="1" s="216">
      <c r="D369" s="109" t="n"/>
      <c r="E369" s="109" t="n"/>
      <c r="J369" s="109" t="n"/>
      <c r="K369" s="109" t="n"/>
      <c r="L369" s="109" t="n"/>
      <c r="N369" s="109" t="n"/>
      <c r="O369" s="109" t="n"/>
      <c r="P369" s="109" t="n"/>
      <c r="T369" s="109" t="n"/>
      <c r="U369" s="109" t="n"/>
      <c r="V369" s="109" t="n"/>
      <c r="Z369" s="109" t="n"/>
      <c r="AA369" s="109" t="n"/>
      <c r="AB369" s="109" t="n"/>
      <c r="AF369" s="109" t="n"/>
      <c r="AG369" s="109" t="n"/>
      <c r="AH369" s="109" t="n"/>
      <c r="AL369" s="109" t="n"/>
      <c r="AM369" s="109" t="n"/>
      <c r="AN369" s="109" t="n"/>
    </row>
    <row r="370" ht="15.75" customHeight="1" s="216">
      <c r="D370" s="109" t="n"/>
      <c r="E370" s="109" t="n"/>
      <c r="J370" s="109" t="n"/>
      <c r="K370" s="109" t="n"/>
      <c r="L370" s="109" t="n"/>
      <c r="N370" s="109" t="n"/>
      <c r="O370" s="109" t="n"/>
      <c r="P370" s="109" t="n"/>
      <c r="T370" s="109" t="n"/>
      <c r="U370" s="109" t="n"/>
      <c r="V370" s="109" t="n"/>
      <c r="Z370" s="109" t="n"/>
      <c r="AA370" s="109" t="n"/>
      <c r="AB370" s="109" t="n"/>
      <c r="AF370" s="109" t="n"/>
      <c r="AG370" s="109" t="n"/>
      <c r="AH370" s="109" t="n"/>
      <c r="AL370" s="109" t="n"/>
      <c r="AM370" s="109" t="n"/>
      <c r="AN370" s="109" t="n"/>
    </row>
    <row r="371" ht="15.75" customHeight="1" s="216">
      <c r="D371" s="109" t="n"/>
      <c r="E371" s="109" t="n"/>
      <c r="J371" s="109" t="n"/>
      <c r="K371" s="109" t="n"/>
      <c r="L371" s="109" t="n"/>
      <c r="N371" s="109" t="n"/>
      <c r="O371" s="109" t="n"/>
      <c r="P371" s="109" t="n"/>
      <c r="T371" s="109" t="n"/>
      <c r="U371" s="109" t="n"/>
      <c r="V371" s="109" t="n"/>
      <c r="Z371" s="109" t="n"/>
      <c r="AA371" s="109" t="n"/>
      <c r="AB371" s="109" t="n"/>
      <c r="AF371" s="109" t="n"/>
      <c r="AG371" s="109" t="n"/>
      <c r="AH371" s="109" t="n"/>
      <c r="AL371" s="109" t="n"/>
      <c r="AM371" s="109" t="n"/>
      <c r="AN371" s="109" t="n"/>
    </row>
    <row r="372" ht="15.75" customHeight="1" s="216">
      <c r="D372" s="109" t="n"/>
      <c r="E372" s="109" t="n"/>
      <c r="J372" s="109" t="n"/>
      <c r="K372" s="109" t="n"/>
      <c r="L372" s="109" t="n"/>
      <c r="N372" s="109" t="n"/>
      <c r="O372" s="109" t="n"/>
      <c r="P372" s="109" t="n"/>
      <c r="T372" s="109" t="n"/>
      <c r="U372" s="109" t="n"/>
      <c r="V372" s="109" t="n"/>
      <c r="Z372" s="109" t="n"/>
      <c r="AA372" s="109" t="n"/>
      <c r="AB372" s="109" t="n"/>
      <c r="AF372" s="109" t="n"/>
      <c r="AG372" s="109" t="n"/>
      <c r="AH372" s="109" t="n"/>
      <c r="AL372" s="109" t="n"/>
      <c r="AM372" s="109" t="n"/>
      <c r="AN372" s="109" t="n"/>
    </row>
    <row r="373" ht="15.75" customHeight="1" s="216">
      <c r="D373" s="109" t="n"/>
      <c r="E373" s="109" t="n"/>
      <c r="J373" s="109" t="n"/>
      <c r="K373" s="109" t="n"/>
      <c r="L373" s="109" t="n"/>
      <c r="N373" s="109" t="n"/>
      <c r="O373" s="109" t="n"/>
      <c r="P373" s="109" t="n"/>
      <c r="T373" s="109" t="n"/>
      <c r="U373" s="109" t="n"/>
      <c r="V373" s="109" t="n"/>
      <c r="Z373" s="109" t="n"/>
      <c r="AA373" s="109" t="n"/>
      <c r="AB373" s="109" t="n"/>
      <c r="AF373" s="109" t="n"/>
      <c r="AG373" s="109" t="n"/>
      <c r="AH373" s="109" t="n"/>
      <c r="AL373" s="109" t="n"/>
      <c r="AM373" s="109" t="n"/>
      <c r="AN373" s="109" t="n"/>
    </row>
    <row r="374" ht="15.75" customHeight="1" s="216">
      <c r="D374" s="109" t="n"/>
      <c r="E374" s="109" t="n"/>
      <c r="J374" s="109" t="n"/>
      <c r="K374" s="109" t="n"/>
      <c r="L374" s="109" t="n"/>
      <c r="N374" s="109" t="n"/>
      <c r="O374" s="109" t="n"/>
      <c r="P374" s="109" t="n"/>
      <c r="T374" s="109" t="n"/>
      <c r="U374" s="109" t="n"/>
      <c r="V374" s="109" t="n"/>
      <c r="Z374" s="109" t="n"/>
      <c r="AA374" s="109" t="n"/>
      <c r="AB374" s="109" t="n"/>
      <c r="AF374" s="109" t="n"/>
      <c r="AG374" s="109" t="n"/>
      <c r="AH374" s="109" t="n"/>
      <c r="AL374" s="109" t="n"/>
      <c r="AM374" s="109" t="n"/>
      <c r="AN374" s="109" t="n"/>
    </row>
    <row r="375" ht="15.75" customHeight="1" s="216">
      <c r="D375" s="109" t="n"/>
      <c r="E375" s="109" t="n"/>
      <c r="J375" s="109" t="n"/>
      <c r="K375" s="109" t="n"/>
      <c r="L375" s="109" t="n"/>
      <c r="N375" s="109" t="n"/>
      <c r="O375" s="109" t="n"/>
      <c r="P375" s="109" t="n"/>
      <c r="T375" s="109" t="n"/>
      <c r="U375" s="109" t="n"/>
      <c r="V375" s="109" t="n"/>
      <c r="Z375" s="109" t="n"/>
      <c r="AA375" s="109" t="n"/>
      <c r="AB375" s="109" t="n"/>
      <c r="AF375" s="109" t="n"/>
      <c r="AG375" s="109" t="n"/>
      <c r="AH375" s="109" t="n"/>
      <c r="AL375" s="109" t="n"/>
      <c r="AM375" s="109" t="n"/>
      <c r="AN375" s="109" t="n"/>
    </row>
    <row r="376" ht="15.75" customHeight="1" s="216">
      <c r="D376" s="109" t="n"/>
      <c r="E376" s="109" t="n"/>
      <c r="J376" s="109" t="n"/>
      <c r="K376" s="109" t="n"/>
      <c r="L376" s="109" t="n"/>
      <c r="N376" s="109" t="n"/>
      <c r="O376" s="109" t="n"/>
      <c r="P376" s="109" t="n"/>
      <c r="T376" s="109" t="n"/>
      <c r="U376" s="109" t="n"/>
      <c r="V376" s="109" t="n"/>
      <c r="Z376" s="109" t="n"/>
      <c r="AA376" s="109" t="n"/>
      <c r="AB376" s="109" t="n"/>
      <c r="AF376" s="109" t="n"/>
      <c r="AG376" s="109" t="n"/>
      <c r="AH376" s="109" t="n"/>
      <c r="AL376" s="109" t="n"/>
      <c r="AM376" s="109" t="n"/>
      <c r="AN376" s="109" t="n"/>
    </row>
    <row r="377" ht="15.75" customHeight="1" s="216">
      <c r="D377" s="109" t="n"/>
      <c r="E377" s="109" t="n"/>
      <c r="J377" s="109" t="n"/>
      <c r="K377" s="109" t="n"/>
      <c r="L377" s="109" t="n"/>
      <c r="N377" s="109" t="n"/>
      <c r="O377" s="109" t="n"/>
      <c r="P377" s="109" t="n"/>
      <c r="T377" s="109" t="n"/>
      <c r="U377" s="109" t="n"/>
      <c r="V377" s="109" t="n"/>
      <c r="Z377" s="109" t="n"/>
      <c r="AA377" s="109" t="n"/>
      <c r="AB377" s="109" t="n"/>
      <c r="AF377" s="109" t="n"/>
      <c r="AG377" s="109" t="n"/>
      <c r="AH377" s="109" t="n"/>
      <c r="AL377" s="109" t="n"/>
      <c r="AM377" s="109" t="n"/>
      <c r="AN377" s="109" t="n"/>
    </row>
    <row r="378" ht="15.75" customHeight="1" s="216">
      <c r="D378" s="109" t="n"/>
      <c r="E378" s="109" t="n"/>
      <c r="J378" s="109" t="n"/>
      <c r="K378" s="109" t="n"/>
      <c r="L378" s="109" t="n"/>
      <c r="N378" s="109" t="n"/>
      <c r="O378" s="109" t="n"/>
      <c r="P378" s="109" t="n"/>
      <c r="T378" s="109" t="n"/>
      <c r="U378" s="109" t="n"/>
      <c r="V378" s="109" t="n"/>
      <c r="Z378" s="109" t="n"/>
      <c r="AA378" s="109" t="n"/>
      <c r="AB378" s="109" t="n"/>
      <c r="AF378" s="109" t="n"/>
      <c r="AG378" s="109" t="n"/>
      <c r="AH378" s="109" t="n"/>
      <c r="AL378" s="109" t="n"/>
      <c r="AM378" s="109" t="n"/>
      <c r="AN378" s="109" t="n"/>
    </row>
    <row r="379" ht="15.75" customHeight="1" s="216">
      <c r="D379" s="109" t="n"/>
      <c r="E379" s="109" t="n"/>
      <c r="J379" s="109" t="n"/>
      <c r="K379" s="109" t="n"/>
      <c r="L379" s="109" t="n"/>
      <c r="N379" s="109" t="n"/>
      <c r="O379" s="109" t="n"/>
      <c r="P379" s="109" t="n"/>
      <c r="T379" s="109" t="n"/>
      <c r="U379" s="109" t="n"/>
      <c r="V379" s="109" t="n"/>
      <c r="Z379" s="109" t="n"/>
      <c r="AA379" s="109" t="n"/>
      <c r="AB379" s="109" t="n"/>
      <c r="AF379" s="109" t="n"/>
      <c r="AG379" s="109" t="n"/>
      <c r="AH379" s="109" t="n"/>
      <c r="AL379" s="109" t="n"/>
      <c r="AM379" s="109" t="n"/>
      <c r="AN379" s="109" t="n"/>
    </row>
    <row r="380" ht="15.75" customHeight="1" s="216">
      <c r="D380" s="109" t="n"/>
      <c r="E380" s="109" t="n"/>
      <c r="J380" s="109" t="n"/>
      <c r="K380" s="109" t="n"/>
      <c r="L380" s="109" t="n"/>
      <c r="N380" s="109" t="n"/>
      <c r="O380" s="109" t="n"/>
      <c r="P380" s="109" t="n"/>
      <c r="T380" s="109" t="n"/>
      <c r="U380" s="109" t="n"/>
      <c r="V380" s="109" t="n"/>
      <c r="Z380" s="109" t="n"/>
      <c r="AA380" s="109" t="n"/>
      <c r="AB380" s="109" t="n"/>
      <c r="AF380" s="109" t="n"/>
      <c r="AG380" s="109" t="n"/>
      <c r="AH380" s="109" t="n"/>
      <c r="AL380" s="109" t="n"/>
      <c r="AM380" s="109" t="n"/>
      <c r="AN380" s="109" t="n"/>
    </row>
    <row r="381" ht="15.75" customHeight="1" s="216">
      <c r="D381" s="109" t="n"/>
      <c r="E381" s="109" t="n"/>
      <c r="J381" s="109" t="n"/>
      <c r="K381" s="109" t="n"/>
      <c r="L381" s="109" t="n"/>
      <c r="N381" s="109" t="n"/>
      <c r="O381" s="109" t="n"/>
      <c r="P381" s="109" t="n"/>
      <c r="T381" s="109" t="n"/>
      <c r="U381" s="109" t="n"/>
      <c r="V381" s="109" t="n"/>
      <c r="Z381" s="109" t="n"/>
      <c r="AA381" s="109" t="n"/>
      <c r="AB381" s="109" t="n"/>
      <c r="AF381" s="109" t="n"/>
      <c r="AG381" s="109" t="n"/>
      <c r="AH381" s="109" t="n"/>
      <c r="AL381" s="109" t="n"/>
      <c r="AM381" s="109" t="n"/>
      <c r="AN381" s="109" t="n"/>
    </row>
    <row r="382" ht="15.75" customHeight="1" s="216">
      <c r="D382" s="109" t="n"/>
      <c r="E382" s="109" t="n"/>
      <c r="J382" s="109" t="n"/>
      <c r="K382" s="109" t="n"/>
      <c r="L382" s="109" t="n"/>
      <c r="N382" s="109" t="n"/>
      <c r="O382" s="109" t="n"/>
      <c r="P382" s="109" t="n"/>
      <c r="T382" s="109" t="n"/>
      <c r="U382" s="109" t="n"/>
      <c r="V382" s="109" t="n"/>
      <c r="Z382" s="109" t="n"/>
      <c r="AA382" s="109" t="n"/>
      <c r="AB382" s="109" t="n"/>
      <c r="AF382" s="109" t="n"/>
      <c r="AG382" s="109" t="n"/>
      <c r="AH382" s="109" t="n"/>
      <c r="AL382" s="109" t="n"/>
      <c r="AM382" s="109" t="n"/>
      <c r="AN382" s="109" t="n"/>
    </row>
    <row r="383" ht="15.75" customHeight="1" s="216">
      <c r="D383" s="109" t="n"/>
      <c r="E383" s="109" t="n"/>
      <c r="J383" s="109" t="n"/>
      <c r="K383" s="109" t="n"/>
      <c r="L383" s="109" t="n"/>
      <c r="N383" s="109" t="n"/>
      <c r="O383" s="109" t="n"/>
      <c r="P383" s="109" t="n"/>
      <c r="T383" s="109" t="n"/>
      <c r="U383" s="109" t="n"/>
      <c r="V383" s="109" t="n"/>
      <c r="Z383" s="109" t="n"/>
      <c r="AA383" s="109" t="n"/>
      <c r="AB383" s="109" t="n"/>
      <c r="AF383" s="109" t="n"/>
      <c r="AG383" s="109" t="n"/>
      <c r="AH383" s="109" t="n"/>
      <c r="AL383" s="109" t="n"/>
      <c r="AM383" s="109" t="n"/>
      <c r="AN383" s="109" t="n"/>
    </row>
    <row r="384" ht="15.75" customHeight="1" s="216">
      <c r="D384" s="109" t="n"/>
      <c r="E384" s="109" t="n"/>
      <c r="J384" s="109" t="n"/>
      <c r="K384" s="109" t="n"/>
      <c r="L384" s="109" t="n"/>
      <c r="N384" s="109" t="n"/>
      <c r="O384" s="109" t="n"/>
      <c r="P384" s="109" t="n"/>
      <c r="T384" s="109" t="n"/>
      <c r="U384" s="109" t="n"/>
      <c r="V384" s="109" t="n"/>
      <c r="Z384" s="109" t="n"/>
      <c r="AA384" s="109" t="n"/>
      <c r="AB384" s="109" t="n"/>
      <c r="AF384" s="109" t="n"/>
      <c r="AG384" s="109" t="n"/>
      <c r="AH384" s="109" t="n"/>
      <c r="AL384" s="109" t="n"/>
      <c r="AM384" s="109" t="n"/>
      <c r="AN384" s="109" t="n"/>
    </row>
    <row r="385" ht="15.75" customHeight="1" s="216">
      <c r="D385" s="109" t="n"/>
      <c r="E385" s="109" t="n"/>
      <c r="J385" s="109" t="n"/>
      <c r="K385" s="109" t="n"/>
      <c r="L385" s="109" t="n"/>
      <c r="N385" s="109" t="n"/>
      <c r="O385" s="109" t="n"/>
      <c r="P385" s="109" t="n"/>
      <c r="T385" s="109" t="n"/>
      <c r="U385" s="109" t="n"/>
      <c r="V385" s="109" t="n"/>
      <c r="Z385" s="109" t="n"/>
      <c r="AA385" s="109" t="n"/>
      <c r="AB385" s="109" t="n"/>
      <c r="AF385" s="109" t="n"/>
      <c r="AG385" s="109" t="n"/>
      <c r="AH385" s="109" t="n"/>
      <c r="AL385" s="109" t="n"/>
      <c r="AM385" s="109" t="n"/>
      <c r="AN385" s="109" t="n"/>
    </row>
    <row r="386" ht="15.75" customHeight="1" s="216">
      <c r="D386" s="109" t="n"/>
      <c r="E386" s="109" t="n"/>
      <c r="J386" s="109" t="n"/>
      <c r="K386" s="109" t="n"/>
      <c r="L386" s="109" t="n"/>
      <c r="N386" s="109" t="n"/>
      <c r="O386" s="109" t="n"/>
      <c r="P386" s="109" t="n"/>
      <c r="T386" s="109" t="n"/>
      <c r="U386" s="109" t="n"/>
      <c r="V386" s="109" t="n"/>
      <c r="Z386" s="109" t="n"/>
      <c r="AA386" s="109" t="n"/>
      <c r="AB386" s="109" t="n"/>
      <c r="AF386" s="109" t="n"/>
      <c r="AG386" s="109" t="n"/>
      <c r="AH386" s="109" t="n"/>
      <c r="AL386" s="109" t="n"/>
      <c r="AM386" s="109" t="n"/>
      <c r="AN386" s="109" t="n"/>
    </row>
    <row r="387" ht="15.75" customHeight="1" s="216">
      <c r="D387" s="109" t="n"/>
      <c r="E387" s="109" t="n"/>
      <c r="J387" s="109" t="n"/>
      <c r="K387" s="109" t="n"/>
      <c r="L387" s="109" t="n"/>
      <c r="N387" s="109" t="n"/>
      <c r="O387" s="109" t="n"/>
      <c r="P387" s="109" t="n"/>
      <c r="T387" s="109" t="n"/>
      <c r="U387" s="109" t="n"/>
      <c r="V387" s="109" t="n"/>
      <c r="Z387" s="109" t="n"/>
      <c r="AA387" s="109" t="n"/>
      <c r="AB387" s="109" t="n"/>
      <c r="AF387" s="109" t="n"/>
      <c r="AG387" s="109" t="n"/>
      <c r="AH387" s="109" t="n"/>
      <c r="AL387" s="109" t="n"/>
      <c r="AM387" s="109" t="n"/>
      <c r="AN387" s="109" t="n"/>
    </row>
    <row r="388" ht="15.75" customHeight="1" s="216">
      <c r="D388" s="109" t="n"/>
      <c r="E388" s="109" t="n"/>
      <c r="J388" s="109" t="n"/>
      <c r="K388" s="109" t="n"/>
      <c r="L388" s="109" t="n"/>
      <c r="N388" s="109" t="n"/>
      <c r="O388" s="109" t="n"/>
      <c r="P388" s="109" t="n"/>
      <c r="T388" s="109" t="n"/>
      <c r="U388" s="109" t="n"/>
      <c r="V388" s="109" t="n"/>
      <c r="Z388" s="109" t="n"/>
      <c r="AA388" s="109" t="n"/>
      <c r="AB388" s="109" t="n"/>
      <c r="AF388" s="109" t="n"/>
      <c r="AG388" s="109" t="n"/>
      <c r="AH388" s="109" t="n"/>
      <c r="AL388" s="109" t="n"/>
      <c r="AM388" s="109" t="n"/>
      <c r="AN388" s="109" t="n"/>
    </row>
    <row r="389" ht="15.75" customHeight="1" s="216">
      <c r="D389" s="109" t="n"/>
      <c r="E389" s="109" t="n"/>
      <c r="J389" s="109" t="n"/>
      <c r="K389" s="109" t="n"/>
      <c r="L389" s="109" t="n"/>
      <c r="N389" s="109" t="n"/>
      <c r="O389" s="109" t="n"/>
      <c r="P389" s="109" t="n"/>
      <c r="T389" s="109" t="n"/>
      <c r="U389" s="109" t="n"/>
      <c r="V389" s="109" t="n"/>
      <c r="Z389" s="109" t="n"/>
      <c r="AA389" s="109" t="n"/>
      <c r="AB389" s="109" t="n"/>
      <c r="AF389" s="109" t="n"/>
      <c r="AG389" s="109" t="n"/>
      <c r="AH389" s="109" t="n"/>
      <c r="AL389" s="109" t="n"/>
      <c r="AM389" s="109" t="n"/>
      <c r="AN389" s="109" t="n"/>
    </row>
    <row r="390" ht="15.75" customHeight="1" s="216">
      <c r="D390" s="109" t="n"/>
      <c r="E390" s="109" t="n"/>
      <c r="J390" s="109" t="n"/>
      <c r="K390" s="109" t="n"/>
      <c r="L390" s="109" t="n"/>
      <c r="N390" s="109" t="n"/>
      <c r="O390" s="109" t="n"/>
      <c r="P390" s="109" t="n"/>
      <c r="T390" s="109" t="n"/>
      <c r="U390" s="109" t="n"/>
      <c r="V390" s="109" t="n"/>
      <c r="Z390" s="109" t="n"/>
      <c r="AA390" s="109" t="n"/>
      <c r="AB390" s="109" t="n"/>
      <c r="AF390" s="109" t="n"/>
      <c r="AG390" s="109" t="n"/>
      <c r="AH390" s="109" t="n"/>
      <c r="AL390" s="109" t="n"/>
      <c r="AM390" s="109" t="n"/>
      <c r="AN390" s="109" t="n"/>
    </row>
    <row r="391" ht="15.75" customHeight="1" s="216">
      <c r="D391" s="109" t="n"/>
      <c r="E391" s="109" t="n"/>
      <c r="J391" s="109" t="n"/>
      <c r="K391" s="109" t="n"/>
      <c r="L391" s="109" t="n"/>
      <c r="N391" s="109" t="n"/>
      <c r="O391" s="109" t="n"/>
      <c r="P391" s="109" t="n"/>
      <c r="T391" s="109" t="n"/>
      <c r="U391" s="109" t="n"/>
      <c r="V391" s="109" t="n"/>
      <c r="Z391" s="109" t="n"/>
      <c r="AA391" s="109" t="n"/>
      <c r="AB391" s="109" t="n"/>
      <c r="AF391" s="109" t="n"/>
      <c r="AG391" s="109" t="n"/>
      <c r="AH391" s="109" t="n"/>
      <c r="AL391" s="109" t="n"/>
      <c r="AM391" s="109" t="n"/>
      <c r="AN391" s="109" t="n"/>
    </row>
    <row r="392" ht="15.75" customHeight="1" s="216">
      <c r="D392" s="109" t="n"/>
      <c r="E392" s="109" t="n"/>
      <c r="J392" s="109" t="n"/>
      <c r="K392" s="109" t="n"/>
      <c r="L392" s="109" t="n"/>
      <c r="N392" s="109" t="n"/>
      <c r="O392" s="109" t="n"/>
      <c r="P392" s="109" t="n"/>
      <c r="T392" s="109" t="n"/>
      <c r="U392" s="109" t="n"/>
      <c r="V392" s="109" t="n"/>
      <c r="Z392" s="109" t="n"/>
      <c r="AA392" s="109" t="n"/>
      <c r="AB392" s="109" t="n"/>
      <c r="AF392" s="109" t="n"/>
      <c r="AG392" s="109" t="n"/>
      <c r="AH392" s="109" t="n"/>
      <c r="AL392" s="109" t="n"/>
      <c r="AM392" s="109" t="n"/>
      <c r="AN392" s="109" t="n"/>
    </row>
    <row r="393" ht="15.75" customHeight="1" s="216">
      <c r="D393" s="109" t="n"/>
      <c r="E393" s="109" t="n"/>
      <c r="J393" s="109" t="n"/>
      <c r="K393" s="109" t="n"/>
      <c r="L393" s="109" t="n"/>
      <c r="N393" s="109" t="n"/>
      <c r="O393" s="109" t="n"/>
      <c r="P393" s="109" t="n"/>
      <c r="T393" s="109" t="n"/>
      <c r="U393" s="109" t="n"/>
      <c r="V393" s="109" t="n"/>
      <c r="Z393" s="109" t="n"/>
      <c r="AA393" s="109" t="n"/>
      <c r="AB393" s="109" t="n"/>
      <c r="AF393" s="109" t="n"/>
      <c r="AG393" s="109" t="n"/>
      <c r="AH393" s="109" t="n"/>
      <c r="AL393" s="109" t="n"/>
      <c r="AM393" s="109" t="n"/>
      <c r="AN393" s="109" t="n"/>
    </row>
    <row r="394" ht="15.75" customHeight="1" s="216">
      <c r="D394" s="109" t="n"/>
      <c r="E394" s="109" t="n"/>
      <c r="J394" s="109" t="n"/>
      <c r="K394" s="109" t="n"/>
      <c r="L394" s="109" t="n"/>
      <c r="N394" s="109" t="n"/>
      <c r="O394" s="109" t="n"/>
      <c r="P394" s="109" t="n"/>
      <c r="T394" s="109" t="n"/>
      <c r="U394" s="109" t="n"/>
      <c r="V394" s="109" t="n"/>
      <c r="Z394" s="109" t="n"/>
      <c r="AA394" s="109" t="n"/>
      <c r="AB394" s="109" t="n"/>
      <c r="AF394" s="109" t="n"/>
      <c r="AG394" s="109" t="n"/>
      <c r="AH394" s="109" t="n"/>
      <c r="AL394" s="109" t="n"/>
      <c r="AM394" s="109" t="n"/>
      <c r="AN394" s="109" t="n"/>
    </row>
    <row r="395" ht="15.75" customHeight="1" s="216">
      <c r="D395" s="109" t="n"/>
      <c r="E395" s="109" t="n"/>
      <c r="J395" s="109" t="n"/>
      <c r="K395" s="109" t="n"/>
      <c r="L395" s="109" t="n"/>
      <c r="N395" s="109" t="n"/>
      <c r="O395" s="109" t="n"/>
      <c r="P395" s="109" t="n"/>
      <c r="T395" s="109" t="n"/>
      <c r="U395" s="109" t="n"/>
      <c r="V395" s="109" t="n"/>
      <c r="Z395" s="109" t="n"/>
      <c r="AA395" s="109" t="n"/>
      <c r="AB395" s="109" t="n"/>
      <c r="AF395" s="109" t="n"/>
      <c r="AG395" s="109" t="n"/>
      <c r="AH395" s="109" t="n"/>
      <c r="AL395" s="109" t="n"/>
      <c r="AM395" s="109" t="n"/>
      <c r="AN395" s="109" t="n"/>
    </row>
    <row r="396" ht="15.75" customHeight="1" s="216">
      <c r="D396" s="109" t="n"/>
      <c r="E396" s="109" t="n"/>
      <c r="J396" s="109" t="n"/>
      <c r="K396" s="109" t="n"/>
      <c r="L396" s="109" t="n"/>
      <c r="N396" s="109" t="n"/>
      <c r="O396" s="109" t="n"/>
      <c r="P396" s="109" t="n"/>
      <c r="T396" s="109" t="n"/>
      <c r="U396" s="109" t="n"/>
      <c r="V396" s="109" t="n"/>
      <c r="Z396" s="109" t="n"/>
      <c r="AA396" s="109" t="n"/>
      <c r="AB396" s="109" t="n"/>
      <c r="AF396" s="109" t="n"/>
      <c r="AG396" s="109" t="n"/>
      <c r="AH396" s="109" t="n"/>
      <c r="AL396" s="109" t="n"/>
      <c r="AM396" s="109" t="n"/>
      <c r="AN396" s="109" t="n"/>
    </row>
    <row r="397" ht="15.75" customHeight="1" s="216">
      <c r="D397" s="109" t="n"/>
      <c r="E397" s="109" t="n"/>
      <c r="J397" s="109" t="n"/>
      <c r="K397" s="109" t="n"/>
      <c r="L397" s="109" t="n"/>
      <c r="N397" s="109" t="n"/>
      <c r="O397" s="109" t="n"/>
      <c r="P397" s="109" t="n"/>
      <c r="T397" s="109" t="n"/>
      <c r="U397" s="109" t="n"/>
      <c r="V397" s="109" t="n"/>
      <c r="Z397" s="109" t="n"/>
      <c r="AA397" s="109" t="n"/>
      <c r="AB397" s="109" t="n"/>
      <c r="AF397" s="109" t="n"/>
      <c r="AG397" s="109" t="n"/>
      <c r="AH397" s="109" t="n"/>
      <c r="AL397" s="109" t="n"/>
      <c r="AM397" s="109" t="n"/>
      <c r="AN397" s="109" t="n"/>
    </row>
    <row r="398" ht="15.75" customHeight="1" s="216">
      <c r="D398" s="109" t="n"/>
      <c r="E398" s="109" t="n"/>
      <c r="J398" s="109" t="n"/>
      <c r="K398" s="109" t="n"/>
      <c r="L398" s="109" t="n"/>
      <c r="N398" s="109" t="n"/>
      <c r="O398" s="109" t="n"/>
      <c r="P398" s="109" t="n"/>
      <c r="T398" s="109" t="n"/>
      <c r="U398" s="109" t="n"/>
      <c r="V398" s="109" t="n"/>
      <c r="Z398" s="109" t="n"/>
      <c r="AA398" s="109" t="n"/>
      <c r="AB398" s="109" t="n"/>
      <c r="AF398" s="109" t="n"/>
      <c r="AG398" s="109" t="n"/>
      <c r="AH398" s="109" t="n"/>
      <c r="AL398" s="109" t="n"/>
      <c r="AM398" s="109" t="n"/>
      <c r="AN398" s="109" t="n"/>
    </row>
    <row r="399" ht="15.75" customHeight="1" s="216">
      <c r="D399" s="109" t="n"/>
      <c r="E399" s="109" t="n"/>
      <c r="J399" s="109" t="n"/>
      <c r="K399" s="109" t="n"/>
      <c r="L399" s="109" t="n"/>
      <c r="N399" s="109" t="n"/>
      <c r="O399" s="109" t="n"/>
      <c r="P399" s="109" t="n"/>
      <c r="T399" s="109" t="n"/>
      <c r="U399" s="109" t="n"/>
      <c r="V399" s="109" t="n"/>
      <c r="Z399" s="109" t="n"/>
      <c r="AA399" s="109" t="n"/>
      <c r="AB399" s="109" t="n"/>
      <c r="AF399" s="109" t="n"/>
      <c r="AG399" s="109" t="n"/>
      <c r="AH399" s="109" t="n"/>
      <c r="AL399" s="109" t="n"/>
      <c r="AM399" s="109" t="n"/>
      <c r="AN399" s="109" t="n"/>
    </row>
    <row r="400" ht="15.75" customHeight="1" s="216">
      <c r="D400" s="109" t="n"/>
      <c r="E400" s="109" t="n"/>
      <c r="J400" s="109" t="n"/>
      <c r="K400" s="109" t="n"/>
      <c r="L400" s="109" t="n"/>
      <c r="N400" s="109" t="n"/>
      <c r="O400" s="109" t="n"/>
      <c r="P400" s="109" t="n"/>
      <c r="T400" s="109" t="n"/>
      <c r="U400" s="109" t="n"/>
      <c r="V400" s="109" t="n"/>
      <c r="Z400" s="109" t="n"/>
      <c r="AA400" s="109" t="n"/>
      <c r="AB400" s="109" t="n"/>
      <c r="AF400" s="109" t="n"/>
      <c r="AG400" s="109" t="n"/>
      <c r="AH400" s="109" t="n"/>
      <c r="AL400" s="109" t="n"/>
      <c r="AM400" s="109" t="n"/>
      <c r="AN400" s="109" t="n"/>
    </row>
    <row r="401" ht="15.75" customHeight="1" s="216">
      <c r="D401" s="109" t="n"/>
      <c r="E401" s="109" t="n"/>
      <c r="J401" s="109" t="n"/>
      <c r="K401" s="109" t="n"/>
      <c r="L401" s="109" t="n"/>
      <c r="N401" s="109" t="n"/>
      <c r="O401" s="109" t="n"/>
      <c r="P401" s="109" t="n"/>
      <c r="T401" s="109" t="n"/>
      <c r="U401" s="109" t="n"/>
      <c r="V401" s="109" t="n"/>
      <c r="Z401" s="109" t="n"/>
      <c r="AA401" s="109" t="n"/>
      <c r="AB401" s="109" t="n"/>
      <c r="AF401" s="109" t="n"/>
      <c r="AG401" s="109" t="n"/>
      <c r="AH401" s="109" t="n"/>
      <c r="AL401" s="109" t="n"/>
      <c r="AM401" s="109" t="n"/>
      <c r="AN401" s="109" t="n"/>
    </row>
    <row r="402" ht="15.75" customHeight="1" s="216">
      <c r="D402" s="109" t="n"/>
      <c r="E402" s="109" t="n"/>
      <c r="J402" s="109" t="n"/>
      <c r="K402" s="109" t="n"/>
      <c r="L402" s="109" t="n"/>
      <c r="N402" s="109" t="n"/>
      <c r="O402" s="109" t="n"/>
      <c r="P402" s="109" t="n"/>
      <c r="T402" s="109" t="n"/>
      <c r="U402" s="109" t="n"/>
      <c r="V402" s="109" t="n"/>
      <c r="Z402" s="109" t="n"/>
      <c r="AA402" s="109" t="n"/>
      <c r="AB402" s="109" t="n"/>
      <c r="AF402" s="109" t="n"/>
      <c r="AG402" s="109" t="n"/>
      <c r="AH402" s="109" t="n"/>
      <c r="AL402" s="109" t="n"/>
      <c r="AM402" s="109" t="n"/>
      <c r="AN402" s="109" t="n"/>
    </row>
    <row r="403" ht="15.75" customHeight="1" s="216">
      <c r="D403" s="109" t="n"/>
      <c r="E403" s="109" t="n"/>
      <c r="J403" s="109" t="n"/>
      <c r="K403" s="109" t="n"/>
      <c r="L403" s="109" t="n"/>
      <c r="N403" s="109" t="n"/>
      <c r="O403" s="109" t="n"/>
      <c r="P403" s="109" t="n"/>
      <c r="T403" s="109" t="n"/>
      <c r="U403" s="109" t="n"/>
      <c r="V403" s="109" t="n"/>
      <c r="Z403" s="109" t="n"/>
      <c r="AA403" s="109" t="n"/>
      <c r="AB403" s="109" t="n"/>
      <c r="AF403" s="109" t="n"/>
      <c r="AG403" s="109" t="n"/>
      <c r="AH403" s="109" t="n"/>
      <c r="AL403" s="109" t="n"/>
      <c r="AM403" s="109" t="n"/>
      <c r="AN403" s="109" t="n"/>
    </row>
    <row r="404" ht="15.75" customHeight="1" s="216">
      <c r="D404" s="109" t="n"/>
      <c r="E404" s="109" t="n"/>
      <c r="J404" s="109" t="n"/>
      <c r="K404" s="109" t="n"/>
      <c r="L404" s="109" t="n"/>
      <c r="N404" s="109" t="n"/>
      <c r="O404" s="109" t="n"/>
      <c r="P404" s="109" t="n"/>
      <c r="T404" s="109" t="n"/>
      <c r="U404" s="109" t="n"/>
      <c r="V404" s="109" t="n"/>
      <c r="Z404" s="109" t="n"/>
      <c r="AA404" s="109" t="n"/>
      <c r="AB404" s="109" t="n"/>
      <c r="AF404" s="109" t="n"/>
      <c r="AG404" s="109" t="n"/>
      <c r="AH404" s="109" t="n"/>
      <c r="AL404" s="109" t="n"/>
      <c r="AM404" s="109" t="n"/>
      <c r="AN404" s="109" t="n"/>
    </row>
    <row r="405" ht="15.75" customHeight="1" s="216">
      <c r="D405" s="109" t="n"/>
      <c r="E405" s="109" t="n"/>
      <c r="J405" s="109" t="n"/>
      <c r="K405" s="109" t="n"/>
      <c r="L405" s="109" t="n"/>
      <c r="N405" s="109" t="n"/>
      <c r="O405" s="109" t="n"/>
      <c r="P405" s="109" t="n"/>
      <c r="T405" s="109" t="n"/>
      <c r="U405" s="109" t="n"/>
      <c r="V405" s="109" t="n"/>
      <c r="Z405" s="109" t="n"/>
      <c r="AA405" s="109" t="n"/>
      <c r="AB405" s="109" t="n"/>
      <c r="AF405" s="109" t="n"/>
      <c r="AG405" s="109" t="n"/>
      <c r="AH405" s="109" t="n"/>
      <c r="AL405" s="109" t="n"/>
      <c r="AM405" s="109" t="n"/>
      <c r="AN405" s="109" t="n"/>
    </row>
    <row r="406" ht="15.75" customHeight="1" s="216">
      <c r="D406" s="109" t="n"/>
      <c r="E406" s="109" t="n"/>
      <c r="J406" s="109" t="n"/>
      <c r="K406" s="109" t="n"/>
      <c r="L406" s="109" t="n"/>
      <c r="N406" s="109" t="n"/>
      <c r="O406" s="109" t="n"/>
      <c r="P406" s="109" t="n"/>
      <c r="T406" s="109" t="n"/>
      <c r="U406" s="109" t="n"/>
      <c r="V406" s="109" t="n"/>
      <c r="Z406" s="109" t="n"/>
      <c r="AA406" s="109" t="n"/>
      <c r="AB406" s="109" t="n"/>
      <c r="AF406" s="109" t="n"/>
      <c r="AG406" s="109" t="n"/>
      <c r="AH406" s="109" t="n"/>
      <c r="AL406" s="109" t="n"/>
      <c r="AM406" s="109" t="n"/>
      <c r="AN406" s="109" t="n"/>
    </row>
    <row r="407" ht="15.75" customHeight="1" s="216">
      <c r="D407" s="109" t="n"/>
      <c r="E407" s="109" t="n"/>
      <c r="J407" s="109" t="n"/>
      <c r="K407" s="109" t="n"/>
      <c r="L407" s="109" t="n"/>
      <c r="N407" s="109" t="n"/>
      <c r="O407" s="109" t="n"/>
      <c r="P407" s="109" t="n"/>
      <c r="T407" s="109" t="n"/>
      <c r="U407" s="109" t="n"/>
      <c r="V407" s="109" t="n"/>
      <c r="Z407" s="109" t="n"/>
      <c r="AA407" s="109" t="n"/>
      <c r="AB407" s="109" t="n"/>
      <c r="AF407" s="109" t="n"/>
      <c r="AG407" s="109" t="n"/>
      <c r="AH407" s="109" t="n"/>
      <c r="AL407" s="109" t="n"/>
      <c r="AM407" s="109" t="n"/>
      <c r="AN407" s="109" t="n"/>
    </row>
    <row r="408" ht="15.75" customHeight="1" s="216">
      <c r="D408" s="109" t="n"/>
      <c r="E408" s="109" t="n"/>
      <c r="J408" s="109" t="n"/>
      <c r="K408" s="109" t="n"/>
      <c r="L408" s="109" t="n"/>
      <c r="N408" s="109" t="n"/>
      <c r="O408" s="109" t="n"/>
      <c r="P408" s="109" t="n"/>
      <c r="T408" s="109" t="n"/>
      <c r="U408" s="109" t="n"/>
      <c r="V408" s="109" t="n"/>
      <c r="Z408" s="109" t="n"/>
      <c r="AA408" s="109" t="n"/>
      <c r="AB408" s="109" t="n"/>
      <c r="AF408" s="109" t="n"/>
      <c r="AG408" s="109" t="n"/>
      <c r="AH408" s="109" t="n"/>
      <c r="AL408" s="109" t="n"/>
      <c r="AM408" s="109" t="n"/>
      <c r="AN408" s="109" t="n"/>
    </row>
    <row r="409" ht="15.75" customHeight="1" s="216">
      <c r="D409" s="109" t="n"/>
      <c r="E409" s="109" t="n"/>
      <c r="J409" s="109" t="n"/>
      <c r="K409" s="109" t="n"/>
      <c r="L409" s="109" t="n"/>
      <c r="N409" s="109" t="n"/>
      <c r="O409" s="109" t="n"/>
      <c r="P409" s="109" t="n"/>
      <c r="T409" s="109" t="n"/>
      <c r="U409" s="109" t="n"/>
      <c r="V409" s="109" t="n"/>
      <c r="Z409" s="109" t="n"/>
      <c r="AA409" s="109" t="n"/>
      <c r="AB409" s="109" t="n"/>
      <c r="AF409" s="109" t="n"/>
      <c r="AG409" s="109" t="n"/>
      <c r="AH409" s="109" t="n"/>
      <c r="AL409" s="109" t="n"/>
      <c r="AM409" s="109" t="n"/>
      <c r="AN409" s="109" t="n"/>
    </row>
    <row r="410" ht="15.75" customHeight="1" s="216">
      <c r="D410" s="109" t="n"/>
      <c r="E410" s="109" t="n"/>
      <c r="J410" s="109" t="n"/>
      <c r="K410" s="109" t="n"/>
      <c r="L410" s="109" t="n"/>
      <c r="N410" s="109" t="n"/>
      <c r="O410" s="109" t="n"/>
      <c r="P410" s="109" t="n"/>
      <c r="T410" s="109" t="n"/>
      <c r="U410" s="109" t="n"/>
      <c r="V410" s="109" t="n"/>
      <c r="Z410" s="109" t="n"/>
      <c r="AA410" s="109" t="n"/>
      <c r="AB410" s="109" t="n"/>
      <c r="AF410" s="109" t="n"/>
      <c r="AG410" s="109" t="n"/>
      <c r="AH410" s="109" t="n"/>
      <c r="AL410" s="109" t="n"/>
      <c r="AM410" s="109" t="n"/>
      <c r="AN410" s="109" t="n"/>
    </row>
    <row r="411" ht="15.75" customHeight="1" s="216">
      <c r="D411" s="109" t="n"/>
      <c r="E411" s="109" t="n"/>
      <c r="J411" s="109" t="n"/>
      <c r="K411" s="109" t="n"/>
      <c r="L411" s="109" t="n"/>
      <c r="N411" s="109" t="n"/>
      <c r="O411" s="109" t="n"/>
      <c r="P411" s="109" t="n"/>
      <c r="T411" s="109" t="n"/>
      <c r="U411" s="109" t="n"/>
      <c r="V411" s="109" t="n"/>
      <c r="Z411" s="109" t="n"/>
      <c r="AA411" s="109" t="n"/>
      <c r="AB411" s="109" t="n"/>
      <c r="AF411" s="109" t="n"/>
      <c r="AG411" s="109" t="n"/>
      <c r="AH411" s="109" t="n"/>
      <c r="AL411" s="109" t="n"/>
      <c r="AM411" s="109" t="n"/>
      <c r="AN411" s="109" t="n"/>
    </row>
    <row r="412" ht="15.75" customHeight="1" s="216">
      <c r="D412" s="109" t="n"/>
      <c r="E412" s="109" t="n"/>
      <c r="J412" s="109" t="n"/>
      <c r="K412" s="109" t="n"/>
      <c r="L412" s="109" t="n"/>
      <c r="N412" s="109" t="n"/>
      <c r="O412" s="109" t="n"/>
      <c r="P412" s="109" t="n"/>
      <c r="T412" s="109" t="n"/>
      <c r="U412" s="109" t="n"/>
      <c r="V412" s="109" t="n"/>
      <c r="Z412" s="109" t="n"/>
      <c r="AA412" s="109" t="n"/>
      <c r="AB412" s="109" t="n"/>
      <c r="AF412" s="109" t="n"/>
      <c r="AG412" s="109" t="n"/>
      <c r="AH412" s="109" t="n"/>
      <c r="AL412" s="109" t="n"/>
      <c r="AM412" s="109" t="n"/>
      <c r="AN412" s="109" t="n"/>
    </row>
    <row r="413" ht="15.75" customHeight="1" s="216">
      <c r="D413" s="109" t="n"/>
      <c r="E413" s="109" t="n"/>
      <c r="J413" s="109" t="n"/>
      <c r="K413" s="109" t="n"/>
      <c r="L413" s="109" t="n"/>
      <c r="N413" s="109" t="n"/>
      <c r="O413" s="109" t="n"/>
      <c r="P413" s="109" t="n"/>
      <c r="T413" s="109" t="n"/>
      <c r="U413" s="109" t="n"/>
      <c r="V413" s="109" t="n"/>
      <c r="Z413" s="109" t="n"/>
      <c r="AA413" s="109" t="n"/>
      <c r="AB413" s="109" t="n"/>
      <c r="AF413" s="109" t="n"/>
      <c r="AG413" s="109" t="n"/>
      <c r="AH413" s="109" t="n"/>
      <c r="AL413" s="109" t="n"/>
      <c r="AM413" s="109" t="n"/>
      <c r="AN413" s="109" t="n"/>
    </row>
    <row r="414" ht="15.75" customHeight="1" s="216">
      <c r="D414" s="109" t="n"/>
      <c r="E414" s="109" t="n"/>
      <c r="J414" s="109" t="n"/>
      <c r="K414" s="109" t="n"/>
      <c r="L414" s="109" t="n"/>
      <c r="N414" s="109" t="n"/>
      <c r="O414" s="109" t="n"/>
      <c r="P414" s="109" t="n"/>
      <c r="T414" s="109" t="n"/>
      <c r="U414" s="109" t="n"/>
      <c r="V414" s="109" t="n"/>
      <c r="Z414" s="109" t="n"/>
      <c r="AA414" s="109" t="n"/>
      <c r="AB414" s="109" t="n"/>
      <c r="AF414" s="109" t="n"/>
      <c r="AG414" s="109" t="n"/>
      <c r="AH414" s="109" t="n"/>
      <c r="AL414" s="109" t="n"/>
      <c r="AM414" s="109" t="n"/>
      <c r="AN414" s="109" t="n"/>
    </row>
    <row r="415" ht="15.75" customHeight="1" s="216">
      <c r="D415" s="109" t="n"/>
      <c r="E415" s="109" t="n"/>
      <c r="J415" s="109" t="n"/>
      <c r="K415" s="109" t="n"/>
      <c r="L415" s="109" t="n"/>
      <c r="N415" s="109" t="n"/>
      <c r="O415" s="109" t="n"/>
      <c r="P415" s="109" t="n"/>
      <c r="T415" s="109" t="n"/>
      <c r="U415" s="109" t="n"/>
      <c r="V415" s="109" t="n"/>
      <c r="Z415" s="109" t="n"/>
      <c r="AA415" s="109" t="n"/>
      <c r="AB415" s="109" t="n"/>
      <c r="AF415" s="109" t="n"/>
      <c r="AG415" s="109" t="n"/>
      <c r="AH415" s="109" t="n"/>
      <c r="AL415" s="109" t="n"/>
      <c r="AM415" s="109" t="n"/>
      <c r="AN415" s="109" t="n"/>
    </row>
    <row r="416" ht="15.75" customHeight="1" s="216">
      <c r="D416" s="109" t="n"/>
      <c r="E416" s="109" t="n"/>
      <c r="J416" s="109" t="n"/>
      <c r="K416" s="109" t="n"/>
      <c r="L416" s="109" t="n"/>
      <c r="N416" s="109" t="n"/>
      <c r="O416" s="109" t="n"/>
      <c r="P416" s="109" t="n"/>
      <c r="T416" s="109" t="n"/>
      <c r="U416" s="109" t="n"/>
      <c r="V416" s="109" t="n"/>
      <c r="Z416" s="109" t="n"/>
      <c r="AA416" s="109" t="n"/>
      <c r="AB416" s="109" t="n"/>
      <c r="AF416" s="109" t="n"/>
      <c r="AG416" s="109" t="n"/>
      <c r="AH416" s="109" t="n"/>
      <c r="AL416" s="109" t="n"/>
      <c r="AM416" s="109" t="n"/>
      <c r="AN416" s="109" t="n"/>
    </row>
    <row r="417" ht="15.75" customHeight="1" s="216">
      <c r="D417" s="109" t="n"/>
      <c r="E417" s="109" t="n"/>
      <c r="J417" s="109" t="n"/>
      <c r="K417" s="109" t="n"/>
      <c r="L417" s="109" t="n"/>
      <c r="N417" s="109" t="n"/>
      <c r="O417" s="109" t="n"/>
      <c r="P417" s="109" t="n"/>
      <c r="T417" s="109" t="n"/>
      <c r="U417" s="109" t="n"/>
      <c r="V417" s="109" t="n"/>
      <c r="Z417" s="109" t="n"/>
      <c r="AA417" s="109" t="n"/>
      <c r="AB417" s="109" t="n"/>
      <c r="AF417" s="109" t="n"/>
      <c r="AG417" s="109" t="n"/>
      <c r="AH417" s="109" t="n"/>
      <c r="AL417" s="109" t="n"/>
      <c r="AM417" s="109" t="n"/>
      <c r="AN417" s="109" t="n"/>
    </row>
    <row r="418" ht="15.75" customHeight="1" s="216">
      <c r="D418" s="109" t="n"/>
      <c r="E418" s="109" t="n"/>
      <c r="J418" s="109" t="n"/>
      <c r="K418" s="109" t="n"/>
      <c r="L418" s="109" t="n"/>
      <c r="N418" s="109" t="n"/>
      <c r="O418" s="109" t="n"/>
      <c r="P418" s="109" t="n"/>
      <c r="T418" s="109" t="n"/>
      <c r="U418" s="109" t="n"/>
      <c r="V418" s="109" t="n"/>
      <c r="Z418" s="109" t="n"/>
      <c r="AA418" s="109" t="n"/>
      <c r="AB418" s="109" t="n"/>
      <c r="AF418" s="109" t="n"/>
      <c r="AG418" s="109" t="n"/>
      <c r="AH418" s="109" t="n"/>
      <c r="AL418" s="109" t="n"/>
      <c r="AM418" s="109" t="n"/>
      <c r="AN418" s="109" t="n"/>
    </row>
    <row r="419" ht="15.75" customHeight="1" s="216">
      <c r="D419" s="109" t="n"/>
      <c r="E419" s="109" t="n"/>
      <c r="J419" s="109" t="n"/>
      <c r="K419" s="109" t="n"/>
      <c r="L419" s="109" t="n"/>
      <c r="N419" s="109" t="n"/>
      <c r="O419" s="109" t="n"/>
      <c r="P419" s="109" t="n"/>
      <c r="T419" s="109" t="n"/>
      <c r="U419" s="109" t="n"/>
      <c r="V419" s="109" t="n"/>
      <c r="Z419" s="109" t="n"/>
      <c r="AA419" s="109" t="n"/>
      <c r="AB419" s="109" t="n"/>
      <c r="AF419" s="109" t="n"/>
      <c r="AG419" s="109" t="n"/>
      <c r="AH419" s="109" t="n"/>
      <c r="AL419" s="109" t="n"/>
      <c r="AM419" s="109" t="n"/>
      <c r="AN419" s="109" t="n"/>
    </row>
    <row r="420" ht="15.75" customHeight="1" s="216">
      <c r="D420" s="109" t="n"/>
      <c r="E420" s="109" t="n"/>
      <c r="J420" s="109" t="n"/>
      <c r="K420" s="109" t="n"/>
      <c r="L420" s="109" t="n"/>
      <c r="N420" s="109" t="n"/>
      <c r="O420" s="109" t="n"/>
      <c r="P420" s="109" t="n"/>
      <c r="T420" s="109" t="n"/>
      <c r="U420" s="109" t="n"/>
      <c r="V420" s="109" t="n"/>
      <c r="Z420" s="109" t="n"/>
      <c r="AA420" s="109" t="n"/>
      <c r="AB420" s="109" t="n"/>
      <c r="AF420" s="109" t="n"/>
      <c r="AG420" s="109" t="n"/>
      <c r="AH420" s="109" t="n"/>
      <c r="AL420" s="109" t="n"/>
      <c r="AM420" s="109" t="n"/>
      <c r="AN420" s="109" t="n"/>
    </row>
    <row r="421" ht="15.75" customHeight="1" s="216">
      <c r="D421" s="109" t="n"/>
      <c r="E421" s="109" t="n"/>
      <c r="J421" s="109" t="n"/>
      <c r="K421" s="109" t="n"/>
      <c r="L421" s="109" t="n"/>
      <c r="N421" s="109" t="n"/>
      <c r="O421" s="109" t="n"/>
      <c r="P421" s="109" t="n"/>
      <c r="T421" s="109" t="n"/>
      <c r="U421" s="109" t="n"/>
      <c r="V421" s="109" t="n"/>
      <c r="Z421" s="109" t="n"/>
      <c r="AA421" s="109" t="n"/>
      <c r="AB421" s="109" t="n"/>
      <c r="AF421" s="109" t="n"/>
      <c r="AG421" s="109" t="n"/>
      <c r="AH421" s="109" t="n"/>
      <c r="AL421" s="109" t="n"/>
      <c r="AM421" s="109" t="n"/>
      <c r="AN421" s="109" t="n"/>
    </row>
    <row r="422" ht="15.75" customHeight="1" s="216">
      <c r="D422" s="109" t="n"/>
      <c r="E422" s="109" t="n"/>
      <c r="J422" s="109" t="n"/>
      <c r="K422" s="109" t="n"/>
      <c r="L422" s="109" t="n"/>
      <c r="N422" s="109" t="n"/>
      <c r="O422" s="109" t="n"/>
      <c r="P422" s="109" t="n"/>
      <c r="T422" s="109" t="n"/>
      <c r="U422" s="109" t="n"/>
      <c r="V422" s="109" t="n"/>
      <c r="Z422" s="109" t="n"/>
      <c r="AA422" s="109" t="n"/>
      <c r="AB422" s="109" t="n"/>
      <c r="AF422" s="109" t="n"/>
      <c r="AG422" s="109" t="n"/>
      <c r="AH422" s="109" t="n"/>
      <c r="AL422" s="109" t="n"/>
      <c r="AM422" s="109" t="n"/>
      <c r="AN422" s="109" t="n"/>
    </row>
    <row r="423" ht="15.75" customHeight="1" s="216">
      <c r="D423" s="109" t="n"/>
      <c r="E423" s="109" t="n"/>
      <c r="J423" s="109" t="n"/>
      <c r="K423" s="109" t="n"/>
      <c r="L423" s="109" t="n"/>
      <c r="N423" s="109" t="n"/>
      <c r="O423" s="109" t="n"/>
      <c r="P423" s="109" t="n"/>
      <c r="T423" s="109" t="n"/>
      <c r="U423" s="109" t="n"/>
      <c r="V423" s="109" t="n"/>
      <c r="Z423" s="109" t="n"/>
      <c r="AA423" s="109" t="n"/>
      <c r="AB423" s="109" t="n"/>
      <c r="AF423" s="109" t="n"/>
      <c r="AG423" s="109" t="n"/>
      <c r="AH423" s="109" t="n"/>
      <c r="AL423" s="109" t="n"/>
      <c r="AM423" s="109" t="n"/>
      <c r="AN423" s="109" t="n"/>
    </row>
    <row r="424" ht="15.75" customHeight="1" s="216">
      <c r="D424" s="109" t="n"/>
      <c r="E424" s="109" t="n"/>
      <c r="J424" s="109" t="n"/>
      <c r="K424" s="109" t="n"/>
      <c r="L424" s="109" t="n"/>
      <c r="N424" s="109" t="n"/>
      <c r="O424" s="109" t="n"/>
      <c r="P424" s="109" t="n"/>
      <c r="T424" s="109" t="n"/>
      <c r="U424" s="109" t="n"/>
      <c r="V424" s="109" t="n"/>
      <c r="Z424" s="109" t="n"/>
      <c r="AA424" s="109" t="n"/>
      <c r="AB424" s="109" t="n"/>
      <c r="AF424" s="109" t="n"/>
      <c r="AG424" s="109" t="n"/>
      <c r="AH424" s="109" t="n"/>
      <c r="AL424" s="109" t="n"/>
      <c r="AM424" s="109" t="n"/>
      <c r="AN424" s="109" t="n"/>
    </row>
    <row r="425" ht="15.75" customHeight="1" s="216">
      <c r="D425" s="109" t="n"/>
      <c r="E425" s="109" t="n"/>
      <c r="J425" s="109" t="n"/>
      <c r="K425" s="109" t="n"/>
      <c r="L425" s="109" t="n"/>
      <c r="N425" s="109" t="n"/>
      <c r="O425" s="109" t="n"/>
      <c r="P425" s="109" t="n"/>
      <c r="T425" s="109" t="n"/>
      <c r="U425" s="109" t="n"/>
      <c r="V425" s="109" t="n"/>
      <c r="Z425" s="109" t="n"/>
      <c r="AA425" s="109" t="n"/>
      <c r="AB425" s="109" t="n"/>
      <c r="AF425" s="109" t="n"/>
      <c r="AG425" s="109" t="n"/>
      <c r="AH425" s="109" t="n"/>
      <c r="AL425" s="109" t="n"/>
      <c r="AM425" s="109" t="n"/>
      <c r="AN425" s="109" t="n"/>
    </row>
    <row r="426" ht="15.75" customHeight="1" s="216">
      <c r="D426" s="109" t="n"/>
      <c r="E426" s="109" t="n"/>
      <c r="J426" s="109" t="n"/>
      <c r="K426" s="109" t="n"/>
      <c r="L426" s="109" t="n"/>
      <c r="N426" s="109" t="n"/>
      <c r="O426" s="109" t="n"/>
      <c r="P426" s="109" t="n"/>
      <c r="T426" s="109" t="n"/>
      <c r="U426" s="109" t="n"/>
      <c r="V426" s="109" t="n"/>
      <c r="Z426" s="109" t="n"/>
      <c r="AA426" s="109" t="n"/>
      <c r="AB426" s="109" t="n"/>
      <c r="AF426" s="109" t="n"/>
      <c r="AG426" s="109" t="n"/>
      <c r="AH426" s="109" t="n"/>
      <c r="AL426" s="109" t="n"/>
      <c r="AM426" s="109" t="n"/>
      <c r="AN426" s="109" t="n"/>
    </row>
    <row r="427" ht="15.75" customHeight="1" s="216">
      <c r="D427" s="109" t="n"/>
      <c r="E427" s="109" t="n"/>
      <c r="J427" s="109" t="n"/>
      <c r="K427" s="109" t="n"/>
      <c r="L427" s="109" t="n"/>
      <c r="N427" s="109" t="n"/>
      <c r="O427" s="109" t="n"/>
      <c r="P427" s="109" t="n"/>
      <c r="T427" s="109" t="n"/>
      <c r="U427" s="109" t="n"/>
      <c r="V427" s="109" t="n"/>
      <c r="Z427" s="109" t="n"/>
      <c r="AA427" s="109" t="n"/>
      <c r="AB427" s="109" t="n"/>
      <c r="AF427" s="109" t="n"/>
      <c r="AG427" s="109" t="n"/>
      <c r="AH427" s="109" t="n"/>
      <c r="AL427" s="109" t="n"/>
      <c r="AM427" s="109" t="n"/>
      <c r="AN427" s="109" t="n"/>
    </row>
    <row r="428" ht="15.75" customHeight="1" s="216">
      <c r="D428" s="109" t="n"/>
      <c r="E428" s="109" t="n"/>
      <c r="J428" s="109" t="n"/>
      <c r="K428" s="109" t="n"/>
      <c r="L428" s="109" t="n"/>
      <c r="N428" s="109" t="n"/>
      <c r="O428" s="109" t="n"/>
      <c r="P428" s="109" t="n"/>
      <c r="T428" s="109" t="n"/>
      <c r="U428" s="109" t="n"/>
      <c r="V428" s="109" t="n"/>
      <c r="Z428" s="109" t="n"/>
      <c r="AA428" s="109" t="n"/>
      <c r="AB428" s="109" t="n"/>
      <c r="AF428" s="109" t="n"/>
      <c r="AG428" s="109" t="n"/>
      <c r="AH428" s="109" t="n"/>
      <c r="AL428" s="109" t="n"/>
      <c r="AM428" s="109" t="n"/>
      <c r="AN428" s="109" t="n"/>
    </row>
    <row r="429" ht="15.75" customHeight="1" s="216">
      <c r="D429" s="109" t="n"/>
      <c r="E429" s="109" t="n"/>
      <c r="J429" s="109" t="n"/>
      <c r="K429" s="109" t="n"/>
      <c r="L429" s="109" t="n"/>
      <c r="N429" s="109" t="n"/>
      <c r="O429" s="109" t="n"/>
      <c r="P429" s="109" t="n"/>
      <c r="T429" s="109" t="n"/>
      <c r="U429" s="109" t="n"/>
      <c r="V429" s="109" t="n"/>
      <c r="Z429" s="109" t="n"/>
      <c r="AA429" s="109" t="n"/>
      <c r="AB429" s="109" t="n"/>
      <c r="AF429" s="109" t="n"/>
      <c r="AG429" s="109" t="n"/>
      <c r="AH429" s="109" t="n"/>
      <c r="AL429" s="109" t="n"/>
      <c r="AM429" s="109" t="n"/>
      <c r="AN429" s="109" t="n"/>
    </row>
    <row r="430" ht="15.75" customHeight="1" s="216">
      <c r="D430" s="109" t="n"/>
      <c r="E430" s="109" t="n"/>
      <c r="J430" s="109" t="n"/>
      <c r="K430" s="109" t="n"/>
      <c r="L430" s="109" t="n"/>
      <c r="N430" s="109" t="n"/>
      <c r="O430" s="109" t="n"/>
      <c r="P430" s="109" t="n"/>
      <c r="T430" s="109" t="n"/>
      <c r="U430" s="109" t="n"/>
      <c r="V430" s="109" t="n"/>
      <c r="Z430" s="109" t="n"/>
      <c r="AA430" s="109" t="n"/>
      <c r="AB430" s="109" t="n"/>
      <c r="AF430" s="109" t="n"/>
      <c r="AG430" s="109" t="n"/>
      <c r="AH430" s="109" t="n"/>
      <c r="AL430" s="109" t="n"/>
      <c r="AM430" s="109" t="n"/>
      <c r="AN430" s="109" t="n"/>
    </row>
    <row r="431" ht="15.75" customHeight="1" s="216">
      <c r="D431" s="109" t="n"/>
      <c r="E431" s="109" t="n"/>
      <c r="J431" s="109" t="n"/>
      <c r="K431" s="109" t="n"/>
      <c r="L431" s="109" t="n"/>
      <c r="N431" s="109" t="n"/>
      <c r="O431" s="109" t="n"/>
      <c r="P431" s="109" t="n"/>
      <c r="T431" s="109" t="n"/>
      <c r="U431" s="109" t="n"/>
      <c r="V431" s="109" t="n"/>
      <c r="Z431" s="109" t="n"/>
      <c r="AA431" s="109" t="n"/>
      <c r="AB431" s="109" t="n"/>
      <c r="AF431" s="109" t="n"/>
      <c r="AG431" s="109" t="n"/>
      <c r="AH431" s="109" t="n"/>
      <c r="AL431" s="109" t="n"/>
      <c r="AM431" s="109" t="n"/>
      <c r="AN431" s="109" t="n"/>
    </row>
    <row r="432" ht="15.75" customHeight="1" s="216">
      <c r="D432" s="109" t="n"/>
      <c r="E432" s="109" t="n"/>
      <c r="J432" s="109" t="n"/>
      <c r="K432" s="109" t="n"/>
      <c r="L432" s="109" t="n"/>
      <c r="N432" s="109" t="n"/>
      <c r="O432" s="109" t="n"/>
      <c r="P432" s="109" t="n"/>
      <c r="T432" s="109" t="n"/>
      <c r="U432" s="109" t="n"/>
      <c r="V432" s="109" t="n"/>
      <c r="Z432" s="109" t="n"/>
      <c r="AA432" s="109" t="n"/>
      <c r="AB432" s="109" t="n"/>
      <c r="AF432" s="109" t="n"/>
      <c r="AG432" s="109" t="n"/>
      <c r="AH432" s="109" t="n"/>
      <c r="AL432" s="109" t="n"/>
      <c r="AM432" s="109" t="n"/>
      <c r="AN432" s="109" t="n"/>
    </row>
    <row r="433" ht="15.75" customHeight="1" s="216">
      <c r="D433" s="109" t="n"/>
      <c r="E433" s="109" t="n"/>
      <c r="J433" s="109" t="n"/>
      <c r="K433" s="109" t="n"/>
      <c r="L433" s="109" t="n"/>
      <c r="N433" s="109" t="n"/>
      <c r="O433" s="109" t="n"/>
      <c r="P433" s="109" t="n"/>
      <c r="T433" s="109" t="n"/>
      <c r="U433" s="109" t="n"/>
      <c r="V433" s="109" t="n"/>
      <c r="Z433" s="109" t="n"/>
      <c r="AA433" s="109" t="n"/>
      <c r="AB433" s="109" t="n"/>
      <c r="AF433" s="109" t="n"/>
      <c r="AG433" s="109" t="n"/>
      <c r="AH433" s="109" t="n"/>
      <c r="AL433" s="109" t="n"/>
      <c r="AM433" s="109" t="n"/>
      <c r="AN433" s="109" t="n"/>
    </row>
    <row r="434" ht="15.75" customHeight="1" s="216">
      <c r="D434" s="109" t="n"/>
      <c r="E434" s="109" t="n"/>
      <c r="J434" s="109" t="n"/>
      <c r="K434" s="109" t="n"/>
      <c r="L434" s="109" t="n"/>
      <c r="N434" s="109" t="n"/>
      <c r="O434" s="109" t="n"/>
      <c r="P434" s="109" t="n"/>
      <c r="T434" s="109" t="n"/>
      <c r="U434" s="109" t="n"/>
      <c r="V434" s="109" t="n"/>
      <c r="Z434" s="109" t="n"/>
      <c r="AA434" s="109" t="n"/>
      <c r="AB434" s="109" t="n"/>
      <c r="AF434" s="109" t="n"/>
      <c r="AG434" s="109" t="n"/>
      <c r="AH434" s="109" t="n"/>
      <c r="AL434" s="109" t="n"/>
      <c r="AM434" s="109" t="n"/>
      <c r="AN434" s="109" t="n"/>
    </row>
    <row r="435" ht="15.75" customHeight="1" s="216">
      <c r="D435" s="109" t="n"/>
      <c r="E435" s="109" t="n"/>
      <c r="J435" s="109" t="n"/>
      <c r="K435" s="109" t="n"/>
      <c r="L435" s="109" t="n"/>
      <c r="N435" s="109" t="n"/>
      <c r="O435" s="109" t="n"/>
      <c r="P435" s="109" t="n"/>
      <c r="T435" s="109" t="n"/>
      <c r="U435" s="109" t="n"/>
      <c r="V435" s="109" t="n"/>
      <c r="Z435" s="109" t="n"/>
      <c r="AA435" s="109" t="n"/>
      <c r="AB435" s="109" t="n"/>
      <c r="AF435" s="109" t="n"/>
      <c r="AG435" s="109" t="n"/>
      <c r="AH435" s="109" t="n"/>
      <c r="AL435" s="109" t="n"/>
      <c r="AM435" s="109" t="n"/>
      <c r="AN435" s="109" t="n"/>
    </row>
    <row r="436" ht="15.75" customHeight="1" s="216">
      <c r="D436" s="109" t="n"/>
      <c r="E436" s="109" t="n"/>
      <c r="J436" s="109" t="n"/>
      <c r="K436" s="109" t="n"/>
      <c r="L436" s="109" t="n"/>
      <c r="N436" s="109" t="n"/>
      <c r="O436" s="109" t="n"/>
      <c r="P436" s="109" t="n"/>
      <c r="T436" s="109" t="n"/>
      <c r="U436" s="109" t="n"/>
      <c r="V436" s="109" t="n"/>
      <c r="Z436" s="109" t="n"/>
      <c r="AA436" s="109" t="n"/>
      <c r="AB436" s="109" t="n"/>
      <c r="AF436" s="109" t="n"/>
      <c r="AG436" s="109" t="n"/>
      <c r="AH436" s="109" t="n"/>
      <c r="AL436" s="109" t="n"/>
      <c r="AM436" s="109" t="n"/>
      <c r="AN436" s="109" t="n"/>
    </row>
    <row r="437" ht="15.75" customHeight="1" s="216">
      <c r="D437" s="109" t="n"/>
      <c r="E437" s="109" t="n"/>
      <c r="J437" s="109" t="n"/>
      <c r="K437" s="109" t="n"/>
      <c r="L437" s="109" t="n"/>
      <c r="N437" s="109" t="n"/>
      <c r="O437" s="109" t="n"/>
      <c r="P437" s="109" t="n"/>
      <c r="T437" s="109" t="n"/>
      <c r="U437" s="109" t="n"/>
      <c r="V437" s="109" t="n"/>
      <c r="Z437" s="109" t="n"/>
      <c r="AA437" s="109" t="n"/>
      <c r="AB437" s="109" t="n"/>
      <c r="AF437" s="109" t="n"/>
      <c r="AG437" s="109" t="n"/>
      <c r="AH437" s="109" t="n"/>
      <c r="AL437" s="109" t="n"/>
      <c r="AM437" s="109" t="n"/>
      <c r="AN437" s="109" t="n"/>
    </row>
    <row r="438" ht="15.75" customHeight="1" s="216">
      <c r="D438" s="109" t="n"/>
      <c r="E438" s="109" t="n"/>
      <c r="J438" s="109" t="n"/>
      <c r="K438" s="109" t="n"/>
      <c r="L438" s="109" t="n"/>
      <c r="N438" s="109" t="n"/>
      <c r="O438" s="109" t="n"/>
      <c r="P438" s="109" t="n"/>
      <c r="T438" s="109" t="n"/>
      <c r="U438" s="109" t="n"/>
      <c r="V438" s="109" t="n"/>
      <c r="Z438" s="109" t="n"/>
      <c r="AA438" s="109" t="n"/>
      <c r="AB438" s="109" t="n"/>
      <c r="AF438" s="109" t="n"/>
      <c r="AG438" s="109" t="n"/>
      <c r="AH438" s="109" t="n"/>
      <c r="AL438" s="109" t="n"/>
      <c r="AM438" s="109" t="n"/>
      <c r="AN438" s="109" t="n"/>
    </row>
    <row r="439" ht="15.75" customHeight="1" s="216">
      <c r="D439" s="109" t="n"/>
      <c r="E439" s="109" t="n"/>
      <c r="J439" s="109" t="n"/>
      <c r="K439" s="109" t="n"/>
      <c r="L439" s="109" t="n"/>
      <c r="N439" s="109" t="n"/>
      <c r="O439" s="109" t="n"/>
      <c r="P439" s="109" t="n"/>
      <c r="T439" s="109" t="n"/>
      <c r="U439" s="109" t="n"/>
      <c r="V439" s="109" t="n"/>
      <c r="Z439" s="109" t="n"/>
      <c r="AA439" s="109" t="n"/>
      <c r="AB439" s="109" t="n"/>
      <c r="AF439" s="109" t="n"/>
      <c r="AG439" s="109" t="n"/>
      <c r="AH439" s="109" t="n"/>
      <c r="AL439" s="109" t="n"/>
      <c r="AM439" s="109" t="n"/>
      <c r="AN439" s="109" t="n"/>
    </row>
    <row r="440" ht="15.75" customHeight="1" s="216">
      <c r="D440" s="109" t="n"/>
      <c r="E440" s="109" t="n"/>
      <c r="J440" s="109" t="n"/>
      <c r="K440" s="109" t="n"/>
      <c r="L440" s="109" t="n"/>
      <c r="N440" s="109" t="n"/>
      <c r="O440" s="109" t="n"/>
      <c r="P440" s="109" t="n"/>
      <c r="T440" s="109" t="n"/>
      <c r="U440" s="109" t="n"/>
      <c r="V440" s="109" t="n"/>
      <c r="Z440" s="109" t="n"/>
      <c r="AA440" s="109" t="n"/>
      <c r="AB440" s="109" t="n"/>
      <c r="AF440" s="109" t="n"/>
      <c r="AG440" s="109" t="n"/>
      <c r="AH440" s="109" t="n"/>
      <c r="AL440" s="109" t="n"/>
      <c r="AM440" s="109" t="n"/>
      <c r="AN440" s="109" t="n"/>
    </row>
    <row r="441" ht="15.75" customHeight="1" s="216">
      <c r="D441" s="109" t="n"/>
      <c r="E441" s="109" t="n"/>
      <c r="J441" s="109" t="n"/>
      <c r="K441" s="109" t="n"/>
      <c r="L441" s="109" t="n"/>
      <c r="N441" s="109" t="n"/>
      <c r="O441" s="109" t="n"/>
      <c r="P441" s="109" t="n"/>
      <c r="T441" s="109" t="n"/>
      <c r="U441" s="109" t="n"/>
      <c r="V441" s="109" t="n"/>
      <c r="Z441" s="109" t="n"/>
      <c r="AA441" s="109" t="n"/>
      <c r="AB441" s="109" t="n"/>
      <c r="AF441" s="109" t="n"/>
      <c r="AG441" s="109" t="n"/>
      <c r="AH441" s="109" t="n"/>
      <c r="AL441" s="109" t="n"/>
      <c r="AM441" s="109" t="n"/>
      <c r="AN441" s="109" t="n"/>
    </row>
    <row r="442" ht="15.75" customHeight="1" s="216">
      <c r="D442" s="109" t="n"/>
      <c r="E442" s="109" t="n"/>
      <c r="J442" s="109" t="n"/>
      <c r="K442" s="109" t="n"/>
      <c r="L442" s="109" t="n"/>
      <c r="N442" s="109" t="n"/>
      <c r="O442" s="109" t="n"/>
      <c r="P442" s="109" t="n"/>
      <c r="T442" s="109" t="n"/>
      <c r="U442" s="109" t="n"/>
      <c r="V442" s="109" t="n"/>
      <c r="Z442" s="109" t="n"/>
      <c r="AA442" s="109" t="n"/>
      <c r="AB442" s="109" t="n"/>
      <c r="AF442" s="109" t="n"/>
      <c r="AG442" s="109" t="n"/>
      <c r="AH442" s="109" t="n"/>
      <c r="AL442" s="109" t="n"/>
      <c r="AM442" s="109" t="n"/>
      <c r="AN442" s="109" t="n"/>
    </row>
    <row r="443" ht="15.75" customHeight="1" s="216">
      <c r="D443" s="109" t="n"/>
      <c r="E443" s="109" t="n"/>
      <c r="J443" s="109" t="n"/>
      <c r="K443" s="109" t="n"/>
      <c r="L443" s="109" t="n"/>
      <c r="N443" s="109" t="n"/>
      <c r="O443" s="109" t="n"/>
      <c r="P443" s="109" t="n"/>
      <c r="T443" s="109" t="n"/>
      <c r="U443" s="109" t="n"/>
      <c r="V443" s="109" t="n"/>
      <c r="Z443" s="109" t="n"/>
      <c r="AA443" s="109" t="n"/>
      <c r="AB443" s="109" t="n"/>
      <c r="AF443" s="109" t="n"/>
      <c r="AG443" s="109" t="n"/>
      <c r="AH443" s="109" t="n"/>
      <c r="AL443" s="109" t="n"/>
      <c r="AM443" s="109" t="n"/>
      <c r="AN443" s="109" t="n"/>
    </row>
    <row r="444" ht="15.75" customHeight="1" s="216">
      <c r="D444" s="109" t="n"/>
      <c r="E444" s="109" t="n"/>
      <c r="J444" s="109" t="n"/>
      <c r="K444" s="109" t="n"/>
      <c r="L444" s="109" t="n"/>
      <c r="N444" s="109" t="n"/>
      <c r="O444" s="109" t="n"/>
      <c r="P444" s="109" t="n"/>
      <c r="T444" s="109" t="n"/>
      <c r="U444" s="109" t="n"/>
      <c r="V444" s="109" t="n"/>
      <c r="Z444" s="109" t="n"/>
      <c r="AA444" s="109" t="n"/>
      <c r="AB444" s="109" t="n"/>
      <c r="AF444" s="109" t="n"/>
      <c r="AG444" s="109" t="n"/>
      <c r="AH444" s="109" t="n"/>
      <c r="AL444" s="109" t="n"/>
      <c r="AM444" s="109" t="n"/>
      <c r="AN444" s="109" t="n"/>
    </row>
    <row r="445" ht="15.75" customHeight="1" s="216">
      <c r="D445" s="109" t="n"/>
      <c r="E445" s="109" t="n"/>
      <c r="J445" s="109" t="n"/>
      <c r="K445" s="109" t="n"/>
      <c r="L445" s="109" t="n"/>
      <c r="N445" s="109" t="n"/>
      <c r="O445" s="109" t="n"/>
      <c r="P445" s="109" t="n"/>
      <c r="T445" s="109" t="n"/>
      <c r="U445" s="109" t="n"/>
      <c r="V445" s="109" t="n"/>
      <c r="Z445" s="109" t="n"/>
      <c r="AA445" s="109" t="n"/>
      <c r="AB445" s="109" t="n"/>
      <c r="AF445" s="109" t="n"/>
      <c r="AG445" s="109" t="n"/>
      <c r="AH445" s="109" t="n"/>
      <c r="AL445" s="109" t="n"/>
      <c r="AM445" s="109" t="n"/>
      <c r="AN445" s="109" t="n"/>
    </row>
    <row r="446" ht="15.75" customHeight="1" s="216">
      <c r="D446" s="109" t="n"/>
      <c r="E446" s="109" t="n"/>
      <c r="J446" s="109" t="n"/>
      <c r="K446" s="109" t="n"/>
      <c r="L446" s="109" t="n"/>
      <c r="N446" s="109" t="n"/>
      <c r="O446" s="109" t="n"/>
      <c r="P446" s="109" t="n"/>
      <c r="T446" s="109" t="n"/>
      <c r="U446" s="109" t="n"/>
      <c r="V446" s="109" t="n"/>
      <c r="Z446" s="109" t="n"/>
      <c r="AA446" s="109" t="n"/>
      <c r="AB446" s="109" t="n"/>
      <c r="AF446" s="109" t="n"/>
      <c r="AG446" s="109" t="n"/>
      <c r="AH446" s="109" t="n"/>
      <c r="AL446" s="109" t="n"/>
      <c r="AM446" s="109" t="n"/>
      <c r="AN446" s="109" t="n"/>
    </row>
    <row r="447" ht="15.75" customHeight="1" s="216">
      <c r="D447" s="109" t="n"/>
      <c r="E447" s="109" t="n"/>
      <c r="J447" s="109" t="n"/>
      <c r="K447" s="109" t="n"/>
      <c r="L447" s="109" t="n"/>
      <c r="N447" s="109" t="n"/>
      <c r="O447" s="109" t="n"/>
      <c r="P447" s="109" t="n"/>
      <c r="T447" s="109" t="n"/>
      <c r="U447" s="109" t="n"/>
      <c r="V447" s="109" t="n"/>
      <c r="Z447" s="109" t="n"/>
      <c r="AA447" s="109" t="n"/>
      <c r="AB447" s="109" t="n"/>
      <c r="AF447" s="109" t="n"/>
      <c r="AG447" s="109" t="n"/>
      <c r="AH447" s="109" t="n"/>
      <c r="AL447" s="109" t="n"/>
      <c r="AM447" s="109" t="n"/>
      <c r="AN447" s="109" t="n"/>
    </row>
    <row r="448" ht="15.75" customHeight="1" s="216">
      <c r="D448" s="109" t="n"/>
      <c r="E448" s="109" t="n"/>
      <c r="J448" s="109" t="n"/>
      <c r="K448" s="109" t="n"/>
      <c r="L448" s="109" t="n"/>
      <c r="N448" s="109" t="n"/>
      <c r="O448" s="109" t="n"/>
      <c r="P448" s="109" t="n"/>
      <c r="T448" s="109" t="n"/>
      <c r="U448" s="109" t="n"/>
      <c r="V448" s="109" t="n"/>
      <c r="Z448" s="109" t="n"/>
      <c r="AA448" s="109" t="n"/>
      <c r="AB448" s="109" t="n"/>
      <c r="AF448" s="109" t="n"/>
      <c r="AG448" s="109" t="n"/>
      <c r="AH448" s="109" t="n"/>
      <c r="AL448" s="109" t="n"/>
      <c r="AM448" s="109" t="n"/>
      <c r="AN448" s="109" t="n"/>
    </row>
    <row r="449" ht="15.75" customHeight="1" s="216">
      <c r="D449" s="109" t="n"/>
      <c r="E449" s="109" t="n"/>
      <c r="J449" s="109" t="n"/>
      <c r="K449" s="109" t="n"/>
      <c r="L449" s="109" t="n"/>
      <c r="N449" s="109" t="n"/>
      <c r="O449" s="109" t="n"/>
      <c r="P449" s="109" t="n"/>
      <c r="T449" s="109" t="n"/>
      <c r="U449" s="109" t="n"/>
      <c r="V449" s="109" t="n"/>
      <c r="Z449" s="109" t="n"/>
      <c r="AA449" s="109" t="n"/>
      <c r="AB449" s="109" t="n"/>
      <c r="AF449" s="109" t="n"/>
      <c r="AG449" s="109" t="n"/>
      <c r="AH449" s="109" t="n"/>
      <c r="AL449" s="109" t="n"/>
      <c r="AM449" s="109" t="n"/>
      <c r="AN449" s="109" t="n"/>
    </row>
    <row r="450" ht="15.75" customHeight="1" s="216">
      <c r="D450" s="109" t="n"/>
      <c r="E450" s="109" t="n"/>
      <c r="J450" s="109" t="n"/>
      <c r="K450" s="109" t="n"/>
      <c r="L450" s="109" t="n"/>
      <c r="N450" s="109" t="n"/>
      <c r="O450" s="109" t="n"/>
      <c r="P450" s="109" t="n"/>
      <c r="T450" s="109" t="n"/>
      <c r="U450" s="109" t="n"/>
      <c r="V450" s="109" t="n"/>
      <c r="Z450" s="109" t="n"/>
      <c r="AA450" s="109" t="n"/>
      <c r="AB450" s="109" t="n"/>
      <c r="AF450" s="109" t="n"/>
      <c r="AG450" s="109" t="n"/>
      <c r="AH450" s="109" t="n"/>
      <c r="AL450" s="109" t="n"/>
      <c r="AM450" s="109" t="n"/>
      <c r="AN450" s="109" t="n"/>
    </row>
    <row r="451" ht="15.75" customHeight="1" s="216">
      <c r="D451" s="109" t="n"/>
      <c r="E451" s="109" t="n"/>
      <c r="J451" s="109" t="n"/>
      <c r="K451" s="109" t="n"/>
      <c r="L451" s="109" t="n"/>
      <c r="N451" s="109" t="n"/>
      <c r="O451" s="109" t="n"/>
      <c r="P451" s="109" t="n"/>
      <c r="T451" s="109" t="n"/>
      <c r="U451" s="109" t="n"/>
      <c r="V451" s="109" t="n"/>
      <c r="Z451" s="109" t="n"/>
      <c r="AA451" s="109" t="n"/>
      <c r="AB451" s="109" t="n"/>
      <c r="AF451" s="109" t="n"/>
      <c r="AG451" s="109" t="n"/>
      <c r="AH451" s="109" t="n"/>
      <c r="AL451" s="109" t="n"/>
      <c r="AM451" s="109" t="n"/>
      <c r="AN451" s="109" t="n"/>
    </row>
    <row r="452" ht="15.75" customHeight="1" s="216">
      <c r="D452" s="109" t="n"/>
      <c r="E452" s="109" t="n"/>
      <c r="J452" s="109" t="n"/>
      <c r="K452" s="109" t="n"/>
      <c r="L452" s="109" t="n"/>
      <c r="N452" s="109" t="n"/>
      <c r="O452" s="109" t="n"/>
      <c r="P452" s="109" t="n"/>
      <c r="T452" s="109" t="n"/>
      <c r="U452" s="109" t="n"/>
      <c r="V452" s="109" t="n"/>
      <c r="Z452" s="109" t="n"/>
      <c r="AA452" s="109" t="n"/>
      <c r="AB452" s="109" t="n"/>
      <c r="AF452" s="109" t="n"/>
      <c r="AG452" s="109" t="n"/>
      <c r="AH452" s="109" t="n"/>
      <c r="AL452" s="109" t="n"/>
      <c r="AM452" s="109" t="n"/>
      <c r="AN452" s="109" t="n"/>
    </row>
    <row r="453" ht="15.75" customHeight="1" s="216">
      <c r="D453" s="109" t="n"/>
      <c r="E453" s="109" t="n"/>
      <c r="J453" s="109" t="n"/>
      <c r="K453" s="109" t="n"/>
      <c r="L453" s="109" t="n"/>
      <c r="N453" s="109" t="n"/>
      <c r="O453" s="109" t="n"/>
      <c r="P453" s="109" t="n"/>
      <c r="T453" s="109" t="n"/>
      <c r="U453" s="109" t="n"/>
      <c r="V453" s="109" t="n"/>
      <c r="Z453" s="109" t="n"/>
      <c r="AA453" s="109" t="n"/>
      <c r="AB453" s="109" t="n"/>
      <c r="AF453" s="109" t="n"/>
      <c r="AG453" s="109" t="n"/>
      <c r="AH453" s="109" t="n"/>
      <c r="AL453" s="109" t="n"/>
      <c r="AM453" s="109" t="n"/>
      <c r="AN453" s="109" t="n"/>
    </row>
    <row r="454" ht="15.75" customHeight="1" s="216">
      <c r="D454" s="109" t="n"/>
      <c r="E454" s="109" t="n"/>
      <c r="J454" s="109" t="n"/>
      <c r="K454" s="109" t="n"/>
      <c r="L454" s="109" t="n"/>
      <c r="N454" s="109" t="n"/>
      <c r="O454" s="109" t="n"/>
      <c r="P454" s="109" t="n"/>
      <c r="T454" s="109" t="n"/>
      <c r="U454" s="109" t="n"/>
      <c r="V454" s="109" t="n"/>
      <c r="Z454" s="109" t="n"/>
      <c r="AA454" s="109" t="n"/>
      <c r="AB454" s="109" t="n"/>
      <c r="AF454" s="109" t="n"/>
      <c r="AG454" s="109" t="n"/>
      <c r="AH454" s="109" t="n"/>
      <c r="AL454" s="109" t="n"/>
      <c r="AM454" s="109" t="n"/>
      <c r="AN454" s="109" t="n"/>
    </row>
    <row r="455" ht="15.75" customHeight="1" s="216">
      <c r="D455" s="109" t="n"/>
      <c r="E455" s="109" t="n"/>
      <c r="J455" s="109" t="n"/>
      <c r="K455" s="109" t="n"/>
      <c r="L455" s="109" t="n"/>
      <c r="N455" s="109" t="n"/>
      <c r="O455" s="109" t="n"/>
      <c r="P455" s="109" t="n"/>
      <c r="T455" s="109" t="n"/>
      <c r="U455" s="109" t="n"/>
      <c r="V455" s="109" t="n"/>
      <c r="Z455" s="109" t="n"/>
      <c r="AA455" s="109" t="n"/>
      <c r="AB455" s="109" t="n"/>
      <c r="AF455" s="109" t="n"/>
      <c r="AG455" s="109" t="n"/>
      <c r="AH455" s="109" t="n"/>
      <c r="AL455" s="109" t="n"/>
      <c r="AM455" s="109" t="n"/>
      <c r="AN455" s="109" t="n"/>
    </row>
    <row r="456" ht="15.75" customHeight="1" s="216">
      <c r="D456" s="109" t="n"/>
      <c r="E456" s="109" t="n"/>
      <c r="J456" s="109" t="n"/>
      <c r="K456" s="109" t="n"/>
      <c r="L456" s="109" t="n"/>
      <c r="N456" s="109" t="n"/>
      <c r="O456" s="109" t="n"/>
      <c r="P456" s="109" t="n"/>
      <c r="T456" s="109" t="n"/>
      <c r="U456" s="109" t="n"/>
      <c r="V456" s="109" t="n"/>
      <c r="Z456" s="109" t="n"/>
      <c r="AA456" s="109" t="n"/>
      <c r="AB456" s="109" t="n"/>
      <c r="AF456" s="109" t="n"/>
      <c r="AG456" s="109" t="n"/>
      <c r="AH456" s="109" t="n"/>
      <c r="AL456" s="109" t="n"/>
      <c r="AM456" s="109" t="n"/>
      <c r="AN456" s="109" t="n"/>
    </row>
    <row r="457" ht="15.75" customHeight="1" s="216">
      <c r="D457" s="109" t="n"/>
      <c r="E457" s="109" t="n"/>
      <c r="J457" s="109" t="n"/>
      <c r="K457" s="109" t="n"/>
      <c r="L457" s="109" t="n"/>
      <c r="N457" s="109" t="n"/>
      <c r="O457" s="109" t="n"/>
      <c r="P457" s="109" t="n"/>
      <c r="T457" s="109" t="n"/>
      <c r="U457" s="109" t="n"/>
      <c r="V457" s="109" t="n"/>
      <c r="Z457" s="109" t="n"/>
      <c r="AA457" s="109" t="n"/>
      <c r="AB457" s="109" t="n"/>
      <c r="AF457" s="109" t="n"/>
      <c r="AG457" s="109" t="n"/>
      <c r="AH457" s="109" t="n"/>
      <c r="AL457" s="109" t="n"/>
      <c r="AM457" s="109" t="n"/>
      <c r="AN457" s="109" t="n"/>
    </row>
    <row r="458" ht="15.75" customHeight="1" s="216">
      <c r="D458" s="109" t="n"/>
      <c r="E458" s="109" t="n"/>
      <c r="J458" s="109" t="n"/>
      <c r="K458" s="109" t="n"/>
      <c r="L458" s="109" t="n"/>
      <c r="N458" s="109" t="n"/>
      <c r="O458" s="109" t="n"/>
      <c r="P458" s="109" t="n"/>
      <c r="T458" s="109" t="n"/>
      <c r="U458" s="109" t="n"/>
      <c r="V458" s="109" t="n"/>
      <c r="Z458" s="109" t="n"/>
      <c r="AA458" s="109" t="n"/>
      <c r="AB458" s="109" t="n"/>
      <c r="AF458" s="109" t="n"/>
      <c r="AG458" s="109" t="n"/>
      <c r="AH458" s="109" t="n"/>
      <c r="AL458" s="109" t="n"/>
      <c r="AM458" s="109" t="n"/>
      <c r="AN458" s="109" t="n"/>
    </row>
    <row r="459" ht="15.75" customHeight="1" s="216">
      <c r="D459" s="109" t="n"/>
      <c r="E459" s="109" t="n"/>
      <c r="J459" s="109" t="n"/>
      <c r="K459" s="109" t="n"/>
      <c r="L459" s="109" t="n"/>
      <c r="N459" s="109" t="n"/>
      <c r="O459" s="109" t="n"/>
      <c r="P459" s="109" t="n"/>
      <c r="T459" s="109" t="n"/>
      <c r="U459" s="109" t="n"/>
      <c r="V459" s="109" t="n"/>
      <c r="Z459" s="109" t="n"/>
      <c r="AA459" s="109" t="n"/>
      <c r="AB459" s="109" t="n"/>
      <c r="AF459" s="109" t="n"/>
      <c r="AG459" s="109" t="n"/>
      <c r="AH459" s="109" t="n"/>
      <c r="AL459" s="109" t="n"/>
      <c r="AM459" s="109" t="n"/>
      <c r="AN459" s="109" t="n"/>
    </row>
    <row r="460" ht="15.75" customHeight="1" s="216">
      <c r="D460" s="109" t="n"/>
      <c r="E460" s="109" t="n"/>
      <c r="J460" s="109" t="n"/>
      <c r="K460" s="109" t="n"/>
      <c r="L460" s="109" t="n"/>
      <c r="N460" s="109" t="n"/>
      <c r="O460" s="109" t="n"/>
      <c r="P460" s="109" t="n"/>
      <c r="T460" s="109" t="n"/>
      <c r="U460" s="109" t="n"/>
      <c r="V460" s="109" t="n"/>
      <c r="Z460" s="109" t="n"/>
      <c r="AA460" s="109" t="n"/>
      <c r="AB460" s="109" t="n"/>
      <c r="AF460" s="109" t="n"/>
      <c r="AG460" s="109" t="n"/>
      <c r="AH460" s="109" t="n"/>
      <c r="AL460" s="109" t="n"/>
      <c r="AM460" s="109" t="n"/>
      <c r="AN460" s="109" t="n"/>
    </row>
    <row r="461" ht="15.75" customHeight="1" s="216">
      <c r="D461" s="109" t="n"/>
      <c r="E461" s="109" t="n"/>
      <c r="J461" s="109" t="n"/>
      <c r="K461" s="109" t="n"/>
      <c r="L461" s="109" t="n"/>
      <c r="N461" s="109" t="n"/>
      <c r="O461" s="109" t="n"/>
      <c r="P461" s="109" t="n"/>
      <c r="T461" s="109" t="n"/>
      <c r="U461" s="109" t="n"/>
      <c r="V461" s="109" t="n"/>
      <c r="Z461" s="109" t="n"/>
      <c r="AA461" s="109" t="n"/>
      <c r="AB461" s="109" t="n"/>
      <c r="AF461" s="109" t="n"/>
      <c r="AG461" s="109" t="n"/>
      <c r="AH461" s="109" t="n"/>
      <c r="AL461" s="109" t="n"/>
      <c r="AM461" s="109" t="n"/>
      <c r="AN461" s="109" t="n"/>
    </row>
    <row r="462" ht="15.75" customHeight="1" s="216">
      <c r="D462" s="109" t="n"/>
      <c r="E462" s="109" t="n"/>
      <c r="J462" s="109" t="n"/>
      <c r="K462" s="109" t="n"/>
      <c r="L462" s="109" t="n"/>
      <c r="N462" s="109" t="n"/>
      <c r="O462" s="109" t="n"/>
      <c r="P462" s="109" t="n"/>
      <c r="T462" s="109" t="n"/>
      <c r="U462" s="109" t="n"/>
      <c r="V462" s="109" t="n"/>
      <c r="Z462" s="109" t="n"/>
      <c r="AA462" s="109" t="n"/>
      <c r="AB462" s="109" t="n"/>
      <c r="AF462" s="109" t="n"/>
      <c r="AG462" s="109" t="n"/>
      <c r="AH462" s="109" t="n"/>
      <c r="AL462" s="109" t="n"/>
      <c r="AM462" s="109" t="n"/>
      <c r="AN462" s="109" t="n"/>
    </row>
    <row r="463" ht="15.75" customHeight="1" s="216">
      <c r="D463" s="109" t="n"/>
      <c r="E463" s="109" t="n"/>
      <c r="J463" s="109" t="n"/>
      <c r="K463" s="109" t="n"/>
      <c r="L463" s="109" t="n"/>
      <c r="N463" s="109" t="n"/>
      <c r="O463" s="109" t="n"/>
      <c r="P463" s="109" t="n"/>
      <c r="T463" s="109" t="n"/>
      <c r="U463" s="109" t="n"/>
      <c r="V463" s="109" t="n"/>
      <c r="Z463" s="109" t="n"/>
      <c r="AA463" s="109" t="n"/>
      <c r="AB463" s="109" t="n"/>
      <c r="AF463" s="109" t="n"/>
      <c r="AG463" s="109" t="n"/>
      <c r="AH463" s="109" t="n"/>
      <c r="AL463" s="109" t="n"/>
      <c r="AM463" s="109" t="n"/>
      <c r="AN463" s="109" t="n"/>
    </row>
    <row r="464" ht="15.75" customHeight="1" s="216">
      <c r="D464" s="109" t="n"/>
      <c r="E464" s="109" t="n"/>
      <c r="J464" s="109" t="n"/>
      <c r="K464" s="109" t="n"/>
      <c r="L464" s="109" t="n"/>
      <c r="N464" s="109" t="n"/>
      <c r="O464" s="109" t="n"/>
      <c r="P464" s="109" t="n"/>
      <c r="T464" s="109" t="n"/>
      <c r="U464" s="109" t="n"/>
      <c r="V464" s="109" t="n"/>
      <c r="Z464" s="109" t="n"/>
      <c r="AA464" s="109" t="n"/>
      <c r="AB464" s="109" t="n"/>
      <c r="AF464" s="109" t="n"/>
      <c r="AG464" s="109" t="n"/>
      <c r="AH464" s="109" t="n"/>
      <c r="AL464" s="109" t="n"/>
      <c r="AM464" s="109" t="n"/>
      <c r="AN464" s="109" t="n"/>
    </row>
    <row r="465" ht="15.75" customHeight="1" s="216">
      <c r="D465" s="109" t="n"/>
      <c r="E465" s="109" t="n"/>
      <c r="J465" s="109" t="n"/>
      <c r="K465" s="109" t="n"/>
      <c r="L465" s="109" t="n"/>
      <c r="N465" s="109" t="n"/>
      <c r="O465" s="109" t="n"/>
      <c r="P465" s="109" t="n"/>
      <c r="T465" s="109" t="n"/>
      <c r="U465" s="109" t="n"/>
      <c r="V465" s="109" t="n"/>
      <c r="Z465" s="109" t="n"/>
      <c r="AA465" s="109" t="n"/>
      <c r="AB465" s="109" t="n"/>
      <c r="AF465" s="109" t="n"/>
      <c r="AG465" s="109" t="n"/>
      <c r="AH465" s="109" t="n"/>
      <c r="AL465" s="109" t="n"/>
      <c r="AM465" s="109" t="n"/>
      <c r="AN465" s="109" t="n"/>
    </row>
    <row r="466" ht="15.75" customHeight="1" s="216">
      <c r="D466" s="109" t="n"/>
      <c r="E466" s="109" t="n"/>
      <c r="J466" s="109" t="n"/>
      <c r="K466" s="109" t="n"/>
      <c r="L466" s="109" t="n"/>
      <c r="N466" s="109" t="n"/>
      <c r="O466" s="109" t="n"/>
      <c r="P466" s="109" t="n"/>
      <c r="T466" s="109" t="n"/>
      <c r="U466" s="109" t="n"/>
      <c r="V466" s="109" t="n"/>
      <c r="Z466" s="109" t="n"/>
      <c r="AA466" s="109" t="n"/>
      <c r="AB466" s="109" t="n"/>
      <c r="AF466" s="109" t="n"/>
      <c r="AG466" s="109" t="n"/>
      <c r="AH466" s="109" t="n"/>
      <c r="AL466" s="109" t="n"/>
      <c r="AM466" s="109" t="n"/>
      <c r="AN466" s="109" t="n"/>
    </row>
    <row r="467" ht="15.75" customHeight="1" s="216">
      <c r="D467" s="109" t="n"/>
      <c r="E467" s="109" t="n"/>
      <c r="J467" s="109" t="n"/>
      <c r="K467" s="109" t="n"/>
      <c r="L467" s="109" t="n"/>
      <c r="N467" s="109" t="n"/>
      <c r="O467" s="109" t="n"/>
      <c r="P467" s="109" t="n"/>
      <c r="T467" s="109" t="n"/>
      <c r="U467" s="109" t="n"/>
      <c r="V467" s="109" t="n"/>
      <c r="Z467" s="109" t="n"/>
      <c r="AA467" s="109" t="n"/>
      <c r="AB467" s="109" t="n"/>
      <c r="AF467" s="109" t="n"/>
      <c r="AG467" s="109" t="n"/>
      <c r="AH467" s="109" t="n"/>
      <c r="AL467" s="109" t="n"/>
      <c r="AM467" s="109" t="n"/>
      <c r="AN467" s="109" t="n"/>
    </row>
    <row r="468" ht="15.75" customHeight="1" s="216">
      <c r="D468" s="109" t="n"/>
      <c r="E468" s="109" t="n"/>
      <c r="J468" s="109" t="n"/>
      <c r="K468" s="109" t="n"/>
      <c r="L468" s="109" t="n"/>
      <c r="N468" s="109" t="n"/>
      <c r="O468" s="109" t="n"/>
      <c r="P468" s="109" t="n"/>
      <c r="T468" s="109" t="n"/>
      <c r="U468" s="109" t="n"/>
      <c r="V468" s="109" t="n"/>
      <c r="Z468" s="109" t="n"/>
      <c r="AA468" s="109" t="n"/>
      <c r="AB468" s="109" t="n"/>
      <c r="AF468" s="109" t="n"/>
      <c r="AG468" s="109" t="n"/>
      <c r="AH468" s="109" t="n"/>
      <c r="AL468" s="109" t="n"/>
      <c r="AM468" s="109" t="n"/>
      <c r="AN468" s="109" t="n"/>
    </row>
    <row r="469" ht="15.75" customHeight="1" s="216">
      <c r="D469" s="109" t="n"/>
      <c r="E469" s="109" t="n"/>
      <c r="J469" s="109" t="n"/>
      <c r="K469" s="109" t="n"/>
      <c r="L469" s="109" t="n"/>
      <c r="N469" s="109" t="n"/>
      <c r="O469" s="109" t="n"/>
      <c r="P469" s="109" t="n"/>
      <c r="T469" s="109" t="n"/>
      <c r="U469" s="109" t="n"/>
      <c r="V469" s="109" t="n"/>
      <c r="Z469" s="109" t="n"/>
      <c r="AA469" s="109" t="n"/>
      <c r="AB469" s="109" t="n"/>
      <c r="AF469" s="109" t="n"/>
      <c r="AG469" s="109" t="n"/>
      <c r="AH469" s="109" t="n"/>
      <c r="AL469" s="109" t="n"/>
      <c r="AM469" s="109" t="n"/>
      <c r="AN469" s="109" t="n"/>
    </row>
    <row r="470" ht="15.75" customHeight="1" s="216">
      <c r="D470" s="109" t="n"/>
      <c r="E470" s="109" t="n"/>
      <c r="J470" s="109" t="n"/>
      <c r="K470" s="109" t="n"/>
      <c r="L470" s="109" t="n"/>
      <c r="N470" s="109" t="n"/>
      <c r="O470" s="109" t="n"/>
      <c r="P470" s="109" t="n"/>
      <c r="T470" s="109" t="n"/>
      <c r="U470" s="109" t="n"/>
      <c r="V470" s="109" t="n"/>
      <c r="Z470" s="109" t="n"/>
      <c r="AA470" s="109" t="n"/>
      <c r="AB470" s="109" t="n"/>
      <c r="AF470" s="109" t="n"/>
      <c r="AG470" s="109" t="n"/>
      <c r="AH470" s="109" t="n"/>
      <c r="AL470" s="109" t="n"/>
      <c r="AM470" s="109" t="n"/>
      <c r="AN470" s="109" t="n"/>
    </row>
    <row r="471" ht="15.75" customHeight="1" s="216">
      <c r="D471" s="109" t="n"/>
      <c r="E471" s="109" t="n"/>
      <c r="J471" s="109" t="n"/>
      <c r="K471" s="109" t="n"/>
      <c r="L471" s="109" t="n"/>
      <c r="N471" s="109" t="n"/>
      <c r="O471" s="109" t="n"/>
      <c r="P471" s="109" t="n"/>
      <c r="T471" s="109" t="n"/>
      <c r="U471" s="109" t="n"/>
      <c r="V471" s="109" t="n"/>
      <c r="Z471" s="109" t="n"/>
      <c r="AA471" s="109" t="n"/>
      <c r="AB471" s="109" t="n"/>
      <c r="AF471" s="109" t="n"/>
      <c r="AG471" s="109" t="n"/>
      <c r="AH471" s="109" t="n"/>
      <c r="AL471" s="109" t="n"/>
      <c r="AM471" s="109" t="n"/>
      <c r="AN471" s="109" t="n"/>
    </row>
    <row r="472" ht="15.75" customHeight="1" s="216">
      <c r="D472" s="109" t="n"/>
      <c r="E472" s="109" t="n"/>
      <c r="J472" s="109" t="n"/>
      <c r="K472" s="109" t="n"/>
      <c r="L472" s="109" t="n"/>
      <c r="N472" s="109" t="n"/>
      <c r="O472" s="109" t="n"/>
      <c r="P472" s="109" t="n"/>
      <c r="T472" s="109" t="n"/>
      <c r="U472" s="109" t="n"/>
      <c r="V472" s="109" t="n"/>
      <c r="Z472" s="109" t="n"/>
      <c r="AA472" s="109" t="n"/>
      <c r="AB472" s="109" t="n"/>
      <c r="AF472" s="109" t="n"/>
      <c r="AG472" s="109" t="n"/>
      <c r="AH472" s="109" t="n"/>
      <c r="AL472" s="109" t="n"/>
      <c r="AM472" s="109" t="n"/>
      <c r="AN472" s="109" t="n"/>
    </row>
    <row r="473" ht="15.75" customHeight="1" s="216">
      <c r="D473" s="109" t="n"/>
      <c r="E473" s="109" t="n"/>
      <c r="J473" s="109" t="n"/>
      <c r="K473" s="109" t="n"/>
      <c r="L473" s="109" t="n"/>
      <c r="N473" s="109" t="n"/>
      <c r="O473" s="109" t="n"/>
      <c r="P473" s="109" t="n"/>
      <c r="T473" s="109" t="n"/>
      <c r="U473" s="109" t="n"/>
      <c r="V473" s="109" t="n"/>
      <c r="Z473" s="109" t="n"/>
      <c r="AA473" s="109" t="n"/>
      <c r="AB473" s="109" t="n"/>
      <c r="AF473" s="109" t="n"/>
      <c r="AG473" s="109" t="n"/>
      <c r="AH473" s="109" t="n"/>
      <c r="AL473" s="109" t="n"/>
      <c r="AM473" s="109" t="n"/>
      <c r="AN473" s="109" t="n"/>
    </row>
    <row r="474" ht="15.75" customHeight="1" s="216">
      <c r="D474" s="109" t="n"/>
      <c r="E474" s="109" t="n"/>
      <c r="J474" s="109" t="n"/>
      <c r="K474" s="109" t="n"/>
      <c r="L474" s="109" t="n"/>
      <c r="N474" s="109" t="n"/>
      <c r="O474" s="109" t="n"/>
      <c r="P474" s="109" t="n"/>
      <c r="T474" s="109" t="n"/>
      <c r="U474" s="109" t="n"/>
      <c r="V474" s="109" t="n"/>
      <c r="Z474" s="109" t="n"/>
      <c r="AA474" s="109" t="n"/>
      <c r="AB474" s="109" t="n"/>
      <c r="AF474" s="109" t="n"/>
      <c r="AG474" s="109" t="n"/>
      <c r="AH474" s="109" t="n"/>
      <c r="AL474" s="109" t="n"/>
      <c r="AM474" s="109" t="n"/>
      <c r="AN474" s="109" t="n"/>
    </row>
    <row r="475" ht="15.75" customHeight="1" s="216">
      <c r="D475" s="109" t="n"/>
      <c r="E475" s="109" t="n"/>
      <c r="J475" s="109" t="n"/>
      <c r="K475" s="109" t="n"/>
      <c r="L475" s="109" t="n"/>
      <c r="N475" s="109" t="n"/>
      <c r="O475" s="109" t="n"/>
      <c r="P475" s="109" t="n"/>
      <c r="T475" s="109" t="n"/>
      <c r="U475" s="109" t="n"/>
      <c r="V475" s="109" t="n"/>
      <c r="Z475" s="109" t="n"/>
      <c r="AA475" s="109" t="n"/>
      <c r="AB475" s="109" t="n"/>
      <c r="AF475" s="109" t="n"/>
      <c r="AG475" s="109" t="n"/>
      <c r="AH475" s="109" t="n"/>
      <c r="AL475" s="109" t="n"/>
      <c r="AM475" s="109" t="n"/>
      <c r="AN475" s="109" t="n"/>
    </row>
    <row r="476" ht="15.75" customHeight="1" s="216">
      <c r="D476" s="109" t="n"/>
      <c r="E476" s="109" t="n"/>
      <c r="J476" s="109" t="n"/>
      <c r="K476" s="109" t="n"/>
      <c r="L476" s="109" t="n"/>
      <c r="N476" s="109" t="n"/>
      <c r="O476" s="109" t="n"/>
      <c r="P476" s="109" t="n"/>
      <c r="T476" s="109" t="n"/>
      <c r="U476" s="109" t="n"/>
      <c r="V476" s="109" t="n"/>
      <c r="Z476" s="109" t="n"/>
      <c r="AA476" s="109" t="n"/>
      <c r="AB476" s="109" t="n"/>
      <c r="AF476" s="109" t="n"/>
      <c r="AG476" s="109" t="n"/>
      <c r="AH476" s="109" t="n"/>
      <c r="AL476" s="109" t="n"/>
      <c r="AM476" s="109" t="n"/>
      <c r="AN476" s="109" t="n"/>
    </row>
    <row r="477" ht="15.75" customHeight="1" s="216">
      <c r="D477" s="109" t="n"/>
      <c r="E477" s="109" t="n"/>
      <c r="J477" s="109" t="n"/>
      <c r="K477" s="109" t="n"/>
      <c r="L477" s="109" t="n"/>
      <c r="N477" s="109" t="n"/>
      <c r="O477" s="109" t="n"/>
      <c r="P477" s="109" t="n"/>
      <c r="T477" s="109" t="n"/>
      <c r="U477" s="109" t="n"/>
      <c r="V477" s="109" t="n"/>
      <c r="Z477" s="109" t="n"/>
      <c r="AA477" s="109" t="n"/>
      <c r="AB477" s="109" t="n"/>
      <c r="AF477" s="109" t="n"/>
      <c r="AG477" s="109" t="n"/>
      <c r="AH477" s="109" t="n"/>
      <c r="AL477" s="109" t="n"/>
      <c r="AM477" s="109" t="n"/>
      <c r="AN477" s="109" t="n"/>
    </row>
    <row r="478" ht="15.75" customHeight="1" s="216">
      <c r="D478" s="109" t="n"/>
      <c r="E478" s="109" t="n"/>
      <c r="J478" s="109" t="n"/>
      <c r="K478" s="109" t="n"/>
      <c r="L478" s="109" t="n"/>
      <c r="N478" s="109" t="n"/>
      <c r="O478" s="109" t="n"/>
      <c r="P478" s="109" t="n"/>
      <c r="T478" s="109" t="n"/>
      <c r="U478" s="109" t="n"/>
      <c r="V478" s="109" t="n"/>
      <c r="Z478" s="109" t="n"/>
      <c r="AA478" s="109" t="n"/>
      <c r="AB478" s="109" t="n"/>
      <c r="AF478" s="109" t="n"/>
      <c r="AG478" s="109" t="n"/>
      <c r="AH478" s="109" t="n"/>
      <c r="AL478" s="109" t="n"/>
      <c r="AM478" s="109" t="n"/>
      <c r="AN478" s="109" t="n"/>
    </row>
    <row r="479" ht="15.75" customHeight="1" s="216">
      <c r="D479" s="109" t="n"/>
      <c r="E479" s="109" t="n"/>
      <c r="J479" s="109" t="n"/>
      <c r="K479" s="109" t="n"/>
      <c r="L479" s="109" t="n"/>
      <c r="N479" s="109" t="n"/>
      <c r="O479" s="109" t="n"/>
      <c r="P479" s="109" t="n"/>
      <c r="T479" s="109" t="n"/>
      <c r="U479" s="109" t="n"/>
      <c r="V479" s="109" t="n"/>
      <c r="Z479" s="109" t="n"/>
      <c r="AA479" s="109" t="n"/>
      <c r="AB479" s="109" t="n"/>
      <c r="AF479" s="109" t="n"/>
      <c r="AG479" s="109" t="n"/>
      <c r="AH479" s="109" t="n"/>
      <c r="AL479" s="109" t="n"/>
      <c r="AM479" s="109" t="n"/>
      <c r="AN479" s="109" t="n"/>
    </row>
    <row r="480" ht="15.75" customHeight="1" s="216">
      <c r="D480" s="109" t="n"/>
      <c r="E480" s="109" t="n"/>
      <c r="J480" s="109" t="n"/>
      <c r="K480" s="109" t="n"/>
      <c r="L480" s="109" t="n"/>
      <c r="N480" s="109" t="n"/>
      <c r="O480" s="109" t="n"/>
      <c r="P480" s="109" t="n"/>
      <c r="T480" s="109" t="n"/>
      <c r="U480" s="109" t="n"/>
      <c r="V480" s="109" t="n"/>
      <c r="Z480" s="109" t="n"/>
      <c r="AA480" s="109" t="n"/>
      <c r="AB480" s="109" t="n"/>
      <c r="AF480" s="109" t="n"/>
      <c r="AG480" s="109" t="n"/>
      <c r="AH480" s="109" t="n"/>
      <c r="AL480" s="109" t="n"/>
      <c r="AM480" s="109" t="n"/>
      <c r="AN480" s="109" t="n"/>
    </row>
    <row r="481" ht="15.75" customHeight="1" s="216">
      <c r="D481" s="109" t="n"/>
      <c r="E481" s="109" t="n"/>
      <c r="J481" s="109" t="n"/>
      <c r="K481" s="109" t="n"/>
      <c r="L481" s="109" t="n"/>
      <c r="N481" s="109" t="n"/>
      <c r="O481" s="109" t="n"/>
      <c r="P481" s="109" t="n"/>
      <c r="T481" s="109" t="n"/>
      <c r="U481" s="109" t="n"/>
      <c r="V481" s="109" t="n"/>
      <c r="Z481" s="109" t="n"/>
      <c r="AA481" s="109" t="n"/>
      <c r="AB481" s="109" t="n"/>
      <c r="AF481" s="109" t="n"/>
      <c r="AG481" s="109" t="n"/>
      <c r="AH481" s="109" t="n"/>
      <c r="AL481" s="109" t="n"/>
      <c r="AM481" s="109" t="n"/>
      <c r="AN481" s="109" t="n"/>
    </row>
    <row r="482" ht="15.75" customHeight="1" s="216">
      <c r="D482" s="109" t="n"/>
      <c r="E482" s="109" t="n"/>
      <c r="J482" s="109" t="n"/>
      <c r="K482" s="109" t="n"/>
      <c r="L482" s="109" t="n"/>
      <c r="N482" s="109" t="n"/>
      <c r="O482" s="109" t="n"/>
      <c r="P482" s="109" t="n"/>
      <c r="T482" s="109" t="n"/>
      <c r="U482" s="109" t="n"/>
      <c r="V482" s="109" t="n"/>
      <c r="Z482" s="109" t="n"/>
      <c r="AA482" s="109" t="n"/>
      <c r="AB482" s="109" t="n"/>
      <c r="AF482" s="109" t="n"/>
      <c r="AG482" s="109" t="n"/>
      <c r="AH482" s="109" t="n"/>
      <c r="AL482" s="109" t="n"/>
      <c r="AM482" s="109" t="n"/>
      <c r="AN482" s="109" t="n"/>
    </row>
    <row r="483" ht="15.75" customHeight="1" s="216">
      <c r="D483" s="109" t="n"/>
      <c r="E483" s="109" t="n"/>
      <c r="J483" s="109" t="n"/>
      <c r="K483" s="109" t="n"/>
      <c r="L483" s="109" t="n"/>
      <c r="N483" s="109" t="n"/>
      <c r="O483" s="109" t="n"/>
      <c r="P483" s="109" t="n"/>
      <c r="T483" s="109" t="n"/>
      <c r="U483" s="109" t="n"/>
      <c r="V483" s="109" t="n"/>
      <c r="Z483" s="109" t="n"/>
      <c r="AA483" s="109" t="n"/>
      <c r="AB483" s="109" t="n"/>
      <c r="AF483" s="109" t="n"/>
      <c r="AG483" s="109" t="n"/>
      <c r="AH483" s="109" t="n"/>
      <c r="AL483" s="109" t="n"/>
      <c r="AM483" s="109" t="n"/>
      <c r="AN483" s="109" t="n"/>
    </row>
    <row r="484" ht="15.75" customHeight="1" s="216">
      <c r="D484" s="109" t="n"/>
      <c r="E484" s="109" t="n"/>
      <c r="J484" s="109" t="n"/>
      <c r="K484" s="109" t="n"/>
      <c r="L484" s="109" t="n"/>
      <c r="N484" s="109" t="n"/>
      <c r="O484" s="109" t="n"/>
      <c r="P484" s="109" t="n"/>
      <c r="T484" s="109" t="n"/>
      <c r="U484" s="109" t="n"/>
      <c r="V484" s="109" t="n"/>
      <c r="Z484" s="109" t="n"/>
      <c r="AA484" s="109" t="n"/>
      <c r="AB484" s="109" t="n"/>
      <c r="AF484" s="109" t="n"/>
      <c r="AG484" s="109" t="n"/>
      <c r="AH484" s="109" t="n"/>
      <c r="AL484" s="109" t="n"/>
      <c r="AM484" s="109" t="n"/>
      <c r="AN484" s="109" t="n"/>
    </row>
    <row r="485" ht="15.75" customHeight="1" s="216">
      <c r="D485" s="109" t="n"/>
      <c r="E485" s="109" t="n"/>
      <c r="J485" s="109" t="n"/>
      <c r="K485" s="109" t="n"/>
      <c r="L485" s="109" t="n"/>
      <c r="N485" s="109" t="n"/>
      <c r="O485" s="109" t="n"/>
      <c r="P485" s="109" t="n"/>
      <c r="T485" s="109" t="n"/>
      <c r="U485" s="109" t="n"/>
      <c r="V485" s="109" t="n"/>
      <c r="Z485" s="109" t="n"/>
      <c r="AA485" s="109" t="n"/>
      <c r="AB485" s="109" t="n"/>
      <c r="AF485" s="109" t="n"/>
      <c r="AG485" s="109" t="n"/>
      <c r="AH485" s="109" t="n"/>
      <c r="AL485" s="109" t="n"/>
      <c r="AM485" s="109" t="n"/>
      <c r="AN485" s="109" t="n"/>
    </row>
    <row r="486" ht="15.75" customHeight="1" s="216">
      <c r="D486" s="109" t="n"/>
      <c r="E486" s="109" t="n"/>
      <c r="J486" s="109" t="n"/>
      <c r="K486" s="109" t="n"/>
      <c r="L486" s="109" t="n"/>
      <c r="N486" s="109" t="n"/>
      <c r="O486" s="109" t="n"/>
      <c r="P486" s="109" t="n"/>
      <c r="T486" s="109" t="n"/>
      <c r="U486" s="109" t="n"/>
      <c r="V486" s="109" t="n"/>
      <c r="Z486" s="109" t="n"/>
      <c r="AA486" s="109" t="n"/>
      <c r="AB486" s="109" t="n"/>
      <c r="AF486" s="109" t="n"/>
      <c r="AG486" s="109" t="n"/>
      <c r="AH486" s="109" t="n"/>
      <c r="AL486" s="109" t="n"/>
      <c r="AM486" s="109" t="n"/>
      <c r="AN486" s="109" t="n"/>
    </row>
    <row r="487" ht="15.75" customHeight="1" s="216">
      <c r="D487" s="109" t="n"/>
      <c r="E487" s="109" t="n"/>
      <c r="J487" s="109" t="n"/>
      <c r="K487" s="109" t="n"/>
      <c r="L487" s="109" t="n"/>
      <c r="N487" s="109" t="n"/>
      <c r="O487" s="109" t="n"/>
      <c r="P487" s="109" t="n"/>
      <c r="T487" s="109" t="n"/>
      <c r="U487" s="109" t="n"/>
      <c r="V487" s="109" t="n"/>
      <c r="Z487" s="109" t="n"/>
      <c r="AA487" s="109" t="n"/>
      <c r="AB487" s="109" t="n"/>
      <c r="AF487" s="109" t="n"/>
      <c r="AG487" s="109" t="n"/>
      <c r="AH487" s="109" t="n"/>
      <c r="AL487" s="109" t="n"/>
      <c r="AM487" s="109" t="n"/>
      <c r="AN487" s="109" t="n"/>
    </row>
    <row r="488" ht="15.75" customHeight="1" s="216">
      <c r="D488" s="109" t="n"/>
      <c r="E488" s="109" t="n"/>
      <c r="J488" s="109" t="n"/>
      <c r="K488" s="109" t="n"/>
      <c r="L488" s="109" t="n"/>
      <c r="N488" s="109" t="n"/>
      <c r="O488" s="109" t="n"/>
      <c r="P488" s="109" t="n"/>
      <c r="T488" s="109" t="n"/>
      <c r="U488" s="109" t="n"/>
      <c r="V488" s="109" t="n"/>
      <c r="Z488" s="109" t="n"/>
      <c r="AA488" s="109" t="n"/>
      <c r="AB488" s="109" t="n"/>
      <c r="AF488" s="109" t="n"/>
      <c r="AG488" s="109" t="n"/>
      <c r="AH488" s="109" t="n"/>
      <c r="AL488" s="109" t="n"/>
      <c r="AM488" s="109" t="n"/>
      <c r="AN488" s="109" t="n"/>
    </row>
    <row r="489" ht="15.75" customHeight="1" s="216">
      <c r="D489" s="109" t="n"/>
      <c r="E489" s="109" t="n"/>
      <c r="J489" s="109" t="n"/>
      <c r="K489" s="109" t="n"/>
      <c r="L489" s="109" t="n"/>
      <c r="N489" s="109" t="n"/>
      <c r="O489" s="109" t="n"/>
      <c r="P489" s="109" t="n"/>
      <c r="T489" s="109" t="n"/>
      <c r="U489" s="109" t="n"/>
      <c r="V489" s="109" t="n"/>
      <c r="Z489" s="109" t="n"/>
      <c r="AA489" s="109" t="n"/>
      <c r="AB489" s="109" t="n"/>
      <c r="AF489" s="109" t="n"/>
      <c r="AG489" s="109" t="n"/>
      <c r="AH489" s="109" t="n"/>
      <c r="AL489" s="109" t="n"/>
      <c r="AM489" s="109" t="n"/>
      <c r="AN489" s="109" t="n"/>
    </row>
    <row r="490" ht="15.75" customHeight="1" s="216">
      <c r="D490" s="109" t="n"/>
      <c r="E490" s="109" t="n"/>
      <c r="J490" s="109" t="n"/>
      <c r="K490" s="109" t="n"/>
      <c r="L490" s="109" t="n"/>
      <c r="N490" s="109" t="n"/>
      <c r="O490" s="109" t="n"/>
      <c r="P490" s="109" t="n"/>
      <c r="T490" s="109" t="n"/>
      <c r="U490" s="109" t="n"/>
      <c r="V490" s="109" t="n"/>
      <c r="Z490" s="109" t="n"/>
      <c r="AA490" s="109" t="n"/>
      <c r="AB490" s="109" t="n"/>
      <c r="AF490" s="109" t="n"/>
      <c r="AG490" s="109" t="n"/>
      <c r="AH490" s="109" t="n"/>
      <c r="AL490" s="109" t="n"/>
      <c r="AM490" s="109" t="n"/>
      <c r="AN490" s="109" t="n"/>
    </row>
    <row r="491" ht="15.75" customHeight="1" s="216">
      <c r="D491" s="109" t="n"/>
      <c r="E491" s="109" t="n"/>
      <c r="J491" s="109" t="n"/>
      <c r="K491" s="109" t="n"/>
      <c r="L491" s="109" t="n"/>
      <c r="N491" s="109" t="n"/>
      <c r="O491" s="109" t="n"/>
      <c r="P491" s="109" t="n"/>
      <c r="T491" s="109" t="n"/>
      <c r="U491" s="109" t="n"/>
      <c r="V491" s="109" t="n"/>
      <c r="Z491" s="109" t="n"/>
      <c r="AA491" s="109" t="n"/>
      <c r="AB491" s="109" t="n"/>
      <c r="AF491" s="109" t="n"/>
      <c r="AG491" s="109" t="n"/>
      <c r="AH491" s="109" t="n"/>
      <c r="AL491" s="109" t="n"/>
      <c r="AM491" s="109" t="n"/>
      <c r="AN491" s="109" t="n"/>
    </row>
    <row r="492" ht="15.75" customHeight="1" s="216">
      <c r="D492" s="109" t="n"/>
      <c r="E492" s="109" t="n"/>
      <c r="J492" s="109" t="n"/>
      <c r="K492" s="109" t="n"/>
      <c r="L492" s="109" t="n"/>
      <c r="N492" s="109" t="n"/>
      <c r="O492" s="109" t="n"/>
      <c r="P492" s="109" t="n"/>
      <c r="T492" s="109" t="n"/>
      <c r="U492" s="109" t="n"/>
      <c r="V492" s="109" t="n"/>
      <c r="Z492" s="109" t="n"/>
      <c r="AA492" s="109" t="n"/>
      <c r="AB492" s="109" t="n"/>
      <c r="AF492" s="109" t="n"/>
      <c r="AG492" s="109" t="n"/>
      <c r="AH492" s="109" t="n"/>
      <c r="AL492" s="109" t="n"/>
      <c r="AM492" s="109" t="n"/>
      <c r="AN492" s="109" t="n"/>
    </row>
    <row r="493" ht="15.75" customHeight="1" s="216">
      <c r="D493" s="109" t="n"/>
      <c r="E493" s="109" t="n"/>
      <c r="J493" s="109" t="n"/>
      <c r="K493" s="109" t="n"/>
      <c r="L493" s="109" t="n"/>
      <c r="N493" s="109" t="n"/>
      <c r="O493" s="109" t="n"/>
      <c r="P493" s="109" t="n"/>
      <c r="T493" s="109" t="n"/>
      <c r="U493" s="109" t="n"/>
      <c r="V493" s="109" t="n"/>
      <c r="Z493" s="109" t="n"/>
      <c r="AA493" s="109" t="n"/>
      <c r="AB493" s="109" t="n"/>
      <c r="AF493" s="109" t="n"/>
      <c r="AG493" s="109" t="n"/>
      <c r="AH493" s="109" t="n"/>
      <c r="AL493" s="109" t="n"/>
      <c r="AM493" s="109" t="n"/>
      <c r="AN493" s="109" t="n"/>
    </row>
    <row r="494" ht="15.75" customHeight="1" s="216">
      <c r="D494" s="109" t="n"/>
      <c r="E494" s="109" t="n"/>
      <c r="J494" s="109" t="n"/>
      <c r="K494" s="109" t="n"/>
      <c r="L494" s="109" t="n"/>
      <c r="N494" s="109" t="n"/>
      <c r="O494" s="109" t="n"/>
      <c r="P494" s="109" t="n"/>
      <c r="T494" s="109" t="n"/>
      <c r="U494" s="109" t="n"/>
      <c r="V494" s="109" t="n"/>
      <c r="Z494" s="109" t="n"/>
      <c r="AA494" s="109" t="n"/>
      <c r="AB494" s="109" t="n"/>
      <c r="AF494" s="109" t="n"/>
      <c r="AG494" s="109" t="n"/>
      <c r="AH494" s="109" t="n"/>
      <c r="AL494" s="109" t="n"/>
      <c r="AM494" s="109" t="n"/>
      <c r="AN494" s="109" t="n"/>
    </row>
    <row r="495" ht="15.75" customHeight="1" s="216">
      <c r="D495" s="109" t="n"/>
      <c r="E495" s="109" t="n"/>
      <c r="J495" s="109" t="n"/>
      <c r="K495" s="109" t="n"/>
      <c r="L495" s="109" t="n"/>
      <c r="N495" s="109" t="n"/>
      <c r="O495" s="109" t="n"/>
      <c r="P495" s="109" t="n"/>
      <c r="T495" s="109" t="n"/>
      <c r="U495" s="109" t="n"/>
      <c r="V495" s="109" t="n"/>
      <c r="Z495" s="109" t="n"/>
      <c r="AA495" s="109" t="n"/>
      <c r="AB495" s="109" t="n"/>
      <c r="AF495" s="109" t="n"/>
      <c r="AG495" s="109" t="n"/>
      <c r="AH495" s="109" t="n"/>
      <c r="AL495" s="109" t="n"/>
      <c r="AM495" s="109" t="n"/>
      <c r="AN495" s="109" t="n"/>
    </row>
    <row r="496" ht="15.75" customHeight="1" s="216">
      <c r="D496" s="109" t="n"/>
      <c r="E496" s="109" t="n"/>
      <c r="J496" s="109" t="n"/>
      <c r="K496" s="109" t="n"/>
      <c r="L496" s="109" t="n"/>
      <c r="N496" s="109" t="n"/>
      <c r="O496" s="109" t="n"/>
      <c r="P496" s="109" t="n"/>
      <c r="T496" s="109" t="n"/>
      <c r="U496" s="109" t="n"/>
      <c r="V496" s="109" t="n"/>
      <c r="Z496" s="109" t="n"/>
      <c r="AA496" s="109" t="n"/>
      <c r="AB496" s="109" t="n"/>
      <c r="AF496" s="109" t="n"/>
      <c r="AG496" s="109" t="n"/>
      <c r="AH496" s="109" t="n"/>
      <c r="AL496" s="109" t="n"/>
      <c r="AM496" s="109" t="n"/>
      <c r="AN496" s="109" t="n"/>
    </row>
    <row r="497" ht="15.75" customHeight="1" s="216">
      <c r="D497" s="109" t="n"/>
      <c r="E497" s="109" t="n"/>
      <c r="J497" s="109" t="n"/>
      <c r="K497" s="109" t="n"/>
      <c r="L497" s="109" t="n"/>
      <c r="N497" s="109" t="n"/>
      <c r="O497" s="109" t="n"/>
      <c r="P497" s="109" t="n"/>
      <c r="T497" s="109" t="n"/>
      <c r="U497" s="109" t="n"/>
      <c r="V497" s="109" t="n"/>
      <c r="Z497" s="109" t="n"/>
      <c r="AA497" s="109" t="n"/>
      <c r="AB497" s="109" t="n"/>
      <c r="AF497" s="109" t="n"/>
      <c r="AG497" s="109" t="n"/>
      <c r="AH497" s="109" t="n"/>
      <c r="AL497" s="109" t="n"/>
      <c r="AM497" s="109" t="n"/>
      <c r="AN497" s="109" t="n"/>
    </row>
    <row r="498" ht="15.75" customHeight="1" s="216">
      <c r="D498" s="109" t="n"/>
      <c r="E498" s="109" t="n"/>
      <c r="J498" s="109" t="n"/>
      <c r="K498" s="109" t="n"/>
      <c r="L498" s="109" t="n"/>
      <c r="N498" s="109" t="n"/>
      <c r="O498" s="109" t="n"/>
      <c r="P498" s="109" t="n"/>
      <c r="T498" s="109" t="n"/>
      <c r="U498" s="109" t="n"/>
      <c r="V498" s="109" t="n"/>
      <c r="Z498" s="109" t="n"/>
      <c r="AA498" s="109" t="n"/>
      <c r="AB498" s="109" t="n"/>
      <c r="AF498" s="109" t="n"/>
      <c r="AG498" s="109" t="n"/>
      <c r="AH498" s="109" t="n"/>
      <c r="AL498" s="109" t="n"/>
      <c r="AM498" s="109" t="n"/>
      <c r="AN498" s="109" t="n"/>
    </row>
    <row r="499" ht="15.75" customHeight="1" s="216">
      <c r="D499" s="109" t="n"/>
      <c r="E499" s="109" t="n"/>
      <c r="J499" s="109" t="n"/>
      <c r="K499" s="109" t="n"/>
      <c r="L499" s="109" t="n"/>
      <c r="N499" s="109" t="n"/>
      <c r="O499" s="109" t="n"/>
      <c r="P499" s="109" t="n"/>
      <c r="T499" s="109" t="n"/>
      <c r="U499" s="109" t="n"/>
      <c r="V499" s="109" t="n"/>
      <c r="Z499" s="109" t="n"/>
      <c r="AA499" s="109" t="n"/>
      <c r="AB499" s="109" t="n"/>
      <c r="AF499" s="109" t="n"/>
      <c r="AG499" s="109" t="n"/>
      <c r="AH499" s="109" t="n"/>
      <c r="AL499" s="109" t="n"/>
      <c r="AM499" s="109" t="n"/>
      <c r="AN499" s="109" t="n"/>
    </row>
    <row r="500" ht="15.75" customHeight="1" s="216">
      <c r="D500" s="109" t="n"/>
      <c r="E500" s="109" t="n"/>
      <c r="J500" s="109" t="n"/>
      <c r="K500" s="109" t="n"/>
      <c r="L500" s="109" t="n"/>
      <c r="N500" s="109" t="n"/>
      <c r="O500" s="109" t="n"/>
      <c r="P500" s="109" t="n"/>
      <c r="T500" s="109" t="n"/>
      <c r="U500" s="109" t="n"/>
      <c r="V500" s="109" t="n"/>
      <c r="Z500" s="109" t="n"/>
      <c r="AA500" s="109" t="n"/>
      <c r="AB500" s="109" t="n"/>
      <c r="AF500" s="109" t="n"/>
      <c r="AG500" s="109" t="n"/>
      <c r="AH500" s="109" t="n"/>
      <c r="AL500" s="109" t="n"/>
      <c r="AM500" s="109" t="n"/>
      <c r="AN500" s="109" t="n"/>
    </row>
    <row r="501" ht="15.75" customHeight="1" s="216"/>
    <row r="502" ht="15.75" customHeight="1" s="216"/>
    <row r="503" ht="15.75" customHeight="1" s="216"/>
    <row r="504" ht="15.75" customHeight="1" s="216"/>
    <row r="505" ht="15.75" customHeight="1" s="216"/>
    <row r="506" ht="15.75" customHeight="1" s="216"/>
    <row r="507" ht="15.75" customHeight="1" s="216"/>
    <row r="508" ht="15.75" customHeight="1" s="216"/>
    <row r="509" ht="15.75" customHeight="1" s="216"/>
    <row r="510" ht="15.75" customHeight="1" s="216"/>
    <row r="511" ht="15.75" customHeight="1" s="216"/>
    <row r="512" ht="15.75" customHeight="1" s="216"/>
    <row r="513" ht="15.75" customHeight="1" s="216"/>
    <row r="514" ht="15.75" customHeight="1" s="216"/>
    <row r="515" ht="15.75" customHeight="1" s="216"/>
    <row r="516" ht="15.75" customHeight="1" s="216"/>
    <row r="517" ht="15.75" customHeight="1" s="216"/>
    <row r="518" ht="15.75" customHeight="1" s="216"/>
    <row r="519" ht="15.75" customHeight="1" s="216"/>
    <row r="520" ht="15.75" customHeight="1" s="216"/>
    <row r="521" ht="15.75" customHeight="1" s="216"/>
    <row r="522" ht="15.75" customHeight="1" s="216"/>
    <row r="523" ht="15.75" customHeight="1" s="216"/>
    <row r="524" ht="15.75" customHeight="1" s="216"/>
    <row r="525" ht="15.75" customHeight="1" s="216"/>
    <row r="526" ht="15.75" customHeight="1" s="216"/>
    <row r="527" ht="15.75" customHeight="1" s="216"/>
    <row r="528" ht="15.75" customHeight="1" s="216"/>
    <row r="529" ht="15.75" customHeight="1" s="216"/>
    <row r="530" ht="15.75" customHeight="1" s="216"/>
    <row r="531" ht="15.75" customHeight="1" s="216"/>
    <row r="532" ht="15.75" customHeight="1" s="216"/>
    <row r="533" ht="15.75" customHeight="1" s="216"/>
    <row r="534" ht="15.75" customHeight="1" s="216"/>
    <row r="535" ht="15.75" customHeight="1" s="216"/>
    <row r="536" ht="15.75" customHeight="1" s="216"/>
    <row r="537" ht="15.75" customHeight="1" s="216"/>
    <row r="538" ht="15.75" customHeight="1" s="216"/>
    <row r="539" ht="15.75" customHeight="1" s="216"/>
    <row r="540" ht="15.75" customHeight="1" s="216"/>
    <row r="541" ht="15.75" customHeight="1" s="216"/>
    <row r="542" ht="15.75" customHeight="1" s="216"/>
    <row r="543" ht="15.75" customHeight="1" s="216"/>
    <row r="544" ht="15.75" customHeight="1" s="216"/>
    <row r="545" ht="15.75" customHeight="1" s="216"/>
    <row r="546" ht="15.75" customHeight="1" s="216"/>
    <row r="547" ht="15.75" customHeight="1" s="216"/>
    <row r="548" ht="15.75" customHeight="1" s="216"/>
    <row r="549" ht="15.75" customHeight="1" s="216"/>
    <row r="550" ht="15.75" customHeight="1" s="216"/>
    <row r="551" ht="15.75" customHeight="1" s="216"/>
    <row r="552" ht="15.75" customHeight="1" s="216"/>
    <row r="553" ht="15.75" customHeight="1" s="216"/>
    <row r="554" ht="15.75" customHeight="1" s="216"/>
    <row r="555" ht="15.75" customHeight="1" s="216"/>
    <row r="556" ht="15.75" customHeight="1" s="216"/>
    <row r="557" ht="15.75" customHeight="1" s="216"/>
    <row r="558" ht="15.75" customHeight="1" s="216"/>
    <row r="559" ht="15.75" customHeight="1" s="216"/>
    <row r="560" ht="15.75" customHeight="1" s="216"/>
    <row r="561" ht="15.75" customHeight="1" s="216"/>
    <row r="562" ht="15.75" customHeight="1" s="216"/>
    <row r="563" ht="15.75" customHeight="1" s="216"/>
    <row r="564" ht="15.75" customHeight="1" s="216"/>
    <row r="565" ht="15.75" customHeight="1" s="216"/>
    <row r="566" ht="15.75" customHeight="1" s="216"/>
    <row r="567" ht="15.75" customHeight="1" s="216"/>
    <row r="568" ht="15.75" customHeight="1" s="216"/>
    <row r="569" ht="15.75" customHeight="1" s="216"/>
    <row r="570" ht="15.75" customHeight="1" s="216"/>
    <row r="571" ht="15.75" customHeight="1" s="216"/>
    <row r="572" ht="15.75" customHeight="1" s="216"/>
    <row r="573" ht="15.75" customHeight="1" s="216"/>
    <row r="574" ht="15.75" customHeight="1" s="216"/>
    <row r="575" ht="15.75" customHeight="1" s="216"/>
    <row r="576" ht="15.75" customHeight="1" s="216"/>
    <row r="577" ht="15.75" customHeight="1" s="216"/>
    <row r="578" ht="15.75" customHeight="1" s="216"/>
    <row r="579" ht="15.75" customHeight="1" s="216"/>
    <row r="580" ht="15.75" customHeight="1" s="216"/>
    <row r="581" ht="15.75" customHeight="1" s="216"/>
    <row r="582" ht="15.75" customHeight="1" s="216"/>
    <row r="583" ht="15.75" customHeight="1" s="216"/>
    <row r="584" ht="15.75" customHeight="1" s="216"/>
    <row r="585" ht="15.75" customHeight="1" s="216"/>
    <row r="586" ht="15.75" customHeight="1" s="216"/>
    <row r="587" ht="15.75" customHeight="1" s="216"/>
    <row r="588" ht="15.75" customHeight="1" s="216"/>
    <row r="589" ht="15.75" customHeight="1" s="216"/>
    <row r="590" ht="15.75" customHeight="1" s="216"/>
    <row r="591" ht="15.75" customHeight="1" s="216"/>
    <row r="592" ht="15.75" customHeight="1" s="216"/>
    <row r="593" ht="15.75" customHeight="1" s="216"/>
    <row r="594" ht="15.75" customHeight="1" s="216"/>
    <row r="595" ht="15.75" customHeight="1" s="216"/>
    <row r="596" ht="15.75" customHeight="1" s="216"/>
    <row r="597" ht="15.75" customHeight="1" s="216"/>
    <row r="598" ht="15.75" customHeight="1" s="216"/>
    <row r="599" ht="15.75" customHeight="1" s="216"/>
    <row r="600" ht="15.75" customHeight="1" s="216"/>
    <row r="601" ht="15.75" customHeight="1" s="216"/>
    <row r="602" ht="15.75" customHeight="1" s="216"/>
    <row r="603" ht="15.75" customHeight="1" s="216"/>
    <row r="604" ht="15.75" customHeight="1" s="216"/>
    <row r="605" ht="15.75" customHeight="1" s="216"/>
    <row r="606" ht="15.75" customHeight="1" s="216"/>
    <row r="607" ht="15.75" customHeight="1" s="216"/>
    <row r="608" ht="15.75" customHeight="1" s="216"/>
    <row r="609" ht="15.75" customHeight="1" s="216"/>
    <row r="610" ht="15.75" customHeight="1" s="216"/>
    <row r="611" ht="15.75" customHeight="1" s="216"/>
    <row r="612" ht="15.75" customHeight="1" s="216"/>
    <row r="613" ht="15.75" customHeight="1" s="216"/>
    <row r="614" ht="15.75" customHeight="1" s="216"/>
    <row r="615" ht="15.75" customHeight="1" s="216"/>
    <row r="616" ht="15.75" customHeight="1" s="216"/>
    <row r="617" ht="15.75" customHeight="1" s="216"/>
    <row r="618" ht="15.75" customHeight="1" s="216"/>
    <row r="619" ht="15.75" customHeight="1" s="216"/>
    <row r="620" ht="15.75" customHeight="1" s="216"/>
    <row r="621" ht="15.75" customHeight="1" s="216"/>
    <row r="622" ht="15.75" customHeight="1" s="216"/>
    <row r="623" ht="15.75" customHeight="1" s="216"/>
    <row r="624" ht="15.75" customHeight="1" s="216"/>
    <row r="625" ht="15.75" customHeight="1" s="216"/>
    <row r="626" ht="15.75" customHeight="1" s="216"/>
    <row r="627" ht="15.75" customHeight="1" s="216"/>
    <row r="628" ht="15.75" customHeight="1" s="216"/>
    <row r="629" ht="15.75" customHeight="1" s="216"/>
    <row r="630" ht="15.75" customHeight="1" s="216"/>
    <row r="631" ht="15.75" customHeight="1" s="216"/>
    <row r="632" ht="15.75" customHeight="1" s="216"/>
    <row r="633" ht="15.75" customHeight="1" s="216"/>
    <row r="634" ht="15.75" customHeight="1" s="216"/>
    <row r="635" ht="15.75" customHeight="1" s="216"/>
    <row r="636" ht="15.75" customHeight="1" s="216"/>
    <row r="637" ht="15.75" customHeight="1" s="216"/>
    <row r="638" ht="15.75" customHeight="1" s="216"/>
    <row r="639" ht="15.75" customHeight="1" s="216"/>
    <row r="640" ht="15.75" customHeight="1" s="216"/>
    <row r="641" ht="15.75" customHeight="1" s="216"/>
    <row r="642" ht="15.75" customHeight="1" s="216"/>
    <row r="643" ht="15.75" customHeight="1" s="216"/>
    <row r="644" ht="15.75" customHeight="1" s="216"/>
    <row r="645" ht="15.75" customHeight="1" s="216"/>
    <row r="646" ht="15.75" customHeight="1" s="216"/>
    <row r="647" ht="15.75" customHeight="1" s="216"/>
    <row r="648" ht="15.75" customHeight="1" s="216"/>
    <row r="649" ht="15.75" customHeight="1" s="216"/>
    <row r="650" ht="15.75" customHeight="1" s="216"/>
    <row r="651" ht="15.75" customHeight="1" s="216"/>
    <row r="652" ht="15.75" customHeight="1" s="216"/>
    <row r="653" ht="15.75" customHeight="1" s="216"/>
    <row r="654" ht="15.75" customHeight="1" s="216"/>
    <row r="655" ht="15.75" customHeight="1" s="216"/>
    <row r="656" ht="15.75" customHeight="1" s="216"/>
    <row r="657" ht="15.75" customHeight="1" s="216"/>
    <row r="658" ht="15.75" customHeight="1" s="216"/>
    <row r="659" ht="15.75" customHeight="1" s="216"/>
    <row r="660" ht="15.75" customHeight="1" s="216"/>
    <row r="661" ht="15.75" customHeight="1" s="216"/>
    <row r="662" ht="15.75" customHeight="1" s="216"/>
    <row r="663" ht="15.75" customHeight="1" s="216"/>
    <row r="664" ht="15.75" customHeight="1" s="216"/>
    <row r="665" ht="15.75" customHeight="1" s="216"/>
    <row r="666" ht="15.75" customHeight="1" s="216"/>
    <row r="667" ht="15.75" customHeight="1" s="216"/>
    <row r="668" ht="15.75" customHeight="1" s="216"/>
    <row r="669" ht="15.75" customHeight="1" s="216"/>
    <row r="670" ht="15.75" customHeight="1" s="216"/>
    <row r="671" ht="15.75" customHeight="1" s="216"/>
    <row r="672" ht="15.75" customHeight="1" s="216"/>
    <row r="673" ht="15.75" customHeight="1" s="216"/>
    <row r="674" ht="15.75" customHeight="1" s="216"/>
    <row r="675" ht="15.75" customHeight="1" s="216"/>
    <row r="676" ht="15.75" customHeight="1" s="216"/>
    <row r="677" ht="15.75" customHeight="1" s="216"/>
    <row r="678" ht="15.75" customHeight="1" s="216"/>
    <row r="679" ht="15.75" customHeight="1" s="216"/>
    <row r="680" ht="15.75" customHeight="1" s="216"/>
    <row r="681" ht="15.75" customHeight="1" s="216"/>
    <row r="682" ht="15.75" customHeight="1" s="216"/>
    <row r="683" ht="15.75" customHeight="1" s="216"/>
    <row r="684" ht="15.75" customHeight="1" s="216"/>
    <row r="685" ht="15.75" customHeight="1" s="216"/>
    <row r="686" ht="15.75" customHeight="1" s="216"/>
    <row r="687" ht="15.75" customHeight="1" s="216"/>
    <row r="688" ht="15.75" customHeight="1" s="216"/>
    <row r="689" ht="15.75" customHeight="1" s="216"/>
    <row r="690" ht="15.75" customHeight="1" s="216"/>
    <row r="691" ht="15.75" customHeight="1" s="216"/>
    <row r="692" ht="15.75" customHeight="1" s="216"/>
    <row r="693" ht="15.75" customHeight="1" s="216"/>
    <row r="694" ht="15.75" customHeight="1" s="216"/>
    <row r="695" ht="15.75" customHeight="1" s="216"/>
    <row r="696" ht="15.75" customHeight="1" s="216"/>
    <row r="697" ht="15.75" customHeight="1" s="216"/>
    <row r="698" ht="15.75" customHeight="1" s="216"/>
    <row r="699" ht="15.75" customHeight="1" s="216"/>
    <row r="700" ht="15.75" customHeight="1" s="216"/>
    <row r="701" ht="15.75" customHeight="1" s="216"/>
    <row r="702" ht="15.75" customHeight="1" s="216"/>
    <row r="703" ht="15.75" customHeight="1" s="216"/>
    <row r="704" ht="15.75" customHeight="1" s="216"/>
    <row r="705" ht="15.75" customHeight="1" s="216"/>
    <row r="706" ht="15.75" customHeight="1" s="216"/>
    <row r="707" ht="15.75" customHeight="1" s="216"/>
    <row r="708" ht="15.75" customHeight="1" s="216"/>
    <row r="709" ht="15.75" customHeight="1" s="216"/>
    <row r="710" ht="15.75" customHeight="1" s="216"/>
    <row r="711" ht="15.75" customHeight="1" s="216"/>
    <row r="712" ht="15.75" customHeight="1" s="216"/>
    <row r="713" ht="15.75" customHeight="1" s="216"/>
    <row r="714" ht="15.75" customHeight="1" s="216"/>
    <row r="715" ht="15.75" customHeight="1" s="216"/>
    <row r="716" ht="15.75" customHeight="1" s="216"/>
    <row r="717" ht="15.75" customHeight="1" s="216"/>
    <row r="718" ht="15.75" customHeight="1" s="216"/>
    <row r="719" ht="15.75" customHeight="1" s="216"/>
    <row r="720" ht="15.75" customHeight="1" s="216"/>
    <row r="721" ht="15.75" customHeight="1" s="216"/>
    <row r="722" ht="15.75" customHeight="1" s="216"/>
    <row r="723" ht="15.75" customHeight="1" s="216"/>
    <row r="724" ht="15.75" customHeight="1" s="216"/>
    <row r="725" ht="15.75" customHeight="1" s="216"/>
    <row r="726" ht="15.75" customHeight="1" s="216"/>
    <row r="727" ht="15.75" customHeight="1" s="216"/>
    <row r="728" ht="15.75" customHeight="1" s="216"/>
    <row r="729" ht="15.75" customHeight="1" s="216"/>
    <row r="730" ht="15.75" customHeight="1" s="216"/>
    <row r="731" ht="15.75" customHeight="1" s="216"/>
    <row r="732" ht="15.75" customHeight="1" s="216"/>
    <row r="733" ht="15.75" customHeight="1" s="216"/>
    <row r="734" ht="15.75" customHeight="1" s="216"/>
    <row r="735" ht="15.75" customHeight="1" s="216"/>
    <row r="736" ht="15.75" customHeight="1" s="216"/>
    <row r="737" ht="15.75" customHeight="1" s="216"/>
    <row r="738" ht="15.75" customHeight="1" s="216"/>
    <row r="739" ht="15.75" customHeight="1" s="216"/>
    <row r="740" ht="15.75" customHeight="1" s="216"/>
    <row r="741" ht="15.75" customHeight="1" s="216"/>
    <row r="742" ht="15.75" customHeight="1" s="216"/>
    <row r="743" ht="15.75" customHeight="1" s="216"/>
    <row r="744" ht="15.75" customHeight="1" s="216"/>
    <row r="745" ht="15.75" customHeight="1" s="216"/>
    <row r="746" ht="15.75" customHeight="1" s="216"/>
    <row r="747" ht="15.75" customHeight="1" s="216"/>
    <row r="748" ht="15.75" customHeight="1" s="216"/>
    <row r="749" ht="15.75" customHeight="1" s="216"/>
    <row r="750" ht="15.75" customHeight="1" s="216"/>
    <row r="751" ht="15.75" customHeight="1" s="216"/>
    <row r="752" ht="15.75" customHeight="1" s="216"/>
    <row r="753" ht="15.75" customHeight="1" s="216"/>
    <row r="754" ht="15.75" customHeight="1" s="216"/>
    <row r="755" ht="15.75" customHeight="1" s="216"/>
    <row r="756" ht="15.75" customHeight="1" s="216"/>
    <row r="757" ht="15.75" customHeight="1" s="216"/>
    <row r="758" ht="15.75" customHeight="1" s="216"/>
    <row r="759" ht="15.75" customHeight="1" s="216"/>
    <row r="760" ht="15.75" customHeight="1" s="216"/>
    <row r="761" ht="15.75" customHeight="1" s="216"/>
    <row r="762" ht="15.75" customHeight="1" s="216"/>
    <row r="763" ht="15.75" customHeight="1" s="216"/>
    <row r="764" ht="15.75" customHeight="1" s="216"/>
    <row r="765" ht="15.75" customHeight="1" s="216"/>
    <row r="766" ht="15.75" customHeight="1" s="216"/>
    <row r="767" ht="15.75" customHeight="1" s="216"/>
    <row r="768" ht="15.75" customHeight="1" s="216"/>
    <row r="769" ht="15.75" customHeight="1" s="216"/>
    <row r="770" ht="15.75" customHeight="1" s="216"/>
    <row r="771" ht="15.75" customHeight="1" s="216"/>
    <row r="772" ht="15.75" customHeight="1" s="216"/>
    <row r="773" ht="15.75" customHeight="1" s="216"/>
    <row r="774" ht="15.75" customHeight="1" s="216"/>
    <row r="775" ht="15.75" customHeight="1" s="216"/>
    <row r="776" ht="15.75" customHeight="1" s="216"/>
    <row r="777" ht="15.75" customHeight="1" s="216"/>
    <row r="778" ht="15.75" customHeight="1" s="216"/>
    <row r="779" ht="15.75" customHeight="1" s="216"/>
    <row r="780" ht="15.75" customHeight="1" s="216"/>
    <row r="781" ht="15.75" customHeight="1" s="216"/>
    <row r="782" ht="15.75" customHeight="1" s="216"/>
    <row r="783" ht="15.75" customHeight="1" s="216"/>
    <row r="784" ht="15.75" customHeight="1" s="216"/>
    <row r="785" ht="15.75" customHeight="1" s="216"/>
    <row r="786" ht="15.75" customHeight="1" s="216"/>
    <row r="787" ht="15.75" customHeight="1" s="216"/>
    <row r="788" ht="15.75" customHeight="1" s="216"/>
    <row r="789" ht="15.75" customHeight="1" s="216"/>
    <row r="790" ht="15.75" customHeight="1" s="216"/>
    <row r="791" ht="15.75" customHeight="1" s="216"/>
    <row r="792" ht="15.75" customHeight="1" s="216"/>
    <row r="793" ht="15.75" customHeight="1" s="216"/>
    <row r="794" ht="15.75" customHeight="1" s="216"/>
    <row r="795" ht="15.75" customHeight="1" s="216"/>
    <row r="796" ht="15.75" customHeight="1" s="216"/>
    <row r="797" ht="15.75" customHeight="1" s="216"/>
    <row r="798" ht="15.75" customHeight="1" s="216"/>
    <row r="799" ht="15.75" customHeight="1" s="216"/>
    <row r="800" ht="15.75" customHeight="1" s="216"/>
    <row r="801" ht="15.75" customHeight="1" s="216"/>
    <row r="802" ht="15.75" customHeight="1" s="216"/>
    <row r="803" ht="15.75" customHeight="1" s="216"/>
    <row r="804" ht="15.75" customHeight="1" s="216"/>
    <row r="805" ht="15.75" customHeight="1" s="216"/>
    <row r="806" ht="15.75" customHeight="1" s="216"/>
    <row r="807" ht="15.75" customHeight="1" s="216"/>
    <row r="808" ht="15.75" customHeight="1" s="216"/>
    <row r="809" ht="15.75" customHeight="1" s="216"/>
    <row r="810" ht="15.75" customHeight="1" s="216"/>
    <row r="811" ht="15.75" customHeight="1" s="216"/>
    <row r="812" ht="15.75" customHeight="1" s="216"/>
    <row r="813" ht="15.75" customHeight="1" s="216"/>
    <row r="814" ht="15.75" customHeight="1" s="216"/>
    <row r="815" ht="15.75" customHeight="1" s="216"/>
    <row r="816" ht="15.75" customHeight="1" s="216"/>
    <row r="817" ht="15.75" customHeight="1" s="216"/>
    <row r="818" ht="15.75" customHeight="1" s="216"/>
    <row r="819" ht="15.75" customHeight="1" s="216"/>
    <row r="820" ht="15.75" customHeight="1" s="216"/>
    <row r="821" ht="15.75" customHeight="1" s="216"/>
    <row r="822" ht="15.75" customHeight="1" s="216"/>
    <row r="823" ht="15.75" customHeight="1" s="216"/>
    <row r="824" ht="15.75" customHeight="1" s="216"/>
    <row r="825" ht="15.75" customHeight="1" s="216"/>
    <row r="826" ht="15.75" customHeight="1" s="216"/>
    <row r="827" ht="15.75" customHeight="1" s="216"/>
    <row r="828" ht="15.75" customHeight="1" s="216"/>
    <row r="829" ht="15.75" customHeight="1" s="216"/>
    <row r="830" ht="15.75" customHeight="1" s="216"/>
    <row r="831" ht="15.75" customHeight="1" s="216"/>
    <row r="832" ht="15.75" customHeight="1" s="216"/>
    <row r="833" ht="15.75" customHeight="1" s="216"/>
    <row r="834" ht="15.75" customHeight="1" s="216"/>
    <row r="835" ht="15.75" customHeight="1" s="216"/>
    <row r="836" ht="15.75" customHeight="1" s="216"/>
    <row r="837" ht="15.75" customHeight="1" s="216"/>
    <row r="838" ht="15.75" customHeight="1" s="216"/>
    <row r="839" ht="15.75" customHeight="1" s="216"/>
    <row r="840" ht="15.75" customHeight="1" s="216"/>
    <row r="841" ht="15.75" customHeight="1" s="216"/>
    <row r="842" ht="15.75" customHeight="1" s="216"/>
    <row r="843" ht="15.75" customHeight="1" s="216"/>
    <row r="844" ht="15.75" customHeight="1" s="216"/>
    <row r="845" ht="15.75" customHeight="1" s="216"/>
    <row r="846" ht="15.75" customHeight="1" s="216"/>
    <row r="847" ht="15.75" customHeight="1" s="216"/>
    <row r="848" ht="15.75" customHeight="1" s="216"/>
    <row r="849" ht="15.75" customHeight="1" s="216"/>
    <row r="850" ht="15.75" customHeight="1" s="216"/>
    <row r="851" ht="15.75" customHeight="1" s="216"/>
    <row r="852" ht="15.75" customHeight="1" s="216"/>
    <row r="853" ht="15.75" customHeight="1" s="216"/>
    <row r="854" ht="15.75" customHeight="1" s="216"/>
    <row r="855" ht="15.75" customHeight="1" s="216"/>
    <row r="856" ht="15.75" customHeight="1" s="216"/>
    <row r="857" ht="15.75" customHeight="1" s="216"/>
    <row r="858" ht="15.75" customHeight="1" s="216"/>
    <row r="859" ht="15.75" customHeight="1" s="216"/>
    <row r="860" ht="15.75" customHeight="1" s="216"/>
    <row r="861" ht="15.75" customHeight="1" s="216"/>
    <row r="862" ht="15.75" customHeight="1" s="216"/>
    <row r="863" ht="15.75" customHeight="1" s="216"/>
    <row r="864" ht="15.75" customHeight="1" s="216"/>
    <row r="865" ht="15.75" customHeight="1" s="216"/>
    <row r="866" ht="15.75" customHeight="1" s="216"/>
    <row r="867" ht="15.75" customHeight="1" s="216"/>
    <row r="868" ht="15.75" customHeight="1" s="216"/>
    <row r="869" ht="15.75" customHeight="1" s="216"/>
    <row r="870" ht="15.75" customHeight="1" s="216"/>
    <row r="871" ht="15.75" customHeight="1" s="216"/>
    <row r="872" ht="15.75" customHeight="1" s="216"/>
    <row r="873" ht="15.75" customHeight="1" s="216"/>
    <row r="874" ht="15.75" customHeight="1" s="216"/>
    <row r="875" ht="15.75" customHeight="1" s="216"/>
    <row r="876" ht="15.75" customHeight="1" s="216"/>
    <row r="877" ht="15.75" customHeight="1" s="216"/>
    <row r="878" ht="15.75" customHeight="1" s="216"/>
    <row r="879" ht="15.75" customHeight="1" s="216"/>
    <row r="880" ht="15.75" customHeight="1" s="216"/>
    <row r="881" ht="15.75" customHeight="1" s="216"/>
    <row r="882" ht="15.75" customHeight="1" s="216"/>
    <row r="883" ht="15.75" customHeight="1" s="216"/>
    <row r="884" ht="15.75" customHeight="1" s="216"/>
    <row r="885" ht="15.75" customHeight="1" s="216"/>
    <row r="886" ht="15.75" customHeight="1" s="216"/>
    <row r="887" ht="15.75" customHeight="1" s="216"/>
    <row r="888" ht="15.75" customHeight="1" s="216"/>
    <row r="889" ht="15.75" customHeight="1" s="216"/>
    <row r="890" ht="15.75" customHeight="1" s="216"/>
    <row r="891" ht="15.75" customHeight="1" s="216"/>
    <row r="892" ht="15.75" customHeight="1" s="216"/>
    <row r="893" ht="15.75" customHeight="1" s="216"/>
    <row r="894" ht="15.75" customHeight="1" s="216"/>
    <row r="895" ht="15.75" customHeight="1" s="216"/>
    <row r="896" ht="15.75" customHeight="1" s="216"/>
    <row r="897" ht="15.75" customHeight="1" s="216"/>
    <row r="898" ht="15.75" customHeight="1" s="216"/>
    <row r="899" ht="15.75" customHeight="1" s="216"/>
    <row r="900" ht="15.75" customHeight="1" s="216"/>
    <row r="901" ht="15.75" customHeight="1" s="216"/>
    <row r="902" ht="15.75" customHeight="1" s="216"/>
    <row r="903" ht="15.75" customHeight="1" s="216"/>
    <row r="904" ht="15.75" customHeight="1" s="216"/>
    <row r="905" ht="15.75" customHeight="1" s="216"/>
    <row r="906" ht="15.75" customHeight="1" s="216"/>
    <row r="907" ht="15.75" customHeight="1" s="216"/>
    <row r="908" ht="15.75" customHeight="1" s="216"/>
    <row r="909" ht="15.75" customHeight="1" s="216"/>
    <row r="910" ht="15.75" customHeight="1" s="216"/>
    <row r="911" ht="15.75" customHeight="1" s="216"/>
    <row r="912" ht="15.75" customHeight="1" s="216"/>
    <row r="913" ht="15.75" customHeight="1" s="216"/>
    <row r="914" ht="15.75" customHeight="1" s="216"/>
    <row r="915" ht="15.75" customHeight="1" s="216"/>
    <row r="916" ht="15.75" customHeight="1" s="216"/>
    <row r="917" ht="15.75" customHeight="1" s="216"/>
    <row r="918" ht="15.75" customHeight="1" s="216"/>
    <row r="919" ht="15.75" customHeight="1" s="216"/>
    <row r="920" ht="15.75" customHeight="1" s="216"/>
    <row r="921" ht="15.75" customHeight="1" s="216"/>
    <row r="922" ht="15.75" customHeight="1" s="216"/>
    <row r="923" ht="15.75" customHeight="1" s="216"/>
    <row r="924" ht="15.75" customHeight="1" s="216"/>
    <row r="925" ht="15.75" customHeight="1" s="216"/>
    <row r="926" ht="15.75" customHeight="1" s="216"/>
    <row r="927" ht="15.75" customHeight="1" s="216"/>
    <row r="928" ht="15.75" customHeight="1" s="216"/>
    <row r="929" ht="15.75" customHeight="1" s="216"/>
    <row r="930" ht="15.75" customHeight="1" s="216"/>
    <row r="931" ht="15.75" customHeight="1" s="216"/>
    <row r="932" ht="15.75" customHeight="1" s="216"/>
    <row r="933" ht="15.75" customHeight="1" s="216"/>
    <row r="934" ht="15.75" customHeight="1" s="216"/>
    <row r="935" ht="15.75" customHeight="1" s="216"/>
    <row r="936" ht="15.75" customHeight="1" s="216"/>
    <row r="937" ht="15.75" customHeight="1" s="216"/>
    <row r="938" ht="15.75" customHeight="1" s="216"/>
    <row r="939" ht="15.75" customHeight="1" s="216"/>
    <row r="940" ht="15.75" customHeight="1" s="216"/>
    <row r="941" ht="15.75" customHeight="1" s="216"/>
    <row r="942" ht="15.75" customHeight="1" s="216"/>
    <row r="943" ht="15.75" customHeight="1" s="216"/>
    <row r="944" ht="15.75" customHeight="1" s="216"/>
    <row r="945" ht="15.75" customHeight="1" s="216"/>
    <row r="946" ht="15.75" customHeight="1" s="216"/>
    <row r="947" ht="15.75" customHeight="1" s="216"/>
    <row r="948" ht="15.75" customHeight="1" s="216"/>
    <row r="949" ht="15.75" customHeight="1" s="216"/>
    <row r="950" ht="15.75" customHeight="1" s="216"/>
    <row r="951" ht="15.75" customHeight="1" s="216"/>
    <row r="952" ht="15.75" customHeight="1" s="216"/>
    <row r="953" ht="15.75" customHeight="1" s="216"/>
    <row r="954" ht="15.75" customHeight="1" s="216"/>
    <row r="955" ht="15.75" customHeight="1" s="216"/>
    <row r="956" ht="15.75" customHeight="1" s="216"/>
    <row r="957" ht="15.75" customHeight="1" s="216"/>
    <row r="958" ht="15.75" customHeight="1" s="216"/>
    <row r="959" ht="15.75" customHeight="1" s="216"/>
    <row r="960" ht="15.75" customHeight="1" s="216"/>
    <row r="961" ht="15.75" customHeight="1" s="216"/>
    <row r="962" ht="15.75" customHeight="1" s="216"/>
    <row r="963" ht="15.75" customHeight="1" s="216"/>
    <row r="964" ht="15.75" customHeight="1" s="216"/>
    <row r="965" ht="15.75" customHeight="1" s="216"/>
    <row r="966" ht="15.75" customHeight="1" s="216"/>
    <row r="967" ht="15.75" customHeight="1" s="216"/>
    <row r="968" ht="15.75" customHeight="1" s="216"/>
    <row r="969" ht="15.75" customHeight="1" s="216"/>
    <row r="970" ht="15.75" customHeight="1" s="216"/>
    <row r="971" ht="15.75" customHeight="1" s="216"/>
    <row r="972" ht="15.75" customHeight="1" s="216"/>
    <row r="973" ht="15.75" customHeight="1" s="216"/>
    <row r="974" ht="15.75" customHeight="1" s="216"/>
    <row r="975" ht="15.75" customHeight="1" s="216"/>
    <row r="976" ht="15.75" customHeight="1" s="216"/>
    <row r="977" ht="15.75" customHeight="1" s="216"/>
    <row r="978" ht="15.75" customHeight="1" s="216"/>
    <row r="979" ht="15.75" customHeight="1" s="216"/>
    <row r="980" ht="15.75" customHeight="1" s="216"/>
    <row r="981" ht="15.75" customHeight="1" s="216"/>
    <row r="982" ht="15.75" customHeight="1" s="216"/>
    <row r="983" ht="15.75" customHeight="1" s="216"/>
    <row r="984" ht="15.75" customHeight="1" s="216"/>
    <row r="985" ht="15.75" customHeight="1" s="216"/>
    <row r="986" ht="15.75" customHeight="1" s="216"/>
    <row r="987" ht="15.75" customHeight="1" s="216"/>
    <row r="988" ht="15.75" customHeight="1" s="216"/>
    <row r="989" ht="15.75" customHeight="1" s="216"/>
    <row r="990" ht="15.75" customHeight="1" s="216"/>
    <row r="991" ht="15.75" customHeight="1" s="216"/>
    <row r="992" ht="15.75" customHeight="1" s="216"/>
    <row r="993" ht="15.75" customHeight="1" s="216"/>
    <row r="994" ht="15.75" customHeight="1" s="216"/>
    <row r="995" ht="15.75" customHeight="1" s="216"/>
    <row r="996" ht="15.75" customHeight="1" s="216"/>
    <row r="997" ht="15.75" customHeight="1" s="216"/>
    <row r="998" ht="15.75" customHeight="1" s="216"/>
    <row r="999" ht="15.75" customHeight="1" s="216"/>
    <row r="1000" ht="15.75" customHeight="1" s="216"/>
  </sheetData>
  <autoFilter ref="A6:AU6"/>
  <mergeCells count="19">
    <mergeCell ref="AR5:AU5"/>
    <mergeCell ref="N5:S5"/>
    <mergeCell ref="C2:E2"/>
    <mergeCell ref="A5:C5"/>
    <mergeCell ref="Z5:AE5"/>
    <mergeCell ref="AF5:AK5"/>
    <mergeCell ref="AL5:AQ5"/>
    <mergeCell ref="J5:M5"/>
    <mergeCell ref="A3:B3"/>
    <mergeCell ref="G3:H3"/>
    <mergeCell ref="I3:J3"/>
    <mergeCell ref="A2:B2"/>
    <mergeCell ref="D5:I5"/>
    <mergeCell ref="C3:E3"/>
    <mergeCell ref="A4:B4"/>
    <mergeCell ref="G4:H4"/>
    <mergeCell ref="T5:Y5"/>
    <mergeCell ref="I4:J4"/>
    <mergeCell ref="C4:E4"/>
  </mergeCells>
  <conditionalFormatting sqref="O7:O500 P7:P500 U7:U500 V7:V500 AA7:AA500 AB7:AB500 AG7:AG500 AH7:AH500 AM7:AM500 AN7:AN500 AS7:AS500 AT7:AT500">
    <cfRule type="cellIs" priority="1" operator="equal" dxfId="5">
      <formula>"Pass"</formula>
    </cfRule>
    <cfRule type="cellIs" priority="2" operator="equal" dxfId="6">
      <formula>"Fail"</formula>
    </cfRule>
    <cfRule type="cellIs" priority="3" operator="equal" dxfId="7">
      <formula>"Block"</formula>
    </cfRule>
    <cfRule type="cellIs" priority="4" operator="equal" dxfId="8">
      <formula>"N/A"</formula>
    </cfRule>
  </conditionalFormatting>
  <dataValidations count="8">
    <dataValidation sqref="J7:J500" showDropDown="0" showInputMessage="0" showErrorMessage="0" allowBlank="1" type="list">
      <formula1>"AI,QC"</formula1>
    </dataValidation>
    <dataValidation sqref="E7:E500" showDropDown="0" showInputMessage="0" showErrorMessage="0" allowBlank="1" type="list">
      <formula1>"High,Medium,Low"</formula1>
    </dataValidation>
    <dataValidation sqref="P7:P500 V7:V500 AB7:AB500 AH7:AH500 AN7:AN500" showDropDown="0" showInputMessage="0" showErrorMessage="0" allowBlank="1" type="list">
      <formula1>"Pass,Fail,Block,N/A"</formula1>
    </dataValidation>
    <dataValidation sqref="N7:N500 T7:T500 Z7:Z500 AF7:AF500 AL7:AL500" showDropDown="0" showInputMessage="0" showErrorMessage="0" allowBlank="1" type="list">
      <formula1>"Yes,No,N/A"</formula1>
    </dataValidation>
    <dataValidation sqref="O7:O500 U7:U500 AA7:AA500 AG7:AG500 AM7:AM500" showDropDown="0" showInputMessage="0" showErrorMessage="0" allowBlank="1" type="list">
      <formula1>"Pass,Fail,Block,N/A,Chưa chạy"</formula1>
    </dataValidation>
    <dataValidation sqref="D7:D500" showDropDown="0" showInputMessage="0" showErrorMessage="0" allowBlank="1" type="list">
      <formula1>"Functional,UI,Integration,Database Test Case"</formula1>
    </dataValidation>
    <dataValidation sqref="K7:K500" showDropDown="0" showInputMessage="0" showErrorMessage="0" allowBlank="1" type="list">
      <formula1>"Reviewed,Pending,N/A"</formula1>
    </dataValidation>
    <dataValidation sqref="L7:L500" showDropDown="0" showInputMessage="0" showErrorMessage="0" allowBlank="1" type="list">
      <formula1>"Yes,No"</formula1>
    </dataValidation>
  </dataValidations>
  <pageMargins left="0.75" right="0.75" top="1" bottom="1" header="0" footer="0"/>
  <pageSetup orientation="landscape" fitToHeight="0"/>
</worksheet>
</file>

<file path=xl/worksheets/sheet17.xml><?xml version="1.0" encoding="utf-8"?>
<worksheet xmlns="http://schemas.openxmlformats.org/spreadsheetml/2006/main">
  <sheetPr>
    <outlinePr summaryBelow="1" summaryRight="1"/>
    <pageSetUpPr fitToPage="1"/>
  </sheetPr>
  <dimension ref="A1:AV520"/>
  <sheetViews>
    <sheetView workbookViewId="0">
      <pane xSplit="1" ySplit="6" topLeftCell="B7" activePane="bottomRight" state="frozen"/>
      <selection pane="topRight"/>
      <selection pane="bottomLeft"/>
      <selection pane="bottomRight" activeCell="A1" sqref="A1"/>
    </sheetView>
  </sheetViews>
  <sheetFormatPr baseColWidth="8" defaultColWidth="14.43" defaultRowHeight="15" customHeight="1"/>
  <cols>
    <col width="14" customWidth="1" style="216" min="1" max="2"/>
    <col width="13" customWidth="1" style="216" min="3" max="4"/>
    <col width="11" customWidth="1" style="216" min="5" max="5"/>
    <col width="34" customWidth="1" style="216" min="6" max="6"/>
    <col width="28" customWidth="1" style="216" min="7" max="7"/>
    <col width="40" customWidth="1" style="216" min="8" max="8"/>
    <col width="34" customWidth="1" style="216" min="9" max="9"/>
    <col width="10" customWidth="1" style="216" min="10" max="10"/>
    <col width="12.43" customWidth="1" style="216" min="11" max="11"/>
    <col width="14" customWidth="1" style="216" min="12" max="12"/>
    <col width="26.14" customWidth="1" style="216" min="13" max="13"/>
    <col width="9" customWidth="1" style="216" min="14" max="14"/>
    <col width="10" customWidth="1" style="216" min="15" max="15"/>
    <col width="9" customWidth="1" style="216" min="16" max="16"/>
    <col width="13" customWidth="1" style="216" min="17" max="17"/>
    <col width="11" customWidth="1" style="216" min="18" max="18"/>
    <col width="22" customWidth="1" style="216" min="19" max="19"/>
    <col width="9" customWidth="1" style="216" min="20" max="20"/>
    <col width="10" customWidth="1" style="216" min="21" max="21"/>
    <col width="9" customWidth="1" style="216" min="22" max="22"/>
    <col width="13" customWidth="1" style="216" min="23" max="23"/>
    <col width="11" customWidth="1" style="216" min="24" max="24"/>
    <col width="22" customWidth="1" style="216" min="25" max="25"/>
    <col width="9" customWidth="1" style="216" min="26" max="26"/>
    <col width="10" customWidth="1" style="216" min="27" max="27"/>
    <col width="9" customWidth="1" style="216" min="28" max="28"/>
    <col width="13" customWidth="1" style="216" min="29" max="29"/>
    <col width="11" customWidth="1" style="216" min="30" max="30"/>
    <col width="22" customWidth="1" style="216" min="31" max="31"/>
    <col width="9" customWidth="1" style="216" min="32" max="32"/>
    <col width="10" customWidth="1" style="216" min="33" max="33"/>
    <col width="9" customWidth="1" style="216" min="34" max="34"/>
    <col width="13" customWidth="1" style="216" min="35" max="35"/>
    <col width="11" customWidth="1" style="216" min="36" max="36"/>
    <col width="22" customWidth="1" style="216" min="37" max="37"/>
    <col width="9" customWidth="1" style="216" min="38" max="38"/>
    <col width="10" customWidth="1" style="216" min="39" max="39"/>
    <col width="9" customWidth="1" style="216" min="40" max="40"/>
    <col width="13" customWidth="1" style="216" min="41" max="41"/>
    <col width="11" customWidth="1" style="216" min="42" max="42"/>
    <col width="22" customWidth="1" style="216" min="43" max="43"/>
    <col width="12" customWidth="1" style="216" min="44" max="44"/>
    <col width="14" customWidth="1" style="216" min="45" max="45"/>
    <col width="11" customWidth="1" style="216" min="46" max="46"/>
    <col width="24" customWidth="1" style="216" min="47" max="47"/>
  </cols>
  <sheetData>
    <row r="1">
      <c r="A1" s="106"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row>
    <row r="2">
      <c r="A2" s="255" t="inlineStr">
        <is>
          <t>Mã chức năng</t>
        </is>
      </c>
      <c r="B2" s="218" t="n"/>
      <c r="C2" s="256" t="inlineStr">
        <is>
          <t>TC_09</t>
        </is>
      </c>
      <c r="D2" s="220" t="n"/>
      <c r="E2" s="218"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row>
    <row r="3" ht="15" customHeight="1" s="216">
      <c r="A3" s="255" t="inlineStr">
        <is>
          <t>Tên chức năng</t>
        </is>
      </c>
      <c r="B3" s="218" t="n"/>
      <c r="C3" s="256" t="inlineStr">
        <is>
          <t>Đăng tin &amp; Quản lý tin</t>
        </is>
      </c>
      <c r="D3" s="220" t="n"/>
      <c r="E3" s="218" t="n"/>
      <c r="F3" s="1" t="n"/>
      <c r="G3" s="255" t="inlineStr">
        <is>
          <t>Version</t>
        </is>
      </c>
      <c r="H3" s="218" t="n"/>
      <c r="I3" s="174">
        <f>Summary!$C$8</f>
        <v/>
      </c>
      <c r="J3" s="218"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row>
    <row r="4" ht="15" customHeight="1" s="216">
      <c r="A4" s="255" t="inlineStr">
        <is>
          <t>Execution</t>
        </is>
      </c>
      <c r="B4" s="218" t="n"/>
      <c r="C4" s="174">
        <f>TEXT(Summary!$C$10,"DD/MM/YYYY")&amp;"  →  "&amp;TEXT(Summary!$C$11,"DD/MM/YYYY")</f>
        <v/>
      </c>
      <c r="D4" s="220" t="n"/>
      <c r="E4" s="218" t="n"/>
      <c r="F4" s="1" t="n"/>
      <c r="G4" s="255" t="inlineStr">
        <is>
          <t>PIC</t>
        </is>
      </c>
      <c r="H4" s="218" t="n"/>
      <c r="I4" s="174">
        <f>Summary!$C$13</f>
        <v/>
      </c>
      <c r="J4" s="218"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1" t="n"/>
      <c r="AL4" s="1" t="n"/>
      <c r="AM4" s="1" t="n"/>
      <c r="AN4" s="1" t="n"/>
      <c r="AO4" s="1" t="n"/>
      <c r="AP4" s="1" t="n"/>
      <c r="AQ4" s="1" t="n"/>
      <c r="AR4" s="1" t="n"/>
      <c r="AS4" s="1" t="n"/>
      <c r="AT4" s="1" t="n"/>
      <c r="AU4" s="1" t="n"/>
    </row>
    <row r="5" ht="15" customHeight="1" s="216">
      <c r="A5" s="257" t="inlineStr">
        <is>
          <t>TRACEABILITY</t>
        </is>
      </c>
      <c r="B5" s="220" t="n"/>
      <c r="C5" s="218" t="n"/>
      <c r="D5" s="246" t="inlineStr">
        <is>
          <t>TEST DESIGN</t>
        </is>
      </c>
      <c r="E5" s="220" t="n"/>
      <c r="F5" s="220" t="n"/>
      <c r="G5" s="220" t="n"/>
      <c r="H5" s="220" t="n"/>
      <c r="I5" s="218" t="n"/>
      <c r="J5" s="250" t="inlineStr">
        <is>
          <t>SDLC</t>
        </is>
      </c>
      <c r="K5" s="220" t="n"/>
      <c r="L5" s="220" t="n"/>
      <c r="M5" s="218" t="n"/>
      <c r="N5" s="258" t="inlineStr">
        <is>
          <t>ROUND 1</t>
        </is>
      </c>
      <c r="O5" s="252" t="n"/>
      <c r="P5" s="252" t="n"/>
      <c r="Q5" s="252" t="n"/>
      <c r="R5" s="252" t="n"/>
      <c r="S5" s="253" t="n"/>
      <c r="T5" s="259" t="inlineStr">
        <is>
          <t>ROUND 2</t>
        </is>
      </c>
      <c r="U5" s="252" t="n"/>
      <c r="V5" s="252" t="n"/>
      <c r="W5" s="252" t="n"/>
      <c r="X5" s="252" t="n"/>
      <c r="Y5" s="253" t="n"/>
      <c r="Z5" s="258" t="inlineStr">
        <is>
          <t>ROUND 3</t>
        </is>
      </c>
      <c r="AA5" s="252" t="n"/>
      <c r="AB5" s="252" t="n"/>
      <c r="AC5" s="252" t="n"/>
      <c r="AD5" s="252" t="n"/>
      <c r="AE5" s="253" t="n"/>
      <c r="AF5" s="259" t="inlineStr">
        <is>
          <t>ROUND 4</t>
        </is>
      </c>
      <c r="AG5" s="252" t="n"/>
      <c r="AH5" s="252" t="n"/>
      <c r="AI5" s="252" t="n"/>
      <c r="AJ5" s="252" t="n"/>
      <c r="AK5" s="253" t="n"/>
      <c r="AL5" s="258" t="inlineStr">
        <is>
          <t>ROUND 5</t>
        </is>
      </c>
      <c r="AM5" s="252" t="n"/>
      <c r="AN5" s="252" t="n"/>
      <c r="AO5" s="252" t="n"/>
      <c r="AP5" s="252" t="n"/>
      <c r="AQ5" s="253" t="n"/>
      <c r="AR5" s="262" t="inlineStr">
        <is>
          <t>KẾT QUẢ TỔNG</t>
        </is>
      </c>
      <c r="AS5" s="252" t="n"/>
      <c r="AT5" s="252" t="n"/>
      <c r="AU5" s="253" t="n"/>
    </row>
    <row r="6" ht="30" customHeight="1" s="216">
      <c r="A6" s="152" t="inlineStr">
        <is>
          <t>Testcase ID</t>
        </is>
      </c>
      <c r="B6" s="152" t="inlineStr">
        <is>
          <t>Req ID</t>
        </is>
      </c>
      <c r="C6" s="152" t="inlineStr">
        <is>
          <t>DOC Source</t>
        </is>
      </c>
      <c r="D6" s="114" t="inlineStr">
        <is>
          <t>Group</t>
        </is>
      </c>
      <c r="E6" s="114" t="inlineStr">
        <is>
          <t>Priority</t>
        </is>
      </c>
      <c r="F6" s="114" t="inlineStr">
        <is>
          <t>Test Title
(Nội dung test)</t>
        </is>
      </c>
      <c r="G6" s="114" t="inlineStr">
        <is>
          <t>Pre-condition
(Điều kiện/Dữ liệu)</t>
        </is>
      </c>
      <c r="H6" s="114" t="inlineStr">
        <is>
          <t>Test Steps
(Các bước)</t>
        </is>
      </c>
      <c r="I6" s="114" t="inlineStr">
        <is>
          <t>Expected Result
(Kết quả mong đợi)</t>
        </is>
      </c>
      <c r="J6" s="112" t="inlineStr">
        <is>
          <t>Origin</t>
        </is>
      </c>
      <c r="K6" s="112" t="inlineStr">
        <is>
          <t>Review</t>
        </is>
      </c>
      <c r="L6" s="112" t="inlineStr">
        <is>
          <t>Automated</t>
        </is>
      </c>
      <c r="M6" s="112" t="inlineStr">
        <is>
          <t>Script</t>
        </is>
      </c>
      <c r="N6" s="153" t="inlineStr">
        <is>
          <t>Vibe-test</t>
        </is>
      </c>
      <c r="O6" s="153" t="inlineStr">
        <is>
          <t>KQ Script</t>
        </is>
      </c>
      <c r="P6" s="153" t="inlineStr">
        <is>
          <t>Kết quả</t>
        </is>
      </c>
      <c r="Q6" s="153" t="inlineStr">
        <is>
          <t>Executed By</t>
        </is>
      </c>
      <c r="R6" s="153" t="inlineStr">
        <is>
          <t>ID Bugs</t>
        </is>
      </c>
      <c r="S6" s="153" t="inlineStr">
        <is>
          <t>Note</t>
        </is>
      </c>
      <c r="T6" s="153" t="inlineStr">
        <is>
          <t>Vibe-test</t>
        </is>
      </c>
      <c r="U6" s="153" t="inlineStr">
        <is>
          <t>KQ Script</t>
        </is>
      </c>
      <c r="V6" s="153" t="inlineStr">
        <is>
          <t>Kết quả</t>
        </is>
      </c>
      <c r="W6" s="153" t="inlineStr">
        <is>
          <t>Executed By</t>
        </is>
      </c>
      <c r="X6" s="153" t="inlineStr">
        <is>
          <t>ID Bugs</t>
        </is>
      </c>
      <c r="Y6" s="153" t="inlineStr">
        <is>
          <t>Note</t>
        </is>
      </c>
      <c r="Z6" s="153" t="inlineStr">
        <is>
          <t>Vibe-test</t>
        </is>
      </c>
      <c r="AA6" s="153" t="inlineStr">
        <is>
          <t>KQ Script</t>
        </is>
      </c>
      <c r="AB6" s="153" t="inlineStr">
        <is>
          <t>Kết quả</t>
        </is>
      </c>
      <c r="AC6" s="153" t="inlineStr">
        <is>
          <t>Executed By</t>
        </is>
      </c>
      <c r="AD6" s="153" t="inlineStr">
        <is>
          <t>ID Bugs</t>
        </is>
      </c>
      <c r="AE6" s="153" t="inlineStr">
        <is>
          <t>Note</t>
        </is>
      </c>
      <c r="AF6" s="153" t="inlineStr">
        <is>
          <t>Vibe-test</t>
        </is>
      </c>
      <c r="AG6" s="153" t="inlineStr">
        <is>
          <t>KQ Script</t>
        </is>
      </c>
      <c r="AH6" s="153" t="inlineStr">
        <is>
          <t>Kết quả</t>
        </is>
      </c>
      <c r="AI6" s="153" t="inlineStr">
        <is>
          <t>Executed By</t>
        </is>
      </c>
      <c r="AJ6" s="153" t="inlineStr">
        <is>
          <t>ID Bugs</t>
        </is>
      </c>
      <c r="AK6" s="153" t="inlineStr">
        <is>
          <t>Note</t>
        </is>
      </c>
      <c r="AL6" s="153" t="inlineStr">
        <is>
          <t>Vibe-test</t>
        </is>
      </c>
      <c r="AM6" s="153" t="inlineStr">
        <is>
          <t>KQ Script</t>
        </is>
      </c>
      <c r="AN6" s="153" t="inlineStr">
        <is>
          <t>Kết quả</t>
        </is>
      </c>
      <c r="AO6" s="153" t="inlineStr">
        <is>
          <t>Executed By</t>
        </is>
      </c>
      <c r="AP6" s="153" t="inlineStr">
        <is>
          <t>ID Bugs</t>
        </is>
      </c>
      <c r="AQ6" s="153" t="inlineStr">
        <is>
          <t>Note</t>
        </is>
      </c>
      <c r="AR6" s="263" t="inlineStr">
        <is>
          <t>Vibe-test
(tổng)</t>
        </is>
      </c>
      <c r="AS6" s="263" t="inlineStr">
        <is>
          <t>KQ Script
(tổng)</t>
        </is>
      </c>
      <c r="AT6" s="154" t="inlineStr">
        <is>
          <t>Status</t>
        </is>
      </c>
      <c r="AU6" s="154" t="inlineStr">
        <is>
          <t>Remark</t>
        </is>
      </c>
    </row>
    <row r="7" ht="60" customHeight="1" s="216">
      <c r="A7" s="160">
        <f>IF($F7="","",$C$2&amp;"."&amp;COUNTA($F$7:$F7)&amp;"")</f>
        <v/>
      </c>
      <c r="B7" s="160" t="inlineStr">
        <is>
          <t>REQ-ORD-003</t>
        </is>
      </c>
      <c r="C7" s="160" t="inlineStr">
        <is>
          <t>DOC-v1.1-01</t>
        </is>
      </c>
      <c r="D7" s="160" t="inlineStr">
        <is>
          <t>UI</t>
        </is>
      </c>
      <c r="E7" s="160" t="inlineStr">
        <is>
          <t>Medium</t>
        </is>
      </c>
      <c r="F7" s="11" t="inlineStr">
        <is>
          <t>Check field Loại hàng có đúng tám giá trị và mặc định là Tài liệu</t>
        </is>
      </c>
      <c r="G7" s="11" t="inlineStr">
        <is>
          <t>- Tài khoản A là CBNV có hồ sơ đầy đủ trên STG.
- Host app FoxPro đã cài trên thiết bị Android/iOS.
Test Data: 8 giá trị Loại hàng, mặc định "Tài liệu" (test_data_catalog §ORD — Loại hàng)</t>
        </is>
      </c>
      <c r="H7" s="11" t="inlineStr">
        <is>
          <t>1. Đăng nhập FoxEco bằng tài khoản A. (setup)
2. Nhấn "+ Đăng tin" rồi nhấn card "Tôi cần gửi hàng". (setup)
3. Check giá trị đang được chọn ở field "Loại hàng" và liệt kê toàn bộ lựa chọn theo thứ tự.</t>
        </is>
      </c>
      <c r="I7" s="11" t="inlineStr">
        <is>
          <t>3. Field có đúng 8 lựa chọn theo thứ tự "Tài liệu · Đồ điện tử · Thực phẩm · Hàng nhỏ · Đồ dễ vỡ · Quần áo · Thuốc/Y tế · Khác" và giá trị đang chọn sẵn là "Tài liệu".</t>
        </is>
      </c>
      <c r="J7" s="160" t="inlineStr">
        <is>
          <t>AI</t>
        </is>
      </c>
      <c r="K7" s="160" t="inlineStr">
        <is>
          <t>Pending</t>
        </is>
      </c>
      <c r="L7" s="160" t="inlineStr">
        <is>
          <t>No</t>
        </is>
      </c>
      <c r="M7" s="160" t="inlineStr"/>
      <c r="N7" s="264" t="inlineStr">
        <is>
          <t>Yes</t>
        </is>
      </c>
      <c r="O7" s="264" t="inlineStr"/>
      <c r="P7" s="264" t="inlineStr">
        <is>
          <t>Pass</t>
        </is>
      </c>
      <c r="Q7" s="264" t="inlineStr">
        <is>
          <t>GiangDC2</t>
        </is>
      </c>
      <c r="R7" s="264" t="inlineStr"/>
      <c r="S7" s="264" t="inlineStr"/>
      <c r="T7" s="264" t="n"/>
      <c r="U7" s="264" t="n"/>
      <c r="V7" s="264" t="n"/>
      <c r="W7" s="264" t="n"/>
      <c r="X7" s="264" t="n"/>
      <c r="Y7" s="264" t="n"/>
      <c r="Z7" s="264" t="n"/>
      <c r="AA7" s="264" t="n"/>
      <c r="AB7" s="264" t="n"/>
      <c r="AC7" s="264" t="n"/>
      <c r="AD7" s="264" t="n"/>
      <c r="AE7" s="264" t="n"/>
      <c r="AF7" s="264" t="n"/>
      <c r="AG7" s="264" t="n"/>
      <c r="AH7" s="264" t="n"/>
      <c r="AI7" s="264" t="n"/>
      <c r="AJ7" s="264" t="n"/>
      <c r="AK7" s="264" t="n"/>
      <c r="AL7" s="264" t="n"/>
      <c r="AM7" s="264" t="n"/>
      <c r="AN7" s="264" t="n"/>
      <c r="AO7" s="264" t="n"/>
      <c r="AP7" s="264" t="n"/>
      <c r="AQ7" s="264" t="n"/>
      <c r="AR7" s="158">
        <f>IF($A7="","",IF(OR($N7="Yes",$T7="Yes",$Z7="Yes",$AF7="Yes",$AL7="Yes"),"Yes","No"))</f>
        <v/>
      </c>
      <c r="AS7" s="158">
        <f>IF($A7="","",IFERROR(IF($AM7&lt;&gt;"",$AM7,IF($AG7&lt;&gt;"",$AG7,IF($AA7&lt;&gt;"",$AA7,IF($U7&lt;&gt;"",$U7,IF($O7&lt;&gt;"",$O7,""))))),""))</f>
        <v/>
      </c>
      <c r="AT7" s="158">
        <f>IFERROR(IF($AN7&lt;&gt;"",$AN7,IF($AH7&lt;&gt;"",$AH7,IF($AB7&lt;&gt;"",$AB7,IF($V7&lt;&gt;"",$V7,IF($P7&lt;&gt;"",$P7,""))))),"")</f>
        <v/>
      </c>
      <c r="AU7" s="265" t="inlineStr">
        <is>
          <t>Đã sửa theo BA trả lời `C-ORD-09` 2026-09-16: assert nhãn **"Tài liệu"** theo PRD. Ràng buộc cũ của v1.0 *"⛔ không dùng nhãn Tài liệu, ghi theo app STG"* **HẾT HIỆU LỰC**. · Mục đích: kết quả phản trực giác — app STG hiện "Giấy tờ, hồ sơ", người chạy quen v1.0 sẽ cho PASS nhầm. App hiện nhãn khác ⇒ **FAIL và log bug**, ⛔ không sửa TC theo app. · `Thuốc/Y tế` giữ trong danh mục (`C-ORD-04` Resolved 2026-09-17), ⛔ không assert banner hàng cấm — v1.1 không có.</t>
        </is>
      </c>
    </row>
    <row r="8" ht="60" customHeight="1" s="216">
      <c r="A8" s="160">
        <f>IF($F8="","",$C$2&amp;"."&amp;COUNTA($F$7:$F8)&amp;"")</f>
        <v/>
      </c>
      <c r="B8" s="160" t="inlineStr">
        <is>
          <t>REQ-ORD-006</t>
        </is>
      </c>
      <c r="C8" s="160" t="inlineStr">
        <is>
          <t>DOC-v1.1-01</t>
        </is>
      </c>
      <c r="D8" s="160" t="inlineStr">
        <is>
          <t>Functional</t>
        </is>
      </c>
      <c r="E8" s="160" t="inlineStr">
        <is>
          <t>Medium</t>
        </is>
      </c>
      <c r="F8" s="11" t="inlineStr">
        <is>
          <t>Check tải một ảnh JPG hợp lệ hiện đúng bộ đếm một trên năm</t>
        </is>
      </c>
      <c r="G8" s="11" t="inlineStr">
        <is>
          <t>- Tài khoản A là CBNV có hồ sơ đầy đủ trên STG.
- Host app FoxPro đã cài trên thiết bị Android/iOS.
- Thư viện ảnh thiết bị có sẵn bộ ảnh mẫu dùng chung 3 module = `SEED-ORD-01`.
Test Data: 1 ảnh JPG nhỏ của `SEED-ORD-01` (test_data_catalog §ORD — Ảnh món hàng)</t>
        </is>
      </c>
      <c r="H8" s="11" t="inlineStr">
        <is>
          <t>1. Đăng nhập FoxEco, nhấn "+ Đăng tin" rồi nhấn card "Tôi cần gửi hàng". (setup)
2. Nhấn vùng "ẢNH HÀNG" và chọn 1 ảnh JPG nhỏ từ thư viện thiết bị.
3. Check ô ảnh và bộ đếm bên cạnh nhãn "ẢNH HÀNG".</t>
        </is>
      </c>
      <c r="I8" s="11" t="inlineStr">
        <is>
          <t>3. Ảnh hiện trong ô và bộ đếm hiển thị "1/5".</t>
        </is>
      </c>
      <c r="J8" s="160" t="inlineStr">
        <is>
          <t>AI</t>
        </is>
      </c>
      <c r="K8" s="160" t="inlineStr">
        <is>
          <t>Pending</t>
        </is>
      </c>
      <c r="L8" s="160" t="inlineStr">
        <is>
          <t>No</t>
        </is>
      </c>
      <c r="M8" s="160" t="inlineStr"/>
      <c r="N8" s="264" t="inlineStr">
        <is>
          <t>Yes</t>
        </is>
      </c>
      <c r="O8" s="264" t="inlineStr"/>
      <c r="P8" s="264" t="inlineStr">
        <is>
          <t>Pass</t>
        </is>
      </c>
      <c r="Q8" s="264" t="inlineStr">
        <is>
          <t>GiangDC2</t>
        </is>
      </c>
      <c r="R8" s="264" t="inlineStr"/>
      <c r="S8" s="264" t="inlineStr"/>
      <c r="T8" s="264" t="n"/>
      <c r="U8" s="264" t="n"/>
      <c r="V8" s="264" t="n"/>
      <c r="W8" s="264" t="n"/>
      <c r="X8" s="264" t="n"/>
      <c r="Y8" s="264" t="n"/>
      <c r="Z8" s="264" t="n"/>
      <c r="AA8" s="264" t="n"/>
      <c r="AB8" s="264" t="n"/>
      <c r="AC8" s="264" t="n"/>
      <c r="AD8" s="264" t="n"/>
      <c r="AE8" s="264" t="n"/>
      <c r="AF8" s="264" t="n"/>
      <c r="AG8" s="264" t="n"/>
      <c r="AH8" s="264" t="n"/>
      <c r="AI8" s="264" t="n"/>
      <c r="AJ8" s="264" t="n"/>
      <c r="AK8" s="264" t="n"/>
      <c r="AL8" s="264" t="n"/>
      <c r="AM8" s="264" t="n"/>
      <c r="AN8" s="264" t="n"/>
      <c r="AO8" s="264" t="n"/>
      <c r="AP8" s="264" t="n"/>
      <c r="AQ8" s="264" t="n"/>
      <c r="AR8" s="158">
        <f>IF($A8="","",IF(OR($N8="Yes",$T8="Yes",$Z8="Yes",$AF8="Yes",$AL8="Yes"),"Yes","No"))</f>
        <v/>
      </c>
      <c r="AS8" s="158">
        <f>IF($A8="","",IFERROR(IF($AM8&lt;&gt;"",$AM8,IF($AG8&lt;&gt;"",$AG8,IF($AA8&lt;&gt;"",$AA8,IF($U8&lt;&gt;"",$U8,IF($O8&lt;&gt;"",$O8,""))))),""))</f>
        <v/>
      </c>
      <c r="AT8" s="158">
        <f>IFERROR(IF($AN8&lt;&gt;"",$AN8,IF($AH8&lt;&gt;"",$AH8,IF($AB8&lt;&gt;"",$AB8,IF($V8&lt;&gt;"",$V8,IF($P8&lt;&gt;"",$P8,""))))),"")</f>
        <v/>
      </c>
      <c r="AU8" s="265" t="inlineStr">
        <is>
          <t>Đã sửa theo `BR01-01` 2026-09-17: bổ sung assert bộ đếm `n/5` — bản v1.0 chưa có vì khi đó không rõ ảnh có bắt buộc không. · Căn cứ: dấu bắt buộc và hành vi chặn verify ở `TC-ORD-013`/`TC-ORD-063`.</t>
        </is>
      </c>
    </row>
    <row r="9" ht="60" customHeight="1" s="216">
      <c r="A9" s="160">
        <f>IF($F9="","",$C$2&amp;"."&amp;COUNTA($F$7:$F9)&amp;"")</f>
        <v/>
      </c>
      <c r="B9" s="160" t="inlineStr">
        <is>
          <t>REQ-ORD-006</t>
        </is>
      </c>
      <c r="C9" s="160" t="inlineStr">
        <is>
          <t>DOC-v1.1-01</t>
        </is>
      </c>
      <c r="D9" s="160" t="inlineStr">
        <is>
          <t>UI</t>
        </is>
      </c>
      <c r="E9" s="160" t="inlineStr">
        <is>
          <t>Medium</t>
        </is>
      </c>
      <c r="F9" s="11" t="inlineStr">
        <is>
          <t>Check khối ảnh hàng mang dấu bắt buộc và dòng helper nêu rõ ràng buộc</t>
        </is>
      </c>
      <c r="G9" s="11" t="inlineStr">
        <is>
          <t>- Tài khoản A là CBNV có hồ sơ đầy đủ trên STG.
- Host app FoxPro đã cài trên thiết bị Android/iOS.
Test Data: Trạng thái 0 ảnh — biên dưới (test_data_catalog §ORD — Ảnh món hàng)</t>
        </is>
      </c>
      <c r="H9" s="11" t="inlineStr">
        <is>
          <t>1. Đăng nhập FoxEco, nhấn "+ Đăng tin" rồi nhấn card "Tôi cần gửi hàng". (setup)
2. Check nhãn khối ảnh, bộ đếm và dòng chữ hướng dẫn ngay dưới vùng tải ảnh khi chưa tải ảnh nào.</t>
        </is>
      </c>
      <c r="I9" s="11" t="inlineStr">
        <is>
          <t>2. Nhãn khối là "ẢNH HÀNG" kèm dấu sao bắt buộc, bộ đếm hiển thị "0/5" và dòng helper ghi đúng chuỗi "Bắt buộc ít nhất 1 ảnh · tối đa 5 ảnh · giúp người vận chuyển nhận diện hàng".</t>
        </is>
      </c>
      <c r="J9" s="160" t="inlineStr">
        <is>
          <t>AI</t>
        </is>
      </c>
      <c r="K9" s="160" t="inlineStr">
        <is>
          <t>Pending</t>
        </is>
      </c>
      <c r="L9" s="160" t="inlineStr">
        <is>
          <t>No</t>
        </is>
      </c>
      <c r="M9" s="160" t="inlineStr"/>
      <c r="N9" s="264" t="inlineStr">
        <is>
          <t>Yes</t>
        </is>
      </c>
      <c r="O9" s="264" t="inlineStr"/>
      <c r="P9" s="264" t="inlineStr">
        <is>
          <t>Pass</t>
        </is>
      </c>
      <c r="Q9" s="264" t="inlineStr">
        <is>
          <t>GiangDC2</t>
        </is>
      </c>
      <c r="R9" s="264" t="inlineStr"/>
      <c r="S9" s="264" t="inlineStr"/>
      <c r="T9" s="264" t="n"/>
      <c r="U9" s="264" t="n"/>
      <c r="V9" s="264" t="n"/>
      <c r="W9" s="264" t="n"/>
      <c r="X9" s="264" t="n"/>
      <c r="Y9" s="264" t="n"/>
      <c r="Z9" s="264" t="n"/>
      <c r="AA9" s="264" t="n"/>
      <c r="AB9" s="264" t="n"/>
      <c r="AC9" s="264" t="n"/>
      <c r="AD9" s="264" t="n"/>
      <c r="AE9" s="264" t="n"/>
      <c r="AF9" s="264" t="n"/>
      <c r="AG9" s="264" t="n"/>
      <c r="AH9" s="264" t="n"/>
      <c r="AI9" s="264" t="n"/>
      <c r="AJ9" s="264" t="n"/>
      <c r="AK9" s="264" t="n"/>
      <c r="AL9" s="264" t="n"/>
      <c r="AM9" s="264" t="n"/>
      <c r="AN9" s="264" t="n"/>
      <c r="AO9" s="264" t="n"/>
      <c r="AP9" s="264" t="n"/>
      <c r="AQ9" s="264" t="n"/>
      <c r="AR9" s="158">
        <f>IF($A9="","",IF(OR($N9="Yes",$T9="Yes",$Z9="Yes",$AF9="Yes",$AL9="Yes"),"Yes","No"))</f>
        <v/>
      </c>
      <c r="AS9" s="158">
        <f>IF($A9="","",IFERROR(IF($AM9&lt;&gt;"",$AM9,IF($AG9&lt;&gt;"",$AG9,IF($AA9&lt;&gt;"",$AA9,IF($U9&lt;&gt;"",$U9,IF($O9&lt;&gt;"",$O9,""))))),""))</f>
        <v/>
      </c>
      <c r="AT9" s="158">
        <f>IFERROR(IF($AN9&lt;&gt;"",$AN9,IF($AH9&lt;&gt;"",$AH9,IF($AB9&lt;&gt;"",$AB9,IF($V9&lt;&gt;"",$V9,IF($P9&lt;&gt;"",$P9,""))))),"")</f>
        <v/>
      </c>
      <c r="AU9" s="265" t="inlineStr">
        <is>
          <t>Đã sửa theo `BR01-01`/`BR18-02` 2026-09-17: v1.0 TC này kiểm ảnh quá dung lượng/sai định dạng, nay chuyển sang chốt **dấu hiệu bắt buộc ở tầng UI**; 2 nhánh từ chối file chuyển sang `TC-ORD-066/067`. · Mục đích: tách tầng UI (có dấu `*`) khỏi tầng hành vi (chặn thật ở `TC-ORD-063`) — app có thể vẽ dấu `*` mà không chặn. · Căn cứ: ảnh `DOC-v1.1-03` xác nhận tầng UI đã build (thu hẹp `RISK-ORD-09`).</t>
        </is>
      </c>
    </row>
    <row r="10">
      <c r="A10" s="160">
        <f>IF($F10="","",$C$2&amp;"."&amp;COUNTA($F$7:$F10)&amp;"")</f>
        <v/>
      </c>
      <c r="B10" s="160" t="inlineStr">
        <is>
          <t>REQ-ORD-006</t>
        </is>
      </c>
      <c r="C10" s="160" t="inlineStr">
        <is>
          <t>DOC-v1.1-01 · DOC-v1.1-03</t>
        </is>
      </c>
      <c r="D10" s="160" t="inlineStr">
        <is>
          <t>Functional</t>
        </is>
      </c>
      <c r="E10" s="160" t="inlineStr">
        <is>
          <t>High</t>
        </is>
      </c>
      <c r="F10" s="11" t="inlineStr">
        <is>
          <t>Check chưa tải ảnh nào thì bị chặn sang bước hai</t>
        </is>
      </c>
      <c r="G10" s="11" t="inlineStr">
        <is>
          <t>- Tài khoản A là CBNV có hồ sơ đầy đủ trên STG.
- Host app FoxPro đã cài trên thiết bị Android/iOS.
Test Data: 3 chip đã chọn + 0 ảnh — nhánh chặn (test_data_catalog §ORD — Ảnh món hàng, biên 0)</t>
        </is>
      </c>
      <c r="H10" s="11" t="inlineStr">
        <is>
          <t>1. Đăng nhập FoxEco, nhấn "+ Đăng tin" rồi nhấn card "Tôi cần gửi hàng". (setup)
2. Chọn chip "Thấp (Dưới 1 triệu đ)" ở khối "GIÁ TRỊ HÀNG (ƯỚC TÍNH)". (setup)
3. Chọn chip "Dưới 5 kg (Nhẹ)" ở khối "TRỌNG LƯỢNG". (setup)
4. Chọn chip "Nhỏ · Cầm tay" ở khối Kích thước. (setup)
5. Nhấn "Tiếp theo" khi chưa tải ảnh nào.
6. Check màn đang hiển thị và thông báo lỗi ở khối "ẢNH HÀNG".</t>
        </is>
      </c>
      <c r="I10" s="11" t="inlineStr">
        <is>
          <t>6. Wizard vẫn ở bước 1, không sang được bước 2, và có thông báo lỗi ở khối "ẢNH HÀNG".</t>
        </is>
      </c>
      <c r="J10" s="160" t="inlineStr">
        <is>
          <t>AI</t>
        </is>
      </c>
      <c r="K10" s="160" t="inlineStr">
        <is>
          <t>Pending</t>
        </is>
      </c>
      <c r="L10" s="160" t="inlineStr">
        <is>
          <t>No</t>
        </is>
      </c>
      <c r="M10" s="160" t="inlineStr"/>
      <c r="N10" s="264" t="inlineStr">
        <is>
          <t>Yes</t>
        </is>
      </c>
      <c r="O10" s="264" t="inlineStr"/>
      <c r="P10" s="264" t="inlineStr">
        <is>
          <t>Fail</t>
        </is>
      </c>
      <c r="Q10" s="264" t="inlineStr">
        <is>
          <t>GiangDC2</t>
        </is>
      </c>
      <c r="R10" s="264" t="inlineStr">
        <is>
          <t>FE-301</t>
        </is>
      </c>
      <c r="S10" s="264" t="inlineStr"/>
      <c r="T10" s="264" t="n"/>
      <c r="U10" s="264" t="n"/>
      <c r="V10" s="264" t="n"/>
      <c r="W10" s="264" t="n"/>
      <c r="X10" s="264" t="n"/>
      <c r="Y10" s="264" t="n"/>
      <c r="Z10" s="264" t="n"/>
      <c r="AA10" s="264" t="n"/>
      <c r="AB10" s="264" t="n"/>
      <c r="AC10" s="264" t="n"/>
      <c r="AD10" s="264" t="n"/>
      <c r="AE10" s="264" t="n"/>
      <c r="AF10" s="264" t="n"/>
      <c r="AG10" s="264" t="n"/>
      <c r="AH10" s="264" t="n"/>
      <c r="AI10" s="264" t="n"/>
      <c r="AJ10" s="264" t="n"/>
      <c r="AK10" s="264" t="n"/>
      <c r="AL10" s="264" t="n"/>
      <c r="AM10" s="264" t="n"/>
      <c r="AN10" s="264" t="n"/>
      <c r="AO10" s="264" t="n"/>
      <c r="AP10" s="264" t="n"/>
      <c r="AQ10" s="264" t="n"/>
      <c r="AR10" s="158">
        <f>IF($A10="","",IF(OR($N10="Yes",$T10="Yes",$Z10="Yes",$AF10="Yes",$AL10="Yes"),"Yes","No"))</f>
        <v/>
      </c>
      <c r="AS10" s="158">
        <f>IF($A10="","",IFERROR(IF($AM10&lt;&gt;"",$AM10,IF($AG10&lt;&gt;"",$AG10,IF($AA10&lt;&gt;"",$AA10,IF($U10&lt;&gt;"",$U10,IF($O10&lt;&gt;"",$O10,""))))),""))</f>
        <v/>
      </c>
      <c r="AT10" s="158">
        <f>IFERROR(IF($AN10&lt;&gt;"",$AN10,IF($AH10&lt;&gt;"",$AH10,IF($AB10&lt;&gt;"",$AB10,IF($V10&lt;&gt;"",$V10,IF($P10&lt;&gt;"",$P10,""))))),"")</f>
        <v/>
      </c>
      <c r="AU10" s="265" t="inlineStr">
        <is>
          <t>Mục đích: **P1 chặn luồng chính** — `BR01-01` biến ảnh từ *không rõ* thành **bắt buộc**, đây là oracle của cả cụm ảnh. · Căn cứ: `BR01-01` *"Thiếu ảnh thì chặn sang bước 2"* + `AC-03.1.02`. Tầng UI đã build (`DOC-v1.1-03`: dấu `*` + "0/5" + helper) nên TC này verify **hành vi chặn thật**; app cho qua ⇒ FAIL và log bug. ⚠ Ảnh demo cho thấy nút "Tiếp theo" vẫn cam khi chưa đủ điều kiện — nghi giới hạn ảnh tĩnh, ⛔ không log bug dựa trên mỗi ảnh đó.</t>
        </is>
      </c>
    </row>
    <row r="11">
      <c r="A11" s="160">
        <f>IF($F11="","",$C$2&amp;"."&amp;COUNTA($F$7:$F11)&amp;"")</f>
        <v/>
      </c>
      <c r="B11" s="160" t="inlineStr">
        <is>
          <t>REQ-ORD-006</t>
        </is>
      </c>
      <c r="C11" s="160" t="inlineStr">
        <is>
          <t>DOC-v1.1-01</t>
        </is>
      </c>
      <c r="D11" s="160" t="inlineStr">
        <is>
          <t>Functional</t>
        </is>
      </c>
      <c r="E11" s="160" t="inlineStr">
        <is>
          <t>Medium</t>
        </is>
      </c>
      <c r="F11" s="11" t="inlineStr">
        <is>
          <t>Check ảnh vượt năm MB bị từ chối và bộ đếm không tăng</t>
        </is>
      </c>
      <c r="G11" s="11" t="inlineStr">
        <is>
          <t>- Tài khoản A là CBNV có hồ sơ đầy đủ trên STG.
- Host app FoxPro đã cài trên thiết bị Android/iOS.
- Thư viện ảnh thiết bị có sẵn bộ ảnh mẫu dùng chung 3 module = `SEED-ORD-01`, gồm 1 ảnh &gt; 5MB.
Test Data: 1 ảnh &gt; 5MB của `SEED-ORD-01` (test_data_catalog §ORD — Ảnh món hàng, nhánh invalid)</t>
        </is>
      </c>
      <c r="H11" s="11" t="inlineStr">
        <is>
          <t>1. Đăng nhập FoxEco, nhấn "+ Đăng tin" rồi nhấn card "Tôi cần gửi hàng". (setup)
2. Nhấn vùng "ẢNH HÀNG" và chọn ảnh có dung lượng lớn hơn 5MB.
3. Check thông báo hiện ra và giá trị bộ đếm.</t>
        </is>
      </c>
      <c r="I11" s="11" t="inlineStr">
        <is>
          <t>3. Ảnh bị từ chối kèm thông báo lỗi và bộ đếm vẫn hiển thị "0/5".</t>
        </is>
      </c>
      <c r="J11" s="160" t="inlineStr">
        <is>
          <t>AI</t>
        </is>
      </c>
      <c r="K11" s="160" t="inlineStr">
        <is>
          <t>Pending</t>
        </is>
      </c>
      <c r="L11" s="160" t="inlineStr">
        <is>
          <t>No</t>
        </is>
      </c>
      <c r="M11" s="160" t="inlineStr"/>
      <c r="N11" s="264" t="inlineStr">
        <is>
          <t>Yes</t>
        </is>
      </c>
      <c r="O11" s="264" t="inlineStr"/>
      <c r="P11" s="264" t="inlineStr">
        <is>
          <t>Pass</t>
        </is>
      </c>
      <c r="Q11" s="264" t="inlineStr">
        <is>
          <t>GiangDC2</t>
        </is>
      </c>
      <c r="R11" s="264" t="inlineStr"/>
      <c r="S11" s="264" t="inlineStr"/>
      <c r="T11" s="264" t="n"/>
      <c r="U11" s="264" t="n"/>
      <c r="V11" s="264" t="n"/>
      <c r="W11" s="264" t="n"/>
      <c r="X11" s="264" t="n"/>
      <c r="Y11" s="264" t="n"/>
      <c r="Z11" s="264" t="n"/>
      <c r="AA11" s="264" t="n"/>
      <c r="AB11" s="264" t="n"/>
      <c r="AC11" s="264" t="n"/>
      <c r="AD11" s="264" t="n"/>
      <c r="AE11" s="264" t="n"/>
      <c r="AF11" s="264" t="n"/>
      <c r="AG11" s="264" t="n"/>
      <c r="AH11" s="264" t="n"/>
      <c r="AI11" s="264" t="n"/>
      <c r="AJ11" s="264" t="n"/>
      <c r="AK11" s="264" t="n"/>
      <c r="AL11" s="264" t="n"/>
      <c r="AM11" s="264" t="n"/>
      <c r="AN11" s="264" t="n"/>
      <c r="AO11" s="264" t="n"/>
      <c r="AP11" s="264" t="n"/>
      <c r="AQ11" s="264" t="n"/>
      <c r="AR11" s="158">
        <f>IF($A11="","",IF(OR($N11="Yes",$T11="Yes",$Z11="Yes",$AF11="Yes",$AL11="Yes"),"Yes","No"))</f>
        <v/>
      </c>
      <c r="AS11" s="158">
        <f>IF($A11="","",IFERROR(IF($AM11&lt;&gt;"",$AM11,IF($AG11&lt;&gt;"",$AG11,IF($AA11&lt;&gt;"",$AA11,IF($U11&lt;&gt;"",$U11,IF($O11&lt;&gt;"",$O11,""))))),""))</f>
        <v/>
      </c>
      <c r="AT11" s="158">
        <f>IFERROR(IF($AN11&lt;&gt;"",$AN11,IF($AH11&lt;&gt;"",$AH11,IF($AB11&lt;&gt;"",$AB11,IF($V11&lt;&gt;"",$V11,IF($P11&lt;&gt;"",$P11,""))))),"")</f>
        <v/>
      </c>
      <c r="AU11" s="265" t="inlineStr">
        <is>
          <t>Mục đích: assert thêm vế **"bộ đếm không tăng"** — từ chối hiển thị mà vẫn đếm là lỗi hay gặp, và làm hỏng luôn trần 5 ở `TC-ORD-070`. · Căn cứ: `BR01-01` + `BR18-02` + `AC-03.2.02`.</t>
        </is>
      </c>
    </row>
    <row r="12">
      <c r="A12" s="160">
        <f>IF($F12="","",$C$2&amp;"."&amp;COUNTA($F$7:$F12)&amp;"")</f>
        <v/>
      </c>
      <c r="B12" s="160" t="inlineStr">
        <is>
          <t>REQ-ORD-006</t>
        </is>
      </c>
      <c r="C12" s="160" t="inlineStr">
        <is>
          <t>DOC-v1.1-01</t>
        </is>
      </c>
      <c r="D12" s="160" t="inlineStr">
        <is>
          <t>Functional</t>
        </is>
      </c>
      <c r="E12" s="160" t="inlineStr">
        <is>
          <t>Medium</t>
        </is>
      </c>
      <c r="F12" s="11" t="inlineStr">
        <is>
          <t>Check file sai định dạng bị từ chối và bộ đếm không tăng</t>
        </is>
      </c>
      <c r="G12" s="11" t="inlineStr">
        <is>
          <t>- Tài khoản A là CBNV có hồ sơ đầy đủ trên STG.
- Host app FoxPro đã cài trên thiết bị Android/iOS.
- Thư viện thiết bị có sẵn bộ mẫu dùng chung 3 module = `SEED-ORD-01`, gồm 1 file `.pdf`.
Test Data: 1 file `.pdf` của `SEED-ORD-01` (test_data_catalog §ORD — Ảnh món hàng, nhánh invalid)</t>
        </is>
      </c>
      <c r="H12" s="11" t="inlineStr">
        <is>
          <t>1. Đăng nhập FoxEco, nhấn "+ Đăng tin" rồi nhấn card "Tôi cần gửi hàng". (setup)
2. Nhấn vùng "ẢNH HÀNG" và chọn file định dạng `.pdf` từ thiết bị.
3. Check thông báo hiện ra và giá trị bộ đếm.</t>
        </is>
      </c>
      <c r="I12" s="11" t="inlineStr">
        <is>
          <t>3. File bị từ chối kèm thông báo lỗi và bộ đếm vẫn hiển thị "0/5".</t>
        </is>
      </c>
      <c r="J12" s="160" t="inlineStr">
        <is>
          <t>AI</t>
        </is>
      </c>
      <c r="K12" s="160" t="inlineStr">
        <is>
          <t>Pending</t>
        </is>
      </c>
      <c r="L12" s="160" t="inlineStr">
        <is>
          <t>No</t>
        </is>
      </c>
      <c r="M12" s="160" t="inlineStr"/>
      <c r="N12" s="264" t="inlineStr">
        <is>
          <t>Yes</t>
        </is>
      </c>
      <c r="O12" s="264" t="inlineStr"/>
      <c r="P12" s="264" t="inlineStr">
        <is>
          <t>Block</t>
        </is>
      </c>
      <c r="Q12" s="264" t="inlineStr">
        <is>
          <t>GiangDC2</t>
        </is>
      </c>
      <c r="R12" s="264" t="inlineStr"/>
      <c r="S12" s="264" t="inlineStr"/>
      <c r="T12" s="264" t="n"/>
      <c r="U12" s="264" t="n"/>
      <c r="V12" s="264" t="n"/>
      <c r="W12" s="264" t="n"/>
      <c r="X12" s="264" t="n"/>
      <c r="Y12" s="264" t="n"/>
      <c r="Z12" s="264" t="n"/>
      <c r="AA12" s="264" t="n"/>
      <c r="AB12" s="264" t="n"/>
      <c r="AC12" s="264" t="n"/>
      <c r="AD12" s="264" t="n"/>
      <c r="AE12" s="264" t="n"/>
      <c r="AF12" s="264" t="n"/>
      <c r="AG12" s="264" t="n"/>
      <c r="AH12" s="264" t="n"/>
      <c r="AI12" s="264" t="n"/>
      <c r="AJ12" s="264" t="n"/>
      <c r="AK12" s="264" t="n"/>
      <c r="AL12" s="264" t="n"/>
      <c r="AM12" s="264" t="n"/>
      <c r="AN12" s="264" t="n"/>
      <c r="AO12" s="264" t="n"/>
      <c r="AP12" s="264" t="n"/>
      <c r="AQ12" s="264" t="n"/>
      <c r="AR12" s="158">
        <f>IF($A12="","",IF(OR($N12="Yes",$T12="Yes",$Z12="Yes",$AF12="Yes",$AL12="Yes"),"Yes","No"))</f>
        <v/>
      </c>
      <c r="AS12" s="158">
        <f>IF($A12="","",IFERROR(IF($AM12&lt;&gt;"",$AM12,IF($AG12&lt;&gt;"",$AG12,IF($AA12&lt;&gt;"",$AA12,IF($U12&lt;&gt;"",$U12,IF($O12&lt;&gt;"",$O12,""))))),""))</f>
        <v/>
      </c>
      <c r="AT12" s="158">
        <f>IFERROR(IF($AN12&lt;&gt;"",$AN12,IF($AH12&lt;&gt;"",$AH12,IF($AB12&lt;&gt;"",$AB12,IF($V12&lt;&gt;"",$V12,IF($P12&lt;&gt;"",$P12,""))))),"")</f>
        <v/>
      </c>
      <c r="AU12" s="265" t="inlineStr">
        <is>
          <t>Mục đích: nhánh khác bản chất với `TC-ORD-068` — lọc theo định dạng và lọc theo dung lượng là hai lớp kiểm độc lập, chặn được lớp này không suy ra lớp kia. · Căn cứ: `VAL-07` + `BR18-02`.</t>
        </is>
      </c>
    </row>
    <row r="13">
      <c r="A13" s="160">
        <f>IF($F13="","",$C$2&amp;"."&amp;COUNTA($F$7:$F13)&amp;"")</f>
        <v/>
      </c>
      <c r="B13" s="160" t="inlineStr">
        <is>
          <t>REQ-ORD-006</t>
        </is>
      </c>
      <c r="C13" s="160" t="inlineStr">
        <is>
          <t>DOC-v1.1-01</t>
        </is>
      </c>
      <c r="D13" s="160" t="inlineStr">
        <is>
          <t>Functional</t>
        </is>
      </c>
      <c r="E13" s="160" t="inlineStr">
        <is>
          <t>Medium</t>
        </is>
      </c>
      <c r="F13" s="11" t="inlineStr">
        <is>
          <t>Check tải đủ năm ảnh thì bộ đếm đạt trần và không thêm được ảnh thứ sáu</t>
        </is>
      </c>
      <c r="G13" s="11" t="inlineStr">
        <is>
          <t>- Tài khoản A là CBNV có hồ sơ đầy đủ trên STG.
- Host app FoxPro đã cài trên thiết bị Android/iOS.
- Thư viện ảnh thiết bị có sẵn bộ ảnh mẫu dùng chung 3 module = `SEED-ORD-01`, gồm ≥6 ảnh hợp lệ.
Test Data: 5 ảnh hợp lệ (biên trên) + 1 ảnh thứ 6 (chặn) của `SEED-ORD-01` (test_data_catalog §ORD — Ảnh món hàng, biên)</t>
        </is>
      </c>
      <c r="H13" s="11" t="inlineStr">
        <is>
          <t>1. Đăng nhập FoxEco, nhấn "+ Đăng tin" rồi nhấn card "Tôi cần gửi hàng". (setup)
2. Tải lần lượt 5 ảnh hợp lệ vào khối "ẢNH HÀNG", cuộn dải ảnh sang phải sau mỗi lần tải để quan sát bộ đếm.
3. Thử tải thêm ảnh thứ 6.
4. Cuộn dải ảnh tới cuối rồi check bộ đếm và trạng thái ô thêm ảnh.</t>
        </is>
      </c>
      <c r="I13" s="11" t="inlineStr">
        <is>
          <t>4. Bộ đếm hiển thị "4/5" khi có 4 ảnh; khi đủ 5 ảnh thì ô thêm ảnh (nơi hiển thị bộ đếm) bị ẩn khỏi cuối dải, không còn bộ đếm trên màn và không chọn được ảnh thứ 6.</t>
        </is>
      </c>
      <c r="J13" s="160" t="inlineStr">
        <is>
          <t>AI</t>
        </is>
      </c>
      <c r="K13" s="160" t="inlineStr">
        <is>
          <t>Pending</t>
        </is>
      </c>
      <c r="L13" s="160" t="inlineStr">
        <is>
          <t>No</t>
        </is>
      </c>
      <c r="M13" s="160" t="inlineStr"/>
      <c r="N13" s="264" t="inlineStr">
        <is>
          <t>Yes</t>
        </is>
      </c>
      <c r="O13" s="264" t="inlineStr"/>
      <c r="P13" s="264" t="inlineStr">
        <is>
          <t>Pass</t>
        </is>
      </c>
      <c r="Q13" s="264" t="inlineStr">
        <is>
          <t>GiangDC2</t>
        </is>
      </c>
      <c r="R13" s="264" t="inlineStr"/>
      <c r="S13" s="264" t="inlineStr"/>
      <c r="T13" s="264" t="n"/>
      <c r="U13" s="264" t="n"/>
      <c r="V13" s="264" t="n"/>
      <c r="W13" s="264" t="n"/>
      <c r="X13" s="264" t="n"/>
      <c r="Y13" s="264" t="n"/>
      <c r="Z13" s="264" t="n"/>
      <c r="AA13" s="264" t="n"/>
      <c r="AB13" s="264" t="n"/>
      <c r="AC13" s="264" t="n"/>
      <c r="AD13" s="264" t="n"/>
      <c r="AE13" s="264" t="n"/>
      <c r="AF13" s="264" t="n"/>
      <c r="AG13" s="264" t="n"/>
      <c r="AH13" s="264" t="n"/>
      <c r="AI13" s="264" t="n"/>
      <c r="AJ13" s="264" t="n"/>
      <c r="AK13" s="264" t="n"/>
      <c r="AL13" s="264" t="n"/>
      <c r="AM13" s="264" t="n"/>
      <c r="AN13" s="264" t="n"/>
      <c r="AO13" s="264" t="n"/>
      <c r="AP13" s="264" t="n"/>
      <c r="AQ13" s="264" t="n"/>
      <c r="AR13" s="158">
        <f>IF($A13="","",IF(OR($N13="Yes",$T13="Yes",$Z13="Yes",$AF13="Yes",$AL13="Yes"),"Yes","No"))</f>
        <v/>
      </c>
      <c r="AS13" s="158">
        <f>IF($A13="","",IFERROR(IF($AM13&lt;&gt;"",$AM13,IF($AG13&lt;&gt;"",$AG13,IF($AA13&lt;&gt;"",$AA13,IF($U13&lt;&gt;"",$U13,IF($O13&lt;&gt;"",$O13,""))))),""))</f>
        <v/>
      </c>
      <c r="AT13" s="158">
        <f>IFERROR(IF($AN13&lt;&gt;"",$AN13,IF($AH13&lt;&gt;"",$AH13,IF($AB13&lt;&gt;"",$AB13,IF($V13&lt;&gt;"",$V13,IF($P13&lt;&gt;"",$P13,""))))),"")</f>
        <v/>
      </c>
      <c r="AU13" s="265" t="inlineStr">
        <is>
          <t>Mục đích: cặp biên trên của trần 5 — hai giá trị liền kề phải quan sát trong cùng 1 TC để so được. · Căn cứ: `BR18-02` + `VAL-07` + `AC-03.2.01`. Trần 5 ở đây dùng chung rule với `DLV` và `TS` nhưng là **form khác**, ⛔ không dùng chung state. · 🔑 **Sửa Expected 2026-09-18 (QC GiangDC2 chốt sau recheck VR-002):** bộ đếm `n/5` được vẽ **bên trong ô thêm ảnh** ở cuối dải, nên vế *"ẩn nút thêm khi đủ 5"* của `BR18-02` tất yếu làm bộ đếm biến mất ở mức 5/5 — **hành vi hiện tại là ĐÚNG**. Expected cũ đòi đồng thời `5/5` + ẩn nút là **tự mâu thuẫn**, đã bỏ vế `5/5` và chuyển mốc assert bộ đếm về `4/5`. ⛔ Không log bug cho việc mất bộ đếm ở 5/5. · ⚠️ Dải ảnh là **danh sách cuộn ngang lazy**: phần tử ngoài viewport KHÔNG có trong accessibility tree ⇒ phải cuộn rồi mới assert (đã gây 1 ứng viên bug ma ở VR-002, xem bẫy `T10`).</t>
        </is>
      </c>
    </row>
    <row r="14">
      <c r="A14" s="160">
        <f>IF($F14="","",$C$2&amp;"."&amp;COUNTA($F$7:$F14)&amp;"")</f>
        <v/>
      </c>
      <c r="B14" s="160" t="inlineStr">
        <is>
          <t>REQ-ORD-006</t>
        </is>
      </c>
      <c r="C14" s="160" t="inlineStr">
        <is>
          <t>DOC-v1.1-01</t>
        </is>
      </c>
      <c r="D14" s="160" t="inlineStr">
        <is>
          <t>Functional</t>
        </is>
      </c>
      <c r="E14" s="160" t="inlineStr">
        <is>
          <t>Medium</t>
        </is>
      </c>
      <c r="F14" s="11" t="inlineStr">
        <is>
          <t>Check xoá một ảnh làm bộ đếm giảm đúng một đơn vị</t>
        </is>
      </c>
      <c r="G14" s="11" t="inlineStr">
        <is>
          <t>- Tài khoản A là CBNV có hồ sơ đầy đủ trên STG.
- Host app FoxPro đã cài trên thiết bị Android/iOS.
- Thư viện ảnh thiết bị có sẵn bộ ảnh mẫu dùng chung 3 module = `SEED-ORD-01`.
Test Data: 5 ảnh rồi xoá 1 (test_data_catalog §ORD — Ảnh món hàng)</t>
        </is>
      </c>
      <c r="H14" s="11" t="inlineStr">
        <is>
          <t>1. Đăng nhập FoxEco, nhấn "+ Đăng tin" rồi nhấn card "Tôi cần gửi hàng". (setup)
2. Tải 5 ảnh hợp lệ vào khối "ẢNH HÀNG". (setup)
3. Nhấn nút xoá trên ảnh thứ ba.
4. Check bộ đếm, số ảnh còn lại và trạng thái nút thêm ảnh.</t>
        </is>
      </c>
      <c r="I14" s="11" t="inlineStr">
        <is>
          <t>4. Bộ đếm hiển thị "4/5", còn đúng 4 ảnh và chỉ mất đúng ảnh thứ ba, nút thêm ảnh hiện lại.</t>
        </is>
      </c>
      <c r="J14" s="160" t="inlineStr">
        <is>
          <t>AI</t>
        </is>
      </c>
      <c r="K14" s="160" t="inlineStr">
        <is>
          <t>Pending</t>
        </is>
      </c>
      <c r="L14" s="160" t="inlineStr">
        <is>
          <t>No</t>
        </is>
      </c>
      <c r="M14" s="160" t="inlineStr"/>
      <c r="N14" s="264" t="inlineStr">
        <is>
          <t>Yes</t>
        </is>
      </c>
      <c r="O14" s="264" t="inlineStr"/>
      <c r="P14" s="264" t="inlineStr">
        <is>
          <t>Pass</t>
        </is>
      </c>
      <c r="Q14" s="264" t="inlineStr">
        <is>
          <t>GiangDC2</t>
        </is>
      </c>
      <c r="R14" s="264" t="inlineStr"/>
      <c r="S14" s="264" t="inlineStr"/>
      <c r="T14" s="264" t="n"/>
      <c r="U14" s="264" t="n"/>
      <c r="V14" s="264" t="n"/>
      <c r="W14" s="264" t="n"/>
      <c r="X14" s="264" t="n"/>
      <c r="Y14" s="264" t="n"/>
      <c r="Z14" s="264" t="n"/>
      <c r="AA14" s="264" t="n"/>
      <c r="AB14" s="264" t="n"/>
      <c r="AC14" s="264" t="n"/>
      <c r="AD14" s="264" t="n"/>
      <c r="AE14" s="264" t="n"/>
      <c r="AF14" s="264" t="n"/>
      <c r="AG14" s="264" t="n"/>
      <c r="AH14" s="264" t="n"/>
      <c r="AI14" s="264" t="n"/>
      <c r="AJ14" s="264" t="n"/>
      <c r="AK14" s="264" t="n"/>
      <c r="AL14" s="264" t="n"/>
      <c r="AM14" s="264" t="n"/>
      <c r="AN14" s="264" t="n"/>
      <c r="AO14" s="264" t="n"/>
      <c r="AP14" s="264" t="n"/>
      <c r="AQ14" s="264" t="n"/>
      <c r="AR14" s="158">
        <f>IF($A14="","",IF(OR($N14="Yes",$T14="Yes",$Z14="Yes",$AF14="Yes",$AL14="Yes"),"Yes","No"))</f>
        <v/>
      </c>
      <c r="AS14" s="158">
        <f>IF($A14="","",IFERROR(IF($AM14&lt;&gt;"",$AM14,IF($AG14&lt;&gt;"",$AG14,IF($AA14&lt;&gt;"",$AA14,IF($U14&lt;&gt;"",$U14,IF($O14&lt;&gt;"",$O14,""))))),""))</f>
        <v/>
      </c>
      <c r="AT14" s="158">
        <f>IFERROR(IF($AN14&lt;&gt;"",$AN14,IF($AH14&lt;&gt;"",$AH14,IF($AB14&lt;&gt;"",$AB14,IF($V14&lt;&gt;"",$V14,IF($P14&lt;&gt;"",$P14,""))))),"")</f>
        <v/>
      </c>
      <c r="AU14" s="265" t="inlineStr">
        <is>
          <t>Mục đích: fail độc lập với `TC-ORD-070` — chặn được ảnh thứ 6 không đảm bảo bộ đếm giảm đúng khi xoá; lỗi hay gặp là xoá nhầm ảnh cuối thay vì ảnh được chọn. · Căn cứ: `BR18-02` *"xoá được từng ảnh"*.</t>
        </is>
      </c>
    </row>
    <row r="15">
      <c r="A15" s="160">
        <f>IF($F15="","",$C$2&amp;"."&amp;COUNTA($F$7:$F15)&amp;"")</f>
        <v/>
      </c>
      <c r="B15" s="160" t="inlineStr">
        <is>
          <t>REQ-ORD-007, REQ-ORD-010</t>
        </is>
      </c>
      <c r="C15" s="160" t="inlineStr">
        <is>
          <t>DOC-v1.1-01</t>
        </is>
      </c>
      <c r="D15" s="160" t="inlineStr">
        <is>
          <t>Functional</t>
        </is>
      </c>
      <c r="E15" s="160" t="inlineStr">
        <is>
          <t>Medium</t>
        </is>
      </c>
      <c r="F15" s="11" t="inlineStr">
        <is>
          <t>Check ô địa chỉ lấy hàng điền sẵn địa chỉ mặc định của hồ sơ và sửa được</t>
        </is>
      </c>
      <c r="G15" s="11" t="inlineStr">
        <is>
          <t>- Tài khoản A là CBNV trên STG **đã đặt địa chỉ mặc định** ở màn "Cập nhật thông tin" = `SEED-ORD-03`.
- Host app FoxPro đã cài trên thiết bị Android/iOS.
Test Data: Địa chỉ mặc định của hồ sơ = `SEED-ORD-03` (test_data_catalog §ORD — Địa chỉ lấy hàng)</t>
        </is>
      </c>
      <c r="H15" s="11" t="inlineStr">
        <is>
          <t>1. Đăng nhập FoxEco bằng tài khoản A, mở màn "Cập nhật thông tin" và ghi lại địa chỉ mặc định đang lưu. (setup)
2. Nhấn "+ Đăng tin", nhấn card "Tôi cần gửi hàng", nhập đủ trường bước 1 rồi nhấn "Tiếp theo" để sang bước 2. (setup)
3. Nhập thêm chuỗi " toà B" vào cuối ô "Địa chỉ lấy hàng".
4. Check giá trị ban đầu và giá trị sau khi sửa của ô "Địa chỉ lấy hàng".</t>
        </is>
      </c>
      <c r="I15" s="11" t="inlineStr">
        <is>
          <t>4. Ô đã điền sẵn đúng địa chỉ đã ghi ở step 1 và nhận được ký tự vừa nhập thêm.</t>
        </is>
      </c>
      <c r="J15" s="160" t="inlineStr">
        <is>
          <t>AI</t>
        </is>
      </c>
      <c r="K15" s="160" t="inlineStr">
        <is>
          <t>Pending</t>
        </is>
      </c>
      <c r="L15" s="160" t="inlineStr">
        <is>
          <t>No</t>
        </is>
      </c>
      <c r="M15" s="160" t="inlineStr"/>
      <c r="N15" s="264" t="inlineStr">
        <is>
          <t>Yes</t>
        </is>
      </c>
      <c r="O15" s="264" t="inlineStr"/>
      <c r="P15" s="264" t="inlineStr">
        <is>
          <t>Pass</t>
        </is>
      </c>
      <c r="Q15" s="264" t="inlineStr">
        <is>
          <t>GiangDC2</t>
        </is>
      </c>
      <c r="R15" s="264" t="inlineStr"/>
      <c r="S15" s="264" t="inlineStr"/>
      <c r="T15" s="264" t="n"/>
      <c r="U15" s="264" t="n"/>
      <c r="V15" s="264" t="n"/>
      <c r="W15" s="264" t="n"/>
      <c r="X15" s="264" t="n"/>
      <c r="Y15" s="264" t="n"/>
      <c r="Z15" s="264" t="n"/>
      <c r="AA15" s="264" t="n"/>
      <c r="AB15" s="264" t="n"/>
      <c r="AC15" s="264" t="n"/>
      <c r="AD15" s="264" t="n"/>
      <c r="AE15" s="264" t="n"/>
      <c r="AF15" s="264" t="n"/>
      <c r="AG15" s="264" t="n"/>
      <c r="AH15" s="264" t="n"/>
      <c r="AI15" s="264" t="n"/>
      <c r="AJ15" s="264" t="n"/>
      <c r="AK15" s="264" t="n"/>
      <c r="AL15" s="264" t="n"/>
      <c r="AM15" s="264" t="n"/>
      <c r="AN15" s="264" t="n"/>
      <c r="AO15" s="264" t="n"/>
      <c r="AP15" s="264" t="n"/>
      <c r="AQ15" s="264" t="n"/>
      <c r="AR15" s="158">
        <f>IF($A15="","",IF(OR($N15="Yes",$T15="Yes",$Z15="Yes",$AF15="Yes",$AL15="Yes"),"Yes","No"))</f>
        <v/>
      </c>
      <c r="AS15" s="158">
        <f>IF($A15="","",IFERROR(IF($AM15&lt;&gt;"",$AM15,IF($AG15&lt;&gt;"",$AG15,IF($AA15&lt;&gt;"",$AA15,IF($U15&lt;&gt;"",$U15,IF($O15&lt;&gt;"",$O15,""))))),""))</f>
        <v/>
      </c>
      <c r="AT15" s="158">
        <f>IFERROR(IF($AN15&lt;&gt;"",$AN15,IF($AH15&lt;&gt;"",$AH15,IF($AB15&lt;&gt;"",$AB15,IF($V15&lt;&gt;"",$V15,IF($P15&lt;&gt;"",$P15,""))))),"")</f>
        <v/>
      </c>
      <c r="AU15" s="265" t="inlineStr">
        <is>
          <t>Đã sửa theo `C-ORD-10` Resolved 2026-09-15: prefill là **hành vi đặc tả**, không còn là "chưa rõ bug hay tài khoản chưa cấu hình" như v1.0. · Mục đích: ô trống ⇒ **BUG**, ⛔ không diễn giải là tài khoản chưa cấu hình. · Căn cứ: `AC-30.1.01` + `§8.1.4`. ⛔ Không chạy trên tài khoản không rõ trạng thái hồ sơ.</t>
        </is>
      </c>
    </row>
    <row r="16">
      <c r="A16" s="160">
        <f>IF($F16="","",$C$2&amp;"."&amp;COUNTA($F$7:$F16)&amp;"")</f>
        <v/>
      </c>
      <c r="B16" s="160" t="inlineStr">
        <is>
          <t>REQ-ORD-010</t>
        </is>
      </c>
      <c r="C16" s="160" t="inlineStr">
        <is>
          <t>DOC-v1.1-01</t>
        </is>
      </c>
      <c r="D16" s="160" t="inlineStr">
        <is>
          <t>UI</t>
        </is>
      </c>
      <c r="E16" s="160" t="inlineStr">
        <is>
          <t>Low</t>
        </is>
      </c>
      <c r="F16" s="11" t="inlineStr">
        <is>
          <t>Check ô địa chỉ là ô văn bản tự do không phải preset văn phòng</t>
        </is>
      </c>
      <c r="G16" s="11" t="inlineStr">
        <is>
          <t>- Tài khoản A là CBNV có hồ sơ đầy đủ trên STG.
- Host app FoxPro đã cài trên thiết bị Android/iOS.
Test Data: Chuỗi địa chỉ tự do (test_data_catalog §ORD — Địa chỉ giao hàng)</t>
        </is>
      </c>
      <c r="H16" s="11" t="inlineStr">
        <is>
          <t>1. Đăng nhập FoxEco, nhấn "+ Đăng tin", nhấn card "Tôi cần gửi hàng", nhập đủ trường bước 1 rồi nhấn "Tiếp theo". (setup)
2. Nhấn vào ô "Địa chỉ giao hàng".
3. Nhập chuỗi tự do "Số 7 ngõ 12 Trần Duy Hưng".
4. Check kiểu control của ô và giá trị vừa nhập.</t>
        </is>
      </c>
      <c r="I16" s="11" t="inlineStr">
        <is>
          <t>4. Ô là ô văn bản tự do nhận đúng chuỗi vừa nhập; KHÔNG có danh sách preset văn phòng hay chip gợi ý nào hiện ra.</t>
        </is>
      </c>
      <c r="J16" s="160" t="inlineStr">
        <is>
          <t>AI</t>
        </is>
      </c>
      <c r="K16" s="160" t="inlineStr">
        <is>
          <t>Pending</t>
        </is>
      </c>
      <c r="L16" s="160" t="inlineStr">
        <is>
          <t>No</t>
        </is>
      </c>
      <c r="M16" s="160" t="inlineStr"/>
      <c r="N16" s="264" t="inlineStr">
        <is>
          <t>Yes</t>
        </is>
      </c>
      <c r="O16" s="264" t="inlineStr"/>
      <c r="P16" s="264" t="inlineStr">
        <is>
          <t>Pass</t>
        </is>
      </c>
      <c r="Q16" s="264" t="inlineStr">
        <is>
          <t>GiangDC2</t>
        </is>
      </c>
      <c r="R16" s="264" t="inlineStr"/>
      <c r="S16" s="264" t="inlineStr"/>
      <c r="T16" s="264" t="n"/>
      <c r="U16" s="264" t="n"/>
      <c r="V16" s="264" t="n"/>
      <c r="W16" s="264" t="n"/>
      <c r="X16" s="264" t="n"/>
      <c r="Y16" s="264" t="n"/>
      <c r="Z16" s="264" t="n"/>
      <c r="AA16" s="264" t="n"/>
      <c r="AB16" s="264" t="n"/>
      <c r="AC16" s="264" t="n"/>
      <c r="AD16" s="264" t="n"/>
      <c r="AE16" s="264" t="n"/>
      <c r="AF16" s="264" t="n"/>
      <c r="AG16" s="264" t="n"/>
      <c r="AH16" s="264" t="n"/>
      <c r="AI16" s="264" t="n"/>
      <c r="AJ16" s="264" t="n"/>
      <c r="AK16" s="264" t="n"/>
      <c r="AL16" s="264" t="n"/>
      <c r="AM16" s="264" t="n"/>
      <c r="AN16" s="264" t="n"/>
      <c r="AO16" s="264" t="n"/>
      <c r="AP16" s="264" t="n"/>
      <c r="AQ16" s="264" t="n"/>
      <c r="AR16" s="158">
        <f>IF($A16="","",IF(OR($N16="Yes",$T16="Yes",$Z16="Yes",$AF16="Yes",$AL16="Yes"),"Yes","No"))</f>
        <v/>
      </c>
      <c r="AS16" s="158">
        <f>IF($A16="","",IFERROR(IF($AM16&lt;&gt;"",$AM16,IF($AG16&lt;&gt;"",$AG16,IF($AA16&lt;&gt;"",$AA16,IF($U16&lt;&gt;"",$U16,IF($O16&lt;&gt;"",$O16,""))))),""))</f>
        <v/>
      </c>
      <c r="AT16" s="158">
        <f>IFERROR(IF($AN16&lt;&gt;"",$AN16,IF($AH16&lt;&gt;"",$AH16,IF($AB16&lt;&gt;"",$AB16,IF($V16&lt;&gt;"",$V16,IF($P16&lt;&gt;"",$P16,""))))),"")</f>
        <v/>
      </c>
      <c r="AU16" s="265" t="inlineStr">
        <is>
          <t>Đã sửa theo `C-ORD-11` Resolved 2026-09-15: chốt **ô văn bản tự do**, bản v1.0 còn để ngỏ 3 khả năng (preset 6 văn phòng / chip gợi ý / autocomplete). · Căn cứ: `§8.1.4`. Biên 200/201 ký tự tách sang `TC-ORD-055`.</t>
        </is>
      </c>
    </row>
    <row r="17">
      <c r="A17" s="160">
        <f>IF($F17="","",$C$2&amp;"."&amp;COUNTA($F$7:$F17)&amp;"")</f>
        <v/>
      </c>
      <c r="B17" s="160" t="inlineStr">
        <is>
          <t>REQ-ORD-010</t>
        </is>
      </c>
      <c r="C17" s="160" t="inlineStr">
        <is>
          <t>DOC-v1.1-01</t>
        </is>
      </c>
      <c r="D17" s="160" t="inlineStr">
        <is>
          <t>UI</t>
        </is>
      </c>
      <c r="E17" s="160" t="inlineStr">
        <is>
          <t>Low</t>
        </is>
      </c>
      <c r="F17" s="11" t="inlineStr">
        <is>
          <t>Check ô địa chỉ nhận đúng hai trăm ký tự và chặn ký tự thứ hai trăm lẻ một</t>
        </is>
      </c>
      <c r="G17" s="11" t="inlineStr">
        <is>
          <t>- Tài khoản A là CBNV có hồ sơ đầy đủ trên STG.
- Host app FoxPro đã cài trên thiết bị Android/iOS.
Test Data: Chuỗi 200 ký tự (hợp lệ) và 201 ký tự (chặn) (test_data_catalog §ORD — Địa chỉ giao hàng, biên)</t>
        </is>
      </c>
      <c r="H17" s="11" t="inlineStr">
        <is>
          <t>1. Đăng nhập FoxEco, nhấn "+ Đăng tin", nhấn card "Tôi cần gửi hàng", nhập đủ trường bước 1 rồi nhấn "Tiếp theo". (setup)
2. Nhập chuỗi đúng 200 ký tự vào ô "Địa chỉ giao hàng".
3. Nhập thêm 1 ký tự nữa vào cuối ô.
4. Check số ký tự thực tế còn lại trong ô.</t>
        </is>
      </c>
      <c r="I17" s="11" t="inlineStr">
        <is>
          <t>4. Ô giữ đúng 200 ký tự, ký tự thứ 201 không được nhận.</t>
        </is>
      </c>
      <c r="J17" s="160" t="inlineStr">
        <is>
          <t>AI</t>
        </is>
      </c>
      <c r="K17" s="160" t="inlineStr">
        <is>
          <t>Pending</t>
        </is>
      </c>
      <c r="L17" s="160" t="inlineStr">
        <is>
          <t>No</t>
        </is>
      </c>
      <c r="M17" s="160" t="inlineStr"/>
      <c r="N17" s="264" t="inlineStr">
        <is>
          <t>Yes</t>
        </is>
      </c>
      <c r="O17" s="264" t="inlineStr"/>
      <c r="P17" s="264" t="inlineStr">
        <is>
          <t>Pass</t>
        </is>
      </c>
      <c r="Q17" s="264" t="inlineStr">
        <is>
          <t>GiangDC2</t>
        </is>
      </c>
      <c r="R17" s="264" t="inlineStr"/>
      <c r="S17" s="264" t="inlineStr"/>
      <c r="T17" s="264" t="n"/>
      <c r="U17" s="264" t="n"/>
      <c r="V17" s="264" t="n"/>
      <c r="W17" s="264" t="n"/>
      <c r="X17" s="264" t="n"/>
      <c r="Y17" s="264" t="n"/>
      <c r="Z17" s="264" t="n"/>
      <c r="AA17" s="264" t="n"/>
      <c r="AB17" s="264" t="n"/>
      <c r="AC17" s="264" t="n"/>
      <c r="AD17" s="264" t="n"/>
      <c r="AE17" s="264" t="n"/>
      <c r="AF17" s="264" t="n"/>
      <c r="AG17" s="264" t="n"/>
      <c r="AH17" s="264" t="n"/>
      <c r="AI17" s="264" t="n"/>
      <c r="AJ17" s="264" t="n"/>
      <c r="AK17" s="264" t="n"/>
      <c r="AL17" s="264" t="n"/>
      <c r="AM17" s="264" t="n"/>
      <c r="AN17" s="264" t="n"/>
      <c r="AO17" s="264" t="n"/>
      <c r="AP17" s="264" t="n"/>
      <c r="AQ17" s="264" t="n"/>
      <c r="AR17" s="158">
        <f>IF($A17="","",IF(OR($N17="Yes",$T17="Yes",$Z17="Yes",$AF17="Yes",$AL17="Yes"),"Yes","No"))</f>
        <v/>
      </c>
      <c r="AS17" s="158">
        <f>IF($A17="","",IFERROR(IF($AM17&lt;&gt;"",$AM17,IF($AG17&lt;&gt;"",$AG17,IF($AA17&lt;&gt;"",$AA17,IF($U17&lt;&gt;"",$U17,IF($O17&lt;&gt;"",$O17,""))))),""))</f>
        <v/>
      </c>
      <c r="AT17" s="158">
        <f>IFERROR(IF($AN17&lt;&gt;"",$AN17,IF($AH17&lt;&gt;"",$AH17,IF($AB17&lt;&gt;"",$AB17,IF($V17&lt;&gt;"",$V17,IF($P17&lt;&gt;"",$P17,""))))),"")</f>
        <v/>
      </c>
      <c r="AU17" s="265" t="inlineStr">
        <is>
          <t>Mục đích: cặp biên trên của trần 200 — hai giá trị liền kề phải quan sát trong cùng 1 TC để so được. · Căn cứ: `§8.1.4`.</t>
        </is>
      </c>
    </row>
    <row r="18">
      <c r="A18" s="160">
        <f>IF($F18="","",$C$2&amp;"."&amp;COUNTA($F$7:$F18)&amp;"")</f>
        <v/>
      </c>
      <c r="B18" s="160" t="inlineStr">
        <is>
          <t>REQ-ORD-011</t>
        </is>
      </c>
      <c r="C18" s="160" t="inlineStr">
        <is>
          <t>DOC-v1.1-01</t>
        </is>
      </c>
      <c r="D18" s="160" t="inlineStr">
        <is>
          <t>Functional</t>
        </is>
      </c>
      <c r="E18" s="160" t="inlineStr">
        <is>
          <t>Medium</t>
        </is>
      </c>
      <c r="F18" s="11" t="inlineStr">
        <is>
          <t>Check chọn ngày quá khứ cho Từ ngày bị chặn</t>
        </is>
      </c>
      <c r="G18" s="11" t="inlineStr">
        <is>
          <t>- Tài khoản A là CBNV có hồ sơ đầy đủ trên STG.
- Host app FoxPro đã cài trên thiết bị Android/iOS.
Test Data: Ngày liền trước ngày hiện tại — tính tương đối (test_data_catalog §ORD — Khoảng ngày)</t>
        </is>
      </c>
      <c r="H18" s="11" t="inlineStr">
        <is>
          <t>1. Đăng nhập FoxEco, nhấn "+ Đăng tin", nhấn card "Tôi cần gửi hàng", nhập đủ trường bước 1 rồi nhấn "Tiếp theo". (setup)
2. Nhấn ô "Từ ngày" để mở bộ chọn ngày.
3. Chọn ngày liền trước ngày hiện tại.
4. Check giá trị ô "Từ ngày" và thông báo lỗi nếu có.</t>
        </is>
      </c>
      <c r="I18" s="11" t="inlineStr">
        <is>
          <t>4. Ngày quá khứ không được nhận, ô giữ nguyên trạng thái chưa chọn hoặc hiện lỗi ngay dưới ô.</t>
        </is>
      </c>
      <c r="J18" s="160" t="inlineStr">
        <is>
          <t>AI</t>
        </is>
      </c>
      <c r="K18" s="160" t="inlineStr">
        <is>
          <t>Pending</t>
        </is>
      </c>
      <c r="L18" s="160" t="inlineStr">
        <is>
          <t>No</t>
        </is>
      </c>
      <c r="M18" s="160" t="inlineStr"/>
      <c r="N18" s="264" t="inlineStr">
        <is>
          <t>Yes</t>
        </is>
      </c>
      <c r="O18" s="264" t="inlineStr"/>
      <c r="P18" s="264" t="inlineStr">
        <is>
          <t>Pass</t>
        </is>
      </c>
      <c r="Q18" s="264" t="inlineStr">
        <is>
          <t>GiangDC2</t>
        </is>
      </c>
      <c r="R18" s="264" t="inlineStr"/>
      <c r="S18" s="264" t="inlineStr"/>
      <c r="T18" s="264" t="n"/>
      <c r="U18" s="264" t="n"/>
      <c r="V18" s="264" t="n"/>
      <c r="W18" s="264" t="n"/>
      <c r="X18" s="264" t="n"/>
      <c r="Y18" s="264" t="n"/>
      <c r="Z18" s="264" t="n"/>
      <c r="AA18" s="264" t="n"/>
      <c r="AB18" s="264" t="n"/>
      <c r="AC18" s="264" t="n"/>
      <c r="AD18" s="264" t="n"/>
      <c r="AE18" s="264" t="n"/>
      <c r="AF18" s="264" t="n"/>
      <c r="AG18" s="264" t="n"/>
      <c r="AH18" s="264" t="n"/>
      <c r="AI18" s="264" t="n"/>
      <c r="AJ18" s="264" t="n"/>
      <c r="AK18" s="264" t="n"/>
      <c r="AL18" s="264" t="n"/>
      <c r="AM18" s="264" t="n"/>
      <c r="AN18" s="264" t="n"/>
      <c r="AO18" s="264" t="n"/>
      <c r="AP18" s="264" t="n"/>
      <c r="AQ18" s="264" t="n"/>
      <c r="AR18" s="158">
        <f>IF($A18="","",IF(OR($N18="Yes",$T18="Yes",$Z18="Yes",$AF18="Yes",$AL18="Yes"),"Yes","No"))</f>
        <v/>
      </c>
      <c r="AS18" s="158">
        <f>IF($A18="","",IFERROR(IF($AM18&lt;&gt;"",$AM18,IF($AG18&lt;&gt;"",$AG18,IF($AA18&lt;&gt;"",$AA18,IF($U18&lt;&gt;"",$U18,IF($O18&lt;&gt;"",$O18,""))))),""))</f>
        <v/>
      </c>
      <c r="AT18" s="158">
        <f>IFERROR(IF($AN18&lt;&gt;"",$AN18,IF($AH18&lt;&gt;"",$AH18,IF($AB18&lt;&gt;"",$AB18,IF($V18&lt;&gt;"",$V18,IF($P18&lt;&gt;"",$P18,""))))),"")</f>
        <v/>
      </c>
      <c r="AU18" s="265" t="inlineStr">
        <is>
          <t>Đã sửa theo `C-ORD-15(a)` Resolved 2026-09-17: tách riêng nhánh ngày quá khứ khỏi phần mặc định mà v1.0 gộp chung, để mỗi nhánh có 1 điểm kiểm chứng ở step cuối. · Căn cứ: `BR01-04` + `AC-06.1.02`. ⛔ Không hardcode ngày — tính tương đối so với hiện tại.</t>
        </is>
      </c>
    </row>
    <row r="19">
      <c r="A19" s="160">
        <f>IF($F19="","",$C$2&amp;"."&amp;COUNTA($F$7:$F19)&amp;"")</f>
        <v/>
      </c>
      <c r="B19" s="160" t="inlineStr">
        <is>
          <t>REQ-ORD-011</t>
        </is>
      </c>
      <c r="C19" s="160" t="inlineStr">
        <is>
          <t>DOC-v1.1-01</t>
        </is>
      </c>
      <c r="D19" s="160" t="inlineStr">
        <is>
          <t>Functional</t>
        </is>
      </c>
      <c r="E19" s="160" t="inlineStr">
        <is>
          <t>Medium</t>
        </is>
      </c>
      <c r="F19" s="11" t="inlineStr">
        <is>
          <t>Check chọn Đến ngày sớm hơn Từ ngày bị chặn</t>
        </is>
      </c>
      <c r="G19" s="11" t="inlineStr">
        <is>
          <t>- Tài khoản A là CBNV có hồ sơ đầy đủ trên STG.
- Host app FoxPro đã cài trên thiết bị Android/iOS.
Test Data: Từ = hiện tại +3 ngày, Đến = hiện tại +1 ngày (test_data_catalog §ORD — Khoảng ngày, nhánh invalid)</t>
        </is>
      </c>
      <c r="H19" s="11" t="inlineStr">
        <is>
          <t>1. Đăng nhập FoxEco, nhấn "+ Đăng tin", nhấn card "Tôi cần gửi hàng", nhập đủ trường bước 1 rồi nhấn "Tiếp theo". (setup)
2. Chọn "Từ ngày" là ngày hiện tại cộng 3 ngày. (setup)
3. Nhấn ô "Đến ngày" và chọn ngày hiện tại cộng 1 ngày.
4. Check giá trị ô "Đến ngày" và thông báo lỗi nếu có.</t>
        </is>
      </c>
      <c r="I19" s="11" t="inlineStr">
        <is>
          <t>4. Giá trị sớm hơn "Từ ngày" không được nhận, ô giữ nguyên trạng thái chưa chọn hoặc hiện lỗi ngay dưới ô.</t>
        </is>
      </c>
      <c r="J19" s="160" t="inlineStr">
        <is>
          <t>AI</t>
        </is>
      </c>
      <c r="K19" s="160" t="inlineStr">
        <is>
          <t>Pending</t>
        </is>
      </c>
      <c r="L19" s="160" t="inlineStr">
        <is>
          <t>No</t>
        </is>
      </c>
      <c r="M19" s="160" t="inlineStr"/>
      <c r="N19" s="264" t="inlineStr">
        <is>
          <t>Yes</t>
        </is>
      </c>
      <c r="O19" s="264" t="inlineStr"/>
      <c r="P19" s="264" t="inlineStr">
        <is>
          <t>Pass</t>
        </is>
      </c>
      <c r="Q19" s="264" t="inlineStr">
        <is>
          <t>GiangDC2</t>
        </is>
      </c>
      <c r="R19" s="264" t="inlineStr"/>
      <c r="S19" s="264" t="inlineStr"/>
      <c r="T19" s="264" t="n"/>
      <c r="U19" s="264" t="n"/>
      <c r="V19" s="264" t="n"/>
      <c r="W19" s="264" t="n"/>
      <c r="X19" s="264" t="n"/>
      <c r="Y19" s="264" t="n"/>
      <c r="Z19" s="264" t="n"/>
      <c r="AA19" s="264" t="n"/>
      <c r="AB19" s="264" t="n"/>
      <c r="AC19" s="264" t="n"/>
      <c r="AD19" s="264" t="n"/>
      <c r="AE19" s="264" t="n"/>
      <c r="AF19" s="264" t="n"/>
      <c r="AG19" s="264" t="n"/>
      <c r="AH19" s="264" t="n"/>
      <c r="AI19" s="264" t="n"/>
      <c r="AJ19" s="264" t="n"/>
      <c r="AK19" s="264" t="n"/>
      <c r="AL19" s="264" t="n"/>
      <c r="AM19" s="264" t="n"/>
      <c r="AN19" s="264" t="n"/>
      <c r="AO19" s="264" t="n"/>
      <c r="AP19" s="264" t="n"/>
      <c r="AQ19" s="264" t="n"/>
      <c r="AR19" s="158">
        <f>IF($A19="","",IF(OR($N19="Yes",$T19="Yes",$Z19="Yes",$AF19="Yes",$AL19="Yes"),"Yes","No"))</f>
        <v/>
      </c>
      <c r="AS19" s="158">
        <f>IF($A19="","",IFERROR(IF($AM19&lt;&gt;"",$AM19,IF($AG19&lt;&gt;"",$AG19,IF($AA19&lt;&gt;"",$AA19,IF($U19&lt;&gt;"",$U19,IF($O19&lt;&gt;"",$O19,""))))),""))</f>
        <v/>
      </c>
      <c r="AT19" s="158">
        <f>IFERROR(IF($AN19&lt;&gt;"",$AN19,IF($AH19&lt;&gt;"",$AH19,IF($AB19&lt;&gt;"",$AB19,IF($V19&lt;&gt;"",$V19,IF($P19&lt;&gt;"",$P19,""))))),"")</f>
        <v/>
      </c>
      <c r="AU19" s="265" t="inlineStr">
        <is>
          <t>Đã sửa theo `Project_rule §Custom Rules §10.4` 2026-09-17: thu hẹp phạm vi còn **đúng 1 điểm kiểm chứng** ở step cuối — bản v1.0 gộp chung với nhánh ngày quá khứ (nay tách sang `TC-ORD-030`). Expected không đảo chiều. · Căn cứ: `BR01-04` *"Đến ≥ Từ"* + `AC-06.1.02`. ⛔ Không hardcode ngày.</t>
        </is>
      </c>
    </row>
    <row r="20">
      <c r="A20" s="160">
        <f>IF($F20="","",$C$2&amp;"."&amp;COUNTA($F$7:$F20)&amp;"")</f>
        <v/>
      </c>
      <c r="B20" s="160" t="inlineStr">
        <is>
          <t>REQ-ORD-011</t>
        </is>
      </c>
      <c r="C20" s="160" t="inlineStr">
        <is>
          <t>DOC-v1.1-01</t>
        </is>
      </c>
      <c r="D20" s="160" t="inlineStr">
        <is>
          <t>Functional</t>
        </is>
      </c>
      <c r="E20" s="160" t="inlineStr">
        <is>
          <t>Medium</t>
        </is>
      </c>
      <c r="F20" s="11" t="inlineStr">
        <is>
          <t>Check khoảng đúng bảy ngày được chấp nhận</t>
        </is>
      </c>
      <c r="G20" s="11" t="inlineStr">
        <is>
          <t>- Tài khoản A là CBNV có hồ sơ đầy đủ trên STG.
- Host app FoxPro đã cài trên thiết bị Android/iOS.
Test Data: Khoảng đúng 7 ngày — biên trên hợp lệ (test_data_catalog §ORD — Khoảng ngày, biên)</t>
        </is>
      </c>
      <c r="H20" s="11" t="inlineStr">
        <is>
          <t>1. Đăng nhập FoxEco, nhấn "+ Đăng tin", nhấn card "Tôi cần gửi hàng", nhập đủ trường bước 1 rồi nhấn "Tiếp theo". (setup)
2. Chọn "Từ ngày" là ngày hiện tại. (setup)
3. Chọn "Đến ngày" là ngày hiện tại cộng 7 ngày.
4. Check giá trị hai ô ngày và thông báo lỗi nếu có.</t>
        </is>
      </c>
      <c r="I20" s="11" t="inlineStr">
        <is>
          <t>4. Cả hai ô nhận đúng giá trị vừa chọn và KHÔNG có thông báo lỗi nào về khoảng ngày.</t>
        </is>
      </c>
      <c r="J20" s="160" t="inlineStr">
        <is>
          <t>AI</t>
        </is>
      </c>
      <c r="K20" s="160" t="inlineStr">
        <is>
          <t>Pending</t>
        </is>
      </c>
      <c r="L20" s="160" t="inlineStr">
        <is>
          <t>No</t>
        </is>
      </c>
      <c r="M20" s="160" t="inlineStr"/>
      <c r="N20" s="264" t="inlineStr">
        <is>
          <t>Yes</t>
        </is>
      </c>
      <c r="O20" s="264" t="inlineStr"/>
      <c r="P20" s="264" t="inlineStr">
        <is>
          <t>Pass</t>
        </is>
      </c>
      <c r="Q20" s="264" t="inlineStr">
        <is>
          <t>GiangDC2</t>
        </is>
      </c>
      <c r="R20" s="264" t="inlineStr"/>
      <c r="S20" s="264" t="inlineStr"/>
      <c r="T20" s="264" t="n"/>
      <c r="U20" s="264" t="n"/>
      <c r="V20" s="264" t="n"/>
      <c r="W20" s="264" t="n"/>
      <c r="X20" s="264" t="n"/>
      <c r="Y20" s="264" t="n"/>
      <c r="Z20" s="264" t="n"/>
      <c r="AA20" s="264" t="n"/>
      <c r="AB20" s="264" t="n"/>
      <c r="AC20" s="264" t="n"/>
      <c r="AD20" s="264" t="n"/>
      <c r="AE20" s="264" t="n"/>
      <c r="AF20" s="264" t="n"/>
      <c r="AG20" s="264" t="n"/>
      <c r="AH20" s="264" t="n"/>
      <c r="AI20" s="264" t="n"/>
      <c r="AJ20" s="264" t="n"/>
      <c r="AK20" s="264" t="n"/>
      <c r="AL20" s="264" t="n"/>
      <c r="AM20" s="264" t="n"/>
      <c r="AN20" s="264" t="n"/>
      <c r="AO20" s="264" t="n"/>
      <c r="AP20" s="264" t="n"/>
      <c r="AQ20" s="264" t="n"/>
      <c r="AR20" s="158">
        <f>IF($A20="","",IF(OR($N20="Yes",$T20="Yes",$Z20="Yes",$AF20="Yes",$AL20="Yes"),"Yes","No"))</f>
        <v/>
      </c>
      <c r="AS20" s="158">
        <f>IF($A20="","",IFERROR(IF($AM20&lt;&gt;"",$AM20,IF($AG20&lt;&gt;"",$AG20,IF($AA20&lt;&gt;"",$AA20,IF($U20&lt;&gt;"",$U20,IF($O20&lt;&gt;"",$O20,""))))),""))</f>
        <v/>
      </c>
      <c r="AT20" s="158">
        <f>IFERROR(IF($AN20&lt;&gt;"",$AN20,IF($AH20&lt;&gt;"",$AH20,IF($AB20&lt;&gt;"",$AB20,IF($V20&lt;&gt;"",$V20,IF($P20&lt;&gt;"",$P20,""))))),"")</f>
        <v/>
      </c>
      <c r="AU20" s="265" t="inlineStr">
        <is>
          <t>Mục đích: cặp biên với `TC-ORD-057` — chỉ chạy chiều chặn thì rule "chặn mọi khoảng" cũng PASS. · Căn cứ: `C-ORD-15(a)` Resolved 2026-09-17 — BA chốt *"Từ X → Đến tối đa X+7"*, tức 7 ngày là **hợp lệ**.</t>
        </is>
      </c>
    </row>
    <row r="21" ht="15.75" customHeight="1" s="216">
      <c r="A21" s="160">
        <f>IF($F21="","",$C$2&amp;"."&amp;COUNTA($F$7:$F21)&amp;"")</f>
        <v/>
      </c>
      <c r="B21" s="160" t="inlineStr">
        <is>
          <t>REQ-ORD-011</t>
        </is>
      </c>
      <c r="C21" s="160" t="inlineStr">
        <is>
          <t>DOC-v1.1-01</t>
        </is>
      </c>
      <c r="D21" s="160" t="inlineStr">
        <is>
          <t>Functional</t>
        </is>
      </c>
      <c r="E21" s="160" t="inlineStr">
        <is>
          <t>Medium</t>
        </is>
      </c>
      <c r="F21" s="11" t="inlineStr">
        <is>
          <t>Check khoảng tám ngày bị chặn</t>
        </is>
      </c>
      <c r="G21" s="11" t="inlineStr">
        <is>
          <t>- Tài khoản A là CBNV có hồ sơ đầy đủ trên STG.
- Host app FoxPro đã cài trên thiết bị Android/iOS.
Test Data: Khoảng 8 ngày — vượt biên (test_data_catalog §ORD — Khoảng ngày, biên)</t>
        </is>
      </c>
      <c r="H21" s="11" t="inlineStr">
        <is>
          <t>1. Đăng nhập FoxEco, nhấn "+ Đăng tin", nhấn card "Tôi cần gửi hàng", nhập đủ trường bước 1 rồi nhấn "Tiếp theo". (setup)
2. Chọn "Từ ngày" là ngày hiện tại. (setup)
3. Chọn "Đến ngày" là ngày hiện tại cộng 8 ngày.
4. Check giá trị ô "Đến ngày" và thông báo lỗi nếu có.</t>
        </is>
      </c>
      <c r="I21" s="11" t="inlineStr">
        <is>
          <t>4. Giá trị cộng 8 ngày không được nhận, ô giữ nguyên trạng thái chưa chọn hoặc hiện lỗi ngay dưới ô.</t>
        </is>
      </c>
      <c r="J21" s="160" t="inlineStr">
        <is>
          <t>AI</t>
        </is>
      </c>
      <c r="K21" s="160" t="inlineStr">
        <is>
          <t>Pending</t>
        </is>
      </c>
      <c r="L21" s="160" t="inlineStr">
        <is>
          <t>No</t>
        </is>
      </c>
      <c r="M21" s="160" t="inlineStr"/>
      <c r="N21" s="264" t="inlineStr">
        <is>
          <t>Yes</t>
        </is>
      </c>
      <c r="O21" s="264" t="inlineStr"/>
      <c r="P21" s="264" t="inlineStr">
        <is>
          <t>Pass</t>
        </is>
      </c>
      <c r="Q21" s="264" t="inlineStr">
        <is>
          <t>GiangDC2</t>
        </is>
      </c>
      <c r="R21" s="264" t="inlineStr"/>
      <c r="S21" s="264" t="inlineStr"/>
      <c r="T21" s="264" t="n"/>
      <c r="U21" s="264" t="n"/>
      <c r="V21" s="264" t="n"/>
      <c r="W21" s="264" t="n"/>
      <c r="X21" s="264" t="n"/>
      <c r="Y21" s="264" t="n"/>
      <c r="Z21" s="264" t="n"/>
      <c r="AA21" s="264" t="n"/>
      <c r="AB21" s="264" t="n"/>
      <c r="AC21" s="264" t="n"/>
      <c r="AD21" s="264" t="n"/>
      <c r="AE21" s="264" t="n"/>
      <c r="AF21" s="264" t="n"/>
      <c r="AG21" s="264" t="n"/>
      <c r="AH21" s="264" t="n"/>
      <c r="AI21" s="264" t="n"/>
      <c r="AJ21" s="264" t="n"/>
      <c r="AK21" s="264" t="n"/>
      <c r="AL21" s="264" t="n"/>
      <c r="AM21" s="264" t="n"/>
      <c r="AN21" s="264" t="n"/>
      <c r="AO21" s="264" t="n"/>
      <c r="AP21" s="264" t="n"/>
      <c r="AQ21" s="264" t="n"/>
      <c r="AR21" s="158">
        <f>IF($A21="","",IF(OR($N21="Yes",$T21="Yes",$Z21="Yes",$AF21="Yes",$AL21="Yes"),"Yes","No"))</f>
        <v/>
      </c>
      <c r="AS21" s="158">
        <f>IF($A21="","",IFERROR(IF($AM21&lt;&gt;"",$AM21,IF($AG21&lt;&gt;"",$AG21,IF($AA21&lt;&gt;"",$AA21,IF($U21&lt;&gt;"",$U21,IF($O21&lt;&gt;"",$O21,""))))),""))</f>
        <v/>
      </c>
      <c r="AT21" s="158">
        <f>IFERROR(IF($AN21&lt;&gt;"",$AN21,IF($AH21&lt;&gt;"",$AH21,IF($AB21&lt;&gt;"",$AB21,IF($V21&lt;&gt;"",$V21,IF($P21&lt;&gt;"",$P21,""))))),"")</f>
        <v/>
      </c>
      <c r="AU21" s="265" t="inlineStr">
        <is>
          <t>Căn cứ: `BR01-04` + `C-ORD-15(a)`. ⛔ Không hardcode ngày.</t>
        </is>
      </c>
    </row>
    <row r="22" ht="15.75" customHeight="1" s="216">
      <c r="A22" s="160">
        <f>IF($F22="","",$C$2&amp;"."&amp;COUNTA($F$7:$F22)&amp;"")</f>
        <v/>
      </c>
      <c r="B22" s="160" t="inlineStr">
        <is>
          <t>REQ-ORD-012</t>
        </is>
      </c>
      <c r="C22" s="160" t="inlineStr">
        <is>
          <t>DOC-v1.1-01</t>
        </is>
      </c>
      <c r="D22" s="160" t="inlineStr">
        <is>
          <t>Functional</t>
        </is>
      </c>
      <c r="E22" s="160" t="inlineStr">
        <is>
          <t>Medium</t>
        </is>
      </c>
      <c r="F22" s="11" t="inlineStr">
        <is>
          <t>Check chọn Giờ nào cũng được tự bỏ chọn các buổi đang chọn</t>
        </is>
      </c>
      <c r="G22" s="11" t="inlineStr">
        <is>
          <t>- Tài khoản A là CBNV có hồ sơ đầy đủ trên STG.
- Host app FoxPro đã cài trên thiết bị Android/iOS.
Test Data: 4 buổi mong muốn (test_data_catalog §ORD — Buổi mong muốn)</t>
        </is>
      </c>
      <c r="H22" s="11" t="inlineStr">
        <is>
          <t>1. Đăng nhập FoxEco, nhấn "+ Đăng tin", nhấn card "Tôi cần gửi hàng", nhập đủ trường bước 1 rồi nhấn "Tiếp theo". (setup)
2. Chọn buổi "Sáng (8–12)". (setup)
3. Chọn thêm buổi "Chiều (13–17)". (setup)
4. Chọn "Giờ nào cũng được".
5. Check trạng thái chọn của cả bốn buổi.</t>
        </is>
      </c>
      <c r="I22" s="11" t="inlineStr">
        <is>
          <t>5. Chỉ còn "Giờ nào cũng được" ở trạng thái được chọn; "Sáng (8–12)" và "Chiều (13–17)" tự bỏ chọn.</t>
        </is>
      </c>
      <c r="J22" s="160" t="inlineStr">
        <is>
          <t>AI</t>
        </is>
      </c>
      <c r="K22" s="160" t="inlineStr">
        <is>
          <t>Pending</t>
        </is>
      </c>
      <c r="L22" s="160" t="inlineStr">
        <is>
          <t>No</t>
        </is>
      </c>
      <c r="M22" s="160" t="inlineStr"/>
      <c r="N22" s="264" t="inlineStr">
        <is>
          <t>Yes</t>
        </is>
      </c>
      <c r="O22" s="264" t="inlineStr"/>
      <c r="P22" s="264" t="inlineStr">
        <is>
          <t>Pass</t>
        </is>
      </c>
      <c r="Q22" s="264" t="inlineStr">
        <is>
          <t>GiangDC2</t>
        </is>
      </c>
      <c r="R22" s="264" t="inlineStr"/>
      <c r="S22" s="264" t="inlineStr"/>
      <c r="T22" s="264" t="n"/>
      <c r="U22" s="264" t="n"/>
      <c r="V22" s="264" t="n"/>
      <c r="W22" s="264" t="n"/>
      <c r="X22" s="264" t="n"/>
      <c r="Y22" s="264" t="n"/>
      <c r="Z22" s="264" t="n"/>
      <c r="AA22" s="264" t="n"/>
      <c r="AB22" s="264" t="n"/>
      <c r="AC22" s="264" t="n"/>
      <c r="AD22" s="264" t="n"/>
      <c r="AE22" s="264" t="n"/>
      <c r="AF22" s="264" t="n"/>
      <c r="AG22" s="264" t="n"/>
      <c r="AH22" s="264" t="n"/>
      <c r="AI22" s="264" t="n"/>
      <c r="AJ22" s="264" t="n"/>
      <c r="AK22" s="264" t="n"/>
      <c r="AL22" s="264" t="n"/>
      <c r="AM22" s="264" t="n"/>
      <c r="AN22" s="264" t="n"/>
      <c r="AO22" s="264" t="n"/>
      <c r="AP22" s="264" t="n"/>
      <c r="AQ22" s="264" t="n"/>
      <c r="AR22" s="158">
        <f>IF($A22="","",IF(OR($N22="Yes",$T22="Yes",$Z22="Yes",$AF22="Yes",$AL22="Yes"),"Yes","No"))</f>
        <v/>
      </c>
      <c r="AS22" s="158">
        <f>IF($A22="","",IFERROR(IF($AM22&lt;&gt;"",$AM22,IF($AG22&lt;&gt;"",$AG22,IF($AA22&lt;&gt;"",$AA22,IF($U22&lt;&gt;"",$U22,IF($O22&lt;&gt;"",$O22,""))))),""))</f>
        <v/>
      </c>
      <c r="AT22" s="158">
        <f>IFERROR(IF($AN22&lt;&gt;"",$AN22,IF($AH22&lt;&gt;"",$AH22,IF($AB22&lt;&gt;"",$AB22,IF($V22&lt;&gt;"",$V22,IF($P22&lt;&gt;"",$P22,""))))),"")</f>
        <v/>
      </c>
      <c r="AU22" s="265" t="inlineStr">
        <is>
          <t>Đã sửa theo `Project_rule §Custom Rules §10.4` 2026-09-17: tách vế **giá trị mặc định** ra `TC-ORD-058` để mỗi TC chỉ còn 1 điểm kiểm chứng ở step cuối; bản v1.0 gộp cả hai. Expected không đảo chiều. · Căn cứ: `BR01-04` + `AC-06.2.01` — quan hệ loại trừ giữa "Giờ nào cũng được" và 3 buổi cụ thể.</t>
        </is>
      </c>
    </row>
    <row r="23" ht="15.75" customHeight="1" s="216">
      <c r="A23" s="160">
        <f>IF($F23="","",$C$2&amp;"."&amp;COUNTA($F$7:$F23)&amp;"")</f>
        <v/>
      </c>
      <c r="B23" s="160" t="inlineStr">
        <is>
          <t>REQ-ORD-012</t>
        </is>
      </c>
      <c r="C23" s="160" t="inlineStr">
        <is>
          <t>DOC-v1.1-01</t>
        </is>
      </c>
      <c r="D23" s="160" t="inlineStr">
        <is>
          <t>UI</t>
        </is>
      </c>
      <c r="E23" s="160" t="inlineStr">
        <is>
          <t>Medium</t>
        </is>
      </c>
      <c r="F23" s="11" t="inlineStr">
        <is>
          <t>Check buổi mong muốn mặc định là Sau giờ làm khi vừa mở bước hai</t>
        </is>
      </c>
      <c r="G23" s="11" t="inlineStr">
        <is>
          <t>- Tài khoản A là CBNV có hồ sơ đầy đủ trên STG.
- Host app FoxPro đã cài trên thiết bị Android/iOS.
Test Data: Giá trị mặc định của field buổi (test_data_catalog §ORD — Buổi mong muốn)</t>
        </is>
      </c>
      <c r="H23" s="11" t="inlineStr">
        <is>
          <t>1. Đăng nhập FoxEco, nhấn "+ Đăng tin", nhấn card "Tôi cần gửi hàng", nhập đủ trường bước 1 rồi nhấn "Tiếp theo". (setup)
2. Check buổi đang được chọn sẵn ở field buổi mong muốn khi chưa chạm vào field.</t>
        </is>
      </c>
      <c r="I23" s="11" t="inlineStr">
        <is>
          <t>2. Buổi "Sau giờ làm (17–19)" đang ở trạng thái được chọn sẵn.</t>
        </is>
      </c>
      <c r="J23" s="160" t="inlineStr">
        <is>
          <t>AI</t>
        </is>
      </c>
      <c r="K23" s="160" t="inlineStr">
        <is>
          <t>Pending</t>
        </is>
      </c>
      <c r="L23" s="160" t="inlineStr">
        <is>
          <t>No</t>
        </is>
      </c>
      <c r="M23" s="160" t="inlineStr"/>
      <c r="N23" s="264" t="inlineStr">
        <is>
          <t>Yes</t>
        </is>
      </c>
      <c r="O23" s="264" t="inlineStr"/>
      <c r="P23" s="264" t="inlineStr">
        <is>
          <t>Fail</t>
        </is>
      </c>
      <c r="Q23" s="264" t="inlineStr">
        <is>
          <t>GiangDC2</t>
        </is>
      </c>
      <c r="R23" s="264" t="inlineStr">
        <is>
          <t>FE-304</t>
        </is>
      </c>
      <c r="S23" s="264" t="inlineStr"/>
      <c r="T23" s="264" t="n"/>
      <c r="U23" s="264" t="n"/>
      <c r="V23" s="264" t="n"/>
      <c r="W23" s="264" t="n"/>
      <c r="X23" s="264" t="n"/>
      <c r="Y23" s="264" t="n"/>
      <c r="Z23" s="264" t="n"/>
      <c r="AA23" s="264" t="n"/>
      <c r="AB23" s="264" t="n"/>
      <c r="AC23" s="264" t="n"/>
      <c r="AD23" s="264" t="n"/>
      <c r="AE23" s="264" t="n"/>
      <c r="AF23" s="264" t="n"/>
      <c r="AG23" s="264" t="n"/>
      <c r="AH23" s="264" t="n"/>
      <c r="AI23" s="264" t="n"/>
      <c r="AJ23" s="264" t="n"/>
      <c r="AK23" s="264" t="n"/>
      <c r="AL23" s="264" t="n"/>
      <c r="AM23" s="264" t="n"/>
      <c r="AN23" s="264" t="n"/>
      <c r="AO23" s="264" t="n"/>
      <c r="AP23" s="264" t="n"/>
      <c r="AQ23" s="264" t="n"/>
      <c r="AR23" s="158">
        <f>IF($A23="","",IF(OR($N23="Yes",$T23="Yes",$Z23="Yes",$AF23="Yes",$AL23="Yes"),"Yes","No"))</f>
        <v/>
      </c>
      <c r="AS23" s="158">
        <f>IF($A23="","",IFERROR(IF($AM23&lt;&gt;"",$AM23,IF($AG23&lt;&gt;"",$AG23,IF($AA23&lt;&gt;"",$AA23,IF($U23&lt;&gt;"",$U23,IF($O23&lt;&gt;"",$O23,""))))),""))</f>
        <v/>
      </c>
      <c r="AT23" s="158">
        <f>IFERROR(IF($AN23&lt;&gt;"",$AN23,IF($AH23&lt;&gt;"",$AH23,IF($AB23&lt;&gt;"",$AB23,IF($V23&lt;&gt;"",$V23,IF($P23&lt;&gt;"",$P23,""))))),"")</f>
        <v/>
      </c>
      <c r="AU23" s="265" t="inlineStr">
        <is>
          <t>Mục đích: v1.0 cố ý **KHÔNG** assert mặc định vì 3 nguồn cho 3 giá trị khác nhau; PRD v1.1 `§8.1.4` nay gọi tên rõ nên assert được. · Căn cứ: `§8.1.4` — nguồn mới nhất thắng các nguồn v1.0. App hiện buổi khác ⇒ FAIL và log bug.</t>
        </is>
      </c>
    </row>
    <row r="24" ht="15.75" customHeight="1" s="216">
      <c r="A24" s="160">
        <f>IF($F24="","",$C$2&amp;"."&amp;COUNTA($F$7:$F24)&amp;"")</f>
        <v/>
      </c>
      <c r="B24" s="160" t="inlineStr">
        <is>
          <t>REQ-ORD-012</t>
        </is>
      </c>
      <c r="C24" s="160" t="inlineStr">
        <is>
          <t>DOC-v1.1-01</t>
        </is>
      </c>
      <c r="D24" s="160" t="inlineStr">
        <is>
          <t>Functional</t>
        </is>
      </c>
      <c r="E24" s="160" t="inlineStr">
        <is>
          <t>Medium</t>
        </is>
      </c>
      <c r="F24" s="11" t="inlineStr">
        <is>
          <t>Check buổi đã trôi qua trong ngày hôm nay bị chặn chọn</t>
        </is>
      </c>
      <c r="G24" s="11" t="inlineStr">
        <is>
          <t>- Tài khoản A là CBNV có hồ sơ đầy đủ trên STG.
- Host app FoxPro đã cài trên thiết bị Android/iOS.
- Thời điểm chạy là sau 12 giờ trưa để buổi "Sáng (8–12)" đã trôi qua.
Test Data: Buổi đã qua trong ngày hiện tại (test_data_catalog §ORD — Buổi mong muốn)</t>
        </is>
      </c>
      <c r="H24" s="11" t="inlineStr">
        <is>
          <t>1. Đăng nhập FoxEco, nhấn "+ Đăng tin", nhấn card "Tôi cần gửi hàng", nhập đủ trường bước 1 rồi nhấn "Tiếp theo". (setup)
2. Chọn "Từ ngày" và "Đến ngày" đều là ngày hiện tại. (setup)
3. Nhấn chọn buổi "Sáng (8–12)".
4. Check trạng thái chọn của buổi "Sáng (8–12)".</t>
        </is>
      </c>
      <c r="I24" s="11" t="inlineStr">
        <is>
          <t>4. Buổi "Sáng (8–12)" không chọn được, giữ nguyên trạng thái không được chọn hoặc bị vô hiệu hoá.</t>
        </is>
      </c>
      <c r="J24" s="160" t="inlineStr">
        <is>
          <t>AI</t>
        </is>
      </c>
      <c r="K24" s="160" t="inlineStr">
        <is>
          <t>Pending</t>
        </is>
      </c>
      <c r="L24" s="160" t="inlineStr">
        <is>
          <t>No</t>
        </is>
      </c>
      <c r="M24" s="160" t="inlineStr"/>
      <c r="N24" s="264" t="inlineStr">
        <is>
          <t>Yes</t>
        </is>
      </c>
      <c r="O24" s="264" t="inlineStr"/>
      <c r="P24" s="264" t="inlineStr">
        <is>
          <t>Fail</t>
        </is>
      </c>
      <c r="Q24" s="264" t="inlineStr">
        <is>
          <t>GiangDC2</t>
        </is>
      </c>
      <c r="R24" s="264" t="inlineStr">
        <is>
          <t>FE-303</t>
        </is>
      </c>
      <c r="S24" s="264" t="inlineStr"/>
      <c r="T24" s="264" t="n"/>
      <c r="U24" s="264" t="n"/>
      <c r="V24" s="264" t="n"/>
      <c r="W24" s="264" t="n"/>
      <c r="X24" s="264" t="n"/>
      <c r="Y24" s="264" t="n"/>
      <c r="Z24" s="264" t="n"/>
      <c r="AA24" s="264" t="n"/>
      <c r="AB24" s="264" t="n"/>
      <c r="AC24" s="264" t="n"/>
      <c r="AD24" s="264" t="n"/>
      <c r="AE24" s="264" t="n"/>
      <c r="AF24" s="264" t="n"/>
      <c r="AG24" s="264" t="n"/>
      <c r="AH24" s="264" t="n"/>
      <c r="AI24" s="264" t="n"/>
      <c r="AJ24" s="264" t="n"/>
      <c r="AK24" s="264" t="n"/>
      <c r="AL24" s="264" t="n"/>
      <c r="AM24" s="264" t="n"/>
      <c r="AN24" s="264" t="n"/>
      <c r="AO24" s="264" t="n"/>
      <c r="AP24" s="264" t="n"/>
      <c r="AQ24" s="264" t="n"/>
      <c r="AR24" s="158">
        <f>IF($A24="","",IF(OR($N24="Yes",$T24="Yes",$Z24="Yes",$AF24="Yes",$AL24="Yes"),"Yes","No"))</f>
        <v/>
      </c>
      <c r="AS24" s="158">
        <f>IF($A24="","",IFERROR(IF($AM24&lt;&gt;"",$AM24,IF($AG24&lt;&gt;"",$AG24,IF($AA24&lt;&gt;"",$AA24,IF($U24&lt;&gt;"",$U24,IF($O24&lt;&gt;"",$O24,""))))),""))</f>
        <v/>
      </c>
      <c r="AT24" s="158">
        <f>IFERROR(IF($AN24&lt;&gt;"",$AN24,IF($AH24&lt;&gt;"",$AH24,IF($AB24&lt;&gt;"",$AB24,IF($V24&lt;&gt;"",$V24,IF($P24&lt;&gt;"",$P24,""))))),"")</f>
        <v/>
      </c>
      <c r="AU24" s="265" t="inlineStr">
        <is>
          <t>Mục đích: neo vào `C-ORD-15(b)` Resolved 2026-09-17 — BA chốt *"app CHẶN chọn buổi đã qua trong ngày"*, rule này **không có trong PRD**, chưa SC nào phủ trước lượt này. · Căn cứ: câu trả lời BA là nguồn chốt duy nhất; app cho chọn ⇒ FAIL và dẫn `C-ORD-15`. ⛔ Không hardcode giờ — điều kiện thời điểm chạy ghi ở Pre-condition.</t>
        </is>
      </c>
    </row>
    <row r="25" ht="15.75" customHeight="1" s="216">
      <c r="A25" s="160">
        <f>IF($F25="","",$C$2&amp;"."&amp;COUNTA($F$7:$F25)&amp;"")</f>
        <v/>
      </c>
      <c r="B25" s="160" t="inlineStr">
        <is>
          <t>REQ-ORD-015</t>
        </is>
      </c>
      <c r="C25" s="160" t="inlineStr">
        <is>
          <t>DOC-v1.1-01</t>
        </is>
      </c>
      <c r="D25" s="160" t="inlineStr">
        <is>
          <t>UI</t>
        </is>
      </c>
      <c r="E25" s="160" t="inlineStr">
        <is>
          <t>Medium</t>
        </is>
      </c>
      <c r="F25" s="11" t="inlineStr">
        <is>
          <t>Check màn Đăng tin thành công không hiển thị mã đơn và có đủ hai nút điều hướng</t>
        </is>
      </c>
      <c r="G25" s="11" t="inlineStr">
        <is>
          <t>- Tài khoản A là CBNV có hồ sơ đầy đủ trên STG.
- Host app FoxPro đã cài trên thiết bị Android/iOS.
- Thư viện ảnh thiết bị có sẵn bộ ảnh mẫu dùng chung 3 module = `SEED-ORD-01`.
Test Data: Dữ liệu hợp lệ đủ 3 bước + 1 ảnh của `SEED-ORD-01` (test_data_catalog §ORD)</t>
        </is>
      </c>
      <c r="H25" s="11" t="inlineStr">
        <is>
          <t>1. Đăng nhập FoxEco, nhấn "+ Đăng tin" rồi nhấn card "Tôi cần gửi hàng". (setup)
2. Nhập đủ dữ liệu hợp lệ cả ba bước wizard, gồm ≥1 ảnh. (setup)
3. Nhấn "Đăng tin ngay".
4. Check toàn bộ nội dung và các nút trên màn thành công.</t>
        </is>
      </c>
      <c r="I25" s="11" t="inlineStr">
        <is>
          <t>4. Màn KHÔNG hiển thị mã đơn nào; có nút về trang chủ và nút xem đơn vừa đăng.</t>
        </is>
      </c>
      <c r="J25" s="160" t="inlineStr">
        <is>
          <t>AI</t>
        </is>
      </c>
      <c r="K25" s="160" t="inlineStr">
        <is>
          <t>Pending</t>
        </is>
      </c>
      <c r="L25" s="160" t="inlineStr">
        <is>
          <t>No</t>
        </is>
      </c>
      <c r="M25" s="160" t="inlineStr"/>
      <c r="N25" s="264" t="inlineStr">
        <is>
          <t>Yes</t>
        </is>
      </c>
      <c r="O25" s="264" t="inlineStr"/>
      <c r="P25" s="264" t="inlineStr">
        <is>
          <t>Pass</t>
        </is>
      </c>
      <c r="Q25" s="264" t="inlineStr">
        <is>
          <t>GiangDC2</t>
        </is>
      </c>
      <c r="R25" s="264" t="inlineStr"/>
      <c r="S25" s="264" t="inlineStr"/>
      <c r="T25" s="264" t="n"/>
      <c r="U25" s="264" t="n"/>
      <c r="V25" s="264" t="n"/>
      <c r="W25" s="264" t="n"/>
      <c r="X25" s="264" t="n"/>
      <c r="Y25" s="264" t="n"/>
      <c r="Z25" s="264" t="n"/>
      <c r="AA25" s="264" t="n"/>
      <c r="AB25" s="264" t="n"/>
      <c r="AC25" s="264" t="n"/>
      <c r="AD25" s="264" t="n"/>
      <c r="AE25" s="264" t="n"/>
      <c r="AF25" s="264" t="n"/>
      <c r="AG25" s="264" t="n"/>
      <c r="AH25" s="264" t="n"/>
      <c r="AI25" s="264" t="n"/>
      <c r="AJ25" s="264" t="n"/>
      <c r="AK25" s="264" t="n"/>
      <c r="AL25" s="264" t="n"/>
      <c r="AM25" s="264" t="n"/>
      <c r="AN25" s="264" t="n"/>
      <c r="AO25" s="264" t="n"/>
      <c r="AP25" s="264" t="n"/>
      <c r="AQ25" s="264" t="n"/>
      <c r="AR25" s="158">
        <f>IF($A25="","",IF(OR($N25="Yes",$T25="Yes",$Z25="Yes",$AF25="Yes",$AL25="Yes"),"Yes","No"))</f>
        <v/>
      </c>
      <c r="AS25" s="158">
        <f>IF($A25="","",IFERROR(IF($AM25&lt;&gt;"",$AM25,IF($AG25&lt;&gt;"",$AG25,IF($AA25&lt;&gt;"",$AA25,IF($U25&lt;&gt;"",$U25,IF($O25&lt;&gt;"",$O25,""))))),""))</f>
        <v/>
      </c>
      <c r="AT25" s="158">
        <f>IFERROR(IF($AN25&lt;&gt;"",$AN25,IF($AH25&lt;&gt;"",$AH25,IF($AB25&lt;&gt;"",$AB25,IF($V25&lt;&gt;"",$V25,IF($P25&lt;&gt;"",$P25,""))))),"")</f>
        <v/>
      </c>
      <c r="AU25" s="265" t="inlineStr">
        <is>
          <t>Đã sửa theo `C-ORD-05` Resolved 2026-09-15: chốt **KHÔNG có mã đơn**, v1.0 còn để ngỏ. · Mục đích: kết quả phản trực giác — người chạy quen app thương mại sẽ đi tìm mã đơn rồi báo thiếu. · Căn cứ: `AC-07.1.01` + `§8.1.3` bước 8. Vế *"tin xuất hiện ngay ở Tin mới và Đơn của tôi"* thuộc `HOME`/`ACT`, ⛔ không nhân bản ở đây.</t>
        </is>
      </c>
    </row>
    <row r="26" ht="15.75" customHeight="1" s="216">
      <c r="A26" s="160">
        <f>IF($F26="","",$C$2&amp;"."&amp;COUNTA($F$7:$F26)&amp;"")</f>
        <v/>
      </c>
      <c r="B26" s="160" t="inlineStr">
        <is>
          <t>REQ-ORD-016</t>
        </is>
      </c>
      <c r="C26" s="160" t="inlineStr">
        <is>
          <t>DOC-v1.1-01</t>
        </is>
      </c>
      <c r="D26" s="160" t="inlineStr">
        <is>
          <t>Functional</t>
        </is>
      </c>
      <c r="E26" s="160" t="inlineStr">
        <is>
          <t>Medium</t>
        </is>
      </c>
      <c r="F26" s="11" t="inlineStr">
        <is>
          <t>Check vai người gửi không tìm thấy và không mở được tin OFFER của người khác</t>
        </is>
      </c>
      <c r="G26" s="11" t="inlineStr">
        <is>
          <t>- Tài khoản A và B là hai CBNV khác nhau trên STG.
- Host app FoxPro đã cài trên thiết bị Android/iOS.
Test Data: 1 tin OFFER của tài khoản khác (test_data_catalog §ORD — Tin OFFER của tài khoản khác)</t>
        </is>
      </c>
      <c r="H26" s="11" t="inlineStr">
        <is>
          <t>1. Đăng nhập bằng tài khoản A, nhấn "+ Đăng tin", nhấn card "Tôi có thể mang giúp" và đăng 1 tin OFFER với tên tuyến riêng biệt, rồi đăng xuất. (setup)
2. Đăng nhập bằng tài khoản B và nhấn tab "Bảng tin". (setup)
3. Rà lần lượt cả hai tab con của Bảng tin.
4. Nhập tên tuyến của tin OFFER vào ô tìm kiếm và check kết quả trả về.</t>
        </is>
      </c>
      <c r="I26" s="11" t="inlineStr">
        <is>
          <t>4. Không có kết quả nào khớp và tin OFFER của tài khoản A KHÔNG xuất hiện ở cả hai tab con.</t>
        </is>
      </c>
      <c r="J26" s="160" t="inlineStr">
        <is>
          <t>AI</t>
        </is>
      </c>
      <c r="K26" s="160" t="inlineStr">
        <is>
          <t>Pending</t>
        </is>
      </c>
      <c r="L26" s="160" t="inlineStr">
        <is>
          <t>No</t>
        </is>
      </c>
      <c r="M26" s="160" t="inlineStr"/>
      <c r="N26" s="264" t="inlineStr">
        <is>
          <t>Yes</t>
        </is>
      </c>
      <c r="O26" s="264" t="inlineStr"/>
      <c r="P26" s="264" t="inlineStr">
        <is>
          <t>Pass</t>
        </is>
      </c>
      <c r="Q26" s="264" t="inlineStr">
        <is>
          <t>GiangDC2</t>
        </is>
      </c>
      <c r="R26" s="264" t="inlineStr"/>
      <c r="S26" s="264" t="inlineStr"/>
      <c r="T26" s="264" t="n"/>
      <c r="U26" s="264" t="n"/>
      <c r="V26" s="264" t="n"/>
      <c r="W26" s="264" t="n"/>
      <c r="X26" s="264" t="n"/>
      <c r="Y26" s="264" t="n"/>
      <c r="Z26" s="264" t="n"/>
      <c r="AA26" s="264" t="n"/>
      <c r="AB26" s="264" t="n"/>
      <c r="AC26" s="264" t="n"/>
      <c r="AD26" s="264" t="n"/>
      <c r="AE26" s="264" t="n"/>
      <c r="AF26" s="264" t="n"/>
      <c r="AG26" s="264" t="n"/>
      <c r="AH26" s="264" t="n"/>
      <c r="AI26" s="264" t="n"/>
      <c r="AJ26" s="264" t="n"/>
      <c r="AK26" s="264" t="n"/>
      <c r="AL26" s="264" t="n"/>
      <c r="AM26" s="264" t="n"/>
      <c r="AN26" s="264" t="n"/>
      <c r="AO26" s="264" t="n"/>
      <c r="AP26" s="264" t="n"/>
      <c r="AQ26" s="264" t="n"/>
      <c r="AR26" s="158">
        <f>IF($A26="","",IF(OR($N26="Yes",$T26="Yes",$Z26="Yes",$AF26="Yes",$AL26="Yes"),"Yes","No"))</f>
        <v/>
      </c>
      <c r="AS26" s="158">
        <f>IF($A26="","",IFERROR(IF($AM26&lt;&gt;"",$AM26,IF($AG26&lt;&gt;"",$AG26,IF($AA26&lt;&gt;"",$AA26,IF($U26&lt;&gt;"",$U26,IF($O26&lt;&gt;"",$O26,""))))),""))</f>
        <v/>
      </c>
      <c r="AT26" s="158">
        <f>IFERROR(IF($AN26&lt;&gt;"",$AN26,IF($AH26&lt;&gt;"",$AH26,IF($AB26&lt;&gt;"",$AB26,IF($V26&lt;&gt;"",$V26,IF($P26&lt;&gt;"",$P26,""))))),"")</f>
        <v/>
      </c>
      <c r="AU26" s="265" t="inlineStr">
        <is>
          <t>Đã sửa theo `AC-20.1.01`/`AC-20.1.02` 2026-09-17: siết Steps rà **cả hai tab con** + dùng ô tìm kiếm, bản v1.0 chỉ rà danh sách. · Mục đích: đây là kiểm soát truy cập — PASS giả làm cả một lớp bảo vệ chưa từng được kiểm. · Căn cứ: `BR02-01`. ⛔ Vế *"mở link trực tiếp"* của `AC-20.1.02` **không có đường thử trên mobile** (không có URL) — ⛔ KHÔNG PASS chỉ vì không thử được; ghi nợ ở header §0.4.</t>
        </is>
      </c>
    </row>
    <row r="27" ht="15.75" customHeight="1" s="216">
      <c r="A27" s="160">
        <f>IF($F27="","",$C$2&amp;"."&amp;COUNTA($F$7:$F27)&amp;"")</f>
        <v/>
      </c>
      <c r="B27" s="160" t="inlineStr">
        <is>
          <t>REQ-ORD-017</t>
        </is>
      </c>
      <c r="C27" s="160" t="inlineStr">
        <is>
          <t>DOC-v1.1-01</t>
        </is>
      </c>
      <c r="D27" s="160" t="inlineStr">
        <is>
          <t>Functional</t>
        </is>
      </c>
      <c r="E27" s="160" t="inlineStr">
        <is>
          <t>Medium</t>
        </is>
      </c>
      <c r="F27" s="11" t="inlineStr">
        <is>
          <t>Check sửa tin đang chờ ghép lưu được dữ liệu mới và giữ nguyên trạng thái</t>
        </is>
      </c>
      <c r="G27" s="11" t="inlineStr">
        <is>
          <t>- Tài khoản A là CBNV có hồ sơ đầy đủ trên STG.
- Host app FoxPro đã cài trên thiết bị Android/iOS.
Test Data: 1 tin `POSTED` của chính mình = `SEED-ORD-04` (test_data_catalog §ORD)</t>
        </is>
      </c>
      <c r="H27" s="11" t="inlineStr">
        <is>
          <t>1. Đăng nhập FoxEco bằng tài khoản A và đăng 1 tin NEED để tin ở trạng thái "Chờ ghép". (setup)
2. Nhấn tab "Hoạt động" và mở tin đó. (setup)
3. Nhấn "Chỉnh sửa".
4. Check dữ liệu đang nạp trong form.
5. Nhập địa chỉ giao hàng mới "Số 9 Duy Tân".
6. Nhấn "Cập nhật".
7. Check địa chỉ giao hàng và trạng thái của tin.</t>
        </is>
      </c>
      <c r="I27" s="11" t="inlineStr">
        <is>
          <t>7. Tin hiển thị địa chỉ giao hàng mới "Số 9 Duy Tân" và vẫn ở trạng thái "Chờ ghép".</t>
        </is>
      </c>
      <c r="J27" s="160" t="inlineStr">
        <is>
          <t>AI</t>
        </is>
      </c>
      <c r="K27" s="160" t="inlineStr">
        <is>
          <t>Pending</t>
        </is>
      </c>
      <c r="L27" s="160" t="inlineStr">
        <is>
          <t>No</t>
        </is>
      </c>
      <c r="M27" s="160" t="inlineStr"/>
      <c r="N27" s="264" t="inlineStr">
        <is>
          <t>Yes</t>
        </is>
      </c>
      <c r="O27" s="264" t="inlineStr"/>
      <c r="P27" s="264" t="inlineStr">
        <is>
          <t>Pass</t>
        </is>
      </c>
      <c r="Q27" s="264" t="inlineStr">
        <is>
          <t>GiangDC2</t>
        </is>
      </c>
      <c r="R27" s="264" t="inlineStr"/>
      <c r="S27" s="264" t="inlineStr"/>
      <c r="T27" s="264" t="n"/>
      <c r="U27" s="264" t="n"/>
      <c r="V27" s="264" t="n"/>
      <c r="W27" s="264" t="n"/>
      <c r="X27" s="264" t="n"/>
      <c r="Y27" s="264" t="n"/>
      <c r="Z27" s="264" t="n"/>
      <c r="AA27" s="264" t="n"/>
      <c r="AB27" s="264" t="n"/>
      <c r="AC27" s="264" t="n"/>
      <c r="AD27" s="264" t="n"/>
      <c r="AE27" s="264" t="n"/>
      <c r="AF27" s="264" t="n"/>
      <c r="AG27" s="264" t="n"/>
      <c r="AH27" s="264" t="n"/>
      <c r="AI27" s="264" t="n"/>
      <c r="AJ27" s="264" t="n"/>
      <c r="AK27" s="264" t="n"/>
      <c r="AL27" s="264" t="n"/>
      <c r="AM27" s="264" t="n"/>
      <c r="AN27" s="264" t="n"/>
      <c r="AO27" s="264" t="n"/>
      <c r="AP27" s="264" t="n"/>
      <c r="AQ27" s="264" t="n"/>
      <c r="AR27" s="158">
        <f>IF($A27="","",IF(OR($N27="Yes",$T27="Yes",$Z27="Yes",$AF27="Yes",$AL27="Yes"),"Yes","No"))</f>
        <v/>
      </c>
      <c r="AS27" s="158">
        <f>IF($A27="","",IFERROR(IF($AM27&lt;&gt;"",$AM27,IF($AG27&lt;&gt;"",$AG27,IF($AA27&lt;&gt;"",$AA27,IF($U27&lt;&gt;"",$U27,IF($O27&lt;&gt;"",$O27,""))))),""))</f>
        <v/>
      </c>
      <c r="AT27" s="158">
        <f>IFERROR(IF($AN27&lt;&gt;"",$AN27,IF($AH27&lt;&gt;"",$AH27,IF($AB27&lt;&gt;"",$AB27,IF($V27&lt;&gt;"",$V27,IF($P27&lt;&gt;"",$P27,""))))),"")</f>
        <v/>
      </c>
      <c r="AU27" s="265" t="inlineStr">
        <is>
          <t>Đã sửa theo `C-ORD-16` Resolved 2026-09-17: bổ sung assert **giữ nguyên trạng thái** sau khi cập nhật. · Căn cứ: `BR05-01`/`BR05-02` + `AC-08.1.01`. Nhánh "Huỷ chỉnh sửa" tách sang `TC-ORD-060`.</t>
        </is>
      </c>
    </row>
    <row r="28" ht="15.75" customHeight="1" s="216">
      <c r="A28" s="160">
        <f>IF($F28="","",$C$2&amp;"."&amp;COUNTA($F$7:$F28)&amp;"")</f>
        <v/>
      </c>
      <c r="B28" s="160" t="inlineStr">
        <is>
          <t>REQ-ORD-017</t>
        </is>
      </c>
      <c r="C28" s="160" t="inlineStr">
        <is>
          <t>DOC-v1.1-01</t>
        </is>
      </c>
      <c r="D28" s="160" t="inlineStr">
        <is>
          <t>Functional</t>
        </is>
      </c>
      <c r="E28" s="160" t="inlineStr">
        <is>
          <t>Medium</t>
        </is>
      </c>
      <c r="F28" s="11" t="inlineStr">
        <is>
          <t>Check tin đã ghép không còn nút Chỉnh sửa</t>
        </is>
      </c>
      <c r="G28" s="11" t="inlineStr">
        <is>
          <t>- Tài khoản A và B là hai CBNV khác nhau trên STG.
- Host app FoxPro đã cài trên thiết bị Android/iOS.
Test Data: Tin đã chuyển `MATCHED` (test_data_catalog §ORD)</t>
        </is>
      </c>
      <c r="H28" s="11" t="inlineStr">
        <is>
          <t>1. Đăng nhập bằng tài khoản A, đăng 1 tin NEED rồi đăng xuất. (setup)
2. Đăng nhập bằng tài khoản B, nhận tin đó và xác nhận, rồi đăng xuất. (setup)
3. Đăng nhập lại bằng tài khoản A, nhấn tab "Hoạt động" và mở tin đó. (setup)
4. Check các nút hành động trên màn Theo dõi đơn.</t>
        </is>
      </c>
      <c r="I28" s="11" t="inlineStr">
        <is>
          <t>4. Màn KHÔNG có nút "Chỉnh sửa".</t>
        </is>
      </c>
      <c r="J28" s="160" t="inlineStr">
        <is>
          <t>AI</t>
        </is>
      </c>
      <c r="K28" s="160" t="inlineStr">
        <is>
          <t>Pending</t>
        </is>
      </c>
      <c r="L28" s="160" t="inlineStr">
        <is>
          <t>No</t>
        </is>
      </c>
      <c r="M28" s="160" t="inlineStr"/>
      <c r="N28" s="264" t="inlineStr">
        <is>
          <t>Yes</t>
        </is>
      </c>
      <c r="O28" s="264" t="inlineStr"/>
      <c r="P28" s="264" t="inlineStr">
        <is>
          <t>Pass</t>
        </is>
      </c>
      <c r="Q28" s="264" t="inlineStr">
        <is>
          <t>GiangDC2</t>
        </is>
      </c>
      <c r="R28" s="264" t="inlineStr"/>
      <c r="S28" s="264" t="inlineStr"/>
      <c r="T28" s="264" t="n"/>
      <c r="U28" s="264" t="n"/>
      <c r="V28" s="264" t="n"/>
      <c r="W28" s="264" t="n"/>
      <c r="X28" s="264" t="n"/>
      <c r="Y28" s="264" t="n"/>
      <c r="Z28" s="264" t="n"/>
      <c r="AA28" s="264" t="n"/>
      <c r="AB28" s="264" t="n"/>
      <c r="AC28" s="264" t="n"/>
      <c r="AD28" s="264" t="n"/>
      <c r="AE28" s="264" t="n"/>
      <c r="AF28" s="264" t="n"/>
      <c r="AG28" s="264" t="n"/>
      <c r="AH28" s="264" t="n"/>
      <c r="AI28" s="264" t="n"/>
      <c r="AJ28" s="264" t="n"/>
      <c r="AK28" s="264" t="n"/>
      <c r="AL28" s="264" t="n"/>
      <c r="AM28" s="264" t="n"/>
      <c r="AN28" s="264" t="n"/>
      <c r="AO28" s="264" t="n"/>
      <c r="AP28" s="264" t="n"/>
      <c r="AQ28" s="264" t="n"/>
      <c r="AR28" s="158">
        <f>IF($A28="","",IF(OR($N28="Yes",$T28="Yes",$Z28="Yes",$AF28="Yes",$AL28="Yes"),"Yes","No"))</f>
        <v/>
      </c>
      <c r="AS28" s="158">
        <f>IF($A28="","",IFERROR(IF($AM28&lt;&gt;"",$AM28,IF($AG28&lt;&gt;"",$AG28,IF($AA28&lt;&gt;"",$AA28,IF($U28&lt;&gt;"",$U28,IF($O28&lt;&gt;"",$O28,""))))),""))</f>
        <v/>
      </c>
      <c r="AT28" s="158">
        <f>IFERROR(IF($AN28&lt;&gt;"",$AN28,IF($AH28&lt;&gt;"",$AH28,IF($AB28&lt;&gt;"",$AB28,IF($V28&lt;&gt;"",$V28,IF($P28&lt;&gt;"",$P28,""))))),"")</f>
        <v/>
      </c>
      <c r="AU28" s="265" t="inlineStr">
        <is>
          <t>Đã sửa theo `C-ORD-16` Resolved 2026-09-17: **Expected giữ nguyên bản v1.0** (nút "Chỉnh sửa" không hiển thị); phần thêm ở SC MODIFIED là 2 vế backend nên chỉ ghi giới hạn phạm vi, không đổi assert. · Căn cứ: `BR05-01` + `AC-08.1.02`. ⛔ Vế *"request sửa bị từ chối"* và *"không ghi mốc vào nhật ký"* là **backend**, không verify được qua UI — ghi nợ ở header §0.4, ⛔ không viết Expected cho phần đó.</t>
        </is>
      </c>
    </row>
    <row r="29" ht="15.75" customHeight="1" s="216">
      <c r="A29" s="160">
        <f>IF($F29="","",$C$2&amp;"."&amp;COUNTA($F$7:$F29)&amp;"")</f>
        <v/>
      </c>
      <c r="B29" s="160" t="inlineStr">
        <is>
          <t>REQ-ORD-017</t>
        </is>
      </c>
      <c r="C29" s="160" t="inlineStr">
        <is>
          <t>DOC-v1.1-01</t>
        </is>
      </c>
      <c r="D29" s="160" t="inlineStr">
        <is>
          <t>Functional</t>
        </is>
      </c>
      <c r="E29" s="160" t="inlineStr">
        <is>
          <t>Medium</t>
        </is>
      </c>
      <c r="F29" s="11" t="inlineStr">
        <is>
          <t>Check huỷ chỉnh sửa trả tin về dữ liệu cũ và không lưu thay đổi</t>
        </is>
      </c>
      <c r="G29" s="11" t="inlineStr">
        <is>
          <t>- Tài khoản A là CBNV có hồ sơ đầy đủ trên STG.
- Host app FoxPro đã cài trên thiết bị Android/iOS.
Test Data: 1 tin `POSTED` của chính mình = `SEED-ORD-04` (test_data_catalog §ORD)</t>
        </is>
      </c>
      <c r="H29" s="11" t="inlineStr">
        <is>
          <t>1. Đăng nhập FoxEco bằng tài khoản A và đăng 1 tin NEED để tin ở trạng thái "Chờ ghép". (setup)
2. Nhấn tab "Hoạt động", mở tin đó và ghi lại địa chỉ giao hàng đang hiển thị. (setup)
3. Nhấn "Chỉnh sửa".
4. Nhập địa chỉ giao hàng khác "Số 99 Cầu Giấy".
5. Nhấn "Huỷ chỉnh sửa".
6. Check địa chỉ giao hàng của tin.</t>
        </is>
      </c>
      <c r="I29" s="11" t="inlineStr">
        <is>
          <t>6. Tin giữ nguyên địa chỉ giao hàng đã ghi ở step 2, KHÔNG nhận giá trị vừa nhập.</t>
        </is>
      </c>
      <c r="J29" s="160" t="inlineStr">
        <is>
          <t>AI</t>
        </is>
      </c>
      <c r="K29" s="160" t="inlineStr">
        <is>
          <t>Pending</t>
        </is>
      </c>
      <c r="L29" s="160" t="inlineStr">
        <is>
          <t>No</t>
        </is>
      </c>
      <c r="M29" s="160" t="inlineStr"/>
      <c r="N29" s="264" t="inlineStr">
        <is>
          <t>Yes</t>
        </is>
      </c>
      <c r="O29" s="264" t="inlineStr"/>
      <c r="P29" s="264" t="inlineStr">
        <is>
          <t>Pass</t>
        </is>
      </c>
      <c r="Q29" s="264" t="inlineStr">
        <is>
          <t>GiangDC2</t>
        </is>
      </c>
      <c r="R29" s="264" t="inlineStr"/>
      <c r="S29" s="264" t="inlineStr"/>
      <c r="T29" s="264" t="n"/>
      <c r="U29" s="264" t="n"/>
      <c r="V29" s="264" t="n"/>
      <c r="W29" s="264" t="n"/>
      <c r="X29" s="264" t="n"/>
      <c r="Y29" s="264" t="n"/>
      <c r="Z29" s="264" t="n"/>
      <c r="AA29" s="264" t="n"/>
      <c r="AB29" s="264" t="n"/>
      <c r="AC29" s="264" t="n"/>
      <c r="AD29" s="264" t="n"/>
      <c r="AE29" s="264" t="n"/>
      <c r="AF29" s="264" t="n"/>
      <c r="AG29" s="264" t="n"/>
      <c r="AH29" s="264" t="n"/>
      <c r="AI29" s="264" t="n"/>
      <c r="AJ29" s="264" t="n"/>
      <c r="AK29" s="264" t="n"/>
      <c r="AL29" s="264" t="n"/>
      <c r="AM29" s="264" t="n"/>
      <c r="AN29" s="264" t="n"/>
      <c r="AO29" s="264" t="n"/>
      <c r="AP29" s="264" t="n"/>
      <c r="AQ29" s="264" t="n"/>
      <c r="AR29" s="158">
        <f>IF($A29="","",IF(OR($N29="Yes",$T29="Yes",$Z29="Yes",$AF29="Yes",$AL29="Yes"),"Yes","No"))</f>
        <v/>
      </c>
      <c r="AS29" s="158">
        <f>IF($A29="","",IFERROR(IF($AM29&lt;&gt;"",$AM29,IF($AG29&lt;&gt;"",$AG29,IF($AA29&lt;&gt;"",$AA29,IF($U29&lt;&gt;"",$U29,IF($O29&lt;&gt;"",$O29,""))))),""))</f>
        <v/>
      </c>
      <c r="AT29" s="158">
        <f>IFERROR(IF($AN29&lt;&gt;"",$AN29,IF($AH29&lt;&gt;"",$AH29,IF($AB29&lt;&gt;"",$AB29,IF($V29&lt;&gt;"",$V29,IF($P29&lt;&gt;"",$P29,""))))),"")</f>
        <v/>
      </c>
      <c r="AU29" s="265" t="inlineStr">
        <is>
          <t>Mục đích: đối chứng âm cho `TC-ORD-046` — lưu được không suy ra huỷ được; lỗi hay gặp là "Huỷ" vẫn ghi đè dữ liệu. · Căn cứ: `VAL-05` + `AC-08.1.01`.</t>
        </is>
      </c>
    </row>
    <row r="30" ht="15.75" customHeight="1" s="216">
      <c r="A30" s="160">
        <f>IF($F30="","",$C$2&amp;"."&amp;COUNTA($F$7:$F30)&amp;"")</f>
        <v/>
      </c>
      <c r="B30" s="160" t="inlineStr">
        <is>
          <t>REQ-ORD-018</t>
        </is>
      </c>
      <c r="C30" s="160" t="inlineStr">
        <is>
          <t>DOC-v1.1-01</t>
        </is>
      </c>
      <c r="D30" s="160" t="inlineStr">
        <is>
          <t>Functional</t>
        </is>
      </c>
      <c r="E30" s="160" t="inlineStr">
        <is>
          <t>Medium</t>
        </is>
      </c>
      <c r="F30" s="11" t="inlineStr">
        <is>
          <t>Check tin chưa ai ghép quá Đến ngày chuyển sang hết hạn và biến khỏi Bảng tin</t>
        </is>
      </c>
      <c r="G30" s="11" t="inlineStr">
        <is>
          <t>- Tài khoản A và B là hai CBNV khác nhau trên STG.
- Host app FoxPro đã cài trên thiết bị Android/iOS.
- Có 1 tin NEED **của tài khoản A đã quá "Đến ngày" và chưa ai ghép** = `SEED-ORD-05` — ưu tiên **tin cũ có sẵn trên STG**; chưa có thì đăng tin mới với "Đến ngày" = ngày hiện tại rồi kiểm lại sáng hôm sau (sau job cuối ngày).
Test Data: Tin `POSTED` quá "Đến ngày", chưa ai ghép = `SEED-ORD-05` (test_data_catalog §ORD)</t>
        </is>
      </c>
      <c r="H30" s="11" t="inlineStr">
        <is>
          <t>1. Đăng nhập bằng tài khoản A, nhấn tab "Hoạt động". (setup)
2. Tìm tin đã quá "Đến ngày" và chưa ai ghép; ghi lại tiêu đề và giá trị "Đến ngày" của tin đó. (setup)
3. Đăng xuất, đăng nhập bằng tài khoản B. (setup)
4. Nhấn tab "Bảng tin" và tìm tiêu đề của tin đó.
5. Đăng xuất, đăng nhập lại bằng tài khoản A, nhấn tab "Hoạt động" rồi nhấn tab con "Đã hoàn thành". (setup)
6. Check trạng thái của tin đó và kết quả tìm ở step 4.</t>
        </is>
      </c>
      <c r="I30" s="11" t="inlineStr">
        <is>
          <t>6. Tin mang badge "Hết hạn" ở tab "Đã hoàn thành" và KHÔNG còn xuất hiện trên Bảng tin của tài khoản B.</t>
        </is>
      </c>
      <c r="J30" s="160" t="inlineStr">
        <is>
          <t>AI</t>
        </is>
      </c>
      <c r="K30" s="160" t="inlineStr">
        <is>
          <t>Pending</t>
        </is>
      </c>
      <c r="L30" s="160" t="inlineStr">
        <is>
          <t>No</t>
        </is>
      </c>
      <c r="M30" s="160" t="inlineStr"/>
      <c r="N30" s="264" t="inlineStr">
        <is>
          <t>Yes</t>
        </is>
      </c>
      <c r="O30" s="264" t="inlineStr"/>
      <c r="P30" s="264" t="inlineStr">
        <is>
          <t>Pass</t>
        </is>
      </c>
      <c r="Q30" s="264" t="inlineStr">
        <is>
          <t>GiangDC2</t>
        </is>
      </c>
      <c r="R30" s="264" t="inlineStr"/>
      <c r="S30" s="264" t="inlineStr"/>
      <c r="T30" s="264" t="n"/>
      <c r="U30" s="264" t="n"/>
      <c r="V30" s="264" t="n"/>
      <c r="W30" s="264" t="n"/>
      <c r="X30" s="264" t="n"/>
      <c r="Y30" s="264" t="n"/>
      <c r="Z30" s="264" t="n"/>
      <c r="AA30" s="264" t="n"/>
      <c r="AB30" s="264" t="n"/>
      <c r="AC30" s="264" t="n"/>
      <c r="AD30" s="264" t="n"/>
      <c r="AE30" s="264" t="n"/>
      <c r="AF30" s="264" t="n"/>
      <c r="AG30" s="264" t="n"/>
      <c r="AH30" s="264" t="n"/>
      <c r="AI30" s="264" t="n"/>
      <c r="AJ30" s="264" t="n"/>
      <c r="AK30" s="264" t="n"/>
      <c r="AL30" s="264" t="n"/>
      <c r="AM30" s="264" t="n"/>
      <c r="AN30" s="264" t="n"/>
      <c r="AO30" s="264" t="n"/>
      <c r="AP30" s="264" t="n"/>
      <c r="AQ30" s="264" t="n"/>
      <c r="AR30" s="158">
        <f>IF($A30="","",IF(OR($N30="Yes",$T30="Yes",$Z30="Yes",$AF30="Yes",$AL30="Yes"),"Yes","No"))</f>
        <v/>
      </c>
      <c r="AS30" s="158">
        <f>IF($A30="","",IFERROR(IF($AM30&lt;&gt;"",$AM30,IF($AG30&lt;&gt;"",$AG30,IF($AA30&lt;&gt;"",$AA30,IF($U30&lt;&gt;"",$U30,IF($O30&lt;&gt;"",$O30,""))))),""))</f>
        <v/>
      </c>
      <c r="AT30" s="158">
        <f>IFERROR(IF($AN30&lt;&gt;"",$AN30,IF($AH30&lt;&gt;"",$AH30,IF($AB30&lt;&gt;"",$AB30,IF($V30&lt;&gt;"",$V30,IF($P30&lt;&gt;"",$P30,""))))),"")</f>
        <v/>
      </c>
      <c r="AU30" s="265" t="inlineStr">
        <is>
          <t>✅ **Gỡ phụ thuộc dev 2026-09-18 (QC chốt):** tin cũ trên STG đã tự quá hạn ⇒ dùng luôn, ⛔ không cần nhờ lùi "Đến ngày". Xem `SEED-ORD-05` §0.5 cho 3 lối theo thứ tự ưu tiên. ⚠️ Dùng tin cũ thì chỉ quan sát **trạng thái kết quả**, không thấy lúc job chuyển trạng thái — vẫn đủ cho Expected. · Đã sửa theo `C-ORD-15(c)` Resolved 2026-09-17: bổ sung điều kiện **job chạy cuối ngày** vào setup — v1.0 chỉ ghi "sau khi hết ngày cuối", khiến người chạy kiểm quá sớm rồi báo lỗi sai. · Căn cứ: `BR05-03` + `AC-09.1.01`. Nhánh đối chứng (tin đã `MATCHED` thì KHÔNG hết hạn) tách sang `TC-ORD-061`.</t>
        </is>
      </c>
    </row>
    <row r="31" ht="15.75" customHeight="1" s="216">
      <c r="A31" s="160">
        <f>IF($F31="","",$C$2&amp;"."&amp;COUNTA($F$7:$F31)&amp;"")</f>
        <v/>
      </c>
      <c r="B31" s="160" t="inlineStr">
        <is>
          <t>REQ-ORD-018</t>
        </is>
      </c>
      <c r="C31" s="160" t="inlineStr">
        <is>
          <t>DOC-v1.1-01</t>
        </is>
      </c>
      <c r="D31" s="160" t="inlineStr">
        <is>
          <t>Functional</t>
        </is>
      </c>
      <c r="E31" s="160" t="inlineStr">
        <is>
          <t>Medium</t>
        </is>
      </c>
      <c r="F31" s="11" t="inlineStr">
        <is>
          <t>Check tin đã ghép quá Đến ngày không chuyển sang hết hạn</t>
        </is>
      </c>
      <c r="G31" s="11" t="inlineStr">
        <is>
          <t>- Tài khoản A và B là hai CBNV khác nhau trên STG.
- Host app FoxPro đã cài trên thiết bị Android/iOS.
- Có 1 tin **đã "Đã ghép" và đã quá "Đến ngày"** = `SEED-ORD-05` — ưu tiên **tin cũ có sẵn trên STG**; chưa có thì đăng tin mới "Đến ngày" = ngày hiện tại, cho tài khoản B nhận ghép trong ngày, rồi kiểm lại sáng hôm sau (sau job cuối ngày).
Test Data: Tin `MATCHED` quá "Đến ngày" = `SEED-ORD-05` (test_data_catalog §ORD)</t>
        </is>
      </c>
      <c r="H31" s="11" t="inlineStr">
        <is>
          <t>1. Đăng nhập bằng tài khoản A, nhấn tab "Hoạt động" rồi nhấn tab con "Đang diễn ra". (setup)
2. Tìm tin đã ghép có "Đến ngày" đã qua; ghi lại tiêu đề và giá trị "Đến ngày". (setup)
3. Nhấn vào tin đó để mở chi tiết.
4. Check trạng thái của tin và tab đang chứa tin đó.</t>
        </is>
      </c>
      <c r="I31" s="11" t="inlineStr">
        <is>
          <t>4. Tin KHÔNG mang badge "Hết hạn" và vẫn nằm ở tab "Đang diễn ra".</t>
        </is>
      </c>
      <c r="J31" s="160" t="inlineStr">
        <is>
          <t>AI</t>
        </is>
      </c>
      <c r="K31" s="160" t="inlineStr">
        <is>
          <t>Pending</t>
        </is>
      </c>
      <c r="L31" s="160" t="inlineStr">
        <is>
          <t>No</t>
        </is>
      </c>
      <c r="M31" s="160" t="inlineStr"/>
      <c r="N31" s="264" t="inlineStr">
        <is>
          <t>Yes</t>
        </is>
      </c>
      <c r="O31" s="264" t="inlineStr"/>
      <c r="P31" s="264" t="inlineStr">
        <is>
          <t>Pass</t>
        </is>
      </c>
      <c r="Q31" s="264" t="inlineStr">
        <is>
          <t>GiangDC2</t>
        </is>
      </c>
      <c r="R31" s="264" t="inlineStr"/>
      <c r="S31" s="264" t="inlineStr"/>
      <c r="T31" s="264" t="n"/>
      <c r="U31" s="264" t="n"/>
      <c r="V31" s="264" t="n"/>
      <c r="W31" s="264" t="n"/>
      <c r="X31" s="264" t="n"/>
      <c r="Y31" s="264" t="n"/>
      <c r="Z31" s="264" t="n"/>
      <c r="AA31" s="264" t="n"/>
      <c r="AB31" s="264" t="n"/>
      <c r="AC31" s="264" t="n"/>
      <c r="AD31" s="264" t="n"/>
      <c r="AE31" s="264" t="n"/>
      <c r="AF31" s="264" t="n"/>
      <c r="AG31" s="264" t="n"/>
      <c r="AH31" s="264" t="n"/>
      <c r="AI31" s="264" t="n"/>
      <c r="AJ31" s="264" t="n"/>
      <c r="AK31" s="264" t="n"/>
      <c r="AL31" s="264" t="n"/>
      <c r="AM31" s="264" t="n"/>
      <c r="AN31" s="264" t="n"/>
      <c r="AO31" s="264" t="n"/>
      <c r="AP31" s="264" t="n"/>
      <c r="AQ31" s="264" t="n"/>
      <c r="AR31" s="158">
        <f>IF($A31="","",IF(OR($N31="Yes",$T31="Yes",$Z31="Yes",$AF31="Yes",$AL31="Yes"),"Yes","No"))</f>
        <v/>
      </c>
      <c r="AS31" s="158">
        <f>IF($A31="","",IFERROR(IF($AM31&lt;&gt;"",$AM31,IF($AG31&lt;&gt;"",$AG31,IF($AA31&lt;&gt;"",$AA31,IF($U31&lt;&gt;"",$U31,IF($O31&lt;&gt;"",$O31,""))))),""))</f>
        <v/>
      </c>
      <c r="AT31" s="158">
        <f>IFERROR(IF($AN31&lt;&gt;"",$AN31,IF($AH31&lt;&gt;"",$AH31,IF($AB31&lt;&gt;"",$AB31,IF($V31&lt;&gt;"",$V31,IF($P31&lt;&gt;"",$P31,""))))),"")</f>
        <v/>
      </c>
      <c r="AU31" s="265" t="inlineStr">
        <is>
          <t>✅ **Gỡ phụ thuộc dev 2026-09-18 (QC chốt):** dùng tin đã ghép cũ đã quá hạn trên STG (`SEED-ORD-05` §0.5). · Mục đích: đối chứng âm cho `TC-ORD-048` — vế *"vẫn POSTED"* của `BR05-03` là điều kiện **v1.0 chưa nêu**; dev hay chỉ kiểm mỗi ngày hết hạn rồi đóng luôn cả đơn đã ghép. · Căn cứ: `BR05-03`.</t>
        </is>
      </c>
    </row>
    <row r="32" ht="15.75" customHeight="1" s="216">
      <c r="A32" s="160">
        <f>IF($F32="","",$C$2&amp;"."&amp;COUNTA($F$7:$F32)&amp;"")</f>
        <v/>
      </c>
      <c r="B32" s="160" t="inlineStr">
        <is>
          <t>REQ-ORD-021</t>
        </is>
      </c>
      <c r="C32" s="160" t="inlineStr">
        <is>
          <t>DOC-v1.1-01</t>
        </is>
      </c>
      <c r="D32" s="160" t="inlineStr">
        <is>
          <t>Functional</t>
        </is>
      </c>
      <c r="E32" s="160" t="inlineStr">
        <is>
          <t>Medium</t>
        </is>
      </c>
      <c r="F32" s="11" t="inlineStr">
        <is>
          <t>Check chọn ở lại ở popup thoát wizard giữ nguyên dữ liệu đã nhập</t>
        </is>
      </c>
      <c r="G32" s="11" t="inlineStr">
        <is>
          <t>- Tài khoản A là CBNV có hồ sơ đầy đủ trên STG.
- Host app FoxPro đã cài trên thiết bị Android/iOS.
Test Data: Dữ liệu nhập dở ở bước 2 (test_data_catalog §ORD)</t>
        </is>
      </c>
      <c r="H32" s="11" t="inlineStr">
        <is>
          <t>1. Đăng nhập FoxEco, nhấn "+ Đăng tin", nhấn card "Tôi cần gửi hàng", nhập đủ trường bước 1 rồi nhấn "Tiếp theo". (setup)
2. Nhập địa chỉ giao hàng "Số 9 Duy Tân" ở bước 2. (setup)
3. Nhấn nút quay lại để đóng wizard.
4. Check nội dung popup vừa hiện.
5. Nhấn lựa chọn ở lại trên popup.
6. Check giá trị ô "Địa chỉ giao hàng".</t>
        </is>
      </c>
      <c r="I32" s="11" t="inlineStr">
        <is>
          <t>6. Popup hiện đúng chuỗi "Thoát và bỏ nội dung đã nhập?" và sau khi chọn ở lại, ô "Địa chỉ giao hàng" vẫn giữ nguyên "Số 9 Duy Tân".</t>
        </is>
      </c>
      <c r="J32" s="160" t="inlineStr">
        <is>
          <t>AI</t>
        </is>
      </c>
      <c r="K32" s="160" t="inlineStr">
        <is>
          <t>Pending</t>
        </is>
      </c>
      <c r="L32" s="160" t="inlineStr">
        <is>
          <t>No</t>
        </is>
      </c>
      <c r="M32" s="160" t="inlineStr"/>
      <c r="N32" s="264" t="inlineStr">
        <is>
          <t>Yes</t>
        </is>
      </c>
      <c r="O32" s="264" t="inlineStr"/>
      <c r="P32" s="264" t="inlineStr">
        <is>
          <t>Fail</t>
        </is>
      </c>
      <c r="Q32" s="264" t="inlineStr">
        <is>
          <t>GiangDC2</t>
        </is>
      </c>
      <c r="R32" s="264" t="inlineStr">
        <is>
          <t>FE-302</t>
        </is>
      </c>
      <c r="S32" s="264" t="inlineStr"/>
      <c r="T32" s="264" t="n"/>
      <c r="U32" s="264" t="n"/>
      <c r="V32" s="264" t="n"/>
      <c r="W32" s="264" t="n"/>
      <c r="X32" s="264" t="n"/>
      <c r="Y32" s="264" t="n"/>
      <c r="Z32" s="264" t="n"/>
      <c r="AA32" s="264" t="n"/>
      <c r="AB32" s="264" t="n"/>
      <c r="AC32" s="264" t="n"/>
      <c r="AD32" s="264" t="n"/>
      <c r="AE32" s="264" t="n"/>
      <c r="AF32" s="264" t="n"/>
      <c r="AG32" s="264" t="n"/>
      <c r="AH32" s="264" t="n"/>
      <c r="AI32" s="264" t="n"/>
      <c r="AJ32" s="264" t="n"/>
      <c r="AK32" s="264" t="n"/>
      <c r="AL32" s="264" t="n"/>
      <c r="AM32" s="264" t="n"/>
      <c r="AN32" s="264" t="n"/>
      <c r="AO32" s="264" t="n"/>
      <c r="AP32" s="264" t="n"/>
      <c r="AQ32" s="264" t="n"/>
      <c r="AR32" s="158">
        <f>IF($A32="","",IF(OR($N32="Yes",$T32="Yes",$Z32="Yes",$AF32="Yes",$AL32="Yes"),"Yes","No"))</f>
        <v/>
      </c>
      <c r="AS32" s="158">
        <f>IF($A32="","",IFERROR(IF($AM32&lt;&gt;"",$AM32,IF($AG32&lt;&gt;"",$AG32,IF($AA32&lt;&gt;"",$AA32,IF($U32&lt;&gt;"",$U32,IF($O32&lt;&gt;"",$O32,""))))),""))</f>
        <v/>
      </c>
      <c r="AT32" s="158">
        <f>IFERROR(IF($AN32&lt;&gt;"",$AN32,IF($AH32&lt;&gt;"",$AH32,IF($AB32&lt;&gt;"",$AB32,IF($V32&lt;&gt;"",$V32,IF($P32&lt;&gt;"",$P32,""))))),"")</f>
        <v/>
      </c>
      <c r="AU32" s="265" t="inlineStr">
        <is>
          <t>Đã sửa theo `C-ORD-08` Resolved 2026-09-15: assert **verbatim** chuỗi popup, v1.0 chỉ assert có popup. · Căn cứ: `AC-01.2.01`. Nhánh chọn thoát tách sang `TC-ORD-062`.</t>
        </is>
      </c>
    </row>
    <row r="33" ht="15.75" customHeight="1" s="216">
      <c r="A33" s="160">
        <f>IF($F33="","",$C$2&amp;"."&amp;COUNTA($F$7:$F33)&amp;"")</f>
        <v/>
      </c>
      <c r="B33" s="160" t="inlineStr">
        <is>
          <t>REQ-ORD-021</t>
        </is>
      </c>
      <c r="C33" s="160" t="inlineStr">
        <is>
          <t>DOC-v1.1-01</t>
        </is>
      </c>
      <c r="D33" s="160" t="inlineStr">
        <is>
          <t>Functional</t>
        </is>
      </c>
      <c r="E33" s="160" t="inlineStr">
        <is>
          <t>Medium</t>
        </is>
      </c>
      <c r="F33" s="11" t="inlineStr">
        <is>
          <t>Check chọn thoát ở popup mở lại wizard là form trắng không có bản nháp</t>
        </is>
      </c>
      <c r="G33" s="11" t="inlineStr">
        <is>
          <t>- Tài khoản A là CBNV có hồ sơ đầy đủ trên STG.
- Host app FoxPro đã cài trên thiết bị Android/iOS.
Test Data: Dữ liệu nhập dở đã bị bỏ (test_data_catalog §ORD)</t>
        </is>
      </c>
      <c r="H33" s="11" t="inlineStr">
        <is>
          <t>1. Đăng nhập FoxEco, nhấn "+ Đăng tin", nhấn card "Tôi cần gửi hàng", nhập đủ trường bước 1 rồi nhấn "Tiếp theo". (setup)
2. Nhập địa chỉ giao hàng "Số 9 Duy Tân" ở bước 2. (setup)
3. Nhấn nút quay lại để đóng wizard rồi nhấn lựa chọn thoát trên popup. (setup)
4. Nhấn tab "Hoạt động" và rà danh sách cả hai tab con.
5. Nhấn "+ Đăng tin", nhấn card "Tôi cần gửi hàng" và sang bước 2.
6. Check giá trị các ô của bước 1 và bước 2.</t>
        </is>
      </c>
      <c r="I33" s="11" t="inlineStr">
        <is>
          <t>6. Mọi ô đều trắng, không giữ chuỗi "Số 9 Duy Tân"; và không có tin nháp nào xuất hiện ở hai tab con của "Hoạt động".</t>
        </is>
      </c>
      <c r="J33" s="160" t="inlineStr">
        <is>
          <t>AI</t>
        </is>
      </c>
      <c r="K33" s="160" t="inlineStr">
        <is>
          <t>Pending</t>
        </is>
      </c>
      <c r="L33" s="160" t="inlineStr">
        <is>
          <t>No</t>
        </is>
      </c>
      <c r="M33" s="160" t="inlineStr"/>
      <c r="N33" s="264" t="inlineStr">
        <is>
          <t>Yes</t>
        </is>
      </c>
      <c r="O33" s="264" t="inlineStr"/>
      <c r="P33" s="264" t="inlineStr">
        <is>
          <t>Pass</t>
        </is>
      </c>
      <c r="Q33" s="264" t="inlineStr">
        <is>
          <t>GiangDC2</t>
        </is>
      </c>
      <c r="R33" s="264" t="inlineStr"/>
      <c r="S33" s="264" t="inlineStr"/>
      <c r="T33" s="264" t="n"/>
      <c r="U33" s="264" t="n"/>
      <c r="V33" s="264" t="n"/>
      <c r="W33" s="264" t="n"/>
      <c r="X33" s="264" t="n"/>
      <c r="Y33" s="264" t="n"/>
      <c r="Z33" s="264" t="n"/>
      <c r="AA33" s="264" t="n"/>
      <c r="AB33" s="264" t="n"/>
      <c r="AC33" s="264" t="n"/>
      <c r="AD33" s="264" t="n"/>
      <c r="AE33" s="264" t="n"/>
      <c r="AF33" s="264" t="n"/>
      <c r="AG33" s="264" t="n"/>
      <c r="AH33" s="264" t="n"/>
      <c r="AI33" s="264" t="n"/>
      <c r="AJ33" s="264" t="n"/>
      <c r="AK33" s="264" t="n"/>
      <c r="AL33" s="264" t="n"/>
      <c r="AM33" s="264" t="n"/>
      <c r="AN33" s="264" t="n"/>
      <c r="AO33" s="264" t="n"/>
      <c r="AP33" s="264" t="n"/>
      <c r="AQ33" s="264" t="n"/>
      <c r="AR33" s="158">
        <f>IF($A33="","",IF(OR($N33="Yes",$T33="Yes",$Z33="Yes",$AF33="Yes",$AL33="Yes"),"Yes","No"))</f>
        <v/>
      </c>
      <c r="AS33" s="158">
        <f>IF($A33="","",IFERROR(IF($AM33&lt;&gt;"",$AM33,IF($AG33&lt;&gt;"",$AG33,IF($AA33&lt;&gt;"",$AA33,IF($U33&lt;&gt;"",$U33,IF($O33&lt;&gt;"",$O33,""))))),""))</f>
        <v/>
      </c>
      <c r="AT33" s="158">
        <f>IFERROR(IF($AN33&lt;&gt;"",$AN33,IF($AH33&lt;&gt;"",$AH33,IF($AB33&lt;&gt;"",$AB33,IF($V33&lt;&gt;"",$V33,IF($P33&lt;&gt;"",$P33,""))))),"")</f>
        <v/>
      </c>
      <c r="AU33" s="265" t="inlineStr">
        <is>
          <t>Mục đích: đối chứng với `TC-ORD-053` — cùng một popup nhưng hai lựa chọn cho hai hệ quả ngược nhau; step 4 chốt thêm vế **⛔ không có DRAFT** mà `AC-01.2.01` nêu. · Căn cứ: `AC-01.2.01`.</t>
        </is>
      </c>
    </row>
    <row r="34" ht="15.75" customHeight="1" s="216">
      <c r="A34" s="160">
        <f>IF($F34="","",$C$2&amp;"."&amp;COUNTA($F$7:$F34)&amp;"")</f>
        <v/>
      </c>
      <c r="B34" s="160" t="inlineStr">
        <is>
          <t>REQ-ORD-024</t>
        </is>
      </c>
      <c r="C34" s="160" t="inlineStr">
        <is>
          <t>DOC-v1.1-01 · DOC-v1.1-03</t>
        </is>
      </c>
      <c r="D34" s="160" t="inlineStr">
        <is>
          <t>Functional</t>
        </is>
      </c>
      <c r="E34" s="160" t="inlineStr">
        <is>
          <t>Medium</t>
        </is>
      </c>
      <c r="F34" s="11" t="inlineStr">
        <is>
          <t>Check chưa chọn Trọng lượng thì bị chặn và ba chip hiện đúng nhãn chính thức</t>
        </is>
      </c>
      <c r="G34" s="11" t="inlineStr">
        <is>
          <t>- Tài khoản A là CBNV có hồ sơ đầy đủ trên STG.
- Host app FoxPro đã cài trên thiết bị Android/iOS.
- Thư viện ảnh thiết bị có sẵn bộ ảnh mẫu dùng chung 3 module = `SEED-ORD-01`.
Test Data: 3 chip Trọng lượng, trạng thái chưa chọn (test_data_catalog §ORD — Trọng lượng)</t>
        </is>
      </c>
      <c r="H34" s="11" t="inlineStr">
        <is>
          <t>1. Đăng nhập FoxEco, nhấn "+ Đăng tin" rồi nhấn card "Tôi cần gửi hàng". (setup)
2. Chọn chip "Thấp (Dưới 1 triệu đ)" ở khối "GIÁ TRỊ HÀNG (ƯỚC TÍNH)". (setup)
3. Chọn chip "Nhỏ · Cầm tay" ở khối Kích thước. (setup)
4. Tải 1 ảnh JPG từ thư viện thiết bị. (setup)
5. Nhấn "Tiếp theo" khi khối "TRỌNG LƯỢNG" chưa có chip nào được chọn.
6. Check nhãn khối, ba chip của khối đó và thông báo lỗi.</t>
        </is>
      </c>
      <c r="I34" s="11" t="inlineStr">
        <is>
          <t>6. Wizard vẫn ở bước 1 và có lỗi ở khối; nhãn khối là "TRỌNG LƯỢNG" với đúng ba chip "Dưới 5 kg (Nhẹ)", "5 – 10 kg (Trung bình)", "Trên 10 kg (Nặng)".</t>
        </is>
      </c>
      <c r="J34" s="160" t="inlineStr">
        <is>
          <t>AI</t>
        </is>
      </c>
      <c r="K34" s="160" t="inlineStr">
        <is>
          <t>Pending</t>
        </is>
      </c>
      <c r="L34" s="160" t="inlineStr">
        <is>
          <t>No</t>
        </is>
      </c>
      <c r="M34" s="160" t="inlineStr"/>
      <c r="N34" s="264" t="inlineStr">
        <is>
          <t>Yes</t>
        </is>
      </c>
      <c r="O34" s="264" t="inlineStr"/>
      <c r="P34" s="264" t="inlineStr">
        <is>
          <t>Fail</t>
        </is>
      </c>
      <c r="Q34" s="264" t="inlineStr">
        <is>
          <t>GiangDC2</t>
        </is>
      </c>
      <c r="R34" s="264" t="inlineStr">
        <is>
          <t>FE-301</t>
        </is>
      </c>
      <c r="S34" s="264" t="inlineStr"/>
      <c r="T34" s="264" t="n"/>
      <c r="U34" s="264" t="n"/>
      <c r="V34" s="264" t="n"/>
      <c r="W34" s="264" t="n"/>
      <c r="X34" s="264" t="n"/>
      <c r="Y34" s="264" t="n"/>
      <c r="Z34" s="264" t="n"/>
      <c r="AA34" s="264" t="n"/>
      <c r="AB34" s="264" t="n"/>
      <c r="AC34" s="264" t="n"/>
      <c r="AD34" s="264" t="n"/>
      <c r="AE34" s="264" t="n"/>
      <c r="AF34" s="264" t="n"/>
      <c r="AG34" s="264" t="n"/>
      <c r="AH34" s="264" t="n"/>
      <c r="AI34" s="264" t="n"/>
      <c r="AJ34" s="264" t="n"/>
      <c r="AK34" s="264" t="n"/>
      <c r="AL34" s="264" t="n"/>
      <c r="AM34" s="264" t="n"/>
      <c r="AN34" s="264" t="n"/>
      <c r="AO34" s="264" t="n"/>
      <c r="AP34" s="264" t="n"/>
      <c r="AQ34" s="264" t="n"/>
      <c r="AR34" s="158">
        <f>IF($A34="","",IF(OR($N34="Yes",$T34="Yes",$Z34="Yes",$AF34="Yes",$AL34="Yes"),"Yes","No"))</f>
        <v/>
      </c>
      <c r="AS34" s="158">
        <f>IF($A34="","",IFERROR(IF($AM34&lt;&gt;"",$AM34,IF($AG34&lt;&gt;"",$AG34,IF($AA34&lt;&gt;"",$AA34,IF($U34&lt;&gt;"",$U34,IF($O34&lt;&gt;"",$O34,""))))),""))</f>
        <v/>
      </c>
      <c r="AT34" s="158">
        <f>IFERROR(IF($AN34&lt;&gt;"",$AN34,IF($AH34&lt;&gt;"",$AH34,IF($AB34&lt;&gt;"",$AB34,IF($V34&lt;&gt;"",$V34,IF($P34&lt;&gt;"",$P34,""))))),"")</f>
        <v/>
      </c>
      <c r="AU34" s="265" t="inlineStr">
        <is>
          <t>🔑 Áp `C-ORD-18` Resolved 2026-09-17 — BA *"lấy UI làm chuẩn"*: assert cứng nhãn **"Trọng lượng"** và nhãn phụ Nhẹ/Trung bình/Nặng. **PRD `§8.1.4` ghi "Khối lượng" + kiểu Dropdown đã HẾT HIỆU LỰC** — app hiện "Khối lượng" hoặc dropdown ⇒ **defect UI**, ⛔ không phải TC sai. · Mục đích: rào *"ghi nhận nhãn, không FAIL vì tên nhãn"* của bản phân tích trước đã gỡ.</t>
        </is>
      </c>
    </row>
    <row r="35" ht="15.75" customHeight="1" s="216">
      <c r="A35" s="160">
        <f>IF($F35="","",$C$2&amp;"."&amp;COUNTA($F$7:$F35)&amp;"")</f>
        <v/>
      </c>
      <c r="B35" s="160" t="inlineStr">
        <is>
          <t>REQ-ORD-024</t>
        </is>
      </c>
      <c r="C35" s="160" t="inlineStr">
        <is>
          <t>DOC-v1.1-01</t>
        </is>
      </c>
      <c r="D35" s="160" t="inlineStr">
        <is>
          <t>Functional</t>
        </is>
      </c>
      <c r="E35" s="160" t="inlineStr">
        <is>
          <t>Medium</t>
        </is>
      </c>
      <c r="F35" s="11" t="inlineStr">
        <is>
          <t>Check chọn Trọng lượng trên mười kg vẫn đăng tin được bình thường</t>
        </is>
      </c>
      <c r="G35" s="11" t="inlineStr">
        <is>
          <t>- Tài khoản A là CBNV có hồ sơ đầy đủ trên STG.
- Host app FoxPro đã cài trên thiết bị Android/iOS.
- Thư viện ảnh thiết bị có sẵn bộ ảnh mẫu dùng chung 3 module = `SEED-ORD-01`.
Test Data: Chip "Trên 10 kg (Nặng)" — mức cao nhất (test_data_catalog §ORD — Trọng lượng)</t>
        </is>
      </c>
      <c r="H35" s="11" t="inlineStr">
        <is>
          <t>1. Đăng nhập FoxEco, nhấn "+ Đăng tin" rồi nhấn card "Tôi cần gửi hàng". (setup)
2. Chọn chip "Thấp (Dưới 1 triệu đ)" và chip "Nhỏ · Cầm tay", rồi tải 1 ảnh JPG. (setup)
3. Chọn chip "Trên 10 kg (Nặng)" ở khối "TRỌNG LƯỢNG".
4. Nhấn "Tiếp theo", nhập đủ dữ liệu hợp lệ bước 2 và bước 3, rồi nhấn "Đăng tin ngay".
5. Check màn hiện ra sau khi đăng.</t>
        </is>
      </c>
      <c r="I35" s="11" t="inlineStr">
        <is>
          <t>5. Tin đăng thành công và hiện màn "Đăng tin thành công", không có cảnh báo hay chặn nào vì trọng lượng.</t>
        </is>
      </c>
      <c r="J35" s="160" t="inlineStr">
        <is>
          <t>AI</t>
        </is>
      </c>
      <c r="K35" s="160" t="inlineStr">
        <is>
          <t>Pending</t>
        </is>
      </c>
      <c r="L35" s="160" t="inlineStr">
        <is>
          <t>No</t>
        </is>
      </c>
      <c r="M35" s="160" t="inlineStr"/>
      <c r="N35" s="264" t="inlineStr">
        <is>
          <t>Yes</t>
        </is>
      </c>
      <c r="O35" s="264" t="inlineStr"/>
      <c r="P35" s="264" t="inlineStr">
        <is>
          <t>Pass</t>
        </is>
      </c>
      <c r="Q35" s="264" t="inlineStr">
        <is>
          <t>GiangDC2</t>
        </is>
      </c>
      <c r="R35" s="264" t="inlineStr"/>
      <c r="S35" s="264" t="inlineStr"/>
      <c r="T35" s="264" t="n"/>
      <c r="U35" s="264" t="n"/>
      <c r="V35" s="264" t="n"/>
      <c r="W35" s="264" t="n"/>
      <c r="X35" s="264" t="n"/>
      <c r="Y35" s="264" t="n"/>
      <c r="Z35" s="264" t="n"/>
      <c r="AA35" s="264" t="n"/>
      <c r="AB35" s="264" t="n"/>
      <c r="AC35" s="264" t="n"/>
      <c r="AD35" s="264" t="n"/>
      <c r="AE35" s="264" t="n"/>
      <c r="AF35" s="264" t="n"/>
      <c r="AG35" s="264" t="n"/>
      <c r="AH35" s="264" t="n"/>
      <c r="AI35" s="264" t="n"/>
      <c r="AJ35" s="264" t="n"/>
      <c r="AK35" s="264" t="n"/>
      <c r="AL35" s="264" t="n"/>
      <c r="AM35" s="264" t="n"/>
      <c r="AN35" s="264" t="n"/>
      <c r="AO35" s="264" t="n"/>
      <c r="AP35" s="264" t="n"/>
      <c r="AQ35" s="264" t="n"/>
      <c r="AR35" s="158">
        <f>IF($A35="","",IF(OR($N35="Yes",$T35="Yes",$Z35="Yes",$AF35="Yes",$AL35="Yes"),"Yes","No"))</f>
        <v/>
      </c>
      <c r="AS35" s="158">
        <f>IF($A35="","",IFERROR(IF($AM35&lt;&gt;"",$AM35,IF($AG35&lt;&gt;"",$AG35,IF($AA35&lt;&gt;"",$AA35,IF($U35&lt;&gt;"",$U35,IF($O35&lt;&gt;"",$O35,""))))),""))</f>
        <v/>
      </c>
      <c r="AT35" s="158">
        <f>IFERROR(IF($AN35&lt;&gt;"",$AN35,IF($AH35&lt;&gt;"",$AH35,IF($AB35&lt;&gt;"",$AB35,IF($V35&lt;&gt;"",$V35,IF($P35&lt;&gt;"",$P35,""))))),"")</f>
        <v/>
      </c>
      <c r="AU35" s="265" t="inlineStr">
        <is>
          <t>Mục đích: đối chứng dương cho `TC-ORD-064` — bắt buộc chọn KHÁC với chặn theo ngưỡng; lỗi hay gặp là lập trình chặn luôn mức nặng nhất. · Căn cứ: `BR01-02` *"không chặn theo ngưỡng"*.</t>
        </is>
      </c>
    </row>
    <row r="36" ht="15.75" customHeight="1" s="216">
      <c r="A36" s="160">
        <f>IF($F36="","",$C$2&amp;"."&amp;COUNTA($F$7:$F36)&amp;"")</f>
        <v/>
      </c>
      <c r="B36" s="160" t="inlineStr">
        <is>
          <t>REQ-ORD-024</t>
        </is>
      </c>
      <c r="C36" s="160" t="inlineStr">
        <is>
          <t>DOC-v1.1-01 · DOC-v1.1-03</t>
        </is>
      </c>
      <c r="D36" s="160" t="inlineStr">
        <is>
          <t>Functional</t>
        </is>
      </c>
      <c r="E36" s="160" t="inlineStr">
        <is>
          <t>Medium</t>
        </is>
      </c>
      <c r="F36" s="11" t="inlineStr">
        <is>
          <t>Check chưa chọn Kích thước thì bị chặn và ba chip hiện đúng nhãn</t>
        </is>
      </c>
      <c r="G36" s="11" t="inlineStr">
        <is>
          <t>- Tài khoản A là CBNV có hồ sơ đầy đủ trên STG.
- Host app FoxPro đã cài trên thiết bị Android/iOS.
- Thư viện ảnh thiết bị có sẵn bộ ảnh mẫu dùng chung 3 module = `SEED-ORD-01`.
Test Data: 3 chip Kích thước, trạng thái chưa chọn (test_data_catalog §ORD — Kích thước)</t>
        </is>
      </c>
      <c r="H36" s="11" t="inlineStr">
        <is>
          <t>1. Đăng nhập FoxEco, nhấn "+ Đăng tin" rồi nhấn card "Tôi cần gửi hàng". (setup)
2. Chọn chip "Thấp (Dưới 1 triệu đ)" ở khối "GIÁ TRỊ HÀNG (ƯỚC TÍNH)". (setup)
3. Chọn chip "Dưới 5 kg (Nhẹ)" ở khối "TRỌNG LƯỢNG", rồi tải 1 ảnh JPG. (setup)
4. Nhấn "Tiếp theo" khi khối Kích thước chưa có chip nào được chọn.
5. Check ba chip của khối Kích thước và thông báo lỗi.</t>
        </is>
      </c>
      <c r="I36" s="11" t="inlineStr">
        <is>
          <t>5. Wizard vẫn ở bước 1 và có lỗi ở khối Kích thước; khối có đúng ba chip "Nhỏ · Cầm tay", "Vừa · ~20×20 cm", "Lớn · &gt; 20×20 cm".</t>
        </is>
      </c>
      <c r="J36" s="160" t="inlineStr">
        <is>
          <t>AI</t>
        </is>
      </c>
      <c r="K36" s="160" t="inlineStr">
        <is>
          <t>Pending</t>
        </is>
      </c>
      <c r="L36" s="160" t="inlineStr">
        <is>
          <t>No</t>
        </is>
      </c>
      <c r="M36" s="160" t="inlineStr"/>
      <c r="N36" s="264" t="inlineStr">
        <is>
          <t>Yes</t>
        </is>
      </c>
      <c r="O36" s="264" t="inlineStr"/>
      <c r="P36" s="264" t="inlineStr">
        <is>
          <t>Fail</t>
        </is>
      </c>
      <c r="Q36" s="264" t="inlineStr">
        <is>
          <t>GiangDC2</t>
        </is>
      </c>
      <c r="R36" s="264" t="inlineStr">
        <is>
          <t>FE-301</t>
        </is>
      </c>
      <c r="S36" s="264" t="inlineStr"/>
      <c r="T36" s="264" t="n"/>
      <c r="U36" s="264" t="n"/>
      <c r="V36" s="264" t="n"/>
      <c r="W36" s="264" t="n"/>
      <c r="X36" s="264" t="n"/>
      <c r="Y36" s="264" t="n"/>
      <c r="Z36" s="264" t="n"/>
      <c r="AA36" s="264" t="n"/>
      <c r="AB36" s="264" t="n"/>
      <c r="AC36" s="264" t="n"/>
      <c r="AD36" s="264" t="n"/>
      <c r="AE36" s="264" t="n"/>
      <c r="AF36" s="264" t="n"/>
      <c r="AG36" s="264" t="n"/>
      <c r="AH36" s="264" t="n"/>
      <c r="AI36" s="264" t="n"/>
      <c r="AJ36" s="264" t="n"/>
      <c r="AK36" s="264" t="n"/>
      <c r="AL36" s="264" t="n"/>
      <c r="AM36" s="264" t="n"/>
      <c r="AN36" s="264" t="n"/>
      <c r="AO36" s="264" t="n"/>
      <c r="AP36" s="264" t="n"/>
      <c r="AQ36" s="264" t="n"/>
      <c r="AR36" s="158">
        <f>IF($A36="","",IF(OR($N36="Yes",$T36="Yes",$Z36="Yes",$AF36="Yes",$AL36="Yes"),"Yes","No"))</f>
        <v/>
      </c>
      <c r="AS36" s="158">
        <f>IF($A36="","",IFERROR(IF($AM36&lt;&gt;"",$AM36,IF($AG36&lt;&gt;"",$AG36,IF($AA36&lt;&gt;"",$AA36,IF($U36&lt;&gt;"",$U36,IF($O36&lt;&gt;"",$O36,""))))),""))</f>
        <v/>
      </c>
      <c r="AT36" s="158">
        <f>IFERROR(IF($AN36&lt;&gt;"",$AN36,IF($AH36&lt;&gt;"",$AH36,IF($AB36&lt;&gt;"",$AB36,IF($V36&lt;&gt;"",$V36,IF($P36&lt;&gt;"",$P36,""))))),"")</f>
        <v/>
      </c>
      <c r="AU36" s="265" t="inlineStr">
        <is>
          <t>Căn cứ: `BR01-02` *"không cho để trống"* + `C-ORD-18` (kiểu control là **chip**, ⛔ không phải Dropdown như PRD ghi).</t>
        </is>
      </c>
    </row>
    <row r="37" ht="15.75" customHeight="1" s="216">
      <c r="A37" s="160">
        <f>IF($F37="","",$C$2&amp;"."&amp;COUNTA($F$7:$F37)&amp;"")</f>
        <v/>
      </c>
      <c r="B37" s="160" t="inlineStr">
        <is>
          <t>REQ-ORD-024</t>
        </is>
      </c>
      <c r="C37" s="160" t="inlineStr">
        <is>
          <t>DOC-v1.1-01</t>
        </is>
      </c>
      <c r="D37" s="160" t="inlineStr">
        <is>
          <t>Functional</t>
        </is>
      </c>
      <c r="E37" s="160" t="inlineStr">
        <is>
          <t>Medium</t>
        </is>
      </c>
      <c r="F37" s="11" t="inlineStr">
        <is>
          <t>Check chọn Kích thước lớn vẫn đăng tin được bình thường</t>
        </is>
      </c>
      <c r="G37" s="11" t="inlineStr">
        <is>
          <t>- Tài khoản A là CBNV có hồ sơ đầy đủ trên STG.
- Host app FoxPro đã cài trên thiết bị Android/iOS.
- Thư viện ảnh thiết bị có sẵn bộ ảnh mẫu dùng chung 3 module = `SEED-ORD-01`.
Test Data: Chip "Lớn · &gt; 20×20 cm" — mức cao nhất (test_data_catalog §ORD — Kích thước)</t>
        </is>
      </c>
      <c r="H37" s="11" t="inlineStr">
        <is>
          <t>1. Đăng nhập FoxEco, nhấn "+ Đăng tin" rồi nhấn card "Tôi cần gửi hàng". (setup)
2. Chọn chip "Thấp (Dưới 1 triệu đ)" và chip "Dưới 5 kg (Nhẹ)", rồi tải 1 ảnh JPG. (setup)
3. Chọn chip "Lớn · &gt; 20×20 cm" ở khối Kích thước.
4. Nhấn "Tiếp theo", nhập đủ dữ liệu hợp lệ bước 2 và bước 3, rồi nhấn "Đăng tin ngay".
5. Check màn hiện ra sau khi đăng.</t>
        </is>
      </c>
      <c r="I37" s="11" t="inlineStr">
        <is>
          <t>5. Tin đăng thành công và hiện màn "Đăng tin thành công", không có cảnh báo hay chặn nào vì kích thước.</t>
        </is>
      </c>
      <c r="J37" s="160" t="inlineStr">
        <is>
          <t>AI</t>
        </is>
      </c>
      <c r="K37" s="160" t="inlineStr">
        <is>
          <t>Pending</t>
        </is>
      </c>
      <c r="L37" s="160" t="inlineStr">
        <is>
          <t>No</t>
        </is>
      </c>
      <c r="M37" s="160" t="inlineStr"/>
      <c r="N37" s="264" t="inlineStr"/>
      <c r="O37" s="264" t="inlineStr"/>
      <c r="P37" s="264" t="inlineStr"/>
      <c r="Q37" s="264" t="inlineStr"/>
      <c r="R37" s="264" t="inlineStr"/>
      <c r="S37" s="264" t="inlineStr"/>
      <c r="T37" s="264" t="n"/>
      <c r="U37" s="264" t="n"/>
      <c r="V37" s="264" t="n"/>
      <c r="W37" s="264" t="n"/>
      <c r="X37" s="264" t="n"/>
      <c r="Y37" s="264" t="n"/>
      <c r="Z37" s="264" t="n"/>
      <c r="AA37" s="264" t="n"/>
      <c r="AB37" s="264" t="n"/>
      <c r="AC37" s="264" t="n"/>
      <c r="AD37" s="264" t="n"/>
      <c r="AE37" s="264" t="n"/>
      <c r="AF37" s="264" t="n"/>
      <c r="AG37" s="264" t="n"/>
      <c r="AH37" s="264" t="n"/>
      <c r="AI37" s="264" t="n"/>
      <c r="AJ37" s="264" t="n"/>
      <c r="AK37" s="264" t="n"/>
      <c r="AL37" s="264" t="n"/>
      <c r="AM37" s="264" t="n"/>
      <c r="AN37" s="264" t="n"/>
      <c r="AO37" s="264" t="n"/>
      <c r="AP37" s="264" t="n"/>
      <c r="AQ37" s="264" t="n"/>
      <c r="AR37" s="158">
        <f>IF($A37="","",IF(OR($N37="Yes",$T37="Yes",$Z37="Yes",$AF37="Yes",$AL37="Yes"),"Yes","No"))</f>
        <v/>
      </c>
      <c r="AS37" s="158">
        <f>IF($A37="","",IFERROR(IF($AM37&lt;&gt;"",$AM37,IF($AG37&lt;&gt;"",$AG37,IF($AA37&lt;&gt;"",$AA37,IF($U37&lt;&gt;"",$U37,IF($O37&lt;&gt;"",$O37,""))))),""))</f>
        <v/>
      </c>
      <c r="AT37" s="158">
        <f>IFERROR(IF($AN37&lt;&gt;"",$AN37,IF($AH37&lt;&gt;"",$AH37,IF($AB37&lt;&gt;"",$AB37,IF($V37&lt;&gt;"",$V37,IF($P37&lt;&gt;"",$P37,""))))),"")</f>
        <v/>
      </c>
      <c r="AU37" s="265" t="inlineStr">
        <is>
          <t>Mục đích: đối chứng dương cho `TC-ORD-066`, cùng cặp với `TC-ORD-065`. · Căn cứ: `BR01-02`.</t>
        </is>
      </c>
    </row>
    <row r="38" ht="15.75" customHeight="1" s="216">
      <c r="A38" s="160">
        <f>IF($F38="","",$C$2&amp;"."&amp;COUNTA($F$7:$F38)&amp;"")</f>
        <v/>
      </c>
      <c r="B38" s="160" t="inlineStr">
        <is>
          <t>REQ-ORD-026</t>
        </is>
      </c>
      <c r="C38" s="160" t="inlineStr">
        <is>
          <t>DOC-v1.1-01</t>
        </is>
      </c>
      <c r="D38" s="160" t="inlineStr">
        <is>
          <t>UI</t>
        </is>
      </c>
      <c r="E38" s="160" t="inlineStr">
        <is>
          <t>Low</t>
        </is>
      </c>
      <c r="F38" s="11" t="inlineStr">
        <is>
          <t>Check dải ảnh ở chi tiết tin lướt ngang được và có badge đếm ảnh</t>
        </is>
      </c>
      <c r="G38" s="11" t="inlineStr">
        <is>
          <t>- Tài khoản A là CBNV có hồ sơ đầy đủ trên STG.
- Host app FoxPro đã cài trên thiết bị Android/iOS.
Test Data: 1 tin `POSTED` có 5 ảnh = `SEED-ORD-04` (test_data_catalog §ORD — Tin đã đăng có ≥2 ảnh)</t>
        </is>
      </c>
      <c r="H38" s="11" t="inlineStr">
        <is>
          <t>1. Đăng nhập FoxEco bằng tài khoản A và đăng 1 tin NEED kèm 5 ảnh. (setup)
2. Nhấn tab "Hoạt động" và mở tin đó để vào màn chi tiết tin. (setup)
3. Lướt ngang trên dải ảnh sang ảnh thứ hai.
4. Check ảnh đang hiển thị và badge đếm trên dải ảnh.</t>
        </is>
      </c>
      <c r="I38" s="11" t="inlineStr">
        <is>
          <t>4. Dải ảnh chuyển sang ảnh thứ hai và badge đếm hiển thị "2/5".</t>
        </is>
      </c>
      <c r="J38" s="160" t="inlineStr">
        <is>
          <t>AI</t>
        </is>
      </c>
      <c r="K38" s="160" t="inlineStr">
        <is>
          <t>Pending</t>
        </is>
      </c>
      <c r="L38" s="160" t="inlineStr">
        <is>
          <t>No</t>
        </is>
      </c>
      <c r="M38" s="160" t="inlineStr"/>
      <c r="N38" s="264" t="inlineStr">
        <is>
          <t>Yes</t>
        </is>
      </c>
      <c r="O38" s="264" t="inlineStr"/>
      <c r="P38" s="264" t="inlineStr">
        <is>
          <t>Pass</t>
        </is>
      </c>
      <c r="Q38" s="264" t="inlineStr">
        <is>
          <t>GiangDC2</t>
        </is>
      </c>
      <c r="R38" s="264" t="inlineStr"/>
      <c r="S38" s="264" t="inlineStr"/>
      <c r="T38" s="264" t="n"/>
      <c r="U38" s="264" t="n"/>
      <c r="V38" s="264" t="n"/>
      <c r="W38" s="264" t="n"/>
      <c r="X38" s="264" t="n"/>
      <c r="Y38" s="264" t="n"/>
      <c r="Z38" s="264" t="n"/>
      <c r="AA38" s="264" t="n"/>
      <c r="AB38" s="264" t="n"/>
      <c r="AC38" s="264" t="n"/>
      <c r="AD38" s="264" t="n"/>
      <c r="AE38" s="264" t="n"/>
      <c r="AF38" s="264" t="n"/>
      <c r="AG38" s="264" t="n"/>
      <c r="AH38" s="264" t="n"/>
      <c r="AI38" s="264" t="n"/>
      <c r="AJ38" s="264" t="n"/>
      <c r="AK38" s="264" t="n"/>
      <c r="AL38" s="264" t="n"/>
      <c r="AM38" s="264" t="n"/>
      <c r="AN38" s="264" t="n"/>
      <c r="AO38" s="264" t="n"/>
      <c r="AP38" s="264" t="n"/>
      <c r="AQ38" s="264" t="n"/>
      <c r="AR38" s="158">
        <f>IF($A38="","",IF(OR($N38="Yes",$T38="Yes",$Z38="Yes",$AF38="Yes",$AL38="Yes"),"Yes","No"))</f>
        <v/>
      </c>
      <c r="AS38" s="158">
        <f>IF($A38="","",IFERROR(IF($AM38&lt;&gt;"",$AM38,IF($AG38&lt;&gt;"",$AG38,IF($AA38&lt;&gt;"",$AA38,IF($U38&lt;&gt;"",$U38,IF($O38&lt;&gt;"",$O38,""))))),""))</f>
        <v/>
      </c>
      <c r="AT38" s="158">
        <f>IFERROR(IF($AN38&lt;&gt;"",$AN38,IF($AH38&lt;&gt;"",$AH38,IF($AB38&lt;&gt;"",$AB38,IF($V38&lt;&gt;"",$V38,IF($P38&lt;&gt;"",$P38,""))))),"")</f>
        <v/>
      </c>
      <c r="AU38" s="265" t="inlineStr">
        <is>
          <t>Căn cứ: `BR18-03` + `AC-03.1.01`. Lightbox tách sang `TC-ORD-073` vì là màn khác.</t>
        </is>
      </c>
    </row>
    <row r="39" ht="15.75" customHeight="1" s="216">
      <c r="A39" s="160">
        <f>IF($F39="","",$C$2&amp;"."&amp;COUNTA($F$7:$F39)&amp;"")</f>
        <v/>
      </c>
      <c r="B39" s="160" t="inlineStr">
        <is>
          <t>REQ-ORD-026</t>
        </is>
      </c>
      <c r="C39" s="160" t="inlineStr">
        <is>
          <t>DOC-v1.1-01</t>
        </is>
      </c>
      <c r="D39" s="160" t="inlineStr">
        <is>
          <t>UI</t>
        </is>
      </c>
      <c r="E39" s="160" t="inlineStr">
        <is>
          <t>Low</t>
        </is>
      </c>
      <c r="F39" s="11" t="inlineStr">
        <is>
          <t>Check lightbox ảnh đóng được bằng cả nút đóng lẫn chạm nền</t>
        </is>
      </c>
      <c r="G39" s="11" t="inlineStr">
        <is>
          <t>- Tài khoản A là CBNV có hồ sơ đầy đủ trên STG.
- Host app FoxPro đã cài trên thiết bị Android/iOS.
Test Data: 1 tin `POSTED` có 5 ảnh = `SEED-ORD-04` (test_data_catalog §ORD — Tin đã đăng có ≥2 ảnh)</t>
        </is>
      </c>
      <c r="H39" s="11" t="inlineStr">
        <is>
          <t>1. Đăng nhập FoxEco bằng tài khoản A và đăng 1 tin NEED kèm 5 ảnh. (setup)
2. Nhấn tab "Hoạt động" và mở tin đó để vào màn chi tiết tin. (setup)
3. Nhấn 1 ảnh trên dải ảnh để mở lightbox.
4. Nhấn nút đóng của lightbox.
5. Nhấn lại ảnh đó để mở lightbox lần hai.
6. Nhấn vào vùng nền tối ngoài ảnh.
7. Check màn đang hiển thị sau lần đóng bằng nút và sau khi chạm nền tối.</t>
        </is>
      </c>
      <c r="I39" s="11" t="inlineStr">
        <is>
          <t>7. Nút đóng (×) đóng được lightbox và trả về đúng màn chi tiết tin; chạm vùng nền tối KHÔNG đóng lightbox — lightbox chỉ đóng bằng nút (×).</t>
        </is>
      </c>
      <c r="J39" s="160" t="inlineStr">
        <is>
          <t>AI</t>
        </is>
      </c>
      <c r="K39" s="160" t="inlineStr">
        <is>
          <t>Pending</t>
        </is>
      </c>
      <c r="L39" s="160" t="inlineStr">
        <is>
          <t>No</t>
        </is>
      </c>
      <c r="M39" s="160" t="inlineStr"/>
      <c r="N39" s="264" t="inlineStr">
        <is>
          <t>Yes</t>
        </is>
      </c>
      <c r="O39" s="264" t="inlineStr"/>
      <c r="P39" s="264" t="inlineStr">
        <is>
          <t>Pass</t>
        </is>
      </c>
      <c r="Q39" s="264" t="inlineStr">
        <is>
          <t>GiangDC2</t>
        </is>
      </c>
      <c r="R39" s="264" t="inlineStr"/>
      <c r="S39" s="264" t="inlineStr"/>
      <c r="T39" s="264" t="n"/>
      <c r="U39" s="264" t="n"/>
      <c r="V39" s="264" t="n"/>
      <c r="W39" s="264" t="n"/>
      <c r="X39" s="264" t="n"/>
      <c r="Y39" s="264" t="n"/>
      <c r="Z39" s="264" t="n"/>
      <c r="AA39" s="264" t="n"/>
      <c r="AB39" s="264" t="n"/>
      <c r="AC39" s="264" t="n"/>
      <c r="AD39" s="264" t="n"/>
      <c r="AE39" s="264" t="n"/>
      <c r="AF39" s="264" t="n"/>
      <c r="AG39" s="264" t="n"/>
      <c r="AH39" s="264" t="n"/>
      <c r="AI39" s="264" t="n"/>
      <c r="AJ39" s="264" t="n"/>
      <c r="AK39" s="264" t="n"/>
      <c r="AL39" s="264" t="n"/>
      <c r="AM39" s="264" t="n"/>
      <c r="AN39" s="264" t="n"/>
      <c r="AO39" s="264" t="n"/>
      <c r="AP39" s="264" t="n"/>
      <c r="AQ39" s="264" t="n"/>
      <c r="AR39" s="158">
        <f>IF($A39="","",IF(OR($N39="Yes",$T39="Yes",$Z39="Yes",$AF39="Yes",$AL39="Yes"),"Yes","No"))</f>
        <v/>
      </c>
      <c r="AS39" s="158">
        <f>IF($A39="","",IFERROR(IF($AM39&lt;&gt;"",$AM39,IF($AG39&lt;&gt;"",$AG39,IF($AA39&lt;&gt;"",$AA39,IF($U39&lt;&gt;"",$U39,IF($O39&lt;&gt;"",$O39,""))))),""))</f>
        <v/>
      </c>
      <c r="AT39" s="158">
        <f>IFERROR(IF($AN39&lt;&gt;"",$AN39,IF($AH39&lt;&gt;"",$AH39,IF($AB39&lt;&gt;"",$AB39,IF($V39&lt;&gt;"",$V39,IF($P39&lt;&gt;"",$P39,""))))),"")</f>
        <v/>
      </c>
      <c r="AU39" s="265" t="inlineStr">
        <is>
          <t>Mục đích: xác nhận cách đóng lightbox của app — chỉ đóng bằng nút (×), chạm nền tối không đóng. · Căn cứ: `BR18-03`. · ♻️ Sửa 2026-09-21 (QC GiangDC2, theo `BUG-024` đã huỷ): QC kiểm lại — app đúng, chạm nền không đóng lightbox; Expected đổi theo app (`BR18-03` không còn được hiểu là "chạm nền để đóng"). ⚠️ Title còn ghi *"cả nút đóng lẫn chạm nền"* — `§10.5` không cho sửa Title (xem CHANGELOG §3). VR-013: ✅ PASS.</t>
        </is>
      </c>
    </row>
    <row r="40" ht="15.75" customHeight="1" s="216">
      <c r="A40" s="160">
        <f>IF($F40="","",$C$2&amp;"."&amp;COUNTA($F$7:$F40)&amp;"")</f>
        <v/>
      </c>
      <c r="B40" s="160" t="inlineStr">
        <is>
          <t>REQ-ORD-008</t>
        </is>
      </c>
      <c r="C40" s="160" t="inlineStr">
        <is>
          <t>DOC-v1.1-01</t>
        </is>
      </c>
      <c r="D40" s="160" t="inlineStr">
        <is>
          <t>Functional</t>
        </is>
      </c>
      <c r="E40" s="160" t="inlineStr">
        <is>
          <t>High</t>
        </is>
      </c>
      <c r="F40" s="11" t="inlineStr">
        <is>
          <t>Check nhập email có trên danh bạ tự điền ba trường và cả ba vẫn sửa được</t>
        </is>
      </c>
      <c r="G40" s="11" t="inlineStr">
        <is>
          <t>- Tài khoản A là CBNV có hồ sơ đầy đủ trên STG.
- Host app FoxPro đã cài trên thiết bị Android/iOS.
- Có sẵn email công ty CÓ trên HRIS, đang làm việc = `SEED-ORD-02` ①.
Test Data: Email `stag_anhdc4@fpt.com` — có trên HRIS, đang làm việc = `SEED-ORD-02` ① (test_data_catalog §ORD — Email công ty người nhận)</t>
        </is>
      </c>
      <c r="H40" s="11" t="inlineStr">
        <is>
          <t>1. Đăng nhập FoxEco, nhấn "+ Đăng tin", nhấn card "Tôi cần gửi hàng", nhập đủ trường bước 1 rồi nhấn "Tiếp theo". (setup)
2. Nhập "stag_anhdc4@fpt.com" vào ô email người nhận.
3. Nhấn ra ngoài ô email để rời ô.
4. Nhập thêm ký tự "X" vào cuối ô tên người nhận.
5. Check giá trị ba ô tên, số điện thoại, địa chỉ giao và khả năng sửa của chúng.</t>
        </is>
      </c>
      <c r="I40" s="11" t="inlineStr">
        <is>
          <t>5. Ba ô tên, số điện thoại và địa chỉ giao đều được tự điền khác rỗng, và ô tên nhận được ký tự vừa nhập thêm.</t>
        </is>
      </c>
      <c r="J40" s="160" t="inlineStr">
        <is>
          <t>AI</t>
        </is>
      </c>
      <c r="K40" s="160" t="inlineStr">
        <is>
          <t>Pending</t>
        </is>
      </c>
      <c r="L40" s="160" t="inlineStr">
        <is>
          <t>No</t>
        </is>
      </c>
      <c r="M40" s="160" t="inlineStr"/>
      <c r="N40" s="264" t="inlineStr">
        <is>
          <t>Yes</t>
        </is>
      </c>
      <c r="O40" s="264" t="inlineStr"/>
      <c r="P40" s="264" t="inlineStr">
        <is>
          <t>Fail</t>
        </is>
      </c>
      <c r="Q40" s="264" t="inlineStr">
        <is>
          <t>GiangDC2</t>
        </is>
      </c>
      <c r="R40" s="264" t="inlineStr">
        <is>
          <t>FE-305</t>
        </is>
      </c>
      <c r="S40" s="264" t="inlineStr"/>
      <c r="T40" s="264" t="n"/>
      <c r="U40" s="264" t="n"/>
      <c r="V40" s="264" t="n"/>
      <c r="W40" s="264" t="n"/>
      <c r="X40" s="264" t="n"/>
      <c r="Y40" s="264" t="n"/>
      <c r="Z40" s="264" t="n"/>
      <c r="AA40" s="264" t="n"/>
      <c r="AB40" s="264" t="n"/>
      <c r="AC40" s="264" t="n"/>
      <c r="AD40" s="264" t="n"/>
      <c r="AE40" s="264" t="n"/>
      <c r="AF40" s="264" t="n"/>
      <c r="AG40" s="264" t="n"/>
      <c r="AH40" s="264" t="n"/>
      <c r="AI40" s="264" t="n"/>
      <c r="AJ40" s="264" t="n"/>
      <c r="AK40" s="264" t="n"/>
      <c r="AL40" s="264" t="n"/>
      <c r="AM40" s="264" t="n"/>
      <c r="AN40" s="264" t="n"/>
      <c r="AO40" s="264" t="n"/>
      <c r="AP40" s="264" t="n"/>
      <c r="AQ40" s="264" t="n"/>
      <c r="AR40" s="158">
        <f>IF($A40="","",IF(OR($N40="Yes",$T40="Yes",$Z40="Yes",$AF40="Yes",$AL40="Yes"),"Yes","No"))</f>
        <v/>
      </c>
      <c r="AS40" s="158">
        <f>IF($A40="","",IFERROR(IF($AM40&lt;&gt;"",$AM40,IF($AG40&lt;&gt;"",$AG40,IF($AA40&lt;&gt;"",$AA40,IF($U40&lt;&gt;"",$U40,IF($O40&lt;&gt;"",$O40,""))))),""))</f>
        <v/>
      </c>
      <c r="AT40" s="158">
        <f>IFERROR(IF($AN40&lt;&gt;"",$AN40,IF($AH40&lt;&gt;"",$AH40,IF($AB40&lt;&gt;"",$AB40,IF($V40&lt;&gt;"",$V40,IF($P40&lt;&gt;"",$P40,""))))),"")</f>
        <v/>
      </c>
      <c r="AU40" s="265" t="inlineStr">
        <is>
          <t>Mục đích: **P1** — đây là tích hợp hệ thống ngoài được nêu tên lần đầu ở v1.1, không có nó thì cả cụm `TC-ORD-074..077` vô nghĩa. · Căn cứ: `BR01-09` + `AC-04.1.01` + BA `C-ORD-13` Resolved 2026-09-17. Ô bị khoá không sửa được ⇒ FAIL — `BR01-09` nói rõ *"vẫn sửa được"*.</t>
        </is>
      </c>
    </row>
    <row r="41" ht="15.75" customHeight="1" s="216">
      <c r="A41" s="160">
        <f>IF($F41="","",$C$2&amp;"."&amp;COUNTA($F$7:$F41)&amp;"")</f>
        <v/>
      </c>
      <c r="B41" s="160" t="inlineStr">
        <is>
          <t>REQ-ORD-008</t>
        </is>
      </c>
      <c r="C41" s="160" t="inlineStr">
        <is>
          <t>DOC-v1.1-01</t>
        </is>
      </c>
      <c r="D41" s="160" t="inlineStr">
        <is>
          <t>Functional</t>
        </is>
      </c>
      <c r="E41" s="160" t="inlineStr">
        <is>
          <t>Medium</t>
        </is>
      </c>
      <c r="F41" s="11" t="inlineStr">
        <is>
          <t>Check email đúng tên miền công ty nhưng không có trên danh bạ thì chặn tạo đơn</t>
        </is>
      </c>
      <c r="G41" s="11" t="inlineStr">
        <is>
          <t>- Tài khoản A là CBNV có hồ sơ đầy đủ trên STG.
- Host app FoxPro đã cài trên thiết bị Android/iOS.
Test Data: Email `@fpt.com` không tồn tại trên HRIS (test_data_catalog §ORD — Email công ty người nhận ②)</t>
        </is>
      </c>
      <c r="H41" s="11" t="inlineStr">
        <is>
          <t>1. Đăng nhập FoxEco, nhấn "+ Đăng tin", nhấn card "Tôi cần gửi hàng", nhập đủ trường bước 1 rồi nhấn "Tiếp theo". (setup)
2. Nhập "stag_khongtontai9999@fpt.com" vào ô email người nhận.
3. Nhấn ra ngoài ô email để rời ô.
4. Check trạng thái nút "Tiếp theo" và ba ô tên, số điện thoại, địa chỉ giao.</t>
        </is>
      </c>
      <c r="I41" s="11" t="inlineStr">
        <is>
          <t>4. Nút "Tiếp theo" ở trạng thái vô hiệu hoá và KHÔNG có ô nào mở ra cho nhập tay.</t>
        </is>
      </c>
      <c r="J41" s="160" t="inlineStr">
        <is>
          <t>AI</t>
        </is>
      </c>
      <c r="K41" s="160" t="inlineStr">
        <is>
          <t>Pending</t>
        </is>
      </c>
      <c r="L41" s="160" t="inlineStr">
        <is>
          <t>No</t>
        </is>
      </c>
      <c r="M41" s="160" t="inlineStr"/>
      <c r="N41" s="264" t="inlineStr">
        <is>
          <t>Yes</t>
        </is>
      </c>
      <c r="O41" s="264" t="inlineStr"/>
      <c r="P41" s="264" t="inlineStr">
        <is>
          <t>Pass</t>
        </is>
      </c>
      <c r="Q41" s="264" t="inlineStr">
        <is>
          <t>GiangDC2</t>
        </is>
      </c>
      <c r="R41" s="264" t="inlineStr"/>
      <c r="S41" s="264" t="inlineStr"/>
      <c r="T41" s="264" t="n"/>
      <c r="U41" s="264" t="n"/>
      <c r="V41" s="264" t="n"/>
      <c r="W41" s="264" t="n"/>
      <c r="X41" s="264" t="n"/>
      <c r="Y41" s="264" t="n"/>
      <c r="Z41" s="264" t="n"/>
      <c r="AA41" s="264" t="n"/>
      <c r="AB41" s="264" t="n"/>
      <c r="AC41" s="264" t="n"/>
      <c r="AD41" s="264" t="n"/>
      <c r="AE41" s="264" t="n"/>
      <c r="AF41" s="264" t="n"/>
      <c r="AG41" s="264" t="n"/>
      <c r="AH41" s="264" t="n"/>
      <c r="AI41" s="264" t="n"/>
      <c r="AJ41" s="264" t="n"/>
      <c r="AK41" s="264" t="n"/>
      <c r="AL41" s="264" t="n"/>
      <c r="AM41" s="264" t="n"/>
      <c r="AN41" s="264" t="n"/>
      <c r="AO41" s="264" t="n"/>
      <c r="AP41" s="264" t="n"/>
      <c r="AQ41" s="264" t="n"/>
      <c r="AR41" s="158">
        <f>IF($A41="","",IF(OR($N41="Yes",$T41="Yes",$Z41="Yes",$AF41="Yes",$AL41="Yes"),"Yes","No"))</f>
        <v/>
      </c>
      <c r="AS41" s="158">
        <f>IF($A41="","",IFERROR(IF($AM41&lt;&gt;"",$AM41,IF($AG41&lt;&gt;"",$AG41,IF($AA41&lt;&gt;"",$AA41,IF($U41&lt;&gt;"",$U41,IF($O41&lt;&gt;"",$O41,""))))),""))</f>
        <v/>
      </c>
      <c r="AT41" s="158">
        <f>IFERROR(IF($AN41&lt;&gt;"",$AN41,IF($AH41&lt;&gt;"",$AH41,IF($AB41&lt;&gt;"",$AB41,IF($V41&lt;&gt;"",$V41,IF($P41&lt;&gt;"",$P41,""))))),"")</f>
        <v/>
      </c>
      <c r="AU41" s="265" t="inlineStr">
        <is>
          <t>🔑 **ĐẢO PRD.** `BR01-09` và `AC-04.1.02` ghi *"không thấy thì cho nhập thủ công"*; BA `C-ORD-14` **Resolved 2026-09-17** chốt ngược: **nút "Tiếp theo" DISABLE, không cho tạo đơn**. Lấy câu trả lời BA làm nguồn chốt. · Mục đích: kết quả phản trực giác — người đọc PRD sẽ cho rằng mở ô nhập tay là đúng. STG cho nhập tay và tạo được đơn ⇒ **FAIL và log bug**, ⛔ không sửa Expected về `BR01-09`.</t>
        </is>
      </c>
    </row>
    <row r="42" ht="15.75" customHeight="1" s="216">
      <c r="A42" s="160">
        <f>IF($F42="","",$C$2&amp;"."&amp;COUNTA($F$7:$F42)&amp;"")</f>
        <v/>
      </c>
      <c r="B42" s="160" t="inlineStr">
        <is>
          <t>REQ-ORD-008</t>
        </is>
      </c>
      <c r="C42" s="160" t="inlineStr">
        <is>
          <t>DOC-v1.1-01</t>
        </is>
      </c>
      <c r="D42" s="160" t="inlineStr">
        <is>
          <t>Functional</t>
        </is>
      </c>
      <c r="E42" s="160" t="inlineStr">
        <is>
          <t>Medium</t>
        </is>
      </c>
      <c r="F42" s="11" t="inlineStr">
        <is>
          <t>Check email của người đã nghỉ việc cũng chặn tạo đơn</t>
        </is>
      </c>
      <c r="G42" s="11" t="inlineStr">
        <is>
          <t>- Tài khoản A là CBNV có hồ sơ đầy đủ trên STG.
- Host app FoxPro đã cài trên thiết bị Android/iOS.
- Có sẵn email công ty của người ĐÃ NGHỈ VIỆC = `SEED-ORD-02` ② `stag_binhnt23@fpt.com` (`DOC-v1.1-05`).
Test Data: Email `stag_binhnt23@fpt.com` — người đã nghỉ việc, MNV 00026682 = `SEED-ORD-02` ② (`DOC-v1.1-05` · test_data_catalog §ORD)</t>
        </is>
      </c>
      <c r="H42" s="11" t="inlineStr">
        <is>
          <t>1. Đăng nhập FoxEco, nhấn "+ Đăng tin", nhấn card "Tôi cần gửi hàng", nhập đủ trường bước 1 rồi nhấn "Tiếp theo". (setup)
2. Nhập email `@fpt.com` của người đã nghỉ việc vào ô email người nhận.
3. Nhấn ra ngoài ô email để rời ô.
4. Check trạng thái nút "Tiếp theo" và ba ô tên, số điện thoại, địa chỉ giao.</t>
        </is>
      </c>
      <c r="I42" s="11" t="inlineStr">
        <is>
          <t>4. Nút "Tiếp theo" ở trạng thái vô hiệu hoá và KHÔNG có ô nào mở ra cho nhập tay.</t>
        </is>
      </c>
      <c r="J42" s="160" t="inlineStr">
        <is>
          <t>AI</t>
        </is>
      </c>
      <c r="K42" s="160" t="inlineStr">
        <is>
          <t>Pending</t>
        </is>
      </c>
      <c r="L42" s="160" t="inlineStr">
        <is>
          <t>No</t>
        </is>
      </c>
      <c r="M42" s="160" t="inlineStr"/>
      <c r="N42" s="264" t="inlineStr">
        <is>
          <t>Yes</t>
        </is>
      </c>
      <c r="O42" s="264" t="inlineStr"/>
      <c r="P42" s="264" t="inlineStr">
        <is>
          <t>Pass</t>
        </is>
      </c>
      <c r="Q42" s="264" t="inlineStr">
        <is>
          <t>GiangDC2</t>
        </is>
      </c>
      <c r="R42" s="264" t="inlineStr"/>
      <c r="S42" s="264" t="inlineStr"/>
      <c r="T42" s="264" t="n"/>
      <c r="U42" s="264" t="n"/>
      <c r="V42" s="264" t="n"/>
      <c r="W42" s="264" t="n"/>
      <c r="X42" s="264" t="n"/>
      <c r="Y42" s="264" t="n"/>
      <c r="Z42" s="264" t="n"/>
      <c r="AA42" s="264" t="n"/>
      <c r="AB42" s="264" t="n"/>
      <c r="AC42" s="264" t="n"/>
      <c r="AD42" s="264" t="n"/>
      <c r="AE42" s="264" t="n"/>
      <c r="AF42" s="264" t="n"/>
      <c r="AG42" s="264" t="n"/>
      <c r="AH42" s="264" t="n"/>
      <c r="AI42" s="264" t="n"/>
      <c r="AJ42" s="264" t="n"/>
      <c r="AK42" s="264" t="n"/>
      <c r="AL42" s="264" t="n"/>
      <c r="AM42" s="264" t="n"/>
      <c r="AN42" s="264" t="n"/>
      <c r="AO42" s="264" t="n"/>
      <c r="AP42" s="264" t="n"/>
      <c r="AQ42" s="264" t="n"/>
      <c r="AR42" s="158">
        <f>IF($A42="","",IF(OR($N42="Yes",$T42="Yes",$Z42="Yes",$AF42="Yes",$AL42="Yes"),"Yes","No"))</f>
        <v/>
      </c>
      <c r="AS42" s="158">
        <f>IF($A42="","",IFERROR(IF($AM42&lt;&gt;"",$AM42,IF($AG42&lt;&gt;"",$AG42,IF($AA42&lt;&gt;"",$AA42,IF($U42&lt;&gt;"",$U42,IF($O42&lt;&gt;"",$O42,""))))),""))</f>
        <v/>
      </c>
      <c r="AT42" s="158">
        <f>IFERROR(IF($AN42&lt;&gt;"",$AN42,IF($AH42&lt;&gt;"",$AH42,IF($AB42&lt;&gt;"",$AB42,IF($V42&lt;&gt;"",$V42,IF($P42&lt;&gt;"",$P42,""))))),"")</f>
        <v/>
      </c>
      <c r="AU42" s="265" t="inlineStr">
        <is>
          <t>Mục đích: nhánh thứ tư của tra danh bạ — HRIS **chỉ nhận nhân sự đang làm việc** (BA `C-ORD-13`), nên "có trong hệ thống" vẫn có thể ra kết quả chặn; đây là ca dễ bị lập trình sót nhất. · Căn cứ: BA `C-ORD-14` — cùng kết quả với `TC-ORD-075` nhưng khác dữ liệu đầu vào. ⚠️ Chưa có email mẫu ⇒ ghi **`Blocked` kèm lý do**, ⛔ không PASS cho xong.</t>
        </is>
      </c>
    </row>
    <row r="43" ht="15.75" customHeight="1" s="216">
      <c r="A43" s="160">
        <f>IF($F43="","",$C$2&amp;"."&amp;COUNTA($F$7:$F43)&amp;"")</f>
        <v/>
      </c>
      <c r="B43" s="160" t="inlineStr">
        <is>
          <t>REQ-ORD-008</t>
        </is>
      </c>
      <c r="C43" s="160" t="inlineStr">
        <is>
          <t>DOC-v1.1-01</t>
        </is>
      </c>
      <c r="D43" s="160" t="inlineStr">
        <is>
          <t>Functional</t>
        </is>
      </c>
      <c r="E43" s="160" t="inlineStr">
        <is>
          <t>Medium</t>
        </is>
      </c>
      <c r="F43" s="11" t="inlineStr">
        <is>
          <t>Check email sai định dạng bị chặn và không kích hoạt tra danh bạ</t>
        </is>
      </c>
      <c r="G43" s="11" t="inlineStr">
        <is>
          <t>- Tài khoản A là CBNV có hồ sơ đầy đủ trên STG.
- Host app FoxPro đã cài trên thiết bị Android/iOS.
Test Data: Email sai định dạng "stag_anhdc4@" (test_data_catalog §ORD — Email công ty người nhận ③)</t>
        </is>
      </c>
      <c r="H43" s="11" t="inlineStr">
        <is>
          <t>1. Đăng nhập FoxEco, nhấn "+ Đăng tin", nhấn card "Tôi cần gửi hàng", nhập đủ trường bước 1 rồi nhấn "Tiếp theo". (setup)
2. Nhập "stag_anhdc4@" vào ô email người nhận.
3. Nhấn ra ngoài ô email để rời ô.
4. Check thông báo lỗi ở ô email và ba ô tên, số điện thoại, địa chỉ giao.</t>
        </is>
      </c>
      <c r="I43" s="11" t="inlineStr">
        <is>
          <t>4. Ô email hiện lỗi định dạng và ba ô kia vẫn TRỐNG, không có dấu hiệu tra danh bạ chạy.</t>
        </is>
      </c>
      <c r="J43" s="160" t="inlineStr">
        <is>
          <t>AI</t>
        </is>
      </c>
      <c r="K43" s="160" t="inlineStr">
        <is>
          <t>Pending</t>
        </is>
      </c>
      <c r="L43" s="160" t="inlineStr">
        <is>
          <t>No</t>
        </is>
      </c>
      <c r="M43" s="160" t="inlineStr"/>
      <c r="N43" s="264" t="inlineStr">
        <is>
          <t>Yes</t>
        </is>
      </c>
      <c r="O43" s="264" t="inlineStr"/>
      <c r="P43" s="264" t="inlineStr">
        <is>
          <t>Fail</t>
        </is>
      </c>
      <c r="Q43" s="264" t="inlineStr">
        <is>
          <t>GiangDC2</t>
        </is>
      </c>
      <c r="R43" s="264" t="inlineStr">
        <is>
          <t>FE-301</t>
        </is>
      </c>
      <c r="S43" s="264" t="inlineStr"/>
      <c r="T43" s="264" t="n"/>
      <c r="U43" s="264" t="n"/>
      <c r="V43" s="264" t="n"/>
      <c r="W43" s="264" t="n"/>
      <c r="X43" s="264" t="n"/>
      <c r="Y43" s="264" t="n"/>
      <c r="Z43" s="264" t="n"/>
      <c r="AA43" s="264" t="n"/>
      <c r="AB43" s="264" t="n"/>
      <c r="AC43" s="264" t="n"/>
      <c r="AD43" s="264" t="n"/>
      <c r="AE43" s="264" t="n"/>
      <c r="AF43" s="264" t="n"/>
      <c r="AG43" s="264" t="n"/>
      <c r="AH43" s="264" t="n"/>
      <c r="AI43" s="264" t="n"/>
      <c r="AJ43" s="264" t="n"/>
      <c r="AK43" s="264" t="n"/>
      <c r="AL43" s="264" t="n"/>
      <c r="AM43" s="264" t="n"/>
      <c r="AN43" s="264" t="n"/>
      <c r="AO43" s="264" t="n"/>
      <c r="AP43" s="264" t="n"/>
      <c r="AQ43" s="264" t="n"/>
      <c r="AR43" s="158">
        <f>IF($A43="","",IF(OR($N43="Yes",$T43="Yes",$Z43="Yes",$AF43="Yes",$AL43="Yes"),"Yes","No"))</f>
        <v/>
      </c>
      <c r="AS43" s="158">
        <f>IF($A43="","",IFERROR(IF($AM43&lt;&gt;"",$AM43,IF($AG43&lt;&gt;"",$AG43,IF($AA43&lt;&gt;"",$AA43,IF($U43&lt;&gt;"",$U43,IF($O43&lt;&gt;"",$O43,""))))),""))</f>
        <v/>
      </c>
      <c r="AT43" s="158">
        <f>IFERROR(IF($AN43&lt;&gt;"",$AN43,IF($AH43&lt;&gt;"",$AH43,IF($AB43&lt;&gt;"",$AB43,IF($V43&lt;&gt;"",$V43,IF($P43&lt;&gt;"",$P43,""))))),"")</f>
        <v/>
      </c>
      <c r="AU43" s="265" t="inlineStr">
        <is>
          <t>Mục đích: chốt thứ tự hai lớp kiểm — validate định dạng phải chạy TRƯỚC và chặn luôn việc gọi danh bạ; gọi danh bạ với chuỗi rác là lãng phí và có thể lộ lỗi hệ thống ngoài. · Căn cứ: `§8.1.4` + `AC-04.2.01`.</t>
        </is>
      </c>
    </row>
    <row r="44" ht="15.75" customHeight="1" s="216">
      <c r="A44" s="160">
        <f>IF($F44="","",$C$2&amp;"."&amp;COUNTA($F$7:$F44)&amp;"")</f>
        <v/>
      </c>
      <c r="B44" s="160" t="inlineStr">
        <is>
          <t>REQ-ORD-008</t>
        </is>
      </c>
      <c r="C44" s="160" t="inlineStr">
        <is>
          <t>DOC-v1.1-01</t>
        </is>
      </c>
      <c r="D44" s="160" t="inlineStr">
        <is>
          <t>Functional</t>
        </is>
      </c>
      <c r="E44" s="160" t="inlineStr">
        <is>
          <t>Medium</t>
        </is>
      </c>
      <c r="F44" s="11" t="inlineStr">
        <is>
          <t>Check email ngoài tên miền công ty bị chặn</t>
        </is>
      </c>
      <c r="G44" s="11" t="inlineStr">
        <is>
          <t>- Tài khoản A là CBNV có hồ sơ đầy đủ trên STG.
- Host app FoxPro đã cài trên thiết bị Android/iOS.
Test Data: Email `@gmail.com` — ngoài tên miền công ty (test_data_catalog §ORD — Email công ty người nhận ④)</t>
        </is>
      </c>
      <c r="H44" s="11" t="inlineStr">
        <is>
          <t>1. Đăng nhập FoxEco, nhấn "+ Đăng tin", nhấn card "Tôi cần gửi hàng", nhập đủ trường bước 1 rồi nhấn "Tiếp theo". (setup)
2. Nhập "nguyenvana@gmail.com" vào ô email người nhận.
3. Nhấn ra ngoài ô email để rời ô.
4. Check thông báo lỗi ở ô email và ba ô tên, số điện thoại, địa chỉ giao.</t>
        </is>
      </c>
      <c r="I44" s="11" t="inlineStr">
        <is>
          <t>4. Ô email hiện lỗi và ba ô kia vẫn TRỐNG, không có dấu hiệu tra danh bạ chạy.</t>
        </is>
      </c>
      <c r="J44" s="160" t="inlineStr">
        <is>
          <t>AI</t>
        </is>
      </c>
      <c r="K44" s="160" t="inlineStr">
        <is>
          <t>Pending</t>
        </is>
      </c>
      <c r="L44" s="160" t="inlineStr">
        <is>
          <t>No</t>
        </is>
      </c>
      <c r="M44" s="160" t="inlineStr"/>
      <c r="N44" s="264" t="inlineStr">
        <is>
          <t>Yes</t>
        </is>
      </c>
      <c r="O44" s="264" t="inlineStr"/>
      <c r="P44" s="264" t="inlineStr">
        <is>
          <t>Pass</t>
        </is>
      </c>
      <c r="Q44" s="264" t="inlineStr">
        <is>
          <t>GiangDC2</t>
        </is>
      </c>
      <c r="R44" s="264" t="inlineStr"/>
      <c r="S44" s="264" t="inlineStr"/>
      <c r="T44" s="264" t="n"/>
      <c r="U44" s="264" t="n"/>
      <c r="V44" s="264" t="n"/>
      <c r="W44" s="264" t="n"/>
      <c r="X44" s="264" t="n"/>
      <c r="Y44" s="264" t="n"/>
      <c r="Z44" s="264" t="n"/>
      <c r="AA44" s="264" t="n"/>
      <c r="AB44" s="264" t="n"/>
      <c r="AC44" s="264" t="n"/>
      <c r="AD44" s="264" t="n"/>
      <c r="AE44" s="264" t="n"/>
      <c r="AF44" s="264" t="n"/>
      <c r="AG44" s="264" t="n"/>
      <c r="AH44" s="264" t="n"/>
      <c r="AI44" s="264" t="n"/>
      <c r="AJ44" s="264" t="n"/>
      <c r="AK44" s="264" t="n"/>
      <c r="AL44" s="264" t="n"/>
      <c r="AM44" s="264" t="n"/>
      <c r="AN44" s="264" t="n"/>
      <c r="AO44" s="264" t="n"/>
      <c r="AP44" s="264" t="n"/>
      <c r="AQ44" s="264" t="n"/>
      <c r="AR44" s="158">
        <f>IF($A44="","",IF(OR($N44="Yes",$T44="Yes",$Z44="Yes",$AF44="Yes",$AL44="Yes"),"Yes","No"))</f>
        <v/>
      </c>
      <c r="AS44" s="158">
        <f>IF($A44="","",IFERROR(IF($AM44&lt;&gt;"",$AM44,IF($AG44&lt;&gt;"",$AG44,IF($AA44&lt;&gt;"",$AA44,IF($U44&lt;&gt;"",$U44,IF($O44&lt;&gt;"",$O44,""))))),""))</f>
        <v/>
      </c>
      <c r="AT44" s="158">
        <f>IFERROR(IF($AN44&lt;&gt;"",$AN44,IF($AH44&lt;&gt;"",$AH44,IF($AB44&lt;&gt;"",$AB44,IF($V44&lt;&gt;"",$V44,IF($P44&lt;&gt;"",$P44,""))))),"")</f>
        <v/>
      </c>
      <c r="AU44" s="265" t="inlineStr">
        <is>
          <t>Mục đích: nhánh khác bản chất với `TC-ORD-077` — email **đúng định dạng** nhưng sai tên miền, dễ bị lập trình bỏ qua vì regex đã pass. · Căn cứ: tên miền hợp lệ duy nhất là **`@fpt.com`** (QC GiangDC2 chốt 2026-09-17, đính chính câu trả lời BA cũ). ⛔ `@fpt.vn` chưa xác nhận lại, không dùng làm test data cho bất kỳ nhánh nào.</t>
        </is>
      </c>
    </row>
    <row r="45" ht="15.75" customHeight="1" s="216">
      <c r="A45" s="160">
        <f>IF($F45="","",$C$2&amp;"."&amp;COUNTA($F$7:$F45)&amp;"")</f>
        <v/>
      </c>
      <c r="B45" s="160" t="inlineStr">
        <is>
          <t>REQ-ORD-023</t>
        </is>
      </c>
      <c r="C45" s="160" t="inlineStr">
        <is>
          <t>DOC-v1.1-01</t>
        </is>
      </c>
      <c r="D45" s="160" t="inlineStr">
        <is>
          <t>Functional</t>
        </is>
      </c>
      <c r="E45" s="160" t="inlineStr">
        <is>
          <t>Medium</t>
        </is>
      </c>
      <c r="F45" s="11" t="inlineStr">
        <is>
          <t>Check số điện thoại uỷ quyền sai định dạng bị báo lỗi và chặn</t>
        </is>
      </c>
      <c r="G45" s="11" t="inlineStr">
        <is>
          <t>- Tài khoản A là CBNV có hồ sơ đầy đủ trên STG.
- Host app FoxPro đã cài trên thiết bị Android/iOS.
Test Data: SĐT "123" — sai định dạng (test_data_catalog §ORD — SĐT người được uỷ quyền)</t>
        </is>
      </c>
      <c r="H45" s="11" t="inlineStr">
        <is>
          <t>1. Đăng nhập FoxEco, nhấn "+ Đăng tin", nhấn card "Tôi cần gửi hàng", nhập đủ trường bước 1 rồi nhấn "Tiếp theo". (setup)
2. Nhấn "+ Thêm người nhận uỷ quyền" để mở khối uỷ quyền.
3. Nhập "Nguyễn Văn Bảy" vào ô tên người nhận uỷ quyền.
4. Nhập "123" vào ô số điện thoại người nhận uỷ quyền.
5. Nhấn "Tiếp theo".
6. Check màn đang hiển thị và thông báo lỗi ở ô số điện thoại.</t>
        </is>
      </c>
      <c r="I45" s="11" t="inlineStr">
        <is>
          <t>6. Wizard vẫn ở bước 2 và ô số điện thoại uỷ quyền hiện lỗi định dạng.</t>
        </is>
      </c>
      <c r="J45" s="160" t="inlineStr">
        <is>
          <t>AI</t>
        </is>
      </c>
      <c r="K45" s="160" t="inlineStr">
        <is>
          <t>Pending</t>
        </is>
      </c>
      <c r="L45" s="160" t="inlineStr">
        <is>
          <t>No</t>
        </is>
      </c>
      <c r="M45" s="160" t="inlineStr"/>
      <c r="N45" s="264" t="inlineStr">
        <is>
          <t>Yes</t>
        </is>
      </c>
      <c r="O45" s="264" t="inlineStr"/>
      <c r="P45" s="264" t="inlineStr">
        <is>
          <t>Pass</t>
        </is>
      </c>
      <c r="Q45" s="264" t="inlineStr">
        <is>
          <t>GiangDC2</t>
        </is>
      </c>
      <c r="R45" s="264" t="inlineStr"/>
      <c r="S45" s="264" t="inlineStr"/>
      <c r="T45" s="264" t="n"/>
      <c r="U45" s="264" t="n"/>
      <c r="V45" s="264" t="n"/>
      <c r="W45" s="264" t="n"/>
      <c r="X45" s="264" t="n"/>
      <c r="Y45" s="264" t="n"/>
      <c r="Z45" s="264" t="n"/>
      <c r="AA45" s="264" t="n"/>
      <c r="AB45" s="264" t="n"/>
      <c r="AC45" s="264" t="n"/>
      <c r="AD45" s="264" t="n"/>
      <c r="AE45" s="264" t="n"/>
      <c r="AF45" s="264" t="n"/>
      <c r="AG45" s="264" t="n"/>
      <c r="AH45" s="264" t="n"/>
      <c r="AI45" s="264" t="n"/>
      <c r="AJ45" s="264" t="n"/>
      <c r="AK45" s="264" t="n"/>
      <c r="AL45" s="264" t="n"/>
      <c r="AM45" s="264" t="n"/>
      <c r="AN45" s="264" t="n"/>
      <c r="AO45" s="264" t="n"/>
      <c r="AP45" s="264" t="n"/>
      <c r="AQ45" s="264" t="n"/>
      <c r="AR45" s="158">
        <f>IF($A45="","",IF(OR($N45="Yes",$T45="Yes",$Z45="Yes",$AF45="Yes",$AL45="Yes"),"Yes","No"))</f>
        <v/>
      </c>
      <c r="AS45" s="158">
        <f>IF($A45="","",IFERROR(IF($AM45&lt;&gt;"",$AM45,IF($AG45&lt;&gt;"",$AG45,IF($AA45&lt;&gt;"",$AA45,IF($U45&lt;&gt;"",$U45,IF($O45&lt;&gt;"",$O45,""))))),""))</f>
        <v/>
      </c>
      <c r="AT45" s="158">
        <f>IFERROR(IF($AN45&lt;&gt;"",$AN45,IF($AH45&lt;&gt;"",$AH45,IF($AB45&lt;&gt;"",$AB45,IF($V45&lt;&gt;"",$V45,IF($P45&lt;&gt;"",$P45,""))))),"")</f>
        <v/>
      </c>
      <c r="AU45" s="265" t="inlineStr">
        <is>
          <t>Mục đích: rule chỉ validate **khi được nhập** — ⛔ KHÔNG viết TC "bỏ trống thì lỗi", khối uỷ quyền là **không bắt buộc** (verify ở `TC-ORD-082`). · Căn cứ: `BR01-06` + `AC-05.1.02`.</t>
        </is>
      </c>
    </row>
    <row r="46" ht="15.75" customHeight="1" s="216">
      <c r="A46" s="160">
        <f>IF($F46="","",$C$2&amp;"."&amp;COUNTA($F$7:$F46)&amp;"")</f>
        <v/>
      </c>
      <c r="B46" s="160" t="inlineStr">
        <is>
          <t>REQ-ORD-023</t>
        </is>
      </c>
      <c r="C46" s="160" t="inlineStr">
        <is>
          <t>DOC-v1.1-01</t>
        </is>
      </c>
      <c r="D46" s="160" t="inlineStr">
        <is>
          <t>Functional</t>
        </is>
      </c>
      <c r="E46" s="160" t="inlineStr">
        <is>
          <t>Medium</t>
        </is>
      </c>
      <c r="F46" s="11" t="inlineStr">
        <is>
          <t>Check khai người nhận uỷ quyền hợp lệ gắn nhãn Người gửi chỉ định vào đơn</t>
        </is>
      </c>
      <c r="G46" s="11" t="inlineStr">
        <is>
          <t>- Tài khoản A là CBNV có hồ sơ đầy đủ trên STG.
- Host app FoxPro đã cài trên thiết bị Android/iOS.
- Thư viện ảnh thiết bị có sẵn bộ ảnh mẫu dùng chung 3 module = `SEED-ORD-01`.
Test Data: Tên 14 ký tự + SĐT hợp lệ (test_data_catalog §ORD — Tên người được uỷ quyền, SĐT người được uỷ quyền)</t>
        </is>
      </c>
      <c r="H46" s="11" t="inlineStr">
        <is>
          <t>1. Đăng nhập FoxEco, nhấn "+ Đăng tin", nhấn card "Tôi cần gửi hàng", nhập đủ trường bước 1 gồm 1 ảnh rồi nhấn "Tiếp theo". (setup)
2. Nhấn "+ Thêm người nhận uỷ quyền" để mở khối uỷ quyền. (setup)
3. Nhập "Nguyễn Văn Bảy" vào ô tên và "0912345678" vào ô số điện thoại người nhận uỷ quyền.
4. Nhấn "Tiếp theo", nhập đủ dữ liệu hợp lệ bước 3 rồi nhấn "Đăng tin ngay".
5. Nhấn tab "Hoạt động", mở đơn vừa đăng và check khối thông tin người nhận uỷ quyền.</t>
        </is>
      </c>
      <c r="I46" s="11" t="inlineStr">
        <is>
          <t>5. Đơn hiển thị tên "Nguyễn Văn Bảy" và số "0912345678" kèm nhãn "Người gửi chỉ định".</t>
        </is>
      </c>
      <c r="J46" s="160" t="inlineStr">
        <is>
          <t>AI</t>
        </is>
      </c>
      <c r="K46" s="160" t="inlineStr">
        <is>
          <t>Pending</t>
        </is>
      </c>
      <c r="L46" s="160" t="inlineStr">
        <is>
          <t>No</t>
        </is>
      </c>
      <c r="M46" s="160" t="inlineStr"/>
      <c r="N46" s="264" t="inlineStr"/>
      <c r="O46" s="264" t="inlineStr"/>
      <c r="P46" s="264" t="inlineStr"/>
      <c r="Q46" s="264" t="inlineStr"/>
      <c r="R46" s="264" t="inlineStr"/>
      <c r="S46" s="264" t="inlineStr"/>
      <c r="T46" s="264" t="n"/>
      <c r="U46" s="264" t="n"/>
      <c r="V46" s="264" t="n"/>
      <c r="W46" s="264" t="n"/>
      <c r="X46" s="264" t="n"/>
      <c r="Y46" s="264" t="n"/>
      <c r="Z46" s="264" t="n"/>
      <c r="AA46" s="264" t="n"/>
      <c r="AB46" s="264" t="n"/>
      <c r="AC46" s="264" t="n"/>
      <c r="AD46" s="264" t="n"/>
      <c r="AE46" s="264" t="n"/>
      <c r="AF46" s="264" t="n"/>
      <c r="AG46" s="264" t="n"/>
      <c r="AH46" s="264" t="n"/>
      <c r="AI46" s="264" t="n"/>
      <c r="AJ46" s="264" t="n"/>
      <c r="AK46" s="264" t="n"/>
      <c r="AL46" s="264" t="n"/>
      <c r="AM46" s="264" t="n"/>
      <c r="AN46" s="264" t="n"/>
      <c r="AO46" s="264" t="n"/>
      <c r="AP46" s="264" t="n"/>
      <c r="AQ46" s="264" t="n"/>
      <c r="AR46" s="158">
        <f>IF($A46="","",IF(OR($N46="Yes",$T46="Yes",$Z46="Yes",$AF46="Yes",$AL46="Yes"),"Yes","No"))</f>
        <v/>
      </c>
      <c r="AS46" s="158">
        <f>IF($A46="","",IFERROR(IF($AM46&lt;&gt;"",$AM46,IF($AG46&lt;&gt;"",$AG46,IF($AA46&lt;&gt;"",$AA46,IF($U46&lt;&gt;"",$U46,IF($O46&lt;&gt;"",$O46,""))))),""))</f>
        <v/>
      </c>
      <c r="AT46" s="158">
        <f>IFERROR(IF($AN46&lt;&gt;"",$AN46,IF($AH46&lt;&gt;"",$AH46,IF($AB46&lt;&gt;"",$AB46,IF($V46&lt;&gt;"",$V46,IF($P46&lt;&gt;"",$P46,""))))),"")</f>
        <v/>
      </c>
      <c r="AU46" s="265" t="inlineStr">
        <is>
          <t>Mục đích: nhãn "Người gửi chỉ định" là thứ phân biệt người uỷ quyền khai **lúc đăng tin** với người uỷ quyền khai **lúc giao hàng** (`TC-DLV-044`, nhãn "uỷ quyền bởi Người nhận") — lẫn hai nguồn này là lỗi truy vết nghiêm trọng. · Căn cứ: `BR01-06` + `AC-05.1.01`. · ⚠️ Đã chạy nhưng THIẾU EVIDENCE hợp lệ ⇒ không được ghi PASS, tính là Not Run (gate verify_evidence.py).</t>
        </is>
      </c>
    </row>
    <row r="47" ht="15.75" customHeight="1" s="216">
      <c r="A47" s="160">
        <f>IF($F47="","",$C$2&amp;"."&amp;COUNTA($F$7:$F47)&amp;"")</f>
        <v/>
      </c>
      <c r="B47" s="160" t="inlineStr">
        <is>
          <t>REQ-ORD-023</t>
        </is>
      </c>
      <c r="C47" s="160" t="inlineStr">
        <is>
          <t>DOC-v1.1-01</t>
        </is>
      </c>
      <c r="D47" s="160" t="inlineStr">
        <is>
          <t>Functional</t>
        </is>
      </c>
      <c r="E47" s="160" t="inlineStr">
        <is>
          <t>Medium</t>
        </is>
      </c>
      <c r="F47" s="11" t="inlineStr">
        <is>
          <t>Check tên người nhận uỷ quyền nhận đúng hai và sáu mươi ký tự</t>
        </is>
      </c>
      <c r="G47" s="11" t="inlineStr">
        <is>
          <t>- Tài khoản A là CBNV có hồ sơ đầy đủ trên STG.
- Host app FoxPro đã cài trên thiết bị Android/iOS.
Test Data: Tên 1 / 2 / 60 / 61 ký tự (test_data_catalog §ORD — Tên người được uỷ quyền, biên)</t>
        </is>
      </c>
      <c r="H47" s="11" t="inlineStr">
        <is>
          <t>1. Đăng nhập FoxEco, nhấn "+ Đăng tin", nhấn card "Tôi cần gửi hàng", nhập đủ trường bước 1 rồi nhấn "Tiếp theo". (setup)
2. Nhấn "+ Thêm người nhận uỷ quyền" để mở khối uỷ quyền. (setup)
3. Nhập chuỗi 1 ký tự vào ô tên rồi nhấn "Tiếp theo".
4. Nhập chuỗi đúng 2 ký tự vào ô tên rồi nhấn "Tiếp theo".
5. Quay lại bước 2, nhập chuỗi đúng 60 ký tự vào ô tên rồi nhấn "Tiếp theo".
6. Quay lại bước 2, nhập chuỗi 61 ký tự vào ô tên.
7. Check trạng thái ô tên sau cả bốn lần nhập.</t>
        </is>
      </c>
      <c r="I47" s="11" t="inlineStr">
        <is>
          <t>7. Chuỗi 2 và 60 ký tự đều được nhận và đi tiếp được; chuỗi 1 ký tự bị báo lỗi và chuỗi 61 ký tự không nhập được quá 60.</t>
        </is>
      </c>
      <c r="J47" s="160" t="inlineStr">
        <is>
          <t>AI</t>
        </is>
      </c>
      <c r="K47" s="160" t="inlineStr">
        <is>
          <t>Pending</t>
        </is>
      </c>
      <c r="L47" s="160" t="inlineStr">
        <is>
          <t>No</t>
        </is>
      </c>
      <c r="M47" s="160" t="inlineStr"/>
      <c r="N47" s="264" t="inlineStr">
        <is>
          <t>Yes</t>
        </is>
      </c>
      <c r="O47" s="264" t="inlineStr"/>
      <c r="P47" s="264" t="inlineStr">
        <is>
          <t>Pass</t>
        </is>
      </c>
      <c r="Q47" s="264" t="inlineStr">
        <is>
          <t>GiangDC2</t>
        </is>
      </c>
      <c r="R47" s="264" t="inlineStr"/>
      <c r="S47" s="264" t="inlineStr"/>
      <c r="T47" s="264" t="n"/>
      <c r="U47" s="264" t="n"/>
      <c r="V47" s="264" t="n"/>
      <c r="W47" s="264" t="n"/>
      <c r="X47" s="264" t="n"/>
      <c r="Y47" s="264" t="n"/>
      <c r="Z47" s="264" t="n"/>
      <c r="AA47" s="264" t="n"/>
      <c r="AB47" s="264" t="n"/>
      <c r="AC47" s="264" t="n"/>
      <c r="AD47" s="264" t="n"/>
      <c r="AE47" s="264" t="n"/>
      <c r="AF47" s="264" t="n"/>
      <c r="AG47" s="264" t="n"/>
      <c r="AH47" s="264" t="n"/>
      <c r="AI47" s="264" t="n"/>
      <c r="AJ47" s="264" t="n"/>
      <c r="AK47" s="264" t="n"/>
      <c r="AL47" s="264" t="n"/>
      <c r="AM47" s="264" t="n"/>
      <c r="AN47" s="264" t="n"/>
      <c r="AO47" s="264" t="n"/>
      <c r="AP47" s="264" t="n"/>
      <c r="AQ47" s="264" t="n"/>
      <c r="AR47" s="158">
        <f>IF($A47="","",IF(OR($N47="Yes",$T47="Yes",$Z47="Yes",$AF47="Yes",$AL47="Yes"),"Yes","No"))</f>
        <v/>
      </c>
      <c r="AS47" s="158">
        <f>IF($A47="","",IFERROR(IF($AM47&lt;&gt;"",$AM47,IF($AG47&lt;&gt;"",$AG47,IF($AA47&lt;&gt;"",$AA47,IF($U47&lt;&gt;"",$U47,IF($O47&lt;&gt;"",$O47,""))))),""))</f>
        <v/>
      </c>
      <c r="AT47" s="158">
        <f>IFERROR(IF($AN47&lt;&gt;"",$AN47,IF($AH47&lt;&gt;"",$AH47,IF($AB47&lt;&gt;"",$AB47,IF($V47&lt;&gt;"",$V47,IF($P47&lt;&gt;"",$P47,""))))),"")</f>
        <v/>
      </c>
      <c r="AU47" s="265" t="inlineStr">
        <is>
          <t>Mục đích: gộp 4 giá trị vào 1 step Check cuối theo `Project_rule §10.4` mục 1 — cùng một ô, một loại rule, Expected nêu đích danh từng giá trị nên không mất khả năng bắt lỗi riêng. · Căn cứ: `§8.1.4` biên 2-60.</t>
        </is>
      </c>
    </row>
    <row r="48" ht="15.75" customHeight="1" s="216">
      <c r="A48" s="160">
        <f>IF($F48="","",$C$2&amp;"."&amp;COUNTA($F$7:$F48)&amp;"")</f>
        <v/>
      </c>
      <c r="B48" s="160" t="inlineStr">
        <is>
          <t>REQ-ORD-023</t>
        </is>
      </c>
      <c r="C48" s="160" t="inlineStr">
        <is>
          <t>DOC-v1.1-01</t>
        </is>
      </c>
      <c r="D48" s="160" t="inlineStr">
        <is>
          <t>Functional</t>
        </is>
      </c>
      <c r="E48" s="160" t="inlineStr">
        <is>
          <t>Low</t>
        </is>
      </c>
      <c r="F48" s="11" t="inlineStr">
        <is>
          <t>Check xoá khối uỷ quyền đã điền vẫn đăng tin được và đơn không mang dữ liệu uỷ quyền</t>
        </is>
      </c>
      <c r="G48" s="11" t="inlineStr">
        <is>
          <t>- Tài khoản A là CBNV có hồ sơ đầy đủ trên STG.
- Host app FoxPro đã cài trên thiết bị Android/iOS.
- Thư viện ảnh thiết bị có sẵn bộ ảnh mẫu dùng chung 3 module = `SEED-ORD-01`.
Test Data: Dữ liệu uỷ quyền đã nhập rồi xoá (test_data_catalog §ORD — SĐT người được uỷ quyền)</t>
        </is>
      </c>
      <c r="H48" s="11" t="inlineStr">
        <is>
          <t>1. Đăng nhập FoxEco, nhấn "+ Đăng tin", nhấn card "Tôi cần gửi hàng", nhập đủ trường bước 1 gồm 1 ảnh rồi nhấn "Tiếp theo". (setup)
2. Nhấn "+ Thêm người nhận uỷ quyền", nhập tên "Nguyễn Văn Bảy" và số "0912345678". (setup)
3. Nhấn nút xoá khối uỷ quyền.
4. Nhấn "Tiếp theo", nhập đủ dữ liệu hợp lệ bước 3 rồi nhấn "Đăng tin ngay".
5. Nhấn tab "Hoạt động", mở đơn vừa đăng và check khối thông tin người nhận.</t>
        </is>
      </c>
      <c r="I48" s="11" t="inlineStr">
        <is>
          <t>5. Đơn tạo thành công và KHÔNG mang tên "Nguyễn Văn Bảy" hay số "0912345678"; không có thông báo lỗi thiếu trường nào ở bước đăng.</t>
        </is>
      </c>
      <c r="J48" s="160" t="inlineStr">
        <is>
          <t>AI</t>
        </is>
      </c>
      <c r="K48" s="160" t="inlineStr">
        <is>
          <t>Pending</t>
        </is>
      </c>
      <c r="L48" s="160" t="inlineStr">
        <is>
          <t>No</t>
        </is>
      </c>
      <c r="M48" s="160" t="inlineStr"/>
      <c r="N48" s="264" t="inlineStr"/>
      <c r="O48" s="264" t="inlineStr"/>
      <c r="P48" s="264" t="inlineStr"/>
      <c r="Q48" s="264" t="inlineStr"/>
      <c r="R48" s="264" t="inlineStr"/>
      <c r="S48" s="264" t="inlineStr"/>
      <c r="T48" s="264" t="n"/>
      <c r="U48" s="264" t="n"/>
      <c r="V48" s="264" t="n"/>
      <c r="W48" s="264" t="n"/>
      <c r="X48" s="264" t="n"/>
      <c r="Y48" s="264" t="n"/>
      <c r="Z48" s="264" t="n"/>
      <c r="AA48" s="264" t="n"/>
      <c r="AB48" s="264" t="n"/>
      <c r="AC48" s="264" t="n"/>
      <c r="AD48" s="264" t="n"/>
      <c r="AE48" s="264" t="n"/>
      <c r="AF48" s="264" t="n"/>
      <c r="AG48" s="264" t="n"/>
      <c r="AH48" s="264" t="n"/>
      <c r="AI48" s="264" t="n"/>
      <c r="AJ48" s="264" t="n"/>
      <c r="AK48" s="264" t="n"/>
      <c r="AL48" s="264" t="n"/>
      <c r="AM48" s="264" t="n"/>
      <c r="AN48" s="264" t="n"/>
      <c r="AO48" s="264" t="n"/>
      <c r="AP48" s="264" t="n"/>
      <c r="AQ48" s="264" t="n"/>
      <c r="AR48" s="158">
        <f>IF($A48="","",IF(OR($N48="Yes",$T48="Yes",$Z48="Yes",$AF48="Yes",$AL48="Yes"),"Yes","No"))</f>
        <v/>
      </c>
      <c r="AS48" s="158">
        <f>IF($A48="","",IFERROR(IF($AM48&lt;&gt;"",$AM48,IF($AG48&lt;&gt;"",$AG48,IF($AA48&lt;&gt;"",$AA48,IF($U48&lt;&gt;"",$U48,IF($O48&lt;&gt;"",$O48,""))))),""))</f>
        <v/>
      </c>
      <c r="AT48" s="158">
        <f>IFERROR(IF($AN48&lt;&gt;"",$AN48,IF($AH48&lt;&gt;"",$AH48,IF($AB48&lt;&gt;"",$AB48,IF($V48&lt;&gt;"",$V48,IF($P48&lt;&gt;"",$P48,""))))),"")</f>
        <v/>
      </c>
      <c r="AU48" s="265" t="inlineStr">
        <is>
          <t>Mục đích: khối uỷ quyền là **không bắt buộc** — lỗi hay gặp là sau khi mở khối thì validate bắt buộc luôn, khiến người dùng không thoát ra được. · Căn cứ: `AC-05.2.01` + `BR01-06`.</t>
        </is>
      </c>
    </row>
    <row r="49" ht="15.75" customHeight="1" s="216">
      <c r="A49" s="160">
        <f>IF($F49="","",$C$2&amp;"."&amp;COUNTA($F$7:$F49)&amp;"")</f>
        <v/>
      </c>
      <c r="B49" s="160" t="inlineStr">
        <is>
          <t>REQ-ORD-028, REQ-ORD-009</t>
        </is>
      </c>
      <c r="C49" s="160" t="inlineStr">
        <is>
          <t>DOC-v1.1-01</t>
        </is>
      </c>
      <c r="D49" s="160" t="inlineStr">
        <is>
          <t>Functional</t>
        </is>
      </c>
      <c r="E49" s="160" t="inlineStr">
        <is>
          <t>Medium</t>
        </is>
      </c>
      <c r="F49" s="11" t="inlineStr">
        <is>
          <t>Check địa chỉ giao trùng hệt địa chỉ lấy bị chặn</t>
        </is>
      </c>
      <c r="G49" s="11" t="inlineStr">
        <is>
          <t>- Tài khoản A là CBNV có hồ sơ đầy đủ trên STG.
- Host app FoxPro đã cài trên thiết bị Android/iOS.
Test Data: Hai địa chỉ trùng hệt (test_data_catalog §ORD — Địa chỉ giao hàng, nhánh invalid)</t>
        </is>
      </c>
      <c r="H49" s="11" t="inlineStr">
        <is>
          <t>1. Đăng nhập FoxEco, nhấn "+ Đăng tin", nhấn card "Tôi cần gửi hàng", nhập đủ trường bước 1 rồi nhấn "Tiếp theo". (setup)
2. Nhập "Số 7 ngõ 12 Trần Duy Hưng" vào ô "Địa chỉ lấy hàng". (setup)
3. Nhập đúng chuỗi "Số 7 ngõ 12 Trần Duy Hưng" vào ô "Địa chỉ giao hàng".
4. Nhấn "Tiếp theo".
5. Check màn đang hiển thị và thông báo lỗi ở ô địa chỉ giao.</t>
        </is>
      </c>
      <c r="I49" s="11" t="inlineStr">
        <is>
          <t>5. Wizard vẫn ở bước 2 và ô "Địa chỉ giao hàng" hiện lỗi vì trùng địa chỉ lấy hàng.</t>
        </is>
      </c>
      <c r="J49" s="160" t="inlineStr">
        <is>
          <t>AI</t>
        </is>
      </c>
      <c r="K49" s="160" t="inlineStr">
        <is>
          <t>Pending</t>
        </is>
      </c>
      <c r="L49" s="160" t="inlineStr">
        <is>
          <t>No</t>
        </is>
      </c>
      <c r="M49" s="160" t="inlineStr"/>
      <c r="N49" s="264" t="inlineStr">
        <is>
          <t>Yes</t>
        </is>
      </c>
      <c r="O49" s="264" t="inlineStr"/>
      <c r="P49" s="264" t="inlineStr">
        <is>
          <t>Pass</t>
        </is>
      </c>
      <c r="Q49" s="264" t="inlineStr">
        <is>
          <t>GiangDC2</t>
        </is>
      </c>
      <c r="R49" s="264" t="inlineStr">
        <is>
          <t>FE-301</t>
        </is>
      </c>
      <c r="S49" s="264" t="inlineStr"/>
      <c r="T49" s="264" t="n"/>
      <c r="U49" s="264" t="n"/>
      <c r="V49" s="264" t="n"/>
      <c r="W49" s="264" t="n"/>
      <c r="X49" s="264" t="n"/>
      <c r="Y49" s="264" t="n"/>
      <c r="Z49" s="264" t="n"/>
      <c r="AA49" s="264" t="n"/>
      <c r="AB49" s="264" t="n"/>
      <c r="AC49" s="264" t="n"/>
      <c r="AD49" s="264" t="n"/>
      <c r="AE49" s="264" t="n"/>
      <c r="AF49" s="264" t="n"/>
      <c r="AG49" s="264" t="n"/>
      <c r="AH49" s="264" t="n"/>
      <c r="AI49" s="264" t="n"/>
      <c r="AJ49" s="264" t="n"/>
      <c r="AK49" s="264" t="n"/>
      <c r="AL49" s="264" t="n"/>
      <c r="AM49" s="264" t="n"/>
      <c r="AN49" s="264" t="n"/>
      <c r="AO49" s="264" t="n"/>
      <c r="AP49" s="264" t="n"/>
      <c r="AQ49" s="264" t="n"/>
      <c r="AR49" s="158">
        <f>IF($A49="","",IF(OR($N49="Yes",$T49="Yes",$Z49="Yes",$AF49="Yes",$AL49="Yes"),"Yes","No"))</f>
        <v/>
      </c>
      <c r="AS49" s="158">
        <f>IF($A49="","",IFERROR(IF($AM49&lt;&gt;"",$AM49,IF($AG49&lt;&gt;"",$AG49,IF($AA49&lt;&gt;"",$AA49,IF($U49&lt;&gt;"",$U49,IF($O49&lt;&gt;"",$O49,""))))),""))</f>
        <v/>
      </c>
      <c r="AT49" s="158">
        <f>IFERROR(IF($AN49&lt;&gt;"",$AN49,IF($AH49&lt;&gt;"",$AH49,IF($AB49&lt;&gt;"",$AB49,IF($V49&lt;&gt;"",$V49,IF($P49&lt;&gt;"",$P49,""))))),"")</f>
        <v/>
      </c>
      <c r="AU49" s="265" t="inlineStr">
        <is>
          <t>Căn cứ: `§8.1.4` *"Địa chỉ giao phải khác địa chỉ lấy"*. Nhánh biên gần nhất (chỉ khác khoảng trắng) tách sang `TC-ORD-084` vì PRD không định nghĩa phép so sánh.</t>
        </is>
      </c>
    </row>
    <row r="50" ht="15.75" customHeight="1" s="216">
      <c r="A50" s="160">
        <f>IF($F50="","",$C$2&amp;"."&amp;COUNTA($F$7:$F50)&amp;"")</f>
        <v/>
      </c>
      <c r="B50" s="160" t="inlineStr">
        <is>
          <t>REQ-ORD-028</t>
        </is>
      </c>
      <c r="C50" s="160" t="inlineStr">
        <is>
          <t>DOC-v1.1-01</t>
        </is>
      </c>
      <c r="D50" s="160" t="inlineStr">
        <is>
          <t>Functional</t>
        </is>
      </c>
      <c r="E50" s="160" t="inlineStr">
        <is>
          <t>Medium</t>
        </is>
      </c>
      <c r="F50" s="11" t="inlineStr">
        <is>
          <t>Check địa chỉ giao chỉ khác khoảng trắng đầu cuối vẫn bị chặn</t>
        </is>
      </c>
      <c r="G50" s="11" t="inlineStr">
        <is>
          <t>- Tài khoản A là CBNV có hồ sơ đầy đủ trên STG.
- Host app FoxPro đã cài trên thiết bị Android/iOS.
Test Data: Chuỗi chỉ khác khoảng trắng đầu/cuối — biên gần nhất (test_data_catalog §ORD — Địa chỉ giao hàng, biên)</t>
        </is>
      </c>
      <c r="H50" s="11" t="inlineStr">
        <is>
          <t>1. Đăng nhập FoxEco, nhấn "+ Đăng tin", nhấn card "Tôi cần gửi hàng", nhập đủ trường bước 1 rồi nhấn "Tiếp theo". (setup)
2. Nhập "Số 7 ngõ 12 Trần Duy Hưng" vào ô "Địa chỉ lấy hàng". (setup)
3. Nhập chuỗi "  Số 7 ngõ 12 Trần Duy Hưng  " có thêm khoảng trắng ở đầu và cuối vào ô "Địa chỉ giao hàng".
4. Nhấn "Tiếp theo".
5. Check màn đang hiển thị và thông báo lỗi ở ô địa chỉ giao.</t>
        </is>
      </c>
      <c r="I50" s="11" t="inlineStr">
        <is>
          <t>5. Wizard vẫn ở bước 2 và ô "Địa chỉ giao hàng" hiện lỗi vì trùng địa chỉ lấy hàng.</t>
        </is>
      </c>
      <c r="J50" s="160" t="inlineStr">
        <is>
          <t>AI</t>
        </is>
      </c>
      <c r="K50" s="160" t="inlineStr">
        <is>
          <t>Pending</t>
        </is>
      </c>
      <c r="L50" s="160" t="inlineStr">
        <is>
          <t>No</t>
        </is>
      </c>
      <c r="M50" s="160" t="inlineStr"/>
      <c r="N50" s="264" t="inlineStr">
        <is>
          <t>Yes</t>
        </is>
      </c>
      <c r="O50" s="264" t="inlineStr"/>
      <c r="P50" s="264" t="inlineStr">
        <is>
          <t>Block</t>
        </is>
      </c>
      <c r="Q50" s="264" t="inlineStr">
        <is>
          <t>GiangDC2</t>
        </is>
      </c>
      <c r="R50" s="264" t="inlineStr">
        <is>
          <t>FE-301</t>
        </is>
      </c>
      <c r="S50" s="264" t="inlineStr"/>
      <c r="T50" s="264" t="n"/>
      <c r="U50" s="264" t="n"/>
      <c r="V50" s="264" t="n"/>
      <c r="W50" s="264" t="n"/>
      <c r="X50" s="264" t="n"/>
      <c r="Y50" s="264" t="n"/>
      <c r="Z50" s="264" t="n"/>
      <c r="AA50" s="264" t="n"/>
      <c r="AB50" s="264" t="n"/>
      <c r="AC50" s="264" t="n"/>
      <c r="AD50" s="264" t="n"/>
      <c r="AE50" s="264" t="n"/>
      <c r="AF50" s="264" t="n"/>
      <c r="AG50" s="264" t="n"/>
      <c r="AH50" s="264" t="n"/>
      <c r="AI50" s="264" t="n"/>
      <c r="AJ50" s="264" t="n"/>
      <c r="AK50" s="264" t="n"/>
      <c r="AL50" s="264" t="n"/>
      <c r="AM50" s="264" t="n"/>
      <c r="AN50" s="264" t="n"/>
      <c r="AO50" s="264" t="n"/>
      <c r="AP50" s="264" t="n"/>
      <c r="AQ50" s="264" t="n"/>
      <c r="AR50" s="158">
        <f>IF($A50="","",IF(OR($N50="Yes",$T50="Yes",$Z50="Yes",$AF50="Yes",$AL50="Yes"),"Yes","No"))</f>
        <v/>
      </c>
      <c r="AS50" s="158">
        <f>IF($A50="","",IFERROR(IF($AM50&lt;&gt;"",$AM50,IF($AG50&lt;&gt;"",$AG50,IF($AA50&lt;&gt;"",$AA50,IF($U50&lt;&gt;"",$U50,IF($O50&lt;&gt;"",$O50,""))))),""))</f>
        <v/>
      </c>
      <c r="AT50" s="158">
        <f>IFERROR(IF($AN50&lt;&gt;"",$AN50,IF($AH50&lt;&gt;"",$AH50,IF($AB50&lt;&gt;"",$AB50,IF($V50&lt;&gt;"",$V50,IF($P50&lt;&gt;"",$P50,""))))),"")</f>
        <v/>
      </c>
      <c r="AU50" s="265" t="inlineStr">
        <is>
          <t>Mục đích: biên gần nhất của phép so sánh — `VAL-03` có **trim** nên chuỗi này phải bị coi là trùng. · Căn cứ: `VAL-03`. ⛔ **KHÔNG mở rộng sang hoa/thường hay dấu tiếng Việt** — PRD không định nghĩa phép so sánh cho hai chiều đó (`RISK-ORD-12`); app xử lý bất nhất thì nêu với BA, ⛔ không viết TC assert.</t>
        </is>
      </c>
    </row>
    <row r="51" ht="15.75" customHeight="1" s="216">
      <c r="A51" s="160">
        <f>IF($F51="","",$C$2&amp;"."&amp;COUNTA($F$7:$F51)&amp;"")</f>
        <v/>
      </c>
      <c r="B51" s="160" t="inlineStr">
        <is>
          <t>REQ-ORD-025</t>
        </is>
      </c>
      <c r="C51" s="160" t="inlineStr">
        <is>
          <t>DOC-v1.1-01</t>
        </is>
      </c>
      <c r="D51" s="160" t="inlineStr">
        <is>
          <t>UI</t>
        </is>
      </c>
      <c r="E51" s="160" t="inlineStr">
        <is>
          <t>Low</t>
        </is>
      </c>
      <c r="F51" s="11" t="inlineStr">
        <is>
          <t>Check icon copy cạnh địa chỉ giao ở chi tiết tin sao chép đúng nội dung</t>
        </is>
      </c>
      <c r="G51" s="11" t="inlineStr">
        <is>
          <t>- Tài khoản A là CBNV có hồ sơ đầy đủ trên STG.
- Host app FoxPro đã cài trên thiết bị Android/iOS.
Test Data: Địa chỉ giao trên màn chi tiết tin (test_data_catalog §ORD — Địa chỉ giao hàng)</t>
        </is>
      </c>
      <c r="H51" s="11" t="inlineStr">
        <is>
          <t>1. Đăng nhập FoxEco bằng tài khoản A và đăng 1 tin NEED có địa chỉ giao và số điện thoại người nhận. (setup)
2. Nhấn tab "Hoạt động" và mở tin đó để vào màn chi tiết tin. (setup)
3. Ghi lại địa chỉ giao đang hiển thị trên màn.
4. Nhấn icon copy cạnh địa chỉ giao.
5. Dán nội dung vừa copy vào ô tìm kiếm ở tab "Bảng tin" và check nội dung dán ra cùng trạng thái icon copy lúc vừa nhấn.</t>
        </is>
      </c>
      <c r="I51" s="11" t="inlineStr">
        <is>
          <t>5. Nội dung dán ra đúng nguyên văn địa chỉ đã ghi ở step 3, và icon copy đã đổi trạng thái sang màu xanh khoảng 2 giây rồi trở lại bình thường.</t>
        </is>
      </c>
      <c r="J51" s="160" t="inlineStr">
        <is>
          <t>AI</t>
        </is>
      </c>
      <c r="K51" s="160" t="inlineStr">
        <is>
          <t>Pending</t>
        </is>
      </c>
      <c r="L51" s="160" t="inlineStr">
        <is>
          <t>No</t>
        </is>
      </c>
      <c r="M51" s="160" t="inlineStr"/>
      <c r="N51" s="264" t="inlineStr">
        <is>
          <t>Yes</t>
        </is>
      </c>
      <c r="O51" s="264" t="inlineStr"/>
      <c r="P51" s="264" t="inlineStr">
        <is>
          <t>Pass</t>
        </is>
      </c>
      <c r="Q51" s="264" t="inlineStr">
        <is>
          <t>GiangDC2</t>
        </is>
      </c>
      <c r="R51" s="264" t="inlineStr"/>
      <c r="S51" s="264" t="inlineStr"/>
      <c r="T51" s="264" t="n"/>
      <c r="U51" s="264" t="n"/>
      <c r="V51" s="264" t="n"/>
      <c r="W51" s="264" t="n"/>
      <c r="X51" s="264" t="n"/>
      <c r="Y51" s="264" t="n"/>
      <c r="Z51" s="264" t="n"/>
      <c r="AA51" s="264" t="n"/>
      <c r="AB51" s="264" t="n"/>
      <c r="AC51" s="264" t="n"/>
      <c r="AD51" s="264" t="n"/>
      <c r="AE51" s="264" t="n"/>
      <c r="AF51" s="264" t="n"/>
      <c r="AG51" s="264" t="n"/>
      <c r="AH51" s="264" t="n"/>
      <c r="AI51" s="264" t="n"/>
      <c r="AJ51" s="264" t="n"/>
      <c r="AK51" s="264" t="n"/>
      <c r="AL51" s="264" t="n"/>
      <c r="AM51" s="264" t="n"/>
      <c r="AN51" s="264" t="n"/>
      <c r="AO51" s="264" t="n"/>
      <c r="AP51" s="264" t="n"/>
      <c r="AQ51" s="264" t="n"/>
      <c r="AR51" s="158">
        <f>IF($A51="","",IF(OR($N51="Yes",$T51="Yes",$Z51="Yes",$AF51="Yes",$AL51="Yes"),"Yes","No"))</f>
        <v/>
      </c>
      <c r="AS51" s="158">
        <f>IF($A51="","",IFERROR(IF($AM51&lt;&gt;"",$AM51,IF($AG51&lt;&gt;"",$AG51,IF($AA51&lt;&gt;"",$AA51,IF($U51&lt;&gt;"",$U51,IF($O51&lt;&gt;"",$O51,""))))),""))</f>
        <v/>
      </c>
      <c r="AT51" s="158">
        <f>IFERROR(IF($AN51&lt;&gt;"",$AN51,IF($AH51&lt;&gt;"",$AH51,IF($AB51&lt;&gt;"",$AB51,IF($V51&lt;&gt;"",$V51,IF($P51&lt;&gt;"",$P51,""))))),"")</f>
        <v/>
      </c>
      <c r="AU51" s="265" t="inlineStr">
        <is>
          <t>Mục đích: cặp với `TC-ORD-086` — hai instance icon copy ở hai vùng khác nhau của cùng màn, hỏng độc lập. · Căn cứ: `BR18-04`. Rule ghi 1,8 giây nhưng đây là hiệu ứng thị giác — chấp nhận dung sai quanh 2 giây, ⛔ không bấm giờ đòi đúng 1,8 giây. Instance ở màn Theo dõi đơn thuộc `DLV` (`TC-DLV-080/081`), ⛔ không nhân bản.</t>
        </is>
      </c>
    </row>
    <row r="52" ht="15.75" customHeight="1" s="216">
      <c r="A52" s="160">
        <f>IF($F52="","",$C$2&amp;"."&amp;COUNTA($F$7:$F52)&amp;"")</f>
        <v/>
      </c>
      <c r="B52" s="160" t="inlineStr">
        <is>
          <t>REQ-ORD-025</t>
        </is>
      </c>
      <c r="C52" s="160" t="inlineStr">
        <is>
          <t>DOC-v1.1-01</t>
        </is>
      </c>
      <c r="D52" s="160" t="inlineStr">
        <is>
          <t>UI</t>
        </is>
      </c>
      <c r="E52" s="160" t="inlineStr">
        <is>
          <t>Low</t>
        </is>
      </c>
      <c r="F52" s="11" t="inlineStr">
        <is>
          <t>Check icon copy cạnh số điện thoại ở chi tiết tin sao chép đúng nội dung</t>
        </is>
      </c>
      <c r="G52" s="11" t="inlineStr">
        <is>
          <t>- Tài khoản A là CBNV có hồ sơ đầy đủ trên STG.
- Host app FoxPro đã cài trên thiết bị Android/iOS.
Test Data: Số điện thoại người nhận trên màn chi tiết tin (test_data_catalog §ORD)</t>
        </is>
      </c>
      <c r="H52" s="11" t="inlineStr">
        <is>
          <t>1. Đăng nhập FoxEco bằng tài khoản A và đăng 1 tin NEED có địa chỉ giao và số điện thoại người nhận. (setup)
2. Nhấn tab "Hoạt động" và mở tin đó để vào màn chi tiết tin. (setup)
3. Ghi lại số điện thoại đang hiển thị trên màn.
4. Nhấn icon copy cạnh số điện thoại.
5. Dán nội dung vừa copy vào ô tìm kiếm ở tab "Bảng tin" và check nội dung dán ra cùng trạng thái icon copy lúc vừa nhấn.</t>
        </is>
      </c>
      <c r="I52" s="11" t="inlineStr">
        <is>
          <t>5. Nội dung dán ra đúng nguyên văn số điện thoại đã ghi ở step 3, và icon copy đã đổi trạng thái sang màu xanh khoảng 2 giây rồi trở lại bình thường.</t>
        </is>
      </c>
      <c r="J52" s="160" t="inlineStr">
        <is>
          <t>AI</t>
        </is>
      </c>
      <c r="K52" s="160" t="inlineStr">
        <is>
          <t>Pending</t>
        </is>
      </c>
      <c r="L52" s="160" t="inlineStr">
        <is>
          <t>No</t>
        </is>
      </c>
      <c r="M52" s="160" t="inlineStr"/>
      <c r="N52" s="264" t="inlineStr">
        <is>
          <t>Yes</t>
        </is>
      </c>
      <c r="O52" s="264" t="inlineStr"/>
      <c r="P52" s="264" t="inlineStr">
        <is>
          <t>Block</t>
        </is>
      </c>
      <c r="Q52" s="264" t="inlineStr">
        <is>
          <t>GiangDC2</t>
        </is>
      </c>
      <c r="R52" s="264" t="inlineStr"/>
      <c r="S52" s="264" t="inlineStr"/>
      <c r="T52" s="264" t="n"/>
      <c r="U52" s="264" t="n"/>
      <c r="V52" s="264" t="n"/>
      <c r="W52" s="264" t="n"/>
      <c r="X52" s="264" t="n"/>
      <c r="Y52" s="264" t="n"/>
      <c r="Z52" s="264" t="n"/>
      <c r="AA52" s="264" t="n"/>
      <c r="AB52" s="264" t="n"/>
      <c r="AC52" s="264" t="n"/>
      <c r="AD52" s="264" t="n"/>
      <c r="AE52" s="264" t="n"/>
      <c r="AF52" s="264" t="n"/>
      <c r="AG52" s="264" t="n"/>
      <c r="AH52" s="264" t="n"/>
      <c r="AI52" s="264" t="n"/>
      <c r="AJ52" s="264" t="n"/>
      <c r="AK52" s="264" t="n"/>
      <c r="AL52" s="264" t="n"/>
      <c r="AM52" s="264" t="n"/>
      <c r="AN52" s="264" t="n"/>
      <c r="AO52" s="264" t="n"/>
      <c r="AP52" s="264" t="n"/>
      <c r="AQ52" s="264" t="n"/>
      <c r="AR52" s="158">
        <f>IF($A52="","",IF(OR($N52="Yes",$T52="Yes",$Z52="Yes",$AF52="Yes",$AL52="Yes"),"Yes","No"))</f>
        <v/>
      </c>
      <c r="AS52" s="158">
        <f>IF($A52="","",IFERROR(IF($AM52&lt;&gt;"",$AM52,IF($AG52&lt;&gt;"",$AG52,IF($AA52&lt;&gt;"",$AA52,IF($U52&lt;&gt;"",$U52,IF($O52&lt;&gt;"",$O52,""))))),""))</f>
        <v/>
      </c>
      <c r="AT52" s="158">
        <f>IFERROR(IF($AN52&lt;&gt;"",$AN52,IF($AH52&lt;&gt;"",$AH52,IF($AB52&lt;&gt;"",$AB52,IF($V52&lt;&gt;"",$V52,IF($P52&lt;&gt;"",$P52,""))))),"")</f>
        <v/>
      </c>
      <c r="AU52" s="265" t="inlineStr">
        <is>
          <t>Căn cứ: `BR18-04` — rule đặt icon copy cạnh CẢ địa chỉ giao và số điện thoại.</t>
        </is>
      </c>
    </row>
    <row r="53" ht="15.75" customHeight="1" s="216">
      <c r="A53" s="160">
        <f>IF($F53="","",$C$2&amp;"."&amp;COUNTA($F$7:$F53)&amp;"")</f>
        <v/>
      </c>
      <c r="B53" s="160" t="inlineStr">
        <is>
          <t>REQ-ORD-027</t>
        </is>
      </c>
      <c r="C53" s="160" t="inlineStr">
        <is>
          <t>DOC-v1.1-01</t>
        </is>
      </c>
      <c r="D53" s="160" t="inlineStr">
        <is>
          <t>Functional</t>
        </is>
      </c>
      <c r="E53" s="160" t="inlineStr">
        <is>
          <t>Low</t>
        </is>
      </c>
      <c r="F53" s="11" t="inlineStr">
        <is>
          <t>Check xoá được ảnh khi đang soạn tin chưa đăng</t>
        </is>
      </c>
      <c r="G53" s="11" t="inlineStr">
        <is>
          <t>- Tài khoản A là CBNV có hồ sơ đầy đủ trên STG.
- Host app FoxPro đã cài trên thiết bị Android/iOS.
- Thư viện ảnh thiết bị có sẵn bộ ảnh mẫu dùng chung 3 module = `SEED-ORD-01`.
Test Data: 2 ảnh đang soạn, chưa đăng tin (test_data_catalog §ORD — Ảnh món hàng)</t>
        </is>
      </c>
      <c r="H53" s="11" t="inlineStr">
        <is>
          <t>1. Đăng nhập FoxEco, nhấn "+ Đăng tin" rồi nhấn card "Tôi cần gửi hàng". (setup)
2. Tải 2 ảnh hợp lệ vào khối "ẢNH HÀNG". (setup)
3. Nhấn nút xoá trên ảnh thứ nhất.
4. Check số ảnh còn lại và bộ đếm.</t>
        </is>
      </c>
      <c r="I53" s="11" t="inlineStr">
        <is>
          <t>4. Còn đúng 1 ảnh và bộ đếm hiển thị "1/5".</t>
        </is>
      </c>
      <c r="J53" s="160" t="inlineStr">
        <is>
          <t>AI</t>
        </is>
      </c>
      <c r="K53" s="160" t="inlineStr">
        <is>
          <t>Pending</t>
        </is>
      </c>
      <c r="L53" s="160" t="inlineStr">
        <is>
          <t>No</t>
        </is>
      </c>
      <c r="M53" s="160" t="inlineStr"/>
      <c r="N53" s="264" t="inlineStr">
        <is>
          <t>Yes</t>
        </is>
      </c>
      <c r="O53" s="264" t="inlineStr"/>
      <c r="P53" s="264" t="inlineStr">
        <is>
          <t>Pass</t>
        </is>
      </c>
      <c r="Q53" s="264" t="inlineStr">
        <is>
          <t>GiangDC2</t>
        </is>
      </c>
      <c r="R53" s="264" t="inlineStr"/>
      <c r="S53" s="264" t="inlineStr"/>
      <c r="T53" s="264" t="n"/>
      <c r="U53" s="264" t="n"/>
      <c r="V53" s="264" t="n"/>
      <c r="W53" s="264" t="n"/>
      <c r="X53" s="264" t="n"/>
      <c r="Y53" s="264" t="n"/>
      <c r="Z53" s="264" t="n"/>
      <c r="AA53" s="264" t="n"/>
      <c r="AB53" s="264" t="n"/>
      <c r="AC53" s="264" t="n"/>
      <c r="AD53" s="264" t="n"/>
      <c r="AE53" s="264" t="n"/>
      <c r="AF53" s="264" t="n"/>
      <c r="AG53" s="264" t="n"/>
      <c r="AH53" s="264" t="n"/>
      <c r="AI53" s="264" t="n"/>
      <c r="AJ53" s="264" t="n"/>
      <c r="AK53" s="264" t="n"/>
      <c r="AL53" s="264" t="n"/>
      <c r="AM53" s="264" t="n"/>
      <c r="AN53" s="264" t="n"/>
      <c r="AO53" s="264" t="n"/>
      <c r="AP53" s="264" t="n"/>
      <c r="AQ53" s="264" t="n"/>
      <c r="AR53" s="158">
        <f>IF($A53="","",IF(OR($N53="Yes",$T53="Yes",$Z53="Yes",$AF53="Yes",$AL53="Yes"),"Yes","No"))</f>
        <v/>
      </c>
      <c r="AS53" s="158">
        <f>IF($A53="","",IFERROR(IF($AM53&lt;&gt;"",$AM53,IF($AG53&lt;&gt;"",$AG53,IF($AA53&lt;&gt;"",$AA53,IF($U53&lt;&gt;"",$U53,IF($O53&lt;&gt;"",$O53,""))))),""))</f>
        <v/>
      </c>
      <c r="AT53" s="158">
        <f>IFERROR(IF($AN53&lt;&gt;"",$AN53,IF($AH53&lt;&gt;"",$AH53,IF($AB53&lt;&gt;"",$AB53,IF($V53&lt;&gt;"",$V53,IF($P53&lt;&gt;"",$P53,""))))),"")</f>
        <v/>
      </c>
      <c r="AU53" s="265" t="inlineStr">
        <is>
          <t>Mục đích: cặp với `TC-ORD-088` — ranh giới xoá được ⟷ không xoá được là **thời điểm ghi mốc**, không phải loại ảnh; chạy lẻ một vế thì không chốt được ranh giới. · Căn cứ: `BR18-02`.</t>
        </is>
      </c>
    </row>
    <row r="54" ht="15.75" customHeight="1" s="216">
      <c r="A54" s="160">
        <f>IF($F54="","",$C$2&amp;"."&amp;COUNTA($F$7:$F54)&amp;"")</f>
        <v/>
      </c>
      <c r="B54" s="160" t="inlineStr">
        <is>
          <t>REQ-ORD-027</t>
        </is>
      </c>
      <c r="C54" s="160" t="inlineStr">
        <is>
          <t>DOC-v1.1-01</t>
        </is>
      </c>
      <c r="D54" s="160" t="inlineStr">
        <is>
          <t>Functional</t>
        </is>
      </c>
      <c r="E54" s="160" t="inlineStr">
        <is>
          <t>Low</t>
        </is>
      </c>
      <c r="F54" s="11" t="inlineStr">
        <is>
          <t>Check không xoá được ảnh của tin đã đăng</t>
        </is>
      </c>
      <c r="G54" s="11" t="inlineStr">
        <is>
          <t>- Tài khoản A là CBNV có hồ sơ đầy đủ trên STG.
- Host app FoxPro đã cài trên thiết bị Android/iOS.
Test Data: 1 tin `POSTED` có 5 ảnh = `SEED-ORD-04` (test_data_catalog §ORD — Tin đã đăng có ≥2 ảnh)</t>
        </is>
      </c>
      <c r="H54" s="11" t="inlineStr">
        <is>
          <t>1. Đăng nhập FoxEco bằng tài khoản A và đăng 1 tin NEED kèm 5 ảnh. (setup)
2. Nhấn tab "Hoạt động" và mở tin đó. (setup)
3. Nhấn "Chỉnh sửa" để mở form sửa tin.
4. Nhấn nút × trên ảnh thứ nhất.
5. Nhấn "Tiếp theo" 2 lần, nhấn "Cập nhật đơn" và xác nhận "Đồng ý".
6. Mở lại tin đó và check số ảnh của tin.</t>
        </is>
      </c>
      <c r="I54" s="11" t="inlineStr">
        <is>
          <t>6. Ảnh thứ nhất xoá được ở form sửa (bộ đếm còn 4/5) và sau khi lưu tin chỉ còn 4 ảnh.</t>
        </is>
      </c>
      <c r="J54" s="160" t="inlineStr">
        <is>
          <t>AI</t>
        </is>
      </c>
      <c r="K54" s="160" t="inlineStr">
        <is>
          <t>Pending</t>
        </is>
      </c>
      <c r="L54" s="160" t="inlineStr">
        <is>
          <t>No</t>
        </is>
      </c>
      <c r="M54" s="160" t="inlineStr"/>
      <c r="N54" s="264" t="inlineStr">
        <is>
          <t>Yes</t>
        </is>
      </c>
      <c r="O54" s="264" t="inlineStr"/>
      <c r="P54" s="264" t="inlineStr">
        <is>
          <t>Pass</t>
        </is>
      </c>
      <c r="Q54" s="264" t="inlineStr">
        <is>
          <t>GiangDC2</t>
        </is>
      </c>
      <c r="R54" s="264" t="inlineStr"/>
      <c r="S54" s="264" t="inlineStr"/>
      <c r="T54" s="264" t="n"/>
      <c r="U54" s="264" t="n"/>
      <c r="V54" s="264" t="n"/>
      <c r="W54" s="264" t="n"/>
      <c r="X54" s="264" t="n"/>
      <c r="Y54" s="264" t="n"/>
      <c r="Z54" s="264" t="n"/>
      <c r="AA54" s="264" t="n"/>
      <c r="AB54" s="264" t="n"/>
      <c r="AC54" s="264" t="n"/>
      <c r="AD54" s="264" t="n"/>
      <c r="AE54" s="264" t="n"/>
      <c r="AF54" s="264" t="n"/>
      <c r="AG54" s="264" t="n"/>
      <c r="AH54" s="264" t="n"/>
      <c r="AI54" s="264" t="n"/>
      <c r="AJ54" s="264" t="n"/>
      <c r="AK54" s="264" t="n"/>
      <c r="AL54" s="264" t="n"/>
      <c r="AM54" s="264" t="n"/>
      <c r="AN54" s="264" t="n"/>
      <c r="AO54" s="264" t="n"/>
      <c r="AP54" s="264" t="n"/>
      <c r="AQ54" s="264" t="n"/>
      <c r="AR54" s="158">
        <f>IF($A54="","",IF(OR($N54="Yes",$T54="Yes",$Z54="Yes",$AF54="Yes",$AL54="Yes"),"Yes","No"))</f>
        <v/>
      </c>
      <c r="AS54" s="158">
        <f>IF($A54="","",IFERROR(IF($AM54&lt;&gt;"",$AM54,IF($AG54&lt;&gt;"",$AG54,IF($AA54&lt;&gt;"",$AA54,IF($U54&lt;&gt;"",$U54,IF($O54&lt;&gt;"",$O54,""))))),""))</f>
        <v/>
      </c>
      <c r="AT54" s="158">
        <f>IFERROR(IF($AN54&lt;&gt;"",$AN54,IF($AH54&lt;&gt;"",$AH54,IF($AB54&lt;&gt;"",$AB54,IF($V54&lt;&gt;"",$V54,IF($P54&lt;&gt;"",$P54,""))))),"")</f>
        <v/>
      </c>
      <c r="AU54" s="265" t="inlineStr">
        <is>
          <t>Mục đích: ghi nhận hành vi thật của app — form sửa tin đã đăng vẫn cho xoá ảnh bằng nút ×; đối chiếu `TC-ORD-087`. Tin phải còn `POSTED` để vào được form sửa (`BR05-01`). · ♻️ Sửa 2026-09-21 (QC GiangDC2, theo `BUG-023` đã huỷ): QC kiểm lại — app đúng, cho xoá ảnh của tin đã đăng (đơn đã có mốc `Đăng tin` vẫn xoá được); Expected/Steps đổi theo app. ⚠️ Title còn ghi *"không xoá được"* — `§10.5` không cho sửa Title (xem CHANGELOG §3). ⚠️ `SC-CNL-010`/`SC-DLV-062` (nhóm "ảnh bất biến truy vết" `BR11-03`/`NFR-07`) chưa chạy — cân nhắc kiểm cùng cách hiểu. VR-013: ✅ PASS.</t>
        </is>
      </c>
    </row>
    <row r="55" ht="15.75" customHeight="1" s="216">
      <c r="A55" s="160">
        <f>IF($F55="","",$C$2&amp;"."&amp;COUNTA($F$7:$F55)&amp;"")</f>
        <v/>
      </c>
      <c r="B55" s="160" t="inlineStr">
        <is>
          <t>REQ-ORD-001</t>
        </is>
      </c>
      <c r="C55" s="160" t="inlineStr">
        <is>
          <t>DOC-v1.0-02 · DOC-v1.0-04</t>
        </is>
      </c>
      <c r="D55" s="160" t="inlineStr">
        <is>
          <t>UI</t>
        </is>
      </c>
      <c r="E55" s="160" t="inlineStr">
        <is>
          <t>Medium</t>
        </is>
      </c>
      <c r="F55" s="11" t="inlineStr">
        <is>
          <t>Check màn "Đăng tin mới" đủ bốn thành phần và cả hai card bấm được</t>
        </is>
      </c>
      <c r="G55" s="11" t="inlineStr">
        <is>
          <t>Tài khoản SSO CBNV còn hiệu lực trên STG.
Test Data: —</t>
        </is>
      </c>
      <c r="H55" s="11" t="inlineStr">
        <is>
          <t>1. Đăng nhập FoxEco từ host app FoxPro. (setup)
2. Nhấn nút "+ Đăng tin" ở bottom nav.
3. Check lần lượt các thành phần trên màn.
4. Nhấn card "Tôi cần gửi hàng", sau đó nhấn quay lại và nhấn card "Tôi nhận giao hàng".</t>
        </is>
      </c>
      <c r="I55" s="11" t="inlineStr">
        <is>
          <t>3. Màn hiển thị subtitle "Bạn muốn làm gì?", card "Tôi cần gửi hàng", card "Tôi nhận giao hàng" và banner cam kết nêu không phí, không chat, không thanh toán, SĐT lộ sau ghép.
4. Cả hai card đều mở được màn tiếp theo.</t>
        </is>
      </c>
      <c r="J55" s="160" t="inlineStr">
        <is>
          <t>AI</t>
        </is>
      </c>
      <c r="K55" s="160" t="inlineStr">
        <is>
          <t>Pending</t>
        </is>
      </c>
      <c r="L55" s="160" t="inlineStr">
        <is>
          <t>No</t>
        </is>
      </c>
      <c r="M55" s="160" t="inlineStr"/>
      <c r="N55" s="264" t="inlineStr">
        <is>
          <t>Yes</t>
        </is>
      </c>
      <c r="O55" s="264" t="inlineStr"/>
      <c r="P55" s="264" t="inlineStr">
        <is>
          <t>Pass</t>
        </is>
      </c>
      <c r="Q55" s="264" t="inlineStr">
        <is>
          <t>GiangDC2</t>
        </is>
      </c>
      <c r="R55" s="264" t="inlineStr"/>
      <c r="S55" s="264" t="inlineStr"/>
      <c r="T55" s="264" t="n"/>
      <c r="U55" s="264" t="n"/>
      <c r="V55" s="264" t="n"/>
      <c r="W55" s="264" t="n"/>
      <c r="X55" s="264" t="n"/>
      <c r="Y55" s="264" t="n"/>
      <c r="Z55" s="264" t="n"/>
      <c r="AA55" s="264" t="n"/>
      <c r="AB55" s="264" t="n"/>
      <c r="AC55" s="264" t="n"/>
      <c r="AD55" s="264" t="n"/>
      <c r="AE55" s="264" t="n"/>
      <c r="AF55" s="264" t="n"/>
      <c r="AG55" s="264" t="n"/>
      <c r="AH55" s="264" t="n"/>
      <c r="AI55" s="264" t="n"/>
      <c r="AJ55" s="264" t="n"/>
      <c r="AK55" s="264" t="n"/>
      <c r="AL55" s="264" t="n"/>
      <c r="AM55" s="264" t="n"/>
      <c r="AN55" s="264" t="n"/>
      <c r="AO55" s="264" t="n"/>
      <c r="AP55" s="264" t="n"/>
      <c r="AQ55" s="264" t="n"/>
      <c r="AR55" s="158">
        <f>IF($A55="","",IF(OR($N55="Yes",$T55="Yes",$Z55="Yes",$AF55="Yes",$AL55="Yes"),"Yes","No"))</f>
        <v/>
      </c>
      <c r="AS55" s="158">
        <f>IF($A55="","",IFERROR(IF($AM55&lt;&gt;"",$AM55,IF($AG55&lt;&gt;"",$AG55,IF($AA55&lt;&gt;"",$AA55,IF($U55&lt;&gt;"",$U55,IF($O55&lt;&gt;"",$O55,""))))),""))</f>
        <v/>
      </c>
      <c r="AT55" s="158">
        <f>IFERROR(IF($AN55&lt;&gt;"",$AN55,IF($AH55&lt;&gt;"",$AH55,IF($AB55&lt;&gt;"",$AB55,IF($V55&lt;&gt;"",$V55,IF($P55&lt;&gt;"",$P55,""))))),"")</f>
        <v/>
      </c>
      <c r="AU55" s="265" t="inlineStr">
        <is>
          <t>Căn cứ: đối chiếu cấu trúc theo ảnh Figma `f821ba30…`.</t>
        </is>
      </c>
    </row>
    <row r="56" ht="15.75" customHeight="1" s="216">
      <c r="A56" s="160">
        <f>IF($F56="","",$C$2&amp;"."&amp;COUNTA($F$7:$F56)&amp;"")</f>
        <v/>
      </c>
      <c r="B56" s="160" t="inlineStr">
        <is>
          <t>REQ-ORD-001</t>
        </is>
      </c>
      <c r="C56" s="160" t="inlineStr">
        <is>
          <t>DOC-v1.0-02 · DOC-v1.0-01</t>
        </is>
      </c>
      <c r="D56" s="160" t="inlineStr">
        <is>
          <t>Functional</t>
        </is>
      </c>
      <c r="E56" s="160" t="inlineStr">
        <is>
          <t>Medium</t>
        </is>
      </c>
      <c r="F56" s="11" t="inlineStr">
        <is>
          <t>Check nhấn card "Tôi cần gửi hàng" mở wizard bước 1/3 kèm step indicator</t>
        </is>
      </c>
      <c r="G56" s="11" t="inlineStr">
        <is>
          <t>Tài khoản SSO CBNV còn hiệu lực trên STG.
Test Data: —</t>
        </is>
      </c>
      <c r="H56" s="11" t="inlineStr">
        <is>
          <t>1. Đăng nhập FoxEco từ host app FoxPro. (setup)
2. Nhấn "+ Đăng tin" ở bottom nav.
3. Nhấn card "Tôi cần gửi hàng".
4. Check tiêu đề bước và step indicator.</t>
        </is>
      </c>
      <c r="I56" s="11" t="inlineStr">
        <is>
          <t>4. Mở bước 1 của wizard với tiêu đề "Thông tin hàng" và step indicator hiển thị "Bước 1/3".</t>
        </is>
      </c>
      <c r="J56" s="160" t="inlineStr">
        <is>
          <t>AI</t>
        </is>
      </c>
      <c r="K56" s="160" t="inlineStr">
        <is>
          <t>Pending</t>
        </is>
      </c>
      <c r="L56" s="160" t="inlineStr">
        <is>
          <t>No</t>
        </is>
      </c>
      <c r="M56" s="160" t="inlineStr"/>
      <c r="N56" s="264" t="inlineStr">
        <is>
          <t>Yes</t>
        </is>
      </c>
      <c r="O56" s="264" t="inlineStr"/>
      <c r="P56" s="264" t="inlineStr">
        <is>
          <t>Pass</t>
        </is>
      </c>
      <c r="Q56" s="264" t="inlineStr">
        <is>
          <t>GiangDC2</t>
        </is>
      </c>
      <c r="R56" s="264" t="inlineStr"/>
      <c r="S56" s="264" t="inlineStr"/>
      <c r="T56" s="264" t="n"/>
      <c r="U56" s="264" t="n"/>
      <c r="V56" s="264" t="n"/>
      <c r="W56" s="264" t="n"/>
      <c r="X56" s="264" t="n"/>
      <c r="Y56" s="264" t="n"/>
      <c r="Z56" s="264" t="n"/>
      <c r="AA56" s="264" t="n"/>
      <c r="AB56" s="264" t="n"/>
      <c r="AC56" s="264" t="n"/>
      <c r="AD56" s="264" t="n"/>
      <c r="AE56" s="264" t="n"/>
      <c r="AF56" s="264" t="n"/>
      <c r="AG56" s="264" t="n"/>
      <c r="AH56" s="264" t="n"/>
      <c r="AI56" s="264" t="n"/>
      <c r="AJ56" s="264" t="n"/>
      <c r="AK56" s="264" t="n"/>
      <c r="AL56" s="264" t="n"/>
      <c r="AM56" s="264" t="n"/>
      <c r="AN56" s="264" t="n"/>
      <c r="AO56" s="264" t="n"/>
      <c r="AP56" s="264" t="n"/>
      <c r="AQ56" s="264" t="n"/>
      <c r="AR56" s="158">
        <f>IF($A56="","",IF(OR($N56="Yes",$T56="Yes",$Z56="Yes",$AF56="Yes",$AL56="Yes"),"Yes","No"))</f>
        <v/>
      </c>
      <c r="AS56" s="158">
        <f>IF($A56="","",IFERROR(IF($AM56&lt;&gt;"",$AM56,IF($AG56&lt;&gt;"",$AG56,IF($AA56&lt;&gt;"",$AA56,IF($U56&lt;&gt;"",$U56,IF($O56&lt;&gt;"",$O56,""))))),""))</f>
        <v/>
      </c>
      <c r="AT56" s="158">
        <f>IFERROR(IF($AN56&lt;&gt;"",$AN56,IF($AH56&lt;&gt;"",$AH56,IF($AB56&lt;&gt;"",$AB56,IF($V56&lt;&gt;"",$V56,IF($P56&lt;&gt;"",$P56,""))))),"")</f>
        <v/>
      </c>
      <c r="AU56" s="265" t="inlineStr"/>
    </row>
    <row r="57" ht="15.75" customHeight="1" s="216">
      <c r="A57" s="160">
        <f>IF($F57="","",$C$2&amp;"."&amp;COUNTA($F$7:$F57)&amp;"")</f>
        <v/>
      </c>
      <c r="B57" s="160" t="inlineStr">
        <is>
          <t>REQ-ORD-001</t>
        </is>
      </c>
      <c r="C57" s="160" t="inlineStr">
        <is>
          <t>DOC-v1.0-02</t>
        </is>
      </c>
      <c r="D57" s="160" t="inlineStr">
        <is>
          <t>Functional</t>
        </is>
      </c>
      <c r="E57" s="160" t="inlineStr">
        <is>
          <t>Medium</t>
        </is>
      </c>
      <c r="F57" s="11" t="inlineStr">
        <is>
          <t>Check nhấn card "Tôi nhận giao hàng" mở form một trang không có step indicator</t>
        </is>
      </c>
      <c r="G57" s="11" t="inlineStr">
        <is>
          <t>Tài khoản SSO CBNV còn hiệu lực trên STG.
Test Data: —</t>
        </is>
      </c>
      <c r="H57" s="11" t="inlineStr">
        <is>
          <t>1. Đăng nhập FoxEco từ host app FoxPro. (setup)
2. Nhấn "+ Đăng tin" ở bottom nav.
3. Nhấn card "Tôi nhận giao hàng".
4. Check bố cục form và vùng step indicator.</t>
        </is>
      </c>
      <c r="I57" s="11" t="inlineStr">
        <is>
          <t>4. Mở form đăng ký chuyến đi trên 1 trang; KHÔNG có step indicator dạng "Bước x/y".</t>
        </is>
      </c>
      <c r="J57" s="160" t="inlineStr">
        <is>
          <t>AI</t>
        </is>
      </c>
      <c r="K57" s="160" t="inlineStr">
        <is>
          <t>Pending</t>
        </is>
      </c>
      <c r="L57" s="160" t="inlineStr">
        <is>
          <t>No</t>
        </is>
      </c>
      <c r="M57" s="160" t="inlineStr"/>
      <c r="N57" s="264" t="inlineStr">
        <is>
          <t>Yes</t>
        </is>
      </c>
      <c r="O57" s="264" t="inlineStr"/>
      <c r="P57" s="264" t="inlineStr">
        <is>
          <t>Pass</t>
        </is>
      </c>
      <c r="Q57" s="264" t="inlineStr">
        <is>
          <t>GiangDC2</t>
        </is>
      </c>
      <c r="R57" s="264" t="inlineStr"/>
      <c r="S57" s="264" t="inlineStr"/>
      <c r="T57" s="264" t="n"/>
      <c r="U57" s="264" t="n"/>
      <c r="V57" s="264" t="n"/>
      <c r="W57" s="264" t="n"/>
      <c r="X57" s="264" t="n"/>
      <c r="Y57" s="264" t="n"/>
      <c r="Z57" s="264" t="n"/>
      <c r="AA57" s="264" t="n"/>
      <c r="AB57" s="264" t="n"/>
      <c r="AC57" s="264" t="n"/>
      <c r="AD57" s="264" t="n"/>
      <c r="AE57" s="264" t="n"/>
      <c r="AF57" s="264" t="n"/>
      <c r="AG57" s="264" t="n"/>
      <c r="AH57" s="264" t="n"/>
      <c r="AI57" s="264" t="n"/>
      <c r="AJ57" s="264" t="n"/>
      <c r="AK57" s="264" t="n"/>
      <c r="AL57" s="264" t="n"/>
      <c r="AM57" s="264" t="n"/>
      <c r="AN57" s="264" t="n"/>
      <c r="AO57" s="264" t="n"/>
      <c r="AP57" s="264" t="n"/>
      <c r="AQ57" s="264" t="n"/>
      <c r="AR57" s="158">
        <f>IF($A57="","",IF(OR($N57="Yes",$T57="Yes",$Z57="Yes",$AF57="Yes",$AL57="Yes"),"Yes","No"))</f>
        <v/>
      </c>
      <c r="AS57" s="158">
        <f>IF($A57="","",IFERROR(IF($AM57&lt;&gt;"",$AM57,IF($AG57&lt;&gt;"",$AG57,IF($AA57&lt;&gt;"",$AA57,IF($U57&lt;&gt;"",$U57,IF($O57&lt;&gt;"",$O57,""))))),""))</f>
        <v/>
      </c>
      <c r="AT57" s="158">
        <f>IFERROR(IF($AN57&lt;&gt;"",$AN57,IF($AH57&lt;&gt;"",$AH57,IF($AB57&lt;&gt;"",$AB57,IF($V57&lt;&gt;"",$V57,IF($P57&lt;&gt;"",$P57,""))))),"")</f>
        <v/>
      </c>
      <c r="AU57" s="265" t="inlineStr">
        <is>
          <t>Mục đích: đối chứng cấu trúc với luồng NEED 3 bước ở TC-ORD-002.</t>
        </is>
      </c>
    </row>
    <row r="58" ht="15.75" customHeight="1" s="216">
      <c r="A58" s="160">
        <f>IF($F58="","",$C$2&amp;"."&amp;COUNTA($F$7:$F58)&amp;"")</f>
        <v/>
      </c>
      <c r="B58" s="160" t="inlineStr">
        <is>
          <t>REQ-ORD-002</t>
        </is>
      </c>
      <c r="C58" s="160" t="inlineStr">
        <is>
          <t>DOC-v1.0-01</t>
        </is>
      </c>
      <c r="D58" s="160" t="inlineStr">
        <is>
          <t>Functional</t>
        </is>
      </c>
      <c r="E58" s="160" t="inlineStr">
        <is>
          <t>High</t>
        </is>
      </c>
      <c r="F58" s="11" t="inlineStr">
        <is>
          <t>Check đăng tin NEED thành công với dữ liệu hợp lệ đầy đủ ba bước</t>
        </is>
      </c>
      <c r="G58" s="11" t="inlineStr">
        <is>
          <t>Tài khoản A trên STG có hồ sơ đầy đủ gồm tên, SĐT và nơi làm việc.
- Có email nội bộ tra được trong danh bạ.
Test Data: Loại hàng "Giấy tờ, hồ sơ", giá trị "Thấp", email nội bộ tra được, khung giờ tương đối so với hiện tại (test_data_catalog §ORD)</t>
        </is>
      </c>
      <c r="H58" s="11" t="inlineStr">
        <is>
          <t>1. Đăng nhập FoxEco bằng tài khoản A và nhấn "+ Đăng tin", nhấn card "Tôi cần gửi hàng". (setup)
2. Chọn chip loại hàng "Giấy tờ, hồ sơ" và chọn giá trị hàng "Thấp", rồi nhấn "Tiếp theo".
3. Nhập email "stag_anhdc4@fpt.com" vào ô "Email công ty người nhận" và rời ô.
4. Nhập địa chỉ lấy hàng rồi chạm chọn 1 gợi ý trong dropdown.
5. Nhập địa chỉ giao hàng khác địa chỉ lấy hàng rồi chạm chọn 1 gợi ý trong dropdown.
6. Chọn khung giờ mong muốn cách nhau ít nhất 30 phút và muộn hơn thời điểm hiện tại, rồi nhấn "Tiếp theo".
7. Tick checkbox điều khoản và nhấn "Đăng tin ngay".</t>
        </is>
      </c>
      <c r="I58" s="11" t="inlineStr">
        <is>
          <t>7. Mở màn "Đăng tin thành công"; tin vừa đăng ở trạng thái "Chờ ghép" khi mở lại từ tab "Hoạt động".</t>
        </is>
      </c>
      <c r="J58" s="160" t="inlineStr">
        <is>
          <t>AI</t>
        </is>
      </c>
      <c r="K58" s="160" t="inlineStr">
        <is>
          <t>Pending</t>
        </is>
      </c>
      <c r="L58" s="160" t="inlineStr">
        <is>
          <t>No</t>
        </is>
      </c>
      <c r="M58" s="160" t="inlineStr"/>
      <c r="N58" s="264" t="inlineStr">
        <is>
          <t>Yes</t>
        </is>
      </c>
      <c r="O58" s="264" t="inlineStr"/>
      <c r="P58" s="264" t="inlineStr">
        <is>
          <t>Pass</t>
        </is>
      </c>
      <c r="Q58" s="264" t="inlineStr">
        <is>
          <t>GiangDC2</t>
        </is>
      </c>
      <c r="R58" s="264" t="inlineStr"/>
      <c r="S58" s="264" t="inlineStr"/>
      <c r="T58" s="264" t="n"/>
      <c r="U58" s="264" t="n"/>
      <c r="V58" s="264" t="n"/>
      <c r="W58" s="264" t="n"/>
      <c r="X58" s="264" t="n"/>
      <c r="Y58" s="264" t="n"/>
      <c r="Z58" s="264" t="n"/>
      <c r="AA58" s="264" t="n"/>
      <c r="AB58" s="264" t="n"/>
      <c r="AC58" s="264" t="n"/>
      <c r="AD58" s="264" t="n"/>
      <c r="AE58" s="264" t="n"/>
      <c r="AF58" s="264" t="n"/>
      <c r="AG58" s="264" t="n"/>
      <c r="AH58" s="264" t="n"/>
      <c r="AI58" s="264" t="n"/>
      <c r="AJ58" s="264" t="n"/>
      <c r="AK58" s="264" t="n"/>
      <c r="AL58" s="264" t="n"/>
      <c r="AM58" s="264" t="n"/>
      <c r="AN58" s="264" t="n"/>
      <c r="AO58" s="264" t="n"/>
      <c r="AP58" s="264" t="n"/>
      <c r="AQ58" s="264" t="n"/>
      <c r="AR58" s="158">
        <f>IF($A58="","",IF(OR($N58="Yes",$T58="Yes",$Z58="Yes",$AF58="Yes",$AL58="Yes"),"Yes","No"))</f>
        <v/>
      </c>
      <c r="AS58" s="158">
        <f>IF($A58="","",IFERROR(IF($AM58&lt;&gt;"",$AM58,IF($AG58&lt;&gt;"",$AG58,IF($AA58&lt;&gt;"",$AA58,IF($U58&lt;&gt;"",$U58,IF($O58&lt;&gt;"",$O58,""))))),""))</f>
        <v/>
      </c>
      <c r="AT58" s="158">
        <f>IFERROR(IF($AN58&lt;&gt;"",$AN58,IF($AH58&lt;&gt;"",$AH58,IF($AB58&lt;&gt;"",$AB58,IF($V58&lt;&gt;"",$V58,IF($P58&lt;&gt;"",$P58,""))))),"")</f>
        <v/>
      </c>
      <c r="AU58" s="265" t="inlineStr">
        <is>
          <t>Mục đích: happy path xuyên 3 bước — nền để so mọi nhánh negative của module. · Căn cứ: `ORD-02` §D3 L240 + `US-D01` §D1b L164. ⛔ Khung giờ chọn **tương đối** so với hiện tại, không hardcode giờ.</t>
        </is>
      </c>
    </row>
    <row r="59" ht="15.75" customHeight="1" s="216">
      <c r="A59" s="160">
        <f>IF($F59="","",$C$2&amp;"."&amp;COUNTA($F$7:$F59)&amp;"")</f>
        <v/>
      </c>
      <c r="B59" s="160" t="inlineStr">
        <is>
          <t>REQ-ORD-003</t>
        </is>
      </c>
      <c r="C59" s="160" t="inlineStr">
        <is>
          <t>DOC-v1.0-06</t>
        </is>
      </c>
      <c r="D59" s="160" t="inlineStr">
        <is>
          <t>UI</t>
        </is>
      </c>
      <c r="E59" s="160" t="inlineStr">
        <is>
          <t>Low</t>
        </is>
      </c>
      <c r="F59" s="11" t="inlineStr">
        <is>
          <t>Check danh mục loại hàng có tám chip và không tồn tại chip tên "Tài liệu"</t>
        </is>
      </c>
      <c r="G59" s="11" t="inlineStr">
        <is>
          <t>Tài khoản A trên STG.
Test Data: 8 chip app STG; nhãn "Tài liệu" là giá trị assert-absent (test_data_catalog §ORD)</t>
        </is>
      </c>
      <c r="H59" s="11" t="inlineStr">
        <is>
          <t>1. Đăng nhập FoxEco bằng tài khoản A, nhấn "+ Đăng tin" và nhấn card "Tôi cần gửi hàng". (setup)
2. Đếm số chip loại hàng hiển thị ở bước 1.
3. Đối chiếu nhãn từng chip, tìm chip có nhãn "Tài liệu".</t>
        </is>
      </c>
      <c r="I59" s="11" t="inlineStr">
        <is>
          <t>2. Có đúng 8 chip loại hàng.
3. KHÔNG có chip nào mang nhãn "Tài liệu".</t>
        </is>
      </c>
      <c r="J59" s="160" t="inlineStr">
        <is>
          <t>AI</t>
        </is>
      </c>
      <c r="K59" s="160" t="inlineStr">
        <is>
          <t>Pending</t>
        </is>
      </c>
      <c r="L59" s="160" t="inlineStr">
        <is>
          <t>No</t>
        </is>
      </c>
      <c r="M59" s="160" t="inlineStr"/>
      <c r="N59" s="264" t="inlineStr">
        <is>
          <t>Yes</t>
        </is>
      </c>
      <c r="O59" s="264" t="inlineStr"/>
      <c r="P59" s="264" t="inlineStr">
        <is>
          <t>Fail</t>
        </is>
      </c>
      <c r="Q59" s="264" t="inlineStr">
        <is>
          <t>GiangDC2</t>
        </is>
      </c>
      <c r="R59" s="264" t="inlineStr"/>
      <c r="S59" s="264" t="inlineStr"/>
      <c r="T59" s="264" t="n"/>
      <c r="U59" s="264" t="n"/>
      <c r="V59" s="264" t="n"/>
      <c r="W59" s="264" t="n"/>
      <c r="X59" s="264" t="n"/>
      <c r="Y59" s="264" t="n"/>
      <c r="Z59" s="264" t="n"/>
      <c r="AA59" s="264" t="n"/>
      <c r="AB59" s="264" t="n"/>
      <c r="AC59" s="264" t="n"/>
      <c r="AD59" s="264" t="n"/>
      <c r="AE59" s="264" t="n"/>
      <c r="AF59" s="264" t="n"/>
      <c r="AG59" s="264" t="n"/>
      <c r="AH59" s="264" t="n"/>
      <c r="AI59" s="264" t="n"/>
      <c r="AJ59" s="264" t="n"/>
      <c r="AK59" s="264" t="n"/>
      <c r="AL59" s="264" t="n"/>
      <c r="AM59" s="264" t="n"/>
      <c r="AN59" s="264" t="n"/>
      <c r="AO59" s="264" t="n"/>
      <c r="AP59" s="264" t="n"/>
      <c r="AQ59" s="264" t="n"/>
      <c r="AR59" s="158">
        <f>IF($A59="","",IF(OR($N59="Yes",$T59="Yes",$Z59="Yes",$AF59="Yes",$AL59="Yes"),"Yes","No"))</f>
        <v/>
      </c>
      <c r="AS59" s="158">
        <f>IF($A59="","",IFERROR(IF($AM59&lt;&gt;"",$AM59,IF($AG59&lt;&gt;"",$AG59,IF($AA59&lt;&gt;"",$AA59,IF($U59&lt;&gt;"",$U59,IF($O59&lt;&gt;"",$O59,""))))),""))</f>
        <v/>
      </c>
      <c r="AT59" s="158">
        <f>IFERROR(IF($AN59&lt;&gt;"",$AN59,IF($AH59&lt;&gt;"",$AH59,IF($AB59&lt;&gt;"",$AB59,IF($V59&lt;&gt;"",$V59,IF($P59&lt;&gt;"",$P59,""))))),"")</f>
        <v/>
      </c>
      <c r="AU59" s="265" t="inlineStr">
        <is>
          <t>Mục đích: ⭐ CL lan rộng nhất dự án — mọi TC đợt cũ nhắc "Tài liệu" đều sai chữ. · Căn cứ: assert theo `DOC-v1.0-06` KP-01 §10.2 (`KB-VIBE-01`, có screenshot `VR-002 TC_04.5`) — nguồn có bằng chứng app thắng doc (`MASTER-MEMORY §2`); BRD `D8.1` ghi 5 giá trị và PRD §3.5.1 ghi 8 chip, cả hai đều có "Tài liệu". App xuất hiện chip "Tài liệu" ⇒ FAIL và dẫn `C-ORD-09` để BA chốt danh mục.</t>
        </is>
      </c>
    </row>
    <row r="60" ht="15.75" customHeight="1" s="216">
      <c r="A60" s="160">
        <f>IF($F60="","",$C$2&amp;"."&amp;COUNTA($F$7:$F60)&amp;"")</f>
        <v/>
      </c>
      <c r="B60" s="160" t="inlineStr">
        <is>
          <t>REQ-ORD-003</t>
        </is>
      </c>
      <c r="C60" s="160" t="inlineStr">
        <is>
          <t>DOC-v1.0-06</t>
        </is>
      </c>
      <c r="D60" s="160" t="inlineStr">
        <is>
          <t>Functional</t>
        </is>
      </c>
      <c r="E60" s="160" t="inlineStr">
        <is>
          <t>Low</t>
        </is>
      </c>
      <c r="F60" s="11" t="inlineStr">
        <is>
          <t>Check nhấn lại chip loại hàng đang chọn không bỏ chọn nên không có trạng thái chưa chọn loại hàng</t>
        </is>
      </c>
      <c r="G60" s="11" t="inlineStr">
        <is>
          <t>Tài khoản A trên STG.
Test Data: 8 chip app STG (test_data_catalog §ORD, biên "không tái hiện được trạng thái chưa chọn")</t>
        </is>
      </c>
      <c r="H60" s="11" t="inlineStr">
        <is>
          <t>1. Đăng nhập FoxEco bằng tài khoản A, nhấn "+ Đăng tin" và nhấn card "Tôi cần gửi hàng". (setup)
2. Nhấn đúng chip loại hàng đang ở trạng thái được chọn.
3. Check trạng thái các chip loại hàng.
4. Chọn giá trị hàng "Thấp" và nhấn "Tiếp theo".</t>
        </is>
      </c>
      <c r="I60" s="11" t="inlineStr">
        <is>
          <t>3. Chip vừa nhấn VẪN ở trạng thái được chọn; không có trạng thái nào mà cả 8 chip đều không được chọn.
4. Chuyển sang bước 2 của wizard.</t>
        </is>
      </c>
      <c r="J60" s="160" t="inlineStr">
        <is>
          <t>AI</t>
        </is>
      </c>
      <c r="K60" s="160" t="inlineStr">
        <is>
          <t>Pending</t>
        </is>
      </c>
      <c r="L60" s="160" t="inlineStr">
        <is>
          <t>No</t>
        </is>
      </c>
      <c r="M60" s="160" t="inlineStr"/>
      <c r="N60" s="264" t="inlineStr">
        <is>
          <t>Yes</t>
        </is>
      </c>
      <c r="O60" s="264" t="inlineStr"/>
      <c r="P60" s="264" t="inlineStr">
        <is>
          <t>Fail</t>
        </is>
      </c>
      <c r="Q60" s="264" t="inlineStr">
        <is>
          <t>GiangDC2</t>
        </is>
      </c>
      <c r="R60" s="264" t="inlineStr"/>
      <c r="S60" s="264" t="inlineStr"/>
      <c r="T60" s="264" t="n"/>
      <c r="U60" s="264" t="n"/>
      <c r="V60" s="264" t="n"/>
      <c r="W60" s="264" t="n"/>
      <c r="X60" s="264" t="n"/>
      <c r="Y60" s="264" t="n"/>
      <c r="Z60" s="264" t="n"/>
      <c r="AA60" s="264" t="n"/>
      <c r="AB60" s="264" t="n"/>
      <c r="AC60" s="264" t="n"/>
      <c r="AD60" s="264" t="n"/>
      <c r="AE60" s="264" t="n"/>
      <c r="AF60" s="264" t="n"/>
      <c r="AG60" s="264" t="n"/>
      <c r="AH60" s="264" t="n"/>
      <c r="AI60" s="264" t="n"/>
      <c r="AJ60" s="264" t="n"/>
      <c r="AK60" s="264" t="n"/>
      <c r="AL60" s="264" t="n"/>
      <c r="AM60" s="264" t="n"/>
      <c r="AN60" s="264" t="n"/>
      <c r="AO60" s="264" t="n"/>
      <c r="AP60" s="264" t="n"/>
      <c r="AQ60" s="264" t="n"/>
      <c r="AR60" s="158">
        <f>IF($A60="","",IF(OR($N60="Yes",$T60="Yes",$Z60="Yes",$AF60="Yes",$AL60="Yes"),"Yes","No"))</f>
        <v/>
      </c>
      <c r="AS60" s="158">
        <f>IF($A60="","",IFERROR(IF($AM60&lt;&gt;"",$AM60,IF($AG60&lt;&gt;"",$AG60,IF($AA60&lt;&gt;"",$AA60,IF($U60&lt;&gt;"",$U60,IF($O60&lt;&gt;"",$O60,""))))),""))</f>
        <v/>
      </c>
      <c r="AT60" s="158">
        <f>IFERROR(IF($AN60&lt;&gt;"",$AN60,IF($AH60&lt;&gt;"",$AH60,IF($AB60&lt;&gt;"",$AB60,IF($V60&lt;&gt;"",$V60,IF($P60&lt;&gt;"",$P60,""))))),"")</f>
        <v/>
      </c>
      <c r="AU60" s="265" t="inlineStr">
        <is>
          <t>Mục đích: chốt bằng TC lý do **không viết được TC negative "để trống loại hàng"** — cơ chế UI không cho tạo tiền đề đó. · Căn cứ: `KB-VIBE-02`; rule "Không cho để trống" của `D8.1` vì vậy không kiểm chứng được qua UI.</t>
        </is>
      </c>
    </row>
    <row r="61" ht="15.75" customHeight="1" s="216">
      <c r="A61" s="160">
        <f>IF($F61="","",$C$2&amp;"."&amp;COUNTA($F$7:$F61)&amp;"")</f>
        <v/>
      </c>
      <c r="B61" s="160" t="inlineStr">
        <is>
          <t>REQ-ORD-005</t>
        </is>
      </c>
      <c r="C61" s="160" t="inlineStr">
        <is>
          <t>DOC-v1.0-01 · DOC-v1.0-06</t>
        </is>
      </c>
      <c r="D61" s="160" t="inlineStr">
        <is>
          <t>Functional</t>
        </is>
      </c>
      <c r="E61" s="160" t="inlineStr">
        <is>
          <t>Medium</t>
        </is>
      </c>
      <c r="F61" s="11" t="inlineStr">
        <is>
          <t>Check chưa chọn giá trị hàng thì nút "Tiếp theo" bị khoá và không chuyển bước</t>
        </is>
      </c>
      <c r="G61" s="11" t="inlineStr">
        <is>
          <t>Tài khoản A trên STG.
Test Data: Giá trị hàng rỗng (test_data_catalog §ORD, biên chặn bước)</t>
        </is>
      </c>
      <c r="H61" s="11" t="inlineStr">
        <is>
          <t>1. Đăng nhập FoxEco bằng tài khoản A, nhấn "+ Đăng tin" và nhấn card "Tôi cần gửi hàng". (setup)
2. Không chọn giá trị hàng, check trạng thái nút "Tiếp theo".
3. Nhấn nút "Tiếp theo".
4. Chọn giá trị hàng "Thấp" và check lại trạng thái nút "Tiếp theo".</t>
        </is>
      </c>
      <c r="I61" s="11" t="inlineStr">
        <is>
          <t>2. Nút "Tiếp theo" ở trạng thái disable và bị làm mờ.
3. Màn vẫn ở bước 1, không chuyển sang bước 2.
4. Nút "Tiếp theo" chuyển sang trạng thái enable.</t>
        </is>
      </c>
      <c r="J61" s="160" t="inlineStr">
        <is>
          <t>AI</t>
        </is>
      </c>
      <c r="K61" s="160" t="inlineStr">
        <is>
          <t>Pending</t>
        </is>
      </c>
      <c r="L61" s="160" t="inlineStr">
        <is>
          <t>No</t>
        </is>
      </c>
      <c r="M61" s="160" t="inlineStr"/>
      <c r="N61" s="264" t="inlineStr">
        <is>
          <t>Yes</t>
        </is>
      </c>
      <c r="O61" s="264" t="inlineStr"/>
      <c r="P61" s="264" t="inlineStr">
        <is>
          <t>Fail</t>
        </is>
      </c>
      <c r="Q61" s="264" t="inlineStr">
        <is>
          <t>GiangDC2</t>
        </is>
      </c>
      <c r="R61" s="264" t="inlineStr"/>
      <c r="S61" s="264" t="inlineStr"/>
      <c r="T61" s="264" t="n"/>
      <c r="U61" s="264" t="n"/>
      <c r="V61" s="264" t="n"/>
      <c r="W61" s="264" t="n"/>
      <c r="X61" s="264" t="n"/>
      <c r="Y61" s="264" t="n"/>
      <c r="Z61" s="264" t="n"/>
      <c r="AA61" s="264" t="n"/>
      <c r="AB61" s="264" t="n"/>
      <c r="AC61" s="264" t="n"/>
      <c r="AD61" s="264" t="n"/>
      <c r="AE61" s="264" t="n"/>
      <c r="AF61" s="264" t="n"/>
      <c r="AG61" s="264" t="n"/>
      <c r="AH61" s="264" t="n"/>
      <c r="AI61" s="264" t="n"/>
      <c r="AJ61" s="264" t="n"/>
      <c r="AK61" s="264" t="n"/>
      <c r="AL61" s="264" t="n"/>
      <c r="AM61" s="264" t="n"/>
      <c r="AN61" s="264" t="n"/>
      <c r="AO61" s="264" t="n"/>
      <c r="AP61" s="264" t="n"/>
      <c r="AQ61" s="264" t="n"/>
      <c r="AR61" s="158">
        <f>IF($A61="","",IF(OR($N61="Yes",$T61="Yes",$Z61="Yes",$AF61="Yes",$AL61="Yes"),"Yes","No"))</f>
        <v/>
      </c>
      <c r="AS61" s="158">
        <f>IF($A61="","",IFERROR(IF($AM61&lt;&gt;"",$AM61,IF($AG61&lt;&gt;"",$AG61,IF($AA61&lt;&gt;"",$AA61,IF($U61&lt;&gt;"",$U61,IF($O61&lt;&gt;"",$O61,""))))),""))</f>
        <v/>
      </c>
      <c r="AT61" s="158">
        <f>IFERROR(IF($AN61&lt;&gt;"",$AN61,IF($AH61&lt;&gt;"",$AH61,IF($AB61&lt;&gt;"",$AB61,IF($V61&lt;&gt;"",$V61,IF($P61&lt;&gt;"",$P61,""))))),"")</f>
        <v/>
      </c>
      <c r="AU61" s="265" t="inlineStr">
        <is>
          <t>Căn cứ: `D8.1` §D8.1 L359 + `KP-01` §10.4.</t>
        </is>
      </c>
      <c r="AV61" s="1" t="n"/>
    </row>
    <row r="62" ht="15.75" customHeight="1" s="216">
      <c r="A62" s="160">
        <f>IF($F62="","",$C$2&amp;"."&amp;COUNTA($F$7:$F62)&amp;"")</f>
        <v/>
      </c>
      <c r="B62" s="160" t="inlineStr">
        <is>
          <t>REQ-ORD-005</t>
        </is>
      </c>
      <c r="C62" s="160" t="inlineStr">
        <is>
          <t>DOC-v1.0-01 · DOC-v1.0-06</t>
        </is>
      </c>
      <c r="D62" s="160" t="inlineStr">
        <is>
          <t>Functional</t>
        </is>
      </c>
      <c r="E62" s="160" t="inlineStr">
        <is>
          <t>Medium</t>
        </is>
      </c>
      <c r="F62" s="11" t="inlineStr">
        <is>
          <t>Check chọn giá trị hàng "Cao" hiện banner cảnh báo đúng nguyên văn</t>
        </is>
      </c>
      <c r="G62" s="11" t="inlineStr">
        <is>
          <t>Tài khoản A trên STG.
Test Data: Giá trị hàng "Cao" (test_data_catalog §ORD, biên)</t>
        </is>
      </c>
      <c r="H62" s="11" t="inlineStr">
        <is>
          <t>1. Đăng nhập FoxEco bằng tài khoản A, nhấn "+ Đăng tin" và nhấn card "Tôi cần gửi hàng". (setup)
2. Chọn giá trị hàng "Cao".
3. Check nội dung banner cảnh báo hiện ra.</t>
        </is>
      </c>
      <c r="I62" s="11" t="inlineStr">
        <is>
          <t>3. Hiện banner đúng nguyên văn "Hàng giá trị cao: hai bên tự thoả thuận và chịu trách nhiệm với nhau. FoxEco không bảo hiểm, không đứng ra vận chuyển hay bồi thường."</t>
        </is>
      </c>
      <c r="J62" s="160" t="inlineStr">
        <is>
          <t>AI</t>
        </is>
      </c>
      <c r="K62" s="160" t="inlineStr">
        <is>
          <t>Pending</t>
        </is>
      </c>
      <c r="L62" s="160" t="inlineStr">
        <is>
          <t>No</t>
        </is>
      </c>
      <c r="M62" s="160" t="inlineStr"/>
      <c r="N62" s="264" t="inlineStr">
        <is>
          <t>Yes</t>
        </is>
      </c>
      <c r="O62" s="264" t="inlineStr"/>
      <c r="P62" s="264" t="inlineStr">
        <is>
          <t>Pass</t>
        </is>
      </c>
      <c r="Q62" s="264" t="inlineStr">
        <is>
          <t>GiangDC2</t>
        </is>
      </c>
      <c r="R62" s="264" t="inlineStr"/>
      <c r="S62" s="264" t="inlineStr"/>
      <c r="T62" s="264" t="n"/>
      <c r="U62" s="264" t="n"/>
      <c r="V62" s="264" t="n"/>
      <c r="W62" s="264" t="n"/>
      <c r="X62" s="264" t="n"/>
      <c r="Y62" s="264" t="n"/>
      <c r="Z62" s="264" t="n"/>
      <c r="AA62" s="264" t="n"/>
      <c r="AB62" s="264" t="n"/>
      <c r="AC62" s="264" t="n"/>
      <c r="AD62" s="264" t="n"/>
      <c r="AE62" s="264" t="n"/>
      <c r="AF62" s="264" t="n"/>
      <c r="AG62" s="264" t="n"/>
      <c r="AH62" s="264" t="n"/>
      <c r="AI62" s="264" t="n"/>
      <c r="AJ62" s="264" t="n"/>
      <c r="AK62" s="264" t="n"/>
      <c r="AL62" s="264" t="n"/>
      <c r="AM62" s="264" t="n"/>
      <c r="AN62" s="264" t="n"/>
      <c r="AO62" s="264" t="n"/>
      <c r="AP62" s="264" t="n"/>
      <c r="AQ62" s="264" t="n"/>
      <c r="AR62" s="158">
        <f>IF($A62="","",IF(OR($N62="Yes",$T62="Yes",$Z62="Yes",$AF62="Yes",$AL62="Yes"),"Yes","No"))</f>
        <v/>
      </c>
      <c r="AS62" s="158">
        <f>IF($A62="","",IFERROR(IF($AM62&lt;&gt;"",$AM62,IF($AG62&lt;&gt;"",$AG62,IF($AA62&lt;&gt;"",$AA62,IF($U62&lt;&gt;"",$U62,IF($O62&lt;&gt;"",$O62,""))))),""))</f>
        <v/>
      </c>
      <c r="AT62" s="158">
        <f>IFERROR(IF($AN62&lt;&gt;"",$AN62,IF($AH62&lt;&gt;"",$AH62,IF($AB62&lt;&gt;"",$AB62,IF($V62&lt;&gt;"",$V62,IF($P62&lt;&gt;"",$P62,""))))),"")</f>
        <v/>
      </c>
      <c r="AU62" s="265" t="inlineStr">
        <is>
          <t>Mục đích: cặp đối chứng dương với TC-ORD-010. · Căn cứ: `D8.1` §D8.1 L359 + `KB-ORD-05` (nguyên văn banner lấy từ app). ⚠ Phân biệt: cảnh báo theo **mức định tính "Cao"** là CÓ ở v1.0; ngưỡng bằng **số tiền** (`BR-ORD-03`) thì out of scope (`TC-ORD-054`).</t>
        </is>
      </c>
      <c r="AV62" s="1" t="n"/>
    </row>
    <row r="63" ht="15.75" customHeight="1" s="216">
      <c r="A63" s="160">
        <f>IF($F63="","",$C$2&amp;"."&amp;COUNTA($F$7:$F63)&amp;"")</f>
        <v/>
      </c>
      <c r="B63" s="160" t="inlineStr">
        <is>
          <t>REQ-ORD-005</t>
        </is>
      </c>
      <c r="C63" s="160" t="inlineStr">
        <is>
          <t>DOC-v1.0-06</t>
        </is>
      </c>
      <c r="D63" s="160" t="inlineStr">
        <is>
          <t>Functional</t>
        </is>
      </c>
      <c r="E63" s="160" t="inlineStr">
        <is>
          <t>Low</t>
        </is>
      </c>
      <c r="F63" s="11" t="inlineStr">
        <is>
          <t>Check chọn giá trị hàng "Thấp" hoặc "Vừa" không hiện banner cảnh báo</t>
        </is>
      </c>
      <c r="G63" s="11" t="inlineStr">
        <is>
          <t>Tài khoản A trên STG.
Test Data: Giá trị hàng "Thấp" và "Vừa" (test_data_catalog §ORD)</t>
        </is>
      </c>
      <c r="H63" s="11" t="inlineStr">
        <is>
          <t>1. Đăng nhập FoxEco bằng tài khoản A, nhấn "+ Đăng tin" và nhấn card "Tôi cần gửi hàng". (setup)
2. Chọn giá trị hàng "Thấp" và check vùng dưới nhóm giá trị hàng.
3. Chọn giá trị hàng "Vừa" và check lại vùng đó.</t>
        </is>
      </c>
      <c r="I63" s="11" t="inlineStr">
        <is>
          <t>2. KHÔNG hiện banner cảnh báo hàng giá trị cao.
3. KHÔNG hiện banner cảnh báo hàng giá trị cao.</t>
        </is>
      </c>
      <c r="J63" s="160" t="inlineStr">
        <is>
          <t>AI</t>
        </is>
      </c>
      <c r="K63" s="160" t="inlineStr">
        <is>
          <t>Pending</t>
        </is>
      </c>
      <c r="L63" s="160" t="inlineStr">
        <is>
          <t>No</t>
        </is>
      </c>
      <c r="M63" s="160" t="inlineStr"/>
      <c r="N63" s="264" t="inlineStr">
        <is>
          <t>Yes</t>
        </is>
      </c>
      <c r="O63" s="264" t="inlineStr"/>
      <c r="P63" s="264" t="inlineStr">
        <is>
          <t>Pass</t>
        </is>
      </c>
      <c r="Q63" s="264" t="inlineStr">
        <is>
          <t>GiangDC2</t>
        </is>
      </c>
      <c r="R63" s="264" t="inlineStr"/>
      <c r="S63" s="264" t="inlineStr"/>
      <c r="T63" s="264" t="n"/>
      <c r="U63" s="264" t="n"/>
      <c r="V63" s="264" t="n"/>
      <c r="W63" s="264" t="n"/>
      <c r="X63" s="264" t="n"/>
      <c r="Y63" s="264" t="n"/>
      <c r="Z63" s="264" t="n"/>
      <c r="AA63" s="264" t="n"/>
      <c r="AB63" s="264" t="n"/>
      <c r="AC63" s="264" t="n"/>
      <c r="AD63" s="264" t="n"/>
      <c r="AE63" s="264" t="n"/>
      <c r="AF63" s="264" t="n"/>
      <c r="AG63" s="264" t="n"/>
      <c r="AH63" s="264" t="n"/>
      <c r="AI63" s="264" t="n"/>
      <c r="AJ63" s="264" t="n"/>
      <c r="AK63" s="264" t="n"/>
      <c r="AL63" s="264" t="n"/>
      <c r="AM63" s="264" t="n"/>
      <c r="AN63" s="264" t="n"/>
      <c r="AO63" s="264" t="n"/>
      <c r="AP63" s="264" t="n"/>
      <c r="AQ63" s="264" t="n"/>
      <c r="AR63" s="158">
        <f>IF($A63="","",IF(OR($N63="Yes",$T63="Yes",$Z63="Yes",$AF63="Yes",$AL63="Yes"),"Yes","No"))</f>
        <v/>
      </c>
      <c r="AS63" s="158">
        <f>IF($A63="","",IFERROR(IF($AM63&lt;&gt;"",$AM63,IF($AG63&lt;&gt;"",$AG63,IF($AA63&lt;&gt;"",$AA63,IF($U63&lt;&gt;"",$U63,IF($O63&lt;&gt;"",$O63,""))))),""))</f>
        <v/>
      </c>
      <c r="AT63" s="158">
        <f>IFERROR(IF($AN63&lt;&gt;"",$AN63,IF($AH63&lt;&gt;"",$AH63,IF($AB63&lt;&gt;"",$AB63,IF($V63&lt;&gt;"",$V63,IF($P63&lt;&gt;"",$P63,""))))),"")</f>
        <v/>
      </c>
      <c r="AU63" s="265" t="inlineStr">
        <is>
          <t>Mục đích: cặp đối chứng âm với TC-ORD-009 — banner chỉ gắn với mức "Cao".</t>
        </is>
      </c>
      <c r="AV63" s="1" t="n"/>
    </row>
    <row r="64" ht="15.75" customHeight="1" s="216">
      <c r="A64" s="160">
        <f>IF($F64="","",$C$2&amp;"."&amp;COUNTA($F$7:$F64)&amp;"")</f>
        <v/>
      </c>
      <c r="B64" s="160" t="inlineStr">
        <is>
          <t>REQ-ORD-004</t>
        </is>
      </c>
      <c r="C64" s="160" t="inlineStr">
        <is>
          <t>DOC-v1.0-01</t>
        </is>
      </c>
      <c r="D64" s="160" t="inlineStr">
        <is>
          <t>Functional</t>
        </is>
      </c>
      <c r="E64" s="160" t="inlineStr">
        <is>
          <t>Low</t>
        </is>
      </c>
      <c r="F64" s="11" t="inlineStr">
        <is>
          <t>Check ghi chú nhận đúng 300 ký tự và chặn ký tự thứ 301</t>
        </is>
      </c>
      <c r="G64" s="11" t="inlineStr">
        <is>
          <t>Tài khoản A trên STG.
Test Data: Ghi chú 300 ký tự và 301 ký tự (test_data_catalog §ORD, biên)</t>
        </is>
      </c>
      <c r="H64" s="11" t="inlineStr">
        <is>
          <t>1. Đăng nhập FoxEco bằng tài khoản A, nhấn "+ Đăng tin" và nhấn card "Tôi cần gửi hàng". (setup)
2. Nhập vào ô Ghi chú chuỗi dài đúng 300 ký tự.
3. Chọn giá trị hàng "Thấp" và nhấn "Tiếp theo".
4. Nhấn quay lại bước 1 và nhập tiếp 1 ký tự nữa vào ô Ghi chú.
5. Check độ dài nội dung trong ô Ghi chú.</t>
        </is>
      </c>
      <c r="I64" s="11" t="inlineStr">
        <is>
          <t>3. Chuyển sang bước 2 của wizard.
5. Nội dung ô Ghi chú vẫn dừng ở 300 ký tự; ký tự thứ 301 không được nhập thêm.</t>
        </is>
      </c>
      <c r="J64" s="160" t="inlineStr">
        <is>
          <t>AI</t>
        </is>
      </c>
      <c r="K64" s="160" t="inlineStr">
        <is>
          <t>Pending</t>
        </is>
      </c>
      <c r="L64" s="160" t="inlineStr">
        <is>
          <t>No</t>
        </is>
      </c>
      <c r="M64" s="160" t="inlineStr"/>
      <c r="N64" s="264" t="inlineStr">
        <is>
          <t>Yes</t>
        </is>
      </c>
      <c r="O64" s="264" t="inlineStr"/>
      <c r="P64" s="264" t="inlineStr">
        <is>
          <t>Fail</t>
        </is>
      </c>
      <c r="Q64" s="264" t="inlineStr">
        <is>
          <t>GiangDC2</t>
        </is>
      </c>
      <c r="R64" s="264" t="inlineStr"/>
      <c r="S64" s="264" t="inlineStr"/>
      <c r="T64" s="264" t="n"/>
      <c r="U64" s="264" t="n"/>
      <c r="V64" s="264" t="n"/>
      <c r="W64" s="264" t="n"/>
      <c r="X64" s="264" t="n"/>
      <c r="Y64" s="264" t="n"/>
      <c r="Z64" s="264" t="n"/>
      <c r="AA64" s="264" t="n"/>
      <c r="AB64" s="264" t="n"/>
      <c r="AC64" s="264" t="n"/>
      <c r="AD64" s="264" t="n"/>
      <c r="AE64" s="264" t="n"/>
      <c r="AF64" s="264" t="n"/>
      <c r="AG64" s="264" t="n"/>
      <c r="AH64" s="264" t="n"/>
      <c r="AI64" s="264" t="n"/>
      <c r="AJ64" s="264" t="n"/>
      <c r="AK64" s="264" t="n"/>
      <c r="AL64" s="264" t="n"/>
      <c r="AM64" s="264" t="n"/>
      <c r="AN64" s="264" t="n"/>
      <c r="AO64" s="264" t="n"/>
      <c r="AP64" s="264" t="n"/>
      <c r="AQ64" s="264" t="n"/>
      <c r="AR64" s="158">
        <f>IF($A64="","",IF(OR($N64="Yes",$T64="Yes",$Z64="Yes",$AF64="Yes",$AL64="Yes"),"Yes","No"))</f>
        <v/>
      </c>
      <c r="AS64" s="158">
        <f>IF($A64="","",IFERROR(IF($AM64&lt;&gt;"",$AM64,IF($AG64&lt;&gt;"",$AG64,IF($AA64&lt;&gt;"",$AA64,IF($U64&lt;&gt;"",$U64,IF($O64&lt;&gt;"",$O64,""))))),""))</f>
        <v/>
      </c>
      <c r="AT64" s="158">
        <f>IFERROR(IF($AN64&lt;&gt;"",$AN64,IF($AH64&lt;&gt;"",$AH64,IF($AB64&lt;&gt;"",$AB64,IF($V64&lt;&gt;"",$V64,IF($P64&lt;&gt;"",$P64,""))))),"")</f>
        <v/>
      </c>
      <c r="AU64" s="265" t="inlineStr">
        <is>
          <t>Căn cứ: `D8.1` §D8.1 L358.</t>
        </is>
      </c>
      <c r="AV64" s="1" t="n"/>
    </row>
    <row r="65" ht="15.75" customHeight="1" s="216">
      <c r="A65" s="160">
        <f>IF($F65="","",$C$2&amp;"."&amp;COUNTA($F$7:$F65)&amp;"")</f>
        <v/>
      </c>
      <c r="B65" s="160" t="inlineStr">
        <is>
          <t>REQ-ORD-006</t>
        </is>
      </c>
      <c r="C65" s="160" t="inlineStr">
        <is>
          <t>DOC-v1.0-01</t>
        </is>
      </c>
      <c r="D65" s="160" t="inlineStr">
        <is>
          <t>Functional</t>
        </is>
      </c>
      <c r="E65" s="160" t="inlineStr">
        <is>
          <t>Low</t>
        </is>
      </c>
      <c r="F65" s="11" t="inlineStr">
        <is>
          <t>Check không tải ảnh vẫn chuyển được sang bước 2</t>
        </is>
      </c>
      <c r="G65" s="11" t="inlineStr">
        <is>
          <t>Tài khoản A trên STG.
Test Data: Ảnh rỗng (test_data_catalog §ORD, biên hợp lệ)</t>
        </is>
      </c>
      <c r="H65" s="11" t="inlineStr">
        <is>
          <t>1. Đăng nhập FoxEco bằng tài khoản A, nhấn "+ Đăng tin" và nhấn card "Tôi cần gửi hàng". (setup)
2. Chọn chip loại hàng "Giấy tờ, hồ sơ" và chọn giá trị hàng "Thấp", không tải ảnh nào.
3. Nhấn "Tiếp theo".</t>
        </is>
      </c>
      <c r="I65" s="11" t="inlineStr">
        <is>
          <t>3. Chuyển sang bước 2 của wizard; không có thông báo lỗi về ảnh.</t>
        </is>
      </c>
      <c r="J65" s="160" t="inlineStr">
        <is>
          <t>AI</t>
        </is>
      </c>
      <c r="K65" s="160" t="inlineStr">
        <is>
          <t>Pending</t>
        </is>
      </c>
      <c r="L65" s="160" t="inlineStr">
        <is>
          <t>No</t>
        </is>
      </c>
      <c r="M65" s="160" t="inlineStr"/>
      <c r="N65" s="264" t="inlineStr">
        <is>
          <t>Yes</t>
        </is>
      </c>
      <c r="O65" s="264" t="inlineStr"/>
      <c r="P65" s="264" t="inlineStr">
        <is>
          <t>Fail</t>
        </is>
      </c>
      <c r="Q65" s="264" t="inlineStr">
        <is>
          <t>GiangDC2</t>
        </is>
      </c>
      <c r="R65" s="264" t="inlineStr"/>
      <c r="S65" s="264" t="inlineStr"/>
      <c r="T65" s="264" t="n"/>
      <c r="U65" s="264" t="n"/>
      <c r="V65" s="264" t="n"/>
      <c r="W65" s="264" t="n"/>
      <c r="X65" s="264" t="n"/>
      <c r="Y65" s="264" t="n"/>
      <c r="Z65" s="264" t="n"/>
      <c r="AA65" s="264" t="n"/>
      <c r="AB65" s="264" t="n"/>
      <c r="AC65" s="264" t="n"/>
      <c r="AD65" s="264" t="n"/>
      <c r="AE65" s="264" t="n"/>
      <c r="AF65" s="264" t="n"/>
      <c r="AG65" s="264" t="n"/>
      <c r="AH65" s="264" t="n"/>
      <c r="AI65" s="264" t="n"/>
      <c r="AJ65" s="264" t="n"/>
      <c r="AK65" s="264" t="n"/>
      <c r="AL65" s="264" t="n"/>
      <c r="AM65" s="264" t="n"/>
      <c r="AN65" s="264" t="n"/>
      <c r="AO65" s="264" t="n"/>
      <c r="AP65" s="264" t="n"/>
      <c r="AQ65" s="264" t="n"/>
      <c r="AR65" s="158">
        <f>IF($A65="","",IF(OR($N65="Yes",$T65="Yes",$Z65="Yes",$AF65="Yes",$AL65="Yes"),"Yes","No"))</f>
        <v/>
      </c>
      <c r="AS65" s="158">
        <f>IF($A65="","",IFERROR(IF($AM65&lt;&gt;"",$AM65,IF($AG65&lt;&gt;"",$AG65,IF($AA65&lt;&gt;"",$AA65,IF($U65&lt;&gt;"",$U65,IF($O65&lt;&gt;"",$O65,""))))),""))</f>
        <v/>
      </c>
      <c r="AT65" s="158">
        <f>IFERROR(IF($AN65&lt;&gt;"",$AN65,IF($AH65&lt;&gt;"",$AH65,IF($AB65&lt;&gt;"",$AB65,IF($V65&lt;&gt;"",$V65,IF($P65&lt;&gt;"",$P65,""))))),"")</f>
        <v/>
      </c>
      <c r="AU65" s="265" t="inlineStr">
        <is>
          <t>Căn cứ: `D8.1` §D8.1 L360 — ảnh là trường tuỳ chọn.</t>
        </is>
      </c>
      <c r="AV65" s="1" t="n"/>
    </row>
    <row r="66" ht="15.75" customHeight="1" s="216">
      <c r="A66" s="160">
        <f>IF($F66="","",$C$2&amp;"."&amp;COUNTA($F$7:$F66)&amp;"")</f>
        <v/>
      </c>
      <c r="B66" s="160" t="inlineStr">
        <is>
          <t>REQ-ORD-007</t>
        </is>
      </c>
      <c r="C66" s="160" t="inlineStr">
        <is>
          <t>DOC-v1.0-01</t>
        </is>
      </c>
      <c r="D66" s="160" t="inlineStr">
        <is>
          <t>Functional</t>
        </is>
      </c>
      <c r="E66" s="160" t="inlineStr">
        <is>
          <t>Medium</t>
        </is>
      </c>
      <c r="F66" s="11" t="inlineStr">
        <is>
          <t>Check bước 2 tự điền tên và số điện thoại người gửi đúng hồ sơ tài khoản</t>
        </is>
      </c>
      <c r="G66" s="11" t="inlineStr">
        <is>
          <t>Tài khoản A trên STG có tên và SĐT trong hồ sơ nhân viên.
Test Data: Tên và SĐT từ hồ sơ nhân viên (test_data_catalog §ORD)</t>
        </is>
      </c>
      <c r="H66" s="11" t="inlineStr">
        <is>
          <t>1. Đăng nhập FoxEco bằng tài khoản A, nhấn tab "Cá nhân" và ghi lại tên hiển thị của hồ sơ. (setup)
2. Nhấn "+ Đăng tin", nhấn card "Tôi cần gửi hàng", chọn loại hàng và giá trị hàng rồi nhấn "Tiếp theo".
3. Check giá trị 2 field trong nhóm "Người gửi".</t>
        </is>
      </c>
      <c r="I66" s="11" t="inlineStr">
        <is>
          <t>3. Field tên người gửi mang đúng tên đã ghi ở bước 1; field SĐT người gửi được điền sẵn một số điện thoại.</t>
        </is>
      </c>
      <c r="J66" s="160" t="inlineStr">
        <is>
          <t>AI</t>
        </is>
      </c>
      <c r="K66" s="160" t="inlineStr">
        <is>
          <t>Pending</t>
        </is>
      </c>
      <c r="L66" s="160" t="inlineStr">
        <is>
          <t>No</t>
        </is>
      </c>
      <c r="M66" s="160" t="inlineStr"/>
      <c r="N66" s="264" t="inlineStr">
        <is>
          <t>Yes</t>
        </is>
      </c>
      <c r="O66" s="264" t="inlineStr"/>
      <c r="P66" s="264" t="inlineStr">
        <is>
          <t>Pass</t>
        </is>
      </c>
      <c r="Q66" s="264" t="inlineStr">
        <is>
          <t>GiangDC2</t>
        </is>
      </c>
      <c r="R66" s="264" t="inlineStr"/>
      <c r="S66" s="264" t="inlineStr"/>
      <c r="T66" s="264" t="n"/>
      <c r="U66" s="264" t="n"/>
      <c r="V66" s="264" t="n"/>
      <c r="W66" s="264" t="n"/>
      <c r="X66" s="264" t="n"/>
      <c r="Y66" s="264" t="n"/>
      <c r="Z66" s="264" t="n"/>
      <c r="AA66" s="264" t="n"/>
      <c r="AB66" s="264" t="n"/>
      <c r="AC66" s="264" t="n"/>
      <c r="AD66" s="264" t="n"/>
      <c r="AE66" s="264" t="n"/>
      <c r="AF66" s="264" t="n"/>
      <c r="AG66" s="264" t="n"/>
      <c r="AH66" s="264" t="n"/>
      <c r="AI66" s="264" t="n"/>
      <c r="AJ66" s="264" t="n"/>
      <c r="AK66" s="264" t="n"/>
      <c r="AL66" s="264" t="n"/>
      <c r="AM66" s="264" t="n"/>
      <c r="AN66" s="264" t="n"/>
      <c r="AO66" s="264" t="n"/>
      <c r="AP66" s="264" t="n"/>
      <c r="AQ66" s="264" t="n"/>
      <c r="AR66" s="158">
        <f>IF($A66="","",IF(OR($N66="Yes",$T66="Yes",$Z66="Yes",$AF66="Yes",$AL66="Yes"),"Yes","No"))</f>
        <v/>
      </c>
      <c r="AS66" s="158">
        <f>IF($A66="","",IFERROR(IF($AM66&lt;&gt;"",$AM66,IF($AG66&lt;&gt;"",$AG66,IF($AA66&lt;&gt;"",$AA66,IF($U66&lt;&gt;"",$U66,IF($O66&lt;&gt;"",$O66,""))))),""))</f>
        <v/>
      </c>
      <c r="AT66" s="158">
        <f>IFERROR(IF($AN66&lt;&gt;"",$AN66,IF($AH66&lt;&gt;"",$AH66,IF($AB66&lt;&gt;"",$AB66,IF($V66&lt;&gt;"",$V66,IF($P66&lt;&gt;"",$P66,""))))),"")</f>
        <v/>
      </c>
      <c r="AU66" s="265" t="inlineStr">
        <is>
          <t>Căn cứ: `D8.1` §D8.1 L362-363. ⛔ Không assert giá trị SĐT cụ thể — dữ liệu `Master` không seed được, và đang có nghi vấn tự đổi giá trị (`TC-ORD-018`).</t>
        </is>
      </c>
      <c r="AV66" s="1" t="n"/>
    </row>
    <row r="67" ht="15.75" customHeight="1" s="216">
      <c r="A67" s="160">
        <f>IF($F67="","",$C$2&amp;"."&amp;COUNTA($F$7:$F67)&amp;"")</f>
        <v/>
      </c>
      <c r="B67" s="160" t="inlineStr">
        <is>
          <t>REQ-ORD-007</t>
        </is>
      </c>
      <c r="C67" s="160" t="inlineStr">
        <is>
          <t>DOC-v1.0-01 · DOC-v1.0-06</t>
        </is>
      </c>
      <c r="D67" s="160" t="inlineStr">
        <is>
          <t>Functional</t>
        </is>
      </c>
      <c r="E67" s="160" t="inlineStr">
        <is>
          <t>Medium</t>
        </is>
      </c>
      <c r="F67" s="11" t="inlineStr">
        <is>
          <t>Check field tên người gửi chỉ đọc và không bị xoá giá trị khi chạm vào</t>
        </is>
      </c>
      <c r="G67" s="11" t="inlineStr">
        <is>
          <t>Tài khoản A trên STG có tên trong hồ sơ nhân viên.
Test Data: Tên người gửi pre-fill, chỉ đọc (test_data_catalog §ORD)</t>
        </is>
      </c>
      <c r="H67" s="11" t="inlineStr">
        <is>
          <t>1. Đăng nhập FoxEco bằng tài khoản A, nhấn "+ Đăng tin", nhấn card "Tôi cần gửi hàng", chọn loại hàng và giá trị hàng rồi nhấn "Tiếp theo". (setup)
2. Ghi lại giá trị đang có trong field tên người gửi.
3. Chạm vào field tên người gửi.
4. Check bàn phím và giá trị trong field.</t>
        </is>
      </c>
      <c r="I67" s="11" t="inlineStr">
        <is>
          <t>4. Bàn phím KHÔNG mở; giá trị trong field vẫn đúng như đã ghi ở bước 2, không bị xoá trắng và không sửa được.</t>
        </is>
      </c>
      <c r="J67" s="160" t="inlineStr">
        <is>
          <t>AI</t>
        </is>
      </c>
      <c r="K67" s="160" t="inlineStr">
        <is>
          <t>Pending</t>
        </is>
      </c>
      <c r="L67" s="160" t="inlineStr">
        <is>
          <t>No</t>
        </is>
      </c>
      <c r="M67" s="160" t="inlineStr"/>
      <c r="N67" s="264" t="inlineStr">
        <is>
          <t>Yes</t>
        </is>
      </c>
      <c r="O67" s="264" t="inlineStr"/>
      <c r="P67" s="264" t="inlineStr">
        <is>
          <t>Pass</t>
        </is>
      </c>
      <c r="Q67" s="264" t="inlineStr">
        <is>
          <t>GiangDC2</t>
        </is>
      </c>
      <c r="R67" s="264" t="inlineStr"/>
      <c r="S67" s="264" t="inlineStr"/>
      <c r="T67" s="264" t="n"/>
      <c r="U67" s="264" t="n"/>
      <c r="V67" s="264" t="n"/>
      <c r="W67" s="264" t="n"/>
      <c r="X67" s="264" t="n"/>
      <c r="Y67" s="264" t="n"/>
      <c r="Z67" s="264" t="n"/>
      <c r="AA67" s="264" t="n"/>
      <c r="AB67" s="264" t="n"/>
      <c r="AC67" s="264" t="n"/>
      <c r="AD67" s="264" t="n"/>
      <c r="AE67" s="264" t="n"/>
      <c r="AF67" s="264" t="n"/>
      <c r="AG67" s="264" t="n"/>
      <c r="AH67" s="264" t="n"/>
      <c r="AI67" s="264" t="n"/>
      <c r="AJ67" s="264" t="n"/>
      <c r="AK67" s="264" t="n"/>
      <c r="AL67" s="264" t="n"/>
      <c r="AM67" s="264" t="n"/>
      <c r="AN67" s="264" t="n"/>
      <c r="AO67" s="264" t="n"/>
      <c r="AP67" s="264" t="n"/>
      <c r="AQ67" s="264" t="n"/>
      <c r="AR67" s="158">
        <f>IF($A67="","",IF(OR($N67="Yes",$T67="Yes",$Z67="Yes",$AF67="Yes",$AL67="Yes"),"Yes","No"))</f>
        <v/>
      </c>
      <c r="AS67" s="158">
        <f>IF($A67="","",IFERROR(IF($AM67&lt;&gt;"",$AM67,IF($AG67&lt;&gt;"",$AG67,IF($AA67&lt;&gt;"",$AA67,IF($U67&lt;&gt;"",$U67,IF($O67&lt;&gt;"",$O67,""))))),""))</f>
        <v/>
      </c>
      <c r="AT67" s="158">
        <f>IFERROR(IF($AN67&lt;&gt;"",$AN67,IF($AH67&lt;&gt;"",$AH67,IF($AB67&lt;&gt;"",$AB67,IF($V67&lt;&gt;"",$V67,IF($P67&lt;&gt;"",$P67,""))))),"")</f>
        <v/>
      </c>
      <c r="AU67" s="265" t="inlineStr">
        <is>
          <t>Căn cứ: `D8.1` §D8.1 L362 ghi rõ "Chỉ đọc". ⚠ Dự kiến FAIL — `KP-01` §10.5 đã live-verify app cho sửa và **xoá trắng khi chạm**, không tự phục hồi trong phiên ⇒ **log bug** (`KP-05 §5` #1), ⛔ không hạ chuẩn TC theo hành vi app.</t>
        </is>
      </c>
      <c r="AV67" s="1" t="n"/>
    </row>
    <row r="68" ht="15.75" customHeight="1" s="216">
      <c r="A68" s="160">
        <f>IF($F68="","",$C$2&amp;"."&amp;COUNTA($F$7:$F68)&amp;"")</f>
        <v/>
      </c>
      <c r="B68" s="160" t="inlineStr">
        <is>
          <t>REQ-ORD-007</t>
        </is>
      </c>
      <c r="C68" s="160" t="inlineStr">
        <is>
          <t>DOC-v1.0-01 · DOC-v1.0-06</t>
        </is>
      </c>
      <c r="D68" s="160" t="inlineStr">
        <is>
          <t>Functional</t>
        </is>
      </c>
      <c r="E68" s="160" t="inlineStr">
        <is>
          <t>Medium</t>
        </is>
      </c>
      <c r="F68" s="11" t="inlineStr">
        <is>
          <t>Check field địa chỉ lấy hàng được điền sẵn theo nơi làm việc trong hồ sơ</t>
        </is>
      </c>
      <c r="G68" s="11" t="inlineStr">
        <is>
          <t>Tài khoản A trên STG có nơi làm việc trong hồ sơ nhân viên.
Test Data: Địa chỉ lấy hàng pre-fill theo nơi làm việc (test_data_catalog §ORD)</t>
        </is>
      </c>
      <c r="H68" s="11" t="inlineStr">
        <is>
          <t>1. Đăng nhập FoxEco bằng tài khoản A, nhấn tab "Cá nhân" và check hồ sơ có thông tin nơi làm việc. (setup)
2. Nhấn "+ Đăng tin", nhấn card "Tôi cần gửi hàng", chọn loại hàng và giá trị hàng rồi nhấn "Tiếp theo".
3. Check giá trị field địa chỉ lấy hàng.</t>
        </is>
      </c>
      <c r="I68" s="11" t="inlineStr">
        <is>
          <t>3. Field địa chỉ lấy hàng được điền sẵn địa chỉ nơi làm việc của tài khoản, không phải chỉ có placeholder.</t>
        </is>
      </c>
      <c r="J68" s="160" t="inlineStr">
        <is>
          <t>AI</t>
        </is>
      </c>
      <c r="K68" s="160" t="inlineStr">
        <is>
          <t>Pending</t>
        </is>
      </c>
      <c r="L68" s="160" t="inlineStr">
        <is>
          <t>No</t>
        </is>
      </c>
      <c r="M68" s="160" t="inlineStr"/>
      <c r="N68" s="264" t="inlineStr">
        <is>
          <t>Yes</t>
        </is>
      </c>
      <c r="O68" s="264" t="inlineStr"/>
      <c r="P68" s="264" t="inlineStr">
        <is>
          <t>Fail</t>
        </is>
      </c>
      <c r="Q68" s="264" t="inlineStr">
        <is>
          <t>GiangDC2</t>
        </is>
      </c>
      <c r="R68" s="264" t="inlineStr">
        <is>
          <t>FE-305</t>
        </is>
      </c>
      <c r="S68" s="264" t="inlineStr"/>
      <c r="T68" s="264" t="n"/>
      <c r="U68" s="264" t="n"/>
      <c r="V68" s="264" t="n"/>
      <c r="W68" s="264" t="n"/>
      <c r="X68" s="264" t="n"/>
      <c r="Y68" s="264" t="n"/>
      <c r="Z68" s="264" t="n"/>
      <c r="AA68" s="264" t="n"/>
      <c r="AB68" s="264" t="n"/>
      <c r="AC68" s="264" t="n"/>
      <c r="AD68" s="264" t="n"/>
      <c r="AE68" s="264" t="n"/>
      <c r="AF68" s="264" t="n"/>
      <c r="AG68" s="264" t="n"/>
      <c r="AH68" s="264" t="n"/>
      <c r="AI68" s="264" t="n"/>
      <c r="AJ68" s="264" t="n"/>
      <c r="AK68" s="264" t="n"/>
      <c r="AL68" s="264" t="n"/>
      <c r="AM68" s="264" t="n"/>
      <c r="AN68" s="264" t="n"/>
      <c r="AO68" s="264" t="n"/>
      <c r="AP68" s="264" t="n"/>
      <c r="AQ68" s="264" t="n"/>
      <c r="AR68" s="158">
        <f>IF($A68="","",IF(OR($N68="Yes",$T68="Yes",$Z68="Yes",$AF68="Yes",$AL68="Yes"),"Yes","No"))</f>
        <v/>
      </c>
      <c r="AS68" s="158">
        <f>IF($A68="","",IFERROR(IF($AM68&lt;&gt;"",$AM68,IF($AG68&lt;&gt;"",$AG68,IF($AA68&lt;&gt;"",$AA68,IF($U68&lt;&gt;"",$U68,IF($O68&lt;&gt;"",$O68,""))))),""))</f>
        <v/>
      </c>
      <c r="AT68" s="158">
        <f>IFERROR(IF($AN68&lt;&gt;"",$AN68,IF($AH68&lt;&gt;"",$AH68,IF($AB68&lt;&gt;"",$AB68,IF($V68&lt;&gt;"",$V68,IF($P68&lt;&gt;"",$P68,""))))),"")</f>
        <v/>
      </c>
      <c r="AU68" s="265" t="inlineStr">
        <is>
          <t>Mục đích: neo vào `C-ORD-10` Open — quyết định đây là **bug hay tài khoản test chưa cấu hình**. · Căn cứ: `D8.1` §D8.1 L364. ⚠ Dự kiến FAIL — `KP-01` §10.6 ghi app để trống, chỉ có placeholder (`VR-002 TC_04.21` FAIL). ⇒ **Xác nhận với dev trước khi log bug**: nếu hồ sơ tài khoản test thiếu nơi làm việc thì là lỗi dữ liệu test, không phải bug app.</t>
        </is>
      </c>
      <c r="AV68" s="1" t="n"/>
    </row>
    <row r="69" ht="15.75" customHeight="1" s="216">
      <c r="A69" s="160">
        <f>IF($F69="","",$C$2&amp;"."&amp;COUNTA($F$7:$F69)&amp;"")</f>
        <v/>
      </c>
      <c r="B69" s="160" t="inlineStr">
        <is>
          <t>REQ-ORD-007</t>
        </is>
      </c>
      <c r="C69" s="160" t="inlineStr">
        <is>
          <t>DOC-v1.0-06</t>
        </is>
      </c>
      <c r="D69" s="160" t="inlineStr">
        <is>
          <t>Functional</t>
        </is>
      </c>
      <c r="E69" s="160" t="inlineStr">
        <is>
          <t>Low</t>
        </is>
      </c>
      <c r="F69" s="11" t="inlineStr">
        <is>
          <t>Check số điện thoại người gửi không tự đổi giá trị trong cùng một phiên nhập liệu</t>
        </is>
      </c>
      <c r="G69" s="11" t="inlineStr">
        <is>
          <t>Tài khoản A trên STG có SĐT trong hồ sơ nhân viên.
Test Data: SĐT người gửi pre-fill (test_data_catalog §ORD)</t>
        </is>
      </c>
      <c r="H69" s="11" t="inlineStr">
        <is>
          <t>1. Đăng nhập FoxEco bằng tài khoản A, nhấn "+ Đăng tin", nhấn card "Tôi cần gửi hàng", chọn loại hàng và giá trị hàng rồi nhấn "Tiếp theo". (setup)
2. Ghi lại giá trị SĐT người gửi đang hiển thị.
3. Nhập email người nhận, nhập địa chỉ lấy hàng và địa chỉ giao hàng, chọn ngày và khung giờ.
4. Cuộn lại nhóm "Người gửi" và check giá trị SĐT.</t>
        </is>
      </c>
      <c r="I69" s="11" t="inlineStr">
        <is>
          <t>4. Giá trị SĐT người gửi vẫn đúng như đã ghi ở bước 2.</t>
        </is>
      </c>
      <c r="J69" s="160" t="inlineStr">
        <is>
          <t>AI</t>
        </is>
      </c>
      <c r="K69" s="160" t="inlineStr">
        <is>
          <t>Pending</t>
        </is>
      </c>
      <c r="L69" s="160" t="inlineStr">
        <is>
          <t>No</t>
        </is>
      </c>
      <c r="M69" s="160" t="inlineStr"/>
      <c r="N69" s="264" t="inlineStr">
        <is>
          <t>Yes</t>
        </is>
      </c>
      <c r="O69" s="264" t="inlineStr"/>
      <c r="P69" s="264" t="inlineStr">
        <is>
          <t>Pass</t>
        </is>
      </c>
      <c r="Q69" s="264" t="inlineStr">
        <is>
          <t>GiangDC2</t>
        </is>
      </c>
      <c r="R69" s="264" t="inlineStr"/>
      <c r="S69" s="264" t="inlineStr"/>
      <c r="T69" s="264" t="n"/>
      <c r="U69" s="264" t="n"/>
      <c r="V69" s="264" t="n"/>
      <c r="W69" s="264" t="n"/>
      <c r="X69" s="264" t="n"/>
      <c r="Y69" s="264" t="n"/>
      <c r="Z69" s="264" t="n"/>
      <c r="AA69" s="264" t="n"/>
      <c r="AB69" s="264" t="n"/>
      <c r="AC69" s="264" t="n"/>
      <c r="AD69" s="264" t="n"/>
      <c r="AE69" s="264" t="n"/>
      <c r="AF69" s="264" t="n"/>
      <c r="AG69" s="264" t="n"/>
      <c r="AH69" s="264" t="n"/>
      <c r="AI69" s="264" t="n"/>
      <c r="AJ69" s="264" t="n"/>
      <c r="AK69" s="264" t="n"/>
      <c r="AL69" s="264" t="n"/>
      <c r="AM69" s="264" t="n"/>
      <c r="AN69" s="264" t="n"/>
      <c r="AO69" s="264" t="n"/>
      <c r="AP69" s="264" t="n"/>
      <c r="AQ69" s="264" t="n"/>
      <c r="AR69" s="158">
        <f>IF($A69="","",IF(OR($N69="Yes",$T69="Yes",$Z69="Yes",$AF69="Yes",$AL69="Yes"),"Yes","No"))</f>
        <v/>
      </c>
      <c r="AS69" s="158">
        <f>IF($A69="","",IFERROR(IF($AM69&lt;&gt;"",$AM69,IF($AG69&lt;&gt;"",$AG69,IF($AA69&lt;&gt;"",$AA69,IF($U69&lt;&gt;"",$U69,IF($O69&lt;&gt;"",$O69,""))))),""))</f>
        <v/>
      </c>
      <c r="AT69" s="158">
        <f>IFERROR(IF($AN69&lt;&gt;"",$AN69,IF($AH69&lt;&gt;"",$AH69,IF($AB69&lt;&gt;"",$AB69,IF($V69&lt;&gt;"",$V69,IF($P69&lt;&gt;"",$P69,""))))),"")</f>
        <v/>
      </c>
      <c r="AU69" s="265" t="inlineStr">
        <is>
          <t>Mục đích: chốt bằng TC nghi vấn đã quan sát 1 lần — SĐT tự đổi từ `0000142378` sang `0964633313` giữa phiên. · Căn cứ: `KB-VIBE-09` (`KP-01` §10.10). Nếu tái hiện ⇒ **log bug** (`KP-05 §5` #5).</t>
        </is>
      </c>
      <c r="AV69" s="1" t="n"/>
    </row>
    <row r="70" ht="15.75" customHeight="1" s="216">
      <c r="A70" s="160">
        <f>IF($F70="","",$C$2&amp;"."&amp;COUNTA($F$7:$F70)&amp;"")</f>
        <v/>
      </c>
      <c r="B70" s="160" t="inlineStr">
        <is>
          <t>REQ-ORD-008</t>
        </is>
      </c>
      <c r="C70" s="160" t="inlineStr">
        <is>
          <t>DOC-v1.0-01</t>
        </is>
      </c>
      <c r="D70" s="160" t="inlineStr">
        <is>
          <t>Functional</t>
        </is>
      </c>
      <c r="E70" s="160" t="inlineStr">
        <is>
          <t>High</t>
        </is>
      </c>
      <c r="F70" s="11" t="inlineStr">
        <is>
          <t>Check nhập email nội bộ tra được tự điền ba trường người nhận kèm thông báo tìm thấy</t>
        </is>
      </c>
      <c r="G70" s="11" t="inlineStr">
        <is>
          <t>Tài khoản A trên STG.
- Email nội bộ `stag_anhdc4@fpt.com` tồn tại trong danh bạ STG.
Test Data: Email nội bộ tra được `stag_anhdc4@fpt.com` (test_data_catalog §ORD)</t>
        </is>
      </c>
      <c r="H70" s="11" t="inlineStr">
        <is>
          <t>1. Đăng nhập FoxEco bằng tài khoản A, nhấn "+ Đăng tin", nhấn card "Tôi cần gửi hàng", chọn loại hàng và giá trị hàng rồi nhấn "Tiếp theo". (setup)
2. Nhập "stag_anhdc4@fpt.com" vào ô "Email công ty người nhận".
3. Rời khỏi ô email.
4. Check thông báo hiện ra và giá trị 3 field người nhận.</t>
        </is>
      </c>
      <c r="I70" s="11" t="inlineStr">
        <is>
          <t>4. Hiện thông báo "Đã tìm thấy trong hệ thống nội bộ"; các field tên người nhận, SĐT người nhận và địa chỉ người nhận được điền sẵn giá trị từ danh bạ.</t>
        </is>
      </c>
      <c r="J70" s="160" t="inlineStr">
        <is>
          <t>AI</t>
        </is>
      </c>
      <c r="K70" s="160" t="inlineStr">
        <is>
          <t>Pending</t>
        </is>
      </c>
      <c r="L70" s="160" t="inlineStr">
        <is>
          <t>No</t>
        </is>
      </c>
      <c r="M70" s="160" t="inlineStr"/>
      <c r="N70" s="264" t="inlineStr">
        <is>
          <t>Yes</t>
        </is>
      </c>
      <c r="O70" s="264" t="inlineStr"/>
      <c r="P70" s="264" t="inlineStr">
        <is>
          <t>Fail</t>
        </is>
      </c>
      <c r="Q70" s="264" t="inlineStr">
        <is>
          <t>GiangDC2</t>
        </is>
      </c>
      <c r="R70" s="264" t="inlineStr">
        <is>
          <t>FE-305</t>
        </is>
      </c>
      <c r="S70" s="264" t="inlineStr"/>
      <c r="T70" s="264" t="n"/>
      <c r="U70" s="264" t="n"/>
      <c r="V70" s="264" t="n"/>
      <c r="W70" s="264" t="n"/>
      <c r="X70" s="264" t="n"/>
      <c r="Y70" s="264" t="n"/>
      <c r="Z70" s="264" t="n"/>
      <c r="AA70" s="264" t="n"/>
      <c r="AB70" s="264" t="n"/>
      <c r="AC70" s="264" t="n"/>
      <c r="AD70" s="264" t="n"/>
      <c r="AE70" s="264" t="n"/>
      <c r="AF70" s="264" t="n"/>
      <c r="AG70" s="264" t="n"/>
      <c r="AH70" s="264" t="n"/>
      <c r="AI70" s="264" t="n"/>
      <c r="AJ70" s="264" t="n"/>
      <c r="AK70" s="264" t="n"/>
      <c r="AL70" s="264" t="n"/>
      <c r="AM70" s="264" t="n"/>
      <c r="AN70" s="264" t="n"/>
      <c r="AO70" s="264" t="n"/>
      <c r="AP70" s="264" t="n"/>
      <c r="AQ70" s="264" t="n"/>
      <c r="AR70" s="158">
        <f>IF($A70="","",IF(OR($N70="Yes",$T70="Yes",$Z70="Yes",$AF70="Yes",$AL70="Yes"),"Yes","No"))</f>
        <v/>
      </c>
      <c r="AS70" s="158">
        <f>IF($A70="","",IFERROR(IF($AM70&lt;&gt;"",$AM70,IF($AG70&lt;&gt;"",$AG70,IF($AA70&lt;&gt;"",$AA70,IF($U70&lt;&gt;"",$U70,IF($O70&lt;&gt;"",$O70,""))))),""))</f>
        <v/>
      </c>
      <c r="AT70" s="158">
        <f>IFERROR(IF($AN70&lt;&gt;"",$AN70,IF($AH70&lt;&gt;"",$AH70,IF($AB70&lt;&gt;"",$AB70,IF($V70&lt;&gt;"",$V70,IF($P70&lt;&gt;"",$P70,""))))),"")</f>
        <v/>
      </c>
      <c r="AU70" s="265" t="inlineStr">
        <is>
          <t>Mục đích: cặp đối chứng dương với TC-ORD-020. · Căn cứ: `USR-EML` §D3 L253 + `US-D18` §D1b L168.</t>
        </is>
      </c>
      <c r="AV70" s="1" t="n"/>
    </row>
    <row r="71" ht="15.75" customHeight="1" s="216">
      <c r="A71" s="160">
        <f>IF($F71="","",$C$2&amp;"."&amp;COUNTA($F$7:$F71)&amp;"")</f>
        <v/>
      </c>
      <c r="B71" s="160" t="inlineStr">
        <is>
          <t>REQ-ORD-008</t>
        </is>
      </c>
      <c r="C71" s="160" t="inlineStr">
        <is>
          <t>DOC-v1.0-01</t>
        </is>
      </c>
      <c r="D71" s="160" t="inlineStr">
        <is>
          <t>Functional</t>
        </is>
      </c>
      <c r="E71" s="160" t="inlineStr">
        <is>
          <t>Medium</t>
        </is>
      </c>
      <c r="F71" s="11" t="inlineStr">
        <is>
          <t>Check nhập email nội bộ không tra được hiện thông báo nhập thủ công và để trống ba trường người nhận</t>
        </is>
      </c>
      <c r="G71" s="11" t="inlineStr">
        <is>
          <t>Tài khoản A trên STG.
- Có 1 email đúng định dạng nội bộ nhưng KHÔNG tồn tại trong danh bạ STG.
Test Data: Email nội bộ không có trong danh bạ (test_data_catalog §ORD, biên)</t>
        </is>
      </c>
      <c r="H71" s="11" t="inlineStr">
        <is>
          <t>1. Đăng nhập FoxEco bằng tài khoản A, nhấn "+ Đăng tin", nhấn card "Tôi cần gửi hàng", chọn loại hàng và giá trị hàng rồi nhấn "Tiếp theo". (setup)
2. Nhập email nội bộ không tồn tại trong danh bạ vào ô "Email công ty người nhận".
3. Rời khỏi ô email.
4. Check thông báo hiện ra và giá trị 3 field người nhận.</t>
        </is>
      </c>
      <c r="I71" s="11" t="inlineStr">
        <is>
          <t>4. Hiện thông báo "Không tìm thấy · nhập thủ công"; 3 field tên, SĐT và địa chỉ người nhận để trống cho người dùng tự nhập.</t>
        </is>
      </c>
      <c r="J71" s="160" t="inlineStr">
        <is>
          <t>AI</t>
        </is>
      </c>
      <c r="K71" s="160" t="inlineStr">
        <is>
          <t>Pending</t>
        </is>
      </c>
      <c r="L71" s="160" t="inlineStr">
        <is>
          <t>No</t>
        </is>
      </c>
      <c r="M71" s="160" t="inlineStr"/>
      <c r="N71" s="264" t="inlineStr">
        <is>
          <t>Yes</t>
        </is>
      </c>
      <c r="O71" s="264" t="inlineStr"/>
      <c r="P71" s="264" t="inlineStr">
        <is>
          <t>Pass</t>
        </is>
      </c>
      <c r="Q71" s="264" t="inlineStr">
        <is>
          <t>GiangDC2</t>
        </is>
      </c>
      <c r="R71" s="264" t="inlineStr"/>
      <c r="S71" s="264" t="inlineStr"/>
      <c r="T71" s="264" t="n"/>
      <c r="U71" s="264" t="n"/>
      <c r="V71" s="264" t="n"/>
      <c r="W71" s="264" t="n"/>
      <c r="X71" s="264" t="n"/>
      <c r="Y71" s="264" t="n"/>
      <c r="Z71" s="264" t="n"/>
      <c r="AA71" s="264" t="n"/>
      <c r="AB71" s="264" t="n"/>
      <c r="AC71" s="264" t="n"/>
      <c r="AD71" s="264" t="n"/>
      <c r="AE71" s="264" t="n"/>
      <c r="AF71" s="264" t="n"/>
      <c r="AG71" s="264" t="n"/>
      <c r="AH71" s="264" t="n"/>
      <c r="AI71" s="264" t="n"/>
      <c r="AJ71" s="264" t="n"/>
      <c r="AK71" s="264" t="n"/>
      <c r="AL71" s="264" t="n"/>
      <c r="AM71" s="264" t="n"/>
      <c r="AN71" s="264" t="n"/>
      <c r="AO71" s="264" t="n"/>
      <c r="AP71" s="264" t="n"/>
      <c r="AQ71" s="264" t="n"/>
      <c r="AR71" s="158">
        <f>IF($A71="","",IF(OR($N71="Yes",$T71="Yes",$Z71="Yes",$AF71="Yes",$AL71="Yes"),"Yes","No"))</f>
        <v/>
      </c>
      <c r="AS71" s="158">
        <f>IF($A71="","",IFERROR(IF($AM71&lt;&gt;"",$AM71,IF($AG71&lt;&gt;"",$AG71,IF($AA71&lt;&gt;"",$AA71,IF($U71&lt;&gt;"",$U71,IF($O71&lt;&gt;"",$O71,""))))),""))</f>
        <v/>
      </c>
      <c r="AT71" s="158">
        <f>IFERROR(IF($AN71&lt;&gt;"",$AN71,IF($AH71&lt;&gt;"",$AH71,IF($AB71&lt;&gt;"",$AB71,IF($V71&lt;&gt;"",$V71,IF($P71&lt;&gt;"",$P71,""))))),"")</f>
        <v/>
      </c>
      <c r="AU71" s="265" t="inlineStr">
        <is>
          <t>Mục đích: cặp đối chứng âm với TC-ORD-019 — phân biệt "không tra thấy" với "email sai định dạng" ở TC-ORD-021. · Căn cứ: `US-D18` §D1b L168 + `D8.1` L366.</t>
        </is>
      </c>
      <c r="AV71" s="1" t="n"/>
    </row>
    <row r="72" ht="15.75" customHeight="1" s="216">
      <c r="A72" s="160">
        <f>IF($F72="","",$C$2&amp;"."&amp;COUNTA($F$7:$F72)&amp;"")</f>
        <v/>
      </c>
      <c r="B72" s="160" t="inlineStr">
        <is>
          <t>REQ-ORD-008</t>
        </is>
      </c>
      <c r="C72" s="160" t="inlineStr">
        <is>
          <t>DOC-v1.0-01</t>
        </is>
      </c>
      <c r="D72" s="160" t="inlineStr">
        <is>
          <t>Functional</t>
        </is>
      </c>
      <c r="E72" s="160" t="inlineStr">
        <is>
          <t>Medium</t>
        </is>
      </c>
      <c r="F72" s="11" t="inlineStr">
        <is>
          <t>Check email sai định dạng và email ngoài tên miền nội bộ đều bị báo lỗi và không tra danh bạ</t>
        </is>
      </c>
      <c r="G72" s="11" t="inlineStr">
        <is>
          <t>Tài khoản A trên STG.
Test Data: Email thiếu "@" và email ngoài tên miền nội bộ (test_data_catalog §ORD)</t>
        </is>
      </c>
      <c r="H72" s="11" t="inlineStr">
        <is>
          <t>1. Đăng nhập FoxEco bằng tài khoản A, nhấn "+ Đăng tin", nhấn card "Tôi cần gửi hàng", chọn loại hàng và giá trị hàng rồi nhấn "Tiếp theo". (setup)
2. Nhập chuỗi email thiếu ký tự "@" vào ô "Email công ty người nhận" rồi rời ô.
3. Check thông báo và giá trị 3 field người nhận.
4. Nhập 1 email đúng định dạng nhưng ngoài tên miền nội bộ rồi rời ô.
5. Check thông báo và giá trị 3 field người nhận.</t>
        </is>
      </c>
      <c r="I72" s="11" t="inlineStr">
        <is>
          <t>3. Hiện thông báo lỗi cho ô email; 3 field người nhận không được tự điền.
5. Hiện thông báo lỗi cho ô email; 3 field người nhận không được tự điền.</t>
        </is>
      </c>
      <c r="J72" s="160" t="inlineStr">
        <is>
          <t>AI</t>
        </is>
      </c>
      <c r="K72" s="160" t="inlineStr">
        <is>
          <t>Pending</t>
        </is>
      </c>
      <c r="L72" s="160" t="inlineStr">
        <is>
          <t>No</t>
        </is>
      </c>
      <c r="M72" s="160" t="inlineStr"/>
      <c r="N72" s="264" t="inlineStr">
        <is>
          <t>Yes</t>
        </is>
      </c>
      <c r="O72" s="264" t="inlineStr"/>
      <c r="P72" s="264" t="inlineStr">
        <is>
          <t>Fail</t>
        </is>
      </c>
      <c r="Q72" s="264" t="inlineStr">
        <is>
          <t>GiangDC2</t>
        </is>
      </c>
      <c r="R72" s="264" t="inlineStr">
        <is>
          <t>FE-301</t>
        </is>
      </c>
      <c r="S72" s="264" t="inlineStr"/>
      <c r="T72" s="264" t="n"/>
      <c r="U72" s="264" t="n"/>
      <c r="V72" s="264" t="n"/>
      <c r="W72" s="264" t="n"/>
      <c r="X72" s="264" t="n"/>
      <c r="Y72" s="264" t="n"/>
      <c r="Z72" s="264" t="n"/>
      <c r="AA72" s="264" t="n"/>
      <c r="AB72" s="264" t="n"/>
      <c r="AC72" s="264" t="n"/>
      <c r="AD72" s="264" t="n"/>
      <c r="AE72" s="264" t="n"/>
      <c r="AF72" s="264" t="n"/>
      <c r="AG72" s="264" t="n"/>
      <c r="AH72" s="264" t="n"/>
      <c r="AI72" s="264" t="n"/>
      <c r="AJ72" s="264" t="n"/>
      <c r="AK72" s="264" t="n"/>
      <c r="AL72" s="264" t="n"/>
      <c r="AM72" s="264" t="n"/>
      <c r="AN72" s="264" t="n"/>
      <c r="AO72" s="264" t="n"/>
      <c r="AP72" s="264" t="n"/>
      <c r="AQ72" s="264" t="n"/>
      <c r="AR72" s="158">
        <f>IF($A72="","",IF(OR($N72="Yes",$T72="Yes",$Z72="Yes",$AF72="Yes",$AL72="Yes"),"Yes","No"))</f>
        <v/>
      </c>
      <c r="AS72" s="158">
        <f>IF($A72="","",IFERROR(IF($AM72&lt;&gt;"",$AM72,IF($AG72&lt;&gt;"",$AG72,IF($AA72&lt;&gt;"",$AA72,IF($U72&lt;&gt;"",$U72,IF($O72&lt;&gt;"",$O72,""))))),""))</f>
        <v/>
      </c>
      <c r="AT72" s="158">
        <f>IFERROR(IF($AN72&lt;&gt;"",$AN72,IF($AH72&lt;&gt;"",$AH72,IF($AB72&lt;&gt;"",$AB72,IF($V72&lt;&gt;"",$V72,IF($P72&lt;&gt;"",$P72,""))))),"")</f>
        <v/>
      </c>
      <c r="AU72" s="265" t="inlineStr">
        <is>
          <t>Căn cứ: `D8.1` §D8.1 L366 — 2 lớp lỗi cùng field, cùng hệ quả "không tra danh bạ" nên giữ trong 1 TC với 2 dòng expected riêng.</t>
        </is>
      </c>
      <c r="AV72" s="1" t="n"/>
    </row>
    <row r="73" ht="15.75" customHeight="1" s="216">
      <c r="A73" s="160">
        <f>IF($F73="","",$C$2&amp;"."&amp;COUNTA($F$7:$F73)&amp;"")</f>
        <v/>
      </c>
      <c r="B73" s="160" t="inlineStr">
        <is>
          <t>REQ-ORD-008</t>
        </is>
      </c>
      <c r="C73" s="160" t="inlineStr">
        <is>
          <t>DOC-v1.0-06</t>
        </is>
      </c>
      <c r="D73" s="160" t="inlineStr">
        <is>
          <t>Functional</t>
        </is>
      </c>
      <c r="E73" s="160" t="inlineStr">
        <is>
          <t>Medium</t>
        </is>
      </c>
      <c r="F73" s="11" t="inlineStr">
        <is>
          <t>Check số điện thoại người nhận do app tự điền từ danh bạ được chấp nhận là hợp lệ</t>
        </is>
      </c>
      <c r="G73" s="11" t="inlineStr">
        <is>
          <t>Tài khoản A trên STG.
- Email nội bộ `stag_anhdc4@fpt.com` tồn tại trong danh bạ STG.
Test Data: SĐT người nhận do app auto-fill, vd `0000286248` (test_data_catalog §ORD)</t>
        </is>
      </c>
      <c r="H73" s="11" t="inlineStr">
        <is>
          <t>1. Đăng nhập FoxEco bằng tài khoản A, nhấn "+ Đăng tin", nhấn card "Tôi cần gửi hàng", chọn loại hàng và giá trị hàng rồi nhấn "Tiếp theo". (setup)
2. Nhập "stag_anhdc4@fpt.com" vào ô "Email công ty người nhận" và rời ô để app tự điền thông tin người nhận. (setup)
3. Không sửa field SĐT người nhận, ghi lại giá trị app vừa điền.
4. Nhập địa chỉ lấy hàng và địa chỉ giao hàng, chọn ngày và khung giờ hợp lệ, rồi nhấn "Tiếp theo".</t>
        </is>
      </c>
      <c r="I73" s="11" t="inlineStr">
        <is>
          <t>4. Không có thông báo lỗi trên field SĐT người nhận; wizard chuyển sang bước 3.</t>
        </is>
      </c>
      <c r="J73" s="160" t="inlineStr">
        <is>
          <t>AI</t>
        </is>
      </c>
      <c r="K73" s="160" t="inlineStr">
        <is>
          <t>Pending</t>
        </is>
      </c>
      <c r="L73" s="160" t="inlineStr">
        <is>
          <t>No</t>
        </is>
      </c>
      <c r="M73" s="160" t="inlineStr"/>
      <c r="N73" s="264" t="inlineStr">
        <is>
          <t>Yes</t>
        </is>
      </c>
      <c r="O73" s="264" t="inlineStr"/>
      <c r="P73" s="264" t="inlineStr">
        <is>
          <t>Pass</t>
        </is>
      </c>
      <c r="Q73" s="264" t="inlineStr">
        <is>
          <t>GiangDC2</t>
        </is>
      </c>
      <c r="R73" s="264" t="inlineStr"/>
      <c r="S73" s="264" t="inlineStr"/>
      <c r="T73" s="264" t="n"/>
      <c r="U73" s="264" t="n"/>
      <c r="V73" s="264" t="n"/>
      <c r="W73" s="264" t="n"/>
      <c r="X73" s="264" t="n"/>
      <c r="Y73" s="264" t="n"/>
      <c r="Z73" s="264" t="n"/>
      <c r="AA73" s="264" t="n"/>
      <c r="AB73" s="264" t="n"/>
      <c r="AC73" s="264" t="n"/>
      <c r="AD73" s="264" t="n"/>
      <c r="AE73" s="264" t="n"/>
      <c r="AF73" s="264" t="n"/>
      <c r="AG73" s="264" t="n"/>
      <c r="AH73" s="264" t="n"/>
      <c r="AI73" s="264" t="n"/>
      <c r="AJ73" s="264" t="n"/>
      <c r="AK73" s="264" t="n"/>
      <c r="AL73" s="264" t="n"/>
      <c r="AM73" s="264" t="n"/>
      <c r="AN73" s="264" t="n"/>
      <c r="AO73" s="264" t="n"/>
      <c r="AP73" s="264" t="n"/>
      <c r="AQ73" s="264" t="n"/>
      <c r="AR73" s="158">
        <f>IF($A73="","",IF(OR($N73="Yes",$T73="Yes",$Z73="Yes",$AF73="Yes",$AL73="Yes"),"Yes","No"))</f>
        <v/>
      </c>
      <c r="AS73" s="158">
        <f>IF($A73="","",IFERROR(IF($AM73&lt;&gt;"",$AM73,IF($AG73&lt;&gt;"",$AG73,IF($AA73&lt;&gt;"",$AA73,IF($U73&lt;&gt;"",$U73,IF($O73&lt;&gt;"",$O73,""))))),""))</f>
        <v/>
      </c>
      <c r="AT73" s="158">
        <f>IFERROR(IF($AN73&lt;&gt;"",$AN73,IF($AH73&lt;&gt;"",$AH73,IF($AB73&lt;&gt;"",$AB73,IF($V73&lt;&gt;"",$V73,IF($P73&lt;&gt;"",$P73,""))))),"")</f>
        <v/>
      </c>
      <c r="AU73" s="265" t="inlineStr">
        <is>
          <t>Mục đích: dữ liệu do chính app điền phải qua được validate của chính nó. · Căn cứ: `KB-VIBE-08` (`KP-01` §10.9). ⚠ Dự kiến FAIL — app báo "Số điện thoại không hợp lệ" cho `0000286248` do chính nó điền ⇒ **log bug** (`KP-05 §5` #4); bug có thể ở tầng dữ liệu danh bạ hoặc tầng validate, ghi rõ cả 2 khả năng khi log.</t>
        </is>
      </c>
      <c r="AV73" s="1" t="n"/>
    </row>
    <row r="74" ht="15.75" customHeight="1" s="216">
      <c r="A74" s="160">
        <f>IF($F74="","",$C$2&amp;"."&amp;COUNTA($F$7:$F74)&amp;"")</f>
        <v/>
      </c>
      <c r="B74" s="160" t="inlineStr">
        <is>
          <t>REQ-ORD-009</t>
        </is>
      </c>
      <c r="C74" s="160" t="inlineStr">
        <is>
          <t>DOC-v1.0-06 · DOC-v1.0-02</t>
        </is>
      </c>
      <c r="D74" s="160" t="inlineStr">
        <is>
          <t>Functional</t>
        </is>
      </c>
      <c r="E74" s="160" t="inlineStr">
        <is>
          <t>High</t>
        </is>
      </c>
      <c r="F74" s="11" t="inlineStr">
        <is>
          <t>Check để trống toàn bộ nhóm người nhận thì bị chặn không qua được bước 3</t>
        </is>
      </c>
      <c r="G74" s="11" t="inlineStr">
        <is>
          <t>Tài khoản A trên STG.
Test Data: Nhóm người nhận để trống (test_data_catalog §ORD)</t>
        </is>
      </c>
      <c r="H74" s="11" t="inlineStr">
        <is>
          <t>1. Đăng nhập FoxEco bằng tài khoản A, nhấn "+ Đăng tin", nhấn card "Tôi cần gửi hàng", chọn loại hàng và giá trị hàng rồi nhấn "Tiếp theo". (setup)
2. Để trống ô email người nhận và cả 3 field tên, SĐT, địa chỉ người nhận.
3. Nhập địa chỉ lấy hàng, chọn ngày và khung giờ hợp lệ.
4. Nhấn "Tiếp theo".</t>
        </is>
      </c>
      <c r="I74" s="11" t="inlineStr">
        <is>
          <t>4. Wizard KHÔNG chuyển sang bước 3; hiện thông báo lỗi ở nhóm "Người nhận".</t>
        </is>
      </c>
      <c r="J74" s="160" t="inlineStr">
        <is>
          <t>AI</t>
        </is>
      </c>
      <c r="K74" s="160" t="inlineStr">
        <is>
          <t>Pending</t>
        </is>
      </c>
      <c r="L74" s="160" t="inlineStr">
        <is>
          <t>No</t>
        </is>
      </c>
      <c r="M74" s="160" t="inlineStr"/>
      <c r="N74" s="264" t="inlineStr">
        <is>
          <t>Yes</t>
        </is>
      </c>
      <c r="O74" s="264" t="inlineStr"/>
      <c r="P74" s="264" t="inlineStr">
        <is>
          <t>Fail</t>
        </is>
      </c>
      <c r="Q74" s="264" t="inlineStr">
        <is>
          <t>GiangDC2</t>
        </is>
      </c>
      <c r="R74" s="264" t="inlineStr">
        <is>
          <t>FE-301</t>
        </is>
      </c>
      <c r="S74" s="264" t="inlineStr"/>
      <c r="T74" s="264" t="n"/>
      <c r="U74" s="264" t="n"/>
      <c r="V74" s="264" t="n"/>
      <c r="W74" s="264" t="n"/>
      <c r="X74" s="264" t="n"/>
      <c r="Y74" s="264" t="n"/>
      <c r="Z74" s="264" t="n"/>
      <c r="AA74" s="264" t="n"/>
      <c r="AB74" s="264" t="n"/>
      <c r="AC74" s="264" t="n"/>
      <c r="AD74" s="264" t="n"/>
      <c r="AE74" s="264" t="n"/>
      <c r="AF74" s="264" t="n"/>
      <c r="AG74" s="264" t="n"/>
      <c r="AH74" s="264" t="n"/>
      <c r="AI74" s="264" t="n"/>
      <c r="AJ74" s="264" t="n"/>
      <c r="AK74" s="264" t="n"/>
      <c r="AL74" s="264" t="n"/>
      <c r="AM74" s="264" t="n"/>
      <c r="AN74" s="264" t="n"/>
      <c r="AO74" s="264" t="n"/>
      <c r="AP74" s="264" t="n"/>
      <c r="AQ74" s="264" t="n"/>
      <c r="AR74" s="158">
        <f>IF($A74="","",IF(OR($N74="Yes",$T74="Yes",$Z74="Yes",$AF74="Yes",$AL74="Yes"),"Yes","No"))</f>
        <v/>
      </c>
      <c r="AS74" s="158">
        <f>IF($A74="","",IFERROR(IF($AM74&lt;&gt;"",$AM74,IF($AG74&lt;&gt;"",$AG74,IF($AA74&lt;&gt;"",$AA74,IF($U74&lt;&gt;"",$U74,IF($O74&lt;&gt;"",$O74,""))))),""))</f>
        <v/>
      </c>
      <c r="AT74" s="158">
        <f>IFERROR(IF($AN74&lt;&gt;"",$AN74,IF($AH74&lt;&gt;"",$AH74,IF($AB74&lt;&gt;"",$AB74,IF($V74&lt;&gt;"",$V74,IF($P74&lt;&gt;"",$P74,""))))),"")</f>
        <v/>
      </c>
      <c r="AU74" s="265" t="inlineStr">
        <is>
          <t>Mục đích: neo vào `C-ORD-01` Resolved 2026-07-28 — nhóm Người nhận là **bắt buộc**. · Căn cứ: `KB-ORD-01` + `DOC-v1.0-02` §7 dòng 2 ghi nhận hành vi prototype cho để trống mà vẫn đăng thành công là **giới hạn bản demo**. ⚠ Dự kiến FAIL nếu app còn hành vi prototype ⇒ log bug.</t>
        </is>
      </c>
      <c r="AV74" s="1" t="n"/>
    </row>
    <row r="75" ht="15.75" customHeight="1" s="216">
      <c r="A75" s="160">
        <f>IF($F75="","",$C$2&amp;"."&amp;COUNTA($F$7:$F75)&amp;"")</f>
        <v/>
      </c>
      <c r="B75" s="160" t="inlineStr">
        <is>
          <t>REQ-ORD-009</t>
        </is>
      </c>
      <c r="C75" s="160" t="inlineStr">
        <is>
          <t>DOC-v1.0-01</t>
        </is>
      </c>
      <c r="D75" s="160" t="inlineStr">
        <is>
          <t>Functional</t>
        </is>
      </c>
      <c r="E75" s="160" t="inlineStr">
        <is>
          <t>Medium</t>
        </is>
      </c>
      <c r="F75" s="11" t="inlineStr">
        <is>
          <t>Check tên người nhận nhận hai ký tự và sáu mươi ký tự, chặn một ký tự và sáu mươi mốt ký tự</t>
        </is>
      </c>
      <c r="G75" s="11" t="inlineStr">
        <is>
          <t>Tài khoản A trên STG.
Test Data: Tên người nhận 1 / 2 / 60 / 61 ký tự (test_data_catalog §ORD, 4 mốc biên)</t>
        </is>
      </c>
      <c r="H75" s="11" t="inlineStr">
        <is>
          <t>1. Đăng nhập FoxEco bằng tài khoản A, nhấn "+ Đăng tin", nhấn card "Tôi cần gửi hàng", chọn loại hàng và giá trị hàng rồi nhấn "Tiếp theo". (setup)
2. Nhập 1 ký tự vào field tên người nhận rồi rời ô và check thông báo.
3. Nhập 2 ký tự vào field tên người nhận rồi rời ô và check thông báo.
4. Nhập chuỗi 60 ký tự vào field tên người nhận rồi rời ô và check thông báo.
5. Nhập tiếp 1 ký tự thành 61 ký tự và check nội dung field cùng thông báo.</t>
        </is>
      </c>
      <c r="I75" s="11" t="inlineStr">
        <is>
          <t>2. Hiện thông báo lỗi cho field tên người nhận.
3. Không có thông báo lỗi cho field tên người nhận.
4. Không có thông báo lỗi cho field tên người nhận.
5. Field không nhận ký tự thứ 61 hoặc hiện thông báo lỗi độ dài.</t>
        </is>
      </c>
      <c r="J75" s="160" t="inlineStr">
        <is>
          <t>AI</t>
        </is>
      </c>
      <c r="K75" s="160" t="inlineStr">
        <is>
          <t>Pending</t>
        </is>
      </c>
      <c r="L75" s="160" t="inlineStr">
        <is>
          <t>No</t>
        </is>
      </c>
      <c r="M75" s="160" t="inlineStr"/>
      <c r="N75" s="264" t="inlineStr">
        <is>
          <t>Yes</t>
        </is>
      </c>
      <c r="O75" s="264" t="inlineStr"/>
      <c r="P75" s="264" t="inlineStr">
        <is>
          <t>Fail</t>
        </is>
      </c>
      <c r="Q75" s="264" t="inlineStr">
        <is>
          <t>GiangDC2</t>
        </is>
      </c>
      <c r="R75" s="264" t="inlineStr">
        <is>
          <t>FE-301</t>
        </is>
      </c>
      <c r="S75" s="264" t="inlineStr"/>
      <c r="T75" s="264" t="n"/>
      <c r="U75" s="264" t="n"/>
      <c r="V75" s="264" t="n"/>
      <c r="W75" s="264" t="n"/>
      <c r="X75" s="264" t="n"/>
      <c r="Y75" s="264" t="n"/>
      <c r="Z75" s="264" t="n"/>
      <c r="AA75" s="264" t="n"/>
      <c r="AB75" s="264" t="n"/>
      <c r="AC75" s="264" t="n"/>
      <c r="AD75" s="264" t="n"/>
      <c r="AE75" s="264" t="n"/>
      <c r="AF75" s="264" t="n"/>
      <c r="AG75" s="264" t="n"/>
      <c r="AH75" s="264" t="n"/>
      <c r="AI75" s="264" t="n"/>
      <c r="AJ75" s="264" t="n"/>
      <c r="AK75" s="264" t="n"/>
      <c r="AL75" s="264" t="n"/>
      <c r="AM75" s="264" t="n"/>
      <c r="AN75" s="264" t="n"/>
      <c r="AO75" s="264" t="n"/>
      <c r="AP75" s="264" t="n"/>
      <c r="AQ75" s="264" t="n"/>
      <c r="AR75" s="158">
        <f>IF($A75="","",IF(OR($N75="Yes",$T75="Yes",$Z75="Yes",$AF75="Yes",$AL75="Yes"),"Yes","No"))</f>
        <v/>
      </c>
      <c r="AS75" s="158">
        <f>IF($A75="","",IFERROR(IF($AM75&lt;&gt;"",$AM75,IF($AG75&lt;&gt;"",$AG75,IF($AA75&lt;&gt;"",$AA75,IF($U75&lt;&gt;"",$U75,IF($O75&lt;&gt;"",$O75,""))))),""))</f>
        <v/>
      </c>
      <c r="AT75" s="158">
        <f>IFERROR(IF($AN75&lt;&gt;"",$AN75,IF($AH75&lt;&gt;"",$AH75,IF($AB75&lt;&gt;"",$AB75,IF($V75&lt;&gt;"",$V75,IF($P75&lt;&gt;"",$P75,""))))),"")</f>
        <v/>
      </c>
      <c r="AU75" s="265" t="inlineStr">
        <is>
          <t>Mục đích: bộ 4 mốc biên của cùng 1 field, chạy liền mạch trong 1 form nên giữ 1 TC; tách khỏi TC-ORD-025 vì SĐT là lớp validate khác. · Căn cứ: `D8.1` §D8.1 L367.</t>
        </is>
      </c>
      <c r="AV75" s="1" t="n"/>
    </row>
    <row r="76" ht="15.75" customHeight="1" s="216">
      <c r="A76" s="160">
        <f>IF($F76="","",$C$2&amp;"."&amp;COUNTA($F$7:$F76)&amp;"")</f>
        <v/>
      </c>
      <c r="B76" s="160" t="inlineStr">
        <is>
          <t>REQ-ORD-009</t>
        </is>
      </c>
      <c r="C76" s="160" t="inlineStr">
        <is>
          <t>DOC-v1.0-01</t>
        </is>
      </c>
      <c r="D76" s="160" t="inlineStr">
        <is>
          <t>Functional</t>
        </is>
      </c>
      <c r="E76" s="160" t="inlineStr">
        <is>
          <t>Medium</t>
        </is>
      </c>
      <c r="F76" s="11" t="inlineStr">
        <is>
          <t>Check số điện thoại người nhận chỉ hợp lệ khi đủ mười số và bắt đầu bằng số không</t>
        </is>
      </c>
      <c r="G76" s="11" t="inlineStr">
        <is>
          <t>Tài khoản A trên STG.
Test Data: SĐT 9 / 10 / 11 số, không bắt đầu bằng 0, có chữ (test_data_catalog §ORD)</t>
        </is>
      </c>
      <c r="H76" s="11" t="inlineStr">
        <is>
          <t>1. Đăng nhập FoxEco bằng tài khoản A, nhấn "+ Đăng tin", nhấn card "Tôi cần gửi hàng", chọn loại hàng và giá trị hàng rồi nhấn "Tiếp theo". (setup)
2. Nhập 9 số vào field SĐT người nhận rồi rời ô và check thông báo.
3. Nhập 10 số bắt đầu bằng 0 rồi rời ô và check thông báo.
4. Nhập 11 số rồi rời ô và check thông báo.
5. Nhập 10 số nhưng không bắt đầu bằng 0 rồi rời ô và check thông báo.
6. Nhập chuỗi có chữ cái rồi rời ô và check nội dung field cùng thông báo.</t>
        </is>
      </c>
      <c r="I76" s="11" t="inlineStr">
        <is>
          <t>2. Hiện thông báo lỗi cho field SĐT người nhận.
3. Không có thông báo lỗi cho field SĐT người nhận.
4. Hiện thông báo lỗi cho field SĐT người nhận.
5. Hiện thông báo lỗi cho field SĐT người nhận.
6. Field không nhận ký tự chữ hoặc hiện thông báo lỗi định dạng.</t>
        </is>
      </c>
      <c r="J76" s="160" t="inlineStr">
        <is>
          <t>AI</t>
        </is>
      </c>
      <c r="K76" s="160" t="inlineStr">
        <is>
          <t>Pending</t>
        </is>
      </c>
      <c r="L76" s="160" t="inlineStr">
        <is>
          <t>No</t>
        </is>
      </c>
      <c r="M76" s="160" t="inlineStr"/>
      <c r="N76" s="264" t="inlineStr">
        <is>
          <t>Yes</t>
        </is>
      </c>
      <c r="O76" s="264" t="inlineStr"/>
      <c r="P76" s="264" t="inlineStr">
        <is>
          <t>Pass</t>
        </is>
      </c>
      <c r="Q76" s="264" t="inlineStr">
        <is>
          <t>GiangDC2</t>
        </is>
      </c>
      <c r="R76" s="264" t="inlineStr"/>
      <c r="S76" s="264" t="inlineStr"/>
      <c r="T76" s="264" t="n"/>
      <c r="U76" s="264" t="n"/>
      <c r="V76" s="264" t="n"/>
      <c r="W76" s="264" t="n"/>
      <c r="X76" s="264" t="n"/>
      <c r="Y76" s="264" t="n"/>
      <c r="Z76" s="264" t="n"/>
      <c r="AA76" s="264" t="n"/>
      <c r="AB76" s="264" t="n"/>
      <c r="AC76" s="264" t="n"/>
      <c r="AD76" s="264" t="n"/>
      <c r="AE76" s="264" t="n"/>
      <c r="AF76" s="264" t="n"/>
      <c r="AG76" s="264" t="n"/>
      <c r="AH76" s="264" t="n"/>
      <c r="AI76" s="264" t="n"/>
      <c r="AJ76" s="264" t="n"/>
      <c r="AK76" s="264" t="n"/>
      <c r="AL76" s="264" t="n"/>
      <c r="AM76" s="264" t="n"/>
      <c r="AN76" s="264" t="n"/>
      <c r="AO76" s="264" t="n"/>
      <c r="AP76" s="264" t="n"/>
      <c r="AQ76" s="264" t="n"/>
      <c r="AR76" s="158">
        <f>IF($A76="","",IF(OR($N76="Yes",$T76="Yes",$Z76="Yes",$AF76="Yes",$AL76="Yes"),"Yes","No"))</f>
        <v/>
      </c>
      <c r="AS76" s="158">
        <f>IF($A76="","",IFERROR(IF($AM76&lt;&gt;"",$AM76,IF($AG76&lt;&gt;"",$AG76,IF($AA76&lt;&gt;"",$AA76,IF($U76&lt;&gt;"",$U76,IF($O76&lt;&gt;"",$O76,""))))),""))</f>
        <v/>
      </c>
      <c r="AT76" s="158">
        <f>IFERROR(IF($AN76&lt;&gt;"",$AN76,IF($AH76&lt;&gt;"",$AH76,IF($AB76&lt;&gt;"",$AB76,IF($V76&lt;&gt;"",$V76,IF($P76&lt;&gt;"",$P76,""))))),"")</f>
        <v/>
      </c>
      <c r="AU76" s="265" t="inlineStr">
        <is>
          <t>Mục đích: 5 lớp lỗi của cùng field SĐT — tách khỏi biên độ dài tên ở TC-ORD-024 để khi FAIL biết ngay lớp nào sai. · Căn cứ: `D8.1` §D8.1 L368.</t>
        </is>
      </c>
      <c r="AV76" s="1" t="n"/>
    </row>
    <row r="77" ht="15.75" customHeight="1" s="216">
      <c r="A77" s="160">
        <f>IF($F77="","",$C$2&amp;"."&amp;COUNTA($F$7:$F77)&amp;"")</f>
        <v/>
      </c>
      <c r="B77" s="160" t="inlineStr">
        <is>
          <t>REQ-ORD-009</t>
        </is>
      </c>
      <c r="C77" s="160" t="inlineStr">
        <is>
          <t>DOC-v1.0-01</t>
        </is>
      </c>
      <c r="D77" s="160" t="inlineStr">
        <is>
          <t>Functional</t>
        </is>
      </c>
      <c r="E77" s="160" t="inlineStr">
        <is>
          <t>Medium</t>
        </is>
      </c>
      <c r="F77" s="11" t="inlineStr">
        <is>
          <t>Check chọn địa chỉ giao hàng trùng địa chỉ lấy hàng thì bị chặn kèm thông báo lỗi</t>
        </is>
      </c>
      <c r="G77" s="11" t="inlineStr">
        <is>
          <t>Tài khoản A trên STG.
Test Data: 2 địa chỉ trùng nhau (test_data_catalog §ORD, biên chặn)</t>
        </is>
      </c>
      <c r="H77" s="11" t="inlineStr">
        <is>
          <t>1. Đăng nhập FoxEco bằng tài khoản A, nhấn "+ Đăng tin", nhấn card "Tôi cần gửi hàng", chọn loại hàng và giá trị hàng rồi nhấn "Tiếp theo". (setup)
2. Nhập địa chỉ lấy hàng, chạm chọn 1 gợi ý và ghi lại giá trị đã chọn.
3. Nhập địa chỉ giao hàng và chạm chọn đúng gợi ý trùng giá trị đã ghi ở bước 2.
4. Nhập đủ thông tin người nhận, chọn ngày và khung giờ hợp lệ rồi nhấn "Tiếp theo".</t>
        </is>
      </c>
      <c r="I77" s="11" t="inlineStr">
        <is>
          <t>4. Wizard KHÔNG chuyển sang bước 3; hiện thông báo lỗi cho biết địa chỉ giao hàng phải khác địa chỉ lấy hàng.</t>
        </is>
      </c>
      <c r="J77" s="160" t="inlineStr">
        <is>
          <t>AI</t>
        </is>
      </c>
      <c r="K77" s="160" t="inlineStr">
        <is>
          <t>Pending</t>
        </is>
      </c>
      <c r="L77" s="160" t="inlineStr">
        <is>
          <t>No</t>
        </is>
      </c>
      <c r="M77" s="160" t="inlineStr"/>
      <c r="N77" s="264" t="inlineStr">
        <is>
          <t>Yes</t>
        </is>
      </c>
      <c r="O77" s="264" t="inlineStr"/>
      <c r="P77" s="264" t="inlineStr">
        <is>
          <t>Pass</t>
        </is>
      </c>
      <c r="Q77" s="264" t="inlineStr">
        <is>
          <t>GiangDC2</t>
        </is>
      </c>
      <c r="R77" s="264" t="inlineStr"/>
      <c r="S77" s="264" t="inlineStr"/>
      <c r="T77" s="264" t="n"/>
      <c r="U77" s="264" t="n"/>
      <c r="V77" s="264" t="n"/>
      <c r="W77" s="264" t="n"/>
      <c r="X77" s="264" t="n"/>
      <c r="Y77" s="264" t="n"/>
      <c r="Z77" s="264" t="n"/>
      <c r="AA77" s="264" t="n"/>
      <c r="AB77" s="264" t="n"/>
      <c r="AC77" s="264" t="n"/>
      <c r="AD77" s="264" t="n"/>
      <c r="AE77" s="264" t="n"/>
      <c r="AF77" s="264" t="n"/>
      <c r="AG77" s="264" t="n"/>
      <c r="AH77" s="264" t="n"/>
      <c r="AI77" s="264" t="n"/>
      <c r="AJ77" s="264" t="n"/>
      <c r="AK77" s="264" t="n"/>
      <c r="AL77" s="264" t="n"/>
      <c r="AM77" s="264" t="n"/>
      <c r="AN77" s="264" t="n"/>
      <c r="AO77" s="264" t="n"/>
      <c r="AP77" s="264" t="n"/>
      <c r="AQ77" s="264" t="n"/>
      <c r="AR77" s="158">
        <f>IF($A77="","",IF(OR($N77="Yes",$T77="Yes",$Z77="Yes",$AF77="Yes",$AL77="Yes"),"Yes","No"))</f>
        <v/>
      </c>
      <c r="AS77" s="158">
        <f>IF($A77="","",IFERROR(IF($AM77&lt;&gt;"",$AM77,IF($AG77&lt;&gt;"",$AG77,IF($AA77&lt;&gt;"",$AA77,IF($U77&lt;&gt;"",$U77,IF($O77&lt;&gt;"",$O77,""))))),""))</f>
        <v/>
      </c>
      <c r="AT77" s="158">
        <f>IFERROR(IF($AN77&lt;&gt;"",$AN77,IF($AH77&lt;&gt;"",$AH77,IF($AB77&lt;&gt;"",$AB77,IF($V77&lt;&gt;"",$V77,IF($P77&lt;&gt;"",$P77,""))))),"")</f>
        <v/>
      </c>
      <c r="AU77" s="265" t="inlineStr">
        <is>
          <t>Căn cứ: `D8.1` §D8.1 L369.</t>
        </is>
      </c>
      <c r="AV77" s="1" t="n"/>
    </row>
    <row r="78" ht="15.75" customHeight="1" s="216">
      <c r="A78" s="160">
        <f>IF($F78="","",$C$2&amp;"."&amp;COUNTA($F$7:$F78)&amp;"")</f>
        <v/>
      </c>
      <c r="B78" s="160" t="inlineStr">
        <is>
          <t>REQ-ORD-010</t>
        </is>
      </c>
      <c r="C78" s="160" t="inlineStr">
        <is>
          <t>DOC-v1.0-06</t>
        </is>
      </c>
      <c r="D78" s="160" t="inlineStr">
        <is>
          <t>UI</t>
        </is>
      </c>
      <c r="E78" s="160" t="inlineStr">
        <is>
          <t>Low</t>
        </is>
      </c>
      <c r="F78" s="11" t="inlineStr">
        <is>
          <t>Check field địa chỉ dùng dropdown autocomplete và không có chip preset văn phòng</t>
        </is>
      </c>
      <c r="G78" s="11" t="inlineStr">
        <is>
          <t>Tài khoản A trên STG.
Test Data: Cơ chế field địa chỉ (test_data_catalog §ORD)</t>
        </is>
      </c>
      <c r="H78" s="11" t="inlineStr">
        <is>
          <t>1. Đăng nhập FoxEco bằng tài khoản A, nhấn "+ Đăng tin", nhấn card "Tôi cần gửi hàng", chọn loại hàng và giá trị hàng rồi nhấn "Tiếp theo". (setup)
2. Check vùng quanh field địa chỉ lấy hàng và field địa chỉ giao hàng, tìm chip gợi ý văn phòng có sẵn.
3. Gõ một phần tên văn phòng vào field địa chỉ giao hàng và check cách gợi ý hiện ra.</t>
        </is>
      </c>
      <c r="I78" s="11" t="inlineStr">
        <is>
          <t>2. KHÔNG có chip preset văn phòng nào quanh 2 field địa chỉ.
3. Gợi ý hiện dưới dạng dropdown autocomplete theo chuỗi đang gõ.</t>
        </is>
      </c>
      <c r="J78" s="160" t="inlineStr">
        <is>
          <t>AI</t>
        </is>
      </c>
      <c r="K78" s="160" t="inlineStr">
        <is>
          <t>Pending</t>
        </is>
      </c>
      <c r="L78" s="160" t="inlineStr">
        <is>
          <t>No</t>
        </is>
      </c>
      <c r="M78" s="160" t="inlineStr"/>
      <c r="N78" s="264" t="inlineStr">
        <is>
          <t>Yes</t>
        </is>
      </c>
      <c r="O78" s="264" t="inlineStr"/>
      <c r="P78" s="264" t="inlineStr">
        <is>
          <t>Pass</t>
        </is>
      </c>
      <c r="Q78" s="264" t="inlineStr">
        <is>
          <t>GiangDC2</t>
        </is>
      </c>
      <c r="R78" s="264" t="inlineStr"/>
      <c r="S78" s="264" t="inlineStr"/>
      <c r="T78" s="264" t="n"/>
      <c r="U78" s="264" t="n"/>
      <c r="V78" s="264" t="n"/>
      <c r="W78" s="264" t="n"/>
      <c r="X78" s="264" t="n"/>
      <c r="Y78" s="264" t="n"/>
      <c r="Z78" s="264" t="n"/>
      <c r="AA78" s="264" t="n"/>
      <c r="AB78" s="264" t="n"/>
      <c r="AC78" s="264" t="n"/>
      <c r="AD78" s="264" t="n"/>
      <c r="AE78" s="264" t="n"/>
      <c r="AF78" s="264" t="n"/>
      <c r="AG78" s="264" t="n"/>
      <c r="AH78" s="264" t="n"/>
      <c r="AI78" s="264" t="n"/>
      <c r="AJ78" s="264" t="n"/>
      <c r="AK78" s="264" t="n"/>
      <c r="AL78" s="264" t="n"/>
      <c r="AM78" s="264" t="n"/>
      <c r="AN78" s="264" t="n"/>
      <c r="AO78" s="264" t="n"/>
      <c r="AP78" s="264" t="n"/>
      <c r="AQ78" s="264" t="n"/>
      <c r="AR78" s="158">
        <f>IF($A78="","",IF(OR($N78="Yes",$T78="Yes",$Z78="Yes",$AF78="Yes",$AL78="Yes"),"Yes","No"))</f>
        <v/>
      </c>
      <c r="AS78" s="158">
        <f>IF($A78="","",IFERROR(IF($AM78&lt;&gt;"",$AM78,IF($AG78&lt;&gt;"",$AG78,IF($AA78&lt;&gt;"",$AA78,IF($U78&lt;&gt;"",$U78,IF($O78&lt;&gt;"",$O78,""))))),""))</f>
        <v/>
      </c>
      <c r="AT78" s="158">
        <f>IFERROR(IF($AN78&lt;&gt;"",$AN78,IF($AH78&lt;&gt;"",$AH78,IF($AB78&lt;&gt;"",$AB78,IF($V78&lt;&gt;"",$V78,IF($P78&lt;&gt;"",$P78,""))))),"")</f>
        <v/>
      </c>
      <c r="AU78" s="265" t="inlineStr">
        <is>
          <t>Mục đích: neo vào `C-ORD-11` Open — 3 nguồn nêu 3 cơ chế cho cùng field. · Căn cứ: assert theo `KB-ORD-06` (nguồn có bằng chứng app, thắng doc); `LOC-03` §D3 L246 nói preset 6 văn phòng và `US-D01` nói không có chip gợi ý. App hiện 6 chip preset ⇒ FAIL và dẫn `C-ORD-11` để BA chốt.</t>
        </is>
      </c>
      <c r="AV78" s="1" t="n"/>
    </row>
    <row r="79" ht="15.75" customHeight="1" s="216">
      <c r="A79" s="160">
        <f>IF($F79="","",$C$2&amp;"."&amp;COUNTA($F$7:$F79)&amp;"")</f>
        <v/>
      </c>
      <c r="B79" s="160" t="inlineStr">
        <is>
          <t>REQ-ORD-012</t>
        </is>
      </c>
      <c r="C79" s="160" t="inlineStr">
        <is>
          <t>DOC-v1.0-06</t>
        </is>
      </c>
      <c r="D79" s="160" t="inlineStr">
        <is>
          <t>Functional</t>
        </is>
      </c>
      <c r="E79" s="160" t="inlineStr">
        <is>
          <t>Low</t>
        </is>
      </c>
      <c r="F79" s="11" t="inlineStr">
        <is>
          <t>Check khung giờ mặc định đã trôi qua thì app báo lỗi phải muộn hơn hiện tại</t>
        </is>
      </c>
      <c r="G79" s="11" t="inlineStr">
        <is>
          <t>Tài khoản A trên STG.
Test Data: Khung giờ mặc định đã trôi qua (test_data_catalog §ORD)</t>
        </is>
      </c>
      <c r="H79" s="11" t="inlineStr">
        <is>
          <t>1. Đăng nhập FoxEco bằng tài khoản A, nhấn "+ Đăng tin", nhấn card "Tôi cần gửi hàng", chọn loại hàng và giá trị hàng rồi nhấn "Tiếp theo". (setup)
2. Không thao tác gì với field khung giờ, để form mở hơn 15 phút cho tới khi khung giờ mặc định trôi qua thời điểm hiện tại.
3. Nhập đủ thông tin người nhận và địa chỉ, rồi nhấn "Tiếp theo".
4. Check thông báo hiện ra.</t>
        </is>
      </c>
      <c r="I79" s="11" t="inlineStr">
        <is>
          <t>4. Hiện thông báo lỗi cho biết khung giờ phải muộn hơn thời điểm hiện tại; wizard không chuyển bước.</t>
        </is>
      </c>
      <c r="J79" s="160" t="inlineStr">
        <is>
          <t>AI</t>
        </is>
      </c>
      <c r="K79" s="160" t="inlineStr">
        <is>
          <t>Pending</t>
        </is>
      </c>
      <c r="L79" s="160" t="inlineStr">
        <is>
          <t>No</t>
        </is>
      </c>
      <c r="M79" s="160" t="inlineStr"/>
      <c r="N79" s="264" t="inlineStr">
        <is>
          <t>Yes</t>
        </is>
      </c>
      <c r="O79" s="264" t="inlineStr"/>
      <c r="P79" s="264" t="inlineStr">
        <is>
          <t>Block</t>
        </is>
      </c>
      <c r="Q79" s="264" t="inlineStr">
        <is>
          <t>GiangDC2</t>
        </is>
      </c>
      <c r="R79" s="264" t="inlineStr"/>
      <c r="S79" s="264" t="inlineStr"/>
      <c r="T79" s="264" t="n"/>
      <c r="U79" s="264" t="n"/>
      <c r="V79" s="264" t="n"/>
      <c r="W79" s="264" t="n"/>
      <c r="X79" s="264" t="n"/>
      <c r="Y79" s="264" t="n"/>
      <c r="Z79" s="264" t="n"/>
      <c r="AA79" s="264" t="n"/>
      <c r="AB79" s="264" t="n"/>
      <c r="AC79" s="264" t="n"/>
      <c r="AD79" s="264" t="n"/>
      <c r="AE79" s="264" t="n"/>
      <c r="AF79" s="264" t="n"/>
      <c r="AG79" s="264" t="n"/>
      <c r="AH79" s="264" t="n"/>
      <c r="AI79" s="264" t="n"/>
      <c r="AJ79" s="264" t="n"/>
      <c r="AK79" s="264" t="n"/>
      <c r="AL79" s="264" t="n"/>
      <c r="AM79" s="264" t="n"/>
      <c r="AN79" s="264" t="n"/>
      <c r="AO79" s="264" t="n"/>
      <c r="AP79" s="264" t="n"/>
      <c r="AQ79" s="264" t="n"/>
      <c r="AR79" s="158">
        <f>IF($A79="","",IF(OR($N79="Yes",$T79="Yes",$Z79="Yes",$AF79="Yes",$AL79="Yes"),"Yes","No"))</f>
        <v/>
      </c>
      <c r="AS79" s="158">
        <f>IF($A79="","",IFERROR(IF($AM79&lt;&gt;"",$AM79,IF($AG79&lt;&gt;"",$AG79,IF($AA79&lt;&gt;"",$AA79,IF($U79&lt;&gt;"",$U79,IF($O79&lt;&gt;"",$O79,""))))),""))</f>
        <v/>
      </c>
      <c r="AT79" s="158">
        <f>IFERROR(IF($AN79&lt;&gt;"",$AN79,IF($AH79&lt;&gt;"",$AH79,IF($AB79&lt;&gt;"",$AB79,IF($V79&lt;&gt;"",$V79,IF($P79&lt;&gt;"",$P79,""))))),"")</f>
        <v/>
      </c>
      <c r="AU79" s="265" t="inlineStr">
        <is>
          <t>Mục đích: **đây là hành vi ĐÚNG, không phải bug** — ghi thành TC để lượt sau không log bug oan khi form mở lâu. · Căn cứ: `KB-VIBE-10` (`KP-01` §10.11). ⛔ Không assert giá trị mặc định cụ thể — 3 nguồn cho 3 giá trị khác nhau.</t>
        </is>
      </c>
      <c r="AV79" s="1" t="n"/>
    </row>
    <row r="80" ht="15.75" customHeight="1" s="216">
      <c r="A80" s="160">
        <f>IF($F80="","",$C$2&amp;"."&amp;COUNTA($F$7:$F80)&amp;"")</f>
        <v/>
      </c>
      <c r="B80" s="160" t="inlineStr">
        <is>
          <t>REQ-ORD-013</t>
        </is>
      </c>
      <c r="C80" s="160" t="inlineStr">
        <is>
          <t>DOC-v1.0-02</t>
        </is>
      </c>
      <c r="D80" s="160" t="inlineStr">
        <is>
          <t>UI</t>
        </is>
      </c>
      <c r="E80" s="160" t="inlineStr">
        <is>
          <t>Medium</t>
        </is>
      </c>
      <c r="F80" s="11" t="inlineStr">
        <is>
          <t>Check bước 3 tóm tắt đúng dữ liệu đã nhập ở bước 1 và bước 2</t>
        </is>
      </c>
      <c r="G80" s="11" t="inlineStr">
        <is>
          <t>Tài khoản A trên STG.
- Email nội bộ tra được trong danh bạ STG.
Test Data: Bộ dữ liệu xác định ở B1 và B2 (test_data_catalog §ORD)</t>
        </is>
      </c>
      <c r="H80" s="11" t="inlineStr">
        <is>
          <t>1. Đăng nhập FoxEco bằng tài khoản A, nhấn "+ Đăng tin" và nhấn card "Tôi cần gửi hàng". (setup)
2. Chọn chip loại hàng "Giấy tờ, hồ sơ", chọn giá trị hàng "Vừa", nhập ghi chú "Giao gio hanh chinh" rồi nhấn "Tiếp theo".
3. Nhập email người nhận tra được, nhập 2 địa chỉ khác nhau bằng cách chạm chọn gợi ý, chọn khung giờ hợp lệ rồi nhấn "Tiếp theo".
4. Check phần tóm tắt ở bước 3.</t>
        </is>
      </c>
      <c r="I80" s="11" t="inlineStr">
        <is>
          <t>4. Tóm tắt hiển thị loại hàng "Giấy tờ, hồ sơ", giá trị hàng "Vừa", ghi chú "Giao gio hanh chinh", khung giờ đã chọn ở bước 3, và thông tin người gửi cùng người nhận khớp dữ liệu đã nhập.</t>
        </is>
      </c>
      <c r="J80" s="160" t="inlineStr">
        <is>
          <t>AI</t>
        </is>
      </c>
      <c r="K80" s="160" t="inlineStr">
        <is>
          <t>Pending</t>
        </is>
      </c>
      <c r="L80" s="160" t="inlineStr">
        <is>
          <t>No</t>
        </is>
      </c>
      <c r="M80" s="160" t="inlineStr"/>
      <c r="N80" s="264" t="inlineStr">
        <is>
          <t>Yes</t>
        </is>
      </c>
      <c r="O80" s="264" t="inlineStr"/>
      <c r="P80" s="264" t="inlineStr">
        <is>
          <t>Pass</t>
        </is>
      </c>
      <c r="Q80" s="264" t="inlineStr">
        <is>
          <t>GiangDC2</t>
        </is>
      </c>
      <c r="R80" s="264" t="inlineStr"/>
      <c r="S80" s="264" t="inlineStr"/>
      <c r="T80" s="264" t="n"/>
      <c r="U80" s="264" t="n"/>
      <c r="V80" s="264" t="n"/>
      <c r="W80" s="264" t="n"/>
      <c r="X80" s="264" t="n"/>
      <c r="Y80" s="264" t="n"/>
      <c r="Z80" s="264" t="n"/>
      <c r="AA80" s="264" t="n"/>
      <c r="AB80" s="264" t="n"/>
      <c r="AC80" s="264" t="n"/>
      <c r="AD80" s="264" t="n"/>
      <c r="AE80" s="264" t="n"/>
      <c r="AF80" s="264" t="n"/>
      <c r="AG80" s="264" t="n"/>
      <c r="AH80" s="264" t="n"/>
      <c r="AI80" s="264" t="n"/>
      <c r="AJ80" s="264" t="n"/>
      <c r="AK80" s="264" t="n"/>
      <c r="AL80" s="264" t="n"/>
      <c r="AM80" s="264" t="n"/>
      <c r="AN80" s="264" t="n"/>
      <c r="AO80" s="264" t="n"/>
      <c r="AP80" s="264" t="n"/>
      <c r="AQ80" s="264" t="n"/>
      <c r="AR80" s="158">
        <f>IF($A80="","",IF(OR($N80="Yes",$T80="Yes",$Z80="Yes",$AF80="Yes",$AL80="Yes"),"Yes","No"))</f>
        <v/>
      </c>
      <c r="AS80" s="158">
        <f>IF($A80="","",IFERROR(IF($AM80&lt;&gt;"",$AM80,IF($AG80&lt;&gt;"",$AG80,IF($AA80&lt;&gt;"",$AA80,IF($U80&lt;&gt;"",$U80,IF($O80&lt;&gt;"",$O80,""))))),""))</f>
        <v/>
      </c>
      <c r="AT80" s="158">
        <f>IFERROR(IF($AN80&lt;&gt;"",$AN80,IF($AH80&lt;&gt;"",$AH80,IF($AB80&lt;&gt;"",$AB80,IF($V80&lt;&gt;"",$V80,IF($P80&lt;&gt;"",$P80,""))))),"")</f>
        <v/>
      </c>
      <c r="AU80" s="265" t="inlineStr">
        <is>
          <t>Căn cứ: `DOC-v1.0-02` §3.5.3.</t>
        </is>
      </c>
      <c r="AV80" s="1" t="n"/>
    </row>
    <row r="81" ht="15.75" customHeight="1" s="216">
      <c r="A81" s="160">
        <f>IF($F81="","",$C$2&amp;"."&amp;COUNTA($F$7:$F81)&amp;"")</f>
        <v/>
      </c>
      <c r="B81" s="160" t="inlineStr">
        <is>
          <t>REQ-ORD-013</t>
        </is>
      </c>
      <c r="C81" s="160" t="inlineStr">
        <is>
          <t>DOC-v1.0-02 · DOC-v1.0-01</t>
        </is>
      </c>
      <c r="D81" s="160" t="inlineStr">
        <is>
          <t>UI</t>
        </is>
      </c>
      <c r="E81" s="160" t="inlineStr">
        <is>
          <t>Low</t>
        </is>
      </c>
      <c r="F81" s="11" t="inlineStr">
        <is>
          <t>Check bước 3 hiện banner cảnh báo hàng cấm</t>
        </is>
      </c>
      <c r="G81" s="11" t="inlineStr">
        <is>
          <t>Tài khoản A trên STG.
Test Data: —</t>
        </is>
      </c>
      <c r="H81" s="11" t="inlineStr">
        <is>
          <t>1. Đăng nhập FoxEco bằng tài khoản A, nhấn "+ Đăng tin", nhấn card "Tôi cần gửi hàng", điền đủ bước 1 và bước 2 rồi nhấn "Tiếp theo" để vào bước 3. (setup)
2. Check nội dung banner cảnh báo trên màn.</t>
        </is>
      </c>
      <c r="I81" s="11" t="inlineStr">
        <is>
          <t>2. Hiện banner cảnh báo nêu không được gửi thuốc, vũ khí, chất nguy hiểm và hàng phi pháp.</t>
        </is>
      </c>
      <c r="J81" s="160" t="inlineStr">
        <is>
          <t>AI</t>
        </is>
      </c>
      <c r="K81" s="160" t="inlineStr">
        <is>
          <t>Pending</t>
        </is>
      </c>
      <c r="L81" s="160" t="inlineStr">
        <is>
          <t>No</t>
        </is>
      </c>
      <c r="M81" s="160" t="inlineStr"/>
      <c r="N81" s="264" t="inlineStr">
        <is>
          <t>Yes</t>
        </is>
      </c>
      <c r="O81" s="264" t="inlineStr"/>
      <c r="P81" s="264" t="inlineStr">
        <is>
          <t>Pass</t>
        </is>
      </c>
      <c r="Q81" s="264" t="inlineStr">
        <is>
          <t>GiangDC2</t>
        </is>
      </c>
      <c r="R81" s="264" t="inlineStr"/>
      <c r="S81" s="264" t="inlineStr"/>
      <c r="T81" s="264" t="n"/>
      <c r="U81" s="264" t="n"/>
      <c r="V81" s="264" t="n"/>
      <c r="W81" s="264" t="n"/>
      <c r="X81" s="264" t="n"/>
      <c r="Y81" s="264" t="n"/>
      <c r="Z81" s="264" t="n"/>
      <c r="AA81" s="264" t="n"/>
      <c r="AB81" s="264" t="n"/>
      <c r="AC81" s="264" t="n"/>
      <c r="AD81" s="264" t="n"/>
      <c r="AE81" s="264" t="n"/>
      <c r="AF81" s="264" t="n"/>
      <c r="AG81" s="264" t="n"/>
      <c r="AH81" s="264" t="n"/>
      <c r="AI81" s="264" t="n"/>
      <c r="AJ81" s="264" t="n"/>
      <c r="AK81" s="264" t="n"/>
      <c r="AL81" s="264" t="n"/>
      <c r="AM81" s="264" t="n"/>
      <c r="AN81" s="264" t="n"/>
      <c r="AO81" s="264" t="n"/>
      <c r="AP81" s="264" t="n"/>
      <c r="AQ81" s="264" t="n"/>
      <c r="AR81" s="158">
        <f>IF($A81="","",IF(OR($N81="Yes",$T81="Yes",$Z81="Yes",$AF81="Yes",$AL81="Yes"),"Yes","No"))</f>
        <v/>
      </c>
      <c r="AS81" s="158">
        <f>IF($A81="","",IFERROR(IF($AM81&lt;&gt;"",$AM81,IF($AG81&lt;&gt;"",$AG81,IF($AA81&lt;&gt;"",$AA81,IF($U81&lt;&gt;"",$U81,IF($O81&lt;&gt;"",$O81,""))))),""))</f>
        <v/>
      </c>
      <c r="AT81" s="158">
        <f>IFERROR(IF($AN81&lt;&gt;"",$AN81,IF($AH81&lt;&gt;"",$AH81,IF($AB81&lt;&gt;"",$AB81,IF($V81&lt;&gt;"",$V81,IF($P81&lt;&gt;"",$P81,""))))),"")</f>
        <v/>
      </c>
      <c r="AU81" s="265" t="inlineStr">
        <is>
          <t>Căn cứ: `DOC-v1.0-02` §3.5.3 + `§A8` L115.</t>
        </is>
      </c>
      <c r="AV81" s="1" t="n"/>
    </row>
    <row r="82" ht="15.75" customHeight="1" s="216">
      <c r="A82" s="160">
        <f>IF($F82="","",$C$2&amp;"."&amp;COUNTA($F$7:$F82)&amp;"")</f>
        <v/>
      </c>
      <c r="B82" s="160" t="inlineStr">
        <is>
          <t>REQ-ORD-013</t>
        </is>
      </c>
      <c r="C82" s="160" t="inlineStr">
        <is>
          <t>DOC-v1.0-01</t>
        </is>
      </c>
      <c r="D82" s="160" t="inlineStr">
        <is>
          <t>Functional</t>
        </is>
      </c>
      <c r="E82" s="160" t="inlineStr">
        <is>
          <t>Medium</t>
        </is>
      </c>
      <c r="F82" s="11" t="inlineStr">
        <is>
          <t>Check checkbox điều khoản ở bước 3 mặc định chưa được tick</t>
        </is>
      </c>
      <c r="G82" s="11" t="inlineStr">
        <is>
          <t>Tài khoản A trên STG.
Test Data: Checkbox điều khoản mặc định (test_data_catalog §ORD)</t>
        </is>
      </c>
      <c r="H82" s="11" t="inlineStr">
        <is>
          <t>1. Đăng nhập FoxEco bằng tài khoản A, nhấn "+ Đăng tin", nhấn card "Tôi cần gửi hàng", điền đủ bước 1 và bước 2 rồi nhấn "Tiếp theo" để vào bước 3 lần đầu. (setup)
2. Check trạng thái checkbox điều khoản.</t>
        </is>
      </c>
      <c r="I82" s="11" t="inlineStr">
        <is>
          <t>2. Checkbox điều khoản ở trạng thái CHƯA được tick.</t>
        </is>
      </c>
      <c r="J82" s="160" t="inlineStr">
        <is>
          <t>AI</t>
        </is>
      </c>
      <c r="K82" s="160" t="inlineStr">
        <is>
          <t>Pending</t>
        </is>
      </c>
      <c r="L82" s="160" t="inlineStr">
        <is>
          <t>No</t>
        </is>
      </c>
      <c r="M82" s="160" t="inlineStr"/>
      <c r="N82" s="264" t="inlineStr">
        <is>
          <t>Yes</t>
        </is>
      </c>
      <c r="O82" s="264" t="inlineStr"/>
      <c r="P82" s="264" t="inlineStr">
        <is>
          <t>Pass</t>
        </is>
      </c>
      <c r="Q82" s="264" t="inlineStr">
        <is>
          <t>GiangDC2</t>
        </is>
      </c>
      <c r="R82" s="264" t="inlineStr"/>
      <c r="S82" s="264" t="inlineStr"/>
      <c r="T82" s="264" t="n"/>
      <c r="U82" s="264" t="n"/>
      <c r="V82" s="264" t="n"/>
      <c r="W82" s="264" t="n"/>
      <c r="X82" s="264" t="n"/>
      <c r="Y82" s="264" t="n"/>
      <c r="Z82" s="264" t="n"/>
      <c r="AA82" s="264" t="n"/>
      <c r="AB82" s="264" t="n"/>
      <c r="AC82" s="264" t="n"/>
      <c r="AD82" s="264" t="n"/>
      <c r="AE82" s="264" t="n"/>
      <c r="AF82" s="264" t="n"/>
      <c r="AG82" s="264" t="n"/>
      <c r="AH82" s="264" t="n"/>
      <c r="AI82" s="264" t="n"/>
      <c r="AJ82" s="264" t="n"/>
      <c r="AK82" s="264" t="n"/>
      <c r="AL82" s="264" t="n"/>
      <c r="AM82" s="264" t="n"/>
      <c r="AN82" s="264" t="n"/>
      <c r="AO82" s="264" t="n"/>
      <c r="AP82" s="264" t="n"/>
      <c r="AQ82" s="264" t="n"/>
      <c r="AR82" s="158">
        <f>IF($A82="","",IF(OR($N82="Yes",$T82="Yes",$Z82="Yes",$AF82="Yes",$AL82="Yes"),"Yes","No"))</f>
        <v/>
      </c>
      <c r="AS82" s="158">
        <f>IF($A82="","",IFERROR(IF($AM82&lt;&gt;"",$AM82,IF($AG82&lt;&gt;"",$AG82,IF($AA82&lt;&gt;"",$AA82,IF($U82&lt;&gt;"",$U82,IF($O82&lt;&gt;"",$O82,""))))),""))</f>
        <v/>
      </c>
      <c r="AT82" s="158">
        <f>IFERROR(IF($AN82&lt;&gt;"",$AN82,IF($AH82&lt;&gt;"",$AH82,IF($AB82&lt;&gt;"",$AB82,IF($V82&lt;&gt;"",$V82,IF($P82&lt;&gt;"",$P82,""))))),"")</f>
        <v/>
      </c>
      <c r="AU82" s="265" t="inlineStr">
        <is>
          <t>Mục đích: 2 nguồn trái nhau, và TC `TC_04.71` của đợt cũ expected "tick sẵn" là **sai nguồn**. · Căn cứ: `C-ORD-12` Resolved 2026-09-07 theo `D8.1` L373 + app STG (`KP-01` §10.7); PRD §3.5.3 ghi "mặc định đã tick sẵn" là nguồn thua.</t>
        </is>
      </c>
      <c r="AV82" s="1" t="n"/>
    </row>
    <row r="83" ht="15.75" customHeight="1" s="216">
      <c r="A83" s="160">
        <f>IF($F83="","",$C$2&amp;"."&amp;COUNTA($F$7:$F83)&amp;"")</f>
        <v/>
      </c>
      <c r="B83" s="160" t="inlineStr">
        <is>
          <t>REQ-ORD-013</t>
        </is>
      </c>
      <c r="C83" s="160" t="inlineStr">
        <is>
          <t>DOC-v1.0-01</t>
        </is>
      </c>
      <c r="D83" s="160" t="inlineStr">
        <is>
          <t>Functional</t>
        </is>
      </c>
      <c r="E83" s="160" t="inlineStr">
        <is>
          <t>High</t>
        </is>
      </c>
      <c r="F83" s="11" t="inlineStr">
        <is>
          <t>Check chưa tick điều khoản thì không đăng được tin và tick rồi thì nút bật</t>
        </is>
      </c>
      <c r="G83" s="11" t="inlineStr">
        <is>
          <t>Tài khoản A trên STG.
Test Data: Checkbox chưa tick và đã tick (test_data_catalog §ORD)</t>
        </is>
      </c>
      <c r="H83" s="11" t="inlineStr">
        <is>
          <t>1. Đăng nhập FoxEco bằng tài khoản A, nhấn "+ Đăng tin", nhấn card "Tôi cần gửi hàng", điền đủ bước 1 và bước 2 rồi nhấn "Tiếp theo" để vào bước 3. (setup)
2. Không tick checkbox điều khoản, check trạng thái nút "Đăng tin ngay".
3. Nhấn nút "Đăng tin ngay".
4. Tick checkbox điều khoản và check lại trạng thái nút "Đăng tin ngay".</t>
        </is>
      </c>
      <c r="I83" s="11" t="inlineStr">
        <is>
          <t>2. Nút "Đăng tin ngay" ở trạng thái disable.
3. Tin không được đăng; màn vẫn ở bước 3.
4. Nút "Đăng tin ngay" chuyển sang trạng thái enable.</t>
        </is>
      </c>
      <c r="J83" s="160" t="inlineStr">
        <is>
          <t>AI</t>
        </is>
      </c>
      <c r="K83" s="160" t="inlineStr">
        <is>
          <t>Pending</t>
        </is>
      </c>
      <c r="L83" s="160" t="inlineStr">
        <is>
          <t>No</t>
        </is>
      </c>
      <c r="M83" s="160" t="inlineStr"/>
      <c r="N83" s="264" t="inlineStr">
        <is>
          <t>Yes</t>
        </is>
      </c>
      <c r="O83" s="264" t="inlineStr"/>
      <c r="P83" s="264" t="inlineStr">
        <is>
          <t>Pass</t>
        </is>
      </c>
      <c r="Q83" s="264" t="inlineStr">
        <is>
          <t>GiangDC2</t>
        </is>
      </c>
      <c r="R83" s="264" t="inlineStr"/>
      <c r="S83" s="264" t="inlineStr"/>
      <c r="T83" s="264" t="n"/>
      <c r="U83" s="264" t="n"/>
      <c r="V83" s="264" t="n"/>
      <c r="W83" s="264" t="n"/>
      <c r="X83" s="264" t="n"/>
      <c r="Y83" s="264" t="n"/>
      <c r="Z83" s="264" t="n"/>
      <c r="AA83" s="264" t="n"/>
      <c r="AB83" s="264" t="n"/>
      <c r="AC83" s="264" t="n"/>
      <c r="AD83" s="264" t="n"/>
      <c r="AE83" s="264" t="n"/>
      <c r="AF83" s="264" t="n"/>
      <c r="AG83" s="264" t="n"/>
      <c r="AH83" s="264" t="n"/>
      <c r="AI83" s="264" t="n"/>
      <c r="AJ83" s="264" t="n"/>
      <c r="AK83" s="264" t="n"/>
      <c r="AL83" s="264" t="n"/>
      <c r="AM83" s="264" t="n"/>
      <c r="AN83" s="264" t="n"/>
      <c r="AO83" s="264" t="n"/>
      <c r="AP83" s="264" t="n"/>
      <c r="AQ83" s="264" t="n"/>
      <c r="AR83" s="158">
        <f>IF($A83="","",IF(OR($N83="Yes",$T83="Yes",$Z83="Yes",$AF83="Yes",$AL83="Yes"),"Yes","No"))</f>
        <v/>
      </c>
      <c r="AS83" s="158">
        <f>IF($A83="","",IFERROR(IF($AM83&lt;&gt;"",$AM83,IF($AG83&lt;&gt;"",$AG83,IF($AA83&lt;&gt;"",$AA83,IF($U83&lt;&gt;"",$U83,IF($O83&lt;&gt;"",$O83,""))))),""))</f>
        <v/>
      </c>
      <c r="AT83" s="158">
        <f>IFERROR(IF($AN83&lt;&gt;"",$AN83,IF($AH83&lt;&gt;"",$AH83,IF($AB83&lt;&gt;"",$AB83,IF($V83&lt;&gt;"",$V83,IF($P83&lt;&gt;"",$P83,""))))),"")</f>
        <v/>
      </c>
      <c r="AU83" s="265" t="inlineStr">
        <is>
          <t>Căn cứ: `ORD-09` §D3 L245 + `D8.1` L373 — đây là điểm chặn consent bắt buộc, cùng rule với `TC-TS-004`.</t>
        </is>
      </c>
      <c r="AV83" s="1" t="n"/>
    </row>
    <row r="84" ht="15.75" customHeight="1" s="216">
      <c r="A84" s="160">
        <f>IF($F84="","",$C$2&amp;"."&amp;COUNTA($F$7:$F84)&amp;"")</f>
        <v/>
      </c>
      <c r="B84" s="160" t="inlineStr">
        <is>
          <t>REQ-ORD-014</t>
        </is>
      </c>
      <c r="C84" s="160" t="inlineStr">
        <is>
          <t>DOC-v1.0-01 · DOC-v1.0-06</t>
        </is>
      </c>
      <c r="D84" s="160" t="inlineStr">
        <is>
          <t>Functional</t>
        </is>
      </c>
      <c r="E84" s="160" t="inlineStr">
        <is>
          <t>Low</t>
        </is>
      </c>
      <c r="F84" s="11" t="inlineStr">
        <is>
          <t>Check đăng tin với loại hàng "Thuốc/Y tế" vẫn thành công ở phiên bản v1.0</t>
        </is>
      </c>
      <c r="G84" s="11" t="inlineStr">
        <is>
          <t>Tài khoản A trên STG.
Test Data: Chip loại hàng "Thuốc/Y tế" (test_data_catalog §ORD)</t>
        </is>
      </c>
      <c r="H84" s="11" t="inlineStr">
        <is>
          <t>1. Đăng nhập FoxEco bằng tài khoản A, nhấn "+ Đăng tin" và nhấn card "Tôi cần gửi hàng". (setup)
2. Chọn chip loại hàng "Thuốc/Y tế", chọn giá trị hàng "Thấp" rồi nhấn "Tiếp theo".
3. Nhập đủ thông tin người nhận, 2 địa chỉ khác nhau và khung giờ hợp lệ rồi nhấn "Tiếp theo".
4. Tick checkbox điều khoản và nhấn "Đăng tin ngay".</t>
        </is>
      </c>
      <c r="I84" s="11" t="inlineStr">
        <is>
          <t>4. Mở màn "Đăng tin thành công"; tin được đăng, không bị chặn vì loại hàng.</t>
        </is>
      </c>
      <c r="J84" s="160" t="inlineStr">
        <is>
          <t>AI</t>
        </is>
      </c>
      <c r="K84" s="160" t="inlineStr">
        <is>
          <t>Pending</t>
        </is>
      </c>
      <c r="L84" s="160" t="inlineStr">
        <is>
          <t>No</t>
        </is>
      </c>
      <c r="M84" s="160" t="inlineStr"/>
      <c r="N84" s="264" t="inlineStr">
        <is>
          <t>Yes</t>
        </is>
      </c>
      <c r="O84" s="264" t="inlineStr"/>
      <c r="P84" s="264" t="inlineStr">
        <is>
          <t>Pass</t>
        </is>
      </c>
      <c r="Q84" s="264" t="inlineStr">
        <is>
          <t>GiangDC2</t>
        </is>
      </c>
      <c r="R84" s="264" t="inlineStr"/>
      <c r="S84" s="264" t="inlineStr"/>
      <c r="T84" s="264" t="n"/>
      <c r="U84" s="264" t="n"/>
      <c r="V84" s="264" t="n"/>
      <c r="W84" s="264" t="n"/>
      <c r="X84" s="264" t="n"/>
      <c r="Y84" s="264" t="n"/>
      <c r="Z84" s="264" t="n"/>
      <c r="AA84" s="264" t="n"/>
      <c r="AB84" s="264" t="n"/>
      <c r="AC84" s="264" t="n"/>
      <c r="AD84" s="264" t="n"/>
      <c r="AE84" s="264" t="n"/>
      <c r="AF84" s="264" t="n"/>
      <c r="AG84" s="264" t="n"/>
      <c r="AH84" s="264" t="n"/>
      <c r="AI84" s="264" t="n"/>
      <c r="AJ84" s="264" t="n"/>
      <c r="AK84" s="264" t="n"/>
      <c r="AL84" s="264" t="n"/>
      <c r="AM84" s="264" t="n"/>
      <c r="AN84" s="264" t="n"/>
      <c r="AO84" s="264" t="n"/>
      <c r="AP84" s="264" t="n"/>
      <c r="AQ84" s="264" t="n"/>
      <c r="AR84" s="158">
        <f>IF($A84="","",IF(OR($N84="Yes",$T84="Yes",$Z84="Yes",$AF84="Yes",$AL84="Yes"),"Yes","No"))</f>
        <v/>
      </c>
      <c r="AS84" s="158">
        <f>IF($A84="","",IFERROR(IF($AM84&lt;&gt;"",$AM84,IF($AG84&lt;&gt;"",$AG84,IF($AA84&lt;&gt;"",$AA84,IF($U84&lt;&gt;"",$U84,IF($O84&lt;&gt;"",$O84,""))))),""))</f>
        <v/>
      </c>
      <c r="AT84" s="158">
        <f>IFERROR(IF($AN84&lt;&gt;"",$AN84,IF($AH84&lt;&gt;"",$AH84,IF($AB84&lt;&gt;"",$AB84,IF($V84&lt;&gt;"",$V84,IF($P84&lt;&gt;"",$P84,""))))),"")</f>
        <v/>
      </c>
      <c r="AU84" s="265" t="inlineStr">
        <is>
          <t>Mục đích: chốt bằng TC rằng banner hàng cấm ở v1.0 **chỉ là thông tin tĩnh**, không phải cơ chế chặn — để lượt sau không viết TC negative "bị chặn". · Căn cứ: `C-ORD-04` Resolved 2026-07-27 + `KB-ORD-03`; `BR-ORD-04` §D4 L263 là rule của phase sau.</t>
        </is>
      </c>
      <c r="AV84" s="1" t="n"/>
    </row>
    <row r="85" ht="15.75" customHeight="1" s="216">
      <c r="A85" s="160">
        <f>IF($F85="","",$C$2&amp;"."&amp;COUNTA($F$7:$F85)&amp;"")</f>
        <v/>
      </c>
      <c r="B85" s="160" t="inlineStr">
        <is>
          <t>REQ-ORD-015</t>
        </is>
      </c>
      <c r="C85" s="160" t="inlineStr">
        <is>
          <t>DOC-v1.0-02</t>
        </is>
      </c>
      <c r="D85" s="160" t="inlineStr">
        <is>
          <t>UI</t>
        </is>
      </c>
      <c r="E85" s="160" t="inlineStr">
        <is>
          <t>Medium</t>
        </is>
      </c>
      <c r="F85" s="11" t="inlineStr">
        <is>
          <t>Check màn "Đăng tin thành công" có hai lựa chọn điều hướng đúng đích</t>
        </is>
      </c>
      <c r="G85" s="11" t="inlineStr">
        <is>
          <t>Tài khoản A trên STG.
Test Data: 2 tin NEED (test_data_catalog §ORD)</t>
        </is>
      </c>
      <c r="H85" s="11" t="inlineStr">
        <is>
          <t>1. Đăng nhập FoxEco bằng tài khoản A và đăng 1 tin NEED qua wizard "+ Đăng tin" tới màn "Đăng tin thành công". (setup)
2. Check các lựa chọn trên màn.
3. Nhấn "Theo dõi đơn".
4. Nhấn quay lại, đăng 1 tin NEED nữa tới màn "Đăng tin thành công" và nhấn "Về trang chủ".</t>
        </is>
      </c>
      <c r="I85" s="11" t="inlineStr">
        <is>
          <t>2. Màn có đúng 2 lựa chọn "Theo dõi đơn" và "Về trang chủ".
3. Mở màn Theo dõi đơn của tin vừa đăng.
4. Về màn Trang chủ với tab "Trang chủ" active.</t>
        </is>
      </c>
      <c r="J85" s="160" t="inlineStr">
        <is>
          <t>AI</t>
        </is>
      </c>
      <c r="K85" s="160" t="inlineStr">
        <is>
          <t>Pending</t>
        </is>
      </c>
      <c r="L85" s="160" t="inlineStr">
        <is>
          <t>No</t>
        </is>
      </c>
      <c r="M85" s="160" t="inlineStr"/>
      <c r="N85" s="264" t="inlineStr">
        <is>
          <t>Yes</t>
        </is>
      </c>
      <c r="O85" s="264" t="inlineStr"/>
      <c r="P85" s="264" t="inlineStr">
        <is>
          <t>Pass</t>
        </is>
      </c>
      <c r="Q85" s="264" t="inlineStr">
        <is>
          <t>GiangDC2</t>
        </is>
      </c>
      <c r="R85" s="264" t="inlineStr"/>
      <c r="S85" s="264" t="inlineStr"/>
      <c r="T85" s="264" t="n"/>
      <c r="U85" s="264" t="n"/>
      <c r="V85" s="264" t="n"/>
      <c r="W85" s="264" t="n"/>
      <c r="X85" s="264" t="n"/>
      <c r="Y85" s="264" t="n"/>
      <c r="Z85" s="264" t="n"/>
      <c r="AA85" s="264" t="n"/>
      <c r="AB85" s="264" t="n"/>
      <c r="AC85" s="264" t="n"/>
      <c r="AD85" s="264" t="n"/>
      <c r="AE85" s="264" t="n"/>
      <c r="AF85" s="264" t="n"/>
      <c r="AG85" s="264" t="n"/>
      <c r="AH85" s="264" t="n"/>
      <c r="AI85" s="264" t="n"/>
      <c r="AJ85" s="264" t="n"/>
      <c r="AK85" s="264" t="n"/>
      <c r="AL85" s="264" t="n"/>
      <c r="AM85" s="264" t="n"/>
      <c r="AN85" s="264" t="n"/>
      <c r="AO85" s="264" t="n"/>
      <c r="AP85" s="264" t="n"/>
      <c r="AQ85" s="264" t="n"/>
      <c r="AR85" s="158">
        <f>IF($A85="","",IF(OR($N85="Yes",$T85="Yes",$Z85="Yes",$AF85="Yes",$AL85="Yes"),"Yes","No"))</f>
        <v/>
      </c>
      <c r="AS85" s="158">
        <f>IF($A85="","",IFERROR(IF($AM85&lt;&gt;"",$AM85,IF($AG85&lt;&gt;"",$AG85,IF($AA85&lt;&gt;"",$AA85,IF($U85&lt;&gt;"",$U85,IF($O85&lt;&gt;"",$O85,""))))),""))</f>
        <v/>
      </c>
      <c r="AT85" s="158">
        <f>IFERROR(IF($AN85&lt;&gt;"",$AN85,IF($AH85&lt;&gt;"",$AH85,IF($AB85&lt;&gt;"",$AB85,IF($V85&lt;&gt;"",$V85,IF($P85&lt;&gt;"",$P85,""))))),"")</f>
        <v/>
      </c>
      <c r="AU85" s="265" t="inlineStr">
        <is>
          <t>Căn cứ: `DOC-v1.0-02` §3.5.4.</t>
        </is>
      </c>
      <c r="AV85" s="1" t="n"/>
    </row>
    <row r="86" ht="15.75" customHeight="1" s="216">
      <c r="A86" s="160">
        <f>IF($F86="","",$C$2&amp;"."&amp;COUNTA($F$7:$F86)&amp;"")</f>
        <v/>
      </c>
      <c r="B86" s="160" t="inlineStr">
        <is>
          <t>REQ-ORD-015</t>
        </is>
      </c>
      <c r="C86" s="160" t="inlineStr">
        <is>
          <t>DOC-v1.0-01</t>
        </is>
      </c>
      <c r="D86" s="160" t="inlineStr">
        <is>
          <t>UI</t>
        </is>
      </c>
      <c r="E86" s="160" t="inlineStr">
        <is>
          <t>Low</t>
        </is>
      </c>
      <c r="F86" s="11" t="inlineStr">
        <is>
          <t>Check màn "Đăng tin thành công" không hiển thị mã tin</t>
        </is>
      </c>
      <c r="G86" s="11" t="inlineStr">
        <is>
          <t>Tài khoản A trên STG.
Test Data: Mã tin là giá trị assert-absent (test_data_catalog §ORD)</t>
        </is>
      </c>
      <c r="H86" s="11" t="inlineStr">
        <is>
          <t>1. Đăng nhập FoxEco bằng tài khoản A và đăng 1 tin NEED qua wizard "+ Đăng tin" tới màn "Đăng tin thành công". (setup)
2. Check toàn màn tìm mã tin hoặc mã đơn dạng chuỗi ký tự kèm số.</t>
        </is>
      </c>
      <c r="I86" s="11" t="inlineStr">
        <is>
          <t>2. KHÔNG hiển thị mã tin hay mã đơn nào trên màn.</t>
        </is>
      </c>
      <c r="J86" s="160" t="inlineStr">
        <is>
          <t>AI</t>
        </is>
      </c>
      <c r="K86" s="160" t="inlineStr">
        <is>
          <t>Pending</t>
        </is>
      </c>
      <c r="L86" s="160" t="inlineStr">
        <is>
          <t>No</t>
        </is>
      </c>
      <c r="M86" s="160" t="inlineStr"/>
      <c r="N86" s="264" t="inlineStr">
        <is>
          <t>Yes</t>
        </is>
      </c>
      <c r="O86" s="264" t="inlineStr"/>
      <c r="P86" s="264" t="inlineStr">
        <is>
          <t>Pass</t>
        </is>
      </c>
      <c r="Q86" s="264" t="inlineStr">
        <is>
          <t>GiangDC2</t>
        </is>
      </c>
      <c r="R86" s="264" t="inlineStr"/>
      <c r="S86" s="264" t="inlineStr"/>
      <c r="T86" s="264" t="n"/>
      <c r="U86" s="264" t="n"/>
      <c r="V86" s="264" t="n"/>
      <c r="W86" s="264" t="n"/>
      <c r="X86" s="264" t="n"/>
      <c r="Y86" s="264" t="n"/>
      <c r="Z86" s="264" t="n"/>
      <c r="AA86" s="264" t="n"/>
      <c r="AB86" s="264" t="n"/>
      <c r="AC86" s="264" t="n"/>
      <c r="AD86" s="264" t="n"/>
      <c r="AE86" s="264" t="n"/>
      <c r="AF86" s="264" t="n"/>
      <c r="AG86" s="264" t="n"/>
      <c r="AH86" s="264" t="n"/>
      <c r="AI86" s="264" t="n"/>
      <c r="AJ86" s="264" t="n"/>
      <c r="AK86" s="264" t="n"/>
      <c r="AL86" s="264" t="n"/>
      <c r="AM86" s="264" t="n"/>
      <c r="AN86" s="264" t="n"/>
      <c r="AO86" s="264" t="n"/>
      <c r="AP86" s="264" t="n"/>
      <c r="AQ86" s="264" t="n"/>
      <c r="AR86" s="158">
        <f>IF($A86="","",IF(OR($N86="Yes",$T86="Yes",$Z86="Yes",$AF86="Yes",$AL86="Yes"),"Yes","No"))</f>
        <v/>
      </c>
      <c r="AS86" s="158">
        <f>IF($A86="","",IFERROR(IF($AM86&lt;&gt;"",$AM86,IF($AG86&lt;&gt;"",$AG86,IF($AA86&lt;&gt;"",$AA86,IF($U86&lt;&gt;"",$U86,IF($O86&lt;&gt;"",$O86,""))))),""))</f>
        <v/>
      </c>
      <c r="AT86" s="158">
        <f>IFERROR(IF($AN86&lt;&gt;"",$AN86,IF($AH86&lt;&gt;"",$AH86,IF($AB86&lt;&gt;"",$AB86,IF($V86&lt;&gt;"",$V86,IF($P86&lt;&gt;"",$P86,""))))),"")</f>
        <v/>
      </c>
      <c r="AU86" s="265" t="inlineStr">
        <is>
          <t>Mục đích: neo vào `C-ORD-05` Open — Figma có **2 biến thể** màn này (1 bản có "Mã tin", 1 bản không). · Căn cứ: assert theo `US-D02` §D1b L165 *"KHÔNG hiển thị mã đơn — mã kỹ thuật vô nghĩa với người dùng"* (BRD thắng khi mâu thuẫn về rule). App hiện mã tin ⇒ FAIL và dẫn `C-ORD-05` để BA chốt biến thể.</t>
        </is>
      </c>
      <c r="AV86" s="1" t="n"/>
    </row>
    <row r="87" ht="15.75" customHeight="1" s="216">
      <c r="A87" s="160">
        <f>IF($F87="","",$C$2&amp;"."&amp;COUNTA($F$7:$F87)&amp;"")</f>
        <v/>
      </c>
      <c r="B87" s="160" t="inlineStr">
        <is>
          <t>REQ-ORD-016</t>
        </is>
      </c>
      <c r="C87" s="160" t="inlineStr">
        <is>
          <t>DOC-v1.0-01 · DOC-v1.0-02</t>
        </is>
      </c>
      <c r="D87" s="160" t="inlineStr">
        <is>
          <t>UI</t>
        </is>
      </c>
      <c r="E87" s="160" t="inlineStr">
        <is>
          <t>Medium</t>
        </is>
      </c>
      <c r="F87" s="11" t="inlineStr">
        <is>
          <t>Check form OFFER đủ các nhóm trường trên một trang và không có step indicator</t>
        </is>
      </c>
      <c r="G87" s="11" t="inlineStr">
        <is>
          <t>Tài khoản A trên STG có hồ sơ đầy đủ.
Test Data: Hồ sơ đầy đủ tên + SĐT + nơi làm việc (test_data_catalog §ORD, bảng OFFER)</t>
        </is>
      </c>
      <c r="H87" s="11" t="inlineStr">
        <is>
          <t>1. Đăng nhập FoxEco bằng tài khoản A và nhấn "+ Đăng tin". (setup)
2. Nhấn card "Tôi nhận giao hàng".
3. Cuộn toàn form và check lần lượt các nhóm trường cùng vùng step indicator.</t>
        </is>
      </c>
      <c r="I87" s="11" t="inlineStr">
        <is>
          <t>3. Form trên 1 trang, KHÔNG có step indicator, và có đủ: nhóm thông tin của tôi gồm tên và SĐT, field điểm xuất phát, field điểm đến, khoảng thời gian theo ngày, thời gian di chuyển, checkbox điều khoản và nút đăng tin.</t>
        </is>
      </c>
      <c r="J87" s="160" t="inlineStr">
        <is>
          <t>AI</t>
        </is>
      </c>
      <c r="K87" s="160" t="inlineStr">
        <is>
          <t>Pending</t>
        </is>
      </c>
      <c r="L87" s="160" t="inlineStr">
        <is>
          <t>No</t>
        </is>
      </c>
      <c r="M87" s="160" t="inlineStr"/>
      <c r="N87" s="264" t="inlineStr">
        <is>
          <t>Yes</t>
        </is>
      </c>
      <c r="O87" s="264" t="inlineStr"/>
      <c r="P87" s="264" t="inlineStr">
        <is>
          <t>Pass</t>
        </is>
      </c>
      <c r="Q87" s="264" t="inlineStr">
        <is>
          <t>GiangDC2</t>
        </is>
      </c>
      <c r="R87" s="264" t="inlineStr"/>
      <c r="S87" s="264" t="inlineStr"/>
      <c r="T87" s="264" t="n"/>
      <c r="U87" s="264" t="n"/>
      <c r="V87" s="264" t="n"/>
      <c r="W87" s="264" t="n"/>
      <c r="X87" s="264" t="n"/>
      <c r="Y87" s="264" t="n"/>
      <c r="Z87" s="264" t="n"/>
      <c r="AA87" s="264" t="n"/>
      <c r="AB87" s="264" t="n"/>
      <c r="AC87" s="264" t="n"/>
      <c r="AD87" s="264" t="n"/>
      <c r="AE87" s="264" t="n"/>
      <c r="AF87" s="264" t="n"/>
      <c r="AG87" s="264" t="n"/>
      <c r="AH87" s="264" t="n"/>
      <c r="AI87" s="264" t="n"/>
      <c r="AJ87" s="264" t="n"/>
      <c r="AK87" s="264" t="n"/>
      <c r="AL87" s="264" t="n"/>
      <c r="AM87" s="264" t="n"/>
      <c r="AN87" s="264" t="n"/>
      <c r="AO87" s="264" t="n"/>
      <c r="AP87" s="264" t="n"/>
      <c r="AQ87" s="264" t="n"/>
      <c r="AR87" s="158">
        <f>IF($A87="","",IF(OR($N87="Yes",$T87="Yes",$Z87="Yes",$AF87="Yes",$AL87="Yes"),"Yes","No"))</f>
        <v/>
      </c>
      <c r="AS87" s="158">
        <f>IF($A87="","",IFERROR(IF($AM87&lt;&gt;"",$AM87,IF($AG87&lt;&gt;"",$AG87,IF($AA87&lt;&gt;"",$AA87,IF($U87&lt;&gt;"",$U87,IF($O87&lt;&gt;"",$O87,""))))),""))</f>
        <v/>
      </c>
      <c r="AT87" s="158">
        <f>IFERROR(IF($AN87&lt;&gt;"",$AN87,IF($AH87&lt;&gt;"",$AH87,IF($AB87&lt;&gt;"",$AB87,IF($V87&lt;&gt;"",$V87,IF($P87&lt;&gt;"",$P87,""))))),"")</f>
        <v/>
      </c>
      <c r="AU87" s="265" t="inlineStr">
        <is>
          <t>Căn cứ: `US-D10` §D1b L184 + `DOC-v1.0-02` §4.4 + `KB-ORD-11`.</t>
        </is>
      </c>
      <c r="AV87" s="1" t="n"/>
    </row>
    <row r="88" ht="15.75" customHeight="1" s="216">
      <c r="A88" s="160">
        <f>IF($F88="","",$C$2&amp;"."&amp;COUNTA($F$7:$F88)&amp;"")</f>
        <v/>
      </c>
      <c r="B88" s="160" t="inlineStr">
        <is>
          <t>REQ-ORD-016</t>
        </is>
      </c>
      <c r="C88" s="160" t="inlineStr">
        <is>
          <t>DOC-v1.0-01</t>
        </is>
      </c>
      <c r="D88" s="160" t="inlineStr">
        <is>
          <t>Functional</t>
        </is>
      </c>
      <c r="E88" s="160" t="inlineStr">
        <is>
          <t>Medium</t>
        </is>
      </c>
      <c r="F88" s="11" t="inlineStr">
        <is>
          <t>Check điểm xuất phát của form OFFER được điền sẵn và sửa được, điểm đến trùng điểm xuất phát bị chặn</t>
        </is>
      </c>
      <c r="G88" s="11" t="inlineStr">
        <is>
          <t>Tài khoản A trên STG có nơi làm việc trong hồ sơ nhân viên.
Test Data: Điểm xuất phát pre-fill; điểm đến trùng điểm xuất phát (test_data_catalog §ORD, bảng OFFER)</t>
        </is>
      </c>
      <c r="H88" s="11" t="inlineStr">
        <is>
          <t>1. Đăng nhập FoxEco bằng tài khoản A, nhấn "+ Đăng tin" và nhấn card "Tôi nhận giao hàng". (setup)
2. Check giá trị field điểm xuất phát và ghi lại.
3. Xoá nội dung field điểm xuất phát, gõ tên văn phòng khác và chạm chọn 1 gợi ý.
4. Nhập điểm đến trùng đúng giá trị vừa chọn ở bước 3 bằng cách chạm chọn cùng gợi ý.
5. Tick checkbox điều khoản, chọn ngày và thời gian di chuyển hợp lệ, rồi nhấn nút đăng tin.</t>
        </is>
      </c>
      <c r="I88" s="11" t="inlineStr">
        <is>
          <t>2. Field điểm xuất phát được điền sẵn theo nơi làm việc của tài khoản.
3. Field nhận giá trị mới đã chạm chọn, tức field sửa được.
5. Tin KHÔNG được đăng; hiện thông báo lỗi cho biết điểm đến phải khác điểm xuất phát.</t>
        </is>
      </c>
      <c r="J88" s="160" t="inlineStr">
        <is>
          <t>AI</t>
        </is>
      </c>
      <c r="K88" s="160" t="inlineStr">
        <is>
          <t>Pending</t>
        </is>
      </c>
      <c r="L88" s="160" t="inlineStr">
        <is>
          <t>No</t>
        </is>
      </c>
      <c r="M88" s="160" t="inlineStr"/>
      <c r="N88" s="264" t="inlineStr">
        <is>
          <t>Yes</t>
        </is>
      </c>
      <c r="O88" s="264" t="inlineStr"/>
      <c r="P88" s="264" t="inlineStr">
        <is>
          <t>Fail</t>
        </is>
      </c>
      <c r="Q88" s="264" t="inlineStr">
        <is>
          <t>GiangDC2</t>
        </is>
      </c>
      <c r="R88" s="264" t="inlineStr">
        <is>
          <t>FE-301, FE-305</t>
        </is>
      </c>
      <c r="S88" s="264" t="inlineStr"/>
      <c r="T88" s="264" t="n"/>
      <c r="U88" s="264" t="n"/>
      <c r="V88" s="264" t="n"/>
      <c r="W88" s="264" t="n"/>
      <c r="X88" s="264" t="n"/>
      <c r="Y88" s="264" t="n"/>
      <c r="Z88" s="264" t="n"/>
      <c r="AA88" s="264" t="n"/>
      <c r="AB88" s="264" t="n"/>
      <c r="AC88" s="264" t="n"/>
      <c r="AD88" s="264" t="n"/>
      <c r="AE88" s="264" t="n"/>
      <c r="AF88" s="264" t="n"/>
      <c r="AG88" s="264" t="n"/>
      <c r="AH88" s="264" t="n"/>
      <c r="AI88" s="264" t="n"/>
      <c r="AJ88" s="264" t="n"/>
      <c r="AK88" s="264" t="n"/>
      <c r="AL88" s="264" t="n"/>
      <c r="AM88" s="264" t="n"/>
      <c r="AN88" s="264" t="n"/>
      <c r="AO88" s="264" t="n"/>
      <c r="AP88" s="264" t="n"/>
      <c r="AQ88" s="264" t="n"/>
      <c r="AR88" s="158">
        <f>IF($A88="","",IF(OR($N88="Yes",$T88="Yes",$Z88="Yes",$AF88="Yes",$AL88="Yes"),"Yes","No"))</f>
        <v/>
      </c>
      <c r="AS88" s="158">
        <f>IF($A88="","",IFERROR(IF($AM88&lt;&gt;"",$AM88,IF($AG88&lt;&gt;"",$AG88,IF($AA88&lt;&gt;"",$AA88,IF($U88&lt;&gt;"",$U88,IF($O88&lt;&gt;"",$O88,""))))),""))</f>
        <v/>
      </c>
      <c r="AT88" s="158">
        <f>IFERROR(IF($AN88&lt;&gt;"",$AN88,IF($AH88&lt;&gt;"",$AH88,IF($AB88&lt;&gt;"",$AB88,IF($V88&lt;&gt;"",$V88,IF($P88&lt;&gt;"",$P88,""))))),"")</f>
        <v/>
      </c>
      <c r="AU88" s="265" t="inlineStr">
        <is>
          <t>Mục đích: khác biệt cần chốt — điểm xuất phát của OFFER **sửa được**, trong khi tên người gửi của NEED là chỉ đọc (`TC-ORD-016`). · Căn cứ: `D8.2` §D8.2 L381-382.</t>
        </is>
      </c>
      <c r="AV88" s="1" t="n"/>
    </row>
    <row r="89" ht="15.75" customHeight="1" s="216">
      <c r="A89" s="160">
        <f>IF($F89="","",$C$2&amp;"."&amp;COUNTA($F$7:$F89)&amp;"")</f>
        <v/>
      </c>
      <c r="B89" s="160" t="inlineStr">
        <is>
          <t>REQ-ORD-016</t>
        </is>
      </c>
      <c r="C89" s="160" t="inlineStr">
        <is>
          <t>DOC-v1.0-01</t>
        </is>
      </c>
      <c r="D89" s="160" t="inlineStr">
        <is>
          <t>Functional</t>
        </is>
      </c>
      <c r="E89" s="160" t="inlineStr">
        <is>
          <t>High</t>
        </is>
      </c>
      <c r="F89" s="11" t="inlineStr">
        <is>
          <t>Check tin OFFER không xuất hiện trên Bảng tin của người khác</t>
        </is>
      </c>
      <c r="G89" s="11" t="inlineStr">
        <is>
          <t>Hai tài khoản CBNV trên STG (A đăng tin OFFER, B người xem).
Test Data: 1 tin OFFER (test_data_catalog §ORD, bảng OFFER)</t>
        </is>
      </c>
      <c r="H89" s="11" t="inlineStr">
        <is>
          <t>1. Đăng nhập bằng tài khoản A, đăng 1 tin OFFER qua card "Tôi nhận giao hàng" và ghi lại tuyến đường, rồi đăng xuất. (setup)
2. Đăng nhập bằng tài khoản B và nhấn tab "Bảng tin".
3. Cuộn toàn danh sách và tìm tin có tuyến đường đã ghi ở bước 1.
4. Đăng nhập lại bằng tài khoản A, nhấn tab "Bảng tin" và tìm tin OFFER của chính mình.</t>
        </is>
      </c>
      <c r="I89" s="11" t="inlineStr">
        <is>
          <t>3. Danh sách Bảng tin của tài khoản B KHÔNG có tin OFFER đó.
4. Danh sách Bảng tin của tài khoản A cũng KHÔNG có tin OFFER đó.</t>
        </is>
      </c>
      <c r="J89" s="160" t="inlineStr">
        <is>
          <t>AI</t>
        </is>
      </c>
      <c r="K89" s="160" t="inlineStr">
        <is>
          <t>Pending</t>
        </is>
      </c>
      <c r="L89" s="160" t="inlineStr">
        <is>
          <t>No</t>
        </is>
      </c>
      <c r="M89" s="160" t="inlineStr"/>
      <c r="N89" s="264" t="inlineStr">
        <is>
          <t>Yes</t>
        </is>
      </c>
      <c r="O89" s="264" t="inlineStr"/>
      <c r="P89" s="264" t="inlineStr">
        <is>
          <t>Pass</t>
        </is>
      </c>
      <c r="Q89" s="264" t="inlineStr">
        <is>
          <t>GiangDC2</t>
        </is>
      </c>
      <c r="R89" s="264" t="inlineStr"/>
      <c r="S89" s="264" t="inlineStr"/>
      <c r="T89" s="264" t="n"/>
      <c r="U89" s="264" t="n"/>
      <c r="V89" s="264" t="n"/>
      <c r="W89" s="264" t="n"/>
      <c r="X89" s="264" t="n"/>
      <c r="Y89" s="264" t="n"/>
      <c r="Z89" s="264" t="n"/>
      <c r="AA89" s="264" t="n"/>
      <c r="AB89" s="264" t="n"/>
      <c r="AC89" s="264" t="n"/>
      <c r="AD89" s="264" t="n"/>
      <c r="AE89" s="264" t="n"/>
      <c r="AF89" s="264" t="n"/>
      <c r="AG89" s="264" t="n"/>
      <c r="AH89" s="264" t="n"/>
      <c r="AI89" s="264" t="n"/>
      <c r="AJ89" s="264" t="n"/>
      <c r="AK89" s="264" t="n"/>
      <c r="AL89" s="264" t="n"/>
      <c r="AM89" s="264" t="n"/>
      <c r="AN89" s="264" t="n"/>
      <c r="AO89" s="264" t="n"/>
      <c r="AP89" s="264" t="n"/>
      <c r="AQ89" s="264" t="n"/>
      <c r="AR89" s="158">
        <f>IF($A89="","",IF(OR($N89="Yes",$T89="Yes",$Z89="Yes",$AF89="Yes",$AL89="Yes"),"Yes","No"))</f>
        <v/>
      </c>
      <c r="AS89" s="158">
        <f>IF($A89="","",IFERROR(IF($AM89&lt;&gt;"",$AM89,IF($AG89&lt;&gt;"",$AG89,IF($AA89&lt;&gt;"",$AA89,IF($U89&lt;&gt;"",$U89,IF($O89&lt;&gt;"",$O89,""))))),""))</f>
        <v/>
      </c>
      <c r="AT89" s="158">
        <f>IFERROR(IF($AN89&lt;&gt;"",$AN89,IF($AH89&lt;&gt;"",$AH89,IF($AB89&lt;&gt;"",$AB89,IF($V89&lt;&gt;"",$V89,IF($P89&lt;&gt;"",$P89,""))))),"")</f>
        <v/>
      </c>
      <c r="AU89" s="265" t="inlineStr">
        <is>
          <t>Mục đích: tuyến OFFER là dữ liệu **không công khai** — lộ lên Bảng tin là rò rỉ lịch trình di chuyển của nhân viên. · Căn cứ: `US-D11` §D1b L185 + `ORD-01` §D3 L240.</t>
        </is>
      </c>
      <c r="AV89" s="1" t="n"/>
    </row>
    <row r="90" ht="15.75" customHeight="1" s="216">
      <c r="A90" s="160">
        <f>IF($F90="","",$C$2&amp;"."&amp;COUNTA($F$7:$F90)&amp;"")</f>
        <v/>
      </c>
      <c r="B90" s="160" t="inlineStr">
        <is>
          <t>REQ-ORD-019</t>
        </is>
      </c>
      <c r="C90" s="160" t="inlineStr">
        <is>
          <t>DOC-v1.0-01</t>
        </is>
      </c>
      <c r="D90" s="160" t="inlineStr">
        <is>
          <t>Functional</t>
        </is>
      </c>
      <c r="E90" s="160" t="inlineStr">
        <is>
          <t>Medium</t>
        </is>
      </c>
      <c r="F90" s="11" t="inlineStr">
        <is>
          <t>Check block Lịch sử của tin vừa đăng có mốc đăng tin kèm timestamp</t>
        </is>
      </c>
      <c r="G90" s="11" t="inlineStr">
        <is>
          <t>Tài khoản A trên STG.
Test Data: 1 tin NEED vừa đăng (test_data_catalog §ORD)</t>
        </is>
      </c>
      <c r="H90" s="11" t="inlineStr">
        <is>
          <t>1. Đăng nhập FoxEco bằng tài khoản A, đăng 1 tin NEED qua wizard "+ Đăng tin" và ghi lại thời điểm bấm "Đăng tin ngay". (setup)
2. Nhấn "Theo dõi đơn" trên màn "Đăng tin thành công".
3. Mở block "Lịch sử" và check các mốc cùng timestamp.</t>
        </is>
      </c>
      <c r="I90" s="11" t="inlineStr">
        <is>
          <t>3. Block Lịch sử có mốc "Đăng tin" kèm timestamp khớp thời điểm đã ghi ở bước 1.</t>
        </is>
      </c>
      <c r="J90" s="160" t="inlineStr">
        <is>
          <t>AI</t>
        </is>
      </c>
      <c r="K90" s="160" t="inlineStr">
        <is>
          <t>Pending</t>
        </is>
      </c>
      <c r="L90" s="160" t="inlineStr">
        <is>
          <t>No</t>
        </is>
      </c>
      <c r="M90" s="160" t="inlineStr"/>
      <c r="N90" s="264" t="inlineStr">
        <is>
          <t>Yes</t>
        </is>
      </c>
      <c r="O90" s="264" t="inlineStr"/>
      <c r="P90" s="264" t="inlineStr">
        <is>
          <t>Pass</t>
        </is>
      </c>
      <c r="Q90" s="264" t="inlineStr">
        <is>
          <t>GiangDC2</t>
        </is>
      </c>
      <c r="R90" s="264" t="inlineStr"/>
      <c r="S90" s="264" t="inlineStr"/>
      <c r="T90" s="264" t="n"/>
      <c r="U90" s="264" t="n"/>
      <c r="V90" s="264" t="n"/>
      <c r="W90" s="264" t="n"/>
      <c r="X90" s="264" t="n"/>
      <c r="Y90" s="264" t="n"/>
      <c r="Z90" s="264" t="n"/>
      <c r="AA90" s="264" t="n"/>
      <c r="AB90" s="264" t="n"/>
      <c r="AC90" s="264" t="n"/>
      <c r="AD90" s="264" t="n"/>
      <c r="AE90" s="264" t="n"/>
      <c r="AF90" s="264" t="n"/>
      <c r="AG90" s="264" t="n"/>
      <c r="AH90" s="264" t="n"/>
      <c r="AI90" s="264" t="n"/>
      <c r="AJ90" s="264" t="n"/>
      <c r="AK90" s="264" t="n"/>
      <c r="AL90" s="264" t="n"/>
      <c r="AM90" s="264" t="n"/>
      <c r="AN90" s="264" t="n"/>
      <c r="AO90" s="264" t="n"/>
      <c r="AP90" s="264" t="n"/>
      <c r="AQ90" s="264" t="n"/>
      <c r="AR90" s="158">
        <f>IF($A90="","",IF(OR($N90="Yes",$T90="Yes",$Z90="Yes",$AF90="Yes",$AL90="Yes"),"Yes","No"))</f>
        <v/>
      </c>
      <c r="AS90" s="158">
        <f>IF($A90="","",IFERROR(IF($AM90&lt;&gt;"",$AM90,IF($AG90&lt;&gt;"",$AG90,IF($AA90&lt;&gt;"",$AA90,IF($U90&lt;&gt;"",$U90,IF($O90&lt;&gt;"",$O90,""))))),""))</f>
        <v/>
      </c>
      <c r="AT90" s="158">
        <f>IFERROR(IF($AN90&lt;&gt;"",$AN90,IF($AH90&lt;&gt;"",$AH90,IF($AB90&lt;&gt;"",$AB90,IF($V90&lt;&gt;"",$V90,IF($P90&lt;&gt;"",$P90,""))))),"")</f>
        <v/>
      </c>
      <c r="AU90" s="265" t="inlineStr">
        <is>
          <t>Căn cứ: `ORD-04` §D3 L243.</t>
        </is>
      </c>
      <c r="AV90" s="1" t="n"/>
    </row>
    <row r="91" ht="15.75" customHeight="1" s="216">
      <c r="A91" s="160">
        <f>IF($F91="","",$C$2&amp;"."&amp;COUNTA($F$7:$F91)&amp;"")</f>
        <v/>
      </c>
      <c r="B91" s="160" t="inlineStr">
        <is>
          <t>REQ-ORD-020</t>
        </is>
      </c>
      <c r="C91" s="160" t="inlineStr">
        <is>
          <t>DOC-v1.0-01</t>
        </is>
      </c>
      <c r="D91" s="160" t="inlineStr">
        <is>
          <t>Functional</t>
        </is>
      </c>
      <c r="E91" s="160" t="inlineStr">
        <is>
          <t>Medium</t>
        </is>
      </c>
      <c r="F91" s="11" t="inlineStr">
        <is>
          <t>Check nút gửi của cả wizard NEED và form OFFER chỉ bật khi đủ trường bắt buộc và đã tick điều khoản</t>
        </is>
      </c>
      <c r="G91" s="11" t="inlineStr">
        <is>
          <t>Tài khoản A trên STG có hồ sơ đầy đủ.
Test Data: Bộ dữ liệu thiếu trường bắt buộc và bộ đủ trường (test_data_catalog §ORD)</t>
        </is>
      </c>
      <c r="H91" s="11" t="inlineStr">
        <is>
          <t>1. Đăng nhập FoxEco bằng tài khoản A, nhấn "+ Đăng tin", nhấn card "Tôi cần gửi hàng", điền đủ bước 1 và bước 2 rồi vào bước 3. (setup)
2. Không tick checkbox điều khoản và check trạng thái nút "Đăng tin ngay".
3. Tick checkbox điều khoản và check lại trạng thái nút.
4. Nhấn quay lại màn "Đăng tin mới", nhấn card "Tôi nhận giao hàng", để trống field điểm đến và check trạng thái nút đăng tin.
5. Nhập điểm đến bằng cách chạm chọn gợi ý, tick checkbox điều khoản và check lại trạng thái nút đăng tin.</t>
        </is>
      </c>
      <c r="I91" s="11" t="inlineStr">
        <is>
          <t>2. Nút "Đăng tin ngay" ở trạng thái disable.
3. Nút "Đăng tin ngay" ở trạng thái enable.
4. Nút đăng tin của form OFFER ở trạng thái disable.
5. Nút đăng tin của form OFFER ở trạng thái enable.</t>
        </is>
      </c>
      <c r="J91" s="160" t="inlineStr">
        <is>
          <t>AI</t>
        </is>
      </c>
      <c r="K91" s="160" t="inlineStr">
        <is>
          <t>Pending</t>
        </is>
      </c>
      <c r="L91" s="160" t="inlineStr">
        <is>
          <t>No</t>
        </is>
      </c>
      <c r="M91" s="160" t="inlineStr"/>
      <c r="N91" s="264" t="inlineStr">
        <is>
          <t>Yes</t>
        </is>
      </c>
      <c r="O91" s="264" t="inlineStr"/>
      <c r="P91" s="264" t="inlineStr">
        <is>
          <t>Fail</t>
        </is>
      </c>
      <c r="Q91" s="264" t="inlineStr">
        <is>
          <t>GiangDC2</t>
        </is>
      </c>
      <c r="R91" s="264" t="inlineStr">
        <is>
          <t>FE-307</t>
        </is>
      </c>
      <c r="S91" s="264" t="inlineStr"/>
      <c r="T91" s="264" t="n"/>
      <c r="U91" s="264" t="n"/>
      <c r="V91" s="264" t="n"/>
      <c r="W91" s="264" t="n"/>
      <c r="X91" s="264" t="n"/>
      <c r="Y91" s="264" t="n"/>
      <c r="Z91" s="264" t="n"/>
      <c r="AA91" s="264" t="n"/>
      <c r="AB91" s="264" t="n"/>
      <c r="AC91" s="264" t="n"/>
      <c r="AD91" s="264" t="n"/>
      <c r="AE91" s="264" t="n"/>
      <c r="AF91" s="264" t="n"/>
      <c r="AG91" s="264" t="n"/>
      <c r="AH91" s="264" t="n"/>
      <c r="AI91" s="264" t="n"/>
      <c r="AJ91" s="264" t="n"/>
      <c r="AK91" s="264" t="n"/>
      <c r="AL91" s="264" t="n"/>
      <c r="AM91" s="264" t="n"/>
      <c r="AN91" s="264" t="n"/>
      <c r="AO91" s="264" t="n"/>
      <c r="AP91" s="264" t="n"/>
      <c r="AQ91" s="264" t="n"/>
      <c r="AR91" s="158">
        <f>IF($A91="","",IF(OR($N91="Yes",$T91="Yes",$Z91="Yes",$AF91="Yes",$AL91="Yes"),"Yes","No"))</f>
        <v/>
      </c>
      <c r="AS91" s="158">
        <f>IF($A91="","",IFERROR(IF($AM91&lt;&gt;"",$AM91,IF($AG91&lt;&gt;"",$AG91,IF($AA91&lt;&gt;"",$AA91,IF($U91&lt;&gt;"",$U91,IF($O91&lt;&gt;"",$O91,""))))),""))</f>
        <v/>
      </c>
      <c r="AT91" s="158">
        <f>IFERROR(IF($AN91&lt;&gt;"",$AN91,IF($AH91&lt;&gt;"",$AH91,IF($AB91&lt;&gt;"",$AB91,IF($V91&lt;&gt;"",$V91,IF($P91&lt;&gt;"",$P91,""))))),"")</f>
        <v/>
      </c>
      <c r="AU91" s="265" t="inlineStr">
        <is>
          <t>Căn cứ: `VAL-01` §D8.3 L392 — rule áp cho **cả 2 luồng đăng tin**, nên TC kiểm cả hai.</t>
        </is>
      </c>
      <c r="AV91" s="1" t="n"/>
    </row>
    <row r="92" ht="15.75" customHeight="1" s="216">
      <c r="A92" s="160">
        <f>IF($F92="","",$C$2&amp;"."&amp;COUNTA($F$7:$F92)&amp;"")</f>
        <v/>
      </c>
      <c r="B92" s="160" t="inlineStr">
        <is>
          <t>REQ-ORD-020</t>
        </is>
      </c>
      <c r="C92" s="160" t="inlineStr">
        <is>
          <t>DOC-v1.0-01</t>
        </is>
      </c>
      <c r="D92" s="160" t="inlineStr">
        <is>
          <t>UI</t>
        </is>
      </c>
      <c r="E92" s="160" t="inlineStr">
        <is>
          <t>Low</t>
        </is>
      </c>
      <c r="F92" s="11" t="inlineStr">
        <is>
          <t>Check lỗi validate hiện ngay dưới ô nhập và khi submit thì màn cuộn tới ô lỗi đầu tiên</t>
        </is>
      </c>
      <c r="G92" s="11" t="inlineStr">
        <is>
          <t>Tài khoản A trên STG.
Test Data: Tên 1 ký tự; nhiều field lỗi cùng lúc (test_data_catalog §ORD)</t>
        </is>
      </c>
      <c r="H92" s="11" t="inlineStr">
        <is>
          <t>1. Đăng nhập FoxEco bằng tài khoản A, nhấn "+ Đăng tin", nhấn card "Tôi cần gửi hàng", chọn loại hàng và giá trị hàng rồi nhấn "Tiếp theo". (setup)
2. Nhập 1 ký tự vào field tên người nhận rồi rời ô.
3. Check vị trí thông báo lỗi.
4. Để trống thêm field SĐT người nhận và field địa chỉ giao hàng, cuộn xuống cuối form rồi nhấn "Tiếp theo".
5. Check vị trí màn sau khi nhấn.</t>
        </is>
      </c>
      <c r="I92" s="11" t="inlineStr">
        <is>
          <t>3. Thông báo lỗi hiện ngay bên dưới ô tên người nhận, không phải popup.
5. Màn cuộn tới ô lỗi đầu tiên tính từ trên xuống của form.</t>
        </is>
      </c>
      <c r="J92" s="160" t="inlineStr">
        <is>
          <t>AI</t>
        </is>
      </c>
      <c r="K92" s="160" t="inlineStr">
        <is>
          <t>Pending</t>
        </is>
      </c>
      <c r="L92" s="160" t="inlineStr">
        <is>
          <t>No</t>
        </is>
      </c>
      <c r="M92" s="160" t="inlineStr"/>
      <c r="N92" s="264" t="inlineStr">
        <is>
          <t>Yes</t>
        </is>
      </c>
      <c r="O92" s="264" t="inlineStr"/>
      <c r="P92" s="264" t="inlineStr">
        <is>
          <t>Fail</t>
        </is>
      </c>
      <c r="Q92" s="264" t="inlineStr">
        <is>
          <t>GiangDC2</t>
        </is>
      </c>
      <c r="R92" s="264" t="inlineStr">
        <is>
          <t>FE-301</t>
        </is>
      </c>
      <c r="S92" s="264" t="inlineStr"/>
      <c r="T92" s="264" t="n"/>
      <c r="U92" s="264" t="n"/>
      <c r="V92" s="264" t="n"/>
      <c r="W92" s="264" t="n"/>
      <c r="X92" s="264" t="n"/>
      <c r="Y92" s="264" t="n"/>
      <c r="Z92" s="264" t="n"/>
      <c r="AA92" s="264" t="n"/>
      <c r="AB92" s="264" t="n"/>
      <c r="AC92" s="264" t="n"/>
      <c r="AD92" s="264" t="n"/>
      <c r="AE92" s="264" t="n"/>
      <c r="AF92" s="264" t="n"/>
      <c r="AG92" s="264" t="n"/>
      <c r="AH92" s="264" t="n"/>
      <c r="AI92" s="264" t="n"/>
      <c r="AJ92" s="264" t="n"/>
      <c r="AK92" s="264" t="n"/>
      <c r="AL92" s="264" t="n"/>
      <c r="AM92" s="264" t="n"/>
      <c r="AN92" s="264" t="n"/>
      <c r="AO92" s="264" t="n"/>
      <c r="AP92" s="264" t="n"/>
      <c r="AQ92" s="264" t="n"/>
      <c r="AR92" s="158">
        <f>IF($A92="","",IF(OR($N92="Yes",$T92="Yes",$Z92="Yes",$AF92="Yes",$AL92="Yes"),"Yes","No"))</f>
        <v/>
      </c>
      <c r="AS92" s="158">
        <f>IF($A92="","",IFERROR(IF($AM92&lt;&gt;"",$AM92,IF($AG92&lt;&gt;"",$AG92,IF($AA92&lt;&gt;"",$AA92,IF($U92&lt;&gt;"",$U92,IF($O92&lt;&gt;"",$O92,""))))),""))</f>
        <v/>
      </c>
      <c r="AT92" s="158">
        <f>IFERROR(IF($AN92&lt;&gt;"",$AN92,IF($AH92&lt;&gt;"",$AH92,IF($AB92&lt;&gt;"",$AB92,IF($V92&lt;&gt;"",$V92,IF($P92&lt;&gt;"",$P92,""))))),"")</f>
        <v/>
      </c>
      <c r="AU92" s="265" t="inlineStr">
        <is>
          <t>Căn cứ: `VAL-02` §D8.3 L393.</t>
        </is>
      </c>
      <c r="AV92" s="1" t="n"/>
    </row>
    <row r="93" ht="15.75" customHeight="1" s="216">
      <c r="A93" s="160">
        <f>IF($F93="","",$C$2&amp;"."&amp;COUNTA($F$7:$F93)&amp;"")</f>
        <v/>
      </c>
      <c r="B93" s="160" t="inlineStr">
        <is>
          <t>REQ-ORD-020</t>
        </is>
      </c>
      <c r="C93" s="160" t="inlineStr">
        <is>
          <t>DOC-v1.0-01</t>
        </is>
      </c>
      <c r="D93" s="160" t="inlineStr">
        <is>
          <t>Functional</t>
        </is>
      </c>
      <c r="E93" s="160" t="inlineStr">
        <is>
          <t>Low</t>
        </is>
      </c>
      <c r="F93" s="11" t="inlineStr">
        <is>
          <t>Check hệ thống cắt khoảng trắng đầu cuối của tên và chuẩn hoá số điện thoại khi lưu</t>
        </is>
      </c>
      <c r="G93" s="11" t="inlineStr">
        <is>
          <t>Tài khoản A trên STG.
Test Data: Tên có khoảng trắng đầu cuối; SĐT "090 123.4567" (test_data_catalog §ORD)</t>
        </is>
      </c>
      <c r="H93" s="11" t="inlineStr">
        <is>
          <t>1. Đăng nhập FoxEco bằng tài khoản A, nhấn "+ Đăng tin", nhấn card "Tôi cần gửi hàng", chọn loại hàng và giá trị hàng rồi nhấn "Tiếp theo". (setup)
2. Nhập tên người nhận có thêm khoảng trắng ở đầu và cuối chuỗi rồi rời ô.
3. Nhập SĐT người nhận dạng "090 123.4567" rồi rời ô.
4. Nhập đủ 2 địa chỉ và khung giờ hợp lệ, nhấn "Tiếp theo" và check phần tóm tắt ở bước 3.</t>
        </is>
      </c>
      <c r="I93" s="11" t="inlineStr">
        <is>
          <t>4. Tóm tắt hiển thị tên người nhận không còn khoảng trắng ở đầu và cuối; SĐT người nhận hiển thị dạng chỉ gồm chữ số, không còn khoảng trắng và dấu chấm.</t>
        </is>
      </c>
      <c r="J93" s="160" t="inlineStr">
        <is>
          <t>AI</t>
        </is>
      </c>
      <c r="K93" s="160" t="inlineStr">
        <is>
          <t>Pending</t>
        </is>
      </c>
      <c r="L93" s="160" t="inlineStr">
        <is>
          <t>No</t>
        </is>
      </c>
      <c r="M93" s="160" t="inlineStr"/>
      <c r="N93" s="264" t="inlineStr">
        <is>
          <t>Yes</t>
        </is>
      </c>
      <c r="O93" s="264" t="inlineStr"/>
      <c r="P93" s="264" t="inlineStr">
        <is>
          <t>Pass</t>
        </is>
      </c>
      <c r="Q93" s="264" t="inlineStr">
        <is>
          <t>GiangDC2</t>
        </is>
      </c>
      <c r="R93" s="264" t="inlineStr"/>
      <c r="S93" s="264" t="inlineStr"/>
      <c r="T93" s="264" t="n"/>
      <c r="U93" s="264" t="n"/>
      <c r="V93" s="264" t="n"/>
      <c r="W93" s="264" t="n"/>
      <c r="X93" s="264" t="n"/>
      <c r="Y93" s="264" t="n"/>
      <c r="Z93" s="264" t="n"/>
      <c r="AA93" s="264" t="n"/>
      <c r="AB93" s="264" t="n"/>
      <c r="AC93" s="264" t="n"/>
      <c r="AD93" s="264" t="n"/>
      <c r="AE93" s="264" t="n"/>
      <c r="AF93" s="264" t="n"/>
      <c r="AG93" s="264" t="n"/>
      <c r="AH93" s="264" t="n"/>
      <c r="AI93" s="264" t="n"/>
      <c r="AJ93" s="264" t="n"/>
      <c r="AK93" s="264" t="n"/>
      <c r="AL93" s="264" t="n"/>
      <c r="AM93" s="264" t="n"/>
      <c r="AN93" s="264" t="n"/>
      <c r="AO93" s="264" t="n"/>
      <c r="AP93" s="264" t="n"/>
      <c r="AQ93" s="264" t="n"/>
      <c r="AR93" s="158">
        <f>IF($A93="","",IF(OR($N93="Yes",$T93="Yes",$Z93="Yes",$AF93="Yes",$AL93="Yes"),"Yes","No"))</f>
        <v/>
      </c>
      <c r="AS93" s="158">
        <f>IF($A93="","",IFERROR(IF($AM93&lt;&gt;"",$AM93,IF($AG93&lt;&gt;"",$AG93,IF($AA93&lt;&gt;"",$AA93,IF($U93&lt;&gt;"",$U93,IF($O93&lt;&gt;"",$O93,""))))),""))</f>
        <v/>
      </c>
      <c r="AT93" s="158">
        <f>IFERROR(IF($AN93&lt;&gt;"",$AN93,IF($AH93&lt;&gt;"",$AH93,IF($AB93&lt;&gt;"",$AB93,IF($V93&lt;&gt;"",$V93,IF($P93&lt;&gt;"",$P93,""))))),"")</f>
        <v/>
      </c>
      <c r="AU93" s="265" t="inlineStr">
        <is>
          <t>Căn cứ: `VAL-03` §D8.3 L394. Cùng rule trim với lý do huỷ đơn ở `TC-CNL-012` — nếu TC này PASS mà TC-CNL-012 FAIL thì trim chỉ được áp ở một số form, ghi rõ khi log bug.</t>
        </is>
      </c>
      <c r="AV93" s="1" t="n"/>
    </row>
    <row r="94" ht="15.75" customHeight="1" s="216">
      <c r="A94" s="160">
        <f>IF($F94="","",$C$2&amp;"."&amp;COUNTA($F$7:$F94)&amp;"")</f>
        <v/>
      </c>
      <c r="B94" s="160" t="inlineStr">
        <is>
          <t>REQ-ORD-022</t>
        </is>
      </c>
      <c r="C94" s="160" t="inlineStr">
        <is>
          <t>DOC-v1.0-01 · DOC-v1.0-06</t>
        </is>
      </c>
      <c r="D94" s="160" t="inlineStr">
        <is>
          <t>Functional</t>
        </is>
      </c>
      <c r="E94" s="160" t="inlineStr">
        <is>
          <t>Low</t>
        </is>
      </c>
      <c r="F94" s="11" t="inlineStr">
        <is>
          <t>Check bước 1 không có field nhập số tiền hay ngưỡng giá trị hàng</t>
        </is>
      </c>
      <c r="G94" s="11" t="inlineStr">
        <is>
          <t>Tài khoản A trên STG.
Test Data: Field số tiền là giá trị assert-absent (test_data_catalog §ORD)</t>
        </is>
      </c>
      <c r="H94" s="11" t="inlineStr">
        <is>
          <t>1. Đăng nhập FoxEco bằng tài khoản A, nhấn "+ Đăng tin" và nhấn card "Tôi cần gửi hàng". (setup)
2. Cuộn toàn bước 1 và check tìm field nhập số tiền hoặc ngưỡng giá trị hàng.
3. Chọn giá trị hàng "Cao" và check lại vùng quanh nhóm giá trị hàng.</t>
        </is>
      </c>
      <c r="I94" s="11" t="inlineStr">
        <is>
          <t>2. KHÔNG có field nhập số tiền và KHÔNG có field nhập ngưỡng giá trị hàng.
3. Sau khi chọn "Cao" vẫn KHÔNG xuất hiện field nhập số tiền nào.</t>
        </is>
      </c>
      <c r="J94" s="160" t="inlineStr">
        <is>
          <t>AI</t>
        </is>
      </c>
      <c r="K94" s="160" t="inlineStr">
        <is>
          <t>Pending</t>
        </is>
      </c>
      <c r="L94" s="160" t="inlineStr">
        <is>
          <t>No</t>
        </is>
      </c>
      <c r="M94" s="160" t="inlineStr"/>
      <c r="N94" s="264" t="inlineStr">
        <is>
          <t>Yes</t>
        </is>
      </c>
      <c r="O94" s="264" t="inlineStr"/>
      <c r="P94" s="264" t="inlineStr">
        <is>
          <t>Pass</t>
        </is>
      </c>
      <c r="Q94" s="264" t="inlineStr">
        <is>
          <t>GiangDC2</t>
        </is>
      </c>
      <c r="R94" s="264" t="inlineStr"/>
      <c r="S94" s="264" t="inlineStr"/>
      <c r="T94" s="264" t="n"/>
      <c r="U94" s="264" t="n"/>
      <c r="V94" s="264" t="n"/>
      <c r="W94" s="264" t="n"/>
      <c r="X94" s="264" t="n"/>
      <c r="Y94" s="264" t="n"/>
      <c r="Z94" s="264" t="n"/>
      <c r="AA94" s="264" t="n"/>
      <c r="AB94" s="264" t="n"/>
      <c r="AC94" s="264" t="n"/>
      <c r="AD94" s="264" t="n"/>
      <c r="AE94" s="264" t="n"/>
      <c r="AF94" s="264" t="n"/>
      <c r="AG94" s="264" t="n"/>
      <c r="AH94" s="264" t="n"/>
      <c r="AI94" s="264" t="n"/>
      <c r="AJ94" s="264" t="n"/>
      <c r="AK94" s="264" t="n"/>
      <c r="AL94" s="264" t="n"/>
      <c r="AM94" s="264" t="n"/>
      <c r="AN94" s="264" t="n"/>
      <c r="AO94" s="264" t="n"/>
      <c r="AP94" s="264" t="n"/>
      <c r="AQ94" s="264" t="n"/>
      <c r="AR94" s="158">
        <f>IF($A94="","",IF(OR($N94="Yes",$T94="Yes",$Z94="Yes",$AF94="Yes",$AL94="Yes"),"Yes","No"))</f>
        <v/>
      </c>
      <c r="AS94" s="158">
        <f>IF($A94="","",IFERROR(IF($AM94&lt;&gt;"",$AM94,IF($AG94&lt;&gt;"",$AG94,IF($AA94&lt;&gt;"",$AA94,IF($U94&lt;&gt;"",$U94,IF($O94&lt;&gt;"",$O94,""))))),""))</f>
        <v/>
      </c>
      <c r="AT94" s="158">
        <f>IFERROR(IF($AN94&lt;&gt;"",$AN94,IF($AH94&lt;&gt;"",$AH94,IF($AB94&lt;&gt;"",$AB94,IF($V94&lt;&gt;"",$V94,IF($P94&lt;&gt;"",$P94,""))))),"")</f>
        <v/>
      </c>
      <c r="AU94" s="265" t="inlineStr">
        <is>
          <t>Mục đích: TC dạng GAP finding chốt ranh giới dễ trộn nhất của module — ngưỡng bằng **số tiền** (`BR-ORD-03`) out of scope, còn cảnh báo theo **mức định tính "Cao"** thì CÓ ở v1.0 (`TC-ORD-009`). · Căn cứ: `C-ORD-02` Resolved 2026-07-27 (từng là blocker cứng duy nhất của đợt cũ, đã gỡ) + `KB-ORD-04`.</t>
        </is>
      </c>
      <c r="AV94" s="1" t="n"/>
    </row>
    <row r="95" ht="15.75" customHeight="1" s="216">
      <c r="A95" s="1" t="n"/>
      <c r="B95" s="1" t="n"/>
      <c r="C95" s="1" t="n"/>
      <c r="D95" s="1" t="n"/>
      <c r="E95" s="181" t="n"/>
      <c r="F95" s="181" t="n"/>
      <c r="G95" s="1" t="n"/>
      <c r="H95" s="1" t="n"/>
      <c r="I95" s="1" t="n"/>
      <c r="J95" s="1" t="n"/>
      <c r="K95" s="181" t="n"/>
      <c r="L95" s="181" t="n"/>
      <c r="M95" s="181" t="n"/>
      <c r="N95" s="1" t="n"/>
      <c r="O95" s="181" t="n"/>
      <c r="P95" s="181" t="n"/>
      <c r="Q95" s="18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row>
    <row r="96" ht="15.75" customHeight="1" s="216">
      <c r="A96" s="1" t="n"/>
      <c r="B96" s="1" t="n"/>
      <c r="C96" s="1" t="n"/>
      <c r="D96" s="1" t="n"/>
      <c r="E96" s="181" t="n"/>
      <c r="F96" s="181" t="n"/>
      <c r="G96" s="1" t="n"/>
      <c r="H96" s="1" t="n"/>
      <c r="I96" s="1" t="n"/>
      <c r="J96" s="1" t="n"/>
      <c r="K96" s="181" t="n"/>
      <c r="L96" s="181" t="n"/>
      <c r="M96" s="181" t="n"/>
      <c r="N96" s="1" t="n"/>
      <c r="O96" s="181" t="n"/>
      <c r="P96" s="181" t="n"/>
      <c r="Q96" s="18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row>
    <row r="97" ht="15.75" customHeight="1" s="216">
      <c r="A97" s="1" t="n"/>
      <c r="B97" s="1" t="n"/>
      <c r="C97" s="1" t="n"/>
      <c r="D97" s="1" t="n"/>
      <c r="E97" s="181" t="n"/>
      <c r="F97" s="181" t="n"/>
      <c r="G97" s="1" t="n"/>
      <c r="H97" s="1" t="n"/>
      <c r="I97" s="1" t="n"/>
      <c r="J97" s="1" t="n"/>
      <c r="K97" s="181" t="n"/>
      <c r="L97" s="181" t="n"/>
      <c r="M97" s="181" t="n"/>
      <c r="N97" s="1" t="n"/>
      <c r="O97" s="181" t="n"/>
      <c r="P97" s="181" t="n"/>
      <c r="Q97" s="18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row>
    <row r="98" ht="15.75" customHeight="1" s="216">
      <c r="A98" s="1" t="n"/>
      <c r="B98" s="1" t="n"/>
      <c r="C98" s="1" t="n"/>
      <c r="D98" s="1" t="n"/>
      <c r="E98" s="181" t="n"/>
      <c r="F98" s="181" t="n"/>
      <c r="G98" s="1" t="n"/>
      <c r="H98" s="1" t="n"/>
      <c r="I98" s="1" t="n"/>
      <c r="J98" s="1" t="n"/>
      <c r="K98" s="181" t="n"/>
      <c r="L98" s="181" t="n"/>
      <c r="M98" s="181" t="n"/>
      <c r="N98" s="1" t="n"/>
      <c r="O98" s="181" t="n"/>
      <c r="P98" s="181" t="n"/>
      <c r="Q98" s="18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row>
    <row r="99" ht="15.75" customHeight="1" s="216">
      <c r="A99" s="1" t="n"/>
      <c r="B99" s="1" t="n"/>
      <c r="C99" s="1" t="n"/>
      <c r="D99" s="1" t="n"/>
      <c r="E99" s="181" t="n"/>
      <c r="F99" s="181" t="n"/>
      <c r="G99" s="1" t="n"/>
      <c r="H99" s="1" t="n"/>
      <c r="I99" s="1" t="n"/>
      <c r="J99" s="1" t="n"/>
      <c r="K99" s="181" t="n"/>
      <c r="L99" s="181" t="n"/>
      <c r="M99" s="181" t="n"/>
      <c r="N99" s="1" t="n"/>
      <c r="O99" s="181" t="n"/>
      <c r="P99" s="181" t="n"/>
      <c r="Q99" s="18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row>
    <row r="100" ht="15.75" customHeight="1" s="216">
      <c r="A100" s="1" t="n"/>
      <c r="B100" s="1" t="n"/>
      <c r="C100" s="1" t="n"/>
      <c r="D100" s="1" t="n"/>
      <c r="E100" s="181" t="n"/>
      <c r="F100" s="181" t="n"/>
      <c r="G100" s="1" t="n"/>
      <c r="H100" s="1" t="n"/>
      <c r="I100" s="1" t="n"/>
      <c r="J100" s="1" t="n"/>
      <c r="K100" s="181" t="n"/>
      <c r="L100" s="181" t="n"/>
      <c r="M100" s="181" t="n"/>
      <c r="N100" s="1" t="n"/>
      <c r="O100" s="181" t="n"/>
      <c r="P100" s="181" t="n"/>
      <c r="Q100" s="18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row>
    <row r="101" ht="15.75" customHeight="1" s="216">
      <c r="A101" s="1" t="n"/>
      <c r="B101" s="1" t="n"/>
      <c r="C101" s="1" t="n"/>
      <c r="D101" s="1" t="n"/>
      <c r="E101" s="181" t="n"/>
      <c r="F101" s="181" t="n"/>
      <c r="G101" s="1" t="n"/>
      <c r="H101" s="1" t="n"/>
      <c r="I101" s="1" t="n"/>
      <c r="J101" s="1" t="n"/>
      <c r="K101" s="181" t="n"/>
      <c r="L101" s="181" t="n"/>
      <c r="M101" s="181" t="n"/>
      <c r="N101" s="1" t="n"/>
      <c r="O101" s="181" t="n"/>
      <c r="P101" s="181" t="n"/>
      <c r="Q101" s="18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row>
    <row r="102" ht="15.75" customHeight="1" s="216">
      <c r="A102" s="1" t="n"/>
      <c r="B102" s="1" t="n"/>
      <c r="C102" s="1" t="n"/>
      <c r="D102" s="1" t="n"/>
      <c r="E102" s="181" t="n"/>
      <c r="F102" s="181" t="n"/>
      <c r="G102" s="1" t="n"/>
      <c r="H102" s="1" t="n"/>
      <c r="I102" s="1" t="n"/>
      <c r="J102" s="1" t="n"/>
      <c r="K102" s="181" t="n"/>
      <c r="L102" s="181" t="n"/>
      <c r="M102" s="181" t="n"/>
      <c r="N102" s="1" t="n"/>
      <c r="O102" s="181" t="n"/>
      <c r="P102" s="181" t="n"/>
      <c r="Q102" s="18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row>
    <row r="103" ht="15.75" customHeight="1" s="216">
      <c r="A103" s="1" t="n"/>
      <c r="B103" s="1" t="n"/>
      <c r="C103" s="1" t="n"/>
      <c r="D103" s="1" t="n"/>
      <c r="E103" s="181" t="n"/>
      <c r="F103" s="181" t="n"/>
      <c r="G103" s="1" t="n"/>
      <c r="H103" s="1" t="n"/>
      <c r="I103" s="1" t="n"/>
      <c r="J103" s="1" t="n"/>
      <c r="K103" s="181" t="n"/>
      <c r="L103" s="181" t="n"/>
      <c r="M103" s="181" t="n"/>
      <c r="N103" s="1" t="n"/>
      <c r="O103" s="181" t="n"/>
      <c r="P103" s="181" t="n"/>
      <c r="Q103" s="18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row>
    <row r="104" ht="15.75" customHeight="1" s="216">
      <c r="A104" s="1" t="n"/>
      <c r="B104" s="1" t="n"/>
      <c r="C104" s="1" t="n"/>
      <c r="D104" s="1" t="n"/>
      <c r="E104" s="181" t="n"/>
      <c r="F104" s="181" t="n"/>
      <c r="G104" s="1" t="n"/>
      <c r="H104" s="1" t="n"/>
      <c r="I104" s="1" t="n"/>
      <c r="J104" s="1" t="n"/>
      <c r="K104" s="181" t="n"/>
      <c r="L104" s="181" t="n"/>
      <c r="M104" s="181" t="n"/>
      <c r="N104" s="1" t="n"/>
      <c r="O104" s="181" t="n"/>
      <c r="P104" s="181" t="n"/>
      <c r="Q104" s="18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row>
    <row r="105" ht="15.75" customHeight="1" s="216">
      <c r="A105" s="1" t="n"/>
      <c r="B105" s="1" t="n"/>
      <c r="C105" s="1" t="n"/>
      <c r="D105" s="1" t="n"/>
      <c r="E105" s="181" t="n"/>
      <c r="F105" s="181" t="n"/>
      <c r="G105" s="1" t="n"/>
      <c r="H105" s="1" t="n"/>
      <c r="I105" s="1" t="n"/>
      <c r="J105" s="1" t="n"/>
      <c r="K105" s="181" t="n"/>
      <c r="L105" s="181" t="n"/>
      <c r="M105" s="181" t="n"/>
      <c r="N105" s="1" t="n"/>
      <c r="O105" s="181" t="n"/>
      <c r="P105" s="181" t="n"/>
      <c r="Q105" s="18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row>
    <row r="106" ht="15.75" customHeight="1" s="216">
      <c r="A106" s="1" t="n"/>
      <c r="B106" s="1" t="n"/>
      <c r="C106" s="1" t="n"/>
      <c r="D106" s="1" t="n"/>
      <c r="E106" s="181" t="n"/>
      <c r="F106" s="181" t="n"/>
      <c r="G106" s="1" t="n"/>
      <c r="H106" s="1" t="n"/>
      <c r="I106" s="1" t="n"/>
      <c r="J106" s="1" t="n"/>
      <c r="K106" s="181" t="n"/>
      <c r="L106" s="181" t="n"/>
      <c r="M106" s="181" t="n"/>
      <c r="N106" s="1" t="n"/>
      <c r="O106" s="181" t="n"/>
      <c r="P106" s="181" t="n"/>
      <c r="Q106" s="18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row>
    <row r="107" ht="15.75" customHeight="1" s="216">
      <c r="A107" s="1" t="n"/>
      <c r="B107" s="1" t="n"/>
      <c r="C107" s="1" t="n"/>
      <c r="D107" s="1" t="n"/>
      <c r="E107" s="181" t="n"/>
      <c r="F107" s="181" t="n"/>
      <c r="G107" s="1" t="n"/>
      <c r="H107" s="1" t="n"/>
      <c r="I107" s="1" t="n"/>
      <c r="J107" s="1" t="n"/>
      <c r="K107" s="181" t="n"/>
      <c r="L107" s="181" t="n"/>
      <c r="M107" s="181" t="n"/>
      <c r="N107" s="1" t="n"/>
      <c r="O107" s="181" t="n"/>
      <c r="P107" s="181" t="n"/>
      <c r="Q107" s="18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row>
    <row r="108" ht="15.75" customHeight="1" s="216">
      <c r="A108" s="1" t="n"/>
      <c r="B108" s="1" t="n"/>
      <c r="C108" s="1" t="n"/>
      <c r="D108" s="1" t="n"/>
      <c r="E108" s="181" t="n"/>
      <c r="F108" s="181" t="n"/>
      <c r="G108" s="1" t="n"/>
      <c r="H108" s="1" t="n"/>
      <c r="I108" s="1" t="n"/>
      <c r="J108" s="1" t="n"/>
      <c r="K108" s="181" t="n"/>
      <c r="L108" s="181" t="n"/>
      <c r="M108" s="181" t="n"/>
      <c r="N108" s="1" t="n"/>
      <c r="O108" s="181" t="n"/>
      <c r="P108" s="181" t="n"/>
      <c r="Q108" s="18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row>
    <row r="109" ht="15.75" customHeight="1" s="216">
      <c r="A109" s="1" t="n"/>
      <c r="B109" s="1" t="n"/>
      <c r="C109" s="1" t="n"/>
      <c r="D109" s="1" t="n"/>
      <c r="E109" s="181" t="n"/>
      <c r="F109" s="181" t="n"/>
      <c r="G109" s="1" t="n"/>
      <c r="H109" s="1" t="n"/>
      <c r="I109" s="1" t="n"/>
      <c r="J109" s="1" t="n"/>
      <c r="K109" s="181" t="n"/>
      <c r="L109" s="181" t="n"/>
      <c r="M109" s="181" t="n"/>
      <c r="N109" s="1" t="n"/>
      <c r="O109" s="181" t="n"/>
      <c r="P109" s="181" t="n"/>
      <c r="Q109" s="18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row>
    <row r="110" ht="15.75" customHeight="1" s="216">
      <c r="A110" s="1" t="n"/>
      <c r="B110" s="1" t="n"/>
      <c r="C110" s="1" t="n"/>
      <c r="D110" s="1" t="n"/>
      <c r="E110" s="181" t="n"/>
      <c r="F110" s="181" t="n"/>
      <c r="G110" s="1" t="n"/>
      <c r="H110" s="1" t="n"/>
      <c r="I110" s="1" t="n"/>
      <c r="J110" s="1" t="n"/>
      <c r="K110" s="181" t="n"/>
      <c r="L110" s="181" t="n"/>
      <c r="M110" s="181" t="n"/>
      <c r="N110" s="1" t="n"/>
      <c r="O110" s="181" t="n"/>
      <c r="P110" s="181" t="n"/>
      <c r="Q110" s="18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row>
    <row r="111" ht="15.75" customHeight="1" s="216">
      <c r="A111" s="1" t="n"/>
      <c r="B111" s="1" t="n"/>
      <c r="C111" s="1" t="n"/>
      <c r="D111" s="1" t="n"/>
      <c r="E111" s="181" t="n"/>
      <c r="F111" s="181" t="n"/>
      <c r="G111" s="1" t="n"/>
      <c r="H111" s="1" t="n"/>
      <c r="I111" s="1" t="n"/>
      <c r="J111" s="1" t="n"/>
      <c r="K111" s="181" t="n"/>
      <c r="L111" s="181" t="n"/>
      <c r="M111" s="181" t="n"/>
      <c r="N111" s="1" t="n"/>
      <c r="O111" s="181" t="n"/>
      <c r="P111" s="181" t="n"/>
      <c r="Q111" s="18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row>
    <row r="112" ht="15.75" customHeight="1" s="216">
      <c r="A112" s="1" t="n"/>
      <c r="B112" s="1" t="n"/>
      <c r="C112" s="1" t="n"/>
      <c r="D112" s="1" t="n"/>
      <c r="E112" s="181" t="n"/>
      <c r="F112" s="181" t="n"/>
      <c r="G112" s="1" t="n"/>
      <c r="H112" s="1" t="n"/>
      <c r="I112" s="1" t="n"/>
      <c r="J112" s="1" t="n"/>
      <c r="K112" s="181" t="n"/>
      <c r="L112" s="181" t="n"/>
      <c r="M112" s="181" t="n"/>
      <c r="N112" s="1" t="n"/>
      <c r="O112" s="181" t="n"/>
      <c r="P112" s="181" t="n"/>
      <c r="Q112" s="18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row>
    <row r="113" ht="15.75" customHeight="1" s="216">
      <c r="A113" s="1" t="n"/>
      <c r="B113" s="1" t="n"/>
      <c r="C113" s="1" t="n"/>
      <c r="D113" s="1" t="n"/>
      <c r="E113" s="181" t="n"/>
      <c r="F113" s="181" t="n"/>
      <c r="G113" s="1" t="n"/>
      <c r="H113" s="1" t="n"/>
      <c r="I113" s="1" t="n"/>
      <c r="J113" s="1" t="n"/>
      <c r="K113" s="181" t="n"/>
      <c r="L113" s="181" t="n"/>
      <c r="M113" s="181" t="n"/>
      <c r="N113" s="1" t="n"/>
      <c r="O113" s="181" t="n"/>
      <c r="P113" s="181" t="n"/>
      <c r="Q113" s="18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row>
    <row r="114" ht="15.75" customHeight="1" s="216">
      <c r="A114" s="1" t="n"/>
      <c r="B114" s="1" t="n"/>
      <c r="C114" s="1" t="n"/>
      <c r="D114" s="1" t="n"/>
      <c r="E114" s="181" t="n"/>
      <c r="F114" s="181" t="n"/>
      <c r="G114" s="1" t="n"/>
      <c r="H114" s="1" t="n"/>
      <c r="I114" s="1" t="n"/>
      <c r="J114" s="1" t="n"/>
      <c r="K114" s="181" t="n"/>
      <c r="L114" s="181" t="n"/>
      <c r="M114" s="181" t="n"/>
      <c r="N114" s="1" t="n"/>
      <c r="O114" s="181" t="n"/>
      <c r="P114" s="181" t="n"/>
      <c r="Q114" s="18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row>
    <row r="115" ht="15.75" customHeight="1" s="216">
      <c r="A115" s="1" t="n"/>
      <c r="B115" s="1" t="n"/>
      <c r="C115" s="1" t="n"/>
      <c r="D115" s="1" t="n"/>
      <c r="E115" s="181" t="n"/>
      <c r="F115" s="181" t="n"/>
      <c r="G115" s="1" t="n"/>
      <c r="H115" s="1" t="n"/>
      <c r="I115" s="1" t="n"/>
      <c r="J115" s="1" t="n"/>
      <c r="K115" s="181" t="n"/>
      <c r="L115" s="181" t="n"/>
      <c r="M115" s="181" t="n"/>
      <c r="N115" s="1" t="n"/>
      <c r="O115" s="181" t="n"/>
      <c r="P115" s="181" t="n"/>
      <c r="Q115" s="18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row>
    <row r="116" ht="15.75" customHeight="1" s="216">
      <c r="A116" s="1" t="n"/>
      <c r="B116" s="1" t="n"/>
      <c r="C116" s="1" t="n"/>
      <c r="D116" s="1" t="n"/>
      <c r="E116" s="181" t="n"/>
      <c r="F116" s="181" t="n"/>
      <c r="G116" s="1" t="n"/>
      <c r="H116" s="1" t="n"/>
      <c r="I116" s="1" t="n"/>
      <c r="J116" s="1" t="n"/>
      <c r="K116" s="181" t="n"/>
      <c r="L116" s="181" t="n"/>
      <c r="M116" s="181" t="n"/>
      <c r="N116" s="1" t="n"/>
      <c r="O116" s="181" t="n"/>
      <c r="P116" s="181" t="n"/>
      <c r="Q116" s="18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row>
    <row r="117" ht="15.75" customHeight="1" s="216">
      <c r="A117" s="1" t="n"/>
      <c r="B117" s="1" t="n"/>
      <c r="C117" s="1" t="n"/>
      <c r="D117" s="1" t="n"/>
      <c r="E117" s="181" t="n"/>
      <c r="F117" s="181" t="n"/>
      <c r="G117" s="1" t="n"/>
      <c r="H117" s="1" t="n"/>
      <c r="I117" s="1" t="n"/>
      <c r="J117" s="1" t="n"/>
      <c r="K117" s="181" t="n"/>
      <c r="L117" s="181" t="n"/>
      <c r="M117" s="181" t="n"/>
      <c r="N117" s="1" t="n"/>
      <c r="O117" s="181" t="n"/>
      <c r="P117" s="181" t="n"/>
      <c r="Q117" s="18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row>
    <row r="118" ht="15.75" customHeight="1" s="216">
      <c r="A118" s="1" t="n"/>
      <c r="B118" s="1" t="n"/>
      <c r="C118" s="1" t="n"/>
      <c r="D118" s="1" t="n"/>
      <c r="E118" s="181" t="n"/>
      <c r="F118" s="181" t="n"/>
      <c r="G118" s="1" t="n"/>
      <c r="H118" s="1" t="n"/>
      <c r="I118" s="1" t="n"/>
      <c r="J118" s="1" t="n"/>
      <c r="K118" s="181" t="n"/>
      <c r="L118" s="181" t="n"/>
      <c r="M118" s="181" t="n"/>
      <c r="N118" s="1" t="n"/>
      <c r="O118" s="181" t="n"/>
      <c r="P118" s="181" t="n"/>
      <c r="Q118" s="18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row>
    <row r="119" ht="15.75" customHeight="1" s="216">
      <c r="A119" s="1" t="n"/>
      <c r="B119" s="1" t="n"/>
      <c r="C119" s="1" t="n"/>
      <c r="D119" s="1" t="n"/>
      <c r="E119" s="181" t="n"/>
      <c r="F119" s="181" t="n"/>
      <c r="G119" s="1" t="n"/>
      <c r="H119" s="1" t="n"/>
      <c r="I119" s="1" t="n"/>
      <c r="J119" s="1" t="n"/>
      <c r="K119" s="181" t="n"/>
      <c r="L119" s="181" t="n"/>
      <c r="M119" s="181" t="n"/>
      <c r="N119" s="1" t="n"/>
      <c r="O119" s="181" t="n"/>
      <c r="P119" s="181" t="n"/>
      <c r="Q119" s="18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row>
    <row r="120" ht="15.75" customHeight="1" s="216">
      <c r="A120" s="1" t="n"/>
      <c r="B120" s="1" t="n"/>
      <c r="C120" s="1" t="n"/>
      <c r="D120" s="1" t="n"/>
      <c r="E120" s="181" t="n"/>
      <c r="F120" s="181" t="n"/>
      <c r="G120" s="1" t="n"/>
      <c r="H120" s="1" t="n"/>
      <c r="I120" s="1" t="n"/>
      <c r="J120" s="1" t="n"/>
      <c r="K120" s="181" t="n"/>
      <c r="L120" s="181" t="n"/>
      <c r="M120" s="181" t="n"/>
      <c r="N120" s="1" t="n"/>
      <c r="O120" s="181" t="n"/>
      <c r="P120" s="181" t="n"/>
      <c r="Q120" s="18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row>
    <row r="121" ht="15.75" customHeight="1" s="216">
      <c r="A121" s="1" t="n"/>
      <c r="B121" s="1" t="n"/>
      <c r="C121" s="1" t="n"/>
      <c r="D121" s="1" t="n"/>
      <c r="E121" s="181" t="n"/>
      <c r="F121" s="181" t="n"/>
      <c r="G121" s="1" t="n"/>
      <c r="H121" s="1" t="n"/>
      <c r="I121" s="1" t="n"/>
      <c r="J121" s="1" t="n"/>
      <c r="K121" s="181" t="n"/>
      <c r="L121" s="181" t="n"/>
      <c r="M121" s="181" t="n"/>
      <c r="N121" s="1" t="n"/>
      <c r="O121" s="181" t="n"/>
      <c r="P121" s="181" t="n"/>
      <c r="Q121" s="18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row>
    <row r="122" ht="15.75" customHeight="1" s="216">
      <c r="A122" s="1" t="n"/>
      <c r="B122" s="1" t="n"/>
      <c r="C122" s="1" t="n"/>
      <c r="D122" s="1" t="n"/>
      <c r="E122" s="181" t="n"/>
      <c r="F122" s="181" t="n"/>
      <c r="G122" s="1" t="n"/>
      <c r="H122" s="1" t="n"/>
      <c r="I122" s="1" t="n"/>
      <c r="J122" s="1" t="n"/>
      <c r="K122" s="181" t="n"/>
      <c r="L122" s="181" t="n"/>
      <c r="M122" s="181" t="n"/>
      <c r="N122" s="1" t="n"/>
      <c r="O122" s="181" t="n"/>
      <c r="P122" s="181" t="n"/>
      <c r="Q122" s="18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row>
    <row r="123" ht="15.75" customHeight="1" s="216">
      <c r="A123" s="1" t="n"/>
      <c r="B123" s="1" t="n"/>
      <c r="C123" s="1" t="n"/>
      <c r="D123" s="1" t="n"/>
      <c r="E123" s="181" t="n"/>
      <c r="F123" s="181" t="n"/>
      <c r="G123" s="1" t="n"/>
      <c r="H123" s="1" t="n"/>
      <c r="I123" s="1" t="n"/>
      <c r="J123" s="1" t="n"/>
      <c r="K123" s="181" t="n"/>
      <c r="L123" s="181" t="n"/>
      <c r="M123" s="181" t="n"/>
      <c r="N123" s="1" t="n"/>
      <c r="O123" s="181" t="n"/>
      <c r="P123" s="181" t="n"/>
      <c r="Q123" s="18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row>
    <row r="124" ht="15.75" customHeight="1" s="216">
      <c r="A124" s="1" t="n"/>
      <c r="B124" s="1" t="n"/>
      <c r="C124" s="1" t="n"/>
      <c r="D124" s="1" t="n"/>
      <c r="E124" s="181" t="n"/>
      <c r="F124" s="181" t="n"/>
      <c r="G124" s="1" t="n"/>
      <c r="H124" s="1" t="n"/>
      <c r="I124" s="1" t="n"/>
      <c r="J124" s="1" t="n"/>
      <c r="K124" s="181" t="n"/>
      <c r="L124" s="181" t="n"/>
      <c r="M124" s="181" t="n"/>
      <c r="N124" s="1" t="n"/>
      <c r="O124" s="181" t="n"/>
      <c r="P124" s="181" t="n"/>
      <c r="Q124" s="18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row>
    <row r="125" ht="15.75" customHeight="1" s="216">
      <c r="A125" s="1" t="n"/>
      <c r="B125" s="1" t="n"/>
      <c r="C125" s="1" t="n"/>
      <c r="D125" s="1" t="n"/>
      <c r="E125" s="181" t="n"/>
      <c r="F125" s="181" t="n"/>
      <c r="G125" s="1" t="n"/>
      <c r="H125" s="1" t="n"/>
      <c r="I125" s="1" t="n"/>
      <c r="J125" s="1" t="n"/>
      <c r="K125" s="181" t="n"/>
      <c r="L125" s="181" t="n"/>
      <c r="M125" s="181" t="n"/>
      <c r="N125" s="1" t="n"/>
      <c r="O125" s="181" t="n"/>
      <c r="P125" s="181" t="n"/>
      <c r="Q125" s="18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row>
    <row r="126" ht="15.75" customHeight="1" s="216">
      <c r="A126" s="1" t="n"/>
      <c r="B126" s="1" t="n"/>
      <c r="C126" s="1" t="n"/>
      <c r="D126" s="1" t="n"/>
      <c r="E126" s="181" t="n"/>
      <c r="F126" s="181" t="n"/>
      <c r="G126" s="1" t="n"/>
      <c r="H126" s="1" t="n"/>
      <c r="I126" s="1" t="n"/>
      <c r="J126" s="1" t="n"/>
      <c r="K126" s="181" t="n"/>
      <c r="L126" s="181" t="n"/>
      <c r="M126" s="181" t="n"/>
      <c r="N126" s="1" t="n"/>
      <c r="O126" s="181" t="n"/>
      <c r="P126" s="181" t="n"/>
      <c r="Q126" s="18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row>
    <row r="127" ht="15.75" customHeight="1" s="216">
      <c r="A127" s="1" t="n"/>
      <c r="B127" s="1" t="n"/>
      <c r="C127" s="1" t="n"/>
      <c r="D127" s="1" t="n"/>
      <c r="E127" s="181" t="n"/>
      <c r="F127" s="181" t="n"/>
      <c r="G127" s="1" t="n"/>
      <c r="H127" s="1" t="n"/>
      <c r="I127" s="1" t="n"/>
      <c r="J127" s="1" t="n"/>
      <c r="K127" s="181" t="n"/>
      <c r="L127" s="181" t="n"/>
      <c r="M127" s="181" t="n"/>
      <c r="N127" s="1" t="n"/>
      <c r="O127" s="181" t="n"/>
      <c r="P127" s="181" t="n"/>
      <c r="Q127" s="18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row>
    <row r="128" ht="15.75" customHeight="1" s="216">
      <c r="A128" s="1" t="n"/>
      <c r="B128" s="1" t="n"/>
      <c r="C128" s="1" t="n"/>
      <c r="D128" s="1" t="n"/>
      <c r="E128" s="181" t="n"/>
      <c r="F128" s="181" t="n"/>
      <c r="G128" s="1" t="n"/>
      <c r="H128" s="1" t="n"/>
      <c r="I128" s="1" t="n"/>
      <c r="J128" s="1" t="n"/>
      <c r="K128" s="181" t="n"/>
      <c r="L128" s="181" t="n"/>
      <c r="M128" s="181" t="n"/>
      <c r="N128" s="1" t="n"/>
      <c r="O128" s="181" t="n"/>
      <c r="P128" s="181" t="n"/>
      <c r="Q128" s="18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row>
    <row r="129" ht="15.75" customHeight="1" s="216">
      <c r="A129" s="1" t="n"/>
      <c r="B129" s="1" t="n"/>
      <c r="C129" s="1" t="n"/>
      <c r="D129" s="1" t="n"/>
      <c r="E129" s="181" t="n"/>
      <c r="F129" s="181" t="n"/>
      <c r="G129" s="1" t="n"/>
      <c r="H129" s="1" t="n"/>
      <c r="I129" s="1" t="n"/>
      <c r="J129" s="1" t="n"/>
      <c r="K129" s="181" t="n"/>
      <c r="L129" s="181" t="n"/>
      <c r="M129" s="181" t="n"/>
      <c r="N129" s="1" t="n"/>
      <c r="O129" s="181" t="n"/>
      <c r="P129" s="181" t="n"/>
      <c r="Q129" s="18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row>
    <row r="130" ht="15.75" customHeight="1" s="216">
      <c r="A130" s="1" t="n"/>
      <c r="B130" s="1" t="n"/>
      <c r="C130" s="1" t="n"/>
      <c r="D130" s="1" t="n"/>
      <c r="E130" s="181" t="n"/>
      <c r="F130" s="181" t="n"/>
      <c r="G130" s="1" t="n"/>
      <c r="H130" s="1" t="n"/>
      <c r="I130" s="1" t="n"/>
      <c r="J130" s="1" t="n"/>
      <c r="K130" s="181" t="n"/>
      <c r="L130" s="181" t="n"/>
      <c r="M130" s="181" t="n"/>
      <c r="N130" s="1" t="n"/>
      <c r="O130" s="181" t="n"/>
      <c r="P130" s="181" t="n"/>
      <c r="Q130" s="18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row>
    <row r="131" ht="15.75" customHeight="1" s="216">
      <c r="A131" s="1" t="n"/>
      <c r="B131" s="1" t="n"/>
      <c r="C131" s="1" t="n"/>
      <c r="D131" s="1" t="n"/>
      <c r="E131" s="181" t="n"/>
      <c r="F131" s="181" t="n"/>
      <c r="G131" s="1" t="n"/>
      <c r="H131" s="1" t="n"/>
      <c r="I131" s="1" t="n"/>
      <c r="J131" s="1" t="n"/>
      <c r="K131" s="181" t="n"/>
      <c r="L131" s="181" t="n"/>
      <c r="M131" s="181" t="n"/>
      <c r="N131" s="1" t="n"/>
      <c r="O131" s="181" t="n"/>
      <c r="P131" s="181" t="n"/>
      <c r="Q131" s="18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row>
    <row r="132" ht="15.75" customHeight="1" s="216">
      <c r="A132" s="1" t="n"/>
      <c r="B132" s="1" t="n"/>
      <c r="C132" s="1" t="n"/>
      <c r="D132" s="1" t="n"/>
      <c r="E132" s="181" t="n"/>
      <c r="F132" s="181" t="n"/>
      <c r="G132" s="1" t="n"/>
      <c r="H132" s="1" t="n"/>
      <c r="I132" s="1" t="n"/>
      <c r="J132" s="1" t="n"/>
      <c r="K132" s="181" t="n"/>
      <c r="L132" s="181" t="n"/>
      <c r="M132" s="181" t="n"/>
      <c r="N132" s="1" t="n"/>
      <c r="O132" s="181" t="n"/>
      <c r="P132" s="181" t="n"/>
      <c r="Q132" s="18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row>
    <row r="133" ht="15.75" customHeight="1" s="216">
      <c r="A133" s="1" t="n"/>
      <c r="B133" s="1" t="n"/>
      <c r="C133" s="1" t="n"/>
      <c r="D133" s="1" t="n"/>
      <c r="E133" s="181" t="n"/>
      <c r="F133" s="181" t="n"/>
      <c r="G133" s="1" t="n"/>
      <c r="H133" s="1" t="n"/>
      <c r="I133" s="1" t="n"/>
      <c r="J133" s="1" t="n"/>
      <c r="K133" s="181" t="n"/>
      <c r="L133" s="181" t="n"/>
      <c r="M133" s="181" t="n"/>
      <c r="N133" s="1" t="n"/>
      <c r="O133" s="181" t="n"/>
      <c r="P133" s="181" t="n"/>
      <c r="Q133" s="18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row>
    <row r="134" ht="15.75" customHeight="1" s="216">
      <c r="A134" s="1" t="n"/>
      <c r="B134" s="1" t="n"/>
      <c r="C134" s="1" t="n"/>
      <c r="D134" s="1" t="n"/>
      <c r="E134" s="181" t="n"/>
      <c r="F134" s="181" t="n"/>
      <c r="G134" s="1" t="n"/>
      <c r="H134" s="1" t="n"/>
      <c r="I134" s="1" t="n"/>
      <c r="J134" s="1" t="n"/>
      <c r="K134" s="181" t="n"/>
      <c r="L134" s="181" t="n"/>
      <c r="M134" s="181" t="n"/>
      <c r="N134" s="1" t="n"/>
      <c r="O134" s="181" t="n"/>
      <c r="P134" s="181" t="n"/>
      <c r="Q134" s="18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row>
    <row r="135" ht="15.75" customHeight="1" s="216">
      <c r="A135" s="1" t="n"/>
      <c r="B135" s="1" t="n"/>
      <c r="C135" s="1" t="n"/>
      <c r="D135" s="1" t="n"/>
      <c r="E135" s="181" t="n"/>
      <c r="F135" s="181" t="n"/>
      <c r="G135" s="1" t="n"/>
      <c r="H135" s="1" t="n"/>
      <c r="I135" s="1" t="n"/>
      <c r="J135" s="1" t="n"/>
      <c r="K135" s="181" t="n"/>
      <c r="L135" s="181" t="n"/>
      <c r="M135" s="181" t="n"/>
      <c r="N135" s="1" t="n"/>
      <c r="O135" s="181" t="n"/>
      <c r="P135" s="181" t="n"/>
      <c r="Q135" s="18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row>
    <row r="136" ht="15.75" customHeight="1" s="216">
      <c r="A136" s="1" t="n"/>
      <c r="B136" s="1" t="n"/>
      <c r="C136" s="1" t="n"/>
      <c r="D136" s="1" t="n"/>
      <c r="E136" s="181" t="n"/>
      <c r="F136" s="181" t="n"/>
      <c r="G136" s="1" t="n"/>
      <c r="H136" s="1" t="n"/>
      <c r="I136" s="1" t="n"/>
      <c r="J136" s="1" t="n"/>
      <c r="K136" s="181" t="n"/>
      <c r="L136" s="181" t="n"/>
      <c r="M136" s="181" t="n"/>
      <c r="N136" s="1" t="n"/>
      <c r="O136" s="181" t="n"/>
      <c r="P136" s="181" t="n"/>
      <c r="Q136" s="18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row>
    <row r="137" ht="15.75" customHeight="1" s="216">
      <c r="A137" s="1" t="n"/>
      <c r="B137" s="1" t="n"/>
      <c r="C137" s="1" t="n"/>
      <c r="D137" s="1" t="n"/>
      <c r="E137" s="181" t="n"/>
      <c r="F137" s="181" t="n"/>
      <c r="G137" s="1" t="n"/>
      <c r="H137" s="1" t="n"/>
      <c r="I137" s="1" t="n"/>
      <c r="J137" s="1" t="n"/>
      <c r="K137" s="181" t="n"/>
      <c r="L137" s="181" t="n"/>
      <c r="M137" s="181" t="n"/>
      <c r="N137" s="1" t="n"/>
      <c r="O137" s="181" t="n"/>
      <c r="P137" s="181" t="n"/>
      <c r="Q137" s="18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row>
    <row r="138" ht="15.75" customHeight="1" s="216">
      <c r="A138" s="1" t="n"/>
      <c r="B138" s="1" t="n"/>
      <c r="C138" s="1" t="n"/>
      <c r="D138" s="1" t="n"/>
      <c r="E138" s="181" t="n"/>
      <c r="F138" s="181" t="n"/>
      <c r="G138" s="1" t="n"/>
      <c r="H138" s="1" t="n"/>
      <c r="I138" s="1" t="n"/>
      <c r="J138" s="1" t="n"/>
      <c r="K138" s="181" t="n"/>
      <c r="L138" s="181" t="n"/>
      <c r="M138" s="181" t="n"/>
      <c r="N138" s="1" t="n"/>
      <c r="O138" s="181" t="n"/>
      <c r="P138" s="181" t="n"/>
      <c r="Q138" s="18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row>
    <row r="139" ht="15.75" customHeight="1" s="216">
      <c r="A139" s="1" t="n"/>
      <c r="B139" s="1" t="n"/>
      <c r="C139" s="1" t="n"/>
      <c r="D139" s="1" t="n"/>
      <c r="E139" s="181" t="n"/>
      <c r="F139" s="181" t="n"/>
      <c r="G139" s="1" t="n"/>
      <c r="H139" s="1" t="n"/>
      <c r="I139" s="1" t="n"/>
      <c r="J139" s="1" t="n"/>
      <c r="K139" s="181" t="n"/>
      <c r="L139" s="181" t="n"/>
      <c r="M139" s="181" t="n"/>
      <c r="N139" s="1" t="n"/>
      <c r="O139" s="181" t="n"/>
      <c r="P139" s="181" t="n"/>
      <c r="Q139" s="18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row>
    <row r="140" ht="15.75" customHeight="1" s="216">
      <c r="A140" s="1" t="n"/>
      <c r="B140" s="1" t="n"/>
      <c r="C140" s="1" t="n"/>
      <c r="D140" s="1" t="n"/>
      <c r="E140" s="181" t="n"/>
      <c r="F140" s="181" t="n"/>
      <c r="G140" s="1" t="n"/>
      <c r="H140" s="1" t="n"/>
      <c r="I140" s="1" t="n"/>
      <c r="J140" s="1" t="n"/>
      <c r="K140" s="181" t="n"/>
      <c r="L140" s="181" t="n"/>
      <c r="M140" s="181" t="n"/>
      <c r="N140" s="1" t="n"/>
      <c r="O140" s="181" t="n"/>
      <c r="P140" s="181" t="n"/>
      <c r="Q140" s="18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row>
    <row r="141" ht="15.75" customHeight="1" s="216">
      <c r="A141" s="1" t="n"/>
      <c r="B141" s="1" t="n"/>
      <c r="C141" s="1" t="n"/>
      <c r="D141" s="1" t="n"/>
      <c r="E141" s="181" t="n"/>
      <c r="F141" s="181" t="n"/>
      <c r="G141" s="1" t="n"/>
      <c r="H141" s="1" t="n"/>
      <c r="I141" s="1" t="n"/>
      <c r="J141" s="1" t="n"/>
      <c r="K141" s="181" t="n"/>
      <c r="L141" s="181" t="n"/>
      <c r="M141" s="181" t="n"/>
      <c r="N141" s="1" t="n"/>
      <c r="O141" s="181" t="n"/>
      <c r="P141" s="181" t="n"/>
      <c r="Q141" s="18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row>
    <row r="142" ht="15.75" customHeight="1" s="216">
      <c r="A142" s="1" t="n"/>
      <c r="B142" s="1" t="n"/>
      <c r="C142" s="1" t="n"/>
      <c r="D142" s="1" t="n"/>
      <c r="E142" s="181" t="n"/>
      <c r="F142" s="181" t="n"/>
      <c r="G142" s="1" t="n"/>
      <c r="H142" s="1" t="n"/>
      <c r="I142" s="1" t="n"/>
      <c r="J142" s="1" t="n"/>
      <c r="K142" s="181" t="n"/>
      <c r="L142" s="181" t="n"/>
      <c r="M142" s="181" t="n"/>
      <c r="N142" s="1" t="n"/>
      <c r="O142" s="181" t="n"/>
      <c r="P142" s="181" t="n"/>
      <c r="Q142" s="18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row>
    <row r="143" ht="15.75" customHeight="1" s="216">
      <c r="A143" s="1" t="n"/>
      <c r="B143" s="1" t="n"/>
      <c r="C143" s="1" t="n"/>
      <c r="D143" s="1" t="n"/>
      <c r="E143" s="181" t="n"/>
      <c r="F143" s="181" t="n"/>
      <c r="G143" s="1" t="n"/>
      <c r="H143" s="1" t="n"/>
      <c r="I143" s="1" t="n"/>
      <c r="J143" s="1" t="n"/>
      <c r="K143" s="181" t="n"/>
      <c r="L143" s="181" t="n"/>
      <c r="M143" s="181" t="n"/>
      <c r="N143" s="1" t="n"/>
      <c r="O143" s="181" t="n"/>
      <c r="P143" s="181" t="n"/>
      <c r="Q143" s="18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row>
    <row r="144" ht="15.75" customHeight="1" s="216">
      <c r="A144" s="1" t="n"/>
      <c r="B144" s="1" t="n"/>
      <c r="C144" s="1" t="n"/>
      <c r="D144" s="1" t="n"/>
      <c r="E144" s="181" t="n"/>
      <c r="F144" s="181" t="n"/>
      <c r="G144" s="1" t="n"/>
      <c r="H144" s="1" t="n"/>
      <c r="I144" s="1" t="n"/>
      <c r="J144" s="1" t="n"/>
      <c r="K144" s="181" t="n"/>
      <c r="L144" s="181" t="n"/>
      <c r="M144" s="181" t="n"/>
      <c r="N144" s="1" t="n"/>
      <c r="O144" s="181" t="n"/>
      <c r="P144" s="181" t="n"/>
      <c r="Q144" s="18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row>
    <row r="145" ht="15.75" customHeight="1" s="216">
      <c r="A145" s="1" t="n"/>
      <c r="B145" s="1" t="n"/>
      <c r="C145" s="1" t="n"/>
      <c r="D145" s="1" t="n"/>
      <c r="E145" s="181" t="n"/>
      <c r="F145" s="181" t="n"/>
      <c r="G145" s="1" t="n"/>
      <c r="H145" s="1" t="n"/>
      <c r="I145" s="1" t="n"/>
      <c r="J145" s="1" t="n"/>
      <c r="K145" s="181" t="n"/>
      <c r="L145" s="181" t="n"/>
      <c r="M145" s="181" t="n"/>
      <c r="N145" s="1" t="n"/>
      <c r="O145" s="181" t="n"/>
      <c r="P145" s="181" t="n"/>
      <c r="Q145" s="18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row>
    <row r="146" ht="15.75" customHeight="1" s="216">
      <c r="A146" s="1" t="n"/>
      <c r="B146" s="1" t="n"/>
      <c r="C146" s="1" t="n"/>
      <c r="D146" s="1" t="n"/>
      <c r="E146" s="181" t="n"/>
      <c r="F146" s="181" t="n"/>
      <c r="G146" s="1" t="n"/>
      <c r="H146" s="1" t="n"/>
      <c r="I146" s="1" t="n"/>
      <c r="J146" s="1" t="n"/>
      <c r="K146" s="181" t="n"/>
      <c r="L146" s="181" t="n"/>
      <c r="M146" s="181" t="n"/>
      <c r="N146" s="1" t="n"/>
      <c r="O146" s="181" t="n"/>
      <c r="P146" s="181" t="n"/>
      <c r="Q146" s="18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row>
    <row r="147" ht="15.75" customHeight="1" s="216">
      <c r="A147" s="1" t="n"/>
      <c r="B147" s="1" t="n"/>
      <c r="C147" s="1" t="n"/>
      <c r="D147" s="1" t="n"/>
      <c r="E147" s="181" t="n"/>
      <c r="F147" s="181" t="n"/>
      <c r="G147" s="1" t="n"/>
      <c r="H147" s="1" t="n"/>
      <c r="I147" s="1" t="n"/>
      <c r="J147" s="1" t="n"/>
      <c r="K147" s="181" t="n"/>
      <c r="L147" s="181" t="n"/>
      <c r="M147" s="181" t="n"/>
      <c r="N147" s="1" t="n"/>
      <c r="O147" s="181" t="n"/>
      <c r="P147" s="181" t="n"/>
      <c r="Q147" s="18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row>
    <row r="148" ht="15.75" customHeight="1" s="216">
      <c r="A148" s="1" t="n"/>
      <c r="B148" s="1" t="n"/>
      <c r="C148" s="1" t="n"/>
      <c r="D148" s="1" t="n"/>
      <c r="E148" s="181" t="n"/>
      <c r="F148" s="181" t="n"/>
      <c r="G148" s="1" t="n"/>
      <c r="H148" s="1" t="n"/>
      <c r="I148" s="1" t="n"/>
      <c r="J148" s="1" t="n"/>
      <c r="K148" s="181" t="n"/>
      <c r="L148" s="181" t="n"/>
      <c r="M148" s="181" t="n"/>
      <c r="N148" s="1" t="n"/>
      <c r="O148" s="181" t="n"/>
      <c r="P148" s="181" t="n"/>
      <c r="Q148" s="18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row>
    <row r="149" ht="15.75" customHeight="1" s="216">
      <c r="A149" s="1" t="n"/>
      <c r="B149" s="1" t="n"/>
      <c r="C149" s="1" t="n"/>
      <c r="D149" s="1" t="n"/>
      <c r="E149" s="181" t="n"/>
      <c r="F149" s="181" t="n"/>
      <c r="G149" s="1" t="n"/>
      <c r="H149" s="1" t="n"/>
      <c r="I149" s="1" t="n"/>
      <c r="J149" s="1" t="n"/>
      <c r="K149" s="181" t="n"/>
      <c r="L149" s="181" t="n"/>
      <c r="M149" s="181" t="n"/>
      <c r="N149" s="1" t="n"/>
      <c r="O149" s="181" t="n"/>
      <c r="P149" s="181" t="n"/>
      <c r="Q149" s="18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row>
    <row r="150" ht="15.75" customHeight="1" s="216">
      <c r="A150" s="1" t="n"/>
      <c r="B150" s="1" t="n"/>
      <c r="C150" s="1" t="n"/>
      <c r="D150" s="1" t="n"/>
      <c r="E150" s="181" t="n"/>
      <c r="F150" s="181" t="n"/>
      <c r="G150" s="1" t="n"/>
      <c r="H150" s="1" t="n"/>
      <c r="I150" s="1" t="n"/>
      <c r="J150" s="1" t="n"/>
      <c r="K150" s="181" t="n"/>
      <c r="L150" s="181" t="n"/>
      <c r="M150" s="181" t="n"/>
      <c r="N150" s="1" t="n"/>
      <c r="O150" s="181" t="n"/>
      <c r="P150" s="181" t="n"/>
      <c r="Q150" s="18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row>
    <row r="151" ht="15.75" customHeight="1" s="216">
      <c r="A151" s="1" t="n"/>
      <c r="B151" s="1" t="n"/>
      <c r="C151" s="1" t="n"/>
      <c r="D151" s="1" t="n"/>
      <c r="E151" s="181" t="n"/>
      <c r="F151" s="181" t="n"/>
      <c r="G151" s="1" t="n"/>
      <c r="H151" s="1" t="n"/>
      <c r="I151" s="1" t="n"/>
      <c r="J151" s="1" t="n"/>
      <c r="K151" s="181" t="n"/>
      <c r="L151" s="181" t="n"/>
      <c r="M151" s="181" t="n"/>
      <c r="N151" s="1" t="n"/>
      <c r="O151" s="181" t="n"/>
      <c r="P151" s="181" t="n"/>
      <c r="Q151" s="18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row>
    <row r="152" ht="15.75" customHeight="1" s="216">
      <c r="A152" s="1" t="n"/>
      <c r="B152" s="1" t="n"/>
      <c r="C152" s="1" t="n"/>
      <c r="D152" s="1" t="n"/>
      <c r="E152" s="181" t="n"/>
      <c r="F152" s="181" t="n"/>
      <c r="G152" s="1" t="n"/>
      <c r="H152" s="1" t="n"/>
      <c r="I152" s="1" t="n"/>
      <c r="J152" s="1" t="n"/>
      <c r="K152" s="181" t="n"/>
      <c r="L152" s="181" t="n"/>
      <c r="M152" s="181" t="n"/>
      <c r="N152" s="1" t="n"/>
      <c r="O152" s="181" t="n"/>
      <c r="P152" s="181" t="n"/>
      <c r="Q152" s="18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row>
    <row r="153" ht="15.75" customHeight="1" s="216">
      <c r="A153" s="1" t="n"/>
      <c r="B153" s="1" t="n"/>
      <c r="C153" s="1" t="n"/>
      <c r="D153" s="1" t="n"/>
      <c r="E153" s="181" t="n"/>
      <c r="F153" s="181" t="n"/>
      <c r="G153" s="1" t="n"/>
      <c r="H153" s="1" t="n"/>
      <c r="I153" s="1" t="n"/>
      <c r="J153" s="1" t="n"/>
      <c r="K153" s="181" t="n"/>
      <c r="L153" s="181" t="n"/>
      <c r="M153" s="181" t="n"/>
      <c r="N153" s="1" t="n"/>
      <c r="O153" s="181" t="n"/>
      <c r="P153" s="181" t="n"/>
      <c r="Q153" s="18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row>
    <row r="154" ht="15.75" customHeight="1" s="216">
      <c r="A154" s="1" t="n"/>
      <c r="B154" s="1" t="n"/>
      <c r="C154" s="1" t="n"/>
      <c r="D154" s="1" t="n"/>
      <c r="E154" s="181" t="n"/>
      <c r="F154" s="181" t="n"/>
      <c r="G154" s="1" t="n"/>
      <c r="H154" s="1" t="n"/>
      <c r="I154" s="1" t="n"/>
      <c r="J154" s="1" t="n"/>
      <c r="K154" s="181" t="n"/>
      <c r="L154" s="181" t="n"/>
      <c r="M154" s="181" t="n"/>
      <c r="N154" s="1" t="n"/>
      <c r="O154" s="181" t="n"/>
      <c r="P154" s="181" t="n"/>
      <c r="Q154" s="18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row>
    <row r="155" ht="15.75" customHeight="1" s="216">
      <c r="A155" s="1" t="n"/>
      <c r="B155" s="1" t="n"/>
      <c r="C155" s="1" t="n"/>
      <c r="D155" s="1" t="n"/>
      <c r="E155" s="181" t="n"/>
      <c r="F155" s="181" t="n"/>
      <c r="G155" s="1" t="n"/>
      <c r="H155" s="1" t="n"/>
      <c r="I155" s="1" t="n"/>
      <c r="J155" s="1" t="n"/>
      <c r="K155" s="181" t="n"/>
      <c r="L155" s="181" t="n"/>
      <c r="M155" s="181" t="n"/>
      <c r="N155" s="1" t="n"/>
      <c r="O155" s="181" t="n"/>
      <c r="P155" s="181" t="n"/>
      <c r="Q155" s="18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row>
    <row r="156" ht="15.75" customHeight="1" s="216">
      <c r="A156" s="1" t="n"/>
      <c r="B156" s="1" t="n"/>
      <c r="C156" s="1" t="n"/>
      <c r="D156" s="1" t="n"/>
      <c r="E156" s="181" t="n"/>
      <c r="F156" s="181" t="n"/>
      <c r="G156" s="1" t="n"/>
      <c r="H156" s="1" t="n"/>
      <c r="I156" s="1" t="n"/>
      <c r="J156" s="1" t="n"/>
      <c r="K156" s="181" t="n"/>
      <c r="L156" s="181" t="n"/>
      <c r="M156" s="181" t="n"/>
      <c r="N156" s="1" t="n"/>
      <c r="O156" s="181" t="n"/>
      <c r="P156" s="181" t="n"/>
      <c r="Q156" s="18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row>
    <row r="157" ht="15.75" customHeight="1" s="216">
      <c r="A157" s="1" t="n"/>
      <c r="B157" s="1" t="n"/>
      <c r="C157" s="1" t="n"/>
      <c r="D157" s="1" t="n"/>
      <c r="E157" s="181" t="n"/>
      <c r="F157" s="181" t="n"/>
      <c r="G157" s="1" t="n"/>
      <c r="H157" s="1" t="n"/>
      <c r="I157" s="1" t="n"/>
      <c r="J157" s="1" t="n"/>
      <c r="K157" s="181" t="n"/>
      <c r="L157" s="181" t="n"/>
      <c r="M157" s="181" t="n"/>
      <c r="N157" s="1" t="n"/>
      <c r="O157" s="181" t="n"/>
      <c r="P157" s="181" t="n"/>
      <c r="Q157" s="18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row>
    <row r="158" ht="15.75" customHeight="1" s="216">
      <c r="A158" s="1" t="n"/>
      <c r="B158" s="1" t="n"/>
      <c r="C158" s="1" t="n"/>
      <c r="D158" s="1" t="n"/>
      <c r="E158" s="181" t="n"/>
      <c r="F158" s="181" t="n"/>
      <c r="G158" s="1" t="n"/>
      <c r="H158" s="1" t="n"/>
      <c r="I158" s="1" t="n"/>
      <c r="J158" s="1" t="n"/>
      <c r="K158" s="181" t="n"/>
      <c r="L158" s="181" t="n"/>
      <c r="M158" s="181" t="n"/>
      <c r="N158" s="1" t="n"/>
      <c r="O158" s="181" t="n"/>
      <c r="P158" s="181" t="n"/>
      <c r="Q158" s="18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row>
    <row r="159" ht="15.75" customHeight="1" s="216">
      <c r="A159" s="1" t="n"/>
      <c r="B159" s="1" t="n"/>
      <c r="C159" s="1" t="n"/>
      <c r="D159" s="1" t="n"/>
      <c r="E159" s="181" t="n"/>
      <c r="F159" s="181" t="n"/>
      <c r="G159" s="1" t="n"/>
      <c r="H159" s="1" t="n"/>
      <c r="I159" s="1" t="n"/>
      <c r="J159" s="1" t="n"/>
      <c r="K159" s="181" t="n"/>
      <c r="L159" s="181" t="n"/>
      <c r="M159" s="181" t="n"/>
      <c r="N159" s="1" t="n"/>
      <c r="O159" s="181" t="n"/>
      <c r="P159" s="181" t="n"/>
      <c r="Q159" s="18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row>
    <row r="160" ht="15.75" customHeight="1" s="216">
      <c r="A160" s="1" t="n"/>
      <c r="B160" s="1" t="n"/>
      <c r="C160" s="1" t="n"/>
      <c r="D160" s="1" t="n"/>
      <c r="E160" s="181" t="n"/>
      <c r="F160" s="181" t="n"/>
      <c r="G160" s="1" t="n"/>
      <c r="H160" s="1" t="n"/>
      <c r="I160" s="1" t="n"/>
      <c r="J160" s="1" t="n"/>
      <c r="K160" s="181" t="n"/>
      <c r="L160" s="181" t="n"/>
      <c r="M160" s="181" t="n"/>
      <c r="N160" s="1" t="n"/>
      <c r="O160" s="181" t="n"/>
      <c r="P160" s="181" t="n"/>
      <c r="Q160" s="18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row>
    <row r="161" ht="15.75" customHeight="1" s="216">
      <c r="A161" s="1" t="n"/>
      <c r="B161" s="1" t="n"/>
      <c r="C161" s="1" t="n"/>
      <c r="D161" s="1" t="n"/>
      <c r="E161" s="181" t="n"/>
      <c r="F161" s="181" t="n"/>
      <c r="G161" s="1" t="n"/>
      <c r="H161" s="1" t="n"/>
      <c r="I161" s="1" t="n"/>
      <c r="J161" s="1" t="n"/>
      <c r="K161" s="181" t="n"/>
      <c r="L161" s="181" t="n"/>
      <c r="M161" s="181" t="n"/>
      <c r="N161" s="1" t="n"/>
      <c r="O161" s="181" t="n"/>
      <c r="P161" s="181" t="n"/>
      <c r="Q161" s="18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row>
    <row r="162" ht="15.75" customHeight="1" s="216">
      <c r="A162" s="1" t="n"/>
      <c r="B162" s="1" t="n"/>
      <c r="C162" s="1" t="n"/>
      <c r="D162" s="1" t="n"/>
      <c r="E162" s="181" t="n"/>
      <c r="F162" s="181" t="n"/>
      <c r="G162" s="1" t="n"/>
      <c r="H162" s="1" t="n"/>
      <c r="I162" s="1" t="n"/>
      <c r="J162" s="1" t="n"/>
      <c r="K162" s="181" t="n"/>
      <c r="L162" s="181" t="n"/>
      <c r="M162" s="181" t="n"/>
      <c r="N162" s="1" t="n"/>
      <c r="O162" s="181" t="n"/>
      <c r="P162" s="181" t="n"/>
      <c r="Q162" s="18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row>
    <row r="163" ht="15.75" customHeight="1" s="216">
      <c r="A163" s="1" t="n"/>
      <c r="B163" s="1" t="n"/>
      <c r="C163" s="1" t="n"/>
      <c r="D163" s="1" t="n"/>
      <c r="E163" s="181" t="n"/>
      <c r="F163" s="181" t="n"/>
      <c r="G163" s="1" t="n"/>
      <c r="H163" s="1" t="n"/>
      <c r="I163" s="1" t="n"/>
      <c r="J163" s="1" t="n"/>
      <c r="K163" s="181" t="n"/>
      <c r="L163" s="181" t="n"/>
      <c r="M163" s="181" t="n"/>
      <c r="N163" s="1" t="n"/>
      <c r="O163" s="181" t="n"/>
      <c r="P163" s="181" t="n"/>
      <c r="Q163" s="18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row>
    <row r="164" ht="15.75" customHeight="1" s="216">
      <c r="A164" s="1" t="n"/>
      <c r="B164" s="1" t="n"/>
      <c r="C164" s="1" t="n"/>
      <c r="D164" s="1" t="n"/>
      <c r="E164" s="181" t="n"/>
      <c r="F164" s="181" t="n"/>
      <c r="G164" s="1" t="n"/>
      <c r="H164" s="1" t="n"/>
      <c r="I164" s="1" t="n"/>
      <c r="J164" s="1" t="n"/>
      <c r="K164" s="181" t="n"/>
      <c r="L164" s="181" t="n"/>
      <c r="M164" s="181" t="n"/>
      <c r="N164" s="1" t="n"/>
      <c r="O164" s="181" t="n"/>
      <c r="P164" s="181" t="n"/>
      <c r="Q164" s="18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row>
    <row r="165" ht="15.75" customHeight="1" s="216">
      <c r="A165" s="1" t="n"/>
      <c r="B165" s="1" t="n"/>
      <c r="C165" s="1" t="n"/>
      <c r="D165" s="1" t="n"/>
      <c r="E165" s="181" t="n"/>
      <c r="F165" s="181" t="n"/>
      <c r="G165" s="1" t="n"/>
      <c r="H165" s="1" t="n"/>
      <c r="I165" s="1" t="n"/>
      <c r="J165" s="1" t="n"/>
      <c r="K165" s="181" t="n"/>
      <c r="L165" s="181" t="n"/>
      <c r="M165" s="181" t="n"/>
      <c r="N165" s="1" t="n"/>
      <c r="O165" s="181" t="n"/>
      <c r="P165" s="181" t="n"/>
      <c r="Q165" s="18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row>
    <row r="166" ht="15.75" customHeight="1" s="216">
      <c r="A166" s="1" t="n"/>
      <c r="B166" s="1" t="n"/>
      <c r="C166" s="1" t="n"/>
      <c r="D166" s="1" t="n"/>
      <c r="E166" s="181" t="n"/>
      <c r="F166" s="181" t="n"/>
      <c r="G166" s="1" t="n"/>
      <c r="H166" s="1" t="n"/>
      <c r="I166" s="1" t="n"/>
      <c r="J166" s="1" t="n"/>
      <c r="K166" s="181" t="n"/>
      <c r="L166" s="181" t="n"/>
      <c r="M166" s="181" t="n"/>
      <c r="N166" s="1" t="n"/>
      <c r="O166" s="181" t="n"/>
      <c r="P166" s="181" t="n"/>
      <c r="Q166" s="18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row>
    <row r="167" ht="15.75" customHeight="1" s="216">
      <c r="A167" s="1" t="n"/>
      <c r="B167" s="1" t="n"/>
      <c r="C167" s="1" t="n"/>
      <c r="D167" s="1" t="n"/>
      <c r="E167" s="181" t="n"/>
      <c r="F167" s="181" t="n"/>
      <c r="G167" s="1" t="n"/>
      <c r="H167" s="1" t="n"/>
      <c r="I167" s="1" t="n"/>
      <c r="J167" s="1" t="n"/>
      <c r="K167" s="181" t="n"/>
      <c r="L167" s="181" t="n"/>
      <c r="M167" s="181" t="n"/>
      <c r="N167" s="1" t="n"/>
      <c r="O167" s="181" t="n"/>
      <c r="P167" s="181" t="n"/>
      <c r="Q167" s="18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row>
    <row r="168" ht="15.75" customHeight="1" s="216">
      <c r="A168" s="1" t="n"/>
      <c r="B168" s="1" t="n"/>
      <c r="C168" s="1" t="n"/>
      <c r="D168" s="1" t="n"/>
      <c r="E168" s="181" t="n"/>
      <c r="F168" s="181" t="n"/>
      <c r="G168" s="1" t="n"/>
      <c r="H168" s="1" t="n"/>
      <c r="I168" s="1" t="n"/>
      <c r="J168" s="1" t="n"/>
      <c r="K168" s="181" t="n"/>
      <c r="L168" s="181" t="n"/>
      <c r="M168" s="181" t="n"/>
      <c r="N168" s="1" t="n"/>
      <c r="O168" s="181" t="n"/>
      <c r="P168" s="181" t="n"/>
      <c r="Q168" s="18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row>
    <row r="169" ht="15.75" customHeight="1" s="216">
      <c r="A169" s="1" t="n"/>
      <c r="B169" s="1" t="n"/>
      <c r="C169" s="1" t="n"/>
      <c r="D169" s="1" t="n"/>
      <c r="E169" s="181" t="n"/>
      <c r="F169" s="181" t="n"/>
      <c r="G169" s="1" t="n"/>
      <c r="H169" s="1" t="n"/>
      <c r="I169" s="1" t="n"/>
      <c r="J169" s="1" t="n"/>
      <c r="K169" s="181" t="n"/>
      <c r="L169" s="181" t="n"/>
      <c r="M169" s="181" t="n"/>
      <c r="N169" s="1" t="n"/>
      <c r="O169" s="181" t="n"/>
      <c r="P169" s="181" t="n"/>
      <c r="Q169" s="18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row>
    <row r="170" ht="15.75" customHeight="1" s="216">
      <c r="A170" s="1" t="n"/>
      <c r="B170" s="1" t="n"/>
      <c r="C170" s="1" t="n"/>
      <c r="D170" s="1" t="n"/>
      <c r="E170" s="181" t="n"/>
      <c r="F170" s="181" t="n"/>
      <c r="G170" s="1" t="n"/>
      <c r="H170" s="1" t="n"/>
      <c r="I170" s="1" t="n"/>
      <c r="J170" s="1" t="n"/>
      <c r="K170" s="181" t="n"/>
      <c r="L170" s="181" t="n"/>
      <c r="M170" s="181" t="n"/>
      <c r="N170" s="1" t="n"/>
      <c r="O170" s="181" t="n"/>
      <c r="P170" s="181" t="n"/>
      <c r="Q170" s="18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row>
    <row r="171" ht="15.75" customHeight="1" s="216">
      <c r="A171" s="1" t="n"/>
      <c r="B171" s="1" t="n"/>
      <c r="C171" s="1" t="n"/>
      <c r="D171" s="1" t="n"/>
      <c r="E171" s="181" t="n"/>
      <c r="F171" s="181" t="n"/>
      <c r="G171" s="1" t="n"/>
      <c r="H171" s="1" t="n"/>
      <c r="I171" s="1" t="n"/>
      <c r="J171" s="1" t="n"/>
      <c r="K171" s="181" t="n"/>
      <c r="L171" s="181" t="n"/>
      <c r="M171" s="181" t="n"/>
      <c r="N171" s="1" t="n"/>
      <c r="O171" s="181" t="n"/>
      <c r="P171" s="181" t="n"/>
      <c r="Q171" s="18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row>
    <row r="172" ht="15.75" customHeight="1" s="216">
      <c r="A172" s="1" t="n"/>
      <c r="B172" s="1" t="n"/>
      <c r="C172" s="1" t="n"/>
      <c r="D172" s="1" t="n"/>
      <c r="E172" s="181" t="n"/>
      <c r="F172" s="181" t="n"/>
      <c r="G172" s="1" t="n"/>
      <c r="H172" s="1" t="n"/>
      <c r="I172" s="1" t="n"/>
      <c r="J172" s="1" t="n"/>
      <c r="K172" s="181" t="n"/>
      <c r="L172" s="181" t="n"/>
      <c r="M172" s="181" t="n"/>
      <c r="N172" s="1" t="n"/>
      <c r="O172" s="181" t="n"/>
      <c r="P172" s="181" t="n"/>
      <c r="Q172" s="18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row>
    <row r="173" ht="15.75" customHeight="1" s="216">
      <c r="A173" s="1" t="n"/>
      <c r="B173" s="1" t="n"/>
      <c r="C173" s="1" t="n"/>
      <c r="D173" s="1" t="n"/>
      <c r="E173" s="181" t="n"/>
      <c r="F173" s="181" t="n"/>
      <c r="G173" s="1" t="n"/>
      <c r="H173" s="1" t="n"/>
      <c r="I173" s="1" t="n"/>
      <c r="J173" s="1" t="n"/>
      <c r="K173" s="181" t="n"/>
      <c r="L173" s="181" t="n"/>
      <c r="M173" s="181" t="n"/>
      <c r="N173" s="1" t="n"/>
      <c r="O173" s="181" t="n"/>
      <c r="P173" s="181" t="n"/>
      <c r="Q173" s="18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row>
    <row r="174" ht="15.75" customHeight="1" s="216">
      <c r="A174" s="1" t="n"/>
      <c r="B174" s="1" t="n"/>
      <c r="C174" s="1" t="n"/>
      <c r="D174" s="1" t="n"/>
      <c r="E174" s="181" t="n"/>
      <c r="F174" s="181" t="n"/>
      <c r="G174" s="1" t="n"/>
      <c r="H174" s="1" t="n"/>
      <c r="I174" s="1" t="n"/>
      <c r="J174" s="1" t="n"/>
      <c r="K174" s="181" t="n"/>
      <c r="L174" s="181" t="n"/>
      <c r="M174" s="181" t="n"/>
      <c r="N174" s="1" t="n"/>
      <c r="O174" s="181" t="n"/>
      <c r="P174" s="181" t="n"/>
      <c r="Q174" s="18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row>
    <row r="175" ht="15.75" customHeight="1" s="216">
      <c r="A175" s="1" t="n"/>
      <c r="B175" s="1" t="n"/>
      <c r="C175" s="1" t="n"/>
      <c r="D175" s="1" t="n"/>
      <c r="E175" s="181" t="n"/>
      <c r="F175" s="181" t="n"/>
      <c r="G175" s="1" t="n"/>
      <c r="H175" s="1" t="n"/>
      <c r="I175" s="1" t="n"/>
      <c r="J175" s="1" t="n"/>
      <c r="K175" s="181" t="n"/>
      <c r="L175" s="181" t="n"/>
      <c r="M175" s="181" t="n"/>
      <c r="N175" s="1" t="n"/>
      <c r="O175" s="181" t="n"/>
      <c r="P175" s="181" t="n"/>
      <c r="Q175" s="18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row>
    <row r="176" ht="15.75" customHeight="1" s="216">
      <c r="A176" s="1" t="n"/>
      <c r="B176" s="1" t="n"/>
      <c r="C176" s="1" t="n"/>
      <c r="D176" s="1" t="n"/>
      <c r="E176" s="181" t="n"/>
      <c r="F176" s="181" t="n"/>
      <c r="G176" s="1" t="n"/>
      <c r="H176" s="1" t="n"/>
      <c r="I176" s="1" t="n"/>
      <c r="J176" s="1" t="n"/>
      <c r="K176" s="181" t="n"/>
      <c r="L176" s="181" t="n"/>
      <c r="M176" s="181" t="n"/>
      <c r="N176" s="1" t="n"/>
      <c r="O176" s="181" t="n"/>
      <c r="P176" s="181" t="n"/>
      <c r="Q176" s="18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row>
    <row r="177" ht="15.75" customHeight="1" s="216">
      <c r="A177" s="1" t="n"/>
      <c r="B177" s="1" t="n"/>
      <c r="C177" s="1" t="n"/>
      <c r="D177" s="1" t="n"/>
      <c r="E177" s="181" t="n"/>
      <c r="F177" s="181" t="n"/>
      <c r="G177" s="1" t="n"/>
      <c r="H177" s="1" t="n"/>
      <c r="I177" s="1" t="n"/>
      <c r="J177" s="1" t="n"/>
      <c r="K177" s="181" t="n"/>
      <c r="L177" s="181" t="n"/>
      <c r="M177" s="181" t="n"/>
      <c r="N177" s="1" t="n"/>
      <c r="O177" s="181" t="n"/>
      <c r="P177" s="181" t="n"/>
      <c r="Q177" s="18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row>
    <row r="178" ht="15.75" customHeight="1" s="216">
      <c r="A178" s="1" t="n"/>
      <c r="B178" s="1" t="n"/>
      <c r="C178" s="1" t="n"/>
      <c r="D178" s="1" t="n"/>
      <c r="E178" s="181" t="n"/>
      <c r="F178" s="181" t="n"/>
      <c r="G178" s="1" t="n"/>
      <c r="H178" s="1" t="n"/>
      <c r="I178" s="1" t="n"/>
      <c r="J178" s="1" t="n"/>
      <c r="K178" s="181" t="n"/>
      <c r="L178" s="181" t="n"/>
      <c r="M178" s="181" t="n"/>
      <c r="N178" s="1" t="n"/>
      <c r="O178" s="181" t="n"/>
      <c r="P178" s="181" t="n"/>
      <c r="Q178" s="18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row>
    <row r="179" ht="15.75" customHeight="1" s="216">
      <c r="A179" s="1" t="n"/>
      <c r="B179" s="1" t="n"/>
      <c r="C179" s="1" t="n"/>
      <c r="D179" s="1" t="n"/>
      <c r="E179" s="181" t="n"/>
      <c r="F179" s="181" t="n"/>
      <c r="G179" s="1" t="n"/>
      <c r="H179" s="1" t="n"/>
      <c r="I179" s="1" t="n"/>
      <c r="J179" s="1" t="n"/>
      <c r="K179" s="181" t="n"/>
      <c r="L179" s="181" t="n"/>
      <c r="M179" s="181" t="n"/>
      <c r="N179" s="1" t="n"/>
      <c r="O179" s="181" t="n"/>
      <c r="P179" s="181" t="n"/>
      <c r="Q179" s="18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row>
    <row r="180" ht="15.75" customHeight="1" s="216">
      <c r="A180" s="1" t="n"/>
      <c r="B180" s="1" t="n"/>
      <c r="C180" s="1" t="n"/>
      <c r="D180" s="1" t="n"/>
      <c r="E180" s="181" t="n"/>
      <c r="F180" s="181" t="n"/>
      <c r="G180" s="1" t="n"/>
      <c r="H180" s="1" t="n"/>
      <c r="I180" s="1" t="n"/>
      <c r="J180" s="1" t="n"/>
      <c r="K180" s="181" t="n"/>
      <c r="L180" s="181" t="n"/>
      <c r="M180" s="181" t="n"/>
      <c r="N180" s="1" t="n"/>
      <c r="O180" s="181" t="n"/>
      <c r="P180" s="181" t="n"/>
      <c r="Q180" s="18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row>
    <row r="181" ht="15.75" customHeight="1" s="216">
      <c r="A181" s="1" t="n"/>
      <c r="B181" s="1" t="n"/>
      <c r="C181" s="1" t="n"/>
      <c r="D181" s="1" t="n"/>
      <c r="E181" s="181" t="n"/>
      <c r="F181" s="181" t="n"/>
      <c r="G181" s="1" t="n"/>
      <c r="H181" s="1" t="n"/>
      <c r="I181" s="1" t="n"/>
      <c r="J181" s="1" t="n"/>
      <c r="K181" s="181" t="n"/>
      <c r="L181" s="181" t="n"/>
      <c r="M181" s="181" t="n"/>
      <c r="N181" s="1" t="n"/>
      <c r="O181" s="181" t="n"/>
      <c r="P181" s="181" t="n"/>
      <c r="Q181" s="18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row>
    <row r="182" ht="15.75" customHeight="1" s="216">
      <c r="A182" s="1" t="n"/>
      <c r="B182" s="1" t="n"/>
      <c r="C182" s="1" t="n"/>
      <c r="D182" s="1" t="n"/>
      <c r="E182" s="181" t="n"/>
      <c r="F182" s="181" t="n"/>
      <c r="G182" s="1" t="n"/>
      <c r="H182" s="1" t="n"/>
      <c r="I182" s="1" t="n"/>
      <c r="J182" s="1" t="n"/>
      <c r="K182" s="181" t="n"/>
      <c r="L182" s="181" t="n"/>
      <c r="M182" s="181" t="n"/>
      <c r="N182" s="1" t="n"/>
      <c r="O182" s="181" t="n"/>
      <c r="P182" s="181" t="n"/>
      <c r="Q182" s="18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row>
    <row r="183" ht="15.75" customHeight="1" s="216">
      <c r="A183" s="1" t="n"/>
      <c r="B183" s="1" t="n"/>
      <c r="C183" s="1" t="n"/>
      <c r="D183" s="1" t="n"/>
      <c r="E183" s="181" t="n"/>
      <c r="F183" s="181" t="n"/>
      <c r="G183" s="1" t="n"/>
      <c r="H183" s="1" t="n"/>
      <c r="I183" s="1" t="n"/>
      <c r="J183" s="1" t="n"/>
      <c r="K183" s="181" t="n"/>
      <c r="L183" s="181" t="n"/>
      <c r="M183" s="181" t="n"/>
      <c r="N183" s="1" t="n"/>
      <c r="O183" s="181" t="n"/>
      <c r="P183" s="181" t="n"/>
      <c r="Q183" s="18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row>
    <row r="184" ht="15.75" customHeight="1" s="216">
      <c r="A184" s="1" t="n"/>
      <c r="B184" s="1" t="n"/>
      <c r="C184" s="1" t="n"/>
      <c r="D184" s="1" t="n"/>
      <c r="E184" s="181" t="n"/>
      <c r="F184" s="181" t="n"/>
      <c r="G184" s="1" t="n"/>
      <c r="H184" s="1" t="n"/>
      <c r="I184" s="1" t="n"/>
      <c r="J184" s="1" t="n"/>
      <c r="K184" s="181" t="n"/>
      <c r="L184" s="181" t="n"/>
      <c r="M184" s="181" t="n"/>
      <c r="N184" s="1" t="n"/>
      <c r="O184" s="181" t="n"/>
      <c r="P184" s="181" t="n"/>
      <c r="Q184" s="18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row>
    <row r="185" ht="15.75" customHeight="1" s="216">
      <c r="A185" s="1" t="n"/>
      <c r="B185" s="1" t="n"/>
      <c r="C185" s="1" t="n"/>
      <c r="D185" s="1" t="n"/>
      <c r="E185" s="181" t="n"/>
      <c r="F185" s="181" t="n"/>
      <c r="G185" s="1" t="n"/>
      <c r="H185" s="1" t="n"/>
      <c r="I185" s="1" t="n"/>
      <c r="J185" s="1" t="n"/>
      <c r="K185" s="181" t="n"/>
      <c r="L185" s="181" t="n"/>
      <c r="M185" s="181" t="n"/>
      <c r="N185" s="1" t="n"/>
      <c r="O185" s="181" t="n"/>
      <c r="P185" s="181" t="n"/>
      <c r="Q185" s="18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row>
    <row r="186" ht="15.75" customHeight="1" s="216">
      <c r="A186" s="1" t="n"/>
      <c r="B186" s="1" t="n"/>
      <c r="C186" s="1" t="n"/>
      <c r="D186" s="1" t="n"/>
      <c r="E186" s="181" t="n"/>
      <c r="F186" s="181" t="n"/>
      <c r="G186" s="1" t="n"/>
      <c r="H186" s="1" t="n"/>
      <c r="I186" s="1" t="n"/>
      <c r="J186" s="1" t="n"/>
      <c r="K186" s="181" t="n"/>
      <c r="L186" s="181" t="n"/>
      <c r="M186" s="181" t="n"/>
      <c r="N186" s="1" t="n"/>
      <c r="O186" s="181" t="n"/>
      <c r="P186" s="181" t="n"/>
      <c r="Q186" s="18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row>
    <row r="187" ht="15.75" customHeight="1" s="216">
      <c r="A187" s="1" t="n"/>
      <c r="B187" s="1" t="n"/>
      <c r="C187" s="1" t="n"/>
      <c r="D187" s="1" t="n"/>
      <c r="E187" s="181" t="n"/>
      <c r="F187" s="181" t="n"/>
      <c r="G187" s="1" t="n"/>
      <c r="H187" s="1" t="n"/>
      <c r="I187" s="1" t="n"/>
      <c r="J187" s="1" t="n"/>
      <c r="K187" s="181" t="n"/>
      <c r="L187" s="181" t="n"/>
      <c r="M187" s="181" t="n"/>
      <c r="N187" s="1" t="n"/>
      <c r="O187" s="181" t="n"/>
      <c r="P187" s="181" t="n"/>
      <c r="Q187" s="18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row>
    <row r="188" ht="15.75" customHeight="1" s="216">
      <c r="A188" s="1" t="n"/>
      <c r="B188" s="1" t="n"/>
      <c r="C188" s="1" t="n"/>
      <c r="D188" s="1" t="n"/>
      <c r="E188" s="181" t="n"/>
      <c r="F188" s="181" t="n"/>
      <c r="G188" s="1" t="n"/>
      <c r="H188" s="1" t="n"/>
      <c r="I188" s="1" t="n"/>
      <c r="J188" s="1" t="n"/>
      <c r="K188" s="181" t="n"/>
      <c r="L188" s="181" t="n"/>
      <c r="M188" s="181" t="n"/>
      <c r="N188" s="1" t="n"/>
      <c r="O188" s="181" t="n"/>
      <c r="P188" s="181" t="n"/>
      <c r="Q188" s="18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row>
    <row r="189" ht="15.75" customHeight="1" s="216">
      <c r="A189" s="1" t="n"/>
      <c r="B189" s="1" t="n"/>
      <c r="C189" s="1" t="n"/>
      <c r="D189" s="1" t="n"/>
      <c r="E189" s="181" t="n"/>
      <c r="F189" s="181" t="n"/>
      <c r="G189" s="1" t="n"/>
      <c r="H189" s="1" t="n"/>
      <c r="I189" s="1" t="n"/>
      <c r="J189" s="1" t="n"/>
      <c r="K189" s="181" t="n"/>
      <c r="L189" s="181" t="n"/>
      <c r="M189" s="181" t="n"/>
      <c r="N189" s="1" t="n"/>
      <c r="O189" s="181" t="n"/>
      <c r="P189" s="181" t="n"/>
      <c r="Q189" s="18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row>
    <row r="190" ht="15.75" customHeight="1" s="216">
      <c r="A190" s="1" t="n"/>
      <c r="B190" s="1" t="n"/>
      <c r="C190" s="1" t="n"/>
      <c r="D190" s="1" t="n"/>
      <c r="E190" s="181" t="n"/>
      <c r="F190" s="181" t="n"/>
      <c r="G190" s="1" t="n"/>
      <c r="H190" s="1" t="n"/>
      <c r="I190" s="1" t="n"/>
      <c r="J190" s="1" t="n"/>
      <c r="K190" s="181" t="n"/>
      <c r="L190" s="181" t="n"/>
      <c r="M190" s="181" t="n"/>
      <c r="N190" s="1" t="n"/>
      <c r="O190" s="181" t="n"/>
      <c r="P190" s="181" t="n"/>
      <c r="Q190" s="18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row>
    <row r="191" ht="15.75" customHeight="1" s="216">
      <c r="A191" s="1" t="n"/>
      <c r="B191" s="1" t="n"/>
      <c r="C191" s="1" t="n"/>
      <c r="D191" s="1" t="n"/>
      <c r="E191" s="181" t="n"/>
      <c r="F191" s="181" t="n"/>
      <c r="G191" s="1" t="n"/>
      <c r="H191" s="1" t="n"/>
      <c r="I191" s="1" t="n"/>
      <c r="J191" s="1" t="n"/>
      <c r="K191" s="181" t="n"/>
      <c r="L191" s="181" t="n"/>
      <c r="M191" s="181" t="n"/>
      <c r="N191" s="1" t="n"/>
      <c r="O191" s="181" t="n"/>
      <c r="P191" s="181" t="n"/>
      <c r="Q191" s="18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row>
    <row r="192" ht="15.75" customHeight="1" s="216">
      <c r="A192" s="1" t="n"/>
      <c r="B192" s="1" t="n"/>
      <c r="C192" s="1" t="n"/>
      <c r="D192" s="1" t="n"/>
      <c r="E192" s="181" t="n"/>
      <c r="F192" s="181" t="n"/>
      <c r="G192" s="1" t="n"/>
      <c r="H192" s="1" t="n"/>
      <c r="I192" s="1" t="n"/>
      <c r="J192" s="1" t="n"/>
      <c r="K192" s="181" t="n"/>
      <c r="L192" s="181" t="n"/>
      <c r="M192" s="181" t="n"/>
      <c r="N192" s="1" t="n"/>
      <c r="O192" s="181" t="n"/>
      <c r="P192" s="181" t="n"/>
      <c r="Q192" s="18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row>
    <row r="193" ht="15.75" customHeight="1" s="216">
      <c r="A193" s="1" t="n"/>
      <c r="B193" s="1" t="n"/>
      <c r="C193" s="1" t="n"/>
      <c r="D193" s="1" t="n"/>
      <c r="E193" s="181" t="n"/>
      <c r="F193" s="181" t="n"/>
      <c r="G193" s="1" t="n"/>
      <c r="H193" s="1" t="n"/>
      <c r="I193" s="1" t="n"/>
      <c r="J193" s="1" t="n"/>
      <c r="K193" s="181" t="n"/>
      <c r="L193" s="181" t="n"/>
      <c r="M193" s="181" t="n"/>
      <c r="N193" s="1" t="n"/>
      <c r="O193" s="181" t="n"/>
      <c r="P193" s="181" t="n"/>
      <c r="Q193" s="18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row>
    <row r="194" ht="15.75" customHeight="1" s="216">
      <c r="A194" s="1" t="n"/>
      <c r="B194" s="1" t="n"/>
      <c r="C194" s="1" t="n"/>
      <c r="D194" s="1" t="n"/>
      <c r="E194" s="181" t="n"/>
      <c r="F194" s="181" t="n"/>
      <c r="G194" s="1" t="n"/>
      <c r="H194" s="1" t="n"/>
      <c r="I194" s="1" t="n"/>
      <c r="J194" s="1" t="n"/>
      <c r="K194" s="181" t="n"/>
      <c r="L194" s="181" t="n"/>
      <c r="M194" s="181" t="n"/>
      <c r="N194" s="1" t="n"/>
      <c r="O194" s="181" t="n"/>
      <c r="P194" s="181" t="n"/>
      <c r="Q194" s="18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row>
    <row r="195" ht="15.75" customHeight="1" s="216">
      <c r="A195" s="1" t="n"/>
      <c r="B195" s="1" t="n"/>
      <c r="C195" s="1" t="n"/>
      <c r="D195" s="1" t="n"/>
      <c r="E195" s="181" t="n"/>
      <c r="F195" s="181" t="n"/>
      <c r="G195" s="1" t="n"/>
      <c r="H195" s="1" t="n"/>
      <c r="I195" s="1" t="n"/>
      <c r="J195" s="1" t="n"/>
      <c r="K195" s="181" t="n"/>
      <c r="L195" s="181" t="n"/>
      <c r="M195" s="181" t="n"/>
      <c r="N195" s="1" t="n"/>
      <c r="O195" s="181" t="n"/>
      <c r="P195" s="181" t="n"/>
      <c r="Q195" s="18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row>
    <row r="196" ht="15.75" customHeight="1" s="216">
      <c r="A196" s="1" t="n"/>
      <c r="B196" s="1" t="n"/>
      <c r="C196" s="1" t="n"/>
      <c r="D196" s="1" t="n"/>
      <c r="E196" s="181" t="n"/>
      <c r="F196" s="181" t="n"/>
      <c r="G196" s="1" t="n"/>
      <c r="H196" s="1" t="n"/>
      <c r="I196" s="1" t="n"/>
      <c r="J196" s="1" t="n"/>
      <c r="K196" s="181" t="n"/>
      <c r="L196" s="181" t="n"/>
      <c r="M196" s="181" t="n"/>
      <c r="N196" s="1" t="n"/>
      <c r="O196" s="181" t="n"/>
      <c r="P196" s="181" t="n"/>
      <c r="Q196" s="18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row>
    <row r="197" ht="15.75" customHeight="1" s="216">
      <c r="A197" s="1" t="n"/>
      <c r="B197" s="1" t="n"/>
      <c r="C197" s="1" t="n"/>
      <c r="D197" s="1" t="n"/>
      <c r="E197" s="181" t="n"/>
      <c r="F197" s="181" t="n"/>
      <c r="G197" s="1" t="n"/>
      <c r="H197" s="1" t="n"/>
      <c r="I197" s="1" t="n"/>
      <c r="J197" s="1" t="n"/>
      <c r="K197" s="181" t="n"/>
      <c r="L197" s="181" t="n"/>
      <c r="M197" s="181" t="n"/>
      <c r="N197" s="1" t="n"/>
      <c r="O197" s="181" t="n"/>
      <c r="P197" s="181" t="n"/>
      <c r="Q197" s="18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row>
    <row r="198" ht="15.75" customHeight="1" s="216">
      <c r="A198" s="1" t="n"/>
      <c r="B198" s="1" t="n"/>
      <c r="C198" s="1" t="n"/>
      <c r="D198" s="1" t="n"/>
      <c r="E198" s="181" t="n"/>
      <c r="F198" s="181" t="n"/>
      <c r="G198" s="1" t="n"/>
      <c r="H198" s="1" t="n"/>
      <c r="I198" s="1" t="n"/>
      <c r="J198" s="1" t="n"/>
      <c r="K198" s="181" t="n"/>
      <c r="L198" s="181" t="n"/>
      <c r="M198" s="181" t="n"/>
      <c r="N198" s="1" t="n"/>
      <c r="O198" s="181" t="n"/>
      <c r="P198" s="181" t="n"/>
      <c r="Q198" s="18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row>
    <row r="199" ht="15.75" customHeight="1" s="216">
      <c r="A199" s="1" t="n"/>
      <c r="B199" s="1" t="n"/>
      <c r="C199" s="1" t="n"/>
      <c r="D199" s="1" t="n"/>
      <c r="E199" s="181" t="n"/>
      <c r="F199" s="181" t="n"/>
      <c r="G199" s="1" t="n"/>
      <c r="H199" s="1" t="n"/>
      <c r="I199" s="1" t="n"/>
      <c r="J199" s="1" t="n"/>
      <c r="K199" s="181" t="n"/>
      <c r="L199" s="181" t="n"/>
      <c r="M199" s="181" t="n"/>
      <c r="N199" s="1" t="n"/>
      <c r="O199" s="181" t="n"/>
      <c r="P199" s="181" t="n"/>
      <c r="Q199" s="18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row>
    <row r="200" ht="15.75" customHeight="1" s="216">
      <c r="A200" s="1" t="n"/>
      <c r="B200" s="1" t="n"/>
      <c r="C200" s="1" t="n"/>
      <c r="D200" s="1" t="n"/>
      <c r="E200" s="181" t="n"/>
      <c r="F200" s="181" t="n"/>
      <c r="G200" s="1" t="n"/>
      <c r="H200" s="1" t="n"/>
      <c r="I200" s="1" t="n"/>
      <c r="J200" s="1" t="n"/>
      <c r="K200" s="181" t="n"/>
      <c r="L200" s="181" t="n"/>
      <c r="M200" s="181" t="n"/>
      <c r="N200" s="1" t="n"/>
      <c r="O200" s="181" t="n"/>
      <c r="P200" s="181" t="n"/>
      <c r="Q200" s="18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row>
    <row r="201" ht="15.75" customHeight="1" s="216">
      <c r="A201" s="1" t="n"/>
      <c r="B201" s="1" t="n"/>
      <c r="C201" s="1" t="n"/>
      <c r="D201" s="1" t="n"/>
      <c r="E201" s="181" t="n"/>
      <c r="F201" s="181" t="n"/>
      <c r="G201" s="1" t="n"/>
      <c r="H201" s="1" t="n"/>
      <c r="I201" s="1" t="n"/>
      <c r="J201" s="1" t="n"/>
      <c r="K201" s="181" t="n"/>
      <c r="L201" s="181" t="n"/>
      <c r="M201" s="181" t="n"/>
      <c r="N201" s="1" t="n"/>
      <c r="O201" s="181" t="n"/>
      <c r="P201" s="181" t="n"/>
      <c r="Q201" s="18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row>
    <row r="202" ht="15.75" customHeight="1" s="216">
      <c r="A202" s="1" t="n"/>
      <c r="B202" s="1" t="n"/>
      <c r="C202" s="1" t="n"/>
      <c r="D202" s="1" t="n"/>
      <c r="E202" s="181" t="n"/>
      <c r="F202" s="181" t="n"/>
      <c r="G202" s="1" t="n"/>
      <c r="H202" s="1" t="n"/>
      <c r="I202" s="1" t="n"/>
      <c r="J202" s="1" t="n"/>
      <c r="K202" s="181" t="n"/>
      <c r="L202" s="181" t="n"/>
      <c r="M202" s="181" t="n"/>
      <c r="N202" s="1" t="n"/>
      <c r="O202" s="181" t="n"/>
      <c r="P202" s="181" t="n"/>
      <c r="Q202" s="18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row>
    <row r="203" ht="15.75" customHeight="1" s="216">
      <c r="A203" s="1" t="n"/>
      <c r="B203" s="1" t="n"/>
      <c r="C203" s="1" t="n"/>
      <c r="D203" s="1" t="n"/>
      <c r="E203" s="181" t="n"/>
      <c r="F203" s="181" t="n"/>
      <c r="G203" s="1" t="n"/>
      <c r="H203" s="1" t="n"/>
      <c r="I203" s="1" t="n"/>
      <c r="J203" s="1" t="n"/>
      <c r="K203" s="181" t="n"/>
      <c r="L203" s="181" t="n"/>
      <c r="M203" s="181" t="n"/>
      <c r="N203" s="1" t="n"/>
      <c r="O203" s="181" t="n"/>
      <c r="P203" s="181" t="n"/>
      <c r="Q203" s="18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row>
    <row r="204" ht="15.75" customHeight="1" s="216">
      <c r="A204" s="1" t="n"/>
      <c r="B204" s="1" t="n"/>
      <c r="C204" s="1" t="n"/>
      <c r="D204" s="1" t="n"/>
      <c r="E204" s="181" t="n"/>
      <c r="F204" s="181" t="n"/>
      <c r="G204" s="1" t="n"/>
      <c r="H204" s="1" t="n"/>
      <c r="I204" s="1" t="n"/>
      <c r="J204" s="1" t="n"/>
      <c r="K204" s="181" t="n"/>
      <c r="L204" s="181" t="n"/>
      <c r="M204" s="181" t="n"/>
      <c r="N204" s="1" t="n"/>
      <c r="O204" s="181" t="n"/>
      <c r="P204" s="181" t="n"/>
      <c r="Q204" s="18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row>
    <row r="205" ht="15.75" customHeight="1" s="216">
      <c r="A205" s="1" t="n"/>
      <c r="B205" s="1" t="n"/>
      <c r="C205" s="1" t="n"/>
      <c r="D205" s="1" t="n"/>
      <c r="E205" s="181" t="n"/>
      <c r="F205" s="181" t="n"/>
      <c r="G205" s="1" t="n"/>
      <c r="H205" s="1" t="n"/>
      <c r="I205" s="1" t="n"/>
      <c r="J205" s="1" t="n"/>
      <c r="K205" s="181" t="n"/>
      <c r="L205" s="181" t="n"/>
      <c r="M205" s="181" t="n"/>
      <c r="N205" s="1" t="n"/>
      <c r="O205" s="181" t="n"/>
      <c r="P205" s="181" t="n"/>
      <c r="Q205" s="18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row>
    <row r="206" ht="15.75" customHeight="1" s="216">
      <c r="A206" s="1" t="n"/>
      <c r="B206" s="1" t="n"/>
      <c r="C206" s="1" t="n"/>
      <c r="D206" s="1" t="n"/>
      <c r="E206" s="181" t="n"/>
      <c r="F206" s="181" t="n"/>
      <c r="G206" s="1" t="n"/>
      <c r="H206" s="1" t="n"/>
      <c r="I206" s="1" t="n"/>
      <c r="J206" s="1" t="n"/>
      <c r="K206" s="181" t="n"/>
      <c r="L206" s="181" t="n"/>
      <c r="M206" s="181" t="n"/>
      <c r="N206" s="1" t="n"/>
      <c r="O206" s="181" t="n"/>
      <c r="P206" s="181" t="n"/>
      <c r="Q206" s="18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row>
    <row r="207" ht="15.75" customHeight="1" s="216">
      <c r="A207" s="1" t="n"/>
      <c r="B207" s="1" t="n"/>
      <c r="C207" s="1" t="n"/>
      <c r="D207" s="1" t="n"/>
      <c r="E207" s="181" t="n"/>
      <c r="F207" s="181" t="n"/>
      <c r="G207" s="1" t="n"/>
      <c r="H207" s="1" t="n"/>
      <c r="I207" s="1" t="n"/>
      <c r="J207" s="1" t="n"/>
      <c r="K207" s="181" t="n"/>
      <c r="L207" s="181" t="n"/>
      <c r="M207" s="181" t="n"/>
      <c r="N207" s="1" t="n"/>
      <c r="O207" s="181" t="n"/>
      <c r="P207" s="181" t="n"/>
      <c r="Q207" s="18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row>
    <row r="208" ht="15.75" customHeight="1" s="216">
      <c r="A208" s="1" t="n"/>
      <c r="B208" s="1" t="n"/>
      <c r="C208" s="1" t="n"/>
      <c r="D208" s="1" t="n"/>
      <c r="E208" s="181" t="n"/>
      <c r="F208" s="181" t="n"/>
      <c r="G208" s="1" t="n"/>
      <c r="H208" s="1" t="n"/>
      <c r="I208" s="1" t="n"/>
      <c r="J208" s="1" t="n"/>
      <c r="K208" s="181" t="n"/>
      <c r="L208" s="181" t="n"/>
      <c r="M208" s="181" t="n"/>
      <c r="N208" s="1" t="n"/>
      <c r="O208" s="181" t="n"/>
      <c r="P208" s="181" t="n"/>
      <c r="Q208" s="18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row>
    <row r="209" ht="15.75" customHeight="1" s="216">
      <c r="A209" s="1" t="n"/>
      <c r="B209" s="1" t="n"/>
      <c r="C209" s="1" t="n"/>
      <c r="D209" s="1" t="n"/>
      <c r="E209" s="181" t="n"/>
      <c r="F209" s="181" t="n"/>
      <c r="G209" s="1" t="n"/>
      <c r="H209" s="1" t="n"/>
      <c r="I209" s="1" t="n"/>
      <c r="J209" s="1" t="n"/>
      <c r="K209" s="181" t="n"/>
      <c r="L209" s="181" t="n"/>
      <c r="M209" s="181" t="n"/>
      <c r="N209" s="1" t="n"/>
      <c r="O209" s="181" t="n"/>
      <c r="P209" s="181" t="n"/>
      <c r="Q209" s="18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row>
    <row r="210" ht="15.75" customHeight="1" s="216">
      <c r="A210" s="1" t="n"/>
      <c r="B210" s="1" t="n"/>
      <c r="C210" s="1" t="n"/>
      <c r="D210" s="1" t="n"/>
      <c r="E210" s="181" t="n"/>
      <c r="F210" s="181" t="n"/>
      <c r="G210" s="1" t="n"/>
      <c r="H210" s="1" t="n"/>
      <c r="I210" s="1" t="n"/>
      <c r="J210" s="1" t="n"/>
      <c r="K210" s="181" t="n"/>
      <c r="L210" s="181" t="n"/>
      <c r="M210" s="181" t="n"/>
      <c r="N210" s="1" t="n"/>
      <c r="O210" s="181" t="n"/>
      <c r="P210" s="181" t="n"/>
      <c r="Q210" s="18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row>
    <row r="211" ht="15.75" customHeight="1" s="216">
      <c r="A211" s="1" t="n"/>
      <c r="B211" s="1" t="n"/>
      <c r="C211" s="1" t="n"/>
      <c r="D211" s="1" t="n"/>
      <c r="E211" s="181" t="n"/>
      <c r="F211" s="181" t="n"/>
      <c r="G211" s="1" t="n"/>
      <c r="H211" s="1" t="n"/>
      <c r="I211" s="1" t="n"/>
      <c r="J211" s="1" t="n"/>
      <c r="K211" s="181" t="n"/>
      <c r="L211" s="181" t="n"/>
      <c r="M211" s="181" t="n"/>
      <c r="N211" s="1" t="n"/>
      <c r="O211" s="181" t="n"/>
      <c r="P211" s="181" t="n"/>
      <c r="Q211" s="18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row>
    <row r="212" ht="15.75" customHeight="1" s="216">
      <c r="A212" s="1" t="n"/>
      <c r="B212" s="1" t="n"/>
      <c r="C212" s="1" t="n"/>
      <c r="D212" s="1" t="n"/>
      <c r="E212" s="181" t="n"/>
      <c r="F212" s="181" t="n"/>
      <c r="G212" s="1" t="n"/>
      <c r="H212" s="1" t="n"/>
      <c r="I212" s="1" t="n"/>
      <c r="J212" s="1" t="n"/>
      <c r="K212" s="181" t="n"/>
      <c r="L212" s="181" t="n"/>
      <c r="M212" s="181" t="n"/>
      <c r="N212" s="1" t="n"/>
      <c r="O212" s="181" t="n"/>
      <c r="P212" s="181" t="n"/>
      <c r="Q212" s="18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row>
    <row r="213" ht="15.75" customHeight="1" s="216">
      <c r="A213" s="1" t="n"/>
      <c r="B213" s="1" t="n"/>
      <c r="C213" s="1" t="n"/>
      <c r="D213" s="1" t="n"/>
      <c r="E213" s="181" t="n"/>
      <c r="F213" s="181" t="n"/>
      <c r="G213" s="1" t="n"/>
      <c r="H213" s="1" t="n"/>
      <c r="I213" s="1" t="n"/>
      <c r="J213" s="1" t="n"/>
      <c r="K213" s="181" t="n"/>
      <c r="L213" s="181" t="n"/>
      <c r="M213" s="181" t="n"/>
      <c r="N213" s="1" t="n"/>
      <c r="O213" s="181" t="n"/>
      <c r="P213" s="181" t="n"/>
      <c r="Q213" s="18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row>
    <row r="214" ht="15.75" customHeight="1" s="216">
      <c r="A214" s="1" t="n"/>
      <c r="B214" s="1" t="n"/>
      <c r="C214" s="1" t="n"/>
      <c r="D214" s="1" t="n"/>
      <c r="E214" s="181" t="n"/>
      <c r="F214" s="181" t="n"/>
      <c r="G214" s="1" t="n"/>
      <c r="H214" s="1" t="n"/>
      <c r="I214" s="1" t="n"/>
      <c r="J214" s="1" t="n"/>
      <c r="K214" s="181" t="n"/>
      <c r="L214" s="181" t="n"/>
      <c r="M214" s="181" t="n"/>
      <c r="N214" s="1" t="n"/>
      <c r="O214" s="181" t="n"/>
      <c r="P214" s="181" t="n"/>
      <c r="Q214" s="18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row>
    <row r="215" ht="15.75" customHeight="1" s="216">
      <c r="A215" s="1" t="n"/>
      <c r="B215" s="1" t="n"/>
      <c r="C215" s="1" t="n"/>
      <c r="D215" s="1" t="n"/>
      <c r="E215" s="181" t="n"/>
      <c r="F215" s="181" t="n"/>
      <c r="G215" s="1" t="n"/>
      <c r="H215" s="1" t="n"/>
      <c r="I215" s="1" t="n"/>
      <c r="J215" s="1" t="n"/>
      <c r="K215" s="181" t="n"/>
      <c r="L215" s="181" t="n"/>
      <c r="M215" s="181" t="n"/>
      <c r="N215" s="1" t="n"/>
      <c r="O215" s="181" t="n"/>
      <c r="P215" s="181" t="n"/>
      <c r="Q215" s="18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row>
    <row r="216" ht="15.75" customHeight="1" s="216">
      <c r="A216" s="1" t="n"/>
      <c r="B216" s="1" t="n"/>
      <c r="C216" s="1" t="n"/>
      <c r="D216" s="1" t="n"/>
      <c r="E216" s="181" t="n"/>
      <c r="F216" s="181" t="n"/>
      <c r="G216" s="1" t="n"/>
      <c r="H216" s="1" t="n"/>
      <c r="I216" s="1" t="n"/>
      <c r="J216" s="1" t="n"/>
      <c r="K216" s="181" t="n"/>
      <c r="L216" s="181" t="n"/>
      <c r="M216" s="181" t="n"/>
      <c r="N216" s="1" t="n"/>
      <c r="O216" s="181" t="n"/>
      <c r="P216" s="181" t="n"/>
      <c r="Q216" s="18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row>
    <row r="217" ht="15.75" customHeight="1" s="216">
      <c r="A217" s="1" t="n"/>
      <c r="B217" s="1" t="n"/>
      <c r="C217" s="1" t="n"/>
      <c r="D217" s="1" t="n"/>
      <c r="E217" s="181" t="n"/>
      <c r="F217" s="181" t="n"/>
      <c r="G217" s="1" t="n"/>
      <c r="H217" s="1" t="n"/>
      <c r="I217" s="1" t="n"/>
      <c r="J217" s="1" t="n"/>
      <c r="K217" s="181" t="n"/>
      <c r="L217" s="181" t="n"/>
      <c r="M217" s="181" t="n"/>
      <c r="N217" s="1" t="n"/>
      <c r="O217" s="181" t="n"/>
      <c r="P217" s="181" t="n"/>
      <c r="Q217" s="18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row>
    <row r="218" ht="15.75" customHeight="1" s="216">
      <c r="A218" s="1" t="n"/>
      <c r="B218" s="1" t="n"/>
      <c r="C218" s="1" t="n"/>
      <c r="D218" s="1" t="n"/>
      <c r="E218" s="181" t="n"/>
      <c r="F218" s="181" t="n"/>
      <c r="G218" s="1" t="n"/>
      <c r="H218" s="1" t="n"/>
      <c r="I218" s="1" t="n"/>
      <c r="J218" s="1" t="n"/>
      <c r="K218" s="181" t="n"/>
      <c r="L218" s="181" t="n"/>
      <c r="M218" s="181" t="n"/>
      <c r="N218" s="1" t="n"/>
      <c r="O218" s="181" t="n"/>
      <c r="P218" s="181" t="n"/>
      <c r="Q218" s="18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row>
    <row r="219" ht="15.75" customHeight="1" s="216">
      <c r="A219" s="1" t="n"/>
      <c r="B219" s="1" t="n"/>
      <c r="C219" s="1" t="n"/>
      <c r="D219" s="1" t="n"/>
      <c r="E219" s="181" t="n"/>
      <c r="F219" s="181" t="n"/>
      <c r="G219" s="1" t="n"/>
      <c r="H219" s="1" t="n"/>
      <c r="I219" s="1" t="n"/>
      <c r="J219" s="1" t="n"/>
      <c r="K219" s="181" t="n"/>
      <c r="L219" s="181" t="n"/>
      <c r="M219" s="181" t="n"/>
      <c r="N219" s="1" t="n"/>
      <c r="O219" s="181" t="n"/>
      <c r="P219" s="181" t="n"/>
      <c r="Q219" s="18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row>
    <row r="220" ht="15.75" customHeight="1" s="216">
      <c r="A220" s="1" t="n"/>
      <c r="B220" s="1" t="n"/>
      <c r="C220" s="1" t="n"/>
      <c r="D220" s="1" t="n"/>
      <c r="E220" s="181" t="n"/>
      <c r="F220" s="181" t="n"/>
      <c r="G220" s="1" t="n"/>
      <c r="H220" s="1" t="n"/>
      <c r="I220" s="1" t="n"/>
      <c r="J220" s="1" t="n"/>
      <c r="K220" s="181" t="n"/>
      <c r="L220" s="181" t="n"/>
      <c r="M220" s="181" t="n"/>
      <c r="N220" s="1" t="n"/>
      <c r="O220" s="181" t="n"/>
      <c r="P220" s="181" t="n"/>
      <c r="Q220" s="18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row>
    <row r="221" ht="15.75" customHeight="1" s="216">
      <c r="D221" s="109" t="n"/>
      <c r="E221" s="109" t="n"/>
      <c r="J221" s="109" t="n"/>
      <c r="K221" s="109" t="n"/>
      <c r="L221" s="109" t="n"/>
      <c r="N221" s="109" t="n"/>
      <c r="O221" s="109" t="n"/>
      <c r="P221" s="109" t="n"/>
      <c r="T221" s="109" t="n"/>
      <c r="U221" s="109" t="n"/>
      <c r="V221" s="109" t="n"/>
      <c r="Z221" s="109" t="n"/>
      <c r="AA221" s="109" t="n"/>
      <c r="AB221" s="109" t="n"/>
      <c r="AF221" s="109" t="n"/>
      <c r="AG221" s="109" t="n"/>
      <c r="AH221" s="109" t="n"/>
      <c r="AL221" s="109" t="n"/>
      <c r="AM221" s="109" t="n"/>
      <c r="AN221" s="109" t="n"/>
    </row>
    <row r="222" ht="15.75" customHeight="1" s="216">
      <c r="D222" s="109" t="n"/>
      <c r="E222" s="109" t="n"/>
      <c r="J222" s="109" t="n"/>
      <c r="K222" s="109" t="n"/>
      <c r="L222" s="109" t="n"/>
      <c r="N222" s="109" t="n"/>
      <c r="O222" s="109" t="n"/>
      <c r="P222" s="109" t="n"/>
      <c r="T222" s="109" t="n"/>
      <c r="U222" s="109" t="n"/>
      <c r="V222" s="109" t="n"/>
      <c r="Z222" s="109" t="n"/>
      <c r="AA222" s="109" t="n"/>
      <c r="AB222" s="109" t="n"/>
      <c r="AF222" s="109" t="n"/>
      <c r="AG222" s="109" t="n"/>
      <c r="AH222" s="109" t="n"/>
      <c r="AL222" s="109" t="n"/>
      <c r="AM222" s="109" t="n"/>
      <c r="AN222" s="109" t="n"/>
    </row>
    <row r="223" ht="15.75" customHeight="1" s="216">
      <c r="D223" s="109" t="n"/>
      <c r="E223" s="109" t="n"/>
      <c r="J223" s="109" t="n"/>
      <c r="K223" s="109" t="n"/>
      <c r="L223" s="109" t="n"/>
      <c r="N223" s="109" t="n"/>
      <c r="O223" s="109" t="n"/>
      <c r="P223" s="109" t="n"/>
      <c r="T223" s="109" t="n"/>
      <c r="U223" s="109" t="n"/>
      <c r="V223" s="109" t="n"/>
      <c r="Z223" s="109" t="n"/>
      <c r="AA223" s="109" t="n"/>
      <c r="AB223" s="109" t="n"/>
      <c r="AF223" s="109" t="n"/>
      <c r="AG223" s="109" t="n"/>
      <c r="AH223" s="109" t="n"/>
      <c r="AL223" s="109" t="n"/>
      <c r="AM223" s="109" t="n"/>
      <c r="AN223" s="109" t="n"/>
    </row>
    <row r="224" ht="15.75" customHeight="1" s="216">
      <c r="D224" s="109" t="n"/>
      <c r="E224" s="109" t="n"/>
      <c r="J224" s="109" t="n"/>
      <c r="K224" s="109" t="n"/>
      <c r="L224" s="109" t="n"/>
      <c r="N224" s="109" t="n"/>
      <c r="O224" s="109" t="n"/>
      <c r="P224" s="109" t="n"/>
      <c r="T224" s="109" t="n"/>
      <c r="U224" s="109" t="n"/>
      <c r="V224" s="109" t="n"/>
      <c r="Z224" s="109" t="n"/>
      <c r="AA224" s="109" t="n"/>
      <c r="AB224" s="109" t="n"/>
      <c r="AF224" s="109" t="n"/>
      <c r="AG224" s="109" t="n"/>
      <c r="AH224" s="109" t="n"/>
      <c r="AL224" s="109" t="n"/>
      <c r="AM224" s="109" t="n"/>
      <c r="AN224" s="109" t="n"/>
    </row>
    <row r="225" ht="15.75" customHeight="1" s="216">
      <c r="D225" s="109" t="n"/>
      <c r="E225" s="109" t="n"/>
      <c r="J225" s="109" t="n"/>
      <c r="K225" s="109" t="n"/>
      <c r="L225" s="109" t="n"/>
      <c r="N225" s="109" t="n"/>
      <c r="O225" s="109" t="n"/>
      <c r="P225" s="109" t="n"/>
      <c r="T225" s="109" t="n"/>
      <c r="U225" s="109" t="n"/>
      <c r="V225" s="109" t="n"/>
      <c r="Z225" s="109" t="n"/>
      <c r="AA225" s="109" t="n"/>
      <c r="AB225" s="109" t="n"/>
      <c r="AF225" s="109" t="n"/>
      <c r="AG225" s="109" t="n"/>
      <c r="AH225" s="109" t="n"/>
      <c r="AL225" s="109" t="n"/>
      <c r="AM225" s="109" t="n"/>
      <c r="AN225" s="109" t="n"/>
    </row>
    <row r="226" ht="15.75" customHeight="1" s="216">
      <c r="D226" s="109" t="n"/>
      <c r="E226" s="109" t="n"/>
      <c r="J226" s="109" t="n"/>
      <c r="K226" s="109" t="n"/>
      <c r="L226" s="109" t="n"/>
      <c r="N226" s="109" t="n"/>
      <c r="O226" s="109" t="n"/>
      <c r="P226" s="109" t="n"/>
      <c r="T226" s="109" t="n"/>
      <c r="U226" s="109" t="n"/>
      <c r="V226" s="109" t="n"/>
      <c r="Z226" s="109" t="n"/>
      <c r="AA226" s="109" t="n"/>
      <c r="AB226" s="109" t="n"/>
      <c r="AF226" s="109" t="n"/>
      <c r="AG226" s="109" t="n"/>
      <c r="AH226" s="109" t="n"/>
      <c r="AL226" s="109" t="n"/>
      <c r="AM226" s="109" t="n"/>
      <c r="AN226" s="109" t="n"/>
    </row>
    <row r="227" ht="15.75" customHeight="1" s="216">
      <c r="D227" s="109" t="n"/>
      <c r="E227" s="109" t="n"/>
      <c r="J227" s="109" t="n"/>
      <c r="K227" s="109" t="n"/>
      <c r="L227" s="109" t="n"/>
      <c r="N227" s="109" t="n"/>
      <c r="O227" s="109" t="n"/>
      <c r="P227" s="109" t="n"/>
      <c r="T227" s="109" t="n"/>
      <c r="U227" s="109" t="n"/>
      <c r="V227" s="109" t="n"/>
      <c r="Z227" s="109" t="n"/>
      <c r="AA227" s="109" t="n"/>
      <c r="AB227" s="109" t="n"/>
      <c r="AF227" s="109" t="n"/>
      <c r="AG227" s="109" t="n"/>
      <c r="AH227" s="109" t="n"/>
      <c r="AL227" s="109" t="n"/>
      <c r="AM227" s="109" t="n"/>
      <c r="AN227" s="109" t="n"/>
    </row>
    <row r="228" ht="15.75" customHeight="1" s="216">
      <c r="D228" s="109" t="n"/>
      <c r="E228" s="109" t="n"/>
      <c r="J228" s="109" t="n"/>
      <c r="K228" s="109" t="n"/>
      <c r="L228" s="109" t="n"/>
      <c r="N228" s="109" t="n"/>
      <c r="O228" s="109" t="n"/>
      <c r="P228" s="109" t="n"/>
      <c r="T228" s="109" t="n"/>
      <c r="U228" s="109" t="n"/>
      <c r="V228" s="109" t="n"/>
      <c r="Z228" s="109" t="n"/>
      <c r="AA228" s="109" t="n"/>
      <c r="AB228" s="109" t="n"/>
      <c r="AF228" s="109" t="n"/>
      <c r="AG228" s="109" t="n"/>
      <c r="AH228" s="109" t="n"/>
      <c r="AL228" s="109" t="n"/>
      <c r="AM228" s="109" t="n"/>
      <c r="AN228" s="109" t="n"/>
    </row>
    <row r="229" ht="15.75" customHeight="1" s="216">
      <c r="D229" s="109" t="n"/>
      <c r="E229" s="109" t="n"/>
      <c r="J229" s="109" t="n"/>
      <c r="K229" s="109" t="n"/>
      <c r="L229" s="109" t="n"/>
      <c r="N229" s="109" t="n"/>
      <c r="O229" s="109" t="n"/>
      <c r="P229" s="109" t="n"/>
      <c r="T229" s="109" t="n"/>
      <c r="U229" s="109" t="n"/>
      <c r="V229" s="109" t="n"/>
      <c r="Z229" s="109" t="n"/>
      <c r="AA229" s="109" t="n"/>
      <c r="AB229" s="109" t="n"/>
      <c r="AF229" s="109" t="n"/>
      <c r="AG229" s="109" t="n"/>
      <c r="AH229" s="109" t="n"/>
      <c r="AL229" s="109" t="n"/>
      <c r="AM229" s="109" t="n"/>
      <c r="AN229" s="109" t="n"/>
    </row>
    <row r="230" ht="15.75" customHeight="1" s="216">
      <c r="D230" s="109" t="n"/>
      <c r="E230" s="109" t="n"/>
      <c r="J230" s="109" t="n"/>
      <c r="K230" s="109" t="n"/>
      <c r="L230" s="109" t="n"/>
      <c r="N230" s="109" t="n"/>
      <c r="O230" s="109" t="n"/>
      <c r="P230" s="109" t="n"/>
      <c r="T230" s="109" t="n"/>
      <c r="U230" s="109" t="n"/>
      <c r="V230" s="109" t="n"/>
      <c r="Z230" s="109" t="n"/>
      <c r="AA230" s="109" t="n"/>
      <c r="AB230" s="109" t="n"/>
      <c r="AF230" s="109" t="n"/>
      <c r="AG230" s="109" t="n"/>
      <c r="AH230" s="109" t="n"/>
      <c r="AL230" s="109" t="n"/>
      <c r="AM230" s="109" t="n"/>
      <c r="AN230" s="109" t="n"/>
    </row>
    <row r="231" ht="15.75" customHeight="1" s="216">
      <c r="D231" s="109" t="n"/>
      <c r="E231" s="109" t="n"/>
      <c r="J231" s="109" t="n"/>
      <c r="K231" s="109" t="n"/>
      <c r="L231" s="109" t="n"/>
      <c r="N231" s="109" t="n"/>
      <c r="O231" s="109" t="n"/>
      <c r="P231" s="109" t="n"/>
      <c r="T231" s="109" t="n"/>
      <c r="U231" s="109" t="n"/>
      <c r="V231" s="109" t="n"/>
      <c r="Z231" s="109" t="n"/>
      <c r="AA231" s="109" t="n"/>
      <c r="AB231" s="109" t="n"/>
      <c r="AF231" s="109" t="n"/>
      <c r="AG231" s="109" t="n"/>
      <c r="AH231" s="109" t="n"/>
      <c r="AL231" s="109" t="n"/>
      <c r="AM231" s="109" t="n"/>
      <c r="AN231" s="109" t="n"/>
    </row>
    <row r="232" ht="15.75" customHeight="1" s="216">
      <c r="D232" s="109" t="n"/>
      <c r="E232" s="109" t="n"/>
      <c r="J232" s="109" t="n"/>
      <c r="K232" s="109" t="n"/>
      <c r="L232" s="109" t="n"/>
      <c r="N232" s="109" t="n"/>
      <c r="O232" s="109" t="n"/>
      <c r="P232" s="109" t="n"/>
      <c r="T232" s="109" t="n"/>
      <c r="U232" s="109" t="n"/>
      <c r="V232" s="109" t="n"/>
      <c r="Z232" s="109" t="n"/>
      <c r="AA232" s="109" t="n"/>
      <c r="AB232" s="109" t="n"/>
      <c r="AF232" s="109" t="n"/>
      <c r="AG232" s="109" t="n"/>
      <c r="AH232" s="109" t="n"/>
      <c r="AL232" s="109" t="n"/>
      <c r="AM232" s="109" t="n"/>
      <c r="AN232" s="109" t="n"/>
    </row>
    <row r="233" ht="15.75" customHeight="1" s="216">
      <c r="D233" s="109" t="n"/>
      <c r="E233" s="109" t="n"/>
      <c r="J233" s="109" t="n"/>
      <c r="K233" s="109" t="n"/>
      <c r="L233" s="109" t="n"/>
      <c r="N233" s="109" t="n"/>
      <c r="O233" s="109" t="n"/>
      <c r="P233" s="109" t="n"/>
      <c r="T233" s="109" t="n"/>
      <c r="U233" s="109" t="n"/>
      <c r="V233" s="109" t="n"/>
      <c r="Z233" s="109" t="n"/>
      <c r="AA233" s="109" t="n"/>
      <c r="AB233" s="109" t="n"/>
      <c r="AF233" s="109" t="n"/>
      <c r="AG233" s="109" t="n"/>
      <c r="AH233" s="109" t="n"/>
      <c r="AL233" s="109" t="n"/>
      <c r="AM233" s="109" t="n"/>
      <c r="AN233" s="109" t="n"/>
    </row>
    <row r="234" ht="15.75" customHeight="1" s="216">
      <c r="D234" s="109" t="n"/>
      <c r="E234" s="109" t="n"/>
      <c r="J234" s="109" t="n"/>
      <c r="K234" s="109" t="n"/>
      <c r="L234" s="109" t="n"/>
      <c r="N234" s="109" t="n"/>
      <c r="O234" s="109" t="n"/>
      <c r="P234" s="109" t="n"/>
      <c r="T234" s="109" t="n"/>
      <c r="U234" s="109" t="n"/>
      <c r="V234" s="109" t="n"/>
      <c r="Z234" s="109" t="n"/>
      <c r="AA234" s="109" t="n"/>
      <c r="AB234" s="109" t="n"/>
      <c r="AF234" s="109" t="n"/>
      <c r="AG234" s="109" t="n"/>
      <c r="AH234" s="109" t="n"/>
      <c r="AL234" s="109" t="n"/>
      <c r="AM234" s="109" t="n"/>
      <c r="AN234" s="109" t="n"/>
    </row>
    <row r="235" ht="15.75" customHeight="1" s="216">
      <c r="D235" s="109" t="n"/>
      <c r="E235" s="109" t="n"/>
      <c r="J235" s="109" t="n"/>
      <c r="K235" s="109" t="n"/>
      <c r="L235" s="109" t="n"/>
      <c r="N235" s="109" t="n"/>
      <c r="O235" s="109" t="n"/>
      <c r="P235" s="109" t="n"/>
      <c r="T235" s="109" t="n"/>
      <c r="U235" s="109" t="n"/>
      <c r="V235" s="109" t="n"/>
      <c r="Z235" s="109" t="n"/>
      <c r="AA235" s="109" t="n"/>
      <c r="AB235" s="109" t="n"/>
      <c r="AF235" s="109" t="n"/>
      <c r="AG235" s="109" t="n"/>
      <c r="AH235" s="109" t="n"/>
      <c r="AL235" s="109" t="n"/>
      <c r="AM235" s="109" t="n"/>
      <c r="AN235" s="109" t="n"/>
    </row>
    <row r="236" ht="15.75" customHeight="1" s="216">
      <c r="D236" s="109" t="n"/>
      <c r="E236" s="109" t="n"/>
      <c r="J236" s="109" t="n"/>
      <c r="K236" s="109" t="n"/>
      <c r="L236" s="109" t="n"/>
      <c r="N236" s="109" t="n"/>
      <c r="O236" s="109" t="n"/>
      <c r="P236" s="109" t="n"/>
      <c r="T236" s="109" t="n"/>
      <c r="U236" s="109" t="n"/>
      <c r="V236" s="109" t="n"/>
      <c r="Z236" s="109" t="n"/>
      <c r="AA236" s="109" t="n"/>
      <c r="AB236" s="109" t="n"/>
      <c r="AF236" s="109" t="n"/>
      <c r="AG236" s="109" t="n"/>
      <c r="AH236" s="109" t="n"/>
      <c r="AL236" s="109" t="n"/>
      <c r="AM236" s="109" t="n"/>
      <c r="AN236" s="109" t="n"/>
    </row>
    <row r="237" ht="15.75" customHeight="1" s="216">
      <c r="D237" s="109" t="n"/>
      <c r="E237" s="109" t="n"/>
      <c r="J237" s="109" t="n"/>
      <c r="K237" s="109" t="n"/>
      <c r="L237" s="109" t="n"/>
      <c r="N237" s="109" t="n"/>
      <c r="O237" s="109" t="n"/>
      <c r="P237" s="109" t="n"/>
      <c r="T237" s="109" t="n"/>
      <c r="U237" s="109" t="n"/>
      <c r="V237" s="109" t="n"/>
      <c r="Z237" s="109" t="n"/>
      <c r="AA237" s="109" t="n"/>
      <c r="AB237" s="109" t="n"/>
      <c r="AF237" s="109" t="n"/>
      <c r="AG237" s="109" t="n"/>
      <c r="AH237" s="109" t="n"/>
      <c r="AL237" s="109" t="n"/>
      <c r="AM237" s="109" t="n"/>
      <c r="AN237" s="109" t="n"/>
    </row>
    <row r="238" ht="15.75" customHeight="1" s="216">
      <c r="D238" s="109" t="n"/>
      <c r="E238" s="109" t="n"/>
      <c r="J238" s="109" t="n"/>
      <c r="K238" s="109" t="n"/>
      <c r="L238" s="109" t="n"/>
      <c r="N238" s="109" t="n"/>
      <c r="O238" s="109" t="n"/>
      <c r="P238" s="109" t="n"/>
      <c r="T238" s="109" t="n"/>
      <c r="U238" s="109" t="n"/>
      <c r="V238" s="109" t="n"/>
      <c r="Z238" s="109" t="n"/>
      <c r="AA238" s="109" t="n"/>
      <c r="AB238" s="109" t="n"/>
      <c r="AF238" s="109" t="n"/>
      <c r="AG238" s="109" t="n"/>
      <c r="AH238" s="109" t="n"/>
      <c r="AL238" s="109" t="n"/>
      <c r="AM238" s="109" t="n"/>
      <c r="AN238" s="109" t="n"/>
    </row>
    <row r="239" ht="15.75" customHeight="1" s="216">
      <c r="D239" s="109" t="n"/>
      <c r="E239" s="109" t="n"/>
      <c r="J239" s="109" t="n"/>
      <c r="K239" s="109" t="n"/>
      <c r="L239" s="109" t="n"/>
      <c r="N239" s="109" t="n"/>
      <c r="O239" s="109" t="n"/>
      <c r="P239" s="109" t="n"/>
      <c r="T239" s="109" t="n"/>
      <c r="U239" s="109" t="n"/>
      <c r="V239" s="109" t="n"/>
      <c r="Z239" s="109" t="n"/>
      <c r="AA239" s="109" t="n"/>
      <c r="AB239" s="109" t="n"/>
      <c r="AF239" s="109" t="n"/>
      <c r="AG239" s="109" t="n"/>
      <c r="AH239" s="109" t="n"/>
      <c r="AL239" s="109" t="n"/>
      <c r="AM239" s="109" t="n"/>
      <c r="AN239" s="109" t="n"/>
    </row>
    <row r="240" ht="15.75" customHeight="1" s="216">
      <c r="D240" s="109" t="n"/>
      <c r="E240" s="109" t="n"/>
      <c r="J240" s="109" t="n"/>
      <c r="K240" s="109" t="n"/>
      <c r="L240" s="109" t="n"/>
      <c r="N240" s="109" t="n"/>
      <c r="O240" s="109" t="n"/>
      <c r="P240" s="109" t="n"/>
      <c r="T240" s="109" t="n"/>
      <c r="U240" s="109" t="n"/>
      <c r="V240" s="109" t="n"/>
      <c r="Z240" s="109" t="n"/>
      <c r="AA240" s="109" t="n"/>
      <c r="AB240" s="109" t="n"/>
      <c r="AF240" s="109" t="n"/>
      <c r="AG240" s="109" t="n"/>
      <c r="AH240" s="109" t="n"/>
      <c r="AL240" s="109" t="n"/>
      <c r="AM240" s="109" t="n"/>
      <c r="AN240" s="109" t="n"/>
    </row>
    <row r="241" ht="15.75" customHeight="1" s="216">
      <c r="D241" s="109" t="n"/>
      <c r="E241" s="109" t="n"/>
      <c r="J241" s="109" t="n"/>
      <c r="K241" s="109" t="n"/>
      <c r="L241" s="109" t="n"/>
      <c r="N241" s="109" t="n"/>
      <c r="O241" s="109" t="n"/>
      <c r="P241" s="109" t="n"/>
      <c r="T241" s="109" t="n"/>
      <c r="U241" s="109" t="n"/>
      <c r="V241" s="109" t="n"/>
      <c r="Z241" s="109" t="n"/>
      <c r="AA241" s="109" t="n"/>
      <c r="AB241" s="109" t="n"/>
      <c r="AF241" s="109" t="n"/>
      <c r="AG241" s="109" t="n"/>
      <c r="AH241" s="109" t="n"/>
      <c r="AL241" s="109" t="n"/>
      <c r="AM241" s="109" t="n"/>
      <c r="AN241" s="109" t="n"/>
    </row>
    <row r="242" ht="15.75" customHeight="1" s="216">
      <c r="D242" s="109" t="n"/>
      <c r="E242" s="109" t="n"/>
      <c r="J242" s="109" t="n"/>
      <c r="K242" s="109" t="n"/>
      <c r="L242" s="109" t="n"/>
      <c r="N242" s="109" t="n"/>
      <c r="O242" s="109" t="n"/>
      <c r="P242" s="109" t="n"/>
      <c r="T242" s="109" t="n"/>
      <c r="U242" s="109" t="n"/>
      <c r="V242" s="109" t="n"/>
      <c r="Z242" s="109" t="n"/>
      <c r="AA242" s="109" t="n"/>
      <c r="AB242" s="109" t="n"/>
      <c r="AF242" s="109" t="n"/>
      <c r="AG242" s="109" t="n"/>
      <c r="AH242" s="109" t="n"/>
      <c r="AL242" s="109" t="n"/>
      <c r="AM242" s="109" t="n"/>
      <c r="AN242" s="109" t="n"/>
    </row>
    <row r="243" ht="15.75" customHeight="1" s="216">
      <c r="D243" s="109" t="n"/>
      <c r="E243" s="109" t="n"/>
      <c r="J243" s="109" t="n"/>
      <c r="K243" s="109" t="n"/>
      <c r="L243" s="109" t="n"/>
      <c r="N243" s="109" t="n"/>
      <c r="O243" s="109" t="n"/>
      <c r="P243" s="109" t="n"/>
      <c r="T243" s="109" t="n"/>
      <c r="U243" s="109" t="n"/>
      <c r="V243" s="109" t="n"/>
      <c r="Z243" s="109" t="n"/>
      <c r="AA243" s="109" t="n"/>
      <c r="AB243" s="109" t="n"/>
      <c r="AF243" s="109" t="n"/>
      <c r="AG243" s="109" t="n"/>
      <c r="AH243" s="109" t="n"/>
      <c r="AL243" s="109" t="n"/>
      <c r="AM243" s="109" t="n"/>
      <c r="AN243" s="109" t="n"/>
    </row>
    <row r="244" ht="15.75" customHeight="1" s="216">
      <c r="D244" s="109" t="n"/>
      <c r="E244" s="109" t="n"/>
      <c r="J244" s="109" t="n"/>
      <c r="K244" s="109" t="n"/>
      <c r="L244" s="109" t="n"/>
      <c r="N244" s="109" t="n"/>
      <c r="O244" s="109" t="n"/>
      <c r="P244" s="109" t="n"/>
      <c r="T244" s="109" t="n"/>
      <c r="U244" s="109" t="n"/>
      <c r="V244" s="109" t="n"/>
      <c r="Z244" s="109" t="n"/>
      <c r="AA244" s="109" t="n"/>
      <c r="AB244" s="109" t="n"/>
      <c r="AF244" s="109" t="n"/>
      <c r="AG244" s="109" t="n"/>
      <c r="AH244" s="109" t="n"/>
      <c r="AL244" s="109" t="n"/>
      <c r="AM244" s="109" t="n"/>
      <c r="AN244" s="109" t="n"/>
    </row>
    <row r="245" ht="15.75" customHeight="1" s="216">
      <c r="D245" s="109" t="n"/>
      <c r="E245" s="109" t="n"/>
      <c r="J245" s="109" t="n"/>
      <c r="K245" s="109" t="n"/>
      <c r="L245" s="109" t="n"/>
      <c r="N245" s="109" t="n"/>
      <c r="O245" s="109" t="n"/>
      <c r="P245" s="109" t="n"/>
      <c r="T245" s="109" t="n"/>
      <c r="U245" s="109" t="n"/>
      <c r="V245" s="109" t="n"/>
      <c r="Z245" s="109" t="n"/>
      <c r="AA245" s="109" t="n"/>
      <c r="AB245" s="109" t="n"/>
      <c r="AF245" s="109" t="n"/>
      <c r="AG245" s="109" t="n"/>
      <c r="AH245" s="109" t="n"/>
      <c r="AL245" s="109" t="n"/>
      <c r="AM245" s="109" t="n"/>
      <c r="AN245" s="109" t="n"/>
    </row>
    <row r="246" ht="15.75" customHeight="1" s="216">
      <c r="D246" s="109" t="n"/>
      <c r="E246" s="109" t="n"/>
      <c r="J246" s="109" t="n"/>
      <c r="K246" s="109" t="n"/>
      <c r="L246" s="109" t="n"/>
      <c r="N246" s="109" t="n"/>
      <c r="O246" s="109" t="n"/>
      <c r="P246" s="109" t="n"/>
      <c r="T246" s="109" t="n"/>
      <c r="U246" s="109" t="n"/>
      <c r="V246" s="109" t="n"/>
      <c r="Z246" s="109" t="n"/>
      <c r="AA246" s="109" t="n"/>
      <c r="AB246" s="109" t="n"/>
      <c r="AF246" s="109" t="n"/>
      <c r="AG246" s="109" t="n"/>
      <c r="AH246" s="109" t="n"/>
      <c r="AL246" s="109" t="n"/>
      <c r="AM246" s="109" t="n"/>
      <c r="AN246" s="109" t="n"/>
    </row>
    <row r="247" ht="15.75" customHeight="1" s="216">
      <c r="D247" s="109" t="n"/>
      <c r="E247" s="109" t="n"/>
      <c r="J247" s="109" t="n"/>
      <c r="K247" s="109" t="n"/>
      <c r="L247" s="109" t="n"/>
      <c r="N247" s="109" t="n"/>
      <c r="O247" s="109" t="n"/>
      <c r="P247" s="109" t="n"/>
      <c r="T247" s="109" t="n"/>
      <c r="U247" s="109" t="n"/>
      <c r="V247" s="109" t="n"/>
      <c r="Z247" s="109" t="n"/>
      <c r="AA247" s="109" t="n"/>
      <c r="AB247" s="109" t="n"/>
      <c r="AF247" s="109" t="n"/>
      <c r="AG247" s="109" t="n"/>
      <c r="AH247" s="109" t="n"/>
      <c r="AL247" s="109" t="n"/>
      <c r="AM247" s="109" t="n"/>
      <c r="AN247" s="109" t="n"/>
    </row>
    <row r="248" ht="15.75" customHeight="1" s="216">
      <c r="D248" s="109" t="n"/>
      <c r="E248" s="109" t="n"/>
      <c r="J248" s="109" t="n"/>
      <c r="K248" s="109" t="n"/>
      <c r="L248" s="109" t="n"/>
      <c r="N248" s="109" t="n"/>
      <c r="O248" s="109" t="n"/>
      <c r="P248" s="109" t="n"/>
      <c r="T248" s="109" t="n"/>
      <c r="U248" s="109" t="n"/>
      <c r="V248" s="109" t="n"/>
      <c r="Z248" s="109" t="n"/>
      <c r="AA248" s="109" t="n"/>
      <c r="AB248" s="109" t="n"/>
      <c r="AF248" s="109" t="n"/>
      <c r="AG248" s="109" t="n"/>
      <c r="AH248" s="109" t="n"/>
      <c r="AL248" s="109" t="n"/>
      <c r="AM248" s="109" t="n"/>
      <c r="AN248" s="109" t="n"/>
    </row>
    <row r="249" ht="15.75" customHeight="1" s="216">
      <c r="D249" s="109" t="n"/>
      <c r="E249" s="109" t="n"/>
      <c r="J249" s="109" t="n"/>
      <c r="K249" s="109" t="n"/>
      <c r="L249" s="109" t="n"/>
      <c r="N249" s="109" t="n"/>
      <c r="O249" s="109" t="n"/>
      <c r="P249" s="109" t="n"/>
      <c r="T249" s="109" t="n"/>
      <c r="U249" s="109" t="n"/>
      <c r="V249" s="109" t="n"/>
      <c r="Z249" s="109" t="n"/>
      <c r="AA249" s="109" t="n"/>
      <c r="AB249" s="109" t="n"/>
      <c r="AF249" s="109" t="n"/>
      <c r="AG249" s="109" t="n"/>
      <c r="AH249" s="109" t="n"/>
      <c r="AL249" s="109" t="n"/>
      <c r="AM249" s="109" t="n"/>
      <c r="AN249" s="109" t="n"/>
    </row>
    <row r="250" ht="15.75" customHeight="1" s="216">
      <c r="D250" s="109" t="n"/>
      <c r="E250" s="109" t="n"/>
      <c r="J250" s="109" t="n"/>
      <c r="K250" s="109" t="n"/>
      <c r="L250" s="109" t="n"/>
      <c r="N250" s="109" t="n"/>
      <c r="O250" s="109" t="n"/>
      <c r="P250" s="109" t="n"/>
      <c r="T250" s="109" t="n"/>
      <c r="U250" s="109" t="n"/>
      <c r="V250" s="109" t="n"/>
      <c r="Z250" s="109" t="n"/>
      <c r="AA250" s="109" t="n"/>
      <c r="AB250" s="109" t="n"/>
      <c r="AF250" s="109" t="n"/>
      <c r="AG250" s="109" t="n"/>
      <c r="AH250" s="109" t="n"/>
      <c r="AL250" s="109" t="n"/>
      <c r="AM250" s="109" t="n"/>
      <c r="AN250" s="109" t="n"/>
    </row>
    <row r="251" ht="15.75" customHeight="1" s="216">
      <c r="D251" s="109" t="n"/>
      <c r="E251" s="109" t="n"/>
      <c r="J251" s="109" t="n"/>
      <c r="K251" s="109" t="n"/>
      <c r="L251" s="109" t="n"/>
      <c r="N251" s="109" t="n"/>
      <c r="O251" s="109" t="n"/>
      <c r="P251" s="109" t="n"/>
      <c r="T251" s="109" t="n"/>
      <c r="U251" s="109" t="n"/>
      <c r="V251" s="109" t="n"/>
      <c r="Z251" s="109" t="n"/>
      <c r="AA251" s="109" t="n"/>
      <c r="AB251" s="109" t="n"/>
      <c r="AF251" s="109" t="n"/>
      <c r="AG251" s="109" t="n"/>
      <c r="AH251" s="109" t="n"/>
      <c r="AL251" s="109" t="n"/>
      <c r="AM251" s="109" t="n"/>
      <c r="AN251" s="109" t="n"/>
    </row>
    <row r="252" ht="15.75" customHeight="1" s="216">
      <c r="D252" s="109" t="n"/>
      <c r="E252" s="109" t="n"/>
      <c r="J252" s="109" t="n"/>
      <c r="K252" s="109" t="n"/>
      <c r="L252" s="109" t="n"/>
      <c r="N252" s="109" t="n"/>
      <c r="O252" s="109" t="n"/>
      <c r="P252" s="109" t="n"/>
      <c r="T252" s="109" t="n"/>
      <c r="U252" s="109" t="n"/>
      <c r="V252" s="109" t="n"/>
      <c r="Z252" s="109" t="n"/>
      <c r="AA252" s="109" t="n"/>
      <c r="AB252" s="109" t="n"/>
      <c r="AF252" s="109" t="n"/>
      <c r="AG252" s="109" t="n"/>
      <c r="AH252" s="109" t="n"/>
      <c r="AL252" s="109" t="n"/>
      <c r="AM252" s="109" t="n"/>
      <c r="AN252" s="109" t="n"/>
    </row>
    <row r="253" ht="15.75" customHeight="1" s="216">
      <c r="D253" s="109" t="n"/>
      <c r="E253" s="109" t="n"/>
      <c r="J253" s="109" t="n"/>
      <c r="K253" s="109" t="n"/>
      <c r="L253" s="109" t="n"/>
      <c r="N253" s="109" t="n"/>
      <c r="O253" s="109" t="n"/>
      <c r="P253" s="109" t="n"/>
      <c r="T253" s="109" t="n"/>
      <c r="U253" s="109" t="n"/>
      <c r="V253" s="109" t="n"/>
      <c r="Z253" s="109" t="n"/>
      <c r="AA253" s="109" t="n"/>
      <c r="AB253" s="109" t="n"/>
      <c r="AF253" s="109" t="n"/>
      <c r="AG253" s="109" t="n"/>
      <c r="AH253" s="109" t="n"/>
      <c r="AL253" s="109" t="n"/>
      <c r="AM253" s="109" t="n"/>
      <c r="AN253" s="109" t="n"/>
    </row>
    <row r="254" ht="15.75" customHeight="1" s="216">
      <c r="D254" s="109" t="n"/>
      <c r="E254" s="109" t="n"/>
      <c r="J254" s="109" t="n"/>
      <c r="K254" s="109" t="n"/>
      <c r="L254" s="109" t="n"/>
      <c r="N254" s="109" t="n"/>
      <c r="O254" s="109" t="n"/>
      <c r="P254" s="109" t="n"/>
      <c r="T254" s="109" t="n"/>
      <c r="U254" s="109" t="n"/>
      <c r="V254" s="109" t="n"/>
      <c r="Z254" s="109" t="n"/>
      <c r="AA254" s="109" t="n"/>
      <c r="AB254" s="109" t="n"/>
      <c r="AF254" s="109" t="n"/>
      <c r="AG254" s="109" t="n"/>
      <c r="AH254" s="109" t="n"/>
      <c r="AL254" s="109" t="n"/>
      <c r="AM254" s="109" t="n"/>
      <c r="AN254" s="109" t="n"/>
    </row>
    <row r="255" ht="15.75" customHeight="1" s="216">
      <c r="D255" s="109" t="n"/>
      <c r="E255" s="109" t="n"/>
      <c r="J255" s="109" t="n"/>
      <c r="K255" s="109" t="n"/>
      <c r="L255" s="109" t="n"/>
      <c r="N255" s="109" t="n"/>
      <c r="O255" s="109" t="n"/>
      <c r="P255" s="109" t="n"/>
      <c r="T255" s="109" t="n"/>
      <c r="U255" s="109" t="n"/>
      <c r="V255" s="109" t="n"/>
      <c r="Z255" s="109" t="n"/>
      <c r="AA255" s="109" t="n"/>
      <c r="AB255" s="109" t="n"/>
      <c r="AF255" s="109" t="n"/>
      <c r="AG255" s="109" t="n"/>
      <c r="AH255" s="109" t="n"/>
      <c r="AL255" s="109" t="n"/>
      <c r="AM255" s="109" t="n"/>
      <c r="AN255" s="109" t="n"/>
    </row>
    <row r="256" ht="15.75" customHeight="1" s="216">
      <c r="D256" s="109" t="n"/>
      <c r="E256" s="109" t="n"/>
      <c r="J256" s="109" t="n"/>
      <c r="K256" s="109" t="n"/>
      <c r="L256" s="109" t="n"/>
      <c r="N256" s="109" t="n"/>
      <c r="O256" s="109" t="n"/>
      <c r="P256" s="109" t="n"/>
      <c r="T256" s="109" t="n"/>
      <c r="U256" s="109" t="n"/>
      <c r="V256" s="109" t="n"/>
      <c r="Z256" s="109" t="n"/>
      <c r="AA256" s="109" t="n"/>
      <c r="AB256" s="109" t="n"/>
      <c r="AF256" s="109" t="n"/>
      <c r="AG256" s="109" t="n"/>
      <c r="AH256" s="109" t="n"/>
      <c r="AL256" s="109" t="n"/>
      <c r="AM256" s="109" t="n"/>
      <c r="AN256" s="109" t="n"/>
    </row>
    <row r="257" ht="15.75" customHeight="1" s="216">
      <c r="D257" s="109" t="n"/>
      <c r="E257" s="109" t="n"/>
      <c r="J257" s="109" t="n"/>
      <c r="K257" s="109" t="n"/>
      <c r="L257" s="109" t="n"/>
      <c r="N257" s="109" t="n"/>
      <c r="O257" s="109" t="n"/>
      <c r="P257" s="109" t="n"/>
      <c r="T257" s="109" t="n"/>
      <c r="U257" s="109" t="n"/>
      <c r="V257" s="109" t="n"/>
      <c r="Z257" s="109" t="n"/>
      <c r="AA257" s="109" t="n"/>
      <c r="AB257" s="109" t="n"/>
      <c r="AF257" s="109" t="n"/>
      <c r="AG257" s="109" t="n"/>
      <c r="AH257" s="109" t="n"/>
      <c r="AL257" s="109" t="n"/>
      <c r="AM257" s="109" t="n"/>
      <c r="AN257" s="109" t="n"/>
    </row>
    <row r="258" ht="15.75" customHeight="1" s="216">
      <c r="D258" s="109" t="n"/>
      <c r="E258" s="109" t="n"/>
      <c r="J258" s="109" t="n"/>
      <c r="K258" s="109" t="n"/>
      <c r="L258" s="109" t="n"/>
      <c r="N258" s="109" t="n"/>
      <c r="O258" s="109" t="n"/>
      <c r="P258" s="109" t="n"/>
      <c r="T258" s="109" t="n"/>
      <c r="U258" s="109" t="n"/>
      <c r="V258" s="109" t="n"/>
      <c r="Z258" s="109" t="n"/>
      <c r="AA258" s="109" t="n"/>
      <c r="AB258" s="109" t="n"/>
      <c r="AF258" s="109" t="n"/>
      <c r="AG258" s="109" t="n"/>
      <c r="AH258" s="109" t="n"/>
      <c r="AL258" s="109" t="n"/>
      <c r="AM258" s="109" t="n"/>
      <c r="AN258" s="109" t="n"/>
    </row>
    <row r="259" ht="15.75" customHeight="1" s="216">
      <c r="D259" s="109" t="n"/>
      <c r="E259" s="109" t="n"/>
      <c r="J259" s="109" t="n"/>
      <c r="K259" s="109" t="n"/>
      <c r="L259" s="109" t="n"/>
      <c r="N259" s="109" t="n"/>
      <c r="O259" s="109" t="n"/>
      <c r="P259" s="109" t="n"/>
      <c r="T259" s="109" t="n"/>
      <c r="U259" s="109" t="n"/>
      <c r="V259" s="109" t="n"/>
      <c r="Z259" s="109" t="n"/>
      <c r="AA259" s="109" t="n"/>
      <c r="AB259" s="109" t="n"/>
      <c r="AF259" s="109" t="n"/>
      <c r="AG259" s="109" t="n"/>
      <c r="AH259" s="109" t="n"/>
      <c r="AL259" s="109" t="n"/>
      <c r="AM259" s="109" t="n"/>
      <c r="AN259" s="109" t="n"/>
    </row>
    <row r="260" ht="15.75" customHeight="1" s="216">
      <c r="D260" s="109" t="n"/>
      <c r="E260" s="109" t="n"/>
      <c r="J260" s="109" t="n"/>
      <c r="K260" s="109" t="n"/>
      <c r="L260" s="109" t="n"/>
      <c r="N260" s="109" t="n"/>
      <c r="O260" s="109" t="n"/>
      <c r="P260" s="109" t="n"/>
      <c r="T260" s="109" t="n"/>
      <c r="U260" s="109" t="n"/>
      <c r="V260" s="109" t="n"/>
      <c r="Z260" s="109" t="n"/>
      <c r="AA260" s="109" t="n"/>
      <c r="AB260" s="109" t="n"/>
      <c r="AF260" s="109" t="n"/>
      <c r="AG260" s="109" t="n"/>
      <c r="AH260" s="109" t="n"/>
      <c r="AL260" s="109" t="n"/>
      <c r="AM260" s="109" t="n"/>
      <c r="AN260" s="109" t="n"/>
    </row>
    <row r="261" ht="15.75" customHeight="1" s="216">
      <c r="D261" s="109" t="n"/>
      <c r="E261" s="109" t="n"/>
      <c r="J261" s="109" t="n"/>
      <c r="K261" s="109" t="n"/>
      <c r="L261" s="109" t="n"/>
      <c r="N261" s="109" t="n"/>
      <c r="O261" s="109" t="n"/>
      <c r="P261" s="109" t="n"/>
      <c r="T261" s="109" t="n"/>
      <c r="U261" s="109" t="n"/>
      <c r="V261" s="109" t="n"/>
      <c r="Z261" s="109" t="n"/>
      <c r="AA261" s="109" t="n"/>
      <c r="AB261" s="109" t="n"/>
      <c r="AF261" s="109" t="n"/>
      <c r="AG261" s="109" t="n"/>
      <c r="AH261" s="109" t="n"/>
      <c r="AL261" s="109" t="n"/>
      <c r="AM261" s="109" t="n"/>
      <c r="AN261" s="109" t="n"/>
    </row>
    <row r="262" ht="15.75" customHeight="1" s="216">
      <c r="D262" s="109" t="n"/>
      <c r="E262" s="109" t="n"/>
      <c r="J262" s="109" t="n"/>
      <c r="K262" s="109" t="n"/>
      <c r="L262" s="109" t="n"/>
      <c r="N262" s="109" t="n"/>
      <c r="O262" s="109" t="n"/>
      <c r="P262" s="109" t="n"/>
      <c r="T262" s="109" t="n"/>
      <c r="U262" s="109" t="n"/>
      <c r="V262" s="109" t="n"/>
      <c r="Z262" s="109" t="n"/>
      <c r="AA262" s="109" t="n"/>
      <c r="AB262" s="109" t="n"/>
      <c r="AF262" s="109" t="n"/>
      <c r="AG262" s="109" t="n"/>
      <c r="AH262" s="109" t="n"/>
      <c r="AL262" s="109" t="n"/>
      <c r="AM262" s="109" t="n"/>
      <c r="AN262" s="109" t="n"/>
    </row>
    <row r="263" ht="15.75" customHeight="1" s="216">
      <c r="D263" s="109" t="n"/>
      <c r="E263" s="109" t="n"/>
      <c r="J263" s="109" t="n"/>
      <c r="K263" s="109" t="n"/>
      <c r="L263" s="109" t="n"/>
      <c r="N263" s="109" t="n"/>
      <c r="O263" s="109" t="n"/>
      <c r="P263" s="109" t="n"/>
      <c r="T263" s="109" t="n"/>
      <c r="U263" s="109" t="n"/>
      <c r="V263" s="109" t="n"/>
      <c r="Z263" s="109" t="n"/>
      <c r="AA263" s="109" t="n"/>
      <c r="AB263" s="109" t="n"/>
      <c r="AF263" s="109" t="n"/>
      <c r="AG263" s="109" t="n"/>
      <c r="AH263" s="109" t="n"/>
      <c r="AL263" s="109" t="n"/>
      <c r="AM263" s="109" t="n"/>
      <c r="AN263" s="109" t="n"/>
    </row>
    <row r="264" ht="15.75" customHeight="1" s="216">
      <c r="D264" s="109" t="n"/>
      <c r="E264" s="109" t="n"/>
      <c r="J264" s="109" t="n"/>
      <c r="K264" s="109" t="n"/>
      <c r="L264" s="109" t="n"/>
      <c r="N264" s="109" t="n"/>
      <c r="O264" s="109" t="n"/>
      <c r="P264" s="109" t="n"/>
      <c r="T264" s="109" t="n"/>
      <c r="U264" s="109" t="n"/>
      <c r="V264" s="109" t="n"/>
      <c r="Z264" s="109" t="n"/>
      <c r="AA264" s="109" t="n"/>
      <c r="AB264" s="109" t="n"/>
      <c r="AF264" s="109" t="n"/>
      <c r="AG264" s="109" t="n"/>
      <c r="AH264" s="109" t="n"/>
      <c r="AL264" s="109" t="n"/>
      <c r="AM264" s="109" t="n"/>
      <c r="AN264" s="109" t="n"/>
    </row>
    <row r="265" ht="15.75" customHeight="1" s="216">
      <c r="D265" s="109" t="n"/>
      <c r="E265" s="109" t="n"/>
      <c r="J265" s="109" t="n"/>
      <c r="K265" s="109" t="n"/>
      <c r="L265" s="109" t="n"/>
      <c r="N265" s="109" t="n"/>
      <c r="O265" s="109" t="n"/>
      <c r="P265" s="109" t="n"/>
      <c r="T265" s="109" t="n"/>
      <c r="U265" s="109" t="n"/>
      <c r="V265" s="109" t="n"/>
      <c r="Z265" s="109" t="n"/>
      <c r="AA265" s="109" t="n"/>
      <c r="AB265" s="109" t="n"/>
      <c r="AF265" s="109" t="n"/>
      <c r="AG265" s="109" t="n"/>
      <c r="AH265" s="109" t="n"/>
      <c r="AL265" s="109" t="n"/>
      <c r="AM265" s="109" t="n"/>
      <c r="AN265" s="109" t="n"/>
    </row>
    <row r="266" ht="15.75" customHeight="1" s="216">
      <c r="D266" s="109" t="n"/>
      <c r="E266" s="109" t="n"/>
      <c r="J266" s="109" t="n"/>
      <c r="K266" s="109" t="n"/>
      <c r="L266" s="109" t="n"/>
      <c r="N266" s="109" t="n"/>
      <c r="O266" s="109" t="n"/>
      <c r="P266" s="109" t="n"/>
      <c r="T266" s="109" t="n"/>
      <c r="U266" s="109" t="n"/>
      <c r="V266" s="109" t="n"/>
      <c r="Z266" s="109" t="n"/>
      <c r="AA266" s="109" t="n"/>
      <c r="AB266" s="109" t="n"/>
      <c r="AF266" s="109" t="n"/>
      <c r="AG266" s="109" t="n"/>
      <c r="AH266" s="109" t="n"/>
      <c r="AL266" s="109" t="n"/>
      <c r="AM266" s="109" t="n"/>
      <c r="AN266" s="109" t="n"/>
    </row>
    <row r="267" ht="15.75" customHeight="1" s="216">
      <c r="D267" s="109" t="n"/>
      <c r="E267" s="109" t="n"/>
      <c r="J267" s="109" t="n"/>
      <c r="K267" s="109" t="n"/>
      <c r="L267" s="109" t="n"/>
      <c r="N267" s="109" t="n"/>
      <c r="O267" s="109" t="n"/>
      <c r="P267" s="109" t="n"/>
      <c r="T267" s="109" t="n"/>
      <c r="U267" s="109" t="n"/>
      <c r="V267" s="109" t="n"/>
      <c r="Z267" s="109" t="n"/>
      <c r="AA267" s="109" t="n"/>
      <c r="AB267" s="109" t="n"/>
      <c r="AF267" s="109" t="n"/>
      <c r="AG267" s="109" t="n"/>
      <c r="AH267" s="109" t="n"/>
      <c r="AL267" s="109" t="n"/>
      <c r="AM267" s="109" t="n"/>
      <c r="AN267" s="109" t="n"/>
    </row>
    <row r="268" ht="15.75" customHeight="1" s="216">
      <c r="D268" s="109" t="n"/>
      <c r="E268" s="109" t="n"/>
      <c r="J268" s="109" t="n"/>
      <c r="K268" s="109" t="n"/>
      <c r="L268" s="109" t="n"/>
      <c r="N268" s="109" t="n"/>
      <c r="O268" s="109" t="n"/>
      <c r="P268" s="109" t="n"/>
      <c r="T268" s="109" t="n"/>
      <c r="U268" s="109" t="n"/>
      <c r="V268" s="109" t="n"/>
      <c r="Z268" s="109" t="n"/>
      <c r="AA268" s="109" t="n"/>
      <c r="AB268" s="109" t="n"/>
      <c r="AF268" s="109" t="n"/>
      <c r="AG268" s="109" t="n"/>
      <c r="AH268" s="109" t="n"/>
      <c r="AL268" s="109" t="n"/>
      <c r="AM268" s="109" t="n"/>
      <c r="AN268" s="109" t="n"/>
    </row>
    <row r="269" ht="15.75" customHeight="1" s="216">
      <c r="D269" s="109" t="n"/>
      <c r="E269" s="109" t="n"/>
      <c r="J269" s="109" t="n"/>
      <c r="K269" s="109" t="n"/>
      <c r="L269" s="109" t="n"/>
      <c r="N269" s="109" t="n"/>
      <c r="O269" s="109" t="n"/>
      <c r="P269" s="109" t="n"/>
      <c r="T269" s="109" t="n"/>
      <c r="U269" s="109" t="n"/>
      <c r="V269" s="109" t="n"/>
      <c r="Z269" s="109" t="n"/>
      <c r="AA269" s="109" t="n"/>
      <c r="AB269" s="109" t="n"/>
      <c r="AF269" s="109" t="n"/>
      <c r="AG269" s="109" t="n"/>
      <c r="AH269" s="109" t="n"/>
      <c r="AL269" s="109" t="n"/>
      <c r="AM269" s="109" t="n"/>
      <c r="AN269" s="109" t="n"/>
    </row>
    <row r="270" ht="15.75" customHeight="1" s="216">
      <c r="D270" s="109" t="n"/>
      <c r="E270" s="109" t="n"/>
      <c r="J270" s="109" t="n"/>
      <c r="K270" s="109" t="n"/>
      <c r="L270" s="109" t="n"/>
      <c r="N270" s="109" t="n"/>
      <c r="O270" s="109" t="n"/>
      <c r="P270" s="109" t="n"/>
      <c r="T270" s="109" t="n"/>
      <c r="U270" s="109" t="n"/>
      <c r="V270" s="109" t="n"/>
      <c r="Z270" s="109" t="n"/>
      <c r="AA270" s="109" t="n"/>
      <c r="AB270" s="109" t="n"/>
      <c r="AF270" s="109" t="n"/>
      <c r="AG270" s="109" t="n"/>
      <c r="AH270" s="109" t="n"/>
      <c r="AL270" s="109" t="n"/>
      <c r="AM270" s="109" t="n"/>
      <c r="AN270" s="109" t="n"/>
    </row>
    <row r="271" ht="15.75" customHeight="1" s="216">
      <c r="D271" s="109" t="n"/>
      <c r="E271" s="109" t="n"/>
      <c r="J271" s="109" t="n"/>
      <c r="K271" s="109" t="n"/>
      <c r="L271" s="109" t="n"/>
      <c r="N271" s="109" t="n"/>
      <c r="O271" s="109" t="n"/>
      <c r="P271" s="109" t="n"/>
      <c r="T271" s="109" t="n"/>
      <c r="U271" s="109" t="n"/>
      <c r="V271" s="109" t="n"/>
      <c r="Z271" s="109" t="n"/>
      <c r="AA271" s="109" t="n"/>
      <c r="AB271" s="109" t="n"/>
      <c r="AF271" s="109" t="n"/>
      <c r="AG271" s="109" t="n"/>
      <c r="AH271" s="109" t="n"/>
      <c r="AL271" s="109" t="n"/>
      <c r="AM271" s="109" t="n"/>
      <c r="AN271" s="109" t="n"/>
    </row>
    <row r="272" ht="15.75" customHeight="1" s="216">
      <c r="D272" s="109" t="n"/>
      <c r="E272" s="109" t="n"/>
      <c r="J272" s="109" t="n"/>
      <c r="K272" s="109" t="n"/>
      <c r="L272" s="109" t="n"/>
      <c r="N272" s="109" t="n"/>
      <c r="O272" s="109" t="n"/>
      <c r="P272" s="109" t="n"/>
      <c r="T272" s="109" t="n"/>
      <c r="U272" s="109" t="n"/>
      <c r="V272" s="109" t="n"/>
      <c r="Z272" s="109" t="n"/>
      <c r="AA272" s="109" t="n"/>
      <c r="AB272" s="109" t="n"/>
      <c r="AF272" s="109" t="n"/>
      <c r="AG272" s="109" t="n"/>
      <c r="AH272" s="109" t="n"/>
      <c r="AL272" s="109" t="n"/>
      <c r="AM272" s="109" t="n"/>
      <c r="AN272" s="109" t="n"/>
    </row>
    <row r="273" ht="15.75" customHeight="1" s="216">
      <c r="D273" s="109" t="n"/>
      <c r="E273" s="109" t="n"/>
      <c r="J273" s="109" t="n"/>
      <c r="K273" s="109" t="n"/>
      <c r="L273" s="109" t="n"/>
      <c r="N273" s="109" t="n"/>
      <c r="O273" s="109" t="n"/>
      <c r="P273" s="109" t="n"/>
      <c r="T273" s="109" t="n"/>
      <c r="U273" s="109" t="n"/>
      <c r="V273" s="109" t="n"/>
      <c r="Z273" s="109" t="n"/>
      <c r="AA273" s="109" t="n"/>
      <c r="AB273" s="109" t="n"/>
      <c r="AF273" s="109" t="n"/>
      <c r="AG273" s="109" t="n"/>
      <c r="AH273" s="109" t="n"/>
      <c r="AL273" s="109" t="n"/>
      <c r="AM273" s="109" t="n"/>
      <c r="AN273" s="109" t="n"/>
    </row>
    <row r="274" ht="15.75" customHeight="1" s="216">
      <c r="D274" s="109" t="n"/>
      <c r="E274" s="109" t="n"/>
      <c r="J274" s="109" t="n"/>
      <c r="K274" s="109" t="n"/>
      <c r="L274" s="109" t="n"/>
      <c r="N274" s="109" t="n"/>
      <c r="O274" s="109" t="n"/>
      <c r="P274" s="109" t="n"/>
      <c r="T274" s="109" t="n"/>
      <c r="U274" s="109" t="n"/>
      <c r="V274" s="109" t="n"/>
      <c r="Z274" s="109" t="n"/>
      <c r="AA274" s="109" t="n"/>
      <c r="AB274" s="109" t="n"/>
      <c r="AF274" s="109" t="n"/>
      <c r="AG274" s="109" t="n"/>
      <c r="AH274" s="109" t="n"/>
      <c r="AL274" s="109" t="n"/>
      <c r="AM274" s="109" t="n"/>
      <c r="AN274" s="109" t="n"/>
    </row>
    <row r="275" ht="15.75" customHeight="1" s="216">
      <c r="D275" s="109" t="n"/>
      <c r="E275" s="109" t="n"/>
      <c r="J275" s="109" t="n"/>
      <c r="K275" s="109" t="n"/>
      <c r="L275" s="109" t="n"/>
      <c r="N275" s="109" t="n"/>
      <c r="O275" s="109" t="n"/>
      <c r="P275" s="109" t="n"/>
      <c r="T275" s="109" t="n"/>
      <c r="U275" s="109" t="n"/>
      <c r="V275" s="109" t="n"/>
      <c r="Z275" s="109" t="n"/>
      <c r="AA275" s="109" t="n"/>
      <c r="AB275" s="109" t="n"/>
      <c r="AF275" s="109" t="n"/>
      <c r="AG275" s="109" t="n"/>
      <c r="AH275" s="109" t="n"/>
      <c r="AL275" s="109" t="n"/>
      <c r="AM275" s="109" t="n"/>
      <c r="AN275" s="109" t="n"/>
    </row>
    <row r="276" ht="15.75" customHeight="1" s="216">
      <c r="D276" s="109" t="n"/>
      <c r="E276" s="109" t="n"/>
      <c r="J276" s="109" t="n"/>
      <c r="K276" s="109" t="n"/>
      <c r="L276" s="109" t="n"/>
      <c r="N276" s="109" t="n"/>
      <c r="O276" s="109" t="n"/>
      <c r="P276" s="109" t="n"/>
      <c r="T276" s="109" t="n"/>
      <c r="U276" s="109" t="n"/>
      <c r="V276" s="109" t="n"/>
      <c r="Z276" s="109" t="n"/>
      <c r="AA276" s="109" t="n"/>
      <c r="AB276" s="109" t="n"/>
      <c r="AF276" s="109" t="n"/>
      <c r="AG276" s="109" t="n"/>
      <c r="AH276" s="109" t="n"/>
      <c r="AL276" s="109" t="n"/>
      <c r="AM276" s="109" t="n"/>
      <c r="AN276" s="109" t="n"/>
    </row>
    <row r="277" ht="15.75" customHeight="1" s="216">
      <c r="D277" s="109" t="n"/>
      <c r="E277" s="109" t="n"/>
      <c r="J277" s="109" t="n"/>
      <c r="K277" s="109" t="n"/>
      <c r="L277" s="109" t="n"/>
      <c r="N277" s="109" t="n"/>
      <c r="O277" s="109" t="n"/>
      <c r="P277" s="109" t="n"/>
      <c r="T277" s="109" t="n"/>
      <c r="U277" s="109" t="n"/>
      <c r="V277" s="109" t="n"/>
      <c r="Z277" s="109" t="n"/>
      <c r="AA277" s="109" t="n"/>
      <c r="AB277" s="109" t="n"/>
      <c r="AF277" s="109" t="n"/>
      <c r="AG277" s="109" t="n"/>
      <c r="AH277" s="109" t="n"/>
      <c r="AL277" s="109" t="n"/>
      <c r="AM277" s="109" t="n"/>
      <c r="AN277" s="109" t="n"/>
    </row>
    <row r="278" ht="15.75" customHeight="1" s="216">
      <c r="D278" s="109" t="n"/>
      <c r="E278" s="109" t="n"/>
      <c r="J278" s="109" t="n"/>
      <c r="K278" s="109" t="n"/>
      <c r="L278" s="109" t="n"/>
      <c r="N278" s="109" t="n"/>
      <c r="O278" s="109" t="n"/>
      <c r="P278" s="109" t="n"/>
      <c r="T278" s="109" t="n"/>
      <c r="U278" s="109" t="n"/>
      <c r="V278" s="109" t="n"/>
      <c r="Z278" s="109" t="n"/>
      <c r="AA278" s="109" t="n"/>
      <c r="AB278" s="109" t="n"/>
      <c r="AF278" s="109" t="n"/>
      <c r="AG278" s="109" t="n"/>
      <c r="AH278" s="109" t="n"/>
      <c r="AL278" s="109" t="n"/>
      <c r="AM278" s="109" t="n"/>
      <c r="AN278" s="109" t="n"/>
    </row>
    <row r="279" ht="15.75" customHeight="1" s="216">
      <c r="D279" s="109" t="n"/>
      <c r="E279" s="109" t="n"/>
      <c r="J279" s="109" t="n"/>
      <c r="K279" s="109" t="n"/>
      <c r="L279" s="109" t="n"/>
      <c r="N279" s="109" t="n"/>
      <c r="O279" s="109" t="n"/>
      <c r="P279" s="109" t="n"/>
      <c r="T279" s="109" t="n"/>
      <c r="U279" s="109" t="n"/>
      <c r="V279" s="109" t="n"/>
      <c r="Z279" s="109" t="n"/>
      <c r="AA279" s="109" t="n"/>
      <c r="AB279" s="109" t="n"/>
      <c r="AF279" s="109" t="n"/>
      <c r="AG279" s="109" t="n"/>
      <c r="AH279" s="109" t="n"/>
      <c r="AL279" s="109" t="n"/>
      <c r="AM279" s="109" t="n"/>
      <c r="AN279" s="109" t="n"/>
    </row>
    <row r="280" ht="15.75" customHeight="1" s="216">
      <c r="D280" s="109" t="n"/>
      <c r="E280" s="109" t="n"/>
      <c r="J280" s="109" t="n"/>
      <c r="K280" s="109" t="n"/>
      <c r="L280" s="109" t="n"/>
      <c r="N280" s="109" t="n"/>
      <c r="O280" s="109" t="n"/>
      <c r="P280" s="109" t="n"/>
      <c r="T280" s="109" t="n"/>
      <c r="U280" s="109" t="n"/>
      <c r="V280" s="109" t="n"/>
      <c r="Z280" s="109" t="n"/>
      <c r="AA280" s="109" t="n"/>
      <c r="AB280" s="109" t="n"/>
      <c r="AF280" s="109" t="n"/>
      <c r="AG280" s="109" t="n"/>
      <c r="AH280" s="109" t="n"/>
      <c r="AL280" s="109" t="n"/>
      <c r="AM280" s="109" t="n"/>
      <c r="AN280" s="109" t="n"/>
    </row>
    <row r="281" ht="15.75" customHeight="1" s="216">
      <c r="D281" s="109" t="n"/>
      <c r="E281" s="109" t="n"/>
      <c r="J281" s="109" t="n"/>
      <c r="K281" s="109" t="n"/>
      <c r="L281" s="109" t="n"/>
      <c r="N281" s="109" t="n"/>
      <c r="O281" s="109" t="n"/>
      <c r="P281" s="109" t="n"/>
      <c r="T281" s="109" t="n"/>
      <c r="U281" s="109" t="n"/>
      <c r="V281" s="109" t="n"/>
      <c r="Z281" s="109" t="n"/>
      <c r="AA281" s="109" t="n"/>
      <c r="AB281" s="109" t="n"/>
      <c r="AF281" s="109" t="n"/>
      <c r="AG281" s="109" t="n"/>
      <c r="AH281" s="109" t="n"/>
      <c r="AL281" s="109" t="n"/>
      <c r="AM281" s="109" t="n"/>
      <c r="AN281" s="109" t="n"/>
    </row>
    <row r="282" ht="15.75" customHeight="1" s="216">
      <c r="D282" s="109" t="n"/>
      <c r="E282" s="109" t="n"/>
      <c r="J282" s="109" t="n"/>
      <c r="K282" s="109" t="n"/>
      <c r="L282" s="109" t="n"/>
      <c r="N282" s="109" t="n"/>
      <c r="O282" s="109" t="n"/>
      <c r="P282" s="109" t="n"/>
      <c r="T282" s="109" t="n"/>
      <c r="U282" s="109" t="n"/>
      <c r="V282" s="109" t="n"/>
      <c r="Z282" s="109" t="n"/>
      <c r="AA282" s="109" t="n"/>
      <c r="AB282" s="109" t="n"/>
      <c r="AF282" s="109" t="n"/>
      <c r="AG282" s="109" t="n"/>
      <c r="AH282" s="109" t="n"/>
      <c r="AL282" s="109" t="n"/>
      <c r="AM282" s="109" t="n"/>
      <c r="AN282" s="109" t="n"/>
    </row>
    <row r="283" ht="15.75" customHeight="1" s="216">
      <c r="D283" s="109" t="n"/>
      <c r="E283" s="109" t="n"/>
      <c r="J283" s="109" t="n"/>
      <c r="K283" s="109" t="n"/>
      <c r="L283" s="109" t="n"/>
      <c r="N283" s="109" t="n"/>
      <c r="O283" s="109" t="n"/>
      <c r="P283" s="109" t="n"/>
      <c r="T283" s="109" t="n"/>
      <c r="U283" s="109" t="n"/>
      <c r="V283" s="109" t="n"/>
      <c r="Z283" s="109" t="n"/>
      <c r="AA283" s="109" t="n"/>
      <c r="AB283" s="109" t="n"/>
      <c r="AF283" s="109" t="n"/>
      <c r="AG283" s="109" t="n"/>
      <c r="AH283" s="109" t="n"/>
      <c r="AL283" s="109" t="n"/>
      <c r="AM283" s="109" t="n"/>
      <c r="AN283" s="109" t="n"/>
    </row>
    <row r="284" ht="15.75" customHeight="1" s="216">
      <c r="D284" s="109" t="n"/>
      <c r="E284" s="109" t="n"/>
      <c r="J284" s="109" t="n"/>
      <c r="K284" s="109" t="n"/>
      <c r="L284" s="109" t="n"/>
      <c r="N284" s="109" t="n"/>
      <c r="O284" s="109" t="n"/>
      <c r="P284" s="109" t="n"/>
      <c r="T284" s="109" t="n"/>
      <c r="U284" s="109" t="n"/>
      <c r="V284" s="109" t="n"/>
      <c r="Z284" s="109" t="n"/>
      <c r="AA284" s="109" t="n"/>
      <c r="AB284" s="109" t="n"/>
      <c r="AF284" s="109" t="n"/>
      <c r="AG284" s="109" t="n"/>
      <c r="AH284" s="109" t="n"/>
      <c r="AL284" s="109" t="n"/>
      <c r="AM284" s="109" t="n"/>
      <c r="AN284" s="109" t="n"/>
    </row>
    <row r="285" ht="15.75" customHeight="1" s="216">
      <c r="D285" s="109" t="n"/>
      <c r="E285" s="109" t="n"/>
      <c r="J285" s="109" t="n"/>
      <c r="K285" s="109" t="n"/>
      <c r="L285" s="109" t="n"/>
      <c r="N285" s="109" t="n"/>
      <c r="O285" s="109" t="n"/>
      <c r="P285" s="109" t="n"/>
      <c r="T285" s="109" t="n"/>
      <c r="U285" s="109" t="n"/>
      <c r="V285" s="109" t="n"/>
      <c r="Z285" s="109" t="n"/>
      <c r="AA285" s="109" t="n"/>
      <c r="AB285" s="109" t="n"/>
      <c r="AF285" s="109" t="n"/>
      <c r="AG285" s="109" t="n"/>
      <c r="AH285" s="109" t="n"/>
      <c r="AL285" s="109" t="n"/>
      <c r="AM285" s="109" t="n"/>
      <c r="AN285" s="109" t="n"/>
    </row>
    <row r="286" ht="15.75" customHeight="1" s="216">
      <c r="D286" s="109" t="n"/>
      <c r="E286" s="109" t="n"/>
      <c r="J286" s="109" t="n"/>
      <c r="K286" s="109" t="n"/>
      <c r="L286" s="109" t="n"/>
      <c r="N286" s="109" t="n"/>
      <c r="O286" s="109" t="n"/>
      <c r="P286" s="109" t="n"/>
      <c r="T286" s="109" t="n"/>
      <c r="U286" s="109" t="n"/>
      <c r="V286" s="109" t="n"/>
      <c r="Z286" s="109" t="n"/>
      <c r="AA286" s="109" t="n"/>
      <c r="AB286" s="109" t="n"/>
      <c r="AF286" s="109" t="n"/>
      <c r="AG286" s="109" t="n"/>
      <c r="AH286" s="109" t="n"/>
      <c r="AL286" s="109" t="n"/>
      <c r="AM286" s="109" t="n"/>
      <c r="AN286" s="109" t="n"/>
    </row>
    <row r="287" ht="15.75" customHeight="1" s="216">
      <c r="D287" s="109" t="n"/>
      <c r="E287" s="109" t="n"/>
      <c r="J287" s="109" t="n"/>
      <c r="K287" s="109" t="n"/>
      <c r="L287" s="109" t="n"/>
      <c r="N287" s="109" t="n"/>
      <c r="O287" s="109" t="n"/>
      <c r="P287" s="109" t="n"/>
      <c r="T287" s="109" t="n"/>
      <c r="U287" s="109" t="n"/>
      <c r="V287" s="109" t="n"/>
      <c r="Z287" s="109" t="n"/>
      <c r="AA287" s="109" t="n"/>
      <c r="AB287" s="109" t="n"/>
      <c r="AF287" s="109" t="n"/>
      <c r="AG287" s="109" t="n"/>
      <c r="AH287" s="109" t="n"/>
      <c r="AL287" s="109" t="n"/>
      <c r="AM287" s="109" t="n"/>
      <c r="AN287" s="109" t="n"/>
    </row>
    <row r="288" ht="15.75" customHeight="1" s="216">
      <c r="D288" s="109" t="n"/>
      <c r="E288" s="109" t="n"/>
      <c r="J288" s="109" t="n"/>
      <c r="K288" s="109" t="n"/>
      <c r="L288" s="109" t="n"/>
      <c r="N288" s="109" t="n"/>
      <c r="O288" s="109" t="n"/>
      <c r="P288" s="109" t="n"/>
      <c r="T288" s="109" t="n"/>
      <c r="U288" s="109" t="n"/>
      <c r="V288" s="109" t="n"/>
      <c r="Z288" s="109" t="n"/>
      <c r="AA288" s="109" t="n"/>
      <c r="AB288" s="109" t="n"/>
      <c r="AF288" s="109" t="n"/>
      <c r="AG288" s="109" t="n"/>
      <c r="AH288" s="109" t="n"/>
      <c r="AL288" s="109" t="n"/>
      <c r="AM288" s="109" t="n"/>
      <c r="AN288" s="109" t="n"/>
    </row>
    <row r="289" ht="15.75" customHeight="1" s="216">
      <c r="D289" s="109" t="n"/>
      <c r="E289" s="109" t="n"/>
      <c r="J289" s="109" t="n"/>
      <c r="K289" s="109" t="n"/>
      <c r="L289" s="109" t="n"/>
      <c r="N289" s="109" t="n"/>
      <c r="O289" s="109" t="n"/>
      <c r="P289" s="109" t="n"/>
      <c r="T289" s="109" t="n"/>
      <c r="U289" s="109" t="n"/>
      <c r="V289" s="109" t="n"/>
      <c r="Z289" s="109" t="n"/>
      <c r="AA289" s="109" t="n"/>
      <c r="AB289" s="109" t="n"/>
      <c r="AF289" s="109" t="n"/>
      <c r="AG289" s="109" t="n"/>
      <c r="AH289" s="109" t="n"/>
      <c r="AL289" s="109" t="n"/>
      <c r="AM289" s="109" t="n"/>
      <c r="AN289" s="109" t="n"/>
    </row>
    <row r="290" ht="15.75" customHeight="1" s="216">
      <c r="D290" s="109" t="n"/>
      <c r="E290" s="109" t="n"/>
      <c r="J290" s="109" t="n"/>
      <c r="K290" s="109" t="n"/>
      <c r="L290" s="109" t="n"/>
      <c r="N290" s="109" t="n"/>
      <c r="O290" s="109" t="n"/>
      <c r="P290" s="109" t="n"/>
      <c r="T290" s="109" t="n"/>
      <c r="U290" s="109" t="n"/>
      <c r="V290" s="109" t="n"/>
      <c r="Z290" s="109" t="n"/>
      <c r="AA290" s="109" t="n"/>
      <c r="AB290" s="109" t="n"/>
      <c r="AF290" s="109" t="n"/>
      <c r="AG290" s="109" t="n"/>
      <c r="AH290" s="109" t="n"/>
      <c r="AL290" s="109" t="n"/>
      <c r="AM290" s="109" t="n"/>
      <c r="AN290" s="109" t="n"/>
    </row>
    <row r="291" ht="15.75" customHeight="1" s="216">
      <c r="D291" s="109" t="n"/>
      <c r="E291" s="109" t="n"/>
      <c r="J291" s="109" t="n"/>
      <c r="K291" s="109" t="n"/>
      <c r="L291" s="109" t="n"/>
      <c r="N291" s="109" t="n"/>
      <c r="O291" s="109" t="n"/>
      <c r="P291" s="109" t="n"/>
      <c r="T291" s="109" t="n"/>
      <c r="U291" s="109" t="n"/>
      <c r="V291" s="109" t="n"/>
      <c r="Z291" s="109" t="n"/>
      <c r="AA291" s="109" t="n"/>
      <c r="AB291" s="109" t="n"/>
      <c r="AF291" s="109" t="n"/>
      <c r="AG291" s="109" t="n"/>
      <c r="AH291" s="109" t="n"/>
      <c r="AL291" s="109" t="n"/>
      <c r="AM291" s="109" t="n"/>
      <c r="AN291" s="109" t="n"/>
    </row>
    <row r="292" ht="15.75" customHeight="1" s="216">
      <c r="D292" s="109" t="n"/>
      <c r="E292" s="109" t="n"/>
      <c r="J292" s="109" t="n"/>
      <c r="K292" s="109" t="n"/>
      <c r="L292" s="109" t="n"/>
      <c r="N292" s="109" t="n"/>
      <c r="O292" s="109" t="n"/>
      <c r="P292" s="109" t="n"/>
      <c r="T292" s="109" t="n"/>
      <c r="U292" s="109" t="n"/>
      <c r="V292" s="109" t="n"/>
      <c r="Z292" s="109" t="n"/>
      <c r="AA292" s="109" t="n"/>
      <c r="AB292" s="109" t="n"/>
      <c r="AF292" s="109" t="n"/>
      <c r="AG292" s="109" t="n"/>
      <c r="AH292" s="109" t="n"/>
      <c r="AL292" s="109" t="n"/>
      <c r="AM292" s="109" t="n"/>
      <c r="AN292" s="109" t="n"/>
    </row>
    <row r="293" ht="15.75" customHeight="1" s="216">
      <c r="D293" s="109" t="n"/>
      <c r="E293" s="109" t="n"/>
      <c r="J293" s="109" t="n"/>
      <c r="K293" s="109" t="n"/>
      <c r="L293" s="109" t="n"/>
      <c r="N293" s="109" t="n"/>
      <c r="O293" s="109" t="n"/>
      <c r="P293" s="109" t="n"/>
      <c r="T293" s="109" t="n"/>
      <c r="U293" s="109" t="n"/>
      <c r="V293" s="109" t="n"/>
      <c r="Z293" s="109" t="n"/>
      <c r="AA293" s="109" t="n"/>
      <c r="AB293" s="109" t="n"/>
      <c r="AF293" s="109" t="n"/>
      <c r="AG293" s="109" t="n"/>
      <c r="AH293" s="109" t="n"/>
      <c r="AL293" s="109" t="n"/>
      <c r="AM293" s="109" t="n"/>
      <c r="AN293" s="109" t="n"/>
    </row>
    <row r="294" ht="15.75" customHeight="1" s="216">
      <c r="D294" s="109" t="n"/>
      <c r="E294" s="109" t="n"/>
      <c r="J294" s="109" t="n"/>
      <c r="K294" s="109" t="n"/>
      <c r="L294" s="109" t="n"/>
      <c r="N294" s="109" t="n"/>
      <c r="O294" s="109" t="n"/>
      <c r="P294" s="109" t="n"/>
      <c r="T294" s="109" t="n"/>
      <c r="U294" s="109" t="n"/>
      <c r="V294" s="109" t="n"/>
      <c r="Z294" s="109" t="n"/>
      <c r="AA294" s="109" t="n"/>
      <c r="AB294" s="109" t="n"/>
      <c r="AF294" s="109" t="n"/>
      <c r="AG294" s="109" t="n"/>
      <c r="AH294" s="109" t="n"/>
      <c r="AL294" s="109" t="n"/>
      <c r="AM294" s="109" t="n"/>
      <c r="AN294" s="109" t="n"/>
    </row>
    <row r="295" ht="15.75" customHeight="1" s="216">
      <c r="D295" s="109" t="n"/>
      <c r="E295" s="109" t="n"/>
      <c r="J295" s="109" t="n"/>
      <c r="K295" s="109" t="n"/>
      <c r="L295" s="109" t="n"/>
      <c r="N295" s="109" t="n"/>
      <c r="O295" s="109" t="n"/>
      <c r="P295" s="109" t="n"/>
      <c r="T295" s="109" t="n"/>
      <c r="U295" s="109" t="n"/>
      <c r="V295" s="109" t="n"/>
      <c r="Z295" s="109" t="n"/>
      <c r="AA295" s="109" t="n"/>
      <c r="AB295" s="109" t="n"/>
      <c r="AF295" s="109" t="n"/>
      <c r="AG295" s="109" t="n"/>
      <c r="AH295" s="109" t="n"/>
      <c r="AL295" s="109" t="n"/>
      <c r="AM295" s="109" t="n"/>
      <c r="AN295" s="109" t="n"/>
    </row>
    <row r="296" ht="15.75" customHeight="1" s="216">
      <c r="D296" s="109" t="n"/>
      <c r="E296" s="109" t="n"/>
      <c r="J296" s="109" t="n"/>
      <c r="K296" s="109" t="n"/>
      <c r="L296" s="109" t="n"/>
      <c r="N296" s="109" t="n"/>
      <c r="O296" s="109" t="n"/>
      <c r="P296" s="109" t="n"/>
      <c r="T296" s="109" t="n"/>
      <c r="U296" s="109" t="n"/>
      <c r="V296" s="109" t="n"/>
      <c r="Z296" s="109" t="n"/>
      <c r="AA296" s="109" t="n"/>
      <c r="AB296" s="109" t="n"/>
      <c r="AF296" s="109" t="n"/>
      <c r="AG296" s="109" t="n"/>
      <c r="AH296" s="109" t="n"/>
      <c r="AL296" s="109" t="n"/>
      <c r="AM296" s="109" t="n"/>
      <c r="AN296" s="109" t="n"/>
    </row>
    <row r="297" ht="15.75" customHeight="1" s="216">
      <c r="D297" s="109" t="n"/>
      <c r="E297" s="109" t="n"/>
      <c r="J297" s="109" t="n"/>
      <c r="K297" s="109" t="n"/>
      <c r="L297" s="109" t="n"/>
      <c r="N297" s="109" t="n"/>
      <c r="O297" s="109" t="n"/>
      <c r="P297" s="109" t="n"/>
      <c r="T297" s="109" t="n"/>
      <c r="U297" s="109" t="n"/>
      <c r="V297" s="109" t="n"/>
      <c r="Z297" s="109" t="n"/>
      <c r="AA297" s="109" t="n"/>
      <c r="AB297" s="109" t="n"/>
      <c r="AF297" s="109" t="n"/>
      <c r="AG297" s="109" t="n"/>
      <c r="AH297" s="109" t="n"/>
      <c r="AL297" s="109" t="n"/>
      <c r="AM297" s="109" t="n"/>
      <c r="AN297" s="109" t="n"/>
    </row>
    <row r="298" ht="15.75" customHeight="1" s="216">
      <c r="D298" s="109" t="n"/>
      <c r="E298" s="109" t="n"/>
      <c r="J298" s="109" t="n"/>
      <c r="K298" s="109" t="n"/>
      <c r="L298" s="109" t="n"/>
      <c r="N298" s="109" t="n"/>
      <c r="O298" s="109" t="n"/>
      <c r="P298" s="109" t="n"/>
      <c r="T298" s="109" t="n"/>
      <c r="U298" s="109" t="n"/>
      <c r="V298" s="109" t="n"/>
      <c r="Z298" s="109" t="n"/>
      <c r="AA298" s="109" t="n"/>
      <c r="AB298" s="109" t="n"/>
      <c r="AF298" s="109" t="n"/>
      <c r="AG298" s="109" t="n"/>
      <c r="AH298" s="109" t="n"/>
      <c r="AL298" s="109" t="n"/>
      <c r="AM298" s="109" t="n"/>
      <c r="AN298" s="109" t="n"/>
    </row>
    <row r="299" ht="15.75" customHeight="1" s="216">
      <c r="D299" s="109" t="n"/>
      <c r="E299" s="109" t="n"/>
      <c r="J299" s="109" t="n"/>
      <c r="K299" s="109" t="n"/>
      <c r="L299" s="109" t="n"/>
      <c r="N299" s="109" t="n"/>
      <c r="O299" s="109" t="n"/>
      <c r="P299" s="109" t="n"/>
      <c r="T299" s="109" t="n"/>
      <c r="U299" s="109" t="n"/>
      <c r="V299" s="109" t="n"/>
      <c r="Z299" s="109" t="n"/>
      <c r="AA299" s="109" t="n"/>
      <c r="AB299" s="109" t="n"/>
      <c r="AF299" s="109" t="n"/>
      <c r="AG299" s="109" t="n"/>
      <c r="AH299" s="109" t="n"/>
      <c r="AL299" s="109" t="n"/>
      <c r="AM299" s="109" t="n"/>
      <c r="AN299" s="109" t="n"/>
    </row>
    <row r="300" ht="15.75" customHeight="1" s="216">
      <c r="D300" s="109" t="n"/>
      <c r="E300" s="109" t="n"/>
      <c r="J300" s="109" t="n"/>
      <c r="K300" s="109" t="n"/>
      <c r="L300" s="109" t="n"/>
      <c r="N300" s="109" t="n"/>
      <c r="O300" s="109" t="n"/>
      <c r="P300" s="109" t="n"/>
      <c r="T300" s="109" t="n"/>
      <c r="U300" s="109" t="n"/>
      <c r="V300" s="109" t="n"/>
      <c r="Z300" s="109" t="n"/>
      <c r="AA300" s="109" t="n"/>
      <c r="AB300" s="109" t="n"/>
      <c r="AF300" s="109" t="n"/>
      <c r="AG300" s="109" t="n"/>
      <c r="AH300" s="109" t="n"/>
      <c r="AL300" s="109" t="n"/>
      <c r="AM300" s="109" t="n"/>
      <c r="AN300" s="109" t="n"/>
    </row>
    <row r="301" ht="15.75" customHeight="1" s="216">
      <c r="D301" s="109" t="n"/>
      <c r="E301" s="109" t="n"/>
      <c r="J301" s="109" t="n"/>
      <c r="K301" s="109" t="n"/>
      <c r="L301" s="109" t="n"/>
      <c r="N301" s="109" t="n"/>
      <c r="O301" s="109" t="n"/>
      <c r="P301" s="109" t="n"/>
      <c r="T301" s="109" t="n"/>
      <c r="U301" s="109" t="n"/>
      <c r="V301" s="109" t="n"/>
      <c r="Z301" s="109" t="n"/>
      <c r="AA301" s="109" t="n"/>
      <c r="AB301" s="109" t="n"/>
      <c r="AF301" s="109" t="n"/>
      <c r="AG301" s="109" t="n"/>
      <c r="AH301" s="109" t="n"/>
      <c r="AL301" s="109" t="n"/>
      <c r="AM301" s="109" t="n"/>
      <c r="AN301" s="109" t="n"/>
    </row>
    <row r="302" ht="15.75" customHeight="1" s="216">
      <c r="D302" s="109" t="n"/>
      <c r="E302" s="109" t="n"/>
      <c r="J302" s="109" t="n"/>
      <c r="K302" s="109" t="n"/>
      <c r="L302" s="109" t="n"/>
      <c r="N302" s="109" t="n"/>
      <c r="O302" s="109" t="n"/>
      <c r="P302" s="109" t="n"/>
      <c r="T302" s="109" t="n"/>
      <c r="U302" s="109" t="n"/>
      <c r="V302" s="109" t="n"/>
      <c r="Z302" s="109" t="n"/>
      <c r="AA302" s="109" t="n"/>
      <c r="AB302" s="109" t="n"/>
      <c r="AF302" s="109" t="n"/>
      <c r="AG302" s="109" t="n"/>
      <c r="AH302" s="109" t="n"/>
      <c r="AL302" s="109" t="n"/>
      <c r="AM302" s="109" t="n"/>
      <c r="AN302" s="109" t="n"/>
    </row>
    <row r="303" ht="15.75" customHeight="1" s="216">
      <c r="D303" s="109" t="n"/>
      <c r="E303" s="109" t="n"/>
      <c r="J303" s="109" t="n"/>
      <c r="K303" s="109" t="n"/>
      <c r="L303" s="109" t="n"/>
      <c r="N303" s="109" t="n"/>
      <c r="O303" s="109" t="n"/>
      <c r="P303" s="109" t="n"/>
      <c r="T303" s="109" t="n"/>
      <c r="U303" s="109" t="n"/>
      <c r="V303" s="109" t="n"/>
      <c r="Z303" s="109" t="n"/>
      <c r="AA303" s="109" t="n"/>
      <c r="AB303" s="109" t="n"/>
      <c r="AF303" s="109" t="n"/>
      <c r="AG303" s="109" t="n"/>
      <c r="AH303" s="109" t="n"/>
      <c r="AL303" s="109" t="n"/>
      <c r="AM303" s="109" t="n"/>
      <c r="AN303" s="109" t="n"/>
    </row>
    <row r="304" ht="15.75" customHeight="1" s="216">
      <c r="D304" s="109" t="n"/>
      <c r="E304" s="109" t="n"/>
      <c r="J304" s="109" t="n"/>
      <c r="K304" s="109" t="n"/>
      <c r="L304" s="109" t="n"/>
      <c r="N304" s="109" t="n"/>
      <c r="O304" s="109" t="n"/>
      <c r="P304" s="109" t="n"/>
      <c r="T304" s="109" t="n"/>
      <c r="U304" s="109" t="n"/>
      <c r="V304" s="109" t="n"/>
      <c r="Z304" s="109" t="n"/>
      <c r="AA304" s="109" t="n"/>
      <c r="AB304" s="109" t="n"/>
      <c r="AF304" s="109" t="n"/>
      <c r="AG304" s="109" t="n"/>
      <c r="AH304" s="109" t="n"/>
      <c r="AL304" s="109" t="n"/>
      <c r="AM304" s="109" t="n"/>
      <c r="AN304" s="109" t="n"/>
    </row>
    <row r="305" ht="15.75" customHeight="1" s="216">
      <c r="D305" s="109" t="n"/>
      <c r="E305" s="109" t="n"/>
      <c r="J305" s="109" t="n"/>
      <c r="K305" s="109" t="n"/>
      <c r="L305" s="109" t="n"/>
      <c r="N305" s="109" t="n"/>
      <c r="O305" s="109" t="n"/>
      <c r="P305" s="109" t="n"/>
      <c r="T305" s="109" t="n"/>
      <c r="U305" s="109" t="n"/>
      <c r="V305" s="109" t="n"/>
      <c r="Z305" s="109" t="n"/>
      <c r="AA305" s="109" t="n"/>
      <c r="AB305" s="109" t="n"/>
      <c r="AF305" s="109" t="n"/>
      <c r="AG305" s="109" t="n"/>
      <c r="AH305" s="109" t="n"/>
      <c r="AL305" s="109" t="n"/>
      <c r="AM305" s="109" t="n"/>
      <c r="AN305" s="109" t="n"/>
    </row>
    <row r="306" ht="15.75" customHeight="1" s="216">
      <c r="D306" s="109" t="n"/>
      <c r="E306" s="109" t="n"/>
      <c r="J306" s="109" t="n"/>
      <c r="K306" s="109" t="n"/>
      <c r="L306" s="109" t="n"/>
      <c r="N306" s="109" t="n"/>
      <c r="O306" s="109" t="n"/>
      <c r="P306" s="109" t="n"/>
      <c r="T306" s="109" t="n"/>
      <c r="U306" s="109" t="n"/>
      <c r="V306" s="109" t="n"/>
      <c r="Z306" s="109" t="n"/>
      <c r="AA306" s="109" t="n"/>
      <c r="AB306" s="109" t="n"/>
      <c r="AF306" s="109" t="n"/>
      <c r="AG306" s="109" t="n"/>
      <c r="AH306" s="109" t="n"/>
      <c r="AL306" s="109" t="n"/>
      <c r="AM306" s="109" t="n"/>
      <c r="AN306" s="109" t="n"/>
    </row>
    <row r="307" ht="15.75" customHeight="1" s="216">
      <c r="D307" s="109" t="n"/>
      <c r="E307" s="109" t="n"/>
      <c r="J307" s="109" t="n"/>
      <c r="K307" s="109" t="n"/>
      <c r="L307" s="109" t="n"/>
      <c r="N307" s="109" t="n"/>
      <c r="O307" s="109" t="n"/>
      <c r="P307" s="109" t="n"/>
      <c r="T307" s="109" t="n"/>
      <c r="U307" s="109" t="n"/>
      <c r="V307" s="109" t="n"/>
      <c r="Z307" s="109" t="n"/>
      <c r="AA307" s="109" t="n"/>
      <c r="AB307" s="109" t="n"/>
      <c r="AF307" s="109" t="n"/>
      <c r="AG307" s="109" t="n"/>
      <c r="AH307" s="109" t="n"/>
      <c r="AL307" s="109" t="n"/>
      <c r="AM307" s="109" t="n"/>
      <c r="AN307" s="109" t="n"/>
    </row>
    <row r="308" ht="15.75" customHeight="1" s="216">
      <c r="D308" s="109" t="n"/>
      <c r="E308" s="109" t="n"/>
      <c r="J308" s="109" t="n"/>
      <c r="K308" s="109" t="n"/>
      <c r="L308" s="109" t="n"/>
      <c r="N308" s="109" t="n"/>
      <c r="O308" s="109" t="n"/>
      <c r="P308" s="109" t="n"/>
      <c r="T308" s="109" t="n"/>
      <c r="U308" s="109" t="n"/>
      <c r="V308" s="109" t="n"/>
      <c r="Z308" s="109" t="n"/>
      <c r="AA308" s="109" t="n"/>
      <c r="AB308" s="109" t="n"/>
      <c r="AF308" s="109" t="n"/>
      <c r="AG308" s="109" t="n"/>
      <c r="AH308" s="109" t="n"/>
      <c r="AL308" s="109" t="n"/>
      <c r="AM308" s="109" t="n"/>
      <c r="AN308" s="109" t="n"/>
    </row>
    <row r="309" ht="15.75" customHeight="1" s="216">
      <c r="D309" s="109" t="n"/>
      <c r="E309" s="109" t="n"/>
      <c r="J309" s="109" t="n"/>
      <c r="K309" s="109" t="n"/>
      <c r="L309" s="109" t="n"/>
      <c r="N309" s="109" t="n"/>
      <c r="O309" s="109" t="n"/>
      <c r="P309" s="109" t="n"/>
      <c r="T309" s="109" t="n"/>
      <c r="U309" s="109" t="n"/>
      <c r="V309" s="109" t="n"/>
      <c r="Z309" s="109" t="n"/>
      <c r="AA309" s="109" t="n"/>
      <c r="AB309" s="109" t="n"/>
      <c r="AF309" s="109" t="n"/>
      <c r="AG309" s="109" t="n"/>
      <c r="AH309" s="109" t="n"/>
      <c r="AL309" s="109" t="n"/>
      <c r="AM309" s="109" t="n"/>
      <c r="AN309" s="109" t="n"/>
    </row>
    <row r="310" ht="15.75" customHeight="1" s="216">
      <c r="D310" s="109" t="n"/>
      <c r="E310" s="109" t="n"/>
      <c r="J310" s="109" t="n"/>
      <c r="K310" s="109" t="n"/>
      <c r="L310" s="109" t="n"/>
      <c r="N310" s="109" t="n"/>
      <c r="O310" s="109" t="n"/>
      <c r="P310" s="109" t="n"/>
      <c r="T310" s="109" t="n"/>
      <c r="U310" s="109" t="n"/>
      <c r="V310" s="109" t="n"/>
      <c r="Z310" s="109" t="n"/>
      <c r="AA310" s="109" t="n"/>
      <c r="AB310" s="109" t="n"/>
      <c r="AF310" s="109" t="n"/>
      <c r="AG310" s="109" t="n"/>
      <c r="AH310" s="109" t="n"/>
      <c r="AL310" s="109" t="n"/>
      <c r="AM310" s="109" t="n"/>
      <c r="AN310" s="109" t="n"/>
    </row>
    <row r="311" ht="15.75" customHeight="1" s="216">
      <c r="D311" s="109" t="n"/>
      <c r="E311" s="109" t="n"/>
      <c r="J311" s="109" t="n"/>
      <c r="K311" s="109" t="n"/>
      <c r="L311" s="109" t="n"/>
      <c r="N311" s="109" t="n"/>
      <c r="O311" s="109" t="n"/>
      <c r="P311" s="109" t="n"/>
      <c r="T311" s="109" t="n"/>
      <c r="U311" s="109" t="n"/>
      <c r="V311" s="109" t="n"/>
      <c r="Z311" s="109" t="n"/>
      <c r="AA311" s="109" t="n"/>
      <c r="AB311" s="109" t="n"/>
      <c r="AF311" s="109" t="n"/>
      <c r="AG311" s="109" t="n"/>
      <c r="AH311" s="109" t="n"/>
      <c r="AL311" s="109" t="n"/>
      <c r="AM311" s="109" t="n"/>
      <c r="AN311" s="109" t="n"/>
    </row>
    <row r="312" ht="15.75" customHeight="1" s="216">
      <c r="D312" s="109" t="n"/>
      <c r="E312" s="109" t="n"/>
      <c r="J312" s="109" t="n"/>
      <c r="K312" s="109" t="n"/>
      <c r="L312" s="109" t="n"/>
      <c r="N312" s="109" t="n"/>
      <c r="O312" s="109" t="n"/>
      <c r="P312" s="109" t="n"/>
      <c r="T312" s="109" t="n"/>
      <c r="U312" s="109" t="n"/>
      <c r="V312" s="109" t="n"/>
      <c r="Z312" s="109" t="n"/>
      <c r="AA312" s="109" t="n"/>
      <c r="AB312" s="109" t="n"/>
      <c r="AF312" s="109" t="n"/>
      <c r="AG312" s="109" t="n"/>
      <c r="AH312" s="109" t="n"/>
      <c r="AL312" s="109" t="n"/>
      <c r="AM312" s="109" t="n"/>
      <c r="AN312" s="109" t="n"/>
    </row>
    <row r="313" ht="15.75" customHeight="1" s="216">
      <c r="D313" s="109" t="n"/>
      <c r="E313" s="109" t="n"/>
      <c r="J313" s="109" t="n"/>
      <c r="K313" s="109" t="n"/>
      <c r="L313" s="109" t="n"/>
      <c r="N313" s="109" t="n"/>
      <c r="O313" s="109" t="n"/>
      <c r="P313" s="109" t="n"/>
      <c r="T313" s="109" t="n"/>
      <c r="U313" s="109" t="n"/>
      <c r="V313" s="109" t="n"/>
      <c r="Z313" s="109" t="n"/>
      <c r="AA313" s="109" t="n"/>
      <c r="AB313" s="109" t="n"/>
      <c r="AF313" s="109" t="n"/>
      <c r="AG313" s="109" t="n"/>
      <c r="AH313" s="109" t="n"/>
      <c r="AL313" s="109" t="n"/>
      <c r="AM313" s="109" t="n"/>
      <c r="AN313" s="109" t="n"/>
    </row>
    <row r="314" ht="15.75" customHeight="1" s="216">
      <c r="D314" s="109" t="n"/>
      <c r="E314" s="109" t="n"/>
      <c r="J314" s="109" t="n"/>
      <c r="K314" s="109" t="n"/>
      <c r="L314" s="109" t="n"/>
      <c r="N314" s="109" t="n"/>
      <c r="O314" s="109" t="n"/>
      <c r="P314" s="109" t="n"/>
      <c r="T314" s="109" t="n"/>
      <c r="U314" s="109" t="n"/>
      <c r="V314" s="109" t="n"/>
      <c r="Z314" s="109" t="n"/>
      <c r="AA314" s="109" t="n"/>
      <c r="AB314" s="109" t="n"/>
      <c r="AF314" s="109" t="n"/>
      <c r="AG314" s="109" t="n"/>
      <c r="AH314" s="109" t="n"/>
      <c r="AL314" s="109" t="n"/>
      <c r="AM314" s="109" t="n"/>
      <c r="AN314" s="109" t="n"/>
    </row>
    <row r="315" ht="15.75" customHeight="1" s="216">
      <c r="D315" s="109" t="n"/>
      <c r="E315" s="109" t="n"/>
      <c r="J315" s="109" t="n"/>
      <c r="K315" s="109" t="n"/>
      <c r="L315" s="109" t="n"/>
      <c r="N315" s="109" t="n"/>
      <c r="O315" s="109" t="n"/>
      <c r="P315" s="109" t="n"/>
      <c r="T315" s="109" t="n"/>
      <c r="U315" s="109" t="n"/>
      <c r="V315" s="109" t="n"/>
      <c r="Z315" s="109" t="n"/>
      <c r="AA315" s="109" t="n"/>
      <c r="AB315" s="109" t="n"/>
      <c r="AF315" s="109" t="n"/>
      <c r="AG315" s="109" t="n"/>
      <c r="AH315" s="109" t="n"/>
      <c r="AL315" s="109" t="n"/>
      <c r="AM315" s="109" t="n"/>
      <c r="AN315" s="109" t="n"/>
    </row>
    <row r="316" ht="15.75" customHeight="1" s="216">
      <c r="D316" s="109" t="n"/>
      <c r="E316" s="109" t="n"/>
      <c r="J316" s="109" t="n"/>
      <c r="K316" s="109" t="n"/>
      <c r="L316" s="109" t="n"/>
      <c r="N316" s="109" t="n"/>
      <c r="O316" s="109" t="n"/>
      <c r="P316" s="109" t="n"/>
      <c r="T316" s="109" t="n"/>
      <c r="U316" s="109" t="n"/>
      <c r="V316" s="109" t="n"/>
      <c r="Z316" s="109" t="n"/>
      <c r="AA316" s="109" t="n"/>
      <c r="AB316" s="109" t="n"/>
      <c r="AF316" s="109" t="n"/>
      <c r="AG316" s="109" t="n"/>
      <c r="AH316" s="109" t="n"/>
      <c r="AL316" s="109" t="n"/>
      <c r="AM316" s="109" t="n"/>
      <c r="AN316" s="109" t="n"/>
    </row>
    <row r="317" ht="15.75" customHeight="1" s="216">
      <c r="D317" s="109" t="n"/>
      <c r="E317" s="109" t="n"/>
      <c r="J317" s="109" t="n"/>
      <c r="K317" s="109" t="n"/>
      <c r="L317" s="109" t="n"/>
      <c r="N317" s="109" t="n"/>
      <c r="O317" s="109" t="n"/>
      <c r="P317" s="109" t="n"/>
      <c r="T317" s="109" t="n"/>
      <c r="U317" s="109" t="n"/>
      <c r="V317" s="109" t="n"/>
      <c r="Z317" s="109" t="n"/>
      <c r="AA317" s="109" t="n"/>
      <c r="AB317" s="109" t="n"/>
      <c r="AF317" s="109" t="n"/>
      <c r="AG317" s="109" t="n"/>
      <c r="AH317" s="109" t="n"/>
      <c r="AL317" s="109" t="n"/>
      <c r="AM317" s="109" t="n"/>
      <c r="AN317" s="109" t="n"/>
    </row>
    <row r="318" ht="15.75" customHeight="1" s="216">
      <c r="D318" s="109" t="n"/>
      <c r="E318" s="109" t="n"/>
      <c r="J318" s="109" t="n"/>
      <c r="K318" s="109" t="n"/>
      <c r="L318" s="109" t="n"/>
      <c r="N318" s="109" t="n"/>
      <c r="O318" s="109" t="n"/>
      <c r="P318" s="109" t="n"/>
      <c r="T318" s="109" t="n"/>
      <c r="U318" s="109" t="n"/>
      <c r="V318" s="109" t="n"/>
      <c r="Z318" s="109" t="n"/>
      <c r="AA318" s="109" t="n"/>
      <c r="AB318" s="109" t="n"/>
      <c r="AF318" s="109" t="n"/>
      <c r="AG318" s="109" t="n"/>
      <c r="AH318" s="109" t="n"/>
      <c r="AL318" s="109" t="n"/>
      <c r="AM318" s="109" t="n"/>
      <c r="AN318" s="109" t="n"/>
    </row>
    <row r="319" ht="15.75" customHeight="1" s="216">
      <c r="D319" s="109" t="n"/>
      <c r="E319" s="109" t="n"/>
      <c r="J319" s="109" t="n"/>
      <c r="K319" s="109" t="n"/>
      <c r="L319" s="109" t="n"/>
      <c r="N319" s="109" t="n"/>
      <c r="O319" s="109" t="n"/>
      <c r="P319" s="109" t="n"/>
      <c r="T319" s="109" t="n"/>
      <c r="U319" s="109" t="n"/>
      <c r="V319" s="109" t="n"/>
      <c r="Z319" s="109" t="n"/>
      <c r="AA319" s="109" t="n"/>
      <c r="AB319" s="109" t="n"/>
      <c r="AF319" s="109" t="n"/>
      <c r="AG319" s="109" t="n"/>
      <c r="AH319" s="109" t="n"/>
      <c r="AL319" s="109" t="n"/>
      <c r="AM319" s="109" t="n"/>
      <c r="AN319" s="109" t="n"/>
    </row>
    <row r="320" ht="15.75" customHeight="1" s="216">
      <c r="D320" s="109" t="n"/>
      <c r="E320" s="109" t="n"/>
      <c r="J320" s="109" t="n"/>
      <c r="K320" s="109" t="n"/>
      <c r="L320" s="109" t="n"/>
      <c r="N320" s="109" t="n"/>
      <c r="O320" s="109" t="n"/>
      <c r="P320" s="109" t="n"/>
      <c r="T320" s="109" t="n"/>
      <c r="U320" s="109" t="n"/>
      <c r="V320" s="109" t="n"/>
      <c r="Z320" s="109" t="n"/>
      <c r="AA320" s="109" t="n"/>
      <c r="AB320" s="109" t="n"/>
      <c r="AF320" s="109" t="n"/>
      <c r="AG320" s="109" t="n"/>
      <c r="AH320" s="109" t="n"/>
      <c r="AL320" s="109" t="n"/>
      <c r="AM320" s="109" t="n"/>
      <c r="AN320" s="109" t="n"/>
    </row>
    <row r="321" ht="15.75" customHeight="1" s="216">
      <c r="D321" s="109" t="n"/>
      <c r="E321" s="109" t="n"/>
      <c r="J321" s="109" t="n"/>
      <c r="K321" s="109" t="n"/>
      <c r="L321" s="109" t="n"/>
      <c r="N321" s="109" t="n"/>
      <c r="O321" s="109" t="n"/>
      <c r="P321" s="109" t="n"/>
      <c r="T321" s="109" t="n"/>
      <c r="U321" s="109" t="n"/>
      <c r="V321" s="109" t="n"/>
      <c r="Z321" s="109" t="n"/>
      <c r="AA321" s="109" t="n"/>
      <c r="AB321" s="109" t="n"/>
      <c r="AF321" s="109" t="n"/>
      <c r="AG321" s="109" t="n"/>
      <c r="AH321" s="109" t="n"/>
      <c r="AL321" s="109" t="n"/>
      <c r="AM321" s="109" t="n"/>
      <c r="AN321" s="109" t="n"/>
    </row>
    <row r="322" ht="15.75" customHeight="1" s="216">
      <c r="D322" s="109" t="n"/>
      <c r="E322" s="109" t="n"/>
      <c r="J322" s="109" t="n"/>
      <c r="K322" s="109" t="n"/>
      <c r="L322" s="109" t="n"/>
      <c r="N322" s="109" t="n"/>
      <c r="O322" s="109" t="n"/>
      <c r="P322" s="109" t="n"/>
      <c r="T322" s="109" t="n"/>
      <c r="U322" s="109" t="n"/>
      <c r="V322" s="109" t="n"/>
      <c r="Z322" s="109" t="n"/>
      <c r="AA322" s="109" t="n"/>
      <c r="AB322" s="109" t="n"/>
      <c r="AF322" s="109" t="n"/>
      <c r="AG322" s="109" t="n"/>
      <c r="AH322" s="109" t="n"/>
      <c r="AL322" s="109" t="n"/>
      <c r="AM322" s="109" t="n"/>
      <c r="AN322" s="109" t="n"/>
    </row>
    <row r="323" ht="15.75" customHeight="1" s="216">
      <c r="D323" s="109" t="n"/>
      <c r="E323" s="109" t="n"/>
      <c r="J323" s="109" t="n"/>
      <c r="K323" s="109" t="n"/>
      <c r="L323" s="109" t="n"/>
      <c r="N323" s="109" t="n"/>
      <c r="O323" s="109" t="n"/>
      <c r="P323" s="109" t="n"/>
      <c r="T323" s="109" t="n"/>
      <c r="U323" s="109" t="n"/>
      <c r="V323" s="109" t="n"/>
      <c r="Z323" s="109" t="n"/>
      <c r="AA323" s="109" t="n"/>
      <c r="AB323" s="109" t="n"/>
      <c r="AF323" s="109" t="n"/>
      <c r="AG323" s="109" t="n"/>
      <c r="AH323" s="109" t="n"/>
      <c r="AL323" s="109" t="n"/>
      <c r="AM323" s="109" t="n"/>
      <c r="AN323" s="109" t="n"/>
    </row>
    <row r="324" ht="15.75" customHeight="1" s="216">
      <c r="D324" s="109" t="n"/>
      <c r="E324" s="109" t="n"/>
      <c r="J324" s="109" t="n"/>
      <c r="K324" s="109" t="n"/>
      <c r="L324" s="109" t="n"/>
      <c r="N324" s="109" t="n"/>
      <c r="O324" s="109" t="n"/>
      <c r="P324" s="109" t="n"/>
      <c r="T324" s="109" t="n"/>
      <c r="U324" s="109" t="n"/>
      <c r="V324" s="109" t="n"/>
      <c r="Z324" s="109" t="n"/>
      <c r="AA324" s="109" t="n"/>
      <c r="AB324" s="109" t="n"/>
      <c r="AF324" s="109" t="n"/>
      <c r="AG324" s="109" t="n"/>
      <c r="AH324" s="109" t="n"/>
      <c r="AL324" s="109" t="n"/>
      <c r="AM324" s="109" t="n"/>
      <c r="AN324" s="109" t="n"/>
    </row>
    <row r="325" ht="15.75" customHeight="1" s="216">
      <c r="D325" s="109" t="n"/>
      <c r="E325" s="109" t="n"/>
      <c r="J325" s="109" t="n"/>
      <c r="K325" s="109" t="n"/>
      <c r="L325" s="109" t="n"/>
      <c r="N325" s="109" t="n"/>
      <c r="O325" s="109" t="n"/>
      <c r="P325" s="109" t="n"/>
      <c r="T325" s="109" t="n"/>
      <c r="U325" s="109" t="n"/>
      <c r="V325" s="109" t="n"/>
      <c r="Z325" s="109" t="n"/>
      <c r="AA325" s="109" t="n"/>
      <c r="AB325" s="109" t="n"/>
      <c r="AF325" s="109" t="n"/>
      <c r="AG325" s="109" t="n"/>
      <c r="AH325" s="109" t="n"/>
      <c r="AL325" s="109" t="n"/>
      <c r="AM325" s="109" t="n"/>
      <c r="AN325" s="109" t="n"/>
    </row>
    <row r="326" ht="15.75" customHeight="1" s="216">
      <c r="D326" s="109" t="n"/>
      <c r="E326" s="109" t="n"/>
      <c r="J326" s="109" t="n"/>
      <c r="K326" s="109" t="n"/>
      <c r="L326" s="109" t="n"/>
      <c r="N326" s="109" t="n"/>
      <c r="O326" s="109" t="n"/>
      <c r="P326" s="109" t="n"/>
      <c r="T326" s="109" t="n"/>
      <c r="U326" s="109" t="n"/>
      <c r="V326" s="109" t="n"/>
      <c r="Z326" s="109" t="n"/>
      <c r="AA326" s="109" t="n"/>
      <c r="AB326" s="109" t="n"/>
      <c r="AF326" s="109" t="n"/>
      <c r="AG326" s="109" t="n"/>
      <c r="AH326" s="109" t="n"/>
      <c r="AL326" s="109" t="n"/>
      <c r="AM326" s="109" t="n"/>
      <c r="AN326" s="109" t="n"/>
    </row>
    <row r="327" ht="15.75" customHeight="1" s="216">
      <c r="D327" s="109" t="n"/>
      <c r="E327" s="109" t="n"/>
      <c r="J327" s="109" t="n"/>
      <c r="K327" s="109" t="n"/>
      <c r="L327" s="109" t="n"/>
      <c r="N327" s="109" t="n"/>
      <c r="O327" s="109" t="n"/>
      <c r="P327" s="109" t="n"/>
      <c r="T327" s="109" t="n"/>
      <c r="U327" s="109" t="n"/>
      <c r="V327" s="109" t="n"/>
      <c r="Z327" s="109" t="n"/>
      <c r="AA327" s="109" t="n"/>
      <c r="AB327" s="109" t="n"/>
      <c r="AF327" s="109" t="n"/>
      <c r="AG327" s="109" t="n"/>
      <c r="AH327" s="109" t="n"/>
      <c r="AL327" s="109" t="n"/>
      <c r="AM327" s="109" t="n"/>
      <c r="AN327" s="109" t="n"/>
    </row>
    <row r="328" ht="15.75" customHeight="1" s="216">
      <c r="D328" s="109" t="n"/>
      <c r="E328" s="109" t="n"/>
      <c r="J328" s="109" t="n"/>
      <c r="K328" s="109" t="n"/>
      <c r="L328" s="109" t="n"/>
      <c r="N328" s="109" t="n"/>
      <c r="O328" s="109" t="n"/>
      <c r="P328" s="109" t="n"/>
      <c r="T328" s="109" t="n"/>
      <c r="U328" s="109" t="n"/>
      <c r="V328" s="109" t="n"/>
      <c r="Z328" s="109" t="n"/>
      <c r="AA328" s="109" t="n"/>
      <c r="AB328" s="109" t="n"/>
      <c r="AF328" s="109" t="n"/>
      <c r="AG328" s="109" t="n"/>
      <c r="AH328" s="109" t="n"/>
      <c r="AL328" s="109" t="n"/>
      <c r="AM328" s="109" t="n"/>
      <c r="AN328" s="109" t="n"/>
    </row>
    <row r="329" ht="15.75" customHeight="1" s="216">
      <c r="D329" s="109" t="n"/>
      <c r="E329" s="109" t="n"/>
      <c r="J329" s="109" t="n"/>
      <c r="K329" s="109" t="n"/>
      <c r="L329" s="109" t="n"/>
      <c r="N329" s="109" t="n"/>
      <c r="O329" s="109" t="n"/>
      <c r="P329" s="109" t="n"/>
      <c r="T329" s="109" t="n"/>
      <c r="U329" s="109" t="n"/>
      <c r="V329" s="109" t="n"/>
      <c r="Z329" s="109" t="n"/>
      <c r="AA329" s="109" t="n"/>
      <c r="AB329" s="109" t="n"/>
      <c r="AF329" s="109" t="n"/>
      <c r="AG329" s="109" t="n"/>
      <c r="AH329" s="109" t="n"/>
      <c r="AL329" s="109" t="n"/>
      <c r="AM329" s="109" t="n"/>
      <c r="AN329" s="109" t="n"/>
    </row>
    <row r="330" ht="15.75" customHeight="1" s="216">
      <c r="D330" s="109" t="n"/>
      <c r="E330" s="109" t="n"/>
      <c r="J330" s="109" t="n"/>
      <c r="K330" s="109" t="n"/>
      <c r="L330" s="109" t="n"/>
      <c r="N330" s="109" t="n"/>
      <c r="O330" s="109" t="n"/>
      <c r="P330" s="109" t="n"/>
      <c r="T330" s="109" t="n"/>
      <c r="U330" s="109" t="n"/>
      <c r="V330" s="109" t="n"/>
      <c r="Z330" s="109" t="n"/>
      <c r="AA330" s="109" t="n"/>
      <c r="AB330" s="109" t="n"/>
      <c r="AF330" s="109" t="n"/>
      <c r="AG330" s="109" t="n"/>
      <c r="AH330" s="109" t="n"/>
      <c r="AL330" s="109" t="n"/>
      <c r="AM330" s="109" t="n"/>
      <c r="AN330" s="109" t="n"/>
    </row>
    <row r="331" ht="15.75" customHeight="1" s="216">
      <c r="D331" s="109" t="n"/>
      <c r="E331" s="109" t="n"/>
      <c r="J331" s="109" t="n"/>
      <c r="K331" s="109" t="n"/>
      <c r="L331" s="109" t="n"/>
      <c r="N331" s="109" t="n"/>
      <c r="O331" s="109" t="n"/>
      <c r="P331" s="109" t="n"/>
      <c r="T331" s="109" t="n"/>
      <c r="U331" s="109" t="n"/>
      <c r="V331" s="109" t="n"/>
      <c r="Z331" s="109" t="n"/>
      <c r="AA331" s="109" t="n"/>
      <c r="AB331" s="109" t="n"/>
      <c r="AF331" s="109" t="n"/>
      <c r="AG331" s="109" t="n"/>
      <c r="AH331" s="109" t="n"/>
      <c r="AL331" s="109" t="n"/>
      <c r="AM331" s="109" t="n"/>
      <c r="AN331" s="109" t="n"/>
    </row>
    <row r="332" ht="15.75" customHeight="1" s="216">
      <c r="D332" s="109" t="n"/>
      <c r="E332" s="109" t="n"/>
      <c r="J332" s="109" t="n"/>
      <c r="K332" s="109" t="n"/>
      <c r="L332" s="109" t="n"/>
      <c r="N332" s="109" t="n"/>
      <c r="O332" s="109" t="n"/>
      <c r="P332" s="109" t="n"/>
      <c r="T332" s="109" t="n"/>
      <c r="U332" s="109" t="n"/>
      <c r="V332" s="109" t="n"/>
      <c r="Z332" s="109" t="n"/>
      <c r="AA332" s="109" t="n"/>
      <c r="AB332" s="109" t="n"/>
      <c r="AF332" s="109" t="n"/>
      <c r="AG332" s="109" t="n"/>
      <c r="AH332" s="109" t="n"/>
      <c r="AL332" s="109" t="n"/>
      <c r="AM332" s="109" t="n"/>
      <c r="AN332" s="109" t="n"/>
    </row>
    <row r="333" ht="15.75" customHeight="1" s="216">
      <c r="D333" s="109" t="n"/>
      <c r="E333" s="109" t="n"/>
      <c r="J333" s="109" t="n"/>
      <c r="K333" s="109" t="n"/>
      <c r="L333" s="109" t="n"/>
      <c r="N333" s="109" t="n"/>
      <c r="O333" s="109" t="n"/>
      <c r="P333" s="109" t="n"/>
      <c r="T333" s="109" t="n"/>
      <c r="U333" s="109" t="n"/>
      <c r="V333" s="109" t="n"/>
      <c r="Z333" s="109" t="n"/>
      <c r="AA333" s="109" t="n"/>
      <c r="AB333" s="109" t="n"/>
      <c r="AF333" s="109" t="n"/>
      <c r="AG333" s="109" t="n"/>
      <c r="AH333" s="109" t="n"/>
      <c r="AL333" s="109" t="n"/>
      <c r="AM333" s="109" t="n"/>
      <c r="AN333" s="109" t="n"/>
    </row>
    <row r="334" ht="15.75" customHeight="1" s="216">
      <c r="D334" s="109" t="n"/>
      <c r="E334" s="109" t="n"/>
      <c r="J334" s="109" t="n"/>
      <c r="K334" s="109" t="n"/>
      <c r="L334" s="109" t="n"/>
      <c r="N334" s="109" t="n"/>
      <c r="O334" s="109" t="n"/>
      <c r="P334" s="109" t="n"/>
      <c r="T334" s="109" t="n"/>
      <c r="U334" s="109" t="n"/>
      <c r="V334" s="109" t="n"/>
      <c r="Z334" s="109" t="n"/>
      <c r="AA334" s="109" t="n"/>
      <c r="AB334" s="109" t="n"/>
      <c r="AF334" s="109" t="n"/>
      <c r="AG334" s="109" t="n"/>
      <c r="AH334" s="109" t="n"/>
      <c r="AL334" s="109" t="n"/>
      <c r="AM334" s="109" t="n"/>
      <c r="AN334" s="109" t="n"/>
    </row>
    <row r="335" ht="15.75" customHeight="1" s="216">
      <c r="D335" s="109" t="n"/>
      <c r="E335" s="109" t="n"/>
      <c r="J335" s="109" t="n"/>
      <c r="K335" s="109" t="n"/>
      <c r="L335" s="109" t="n"/>
      <c r="N335" s="109" t="n"/>
      <c r="O335" s="109" t="n"/>
      <c r="P335" s="109" t="n"/>
      <c r="T335" s="109" t="n"/>
      <c r="U335" s="109" t="n"/>
      <c r="V335" s="109" t="n"/>
      <c r="Z335" s="109" t="n"/>
      <c r="AA335" s="109" t="n"/>
      <c r="AB335" s="109" t="n"/>
      <c r="AF335" s="109" t="n"/>
      <c r="AG335" s="109" t="n"/>
      <c r="AH335" s="109" t="n"/>
      <c r="AL335" s="109" t="n"/>
      <c r="AM335" s="109" t="n"/>
      <c r="AN335" s="109" t="n"/>
    </row>
    <row r="336" ht="15.75" customHeight="1" s="216">
      <c r="D336" s="109" t="n"/>
      <c r="E336" s="109" t="n"/>
      <c r="J336" s="109" t="n"/>
      <c r="K336" s="109" t="n"/>
      <c r="L336" s="109" t="n"/>
      <c r="N336" s="109" t="n"/>
      <c r="O336" s="109" t="n"/>
      <c r="P336" s="109" t="n"/>
      <c r="T336" s="109" t="n"/>
      <c r="U336" s="109" t="n"/>
      <c r="V336" s="109" t="n"/>
      <c r="Z336" s="109" t="n"/>
      <c r="AA336" s="109" t="n"/>
      <c r="AB336" s="109" t="n"/>
      <c r="AF336" s="109" t="n"/>
      <c r="AG336" s="109" t="n"/>
      <c r="AH336" s="109" t="n"/>
      <c r="AL336" s="109" t="n"/>
      <c r="AM336" s="109" t="n"/>
      <c r="AN336" s="109" t="n"/>
    </row>
    <row r="337" ht="15.75" customHeight="1" s="216">
      <c r="D337" s="109" t="n"/>
      <c r="E337" s="109" t="n"/>
      <c r="J337" s="109" t="n"/>
      <c r="K337" s="109" t="n"/>
      <c r="L337" s="109" t="n"/>
      <c r="N337" s="109" t="n"/>
      <c r="O337" s="109" t="n"/>
      <c r="P337" s="109" t="n"/>
      <c r="T337" s="109" t="n"/>
      <c r="U337" s="109" t="n"/>
      <c r="V337" s="109" t="n"/>
      <c r="Z337" s="109" t="n"/>
      <c r="AA337" s="109" t="n"/>
      <c r="AB337" s="109" t="n"/>
      <c r="AF337" s="109" t="n"/>
      <c r="AG337" s="109" t="n"/>
      <c r="AH337" s="109" t="n"/>
      <c r="AL337" s="109" t="n"/>
      <c r="AM337" s="109" t="n"/>
      <c r="AN337" s="109" t="n"/>
    </row>
    <row r="338" ht="15.75" customHeight="1" s="216">
      <c r="D338" s="109" t="n"/>
      <c r="E338" s="109" t="n"/>
      <c r="J338" s="109" t="n"/>
      <c r="K338" s="109" t="n"/>
      <c r="L338" s="109" t="n"/>
      <c r="N338" s="109" t="n"/>
      <c r="O338" s="109" t="n"/>
      <c r="P338" s="109" t="n"/>
      <c r="T338" s="109" t="n"/>
      <c r="U338" s="109" t="n"/>
      <c r="V338" s="109" t="n"/>
      <c r="Z338" s="109" t="n"/>
      <c r="AA338" s="109" t="n"/>
      <c r="AB338" s="109" t="n"/>
      <c r="AF338" s="109" t="n"/>
      <c r="AG338" s="109" t="n"/>
      <c r="AH338" s="109" t="n"/>
      <c r="AL338" s="109" t="n"/>
      <c r="AM338" s="109" t="n"/>
      <c r="AN338" s="109" t="n"/>
    </row>
    <row r="339" ht="15.75" customHeight="1" s="216">
      <c r="D339" s="109" t="n"/>
      <c r="E339" s="109" t="n"/>
      <c r="J339" s="109" t="n"/>
      <c r="K339" s="109" t="n"/>
      <c r="L339" s="109" t="n"/>
      <c r="N339" s="109" t="n"/>
      <c r="O339" s="109" t="n"/>
      <c r="P339" s="109" t="n"/>
      <c r="T339" s="109" t="n"/>
      <c r="U339" s="109" t="n"/>
      <c r="V339" s="109" t="n"/>
      <c r="Z339" s="109" t="n"/>
      <c r="AA339" s="109" t="n"/>
      <c r="AB339" s="109" t="n"/>
      <c r="AF339" s="109" t="n"/>
      <c r="AG339" s="109" t="n"/>
      <c r="AH339" s="109" t="n"/>
      <c r="AL339" s="109" t="n"/>
      <c r="AM339" s="109" t="n"/>
      <c r="AN339" s="109" t="n"/>
    </row>
    <row r="340" ht="15.75" customHeight="1" s="216">
      <c r="D340" s="109" t="n"/>
      <c r="E340" s="109" t="n"/>
      <c r="J340" s="109" t="n"/>
      <c r="K340" s="109" t="n"/>
      <c r="L340" s="109" t="n"/>
      <c r="N340" s="109" t="n"/>
      <c r="O340" s="109" t="n"/>
      <c r="P340" s="109" t="n"/>
      <c r="T340" s="109" t="n"/>
      <c r="U340" s="109" t="n"/>
      <c r="V340" s="109" t="n"/>
      <c r="Z340" s="109" t="n"/>
      <c r="AA340" s="109" t="n"/>
      <c r="AB340" s="109" t="n"/>
      <c r="AF340" s="109" t="n"/>
      <c r="AG340" s="109" t="n"/>
      <c r="AH340" s="109" t="n"/>
      <c r="AL340" s="109" t="n"/>
      <c r="AM340" s="109" t="n"/>
      <c r="AN340" s="109" t="n"/>
    </row>
    <row r="341" ht="15.75" customHeight="1" s="216">
      <c r="D341" s="109" t="n"/>
      <c r="E341" s="109" t="n"/>
      <c r="J341" s="109" t="n"/>
      <c r="K341" s="109" t="n"/>
      <c r="L341" s="109" t="n"/>
      <c r="N341" s="109" t="n"/>
      <c r="O341" s="109" t="n"/>
      <c r="P341" s="109" t="n"/>
      <c r="T341" s="109" t="n"/>
      <c r="U341" s="109" t="n"/>
      <c r="V341" s="109" t="n"/>
      <c r="Z341" s="109" t="n"/>
      <c r="AA341" s="109" t="n"/>
      <c r="AB341" s="109" t="n"/>
      <c r="AF341" s="109" t="n"/>
      <c r="AG341" s="109" t="n"/>
      <c r="AH341" s="109" t="n"/>
      <c r="AL341" s="109" t="n"/>
      <c r="AM341" s="109" t="n"/>
      <c r="AN341" s="109" t="n"/>
    </row>
    <row r="342" ht="15.75" customHeight="1" s="216">
      <c r="D342" s="109" t="n"/>
      <c r="E342" s="109" t="n"/>
      <c r="J342" s="109" t="n"/>
      <c r="K342" s="109" t="n"/>
      <c r="L342" s="109" t="n"/>
      <c r="N342" s="109" t="n"/>
      <c r="O342" s="109" t="n"/>
      <c r="P342" s="109" t="n"/>
      <c r="T342" s="109" t="n"/>
      <c r="U342" s="109" t="n"/>
      <c r="V342" s="109" t="n"/>
      <c r="Z342" s="109" t="n"/>
      <c r="AA342" s="109" t="n"/>
      <c r="AB342" s="109" t="n"/>
      <c r="AF342" s="109" t="n"/>
      <c r="AG342" s="109" t="n"/>
      <c r="AH342" s="109" t="n"/>
      <c r="AL342" s="109" t="n"/>
      <c r="AM342" s="109" t="n"/>
      <c r="AN342" s="109" t="n"/>
    </row>
    <row r="343" ht="15.75" customHeight="1" s="216">
      <c r="D343" s="109" t="n"/>
      <c r="E343" s="109" t="n"/>
      <c r="J343" s="109" t="n"/>
      <c r="K343" s="109" t="n"/>
      <c r="L343" s="109" t="n"/>
      <c r="N343" s="109" t="n"/>
      <c r="O343" s="109" t="n"/>
      <c r="P343" s="109" t="n"/>
      <c r="T343" s="109" t="n"/>
      <c r="U343" s="109" t="n"/>
      <c r="V343" s="109" t="n"/>
      <c r="Z343" s="109" t="n"/>
      <c r="AA343" s="109" t="n"/>
      <c r="AB343" s="109" t="n"/>
      <c r="AF343" s="109" t="n"/>
      <c r="AG343" s="109" t="n"/>
      <c r="AH343" s="109" t="n"/>
      <c r="AL343" s="109" t="n"/>
      <c r="AM343" s="109" t="n"/>
      <c r="AN343" s="109" t="n"/>
    </row>
    <row r="344" ht="15.75" customHeight="1" s="216">
      <c r="D344" s="109" t="n"/>
      <c r="E344" s="109" t="n"/>
      <c r="J344" s="109" t="n"/>
      <c r="K344" s="109" t="n"/>
      <c r="L344" s="109" t="n"/>
      <c r="N344" s="109" t="n"/>
      <c r="O344" s="109" t="n"/>
      <c r="P344" s="109" t="n"/>
      <c r="T344" s="109" t="n"/>
      <c r="U344" s="109" t="n"/>
      <c r="V344" s="109" t="n"/>
      <c r="Z344" s="109" t="n"/>
      <c r="AA344" s="109" t="n"/>
      <c r="AB344" s="109" t="n"/>
      <c r="AF344" s="109" t="n"/>
      <c r="AG344" s="109" t="n"/>
      <c r="AH344" s="109" t="n"/>
      <c r="AL344" s="109" t="n"/>
      <c r="AM344" s="109" t="n"/>
      <c r="AN344" s="109" t="n"/>
    </row>
    <row r="345" ht="15.75" customHeight="1" s="216">
      <c r="D345" s="109" t="n"/>
      <c r="E345" s="109" t="n"/>
      <c r="J345" s="109" t="n"/>
      <c r="K345" s="109" t="n"/>
      <c r="L345" s="109" t="n"/>
      <c r="N345" s="109" t="n"/>
      <c r="O345" s="109" t="n"/>
      <c r="P345" s="109" t="n"/>
      <c r="T345" s="109" t="n"/>
      <c r="U345" s="109" t="n"/>
      <c r="V345" s="109" t="n"/>
      <c r="Z345" s="109" t="n"/>
      <c r="AA345" s="109" t="n"/>
      <c r="AB345" s="109" t="n"/>
      <c r="AF345" s="109" t="n"/>
      <c r="AG345" s="109" t="n"/>
      <c r="AH345" s="109" t="n"/>
      <c r="AL345" s="109" t="n"/>
      <c r="AM345" s="109" t="n"/>
      <c r="AN345" s="109" t="n"/>
    </row>
    <row r="346" ht="15.75" customHeight="1" s="216">
      <c r="D346" s="109" t="n"/>
      <c r="E346" s="109" t="n"/>
      <c r="J346" s="109" t="n"/>
      <c r="K346" s="109" t="n"/>
      <c r="L346" s="109" t="n"/>
      <c r="N346" s="109" t="n"/>
      <c r="O346" s="109" t="n"/>
      <c r="P346" s="109" t="n"/>
      <c r="T346" s="109" t="n"/>
      <c r="U346" s="109" t="n"/>
      <c r="V346" s="109" t="n"/>
      <c r="Z346" s="109" t="n"/>
      <c r="AA346" s="109" t="n"/>
      <c r="AB346" s="109" t="n"/>
      <c r="AF346" s="109" t="n"/>
      <c r="AG346" s="109" t="n"/>
      <c r="AH346" s="109" t="n"/>
      <c r="AL346" s="109" t="n"/>
      <c r="AM346" s="109" t="n"/>
      <c r="AN346" s="109" t="n"/>
    </row>
    <row r="347" ht="15.75" customHeight="1" s="216">
      <c r="D347" s="109" t="n"/>
      <c r="E347" s="109" t="n"/>
      <c r="J347" s="109" t="n"/>
      <c r="K347" s="109" t="n"/>
      <c r="L347" s="109" t="n"/>
      <c r="N347" s="109" t="n"/>
      <c r="O347" s="109" t="n"/>
      <c r="P347" s="109" t="n"/>
      <c r="T347" s="109" t="n"/>
      <c r="U347" s="109" t="n"/>
      <c r="V347" s="109" t="n"/>
      <c r="Z347" s="109" t="n"/>
      <c r="AA347" s="109" t="n"/>
      <c r="AB347" s="109" t="n"/>
      <c r="AF347" s="109" t="n"/>
      <c r="AG347" s="109" t="n"/>
      <c r="AH347" s="109" t="n"/>
      <c r="AL347" s="109" t="n"/>
      <c r="AM347" s="109" t="n"/>
      <c r="AN347" s="109" t="n"/>
    </row>
    <row r="348" ht="15.75" customHeight="1" s="216">
      <c r="D348" s="109" t="n"/>
      <c r="E348" s="109" t="n"/>
      <c r="J348" s="109" t="n"/>
      <c r="K348" s="109" t="n"/>
      <c r="L348" s="109" t="n"/>
      <c r="N348" s="109" t="n"/>
      <c r="O348" s="109" t="n"/>
      <c r="P348" s="109" t="n"/>
      <c r="T348" s="109" t="n"/>
      <c r="U348" s="109" t="n"/>
      <c r="V348" s="109" t="n"/>
      <c r="Z348" s="109" t="n"/>
      <c r="AA348" s="109" t="n"/>
      <c r="AB348" s="109" t="n"/>
      <c r="AF348" s="109" t="n"/>
      <c r="AG348" s="109" t="n"/>
      <c r="AH348" s="109" t="n"/>
      <c r="AL348" s="109" t="n"/>
      <c r="AM348" s="109" t="n"/>
      <c r="AN348" s="109" t="n"/>
    </row>
    <row r="349" ht="15.75" customHeight="1" s="216">
      <c r="D349" s="109" t="n"/>
      <c r="E349" s="109" t="n"/>
      <c r="J349" s="109" t="n"/>
      <c r="K349" s="109" t="n"/>
      <c r="L349" s="109" t="n"/>
      <c r="N349" s="109" t="n"/>
      <c r="O349" s="109" t="n"/>
      <c r="P349" s="109" t="n"/>
      <c r="T349" s="109" t="n"/>
      <c r="U349" s="109" t="n"/>
      <c r="V349" s="109" t="n"/>
      <c r="Z349" s="109" t="n"/>
      <c r="AA349" s="109" t="n"/>
      <c r="AB349" s="109" t="n"/>
      <c r="AF349" s="109" t="n"/>
      <c r="AG349" s="109" t="n"/>
      <c r="AH349" s="109" t="n"/>
      <c r="AL349" s="109" t="n"/>
      <c r="AM349" s="109" t="n"/>
      <c r="AN349" s="109" t="n"/>
    </row>
    <row r="350" ht="15.75" customHeight="1" s="216">
      <c r="D350" s="109" t="n"/>
      <c r="E350" s="109" t="n"/>
      <c r="J350" s="109" t="n"/>
      <c r="K350" s="109" t="n"/>
      <c r="L350" s="109" t="n"/>
      <c r="N350" s="109" t="n"/>
      <c r="O350" s="109" t="n"/>
      <c r="P350" s="109" t="n"/>
      <c r="T350" s="109" t="n"/>
      <c r="U350" s="109" t="n"/>
      <c r="V350" s="109" t="n"/>
      <c r="Z350" s="109" t="n"/>
      <c r="AA350" s="109" t="n"/>
      <c r="AB350" s="109" t="n"/>
      <c r="AF350" s="109" t="n"/>
      <c r="AG350" s="109" t="n"/>
      <c r="AH350" s="109" t="n"/>
      <c r="AL350" s="109" t="n"/>
      <c r="AM350" s="109" t="n"/>
      <c r="AN350" s="109" t="n"/>
    </row>
    <row r="351" ht="15.75" customHeight="1" s="216">
      <c r="D351" s="109" t="n"/>
      <c r="E351" s="109" t="n"/>
      <c r="J351" s="109" t="n"/>
      <c r="K351" s="109" t="n"/>
      <c r="L351" s="109" t="n"/>
      <c r="N351" s="109" t="n"/>
      <c r="O351" s="109" t="n"/>
      <c r="P351" s="109" t="n"/>
      <c r="T351" s="109" t="n"/>
      <c r="U351" s="109" t="n"/>
      <c r="V351" s="109" t="n"/>
      <c r="Z351" s="109" t="n"/>
      <c r="AA351" s="109" t="n"/>
      <c r="AB351" s="109" t="n"/>
      <c r="AF351" s="109" t="n"/>
      <c r="AG351" s="109" t="n"/>
      <c r="AH351" s="109" t="n"/>
      <c r="AL351" s="109" t="n"/>
      <c r="AM351" s="109" t="n"/>
      <c r="AN351" s="109" t="n"/>
    </row>
    <row r="352" ht="15.75" customHeight="1" s="216">
      <c r="D352" s="109" t="n"/>
      <c r="E352" s="109" t="n"/>
      <c r="J352" s="109" t="n"/>
      <c r="K352" s="109" t="n"/>
      <c r="L352" s="109" t="n"/>
      <c r="N352" s="109" t="n"/>
      <c r="O352" s="109" t="n"/>
      <c r="P352" s="109" t="n"/>
      <c r="T352" s="109" t="n"/>
      <c r="U352" s="109" t="n"/>
      <c r="V352" s="109" t="n"/>
      <c r="Z352" s="109" t="n"/>
      <c r="AA352" s="109" t="n"/>
      <c r="AB352" s="109" t="n"/>
      <c r="AF352" s="109" t="n"/>
      <c r="AG352" s="109" t="n"/>
      <c r="AH352" s="109" t="n"/>
      <c r="AL352" s="109" t="n"/>
      <c r="AM352" s="109" t="n"/>
      <c r="AN352" s="109" t="n"/>
    </row>
    <row r="353" ht="15.75" customHeight="1" s="216">
      <c r="D353" s="109" t="n"/>
      <c r="E353" s="109" t="n"/>
      <c r="J353" s="109" t="n"/>
      <c r="K353" s="109" t="n"/>
      <c r="L353" s="109" t="n"/>
      <c r="N353" s="109" t="n"/>
      <c r="O353" s="109" t="n"/>
      <c r="P353" s="109" t="n"/>
      <c r="T353" s="109" t="n"/>
      <c r="U353" s="109" t="n"/>
      <c r="V353" s="109" t="n"/>
      <c r="Z353" s="109" t="n"/>
      <c r="AA353" s="109" t="n"/>
      <c r="AB353" s="109" t="n"/>
      <c r="AF353" s="109" t="n"/>
      <c r="AG353" s="109" t="n"/>
      <c r="AH353" s="109" t="n"/>
      <c r="AL353" s="109" t="n"/>
      <c r="AM353" s="109" t="n"/>
      <c r="AN353" s="109" t="n"/>
    </row>
    <row r="354" ht="15.75" customHeight="1" s="216">
      <c r="D354" s="109" t="n"/>
      <c r="E354" s="109" t="n"/>
      <c r="J354" s="109" t="n"/>
      <c r="K354" s="109" t="n"/>
      <c r="L354" s="109" t="n"/>
      <c r="N354" s="109" t="n"/>
      <c r="O354" s="109" t="n"/>
      <c r="P354" s="109" t="n"/>
      <c r="T354" s="109" t="n"/>
      <c r="U354" s="109" t="n"/>
      <c r="V354" s="109" t="n"/>
      <c r="Z354" s="109" t="n"/>
      <c r="AA354" s="109" t="n"/>
      <c r="AB354" s="109" t="n"/>
      <c r="AF354" s="109" t="n"/>
      <c r="AG354" s="109" t="n"/>
      <c r="AH354" s="109" t="n"/>
      <c r="AL354" s="109" t="n"/>
      <c r="AM354" s="109" t="n"/>
      <c r="AN354" s="109" t="n"/>
    </row>
    <row r="355" ht="15.75" customHeight="1" s="216">
      <c r="D355" s="109" t="n"/>
      <c r="E355" s="109" t="n"/>
      <c r="J355" s="109" t="n"/>
      <c r="K355" s="109" t="n"/>
      <c r="L355" s="109" t="n"/>
      <c r="N355" s="109" t="n"/>
      <c r="O355" s="109" t="n"/>
      <c r="P355" s="109" t="n"/>
      <c r="T355" s="109" t="n"/>
      <c r="U355" s="109" t="n"/>
      <c r="V355" s="109" t="n"/>
      <c r="Z355" s="109" t="n"/>
      <c r="AA355" s="109" t="n"/>
      <c r="AB355" s="109" t="n"/>
      <c r="AF355" s="109" t="n"/>
      <c r="AG355" s="109" t="n"/>
      <c r="AH355" s="109" t="n"/>
      <c r="AL355" s="109" t="n"/>
      <c r="AM355" s="109" t="n"/>
      <c r="AN355" s="109" t="n"/>
    </row>
    <row r="356" ht="15.75" customHeight="1" s="216">
      <c r="D356" s="109" t="n"/>
      <c r="E356" s="109" t="n"/>
      <c r="J356" s="109" t="n"/>
      <c r="K356" s="109" t="n"/>
      <c r="L356" s="109" t="n"/>
      <c r="N356" s="109" t="n"/>
      <c r="O356" s="109" t="n"/>
      <c r="P356" s="109" t="n"/>
      <c r="T356" s="109" t="n"/>
      <c r="U356" s="109" t="n"/>
      <c r="V356" s="109" t="n"/>
      <c r="Z356" s="109" t="n"/>
      <c r="AA356" s="109" t="n"/>
      <c r="AB356" s="109" t="n"/>
      <c r="AF356" s="109" t="n"/>
      <c r="AG356" s="109" t="n"/>
      <c r="AH356" s="109" t="n"/>
      <c r="AL356" s="109" t="n"/>
      <c r="AM356" s="109" t="n"/>
      <c r="AN356" s="109" t="n"/>
    </row>
    <row r="357" ht="15.75" customHeight="1" s="216">
      <c r="D357" s="109" t="n"/>
      <c r="E357" s="109" t="n"/>
      <c r="J357" s="109" t="n"/>
      <c r="K357" s="109" t="n"/>
      <c r="L357" s="109" t="n"/>
      <c r="N357" s="109" t="n"/>
      <c r="O357" s="109" t="n"/>
      <c r="P357" s="109" t="n"/>
      <c r="T357" s="109" t="n"/>
      <c r="U357" s="109" t="n"/>
      <c r="V357" s="109" t="n"/>
      <c r="Z357" s="109" t="n"/>
      <c r="AA357" s="109" t="n"/>
      <c r="AB357" s="109" t="n"/>
      <c r="AF357" s="109" t="n"/>
      <c r="AG357" s="109" t="n"/>
      <c r="AH357" s="109" t="n"/>
      <c r="AL357" s="109" t="n"/>
      <c r="AM357" s="109" t="n"/>
      <c r="AN357" s="109" t="n"/>
    </row>
    <row r="358" ht="15.75" customHeight="1" s="216">
      <c r="D358" s="109" t="n"/>
      <c r="E358" s="109" t="n"/>
      <c r="J358" s="109" t="n"/>
      <c r="K358" s="109" t="n"/>
      <c r="L358" s="109" t="n"/>
      <c r="N358" s="109" t="n"/>
      <c r="O358" s="109" t="n"/>
      <c r="P358" s="109" t="n"/>
      <c r="T358" s="109" t="n"/>
      <c r="U358" s="109" t="n"/>
      <c r="V358" s="109" t="n"/>
      <c r="Z358" s="109" t="n"/>
      <c r="AA358" s="109" t="n"/>
      <c r="AB358" s="109" t="n"/>
      <c r="AF358" s="109" t="n"/>
      <c r="AG358" s="109" t="n"/>
      <c r="AH358" s="109" t="n"/>
      <c r="AL358" s="109" t="n"/>
      <c r="AM358" s="109" t="n"/>
      <c r="AN358" s="109" t="n"/>
    </row>
    <row r="359" ht="15.75" customHeight="1" s="216">
      <c r="D359" s="109" t="n"/>
      <c r="E359" s="109" t="n"/>
      <c r="J359" s="109" t="n"/>
      <c r="K359" s="109" t="n"/>
      <c r="L359" s="109" t="n"/>
      <c r="N359" s="109" t="n"/>
      <c r="O359" s="109" t="n"/>
      <c r="P359" s="109" t="n"/>
      <c r="T359" s="109" t="n"/>
      <c r="U359" s="109" t="n"/>
      <c r="V359" s="109" t="n"/>
      <c r="Z359" s="109" t="n"/>
      <c r="AA359" s="109" t="n"/>
      <c r="AB359" s="109" t="n"/>
      <c r="AF359" s="109" t="n"/>
      <c r="AG359" s="109" t="n"/>
      <c r="AH359" s="109" t="n"/>
      <c r="AL359" s="109" t="n"/>
      <c r="AM359" s="109" t="n"/>
      <c r="AN359" s="109" t="n"/>
    </row>
    <row r="360" ht="15.75" customHeight="1" s="216">
      <c r="D360" s="109" t="n"/>
      <c r="E360" s="109" t="n"/>
      <c r="J360" s="109" t="n"/>
      <c r="K360" s="109" t="n"/>
      <c r="L360" s="109" t="n"/>
      <c r="N360" s="109" t="n"/>
      <c r="O360" s="109" t="n"/>
      <c r="P360" s="109" t="n"/>
      <c r="T360" s="109" t="n"/>
      <c r="U360" s="109" t="n"/>
      <c r="V360" s="109" t="n"/>
      <c r="Z360" s="109" t="n"/>
      <c r="AA360" s="109" t="n"/>
      <c r="AB360" s="109" t="n"/>
      <c r="AF360" s="109" t="n"/>
      <c r="AG360" s="109" t="n"/>
      <c r="AH360" s="109" t="n"/>
      <c r="AL360" s="109" t="n"/>
      <c r="AM360" s="109" t="n"/>
      <c r="AN360" s="109" t="n"/>
    </row>
    <row r="361" ht="15.75" customHeight="1" s="216">
      <c r="D361" s="109" t="n"/>
      <c r="E361" s="109" t="n"/>
      <c r="J361" s="109" t="n"/>
      <c r="K361" s="109" t="n"/>
      <c r="L361" s="109" t="n"/>
      <c r="N361" s="109" t="n"/>
      <c r="O361" s="109" t="n"/>
      <c r="P361" s="109" t="n"/>
      <c r="T361" s="109" t="n"/>
      <c r="U361" s="109" t="n"/>
      <c r="V361" s="109" t="n"/>
      <c r="Z361" s="109" t="n"/>
      <c r="AA361" s="109" t="n"/>
      <c r="AB361" s="109" t="n"/>
      <c r="AF361" s="109" t="n"/>
      <c r="AG361" s="109" t="n"/>
      <c r="AH361" s="109" t="n"/>
      <c r="AL361" s="109" t="n"/>
      <c r="AM361" s="109" t="n"/>
      <c r="AN361" s="109" t="n"/>
    </row>
    <row r="362" ht="15.75" customHeight="1" s="216">
      <c r="D362" s="109" t="n"/>
      <c r="E362" s="109" t="n"/>
      <c r="J362" s="109" t="n"/>
      <c r="K362" s="109" t="n"/>
      <c r="L362" s="109" t="n"/>
      <c r="N362" s="109" t="n"/>
      <c r="O362" s="109" t="n"/>
      <c r="P362" s="109" t="n"/>
      <c r="T362" s="109" t="n"/>
      <c r="U362" s="109" t="n"/>
      <c r="V362" s="109" t="n"/>
      <c r="Z362" s="109" t="n"/>
      <c r="AA362" s="109" t="n"/>
      <c r="AB362" s="109" t="n"/>
      <c r="AF362" s="109" t="n"/>
      <c r="AG362" s="109" t="n"/>
      <c r="AH362" s="109" t="n"/>
      <c r="AL362" s="109" t="n"/>
      <c r="AM362" s="109" t="n"/>
      <c r="AN362" s="109" t="n"/>
    </row>
    <row r="363" ht="15.75" customHeight="1" s="216">
      <c r="D363" s="109" t="n"/>
      <c r="E363" s="109" t="n"/>
      <c r="J363" s="109" t="n"/>
      <c r="K363" s="109" t="n"/>
      <c r="L363" s="109" t="n"/>
      <c r="N363" s="109" t="n"/>
      <c r="O363" s="109" t="n"/>
      <c r="P363" s="109" t="n"/>
      <c r="T363" s="109" t="n"/>
      <c r="U363" s="109" t="n"/>
      <c r="V363" s="109" t="n"/>
      <c r="Z363" s="109" t="n"/>
      <c r="AA363" s="109" t="n"/>
      <c r="AB363" s="109" t="n"/>
      <c r="AF363" s="109" t="n"/>
      <c r="AG363" s="109" t="n"/>
      <c r="AH363" s="109" t="n"/>
      <c r="AL363" s="109" t="n"/>
      <c r="AM363" s="109" t="n"/>
      <c r="AN363" s="109" t="n"/>
    </row>
    <row r="364" ht="15.75" customHeight="1" s="216">
      <c r="D364" s="109" t="n"/>
      <c r="E364" s="109" t="n"/>
      <c r="J364" s="109" t="n"/>
      <c r="K364" s="109" t="n"/>
      <c r="L364" s="109" t="n"/>
      <c r="N364" s="109" t="n"/>
      <c r="O364" s="109" t="n"/>
      <c r="P364" s="109" t="n"/>
      <c r="T364" s="109" t="n"/>
      <c r="U364" s="109" t="n"/>
      <c r="V364" s="109" t="n"/>
      <c r="Z364" s="109" t="n"/>
      <c r="AA364" s="109" t="n"/>
      <c r="AB364" s="109" t="n"/>
      <c r="AF364" s="109" t="n"/>
      <c r="AG364" s="109" t="n"/>
      <c r="AH364" s="109" t="n"/>
      <c r="AL364" s="109" t="n"/>
      <c r="AM364" s="109" t="n"/>
      <c r="AN364" s="109" t="n"/>
    </row>
    <row r="365" ht="15.75" customHeight="1" s="216">
      <c r="D365" s="109" t="n"/>
      <c r="E365" s="109" t="n"/>
      <c r="J365" s="109" t="n"/>
      <c r="K365" s="109" t="n"/>
      <c r="L365" s="109" t="n"/>
      <c r="N365" s="109" t="n"/>
      <c r="O365" s="109" t="n"/>
      <c r="P365" s="109" t="n"/>
      <c r="T365" s="109" t="n"/>
      <c r="U365" s="109" t="n"/>
      <c r="V365" s="109" t="n"/>
      <c r="Z365" s="109" t="n"/>
      <c r="AA365" s="109" t="n"/>
      <c r="AB365" s="109" t="n"/>
      <c r="AF365" s="109" t="n"/>
      <c r="AG365" s="109" t="n"/>
      <c r="AH365" s="109" t="n"/>
      <c r="AL365" s="109" t="n"/>
      <c r="AM365" s="109" t="n"/>
      <c r="AN365" s="109" t="n"/>
    </row>
    <row r="366" ht="15.75" customHeight="1" s="216">
      <c r="D366" s="109" t="n"/>
      <c r="E366" s="109" t="n"/>
      <c r="J366" s="109" t="n"/>
      <c r="K366" s="109" t="n"/>
      <c r="L366" s="109" t="n"/>
      <c r="N366" s="109" t="n"/>
      <c r="O366" s="109" t="n"/>
      <c r="P366" s="109" t="n"/>
      <c r="T366" s="109" t="n"/>
      <c r="U366" s="109" t="n"/>
      <c r="V366" s="109" t="n"/>
      <c r="Z366" s="109" t="n"/>
      <c r="AA366" s="109" t="n"/>
      <c r="AB366" s="109" t="n"/>
      <c r="AF366" s="109" t="n"/>
      <c r="AG366" s="109" t="n"/>
      <c r="AH366" s="109" t="n"/>
      <c r="AL366" s="109" t="n"/>
      <c r="AM366" s="109" t="n"/>
      <c r="AN366" s="109" t="n"/>
    </row>
    <row r="367" ht="15.75" customHeight="1" s="216">
      <c r="D367" s="109" t="n"/>
      <c r="E367" s="109" t="n"/>
      <c r="J367" s="109" t="n"/>
      <c r="K367" s="109" t="n"/>
      <c r="L367" s="109" t="n"/>
      <c r="N367" s="109" t="n"/>
      <c r="O367" s="109" t="n"/>
      <c r="P367" s="109" t="n"/>
      <c r="T367" s="109" t="n"/>
      <c r="U367" s="109" t="n"/>
      <c r="V367" s="109" t="n"/>
      <c r="Z367" s="109" t="n"/>
      <c r="AA367" s="109" t="n"/>
      <c r="AB367" s="109" t="n"/>
      <c r="AF367" s="109" t="n"/>
      <c r="AG367" s="109" t="n"/>
      <c r="AH367" s="109" t="n"/>
      <c r="AL367" s="109" t="n"/>
      <c r="AM367" s="109" t="n"/>
      <c r="AN367" s="109" t="n"/>
    </row>
    <row r="368" ht="15.75" customHeight="1" s="216">
      <c r="D368" s="109" t="n"/>
      <c r="E368" s="109" t="n"/>
      <c r="J368" s="109" t="n"/>
      <c r="K368" s="109" t="n"/>
      <c r="L368" s="109" t="n"/>
      <c r="N368" s="109" t="n"/>
      <c r="O368" s="109" t="n"/>
      <c r="P368" s="109" t="n"/>
      <c r="T368" s="109" t="n"/>
      <c r="U368" s="109" t="n"/>
      <c r="V368" s="109" t="n"/>
      <c r="Z368" s="109" t="n"/>
      <c r="AA368" s="109" t="n"/>
      <c r="AB368" s="109" t="n"/>
      <c r="AF368" s="109" t="n"/>
      <c r="AG368" s="109" t="n"/>
      <c r="AH368" s="109" t="n"/>
      <c r="AL368" s="109" t="n"/>
      <c r="AM368" s="109" t="n"/>
      <c r="AN368" s="109" t="n"/>
    </row>
    <row r="369" ht="15.75" customHeight="1" s="216">
      <c r="D369" s="109" t="n"/>
      <c r="E369" s="109" t="n"/>
      <c r="J369" s="109" t="n"/>
      <c r="K369" s="109" t="n"/>
      <c r="L369" s="109" t="n"/>
      <c r="N369" s="109" t="n"/>
      <c r="O369" s="109" t="n"/>
      <c r="P369" s="109" t="n"/>
      <c r="T369" s="109" t="n"/>
      <c r="U369" s="109" t="n"/>
      <c r="V369" s="109" t="n"/>
      <c r="Z369" s="109" t="n"/>
      <c r="AA369" s="109" t="n"/>
      <c r="AB369" s="109" t="n"/>
      <c r="AF369" s="109" t="n"/>
      <c r="AG369" s="109" t="n"/>
      <c r="AH369" s="109" t="n"/>
      <c r="AL369" s="109" t="n"/>
      <c r="AM369" s="109" t="n"/>
      <c r="AN369" s="109" t="n"/>
    </row>
    <row r="370" ht="15.75" customHeight="1" s="216">
      <c r="D370" s="109" t="n"/>
      <c r="E370" s="109" t="n"/>
      <c r="J370" s="109" t="n"/>
      <c r="K370" s="109" t="n"/>
      <c r="L370" s="109" t="n"/>
      <c r="N370" s="109" t="n"/>
      <c r="O370" s="109" t="n"/>
      <c r="P370" s="109" t="n"/>
      <c r="T370" s="109" t="n"/>
      <c r="U370" s="109" t="n"/>
      <c r="V370" s="109" t="n"/>
      <c r="Z370" s="109" t="n"/>
      <c r="AA370" s="109" t="n"/>
      <c r="AB370" s="109" t="n"/>
      <c r="AF370" s="109" t="n"/>
      <c r="AG370" s="109" t="n"/>
      <c r="AH370" s="109" t="n"/>
      <c r="AL370" s="109" t="n"/>
      <c r="AM370" s="109" t="n"/>
      <c r="AN370" s="109" t="n"/>
    </row>
    <row r="371" ht="15.75" customHeight="1" s="216">
      <c r="D371" s="109" t="n"/>
      <c r="E371" s="109" t="n"/>
      <c r="J371" s="109" t="n"/>
      <c r="K371" s="109" t="n"/>
      <c r="L371" s="109" t="n"/>
      <c r="N371" s="109" t="n"/>
      <c r="O371" s="109" t="n"/>
      <c r="P371" s="109" t="n"/>
      <c r="T371" s="109" t="n"/>
      <c r="U371" s="109" t="n"/>
      <c r="V371" s="109" t="n"/>
      <c r="Z371" s="109" t="n"/>
      <c r="AA371" s="109" t="n"/>
      <c r="AB371" s="109" t="n"/>
      <c r="AF371" s="109" t="n"/>
      <c r="AG371" s="109" t="n"/>
      <c r="AH371" s="109" t="n"/>
      <c r="AL371" s="109" t="n"/>
      <c r="AM371" s="109" t="n"/>
      <c r="AN371" s="109" t="n"/>
    </row>
    <row r="372" ht="15.75" customHeight="1" s="216">
      <c r="D372" s="109" t="n"/>
      <c r="E372" s="109" t="n"/>
      <c r="J372" s="109" t="n"/>
      <c r="K372" s="109" t="n"/>
      <c r="L372" s="109" t="n"/>
      <c r="N372" s="109" t="n"/>
      <c r="O372" s="109" t="n"/>
      <c r="P372" s="109" t="n"/>
      <c r="T372" s="109" t="n"/>
      <c r="U372" s="109" t="n"/>
      <c r="V372" s="109" t="n"/>
      <c r="Z372" s="109" t="n"/>
      <c r="AA372" s="109" t="n"/>
      <c r="AB372" s="109" t="n"/>
      <c r="AF372" s="109" t="n"/>
      <c r="AG372" s="109" t="n"/>
      <c r="AH372" s="109" t="n"/>
      <c r="AL372" s="109" t="n"/>
      <c r="AM372" s="109" t="n"/>
      <c r="AN372" s="109" t="n"/>
    </row>
    <row r="373" ht="15.75" customHeight="1" s="216">
      <c r="D373" s="109" t="n"/>
      <c r="E373" s="109" t="n"/>
      <c r="J373" s="109" t="n"/>
      <c r="K373" s="109" t="n"/>
      <c r="L373" s="109" t="n"/>
      <c r="N373" s="109" t="n"/>
      <c r="O373" s="109" t="n"/>
      <c r="P373" s="109" t="n"/>
      <c r="T373" s="109" t="n"/>
      <c r="U373" s="109" t="n"/>
      <c r="V373" s="109" t="n"/>
      <c r="Z373" s="109" t="n"/>
      <c r="AA373" s="109" t="n"/>
      <c r="AB373" s="109" t="n"/>
      <c r="AF373" s="109" t="n"/>
      <c r="AG373" s="109" t="n"/>
      <c r="AH373" s="109" t="n"/>
      <c r="AL373" s="109" t="n"/>
      <c r="AM373" s="109" t="n"/>
      <c r="AN373" s="109" t="n"/>
    </row>
    <row r="374" ht="15.75" customHeight="1" s="216">
      <c r="D374" s="109" t="n"/>
      <c r="E374" s="109" t="n"/>
      <c r="J374" s="109" t="n"/>
      <c r="K374" s="109" t="n"/>
      <c r="L374" s="109" t="n"/>
      <c r="N374" s="109" t="n"/>
      <c r="O374" s="109" t="n"/>
      <c r="P374" s="109" t="n"/>
      <c r="T374" s="109" t="n"/>
      <c r="U374" s="109" t="n"/>
      <c r="V374" s="109" t="n"/>
      <c r="Z374" s="109" t="n"/>
      <c r="AA374" s="109" t="n"/>
      <c r="AB374" s="109" t="n"/>
      <c r="AF374" s="109" t="n"/>
      <c r="AG374" s="109" t="n"/>
      <c r="AH374" s="109" t="n"/>
      <c r="AL374" s="109" t="n"/>
      <c r="AM374" s="109" t="n"/>
      <c r="AN374" s="109" t="n"/>
    </row>
    <row r="375" ht="15.75" customHeight="1" s="216">
      <c r="D375" s="109" t="n"/>
      <c r="E375" s="109" t="n"/>
      <c r="J375" s="109" t="n"/>
      <c r="K375" s="109" t="n"/>
      <c r="L375" s="109" t="n"/>
      <c r="N375" s="109" t="n"/>
      <c r="O375" s="109" t="n"/>
      <c r="P375" s="109" t="n"/>
      <c r="T375" s="109" t="n"/>
      <c r="U375" s="109" t="n"/>
      <c r="V375" s="109" t="n"/>
      <c r="Z375" s="109" t="n"/>
      <c r="AA375" s="109" t="n"/>
      <c r="AB375" s="109" t="n"/>
      <c r="AF375" s="109" t="n"/>
      <c r="AG375" s="109" t="n"/>
      <c r="AH375" s="109" t="n"/>
      <c r="AL375" s="109" t="n"/>
      <c r="AM375" s="109" t="n"/>
      <c r="AN375" s="109" t="n"/>
    </row>
    <row r="376" ht="15.75" customHeight="1" s="216">
      <c r="D376" s="109" t="n"/>
      <c r="E376" s="109" t="n"/>
      <c r="J376" s="109" t="n"/>
      <c r="K376" s="109" t="n"/>
      <c r="L376" s="109" t="n"/>
      <c r="N376" s="109" t="n"/>
      <c r="O376" s="109" t="n"/>
      <c r="P376" s="109" t="n"/>
      <c r="T376" s="109" t="n"/>
      <c r="U376" s="109" t="n"/>
      <c r="V376" s="109" t="n"/>
      <c r="Z376" s="109" t="n"/>
      <c r="AA376" s="109" t="n"/>
      <c r="AB376" s="109" t="n"/>
      <c r="AF376" s="109" t="n"/>
      <c r="AG376" s="109" t="n"/>
      <c r="AH376" s="109" t="n"/>
      <c r="AL376" s="109" t="n"/>
      <c r="AM376" s="109" t="n"/>
      <c r="AN376" s="109" t="n"/>
    </row>
    <row r="377" ht="15.75" customHeight="1" s="216">
      <c r="D377" s="109" t="n"/>
      <c r="E377" s="109" t="n"/>
      <c r="J377" s="109" t="n"/>
      <c r="K377" s="109" t="n"/>
      <c r="L377" s="109" t="n"/>
      <c r="N377" s="109" t="n"/>
      <c r="O377" s="109" t="n"/>
      <c r="P377" s="109" t="n"/>
      <c r="T377" s="109" t="n"/>
      <c r="U377" s="109" t="n"/>
      <c r="V377" s="109" t="n"/>
      <c r="Z377" s="109" t="n"/>
      <c r="AA377" s="109" t="n"/>
      <c r="AB377" s="109" t="n"/>
      <c r="AF377" s="109" t="n"/>
      <c r="AG377" s="109" t="n"/>
      <c r="AH377" s="109" t="n"/>
      <c r="AL377" s="109" t="n"/>
      <c r="AM377" s="109" t="n"/>
      <c r="AN377" s="109" t="n"/>
    </row>
    <row r="378" ht="15.75" customHeight="1" s="216">
      <c r="D378" s="109" t="n"/>
      <c r="E378" s="109" t="n"/>
      <c r="J378" s="109" t="n"/>
      <c r="K378" s="109" t="n"/>
      <c r="L378" s="109" t="n"/>
      <c r="N378" s="109" t="n"/>
      <c r="O378" s="109" t="n"/>
      <c r="P378" s="109" t="n"/>
      <c r="T378" s="109" t="n"/>
      <c r="U378" s="109" t="n"/>
      <c r="V378" s="109" t="n"/>
      <c r="Z378" s="109" t="n"/>
      <c r="AA378" s="109" t="n"/>
      <c r="AB378" s="109" t="n"/>
      <c r="AF378" s="109" t="n"/>
      <c r="AG378" s="109" t="n"/>
      <c r="AH378" s="109" t="n"/>
      <c r="AL378" s="109" t="n"/>
      <c r="AM378" s="109" t="n"/>
      <c r="AN378" s="109" t="n"/>
    </row>
    <row r="379" ht="15.75" customHeight="1" s="216">
      <c r="D379" s="109" t="n"/>
      <c r="E379" s="109" t="n"/>
      <c r="J379" s="109" t="n"/>
      <c r="K379" s="109" t="n"/>
      <c r="L379" s="109" t="n"/>
      <c r="N379" s="109" t="n"/>
      <c r="O379" s="109" t="n"/>
      <c r="P379" s="109" t="n"/>
      <c r="T379" s="109" t="n"/>
      <c r="U379" s="109" t="n"/>
      <c r="V379" s="109" t="n"/>
      <c r="Z379" s="109" t="n"/>
      <c r="AA379" s="109" t="n"/>
      <c r="AB379" s="109" t="n"/>
      <c r="AF379" s="109" t="n"/>
      <c r="AG379" s="109" t="n"/>
      <c r="AH379" s="109" t="n"/>
      <c r="AL379" s="109" t="n"/>
      <c r="AM379" s="109" t="n"/>
      <c r="AN379" s="109" t="n"/>
    </row>
    <row r="380" ht="15.75" customHeight="1" s="216">
      <c r="D380" s="109" t="n"/>
      <c r="E380" s="109" t="n"/>
      <c r="J380" s="109" t="n"/>
      <c r="K380" s="109" t="n"/>
      <c r="L380" s="109" t="n"/>
      <c r="N380" s="109" t="n"/>
      <c r="O380" s="109" t="n"/>
      <c r="P380" s="109" t="n"/>
      <c r="T380" s="109" t="n"/>
      <c r="U380" s="109" t="n"/>
      <c r="V380" s="109" t="n"/>
      <c r="Z380" s="109" t="n"/>
      <c r="AA380" s="109" t="n"/>
      <c r="AB380" s="109" t="n"/>
      <c r="AF380" s="109" t="n"/>
      <c r="AG380" s="109" t="n"/>
      <c r="AH380" s="109" t="n"/>
      <c r="AL380" s="109" t="n"/>
      <c r="AM380" s="109" t="n"/>
      <c r="AN380" s="109" t="n"/>
    </row>
    <row r="381" ht="15.75" customHeight="1" s="216">
      <c r="D381" s="109" t="n"/>
      <c r="E381" s="109" t="n"/>
      <c r="J381" s="109" t="n"/>
      <c r="K381" s="109" t="n"/>
      <c r="L381" s="109" t="n"/>
      <c r="N381" s="109" t="n"/>
      <c r="O381" s="109" t="n"/>
      <c r="P381" s="109" t="n"/>
      <c r="T381" s="109" t="n"/>
      <c r="U381" s="109" t="n"/>
      <c r="V381" s="109" t="n"/>
      <c r="Z381" s="109" t="n"/>
      <c r="AA381" s="109" t="n"/>
      <c r="AB381" s="109" t="n"/>
      <c r="AF381" s="109" t="n"/>
      <c r="AG381" s="109" t="n"/>
      <c r="AH381" s="109" t="n"/>
      <c r="AL381" s="109" t="n"/>
      <c r="AM381" s="109" t="n"/>
      <c r="AN381" s="109" t="n"/>
    </row>
    <row r="382" ht="15.75" customHeight="1" s="216">
      <c r="D382" s="109" t="n"/>
      <c r="E382" s="109" t="n"/>
      <c r="J382" s="109" t="n"/>
      <c r="K382" s="109" t="n"/>
      <c r="L382" s="109" t="n"/>
      <c r="N382" s="109" t="n"/>
      <c r="O382" s="109" t="n"/>
      <c r="P382" s="109" t="n"/>
      <c r="T382" s="109" t="n"/>
      <c r="U382" s="109" t="n"/>
      <c r="V382" s="109" t="n"/>
      <c r="Z382" s="109" t="n"/>
      <c r="AA382" s="109" t="n"/>
      <c r="AB382" s="109" t="n"/>
      <c r="AF382" s="109" t="n"/>
      <c r="AG382" s="109" t="n"/>
      <c r="AH382" s="109" t="n"/>
      <c r="AL382" s="109" t="n"/>
      <c r="AM382" s="109" t="n"/>
      <c r="AN382" s="109" t="n"/>
    </row>
    <row r="383" ht="15.75" customHeight="1" s="216">
      <c r="D383" s="109" t="n"/>
      <c r="E383" s="109" t="n"/>
      <c r="J383" s="109" t="n"/>
      <c r="K383" s="109" t="n"/>
      <c r="L383" s="109" t="n"/>
      <c r="N383" s="109" t="n"/>
      <c r="O383" s="109" t="n"/>
      <c r="P383" s="109" t="n"/>
      <c r="T383" s="109" t="n"/>
      <c r="U383" s="109" t="n"/>
      <c r="V383" s="109" t="n"/>
      <c r="Z383" s="109" t="n"/>
      <c r="AA383" s="109" t="n"/>
      <c r="AB383" s="109" t="n"/>
      <c r="AF383" s="109" t="n"/>
      <c r="AG383" s="109" t="n"/>
      <c r="AH383" s="109" t="n"/>
      <c r="AL383" s="109" t="n"/>
      <c r="AM383" s="109" t="n"/>
      <c r="AN383" s="109" t="n"/>
    </row>
    <row r="384" ht="15.75" customHeight="1" s="216">
      <c r="D384" s="109" t="n"/>
      <c r="E384" s="109" t="n"/>
      <c r="J384" s="109" t="n"/>
      <c r="K384" s="109" t="n"/>
      <c r="L384" s="109" t="n"/>
      <c r="N384" s="109" t="n"/>
      <c r="O384" s="109" t="n"/>
      <c r="P384" s="109" t="n"/>
      <c r="T384" s="109" t="n"/>
      <c r="U384" s="109" t="n"/>
      <c r="V384" s="109" t="n"/>
      <c r="Z384" s="109" t="n"/>
      <c r="AA384" s="109" t="n"/>
      <c r="AB384" s="109" t="n"/>
      <c r="AF384" s="109" t="n"/>
      <c r="AG384" s="109" t="n"/>
      <c r="AH384" s="109" t="n"/>
      <c r="AL384" s="109" t="n"/>
      <c r="AM384" s="109" t="n"/>
      <c r="AN384" s="109" t="n"/>
    </row>
    <row r="385" ht="15.75" customHeight="1" s="216">
      <c r="D385" s="109" t="n"/>
      <c r="E385" s="109" t="n"/>
      <c r="J385" s="109" t="n"/>
      <c r="K385" s="109" t="n"/>
      <c r="L385" s="109" t="n"/>
      <c r="N385" s="109" t="n"/>
      <c r="O385" s="109" t="n"/>
      <c r="P385" s="109" t="n"/>
      <c r="T385" s="109" t="n"/>
      <c r="U385" s="109" t="n"/>
      <c r="V385" s="109" t="n"/>
      <c r="Z385" s="109" t="n"/>
      <c r="AA385" s="109" t="n"/>
      <c r="AB385" s="109" t="n"/>
      <c r="AF385" s="109" t="n"/>
      <c r="AG385" s="109" t="n"/>
      <c r="AH385" s="109" t="n"/>
      <c r="AL385" s="109" t="n"/>
      <c r="AM385" s="109" t="n"/>
      <c r="AN385" s="109" t="n"/>
    </row>
    <row r="386" ht="15.75" customHeight="1" s="216">
      <c r="D386" s="109" t="n"/>
      <c r="E386" s="109" t="n"/>
      <c r="J386" s="109" t="n"/>
      <c r="K386" s="109" t="n"/>
      <c r="L386" s="109" t="n"/>
      <c r="N386" s="109" t="n"/>
      <c r="O386" s="109" t="n"/>
      <c r="P386" s="109" t="n"/>
      <c r="T386" s="109" t="n"/>
      <c r="U386" s="109" t="n"/>
      <c r="V386" s="109" t="n"/>
      <c r="Z386" s="109" t="n"/>
      <c r="AA386" s="109" t="n"/>
      <c r="AB386" s="109" t="n"/>
      <c r="AF386" s="109" t="n"/>
      <c r="AG386" s="109" t="n"/>
      <c r="AH386" s="109" t="n"/>
      <c r="AL386" s="109" t="n"/>
      <c r="AM386" s="109" t="n"/>
      <c r="AN386" s="109" t="n"/>
    </row>
    <row r="387" ht="15.75" customHeight="1" s="216">
      <c r="D387" s="109" t="n"/>
      <c r="E387" s="109" t="n"/>
      <c r="J387" s="109" t="n"/>
      <c r="K387" s="109" t="n"/>
      <c r="L387" s="109" t="n"/>
      <c r="N387" s="109" t="n"/>
      <c r="O387" s="109" t="n"/>
      <c r="P387" s="109" t="n"/>
      <c r="T387" s="109" t="n"/>
      <c r="U387" s="109" t="n"/>
      <c r="V387" s="109" t="n"/>
      <c r="Z387" s="109" t="n"/>
      <c r="AA387" s="109" t="n"/>
      <c r="AB387" s="109" t="n"/>
      <c r="AF387" s="109" t="n"/>
      <c r="AG387" s="109" t="n"/>
      <c r="AH387" s="109" t="n"/>
      <c r="AL387" s="109" t="n"/>
      <c r="AM387" s="109" t="n"/>
      <c r="AN387" s="109" t="n"/>
    </row>
    <row r="388" ht="15.75" customHeight="1" s="216">
      <c r="D388" s="109" t="n"/>
      <c r="E388" s="109" t="n"/>
      <c r="J388" s="109" t="n"/>
      <c r="K388" s="109" t="n"/>
      <c r="L388" s="109" t="n"/>
      <c r="N388" s="109" t="n"/>
      <c r="O388" s="109" t="n"/>
      <c r="P388" s="109" t="n"/>
      <c r="T388" s="109" t="n"/>
      <c r="U388" s="109" t="n"/>
      <c r="V388" s="109" t="n"/>
      <c r="Z388" s="109" t="n"/>
      <c r="AA388" s="109" t="n"/>
      <c r="AB388" s="109" t="n"/>
      <c r="AF388" s="109" t="n"/>
      <c r="AG388" s="109" t="n"/>
      <c r="AH388" s="109" t="n"/>
      <c r="AL388" s="109" t="n"/>
      <c r="AM388" s="109" t="n"/>
      <c r="AN388" s="109" t="n"/>
    </row>
    <row r="389" ht="15.75" customHeight="1" s="216">
      <c r="D389" s="109" t="n"/>
      <c r="E389" s="109" t="n"/>
      <c r="J389" s="109" t="n"/>
      <c r="K389" s="109" t="n"/>
      <c r="L389" s="109" t="n"/>
      <c r="N389" s="109" t="n"/>
      <c r="O389" s="109" t="n"/>
      <c r="P389" s="109" t="n"/>
      <c r="T389" s="109" t="n"/>
      <c r="U389" s="109" t="n"/>
      <c r="V389" s="109" t="n"/>
      <c r="Z389" s="109" t="n"/>
      <c r="AA389" s="109" t="n"/>
      <c r="AB389" s="109" t="n"/>
      <c r="AF389" s="109" t="n"/>
      <c r="AG389" s="109" t="n"/>
      <c r="AH389" s="109" t="n"/>
      <c r="AL389" s="109" t="n"/>
      <c r="AM389" s="109" t="n"/>
      <c r="AN389" s="109" t="n"/>
    </row>
    <row r="390" ht="15.75" customHeight="1" s="216">
      <c r="D390" s="109" t="n"/>
      <c r="E390" s="109" t="n"/>
      <c r="J390" s="109" t="n"/>
      <c r="K390" s="109" t="n"/>
      <c r="L390" s="109" t="n"/>
      <c r="N390" s="109" t="n"/>
      <c r="O390" s="109" t="n"/>
      <c r="P390" s="109" t="n"/>
      <c r="T390" s="109" t="n"/>
      <c r="U390" s="109" t="n"/>
      <c r="V390" s="109" t="n"/>
      <c r="Z390" s="109" t="n"/>
      <c r="AA390" s="109" t="n"/>
      <c r="AB390" s="109" t="n"/>
      <c r="AF390" s="109" t="n"/>
      <c r="AG390" s="109" t="n"/>
      <c r="AH390" s="109" t="n"/>
      <c r="AL390" s="109" t="n"/>
      <c r="AM390" s="109" t="n"/>
      <c r="AN390" s="109" t="n"/>
    </row>
    <row r="391" ht="15.75" customHeight="1" s="216">
      <c r="D391" s="109" t="n"/>
      <c r="E391" s="109" t="n"/>
      <c r="J391" s="109" t="n"/>
      <c r="K391" s="109" t="n"/>
      <c r="L391" s="109" t="n"/>
      <c r="N391" s="109" t="n"/>
      <c r="O391" s="109" t="n"/>
      <c r="P391" s="109" t="n"/>
      <c r="T391" s="109" t="n"/>
      <c r="U391" s="109" t="n"/>
      <c r="V391" s="109" t="n"/>
      <c r="Z391" s="109" t="n"/>
      <c r="AA391" s="109" t="n"/>
      <c r="AB391" s="109" t="n"/>
      <c r="AF391" s="109" t="n"/>
      <c r="AG391" s="109" t="n"/>
      <c r="AH391" s="109" t="n"/>
      <c r="AL391" s="109" t="n"/>
      <c r="AM391" s="109" t="n"/>
      <c r="AN391" s="109" t="n"/>
    </row>
    <row r="392" ht="15.75" customHeight="1" s="216">
      <c r="D392" s="109" t="n"/>
      <c r="E392" s="109" t="n"/>
      <c r="J392" s="109" t="n"/>
      <c r="K392" s="109" t="n"/>
      <c r="L392" s="109" t="n"/>
      <c r="N392" s="109" t="n"/>
      <c r="O392" s="109" t="n"/>
      <c r="P392" s="109" t="n"/>
      <c r="T392" s="109" t="n"/>
      <c r="U392" s="109" t="n"/>
      <c r="V392" s="109" t="n"/>
      <c r="Z392" s="109" t="n"/>
      <c r="AA392" s="109" t="n"/>
      <c r="AB392" s="109" t="n"/>
      <c r="AF392" s="109" t="n"/>
      <c r="AG392" s="109" t="n"/>
      <c r="AH392" s="109" t="n"/>
      <c r="AL392" s="109" t="n"/>
      <c r="AM392" s="109" t="n"/>
      <c r="AN392" s="109" t="n"/>
    </row>
    <row r="393" ht="15.75" customHeight="1" s="216">
      <c r="D393" s="109" t="n"/>
      <c r="E393" s="109" t="n"/>
      <c r="J393" s="109" t="n"/>
      <c r="K393" s="109" t="n"/>
      <c r="L393" s="109" t="n"/>
      <c r="N393" s="109" t="n"/>
      <c r="O393" s="109" t="n"/>
      <c r="P393" s="109" t="n"/>
      <c r="T393" s="109" t="n"/>
      <c r="U393" s="109" t="n"/>
      <c r="V393" s="109" t="n"/>
      <c r="Z393" s="109" t="n"/>
      <c r="AA393" s="109" t="n"/>
      <c r="AB393" s="109" t="n"/>
      <c r="AF393" s="109" t="n"/>
      <c r="AG393" s="109" t="n"/>
      <c r="AH393" s="109" t="n"/>
      <c r="AL393" s="109" t="n"/>
      <c r="AM393" s="109" t="n"/>
      <c r="AN393" s="109" t="n"/>
    </row>
    <row r="394" ht="15.75" customHeight="1" s="216">
      <c r="D394" s="109" t="n"/>
      <c r="E394" s="109" t="n"/>
      <c r="J394" s="109" t="n"/>
      <c r="K394" s="109" t="n"/>
      <c r="L394" s="109" t="n"/>
      <c r="N394" s="109" t="n"/>
      <c r="O394" s="109" t="n"/>
      <c r="P394" s="109" t="n"/>
      <c r="T394" s="109" t="n"/>
      <c r="U394" s="109" t="n"/>
      <c r="V394" s="109" t="n"/>
      <c r="Z394" s="109" t="n"/>
      <c r="AA394" s="109" t="n"/>
      <c r="AB394" s="109" t="n"/>
      <c r="AF394" s="109" t="n"/>
      <c r="AG394" s="109" t="n"/>
      <c r="AH394" s="109" t="n"/>
      <c r="AL394" s="109" t="n"/>
      <c r="AM394" s="109" t="n"/>
      <c r="AN394" s="109" t="n"/>
    </row>
    <row r="395" ht="15.75" customHeight="1" s="216">
      <c r="D395" s="109" t="n"/>
      <c r="E395" s="109" t="n"/>
      <c r="J395" s="109" t="n"/>
      <c r="K395" s="109" t="n"/>
      <c r="L395" s="109" t="n"/>
      <c r="N395" s="109" t="n"/>
      <c r="O395" s="109" t="n"/>
      <c r="P395" s="109" t="n"/>
      <c r="T395" s="109" t="n"/>
      <c r="U395" s="109" t="n"/>
      <c r="V395" s="109" t="n"/>
      <c r="Z395" s="109" t="n"/>
      <c r="AA395" s="109" t="n"/>
      <c r="AB395" s="109" t="n"/>
      <c r="AF395" s="109" t="n"/>
      <c r="AG395" s="109" t="n"/>
      <c r="AH395" s="109" t="n"/>
      <c r="AL395" s="109" t="n"/>
      <c r="AM395" s="109" t="n"/>
      <c r="AN395" s="109" t="n"/>
    </row>
    <row r="396" ht="15.75" customHeight="1" s="216">
      <c r="D396" s="109" t="n"/>
      <c r="E396" s="109" t="n"/>
      <c r="J396" s="109" t="n"/>
      <c r="K396" s="109" t="n"/>
      <c r="L396" s="109" t="n"/>
      <c r="N396" s="109" t="n"/>
      <c r="O396" s="109" t="n"/>
      <c r="P396" s="109" t="n"/>
      <c r="T396" s="109" t="n"/>
      <c r="U396" s="109" t="n"/>
      <c r="V396" s="109" t="n"/>
      <c r="Z396" s="109" t="n"/>
      <c r="AA396" s="109" t="n"/>
      <c r="AB396" s="109" t="n"/>
      <c r="AF396" s="109" t="n"/>
      <c r="AG396" s="109" t="n"/>
      <c r="AH396" s="109" t="n"/>
      <c r="AL396" s="109" t="n"/>
      <c r="AM396" s="109" t="n"/>
      <c r="AN396" s="109" t="n"/>
    </row>
    <row r="397" ht="15.75" customHeight="1" s="216">
      <c r="D397" s="109" t="n"/>
      <c r="E397" s="109" t="n"/>
      <c r="J397" s="109" t="n"/>
      <c r="K397" s="109" t="n"/>
      <c r="L397" s="109" t="n"/>
      <c r="N397" s="109" t="n"/>
      <c r="O397" s="109" t="n"/>
      <c r="P397" s="109" t="n"/>
      <c r="T397" s="109" t="n"/>
      <c r="U397" s="109" t="n"/>
      <c r="V397" s="109" t="n"/>
      <c r="Z397" s="109" t="n"/>
      <c r="AA397" s="109" t="n"/>
      <c r="AB397" s="109" t="n"/>
      <c r="AF397" s="109" t="n"/>
      <c r="AG397" s="109" t="n"/>
      <c r="AH397" s="109" t="n"/>
      <c r="AL397" s="109" t="n"/>
      <c r="AM397" s="109" t="n"/>
      <c r="AN397" s="109" t="n"/>
    </row>
    <row r="398" ht="15.75" customHeight="1" s="216">
      <c r="D398" s="109" t="n"/>
      <c r="E398" s="109" t="n"/>
      <c r="J398" s="109" t="n"/>
      <c r="K398" s="109" t="n"/>
      <c r="L398" s="109" t="n"/>
      <c r="N398" s="109" t="n"/>
      <c r="O398" s="109" t="n"/>
      <c r="P398" s="109" t="n"/>
      <c r="T398" s="109" t="n"/>
      <c r="U398" s="109" t="n"/>
      <c r="V398" s="109" t="n"/>
      <c r="Z398" s="109" t="n"/>
      <c r="AA398" s="109" t="n"/>
      <c r="AB398" s="109" t="n"/>
      <c r="AF398" s="109" t="n"/>
      <c r="AG398" s="109" t="n"/>
      <c r="AH398" s="109" t="n"/>
      <c r="AL398" s="109" t="n"/>
      <c r="AM398" s="109" t="n"/>
      <c r="AN398" s="109" t="n"/>
    </row>
    <row r="399" ht="15.75" customHeight="1" s="216">
      <c r="D399" s="109" t="n"/>
      <c r="E399" s="109" t="n"/>
      <c r="J399" s="109" t="n"/>
      <c r="K399" s="109" t="n"/>
      <c r="L399" s="109" t="n"/>
      <c r="N399" s="109" t="n"/>
      <c r="O399" s="109" t="n"/>
      <c r="P399" s="109" t="n"/>
      <c r="T399" s="109" t="n"/>
      <c r="U399" s="109" t="n"/>
      <c r="V399" s="109" t="n"/>
      <c r="Z399" s="109" t="n"/>
      <c r="AA399" s="109" t="n"/>
      <c r="AB399" s="109" t="n"/>
      <c r="AF399" s="109" t="n"/>
      <c r="AG399" s="109" t="n"/>
      <c r="AH399" s="109" t="n"/>
      <c r="AL399" s="109" t="n"/>
      <c r="AM399" s="109" t="n"/>
      <c r="AN399" s="109" t="n"/>
    </row>
    <row r="400" ht="15.75" customHeight="1" s="216">
      <c r="D400" s="109" t="n"/>
      <c r="E400" s="109" t="n"/>
      <c r="J400" s="109" t="n"/>
      <c r="K400" s="109" t="n"/>
      <c r="L400" s="109" t="n"/>
      <c r="N400" s="109" t="n"/>
      <c r="O400" s="109" t="n"/>
      <c r="P400" s="109" t="n"/>
      <c r="T400" s="109" t="n"/>
      <c r="U400" s="109" t="n"/>
      <c r="V400" s="109" t="n"/>
      <c r="Z400" s="109" t="n"/>
      <c r="AA400" s="109" t="n"/>
      <c r="AB400" s="109" t="n"/>
      <c r="AF400" s="109" t="n"/>
      <c r="AG400" s="109" t="n"/>
      <c r="AH400" s="109" t="n"/>
      <c r="AL400" s="109" t="n"/>
      <c r="AM400" s="109" t="n"/>
      <c r="AN400" s="109" t="n"/>
    </row>
    <row r="401" ht="15.75" customHeight="1" s="216">
      <c r="D401" s="109" t="n"/>
      <c r="E401" s="109" t="n"/>
      <c r="J401" s="109" t="n"/>
      <c r="K401" s="109" t="n"/>
      <c r="L401" s="109" t="n"/>
      <c r="N401" s="109" t="n"/>
      <c r="O401" s="109" t="n"/>
      <c r="P401" s="109" t="n"/>
      <c r="T401" s="109" t="n"/>
      <c r="U401" s="109" t="n"/>
      <c r="V401" s="109" t="n"/>
      <c r="Z401" s="109" t="n"/>
      <c r="AA401" s="109" t="n"/>
      <c r="AB401" s="109" t="n"/>
      <c r="AF401" s="109" t="n"/>
      <c r="AG401" s="109" t="n"/>
      <c r="AH401" s="109" t="n"/>
      <c r="AL401" s="109" t="n"/>
      <c r="AM401" s="109" t="n"/>
      <c r="AN401" s="109" t="n"/>
    </row>
    <row r="402" ht="15.75" customHeight="1" s="216">
      <c r="D402" s="109" t="n"/>
      <c r="E402" s="109" t="n"/>
      <c r="J402" s="109" t="n"/>
      <c r="K402" s="109" t="n"/>
      <c r="L402" s="109" t="n"/>
      <c r="N402" s="109" t="n"/>
      <c r="O402" s="109" t="n"/>
      <c r="P402" s="109" t="n"/>
      <c r="T402" s="109" t="n"/>
      <c r="U402" s="109" t="n"/>
      <c r="V402" s="109" t="n"/>
      <c r="Z402" s="109" t="n"/>
      <c r="AA402" s="109" t="n"/>
      <c r="AB402" s="109" t="n"/>
      <c r="AF402" s="109" t="n"/>
      <c r="AG402" s="109" t="n"/>
      <c r="AH402" s="109" t="n"/>
      <c r="AL402" s="109" t="n"/>
      <c r="AM402" s="109" t="n"/>
      <c r="AN402" s="109" t="n"/>
    </row>
    <row r="403" ht="15.75" customHeight="1" s="216">
      <c r="D403" s="109" t="n"/>
      <c r="E403" s="109" t="n"/>
      <c r="J403" s="109" t="n"/>
      <c r="K403" s="109" t="n"/>
      <c r="L403" s="109" t="n"/>
      <c r="N403" s="109" t="n"/>
      <c r="O403" s="109" t="n"/>
      <c r="P403" s="109" t="n"/>
      <c r="T403" s="109" t="n"/>
      <c r="U403" s="109" t="n"/>
      <c r="V403" s="109" t="n"/>
      <c r="Z403" s="109" t="n"/>
      <c r="AA403" s="109" t="n"/>
      <c r="AB403" s="109" t="n"/>
      <c r="AF403" s="109" t="n"/>
      <c r="AG403" s="109" t="n"/>
      <c r="AH403" s="109" t="n"/>
      <c r="AL403" s="109" t="n"/>
      <c r="AM403" s="109" t="n"/>
      <c r="AN403" s="109" t="n"/>
    </row>
    <row r="404" ht="15.75" customHeight="1" s="216">
      <c r="D404" s="109" t="n"/>
      <c r="E404" s="109" t="n"/>
      <c r="J404" s="109" t="n"/>
      <c r="K404" s="109" t="n"/>
      <c r="L404" s="109" t="n"/>
      <c r="N404" s="109" t="n"/>
      <c r="O404" s="109" t="n"/>
      <c r="P404" s="109" t="n"/>
      <c r="T404" s="109" t="n"/>
      <c r="U404" s="109" t="n"/>
      <c r="V404" s="109" t="n"/>
      <c r="Z404" s="109" t="n"/>
      <c r="AA404" s="109" t="n"/>
      <c r="AB404" s="109" t="n"/>
      <c r="AF404" s="109" t="n"/>
      <c r="AG404" s="109" t="n"/>
      <c r="AH404" s="109" t="n"/>
      <c r="AL404" s="109" t="n"/>
      <c r="AM404" s="109" t="n"/>
      <c r="AN404" s="109" t="n"/>
    </row>
    <row r="405" ht="15.75" customHeight="1" s="216">
      <c r="D405" s="109" t="n"/>
      <c r="E405" s="109" t="n"/>
      <c r="J405" s="109" t="n"/>
      <c r="K405" s="109" t="n"/>
      <c r="L405" s="109" t="n"/>
      <c r="N405" s="109" t="n"/>
      <c r="O405" s="109" t="n"/>
      <c r="P405" s="109" t="n"/>
      <c r="T405" s="109" t="n"/>
      <c r="U405" s="109" t="n"/>
      <c r="V405" s="109" t="n"/>
      <c r="Z405" s="109" t="n"/>
      <c r="AA405" s="109" t="n"/>
      <c r="AB405" s="109" t="n"/>
      <c r="AF405" s="109" t="n"/>
      <c r="AG405" s="109" t="n"/>
      <c r="AH405" s="109" t="n"/>
      <c r="AL405" s="109" t="n"/>
      <c r="AM405" s="109" t="n"/>
      <c r="AN405" s="109" t="n"/>
    </row>
    <row r="406" ht="15.75" customHeight="1" s="216">
      <c r="D406" s="109" t="n"/>
      <c r="E406" s="109" t="n"/>
      <c r="J406" s="109" t="n"/>
      <c r="K406" s="109" t="n"/>
      <c r="L406" s="109" t="n"/>
      <c r="N406" s="109" t="n"/>
      <c r="O406" s="109" t="n"/>
      <c r="P406" s="109" t="n"/>
      <c r="T406" s="109" t="n"/>
      <c r="U406" s="109" t="n"/>
      <c r="V406" s="109" t="n"/>
      <c r="Z406" s="109" t="n"/>
      <c r="AA406" s="109" t="n"/>
      <c r="AB406" s="109" t="n"/>
      <c r="AF406" s="109" t="n"/>
      <c r="AG406" s="109" t="n"/>
      <c r="AH406" s="109" t="n"/>
      <c r="AL406" s="109" t="n"/>
      <c r="AM406" s="109" t="n"/>
      <c r="AN406" s="109" t="n"/>
    </row>
    <row r="407" ht="15.75" customHeight="1" s="216">
      <c r="D407" s="109" t="n"/>
      <c r="E407" s="109" t="n"/>
      <c r="J407" s="109" t="n"/>
      <c r="K407" s="109" t="n"/>
      <c r="L407" s="109" t="n"/>
      <c r="N407" s="109" t="n"/>
      <c r="O407" s="109" t="n"/>
      <c r="P407" s="109" t="n"/>
      <c r="T407" s="109" t="n"/>
      <c r="U407" s="109" t="n"/>
      <c r="V407" s="109" t="n"/>
      <c r="Z407" s="109" t="n"/>
      <c r="AA407" s="109" t="n"/>
      <c r="AB407" s="109" t="n"/>
      <c r="AF407" s="109" t="n"/>
      <c r="AG407" s="109" t="n"/>
      <c r="AH407" s="109" t="n"/>
      <c r="AL407" s="109" t="n"/>
      <c r="AM407" s="109" t="n"/>
      <c r="AN407" s="109" t="n"/>
    </row>
    <row r="408" ht="15.75" customHeight="1" s="216">
      <c r="D408" s="109" t="n"/>
      <c r="E408" s="109" t="n"/>
      <c r="J408" s="109" t="n"/>
      <c r="K408" s="109" t="n"/>
      <c r="L408" s="109" t="n"/>
      <c r="N408" s="109" t="n"/>
      <c r="O408" s="109" t="n"/>
      <c r="P408" s="109" t="n"/>
      <c r="T408" s="109" t="n"/>
      <c r="U408" s="109" t="n"/>
      <c r="V408" s="109" t="n"/>
      <c r="Z408" s="109" t="n"/>
      <c r="AA408" s="109" t="n"/>
      <c r="AB408" s="109" t="n"/>
      <c r="AF408" s="109" t="n"/>
      <c r="AG408" s="109" t="n"/>
      <c r="AH408" s="109" t="n"/>
      <c r="AL408" s="109" t="n"/>
      <c r="AM408" s="109" t="n"/>
      <c r="AN408" s="109" t="n"/>
    </row>
    <row r="409" ht="15.75" customHeight="1" s="216">
      <c r="D409" s="109" t="n"/>
      <c r="E409" s="109" t="n"/>
      <c r="J409" s="109" t="n"/>
      <c r="K409" s="109" t="n"/>
      <c r="L409" s="109" t="n"/>
      <c r="N409" s="109" t="n"/>
      <c r="O409" s="109" t="n"/>
      <c r="P409" s="109" t="n"/>
      <c r="T409" s="109" t="n"/>
      <c r="U409" s="109" t="n"/>
      <c r="V409" s="109" t="n"/>
      <c r="Z409" s="109" t="n"/>
      <c r="AA409" s="109" t="n"/>
      <c r="AB409" s="109" t="n"/>
      <c r="AF409" s="109" t="n"/>
      <c r="AG409" s="109" t="n"/>
      <c r="AH409" s="109" t="n"/>
      <c r="AL409" s="109" t="n"/>
      <c r="AM409" s="109" t="n"/>
      <c r="AN409" s="109" t="n"/>
    </row>
    <row r="410" ht="15.75" customHeight="1" s="216">
      <c r="D410" s="109" t="n"/>
      <c r="E410" s="109" t="n"/>
      <c r="J410" s="109" t="n"/>
      <c r="K410" s="109" t="n"/>
      <c r="L410" s="109" t="n"/>
      <c r="N410" s="109" t="n"/>
      <c r="O410" s="109" t="n"/>
      <c r="P410" s="109" t="n"/>
      <c r="T410" s="109" t="n"/>
      <c r="U410" s="109" t="n"/>
      <c r="V410" s="109" t="n"/>
      <c r="Z410" s="109" t="n"/>
      <c r="AA410" s="109" t="n"/>
      <c r="AB410" s="109" t="n"/>
      <c r="AF410" s="109" t="n"/>
      <c r="AG410" s="109" t="n"/>
      <c r="AH410" s="109" t="n"/>
      <c r="AL410" s="109" t="n"/>
      <c r="AM410" s="109" t="n"/>
      <c r="AN410" s="109" t="n"/>
    </row>
    <row r="411" ht="15.75" customHeight="1" s="216">
      <c r="D411" s="109" t="n"/>
      <c r="E411" s="109" t="n"/>
      <c r="J411" s="109" t="n"/>
      <c r="K411" s="109" t="n"/>
      <c r="L411" s="109" t="n"/>
      <c r="N411" s="109" t="n"/>
      <c r="O411" s="109" t="n"/>
      <c r="P411" s="109" t="n"/>
      <c r="T411" s="109" t="n"/>
      <c r="U411" s="109" t="n"/>
      <c r="V411" s="109" t="n"/>
      <c r="Z411" s="109" t="n"/>
      <c r="AA411" s="109" t="n"/>
      <c r="AB411" s="109" t="n"/>
      <c r="AF411" s="109" t="n"/>
      <c r="AG411" s="109" t="n"/>
      <c r="AH411" s="109" t="n"/>
      <c r="AL411" s="109" t="n"/>
      <c r="AM411" s="109" t="n"/>
      <c r="AN411" s="109" t="n"/>
    </row>
    <row r="412" ht="15.75" customHeight="1" s="216">
      <c r="D412" s="109" t="n"/>
      <c r="E412" s="109" t="n"/>
      <c r="J412" s="109" t="n"/>
      <c r="K412" s="109" t="n"/>
      <c r="L412" s="109" t="n"/>
      <c r="N412" s="109" t="n"/>
      <c r="O412" s="109" t="n"/>
      <c r="P412" s="109" t="n"/>
      <c r="T412" s="109" t="n"/>
      <c r="U412" s="109" t="n"/>
      <c r="V412" s="109" t="n"/>
      <c r="Z412" s="109" t="n"/>
      <c r="AA412" s="109" t="n"/>
      <c r="AB412" s="109" t="n"/>
      <c r="AF412" s="109" t="n"/>
      <c r="AG412" s="109" t="n"/>
      <c r="AH412" s="109" t="n"/>
      <c r="AL412" s="109" t="n"/>
      <c r="AM412" s="109" t="n"/>
      <c r="AN412" s="109" t="n"/>
    </row>
    <row r="413" ht="15.75" customHeight="1" s="216">
      <c r="D413" s="109" t="n"/>
      <c r="E413" s="109" t="n"/>
      <c r="J413" s="109" t="n"/>
      <c r="K413" s="109" t="n"/>
      <c r="L413" s="109" t="n"/>
      <c r="N413" s="109" t="n"/>
      <c r="O413" s="109" t="n"/>
      <c r="P413" s="109" t="n"/>
      <c r="T413" s="109" t="n"/>
      <c r="U413" s="109" t="n"/>
      <c r="V413" s="109" t="n"/>
      <c r="Z413" s="109" t="n"/>
      <c r="AA413" s="109" t="n"/>
      <c r="AB413" s="109" t="n"/>
      <c r="AF413" s="109" t="n"/>
      <c r="AG413" s="109" t="n"/>
      <c r="AH413" s="109" t="n"/>
      <c r="AL413" s="109" t="n"/>
      <c r="AM413" s="109" t="n"/>
      <c r="AN413" s="109" t="n"/>
    </row>
    <row r="414" ht="15.75" customHeight="1" s="216">
      <c r="D414" s="109" t="n"/>
      <c r="E414" s="109" t="n"/>
      <c r="J414" s="109" t="n"/>
      <c r="K414" s="109" t="n"/>
      <c r="L414" s="109" t="n"/>
      <c r="N414" s="109" t="n"/>
      <c r="O414" s="109" t="n"/>
      <c r="P414" s="109" t="n"/>
      <c r="T414" s="109" t="n"/>
      <c r="U414" s="109" t="n"/>
      <c r="V414" s="109" t="n"/>
      <c r="Z414" s="109" t="n"/>
      <c r="AA414" s="109" t="n"/>
      <c r="AB414" s="109" t="n"/>
      <c r="AF414" s="109" t="n"/>
      <c r="AG414" s="109" t="n"/>
      <c r="AH414" s="109" t="n"/>
      <c r="AL414" s="109" t="n"/>
      <c r="AM414" s="109" t="n"/>
      <c r="AN414" s="109" t="n"/>
    </row>
    <row r="415" ht="15.75" customHeight="1" s="216">
      <c r="D415" s="109" t="n"/>
      <c r="E415" s="109" t="n"/>
      <c r="J415" s="109" t="n"/>
      <c r="K415" s="109" t="n"/>
      <c r="L415" s="109" t="n"/>
      <c r="N415" s="109" t="n"/>
      <c r="O415" s="109" t="n"/>
      <c r="P415" s="109" t="n"/>
      <c r="T415" s="109" t="n"/>
      <c r="U415" s="109" t="n"/>
      <c r="V415" s="109" t="n"/>
      <c r="Z415" s="109" t="n"/>
      <c r="AA415" s="109" t="n"/>
      <c r="AB415" s="109" t="n"/>
      <c r="AF415" s="109" t="n"/>
      <c r="AG415" s="109" t="n"/>
      <c r="AH415" s="109" t="n"/>
      <c r="AL415" s="109" t="n"/>
      <c r="AM415" s="109" t="n"/>
      <c r="AN415" s="109" t="n"/>
    </row>
    <row r="416" ht="15.75" customHeight="1" s="216">
      <c r="D416" s="109" t="n"/>
      <c r="E416" s="109" t="n"/>
      <c r="J416" s="109" t="n"/>
      <c r="K416" s="109" t="n"/>
      <c r="L416" s="109" t="n"/>
      <c r="N416" s="109" t="n"/>
      <c r="O416" s="109" t="n"/>
      <c r="P416" s="109" t="n"/>
      <c r="T416" s="109" t="n"/>
      <c r="U416" s="109" t="n"/>
      <c r="V416" s="109" t="n"/>
      <c r="Z416" s="109" t="n"/>
      <c r="AA416" s="109" t="n"/>
      <c r="AB416" s="109" t="n"/>
      <c r="AF416" s="109" t="n"/>
      <c r="AG416" s="109" t="n"/>
      <c r="AH416" s="109" t="n"/>
      <c r="AL416" s="109" t="n"/>
      <c r="AM416" s="109" t="n"/>
      <c r="AN416" s="109" t="n"/>
    </row>
    <row r="417" ht="15.75" customHeight="1" s="216">
      <c r="D417" s="109" t="n"/>
      <c r="E417" s="109" t="n"/>
      <c r="J417" s="109" t="n"/>
      <c r="K417" s="109" t="n"/>
      <c r="L417" s="109" t="n"/>
      <c r="N417" s="109" t="n"/>
      <c r="O417" s="109" t="n"/>
      <c r="P417" s="109" t="n"/>
      <c r="T417" s="109" t="n"/>
      <c r="U417" s="109" t="n"/>
      <c r="V417" s="109" t="n"/>
      <c r="Z417" s="109" t="n"/>
      <c r="AA417" s="109" t="n"/>
      <c r="AB417" s="109" t="n"/>
      <c r="AF417" s="109" t="n"/>
      <c r="AG417" s="109" t="n"/>
      <c r="AH417" s="109" t="n"/>
      <c r="AL417" s="109" t="n"/>
      <c r="AM417" s="109" t="n"/>
      <c r="AN417" s="109" t="n"/>
    </row>
    <row r="418" ht="15.75" customHeight="1" s="216">
      <c r="D418" s="109" t="n"/>
      <c r="E418" s="109" t="n"/>
      <c r="J418" s="109" t="n"/>
      <c r="K418" s="109" t="n"/>
      <c r="L418" s="109" t="n"/>
      <c r="N418" s="109" t="n"/>
      <c r="O418" s="109" t="n"/>
      <c r="P418" s="109" t="n"/>
      <c r="T418" s="109" t="n"/>
      <c r="U418" s="109" t="n"/>
      <c r="V418" s="109" t="n"/>
      <c r="Z418" s="109" t="n"/>
      <c r="AA418" s="109" t="n"/>
      <c r="AB418" s="109" t="n"/>
      <c r="AF418" s="109" t="n"/>
      <c r="AG418" s="109" t="n"/>
      <c r="AH418" s="109" t="n"/>
      <c r="AL418" s="109" t="n"/>
      <c r="AM418" s="109" t="n"/>
      <c r="AN418" s="109" t="n"/>
    </row>
    <row r="419" ht="15.75" customHeight="1" s="216">
      <c r="D419" s="109" t="n"/>
      <c r="E419" s="109" t="n"/>
      <c r="J419" s="109" t="n"/>
      <c r="K419" s="109" t="n"/>
      <c r="L419" s="109" t="n"/>
      <c r="N419" s="109" t="n"/>
      <c r="O419" s="109" t="n"/>
      <c r="P419" s="109" t="n"/>
      <c r="T419" s="109" t="n"/>
      <c r="U419" s="109" t="n"/>
      <c r="V419" s="109" t="n"/>
      <c r="Z419" s="109" t="n"/>
      <c r="AA419" s="109" t="n"/>
      <c r="AB419" s="109" t="n"/>
      <c r="AF419" s="109" t="n"/>
      <c r="AG419" s="109" t="n"/>
      <c r="AH419" s="109" t="n"/>
      <c r="AL419" s="109" t="n"/>
      <c r="AM419" s="109" t="n"/>
      <c r="AN419" s="109" t="n"/>
    </row>
    <row r="420" ht="15.75" customHeight="1" s="216">
      <c r="D420" s="109" t="n"/>
      <c r="E420" s="109" t="n"/>
      <c r="J420" s="109" t="n"/>
      <c r="K420" s="109" t="n"/>
      <c r="L420" s="109" t="n"/>
      <c r="N420" s="109" t="n"/>
      <c r="O420" s="109" t="n"/>
      <c r="P420" s="109" t="n"/>
      <c r="T420" s="109" t="n"/>
      <c r="U420" s="109" t="n"/>
      <c r="V420" s="109" t="n"/>
      <c r="Z420" s="109" t="n"/>
      <c r="AA420" s="109" t="n"/>
      <c r="AB420" s="109" t="n"/>
      <c r="AF420" s="109" t="n"/>
      <c r="AG420" s="109" t="n"/>
      <c r="AH420" s="109" t="n"/>
      <c r="AL420" s="109" t="n"/>
      <c r="AM420" s="109" t="n"/>
      <c r="AN420" s="109" t="n"/>
    </row>
    <row r="421" ht="15.75" customHeight="1" s="216">
      <c r="D421" s="109" t="n"/>
      <c r="E421" s="109" t="n"/>
      <c r="J421" s="109" t="n"/>
      <c r="K421" s="109" t="n"/>
      <c r="L421" s="109" t="n"/>
      <c r="N421" s="109" t="n"/>
      <c r="O421" s="109" t="n"/>
      <c r="P421" s="109" t="n"/>
      <c r="T421" s="109" t="n"/>
      <c r="U421" s="109" t="n"/>
      <c r="V421" s="109" t="n"/>
      <c r="Z421" s="109" t="n"/>
      <c r="AA421" s="109" t="n"/>
      <c r="AB421" s="109" t="n"/>
      <c r="AF421" s="109" t="n"/>
      <c r="AG421" s="109" t="n"/>
      <c r="AH421" s="109" t="n"/>
      <c r="AL421" s="109" t="n"/>
      <c r="AM421" s="109" t="n"/>
      <c r="AN421" s="109" t="n"/>
    </row>
    <row r="422" ht="15.75" customHeight="1" s="216">
      <c r="D422" s="109" t="n"/>
      <c r="E422" s="109" t="n"/>
      <c r="J422" s="109" t="n"/>
      <c r="K422" s="109" t="n"/>
      <c r="L422" s="109" t="n"/>
      <c r="N422" s="109" t="n"/>
      <c r="O422" s="109" t="n"/>
      <c r="P422" s="109" t="n"/>
      <c r="T422" s="109" t="n"/>
      <c r="U422" s="109" t="n"/>
      <c r="V422" s="109" t="n"/>
      <c r="Z422" s="109" t="n"/>
      <c r="AA422" s="109" t="n"/>
      <c r="AB422" s="109" t="n"/>
      <c r="AF422" s="109" t="n"/>
      <c r="AG422" s="109" t="n"/>
      <c r="AH422" s="109" t="n"/>
      <c r="AL422" s="109" t="n"/>
      <c r="AM422" s="109" t="n"/>
      <c r="AN422" s="109" t="n"/>
    </row>
    <row r="423" ht="15.75" customHeight="1" s="216">
      <c r="D423" s="109" t="n"/>
      <c r="E423" s="109" t="n"/>
      <c r="J423" s="109" t="n"/>
      <c r="K423" s="109" t="n"/>
      <c r="L423" s="109" t="n"/>
      <c r="N423" s="109" t="n"/>
      <c r="O423" s="109" t="n"/>
      <c r="P423" s="109" t="n"/>
      <c r="T423" s="109" t="n"/>
      <c r="U423" s="109" t="n"/>
      <c r="V423" s="109" t="n"/>
      <c r="Z423" s="109" t="n"/>
      <c r="AA423" s="109" t="n"/>
      <c r="AB423" s="109" t="n"/>
      <c r="AF423" s="109" t="n"/>
      <c r="AG423" s="109" t="n"/>
      <c r="AH423" s="109" t="n"/>
      <c r="AL423" s="109" t="n"/>
      <c r="AM423" s="109" t="n"/>
      <c r="AN423" s="109" t="n"/>
    </row>
    <row r="424" ht="15.75" customHeight="1" s="216">
      <c r="D424" s="109" t="n"/>
      <c r="E424" s="109" t="n"/>
      <c r="J424" s="109" t="n"/>
      <c r="K424" s="109" t="n"/>
      <c r="L424" s="109" t="n"/>
      <c r="N424" s="109" t="n"/>
      <c r="O424" s="109" t="n"/>
      <c r="P424" s="109" t="n"/>
      <c r="T424" s="109" t="n"/>
      <c r="U424" s="109" t="n"/>
      <c r="V424" s="109" t="n"/>
      <c r="Z424" s="109" t="n"/>
      <c r="AA424" s="109" t="n"/>
      <c r="AB424" s="109" t="n"/>
      <c r="AF424" s="109" t="n"/>
      <c r="AG424" s="109" t="n"/>
      <c r="AH424" s="109" t="n"/>
      <c r="AL424" s="109" t="n"/>
      <c r="AM424" s="109" t="n"/>
      <c r="AN424" s="109" t="n"/>
    </row>
    <row r="425" ht="15.75" customHeight="1" s="216">
      <c r="D425" s="109" t="n"/>
      <c r="E425" s="109" t="n"/>
      <c r="J425" s="109" t="n"/>
      <c r="K425" s="109" t="n"/>
      <c r="L425" s="109" t="n"/>
      <c r="N425" s="109" t="n"/>
      <c r="O425" s="109" t="n"/>
      <c r="P425" s="109" t="n"/>
      <c r="T425" s="109" t="n"/>
      <c r="U425" s="109" t="n"/>
      <c r="V425" s="109" t="n"/>
      <c r="Z425" s="109" t="n"/>
      <c r="AA425" s="109" t="n"/>
      <c r="AB425" s="109" t="n"/>
      <c r="AF425" s="109" t="n"/>
      <c r="AG425" s="109" t="n"/>
      <c r="AH425" s="109" t="n"/>
      <c r="AL425" s="109" t="n"/>
      <c r="AM425" s="109" t="n"/>
      <c r="AN425" s="109" t="n"/>
    </row>
    <row r="426" ht="15.75" customHeight="1" s="216">
      <c r="D426" s="109" t="n"/>
      <c r="E426" s="109" t="n"/>
      <c r="J426" s="109" t="n"/>
      <c r="K426" s="109" t="n"/>
      <c r="L426" s="109" t="n"/>
      <c r="N426" s="109" t="n"/>
      <c r="O426" s="109" t="n"/>
      <c r="P426" s="109" t="n"/>
      <c r="T426" s="109" t="n"/>
      <c r="U426" s="109" t="n"/>
      <c r="V426" s="109" t="n"/>
      <c r="Z426" s="109" t="n"/>
      <c r="AA426" s="109" t="n"/>
      <c r="AB426" s="109" t="n"/>
      <c r="AF426" s="109" t="n"/>
      <c r="AG426" s="109" t="n"/>
      <c r="AH426" s="109" t="n"/>
      <c r="AL426" s="109" t="n"/>
      <c r="AM426" s="109" t="n"/>
      <c r="AN426" s="109" t="n"/>
    </row>
    <row r="427" ht="15.75" customHeight="1" s="216">
      <c r="D427" s="109" t="n"/>
      <c r="E427" s="109" t="n"/>
      <c r="J427" s="109" t="n"/>
      <c r="K427" s="109" t="n"/>
      <c r="L427" s="109" t="n"/>
      <c r="N427" s="109" t="n"/>
      <c r="O427" s="109" t="n"/>
      <c r="P427" s="109" t="n"/>
      <c r="T427" s="109" t="n"/>
      <c r="U427" s="109" t="n"/>
      <c r="V427" s="109" t="n"/>
      <c r="Z427" s="109" t="n"/>
      <c r="AA427" s="109" t="n"/>
      <c r="AB427" s="109" t="n"/>
      <c r="AF427" s="109" t="n"/>
      <c r="AG427" s="109" t="n"/>
      <c r="AH427" s="109" t="n"/>
      <c r="AL427" s="109" t="n"/>
      <c r="AM427" s="109" t="n"/>
      <c r="AN427" s="109" t="n"/>
    </row>
    <row r="428" ht="15.75" customHeight="1" s="216">
      <c r="D428" s="109" t="n"/>
      <c r="E428" s="109" t="n"/>
      <c r="J428" s="109" t="n"/>
      <c r="K428" s="109" t="n"/>
      <c r="L428" s="109" t="n"/>
      <c r="N428" s="109" t="n"/>
      <c r="O428" s="109" t="n"/>
      <c r="P428" s="109" t="n"/>
      <c r="T428" s="109" t="n"/>
      <c r="U428" s="109" t="n"/>
      <c r="V428" s="109" t="n"/>
      <c r="Z428" s="109" t="n"/>
      <c r="AA428" s="109" t="n"/>
      <c r="AB428" s="109" t="n"/>
      <c r="AF428" s="109" t="n"/>
      <c r="AG428" s="109" t="n"/>
      <c r="AH428" s="109" t="n"/>
      <c r="AL428" s="109" t="n"/>
      <c r="AM428" s="109" t="n"/>
      <c r="AN428" s="109" t="n"/>
    </row>
    <row r="429" ht="15.75" customHeight="1" s="216">
      <c r="D429" s="109" t="n"/>
      <c r="E429" s="109" t="n"/>
      <c r="J429" s="109" t="n"/>
      <c r="K429" s="109" t="n"/>
      <c r="L429" s="109" t="n"/>
      <c r="N429" s="109" t="n"/>
      <c r="O429" s="109" t="n"/>
      <c r="P429" s="109" t="n"/>
      <c r="T429" s="109" t="n"/>
      <c r="U429" s="109" t="n"/>
      <c r="V429" s="109" t="n"/>
      <c r="Z429" s="109" t="n"/>
      <c r="AA429" s="109" t="n"/>
      <c r="AB429" s="109" t="n"/>
      <c r="AF429" s="109" t="n"/>
      <c r="AG429" s="109" t="n"/>
      <c r="AH429" s="109" t="n"/>
      <c r="AL429" s="109" t="n"/>
      <c r="AM429" s="109" t="n"/>
      <c r="AN429" s="109" t="n"/>
    </row>
    <row r="430" ht="15.75" customHeight="1" s="216">
      <c r="D430" s="109" t="n"/>
      <c r="E430" s="109" t="n"/>
      <c r="J430" s="109" t="n"/>
      <c r="K430" s="109" t="n"/>
      <c r="L430" s="109" t="n"/>
      <c r="N430" s="109" t="n"/>
      <c r="O430" s="109" t="n"/>
      <c r="P430" s="109" t="n"/>
      <c r="T430" s="109" t="n"/>
      <c r="U430" s="109" t="n"/>
      <c r="V430" s="109" t="n"/>
      <c r="Z430" s="109" t="n"/>
      <c r="AA430" s="109" t="n"/>
      <c r="AB430" s="109" t="n"/>
      <c r="AF430" s="109" t="n"/>
      <c r="AG430" s="109" t="n"/>
      <c r="AH430" s="109" t="n"/>
      <c r="AL430" s="109" t="n"/>
      <c r="AM430" s="109" t="n"/>
      <c r="AN430" s="109" t="n"/>
    </row>
    <row r="431" ht="15.75" customHeight="1" s="216">
      <c r="D431" s="109" t="n"/>
      <c r="E431" s="109" t="n"/>
      <c r="J431" s="109" t="n"/>
      <c r="K431" s="109" t="n"/>
      <c r="L431" s="109" t="n"/>
      <c r="N431" s="109" t="n"/>
      <c r="O431" s="109" t="n"/>
      <c r="P431" s="109" t="n"/>
      <c r="T431" s="109" t="n"/>
      <c r="U431" s="109" t="n"/>
      <c r="V431" s="109" t="n"/>
      <c r="Z431" s="109" t="n"/>
      <c r="AA431" s="109" t="n"/>
      <c r="AB431" s="109" t="n"/>
      <c r="AF431" s="109" t="n"/>
      <c r="AG431" s="109" t="n"/>
      <c r="AH431" s="109" t="n"/>
      <c r="AL431" s="109" t="n"/>
      <c r="AM431" s="109" t="n"/>
      <c r="AN431" s="109" t="n"/>
    </row>
    <row r="432" ht="15.75" customHeight="1" s="216">
      <c r="D432" s="109" t="n"/>
      <c r="E432" s="109" t="n"/>
      <c r="J432" s="109" t="n"/>
      <c r="K432" s="109" t="n"/>
      <c r="L432" s="109" t="n"/>
      <c r="N432" s="109" t="n"/>
      <c r="O432" s="109" t="n"/>
      <c r="P432" s="109" t="n"/>
      <c r="T432" s="109" t="n"/>
      <c r="U432" s="109" t="n"/>
      <c r="V432" s="109" t="n"/>
      <c r="Z432" s="109" t="n"/>
      <c r="AA432" s="109" t="n"/>
      <c r="AB432" s="109" t="n"/>
      <c r="AF432" s="109" t="n"/>
      <c r="AG432" s="109" t="n"/>
      <c r="AH432" s="109" t="n"/>
      <c r="AL432" s="109" t="n"/>
      <c r="AM432" s="109" t="n"/>
      <c r="AN432" s="109" t="n"/>
    </row>
    <row r="433" ht="15.75" customHeight="1" s="216">
      <c r="D433" s="109" t="n"/>
      <c r="E433" s="109" t="n"/>
      <c r="J433" s="109" t="n"/>
      <c r="K433" s="109" t="n"/>
      <c r="L433" s="109" t="n"/>
      <c r="N433" s="109" t="n"/>
      <c r="O433" s="109" t="n"/>
      <c r="P433" s="109" t="n"/>
      <c r="T433" s="109" t="n"/>
      <c r="U433" s="109" t="n"/>
      <c r="V433" s="109" t="n"/>
      <c r="Z433" s="109" t="n"/>
      <c r="AA433" s="109" t="n"/>
      <c r="AB433" s="109" t="n"/>
      <c r="AF433" s="109" t="n"/>
      <c r="AG433" s="109" t="n"/>
      <c r="AH433" s="109" t="n"/>
      <c r="AL433" s="109" t="n"/>
      <c r="AM433" s="109" t="n"/>
      <c r="AN433" s="109" t="n"/>
    </row>
    <row r="434" ht="15.75" customHeight="1" s="216">
      <c r="D434" s="109" t="n"/>
      <c r="E434" s="109" t="n"/>
      <c r="J434" s="109" t="n"/>
      <c r="K434" s="109" t="n"/>
      <c r="L434" s="109" t="n"/>
      <c r="N434" s="109" t="n"/>
      <c r="O434" s="109" t="n"/>
      <c r="P434" s="109" t="n"/>
      <c r="T434" s="109" t="n"/>
      <c r="U434" s="109" t="n"/>
      <c r="V434" s="109" t="n"/>
      <c r="Z434" s="109" t="n"/>
      <c r="AA434" s="109" t="n"/>
      <c r="AB434" s="109" t="n"/>
      <c r="AF434" s="109" t="n"/>
      <c r="AG434" s="109" t="n"/>
      <c r="AH434" s="109" t="n"/>
      <c r="AL434" s="109" t="n"/>
      <c r="AM434" s="109" t="n"/>
      <c r="AN434" s="109" t="n"/>
    </row>
    <row r="435" ht="15.75" customHeight="1" s="216">
      <c r="D435" s="109" t="n"/>
      <c r="E435" s="109" t="n"/>
      <c r="J435" s="109" t="n"/>
      <c r="K435" s="109" t="n"/>
      <c r="L435" s="109" t="n"/>
      <c r="N435" s="109" t="n"/>
      <c r="O435" s="109" t="n"/>
      <c r="P435" s="109" t="n"/>
      <c r="T435" s="109" t="n"/>
      <c r="U435" s="109" t="n"/>
      <c r="V435" s="109" t="n"/>
      <c r="Z435" s="109" t="n"/>
      <c r="AA435" s="109" t="n"/>
      <c r="AB435" s="109" t="n"/>
      <c r="AF435" s="109" t="n"/>
      <c r="AG435" s="109" t="n"/>
      <c r="AH435" s="109" t="n"/>
      <c r="AL435" s="109" t="n"/>
      <c r="AM435" s="109" t="n"/>
      <c r="AN435" s="109" t="n"/>
    </row>
    <row r="436" ht="15.75" customHeight="1" s="216">
      <c r="D436" s="109" t="n"/>
      <c r="E436" s="109" t="n"/>
      <c r="J436" s="109" t="n"/>
      <c r="K436" s="109" t="n"/>
      <c r="L436" s="109" t="n"/>
      <c r="N436" s="109" t="n"/>
      <c r="O436" s="109" t="n"/>
      <c r="P436" s="109" t="n"/>
      <c r="T436" s="109" t="n"/>
      <c r="U436" s="109" t="n"/>
      <c r="V436" s="109" t="n"/>
      <c r="Z436" s="109" t="n"/>
      <c r="AA436" s="109" t="n"/>
      <c r="AB436" s="109" t="n"/>
      <c r="AF436" s="109" t="n"/>
      <c r="AG436" s="109" t="n"/>
      <c r="AH436" s="109" t="n"/>
      <c r="AL436" s="109" t="n"/>
      <c r="AM436" s="109" t="n"/>
      <c r="AN436" s="109" t="n"/>
    </row>
    <row r="437" ht="15.75" customHeight="1" s="216">
      <c r="D437" s="109" t="n"/>
      <c r="E437" s="109" t="n"/>
      <c r="J437" s="109" t="n"/>
      <c r="K437" s="109" t="n"/>
      <c r="L437" s="109" t="n"/>
      <c r="N437" s="109" t="n"/>
      <c r="O437" s="109" t="n"/>
      <c r="P437" s="109" t="n"/>
      <c r="T437" s="109" t="n"/>
      <c r="U437" s="109" t="n"/>
      <c r="V437" s="109" t="n"/>
      <c r="Z437" s="109" t="n"/>
      <c r="AA437" s="109" t="n"/>
      <c r="AB437" s="109" t="n"/>
      <c r="AF437" s="109" t="n"/>
      <c r="AG437" s="109" t="n"/>
      <c r="AH437" s="109" t="n"/>
      <c r="AL437" s="109" t="n"/>
      <c r="AM437" s="109" t="n"/>
      <c r="AN437" s="109" t="n"/>
    </row>
    <row r="438" ht="15.75" customHeight="1" s="216">
      <c r="D438" s="109" t="n"/>
      <c r="E438" s="109" t="n"/>
      <c r="J438" s="109" t="n"/>
      <c r="K438" s="109" t="n"/>
      <c r="L438" s="109" t="n"/>
      <c r="N438" s="109" t="n"/>
      <c r="O438" s="109" t="n"/>
      <c r="P438" s="109" t="n"/>
      <c r="T438" s="109" t="n"/>
      <c r="U438" s="109" t="n"/>
      <c r="V438" s="109" t="n"/>
      <c r="Z438" s="109" t="n"/>
      <c r="AA438" s="109" t="n"/>
      <c r="AB438" s="109" t="n"/>
      <c r="AF438" s="109" t="n"/>
      <c r="AG438" s="109" t="n"/>
      <c r="AH438" s="109" t="n"/>
      <c r="AL438" s="109" t="n"/>
      <c r="AM438" s="109" t="n"/>
      <c r="AN438" s="109" t="n"/>
    </row>
    <row r="439" ht="15.75" customHeight="1" s="216">
      <c r="D439" s="109" t="n"/>
      <c r="E439" s="109" t="n"/>
      <c r="J439" s="109" t="n"/>
      <c r="K439" s="109" t="n"/>
      <c r="L439" s="109" t="n"/>
      <c r="N439" s="109" t="n"/>
      <c r="O439" s="109" t="n"/>
      <c r="P439" s="109" t="n"/>
      <c r="T439" s="109" t="n"/>
      <c r="U439" s="109" t="n"/>
      <c r="V439" s="109" t="n"/>
      <c r="Z439" s="109" t="n"/>
      <c r="AA439" s="109" t="n"/>
      <c r="AB439" s="109" t="n"/>
      <c r="AF439" s="109" t="n"/>
      <c r="AG439" s="109" t="n"/>
      <c r="AH439" s="109" t="n"/>
      <c r="AL439" s="109" t="n"/>
      <c r="AM439" s="109" t="n"/>
      <c r="AN439" s="109" t="n"/>
    </row>
    <row r="440" ht="15.75" customHeight="1" s="216">
      <c r="D440" s="109" t="n"/>
      <c r="E440" s="109" t="n"/>
      <c r="J440" s="109" t="n"/>
      <c r="K440" s="109" t="n"/>
      <c r="L440" s="109" t="n"/>
      <c r="N440" s="109" t="n"/>
      <c r="O440" s="109" t="n"/>
      <c r="P440" s="109" t="n"/>
      <c r="T440" s="109" t="n"/>
      <c r="U440" s="109" t="n"/>
      <c r="V440" s="109" t="n"/>
      <c r="Z440" s="109" t="n"/>
      <c r="AA440" s="109" t="n"/>
      <c r="AB440" s="109" t="n"/>
      <c r="AF440" s="109" t="n"/>
      <c r="AG440" s="109" t="n"/>
      <c r="AH440" s="109" t="n"/>
      <c r="AL440" s="109" t="n"/>
      <c r="AM440" s="109" t="n"/>
      <c r="AN440" s="109" t="n"/>
    </row>
    <row r="441" ht="15.75" customHeight="1" s="216">
      <c r="D441" s="109" t="n"/>
      <c r="E441" s="109" t="n"/>
      <c r="J441" s="109" t="n"/>
      <c r="K441" s="109" t="n"/>
      <c r="L441" s="109" t="n"/>
      <c r="N441" s="109" t="n"/>
      <c r="O441" s="109" t="n"/>
      <c r="P441" s="109" t="n"/>
      <c r="T441" s="109" t="n"/>
      <c r="U441" s="109" t="n"/>
      <c r="V441" s="109" t="n"/>
      <c r="Z441" s="109" t="n"/>
      <c r="AA441" s="109" t="n"/>
      <c r="AB441" s="109" t="n"/>
      <c r="AF441" s="109" t="n"/>
      <c r="AG441" s="109" t="n"/>
      <c r="AH441" s="109" t="n"/>
      <c r="AL441" s="109" t="n"/>
      <c r="AM441" s="109" t="n"/>
      <c r="AN441" s="109" t="n"/>
    </row>
    <row r="442" ht="15.75" customHeight="1" s="216">
      <c r="D442" s="109" t="n"/>
      <c r="E442" s="109" t="n"/>
      <c r="J442" s="109" t="n"/>
      <c r="K442" s="109" t="n"/>
      <c r="L442" s="109" t="n"/>
      <c r="N442" s="109" t="n"/>
      <c r="O442" s="109" t="n"/>
      <c r="P442" s="109" t="n"/>
      <c r="T442" s="109" t="n"/>
      <c r="U442" s="109" t="n"/>
      <c r="V442" s="109" t="n"/>
      <c r="Z442" s="109" t="n"/>
      <c r="AA442" s="109" t="n"/>
      <c r="AB442" s="109" t="n"/>
      <c r="AF442" s="109" t="n"/>
      <c r="AG442" s="109" t="n"/>
      <c r="AH442" s="109" t="n"/>
      <c r="AL442" s="109" t="n"/>
      <c r="AM442" s="109" t="n"/>
      <c r="AN442" s="109" t="n"/>
    </row>
    <row r="443" ht="15.75" customHeight="1" s="216">
      <c r="D443" s="109" t="n"/>
      <c r="E443" s="109" t="n"/>
      <c r="J443" s="109" t="n"/>
      <c r="K443" s="109" t="n"/>
      <c r="L443" s="109" t="n"/>
      <c r="N443" s="109" t="n"/>
      <c r="O443" s="109" t="n"/>
      <c r="P443" s="109" t="n"/>
      <c r="T443" s="109" t="n"/>
      <c r="U443" s="109" t="n"/>
      <c r="V443" s="109" t="n"/>
      <c r="Z443" s="109" t="n"/>
      <c r="AA443" s="109" t="n"/>
      <c r="AB443" s="109" t="n"/>
      <c r="AF443" s="109" t="n"/>
      <c r="AG443" s="109" t="n"/>
      <c r="AH443" s="109" t="n"/>
      <c r="AL443" s="109" t="n"/>
      <c r="AM443" s="109" t="n"/>
      <c r="AN443" s="109" t="n"/>
    </row>
    <row r="444" ht="15.75" customHeight="1" s="216">
      <c r="D444" s="109" t="n"/>
      <c r="E444" s="109" t="n"/>
      <c r="J444" s="109" t="n"/>
      <c r="K444" s="109" t="n"/>
      <c r="L444" s="109" t="n"/>
      <c r="N444" s="109" t="n"/>
      <c r="O444" s="109" t="n"/>
      <c r="P444" s="109" t="n"/>
      <c r="T444" s="109" t="n"/>
      <c r="U444" s="109" t="n"/>
      <c r="V444" s="109" t="n"/>
      <c r="Z444" s="109" t="n"/>
      <c r="AA444" s="109" t="n"/>
      <c r="AB444" s="109" t="n"/>
      <c r="AF444" s="109" t="n"/>
      <c r="AG444" s="109" t="n"/>
      <c r="AH444" s="109" t="n"/>
      <c r="AL444" s="109" t="n"/>
      <c r="AM444" s="109" t="n"/>
      <c r="AN444" s="109" t="n"/>
    </row>
    <row r="445" ht="15.75" customHeight="1" s="216">
      <c r="D445" s="109" t="n"/>
      <c r="E445" s="109" t="n"/>
      <c r="J445" s="109" t="n"/>
      <c r="K445" s="109" t="n"/>
      <c r="L445" s="109" t="n"/>
      <c r="N445" s="109" t="n"/>
      <c r="O445" s="109" t="n"/>
      <c r="P445" s="109" t="n"/>
      <c r="T445" s="109" t="n"/>
      <c r="U445" s="109" t="n"/>
      <c r="V445" s="109" t="n"/>
      <c r="Z445" s="109" t="n"/>
      <c r="AA445" s="109" t="n"/>
      <c r="AB445" s="109" t="n"/>
      <c r="AF445" s="109" t="n"/>
      <c r="AG445" s="109" t="n"/>
      <c r="AH445" s="109" t="n"/>
      <c r="AL445" s="109" t="n"/>
      <c r="AM445" s="109" t="n"/>
      <c r="AN445" s="109" t="n"/>
    </row>
    <row r="446" ht="15.75" customHeight="1" s="216">
      <c r="D446" s="109" t="n"/>
      <c r="E446" s="109" t="n"/>
      <c r="J446" s="109" t="n"/>
      <c r="K446" s="109" t="n"/>
      <c r="L446" s="109" t="n"/>
      <c r="N446" s="109" t="n"/>
      <c r="O446" s="109" t="n"/>
      <c r="P446" s="109" t="n"/>
      <c r="T446" s="109" t="n"/>
      <c r="U446" s="109" t="n"/>
      <c r="V446" s="109" t="n"/>
      <c r="Z446" s="109" t="n"/>
      <c r="AA446" s="109" t="n"/>
      <c r="AB446" s="109" t="n"/>
      <c r="AF446" s="109" t="n"/>
      <c r="AG446" s="109" t="n"/>
      <c r="AH446" s="109" t="n"/>
      <c r="AL446" s="109" t="n"/>
      <c r="AM446" s="109" t="n"/>
      <c r="AN446" s="109" t="n"/>
    </row>
    <row r="447" ht="15.75" customHeight="1" s="216">
      <c r="D447" s="109" t="n"/>
      <c r="E447" s="109" t="n"/>
      <c r="J447" s="109" t="n"/>
      <c r="K447" s="109" t="n"/>
      <c r="L447" s="109" t="n"/>
      <c r="N447" s="109" t="n"/>
      <c r="O447" s="109" t="n"/>
      <c r="P447" s="109" t="n"/>
      <c r="T447" s="109" t="n"/>
      <c r="U447" s="109" t="n"/>
      <c r="V447" s="109" t="n"/>
      <c r="Z447" s="109" t="n"/>
      <c r="AA447" s="109" t="n"/>
      <c r="AB447" s="109" t="n"/>
      <c r="AF447" s="109" t="n"/>
      <c r="AG447" s="109" t="n"/>
      <c r="AH447" s="109" t="n"/>
      <c r="AL447" s="109" t="n"/>
      <c r="AM447" s="109" t="n"/>
      <c r="AN447" s="109" t="n"/>
    </row>
    <row r="448" ht="15.75" customHeight="1" s="216">
      <c r="D448" s="109" t="n"/>
      <c r="E448" s="109" t="n"/>
      <c r="J448" s="109" t="n"/>
      <c r="K448" s="109" t="n"/>
      <c r="L448" s="109" t="n"/>
      <c r="N448" s="109" t="n"/>
      <c r="O448" s="109" t="n"/>
      <c r="P448" s="109" t="n"/>
      <c r="T448" s="109" t="n"/>
      <c r="U448" s="109" t="n"/>
      <c r="V448" s="109" t="n"/>
      <c r="Z448" s="109" t="n"/>
      <c r="AA448" s="109" t="n"/>
      <c r="AB448" s="109" t="n"/>
      <c r="AF448" s="109" t="n"/>
      <c r="AG448" s="109" t="n"/>
      <c r="AH448" s="109" t="n"/>
      <c r="AL448" s="109" t="n"/>
      <c r="AM448" s="109" t="n"/>
      <c r="AN448" s="109" t="n"/>
    </row>
    <row r="449" ht="15.75" customHeight="1" s="216">
      <c r="D449" s="109" t="n"/>
      <c r="E449" s="109" t="n"/>
      <c r="J449" s="109" t="n"/>
      <c r="K449" s="109" t="n"/>
      <c r="L449" s="109" t="n"/>
      <c r="N449" s="109" t="n"/>
      <c r="O449" s="109" t="n"/>
      <c r="P449" s="109" t="n"/>
      <c r="T449" s="109" t="n"/>
      <c r="U449" s="109" t="n"/>
      <c r="V449" s="109" t="n"/>
      <c r="Z449" s="109" t="n"/>
      <c r="AA449" s="109" t="n"/>
      <c r="AB449" s="109" t="n"/>
      <c r="AF449" s="109" t="n"/>
      <c r="AG449" s="109" t="n"/>
      <c r="AH449" s="109" t="n"/>
      <c r="AL449" s="109" t="n"/>
      <c r="AM449" s="109" t="n"/>
      <c r="AN449" s="109" t="n"/>
    </row>
    <row r="450" ht="15.75" customHeight="1" s="216">
      <c r="D450" s="109" t="n"/>
      <c r="E450" s="109" t="n"/>
      <c r="J450" s="109" t="n"/>
      <c r="K450" s="109" t="n"/>
      <c r="L450" s="109" t="n"/>
      <c r="N450" s="109" t="n"/>
      <c r="O450" s="109" t="n"/>
      <c r="P450" s="109" t="n"/>
      <c r="T450" s="109" t="n"/>
      <c r="U450" s="109" t="n"/>
      <c r="V450" s="109" t="n"/>
      <c r="Z450" s="109" t="n"/>
      <c r="AA450" s="109" t="n"/>
      <c r="AB450" s="109" t="n"/>
      <c r="AF450" s="109" t="n"/>
      <c r="AG450" s="109" t="n"/>
      <c r="AH450" s="109" t="n"/>
      <c r="AL450" s="109" t="n"/>
      <c r="AM450" s="109" t="n"/>
      <c r="AN450" s="109" t="n"/>
    </row>
    <row r="451" ht="15.75" customHeight="1" s="216">
      <c r="D451" s="109" t="n"/>
      <c r="E451" s="109" t="n"/>
      <c r="J451" s="109" t="n"/>
      <c r="K451" s="109" t="n"/>
      <c r="L451" s="109" t="n"/>
      <c r="N451" s="109" t="n"/>
      <c r="O451" s="109" t="n"/>
      <c r="P451" s="109" t="n"/>
      <c r="T451" s="109" t="n"/>
      <c r="U451" s="109" t="n"/>
      <c r="V451" s="109" t="n"/>
      <c r="Z451" s="109" t="n"/>
      <c r="AA451" s="109" t="n"/>
      <c r="AB451" s="109" t="n"/>
      <c r="AF451" s="109" t="n"/>
      <c r="AG451" s="109" t="n"/>
      <c r="AH451" s="109" t="n"/>
      <c r="AL451" s="109" t="n"/>
      <c r="AM451" s="109" t="n"/>
      <c r="AN451" s="109" t="n"/>
    </row>
    <row r="452" ht="15.75" customHeight="1" s="216">
      <c r="D452" s="109" t="n"/>
      <c r="E452" s="109" t="n"/>
      <c r="J452" s="109" t="n"/>
      <c r="K452" s="109" t="n"/>
      <c r="L452" s="109" t="n"/>
      <c r="N452" s="109" t="n"/>
      <c r="O452" s="109" t="n"/>
      <c r="P452" s="109" t="n"/>
      <c r="T452" s="109" t="n"/>
      <c r="U452" s="109" t="n"/>
      <c r="V452" s="109" t="n"/>
      <c r="Z452" s="109" t="n"/>
      <c r="AA452" s="109" t="n"/>
      <c r="AB452" s="109" t="n"/>
      <c r="AF452" s="109" t="n"/>
      <c r="AG452" s="109" t="n"/>
      <c r="AH452" s="109" t="n"/>
      <c r="AL452" s="109" t="n"/>
      <c r="AM452" s="109" t="n"/>
      <c r="AN452" s="109" t="n"/>
    </row>
    <row r="453" ht="15.75" customHeight="1" s="216">
      <c r="D453" s="109" t="n"/>
      <c r="E453" s="109" t="n"/>
      <c r="J453" s="109" t="n"/>
      <c r="K453" s="109" t="n"/>
      <c r="L453" s="109" t="n"/>
      <c r="N453" s="109" t="n"/>
      <c r="O453" s="109" t="n"/>
      <c r="P453" s="109" t="n"/>
      <c r="T453" s="109" t="n"/>
      <c r="U453" s="109" t="n"/>
      <c r="V453" s="109" t="n"/>
      <c r="Z453" s="109" t="n"/>
      <c r="AA453" s="109" t="n"/>
      <c r="AB453" s="109" t="n"/>
      <c r="AF453" s="109" t="n"/>
      <c r="AG453" s="109" t="n"/>
      <c r="AH453" s="109" t="n"/>
      <c r="AL453" s="109" t="n"/>
      <c r="AM453" s="109" t="n"/>
      <c r="AN453" s="109" t="n"/>
    </row>
    <row r="454" ht="15.75" customHeight="1" s="216">
      <c r="D454" s="109" t="n"/>
      <c r="E454" s="109" t="n"/>
      <c r="J454" s="109" t="n"/>
      <c r="K454" s="109" t="n"/>
      <c r="L454" s="109" t="n"/>
      <c r="N454" s="109" t="n"/>
      <c r="O454" s="109" t="n"/>
      <c r="P454" s="109" t="n"/>
      <c r="T454" s="109" t="n"/>
      <c r="U454" s="109" t="n"/>
      <c r="V454" s="109" t="n"/>
      <c r="Z454" s="109" t="n"/>
      <c r="AA454" s="109" t="n"/>
      <c r="AB454" s="109" t="n"/>
      <c r="AF454" s="109" t="n"/>
      <c r="AG454" s="109" t="n"/>
      <c r="AH454" s="109" t="n"/>
      <c r="AL454" s="109" t="n"/>
      <c r="AM454" s="109" t="n"/>
      <c r="AN454" s="109" t="n"/>
    </row>
    <row r="455" ht="15.75" customHeight="1" s="216">
      <c r="D455" s="109" t="n"/>
      <c r="E455" s="109" t="n"/>
      <c r="J455" s="109" t="n"/>
      <c r="K455" s="109" t="n"/>
      <c r="L455" s="109" t="n"/>
      <c r="N455" s="109" t="n"/>
      <c r="O455" s="109" t="n"/>
      <c r="P455" s="109" t="n"/>
      <c r="T455" s="109" t="n"/>
      <c r="U455" s="109" t="n"/>
      <c r="V455" s="109" t="n"/>
      <c r="Z455" s="109" t="n"/>
      <c r="AA455" s="109" t="n"/>
      <c r="AB455" s="109" t="n"/>
      <c r="AF455" s="109" t="n"/>
      <c r="AG455" s="109" t="n"/>
      <c r="AH455" s="109" t="n"/>
      <c r="AL455" s="109" t="n"/>
      <c r="AM455" s="109" t="n"/>
      <c r="AN455" s="109" t="n"/>
    </row>
    <row r="456" ht="15.75" customHeight="1" s="216">
      <c r="D456" s="109" t="n"/>
      <c r="E456" s="109" t="n"/>
      <c r="J456" s="109" t="n"/>
      <c r="K456" s="109" t="n"/>
      <c r="L456" s="109" t="n"/>
      <c r="N456" s="109" t="n"/>
      <c r="O456" s="109" t="n"/>
      <c r="P456" s="109" t="n"/>
      <c r="T456" s="109" t="n"/>
      <c r="U456" s="109" t="n"/>
      <c r="V456" s="109" t="n"/>
      <c r="Z456" s="109" t="n"/>
      <c r="AA456" s="109" t="n"/>
      <c r="AB456" s="109" t="n"/>
      <c r="AF456" s="109" t="n"/>
      <c r="AG456" s="109" t="n"/>
      <c r="AH456" s="109" t="n"/>
      <c r="AL456" s="109" t="n"/>
      <c r="AM456" s="109" t="n"/>
      <c r="AN456" s="109" t="n"/>
    </row>
    <row r="457" ht="15.75" customHeight="1" s="216">
      <c r="D457" s="109" t="n"/>
      <c r="E457" s="109" t="n"/>
      <c r="J457" s="109" t="n"/>
      <c r="K457" s="109" t="n"/>
      <c r="L457" s="109" t="n"/>
      <c r="N457" s="109" t="n"/>
      <c r="O457" s="109" t="n"/>
      <c r="P457" s="109" t="n"/>
      <c r="T457" s="109" t="n"/>
      <c r="U457" s="109" t="n"/>
      <c r="V457" s="109" t="n"/>
      <c r="Z457" s="109" t="n"/>
      <c r="AA457" s="109" t="n"/>
      <c r="AB457" s="109" t="n"/>
      <c r="AF457" s="109" t="n"/>
      <c r="AG457" s="109" t="n"/>
      <c r="AH457" s="109" t="n"/>
      <c r="AL457" s="109" t="n"/>
      <c r="AM457" s="109" t="n"/>
      <c r="AN457" s="109" t="n"/>
    </row>
    <row r="458" ht="15.75" customHeight="1" s="216">
      <c r="D458" s="109" t="n"/>
      <c r="E458" s="109" t="n"/>
      <c r="J458" s="109" t="n"/>
      <c r="K458" s="109" t="n"/>
      <c r="L458" s="109" t="n"/>
      <c r="N458" s="109" t="n"/>
      <c r="O458" s="109" t="n"/>
      <c r="P458" s="109" t="n"/>
      <c r="T458" s="109" t="n"/>
      <c r="U458" s="109" t="n"/>
      <c r="V458" s="109" t="n"/>
      <c r="Z458" s="109" t="n"/>
      <c r="AA458" s="109" t="n"/>
      <c r="AB458" s="109" t="n"/>
      <c r="AF458" s="109" t="n"/>
      <c r="AG458" s="109" t="n"/>
      <c r="AH458" s="109" t="n"/>
      <c r="AL458" s="109" t="n"/>
      <c r="AM458" s="109" t="n"/>
      <c r="AN458" s="109" t="n"/>
    </row>
    <row r="459" ht="15.75" customHeight="1" s="216">
      <c r="D459" s="109" t="n"/>
      <c r="E459" s="109" t="n"/>
      <c r="J459" s="109" t="n"/>
      <c r="K459" s="109" t="n"/>
      <c r="L459" s="109" t="n"/>
      <c r="N459" s="109" t="n"/>
      <c r="O459" s="109" t="n"/>
      <c r="P459" s="109" t="n"/>
      <c r="T459" s="109" t="n"/>
      <c r="U459" s="109" t="n"/>
      <c r="V459" s="109" t="n"/>
      <c r="Z459" s="109" t="n"/>
      <c r="AA459" s="109" t="n"/>
      <c r="AB459" s="109" t="n"/>
      <c r="AF459" s="109" t="n"/>
      <c r="AG459" s="109" t="n"/>
      <c r="AH459" s="109" t="n"/>
      <c r="AL459" s="109" t="n"/>
      <c r="AM459" s="109" t="n"/>
      <c r="AN459" s="109" t="n"/>
    </row>
    <row r="460" ht="15.75" customHeight="1" s="216">
      <c r="D460" s="109" t="n"/>
      <c r="E460" s="109" t="n"/>
      <c r="J460" s="109" t="n"/>
      <c r="K460" s="109" t="n"/>
      <c r="L460" s="109" t="n"/>
      <c r="N460" s="109" t="n"/>
      <c r="O460" s="109" t="n"/>
      <c r="P460" s="109" t="n"/>
      <c r="T460" s="109" t="n"/>
      <c r="U460" s="109" t="n"/>
      <c r="V460" s="109" t="n"/>
      <c r="Z460" s="109" t="n"/>
      <c r="AA460" s="109" t="n"/>
      <c r="AB460" s="109" t="n"/>
      <c r="AF460" s="109" t="n"/>
      <c r="AG460" s="109" t="n"/>
      <c r="AH460" s="109" t="n"/>
      <c r="AL460" s="109" t="n"/>
      <c r="AM460" s="109" t="n"/>
      <c r="AN460" s="109" t="n"/>
    </row>
    <row r="461" ht="15.75" customHeight="1" s="216">
      <c r="D461" s="109" t="n"/>
      <c r="E461" s="109" t="n"/>
      <c r="J461" s="109" t="n"/>
      <c r="K461" s="109" t="n"/>
      <c r="L461" s="109" t="n"/>
      <c r="N461" s="109" t="n"/>
      <c r="O461" s="109" t="n"/>
      <c r="P461" s="109" t="n"/>
      <c r="T461" s="109" t="n"/>
      <c r="U461" s="109" t="n"/>
      <c r="V461" s="109" t="n"/>
      <c r="Z461" s="109" t="n"/>
      <c r="AA461" s="109" t="n"/>
      <c r="AB461" s="109" t="n"/>
      <c r="AF461" s="109" t="n"/>
      <c r="AG461" s="109" t="n"/>
      <c r="AH461" s="109" t="n"/>
      <c r="AL461" s="109" t="n"/>
      <c r="AM461" s="109" t="n"/>
      <c r="AN461" s="109" t="n"/>
    </row>
    <row r="462" ht="15.75" customHeight="1" s="216">
      <c r="D462" s="109" t="n"/>
      <c r="E462" s="109" t="n"/>
      <c r="J462" s="109" t="n"/>
      <c r="K462" s="109" t="n"/>
      <c r="L462" s="109" t="n"/>
      <c r="N462" s="109" t="n"/>
      <c r="O462" s="109" t="n"/>
      <c r="P462" s="109" t="n"/>
      <c r="T462" s="109" t="n"/>
      <c r="U462" s="109" t="n"/>
      <c r="V462" s="109" t="n"/>
      <c r="Z462" s="109" t="n"/>
      <c r="AA462" s="109" t="n"/>
      <c r="AB462" s="109" t="n"/>
      <c r="AF462" s="109" t="n"/>
      <c r="AG462" s="109" t="n"/>
      <c r="AH462" s="109" t="n"/>
      <c r="AL462" s="109" t="n"/>
      <c r="AM462" s="109" t="n"/>
      <c r="AN462" s="109" t="n"/>
    </row>
    <row r="463" ht="15.75" customHeight="1" s="216">
      <c r="D463" s="109" t="n"/>
      <c r="E463" s="109" t="n"/>
      <c r="J463" s="109" t="n"/>
      <c r="K463" s="109" t="n"/>
      <c r="L463" s="109" t="n"/>
      <c r="N463" s="109" t="n"/>
      <c r="O463" s="109" t="n"/>
      <c r="P463" s="109" t="n"/>
      <c r="T463" s="109" t="n"/>
      <c r="U463" s="109" t="n"/>
      <c r="V463" s="109" t="n"/>
      <c r="Z463" s="109" t="n"/>
      <c r="AA463" s="109" t="n"/>
      <c r="AB463" s="109" t="n"/>
      <c r="AF463" s="109" t="n"/>
      <c r="AG463" s="109" t="n"/>
      <c r="AH463" s="109" t="n"/>
      <c r="AL463" s="109" t="n"/>
      <c r="AM463" s="109" t="n"/>
      <c r="AN463" s="109" t="n"/>
    </row>
    <row r="464" ht="15.75" customHeight="1" s="216">
      <c r="D464" s="109" t="n"/>
      <c r="E464" s="109" t="n"/>
      <c r="J464" s="109" t="n"/>
      <c r="K464" s="109" t="n"/>
      <c r="L464" s="109" t="n"/>
      <c r="N464" s="109" t="n"/>
      <c r="O464" s="109" t="n"/>
      <c r="P464" s="109" t="n"/>
      <c r="T464" s="109" t="n"/>
      <c r="U464" s="109" t="n"/>
      <c r="V464" s="109" t="n"/>
      <c r="Z464" s="109" t="n"/>
      <c r="AA464" s="109" t="n"/>
      <c r="AB464" s="109" t="n"/>
      <c r="AF464" s="109" t="n"/>
      <c r="AG464" s="109" t="n"/>
      <c r="AH464" s="109" t="n"/>
      <c r="AL464" s="109" t="n"/>
      <c r="AM464" s="109" t="n"/>
      <c r="AN464" s="109" t="n"/>
    </row>
    <row r="465" ht="15.75" customHeight="1" s="216">
      <c r="D465" s="109" t="n"/>
      <c r="E465" s="109" t="n"/>
      <c r="J465" s="109" t="n"/>
      <c r="K465" s="109" t="n"/>
      <c r="L465" s="109" t="n"/>
      <c r="N465" s="109" t="n"/>
      <c r="O465" s="109" t="n"/>
      <c r="P465" s="109" t="n"/>
      <c r="T465" s="109" t="n"/>
      <c r="U465" s="109" t="n"/>
      <c r="V465" s="109" t="n"/>
      <c r="Z465" s="109" t="n"/>
      <c r="AA465" s="109" t="n"/>
      <c r="AB465" s="109" t="n"/>
      <c r="AF465" s="109" t="n"/>
      <c r="AG465" s="109" t="n"/>
      <c r="AH465" s="109" t="n"/>
      <c r="AL465" s="109" t="n"/>
      <c r="AM465" s="109" t="n"/>
      <c r="AN465" s="109" t="n"/>
    </row>
    <row r="466" ht="15.75" customHeight="1" s="216">
      <c r="D466" s="109" t="n"/>
      <c r="E466" s="109" t="n"/>
      <c r="J466" s="109" t="n"/>
      <c r="K466" s="109" t="n"/>
      <c r="L466" s="109" t="n"/>
      <c r="N466" s="109" t="n"/>
      <c r="O466" s="109" t="n"/>
      <c r="P466" s="109" t="n"/>
      <c r="T466" s="109" t="n"/>
      <c r="U466" s="109" t="n"/>
      <c r="V466" s="109" t="n"/>
      <c r="Z466" s="109" t="n"/>
      <c r="AA466" s="109" t="n"/>
      <c r="AB466" s="109" t="n"/>
      <c r="AF466" s="109" t="n"/>
      <c r="AG466" s="109" t="n"/>
      <c r="AH466" s="109" t="n"/>
      <c r="AL466" s="109" t="n"/>
      <c r="AM466" s="109" t="n"/>
      <c r="AN466" s="109" t="n"/>
    </row>
    <row r="467" ht="15.75" customHeight="1" s="216">
      <c r="D467" s="109" t="n"/>
      <c r="E467" s="109" t="n"/>
      <c r="J467" s="109" t="n"/>
      <c r="K467" s="109" t="n"/>
      <c r="L467" s="109" t="n"/>
      <c r="N467" s="109" t="n"/>
      <c r="O467" s="109" t="n"/>
      <c r="P467" s="109" t="n"/>
      <c r="T467" s="109" t="n"/>
      <c r="U467" s="109" t="n"/>
      <c r="V467" s="109" t="n"/>
      <c r="Z467" s="109" t="n"/>
      <c r="AA467" s="109" t="n"/>
      <c r="AB467" s="109" t="n"/>
      <c r="AF467" s="109" t="n"/>
      <c r="AG467" s="109" t="n"/>
      <c r="AH467" s="109" t="n"/>
      <c r="AL467" s="109" t="n"/>
      <c r="AM467" s="109" t="n"/>
      <c r="AN467" s="109" t="n"/>
    </row>
    <row r="468" ht="15.75" customHeight="1" s="216">
      <c r="D468" s="109" t="n"/>
      <c r="E468" s="109" t="n"/>
      <c r="J468" s="109" t="n"/>
      <c r="K468" s="109" t="n"/>
      <c r="L468" s="109" t="n"/>
      <c r="N468" s="109" t="n"/>
      <c r="O468" s="109" t="n"/>
      <c r="P468" s="109" t="n"/>
      <c r="T468" s="109" t="n"/>
      <c r="U468" s="109" t="n"/>
      <c r="V468" s="109" t="n"/>
      <c r="Z468" s="109" t="n"/>
      <c r="AA468" s="109" t="n"/>
      <c r="AB468" s="109" t="n"/>
      <c r="AF468" s="109" t="n"/>
      <c r="AG468" s="109" t="n"/>
      <c r="AH468" s="109" t="n"/>
      <c r="AL468" s="109" t="n"/>
      <c r="AM468" s="109" t="n"/>
      <c r="AN468" s="109" t="n"/>
    </row>
    <row r="469" ht="15.75" customHeight="1" s="216">
      <c r="D469" s="109" t="n"/>
      <c r="E469" s="109" t="n"/>
      <c r="J469" s="109" t="n"/>
      <c r="K469" s="109" t="n"/>
      <c r="L469" s="109" t="n"/>
      <c r="N469" s="109" t="n"/>
      <c r="O469" s="109" t="n"/>
      <c r="P469" s="109" t="n"/>
      <c r="T469" s="109" t="n"/>
      <c r="U469" s="109" t="n"/>
      <c r="V469" s="109" t="n"/>
      <c r="Z469" s="109" t="n"/>
      <c r="AA469" s="109" t="n"/>
      <c r="AB469" s="109" t="n"/>
      <c r="AF469" s="109" t="n"/>
      <c r="AG469" s="109" t="n"/>
      <c r="AH469" s="109" t="n"/>
      <c r="AL469" s="109" t="n"/>
      <c r="AM469" s="109" t="n"/>
      <c r="AN469" s="109" t="n"/>
    </row>
    <row r="470" ht="15.75" customHeight="1" s="216">
      <c r="D470" s="109" t="n"/>
      <c r="E470" s="109" t="n"/>
      <c r="J470" s="109" t="n"/>
      <c r="K470" s="109" t="n"/>
      <c r="L470" s="109" t="n"/>
      <c r="N470" s="109" t="n"/>
      <c r="O470" s="109" t="n"/>
      <c r="P470" s="109" t="n"/>
      <c r="T470" s="109" t="n"/>
      <c r="U470" s="109" t="n"/>
      <c r="V470" s="109" t="n"/>
      <c r="Z470" s="109" t="n"/>
      <c r="AA470" s="109" t="n"/>
      <c r="AB470" s="109" t="n"/>
      <c r="AF470" s="109" t="n"/>
      <c r="AG470" s="109" t="n"/>
      <c r="AH470" s="109" t="n"/>
      <c r="AL470" s="109" t="n"/>
      <c r="AM470" s="109" t="n"/>
      <c r="AN470" s="109" t="n"/>
    </row>
    <row r="471" ht="15.75" customHeight="1" s="216">
      <c r="D471" s="109" t="n"/>
      <c r="E471" s="109" t="n"/>
      <c r="J471" s="109" t="n"/>
      <c r="K471" s="109" t="n"/>
      <c r="L471" s="109" t="n"/>
      <c r="N471" s="109" t="n"/>
      <c r="O471" s="109" t="n"/>
      <c r="P471" s="109" t="n"/>
      <c r="T471" s="109" t="n"/>
      <c r="U471" s="109" t="n"/>
      <c r="V471" s="109" t="n"/>
      <c r="Z471" s="109" t="n"/>
      <c r="AA471" s="109" t="n"/>
      <c r="AB471" s="109" t="n"/>
      <c r="AF471" s="109" t="n"/>
      <c r="AG471" s="109" t="n"/>
      <c r="AH471" s="109" t="n"/>
      <c r="AL471" s="109" t="n"/>
      <c r="AM471" s="109" t="n"/>
      <c r="AN471" s="109" t="n"/>
    </row>
    <row r="472" ht="15.75" customHeight="1" s="216">
      <c r="D472" s="109" t="n"/>
      <c r="E472" s="109" t="n"/>
      <c r="J472" s="109" t="n"/>
      <c r="K472" s="109" t="n"/>
      <c r="L472" s="109" t="n"/>
      <c r="N472" s="109" t="n"/>
      <c r="O472" s="109" t="n"/>
      <c r="P472" s="109" t="n"/>
      <c r="T472" s="109" t="n"/>
      <c r="U472" s="109" t="n"/>
      <c r="V472" s="109" t="n"/>
      <c r="Z472" s="109" t="n"/>
      <c r="AA472" s="109" t="n"/>
      <c r="AB472" s="109" t="n"/>
      <c r="AF472" s="109" t="n"/>
      <c r="AG472" s="109" t="n"/>
      <c r="AH472" s="109" t="n"/>
      <c r="AL472" s="109" t="n"/>
      <c r="AM472" s="109" t="n"/>
      <c r="AN472" s="109" t="n"/>
    </row>
    <row r="473" ht="15.75" customHeight="1" s="216">
      <c r="D473" s="109" t="n"/>
      <c r="E473" s="109" t="n"/>
      <c r="J473" s="109" t="n"/>
      <c r="K473" s="109" t="n"/>
      <c r="L473" s="109" t="n"/>
      <c r="N473" s="109" t="n"/>
      <c r="O473" s="109" t="n"/>
      <c r="P473" s="109" t="n"/>
      <c r="T473" s="109" t="n"/>
      <c r="U473" s="109" t="n"/>
      <c r="V473" s="109" t="n"/>
      <c r="Z473" s="109" t="n"/>
      <c r="AA473" s="109" t="n"/>
      <c r="AB473" s="109" t="n"/>
      <c r="AF473" s="109" t="n"/>
      <c r="AG473" s="109" t="n"/>
      <c r="AH473" s="109" t="n"/>
      <c r="AL473" s="109" t="n"/>
      <c r="AM473" s="109" t="n"/>
      <c r="AN473" s="109" t="n"/>
    </row>
    <row r="474" ht="15.75" customHeight="1" s="216">
      <c r="D474" s="109" t="n"/>
      <c r="E474" s="109" t="n"/>
      <c r="J474" s="109" t="n"/>
      <c r="K474" s="109" t="n"/>
      <c r="L474" s="109" t="n"/>
      <c r="N474" s="109" t="n"/>
      <c r="O474" s="109" t="n"/>
      <c r="P474" s="109" t="n"/>
      <c r="T474" s="109" t="n"/>
      <c r="U474" s="109" t="n"/>
      <c r="V474" s="109" t="n"/>
      <c r="Z474" s="109" t="n"/>
      <c r="AA474" s="109" t="n"/>
      <c r="AB474" s="109" t="n"/>
      <c r="AF474" s="109" t="n"/>
      <c r="AG474" s="109" t="n"/>
      <c r="AH474" s="109" t="n"/>
      <c r="AL474" s="109" t="n"/>
      <c r="AM474" s="109" t="n"/>
      <c r="AN474" s="109" t="n"/>
    </row>
    <row r="475" ht="15.75" customHeight="1" s="216">
      <c r="D475" s="109" t="n"/>
      <c r="E475" s="109" t="n"/>
      <c r="J475" s="109" t="n"/>
      <c r="K475" s="109" t="n"/>
      <c r="L475" s="109" t="n"/>
      <c r="N475" s="109" t="n"/>
      <c r="O475" s="109" t="n"/>
      <c r="P475" s="109" t="n"/>
      <c r="T475" s="109" t="n"/>
      <c r="U475" s="109" t="n"/>
      <c r="V475" s="109" t="n"/>
      <c r="Z475" s="109" t="n"/>
      <c r="AA475" s="109" t="n"/>
      <c r="AB475" s="109" t="n"/>
      <c r="AF475" s="109" t="n"/>
      <c r="AG475" s="109" t="n"/>
      <c r="AH475" s="109" t="n"/>
      <c r="AL475" s="109" t="n"/>
      <c r="AM475" s="109" t="n"/>
      <c r="AN475" s="109" t="n"/>
    </row>
    <row r="476" ht="15.75" customHeight="1" s="216">
      <c r="D476" s="109" t="n"/>
      <c r="E476" s="109" t="n"/>
      <c r="J476" s="109" t="n"/>
      <c r="K476" s="109" t="n"/>
      <c r="L476" s="109" t="n"/>
      <c r="N476" s="109" t="n"/>
      <c r="O476" s="109" t="n"/>
      <c r="P476" s="109" t="n"/>
      <c r="T476" s="109" t="n"/>
      <c r="U476" s="109" t="n"/>
      <c r="V476" s="109" t="n"/>
      <c r="Z476" s="109" t="n"/>
      <c r="AA476" s="109" t="n"/>
      <c r="AB476" s="109" t="n"/>
      <c r="AF476" s="109" t="n"/>
      <c r="AG476" s="109" t="n"/>
      <c r="AH476" s="109" t="n"/>
      <c r="AL476" s="109" t="n"/>
      <c r="AM476" s="109" t="n"/>
      <c r="AN476" s="109" t="n"/>
    </row>
    <row r="477" ht="15.75" customHeight="1" s="216">
      <c r="D477" s="109" t="n"/>
      <c r="E477" s="109" t="n"/>
      <c r="J477" s="109" t="n"/>
      <c r="K477" s="109" t="n"/>
      <c r="L477" s="109" t="n"/>
      <c r="N477" s="109" t="n"/>
      <c r="O477" s="109" t="n"/>
      <c r="P477" s="109" t="n"/>
      <c r="T477" s="109" t="n"/>
      <c r="U477" s="109" t="n"/>
      <c r="V477" s="109" t="n"/>
      <c r="Z477" s="109" t="n"/>
      <c r="AA477" s="109" t="n"/>
      <c r="AB477" s="109" t="n"/>
      <c r="AF477" s="109" t="n"/>
      <c r="AG477" s="109" t="n"/>
      <c r="AH477" s="109" t="n"/>
      <c r="AL477" s="109" t="n"/>
      <c r="AM477" s="109" t="n"/>
      <c r="AN477" s="109" t="n"/>
    </row>
    <row r="478" ht="15.75" customHeight="1" s="216">
      <c r="D478" s="109" t="n"/>
      <c r="E478" s="109" t="n"/>
      <c r="J478" s="109" t="n"/>
      <c r="K478" s="109" t="n"/>
      <c r="L478" s="109" t="n"/>
      <c r="N478" s="109" t="n"/>
      <c r="O478" s="109" t="n"/>
      <c r="P478" s="109" t="n"/>
      <c r="T478" s="109" t="n"/>
      <c r="U478" s="109" t="n"/>
      <c r="V478" s="109" t="n"/>
      <c r="Z478" s="109" t="n"/>
      <c r="AA478" s="109" t="n"/>
      <c r="AB478" s="109" t="n"/>
      <c r="AF478" s="109" t="n"/>
      <c r="AG478" s="109" t="n"/>
      <c r="AH478" s="109" t="n"/>
      <c r="AL478" s="109" t="n"/>
      <c r="AM478" s="109" t="n"/>
      <c r="AN478" s="109" t="n"/>
    </row>
    <row r="479" ht="15.75" customHeight="1" s="216">
      <c r="D479" s="109" t="n"/>
      <c r="E479" s="109" t="n"/>
      <c r="J479" s="109" t="n"/>
      <c r="K479" s="109" t="n"/>
      <c r="L479" s="109" t="n"/>
      <c r="N479" s="109" t="n"/>
      <c r="O479" s="109" t="n"/>
      <c r="P479" s="109" t="n"/>
      <c r="T479" s="109" t="n"/>
      <c r="U479" s="109" t="n"/>
      <c r="V479" s="109" t="n"/>
      <c r="Z479" s="109" t="n"/>
      <c r="AA479" s="109" t="n"/>
      <c r="AB479" s="109" t="n"/>
      <c r="AF479" s="109" t="n"/>
      <c r="AG479" s="109" t="n"/>
      <c r="AH479" s="109" t="n"/>
      <c r="AL479" s="109" t="n"/>
      <c r="AM479" s="109" t="n"/>
      <c r="AN479" s="109" t="n"/>
    </row>
    <row r="480" ht="15.75" customHeight="1" s="216">
      <c r="D480" s="109" t="n"/>
      <c r="E480" s="109" t="n"/>
      <c r="J480" s="109" t="n"/>
      <c r="K480" s="109" t="n"/>
      <c r="L480" s="109" t="n"/>
      <c r="N480" s="109" t="n"/>
      <c r="O480" s="109" t="n"/>
      <c r="P480" s="109" t="n"/>
      <c r="T480" s="109" t="n"/>
      <c r="U480" s="109" t="n"/>
      <c r="V480" s="109" t="n"/>
      <c r="Z480" s="109" t="n"/>
      <c r="AA480" s="109" t="n"/>
      <c r="AB480" s="109" t="n"/>
      <c r="AF480" s="109" t="n"/>
      <c r="AG480" s="109" t="n"/>
      <c r="AH480" s="109" t="n"/>
      <c r="AL480" s="109" t="n"/>
      <c r="AM480" s="109" t="n"/>
      <c r="AN480" s="109" t="n"/>
    </row>
    <row r="481" ht="15.75" customHeight="1" s="216">
      <c r="D481" s="109" t="n"/>
      <c r="E481" s="109" t="n"/>
      <c r="J481" s="109" t="n"/>
      <c r="K481" s="109" t="n"/>
      <c r="L481" s="109" t="n"/>
      <c r="N481" s="109" t="n"/>
      <c r="O481" s="109" t="n"/>
      <c r="P481" s="109" t="n"/>
      <c r="T481" s="109" t="n"/>
      <c r="U481" s="109" t="n"/>
      <c r="V481" s="109" t="n"/>
      <c r="Z481" s="109" t="n"/>
      <c r="AA481" s="109" t="n"/>
      <c r="AB481" s="109" t="n"/>
      <c r="AF481" s="109" t="n"/>
      <c r="AG481" s="109" t="n"/>
      <c r="AH481" s="109" t="n"/>
      <c r="AL481" s="109" t="n"/>
      <c r="AM481" s="109" t="n"/>
      <c r="AN481" s="109" t="n"/>
    </row>
    <row r="482" ht="15.75" customHeight="1" s="216">
      <c r="D482" s="109" t="n"/>
      <c r="E482" s="109" t="n"/>
      <c r="J482" s="109" t="n"/>
      <c r="K482" s="109" t="n"/>
      <c r="L482" s="109" t="n"/>
      <c r="N482" s="109" t="n"/>
      <c r="O482" s="109" t="n"/>
      <c r="P482" s="109" t="n"/>
      <c r="T482" s="109" t="n"/>
      <c r="U482" s="109" t="n"/>
      <c r="V482" s="109" t="n"/>
      <c r="Z482" s="109" t="n"/>
      <c r="AA482" s="109" t="n"/>
      <c r="AB482" s="109" t="n"/>
      <c r="AF482" s="109" t="n"/>
      <c r="AG482" s="109" t="n"/>
      <c r="AH482" s="109" t="n"/>
      <c r="AL482" s="109" t="n"/>
      <c r="AM482" s="109" t="n"/>
      <c r="AN482" s="109" t="n"/>
    </row>
    <row r="483" ht="15.75" customHeight="1" s="216">
      <c r="D483" s="109" t="n"/>
      <c r="E483" s="109" t="n"/>
      <c r="J483" s="109" t="n"/>
      <c r="K483" s="109" t="n"/>
      <c r="L483" s="109" t="n"/>
      <c r="N483" s="109" t="n"/>
      <c r="O483" s="109" t="n"/>
      <c r="P483" s="109" t="n"/>
      <c r="T483" s="109" t="n"/>
      <c r="U483" s="109" t="n"/>
      <c r="V483" s="109" t="n"/>
      <c r="Z483" s="109" t="n"/>
      <c r="AA483" s="109" t="n"/>
      <c r="AB483" s="109" t="n"/>
      <c r="AF483" s="109" t="n"/>
      <c r="AG483" s="109" t="n"/>
      <c r="AH483" s="109" t="n"/>
      <c r="AL483" s="109" t="n"/>
      <c r="AM483" s="109" t="n"/>
      <c r="AN483" s="109" t="n"/>
    </row>
    <row r="484" ht="15.75" customHeight="1" s="216">
      <c r="D484" s="109" t="n"/>
      <c r="E484" s="109" t="n"/>
      <c r="J484" s="109" t="n"/>
      <c r="K484" s="109" t="n"/>
      <c r="L484" s="109" t="n"/>
      <c r="N484" s="109" t="n"/>
      <c r="O484" s="109" t="n"/>
      <c r="P484" s="109" t="n"/>
      <c r="T484" s="109" t="n"/>
      <c r="U484" s="109" t="n"/>
      <c r="V484" s="109" t="n"/>
      <c r="Z484" s="109" t="n"/>
      <c r="AA484" s="109" t="n"/>
      <c r="AB484" s="109" t="n"/>
      <c r="AF484" s="109" t="n"/>
      <c r="AG484" s="109" t="n"/>
      <c r="AH484" s="109" t="n"/>
      <c r="AL484" s="109" t="n"/>
      <c r="AM484" s="109" t="n"/>
      <c r="AN484" s="109" t="n"/>
    </row>
    <row r="485" ht="15.75" customHeight="1" s="216">
      <c r="D485" s="109" t="n"/>
      <c r="E485" s="109" t="n"/>
      <c r="J485" s="109" t="n"/>
      <c r="K485" s="109" t="n"/>
      <c r="L485" s="109" t="n"/>
      <c r="N485" s="109" t="n"/>
      <c r="O485" s="109" t="n"/>
      <c r="P485" s="109" t="n"/>
      <c r="T485" s="109" t="n"/>
      <c r="U485" s="109" t="n"/>
      <c r="V485" s="109" t="n"/>
      <c r="Z485" s="109" t="n"/>
      <c r="AA485" s="109" t="n"/>
      <c r="AB485" s="109" t="n"/>
      <c r="AF485" s="109" t="n"/>
      <c r="AG485" s="109" t="n"/>
      <c r="AH485" s="109" t="n"/>
      <c r="AL485" s="109" t="n"/>
      <c r="AM485" s="109" t="n"/>
      <c r="AN485" s="109" t="n"/>
    </row>
    <row r="486" ht="15.75" customHeight="1" s="216">
      <c r="D486" s="109" t="n"/>
      <c r="E486" s="109" t="n"/>
      <c r="J486" s="109" t="n"/>
      <c r="K486" s="109" t="n"/>
      <c r="L486" s="109" t="n"/>
      <c r="N486" s="109" t="n"/>
      <c r="O486" s="109" t="n"/>
      <c r="P486" s="109" t="n"/>
      <c r="T486" s="109" t="n"/>
      <c r="U486" s="109" t="n"/>
      <c r="V486" s="109" t="n"/>
      <c r="Z486" s="109" t="n"/>
      <c r="AA486" s="109" t="n"/>
      <c r="AB486" s="109" t="n"/>
      <c r="AF486" s="109" t="n"/>
      <c r="AG486" s="109" t="n"/>
      <c r="AH486" s="109" t="n"/>
      <c r="AL486" s="109" t="n"/>
      <c r="AM486" s="109" t="n"/>
      <c r="AN486" s="109" t="n"/>
    </row>
    <row r="487" ht="15.75" customHeight="1" s="216">
      <c r="D487" s="109" t="n"/>
      <c r="E487" s="109" t="n"/>
      <c r="J487" s="109" t="n"/>
      <c r="K487" s="109" t="n"/>
      <c r="L487" s="109" t="n"/>
      <c r="N487" s="109" t="n"/>
      <c r="O487" s="109" t="n"/>
      <c r="P487" s="109" t="n"/>
      <c r="T487" s="109" t="n"/>
      <c r="U487" s="109" t="n"/>
      <c r="V487" s="109" t="n"/>
      <c r="Z487" s="109" t="n"/>
      <c r="AA487" s="109" t="n"/>
      <c r="AB487" s="109" t="n"/>
      <c r="AF487" s="109" t="n"/>
      <c r="AG487" s="109" t="n"/>
      <c r="AH487" s="109" t="n"/>
      <c r="AL487" s="109" t="n"/>
      <c r="AM487" s="109" t="n"/>
      <c r="AN487" s="109" t="n"/>
    </row>
    <row r="488" ht="15.75" customHeight="1" s="216">
      <c r="D488" s="109" t="n"/>
      <c r="E488" s="109" t="n"/>
      <c r="J488" s="109" t="n"/>
      <c r="K488" s="109" t="n"/>
      <c r="L488" s="109" t="n"/>
      <c r="N488" s="109" t="n"/>
      <c r="O488" s="109" t="n"/>
      <c r="P488" s="109" t="n"/>
      <c r="T488" s="109" t="n"/>
      <c r="U488" s="109" t="n"/>
      <c r="V488" s="109" t="n"/>
      <c r="Z488" s="109" t="n"/>
      <c r="AA488" s="109" t="n"/>
      <c r="AB488" s="109" t="n"/>
      <c r="AF488" s="109" t="n"/>
      <c r="AG488" s="109" t="n"/>
      <c r="AH488" s="109" t="n"/>
      <c r="AL488" s="109" t="n"/>
      <c r="AM488" s="109" t="n"/>
      <c r="AN488" s="109" t="n"/>
    </row>
    <row r="489" ht="15.75" customHeight="1" s="216">
      <c r="D489" s="109" t="n"/>
      <c r="E489" s="109" t="n"/>
      <c r="J489" s="109" t="n"/>
      <c r="K489" s="109" t="n"/>
      <c r="L489" s="109" t="n"/>
      <c r="N489" s="109" t="n"/>
      <c r="O489" s="109" t="n"/>
      <c r="P489" s="109" t="n"/>
      <c r="T489" s="109" t="n"/>
      <c r="U489" s="109" t="n"/>
      <c r="V489" s="109" t="n"/>
      <c r="Z489" s="109" t="n"/>
      <c r="AA489" s="109" t="n"/>
      <c r="AB489" s="109" t="n"/>
      <c r="AF489" s="109" t="n"/>
      <c r="AG489" s="109" t="n"/>
      <c r="AH489" s="109" t="n"/>
      <c r="AL489" s="109" t="n"/>
      <c r="AM489" s="109" t="n"/>
      <c r="AN489" s="109" t="n"/>
    </row>
    <row r="490" ht="15.75" customHeight="1" s="216">
      <c r="D490" s="109" t="n"/>
      <c r="E490" s="109" t="n"/>
      <c r="J490" s="109" t="n"/>
      <c r="K490" s="109" t="n"/>
      <c r="L490" s="109" t="n"/>
      <c r="N490" s="109" t="n"/>
      <c r="O490" s="109" t="n"/>
      <c r="P490" s="109" t="n"/>
      <c r="T490" s="109" t="n"/>
      <c r="U490" s="109" t="n"/>
      <c r="V490" s="109" t="n"/>
      <c r="Z490" s="109" t="n"/>
      <c r="AA490" s="109" t="n"/>
      <c r="AB490" s="109" t="n"/>
      <c r="AF490" s="109" t="n"/>
      <c r="AG490" s="109" t="n"/>
      <c r="AH490" s="109" t="n"/>
      <c r="AL490" s="109" t="n"/>
      <c r="AM490" s="109" t="n"/>
      <c r="AN490" s="109" t="n"/>
    </row>
    <row r="491" ht="15.75" customHeight="1" s="216">
      <c r="D491" s="109" t="n"/>
      <c r="E491" s="109" t="n"/>
      <c r="J491" s="109" t="n"/>
      <c r="K491" s="109" t="n"/>
      <c r="L491" s="109" t="n"/>
      <c r="N491" s="109" t="n"/>
      <c r="O491" s="109" t="n"/>
      <c r="P491" s="109" t="n"/>
      <c r="T491" s="109" t="n"/>
      <c r="U491" s="109" t="n"/>
      <c r="V491" s="109" t="n"/>
      <c r="Z491" s="109" t="n"/>
      <c r="AA491" s="109" t="n"/>
      <c r="AB491" s="109" t="n"/>
      <c r="AF491" s="109" t="n"/>
      <c r="AG491" s="109" t="n"/>
      <c r="AH491" s="109" t="n"/>
      <c r="AL491" s="109" t="n"/>
      <c r="AM491" s="109" t="n"/>
      <c r="AN491" s="109" t="n"/>
    </row>
    <row r="492" ht="15.75" customHeight="1" s="216">
      <c r="D492" s="109" t="n"/>
      <c r="E492" s="109" t="n"/>
      <c r="J492" s="109" t="n"/>
      <c r="K492" s="109" t="n"/>
      <c r="L492" s="109" t="n"/>
      <c r="N492" s="109" t="n"/>
      <c r="O492" s="109" t="n"/>
      <c r="P492" s="109" t="n"/>
      <c r="T492" s="109" t="n"/>
      <c r="U492" s="109" t="n"/>
      <c r="V492" s="109" t="n"/>
      <c r="Z492" s="109" t="n"/>
      <c r="AA492" s="109" t="n"/>
      <c r="AB492" s="109" t="n"/>
      <c r="AF492" s="109" t="n"/>
      <c r="AG492" s="109" t="n"/>
      <c r="AH492" s="109" t="n"/>
      <c r="AL492" s="109" t="n"/>
      <c r="AM492" s="109" t="n"/>
      <c r="AN492" s="109" t="n"/>
    </row>
    <row r="493" ht="15.75" customHeight="1" s="216">
      <c r="D493" s="109" t="n"/>
      <c r="E493" s="109" t="n"/>
      <c r="J493" s="109" t="n"/>
      <c r="K493" s="109" t="n"/>
      <c r="L493" s="109" t="n"/>
      <c r="N493" s="109" t="n"/>
      <c r="O493" s="109" t="n"/>
      <c r="P493" s="109" t="n"/>
      <c r="T493" s="109" t="n"/>
      <c r="U493" s="109" t="n"/>
      <c r="V493" s="109" t="n"/>
      <c r="Z493" s="109" t="n"/>
      <c r="AA493" s="109" t="n"/>
      <c r="AB493" s="109" t="n"/>
      <c r="AF493" s="109" t="n"/>
      <c r="AG493" s="109" t="n"/>
      <c r="AH493" s="109" t="n"/>
      <c r="AL493" s="109" t="n"/>
      <c r="AM493" s="109" t="n"/>
      <c r="AN493" s="109" t="n"/>
    </row>
    <row r="494" ht="15.75" customHeight="1" s="216">
      <c r="D494" s="109" t="n"/>
      <c r="E494" s="109" t="n"/>
      <c r="J494" s="109" t="n"/>
      <c r="K494" s="109" t="n"/>
      <c r="L494" s="109" t="n"/>
      <c r="N494" s="109" t="n"/>
      <c r="O494" s="109" t="n"/>
      <c r="P494" s="109" t="n"/>
      <c r="T494" s="109" t="n"/>
      <c r="U494" s="109" t="n"/>
      <c r="V494" s="109" t="n"/>
      <c r="Z494" s="109" t="n"/>
      <c r="AA494" s="109" t="n"/>
      <c r="AB494" s="109" t="n"/>
      <c r="AF494" s="109" t="n"/>
      <c r="AG494" s="109" t="n"/>
      <c r="AH494" s="109" t="n"/>
      <c r="AL494" s="109" t="n"/>
      <c r="AM494" s="109" t="n"/>
      <c r="AN494" s="109" t="n"/>
    </row>
    <row r="495" ht="15.75" customHeight="1" s="216">
      <c r="D495" s="109" t="n"/>
      <c r="E495" s="109" t="n"/>
      <c r="J495" s="109" t="n"/>
      <c r="K495" s="109" t="n"/>
      <c r="L495" s="109" t="n"/>
      <c r="N495" s="109" t="n"/>
      <c r="O495" s="109" t="n"/>
      <c r="P495" s="109" t="n"/>
      <c r="T495" s="109" t="n"/>
      <c r="U495" s="109" t="n"/>
      <c r="V495" s="109" t="n"/>
      <c r="Z495" s="109" t="n"/>
      <c r="AA495" s="109" t="n"/>
      <c r="AB495" s="109" t="n"/>
      <c r="AF495" s="109" t="n"/>
      <c r="AG495" s="109" t="n"/>
      <c r="AH495" s="109" t="n"/>
      <c r="AL495" s="109" t="n"/>
      <c r="AM495" s="109" t="n"/>
      <c r="AN495" s="109" t="n"/>
    </row>
    <row r="496" ht="15.75" customHeight="1" s="216">
      <c r="D496" s="109" t="n"/>
      <c r="E496" s="109" t="n"/>
      <c r="J496" s="109" t="n"/>
      <c r="K496" s="109" t="n"/>
      <c r="L496" s="109" t="n"/>
      <c r="N496" s="109" t="n"/>
      <c r="O496" s="109" t="n"/>
      <c r="P496" s="109" t="n"/>
      <c r="T496" s="109" t="n"/>
      <c r="U496" s="109" t="n"/>
      <c r="V496" s="109" t="n"/>
      <c r="Z496" s="109" t="n"/>
      <c r="AA496" s="109" t="n"/>
      <c r="AB496" s="109" t="n"/>
      <c r="AF496" s="109" t="n"/>
      <c r="AG496" s="109" t="n"/>
      <c r="AH496" s="109" t="n"/>
      <c r="AL496" s="109" t="n"/>
      <c r="AM496" s="109" t="n"/>
      <c r="AN496" s="109" t="n"/>
    </row>
    <row r="497" ht="15.75" customHeight="1" s="216">
      <c r="D497" s="109" t="n"/>
      <c r="E497" s="109" t="n"/>
      <c r="J497" s="109" t="n"/>
      <c r="K497" s="109" t="n"/>
      <c r="L497" s="109" t="n"/>
      <c r="N497" s="109" t="n"/>
      <c r="O497" s="109" t="n"/>
      <c r="P497" s="109" t="n"/>
      <c r="T497" s="109" t="n"/>
      <c r="U497" s="109" t="n"/>
      <c r="V497" s="109" t="n"/>
      <c r="Z497" s="109" t="n"/>
      <c r="AA497" s="109" t="n"/>
      <c r="AB497" s="109" t="n"/>
      <c r="AF497" s="109" t="n"/>
      <c r="AG497" s="109" t="n"/>
      <c r="AH497" s="109" t="n"/>
      <c r="AL497" s="109" t="n"/>
      <c r="AM497" s="109" t="n"/>
      <c r="AN497" s="109" t="n"/>
    </row>
    <row r="498" ht="15.75" customHeight="1" s="216">
      <c r="D498" s="109" t="n"/>
      <c r="E498" s="109" t="n"/>
      <c r="J498" s="109" t="n"/>
      <c r="K498" s="109" t="n"/>
      <c r="L498" s="109" t="n"/>
      <c r="N498" s="109" t="n"/>
      <c r="O498" s="109" t="n"/>
      <c r="P498" s="109" t="n"/>
      <c r="T498" s="109" t="n"/>
      <c r="U498" s="109" t="n"/>
      <c r="V498" s="109" t="n"/>
      <c r="Z498" s="109" t="n"/>
      <c r="AA498" s="109" t="n"/>
      <c r="AB498" s="109" t="n"/>
      <c r="AF498" s="109" t="n"/>
      <c r="AG498" s="109" t="n"/>
      <c r="AH498" s="109" t="n"/>
      <c r="AL498" s="109" t="n"/>
      <c r="AM498" s="109" t="n"/>
      <c r="AN498" s="109" t="n"/>
    </row>
    <row r="499" ht="15.75" customHeight="1" s="216">
      <c r="D499" s="109" t="n"/>
      <c r="E499" s="109" t="n"/>
      <c r="J499" s="109" t="n"/>
      <c r="K499" s="109" t="n"/>
      <c r="L499" s="109" t="n"/>
      <c r="N499" s="109" t="n"/>
      <c r="O499" s="109" t="n"/>
      <c r="P499" s="109" t="n"/>
      <c r="T499" s="109" t="n"/>
      <c r="U499" s="109" t="n"/>
      <c r="V499" s="109" t="n"/>
      <c r="Z499" s="109" t="n"/>
      <c r="AA499" s="109" t="n"/>
      <c r="AB499" s="109" t="n"/>
      <c r="AF499" s="109" t="n"/>
      <c r="AG499" s="109" t="n"/>
      <c r="AH499" s="109" t="n"/>
      <c r="AL499" s="109" t="n"/>
      <c r="AM499" s="109" t="n"/>
      <c r="AN499" s="109" t="n"/>
    </row>
    <row r="500" ht="15.75" customHeight="1" s="216">
      <c r="D500" s="109" t="n"/>
      <c r="E500" s="109" t="n"/>
      <c r="J500" s="109" t="n"/>
      <c r="K500" s="109" t="n"/>
      <c r="L500" s="109" t="n"/>
      <c r="N500" s="109" t="n"/>
      <c r="O500" s="109" t="n"/>
      <c r="P500" s="109" t="n"/>
      <c r="T500" s="109" t="n"/>
      <c r="U500" s="109" t="n"/>
      <c r="V500" s="109" t="n"/>
      <c r="Z500" s="109" t="n"/>
      <c r="AA500" s="109" t="n"/>
      <c r="AB500" s="109" t="n"/>
      <c r="AF500" s="109" t="n"/>
      <c r="AG500" s="109" t="n"/>
      <c r="AH500" s="109" t="n"/>
      <c r="AL500" s="109" t="n"/>
      <c r="AM500" s="109" t="n"/>
      <c r="AN500" s="109" t="n"/>
    </row>
    <row r="501" ht="15.75" customHeight="1" s="216"/>
    <row r="502" ht="15.75" customHeight="1" s="216"/>
    <row r="503" ht="15.75" customHeight="1" s="216"/>
    <row r="504" ht="15.75" customHeight="1" s="216"/>
    <row r="505" ht="15.75" customHeight="1" s="216"/>
    <row r="506" ht="15.75" customHeight="1" s="216"/>
    <row r="507" ht="15.75" customHeight="1" s="216"/>
    <row r="508" ht="15.75" customHeight="1" s="216"/>
    <row r="509" ht="15.75" customHeight="1" s="216"/>
    <row r="510" ht="15.75" customHeight="1" s="216"/>
    <row r="511" ht="15.75" customHeight="1" s="216"/>
    <row r="512" ht="15.75" customHeight="1" s="216"/>
    <row r="513" ht="15.75" customHeight="1" s="216"/>
    <row r="514" ht="15.75" customHeight="1" s="216"/>
    <row r="515" ht="15.75" customHeight="1" s="216"/>
    <row r="516" ht="15.75" customHeight="1" s="216"/>
    <row r="517" ht="15.75" customHeight="1" s="216"/>
    <row r="518" ht="15.75" customHeight="1" s="216"/>
    <row r="519" ht="15.75" customHeight="1" s="216"/>
    <row r="520" ht="15.75" customHeight="1" s="216"/>
    <row r="521" ht="15.75" customHeight="1" s="216"/>
    <row r="522" ht="15.75" customHeight="1" s="216"/>
    <row r="523" ht="15.75" customHeight="1" s="216"/>
    <row r="524" ht="15.75" customHeight="1" s="216"/>
    <row r="525" ht="15.75" customHeight="1" s="216"/>
    <row r="526" ht="15.75" customHeight="1" s="216"/>
    <row r="527" ht="15.75" customHeight="1" s="216"/>
    <row r="528" ht="15.75" customHeight="1" s="216"/>
    <row r="529" ht="15.75" customHeight="1" s="216"/>
    <row r="530" ht="15.75" customHeight="1" s="216"/>
    <row r="531" ht="15.75" customHeight="1" s="216"/>
    <row r="532" ht="15.75" customHeight="1" s="216"/>
    <row r="533" ht="15.75" customHeight="1" s="216"/>
    <row r="534" ht="15.75" customHeight="1" s="216"/>
    <row r="535" ht="15.75" customHeight="1" s="216"/>
    <row r="536" ht="15.75" customHeight="1" s="216"/>
    <row r="537" ht="15.75" customHeight="1" s="216"/>
    <row r="538" ht="15.75" customHeight="1" s="216"/>
    <row r="539" ht="15.75" customHeight="1" s="216"/>
    <row r="540" ht="15.75" customHeight="1" s="216"/>
    <row r="541" ht="15.75" customHeight="1" s="216"/>
    <row r="542" ht="15.75" customHeight="1" s="216"/>
    <row r="543" ht="15.75" customHeight="1" s="216"/>
    <row r="544" ht="15.75" customHeight="1" s="216"/>
    <row r="545" ht="15.75" customHeight="1" s="216"/>
    <row r="546" ht="15.75" customHeight="1" s="216"/>
    <row r="547" ht="15.75" customHeight="1" s="216"/>
    <row r="548" ht="15.75" customHeight="1" s="216"/>
    <row r="549" ht="15.75" customHeight="1" s="216"/>
    <row r="550" ht="15.75" customHeight="1" s="216"/>
    <row r="551" ht="15.75" customHeight="1" s="216"/>
    <row r="552" ht="15.75" customHeight="1" s="216"/>
    <row r="553" ht="15.75" customHeight="1" s="216"/>
    <row r="554" ht="15.75" customHeight="1" s="216"/>
    <row r="555" ht="15.75" customHeight="1" s="216"/>
    <row r="556" ht="15.75" customHeight="1" s="216"/>
    <row r="557" ht="15.75" customHeight="1" s="216"/>
    <row r="558" ht="15.75" customHeight="1" s="216"/>
    <row r="559" ht="15.75" customHeight="1" s="216"/>
    <row r="560" ht="15.75" customHeight="1" s="216"/>
    <row r="561" ht="15.75" customHeight="1" s="216"/>
    <row r="562" ht="15.75" customHeight="1" s="216"/>
    <row r="563" ht="15.75" customHeight="1" s="216"/>
    <row r="564" ht="15.75" customHeight="1" s="216"/>
    <row r="565" ht="15.75" customHeight="1" s="216"/>
    <row r="566" ht="15.75" customHeight="1" s="216"/>
    <row r="567" ht="15.75" customHeight="1" s="216"/>
    <row r="568" ht="15.75" customHeight="1" s="216"/>
    <row r="569" ht="15.75" customHeight="1" s="216"/>
    <row r="570" ht="15.75" customHeight="1" s="216"/>
    <row r="571" ht="15.75" customHeight="1" s="216"/>
    <row r="572" ht="15.75" customHeight="1" s="216"/>
    <row r="573" ht="15.75" customHeight="1" s="216"/>
    <row r="574" ht="15.75" customHeight="1" s="216"/>
    <row r="575" ht="15.75" customHeight="1" s="216"/>
    <row r="576" ht="15.75" customHeight="1" s="216"/>
    <row r="577" ht="15.75" customHeight="1" s="216"/>
    <row r="578" ht="15.75" customHeight="1" s="216"/>
    <row r="579" ht="15.75" customHeight="1" s="216"/>
    <row r="580" ht="15.75" customHeight="1" s="216"/>
    <row r="581" ht="15.75" customHeight="1" s="216"/>
    <row r="582" ht="15.75" customHeight="1" s="216"/>
    <row r="583" ht="15.75" customHeight="1" s="216"/>
    <row r="584" ht="15.75" customHeight="1" s="216"/>
    <row r="585" ht="15.75" customHeight="1" s="216"/>
    <row r="586" ht="15.75" customHeight="1" s="216"/>
    <row r="587" ht="15.75" customHeight="1" s="216"/>
    <row r="588" ht="15.75" customHeight="1" s="216"/>
    <row r="589" ht="15.75" customHeight="1" s="216"/>
    <row r="590" ht="15.75" customHeight="1" s="216"/>
    <row r="591" ht="15.75" customHeight="1" s="216"/>
    <row r="592" ht="15.75" customHeight="1" s="216"/>
    <row r="593" ht="15.75" customHeight="1" s="216"/>
    <row r="594" ht="15.75" customHeight="1" s="216"/>
    <row r="595" ht="15.75" customHeight="1" s="216"/>
    <row r="596" ht="15.75" customHeight="1" s="216"/>
    <row r="597" ht="15.75" customHeight="1" s="216"/>
    <row r="598" ht="15.75" customHeight="1" s="216"/>
    <row r="599" ht="15.75" customHeight="1" s="216"/>
    <row r="600" ht="15.75" customHeight="1" s="216"/>
    <row r="601" ht="15.75" customHeight="1" s="216"/>
    <row r="602" ht="15.75" customHeight="1" s="216"/>
    <row r="603" ht="15.75" customHeight="1" s="216"/>
    <row r="604" ht="15.75" customHeight="1" s="216"/>
    <row r="605" ht="15.75" customHeight="1" s="216"/>
    <row r="606" ht="15.75" customHeight="1" s="216"/>
    <row r="607" ht="15.75" customHeight="1" s="216"/>
    <row r="608" ht="15.75" customHeight="1" s="216"/>
    <row r="609" ht="15.75" customHeight="1" s="216"/>
    <row r="610" ht="15.75" customHeight="1" s="216"/>
    <row r="611" ht="15.75" customHeight="1" s="216"/>
    <row r="612" ht="15.75" customHeight="1" s="216"/>
    <row r="613" ht="15.75" customHeight="1" s="216"/>
    <row r="614" ht="15.75" customHeight="1" s="216"/>
    <row r="615" ht="15.75" customHeight="1" s="216"/>
    <row r="616" ht="15.75" customHeight="1" s="216"/>
    <row r="617" ht="15.75" customHeight="1" s="216"/>
    <row r="618" ht="15.75" customHeight="1" s="216"/>
    <row r="619" ht="15.75" customHeight="1" s="216"/>
    <row r="620" ht="15.75" customHeight="1" s="216"/>
    <row r="621" ht="15.75" customHeight="1" s="216"/>
    <row r="622" ht="15.75" customHeight="1" s="216"/>
    <row r="623" ht="15.75" customHeight="1" s="216"/>
    <row r="624" ht="15.75" customHeight="1" s="216"/>
    <row r="625" ht="15.75" customHeight="1" s="216"/>
    <row r="626" ht="15.75" customHeight="1" s="216"/>
    <row r="627" ht="15.75" customHeight="1" s="216"/>
    <row r="628" ht="15.75" customHeight="1" s="216"/>
    <row r="629" ht="15.75" customHeight="1" s="216"/>
    <row r="630" ht="15.75" customHeight="1" s="216"/>
    <row r="631" ht="15.75" customHeight="1" s="216"/>
    <row r="632" ht="15.75" customHeight="1" s="216"/>
    <row r="633" ht="15.75" customHeight="1" s="216"/>
    <row r="634" ht="15.75" customHeight="1" s="216"/>
    <row r="635" ht="15.75" customHeight="1" s="216"/>
    <row r="636" ht="15.75" customHeight="1" s="216"/>
    <row r="637" ht="15.75" customHeight="1" s="216"/>
    <row r="638" ht="15.75" customHeight="1" s="216"/>
    <row r="639" ht="15.75" customHeight="1" s="216"/>
    <row r="640" ht="15.75" customHeight="1" s="216"/>
    <row r="641" ht="15.75" customHeight="1" s="216"/>
    <row r="642" ht="15.75" customHeight="1" s="216"/>
    <row r="643" ht="15.75" customHeight="1" s="216"/>
    <row r="644" ht="15.75" customHeight="1" s="216"/>
    <row r="645" ht="15.75" customHeight="1" s="216"/>
    <row r="646" ht="15.75" customHeight="1" s="216"/>
    <row r="647" ht="15.75" customHeight="1" s="216"/>
    <row r="648" ht="15.75" customHeight="1" s="216"/>
    <row r="649" ht="15.75" customHeight="1" s="216"/>
    <row r="650" ht="15.75" customHeight="1" s="216"/>
    <row r="651" ht="15.75" customHeight="1" s="216"/>
    <row r="652" ht="15.75" customHeight="1" s="216"/>
    <row r="653" ht="15.75" customHeight="1" s="216"/>
    <row r="654" ht="15.75" customHeight="1" s="216"/>
    <row r="655" ht="15.75" customHeight="1" s="216"/>
    <row r="656" ht="15.75" customHeight="1" s="216"/>
    <row r="657" ht="15.75" customHeight="1" s="216"/>
    <row r="658" ht="15.75" customHeight="1" s="216"/>
    <row r="659" ht="15.75" customHeight="1" s="216"/>
    <row r="660" ht="15.75" customHeight="1" s="216"/>
    <row r="661" ht="15.75" customHeight="1" s="216"/>
    <row r="662" ht="15.75" customHeight="1" s="216"/>
    <row r="663" ht="15.75" customHeight="1" s="216"/>
    <row r="664" ht="15.75" customHeight="1" s="216"/>
    <row r="665" ht="15.75" customHeight="1" s="216"/>
    <row r="666" ht="15.75" customHeight="1" s="216"/>
    <row r="667" ht="15.75" customHeight="1" s="216"/>
    <row r="668" ht="15.75" customHeight="1" s="216"/>
    <row r="669" ht="15.75" customHeight="1" s="216"/>
    <row r="670" ht="15.75" customHeight="1" s="216"/>
    <row r="671" ht="15.75" customHeight="1" s="216"/>
    <row r="672" ht="15.75" customHeight="1" s="216"/>
    <row r="673" ht="15.75" customHeight="1" s="216"/>
    <row r="674" ht="15.75" customHeight="1" s="216"/>
    <row r="675" ht="15.75" customHeight="1" s="216"/>
    <row r="676" ht="15.75" customHeight="1" s="216"/>
    <row r="677" ht="15.75" customHeight="1" s="216"/>
    <row r="678" ht="15.75" customHeight="1" s="216"/>
    <row r="679" ht="15.75" customHeight="1" s="216"/>
    <row r="680" ht="15.75" customHeight="1" s="216"/>
    <row r="681" ht="15.75" customHeight="1" s="216"/>
    <row r="682" ht="15.75" customHeight="1" s="216"/>
    <row r="683" ht="15.75" customHeight="1" s="216"/>
    <row r="684" ht="15.75" customHeight="1" s="216"/>
    <row r="685" ht="15.75" customHeight="1" s="216"/>
    <row r="686" ht="15.75" customHeight="1" s="216"/>
    <row r="687" ht="15.75" customHeight="1" s="216"/>
    <row r="688" ht="15.75" customHeight="1" s="216"/>
    <row r="689" ht="15.75" customHeight="1" s="216"/>
    <row r="690" ht="15.75" customHeight="1" s="216"/>
    <row r="691" ht="15.75" customHeight="1" s="216"/>
    <row r="692" ht="15.75" customHeight="1" s="216"/>
    <row r="693" ht="15.75" customHeight="1" s="216"/>
    <row r="694" ht="15.75" customHeight="1" s="216"/>
    <row r="695" ht="15.75" customHeight="1" s="216"/>
    <row r="696" ht="15.75" customHeight="1" s="216"/>
    <row r="697" ht="15.75" customHeight="1" s="216"/>
    <row r="698" ht="15.75" customHeight="1" s="216"/>
    <row r="699" ht="15.75" customHeight="1" s="216"/>
    <row r="700" ht="15.75" customHeight="1" s="216"/>
    <row r="701" ht="15.75" customHeight="1" s="216"/>
    <row r="702" ht="15.75" customHeight="1" s="216"/>
    <row r="703" ht="15.75" customHeight="1" s="216"/>
    <row r="704" ht="15.75" customHeight="1" s="216"/>
    <row r="705" ht="15.75" customHeight="1" s="216"/>
    <row r="706" ht="15.75" customHeight="1" s="216"/>
    <row r="707" ht="15.75" customHeight="1" s="216"/>
    <row r="708" ht="15.75" customHeight="1" s="216"/>
    <row r="709" ht="15.75" customHeight="1" s="216"/>
    <row r="710" ht="15.75" customHeight="1" s="216"/>
    <row r="711" ht="15.75" customHeight="1" s="216"/>
    <row r="712" ht="15.75" customHeight="1" s="216"/>
    <row r="713" ht="15.75" customHeight="1" s="216"/>
    <row r="714" ht="15.75" customHeight="1" s="216"/>
    <row r="715" ht="15.75" customHeight="1" s="216"/>
    <row r="716" ht="15.75" customHeight="1" s="216"/>
    <row r="717" ht="15.75" customHeight="1" s="216"/>
    <row r="718" ht="15.75" customHeight="1" s="216"/>
    <row r="719" ht="15.75" customHeight="1" s="216"/>
    <row r="720" ht="15.75" customHeight="1" s="216"/>
    <row r="721" ht="15.75" customHeight="1" s="216"/>
    <row r="722" ht="15.75" customHeight="1" s="216"/>
    <row r="723" ht="15.75" customHeight="1" s="216"/>
    <row r="724" ht="15.75" customHeight="1" s="216"/>
    <row r="725" ht="15.75" customHeight="1" s="216"/>
    <row r="726" ht="15.75" customHeight="1" s="216"/>
    <row r="727" ht="15.75" customHeight="1" s="216"/>
    <row r="728" ht="15.75" customHeight="1" s="216"/>
    <row r="729" ht="15.75" customHeight="1" s="216"/>
    <row r="730" ht="15.75" customHeight="1" s="216"/>
    <row r="731" ht="15.75" customHeight="1" s="216"/>
    <row r="732" ht="15.75" customHeight="1" s="216"/>
    <row r="733" ht="15.75" customHeight="1" s="216"/>
    <row r="734" ht="15.75" customHeight="1" s="216"/>
    <row r="735" ht="15.75" customHeight="1" s="216"/>
    <row r="736" ht="15.75" customHeight="1" s="216"/>
    <row r="737" ht="15.75" customHeight="1" s="216"/>
    <row r="738" ht="15.75" customHeight="1" s="216"/>
    <row r="739" ht="15.75" customHeight="1" s="216"/>
    <row r="740" ht="15.75" customHeight="1" s="216"/>
    <row r="741" ht="15.75" customHeight="1" s="216"/>
    <row r="742" ht="15.75" customHeight="1" s="216"/>
    <row r="743" ht="15.75" customHeight="1" s="216"/>
    <row r="744" ht="15.75" customHeight="1" s="216"/>
    <row r="745" ht="15.75" customHeight="1" s="216"/>
    <row r="746" ht="15.75" customHeight="1" s="216"/>
    <row r="747" ht="15.75" customHeight="1" s="216"/>
    <row r="748" ht="15.75" customHeight="1" s="216"/>
    <row r="749" ht="15.75" customHeight="1" s="216"/>
    <row r="750" ht="15.75" customHeight="1" s="216"/>
    <row r="751" ht="15.75" customHeight="1" s="216"/>
    <row r="752" ht="15.75" customHeight="1" s="216"/>
    <row r="753" ht="15.75" customHeight="1" s="216"/>
    <row r="754" ht="15.75" customHeight="1" s="216"/>
    <row r="755" ht="15.75" customHeight="1" s="216"/>
    <row r="756" ht="15.75" customHeight="1" s="216"/>
    <row r="757" ht="15.75" customHeight="1" s="216"/>
    <row r="758" ht="15.75" customHeight="1" s="216"/>
    <row r="759" ht="15.75" customHeight="1" s="216"/>
    <row r="760" ht="15.75" customHeight="1" s="216"/>
    <row r="761" ht="15.75" customHeight="1" s="216"/>
    <row r="762" ht="15.75" customHeight="1" s="216"/>
    <row r="763" ht="15.75" customHeight="1" s="216"/>
    <row r="764" ht="15.75" customHeight="1" s="216"/>
    <row r="765" ht="15.75" customHeight="1" s="216"/>
    <row r="766" ht="15.75" customHeight="1" s="216"/>
    <row r="767" ht="15.75" customHeight="1" s="216"/>
    <row r="768" ht="15.75" customHeight="1" s="216"/>
    <row r="769" ht="15.75" customHeight="1" s="216"/>
    <row r="770" ht="15.75" customHeight="1" s="216"/>
    <row r="771" ht="15.75" customHeight="1" s="216"/>
    <row r="772" ht="15.75" customHeight="1" s="216"/>
    <row r="773" ht="15.75" customHeight="1" s="216"/>
    <row r="774" ht="15.75" customHeight="1" s="216"/>
    <row r="775" ht="15.75" customHeight="1" s="216"/>
    <row r="776" ht="15.75" customHeight="1" s="216"/>
    <row r="777" ht="15.75" customHeight="1" s="216"/>
    <row r="778" ht="15.75" customHeight="1" s="216"/>
    <row r="779" ht="15.75" customHeight="1" s="216"/>
    <row r="780" ht="15.75" customHeight="1" s="216"/>
    <row r="781" ht="15.75" customHeight="1" s="216"/>
    <row r="782" ht="15.75" customHeight="1" s="216"/>
    <row r="783" ht="15.75" customHeight="1" s="216"/>
    <row r="784" ht="15.75" customHeight="1" s="216"/>
    <row r="785" ht="15.75" customHeight="1" s="216"/>
    <row r="786" ht="15.75" customHeight="1" s="216"/>
    <row r="787" ht="15.75" customHeight="1" s="216"/>
    <row r="788" ht="15.75" customHeight="1" s="216"/>
    <row r="789" ht="15.75" customHeight="1" s="216"/>
    <row r="790" ht="15.75" customHeight="1" s="216"/>
    <row r="791" ht="15.75" customHeight="1" s="216"/>
    <row r="792" ht="15.75" customHeight="1" s="216"/>
    <row r="793" ht="15.75" customHeight="1" s="216"/>
    <row r="794" ht="15.75" customHeight="1" s="216"/>
    <row r="795" ht="15.75" customHeight="1" s="216"/>
    <row r="796" ht="15.75" customHeight="1" s="216"/>
    <row r="797" ht="15.75" customHeight="1" s="216"/>
    <row r="798" ht="15.75" customHeight="1" s="216"/>
    <row r="799" ht="15.75" customHeight="1" s="216"/>
    <row r="800" ht="15.75" customHeight="1" s="216"/>
    <row r="801" ht="15.75" customHeight="1" s="216"/>
    <row r="802" ht="15.75" customHeight="1" s="216"/>
    <row r="803" ht="15.75" customHeight="1" s="216"/>
    <row r="804" ht="15.75" customHeight="1" s="216"/>
    <row r="805" ht="15.75" customHeight="1" s="216"/>
    <row r="806" ht="15.75" customHeight="1" s="216"/>
    <row r="807" ht="15.75" customHeight="1" s="216"/>
    <row r="808" ht="15.75" customHeight="1" s="216"/>
    <row r="809" ht="15.75" customHeight="1" s="216"/>
    <row r="810" ht="15.75" customHeight="1" s="216"/>
    <row r="811" ht="15.75" customHeight="1" s="216"/>
    <row r="812" ht="15.75" customHeight="1" s="216"/>
    <row r="813" ht="15.75" customHeight="1" s="216"/>
    <row r="814" ht="15.75" customHeight="1" s="216"/>
    <row r="815" ht="15.75" customHeight="1" s="216"/>
    <row r="816" ht="15.75" customHeight="1" s="216"/>
    <row r="817" ht="15.75" customHeight="1" s="216"/>
    <row r="818" ht="15.75" customHeight="1" s="216"/>
    <row r="819" ht="15.75" customHeight="1" s="216"/>
    <row r="820" ht="15.75" customHeight="1" s="216"/>
    <row r="821" ht="15.75" customHeight="1" s="216"/>
    <row r="822" ht="15.75" customHeight="1" s="216"/>
    <row r="823" ht="15.75" customHeight="1" s="216"/>
    <row r="824" ht="15.75" customHeight="1" s="216"/>
    <row r="825" ht="15.75" customHeight="1" s="216"/>
    <row r="826" ht="15.75" customHeight="1" s="216"/>
    <row r="827" ht="15.75" customHeight="1" s="216"/>
    <row r="828" ht="15.75" customHeight="1" s="216"/>
    <row r="829" ht="15.75" customHeight="1" s="216"/>
    <row r="830" ht="15.75" customHeight="1" s="216"/>
    <row r="831" ht="15.75" customHeight="1" s="216"/>
    <row r="832" ht="15.75" customHeight="1" s="216"/>
    <row r="833" ht="15.75" customHeight="1" s="216"/>
    <row r="834" ht="15.75" customHeight="1" s="216"/>
    <row r="835" ht="15.75" customHeight="1" s="216"/>
    <row r="836" ht="15.75" customHeight="1" s="216"/>
    <row r="837" ht="15.75" customHeight="1" s="216"/>
    <row r="838" ht="15.75" customHeight="1" s="216"/>
    <row r="839" ht="15.75" customHeight="1" s="216"/>
    <row r="840" ht="15.75" customHeight="1" s="216"/>
    <row r="841" ht="15.75" customHeight="1" s="216"/>
    <row r="842" ht="15.75" customHeight="1" s="216"/>
    <row r="843" ht="15.75" customHeight="1" s="216"/>
    <row r="844" ht="15.75" customHeight="1" s="216"/>
    <row r="845" ht="15.75" customHeight="1" s="216"/>
    <row r="846" ht="15.75" customHeight="1" s="216"/>
    <row r="847" ht="15.75" customHeight="1" s="216"/>
    <row r="848" ht="15.75" customHeight="1" s="216"/>
    <row r="849" ht="15.75" customHeight="1" s="216"/>
    <row r="850" ht="15.75" customHeight="1" s="216"/>
    <row r="851" ht="15.75" customHeight="1" s="216"/>
    <row r="852" ht="15.75" customHeight="1" s="216"/>
    <row r="853" ht="15.75" customHeight="1" s="216"/>
    <row r="854" ht="15.75" customHeight="1" s="216"/>
    <row r="855" ht="15.75" customHeight="1" s="216"/>
    <row r="856" ht="15.75" customHeight="1" s="216"/>
    <row r="857" ht="15.75" customHeight="1" s="216"/>
    <row r="858" ht="15.75" customHeight="1" s="216"/>
    <row r="859" ht="15.75" customHeight="1" s="216"/>
    <row r="860" ht="15.75" customHeight="1" s="216"/>
    <row r="861" ht="15.75" customHeight="1" s="216"/>
    <row r="862" ht="15.75" customHeight="1" s="216"/>
    <row r="863" ht="15.75" customHeight="1" s="216"/>
    <row r="864" ht="15.75" customHeight="1" s="216"/>
    <row r="865" ht="15.75" customHeight="1" s="216"/>
    <row r="866" ht="15.75" customHeight="1" s="216"/>
    <row r="867" ht="15.75" customHeight="1" s="216"/>
    <row r="868" ht="15.75" customHeight="1" s="216"/>
    <row r="869" ht="15.75" customHeight="1" s="216"/>
    <row r="870" ht="15.75" customHeight="1" s="216"/>
    <row r="871" ht="15.75" customHeight="1" s="216"/>
    <row r="872" ht="15.75" customHeight="1" s="216"/>
    <row r="873" ht="15.75" customHeight="1" s="216"/>
    <row r="874" ht="15.75" customHeight="1" s="216"/>
    <row r="875" ht="15.75" customHeight="1" s="216"/>
    <row r="876" ht="15.75" customHeight="1" s="216"/>
    <row r="877" ht="15.75" customHeight="1" s="216"/>
    <row r="878" ht="15.75" customHeight="1" s="216"/>
    <row r="879" ht="15.75" customHeight="1" s="216"/>
    <row r="880" ht="15.75" customHeight="1" s="216"/>
    <row r="881" ht="15.75" customHeight="1" s="216"/>
    <row r="882" ht="15.75" customHeight="1" s="216"/>
    <row r="883" ht="15.75" customHeight="1" s="216"/>
    <row r="884" ht="15.75" customHeight="1" s="216"/>
    <row r="885" ht="15.75" customHeight="1" s="216"/>
    <row r="886" ht="15.75" customHeight="1" s="216"/>
    <row r="887" ht="15.75" customHeight="1" s="216"/>
    <row r="888" ht="15.75" customHeight="1" s="216"/>
    <row r="889" ht="15.75" customHeight="1" s="216"/>
    <row r="890" ht="15.75" customHeight="1" s="216"/>
    <row r="891" ht="15.75" customHeight="1" s="216"/>
    <row r="892" ht="15.75" customHeight="1" s="216"/>
    <row r="893" ht="15.75" customHeight="1" s="216"/>
    <row r="894" ht="15.75" customHeight="1" s="216"/>
    <row r="895" ht="15.75" customHeight="1" s="216"/>
    <row r="896" ht="15.75" customHeight="1" s="216"/>
    <row r="897" ht="15.75" customHeight="1" s="216"/>
    <row r="898" ht="15.75" customHeight="1" s="216"/>
    <row r="899" ht="15.75" customHeight="1" s="216"/>
    <row r="900" ht="15.75" customHeight="1" s="216"/>
    <row r="901" ht="15.75" customHeight="1" s="216"/>
    <row r="902" ht="15.75" customHeight="1" s="216"/>
    <row r="903" ht="15.75" customHeight="1" s="216"/>
    <row r="904" ht="15.75" customHeight="1" s="216"/>
    <row r="905" ht="15.75" customHeight="1" s="216"/>
    <row r="906" ht="15.75" customHeight="1" s="216"/>
    <row r="907" ht="15.75" customHeight="1" s="216"/>
    <row r="908" ht="15.75" customHeight="1" s="216"/>
    <row r="909" ht="15.75" customHeight="1" s="216"/>
    <row r="910" ht="15.75" customHeight="1" s="216"/>
    <row r="911" ht="15.75" customHeight="1" s="216"/>
    <row r="912" ht="15.75" customHeight="1" s="216"/>
    <row r="913" ht="15.75" customHeight="1" s="216"/>
    <row r="914" ht="15.75" customHeight="1" s="216"/>
    <row r="915" ht="15.75" customHeight="1" s="216"/>
    <row r="916" ht="15.75" customHeight="1" s="216"/>
    <row r="917" ht="15.75" customHeight="1" s="216"/>
    <row r="918" ht="15.75" customHeight="1" s="216"/>
    <row r="919" ht="15.75" customHeight="1" s="216"/>
    <row r="920" ht="15.75" customHeight="1" s="216"/>
    <row r="921" ht="15.75" customHeight="1" s="216"/>
    <row r="922" ht="15.75" customHeight="1" s="216"/>
    <row r="923" ht="15.75" customHeight="1" s="216"/>
    <row r="924" ht="15.75" customHeight="1" s="216"/>
    <row r="925" ht="15.75" customHeight="1" s="216"/>
    <row r="926" ht="15.75" customHeight="1" s="216"/>
    <row r="927" ht="15.75" customHeight="1" s="216"/>
    <row r="928" ht="15.75" customHeight="1" s="216"/>
    <row r="929" ht="15.75" customHeight="1" s="216"/>
    <row r="930" ht="15.75" customHeight="1" s="216"/>
    <row r="931" ht="15.75" customHeight="1" s="216"/>
    <row r="932" ht="15.75" customHeight="1" s="216"/>
    <row r="933" ht="15.75" customHeight="1" s="216"/>
    <row r="934" ht="15.75" customHeight="1" s="216"/>
    <row r="935" ht="15.75" customHeight="1" s="216"/>
    <row r="936" ht="15.75" customHeight="1" s="216"/>
    <row r="937" ht="15.75" customHeight="1" s="216"/>
    <row r="938" ht="15.75" customHeight="1" s="216"/>
    <row r="939" ht="15.75" customHeight="1" s="216"/>
    <row r="940" ht="15.75" customHeight="1" s="216"/>
    <row r="941" ht="15.75" customHeight="1" s="216"/>
    <row r="942" ht="15.75" customHeight="1" s="216"/>
    <row r="943" ht="15.75" customHeight="1" s="216"/>
    <row r="944" ht="15.75" customHeight="1" s="216"/>
    <row r="945" ht="15.75" customHeight="1" s="216"/>
    <row r="946" ht="15.75" customHeight="1" s="216"/>
    <row r="947" ht="15.75" customHeight="1" s="216"/>
    <row r="948" ht="15.75" customHeight="1" s="216"/>
    <row r="949" ht="15.75" customHeight="1" s="216"/>
    <row r="950" ht="15.75" customHeight="1" s="216"/>
    <row r="951" ht="15.75" customHeight="1" s="216"/>
    <row r="952" ht="15.75" customHeight="1" s="216"/>
    <row r="953" ht="15.75" customHeight="1" s="216"/>
    <row r="954" ht="15.75" customHeight="1" s="216"/>
    <row r="955" ht="15.75" customHeight="1" s="216"/>
    <row r="956" ht="15.75" customHeight="1" s="216"/>
    <row r="957" ht="15.75" customHeight="1" s="216"/>
    <row r="958" ht="15.75" customHeight="1" s="216"/>
    <row r="959" ht="15.75" customHeight="1" s="216"/>
    <row r="960" ht="15.75" customHeight="1" s="216"/>
    <row r="961" ht="15.75" customHeight="1" s="216"/>
    <row r="962" ht="15.75" customHeight="1" s="216"/>
    <row r="963" ht="15.75" customHeight="1" s="216"/>
    <row r="964" ht="15.75" customHeight="1" s="216"/>
    <row r="965" ht="15.75" customHeight="1" s="216"/>
    <row r="966" ht="15.75" customHeight="1" s="216"/>
    <row r="967" ht="15.75" customHeight="1" s="216"/>
    <row r="968" ht="15.75" customHeight="1" s="216"/>
    <row r="969" ht="15.75" customHeight="1" s="216"/>
    <row r="970" ht="15.75" customHeight="1" s="216"/>
    <row r="971" ht="15.75" customHeight="1" s="216"/>
    <row r="972" ht="15.75" customHeight="1" s="216"/>
    <row r="973" ht="15.75" customHeight="1" s="216"/>
    <row r="974" ht="15.75" customHeight="1" s="216"/>
    <row r="975" ht="15.75" customHeight="1" s="216"/>
    <row r="976" ht="15.75" customHeight="1" s="216"/>
    <row r="977" ht="15.75" customHeight="1" s="216"/>
    <row r="978" ht="15.75" customHeight="1" s="216"/>
    <row r="979" ht="15.75" customHeight="1" s="216"/>
    <row r="980" ht="15.75" customHeight="1" s="216"/>
    <row r="981" ht="15.75" customHeight="1" s="216"/>
    <row r="982" ht="15.75" customHeight="1" s="216"/>
    <row r="983" ht="15.75" customHeight="1" s="216"/>
    <row r="984" ht="15.75" customHeight="1" s="216"/>
    <row r="985" ht="15.75" customHeight="1" s="216"/>
    <row r="986" ht="15.75" customHeight="1" s="216"/>
    <row r="987" ht="15.75" customHeight="1" s="216"/>
    <row r="988" ht="15.75" customHeight="1" s="216"/>
    <row r="989" ht="15.75" customHeight="1" s="216"/>
    <row r="990" ht="15.75" customHeight="1" s="216"/>
    <row r="991" ht="15.75" customHeight="1" s="216"/>
    <row r="992" ht="15.75" customHeight="1" s="216"/>
    <row r="993" ht="15.75" customHeight="1" s="216"/>
    <row r="994" ht="15.75" customHeight="1" s="216"/>
    <row r="995" ht="15.75" customHeight="1" s="216"/>
    <row r="996" ht="15.75" customHeight="1" s="216"/>
    <row r="997" ht="15.75" customHeight="1" s="216"/>
    <row r="998" ht="15.75" customHeight="1" s="216"/>
    <row r="999" ht="15.75" customHeight="1" s="216"/>
    <row r="1000" ht="15.75" customHeight="1" s="216"/>
  </sheetData>
  <autoFilter ref="A6:AU6"/>
  <mergeCells count="19">
    <mergeCell ref="AR5:AU5"/>
    <mergeCell ref="N5:S5"/>
    <mergeCell ref="C2:E2"/>
    <mergeCell ref="A5:C5"/>
    <mergeCell ref="Z5:AE5"/>
    <mergeCell ref="AF5:AK5"/>
    <mergeCell ref="AL5:AQ5"/>
    <mergeCell ref="J5:M5"/>
    <mergeCell ref="A3:B3"/>
    <mergeCell ref="G3:H3"/>
    <mergeCell ref="I3:J3"/>
    <mergeCell ref="A2:B2"/>
    <mergeCell ref="D5:I5"/>
    <mergeCell ref="C3:E3"/>
    <mergeCell ref="A4:B4"/>
    <mergeCell ref="G4:H4"/>
    <mergeCell ref="T5:Y5"/>
    <mergeCell ref="I4:J4"/>
    <mergeCell ref="C4:E4"/>
  </mergeCells>
  <conditionalFormatting sqref="O7:O500 P7:P500 U7:U500 V7:V500 AA7:AA500 AB7:AB500 AG7:AG500 AH7:AH500 AM7:AM500 AN7:AN500 AS7:AS500 AT7:AT500">
    <cfRule type="cellIs" priority="1" operator="equal" dxfId="5">
      <formula>"Pass"</formula>
    </cfRule>
    <cfRule type="cellIs" priority="2" operator="equal" dxfId="6">
      <formula>"Fail"</formula>
    </cfRule>
    <cfRule type="cellIs" priority="3" operator="equal" dxfId="7">
      <formula>"Block"</formula>
    </cfRule>
    <cfRule type="cellIs" priority="4" operator="equal" dxfId="8">
      <formula>"N/A"</formula>
    </cfRule>
  </conditionalFormatting>
  <dataValidations count="8">
    <dataValidation sqref="J7:J500" showDropDown="0" showInputMessage="0" showErrorMessage="0" allowBlank="1" type="list">
      <formula1>"AI,QC"</formula1>
    </dataValidation>
    <dataValidation sqref="E7:E500" showDropDown="0" showInputMessage="0" showErrorMessage="0" allowBlank="1" type="list">
      <formula1>"High,Medium,Low"</formula1>
    </dataValidation>
    <dataValidation sqref="P7:P500 V7:V500 AB7:AB500 AH7:AH500 AN7:AN500" showDropDown="0" showInputMessage="0" showErrorMessage="0" allowBlank="1" type="list">
      <formula1>"Pass,Fail,Block,N/A"</formula1>
    </dataValidation>
    <dataValidation sqref="N7:N500 T7:T500 Z7:Z500 AF7:AF500 AL7:AL500" showDropDown="0" showInputMessage="0" showErrorMessage="0" allowBlank="1" type="list">
      <formula1>"Yes,No,N/A"</formula1>
    </dataValidation>
    <dataValidation sqref="O7:O500 U7:U500 AA7:AA500 AG7:AG500 AM7:AM500" showDropDown="0" showInputMessage="0" showErrorMessage="0" allowBlank="1" type="list">
      <formula1>"Pass,Fail,Block,N/A,Chưa chạy"</formula1>
    </dataValidation>
    <dataValidation sqref="D7:D500" showDropDown="0" showInputMessage="0" showErrorMessage="0" allowBlank="1" type="list">
      <formula1>"Functional,UI,Integration,Database Test Case"</formula1>
    </dataValidation>
    <dataValidation sqref="K7:K500" showDropDown="0" showInputMessage="0" showErrorMessage="0" allowBlank="1" type="list">
      <formula1>"Reviewed,Pending,N/A"</formula1>
    </dataValidation>
    <dataValidation sqref="L7:L500" showDropDown="0" showInputMessage="0" showErrorMessage="0" allowBlank="1" type="list">
      <formula1>"Yes,No"</formula1>
    </dataValidation>
  </dataValidations>
  <pageMargins left="0.75" right="0.75" top="1" bottom="1" header="0" footer="0"/>
  <pageSetup orientation="landscape" fitToHeight="0"/>
</worksheet>
</file>

<file path=xl/worksheets/sheet18.xml><?xml version="1.0" encoding="utf-8"?>
<worksheet xmlns="http://schemas.openxmlformats.org/spreadsheetml/2006/main">
  <sheetPr>
    <outlinePr summaryBelow="1" summaryRight="1"/>
    <pageSetUpPr fitToPage="1"/>
  </sheetPr>
  <dimension ref="A1:AV520"/>
  <sheetViews>
    <sheetView workbookViewId="0">
      <pane xSplit="1" ySplit="6" topLeftCell="B7" activePane="bottomRight" state="frozen"/>
      <selection pane="topRight"/>
      <selection pane="bottomLeft"/>
      <selection pane="bottomRight" activeCell="A1" sqref="A1"/>
    </sheetView>
  </sheetViews>
  <sheetFormatPr baseColWidth="8" defaultColWidth="14.43" defaultRowHeight="15" customHeight="1"/>
  <cols>
    <col width="14" customWidth="1" style="216" min="1" max="2"/>
    <col width="13" customWidth="1" style="216" min="3" max="4"/>
    <col width="11" customWidth="1" style="216" min="5" max="5"/>
    <col width="34" customWidth="1" style="216" min="6" max="6"/>
    <col width="28" customWidth="1" style="216" min="7" max="7"/>
    <col width="40" customWidth="1" style="216" min="8" max="8"/>
    <col width="34" customWidth="1" style="216" min="9" max="9"/>
    <col width="10" customWidth="1" style="216" min="10" max="10"/>
    <col width="12.43" customWidth="1" style="216" min="11" max="11"/>
    <col width="14" customWidth="1" style="216" min="12" max="12"/>
    <col width="26.14" customWidth="1" style="216" min="13" max="13"/>
    <col width="9" customWidth="1" style="216" min="14" max="14"/>
    <col width="10" customWidth="1" style="216" min="15" max="15"/>
    <col width="9" customWidth="1" style="216" min="16" max="16"/>
    <col width="13" customWidth="1" style="216" min="17" max="17"/>
    <col width="11" customWidth="1" style="216" min="18" max="18"/>
    <col width="22" customWidth="1" style="216" min="19" max="19"/>
    <col width="9" customWidth="1" style="216" min="20" max="20"/>
    <col width="10" customWidth="1" style="216" min="21" max="21"/>
    <col width="9" customWidth="1" style="216" min="22" max="22"/>
    <col width="13" customWidth="1" style="216" min="23" max="23"/>
    <col width="11" customWidth="1" style="216" min="24" max="24"/>
    <col width="22" customWidth="1" style="216" min="25" max="25"/>
    <col width="9" customWidth="1" style="216" min="26" max="26"/>
    <col width="10" customWidth="1" style="216" min="27" max="27"/>
    <col width="9" customWidth="1" style="216" min="28" max="28"/>
    <col width="13" customWidth="1" style="216" min="29" max="29"/>
    <col width="11" customWidth="1" style="216" min="30" max="30"/>
    <col width="22" customWidth="1" style="216" min="31" max="31"/>
    <col width="9" customWidth="1" style="216" min="32" max="32"/>
    <col width="10" customWidth="1" style="216" min="33" max="33"/>
    <col width="9" customWidth="1" style="216" min="34" max="34"/>
    <col width="13" customWidth="1" style="216" min="35" max="35"/>
    <col width="11" customWidth="1" style="216" min="36" max="36"/>
    <col width="22" customWidth="1" style="216" min="37" max="37"/>
    <col width="9" customWidth="1" style="216" min="38" max="38"/>
    <col width="10" customWidth="1" style="216" min="39" max="39"/>
    <col width="9" customWidth="1" style="216" min="40" max="40"/>
    <col width="13" customWidth="1" style="216" min="41" max="41"/>
    <col width="11" customWidth="1" style="216" min="42" max="42"/>
    <col width="22" customWidth="1" style="216" min="43" max="43"/>
    <col width="12" customWidth="1" style="216" min="44" max="44"/>
    <col width="14" customWidth="1" style="216" min="45" max="45"/>
    <col width="11" customWidth="1" style="216" min="46" max="46"/>
    <col width="24" customWidth="1" style="216" min="47" max="47"/>
  </cols>
  <sheetData>
    <row r="1">
      <c r="A1" s="106"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row>
    <row r="2">
      <c r="A2" s="255" t="inlineStr">
        <is>
          <t>Mã chức năng</t>
        </is>
      </c>
      <c r="B2" s="218" t="n"/>
      <c r="C2" s="256" t="inlineStr">
        <is>
          <t>TC_10</t>
        </is>
      </c>
      <c r="D2" s="220" t="n"/>
      <c r="E2" s="218"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row>
    <row r="3" ht="15" customHeight="1" s="216">
      <c r="A3" s="255" t="inlineStr">
        <is>
          <t>Tên chức năng</t>
        </is>
      </c>
      <c r="B3" s="218" t="n"/>
      <c r="C3" s="256" t="inlineStr">
        <is>
          <t>Trust &amp; Safety</t>
        </is>
      </c>
      <c r="D3" s="220" t="n"/>
      <c r="E3" s="218" t="n"/>
      <c r="F3" s="1" t="n"/>
      <c r="G3" s="255" t="inlineStr">
        <is>
          <t>Version</t>
        </is>
      </c>
      <c r="H3" s="218" t="n"/>
      <c r="I3" s="174">
        <f>Summary!$C$8</f>
        <v/>
      </c>
      <c r="J3" s="218"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row>
    <row r="4" ht="15" customHeight="1" s="216">
      <c r="A4" s="255" t="inlineStr">
        <is>
          <t>Execution</t>
        </is>
      </c>
      <c r="B4" s="218" t="n"/>
      <c r="C4" s="174">
        <f>TEXT(Summary!$C$10,"DD/MM/YYYY")&amp;"  →  "&amp;TEXT(Summary!$C$11,"DD/MM/YYYY")</f>
        <v/>
      </c>
      <c r="D4" s="220" t="n"/>
      <c r="E4" s="218" t="n"/>
      <c r="F4" s="1" t="n"/>
      <c r="G4" s="255" t="inlineStr">
        <is>
          <t>PIC</t>
        </is>
      </c>
      <c r="H4" s="218" t="n"/>
      <c r="I4" s="174">
        <f>Summary!$C$13</f>
        <v/>
      </c>
      <c r="J4" s="218"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1" t="n"/>
      <c r="AL4" s="1" t="n"/>
      <c r="AM4" s="1" t="n"/>
      <c r="AN4" s="1" t="n"/>
      <c r="AO4" s="1" t="n"/>
      <c r="AP4" s="1" t="n"/>
      <c r="AQ4" s="1" t="n"/>
      <c r="AR4" s="1" t="n"/>
      <c r="AS4" s="1" t="n"/>
      <c r="AT4" s="1" t="n"/>
      <c r="AU4" s="1" t="n"/>
    </row>
    <row r="5" ht="15" customHeight="1" s="216">
      <c r="A5" s="257" t="inlineStr">
        <is>
          <t>TRACEABILITY</t>
        </is>
      </c>
      <c r="B5" s="220" t="n"/>
      <c r="C5" s="218" t="n"/>
      <c r="D5" s="246" t="inlineStr">
        <is>
          <t>TEST DESIGN</t>
        </is>
      </c>
      <c r="E5" s="220" t="n"/>
      <c r="F5" s="220" t="n"/>
      <c r="G5" s="220" t="n"/>
      <c r="H5" s="220" t="n"/>
      <c r="I5" s="218" t="n"/>
      <c r="J5" s="250" t="inlineStr">
        <is>
          <t>SDLC</t>
        </is>
      </c>
      <c r="K5" s="220" t="n"/>
      <c r="L5" s="220" t="n"/>
      <c r="M5" s="218" t="n"/>
      <c r="N5" s="258" t="inlineStr">
        <is>
          <t>ROUND 1</t>
        </is>
      </c>
      <c r="O5" s="252" t="n"/>
      <c r="P5" s="252" t="n"/>
      <c r="Q5" s="252" t="n"/>
      <c r="R5" s="252" t="n"/>
      <c r="S5" s="253" t="n"/>
      <c r="T5" s="259" t="inlineStr">
        <is>
          <t>ROUND 2</t>
        </is>
      </c>
      <c r="U5" s="252" t="n"/>
      <c r="V5" s="252" t="n"/>
      <c r="W5" s="252" t="n"/>
      <c r="X5" s="252" t="n"/>
      <c r="Y5" s="253" t="n"/>
      <c r="Z5" s="258" t="inlineStr">
        <is>
          <t>ROUND 3</t>
        </is>
      </c>
      <c r="AA5" s="252" t="n"/>
      <c r="AB5" s="252" t="n"/>
      <c r="AC5" s="252" t="n"/>
      <c r="AD5" s="252" t="n"/>
      <c r="AE5" s="253" t="n"/>
      <c r="AF5" s="259" t="inlineStr">
        <is>
          <t>ROUND 4</t>
        </is>
      </c>
      <c r="AG5" s="252" t="n"/>
      <c r="AH5" s="252" t="n"/>
      <c r="AI5" s="252" t="n"/>
      <c r="AJ5" s="252" t="n"/>
      <c r="AK5" s="253" t="n"/>
      <c r="AL5" s="258" t="inlineStr">
        <is>
          <t>ROUND 5</t>
        </is>
      </c>
      <c r="AM5" s="252" t="n"/>
      <c r="AN5" s="252" t="n"/>
      <c r="AO5" s="252" t="n"/>
      <c r="AP5" s="252" t="n"/>
      <c r="AQ5" s="253" t="n"/>
      <c r="AR5" s="262" t="inlineStr">
        <is>
          <t>KẾT QUẢ TỔNG</t>
        </is>
      </c>
      <c r="AS5" s="252" t="n"/>
      <c r="AT5" s="252" t="n"/>
      <c r="AU5" s="253" t="n"/>
    </row>
    <row r="6" ht="30" customHeight="1" s="216">
      <c r="A6" s="152" t="inlineStr">
        <is>
          <t>Testcase ID</t>
        </is>
      </c>
      <c r="B6" s="152" t="inlineStr">
        <is>
          <t>Req ID</t>
        </is>
      </c>
      <c r="C6" s="152" t="inlineStr">
        <is>
          <t>DOC Source</t>
        </is>
      </c>
      <c r="D6" s="114" t="inlineStr">
        <is>
          <t>Group</t>
        </is>
      </c>
      <c r="E6" s="114" t="inlineStr">
        <is>
          <t>Priority</t>
        </is>
      </c>
      <c r="F6" s="114" t="inlineStr">
        <is>
          <t>Test Title
(Nội dung test)</t>
        </is>
      </c>
      <c r="G6" s="114" t="inlineStr">
        <is>
          <t>Pre-condition
(Điều kiện/Dữ liệu)</t>
        </is>
      </c>
      <c r="H6" s="114" t="inlineStr">
        <is>
          <t>Test Steps
(Các bước)</t>
        </is>
      </c>
      <c r="I6" s="114" t="inlineStr">
        <is>
          <t>Expected Result
(Kết quả mong đợi)</t>
        </is>
      </c>
      <c r="J6" s="112" t="inlineStr">
        <is>
          <t>Origin</t>
        </is>
      </c>
      <c r="K6" s="112" t="inlineStr">
        <is>
          <t>Review</t>
        </is>
      </c>
      <c r="L6" s="112" t="inlineStr">
        <is>
          <t>Automated</t>
        </is>
      </c>
      <c r="M6" s="112" t="inlineStr">
        <is>
          <t>Script</t>
        </is>
      </c>
      <c r="N6" s="153" t="inlineStr">
        <is>
          <t>Vibe-test</t>
        </is>
      </c>
      <c r="O6" s="153" t="inlineStr">
        <is>
          <t>KQ Script</t>
        </is>
      </c>
      <c r="P6" s="153" t="inlineStr">
        <is>
          <t>Kết quả</t>
        </is>
      </c>
      <c r="Q6" s="153" t="inlineStr">
        <is>
          <t>Executed By</t>
        </is>
      </c>
      <c r="R6" s="153" t="inlineStr">
        <is>
          <t>ID Bugs</t>
        </is>
      </c>
      <c r="S6" s="153" t="inlineStr">
        <is>
          <t>Note</t>
        </is>
      </c>
      <c r="T6" s="153" t="inlineStr">
        <is>
          <t>Vibe-test</t>
        </is>
      </c>
      <c r="U6" s="153" t="inlineStr">
        <is>
          <t>KQ Script</t>
        </is>
      </c>
      <c r="V6" s="153" t="inlineStr">
        <is>
          <t>Kết quả</t>
        </is>
      </c>
      <c r="W6" s="153" t="inlineStr">
        <is>
          <t>Executed By</t>
        </is>
      </c>
      <c r="X6" s="153" t="inlineStr">
        <is>
          <t>ID Bugs</t>
        </is>
      </c>
      <c r="Y6" s="153" t="inlineStr">
        <is>
          <t>Note</t>
        </is>
      </c>
      <c r="Z6" s="153" t="inlineStr">
        <is>
          <t>Vibe-test</t>
        </is>
      </c>
      <c r="AA6" s="153" t="inlineStr">
        <is>
          <t>KQ Script</t>
        </is>
      </c>
      <c r="AB6" s="153" t="inlineStr">
        <is>
          <t>Kết quả</t>
        </is>
      </c>
      <c r="AC6" s="153" t="inlineStr">
        <is>
          <t>Executed By</t>
        </is>
      </c>
      <c r="AD6" s="153" t="inlineStr">
        <is>
          <t>ID Bugs</t>
        </is>
      </c>
      <c r="AE6" s="153" t="inlineStr">
        <is>
          <t>Note</t>
        </is>
      </c>
      <c r="AF6" s="153" t="inlineStr">
        <is>
          <t>Vibe-test</t>
        </is>
      </c>
      <c r="AG6" s="153" t="inlineStr">
        <is>
          <t>KQ Script</t>
        </is>
      </c>
      <c r="AH6" s="153" t="inlineStr">
        <is>
          <t>Kết quả</t>
        </is>
      </c>
      <c r="AI6" s="153" t="inlineStr">
        <is>
          <t>Executed By</t>
        </is>
      </c>
      <c r="AJ6" s="153" t="inlineStr">
        <is>
          <t>ID Bugs</t>
        </is>
      </c>
      <c r="AK6" s="153" t="inlineStr">
        <is>
          <t>Note</t>
        </is>
      </c>
      <c r="AL6" s="153" t="inlineStr">
        <is>
          <t>Vibe-test</t>
        </is>
      </c>
      <c r="AM6" s="153" t="inlineStr">
        <is>
          <t>KQ Script</t>
        </is>
      </c>
      <c r="AN6" s="153" t="inlineStr">
        <is>
          <t>Kết quả</t>
        </is>
      </c>
      <c r="AO6" s="153" t="inlineStr">
        <is>
          <t>Executed By</t>
        </is>
      </c>
      <c r="AP6" s="153" t="inlineStr">
        <is>
          <t>ID Bugs</t>
        </is>
      </c>
      <c r="AQ6" s="153" t="inlineStr">
        <is>
          <t>Note</t>
        </is>
      </c>
      <c r="AR6" s="263" t="inlineStr">
        <is>
          <t>Vibe-test
(tổng)</t>
        </is>
      </c>
      <c r="AS6" s="263" t="inlineStr">
        <is>
          <t>KQ Script
(tổng)</t>
        </is>
      </c>
      <c r="AT6" s="154" t="inlineStr">
        <is>
          <t>Status</t>
        </is>
      </c>
      <c r="AU6" s="154" t="inlineStr">
        <is>
          <t>Remark</t>
        </is>
      </c>
    </row>
    <row r="7" ht="60" customHeight="1" s="216">
      <c r="A7" s="160">
        <f>IF($F7="","",$C$2&amp;"."&amp;COUNTA($F$7:$F7)&amp;"")</f>
        <v/>
      </c>
      <c r="B7" s="160" t="inlineStr">
        <is>
          <t>REQ-TS-006</t>
        </is>
      </c>
      <c r="C7" s="160" t="inlineStr">
        <is>
          <t>DOC-v1.1-01 · DOC-v1.1-03</t>
        </is>
      </c>
      <c r="D7" s="160" t="inlineStr">
        <is>
          <t>Functional</t>
        </is>
      </c>
      <c r="E7" s="160" t="inlineStr">
        <is>
          <t>High</t>
        </is>
      </c>
      <c r="F7" s="11" t="inlineStr">
        <is>
          <t>Check form báo cáo sự cố mở trong WebView và chỉ điền sẵn mã đơn hàng</t>
        </is>
      </c>
      <c r="G7" s="11" t="inlineStr">
        <is>
          <t>- Tài khoản A, B, C là ba CBNV khác nhau trên STG.
- Host app FoxPro đã cài trên thiết bị Android/iOS.
Test Data: Đơn `IN_TRANSIT` = `SEED-TS-01` CP2; mã đơn prefill (test_data_catalog §TS — Mã đơn hàng prefill)</t>
        </is>
      </c>
      <c r="H7" s="11" t="inlineStr">
        <is>
          <t>1. Đăng nhập bằng tài khoản A, đăng 1 tin NEED khai tài khoản C là người nhận, rồi đăng xuất. (setup)
2. Đăng nhập bằng tài khoản B, nhận đơn đó, nhấn "Tôi đã lấy hàng" và xác nhận. (setup)
3. Nhấn tab "Hoạt động" và mở đơn đó. (setup)
4. Nhấn "Báo cáo sự cố".
5. Check khung WebView vừa mở và giá trị của bốn ô "Mã đơn hàng", "Loại yêu cầu", "Mô tả chi tiết", "Số điện thoại liên hệ lại".</t>
        </is>
      </c>
      <c r="I7" s="11" t="inlineStr">
        <is>
          <t>5. WebView mở toàn màn hình có thanh URL chỉ đọc và nút đóng; ô "Mã đơn hàng" đã điền sẵn đúng mã của đơn kèm ghi chú "Tự động điền từ ứng dụng"; ba ô "Loại yêu cầu", "Mô tả chi tiết" và "Số điện thoại liên hệ lại" đều TRỐNG.</t>
        </is>
      </c>
      <c r="J7" s="160" t="inlineStr">
        <is>
          <t>AI</t>
        </is>
      </c>
      <c r="K7" s="160" t="inlineStr">
        <is>
          <t>Pending</t>
        </is>
      </c>
      <c r="L7" s="160" t="inlineStr">
        <is>
          <t>No</t>
        </is>
      </c>
      <c r="M7" s="160" t="inlineStr"/>
      <c r="N7" s="264" t="inlineStr">
        <is>
          <t>Yes</t>
        </is>
      </c>
      <c r="O7" s="264" t="inlineStr"/>
      <c r="P7" s="264" t="inlineStr">
        <is>
          <t>Pass</t>
        </is>
      </c>
      <c r="Q7" s="264" t="inlineStr">
        <is>
          <t>GiangDC2</t>
        </is>
      </c>
      <c r="R7" s="264" t="inlineStr">
        <is>
          <t>FE-321</t>
        </is>
      </c>
      <c r="S7" s="264" t="inlineStr"/>
      <c r="T7" s="264" t="n"/>
      <c r="U7" s="264" t="n"/>
      <c r="V7" s="264" t="n"/>
      <c r="W7" s="264" t="n"/>
      <c r="X7" s="264" t="n"/>
      <c r="Y7" s="264" t="n"/>
      <c r="Z7" s="264" t="n"/>
      <c r="AA7" s="264" t="n"/>
      <c r="AB7" s="264" t="n"/>
      <c r="AC7" s="264" t="n"/>
      <c r="AD7" s="264" t="n"/>
      <c r="AE7" s="264" t="n"/>
      <c r="AF7" s="264" t="n"/>
      <c r="AG7" s="264" t="n"/>
      <c r="AH7" s="264" t="n"/>
      <c r="AI7" s="264" t="n"/>
      <c r="AJ7" s="264" t="n"/>
      <c r="AK7" s="264" t="n"/>
      <c r="AL7" s="264" t="n"/>
      <c r="AM7" s="264" t="n"/>
      <c r="AN7" s="264" t="n"/>
      <c r="AO7" s="264" t="n"/>
      <c r="AP7" s="264" t="n"/>
      <c r="AQ7" s="264" t="n"/>
      <c r="AR7" s="158">
        <f>IF($A7="","",IF(OR($N7="Yes",$T7="Yes",$Z7="Yes",$AF7="Yes",$AL7="Yes"),"Yes","No"))</f>
        <v/>
      </c>
      <c r="AS7" s="158">
        <f>IF($A7="","",IFERROR(IF($AM7&lt;&gt;"",$AM7,IF($AG7&lt;&gt;"",$AG7,IF($AA7&lt;&gt;"",$AA7,IF($U7&lt;&gt;"",$U7,IF($O7&lt;&gt;"",$O7,""))))),""))</f>
        <v/>
      </c>
      <c r="AT7" s="158">
        <f>IFERROR(IF($AN7&lt;&gt;"",$AN7,IF($AH7&lt;&gt;"",$AH7,IF($AB7&lt;&gt;"",$AB7,IF($V7&lt;&gt;"",$V7,IF($P7&lt;&gt;"",$P7,""))))),"")</f>
        <v/>
      </c>
      <c r="AU7" s="265" t="inlineStr">
        <is>
          <t>🔴 Áp bản Resolved `C-TS-03(a)` 2026-09-17 thay vì Then của `SC-TS-008`: form prefill **đúng 1 trường**, ⛔ KHÔNG phải 9 trường như `AC-31.1.01` liệt kê — `BR16-02` mới là bản đúng, `AC-31.1.01` là PRD sai/thừa. · Mục đích: kết quả phản trực giác so với PRD — người chạy đọc `AC-31.1.01` sẽ tưởng thiếu 8 trường là bug. App prefill thêm trường ⇒ FAIL và dẫn `C-TS-03` để BA cập nhật PRD.</t>
        </is>
      </c>
    </row>
    <row r="8" ht="60" customHeight="1" s="216">
      <c r="A8" s="160">
        <f>IF($F8="","",$C$2&amp;"."&amp;COUNTA($F$7:$F8)&amp;"")</f>
        <v/>
      </c>
      <c r="B8" s="160" t="inlineStr">
        <is>
          <t>REQ-TS-006</t>
        </is>
      </c>
      <c r="C8" s="160" t="inlineStr">
        <is>
          <t>DOC-v1.1-01 · DOC-v1.1-03</t>
        </is>
      </c>
      <c r="D8" s="160" t="inlineStr">
        <is>
          <t>Functional</t>
        </is>
      </c>
      <c r="E8" s="160" t="inlineStr">
        <is>
          <t>High</t>
        </is>
      </c>
      <c r="F8" s="11" t="inlineStr">
        <is>
          <t>Check gửi báo cáo sự cố hợp lệ hiện màn ghi nhận kèm cam kết liên hệ lại</t>
        </is>
      </c>
      <c r="G8" s="11" t="inlineStr">
        <is>
          <t>- Tài khoản A, B, C là ba CBNV khác nhau trên STG.
- Host app FoxPro đã cài trên thiết bị Android/iOS.
- Thư viện ảnh thiết bị có sẵn ≥5 ảnh JPG.
Test Data: Loại yêu cầu "Sự cố đơn hàng" + mô tả không rỗng + SĐT hợp lệ + 2 ảnh (test_data_catalog §TS)</t>
        </is>
      </c>
      <c r="H8" s="11"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Chọn "Sự cố đơn hàng" ở ô "Loại yêu cầu".
5. Nhập "Hàng bị móp góc khi giao" vào ô "Mô tả chi tiết".
6. Nhập "0912345678" vào ô "Số điện thoại liên hệ lại".
7. Đính 2 ảnh JPG từ thư viện thiết bị.
8. Nhấn "Gửi".
9. Check màn hiện ra sau khi gửi.</t>
        </is>
      </c>
      <c r="I8" s="11" t="inlineStr">
        <is>
          <t>9. Màn hiển thị "Đã ghi nhận phản hồi" kèm đúng câu "Đội hỗ trợ FoxEco sẽ liên hệ lại số 0912345678 trong vòng 24 giờ làm việc" và nút "Quay lại đơn hàng".</t>
        </is>
      </c>
      <c r="J8" s="160" t="inlineStr">
        <is>
          <t>AI</t>
        </is>
      </c>
      <c r="K8" s="160" t="inlineStr">
        <is>
          <t>Pending</t>
        </is>
      </c>
      <c r="L8" s="160" t="inlineStr">
        <is>
          <t>No</t>
        </is>
      </c>
      <c r="M8" s="160" t="inlineStr"/>
      <c r="N8" s="264" t="inlineStr">
        <is>
          <t>Yes</t>
        </is>
      </c>
      <c r="O8" s="264" t="inlineStr"/>
      <c r="P8" s="264" t="inlineStr">
        <is>
          <t>Fail</t>
        </is>
      </c>
      <c r="Q8" s="264" t="inlineStr">
        <is>
          <t>GiangDC2</t>
        </is>
      </c>
      <c r="R8" s="264" t="inlineStr">
        <is>
          <t>FE-323</t>
        </is>
      </c>
      <c r="S8" s="264" t="inlineStr"/>
      <c r="T8" s="264" t="n"/>
      <c r="U8" s="264" t="n"/>
      <c r="V8" s="264" t="n"/>
      <c r="W8" s="264" t="n"/>
      <c r="X8" s="264" t="n"/>
      <c r="Y8" s="264" t="n"/>
      <c r="Z8" s="264" t="n"/>
      <c r="AA8" s="264" t="n"/>
      <c r="AB8" s="264" t="n"/>
      <c r="AC8" s="264" t="n"/>
      <c r="AD8" s="264" t="n"/>
      <c r="AE8" s="264" t="n"/>
      <c r="AF8" s="264" t="n"/>
      <c r="AG8" s="264" t="n"/>
      <c r="AH8" s="264" t="n"/>
      <c r="AI8" s="264" t="n"/>
      <c r="AJ8" s="264" t="n"/>
      <c r="AK8" s="264" t="n"/>
      <c r="AL8" s="264" t="n"/>
      <c r="AM8" s="264" t="n"/>
      <c r="AN8" s="264" t="n"/>
      <c r="AO8" s="264" t="n"/>
      <c r="AP8" s="264" t="n"/>
      <c r="AQ8" s="264" t="n"/>
      <c r="AR8" s="158">
        <f>IF($A8="","",IF(OR($N8="Yes",$T8="Yes",$Z8="Yes",$AF8="Yes",$AL8="Yes"),"Yes","No"))</f>
        <v/>
      </c>
      <c r="AS8" s="158">
        <f>IF($A8="","",IFERROR(IF($AM8&lt;&gt;"",$AM8,IF($AG8&lt;&gt;"",$AG8,IF($AA8&lt;&gt;"",$AA8,IF($U8&lt;&gt;"",$U8,IF($O8&lt;&gt;"",$O8,""))))),""))</f>
        <v/>
      </c>
      <c r="AT8" s="158">
        <f>IFERROR(IF($AN8&lt;&gt;"",$AN8,IF($AH8&lt;&gt;"",$AH8,IF($AB8&lt;&gt;"",$AB8,IF($V8&lt;&gt;"",$V8,IF($P8&lt;&gt;"",$P8,""))))),"")</f>
        <v/>
      </c>
      <c r="AU8" s="265" t="inlineStr">
        <is>
          <t>Mục đích: chuỗi cam kết 24 giờ là **thứ duy nhất verify được** của quy trình hỗ trợ — hành động thật của Admin nằm ngoài app, ⛔ không mở rộng phạm vi sang đó. · Căn cứ: `AC-31.1.01` + vibe-check demo 2026-09-15 (ảnh `TS_05`, chuỗi verbatim). Màn xác nhận và nút "Quay lại đơn hàng" do **APP** vẽ chứ không phải trang xác nhận của Google Form (`C-TS-03(d)` Resolved 2026-09-17).</t>
        </is>
      </c>
    </row>
    <row r="9" ht="60" customHeight="1" s="216">
      <c r="A9" s="160">
        <f>IF($F9="","",$C$2&amp;"."&amp;COUNTA($F$7:$F9)&amp;"")</f>
        <v/>
      </c>
      <c r="B9" s="160" t="inlineStr">
        <is>
          <t>REQ-TS-006</t>
        </is>
      </c>
      <c r="C9" s="160" t="inlineStr">
        <is>
          <t>DOC-v1.1-01</t>
        </is>
      </c>
      <c r="D9" s="160" t="inlineStr">
        <is>
          <t>Functional</t>
        </is>
      </c>
      <c r="E9" s="160" t="inlineStr">
        <is>
          <t>Medium</t>
        </is>
      </c>
      <c r="F9" s="11" t="inlineStr">
        <is>
          <t>Check nút Gửi vô hiệu hoá khi chưa chọn loại yêu cầu</t>
        </is>
      </c>
      <c r="G9" s="11" t="inlineStr">
        <is>
          <t>- Tài khoản A, B, C là ba CBNV khác nhau trên STG.
- Host app FoxPro đã cài trên thiết bị Android/iOS.
Test Data: Loại yêu cầu chưa chọn — nhánh invalid (test_data_catalog §TS — Loại yêu cầu)</t>
        </is>
      </c>
      <c r="H9" s="11"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Nhập "Hàng bị móp góc khi giao" vào ô "Mô tả chi tiết".
5. Nhập "0912345678" vào ô "Số điện thoại liên hệ lại".
6. Để ô "Loại yêu cầu" ở trạng thái chưa chọn và check trạng thái nút "Gửi" cùng phần chữ cạnh nút.</t>
        </is>
      </c>
      <c r="I9" s="11" t="inlineStr">
        <is>
          <t>6. Nút "Gửi" vẫn ở trạng thái bấm được (không disable); ngay sau khi bấm, form KHÔNG được gửi đi, tự cuộn tới câu hỏi "Loại yêu cầu" và hiện lỗi inline "Câu hỏi này là bắt buộc." ngay dưới câu hỏi đó.</t>
        </is>
      </c>
      <c r="J9" s="160" t="inlineStr">
        <is>
          <t>AI</t>
        </is>
      </c>
      <c r="K9" s="160" t="inlineStr">
        <is>
          <t>Pending</t>
        </is>
      </c>
      <c r="L9" s="160" t="inlineStr">
        <is>
          <t>No</t>
        </is>
      </c>
      <c r="M9" s="160" t="inlineStr"/>
      <c r="N9" s="264" t="inlineStr">
        <is>
          <t>Yes</t>
        </is>
      </c>
      <c r="O9" s="264" t="inlineStr"/>
      <c r="P9" s="264" t="inlineStr">
        <is>
          <t>Pass</t>
        </is>
      </c>
      <c r="Q9" s="264" t="inlineStr">
        <is>
          <t>GiangDC2</t>
        </is>
      </c>
      <c r="R9" s="264" t="inlineStr"/>
      <c r="S9" s="264" t="inlineStr"/>
      <c r="T9" s="264" t="n"/>
      <c r="U9" s="264" t="n"/>
      <c r="V9" s="264" t="n"/>
      <c r="W9" s="264" t="n"/>
      <c r="X9" s="264" t="n"/>
      <c r="Y9" s="264" t="n"/>
      <c r="Z9" s="264" t="n"/>
      <c r="AA9" s="264" t="n"/>
      <c r="AB9" s="264" t="n"/>
      <c r="AC9" s="264" t="n"/>
      <c r="AD9" s="264" t="n"/>
      <c r="AE9" s="264" t="n"/>
      <c r="AF9" s="264" t="n"/>
      <c r="AG9" s="264" t="n"/>
      <c r="AH9" s="264" t="n"/>
      <c r="AI9" s="264" t="n"/>
      <c r="AJ9" s="264" t="n"/>
      <c r="AK9" s="264" t="n"/>
      <c r="AL9" s="264" t="n"/>
      <c r="AM9" s="264" t="n"/>
      <c r="AN9" s="264" t="n"/>
      <c r="AO9" s="264" t="n"/>
      <c r="AP9" s="264" t="n"/>
      <c r="AQ9" s="264" t="n"/>
      <c r="AR9" s="158">
        <f>IF($A9="","",IF(OR($N9="Yes",$T9="Yes",$Z9="Yes",$AF9="Yes",$AL9="Yes"),"Yes","No"))</f>
        <v/>
      </c>
      <c r="AS9" s="158">
        <f>IF($A9="","",IFERROR(IF($AM9&lt;&gt;"",$AM9,IF($AG9&lt;&gt;"",$AG9,IF($AA9&lt;&gt;"",$AA9,IF($U9&lt;&gt;"",$U9,IF($O9&lt;&gt;"",$O9,""))))),""))</f>
        <v/>
      </c>
      <c r="AT9" s="158">
        <f>IFERROR(IF($AN9&lt;&gt;"",$AN9,IF($AH9&lt;&gt;"",$AH9,IF($AB9&lt;&gt;"",$AB9,IF($V9&lt;&gt;"",$V9,IF($P9&lt;&gt;"",$P9,""))))),"")</f>
        <v/>
      </c>
      <c r="AU9" s="265" t="inlineStr">
        <is>
          <t>Mục đích: 1 trong 3 nhánh OR của điều kiện bắt buộc — mỗi nhánh fail độc lập, khoá được nhánh này không suy ra khoá được 2 nhánh kia. · Căn cứ: `DOC-v1.1-01` §6.2 AC-31.1.02 + vibe-check demo 2026-09-15 (ảnh `TS_04`, chiều dương của cùng rule).</t>
        </is>
      </c>
    </row>
    <row r="10">
      <c r="A10" s="160">
        <f>IF($F10="","",$C$2&amp;"."&amp;COUNTA($F$7:$F10)&amp;"")</f>
        <v/>
      </c>
      <c r="B10" s="160" t="inlineStr">
        <is>
          <t>REQ-TS-006</t>
        </is>
      </c>
      <c r="C10" s="160" t="inlineStr">
        <is>
          <t>DOC-v1.1-01</t>
        </is>
      </c>
      <c r="D10" s="160" t="inlineStr">
        <is>
          <t>Functional</t>
        </is>
      </c>
      <c r="E10" s="160" t="inlineStr">
        <is>
          <t>Medium</t>
        </is>
      </c>
      <c r="F10" s="11" t="inlineStr">
        <is>
          <t>Check nút Gửi vô hiệu hoá khi chưa nhập mô tả chi tiết</t>
        </is>
      </c>
      <c r="G10" s="11" t="inlineStr">
        <is>
          <t>- Tài khoản A, B, C là ba CBNV khác nhau trên STG.
- Host app FoxPro đã cài trên thiết bị Android/iOS.
Test Data: Mô tả chi tiết rỗng — nhánh invalid (test_data_catalog §TS — Mô tả chi tiết)</t>
        </is>
      </c>
      <c r="H10" s="11"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Chọn "Lỗi ứng dụng" ở ô "Loại yêu cầu".
5. Nhập "0912345678" vào ô "Số điện thoại liên hệ lại".
6. Để ô "Mô tả chi tiết" rỗng và check trạng thái nút "Gửi" cùng phần chữ cạnh nút.</t>
        </is>
      </c>
      <c r="I10" s="11" t="inlineStr">
        <is>
          <t>6. Nút "Gửi" vẫn ở trạng thái bấm được (không disable); ngay sau khi bấm, form KHÔNG được gửi đi, tự cuộn tới câu hỏi "Mô tả chi tiết" và hiện lỗi inline "Câu hỏi này là bắt buộc." ngay dưới câu hỏi đó.</t>
        </is>
      </c>
      <c r="J10" s="160" t="inlineStr">
        <is>
          <t>AI</t>
        </is>
      </c>
      <c r="K10" s="160" t="inlineStr">
        <is>
          <t>Pending</t>
        </is>
      </c>
      <c r="L10" s="160" t="inlineStr">
        <is>
          <t>No</t>
        </is>
      </c>
      <c r="M10" s="160" t="inlineStr"/>
      <c r="N10" s="264" t="inlineStr">
        <is>
          <t>Yes</t>
        </is>
      </c>
      <c r="O10" s="264" t="inlineStr"/>
      <c r="P10" s="264" t="inlineStr">
        <is>
          <t>Pass</t>
        </is>
      </c>
      <c r="Q10" s="264" t="inlineStr">
        <is>
          <t>GiangDC2</t>
        </is>
      </c>
      <c r="R10" s="264" t="inlineStr"/>
      <c r="S10" s="264" t="inlineStr"/>
      <c r="T10" s="264" t="n"/>
      <c r="U10" s="264" t="n"/>
      <c r="V10" s="264" t="n"/>
      <c r="W10" s="264" t="n"/>
      <c r="X10" s="264" t="n"/>
      <c r="Y10" s="264" t="n"/>
      <c r="Z10" s="264" t="n"/>
      <c r="AA10" s="264" t="n"/>
      <c r="AB10" s="264" t="n"/>
      <c r="AC10" s="264" t="n"/>
      <c r="AD10" s="264" t="n"/>
      <c r="AE10" s="264" t="n"/>
      <c r="AF10" s="264" t="n"/>
      <c r="AG10" s="264" t="n"/>
      <c r="AH10" s="264" t="n"/>
      <c r="AI10" s="264" t="n"/>
      <c r="AJ10" s="264" t="n"/>
      <c r="AK10" s="264" t="n"/>
      <c r="AL10" s="264" t="n"/>
      <c r="AM10" s="264" t="n"/>
      <c r="AN10" s="264" t="n"/>
      <c r="AO10" s="264" t="n"/>
      <c r="AP10" s="264" t="n"/>
      <c r="AQ10" s="264" t="n"/>
      <c r="AR10" s="158">
        <f>IF($A10="","",IF(OR($N10="Yes",$T10="Yes",$Z10="Yes",$AF10="Yes",$AL10="Yes"),"Yes","No"))</f>
        <v/>
      </c>
      <c r="AS10" s="158">
        <f>IF($A10="","",IFERROR(IF($AM10&lt;&gt;"",$AM10,IF($AG10&lt;&gt;"",$AG10,IF($AA10&lt;&gt;"",$AA10,IF($U10&lt;&gt;"",$U10,IF($O10&lt;&gt;"",$O10,""))))),""))</f>
        <v/>
      </c>
      <c r="AT10" s="158">
        <f>IFERROR(IF($AN10&lt;&gt;"",$AN10,IF($AH10&lt;&gt;"",$AH10,IF($AB10&lt;&gt;"",$AB10,IF($V10&lt;&gt;"",$V10,IF($P10&lt;&gt;"",$P10,""))))),"")</f>
        <v/>
      </c>
      <c r="AU10" s="265" t="inlineStr">
        <is>
          <t>Căn cứ: `DOC-v1.1-01` §6.2 AC-31.1.02 — `test_data_catalog §TS` ghi rõ trường này **không có giới hạn ký tự công bố** nên chỉ có nhánh rỗng ⟷ không rỗng, ⛔ không viết TC biên độ dài.</t>
        </is>
      </c>
    </row>
    <row r="11">
      <c r="A11" s="160">
        <f>IF($F11="","",$C$2&amp;"."&amp;COUNTA($F$7:$F11)&amp;"")</f>
        <v/>
      </c>
      <c r="B11" s="160" t="inlineStr">
        <is>
          <t>REQ-TS-006</t>
        </is>
      </c>
      <c r="C11" s="160" t="inlineStr">
        <is>
          <t>DOC-v1.1-01</t>
        </is>
      </c>
      <c r="D11" s="160" t="inlineStr">
        <is>
          <t>Functional</t>
        </is>
      </c>
      <c r="E11" s="160" t="inlineStr">
        <is>
          <t>Medium</t>
        </is>
      </c>
      <c r="F11" s="11" t="inlineStr">
        <is>
          <t>Check nút Gửi vô hiệu hoá khi số điện thoại sai định dạng</t>
        </is>
      </c>
      <c r="G11" s="11" t="inlineStr">
        <is>
          <t>- Tài khoản A, B, C là ba CBNV khác nhau trên STG.
- Host app FoxPro đã cài trên thiết bị Android/iOS.
Test Data: SĐT sai định dạng "0912abc" (test_data_catalog §TS — Số điện thoại liên hệ lại, nhánh invalid)</t>
        </is>
      </c>
      <c r="H11" s="11"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Chọn "Góp ý / đề xuất" ở ô "Loại yêu cầu".
5. Nhập "App hay bị chậm ở màn bảng tin" vào ô "Mô tả chi tiết".
6. Nhập "0912abc" vào ô "Số điện thoại liên hệ lại".
7. Check trạng thái nút "Gửi" cùng phần chữ cạnh nút.</t>
        </is>
      </c>
      <c r="I11" s="11" t="inlineStr">
        <is>
          <t>7. Nút "Gửi" vẫn ở trạng thái bấm được (không disable — cơ chế thật của form là inline error, xem TC-TS-010/TC-TS-011); tuy nhiên SĐT sai định dạng vẫn phải bị chặn không cho gửi (báo lỗi định dạng hoặc tương đương) trước khi form được submit.</t>
        </is>
      </c>
      <c r="J11" s="160" t="inlineStr">
        <is>
          <t>AI</t>
        </is>
      </c>
      <c r="K11" s="160" t="inlineStr">
        <is>
          <t>Pending</t>
        </is>
      </c>
      <c r="L11" s="160" t="inlineStr">
        <is>
          <t>No</t>
        </is>
      </c>
      <c r="M11" s="160" t="inlineStr"/>
      <c r="N11" s="264" t="inlineStr">
        <is>
          <t>Yes</t>
        </is>
      </c>
      <c r="O11" s="264" t="inlineStr"/>
      <c r="P11" s="264" t="inlineStr">
        <is>
          <t>Fail</t>
        </is>
      </c>
      <c r="Q11" s="264" t="inlineStr">
        <is>
          <t>GiangDC2</t>
        </is>
      </c>
      <c r="R11" s="264" t="inlineStr">
        <is>
          <t>FE-324</t>
        </is>
      </c>
      <c r="S11" s="264" t="inlineStr"/>
      <c r="T11" s="264" t="n"/>
      <c r="U11" s="264" t="n"/>
      <c r="V11" s="264" t="n"/>
      <c r="W11" s="264" t="n"/>
      <c r="X11" s="264" t="n"/>
      <c r="Y11" s="264" t="n"/>
      <c r="Z11" s="264" t="n"/>
      <c r="AA11" s="264" t="n"/>
      <c r="AB11" s="264" t="n"/>
      <c r="AC11" s="264" t="n"/>
      <c r="AD11" s="264" t="n"/>
      <c r="AE11" s="264" t="n"/>
      <c r="AF11" s="264" t="n"/>
      <c r="AG11" s="264" t="n"/>
      <c r="AH11" s="264" t="n"/>
      <c r="AI11" s="264" t="n"/>
      <c r="AJ11" s="264" t="n"/>
      <c r="AK11" s="264" t="n"/>
      <c r="AL11" s="264" t="n"/>
      <c r="AM11" s="264" t="n"/>
      <c r="AN11" s="264" t="n"/>
      <c r="AO11" s="264" t="n"/>
      <c r="AP11" s="264" t="n"/>
      <c r="AQ11" s="264" t="n"/>
      <c r="AR11" s="158">
        <f>IF($A11="","",IF(OR($N11="Yes",$T11="Yes",$Z11="Yes",$AF11="Yes",$AL11="Yes"),"Yes","No"))</f>
        <v/>
      </c>
      <c r="AS11" s="158">
        <f>IF($A11="","",IFERROR(IF($AM11&lt;&gt;"",$AM11,IF($AG11&lt;&gt;"",$AG11,IF($AA11&lt;&gt;"",$AA11,IF($U11&lt;&gt;"",$U11,IF($O11&lt;&gt;"",$O11,""))))),""))</f>
        <v/>
      </c>
      <c r="AT11" s="158">
        <f>IFERROR(IF($AN11&lt;&gt;"",$AN11,IF($AH11&lt;&gt;"",$AH11,IF($AB11&lt;&gt;"",$AB11,IF($V11&lt;&gt;"",$V11,IF($P11&lt;&gt;"",$P11,""))))),"")</f>
        <v/>
      </c>
      <c r="AU11" s="265" t="inlineStr">
        <is>
          <t>Mục đích: nhánh khác bản chất với 2 TC kia — ô CÓ dữ liệu nhưng sai định dạng, dễ bị lập trình thành "chỉ kiểm rỗng". · Căn cứ: `DOC-v1.1-01` §6.2 AC-31.1.02 + §8.16.2. Dùng loại yêu cầu thứ ba để đồng thời phủ đủ 3 giá trị enum của ô "Loại yêu cầu" trong cụm này.</t>
        </is>
      </c>
    </row>
    <row r="12">
      <c r="A12" s="160">
        <f>IF($F12="","",$C$2&amp;"."&amp;COUNTA($F$7:$F12)&amp;"")</f>
        <v/>
      </c>
      <c r="B12" s="160" t="inlineStr">
        <is>
          <t>REQ-TS-006</t>
        </is>
      </c>
      <c r="C12" s="160" t="inlineStr">
        <is>
          <t>DOC-v1.1-01</t>
        </is>
      </c>
      <c r="D12" s="160" t="inlineStr">
        <is>
          <t>Functional</t>
        </is>
      </c>
      <c r="E12" s="160" t="inlineStr">
        <is>
          <t>Low</t>
        </is>
      </c>
      <c r="F12" s="11" t="inlineStr">
        <is>
          <t>Check gửi báo cáo sự cố thành công khi không đính ảnh nào</t>
        </is>
      </c>
      <c r="G12" s="11" t="inlineStr">
        <is>
          <t>- Tài khoản A, B, C là ba CBNV khác nhau trên STG.
- Host app FoxPro đã cài trên thiết bị Android/iOS.
Test Data: 0 ảnh — biên dưới hợp lệ (test_data_catalog §TS — Hình ảnh đính kèm)</t>
        </is>
      </c>
      <c r="H12" s="11"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Chọn "Sự cố đơn hàng" ở ô "Loại yêu cầu".
5. Nhập "Không liên lạc được người nhận" vào ô "Mô tả chi tiết".
6. Nhập "0912345678" vào ô "Số điện thoại liên hệ lại".
7. Nhấn "Gửi" mà KHÔNG đính ảnh nào.
8. Check màn hiện ra sau khi gửi.</t>
        </is>
      </c>
      <c r="I12" s="11" t="inlineStr">
        <is>
          <t>8. Màn hiển thị "Đã ghi nhận phản hồi", gửi thành công không có thông báo lỗi đòi ảnh.</t>
        </is>
      </c>
      <c r="J12" s="160" t="inlineStr">
        <is>
          <t>AI</t>
        </is>
      </c>
      <c r="K12" s="160" t="inlineStr">
        <is>
          <t>Pending</t>
        </is>
      </c>
      <c r="L12" s="160" t="inlineStr">
        <is>
          <t>No</t>
        </is>
      </c>
      <c r="M12" s="160" t="inlineStr"/>
      <c r="N12" s="264" t="inlineStr">
        <is>
          <t>Yes</t>
        </is>
      </c>
      <c r="O12" s="264" t="inlineStr"/>
      <c r="P12" s="264" t="inlineStr">
        <is>
          <t>Fail</t>
        </is>
      </c>
      <c r="Q12" s="264" t="inlineStr">
        <is>
          <t>GiangDC2</t>
        </is>
      </c>
      <c r="R12" s="264" t="inlineStr">
        <is>
          <t>FE-325</t>
        </is>
      </c>
      <c r="S12" s="264" t="inlineStr"/>
      <c r="T12" s="264" t="n"/>
      <c r="U12" s="264" t="n"/>
      <c r="V12" s="264" t="n"/>
      <c r="W12" s="264" t="n"/>
      <c r="X12" s="264" t="n"/>
      <c r="Y12" s="264" t="n"/>
      <c r="Z12" s="264" t="n"/>
      <c r="AA12" s="264" t="n"/>
      <c r="AB12" s="264" t="n"/>
      <c r="AC12" s="264" t="n"/>
      <c r="AD12" s="264" t="n"/>
      <c r="AE12" s="264" t="n"/>
      <c r="AF12" s="264" t="n"/>
      <c r="AG12" s="264" t="n"/>
      <c r="AH12" s="264" t="n"/>
      <c r="AI12" s="264" t="n"/>
      <c r="AJ12" s="264" t="n"/>
      <c r="AK12" s="264" t="n"/>
      <c r="AL12" s="264" t="n"/>
      <c r="AM12" s="264" t="n"/>
      <c r="AN12" s="264" t="n"/>
      <c r="AO12" s="264" t="n"/>
      <c r="AP12" s="264" t="n"/>
      <c r="AQ12" s="264" t="n"/>
      <c r="AR12" s="158">
        <f>IF($A12="","",IF(OR($N12="Yes",$T12="Yes",$Z12="Yes",$AF12="Yes",$AL12="Yes"),"Yes","No"))</f>
        <v/>
      </c>
      <c r="AS12" s="158">
        <f>IF($A12="","",IFERROR(IF($AM12&lt;&gt;"",$AM12,IF($AG12&lt;&gt;"",$AG12,IF($AA12&lt;&gt;"",$AA12,IF($U12&lt;&gt;"",$U12,IF($O12&lt;&gt;"",$O12,""))))),""))</f>
        <v/>
      </c>
      <c r="AT12" s="158">
        <f>IFERROR(IF($AN12&lt;&gt;"",$AN12,IF($AH12&lt;&gt;"",$AH12,IF($AB12&lt;&gt;"",$AB12,IF($V12&lt;&gt;"",$V12,IF($P12&lt;&gt;"",$P12,""))))),"")</f>
        <v/>
      </c>
      <c r="AU12" s="265" t="inlineStr">
        <is>
          <t>Mục đích: cặp biên dưới với `TC-TS-014` — ảnh KHÔNG nằm trong điều kiện bật nút "Gửi", khác hẳn ảnh bằng chứng giao hàng của `DLV` (bắt buộc ≥1). · Căn cứ: `DOC-v1.1-01` §6.2 AC-31.1.02 + §8.16.2.</t>
        </is>
      </c>
    </row>
    <row r="13">
      <c r="A13" s="160">
        <f>IF($F13="","",$C$2&amp;"."&amp;COUNTA($F$7:$F13)&amp;"")</f>
        <v/>
      </c>
      <c r="B13" s="160" t="inlineStr">
        <is>
          <t>REQ-TS-006</t>
        </is>
      </c>
      <c r="C13" s="160" t="inlineStr">
        <is>
          <t>DOC-v1.1-01 · DOC-v1.1-03</t>
        </is>
      </c>
      <c r="D13" s="160" t="inlineStr">
        <is>
          <t>Functional</t>
        </is>
      </c>
      <c r="E13" s="160" t="inlineStr">
        <is>
          <t>Low</t>
        </is>
      </c>
      <c r="F13" s="11" t="inlineStr">
        <is>
          <t>Check đính đủ năm ảnh thì nút thêm ảnh khác bị vô hiệu hoá</t>
        </is>
      </c>
      <c r="G13" s="11" t="inlineStr">
        <is>
          <t>- Tài khoản A, B, C là ba CBNV khác nhau trên STG.
- Host app FoxPro đã cài trên thiết bị Android/iOS.
- Thư viện ảnh thiết bị có sẵn ≥6 ảnh JPG.
Test Data: 5 ảnh — biên trên hợp lệ, ảnh thứ 6 bị chặn (test_data_catalog §TS — Hình ảnh đính kèm, biên)</t>
        </is>
      </c>
      <c r="H13" s="11"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Chọn "Sự cố đơn hàng", nhập mô tả "Hàng bị ướt" và nhập số điện thoại "0912345678". (setup)
5. Đính lần lượt 5 ảnh JPG từ thư viện thiết bị.
6. Check số ảnh hiển thị trong ô ảnh và trạng thái nút "Thêm ảnh khác".</t>
        </is>
      </c>
      <c r="I13" s="11" t="inlineStr">
        <is>
          <t>6. Ô ảnh hiển thị đủ 5 ảnh và nút "Thêm ảnh khác" chuyển sang trạng thái vô hiệu hoá, không chọn được ảnh thứ 6.</t>
        </is>
      </c>
      <c r="J13" s="160" t="inlineStr">
        <is>
          <t>AI</t>
        </is>
      </c>
      <c r="K13" s="160" t="inlineStr">
        <is>
          <t>Pending</t>
        </is>
      </c>
      <c r="L13" s="160" t="inlineStr">
        <is>
          <t>No</t>
        </is>
      </c>
      <c r="M13" s="160" t="inlineStr"/>
      <c r="N13" s="264" t="inlineStr">
        <is>
          <t>Yes</t>
        </is>
      </c>
      <c r="O13" s="264" t="inlineStr"/>
      <c r="P13" s="264" t="inlineStr">
        <is>
          <t>Pass</t>
        </is>
      </c>
      <c r="Q13" s="264" t="inlineStr">
        <is>
          <t>GiangDC2</t>
        </is>
      </c>
      <c r="R13" s="264" t="inlineStr"/>
      <c r="S13" s="264" t="inlineStr"/>
      <c r="T13" s="264" t="n"/>
      <c r="U13" s="264" t="n"/>
      <c r="V13" s="264" t="n"/>
      <c r="W13" s="264" t="n"/>
      <c r="X13" s="264" t="n"/>
      <c r="Y13" s="264" t="n"/>
      <c r="Z13" s="264" t="n"/>
      <c r="AA13" s="264" t="n"/>
      <c r="AB13" s="264" t="n"/>
      <c r="AC13" s="264" t="n"/>
      <c r="AD13" s="264" t="n"/>
      <c r="AE13" s="264" t="n"/>
      <c r="AF13" s="264" t="n"/>
      <c r="AG13" s="264" t="n"/>
      <c r="AH13" s="264" t="n"/>
      <c r="AI13" s="264" t="n"/>
      <c r="AJ13" s="264" t="n"/>
      <c r="AK13" s="264" t="n"/>
      <c r="AL13" s="264" t="n"/>
      <c r="AM13" s="264" t="n"/>
      <c r="AN13" s="264" t="n"/>
      <c r="AO13" s="264" t="n"/>
      <c r="AP13" s="264" t="n"/>
      <c r="AQ13" s="264" t="n"/>
      <c r="AR13" s="158">
        <f>IF($A13="","",IF(OR($N13="Yes",$T13="Yes",$Z13="Yes",$AF13="Yes",$AL13="Yes"),"Yes","No"))</f>
        <v/>
      </c>
      <c r="AS13" s="158">
        <f>IF($A13="","",IFERROR(IF($AM13&lt;&gt;"",$AM13,IF($AG13&lt;&gt;"",$AG13,IF($AA13&lt;&gt;"",$AA13,IF($U13&lt;&gt;"",$U13,IF($O13&lt;&gt;"",$O13,""))))),""))</f>
        <v/>
      </c>
      <c r="AT13" s="158">
        <f>IFERROR(IF($AN13&lt;&gt;"",$AN13,IF($AH13&lt;&gt;"",$AH13,IF($AB13&lt;&gt;"",$AB13,IF($V13&lt;&gt;"",$V13,IF($P13&lt;&gt;"",$P13,""))))),"")</f>
        <v/>
      </c>
      <c r="AU13" s="265" t="inlineStr">
        <is>
          <t>Mục đích: cặp biên trên của trần 5 — hai giá trị liền kề nên phải quan sát trong cùng 1 TC để so được. · Căn cứ: `DOC-v1.1-01` §8.16.2 + vibe-check demo 2026-09-15 (ảnh `TS_03`, nút tự disable ở ảnh thứ 5). Trần 5 ở đây **độc lập** với trần ảnh bằng chứng của `DLV` — 2 form khác nhau, không dùng chung state dù cùng số 5.</t>
        </is>
      </c>
    </row>
    <row r="14">
      <c r="A14" s="160">
        <f>IF($F14="","",$C$2&amp;"."&amp;COUNTA($F$7:$F14)&amp;"")</f>
        <v/>
      </c>
      <c r="B14" s="160" t="inlineStr">
        <is>
          <t>REQ-TS-006</t>
        </is>
      </c>
      <c r="C14" s="160" t="inlineStr">
        <is>
          <t>DOC-v1.1-01</t>
        </is>
      </c>
      <c r="D14" s="160" t="inlineStr">
        <is>
          <t>Functional</t>
        </is>
      </c>
      <c r="E14" s="160" t="inlineStr">
        <is>
          <t>Low</t>
        </is>
      </c>
      <c r="F14" s="11" t="inlineStr">
        <is>
          <t>Check xoá được từng ảnh đính kèm riêng lẻ và mở lại chỗ thêm ảnh</t>
        </is>
      </c>
      <c r="G14" s="11" t="inlineStr">
        <is>
          <t>- Tài khoản A, B, C là ba CBNV khác nhau trên STG.
- Host app FoxPro đã cài trên thiết bị Android/iOS.
- Thư viện ảnh thiết bị có sẵn ≥5 ảnh JPG.
Test Data: 5 ảnh rồi xoá 1 (test_data_catalog §TS — Hình ảnh đính kèm)</t>
        </is>
      </c>
      <c r="H14" s="11"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Đính lần lượt 5 ảnh JPG từ thư viện thiết bị. (setup)
5. Nhấn nút xoá trên ảnh thứ ba.
6. Check số ảnh còn lại, thứ tự các ảnh còn lại và trạng thái nút "Thêm ảnh khác".</t>
        </is>
      </c>
      <c r="I14" s="11" t="inlineStr">
        <is>
          <t>6. Ô ảnh còn đúng 4 ảnh và chỉ mất đúng ảnh thứ ba, các ảnh còn lại giữ nguyên; nút "Thêm ảnh khác" trở lại trạng thái khả dụng.</t>
        </is>
      </c>
      <c r="J14" s="160" t="inlineStr">
        <is>
          <t>AI</t>
        </is>
      </c>
      <c r="K14" s="160" t="inlineStr">
        <is>
          <t>Pending</t>
        </is>
      </c>
      <c r="L14" s="160" t="inlineStr">
        <is>
          <t>No</t>
        </is>
      </c>
      <c r="M14" s="160" t="inlineStr"/>
      <c r="N14" s="264" t="inlineStr">
        <is>
          <t>Yes</t>
        </is>
      </c>
      <c r="O14" s="264" t="inlineStr"/>
      <c r="P14" s="264" t="inlineStr">
        <is>
          <t>Pass</t>
        </is>
      </c>
      <c r="Q14" s="264" t="inlineStr">
        <is>
          <t>GiangDC2</t>
        </is>
      </c>
      <c r="R14" s="264" t="inlineStr"/>
      <c r="S14" s="264" t="inlineStr"/>
      <c r="T14" s="264" t="n"/>
      <c r="U14" s="264" t="n"/>
      <c r="V14" s="264" t="n"/>
      <c r="W14" s="264" t="n"/>
      <c r="X14" s="264" t="n"/>
      <c r="Y14" s="264" t="n"/>
      <c r="Z14" s="264" t="n"/>
      <c r="AA14" s="264" t="n"/>
      <c r="AB14" s="264" t="n"/>
      <c r="AC14" s="264" t="n"/>
      <c r="AD14" s="264" t="n"/>
      <c r="AE14" s="264" t="n"/>
      <c r="AF14" s="264" t="n"/>
      <c r="AG14" s="264" t="n"/>
      <c r="AH14" s="264" t="n"/>
      <c r="AI14" s="264" t="n"/>
      <c r="AJ14" s="264" t="n"/>
      <c r="AK14" s="264" t="n"/>
      <c r="AL14" s="264" t="n"/>
      <c r="AM14" s="264" t="n"/>
      <c r="AN14" s="264" t="n"/>
      <c r="AO14" s="264" t="n"/>
      <c r="AP14" s="264" t="n"/>
      <c r="AQ14" s="264" t="n"/>
      <c r="AR14" s="158">
        <f>IF($A14="","",IF(OR($N14="Yes",$T14="Yes",$Z14="Yes",$AF14="Yes",$AL14="Yes"),"Yes","No"))</f>
        <v/>
      </c>
      <c r="AS14" s="158">
        <f>IF($A14="","",IFERROR(IF($AM14&lt;&gt;"",$AM14,IF($AG14&lt;&gt;"",$AG14,IF($AA14&lt;&gt;"",$AA14,IF($U14&lt;&gt;"",$U14,IF($O14&lt;&gt;"",$O14,""))))),""))</f>
        <v/>
      </c>
      <c r="AT14" s="158">
        <f>IFERROR(IF($AN14&lt;&gt;"",$AN14,IF($AH14&lt;&gt;"",$AH14,IF($AB14&lt;&gt;"",$AB14,IF($V14&lt;&gt;"",$V14,IF($P14&lt;&gt;"",$P14,""))))),"")</f>
        <v/>
      </c>
      <c r="AU14" s="265" t="inlineStr">
        <is>
          <t>Mục đích: fail độc lập với `TC-TS-014` — chặn được ảnh thứ 6 không đảm bảo bộ đếm giảm đúng khi xoá; lỗi hay gặp là xoá nhầm ảnh cuối thay vì ảnh được chọn. · Căn cứ: `DOC-v1.1-01` §8.16.2 (*"xoá được từng ảnh"*).</t>
        </is>
      </c>
    </row>
    <row r="15">
      <c r="A15" s="160">
        <f>IF($F15="","",$C$2&amp;"."&amp;COUNTA($F$7:$F15)&amp;"")</f>
        <v/>
      </c>
      <c r="B15" s="160" t="inlineStr">
        <is>
          <t>REQ-TS-006</t>
        </is>
      </c>
      <c r="C15" s="160" t="inlineStr">
        <is>
          <t>DOC-v1.1-01</t>
        </is>
      </c>
      <c r="D15" s="160" t="inlineStr">
        <is>
          <t>Functional</t>
        </is>
      </c>
      <c r="E15" s="160" t="inlineStr">
        <is>
          <t>Medium</t>
        </is>
      </c>
      <c r="F15" s="11" t="inlineStr">
        <is>
          <t>Check mất mạng khi mở báo cáo sự cố thì app hiện lỗi kèm nút thử lại</t>
        </is>
      </c>
      <c r="G15" s="11" t="inlineStr">
        <is>
          <t>- Tài khoản A, B, C là ba CBNV khác nhau trên STG.
- Host app FoxPro đã cài trên thiết bị Android/iOS.
- Có sẵn công cụ bật tắt mạng thiết bị hoặc network throttle — ⛔ không dựng được bằng thao tác trong app.
Test Data: Trạng thái mất kết nối mạng (test_data_catalog §TS — Trạng thái kết nối mạng, nhánh invalid)</t>
        </is>
      </c>
      <c r="H15" s="11" t="inlineStr">
        <is>
          <t>1. Đăng nhập bằng tài khoản A, đăng 1 tin NEED khai tài khoản C là người nhận, rồi đăng xuất. (setup)
2. Đăng nhập bằng tài khoản B, nhận đơn đó, nhấn "Tôi đã lấy hàng" và xác nhận. (setup)
3. Nhấn tab "Hoạt động" và mở đơn đó. (setup)
4. Ngắt hoàn toàn kết nối mạng của thiết bị.
5. Nhấn "Báo cáo sự cố".
6. Check màn hiện ra và các nút trên màn đó.</t>
        </is>
      </c>
      <c r="I15" s="11" t="inlineStr">
        <is>
          <t>6. Màn hiển thị thông báo lỗi không tải được kèm nút "Thử lại"; form Google không hiện ra.</t>
        </is>
      </c>
      <c r="J15" s="160" t="inlineStr">
        <is>
          <t>AI</t>
        </is>
      </c>
      <c r="K15" s="160" t="inlineStr">
        <is>
          <t>Pending</t>
        </is>
      </c>
      <c r="L15" s="160" t="inlineStr">
        <is>
          <t>No</t>
        </is>
      </c>
      <c r="M15" s="160" t="inlineStr"/>
      <c r="N15" s="264" t="inlineStr">
        <is>
          <t>Yes</t>
        </is>
      </c>
      <c r="O15" s="264" t="inlineStr"/>
      <c r="P15" s="264" t="inlineStr">
        <is>
          <t>Fail</t>
        </is>
      </c>
      <c r="Q15" s="264" t="inlineStr">
        <is>
          <t>GiangDC2</t>
        </is>
      </c>
      <c r="R15" s="264" t="inlineStr">
        <is>
          <t>FE-322</t>
        </is>
      </c>
      <c r="S15" s="264" t="inlineStr"/>
      <c r="T15" s="264" t="n"/>
      <c r="U15" s="264" t="n"/>
      <c r="V15" s="264" t="n"/>
      <c r="W15" s="264" t="n"/>
      <c r="X15" s="264" t="n"/>
      <c r="Y15" s="264" t="n"/>
      <c r="Z15" s="264" t="n"/>
      <c r="AA15" s="264" t="n"/>
      <c r="AB15" s="264" t="n"/>
      <c r="AC15" s="264" t="n"/>
      <c r="AD15" s="264" t="n"/>
      <c r="AE15" s="264" t="n"/>
      <c r="AF15" s="264" t="n"/>
      <c r="AG15" s="264" t="n"/>
      <c r="AH15" s="264" t="n"/>
      <c r="AI15" s="264" t="n"/>
      <c r="AJ15" s="264" t="n"/>
      <c r="AK15" s="264" t="n"/>
      <c r="AL15" s="264" t="n"/>
      <c r="AM15" s="264" t="n"/>
      <c r="AN15" s="264" t="n"/>
      <c r="AO15" s="264" t="n"/>
      <c r="AP15" s="264" t="n"/>
      <c r="AQ15" s="264" t="n"/>
      <c r="AR15" s="158">
        <f>IF($A15="","",IF(OR($N15="Yes",$T15="Yes",$Z15="Yes",$AF15="Yes",$AL15="Yes"),"Yes","No"))</f>
        <v/>
      </c>
      <c r="AS15" s="158">
        <f>IF($A15="","",IFERROR(IF($AM15&lt;&gt;"",$AM15,IF($AG15&lt;&gt;"",$AG15,IF($AA15&lt;&gt;"",$AA15,IF($U15&lt;&gt;"",$U15,IF($O15&lt;&gt;"",$O15,""))))),""))</f>
        <v/>
      </c>
      <c r="AT15" s="158">
        <f>IFERROR(IF($AN15&lt;&gt;"",$AN15,IF($AH15&lt;&gt;"",$AH15,IF($AB15&lt;&gt;"",$AB15,IF($V15&lt;&gt;"",$V15,IF($P15&lt;&gt;"",$P15,""))))),"")</f>
        <v/>
      </c>
      <c r="AU15" s="265" t="inlineStr">
        <is>
          <t>Căn cứ: `DOC-v1.1-01` §6.2 AC-31.2.01 + **Dev trả lời `C-TS-03(c)` 2026-09-17** (*"App hiển thị nhé"*) — nút "Thử lại" do CHÍNH APP vẽ, tách biệt khỏi khung nhúng, nên assert được dù `BR16-01` dùng Custom Tabs. ⛔ Không assert công nghệ nhúng cụ thể (WebView trần hay Custom Tabs) — không quan sát được từ UI.</t>
        </is>
      </c>
    </row>
    <row r="16">
      <c r="A16" s="160">
        <f>IF($F16="","",$C$2&amp;"."&amp;COUNTA($F$7:$F16)&amp;"")</f>
        <v/>
      </c>
      <c r="B16" s="160" t="inlineStr">
        <is>
          <t>REQ-TS-006</t>
        </is>
      </c>
      <c r="C16" s="160" t="inlineStr">
        <is>
          <t>DOC-v1.1-01</t>
        </is>
      </c>
      <c r="D16" s="160" t="inlineStr">
        <is>
          <t>Functional</t>
        </is>
      </c>
      <c r="E16" s="160" t="inlineStr">
        <is>
          <t>Medium</t>
        </is>
      </c>
      <c r="F16" s="11" t="inlineStr">
        <is>
          <t>Check thử lại sau khi có mạng mở đúng form của đơn cũ không mất ngữ cảnh</t>
        </is>
      </c>
      <c r="G16" s="11" t="inlineStr">
        <is>
          <t>- Tài khoản A, B, C là ba CBNV khác nhau trên STG.
- Host app FoxPro đã cài trên thiết bị Android/iOS.
- Có sẵn công cụ bật tắt mạng thiết bị hoặc network throttle — ⛔ không dựng được bằng thao tác trong app.
Test Data: Mã đơn của `SEED-TS-01`; chuyển từ mất mạng sang có mạng (test_data_catalog §TS — Trạng thái kết nối mạng)</t>
        </is>
      </c>
      <c r="H16" s="11"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và ghi lại mã đơn hiển thị trên màn. (setup)
4. Ngắt hoàn toàn kết nối mạng của thiết bị rồi nhấn "Báo cáo sự cố". (setup)
5. Bật lại kết nối mạng của thiết bị.
6. Nhấn "Thử lại".
7. Check ô "Mã đơn hàng" trên form vừa tải được.</t>
        </is>
      </c>
      <c r="I16" s="11" t="inlineStr">
        <is>
          <t>7. Form tải được và ô "Mã đơn hàng" điền đúng mã đơn đã ghi ở step 3.</t>
        </is>
      </c>
      <c r="J16" s="160" t="inlineStr">
        <is>
          <t>AI</t>
        </is>
      </c>
      <c r="K16" s="160" t="inlineStr">
        <is>
          <t>Pending</t>
        </is>
      </c>
      <c r="L16" s="160" t="inlineStr">
        <is>
          <t>No</t>
        </is>
      </c>
      <c r="M16" s="160" t="inlineStr"/>
      <c r="N16" s="264" t="inlineStr">
        <is>
          <t>Yes</t>
        </is>
      </c>
      <c r="O16" s="264" t="inlineStr"/>
      <c r="P16" s="264" t="inlineStr">
        <is>
          <t>Block</t>
        </is>
      </c>
      <c r="Q16" s="264" t="inlineStr">
        <is>
          <t>GiangDC2</t>
        </is>
      </c>
      <c r="R16" s="264" t="inlineStr"/>
      <c r="S16" s="264" t="inlineStr"/>
      <c r="T16" s="264" t="n"/>
      <c r="U16" s="264" t="n"/>
      <c r="V16" s="264" t="n"/>
      <c r="W16" s="264" t="n"/>
      <c r="X16" s="264" t="n"/>
      <c r="Y16" s="264" t="n"/>
      <c r="Z16" s="264" t="n"/>
      <c r="AA16" s="264" t="n"/>
      <c r="AB16" s="264" t="n"/>
      <c r="AC16" s="264" t="n"/>
      <c r="AD16" s="264" t="n"/>
      <c r="AE16" s="264" t="n"/>
      <c r="AF16" s="264" t="n"/>
      <c r="AG16" s="264" t="n"/>
      <c r="AH16" s="264" t="n"/>
      <c r="AI16" s="264" t="n"/>
      <c r="AJ16" s="264" t="n"/>
      <c r="AK16" s="264" t="n"/>
      <c r="AL16" s="264" t="n"/>
      <c r="AM16" s="264" t="n"/>
      <c r="AN16" s="264" t="n"/>
      <c r="AO16" s="264" t="n"/>
      <c r="AP16" s="264" t="n"/>
      <c r="AQ16" s="264" t="n"/>
      <c r="AR16" s="158">
        <f>IF($A16="","",IF(OR($N16="Yes",$T16="Yes",$Z16="Yes",$AF16="Yes",$AL16="Yes"),"Yes","No"))</f>
        <v/>
      </c>
      <c r="AS16" s="158">
        <f>IF($A16="","",IFERROR(IF($AM16&lt;&gt;"",$AM16,IF($AG16&lt;&gt;"",$AG16,IF($AA16&lt;&gt;"",$AA16,IF($U16&lt;&gt;"",$U16,IF($O16&lt;&gt;"",$O16,""))))),""))</f>
        <v/>
      </c>
      <c r="AT16" s="158">
        <f>IFERROR(IF($AN16&lt;&gt;"",$AN16,IF($AH16&lt;&gt;"",$AH16,IF($AB16&lt;&gt;"",$AB16,IF($V16&lt;&gt;"",$V16,IF($P16&lt;&gt;"",$P16,""))))),"")</f>
        <v/>
      </c>
      <c r="AU16" s="265" t="inlineStr">
        <is>
          <t>Mục đích: fail độc lập với `TC-TS-016` — hiện được nút "Thử lại" không đảm bảo app còn giữ ngữ cảnh đơn; lỗi hay gặp là thử lại xong mở form trắng, mất mã đơn. · Căn cứ: `DOC-v1.1-01` §6.2 AC-31.2.01 (*"KHÔNG mất ngữ cảnh đơn"*).</t>
        </is>
      </c>
    </row>
    <row r="17">
      <c r="A17" s="160">
        <f>IF($F17="","",$C$2&amp;"."&amp;COUNTA($F$7:$F17)&amp;"")</f>
        <v/>
      </c>
      <c r="B17" s="160" t="inlineStr">
        <is>
          <t>REQ-TS-006</t>
        </is>
      </c>
      <c r="C17" s="160" t="inlineStr">
        <is>
          <t>DOC-v1.1-01</t>
        </is>
      </c>
      <c r="D17" s="160" t="inlineStr">
        <is>
          <t>Functional</t>
        </is>
      </c>
      <c r="E17" s="160" t="inlineStr">
        <is>
          <t>Low</t>
        </is>
      </c>
      <c r="F17" s="11" t="inlineStr">
        <is>
          <t>Check đóng WebView quay về đúng màn theo dõi đơn trước đó</t>
        </is>
      </c>
      <c r="G17" s="11" t="inlineStr">
        <is>
          <t>- Tài khoản A, B, C là ba CBNV khác nhau trên STG.
- Host app FoxPro đã cài trên thiết bị Android/iOS.
Test Data: Đơn `IN_TRANSIT` = `SEED-TS-01` CP2 (test_data_catalog §TS)</t>
        </is>
      </c>
      <c r="H17" s="11" t="inlineStr">
        <is>
          <t>1. Đăng nhập bằng tài khoản A, đăng 1 tin NEED khai tài khoản C là người nhận, rồi đăng xuất. (setup)
2. Đăng nhập bằng tài khoản B, nhận đơn đó, nhấn "Tôi đã lấy hàng" và xác nhận. (setup)
3. Nhấn tab "Hoạt động" và mở đơn đó. (setup)
4. Nhấn "Báo cáo sự cố".
5. Nhập "Thử đóng giữa chừng" vào ô "Mô tả chi tiết".
6. Nhấn nút đóng của WebView.
7. Check màn hiện ra và trạng thái đơn trên màn đó.</t>
        </is>
      </c>
      <c r="I17" s="11" t="inlineStr">
        <is>
          <t>7. Quay về đúng màn "Theo dõi đơn" của chính đơn vừa mở, đơn vẫn ở trạng thái "Đang giao".</t>
        </is>
      </c>
      <c r="J17" s="160" t="inlineStr">
        <is>
          <t>AI</t>
        </is>
      </c>
      <c r="K17" s="160" t="inlineStr">
        <is>
          <t>Pending</t>
        </is>
      </c>
      <c r="L17" s="160" t="inlineStr">
        <is>
          <t>No</t>
        </is>
      </c>
      <c r="M17" s="160" t="inlineStr"/>
      <c r="N17" s="264" t="inlineStr">
        <is>
          <t>Yes</t>
        </is>
      </c>
      <c r="O17" s="264" t="inlineStr"/>
      <c r="P17" s="264" t="inlineStr">
        <is>
          <t>Pass</t>
        </is>
      </c>
      <c r="Q17" s="264" t="inlineStr">
        <is>
          <t>GiangDC2</t>
        </is>
      </c>
      <c r="R17" s="264" t="inlineStr"/>
      <c r="S17" s="264" t="inlineStr"/>
      <c r="T17" s="264" t="n"/>
      <c r="U17" s="264" t="n"/>
      <c r="V17" s="264" t="n"/>
      <c r="W17" s="264" t="n"/>
      <c r="X17" s="264" t="n"/>
      <c r="Y17" s="264" t="n"/>
      <c r="Z17" s="264" t="n"/>
      <c r="AA17" s="264" t="n"/>
      <c r="AB17" s="264" t="n"/>
      <c r="AC17" s="264" t="n"/>
      <c r="AD17" s="264" t="n"/>
      <c r="AE17" s="264" t="n"/>
      <c r="AF17" s="264" t="n"/>
      <c r="AG17" s="264" t="n"/>
      <c r="AH17" s="264" t="n"/>
      <c r="AI17" s="264" t="n"/>
      <c r="AJ17" s="264" t="n"/>
      <c r="AK17" s="264" t="n"/>
      <c r="AL17" s="264" t="n"/>
      <c r="AM17" s="264" t="n"/>
      <c r="AN17" s="264" t="n"/>
      <c r="AO17" s="264" t="n"/>
      <c r="AP17" s="264" t="n"/>
      <c r="AQ17" s="264" t="n"/>
      <c r="AR17" s="158">
        <f>IF($A17="","",IF(OR($N17="Yes",$T17="Yes",$Z17="Yes",$AF17="Yes",$AL17="Yes"),"Yes","No"))</f>
        <v/>
      </c>
      <c r="AS17" s="158">
        <f>IF($A17="","",IFERROR(IF($AM17&lt;&gt;"",$AM17,IF($AG17&lt;&gt;"",$AG17,IF($AA17&lt;&gt;"",$AA17,IF($U17&lt;&gt;"",$U17,IF($O17&lt;&gt;"",$O17,""))))),""))</f>
        <v/>
      </c>
      <c r="AT17" s="158">
        <f>IFERROR(IF($AN17&lt;&gt;"",$AN17,IF($AH17&lt;&gt;"",$AH17,IF($AB17&lt;&gt;"",$AB17,IF($V17&lt;&gt;"",$V17,IF($P17&lt;&gt;"",$P17,""))))),"")</f>
        <v/>
      </c>
      <c r="AU17" s="265" t="inlineStr">
        <is>
          <t>Căn cứ: `DOC-v1.1-01` §8.16.1 BR16-04 — đóng WebView ⛔ KHÔNG reset ngăn xếp điều hướng về trang chủ.</t>
        </is>
      </c>
    </row>
    <row r="18">
      <c r="A18" s="160">
        <f>IF($F18="","",$C$2&amp;"."&amp;COUNTA($F$7:$F18)&amp;"")</f>
        <v/>
      </c>
      <c r="B18" s="160" t="inlineStr">
        <is>
          <t>REQ-TS-006</t>
        </is>
      </c>
      <c r="C18" s="160" t="inlineStr">
        <is>
          <t>DOC-v1.1-01</t>
        </is>
      </c>
      <c r="D18" s="160" t="inlineStr">
        <is>
          <t>Functional</t>
        </is>
      </c>
      <c r="E18" s="160" t="inlineStr">
        <is>
          <t>Low</t>
        </is>
      </c>
      <c r="F18" s="11" t="inlineStr">
        <is>
          <t>Check mở lại báo cáo sự cố là phiên mới không giữ dữ liệu nhập dở</t>
        </is>
      </c>
      <c r="G18" s="11" t="inlineStr">
        <is>
          <t>- Tài khoản A, B, C là ba CBNV khác nhau trên STG.
- Host app FoxPro đã cài trên thiết bị Android/iOS.
Test Data: Dữ liệu nhập dở ở phiên trước (test_data_catalog §TS — Loại yêu cầu, Mô tả chi tiết)</t>
        </is>
      </c>
      <c r="H18" s="11" t="inlineStr">
        <is>
          <t>1. Đăng nhập bằng tài khoản A, đăng 1 tin NEED khai tài khoản C là người nhận, rồi đăng xuất. (setup)
2. Đăng nhập bằng tài khoản B, nhận đơn đó, nhấn "Tôi đã lấy hàng" và xác nhận. (setup)
3. Nhấn tab "Hoạt động" và mở đơn đó. (setup)
4. Nhấn "Báo cáo sự cố", chọn "Lỗi ứng dụng" và nhập "Dữ liệu nhập dở lần một" vào ô "Mô tả chi tiết", rồi nhấn nút đóng của WebView. (setup)
5. Nhấn lại "Báo cáo sự cố" từ chính đơn đó.
6. Check giá trị ô "Loại yêu cầu" và ô "Mô tả chi tiết".</t>
        </is>
      </c>
      <c r="I18" s="11" t="inlineStr">
        <is>
          <t>6. Ô "Loại yêu cầu" trở về trạng thái chưa chọn và ô "Mô tả chi tiết" TRỐNG, không còn chuỗi "Dữ liệu nhập dở lần một".</t>
        </is>
      </c>
      <c r="J18" s="160" t="inlineStr">
        <is>
          <t>AI</t>
        </is>
      </c>
      <c r="K18" s="160" t="inlineStr">
        <is>
          <t>Pending</t>
        </is>
      </c>
      <c r="L18" s="160" t="inlineStr">
        <is>
          <t>No</t>
        </is>
      </c>
      <c r="M18" s="160" t="inlineStr"/>
      <c r="N18" s="264" t="inlineStr">
        <is>
          <t>Yes</t>
        </is>
      </c>
      <c r="O18" s="264" t="inlineStr"/>
      <c r="P18" s="264" t="inlineStr">
        <is>
          <t>Pass</t>
        </is>
      </c>
      <c r="Q18" s="264" t="inlineStr">
        <is>
          <t>GiangDC2</t>
        </is>
      </c>
      <c r="R18" s="264" t="inlineStr"/>
      <c r="S18" s="264" t="inlineStr"/>
      <c r="T18" s="264" t="n"/>
      <c r="U18" s="264" t="n"/>
      <c r="V18" s="264" t="n"/>
      <c r="W18" s="264" t="n"/>
      <c r="X18" s="264" t="n"/>
      <c r="Y18" s="264" t="n"/>
      <c r="Z18" s="264" t="n"/>
      <c r="AA18" s="264" t="n"/>
      <c r="AB18" s="264" t="n"/>
      <c r="AC18" s="264" t="n"/>
      <c r="AD18" s="264" t="n"/>
      <c r="AE18" s="264" t="n"/>
      <c r="AF18" s="264" t="n"/>
      <c r="AG18" s="264" t="n"/>
      <c r="AH18" s="264" t="n"/>
      <c r="AI18" s="264" t="n"/>
      <c r="AJ18" s="264" t="n"/>
      <c r="AK18" s="264" t="n"/>
      <c r="AL18" s="264" t="n"/>
      <c r="AM18" s="264" t="n"/>
      <c r="AN18" s="264" t="n"/>
      <c r="AO18" s="264" t="n"/>
      <c r="AP18" s="264" t="n"/>
      <c r="AQ18" s="264" t="n"/>
      <c r="AR18" s="158">
        <f>IF($A18="","",IF(OR($N18="Yes",$T18="Yes",$Z18="Yes",$AF18="Yes",$AL18="Yes"),"Yes","No"))</f>
        <v/>
      </c>
      <c r="AS18" s="158">
        <f>IF($A18="","",IFERROR(IF($AM18&lt;&gt;"",$AM18,IF($AG18&lt;&gt;"",$AG18,IF($AA18&lt;&gt;"",$AA18,IF($U18&lt;&gt;"",$U18,IF($O18&lt;&gt;"",$O18,""))))),""))</f>
        <v/>
      </c>
      <c r="AT18" s="158">
        <f>IFERROR(IF($AN18&lt;&gt;"",$AN18,IF($AH18&lt;&gt;"",$AH18,IF($AB18&lt;&gt;"",$AB18,IF($V18&lt;&gt;"",$V18,IF($P18&lt;&gt;"",$P18,""))))),"")</f>
        <v/>
      </c>
      <c r="AU18" s="265" t="inlineStr">
        <is>
          <t>Mục đích: đối chứng với `TC-TS-018` — cùng một thao tác đóng nhưng hai hệ quả khác nhau: ngăn xếp điều hướng phải GIỮ, còn dữ liệu form phải MẤT. · Căn cứ: `DOC-v1.1-01` §8.16.1 BR16-06 (*"mở lại là một phiên mới"*).</t>
        </is>
      </c>
    </row>
    <row r="19">
      <c r="A19" s="160">
        <f>IF($F19="","",$C$2&amp;"."&amp;COUNTA($F$7:$F19)&amp;"")</f>
        <v/>
      </c>
      <c r="B19" s="160" t="inlineStr">
        <is>
          <t>REQ-TS-006</t>
        </is>
      </c>
      <c r="C19" s="160" t="inlineStr">
        <is>
          <t>DOC-v1.1-01</t>
        </is>
      </c>
      <c r="D19" s="160" t="inlineStr">
        <is>
          <t>Functional</t>
        </is>
      </c>
      <c r="E19" s="160" t="inlineStr">
        <is>
          <t>Medium</t>
        </is>
      </c>
      <c r="F19" s="11" t="inlineStr">
        <is>
          <t>Check gửi báo cáo sự cố không làm đơn đổi trạng thái</t>
        </is>
      </c>
      <c r="G19" s="11" t="inlineStr">
        <is>
          <t>- Tài khoản A, B, C là ba CBNV khác nhau trên STG.
- Host app FoxPro đã cài trên thiết bị Android/iOS.
Test Data: Đơn `POSTED` = `SEED-TS-01` CP0 (test_data_catalog §TS — Mã đơn hàng prefill)</t>
        </is>
      </c>
      <c r="H19" s="11" t="inlineStr">
        <is>
          <t>1. Đăng nhập bằng tài khoản A, đăng 1 tin NEED khai tài khoản C là người nhận. (setup)
2. Nhấn tab "Hoạt động", mở đơn đó và ghi lại trạng thái đang hiển thị. (setup)
3. Nhấn "Báo cáo sự cố".
4. Chọn "Sự cố đơn hàng", nhập mô tả "Thử ảnh hưởng trạng thái" và nhập số điện thoại "0912345678".
5. Nhấn "Gửi".
6. Nhấn "Quay lại đơn hàng".
7. Check trạng thái đơn và nhãn trên màn "Theo dõi đơn".</t>
        </is>
      </c>
      <c r="I19" s="11" t="inlineStr">
        <is>
          <t>7. Đơn vẫn ở đúng trạng thái đã ghi ở step 2, không xuất hiện nhãn hay cờ sự cố nào mới.</t>
        </is>
      </c>
      <c r="J19" s="160" t="inlineStr">
        <is>
          <t>AI</t>
        </is>
      </c>
      <c r="K19" s="160" t="inlineStr">
        <is>
          <t>Pending</t>
        </is>
      </c>
      <c r="L19" s="160" t="inlineStr">
        <is>
          <t>No</t>
        </is>
      </c>
      <c r="M19" s="160" t="inlineStr"/>
      <c r="N19" s="264" t="inlineStr">
        <is>
          <t>Yes</t>
        </is>
      </c>
      <c r="O19" s="264" t="inlineStr"/>
      <c r="P19" s="264" t="inlineStr">
        <is>
          <t>Pass</t>
        </is>
      </c>
      <c r="Q19" s="264" t="inlineStr">
        <is>
          <t>GiangDC2</t>
        </is>
      </c>
      <c r="R19" s="264" t="inlineStr"/>
      <c r="S19" s="264" t="inlineStr"/>
      <c r="T19" s="264" t="n"/>
      <c r="U19" s="264" t="n"/>
      <c r="V19" s="264" t="n"/>
      <c r="W19" s="264" t="n"/>
      <c r="X19" s="264" t="n"/>
      <c r="Y19" s="264" t="n"/>
      <c r="Z19" s="264" t="n"/>
      <c r="AA19" s="264" t="n"/>
      <c r="AB19" s="264" t="n"/>
      <c r="AC19" s="264" t="n"/>
      <c r="AD19" s="264" t="n"/>
      <c r="AE19" s="264" t="n"/>
      <c r="AF19" s="264" t="n"/>
      <c r="AG19" s="264" t="n"/>
      <c r="AH19" s="264" t="n"/>
      <c r="AI19" s="264" t="n"/>
      <c r="AJ19" s="264" t="n"/>
      <c r="AK19" s="264" t="n"/>
      <c r="AL19" s="264" t="n"/>
      <c r="AM19" s="264" t="n"/>
      <c r="AN19" s="264" t="n"/>
      <c r="AO19" s="264" t="n"/>
      <c r="AP19" s="264" t="n"/>
      <c r="AQ19" s="264" t="n"/>
      <c r="AR19" s="158">
        <f>IF($A19="","",IF(OR($N19="Yes",$T19="Yes",$Z19="Yes",$AF19="Yes",$AL19="Yes"),"Yes","No"))</f>
        <v/>
      </c>
      <c r="AS19" s="158">
        <f>IF($A19="","",IFERROR(IF($AM19&lt;&gt;"",$AM19,IF($AG19&lt;&gt;"",$AG19,IF($AA19&lt;&gt;"",$AA19,IF($U19&lt;&gt;"",$U19,IF($O19&lt;&gt;"",$O19,""))))),""))</f>
        <v/>
      </c>
      <c r="AT19" s="158">
        <f>IFERROR(IF($AN19&lt;&gt;"",$AN19,IF($AH19&lt;&gt;"",$AH19,IF($AB19&lt;&gt;"",$AB19,IF($V19&lt;&gt;"",$V19,IF($P19&lt;&gt;"",$P19,""))))),"")</f>
        <v/>
      </c>
      <c r="AU19" s="265" t="inlineStr">
        <is>
          <t>Mục đích: neo vào `C-TS-02(b)` Resolved 2026-09-17 — BA: *"ver hiện tại không chuyển trạng thái gì"*. `§8.12.2` định nghĩa `INCIDENT` = *"có báo cáo sự cố sau khi đơn đã sang IN_TRANSIT"*, đọc được là **tự chuyển**, nên TC này là oracle chặn đúng cách đọc sai đó. · Căn cứ: form Google không gọi được API app ⇒ `INCIDENT` chỉ vào được qua Dev xử lý tay; đơn tự đổi trạng thái ⇒ FAIL và dẫn `C-TS-02`. Kết luận này là căn cứ để `SC-CNL-015`/`SC-DLV-034` out of scope test qua UI.</t>
        </is>
      </c>
    </row>
    <row r="20">
      <c r="A20" s="160">
        <f>IF($F20="","",$C$2&amp;"."&amp;COUNTA($F$7:$F20)&amp;"")</f>
        <v/>
      </c>
      <c r="B20" s="160" t="inlineStr">
        <is>
          <t>REQ-TS-006</t>
        </is>
      </c>
      <c r="C20" s="160" t="inlineStr">
        <is>
          <t>DOC-v1.1-01 · DOC-v1.1-03</t>
        </is>
      </c>
      <c r="D20" s="160" t="inlineStr">
        <is>
          <t>Functional</t>
        </is>
      </c>
      <c r="E20" s="160" t="inlineStr">
        <is>
          <t>Low</t>
        </is>
      </c>
      <c r="F20" s="11" t="inlineStr">
        <is>
          <t>Check ô mã đơn hàng là nhãn tĩnh chỉ đọc không sửa được</t>
        </is>
      </c>
      <c r="G20" s="11" t="inlineStr">
        <is>
          <t>- Tài khoản A, B, C là ba CBNV khác nhau trên STG.
- Host app FoxPro đã cài trên thiết bị Android/iOS.
Test Data: Mã đơn prefill chỉ đọc (test_data_catalog §TS — Mã đơn hàng prefill)</t>
        </is>
      </c>
      <c r="H20" s="11"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Nhấn vào ô "Mã đơn hàng" và thử nhập thêm ký tự "X".
5. Check kiểu hiển thị của ô "Mã đơn hàng", trạng thái bàn phím và giá trị trong ô.</t>
        </is>
      </c>
      <c r="I20" s="11" t="inlineStr">
        <is>
          <t>5. Ô "Mã đơn hàng" hiển thị dạng nhãn tĩnh chứ không phải textbox, bàn phím không bật lên, và giá trị trong ô giữ nguyên mã đơn gốc không có ký tự "X".</t>
        </is>
      </c>
      <c r="J20" s="160" t="inlineStr">
        <is>
          <t>AI</t>
        </is>
      </c>
      <c r="K20" s="160" t="inlineStr">
        <is>
          <t>Pending</t>
        </is>
      </c>
      <c r="L20" s="160" t="inlineStr">
        <is>
          <t>No</t>
        </is>
      </c>
      <c r="M20" s="160" t="inlineStr"/>
      <c r="N20" s="264" t="inlineStr">
        <is>
          <t>Yes</t>
        </is>
      </c>
      <c r="O20" s="264" t="inlineStr"/>
      <c r="P20" s="264" t="inlineStr">
        <is>
          <t>Fail</t>
        </is>
      </c>
      <c r="Q20" s="264" t="inlineStr">
        <is>
          <t>GiangDC2</t>
        </is>
      </c>
      <c r="R20" s="264" t="inlineStr">
        <is>
          <t>FE-326</t>
        </is>
      </c>
      <c r="S20" s="264" t="inlineStr"/>
      <c r="T20" s="264" t="n"/>
      <c r="U20" s="264" t="n"/>
      <c r="V20" s="264" t="n"/>
      <c r="W20" s="264" t="n"/>
      <c r="X20" s="264" t="n"/>
      <c r="Y20" s="264" t="n"/>
      <c r="Z20" s="264" t="n"/>
      <c r="AA20" s="264" t="n"/>
      <c r="AB20" s="264" t="n"/>
      <c r="AC20" s="264" t="n"/>
      <c r="AD20" s="264" t="n"/>
      <c r="AE20" s="264" t="n"/>
      <c r="AF20" s="264" t="n"/>
      <c r="AG20" s="264" t="n"/>
      <c r="AH20" s="264" t="n"/>
      <c r="AI20" s="264" t="n"/>
      <c r="AJ20" s="264" t="n"/>
      <c r="AK20" s="264" t="n"/>
      <c r="AL20" s="264" t="n"/>
      <c r="AM20" s="264" t="n"/>
      <c r="AN20" s="264" t="n"/>
      <c r="AO20" s="264" t="n"/>
      <c r="AP20" s="264" t="n"/>
      <c r="AQ20" s="264" t="n"/>
      <c r="AR20" s="158">
        <f>IF($A20="","",IF(OR($N20="Yes",$T20="Yes",$Z20="Yes",$AF20="Yes",$AL20="Yes"),"Yes","No"))</f>
        <v/>
      </c>
      <c r="AS20" s="158">
        <f>IF($A20="","",IFERROR(IF($AM20&lt;&gt;"",$AM20,IF($AG20&lt;&gt;"",$AG20,IF($AA20&lt;&gt;"",$AA20,IF($U20&lt;&gt;"",$U20,IF($O20&lt;&gt;"",$O20,""))))),""))</f>
        <v/>
      </c>
      <c r="AT20" s="158">
        <f>IFERROR(IF($AN20&lt;&gt;"",$AN20,IF($AH20&lt;&gt;"",$AH20,IF($AB20&lt;&gt;"",$AB20,IF($V20&lt;&gt;"",$V20,IF($P20&lt;&gt;"",$P20,""))))),"")</f>
        <v/>
      </c>
      <c r="AU20" s="265" t="inlineStr">
        <is>
          <t>🔴 Áp bản Resolved `C-TS-03(b)` 2026-09-17 — **ĐẢO HẲN Then của `SC-TS-014`** (*"trường prefill CHO PHÉP sửa"*). `§8.16.2` (*"Chỉ đọc · Không sửa"*) là bản đúng, **`BR16-03` là PRD sai**; demo cho thấy ô là nhãn tĩnh, không phải câu trả lời ngắn của Google Form. · Mục đích: kết quả phản trực giác — người chạy đọc `BR16-03` sẽ tưởng "không sửa được" là bug. Sửa được ⇒ FAIL và dẫn `C-TS-03` để BA cập nhật PRD.</t>
        </is>
      </c>
    </row>
    <row r="21" ht="15.75" customHeight="1" s="216">
      <c r="A21" s="160">
        <f>IF($F21="","",$C$2&amp;"."&amp;COUNTA($F$7:$F21)&amp;"")</f>
        <v/>
      </c>
      <c r="B21" s="160" t="inlineStr">
        <is>
          <t>REQ-TS-006</t>
        </is>
      </c>
      <c r="C21" s="160" t="inlineStr">
        <is>
          <t>DOC-v1.1-01 · DOC-v1.1-03</t>
        </is>
      </c>
      <c r="D21" s="160" t="inlineStr">
        <is>
          <t>UI</t>
        </is>
      </c>
      <c r="E21" s="160" t="inlineStr">
        <is>
          <t>Medium</t>
        </is>
      </c>
      <c r="F21" s="11" t="inlineStr">
        <is>
          <t>Check người gửi thấy nút báo cáo sự cố ở cả ba trạng thái đơn</t>
        </is>
      </c>
      <c r="G21" s="11" t="inlineStr">
        <is>
          <t>- Tài khoản A, B, C là ba CBNV khác nhau trên STG.
- Host app FoxPro đã cài trên thiết bị Android/iOS.
Test Data: Đơn qua 3 trạng thái `POSTED` · `MATCHED` · `IN_TRANSIT` = `SEED-TS-01`; vai người gửi (test_data_catalog §TS)</t>
        </is>
      </c>
      <c r="H21" s="11" t="inlineStr">
        <is>
          <t>1. Đăng nhập bằng tài khoản A, đăng 1 tin NEED khai tài khoản C là người nhận. (setup)
2. Nhấn tab "Hoạt động", mở đơn đó và check góc trên bên phải màn "Theo dõi đơn".
3. Đăng xuất, đăng nhập bằng tài khoản B, nhận đơn đó và xác nhận, rồi đăng xuất. (setup)
4. Đăng nhập lại bằng tài khoản A, mở đơn đó và check góc trên bên phải màn.
5. Đăng xuất, đăng nhập bằng tài khoản B, nhấn "Tôi đã lấy hàng" và xác nhận, rồi đăng xuất. (setup)
6. Đăng nhập lại bằng tài khoản A, mở đơn đó và check góc trên bên phải màn ở cả ba lần quan sát.</t>
        </is>
      </c>
      <c r="I21" s="11" t="inlineStr">
        <is>
          <t>6. Cả ba lần quan sát đều thấy nút "Báo cáo sự cố" ở góc trên bên phải màn "Theo dõi đơn" với nền cam nhạt, icon cảnh báo kèm chữ, và nhấn được.</t>
        </is>
      </c>
      <c r="J21" s="160" t="inlineStr">
        <is>
          <t>AI</t>
        </is>
      </c>
      <c r="K21" s="160" t="inlineStr">
        <is>
          <t>Pending</t>
        </is>
      </c>
      <c r="L21" s="160" t="inlineStr">
        <is>
          <t>No</t>
        </is>
      </c>
      <c r="M21" s="160" t="inlineStr"/>
      <c r="N21" s="264" t="inlineStr">
        <is>
          <t>Yes</t>
        </is>
      </c>
      <c r="O21" s="264" t="inlineStr"/>
      <c r="P21" s="264" t="inlineStr">
        <is>
          <t>Pass</t>
        </is>
      </c>
      <c r="Q21" s="264" t="inlineStr">
        <is>
          <t>GiangDC2</t>
        </is>
      </c>
      <c r="R21" s="264" t="inlineStr"/>
      <c r="S21" s="264" t="inlineStr"/>
      <c r="T21" s="264" t="n"/>
      <c r="U21" s="264" t="n"/>
      <c r="V21" s="264" t="n"/>
      <c r="W21" s="264" t="n"/>
      <c r="X21" s="264" t="n"/>
      <c r="Y21" s="264" t="n"/>
      <c r="Z21" s="264" t="n"/>
      <c r="AA21" s="264" t="n"/>
      <c r="AB21" s="264" t="n"/>
      <c r="AC21" s="264" t="n"/>
      <c r="AD21" s="264" t="n"/>
      <c r="AE21" s="264" t="n"/>
      <c r="AF21" s="264" t="n"/>
      <c r="AG21" s="264" t="n"/>
      <c r="AH21" s="264" t="n"/>
      <c r="AI21" s="264" t="n"/>
      <c r="AJ21" s="264" t="n"/>
      <c r="AK21" s="264" t="n"/>
      <c r="AL21" s="264" t="n"/>
      <c r="AM21" s="264" t="n"/>
      <c r="AN21" s="264" t="n"/>
      <c r="AO21" s="264" t="n"/>
      <c r="AP21" s="264" t="n"/>
      <c r="AQ21" s="264" t="n"/>
      <c r="AR21" s="158">
        <f>IF($A21="","",IF(OR($N21="Yes",$T21="Yes",$Z21="Yes",$AF21="Yes",$AL21="Yes"),"Yes","No"))</f>
        <v/>
      </c>
      <c r="AS21" s="158">
        <f>IF($A21="","",IFERROR(IF($AM21&lt;&gt;"",$AM21,IF($AG21&lt;&gt;"",$AG21,IF($AA21&lt;&gt;"",$AA21,IF($U21&lt;&gt;"",$U21,IF($O21&lt;&gt;"",$O21,""))))),""))</f>
        <v/>
      </c>
      <c r="AT21" s="158">
        <f>IFERROR(IF($AN21&lt;&gt;"",$AN21,IF($AH21&lt;&gt;"",$AH21,IF($AB21&lt;&gt;"",$AB21,IF($V21&lt;&gt;"",$V21,IF($P21&lt;&gt;"",$P21,""))))),"")</f>
        <v/>
      </c>
      <c r="AU21" s="265" t="inlineStr">
        <is>
          <t>🔑 Áp `C-TS-02(a)` Resolved 2026-09-17: nút hiện ở **MỌI trạng thái**, ⛔ KHÔNG giới hạn `IN_TRANSIT`/`DELIVERED` như `§8.12.3` liệt kê — `AC-31.1.01` (*"vai trò bất kỳ"*) là bản đúng, `§8.12.3` là PRD thiếu. · Mục đích: 1 trong 3 ô vai — nút ẩn với 1 vai hoặc ở 1 trạng thái là defect. Nút không hiện ở trạng thái nào ⇒ FAIL và dẫn `C-TS-02`.</t>
        </is>
      </c>
    </row>
    <row r="22" ht="15.75" customHeight="1" s="216">
      <c r="A22" s="160">
        <f>IF($F22="","",$C$2&amp;"."&amp;COUNTA($F$7:$F22)&amp;"")</f>
        <v/>
      </c>
      <c r="B22" s="160" t="inlineStr">
        <is>
          <t>REQ-TS-006</t>
        </is>
      </c>
      <c r="C22" s="160" t="inlineStr">
        <is>
          <t>DOC-v1.1-01 · DOC-v1.1-03</t>
        </is>
      </c>
      <c r="D22" s="160" t="inlineStr">
        <is>
          <t>UI</t>
        </is>
      </c>
      <c r="E22" s="160" t="inlineStr">
        <is>
          <t>Medium</t>
        </is>
      </c>
      <c r="F22" s="11" t="inlineStr">
        <is>
          <t>Check người vận chuyển thấy nút báo cáo sự cố ở cả hai trạng thái sau khi nhận đơn</t>
        </is>
      </c>
      <c r="G22" s="11" t="inlineStr">
        <is>
          <t>- Tài khoản A, B, C là ba CBNV khác nhau trên STG.
- Host app FoxPro đã cài trên thiết bị Android/iOS.
Test Data: Đơn qua 2 trạng thái `MATCHED` · `IN_TRANSIT` = `SEED-TS-01`; vai người vận chuyển (test_data_catalog §TS)</t>
        </is>
      </c>
      <c r="H22" s="11" t="inlineStr">
        <is>
          <t>1. Đăng nhập bằng tài khoản A, đăng 1 tin NEED khai tài khoản C là người nhận, rồi đăng xuất. (setup)
2. Đăng nhập bằng tài khoản B, nhận đơn đó và xác nhận. (setup)
3. Nhấn tab "Hoạt động", mở đơn đó và check góc trên bên phải màn "Theo dõi đơn".
4. Nhấn "Tôi đã lấy hàng" và xác nhận. (setup)
5. Mở lại đơn đó và check góc trên bên phải màn ở cả hai lần quan sát.</t>
        </is>
      </c>
      <c r="I22" s="11" t="inlineStr">
        <is>
          <t>5. Cả hai lần quan sát đều thấy nút "Báo cáo sự cố" ở góc trên bên phải màn "Theo dõi đơn" và nhấn được.</t>
        </is>
      </c>
      <c r="J22" s="160" t="inlineStr">
        <is>
          <t>AI</t>
        </is>
      </c>
      <c r="K22" s="160" t="inlineStr">
        <is>
          <t>Pending</t>
        </is>
      </c>
      <c r="L22" s="160" t="inlineStr">
        <is>
          <t>No</t>
        </is>
      </c>
      <c r="M22" s="160" t="inlineStr"/>
      <c r="N22" s="264" t="inlineStr">
        <is>
          <t>Yes</t>
        </is>
      </c>
      <c r="O22" s="264" t="inlineStr"/>
      <c r="P22" s="264" t="inlineStr">
        <is>
          <t>Pass</t>
        </is>
      </c>
      <c r="Q22" s="264" t="inlineStr">
        <is>
          <t>GiangDC2</t>
        </is>
      </c>
      <c r="R22" s="264" t="inlineStr"/>
      <c r="S22" s="264" t="inlineStr"/>
      <c r="T22" s="264" t="n"/>
      <c r="U22" s="264" t="n"/>
      <c r="V22" s="264" t="n"/>
      <c r="W22" s="264" t="n"/>
      <c r="X22" s="264" t="n"/>
      <c r="Y22" s="264" t="n"/>
      <c r="Z22" s="264" t="n"/>
      <c r="AA22" s="264" t="n"/>
      <c r="AB22" s="264" t="n"/>
      <c r="AC22" s="264" t="n"/>
      <c r="AD22" s="264" t="n"/>
      <c r="AE22" s="264" t="n"/>
      <c r="AF22" s="264" t="n"/>
      <c r="AG22" s="264" t="n"/>
      <c r="AH22" s="264" t="n"/>
      <c r="AI22" s="264" t="n"/>
      <c r="AJ22" s="264" t="n"/>
      <c r="AK22" s="264" t="n"/>
      <c r="AL22" s="264" t="n"/>
      <c r="AM22" s="264" t="n"/>
      <c r="AN22" s="264" t="n"/>
      <c r="AO22" s="264" t="n"/>
      <c r="AP22" s="264" t="n"/>
      <c r="AQ22" s="264" t="n"/>
      <c r="AR22" s="158">
        <f>IF($A22="","",IF(OR($N22="Yes",$T22="Yes",$Z22="Yes",$AF22="Yes",$AL22="Yes"),"Yes","No"))</f>
        <v/>
      </c>
      <c r="AS22" s="158">
        <f>IF($A22="","",IFERROR(IF($AM22&lt;&gt;"",$AM22,IF($AG22&lt;&gt;"",$AG22,IF($AA22&lt;&gt;"",$AA22,IF($U22&lt;&gt;"",$U22,IF($O22&lt;&gt;"",$O22,""))))),""))</f>
        <v/>
      </c>
      <c r="AT22" s="158">
        <f>IFERROR(IF($AN22&lt;&gt;"",$AN22,IF($AH22&lt;&gt;"",$AH22,IF($AB22&lt;&gt;"",$AB22,IF($V22&lt;&gt;"",$V22,IF($P22&lt;&gt;"",$P22,""))))),"")</f>
        <v/>
      </c>
      <c r="AU22" s="265" t="inlineStr">
        <is>
          <t>Mục đích: vai này chỉ thấy đơn từ khi nhận nên chỉ quan sát được 2 trạng thái — ⛔ không ghép chung TC với vai người gửi (3 trạng thái) để tránh Expected gộp hai phạm vi khác nhau. · Căn cứ: `DOC-v1.1-01` §8.16 Trigger + `C-TS-02(a)` Resolved 2026-09-17.</t>
        </is>
      </c>
    </row>
    <row r="23" ht="15.75" customHeight="1" s="216">
      <c r="A23" s="160">
        <f>IF($F23="","",$C$2&amp;"."&amp;COUNTA($F$7:$F23)&amp;"")</f>
        <v/>
      </c>
      <c r="B23" s="160" t="inlineStr">
        <is>
          <t>REQ-TS-006</t>
        </is>
      </c>
      <c r="C23" s="160" t="inlineStr">
        <is>
          <t>DOC-v1.1-01 · DOC-v1.1-03</t>
        </is>
      </c>
      <c r="D23" s="160" t="inlineStr">
        <is>
          <t>UI</t>
        </is>
      </c>
      <c r="E23" s="160" t="inlineStr">
        <is>
          <t>Medium</t>
        </is>
      </c>
      <c r="F23" s="11" t="inlineStr">
        <is>
          <t>Check người nhận thấy nút báo cáo sự cố và mở được form giống hai vai kia</t>
        </is>
      </c>
      <c r="G23" s="11" t="inlineStr">
        <is>
          <t>- Tài khoản A, B, C là ba CBNV khác nhau trên STG.
- Host app FoxPro đã cài trên thiết bị Android/iOS.
Test Data: Đơn `IN_TRANSIT` = `SEED-TS-01` CP2; vai người nhận (test_data_catalog §TS — Mã đơn hàng prefill)</t>
        </is>
      </c>
      <c r="H23" s="11" t="inlineStr">
        <is>
          <t>1. Đăng nhập bằng tài khoản A, đăng 1 tin NEED khai tài khoản C là người nhận, rồi đăng xuất. (setup)
2. Đăng nhập bằng tài khoản B, nhận đơn đó, nhấn "Tôi đã lấy hàng" và xác nhận, rồi đăng xuất. (setup)
3. Đăng nhập bằng tài khoản C, nhấn tab "Hoạt động" và mở đơn đó. (setup)
4. Check góc trên bên phải màn "Theo dõi đơn".
5. Nhấn "Báo cáo sự cố".
6. Check khung vừa mở và ô "Mã đơn hàng".</t>
        </is>
      </c>
      <c r="I23" s="11" t="inlineStr">
        <is>
          <t>6. WebView mở toàn màn hình và ô "Mã đơn hàng" điền sẵn đúng mã của đơn, giống hệt hành vi ở vai người gửi và người vận chuyển.</t>
        </is>
      </c>
      <c r="J23" s="160" t="inlineStr">
        <is>
          <t>AI</t>
        </is>
      </c>
      <c r="K23" s="160" t="inlineStr">
        <is>
          <t>Pending</t>
        </is>
      </c>
      <c r="L23" s="160" t="inlineStr">
        <is>
          <t>No</t>
        </is>
      </c>
      <c r="M23" s="160" t="inlineStr"/>
      <c r="N23" s="264" t="inlineStr">
        <is>
          <t>Yes</t>
        </is>
      </c>
      <c r="O23" s="264" t="inlineStr"/>
      <c r="P23" s="264" t="inlineStr">
        <is>
          <t>Pass</t>
        </is>
      </c>
      <c r="Q23" s="264" t="inlineStr">
        <is>
          <t>GiangDC2</t>
        </is>
      </c>
      <c r="R23" s="264" t="inlineStr"/>
      <c r="S23" s="264" t="inlineStr"/>
      <c r="T23" s="264" t="n"/>
      <c r="U23" s="264" t="n"/>
      <c r="V23" s="264" t="n"/>
      <c r="W23" s="264" t="n"/>
      <c r="X23" s="264" t="n"/>
      <c r="Y23" s="264" t="n"/>
      <c r="Z23" s="264" t="n"/>
      <c r="AA23" s="264" t="n"/>
      <c r="AB23" s="264" t="n"/>
      <c r="AC23" s="264" t="n"/>
      <c r="AD23" s="264" t="n"/>
      <c r="AE23" s="264" t="n"/>
      <c r="AF23" s="264" t="n"/>
      <c r="AG23" s="264" t="n"/>
      <c r="AH23" s="264" t="n"/>
      <c r="AI23" s="264" t="n"/>
      <c r="AJ23" s="264" t="n"/>
      <c r="AK23" s="264" t="n"/>
      <c r="AL23" s="264" t="n"/>
      <c r="AM23" s="264" t="n"/>
      <c r="AN23" s="264" t="n"/>
      <c r="AO23" s="264" t="n"/>
      <c r="AP23" s="264" t="n"/>
      <c r="AQ23" s="264" t="n"/>
      <c r="AR23" s="158">
        <f>IF($A23="","",IF(OR($N23="Yes",$T23="Yes",$Z23="Yes",$AF23="Yes",$AL23="Yes"),"Yes","No"))</f>
        <v/>
      </c>
      <c r="AS23" s="158">
        <f>IF($A23="","",IFERROR(IF($AM23&lt;&gt;"",$AM23,IF($AG23&lt;&gt;"",$AG23,IF($AA23&lt;&gt;"",$AA23,IF($U23&lt;&gt;"",$U23,IF($O23&lt;&gt;"",$O23,""))))),""))</f>
        <v/>
      </c>
      <c r="AT23" s="158">
        <f>IFERROR(IF($AN23&lt;&gt;"",$AN23,IF($AH23&lt;&gt;"",$AH23,IF($AB23&lt;&gt;"",$AB23,IF($V23&lt;&gt;"",$V23,IF($P23&lt;&gt;"",$P23,""))))),"")</f>
        <v/>
      </c>
      <c r="AU23" s="265" t="inlineStr">
        <is>
          <t>Mục đích: vai này thụ động nhất trong luồng nên dễ bị bỏ quên quyền báo sự cố; TC đi thêm một bước mở form để chốt hành vi giống nhau cho cả 3 vai, không chỉ chốt nút có hiện. · Căn cứ: `DOC-v1.1-01` §8.16 Actor + `AC-31.1.01` (*"vai trò bất kỳ"*).</t>
        </is>
      </c>
    </row>
    <row r="24" ht="15.75" customHeight="1" s="216">
      <c r="A24" s="160">
        <f>IF($F24="","",$C$2&amp;"."&amp;COUNTA($F$7:$F24)&amp;"")</f>
        <v/>
      </c>
      <c r="B24" s="160" t="inlineStr">
        <is>
          <t>REQ-TS-001</t>
        </is>
      </c>
      <c r="C24" s="160" t="inlineStr">
        <is>
          <t>DOC-v1.0-01</t>
        </is>
      </c>
      <c r="D24" s="160" t="inlineStr">
        <is>
          <t>Functional</t>
        </is>
      </c>
      <c r="E24" s="160" t="inlineStr">
        <is>
          <t>Medium</t>
        </is>
      </c>
      <c r="F24" s="11" t="inlineStr">
        <is>
          <t>Check block LỊCH SỬ có đủ năm mốc vòng đời đơn kèm timestamp từng mốc</t>
        </is>
      </c>
      <c r="G24" s="11" t="inlineStr">
        <is>
          <t>Ba tài khoản CBNV trên STG (A người gửi, B người vận chuyển, C người nhận).
Test Data: 1 đơn đi thẳng tới "Hoàn thành" (test_data_catalog §TS)</t>
        </is>
      </c>
      <c r="H24" s="11" t="inlineStr">
        <is>
          <t>1. Nhờ dev/QA seed 1 đơn đã đi thẳng từ đăng tin tới trạng thái "Hoàn thành" (không qua huỷ nhận, không qua huỷ đơn) với đủ 3 vai. (setup)
2. Đăng nhập FoxEco bằng tài khoản A, nhấn tab "Hoạt động" rồi tab con "Đã hoàn thành".
3. Nhấn vào card đơn đó để mở màn Theo dõi đơn.
4. Mở block LỊCH SỬ và check danh sách mốc cùng timestamp từng dòng.</t>
        </is>
      </c>
      <c r="I24" s="11" t="inlineStr">
        <is>
          <t>4. Block LỊCH SỬ có đủ 5 mốc theo thứ tự "Đăng tin", "Ghép thành công", "Lấy hàng", "Đã giao", "Hoàn thành"; mỗi mốc kèm timestamp.</t>
        </is>
      </c>
      <c r="J24" s="160" t="inlineStr">
        <is>
          <t>AI</t>
        </is>
      </c>
      <c r="K24" s="160" t="inlineStr">
        <is>
          <t>Pending</t>
        </is>
      </c>
      <c r="L24" s="160" t="inlineStr">
        <is>
          <t>No</t>
        </is>
      </c>
      <c r="M24" s="160" t="inlineStr"/>
      <c r="N24" s="264" t="inlineStr"/>
      <c r="O24" s="264" t="inlineStr"/>
      <c r="P24" s="264" t="inlineStr"/>
      <c r="Q24" s="264" t="inlineStr"/>
      <c r="R24" s="264" t="inlineStr"/>
      <c r="S24" s="264" t="inlineStr"/>
      <c r="T24" s="264" t="n"/>
      <c r="U24" s="264" t="n"/>
      <c r="V24" s="264" t="n"/>
      <c r="W24" s="264" t="n"/>
      <c r="X24" s="264" t="n"/>
      <c r="Y24" s="264" t="n"/>
      <c r="Z24" s="264" t="n"/>
      <c r="AA24" s="264" t="n"/>
      <c r="AB24" s="264" t="n"/>
      <c r="AC24" s="264" t="n"/>
      <c r="AD24" s="264" t="n"/>
      <c r="AE24" s="264" t="n"/>
      <c r="AF24" s="264" t="n"/>
      <c r="AG24" s="264" t="n"/>
      <c r="AH24" s="264" t="n"/>
      <c r="AI24" s="264" t="n"/>
      <c r="AJ24" s="264" t="n"/>
      <c r="AK24" s="264" t="n"/>
      <c r="AL24" s="264" t="n"/>
      <c r="AM24" s="264" t="n"/>
      <c r="AN24" s="264" t="n"/>
      <c r="AO24" s="264" t="n"/>
      <c r="AP24" s="264" t="n"/>
      <c r="AQ24" s="264" t="n"/>
      <c r="AR24" s="158">
        <f>IF($A24="","",IF(OR($N24="Yes",$T24="Yes",$Z24="Yes",$AF24="Yes",$AL24="Yes"),"Yes","No"))</f>
        <v/>
      </c>
      <c r="AS24" s="158">
        <f>IF($A24="","",IFERROR(IF($AM24&lt;&gt;"",$AM24,IF($AG24&lt;&gt;"",$AG24,IF($AA24&lt;&gt;"",$AA24,IF($U24&lt;&gt;"",$U24,IF($O24&lt;&gt;"",$O24,""))))),""))</f>
        <v/>
      </c>
      <c r="AT24" s="158">
        <f>IFERROR(IF($AN24&lt;&gt;"",$AN24,IF($AH24&lt;&gt;"",$AH24,IF($AB24&lt;&gt;"",$AB24,IF($V24&lt;&gt;"",$V24,IF($P24&lt;&gt;"",$P24,""))))),"")</f>
        <v/>
      </c>
      <c r="AU24" s="265" t="inlineStr">
        <is>
          <t>Căn cứ: `TS-01` §A8 L121 + `ORD-04` §D3 L243. ⛔ Không dùng đơn từng bị huỷ nhận — đơn đó thiếu mốc "Ghép thành công" do bug đã biết, sẽ chẩn đoán sai nguyên nhân.</t>
        </is>
      </c>
    </row>
    <row r="25" ht="15.75" customHeight="1" s="216">
      <c r="A25" s="160">
        <f>IF($F25="","",$C$2&amp;"."&amp;COUNTA($F$7:$F25)&amp;"")</f>
        <v/>
      </c>
      <c r="B25" s="160" t="inlineStr">
        <is>
          <t>REQ-TS-001</t>
        </is>
      </c>
      <c r="C25" s="160" t="inlineStr">
        <is>
          <t>DOC-v1.0-01</t>
        </is>
      </c>
      <c r="D25" s="160" t="inlineStr">
        <is>
          <t>Functional</t>
        </is>
      </c>
      <c r="E25" s="160" t="inlineStr">
        <is>
          <t>Medium</t>
        </is>
      </c>
      <c r="F25" s="11" t="inlineStr">
        <is>
          <t>Check từng mốc trong LỊCH SỬ ghi rõ vai người thực hiện</t>
        </is>
      </c>
      <c r="G25" s="11" t="inlineStr">
        <is>
          <t>Ba tài khoản CBNV trên STG (A người gửi, B người vận chuyển, C người nhận).
Test Data: 1 đơn đi thẳng, 3 vai thao tác khác nhau (test_data_catalog §TS)</t>
        </is>
      </c>
      <c r="H25" s="11" t="inlineStr">
        <is>
          <t>1. Nhờ dev/QA seed 1 đơn đã đi thẳng tới trạng thái "Hoàn thành" với A đăng tin, B lấy hàng và giao hàng, C xác nhận nhận hàng. (setup)
2. Đăng nhập FoxEco bằng tài khoản A và mở màn Theo dõi đơn của đơn đó.
3. Mở block LỊCH SỬ và đối chiếu từng mốc với vai đã thực hiện hành động.</t>
        </is>
      </c>
      <c r="I25" s="11" t="inlineStr">
        <is>
          <t>3. Mốc "Đăng tin" ghi tài khoản A ở vai người gửi; mốc "Ghép thành công", "Lấy hàng" và "Đã giao" ghi tài khoản B ở vai người vận chuyển; mốc "Hoàn thành" ghi tài khoản C ở vai người nhận.</t>
        </is>
      </c>
      <c r="J25" s="160" t="inlineStr">
        <is>
          <t>AI</t>
        </is>
      </c>
      <c r="K25" s="160" t="inlineStr">
        <is>
          <t>Pending</t>
        </is>
      </c>
      <c r="L25" s="160" t="inlineStr">
        <is>
          <t>No</t>
        </is>
      </c>
      <c r="M25" s="160" t="inlineStr"/>
      <c r="N25" s="264" t="inlineStr"/>
      <c r="O25" s="264" t="inlineStr"/>
      <c r="P25" s="264" t="inlineStr"/>
      <c r="Q25" s="264" t="inlineStr"/>
      <c r="R25" s="264" t="inlineStr"/>
      <c r="S25" s="264" t="inlineStr"/>
      <c r="T25" s="264" t="n"/>
      <c r="U25" s="264" t="n"/>
      <c r="V25" s="264" t="n"/>
      <c r="W25" s="264" t="n"/>
      <c r="X25" s="264" t="n"/>
      <c r="Y25" s="264" t="n"/>
      <c r="Z25" s="264" t="n"/>
      <c r="AA25" s="264" t="n"/>
      <c r="AB25" s="264" t="n"/>
      <c r="AC25" s="264" t="n"/>
      <c r="AD25" s="264" t="n"/>
      <c r="AE25" s="264" t="n"/>
      <c r="AF25" s="264" t="n"/>
      <c r="AG25" s="264" t="n"/>
      <c r="AH25" s="264" t="n"/>
      <c r="AI25" s="264" t="n"/>
      <c r="AJ25" s="264" t="n"/>
      <c r="AK25" s="264" t="n"/>
      <c r="AL25" s="264" t="n"/>
      <c r="AM25" s="264" t="n"/>
      <c r="AN25" s="264" t="n"/>
      <c r="AO25" s="264" t="n"/>
      <c r="AP25" s="264" t="n"/>
      <c r="AQ25" s="264" t="n"/>
      <c r="AR25" s="158">
        <f>IF($A25="","",IF(OR($N25="Yes",$T25="Yes",$Z25="Yes",$AF25="Yes",$AL25="Yes"),"Yes","No"))</f>
        <v/>
      </c>
      <c r="AS25" s="158">
        <f>IF($A25="","",IFERROR(IF($AM25&lt;&gt;"",$AM25,IF($AG25&lt;&gt;"",$AG25,IF($AA25&lt;&gt;"",$AA25,IF($U25&lt;&gt;"",$U25,IF($O25&lt;&gt;"",$O25,""))))),""))</f>
        <v/>
      </c>
      <c r="AT25" s="158">
        <f>IFERROR(IF($AN25&lt;&gt;"",$AN25,IF($AH25&lt;&gt;"",$AH25,IF($AB25&lt;&gt;"",$AB25,IF($V25&lt;&gt;"",$V25,IF($P25&lt;&gt;"",$P25,""))))),"")</f>
        <v/>
      </c>
      <c r="AU25" s="265" t="inlineStr">
        <is>
          <t>Căn cứ: `TS-01` §A8 L121 — nhóm thông tin "ai thực hiện". Nhóm thứ 5 của rule (actor + lý do của mốc huỷ) verify ở `TC-CNL-009`, không nhồi vào TC này.</t>
        </is>
      </c>
    </row>
    <row r="26" ht="15.75" customHeight="1" s="216">
      <c r="A26" s="160">
        <f>IF($F26="","",$C$2&amp;"."&amp;COUNTA($F$7:$F26)&amp;"")</f>
        <v/>
      </c>
      <c r="B26" s="160" t="inlineStr">
        <is>
          <t>REQ-TS-002</t>
        </is>
      </c>
      <c r="C26" s="160" t="inlineStr">
        <is>
          <t>DOC-v1.0-01 · DOC-v1.0-06</t>
        </is>
      </c>
      <c r="D26" s="160" t="inlineStr">
        <is>
          <t>Functional</t>
        </is>
      </c>
      <c r="E26" s="160" t="inlineStr">
        <is>
          <t>High</t>
        </is>
      </c>
      <c r="F26" s="11" t="inlineStr">
        <is>
          <t>Check các dòng log đã ghi vẫn còn nguyên sau huỷ nhận đơn, huỷ đơn và sửa tin</t>
        </is>
      </c>
      <c r="G26" s="11" t="inlineStr">
        <is>
          <t>Ba tài khoản CBNV trên STG (A người gửi, B người vận chuyển, C người nhận).
Test Data: Đơn `MATCHED` có ≥2 mốc log; 3 hành động thử: huỷ nhận · sửa tin · huỷ đơn (test_data_catalog §TS)</t>
        </is>
      </c>
      <c r="H26" s="11" t="inlineStr">
        <is>
          <t>1. Đăng nhập bằng tài khoản A, đăng 1 tin NEED khai C là người nhận, rồi đăng xuất. (setup)
2. Đăng nhập bằng tài khoản B, nhận đơn đó và xác nhận để LỊCH SỬ có dòng "Ghép thành công". (setup)
3. Mở block LỊCH SỬ bằng tài khoản B và ghi lại toàn bộ các dòng log hiện có.
4. Nhấn "✕ Huỷ nhận đơn", nhập lý do "Kiem tra tinh bat bien" và nhấn "Xác nhận"; mở lại block LỊCH SỬ và đối chiếu với danh sách đã ghi ở bước 3.
5. Đăng nhập bằng tài khoản A, mở đơn đó và sửa tin, sau đó mở block LỊCH SỬ và đối chiếu.
6. Vẫn bằng tài khoản A, nhấn "Huỷ đơn", nhập lý do "Ket thuc kiem tra log" và xác nhận; mở lại block LỊCH SỬ và đối chiếu.</t>
        </is>
      </c>
      <c r="I26" s="11" t="inlineStr">
        <is>
          <t>4. Mọi dòng log đã ghi ở bước 3, gồm dòng "Ghép thành công", VẪN CÒN trong block LỊCH SỬ.
5. Mọi dòng log đã ghi ở bước 3 vẫn còn, không dòng nào bị sửa nội dung.
6. Mọi dòng log đã ghi ở bước 3 vẫn còn, không dòng nào bị xoá.</t>
        </is>
      </c>
      <c r="J26" s="160" t="inlineStr">
        <is>
          <t>AI</t>
        </is>
      </c>
      <c r="K26" s="160" t="inlineStr">
        <is>
          <t>Pending</t>
        </is>
      </c>
      <c r="L26" s="160" t="inlineStr">
        <is>
          <t>No</t>
        </is>
      </c>
      <c r="M26" s="160" t="inlineStr"/>
      <c r="N26" s="264" t="inlineStr"/>
      <c r="O26" s="264" t="inlineStr"/>
      <c r="P26" s="264" t="inlineStr"/>
      <c r="Q26" s="264" t="inlineStr"/>
      <c r="R26" s="264" t="inlineStr"/>
      <c r="S26" s="264" t="inlineStr"/>
      <c r="T26" s="264" t="n"/>
      <c r="U26" s="264" t="n"/>
      <c r="V26" s="264" t="n"/>
      <c r="W26" s="264" t="n"/>
      <c r="X26" s="264" t="n"/>
      <c r="Y26" s="264" t="n"/>
      <c r="Z26" s="264" t="n"/>
      <c r="AA26" s="264" t="n"/>
      <c r="AB26" s="264" t="n"/>
      <c r="AC26" s="264" t="n"/>
      <c r="AD26" s="264" t="n"/>
      <c r="AE26" s="264" t="n"/>
      <c r="AF26" s="264" t="n"/>
      <c r="AG26" s="264" t="n"/>
      <c r="AH26" s="264" t="n"/>
      <c r="AI26" s="264" t="n"/>
      <c r="AJ26" s="264" t="n"/>
      <c r="AK26" s="264" t="n"/>
      <c r="AL26" s="264" t="n"/>
      <c r="AM26" s="264" t="n"/>
      <c r="AN26" s="264" t="n"/>
      <c r="AO26" s="264" t="n"/>
      <c r="AP26" s="264" t="n"/>
      <c r="AQ26" s="264" t="n"/>
      <c r="AR26" s="158">
        <f>IF($A26="","",IF(OR($N26="Yes",$T26="Yes",$Z26="Yes",$AF26="Yes",$AL26="Yes"),"Yes","No"))</f>
        <v/>
      </c>
      <c r="AS26" s="158">
        <f>IF($A26="","",IFERROR(IF($AM26&lt;&gt;"",$AM26,IF($AG26&lt;&gt;"",$AG26,IF($AA26&lt;&gt;"",$AA26,IF($U26&lt;&gt;"",$U26,IF($O26&lt;&gt;"",$O26,""))))),""))</f>
        <v/>
      </c>
      <c r="AT26" s="158">
        <f>IFERROR(IF($AN26&lt;&gt;"",$AN26,IF($AH26&lt;&gt;"",$AH26,IF($AB26&lt;&gt;"",$AB26,IF($V26&lt;&gt;"",$V26,IF($P26&lt;&gt;"",$P26,""))))),"")</f>
        <v/>
      </c>
      <c r="AU26" s="265" t="inlineStr">
        <is>
          <t>Mục đích: mở rộng hơn `TC-CNL-010` — không chỉ kiểm 1 hành động đã biết vi phạm mà tìm xem còn đường nào khác cũng làm đổi log. · Căn cứ: `TS-02` §A8 L122 + `BR-INT-04` §A5 L80 (audit bất biến). ⚠ Dự kiến FAIL ở bước 4 — `KB-CNL-01` đã live-verify app XOÁ dòng "Ghép thành công" ⇒ **log bug**; nếu bước 5 hoặc 6 cũng lệch thì log thêm bug riêng cho từng đường.</t>
        </is>
      </c>
    </row>
    <row r="27" ht="15.75" customHeight="1" s="216">
      <c r="A27" s="160">
        <f>IF($F27="","",$C$2&amp;"."&amp;COUNTA($F$7:$F27)&amp;"")</f>
        <v/>
      </c>
      <c r="B27" s="160" t="inlineStr">
        <is>
          <t>REQ-TS-004</t>
        </is>
      </c>
      <c r="C27" s="160" t="inlineStr">
        <is>
          <t>DOC-v1.0-01</t>
        </is>
      </c>
      <c r="D27" s="160" t="inlineStr">
        <is>
          <t>Functional</t>
        </is>
      </c>
      <c r="E27" s="160" t="inlineStr">
        <is>
          <t>Low</t>
        </is>
      </c>
      <c r="F27" s="11" t="inlineStr">
        <is>
          <t>Check cả luồng đăng tin NEED và đăng tin OFFER đều có checkbox điều khoản bắt buộc</t>
        </is>
      </c>
      <c r="G27" s="11" t="inlineStr">
        <is>
          <t>Tài khoản A trên STG.
Test Data: Checkbox điều khoản ở NEED B3 và form OFFER (test_data_catalog §TS)</t>
        </is>
      </c>
      <c r="H27" s="11" t="inlineStr">
        <is>
          <t>1. Đăng nhập FoxEco bằng tài khoản A. (setup)
2. Nhấn "+ Đăng tin", chọn luồng đăng tin NEED và đi tới bước 3 của wizard.
3. Check sự tồn tại của checkbox điều khoản và trạng thái nút gửi khi chưa tick.
4. Nhấn quay lại, chọn luồng đăng tin OFFER.
5. Check sự tồn tại của checkbox điều khoản và trạng thái nút gửi khi chưa tick.</t>
        </is>
      </c>
      <c r="I27" s="11" t="inlineStr">
        <is>
          <t>3. Bước 3 của wizard NEED có checkbox điều khoản; khi chưa tick thì nút gửi ở trạng thái bị khoá.
5. Form OFFER có checkbox điều khoản; khi chưa tick thì nút gửi ở trạng thái bị khoá.</t>
        </is>
      </c>
      <c r="J27" s="160" t="inlineStr">
        <is>
          <t>AI</t>
        </is>
      </c>
      <c r="K27" s="160" t="inlineStr">
        <is>
          <t>Pending</t>
        </is>
      </c>
      <c r="L27" s="160" t="inlineStr">
        <is>
          <t>No</t>
        </is>
      </c>
      <c r="M27" s="160" t="inlineStr"/>
      <c r="N27" s="264" t="inlineStr"/>
      <c r="O27" s="264" t="inlineStr"/>
      <c r="P27" s="264" t="inlineStr"/>
      <c r="Q27" s="264" t="inlineStr"/>
      <c r="R27" s="264" t="inlineStr"/>
      <c r="S27" s="264" t="inlineStr"/>
      <c r="T27" s="264" t="n"/>
      <c r="U27" s="264" t="n"/>
      <c r="V27" s="264" t="n"/>
      <c r="W27" s="264" t="n"/>
      <c r="X27" s="264" t="n"/>
      <c r="Y27" s="264" t="n"/>
      <c r="Z27" s="264" t="n"/>
      <c r="AA27" s="264" t="n"/>
      <c r="AB27" s="264" t="n"/>
      <c r="AC27" s="264" t="n"/>
      <c r="AD27" s="264" t="n"/>
      <c r="AE27" s="264" t="n"/>
      <c r="AF27" s="264" t="n"/>
      <c r="AG27" s="264" t="n"/>
      <c r="AH27" s="264" t="n"/>
      <c r="AI27" s="264" t="n"/>
      <c r="AJ27" s="264" t="n"/>
      <c r="AK27" s="264" t="n"/>
      <c r="AL27" s="264" t="n"/>
      <c r="AM27" s="264" t="n"/>
      <c r="AN27" s="264" t="n"/>
      <c r="AO27" s="264" t="n"/>
      <c r="AP27" s="264" t="n"/>
      <c r="AQ27" s="264" t="n"/>
      <c r="AR27" s="158">
        <f>IF($A27="","",IF(OR($N27="Yes",$T27="Yes",$Z27="Yes",$AF27="Yes",$AL27="Yes"),"Yes","No"))</f>
        <v/>
      </c>
      <c r="AS27" s="158">
        <f>IF($A27="","",IFERROR(IF($AM27&lt;&gt;"",$AM27,IF($AG27&lt;&gt;"",$AG27,IF($AA27&lt;&gt;"",$AA27,IF($U27&lt;&gt;"",$U27,IF($O27&lt;&gt;"",$O27,""))))),""))</f>
        <v/>
      </c>
      <c r="AT27" s="158">
        <f>IFERROR(IF($AN27&lt;&gt;"",$AN27,IF($AH27&lt;&gt;"",$AH27,IF($AB27&lt;&gt;"",$AB27,IF($V27&lt;&gt;"",$V27,IF($P27&lt;&gt;"",$P27,""))))),"")</f>
        <v/>
      </c>
      <c r="AU27" s="265" t="inlineStr">
        <is>
          <t>Mục đích: chỉ assert vế đã chốt (consent ở luồng **đăng tin**). · Căn cứ: `§A8` L115 + `ORD-09` §D3 L245 + `D8.1` L373 + `D8.2` L386. ⚠ Rule `§A8` yêu cầu consent trước khi đăng **VÀ** trước khi ghép, nhưng luồng ghép hiện chỉ có modal xác nhận lộ SĐT — `RISK-TS-04` nghi đây là **gap tuân thủ pháp lý**, đang chờ BA ⇒ ⛔ không assert checkbox ở luồng ghép trong TC này để không trộn 2 phán quyết.</t>
        </is>
      </c>
    </row>
    <row r="28" ht="15.75" customHeight="1" s="216">
      <c r="A28" s="160">
        <f>IF($F28="","",$C$2&amp;"."&amp;COUNTA($F$7:$F28)&amp;"")</f>
        <v/>
      </c>
      <c r="B28" s="160" t="inlineStr">
        <is>
          <t>REQ-TS-005</t>
        </is>
      </c>
      <c r="C28" s="160" t="inlineStr">
        <is>
          <t>DOC-v1.0-01</t>
        </is>
      </c>
      <c r="D28" s="160" t="inlineStr">
        <is>
          <t>Functional</t>
        </is>
      </c>
      <c r="E28" s="160" t="inlineStr">
        <is>
          <t>Low</t>
        </is>
      </c>
      <c r="F28" s="11" t="inlineStr">
        <is>
          <t>Check không tồn tại chức năng chặn hoặc báo cáo người dùng trên toàn app</t>
        </is>
      </c>
      <c r="G28" s="11" t="inlineStr">
        <is>
          <t>Hai tài khoản CBNV trên STG (A người xem, B chủ tin).
- Cộng đồng có ≥1 tin NEED "Chờ ghép" do tài khoản khác đăng.
Test Data: Cơ chế chặn user dùng làm giá trị assert-absent (test_data_catalog §TS)</t>
        </is>
      </c>
      <c r="H28" s="11" t="inlineStr">
        <is>
          <t>1. Đăng nhập FoxEco bằng tài khoản A. (setup)
2. Nhấn tab "Bảng tin", mở 1 tin và check toàn màn Chi tiết tin cùng các menu tìm chức năng chặn, báo cáo hoặc ẩn người dùng.
3. Nhờ dev/QA seed 1 đơn đang hoạt động của tài khoản A, mở màn Theo dõi đơn và check toàn màn cùng các menu.
4. Nhấn tab "Cá nhân" và check toàn màn cùng các mục menu.</t>
        </is>
      </c>
      <c r="I28" s="11" t="inlineStr">
        <is>
          <t>2. Màn Chi tiết tin KHÔNG có chức năng chặn, báo cáo hay ẩn người dùng.
3. Màn Theo dõi đơn KHÔNG có chức năng chặn, báo cáo hay ẩn người dùng.
4. Màn Cá nhân KHÔNG có chức năng chặn, báo cáo hay ẩn người dùng.</t>
        </is>
      </c>
      <c r="J28" s="160" t="inlineStr">
        <is>
          <t>AI</t>
        </is>
      </c>
      <c r="K28" s="160" t="inlineStr">
        <is>
          <t>Pending</t>
        </is>
      </c>
      <c r="L28" s="160" t="inlineStr">
        <is>
          <t>No</t>
        </is>
      </c>
      <c r="M28" s="160" t="inlineStr"/>
      <c r="N28" s="264" t="inlineStr"/>
      <c r="O28" s="264" t="inlineStr"/>
      <c r="P28" s="264" t="inlineStr"/>
      <c r="Q28" s="264" t="inlineStr"/>
      <c r="R28" s="264" t="inlineStr"/>
      <c r="S28" s="264" t="inlineStr"/>
      <c r="T28" s="264" t="n"/>
      <c r="U28" s="264" t="n"/>
      <c r="V28" s="264" t="n"/>
      <c r="W28" s="264" t="n"/>
      <c r="X28" s="264" t="n"/>
      <c r="Y28" s="264" t="n"/>
      <c r="Z28" s="264" t="n"/>
      <c r="AA28" s="264" t="n"/>
      <c r="AB28" s="264" t="n"/>
      <c r="AC28" s="264" t="n"/>
      <c r="AD28" s="264" t="n"/>
      <c r="AE28" s="264" t="n"/>
      <c r="AF28" s="264" t="n"/>
      <c r="AG28" s="264" t="n"/>
      <c r="AH28" s="264" t="n"/>
      <c r="AI28" s="264" t="n"/>
      <c r="AJ28" s="264" t="n"/>
      <c r="AK28" s="264" t="n"/>
      <c r="AL28" s="264" t="n"/>
      <c r="AM28" s="264" t="n"/>
      <c r="AN28" s="264" t="n"/>
      <c r="AO28" s="264" t="n"/>
      <c r="AP28" s="264" t="n"/>
      <c r="AQ28" s="264" t="n"/>
      <c r="AR28" s="158">
        <f>IF($A28="","",IF(OR($N28="Yes",$T28="Yes",$Z28="Yes",$AF28="Yes",$AL28="Yes"),"Yes","No"))</f>
        <v/>
      </c>
      <c r="AS28" s="158">
        <f>IF($A28="","",IFERROR(IF($AM28&lt;&gt;"",$AM28,IF($AG28&lt;&gt;"",$AG28,IF($AA28&lt;&gt;"",$AA28,IF($U28&lt;&gt;"",$U28,IF($O28&lt;&gt;"",$O28,""))))),""))</f>
        <v/>
      </c>
      <c r="AT28" s="158">
        <f>IFERROR(IF($AN28&lt;&gt;"",$AN28,IF($AH28&lt;&gt;"",$AH28,IF($AB28&lt;&gt;"",$AB28,IF($V28&lt;&gt;"",$V28,IF($P28&lt;&gt;"",$P28,""))))),"")</f>
        <v/>
      </c>
      <c r="AU28" s="265" t="inlineStr">
        <is>
          <t>Mục đích: TC dạng GAP finding chứng minh app **đúng phạm vi** — `§A8` L125 khai rõ v1.0 "KHÔNG có chặn (block) người dùng". · Căn cứ: app xuất hiện chức năng này ⇒ FAIL và mở CL scope, không phải log bug.</t>
        </is>
      </c>
    </row>
    <row r="29" ht="15.75" customHeight="1" s="216">
      <c r="A29" s="160">
        <f>IF($F29="","",$C$2&amp;"."&amp;COUNTA($F$7:$F29)&amp;"")</f>
        <v/>
      </c>
      <c r="B29" s="160" t="inlineStr">
        <is>
          <t>REQ-TS-003</t>
        </is>
      </c>
      <c r="C29" s="160" t="inlineStr">
        <is>
          <t>DOC-v1.0-01</t>
        </is>
      </c>
      <c r="D29" s="160" t="inlineStr">
        <is>
          <t>Functional</t>
        </is>
      </c>
      <c r="E29" s="160" t="inlineStr">
        <is>
          <t>Low</t>
        </is>
      </c>
      <c r="F29" s="11" t="inlineStr">
        <is>
          <t>Check đơn ở "Đã giao" quá bốn giờ chưa được xác nhận thì phía người dùng thấy hệ quả chuyển admin hỗ trợ</t>
        </is>
      </c>
      <c r="G29" s="11" t="inlineStr">
        <is>
          <t>Ba tài khoản CBNV trên STG (A người gửi, B người vận chuyển, C người nhận).
Test Data: 1 đơn "Đã giao" quá 4 giờ chưa xác nhận (test_data_catalog §TS — cùng tiền đề `SC-DLV-024`)</t>
        </is>
      </c>
      <c r="H29" s="11" t="inlineStr">
        <is>
          <t>1. Nhờ dev/QA seed 1 đơn ở trạng thái "Đã giao" với mốc thời gian giao lùi lại hơn 4 giờ, hoặc chuẩn bị chạy theo thời gian thật. (setup)
2. Đăng nhập FoxEco bằng tài khoản C và mở màn Theo dõi đơn của đơn đó.
3. Nhấn icon chuông và check các thông báo liên quan đơn đó.
4. Đăng nhập bằng tài khoản A, mở đơn đó và check trạng thái cùng thông tin hiển thị về việc chờ xác nhận.</t>
        </is>
      </c>
      <c r="I29" s="11" t="inlineStr">
        <is>
          <t>3. Danh sách thông báo của tài khoản C có thông báo nhắc xác nhận nhận hàng cho đơn đó.
4. Màn của tài khoản A hiển thị trạng thái hoặc thông tin cho biết đơn đã chuyển sang diện admin hỗ trợ.</t>
        </is>
      </c>
      <c r="J29" s="160" t="inlineStr">
        <is>
          <t>AI</t>
        </is>
      </c>
      <c r="K29" s="160" t="inlineStr">
        <is>
          <t>Pending</t>
        </is>
      </c>
      <c r="L29" s="160" t="inlineStr">
        <is>
          <t>No</t>
        </is>
      </c>
      <c r="M29" s="160" t="inlineStr"/>
      <c r="N29" s="264" t="inlineStr"/>
      <c r="O29" s="264" t="inlineStr"/>
      <c r="P29" s="264" t="inlineStr"/>
      <c r="Q29" s="264" t="inlineStr"/>
      <c r="R29" s="264" t="inlineStr"/>
      <c r="S29" s="264" t="inlineStr"/>
      <c r="T29" s="264" t="n"/>
      <c r="U29" s="264" t="n"/>
      <c r="V29" s="264" t="n"/>
      <c r="W29" s="264" t="n"/>
      <c r="X29" s="264" t="n"/>
      <c r="Y29" s="264" t="n"/>
      <c r="Z29" s="264" t="n"/>
      <c r="AA29" s="264" t="n"/>
      <c r="AB29" s="264" t="n"/>
      <c r="AC29" s="264" t="n"/>
      <c r="AD29" s="264" t="n"/>
      <c r="AE29" s="264" t="n"/>
      <c r="AF29" s="264" t="n"/>
      <c r="AG29" s="264" t="n"/>
      <c r="AH29" s="264" t="n"/>
      <c r="AI29" s="264" t="n"/>
      <c r="AJ29" s="264" t="n"/>
      <c r="AK29" s="264" t="n"/>
      <c r="AL29" s="264" t="n"/>
      <c r="AM29" s="264" t="n"/>
      <c r="AN29" s="264" t="n"/>
      <c r="AO29" s="264" t="n"/>
      <c r="AP29" s="264" t="n"/>
      <c r="AQ29" s="264" t="n"/>
      <c r="AR29" s="158">
        <f>IF($A29="","",IF(OR($N29="Yes",$T29="Yes",$Z29="Yes",$AF29="Yes",$AL29="Yes"),"Yes","No"))</f>
        <v/>
      </c>
      <c r="AS29" s="158">
        <f>IF($A29="","",IFERROR(IF($AM29&lt;&gt;"",$AM29,IF($AG29&lt;&gt;"",$AG29,IF($AA29&lt;&gt;"",$AA29,IF($U29&lt;&gt;"",$U29,IF($O29&lt;&gt;"",$O29,""))))),""))</f>
        <v/>
      </c>
      <c r="AT29" s="158">
        <f>IFERROR(IF($AN29&lt;&gt;"",$AN29,IF($AH29&lt;&gt;"",$AH29,IF($AB29&lt;&gt;"",$AB29,IF($V29&lt;&gt;"",$V29,IF($P29&lt;&gt;"",$P29,""))))),"")</f>
        <v/>
      </c>
      <c r="AU29" s="265" t="inlineStr">
        <is>
          <t>Mục đích: chỉ verify **hệ quả phía end-user**; nhánh xử lý của admin thuộc Admin Portal, ⛔ ngoài phạm vi test v1.0. · Căn cứ: `TS-03` §A8 L123 + `BR-CNF-04` §D4 L266 (2 giờ nhắc + 2 giờ admin). Chưa chạy đủ mốc thời gian thì đánh `Blocked` và ghi rõ, ⛔ không đánh PASS.</t>
        </is>
      </c>
    </row>
    <row r="30" ht="15.75" customHeight="1" s="216">
      <c r="A30" s="160">
        <f>IF($F30="","",$C$2&amp;"."&amp;COUNTA($F$7:$F30)&amp;"")</f>
        <v/>
      </c>
      <c r="B30" s="160" t="inlineStr">
        <is>
          <t>REQ-TS-003</t>
        </is>
      </c>
      <c r="C30" s="160" t="inlineStr">
        <is>
          <t>DOC-v1.0-06</t>
        </is>
      </c>
      <c r="D30" s="160" t="inlineStr">
        <is>
          <t>Functional</t>
        </is>
      </c>
      <c r="E30" s="160" t="inlineStr">
        <is>
          <t>Low</t>
        </is>
      </c>
      <c r="F30" s="11" t="inlineStr">
        <is>
          <t>Check không có bề mặt Admin Web Portal nào truy cập được từ app người dùng</t>
        </is>
      </c>
      <c r="G30" s="11" t="inlineStr">
        <is>
          <t>Tài khoản CBNV A trên STG (tài khoản người dùng thường, không phải tài khoản quản trị).
Test Data: Bề mặt Admin dùng làm giá trị assert-absent (test_data_catalog §TS)</t>
        </is>
      </c>
      <c r="H30" s="11" t="inlineStr">
        <is>
          <t>1. Đăng nhập FoxEco bằng tài khoản A. (setup)
2. Nhấn lần lượt 5 tab ở bottom nav và check tìm mục vào khu vực quản trị.
3. Nhấn tab "Cá nhân" và check toàn bộ các mục menu tìm mục quản trị hoặc mục dành cho admin.
4. Nhờ dev/QA seed 1 đơn đang hoạt động của tài khoản A, mở màn Theo dõi đơn và check tìm hành động ghi đè trạng thái đơn.</t>
        </is>
      </c>
      <c r="I30" s="11" t="inlineStr">
        <is>
          <t>2. Không tab nào có mục vào khu vực quản trị.
3. Màn Cá nhân KHÔNG có mục menu quản trị hoặc mục dành cho admin.
4. Màn Theo dõi đơn KHÔNG có hành động ghi đè trạng thái đơn.</t>
        </is>
      </c>
      <c r="J30" s="160" t="inlineStr">
        <is>
          <t>AI</t>
        </is>
      </c>
      <c r="K30" s="160" t="inlineStr">
        <is>
          <t>Pending</t>
        </is>
      </c>
      <c r="L30" s="160" t="inlineStr">
        <is>
          <t>No</t>
        </is>
      </c>
      <c r="M30" s="160" t="inlineStr"/>
      <c r="N30" s="264" t="inlineStr"/>
      <c r="O30" s="264" t="inlineStr"/>
      <c r="P30" s="264" t="inlineStr"/>
      <c r="Q30" s="264" t="inlineStr"/>
      <c r="R30" s="264" t="inlineStr"/>
      <c r="S30" s="264" t="inlineStr"/>
      <c r="T30" s="264" t="n"/>
      <c r="U30" s="264" t="n"/>
      <c r="V30" s="264" t="n"/>
      <c r="W30" s="264" t="n"/>
      <c r="X30" s="264" t="n"/>
      <c r="Y30" s="264" t="n"/>
      <c r="Z30" s="264" t="n"/>
      <c r="AA30" s="264" t="n"/>
      <c r="AB30" s="264" t="n"/>
      <c r="AC30" s="264" t="n"/>
      <c r="AD30" s="264" t="n"/>
      <c r="AE30" s="264" t="n"/>
      <c r="AF30" s="264" t="n"/>
      <c r="AG30" s="264" t="n"/>
      <c r="AH30" s="264" t="n"/>
      <c r="AI30" s="264" t="n"/>
      <c r="AJ30" s="264" t="n"/>
      <c r="AK30" s="264" t="n"/>
      <c r="AL30" s="264" t="n"/>
      <c r="AM30" s="264" t="n"/>
      <c r="AN30" s="264" t="n"/>
      <c r="AO30" s="264" t="n"/>
      <c r="AP30" s="264" t="n"/>
      <c r="AQ30" s="264" t="n"/>
      <c r="AR30" s="158">
        <f>IF($A30="","",IF(OR($N30="Yes",$T30="Yes",$Z30="Yes",$AF30="Yes",$AL30="Yes"),"Yes","No"))</f>
        <v/>
      </c>
      <c r="AS30" s="158">
        <f>IF($A30="","",IFERROR(IF($AM30&lt;&gt;"",$AM30,IF($AG30&lt;&gt;"",$AG30,IF($AA30&lt;&gt;"",$AA30,IF($U30&lt;&gt;"",$U30,IF($O30&lt;&gt;"",$O30,""))))),""))</f>
        <v/>
      </c>
      <c r="AT30" s="158">
        <f>IFERROR(IF($AN30&lt;&gt;"",$AN30,IF($AH30&lt;&gt;"",$AH30,IF($AB30&lt;&gt;"",$AB30,IF($V30&lt;&gt;"",$V30,IF($P30&lt;&gt;"",$P30,""))))),"")</f>
        <v/>
      </c>
      <c r="AU30" s="265" t="inlineStr">
        <is>
          <t>Mục đích: TC dạng GAP finding chốt bằng ID rằng cột `Admin` của permission matrix `§D4` L279-286 **không nằm trong phạm vi test v1.0** — để test report không bị hiểu là đã phủ hết matrix. · Căn cứ: `C-TS-01` Resolved 2026-07-27 (không có đặc tả UI Admin) + `KB-TS-01`.</t>
        </is>
      </c>
    </row>
    <row r="31" ht="15.75" customHeight="1" s="216">
      <c r="A31" s="160" t="n"/>
      <c r="B31" s="160" t="n"/>
      <c r="C31" s="160" t="n"/>
      <c r="D31" s="160" t="n"/>
      <c r="E31" s="160" t="n"/>
      <c r="F31" s="160" t="n"/>
      <c r="G31" s="160" t="n"/>
      <c r="H31" s="160" t="n"/>
      <c r="I31" s="160" t="n"/>
      <c r="J31" s="160" t="n"/>
      <c r="K31" s="160" t="n"/>
      <c r="L31" s="160" t="n"/>
      <c r="M31" s="160" t="n"/>
      <c r="N31" s="160" t="n"/>
      <c r="O31" s="160" t="n"/>
      <c r="P31" s="160" t="n"/>
      <c r="Q31" s="160"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61" t="n"/>
      <c r="AS31" s="161" t="n"/>
      <c r="AT31" s="1" t="n"/>
      <c r="AU31" s="1" t="n"/>
    </row>
    <row r="32" ht="15.75" customHeight="1" s="216">
      <c r="A32" s="160" t="n"/>
      <c r="B32" s="160" t="n"/>
      <c r="C32" s="160" t="n"/>
      <c r="D32" s="160" t="n"/>
      <c r="E32" s="160" t="n"/>
      <c r="F32" s="160" t="n"/>
      <c r="G32" s="160" t="n"/>
      <c r="H32" s="160" t="n"/>
      <c r="I32" s="160" t="n"/>
      <c r="J32" s="160" t="n"/>
      <c r="K32" s="160" t="n"/>
      <c r="L32" s="160" t="n"/>
      <c r="M32" s="160" t="n"/>
      <c r="N32" s="160" t="n"/>
      <c r="O32" s="160" t="n"/>
      <c r="P32" s="160" t="n"/>
      <c r="Q32" s="160"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61" t="n"/>
      <c r="AS32" s="161" t="n"/>
      <c r="AT32" s="1" t="n"/>
      <c r="AU32" s="1" t="n"/>
    </row>
    <row r="33" ht="15.75" customHeight="1" s="216">
      <c r="A33" s="160" t="n"/>
      <c r="B33" s="160" t="n"/>
      <c r="C33" s="160" t="n"/>
      <c r="D33" s="160" t="n"/>
      <c r="E33" s="160" t="n"/>
      <c r="F33" s="160" t="n"/>
      <c r="G33" s="160" t="n"/>
      <c r="H33" s="160" t="n"/>
      <c r="I33" s="160" t="n"/>
      <c r="J33" s="160" t="n"/>
      <c r="K33" s="160" t="n"/>
      <c r="L33" s="160" t="n"/>
      <c r="M33" s="160" t="n"/>
      <c r="N33" s="160" t="n"/>
      <c r="O33" s="160" t="n"/>
      <c r="P33" s="160" t="n"/>
      <c r="Q33" s="160"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61" t="n"/>
      <c r="AS33" s="161" t="n"/>
      <c r="AT33" s="1" t="n"/>
      <c r="AU33" s="1" t="n"/>
    </row>
    <row r="34" ht="15.75" customHeight="1" s="216">
      <c r="A34" s="160" t="n"/>
      <c r="B34" s="160" t="n"/>
      <c r="C34" s="160" t="n"/>
      <c r="D34" s="160" t="n"/>
      <c r="E34" s="160" t="n"/>
      <c r="F34" s="160" t="n"/>
      <c r="G34" s="160" t="n"/>
      <c r="H34" s="160" t="n"/>
      <c r="I34" s="160" t="n"/>
      <c r="J34" s="160" t="n"/>
      <c r="K34" s="160" t="n"/>
      <c r="L34" s="160" t="n"/>
      <c r="M34" s="160" t="n"/>
      <c r="N34" s="160" t="n"/>
      <c r="O34" s="160" t="n"/>
      <c r="P34" s="160" t="n"/>
      <c r="Q34" s="160"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61" t="n"/>
      <c r="AS34" s="161" t="n"/>
      <c r="AT34" s="1" t="n"/>
      <c r="AU34" s="1" t="n"/>
    </row>
    <row r="35" ht="15.75" customHeight="1" s="216">
      <c r="A35" s="160" t="n"/>
      <c r="B35" s="160" t="n"/>
      <c r="C35" s="160" t="n"/>
      <c r="D35" s="160" t="n"/>
      <c r="E35" s="160" t="n"/>
      <c r="F35" s="160" t="n"/>
      <c r="G35" s="160" t="n"/>
      <c r="H35" s="160" t="n"/>
      <c r="I35" s="160" t="n"/>
      <c r="J35" s="160" t="n"/>
      <c r="K35" s="160" t="n"/>
      <c r="L35" s="160" t="n"/>
      <c r="M35" s="160" t="n"/>
      <c r="N35" s="160" t="n"/>
      <c r="O35" s="160" t="n"/>
      <c r="P35" s="160" t="n"/>
      <c r="Q35" s="160"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61" t="n"/>
      <c r="AS35" s="161" t="n"/>
      <c r="AT35" s="1" t="n"/>
      <c r="AU35" s="1" t="n"/>
    </row>
    <row r="36" ht="15.75" customHeight="1" s="216">
      <c r="A36" s="160" t="n"/>
      <c r="B36" s="160" t="n"/>
      <c r="C36" s="160" t="n"/>
      <c r="D36" s="160" t="n"/>
      <c r="E36" s="160" t="n"/>
      <c r="F36" s="160" t="n"/>
      <c r="G36" s="160" t="n"/>
      <c r="H36" s="160" t="n"/>
      <c r="I36" s="160" t="n"/>
      <c r="J36" s="160" t="n"/>
      <c r="K36" s="160" t="n"/>
      <c r="L36" s="160" t="n"/>
      <c r="M36" s="160" t="n"/>
      <c r="N36" s="160" t="n"/>
      <c r="O36" s="160" t="n"/>
      <c r="P36" s="160" t="n"/>
      <c r="Q36" s="160"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61" t="n"/>
      <c r="AS36" s="161" t="n"/>
      <c r="AT36" s="1" t="n"/>
      <c r="AU36" s="1" t="n"/>
    </row>
    <row r="37" ht="15.75" customHeight="1" s="216">
      <c r="A37" s="160" t="n"/>
      <c r="B37" s="160" t="n"/>
      <c r="C37" s="160" t="n"/>
      <c r="D37" s="160" t="n"/>
      <c r="E37" s="160" t="n"/>
      <c r="F37" s="160" t="n"/>
      <c r="G37" s="160" t="n"/>
      <c r="H37" s="160" t="n"/>
      <c r="I37" s="160" t="n"/>
      <c r="J37" s="160" t="n"/>
      <c r="K37" s="160" t="n"/>
      <c r="L37" s="160" t="n"/>
      <c r="M37" s="160" t="n"/>
      <c r="N37" s="160" t="n"/>
      <c r="O37" s="160" t="n"/>
      <c r="P37" s="160" t="n"/>
      <c r="Q37" s="160"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61" t="n"/>
      <c r="AS37" s="161" t="n"/>
      <c r="AT37" s="1" t="n"/>
      <c r="AU37" s="1" t="n"/>
    </row>
    <row r="38" ht="15.75" customHeight="1" s="216">
      <c r="A38" s="160" t="n"/>
      <c r="B38" s="160" t="n"/>
      <c r="C38" s="160" t="n"/>
      <c r="D38" s="160" t="n"/>
      <c r="E38" s="160" t="n"/>
      <c r="F38" s="160" t="n"/>
      <c r="G38" s="160" t="n"/>
      <c r="H38" s="160" t="n"/>
      <c r="I38" s="160" t="n"/>
      <c r="J38" s="160" t="n"/>
      <c r="K38" s="160" t="n"/>
      <c r="L38" s="160" t="n"/>
      <c r="M38" s="160" t="n"/>
      <c r="N38" s="160" t="n"/>
      <c r="O38" s="160" t="n"/>
      <c r="P38" s="160" t="n"/>
      <c r="Q38" s="160"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61" t="n"/>
      <c r="AS38" s="161" t="n"/>
      <c r="AT38" s="1" t="n"/>
      <c r="AU38" s="1" t="n"/>
    </row>
    <row r="39" ht="15.75" customHeight="1" s="216">
      <c r="A39" s="160" t="n"/>
      <c r="B39" s="160" t="n"/>
      <c r="C39" s="160" t="n"/>
      <c r="D39" s="160" t="n"/>
      <c r="E39" s="160" t="n"/>
      <c r="F39" s="160" t="n"/>
      <c r="G39" s="160" t="n"/>
      <c r="H39" s="160" t="n"/>
      <c r="I39" s="160" t="n"/>
      <c r="J39" s="160" t="n"/>
      <c r="K39" s="160" t="n"/>
      <c r="L39" s="160" t="n"/>
      <c r="M39" s="160" t="n"/>
      <c r="N39" s="160" t="n"/>
      <c r="O39" s="160" t="n"/>
      <c r="P39" s="160" t="n"/>
      <c r="Q39" s="160"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61" t="n"/>
      <c r="AS39" s="161" t="n"/>
      <c r="AT39" s="1" t="n"/>
      <c r="AU39" s="1" t="n"/>
    </row>
    <row r="40" ht="15.75" customHeight="1" s="216">
      <c r="A40" s="160" t="n"/>
      <c r="B40" s="160" t="n"/>
      <c r="C40" s="160" t="n"/>
      <c r="D40" s="160" t="n"/>
      <c r="E40" s="160" t="n"/>
      <c r="F40" s="160" t="n"/>
      <c r="G40" s="160" t="n"/>
      <c r="H40" s="160" t="n"/>
      <c r="I40" s="160" t="n"/>
      <c r="J40" s="160" t="n"/>
      <c r="K40" s="160" t="n"/>
      <c r="L40" s="160" t="n"/>
      <c r="M40" s="160" t="n"/>
      <c r="N40" s="160" t="n"/>
      <c r="O40" s="160" t="n"/>
      <c r="P40" s="160" t="n"/>
      <c r="Q40" s="160"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61" t="n"/>
      <c r="AS40" s="161" t="n"/>
      <c r="AT40" s="1" t="n"/>
      <c r="AU40" s="1" t="n"/>
    </row>
    <row r="41" ht="15.75" customHeight="1" s="216">
      <c r="A41" s="160" t="n"/>
      <c r="B41" s="160" t="n"/>
      <c r="C41" s="160" t="n"/>
      <c r="D41" s="160" t="n"/>
      <c r="E41" s="160" t="n"/>
      <c r="F41" s="160" t="n"/>
      <c r="G41" s="160" t="n"/>
      <c r="H41" s="160" t="n"/>
      <c r="I41" s="160" t="n"/>
      <c r="J41" s="160" t="n"/>
      <c r="K41" s="160" t="n"/>
      <c r="L41" s="160" t="n"/>
      <c r="M41" s="160" t="n"/>
      <c r="N41" s="160" t="n"/>
      <c r="O41" s="160" t="n"/>
      <c r="P41" s="160" t="n"/>
      <c r="Q41" s="160"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61" t="n"/>
      <c r="AS41" s="161" t="n"/>
      <c r="AT41" s="1" t="n"/>
      <c r="AU41" s="1" t="n"/>
    </row>
    <row r="42" ht="15.75" customHeight="1" s="216">
      <c r="A42" s="160" t="n"/>
      <c r="B42" s="160" t="n"/>
      <c r="C42" s="160" t="n"/>
      <c r="D42" s="160" t="n"/>
      <c r="E42" s="160" t="n"/>
      <c r="F42" s="160" t="n"/>
      <c r="G42" s="160" t="n"/>
      <c r="H42" s="160" t="n"/>
      <c r="I42" s="160" t="n"/>
      <c r="J42" s="160" t="n"/>
      <c r="K42" s="160" t="n"/>
      <c r="L42" s="160" t="n"/>
      <c r="M42" s="160" t="n"/>
      <c r="N42" s="160" t="n"/>
      <c r="O42" s="160" t="n"/>
      <c r="P42" s="160" t="n"/>
      <c r="Q42" s="160"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61" t="n"/>
      <c r="AS42" s="161" t="n"/>
      <c r="AT42" s="1" t="n"/>
      <c r="AU42" s="1" t="n"/>
    </row>
    <row r="43" ht="15.75" customHeight="1" s="216">
      <c r="A43" s="160" t="n"/>
      <c r="B43" s="160" t="n"/>
      <c r="C43" s="160" t="n"/>
      <c r="D43" s="160" t="n"/>
      <c r="E43" s="160" t="n"/>
      <c r="F43" s="160" t="n"/>
      <c r="G43" s="160" t="n"/>
      <c r="H43" s="160" t="n"/>
      <c r="I43" s="160" t="n"/>
      <c r="J43" s="160" t="n"/>
      <c r="K43" s="160" t="n"/>
      <c r="L43" s="160" t="n"/>
      <c r="M43" s="160" t="n"/>
      <c r="N43" s="160" t="n"/>
      <c r="O43" s="160" t="n"/>
      <c r="P43" s="160" t="n"/>
      <c r="Q43" s="160"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61" t="n"/>
      <c r="AS43" s="161" t="n"/>
      <c r="AT43" s="1" t="n"/>
      <c r="AU43" s="1" t="n"/>
    </row>
    <row r="44" ht="15.75" customHeight="1" s="216">
      <c r="A44" s="160" t="n"/>
      <c r="B44" s="160" t="n"/>
      <c r="C44" s="160" t="n"/>
      <c r="D44" s="160" t="n"/>
      <c r="E44" s="160" t="n"/>
      <c r="F44" s="160" t="n"/>
      <c r="G44" s="160" t="n"/>
      <c r="H44" s="160" t="n"/>
      <c r="I44" s="160" t="n"/>
      <c r="J44" s="160" t="n"/>
      <c r="K44" s="160" t="n"/>
      <c r="L44" s="160" t="n"/>
      <c r="M44" s="160" t="n"/>
      <c r="N44" s="160" t="n"/>
      <c r="O44" s="160" t="n"/>
      <c r="P44" s="160" t="n"/>
      <c r="Q44" s="160"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61" t="n"/>
      <c r="AS44" s="161" t="n"/>
      <c r="AT44" s="1" t="n"/>
      <c r="AU44" s="1" t="n"/>
    </row>
    <row r="45" ht="15.75" customHeight="1" s="216">
      <c r="A45" s="160" t="n"/>
      <c r="B45" s="160" t="n"/>
      <c r="C45" s="160" t="n"/>
      <c r="D45" s="160" t="n"/>
      <c r="E45" s="160" t="n"/>
      <c r="F45" s="160" t="n"/>
      <c r="G45" s="160" t="n"/>
      <c r="H45" s="160" t="n"/>
      <c r="I45" s="160" t="n"/>
      <c r="J45" s="160" t="n"/>
      <c r="K45" s="160" t="n"/>
      <c r="L45" s="160" t="n"/>
      <c r="M45" s="160" t="n"/>
      <c r="N45" s="160" t="n"/>
      <c r="O45" s="160" t="n"/>
      <c r="P45" s="160" t="n"/>
      <c r="Q45" s="160"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61" t="n"/>
      <c r="AS45" s="161" t="n"/>
      <c r="AT45" s="1" t="n"/>
      <c r="AU45" s="1" t="n"/>
    </row>
    <row r="46" ht="15.75" customHeight="1" s="216">
      <c r="A46" s="160" t="n"/>
      <c r="B46" s="160" t="n"/>
      <c r="C46" s="160" t="n"/>
      <c r="D46" s="160" t="n"/>
      <c r="E46" s="160" t="n"/>
      <c r="F46" s="160" t="n"/>
      <c r="G46" s="160" t="n"/>
      <c r="H46" s="160" t="n"/>
      <c r="I46" s="160" t="n"/>
      <c r="J46" s="160" t="n"/>
      <c r="K46" s="160" t="n"/>
      <c r="L46" s="160" t="n"/>
      <c r="M46" s="160" t="n"/>
      <c r="N46" s="160" t="n"/>
      <c r="O46" s="160" t="n"/>
      <c r="P46" s="160" t="n"/>
      <c r="Q46" s="160"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61" t="n"/>
      <c r="AS46" s="161" t="n"/>
      <c r="AT46" s="1" t="n"/>
      <c r="AU46" s="1" t="n"/>
    </row>
    <row r="47" ht="15.75" customHeight="1" s="216">
      <c r="A47" s="160" t="n"/>
      <c r="B47" s="160" t="n"/>
      <c r="C47" s="160" t="n"/>
      <c r="D47" s="160" t="n"/>
      <c r="E47" s="160" t="n"/>
      <c r="F47" s="160" t="n"/>
      <c r="G47" s="160" t="n"/>
      <c r="H47" s="160" t="n"/>
      <c r="I47" s="160" t="n"/>
      <c r="J47" s="160" t="n"/>
      <c r="K47" s="160" t="n"/>
      <c r="L47" s="160" t="n"/>
      <c r="M47" s="160" t="n"/>
      <c r="N47" s="160" t="n"/>
      <c r="O47" s="160" t="n"/>
      <c r="P47" s="160" t="n"/>
      <c r="Q47" s="160"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61" t="n"/>
      <c r="AS47" s="161" t="n"/>
      <c r="AT47" s="1" t="n"/>
      <c r="AU47" s="1" t="n"/>
    </row>
    <row r="48" ht="15.75" customHeight="1" s="216">
      <c r="A48" s="160" t="n"/>
      <c r="B48" s="160" t="n"/>
      <c r="C48" s="160" t="n"/>
      <c r="D48" s="160" t="n"/>
      <c r="E48" s="160" t="n"/>
      <c r="F48" s="160" t="n"/>
      <c r="G48" s="160" t="n"/>
      <c r="H48" s="160" t="n"/>
      <c r="I48" s="160" t="n"/>
      <c r="J48" s="160" t="n"/>
      <c r="K48" s="160" t="n"/>
      <c r="L48" s="160" t="n"/>
      <c r="M48" s="160" t="n"/>
      <c r="N48" s="160" t="n"/>
      <c r="O48" s="160" t="n"/>
      <c r="P48" s="160" t="n"/>
      <c r="Q48" s="160"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61" t="n"/>
      <c r="AS48" s="161" t="n"/>
      <c r="AT48" s="1" t="n"/>
      <c r="AU48" s="1" t="n"/>
    </row>
    <row r="49" ht="15.75" customHeight="1" s="216">
      <c r="A49" s="160" t="n"/>
      <c r="B49" s="160" t="n"/>
      <c r="C49" s="160" t="n"/>
      <c r="D49" s="160" t="n"/>
      <c r="E49" s="160" t="n"/>
      <c r="F49" s="160" t="n"/>
      <c r="G49" s="160" t="n"/>
      <c r="H49" s="160" t="n"/>
      <c r="I49" s="160" t="n"/>
      <c r="J49" s="160" t="n"/>
      <c r="K49" s="160" t="n"/>
      <c r="L49" s="160" t="n"/>
      <c r="M49" s="160" t="n"/>
      <c r="N49" s="160" t="n"/>
      <c r="O49" s="160" t="n"/>
      <c r="P49" s="160" t="n"/>
      <c r="Q49" s="160"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61" t="n"/>
      <c r="AS49" s="161" t="n"/>
      <c r="AT49" s="1" t="n"/>
      <c r="AU49" s="1" t="n"/>
    </row>
    <row r="50" ht="15.75" customHeight="1" s="216">
      <c r="A50" s="160" t="n"/>
      <c r="B50" s="160" t="n"/>
      <c r="C50" s="160" t="n"/>
      <c r="D50" s="160" t="n"/>
      <c r="E50" s="160" t="n"/>
      <c r="F50" s="160" t="n"/>
      <c r="G50" s="160" t="n"/>
      <c r="H50" s="160" t="n"/>
      <c r="I50" s="160" t="n"/>
      <c r="J50" s="160" t="n"/>
      <c r="K50" s="160" t="n"/>
      <c r="L50" s="160" t="n"/>
      <c r="M50" s="160" t="n"/>
      <c r="N50" s="160" t="n"/>
      <c r="O50" s="160" t="n"/>
      <c r="P50" s="160" t="n"/>
      <c r="Q50" s="160"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61" t="n"/>
      <c r="AS50" s="161" t="n"/>
      <c r="AT50" s="1" t="n"/>
      <c r="AU50" s="1" t="n"/>
    </row>
    <row r="51" ht="15.75" customHeight="1" s="216">
      <c r="A51" s="160" t="n"/>
      <c r="B51" s="160" t="n"/>
      <c r="C51" s="160" t="n"/>
      <c r="D51" s="160" t="n"/>
      <c r="E51" s="160" t="n"/>
      <c r="F51" s="160" t="n"/>
      <c r="G51" s="160" t="n"/>
      <c r="H51" s="160" t="n"/>
      <c r="I51" s="160" t="n"/>
      <c r="J51" s="160" t="n"/>
      <c r="K51" s="160" t="n"/>
      <c r="L51" s="160" t="n"/>
      <c r="M51" s="160" t="n"/>
      <c r="N51" s="160" t="n"/>
      <c r="O51" s="160" t="n"/>
      <c r="P51" s="160" t="n"/>
      <c r="Q51" s="160"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61" t="n"/>
      <c r="AS51" s="161" t="n"/>
      <c r="AT51" s="1" t="n"/>
      <c r="AU51" s="1" t="n"/>
    </row>
    <row r="52" ht="15.75" customHeight="1" s="216">
      <c r="A52" s="160" t="n"/>
      <c r="B52" s="160" t="n"/>
      <c r="C52" s="160" t="n"/>
      <c r="D52" s="160" t="n"/>
      <c r="E52" s="160" t="n"/>
      <c r="F52" s="160" t="n"/>
      <c r="G52" s="160" t="n"/>
      <c r="H52" s="160" t="n"/>
      <c r="I52" s="160" t="n"/>
      <c r="J52" s="160" t="n"/>
      <c r="K52" s="160" t="n"/>
      <c r="L52" s="160" t="n"/>
      <c r="M52" s="160" t="n"/>
      <c r="N52" s="160" t="n"/>
      <c r="O52" s="160" t="n"/>
      <c r="P52" s="160" t="n"/>
      <c r="Q52" s="160"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61" t="n"/>
      <c r="AS52" s="161" t="n"/>
      <c r="AT52" s="1" t="n"/>
      <c r="AU52" s="1" t="n"/>
    </row>
    <row r="53" ht="15.75" customHeight="1" s="216">
      <c r="A53" s="160" t="n"/>
      <c r="B53" s="160" t="n"/>
      <c r="C53" s="160" t="n"/>
      <c r="D53" s="160" t="n"/>
      <c r="E53" s="160" t="n"/>
      <c r="F53" s="160" t="n"/>
      <c r="G53" s="160" t="n"/>
      <c r="H53" s="160" t="n"/>
      <c r="I53" s="160" t="n"/>
      <c r="J53" s="160" t="n"/>
      <c r="K53" s="160" t="n"/>
      <c r="L53" s="160" t="n"/>
      <c r="M53" s="160" t="n"/>
      <c r="N53" s="160" t="n"/>
      <c r="O53" s="160" t="n"/>
      <c r="P53" s="160" t="n"/>
      <c r="Q53" s="160"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61" t="n"/>
      <c r="AS53" s="161" t="n"/>
      <c r="AT53" s="1" t="n"/>
      <c r="AU53" s="1" t="n"/>
    </row>
    <row r="54" ht="15.75" customHeight="1" s="216">
      <c r="A54" s="160" t="n"/>
      <c r="B54" s="160" t="n"/>
      <c r="C54" s="160" t="n"/>
      <c r="D54" s="160" t="n"/>
      <c r="E54" s="160" t="n"/>
      <c r="F54" s="160" t="n"/>
      <c r="G54" s="160" t="n"/>
      <c r="H54" s="160" t="n"/>
      <c r="I54" s="160" t="n"/>
      <c r="J54" s="160" t="n"/>
      <c r="K54" s="160" t="n"/>
      <c r="L54" s="160" t="n"/>
      <c r="M54" s="160" t="n"/>
      <c r="N54" s="160" t="n"/>
      <c r="O54" s="160" t="n"/>
      <c r="P54" s="160" t="n"/>
      <c r="Q54" s="160"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61" t="n"/>
      <c r="AS54" s="161" t="n"/>
      <c r="AT54" s="1" t="n"/>
      <c r="AU54" s="1" t="n"/>
    </row>
    <row r="55" ht="15.75" customHeight="1" s="216">
      <c r="A55" s="160" t="n"/>
      <c r="B55" s="160" t="n"/>
      <c r="C55" s="160" t="n"/>
      <c r="D55" s="160" t="n"/>
      <c r="E55" s="160" t="n"/>
      <c r="F55" s="160" t="n"/>
      <c r="G55" s="160" t="n"/>
      <c r="H55" s="160" t="n"/>
      <c r="I55" s="160" t="n"/>
      <c r="J55" s="160" t="n"/>
      <c r="K55" s="160" t="n"/>
      <c r="L55" s="160" t="n"/>
      <c r="M55" s="160" t="n"/>
      <c r="N55" s="160" t="n"/>
      <c r="O55" s="160" t="n"/>
      <c r="P55" s="160" t="n"/>
      <c r="Q55" s="160"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61" t="n"/>
      <c r="AS55" s="161" t="n"/>
      <c r="AT55" s="1" t="n"/>
      <c r="AU55" s="1" t="n"/>
    </row>
    <row r="56" ht="15.75" customHeight="1" s="216">
      <c r="A56" s="160" t="n"/>
      <c r="B56" s="160" t="n"/>
      <c r="C56" s="160" t="n"/>
      <c r="D56" s="160" t="n"/>
      <c r="E56" s="160" t="n"/>
      <c r="F56" s="160" t="n"/>
      <c r="G56" s="160" t="n"/>
      <c r="H56" s="160" t="n"/>
      <c r="I56" s="160" t="n"/>
      <c r="J56" s="160" t="n"/>
      <c r="K56" s="160" t="n"/>
      <c r="L56" s="160" t="n"/>
      <c r="M56" s="160" t="n"/>
      <c r="N56" s="160" t="n"/>
      <c r="O56" s="160" t="n"/>
      <c r="P56" s="160" t="n"/>
      <c r="Q56" s="160"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61" t="n"/>
      <c r="AS56" s="161" t="n"/>
      <c r="AT56" s="1" t="n"/>
      <c r="AU56" s="1" t="n"/>
    </row>
    <row r="57" ht="15.75" customHeight="1" s="216">
      <c r="A57" s="160" t="n"/>
      <c r="B57" s="160" t="n"/>
      <c r="C57" s="160" t="n"/>
      <c r="D57" s="160" t="n"/>
      <c r="E57" s="160" t="n"/>
      <c r="F57" s="160" t="n"/>
      <c r="G57" s="160" t="n"/>
      <c r="H57" s="160" t="n"/>
      <c r="I57" s="160" t="n"/>
      <c r="J57" s="160" t="n"/>
      <c r="K57" s="160" t="n"/>
      <c r="L57" s="160" t="n"/>
      <c r="M57" s="160" t="n"/>
      <c r="N57" s="160" t="n"/>
      <c r="O57" s="160" t="n"/>
      <c r="P57" s="160" t="n"/>
      <c r="Q57" s="160"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61" t="n"/>
      <c r="AS57" s="161" t="n"/>
      <c r="AT57" s="1" t="n"/>
      <c r="AU57" s="1" t="n"/>
    </row>
    <row r="58" ht="15.75" customHeight="1" s="216">
      <c r="A58" s="160" t="n"/>
      <c r="B58" s="160" t="n"/>
      <c r="C58" s="160" t="n"/>
      <c r="D58" s="160" t="n"/>
      <c r="E58" s="160" t="n"/>
      <c r="F58" s="160" t="n"/>
      <c r="G58" s="160" t="n"/>
      <c r="H58" s="160" t="n"/>
      <c r="I58" s="160" t="n"/>
      <c r="J58" s="160" t="n"/>
      <c r="K58" s="160" t="n"/>
      <c r="L58" s="160" t="n"/>
      <c r="M58" s="160" t="n"/>
      <c r="N58" s="160" t="n"/>
      <c r="O58" s="160" t="n"/>
      <c r="P58" s="160" t="n"/>
      <c r="Q58" s="160"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61" t="n"/>
      <c r="AS58" s="161" t="n"/>
      <c r="AT58" s="1" t="n"/>
      <c r="AU58" s="1" t="n"/>
    </row>
    <row r="59" ht="15.75" customHeight="1" s="216">
      <c r="A59" s="160" t="n"/>
      <c r="B59" s="160" t="n"/>
      <c r="C59" s="160" t="n"/>
      <c r="D59" s="160" t="n"/>
      <c r="E59" s="160" t="n"/>
      <c r="F59" s="160" t="n"/>
      <c r="G59" s="160" t="n"/>
      <c r="H59" s="160" t="n"/>
      <c r="I59" s="160" t="n"/>
      <c r="J59" s="160" t="n"/>
      <c r="K59" s="160" t="n"/>
      <c r="L59" s="160" t="n"/>
      <c r="M59" s="160" t="n"/>
      <c r="N59" s="160" t="n"/>
      <c r="O59" s="160" t="n"/>
      <c r="P59" s="160" t="n"/>
      <c r="Q59" s="160"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61" t="n"/>
      <c r="AS59" s="161" t="n"/>
      <c r="AT59" s="1" t="n"/>
      <c r="AU59" s="1" t="n"/>
    </row>
    <row r="60" ht="15.75" customHeight="1" s="216">
      <c r="A60" s="160" t="n"/>
      <c r="B60" s="160" t="n"/>
      <c r="C60" s="160" t="n"/>
      <c r="D60" s="160" t="n"/>
      <c r="E60" s="160" t="n"/>
      <c r="F60" s="160" t="n"/>
      <c r="G60" s="160" t="n"/>
      <c r="H60" s="160" t="n"/>
      <c r="I60" s="160" t="n"/>
      <c r="J60" s="160" t="n"/>
      <c r="K60" s="160" t="n"/>
      <c r="L60" s="160" t="n"/>
      <c r="M60" s="160" t="n"/>
      <c r="N60" s="160" t="n"/>
      <c r="O60" s="160" t="n"/>
      <c r="P60" s="160" t="n"/>
      <c r="Q60" s="160"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61" t="n"/>
      <c r="AS60" s="161" t="n"/>
      <c r="AT60" s="1" t="n"/>
      <c r="AU60" s="1" t="n"/>
    </row>
    <row r="61" ht="15.75" customHeight="1" s="216">
      <c r="A61" s="1" t="n"/>
      <c r="B61" s="1" t="n"/>
      <c r="C61" s="1" t="n"/>
      <c r="D61" s="1" t="n"/>
      <c r="E61" s="181" t="n"/>
      <c r="F61" s="181" t="n"/>
      <c r="G61" s="1" t="n"/>
      <c r="H61" s="1" t="n"/>
      <c r="I61" s="1" t="n"/>
      <c r="J61" s="1" t="n"/>
      <c r="K61" s="181" t="n"/>
      <c r="L61" s="181" t="n"/>
      <c r="M61" s="181" t="n"/>
      <c r="N61" s="1" t="n"/>
      <c r="O61" s="181" t="n"/>
      <c r="P61" s="181" t="n"/>
      <c r="Q61" s="18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row>
    <row r="62" ht="15.75" customHeight="1" s="216">
      <c r="A62" s="1" t="n"/>
      <c r="B62" s="1" t="n"/>
      <c r="C62" s="1" t="n"/>
      <c r="D62" s="1" t="n"/>
      <c r="E62" s="181" t="n"/>
      <c r="F62" s="181" t="n"/>
      <c r="G62" s="1" t="n"/>
      <c r="H62" s="1" t="n"/>
      <c r="I62" s="1" t="n"/>
      <c r="J62" s="1" t="n"/>
      <c r="K62" s="181" t="n"/>
      <c r="L62" s="181" t="n"/>
      <c r="M62" s="181" t="n"/>
      <c r="N62" s="1" t="n"/>
      <c r="O62" s="181" t="n"/>
      <c r="P62" s="181" t="n"/>
      <c r="Q62" s="18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row>
    <row r="63" ht="15.75" customHeight="1" s="216">
      <c r="A63" s="1" t="n"/>
      <c r="B63" s="1" t="n"/>
      <c r="C63" s="1" t="n"/>
      <c r="D63" s="1" t="n"/>
      <c r="E63" s="181" t="n"/>
      <c r="F63" s="181" t="n"/>
      <c r="G63" s="1" t="n"/>
      <c r="H63" s="1" t="n"/>
      <c r="I63" s="1" t="n"/>
      <c r="J63" s="1" t="n"/>
      <c r="K63" s="181" t="n"/>
      <c r="L63" s="181" t="n"/>
      <c r="M63" s="181" t="n"/>
      <c r="N63" s="1" t="n"/>
      <c r="O63" s="181" t="n"/>
      <c r="P63" s="181" t="n"/>
      <c r="Q63" s="18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row>
    <row r="64" ht="15.75" customHeight="1" s="216">
      <c r="A64" s="1" t="n"/>
      <c r="B64" s="1" t="n"/>
      <c r="C64" s="1" t="n"/>
      <c r="D64" s="1" t="n"/>
      <c r="E64" s="181" t="n"/>
      <c r="F64" s="181" t="n"/>
      <c r="G64" s="1" t="n"/>
      <c r="H64" s="1" t="n"/>
      <c r="I64" s="1" t="n"/>
      <c r="J64" s="1" t="n"/>
      <c r="K64" s="181" t="n"/>
      <c r="L64" s="181" t="n"/>
      <c r="M64" s="181" t="n"/>
      <c r="N64" s="1" t="n"/>
      <c r="O64" s="181" t="n"/>
      <c r="P64" s="181" t="n"/>
      <c r="Q64" s="18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row>
    <row r="65" ht="15.75" customHeight="1" s="216">
      <c r="A65" s="1" t="n"/>
      <c r="B65" s="1" t="n"/>
      <c r="C65" s="1" t="n"/>
      <c r="D65" s="1" t="n"/>
      <c r="E65" s="181" t="n"/>
      <c r="F65" s="181" t="n"/>
      <c r="G65" s="1" t="n"/>
      <c r="H65" s="1" t="n"/>
      <c r="I65" s="1" t="n"/>
      <c r="J65" s="1" t="n"/>
      <c r="K65" s="181" t="n"/>
      <c r="L65" s="181" t="n"/>
      <c r="M65" s="181" t="n"/>
      <c r="N65" s="1" t="n"/>
      <c r="O65" s="181" t="n"/>
      <c r="P65" s="181" t="n"/>
      <c r="Q65" s="18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row>
    <row r="66" ht="15.75" customHeight="1" s="216">
      <c r="A66" s="1" t="n"/>
      <c r="B66" s="1" t="n"/>
      <c r="C66" s="1" t="n"/>
      <c r="D66" s="1" t="n"/>
      <c r="E66" s="181" t="n"/>
      <c r="F66" s="181" t="n"/>
      <c r="G66" s="1" t="n"/>
      <c r="H66" s="1" t="n"/>
      <c r="I66" s="1" t="n"/>
      <c r="J66" s="1" t="n"/>
      <c r="K66" s="181" t="n"/>
      <c r="L66" s="181" t="n"/>
      <c r="M66" s="181" t="n"/>
      <c r="N66" s="1" t="n"/>
      <c r="O66" s="181" t="n"/>
      <c r="P66" s="181" t="n"/>
      <c r="Q66" s="18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row>
    <row r="67" ht="15.75" customHeight="1" s="216">
      <c r="A67" s="1" t="n"/>
      <c r="B67" s="1" t="n"/>
      <c r="C67" s="1" t="n"/>
      <c r="D67" s="1" t="n"/>
      <c r="E67" s="181" t="n"/>
      <c r="F67" s="181" t="n"/>
      <c r="G67" s="1" t="n"/>
      <c r="H67" s="1" t="n"/>
      <c r="I67" s="1" t="n"/>
      <c r="J67" s="1" t="n"/>
      <c r="K67" s="181" t="n"/>
      <c r="L67" s="181" t="n"/>
      <c r="M67" s="181" t="n"/>
      <c r="N67" s="1" t="n"/>
      <c r="O67" s="181" t="n"/>
      <c r="P67" s="181" t="n"/>
      <c r="Q67" s="18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row>
    <row r="68" ht="15.75" customHeight="1" s="216">
      <c r="A68" s="1" t="n"/>
      <c r="B68" s="1" t="n"/>
      <c r="C68" s="1" t="n"/>
      <c r="D68" s="1" t="n"/>
      <c r="E68" s="181" t="n"/>
      <c r="F68" s="181" t="n"/>
      <c r="G68" s="1" t="n"/>
      <c r="H68" s="1" t="n"/>
      <c r="I68" s="1" t="n"/>
      <c r="J68" s="1" t="n"/>
      <c r="K68" s="181" t="n"/>
      <c r="L68" s="181" t="n"/>
      <c r="M68" s="181" t="n"/>
      <c r="N68" s="1" t="n"/>
      <c r="O68" s="181" t="n"/>
      <c r="P68" s="181" t="n"/>
      <c r="Q68" s="18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row>
    <row r="69" ht="15.75" customHeight="1" s="216">
      <c r="A69" s="1" t="n"/>
      <c r="B69" s="1" t="n"/>
      <c r="C69" s="1" t="n"/>
      <c r="D69" s="1" t="n"/>
      <c r="E69" s="181" t="n"/>
      <c r="F69" s="181" t="n"/>
      <c r="G69" s="1" t="n"/>
      <c r="H69" s="1" t="n"/>
      <c r="I69" s="1" t="n"/>
      <c r="J69" s="1" t="n"/>
      <c r="K69" s="181" t="n"/>
      <c r="L69" s="181" t="n"/>
      <c r="M69" s="181" t="n"/>
      <c r="N69" s="1" t="n"/>
      <c r="O69" s="181" t="n"/>
      <c r="P69" s="181" t="n"/>
      <c r="Q69" s="18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row>
    <row r="70" ht="15.75" customHeight="1" s="216">
      <c r="A70" s="1" t="n"/>
      <c r="B70" s="1" t="n"/>
      <c r="C70" s="1" t="n"/>
      <c r="D70" s="1" t="n"/>
      <c r="E70" s="181" t="n"/>
      <c r="F70" s="181" t="n"/>
      <c r="G70" s="1" t="n"/>
      <c r="H70" s="1" t="n"/>
      <c r="I70" s="1" t="n"/>
      <c r="J70" s="1" t="n"/>
      <c r="K70" s="181" t="n"/>
      <c r="L70" s="181" t="n"/>
      <c r="M70" s="181" t="n"/>
      <c r="N70" s="1" t="n"/>
      <c r="O70" s="181" t="n"/>
      <c r="P70" s="181" t="n"/>
      <c r="Q70" s="18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row>
    <row r="71" ht="15.75" customHeight="1" s="216">
      <c r="A71" s="1" t="n"/>
      <c r="B71" s="1" t="n"/>
      <c r="C71" s="1" t="n"/>
      <c r="D71" s="1" t="n"/>
      <c r="E71" s="181" t="n"/>
      <c r="F71" s="181" t="n"/>
      <c r="G71" s="1" t="n"/>
      <c r="H71" s="1" t="n"/>
      <c r="I71" s="1" t="n"/>
      <c r="J71" s="1" t="n"/>
      <c r="K71" s="181" t="n"/>
      <c r="L71" s="181" t="n"/>
      <c r="M71" s="181" t="n"/>
      <c r="N71" s="1" t="n"/>
      <c r="O71" s="181" t="n"/>
      <c r="P71" s="181" t="n"/>
      <c r="Q71" s="18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row>
    <row r="72" ht="15.75" customHeight="1" s="216">
      <c r="A72" s="1" t="n"/>
      <c r="B72" s="1" t="n"/>
      <c r="C72" s="1" t="n"/>
      <c r="D72" s="1" t="n"/>
      <c r="E72" s="181" t="n"/>
      <c r="F72" s="181" t="n"/>
      <c r="G72" s="1" t="n"/>
      <c r="H72" s="1" t="n"/>
      <c r="I72" s="1" t="n"/>
      <c r="J72" s="1" t="n"/>
      <c r="K72" s="181" t="n"/>
      <c r="L72" s="181" t="n"/>
      <c r="M72" s="181" t="n"/>
      <c r="N72" s="1" t="n"/>
      <c r="O72" s="181" t="n"/>
      <c r="P72" s="181" t="n"/>
      <c r="Q72" s="18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row>
    <row r="73" ht="15.75" customHeight="1" s="216">
      <c r="A73" s="1" t="n"/>
      <c r="B73" s="1" t="n"/>
      <c r="C73" s="1" t="n"/>
      <c r="D73" s="1" t="n"/>
      <c r="E73" s="181" t="n"/>
      <c r="F73" s="181" t="n"/>
      <c r="G73" s="1" t="n"/>
      <c r="H73" s="1" t="n"/>
      <c r="I73" s="1" t="n"/>
      <c r="J73" s="1" t="n"/>
      <c r="K73" s="181" t="n"/>
      <c r="L73" s="181" t="n"/>
      <c r="M73" s="181" t="n"/>
      <c r="N73" s="1" t="n"/>
      <c r="O73" s="181" t="n"/>
      <c r="P73" s="181" t="n"/>
      <c r="Q73" s="18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row>
    <row r="74" ht="15.75" customHeight="1" s="216">
      <c r="A74" s="1" t="n"/>
      <c r="B74" s="1" t="n"/>
      <c r="C74" s="1" t="n"/>
      <c r="D74" s="1" t="n"/>
      <c r="E74" s="181" t="n"/>
      <c r="F74" s="181" t="n"/>
      <c r="G74" s="1" t="n"/>
      <c r="H74" s="1" t="n"/>
      <c r="I74" s="1" t="n"/>
      <c r="J74" s="1" t="n"/>
      <c r="K74" s="181" t="n"/>
      <c r="L74" s="181" t="n"/>
      <c r="M74" s="181" t="n"/>
      <c r="N74" s="1" t="n"/>
      <c r="O74" s="181" t="n"/>
      <c r="P74" s="181" t="n"/>
      <c r="Q74" s="18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row>
    <row r="75" ht="15.75" customHeight="1" s="216">
      <c r="A75" s="1" t="n"/>
      <c r="B75" s="1" t="n"/>
      <c r="C75" s="1" t="n"/>
      <c r="D75" s="1" t="n"/>
      <c r="E75" s="181" t="n"/>
      <c r="F75" s="181" t="n"/>
      <c r="G75" s="1" t="n"/>
      <c r="H75" s="1" t="n"/>
      <c r="I75" s="1" t="n"/>
      <c r="J75" s="1" t="n"/>
      <c r="K75" s="181" t="n"/>
      <c r="L75" s="181" t="n"/>
      <c r="M75" s="181" t="n"/>
      <c r="N75" s="1" t="n"/>
      <c r="O75" s="181" t="n"/>
      <c r="P75" s="181" t="n"/>
      <c r="Q75" s="18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row>
    <row r="76" ht="15.75" customHeight="1" s="216">
      <c r="A76" s="1" t="n"/>
      <c r="B76" s="1" t="n"/>
      <c r="C76" s="1" t="n"/>
      <c r="D76" s="1" t="n"/>
      <c r="E76" s="181" t="n"/>
      <c r="F76" s="181" t="n"/>
      <c r="G76" s="1" t="n"/>
      <c r="H76" s="1" t="n"/>
      <c r="I76" s="1" t="n"/>
      <c r="J76" s="1" t="n"/>
      <c r="K76" s="181" t="n"/>
      <c r="L76" s="181" t="n"/>
      <c r="M76" s="181" t="n"/>
      <c r="N76" s="1" t="n"/>
      <c r="O76" s="181" t="n"/>
      <c r="P76" s="181" t="n"/>
      <c r="Q76" s="18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row>
    <row r="77" ht="15.75" customHeight="1" s="216">
      <c r="A77" s="1" t="n"/>
      <c r="B77" s="1" t="n"/>
      <c r="C77" s="1" t="n"/>
      <c r="D77" s="1" t="n"/>
      <c r="E77" s="181" t="n"/>
      <c r="F77" s="181" t="n"/>
      <c r="G77" s="1" t="n"/>
      <c r="H77" s="1" t="n"/>
      <c r="I77" s="1" t="n"/>
      <c r="J77" s="1" t="n"/>
      <c r="K77" s="181" t="n"/>
      <c r="L77" s="181" t="n"/>
      <c r="M77" s="181" t="n"/>
      <c r="N77" s="1" t="n"/>
      <c r="O77" s="181" t="n"/>
      <c r="P77" s="181" t="n"/>
      <c r="Q77" s="18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row>
    <row r="78" ht="15.75" customHeight="1" s="216">
      <c r="A78" s="1" t="n"/>
      <c r="B78" s="1" t="n"/>
      <c r="C78" s="1" t="n"/>
      <c r="D78" s="1" t="n"/>
      <c r="E78" s="181" t="n"/>
      <c r="F78" s="181" t="n"/>
      <c r="G78" s="1" t="n"/>
      <c r="H78" s="1" t="n"/>
      <c r="I78" s="1" t="n"/>
      <c r="J78" s="1" t="n"/>
      <c r="K78" s="181" t="n"/>
      <c r="L78" s="181" t="n"/>
      <c r="M78" s="181" t="n"/>
      <c r="N78" s="1" t="n"/>
      <c r="O78" s="181" t="n"/>
      <c r="P78" s="181" t="n"/>
      <c r="Q78" s="18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row>
    <row r="79" ht="15.75" customHeight="1" s="216">
      <c r="A79" s="1" t="n"/>
      <c r="B79" s="1" t="n"/>
      <c r="C79" s="1" t="n"/>
      <c r="D79" s="1" t="n"/>
      <c r="E79" s="181" t="n"/>
      <c r="F79" s="181" t="n"/>
      <c r="G79" s="1" t="n"/>
      <c r="H79" s="1" t="n"/>
      <c r="I79" s="1" t="n"/>
      <c r="J79" s="1" t="n"/>
      <c r="K79" s="181" t="n"/>
      <c r="L79" s="181" t="n"/>
      <c r="M79" s="181" t="n"/>
      <c r="N79" s="1" t="n"/>
      <c r="O79" s="181" t="n"/>
      <c r="P79" s="181" t="n"/>
      <c r="Q79" s="18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row>
    <row r="80" ht="15.75" customHeight="1" s="216">
      <c r="A80" s="1" t="n"/>
      <c r="B80" s="1" t="n"/>
      <c r="C80" s="1" t="n"/>
      <c r="D80" s="1" t="n"/>
      <c r="E80" s="181" t="n"/>
      <c r="F80" s="181" t="n"/>
      <c r="G80" s="1" t="n"/>
      <c r="H80" s="1" t="n"/>
      <c r="I80" s="1" t="n"/>
      <c r="J80" s="1" t="n"/>
      <c r="K80" s="181" t="n"/>
      <c r="L80" s="181" t="n"/>
      <c r="M80" s="181" t="n"/>
      <c r="N80" s="1" t="n"/>
      <c r="O80" s="181" t="n"/>
      <c r="P80" s="181" t="n"/>
      <c r="Q80" s="18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row>
    <row r="81" ht="15.75" customHeight="1" s="216">
      <c r="A81" s="1" t="n"/>
      <c r="B81" s="1" t="n"/>
      <c r="C81" s="1" t="n"/>
      <c r="D81" s="1" t="n"/>
      <c r="E81" s="181" t="n"/>
      <c r="F81" s="181" t="n"/>
      <c r="G81" s="1" t="n"/>
      <c r="H81" s="1" t="n"/>
      <c r="I81" s="1" t="n"/>
      <c r="J81" s="1" t="n"/>
      <c r="K81" s="181" t="n"/>
      <c r="L81" s="181" t="n"/>
      <c r="M81" s="181" t="n"/>
      <c r="N81" s="1" t="n"/>
      <c r="O81" s="181" t="n"/>
      <c r="P81" s="181" t="n"/>
      <c r="Q81" s="18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row>
    <row r="82" ht="15.75" customHeight="1" s="216">
      <c r="A82" s="1" t="n"/>
      <c r="B82" s="1" t="n"/>
      <c r="C82" s="1" t="n"/>
      <c r="D82" s="1" t="n"/>
      <c r="E82" s="181" t="n"/>
      <c r="F82" s="181" t="n"/>
      <c r="G82" s="1" t="n"/>
      <c r="H82" s="1" t="n"/>
      <c r="I82" s="1" t="n"/>
      <c r="J82" s="1" t="n"/>
      <c r="K82" s="181" t="n"/>
      <c r="L82" s="181" t="n"/>
      <c r="M82" s="181" t="n"/>
      <c r="N82" s="1" t="n"/>
      <c r="O82" s="181" t="n"/>
      <c r="P82" s="181" t="n"/>
      <c r="Q82" s="18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row>
    <row r="83" ht="15.75" customHeight="1" s="216">
      <c r="A83" s="1" t="n"/>
      <c r="B83" s="1" t="n"/>
      <c r="C83" s="1" t="n"/>
      <c r="D83" s="1" t="n"/>
      <c r="E83" s="181" t="n"/>
      <c r="F83" s="181" t="n"/>
      <c r="G83" s="1" t="n"/>
      <c r="H83" s="1" t="n"/>
      <c r="I83" s="1" t="n"/>
      <c r="J83" s="1" t="n"/>
      <c r="K83" s="181" t="n"/>
      <c r="L83" s="181" t="n"/>
      <c r="M83" s="181" t="n"/>
      <c r="N83" s="1" t="n"/>
      <c r="O83" s="181" t="n"/>
      <c r="P83" s="181" t="n"/>
      <c r="Q83" s="18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row>
    <row r="84" ht="15.75" customHeight="1" s="216">
      <c r="A84" s="1" t="n"/>
      <c r="B84" s="1" t="n"/>
      <c r="C84" s="1" t="n"/>
      <c r="D84" s="1" t="n"/>
      <c r="E84" s="181" t="n"/>
      <c r="F84" s="181" t="n"/>
      <c r="G84" s="1" t="n"/>
      <c r="H84" s="1" t="n"/>
      <c r="I84" s="1" t="n"/>
      <c r="J84" s="1" t="n"/>
      <c r="K84" s="181" t="n"/>
      <c r="L84" s="181" t="n"/>
      <c r="M84" s="181" t="n"/>
      <c r="N84" s="1" t="n"/>
      <c r="O84" s="181" t="n"/>
      <c r="P84" s="181" t="n"/>
      <c r="Q84" s="18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row>
    <row r="85" ht="15.75" customHeight="1" s="216">
      <c r="A85" s="1" t="n"/>
      <c r="B85" s="1" t="n"/>
      <c r="C85" s="1" t="n"/>
      <c r="D85" s="1" t="n"/>
      <c r="E85" s="181" t="n"/>
      <c r="F85" s="181" t="n"/>
      <c r="G85" s="1" t="n"/>
      <c r="H85" s="1" t="n"/>
      <c r="I85" s="1" t="n"/>
      <c r="J85" s="1" t="n"/>
      <c r="K85" s="181" t="n"/>
      <c r="L85" s="181" t="n"/>
      <c r="M85" s="181" t="n"/>
      <c r="N85" s="1" t="n"/>
      <c r="O85" s="181" t="n"/>
      <c r="P85" s="181" t="n"/>
      <c r="Q85" s="18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row>
    <row r="86" ht="15.75" customHeight="1" s="216">
      <c r="A86" s="1" t="n"/>
      <c r="B86" s="1" t="n"/>
      <c r="C86" s="1" t="n"/>
      <c r="D86" s="1" t="n"/>
      <c r="E86" s="181" t="n"/>
      <c r="F86" s="181" t="n"/>
      <c r="G86" s="1" t="n"/>
      <c r="H86" s="1" t="n"/>
      <c r="I86" s="1" t="n"/>
      <c r="J86" s="1" t="n"/>
      <c r="K86" s="181" t="n"/>
      <c r="L86" s="181" t="n"/>
      <c r="M86" s="181" t="n"/>
      <c r="N86" s="1" t="n"/>
      <c r="O86" s="181" t="n"/>
      <c r="P86" s="181" t="n"/>
      <c r="Q86" s="18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row>
    <row r="87" ht="15.75" customHeight="1" s="216">
      <c r="A87" s="1" t="n"/>
      <c r="B87" s="1" t="n"/>
      <c r="C87" s="1" t="n"/>
      <c r="D87" s="1" t="n"/>
      <c r="E87" s="181" t="n"/>
      <c r="F87" s="181" t="n"/>
      <c r="G87" s="1" t="n"/>
      <c r="H87" s="1" t="n"/>
      <c r="I87" s="1" t="n"/>
      <c r="J87" s="1" t="n"/>
      <c r="K87" s="181" t="n"/>
      <c r="L87" s="181" t="n"/>
      <c r="M87" s="181" t="n"/>
      <c r="N87" s="1" t="n"/>
      <c r="O87" s="181" t="n"/>
      <c r="P87" s="181" t="n"/>
      <c r="Q87" s="18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row>
    <row r="88" ht="15.75" customHeight="1" s="216">
      <c r="A88" s="1" t="n"/>
      <c r="B88" s="1" t="n"/>
      <c r="C88" s="1" t="n"/>
      <c r="D88" s="1" t="n"/>
      <c r="E88" s="181" t="n"/>
      <c r="F88" s="181" t="n"/>
      <c r="G88" s="1" t="n"/>
      <c r="H88" s="1" t="n"/>
      <c r="I88" s="1" t="n"/>
      <c r="J88" s="1" t="n"/>
      <c r="K88" s="181" t="n"/>
      <c r="L88" s="181" t="n"/>
      <c r="M88" s="181" t="n"/>
      <c r="N88" s="1" t="n"/>
      <c r="O88" s="181" t="n"/>
      <c r="P88" s="181" t="n"/>
      <c r="Q88" s="18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row>
    <row r="89" ht="15.75" customHeight="1" s="216">
      <c r="A89" s="1" t="n"/>
      <c r="B89" s="1" t="n"/>
      <c r="C89" s="1" t="n"/>
      <c r="D89" s="1" t="n"/>
      <c r="E89" s="181" t="n"/>
      <c r="F89" s="181" t="n"/>
      <c r="G89" s="1" t="n"/>
      <c r="H89" s="1" t="n"/>
      <c r="I89" s="1" t="n"/>
      <c r="J89" s="1" t="n"/>
      <c r="K89" s="181" t="n"/>
      <c r="L89" s="181" t="n"/>
      <c r="M89" s="181" t="n"/>
      <c r="N89" s="1" t="n"/>
      <c r="O89" s="181" t="n"/>
      <c r="P89" s="181" t="n"/>
      <c r="Q89" s="18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row>
    <row r="90" ht="15.75" customHeight="1" s="216">
      <c r="A90" s="1" t="n"/>
      <c r="B90" s="1" t="n"/>
      <c r="C90" s="1" t="n"/>
      <c r="D90" s="1" t="n"/>
      <c r="E90" s="181" t="n"/>
      <c r="F90" s="181" t="n"/>
      <c r="G90" s="1" t="n"/>
      <c r="H90" s="1" t="n"/>
      <c r="I90" s="1" t="n"/>
      <c r="J90" s="1" t="n"/>
      <c r="K90" s="181" t="n"/>
      <c r="L90" s="181" t="n"/>
      <c r="M90" s="181" t="n"/>
      <c r="N90" s="1" t="n"/>
      <c r="O90" s="181" t="n"/>
      <c r="P90" s="181" t="n"/>
      <c r="Q90" s="18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row>
    <row r="91" ht="15.75" customHeight="1" s="216">
      <c r="A91" s="1" t="n"/>
      <c r="B91" s="1" t="n"/>
      <c r="C91" s="1" t="n"/>
      <c r="D91" s="1" t="n"/>
      <c r="E91" s="181" t="n"/>
      <c r="F91" s="181" t="n"/>
      <c r="G91" s="1" t="n"/>
      <c r="H91" s="1" t="n"/>
      <c r="I91" s="1" t="n"/>
      <c r="J91" s="1" t="n"/>
      <c r="K91" s="181" t="n"/>
      <c r="L91" s="181" t="n"/>
      <c r="M91" s="181" t="n"/>
      <c r="N91" s="1" t="n"/>
      <c r="O91" s="181" t="n"/>
      <c r="P91" s="181" t="n"/>
      <c r="Q91" s="18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row>
    <row r="92" ht="15.75" customHeight="1" s="216">
      <c r="A92" s="1" t="n"/>
      <c r="B92" s="1" t="n"/>
      <c r="C92" s="1" t="n"/>
      <c r="D92" s="1" t="n"/>
      <c r="E92" s="181" t="n"/>
      <c r="F92" s="181" t="n"/>
      <c r="G92" s="1" t="n"/>
      <c r="H92" s="1" t="n"/>
      <c r="I92" s="1" t="n"/>
      <c r="J92" s="1" t="n"/>
      <c r="K92" s="181" t="n"/>
      <c r="L92" s="181" t="n"/>
      <c r="M92" s="181" t="n"/>
      <c r="N92" s="1" t="n"/>
      <c r="O92" s="181" t="n"/>
      <c r="P92" s="181" t="n"/>
      <c r="Q92" s="18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row>
    <row r="93" ht="15.75" customHeight="1" s="216">
      <c r="A93" s="1" t="n"/>
      <c r="B93" s="1" t="n"/>
      <c r="C93" s="1" t="n"/>
      <c r="D93" s="1" t="n"/>
      <c r="E93" s="181" t="n"/>
      <c r="F93" s="181" t="n"/>
      <c r="G93" s="1" t="n"/>
      <c r="H93" s="1" t="n"/>
      <c r="I93" s="1" t="n"/>
      <c r="J93" s="1" t="n"/>
      <c r="K93" s="181" t="n"/>
      <c r="L93" s="181" t="n"/>
      <c r="M93" s="181" t="n"/>
      <c r="N93" s="1" t="n"/>
      <c r="O93" s="181" t="n"/>
      <c r="P93" s="181" t="n"/>
      <c r="Q93" s="18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row>
    <row r="94" ht="15.75" customHeight="1" s="216">
      <c r="A94" s="1" t="n"/>
      <c r="B94" s="1" t="n"/>
      <c r="C94" s="1" t="n"/>
      <c r="D94" s="1" t="n"/>
      <c r="E94" s="181" t="n"/>
      <c r="F94" s="181" t="n"/>
      <c r="G94" s="1" t="n"/>
      <c r="H94" s="1" t="n"/>
      <c r="I94" s="1" t="n"/>
      <c r="J94" s="1" t="n"/>
      <c r="K94" s="181" t="n"/>
      <c r="L94" s="181" t="n"/>
      <c r="M94" s="181" t="n"/>
      <c r="N94" s="1" t="n"/>
      <c r="O94" s="181" t="n"/>
      <c r="P94" s="181" t="n"/>
      <c r="Q94" s="18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row>
    <row r="95" ht="15.75" customHeight="1" s="216">
      <c r="A95" s="1" t="n"/>
      <c r="B95" s="1" t="n"/>
      <c r="C95" s="1" t="n"/>
      <c r="D95" s="1" t="n"/>
      <c r="E95" s="181" t="n"/>
      <c r="F95" s="181" t="n"/>
      <c r="G95" s="1" t="n"/>
      <c r="H95" s="1" t="n"/>
      <c r="I95" s="1" t="n"/>
      <c r="J95" s="1" t="n"/>
      <c r="K95" s="181" t="n"/>
      <c r="L95" s="181" t="n"/>
      <c r="M95" s="181" t="n"/>
      <c r="N95" s="1" t="n"/>
      <c r="O95" s="181" t="n"/>
      <c r="P95" s="181" t="n"/>
      <c r="Q95" s="18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row>
    <row r="96" ht="15.75" customHeight="1" s="216">
      <c r="A96" s="1" t="n"/>
      <c r="B96" s="1" t="n"/>
      <c r="C96" s="1" t="n"/>
      <c r="D96" s="1" t="n"/>
      <c r="E96" s="181" t="n"/>
      <c r="F96" s="181" t="n"/>
      <c r="G96" s="1" t="n"/>
      <c r="H96" s="1" t="n"/>
      <c r="I96" s="1" t="n"/>
      <c r="J96" s="1" t="n"/>
      <c r="K96" s="181" t="n"/>
      <c r="L96" s="181" t="n"/>
      <c r="M96" s="181" t="n"/>
      <c r="N96" s="1" t="n"/>
      <c r="O96" s="181" t="n"/>
      <c r="P96" s="181" t="n"/>
      <c r="Q96" s="18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row>
    <row r="97" ht="15.75" customHeight="1" s="216">
      <c r="A97" s="1" t="n"/>
      <c r="B97" s="1" t="n"/>
      <c r="C97" s="1" t="n"/>
      <c r="D97" s="1" t="n"/>
      <c r="E97" s="181" t="n"/>
      <c r="F97" s="181" t="n"/>
      <c r="G97" s="1" t="n"/>
      <c r="H97" s="1" t="n"/>
      <c r="I97" s="1" t="n"/>
      <c r="J97" s="1" t="n"/>
      <c r="K97" s="181" t="n"/>
      <c r="L97" s="181" t="n"/>
      <c r="M97" s="181" t="n"/>
      <c r="N97" s="1" t="n"/>
      <c r="O97" s="181" t="n"/>
      <c r="P97" s="181" t="n"/>
      <c r="Q97" s="18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row>
    <row r="98" ht="15.75" customHeight="1" s="216">
      <c r="A98" s="1" t="n"/>
      <c r="B98" s="1" t="n"/>
      <c r="C98" s="1" t="n"/>
      <c r="D98" s="1" t="n"/>
      <c r="E98" s="181" t="n"/>
      <c r="F98" s="181" t="n"/>
      <c r="G98" s="1" t="n"/>
      <c r="H98" s="1" t="n"/>
      <c r="I98" s="1" t="n"/>
      <c r="J98" s="1" t="n"/>
      <c r="K98" s="181" t="n"/>
      <c r="L98" s="181" t="n"/>
      <c r="M98" s="181" t="n"/>
      <c r="N98" s="1" t="n"/>
      <c r="O98" s="181" t="n"/>
      <c r="P98" s="181" t="n"/>
      <c r="Q98" s="18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row>
    <row r="99" ht="15.75" customHeight="1" s="216">
      <c r="A99" s="1" t="n"/>
      <c r="B99" s="1" t="n"/>
      <c r="C99" s="1" t="n"/>
      <c r="D99" s="1" t="n"/>
      <c r="E99" s="181" t="n"/>
      <c r="F99" s="181" t="n"/>
      <c r="G99" s="1" t="n"/>
      <c r="H99" s="1" t="n"/>
      <c r="I99" s="1" t="n"/>
      <c r="J99" s="1" t="n"/>
      <c r="K99" s="181" t="n"/>
      <c r="L99" s="181" t="n"/>
      <c r="M99" s="181" t="n"/>
      <c r="N99" s="1" t="n"/>
      <c r="O99" s="181" t="n"/>
      <c r="P99" s="181" t="n"/>
      <c r="Q99" s="18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row>
    <row r="100" ht="15.75" customHeight="1" s="216">
      <c r="A100" s="1" t="n"/>
      <c r="B100" s="1" t="n"/>
      <c r="C100" s="1" t="n"/>
      <c r="D100" s="1" t="n"/>
      <c r="E100" s="181" t="n"/>
      <c r="F100" s="181" t="n"/>
      <c r="G100" s="1" t="n"/>
      <c r="H100" s="1" t="n"/>
      <c r="I100" s="1" t="n"/>
      <c r="J100" s="1" t="n"/>
      <c r="K100" s="181" t="n"/>
      <c r="L100" s="181" t="n"/>
      <c r="M100" s="181" t="n"/>
      <c r="N100" s="1" t="n"/>
      <c r="O100" s="181" t="n"/>
      <c r="P100" s="181" t="n"/>
      <c r="Q100" s="18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row>
    <row r="101" ht="15.75" customHeight="1" s="216">
      <c r="A101" s="1" t="n"/>
      <c r="B101" s="1" t="n"/>
      <c r="C101" s="1" t="n"/>
      <c r="D101" s="1" t="n"/>
      <c r="E101" s="181" t="n"/>
      <c r="F101" s="181" t="n"/>
      <c r="G101" s="1" t="n"/>
      <c r="H101" s="1" t="n"/>
      <c r="I101" s="1" t="n"/>
      <c r="J101" s="1" t="n"/>
      <c r="K101" s="181" t="n"/>
      <c r="L101" s="181" t="n"/>
      <c r="M101" s="181" t="n"/>
      <c r="N101" s="1" t="n"/>
      <c r="O101" s="181" t="n"/>
      <c r="P101" s="181" t="n"/>
      <c r="Q101" s="18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row>
    <row r="102" ht="15.75" customHeight="1" s="216">
      <c r="A102" s="1" t="n"/>
      <c r="B102" s="1" t="n"/>
      <c r="C102" s="1" t="n"/>
      <c r="D102" s="1" t="n"/>
      <c r="E102" s="181" t="n"/>
      <c r="F102" s="181" t="n"/>
      <c r="G102" s="1" t="n"/>
      <c r="H102" s="1" t="n"/>
      <c r="I102" s="1" t="n"/>
      <c r="J102" s="1" t="n"/>
      <c r="K102" s="181" t="n"/>
      <c r="L102" s="181" t="n"/>
      <c r="M102" s="181" t="n"/>
      <c r="N102" s="1" t="n"/>
      <c r="O102" s="181" t="n"/>
      <c r="P102" s="181" t="n"/>
      <c r="Q102" s="18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row>
    <row r="103" ht="15.75" customHeight="1" s="216">
      <c r="A103" s="1" t="n"/>
      <c r="B103" s="1" t="n"/>
      <c r="C103" s="1" t="n"/>
      <c r="D103" s="1" t="n"/>
      <c r="E103" s="181" t="n"/>
      <c r="F103" s="181" t="n"/>
      <c r="G103" s="1" t="n"/>
      <c r="H103" s="1" t="n"/>
      <c r="I103" s="1" t="n"/>
      <c r="J103" s="1" t="n"/>
      <c r="K103" s="181" t="n"/>
      <c r="L103" s="181" t="n"/>
      <c r="M103" s="181" t="n"/>
      <c r="N103" s="1" t="n"/>
      <c r="O103" s="181" t="n"/>
      <c r="P103" s="181" t="n"/>
      <c r="Q103" s="18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row>
    <row r="104" ht="15.75" customHeight="1" s="216">
      <c r="A104" s="1" t="n"/>
      <c r="B104" s="1" t="n"/>
      <c r="C104" s="1" t="n"/>
      <c r="D104" s="1" t="n"/>
      <c r="E104" s="181" t="n"/>
      <c r="F104" s="181" t="n"/>
      <c r="G104" s="1" t="n"/>
      <c r="H104" s="1" t="n"/>
      <c r="I104" s="1" t="n"/>
      <c r="J104" s="1" t="n"/>
      <c r="K104" s="181" t="n"/>
      <c r="L104" s="181" t="n"/>
      <c r="M104" s="181" t="n"/>
      <c r="N104" s="1" t="n"/>
      <c r="O104" s="181" t="n"/>
      <c r="P104" s="181" t="n"/>
      <c r="Q104" s="18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row>
    <row r="105" ht="15.75" customHeight="1" s="216">
      <c r="A105" s="1" t="n"/>
      <c r="B105" s="1" t="n"/>
      <c r="C105" s="1" t="n"/>
      <c r="D105" s="1" t="n"/>
      <c r="E105" s="181" t="n"/>
      <c r="F105" s="181" t="n"/>
      <c r="G105" s="1" t="n"/>
      <c r="H105" s="1" t="n"/>
      <c r="I105" s="1" t="n"/>
      <c r="J105" s="1" t="n"/>
      <c r="K105" s="181" t="n"/>
      <c r="L105" s="181" t="n"/>
      <c r="M105" s="181" t="n"/>
      <c r="N105" s="1" t="n"/>
      <c r="O105" s="181" t="n"/>
      <c r="P105" s="181" t="n"/>
      <c r="Q105" s="18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row>
    <row r="106" ht="15.75" customHeight="1" s="216">
      <c r="A106" s="1" t="n"/>
      <c r="B106" s="1" t="n"/>
      <c r="C106" s="1" t="n"/>
      <c r="D106" s="1" t="n"/>
      <c r="E106" s="181" t="n"/>
      <c r="F106" s="181" t="n"/>
      <c r="G106" s="1" t="n"/>
      <c r="H106" s="1" t="n"/>
      <c r="I106" s="1" t="n"/>
      <c r="J106" s="1" t="n"/>
      <c r="K106" s="181" t="n"/>
      <c r="L106" s="181" t="n"/>
      <c r="M106" s="181" t="n"/>
      <c r="N106" s="1" t="n"/>
      <c r="O106" s="181" t="n"/>
      <c r="P106" s="181" t="n"/>
      <c r="Q106" s="18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row>
    <row r="107" ht="15.75" customHeight="1" s="216">
      <c r="A107" s="1" t="n"/>
      <c r="B107" s="1" t="n"/>
      <c r="C107" s="1" t="n"/>
      <c r="D107" s="1" t="n"/>
      <c r="E107" s="181" t="n"/>
      <c r="F107" s="181" t="n"/>
      <c r="G107" s="1" t="n"/>
      <c r="H107" s="1" t="n"/>
      <c r="I107" s="1" t="n"/>
      <c r="J107" s="1" t="n"/>
      <c r="K107" s="181" t="n"/>
      <c r="L107" s="181" t="n"/>
      <c r="M107" s="181" t="n"/>
      <c r="N107" s="1" t="n"/>
      <c r="O107" s="181" t="n"/>
      <c r="P107" s="181" t="n"/>
      <c r="Q107" s="18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row>
    <row r="108" ht="15.75" customHeight="1" s="216">
      <c r="A108" s="1" t="n"/>
      <c r="B108" s="1" t="n"/>
      <c r="C108" s="1" t="n"/>
      <c r="D108" s="1" t="n"/>
      <c r="E108" s="181" t="n"/>
      <c r="F108" s="181" t="n"/>
      <c r="G108" s="1" t="n"/>
      <c r="H108" s="1" t="n"/>
      <c r="I108" s="1" t="n"/>
      <c r="J108" s="1" t="n"/>
      <c r="K108" s="181" t="n"/>
      <c r="L108" s="181" t="n"/>
      <c r="M108" s="181" t="n"/>
      <c r="N108" s="1" t="n"/>
      <c r="O108" s="181" t="n"/>
      <c r="P108" s="181" t="n"/>
      <c r="Q108" s="18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row>
    <row r="109" ht="15.75" customHeight="1" s="216">
      <c r="A109" s="1" t="n"/>
      <c r="B109" s="1" t="n"/>
      <c r="C109" s="1" t="n"/>
      <c r="D109" s="1" t="n"/>
      <c r="E109" s="181" t="n"/>
      <c r="F109" s="181" t="n"/>
      <c r="G109" s="1" t="n"/>
      <c r="H109" s="1" t="n"/>
      <c r="I109" s="1" t="n"/>
      <c r="J109" s="1" t="n"/>
      <c r="K109" s="181" t="n"/>
      <c r="L109" s="181" t="n"/>
      <c r="M109" s="181" t="n"/>
      <c r="N109" s="1" t="n"/>
      <c r="O109" s="181" t="n"/>
      <c r="P109" s="181" t="n"/>
      <c r="Q109" s="18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row>
    <row r="110" ht="15.75" customHeight="1" s="216">
      <c r="A110" s="1" t="n"/>
      <c r="B110" s="1" t="n"/>
      <c r="C110" s="1" t="n"/>
      <c r="D110" s="1" t="n"/>
      <c r="E110" s="181" t="n"/>
      <c r="F110" s="181" t="n"/>
      <c r="G110" s="1" t="n"/>
      <c r="H110" s="1" t="n"/>
      <c r="I110" s="1" t="n"/>
      <c r="J110" s="1" t="n"/>
      <c r="K110" s="181" t="n"/>
      <c r="L110" s="181" t="n"/>
      <c r="M110" s="181" t="n"/>
      <c r="N110" s="1" t="n"/>
      <c r="O110" s="181" t="n"/>
      <c r="P110" s="181" t="n"/>
      <c r="Q110" s="18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row>
    <row r="111" ht="15.75" customHeight="1" s="216">
      <c r="A111" s="1" t="n"/>
      <c r="B111" s="1" t="n"/>
      <c r="C111" s="1" t="n"/>
      <c r="D111" s="1" t="n"/>
      <c r="E111" s="181" t="n"/>
      <c r="F111" s="181" t="n"/>
      <c r="G111" s="1" t="n"/>
      <c r="H111" s="1" t="n"/>
      <c r="I111" s="1" t="n"/>
      <c r="J111" s="1" t="n"/>
      <c r="K111" s="181" t="n"/>
      <c r="L111" s="181" t="n"/>
      <c r="M111" s="181" t="n"/>
      <c r="N111" s="1" t="n"/>
      <c r="O111" s="181" t="n"/>
      <c r="P111" s="181" t="n"/>
      <c r="Q111" s="18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row>
    <row r="112" ht="15.75" customHeight="1" s="216">
      <c r="A112" s="1" t="n"/>
      <c r="B112" s="1" t="n"/>
      <c r="C112" s="1" t="n"/>
      <c r="D112" s="1" t="n"/>
      <c r="E112" s="181" t="n"/>
      <c r="F112" s="181" t="n"/>
      <c r="G112" s="1" t="n"/>
      <c r="H112" s="1" t="n"/>
      <c r="I112" s="1" t="n"/>
      <c r="J112" s="1" t="n"/>
      <c r="K112" s="181" t="n"/>
      <c r="L112" s="181" t="n"/>
      <c r="M112" s="181" t="n"/>
      <c r="N112" s="1" t="n"/>
      <c r="O112" s="181" t="n"/>
      <c r="P112" s="181" t="n"/>
      <c r="Q112" s="18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row>
    <row r="113" ht="15.75" customHeight="1" s="216">
      <c r="A113" s="1" t="n"/>
      <c r="B113" s="1" t="n"/>
      <c r="C113" s="1" t="n"/>
      <c r="D113" s="1" t="n"/>
      <c r="E113" s="181" t="n"/>
      <c r="F113" s="181" t="n"/>
      <c r="G113" s="1" t="n"/>
      <c r="H113" s="1" t="n"/>
      <c r="I113" s="1" t="n"/>
      <c r="J113" s="1" t="n"/>
      <c r="K113" s="181" t="n"/>
      <c r="L113" s="181" t="n"/>
      <c r="M113" s="181" t="n"/>
      <c r="N113" s="1" t="n"/>
      <c r="O113" s="181" t="n"/>
      <c r="P113" s="181" t="n"/>
      <c r="Q113" s="18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row>
    <row r="114" ht="15.75" customHeight="1" s="216">
      <c r="A114" s="1" t="n"/>
      <c r="B114" s="1" t="n"/>
      <c r="C114" s="1" t="n"/>
      <c r="D114" s="1" t="n"/>
      <c r="E114" s="181" t="n"/>
      <c r="F114" s="181" t="n"/>
      <c r="G114" s="1" t="n"/>
      <c r="H114" s="1" t="n"/>
      <c r="I114" s="1" t="n"/>
      <c r="J114" s="1" t="n"/>
      <c r="K114" s="181" t="n"/>
      <c r="L114" s="181" t="n"/>
      <c r="M114" s="181" t="n"/>
      <c r="N114" s="1" t="n"/>
      <c r="O114" s="181" t="n"/>
      <c r="P114" s="181" t="n"/>
      <c r="Q114" s="18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row>
    <row r="115" ht="15.75" customHeight="1" s="216">
      <c r="A115" s="1" t="n"/>
      <c r="B115" s="1" t="n"/>
      <c r="C115" s="1" t="n"/>
      <c r="D115" s="1" t="n"/>
      <c r="E115" s="181" t="n"/>
      <c r="F115" s="181" t="n"/>
      <c r="G115" s="1" t="n"/>
      <c r="H115" s="1" t="n"/>
      <c r="I115" s="1" t="n"/>
      <c r="J115" s="1" t="n"/>
      <c r="K115" s="181" t="n"/>
      <c r="L115" s="181" t="n"/>
      <c r="M115" s="181" t="n"/>
      <c r="N115" s="1" t="n"/>
      <c r="O115" s="181" t="n"/>
      <c r="P115" s="181" t="n"/>
      <c r="Q115" s="18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row>
    <row r="116" ht="15.75" customHeight="1" s="216">
      <c r="A116" s="1" t="n"/>
      <c r="B116" s="1" t="n"/>
      <c r="C116" s="1" t="n"/>
      <c r="D116" s="1" t="n"/>
      <c r="E116" s="181" t="n"/>
      <c r="F116" s="181" t="n"/>
      <c r="G116" s="1" t="n"/>
      <c r="H116" s="1" t="n"/>
      <c r="I116" s="1" t="n"/>
      <c r="J116" s="1" t="n"/>
      <c r="K116" s="181" t="n"/>
      <c r="L116" s="181" t="n"/>
      <c r="M116" s="181" t="n"/>
      <c r="N116" s="1" t="n"/>
      <c r="O116" s="181" t="n"/>
      <c r="P116" s="181" t="n"/>
      <c r="Q116" s="18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row>
    <row r="117" ht="15.75" customHeight="1" s="216">
      <c r="A117" s="1" t="n"/>
      <c r="B117" s="1" t="n"/>
      <c r="C117" s="1" t="n"/>
      <c r="D117" s="1" t="n"/>
      <c r="E117" s="181" t="n"/>
      <c r="F117" s="181" t="n"/>
      <c r="G117" s="1" t="n"/>
      <c r="H117" s="1" t="n"/>
      <c r="I117" s="1" t="n"/>
      <c r="J117" s="1" t="n"/>
      <c r="K117" s="181" t="n"/>
      <c r="L117" s="181" t="n"/>
      <c r="M117" s="181" t="n"/>
      <c r="N117" s="1" t="n"/>
      <c r="O117" s="181" t="n"/>
      <c r="P117" s="181" t="n"/>
      <c r="Q117" s="18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row>
    <row r="118" ht="15.75" customHeight="1" s="216">
      <c r="A118" s="1" t="n"/>
      <c r="B118" s="1" t="n"/>
      <c r="C118" s="1" t="n"/>
      <c r="D118" s="1" t="n"/>
      <c r="E118" s="181" t="n"/>
      <c r="F118" s="181" t="n"/>
      <c r="G118" s="1" t="n"/>
      <c r="H118" s="1" t="n"/>
      <c r="I118" s="1" t="n"/>
      <c r="J118" s="1" t="n"/>
      <c r="K118" s="181" t="n"/>
      <c r="L118" s="181" t="n"/>
      <c r="M118" s="181" t="n"/>
      <c r="N118" s="1" t="n"/>
      <c r="O118" s="181" t="n"/>
      <c r="P118" s="181" t="n"/>
      <c r="Q118" s="18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row>
    <row r="119" ht="15.75" customHeight="1" s="216">
      <c r="A119" s="1" t="n"/>
      <c r="B119" s="1" t="n"/>
      <c r="C119" s="1" t="n"/>
      <c r="D119" s="1" t="n"/>
      <c r="E119" s="181" t="n"/>
      <c r="F119" s="181" t="n"/>
      <c r="G119" s="1" t="n"/>
      <c r="H119" s="1" t="n"/>
      <c r="I119" s="1" t="n"/>
      <c r="J119" s="1" t="n"/>
      <c r="K119" s="181" t="n"/>
      <c r="L119" s="181" t="n"/>
      <c r="M119" s="181" t="n"/>
      <c r="N119" s="1" t="n"/>
      <c r="O119" s="181" t="n"/>
      <c r="P119" s="181" t="n"/>
      <c r="Q119" s="18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row>
    <row r="120" ht="15.75" customHeight="1" s="216">
      <c r="A120" s="1" t="n"/>
      <c r="B120" s="1" t="n"/>
      <c r="C120" s="1" t="n"/>
      <c r="D120" s="1" t="n"/>
      <c r="E120" s="181" t="n"/>
      <c r="F120" s="181" t="n"/>
      <c r="G120" s="1" t="n"/>
      <c r="H120" s="1" t="n"/>
      <c r="I120" s="1" t="n"/>
      <c r="J120" s="1" t="n"/>
      <c r="K120" s="181" t="n"/>
      <c r="L120" s="181" t="n"/>
      <c r="M120" s="181" t="n"/>
      <c r="N120" s="1" t="n"/>
      <c r="O120" s="181" t="n"/>
      <c r="P120" s="181" t="n"/>
      <c r="Q120" s="18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row>
    <row r="121" ht="15.75" customHeight="1" s="216">
      <c r="A121" s="1" t="n"/>
      <c r="B121" s="1" t="n"/>
      <c r="C121" s="1" t="n"/>
      <c r="D121" s="1" t="n"/>
      <c r="E121" s="181" t="n"/>
      <c r="F121" s="181" t="n"/>
      <c r="G121" s="1" t="n"/>
      <c r="H121" s="1" t="n"/>
      <c r="I121" s="1" t="n"/>
      <c r="J121" s="1" t="n"/>
      <c r="K121" s="181" t="n"/>
      <c r="L121" s="181" t="n"/>
      <c r="M121" s="181" t="n"/>
      <c r="N121" s="1" t="n"/>
      <c r="O121" s="181" t="n"/>
      <c r="P121" s="181" t="n"/>
      <c r="Q121" s="18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row>
    <row r="122" ht="15.75" customHeight="1" s="216">
      <c r="A122" s="1" t="n"/>
      <c r="B122" s="1" t="n"/>
      <c r="C122" s="1" t="n"/>
      <c r="D122" s="1" t="n"/>
      <c r="E122" s="181" t="n"/>
      <c r="F122" s="181" t="n"/>
      <c r="G122" s="1" t="n"/>
      <c r="H122" s="1" t="n"/>
      <c r="I122" s="1" t="n"/>
      <c r="J122" s="1" t="n"/>
      <c r="K122" s="181" t="n"/>
      <c r="L122" s="181" t="n"/>
      <c r="M122" s="181" t="n"/>
      <c r="N122" s="1" t="n"/>
      <c r="O122" s="181" t="n"/>
      <c r="P122" s="181" t="n"/>
      <c r="Q122" s="18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row>
    <row r="123" ht="15.75" customHeight="1" s="216">
      <c r="A123" s="1" t="n"/>
      <c r="B123" s="1" t="n"/>
      <c r="C123" s="1" t="n"/>
      <c r="D123" s="1" t="n"/>
      <c r="E123" s="181" t="n"/>
      <c r="F123" s="181" t="n"/>
      <c r="G123" s="1" t="n"/>
      <c r="H123" s="1" t="n"/>
      <c r="I123" s="1" t="n"/>
      <c r="J123" s="1" t="n"/>
      <c r="K123" s="181" t="n"/>
      <c r="L123" s="181" t="n"/>
      <c r="M123" s="181" t="n"/>
      <c r="N123" s="1" t="n"/>
      <c r="O123" s="181" t="n"/>
      <c r="P123" s="181" t="n"/>
      <c r="Q123" s="18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row>
    <row r="124" ht="15.75" customHeight="1" s="216">
      <c r="A124" s="1" t="n"/>
      <c r="B124" s="1" t="n"/>
      <c r="C124" s="1" t="n"/>
      <c r="D124" s="1" t="n"/>
      <c r="E124" s="181" t="n"/>
      <c r="F124" s="181" t="n"/>
      <c r="G124" s="1" t="n"/>
      <c r="H124" s="1" t="n"/>
      <c r="I124" s="1" t="n"/>
      <c r="J124" s="1" t="n"/>
      <c r="K124" s="181" t="n"/>
      <c r="L124" s="181" t="n"/>
      <c r="M124" s="181" t="n"/>
      <c r="N124" s="1" t="n"/>
      <c r="O124" s="181" t="n"/>
      <c r="P124" s="181" t="n"/>
      <c r="Q124" s="18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row>
    <row r="125" ht="15.75" customHeight="1" s="216">
      <c r="A125" s="1" t="n"/>
      <c r="B125" s="1" t="n"/>
      <c r="C125" s="1" t="n"/>
      <c r="D125" s="1" t="n"/>
      <c r="E125" s="181" t="n"/>
      <c r="F125" s="181" t="n"/>
      <c r="G125" s="1" t="n"/>
      <c r="H125" s="1" t="n"/>
      <c r="I125" s="1" t="n"/>
      <c r="J125" s="1" t="n"/>
      <c r="K125" s="181" t="n"/>
      <c r="L125" s="181" t="n"/>
      <c r="M125" s="181" t="n"/>
      <c r="N125" s="1" t="n"/>
      <c r="O125" s="181" t="n"/>
      <c r="P125" s="181" t="n"/>
      <c r="Q125" s="18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row>
    <row r="126" ht="15.75" customHeight="1" s="216">
      <c r="A126" s="1" t="n"/>
      <c r="B126" s="1" t="n"/>
      <c r="C126" s="1" t="n"/>
      <c r="D126" s="1" t="n"/>
      <c r="E126" s="181" t="n"/>
      <c r="F126" s="181" t="n"/>
      <c r="G126" s="1" t="n"/>
      <c r="H126" s="1" t="n"/>
      <c r="I126" s="1" t="n"/>
      <c r="J126" s="1" t="n"/>
      <c r="K126" s="181" t="n"/>
      <c r="L126" s="181" t="n"/>
      <c r="M126" s="181" t="n"/>
      <c r="N126" s="1" t="n"/>
      <c r="O126" s="181" t="n"/>
      <c r="P126" s="181" t="n"/>
      <c r="Q126" s="18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row>
    <row r="127" ht="15.75" customHeight="1" s="216">
      <c r="A127" s="1" t="n"/>
      <c r="B127" s="1" t="n"/>
      <c r="C127" s="1" t="n"/>
      <c r="D127" s="1" t="n"/>
      <c r="E127" s="181" t="n"/>
      <c r="F127" s="181" t="n"/>
      <c r="G127" s="1" t="n"/>
      <c r="H127" s="1" t="n"/>
      <c r="I127" s="1" t="n"/>
      <c r="J127" s="1" t="n"/>
      <c r="K127" s="181" t="n"/>
      <c r="L127" s="181" t="n"/>
      <c r="M127" s="181" t="n"/>
      <c r="N127" s="1" t="n"/>
      <c r="O127" s="181" t="n"/>
      <c r="P127" s="181" t="n"/>
      <c r="Q127" s="18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row>
    <row r="128" ht="15.75" customHeight="1" s="216">
      <c r="A128" s="1" t="n"/>
      <c r="B128" s="1" t="n"/>
      <c r="C128" s="1" t="n"/>
      <c r="D128" s="1" t="n"/>
      <c r="E128" s="181" t="n"/>
      <c r="F128" s="181" t="n"/>
      <c r="G128" s="1" t="n"/>
      <c r="H128" s="1" t="n"/>
      <c r="I128" s="1" t="n"/>
      <c r="J128" s="1" t="n"/>
      <c r="K128" s="181" t="n"/>
      <c r="L128" s="181" t="n"/>
      <c r="M128" s="181" t="n"/>
      <c r="N128" s="1" t="n"/>
      <c r="O128" s="181" t="n"/>
      <c r="P128" s="181" t="n"/>
      <c r="Q128" s="18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row>
    <row r="129" ht="15.75" customHeight="1" s="216">
      <c r="A129" s="1" t="n"/>
      <c r="B129" s="1" t="n"/>
      <c r="C129" s="1" t="n"/>
      <c r="D129" s="1" t="n"/>
      <c r="E129" s="181" t="n"/>
      <c r="F129" s="181" t="n"/>
      <c r="G129" s="1" t="n"/>
      <c r="H129" s="1" t="n"/>
      <c r="I129" s="1" t="n"/>
      <c r="J129" s="1" t="n"/>
      <c r="K129" s="181" t="n"/>
      <c r="L129" s="181" t="n"/>
      <c r="M129" s="181" t="n"/>
      <c r="N129" s="1" t="n"/>
      <c r="O129" s="181" t="n"/>
      <c r="P129" s="181" t="n"/>
      <c r="Q129" s="18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row>
    <row r="130" ht="15.75" customHeight="1" s="216">
      <c r="A130" s="1" t="n"/>
      <c r="B130" s="1" t="n"/>
      <c r="C130" s="1" t="n"/>
      <c r="D130" s="1" t="n"/>
      <c r="E130" s="181" t="n"/>
      <c r="F130" s="181" t="n"/>
      <c r="G130" s="1" t="n"/>
      <c r="H130" s="1" t="n"/>
      <c r="I130" s="1" t="n"/>
      <c r="J130" s="1" t="n"/>
      <c r="K130" s="181" t="n"/>
      <c r="L130" s="181" t="n"/>
      <c r="M130" s="181" t="n"/>
      <c r="N130" s="1" t="n"/>
      <c r="O130" s="181" t="n"/>
      <c r="P130" s="181" t="n"/>
      <c r="Q130" s="18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row>
    <row r="131" ht="15.75" customHeight="1" s="216">
      <c r="A131" s="1" t="n"/>
      <c r="B131" s="1" t="n"/>
      <c r="C131" s="1" t="n"/>
      <c r="D131" s="1" t="n"/>
      <c r="E131" s="181" t="n"/>
      <c r="F131" s="181" t="n"/>
      <c r="G131" s="1" t="n"/>
      <c r="H131" s="1" t="n"/>
      <c r="I131" s="1" t="n"/>
      <c r="J131" s="1" t="n"/>
      <c r="K131" s="181" t="n"/>
      <c r="L131" s="181" t="n"/>
      <c r="M131" s="181" t="n"/>
      <c r="N131" s="1" t="n"/>
      <c r="O131" s="181" t="n"/>
      <c r="P131" s="181" t="n"/>
      <c r="Q131" s="18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row>
    <row r="132" ht="15.75" customHeight="1" s="216">
      <c r="A132" s="1" t="n"/>
      <c r="B132" s="1" t="n"/>
      <c r="C132" s="1" t="n"/>
      <c r="D132" s="1" t="n"/>
      <c r="E132" s="181" t="n"/>
      <c r="F132" s="181" t="n"/>
      <c r="G132" s="1" t="n"/>
      <c r="H132" s="1" t="n"/>
      <c r="I132" s="1" t="n"/>
      <c r="J132" s="1" t="n"/>
      <c r="K132" s="181" t="n"/>
      <c r="L132" s="181" t="n"/>
      <c r="M132" s="181" t="n"/>
      <c r="N132" s="1" t="n"/>
      <c r="O132" s="181" t="n"/>
      <c r="P132" s="181" t="n"/>
      <c r="Q132" s="18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row>
    <row r="133" ht="15.75" customHeight="1" s="216">
      <c r="A133" s="1" t="n"/>
      <c r="B133" s="1" t="n"/>
      <c r="C133" s="1" t="n"/>
      <c r="D133" s="1" t="n"/>
      <c r="E133" s="181" t="n"/>
      <c r="F133" s="181" t="n"/>
      <c r="G133" s="1" t="n"/>
      <c r="H133" s="1" t="n"/>
      <c r="I133" s="1" t="n"/>
      <c r="J133" s="1" t="n"/>
      <c r="K133" s="181" t="n"/>
      <c r="L133" s="181" t="n"/>
      <c r="M133" s="181" t="n"/>
      <c r="N133" s="1" t="n"/>
      <c r="O133" s="181" t="n"/>
      <c r="P133" s="181" t="n"/>
      <c r="Q133" s="18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row>
    <row r="134" ht="15.75" customHeight="1" s="216">
      <c r="A134" s="1" t="n"/>
      <c r="B134" s="1" t="n"/>
      <c r="C134" s="1" t="n"/>
      <c r="D134" s="1" t="n"/>
      <c r="E134" s="181" t="n"/>
      <c r="F134" s="181" t="n"/>
      <c r="G134" s="1" t="n"/>
      <c r="H134" s="1" t="n"/>
      <c r="I134" s="1" t="n"/>
      <c r="J134" s="1" t="n"/>
      <c r="K134" s="181" t="n"/>
      <c r="L134" s="181" t="n"/>
      <c r="M134" s="181" t="n"/>
      <c r="N134" s="1" t="n"/>
      <c r="O134" s="181" t="n"/>
      <c r="P134" s="181" t="n"/>
      <c r="Q134" s="18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row>
    <row r="135" ht="15.75" customHeight="1" s="216">
      <c r="A135" s="1" t="n"/>
      <c r="B135" s="1" t="n"/>
      <c r="C135" s="1" t="n"/>
      <c r="D135" s="1" t="n"/>
      <c r="E135" s="181" t="n"/>
      <c r="F135" s="181" t="n"/>
      <c r="G135" s="1" t="n"/>
      <c r="H135" s="1" t="n"/>
      <c r="I135" s="1" t="n"/>
      <c r="J135" s="1" t="n"/>
      <c r="K135" s="181" t="n"/>
      <c r="L135" s="181" t="n"/>
      <c r="M135" s="181" t="n"/>
      <c r="N135" s="1" t="n"/>
      <c r="O135" s="181" t="n"/>
      <c r="P135" s="181" t="n"/>
      <c r="Q135" s="18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row>
    <row r="136" ht="15.75" customHeight="1" s="216">
      <c r="A136" s="1" t="n"/>
      <c r="B136" s="1" t="n"/>
      <c r="C136" s="1" t="n"/>
      <c r="D136" s="1" t="n"/>
      <c r="E136" s="181" t="n"/>
      <c r="F136" s="181" t="n"/>
      <c r="G136" s="1" t="n"/>
      <c r="H136" s="1" t="n"/>
      <c r="I136" s="1" t="n"/>
      <c r="J136" s="1" t="n"/>
      <c r="K136" s="181" t="n"/>
      <c r="L136" s="181" t="n"/>
      <c r="M136" s="181" t="n"/>
      <c r="N136" s="1" t="n"/>
      <c r="O136" s="181" t="n"/>
      <c r="P136" s="181" t="n"/>
      <c r="Q136" s="18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row>
    <row r="137" ht="15.75" customHeight="1" s="216">
      <c r="A137" s="1" t="n"/>
      <c r="B137" s="1" t="n"/>
      <c r="C137" s="1" t="n"/>
      <c r="D137" s="1" t="n"/>
      <c r="E137" s="181" t="n"/>
      <c r="F137" s="181" t="n"/>
      <c r="G137" s="1" t="n"/>
      <c r="H137" s="1" t="n"/>
      <c r="I137" s="1" t="n"/>
      <c r="J137" s="1" t="n"/>
      <c r="K137" s="181" t="n"/>
      <c r="L137" s="181" t="n"/>
      <c r="M137" s="181" t="n"/>
      <c r="N137" s="1" t="n"/>
      <c r="O137" s="181" t="n"/>
      <c r="P137" s="181" t="n"/>
      <c r="Q137" s="18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row>
    <row r="138" ht="15.75" customHeight="1" s="216">
      <c r="A138" s="1" t="n"/>
      <c r="B138" s="1" t="n"/>
      <c r="C138" s="1" t="n"/>
      <c r="D138" s="1" t="n"/>
      <c r="E138" s="181" t="n"/>
      <c r="F138" s="181" t="n"/>
      <c r="G138" s="1" t="n"/>
      <c r="H138" s="1" t="n"/>
      <c r="I138" s="1" t="n"/>
      <c r="J138" s="1" t="n"/>
      <c r="K138" s="181" t="n"/>
      <c r="L138" s="181" t="n"/>
      <c r="M138" s="181" t="n"/>
      <c r="N138" s="1" t="n"/>
      <c r="O138" s="181" t="n"/>
      <c r="P138" s="181" t="n"/>
      <c r="Q138" s="18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row>
    <row r="139" ht="15.75" customHeight="1" s="216">
      <c r="A139" s="1" t="n"/>
      <c r="B139" s="1" t="n"/>
      <c r="C139" s="1" t="n"/>
      <c r="D139" s="1" t="n"/>
      <c r="E139" s="181" t="n"/>
      <c r="F139" s="181" t="n"/>
      <c r="G139" s="1" t="n"/>
      <c r="H139" s="1" t="n"/>
      <c r="I139" s="1" t="n"/>
      <c r="J139" s="1" t="n"/>
      <c r="K139" s="181" t="n"/>
      <c r="L139" s="181" t="n"/>
      <c r="M139" s="181" t="n"/>
      <c r="N139" s="1" t="n"/>
      <c r="O139" s="181" t="n"/>
      <c r="P139" s="181" t="n"/>
      <c r="Q139" s="18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row>
    <row r="140" ht="15.75" customHeight="1" s="216">
      <c r="A140" s="1" t="n"/>
      <c r="B140" s="1" t="n"/>
      <c r="C140" s="1" t="n"/>
      <c r="D140" s="1" t="n"/>
      <c r="E140" s="181" t="n"/>
      <c r="F140" s="181" t="n"/>
      <c r="G140" s="1" t="n"/>
      <c r="H140" s="1" t="n"/>
      <c r="I140" s="1" t="n"/>
      <c r="J140" s="1" t="n"/>
      <c r="K140" s="181" t="n"/>
      <c r="L140" s="181" t="n"/>
      <c r="M140" s="181" t="n"/>
      <c r="N140" s="1" t="n"/>
      <c r="O140" s="181" t="n"/>
      <c r="P140" s="181" t="n"/>
      <c r="Q140" s="18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row>
    <row r="141" ht="15.75" customHeight="1" s="216">
      <c r="A141" s="1" t="n"/>
      <c r="B141" s="1" t="n"/>
      <c r="C141" s="1" t="n"/>
      <c r="D141" s="1" t="n"/>
      <c r="E141" s="181" t="n"/>
      <c r="F141" s="181" t="n"/>
      <c r="G141" s="1" t="n"/>
      <c r="H141" s="1" t="n"/>
      <c r="I141" s="1" t="n"/>
      <c r="J141" s="1" t="n"/>
      <c r="K141" s="181" t="n"/>
      <c r="L141" s="181" t="n"/>
      <c r="M141" s="181" t="n"/>
      <c r="N141" s="1" t="n"/>
      <c r="O141" s="181" t="n"/>
      <c r="P141" s="181" t="n"/>
      <c r="Q141" s="18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row>
    <row r="142" ht="15.75" customHeight="1" s="216">
      <c r="A142" s="1" t="n"/>
      <c r="B142" s="1" t="n"/>
      <c r="C142" s="1" t="n"/>
      <c r="D142" s="1" t="n"/>
      <c r="E142" s="181" t="n"/>
      <c r="F142" s="181" t="n"/>
      <c r="G142" s="1" t="n"/>
      <c r="H142" s="1" t="n"/>
      <c r="I142" s="1" t="n"/>
      <c r="J142" s="1" t="n"/>
      <c r="K142" s="181" t="n"/>
      <c r="L142" s="181" t="n"/>
      <c r="M142" s="181" t="n"/>
      <c r="N142" s="1" t="n"/>
      <c r="O142" s="181" t="n"/>
      <c r="P142" s="181" t="n"/>
      <c r="Q142" s="18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row>
    <row r="143" ht="15.75" customHeight="1" s="216">
      <c r="A143" s="1" t="n"/>
      <c r="B143" s="1" t="n"/>
      <c r="C143" s="1" t="n"/>
      <c r="D143" s="1" t="n"/>
      <c r="E143" s="181" t="n"/>
      <c r="F143" s="181" t="n"/>
      <c r="G143" s="1" t="n"/>
      <c r="H143" s="1" t="n"/>
      <c r="I143" s="1" t="n"/>
      <c r="J143" s="1" t="n"/>
      <c r="K143" s="181" t="n"/>
      <c r="L143" s="181" t="n"/>
      <c r="M143" s="181" t="n"/>
      <c r="N143" s="1" t="n"/>
      <c r="O143" s="181" t="n"/>
      <c r="P143" s="181" t="n"/>
      <c r="Q143" s="18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row>
    <row r="144" ht="15.75" customHeight="1" s="216">
      <c r="A144" s="1" t="n"/>
      <c r="B144" s="1" t="n"/>
      <c r="C144" s="1" t="n"/>
      <c r="D144" s="1" t="n"/>
      <c r="E144" s="181" t="n"/>
      <c r="F144" s="181" t="n"/>
      <c r="G144" s="1" t="n"/>
      <c r="H144" s="1" t="n"/>
      <c r="I144" s="1" t="n"/>
      <c r="J144" s="1" t="n"/>
      <c r="K144" s="181" t="n"/>
      <c r="L144" s="181" t="n"/>
      <c r="M144" s="181" t="n"/>
      <c r="N144" s="1" t="n"/>
      <c r="O144" s="181" t="n"/>
      <c r="P144" s="181" t="n"/>
      <c r="Q144" s="18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row>
    <row r="145" ht="15.75" customHeight="1" s="216">
      <c r="A145" s="1" t="n"/>
      <c r="B145" s="1" t="n"/>
      <c r="C145" s="1" t="n"/>
      <c r="D145" s="1" t="n"/>
      <c r="E145" s="181" t="n"/>
      <c r="F145" s="181" t="n"/>
      <c r="G145" s="1" t="n"/>
      <c r="H145" s="1" t="n"/>
      <c r="I145" s="1" t="n"/>
      <c r="J145" s="1" t="n"/>
      <c r="K145" s="181" t="n"/>
      <c r="L145" s="181" t="n"/>
      <c r="M145" s="181" t="n"/>
      <c r="N145" s="1" t="n"/>
      <c r="O145" s="181" t="n"/>
      <c r="P145" s="181" t="n"/>
      <c r="Q145" s="18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row>
    <row r="146" ht="15.75" customHeight="1" s="216">
      <c r="A146" s="1" t="n"/>
      <c r="B146" s="1" t="n"/>
      <c r="C146" s="1" t="n"/>
      <c r="D146" s="1" t="n"/>
      <c r="E146" s="181" t="n"/>
      <c r="F146" s="181" t="n"/>
      <c r="G146" s="1" t="n"/>
      <c r="H146" s="1" t="n"/>
      <c r="I146" s="1" t="n"/>
      <c r="J146" s="1" t="n"/>
      <c r="K146" s="181" t="n"/>
      <c r="L146" s="181" t="n"/>
      <c r="M146" s="181" t="n"/>
      <c r="N146" s="1" t="n"/>
      <c r="O146" s="181" t="n"/>
      <c r="P146" s="181" t="n"/>
      <c r="Q146" s="18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row>
    <row r="147" ht="15.75" customHeight="1" s="216">
      <c r="A147" s="1" t="n"/>
      <c r="B147" s="1" t="n"/>
      <c r="C147" s="1" t="n"/>
      <c r="D147" s="1" t="n"/>
      <c r="E147" s="181" t="n"/>
      <c r="F147" s="181" t="n"/>
      <c r="G147" s="1" t="n"/>
      <c r="H147" s="1" t="n"/>
      <c r="I147" s="1" t="n"/>
      <c r="J147" s="1" t="n"/>
      <c r="K147" s="181" t="n"/>
      <c r="L147" s="181" t="n"/>
      <c r="M147" s="181" t="n"/>
      <c r="N147" s="1" t="n"/>
      <c r="O147" s="181" t="n"/>
      <c r="P147" s="181" t="n"/>
      <c r="Q147" s="18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row>
    <row r="148" ht="15.75" customHeight="1" s="216">
      <c r="A148" s="1" t="n"/>
      <c r="B148" s="1" t="n"/>
      <c r="C148" s="1" t="n"/>
      <c r="D148" s="1" t="n"/>
      <c r="E148" s="181" t="n"/>
      <c r="F148" s="181" t="n"/>
      <c r="G148" s="1" t="n"/>
      <c r="H148" s="1" t="n"/>
      <c r="I148" s="1" t="n"/>
      <c r="J148" s="1" t="n"/>
      <c r="K148" s="181" t="n"/>
      <c r="L148" s="181" t="n"/>
      <c r="M148" s="181" t="n"/>
      <c r="N148" s="1" t="n"/>
      <c r="O148" s="181" t="n"/>
      <c r="P148" s="181" t="n"/>
      <c r="Q148" s="18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row>
    <row r="149" ht="15.75" customHeight="1" s="216">
      <c r="A149" s="1" t="n"/>
      <c r="B149" s="1" t="n"/>
      <c r="C149" s="1" t="n"/>
      <c r="D149" s="1" t="n"/>
      <c r="E149" s="181" t="n"/>
      <c r="F149" s="181" t="n"/>
      <c r="G149" s="1" t="n"/>
      <c r="H149" s="1" t="n"/>
      <c r="I149" s="1" t="n"/>
      <c r="J149" s="1" t="n"/>
      <c r="K149" s="181" t="n"/>
      <c r="L149" s="181" t="n"/>
      <c r="M149" s="181" t="n"/>
      <c r="N149" s="1" t="n"/>
      <c r="O149" s="181" t="n"/>
      <c r="P149" s="181" t="n"/>
      <c r="Q149" s="18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row>
    <row r="150" ht="15.75" customHeight="1" s="216">
      <c r="A150" s="1" t="n"/>
      <c r="B150" s="1" t="n"/>
      <c r="C150" s="1" t="n"/>
      <c r="D150" s="1" t="n"/>
      <c r="E150" s="181" t="n"/>
      <c r="F150" s="181" t="n"/>
      <c r="G150" s="1" t="n"/>
      <c r="H150" s="1" t="n"/>
      <c r="I150" s="1" t="n"/>
      <c r="J150" s="1" t="n"/>
      <c r="K150" s="181" t="n"/>
      <c r="L150" s="181" t="n"/>
      <c r="M150" s="181" t="n"/>
      <c r="N150" s="1" t="n"/>
      <c r="O150" s="181" t="n"/>
      <c r="P150" s="181" t="n"/>
      <c r="Q150" s="18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row>
    <row r="151" ht="15.75" customHeight="1" s="216">
      <c r="A151" s="1" t="n"/>
      <c r="B151" s="1" t="n"/>
      <c r="C151" s="1" t="n"/>
      <c r="D151" s="1" t="n"/>
      <c r="E151" s="181" t="n"/>
      <c r="F151" s="181" t="n"/>
      <c r="G151" s="1" t="n"/>
      <c r="H151" s="1" t="n"/>
      <c r="I151" s="1" t="n"/>
      <c r="J151" s="1" t="n"/>
      <c r="K151" s="181" t="n"/>
      <c r="L151" s="181" t="n"/>
      <c r="M151" s="181" t="n"/>
      <c r="N151" s="1" t="n"/>
      <c r="O151" s="181" t="n"/>
      <c r="P151" s="181" t="n"/>
      <c r="Q151" s="18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row>
    <row r="152" ht="15.75" customHeight="1" s="216">
      <c r="A152" s="1" t="n"/>
      <c r="B152" s="1" t="n"/>
      <c r="C152" s="1" t="n"/>
      <c r="D152" s="1" t="n"/>
      <c r="E152" s="181" t="n"/>
      <c r="F152" s="181" t="n"/>
      <c r="G152" s="1" t="n"/>
      <c r="H152" s="1" t="n"/>
      <c r="I152" s="1" t="n"/>
      <c r="J152" s="1" t="n"/>
      <c r="K152" s="181" t="n"/>
      <c r="L152" s="181" t="n"/>
      <c r="M152" s="181" t="n"/>
      <c r="N152" s="1" t="n"/>
      <c r="O152" s="181" t="n"/>
      <c r="P152" s="181" t="n"/>
      <c r="Q152" s="18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row>
    <row r="153" ht="15.75" customHeight="1" s="216">
      <c r="A153" s="1" t="n"/>
      <c r="B153" s="1" t="n"/>
      <c r="C153" s="1" t="n"/>
      <c r="D153" s="1" t="n"/>
      <c r="E153" s="181" t="n"/>
      <c r="F153" s="181" t="n"/>
      <c r="G153" s="1" t="n"/>
      <c r="H153" s="1" t="n"/>
      <c r="I153" s="1" t="n"/>
      <c r="J153" s="1" t="n"/>
      <c r="K153" s="181" t="n"/>
      <c r="L153" s="181" t="n"/>
      <c r="M153" s="181" t="n"/>
      <c r="N153" s="1" t="n"/>
      <c r="O153" s="181" t="n"/>
      <c r="P153" s="181" t="n"/>
      <c r="Q153" s="18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row>
    <row r="154" ht="15.75" customHeight="1" s="216">
      <c r="A154" s="1" t="n"/>
      <c r="B154" s="1" t="n"/>
      <c r="C154" s="1" t="n"/>
      <c r="D154" s="1" t="n"/>
      <c r="E154" s="181" t="n"/>
      <c r="F154" s="181" t="n"/>
      <c r="G154" s="1" t="n"/>
      <c r="H154" s="1" t="n"/>
      <c r="I154" s="1" t="n"/>
      <c r="J154" s="1" t="n"/>
      <c r="K154" s="181" t="n"/>
      <c r="L154" s="181" t="n"/>
      <c r="M154" s="181" t="n"/>
      <c r="N154" s="1" t="n"/>
      <c r="O154" s="181" t="n"/>
      <c r="P154" s="181" t="n"/>
      <c r="Q154" s="18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row>
    <row r="155" ht="15.75" customHeight="1" s="216">
      <c r="A155" s="1" t="n"/>
      <c r="B155" s="1" t="n"/>
      <c r="C155" s="1" t="n"/>
      <c r="D155" s="1" t="n"/>
      <c r="E155" s="181" t="n"/>
      <c r="F155" s="181" t="n"/>
      <c r="G155" s="1" t="n"/>
      <c r="H155" s="1" t="n"/>
      <c r="I155" s="1" t="n"/>
      <c r="J155" s="1" t="n"/>
      <c r="K155" s="181" t="n"/>
      <c r="L155" s="181" t="n"/>
      <c r="M155" s="181" t="n"/>
      <c r="N155" s="1" t="n"/>
      <c r="O155" s="181" t="n"/>
      <c r="P155" s="181" t="n"/>
      <c r="Q155" s="18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row>
    <row r="156" ht="15.75" customHeight="1" s="216">
      <c r="A156" s="1" t="n"/>
      <c r="B156" s="1" t="n"/>
      <c r="C156" s="1" t="n"/>
      <c r="D156" s="1" t="n"/>
      <c r="E156" s="181" t="n"/>
      <c r="F156" s="181" t="n"/>
      <c r="G156" s="1" t="n"/>
      <c r="H156" s="1" t="n"/>
      <c r="I156" s="1" t="n"/>
      <c r="J156" s="1" t="n"/>
      <c r="K156" s="181" t="n"/>
      <c r="L156" s="181" t="n"/>
      <c r="M156" s="181" t="n"/>
      <c r="N156" s="1" t="n"/>
      <c r="O156" s="181" t="n"/>
      <c r="P156" s="181" t="n"/>
      <c r="Q156" s="18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row>
    <row r="157" ht="15.75" customHeight="1" s="216">
      <c r="A157" s="1" t="n"/>
      <c r="B157" s="1" t="n"/>
      <c r="C157" s="1" t="n"/>
      <c r="D157" s="1" t="n"/>
      <c r="E157" s="181" t="n"/>
      <c r="F157" s="181" t="n"/>
      <c r="G157" s="1" t="n"/>
      <c r="H157" s="1" t="n"/>
      <c r="I157" s="1" t="n"/>
      <c r="J157" s="1" t="n"/>
      <c r="K157" s="181" t="n"/>
      <c r="L157" s="181" t="n"/>
      <c r="M157" s="181" t="n"/>
      <c r="N157" s="1" t="n"/>
      <c r="O157" s="181" t="n"/>
      <c r="P157" s="181" t="n"/>
      <c r="Q157" s="18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row>
    <row r="158" ht="15.75" customHeight="1" s="216">
      <c r="A158" s="1" t="n"/>
      <c r="B158" s="1" t="n"/>
      <c r="C158" s="1" t="n"/>
      <c r="D158" s="1" t="n"/>
      <c r="E158" s="181" t="n"/>
      <c r="F158" s="181" t="n"/>
      <c r="G158" s="1" t="n"/>
      <c r="H158" s="1" t="n"/>
      <c r="I158" s="1" t="n"/>
      <c r="J158" s="1" t="n"/>
      <c r="K158" s="181" t="n"/>
      <c r="L158" s="181" t="n"/>
      <c r="M158" s="181" t="n"/>
      <c r="N158" s="1" t="n"/>
      <c r="O158" s="181" t="n"/>
      <c r="P158" s="181" t="n"/>
      <c r="Q158" s="18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row>
    <row r="159" ht="15.75" customHeight="1" s="216">
      <c r="A159" s="1" t="n"/>
      <c r="B159" s="1" t="n"/>
      <c r="C159" s="1" t="n"/>
      <c r="D159" s="1" t="n"/>
      <c r="E159" s="181" t="n"/>
      <c r="F159" s="181" t="n"/>
      <c r="G159" s="1" t="n"/>
      <c r="H159" s="1" t="n"/>
      <c r="I159" s="1" t="n"/>
      <c r="J159" s="1" t="n"/>
      <c r="K159" s="181" t="n"/>
      <c r="L159" s="181" t="n"/>
      <c r="M159" s="181" t="n"/>
      <c r="N159" s="1" t="n"/>
      <c r="O159" s="181" t="n"/>
      <c r="P159" s="181" t="n"/>
      <c r="Q159" s="18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row>
    <row r="160" ht="15.75" customHeight="1" s="216">
      <c r="A160" s="1" t="n"/>
      <c r="B160" s="1" t="n"/>
      <c r="C160" s="1" t="n"/>
      <c r="D160" s="1" t="n"/>
      <c r="E160" s="181" t="n"/>
      <c r="F160" s="181" t="n"/>
      <c r="G160" s="1" t="n"/>
      <c r="H160" s="1" t="n"/>
      <c r="I160" s="1" t="n"/>
      <c r="J160" s="1" t="n"/>
      <c r="K160" s="181" t="n"/>
      <c r="L160" s="181" t="n"/>
      <c r="M160" s="181" t="n"/>
      <c r="N160" s="1" t="n"/>
      <c r="O160" s="181" t="n"/>
      <c r="P160" s="181" t="n"/>
      <c r="Q160" s="18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row>
    <row r="161" ht="15.75" customHeight="1" s="216">
      <c r="A161" s="1" t="n"/>
      <c r="B161" s="1" t="n"/>
      <c r="C161" s="1" t="n"/>
      <c r="D161" s="1" t="n"/>
      <c r="E161" s="181" t="n"/>
      <c r="F161" s="181" t="n"/>
      <c r="G161" s="1" t="n"/>
      <c r="H161" s="1" t="n"/>
      <c r="I161" s="1" t="n"/>
      <c r="J161" s="1" t="n"/>
      <c r="K161" s="181" t="n"/>
      <c r="L161" s="181" t="n"/>
      <c r="M161" s="181" t="n"/>
      <c r="N161" s="1" t="n"/>
      <c r="O161" s="181" t="n"/>
      <c r="P161" s="181" t="n"/>
      <c r="Q161" s="18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row>
    <row r="162" ht="15.75" customHeight="1" s="216">
      <c r="A162" s="1" t="n"/>
      <c r="B162" s="1" t="n"/>
      <c r="C162" s="1" t="n"/>
      <c r="D162" s="1" t="n"/>
      <c r="E162" s="181" t="n"/>
      <c r="F162" s="181" t="n"/>
      <c r="G162" s="1" t="n"/>
      <c r="H162" s="1" t="n"/>
      <c r="I162" s="1" t="n"/>
      <c r="J162" s="1" t="n"/>
      <c r="K162" s="181" t="n"/>
      <c r="L162" s="181" t="n"/>
      <c r="M162" s="181" t="n"/>
      <c r="N162" s="1" t="n"/>
      <c r="O162" s="181" t="n"/>
      <c r="P162" s="181" t="n"/>
      <c r="Q162" s="18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row>
    <row r="163" ht="15.75" customHeight="1" s="216">
      <c r="A163" s="1" t="n"/>
      <c r="B163" s="1" t="n"/>
      <c r="C163" s="1" t="n"/>
      <c r="D163" s="1" t="n"/>
      <c r="E163" s="181" t="n"/>
      <c r="F163" s="181" t="n"/>
      <c r="G163" s="1" t="n"/>
      <c r="H163" s="1" t="n"/>
      <c r="I163" s="1" t="n"/>
      <c r="J163" s="1" t="n"/>
      <c r="K163" s="181" t="n"/>
      <c r="L163" s="181" t="n"/>
      <c r="M163" s="181" t="n"/>
      <c r="N163" s="1" t="n"/>
      <c r="O163" s="181" t="n"/>
      <c r="P163" s="181" t="n"/>
      <c r="Q163" s="18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row>
    <row r="164" ht="15.75" customHeight="1" s="216">
      <c r="A164" s="1" t="n"/>
      <c r="B164" s="1" t="n"/>
      <c r="C164" s="1" t="n"/>
      <c r="D164" s="1" t="n"/>
      <c r="E164" s="181" t="n"/>
      <c r="F164" s="181" t="n"/>
      <c r="G164" s="1" t="n"/>
      <c r="H164" s="1" t="n"/>
      <c r="I164" s="1" t="n"/>
      <c r="J164" s="1" t="n"/>
      <c r="K164" s="181" t="n"/>
      <c r="L164" s="181" t="n"/>
      <c r="M164" s="181" t="n"/>
      <c r="N164" s="1" t="n"/>
      <c r="O164" s="181" t="n"/>
      <c r="P164" s="181" t="n"/>
      <c r="Q164" s="18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row>
    <row r="165" ht="15.75" customHeight="1" s="216">
      <c r="A165" s="1" t="n"/>
      <c r="B165" s="1" t="n"/>
      <c r="C165" s="1" t="n"/>
      <c r="D165" s="1" t="n"/>
      <c r="E165" s="181" t="n"/>
      <c r="F165" s="181" t="n"/>
      <c r="G165" s="1" t="n"/>
      <c r="H165" s="1" t="n"/>
      <c r="I165" s="1" t="n"/>
      <c r="J165" s="1" t="n"/>
      <c r="K165" s="181" t="n"/>
      <c r="L165" s="181" t="n"/>
      <c r="M165" s="181" t="n"/>
      <c r="N165" s="1" t="n"/>
      <c r="O165" s="181" t="n"/>
      <c r="P165" s="181" t="n"/>
      <c r="Q165" s="18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row>
    <row r="166" ht="15.75" customHeight="1" s="216">
      <c r="A166" s="1" t="n"/>
      <c r="B166" s="1" t="n"/>
      <c r="C166" s="1" t="n"/>
      <c r="D166" s="1" t="n"/>
      <c r="E166" s="181" t="n"/>
      <c r="F166" s="181" t="n"/>
      <c r="G166" s="1" t="n"/>
      <c r="H166" s="1" t="n"/>
      <c r="I166" s="1" t="n"/>
      <c r="J166" s="1" t="n"/>
      <c r="K166" s="181" t="n"/>
      <c r="L166" s="181" t="n"/>
      <c r="M166" s="181" t="n"/>
      <c r="N166" s="1" t="n"/>
      <c r="O166" s="181" t="n"/>
      <c r="P166" s="181" t="n"/>
      <c r="Q166" s="18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row>
    <row r="167" ht="15.75" customHeight="1" s="216">
      <c r="A167" s="1" t="n"/>
      <c r="B167" s="1" t="n"/>
      <c r="C167" s="1" t="n"/>
      <c r="D167" s="1" t="n"/>
      <c r="E167" s="181" t="n"/>
      <c r="F167" s="181" t="n"/>
      <c r="G167" s="1" t="n"/>
      <c r="H167" s="1" t="n"/>
      <c r="I167" s="1" t="n"/>
      <c r="J167" s="1" t="n"/>
      <c r="K167" s="181" t="n"/>
      <c r="L167" s="181" t="n"/>
      <c r="M167" s="181" t="n"/>
      <c r="N167" s="1" t="n"/>
      <c r="O167" s="181" t="n"/>
      <c r="P167" s="181" t="n"/>
      <c r="Q167" s="18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row>
    <row r="168" ht="15.75" customHeight="1" s="216">
      <c r="A168" s="1" t="n"/>
      <c r="B168" s="1" t="n"/>
      <c r="C168" s="1" t="n"/>
      <c r="D168" s="1" t="n"/>
      <c r="E168" s="181" t="n"/>
      <c r="F168" s="181" t="n"/>
      <c r="G168" s="1" t="n"/>
      <c r="H168" s="1" t="n"/>
      <c r="I168" s="1" t="n"/>
      <c r="J168" s="1" t="n"/>
      <c r="K168" s="181" t="n"/>
      <c r="L168" s="181" t="n"/>
      <c r="M168" s="181" t="n"/>
      <c r="N168" s="1" t="n"/>
      <c r="O168" s="181" t="n"/>
      <c r="P168" s="181" t="n"/>
      <c r="Q168" s="18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row>
    <row r="169" ht="15.75" customHeight="1" s="216">
      <c r="A169" s="1" t="n"/>
      <c r="B169" s="1" t="n"/>
      <c r="C169" s="1" t="n"/>
      <c r="D169" s="1" t="n"/>
      <c r="E169" s="181" t="n"/>
      <c r="F169" s="181" t="n"/>
      <c r="G169" s="1" t="n"/>
      <c r="H169" s="1" t="n"/>
      <c r="I169" s="1" t="n"/>
      <c r="J169" s="1" t="n"/>
      <c r="K169" s="181" t="n"/>
      <c r="L169" s="181" t="n"/>
      <c r="M169" s="181" t="n"/>
      <c r="N169" s="1" t="n"/>
      <c r="O169" s="181" t="n"/>
      <c r="P169" s="181" t="n"/>
      <c r="Q169" s="18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row>
    <row r="170" ht="15.75" customHeight="1" s="216">
      <c r="A170" s="1" t="n"/>
      <c r="B170" s="1" t="n"/>
      <c r="C170" s="1" t="n"/>
      <c r="D170" s="1" t="n"/>
      <c r="E170" s="181" t="n"/>
      <c r="F170" s="181" t="n"/>
      <c r="G170" s="1" t="n"/>
      <c r="H170" s="1" t="n"/>
      <c r="I170" s="1" t="n"/>
      <c r="J170" s="1" t="n"/>
      <c r="K170" s="181" t="n"/>
      <c r="L170" s="181" t="n"/>
      <c r="M170" s="181" t="n"/>
      <c r="N170" s="1" t="n"/>
      <c r="O170" s="181" t="n"/>
      <c r="P170" s="181" t="n"/>
      <c r="Q170" s="18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row>
    <row r="171" ht="15.75" customHeight="1" s="216">
      <c r="A171" s="1" t="n"/>
      <c r="B171" s="1" t="n"/>
      <c r="C171" s="1" t="n"/>
      <c r="D171" s="1" t="n"/>
      <c r="E171" s="181" t="n"/>
      <c r="F171" s="181" t="n"/>
      <c r="G171" s="1" t="n"/>
      <c r="H171" s="1" t="n"/>
      <c r="I171" s="1" t="n"/>
      <c r="J171" s="1" t="n"/>
      <c r="K171" s="181" t="n"/>
      <c r="L171" s="181" t="n"/>
      <c r="M171" s="181" t="n"/>
      <c r="N171" s="1" t="n"/>
      <c r="O171" s="181" t="n"/>
      <c r="P171" s="181" t="n"/>
      <c r="Q171" s="18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row>
    <row r="172" ht="15.75" customHeight="1" s="216">
      <c r="A172" s="1" t="n"/>
      <c r="B172" s="1" t="n"/>
      <c r="C172" s="1" t="n"/>
      <c r="D172" s="1" t="n"/>
      <c r="E172" s="181" t="n"/>
      <c r="F172" s="181" t="n"/>
      <c r="G172" s="1" t="n"/>
      <c r="H172" s="1" t="n"/>
      <c r="I172" s="1" t="n"/>
      <c r="J172" s="1" t="n"/>
      <c r="K172" s="181" t="n"/>
      <c r="L172" s="181" t="n"/>
      <c r="M172" s="181" t="n"/>
      <c r="N172" s="1" t="n"/>
      <c r="O172" s="181" t="n"/>
      <c r="P172" s="181" t="n"/>
      <c r="Q172" s="18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row>
    <row r="173" ht="15.75" customHeight="1" s="216">
      <c r="A173" s="1" t="n"/>
      <c r="B173" s="1" t="n"/>
      <c r="C173" s="1" t="n"/>
      <c r="D173" s="1" t="n"/>
      <c r="E173" s="181" t="n"/>
      <c r="F173" s="181" t="n"/>
      <c r="G173" s="1" t="n"/>
      <c r="H173" s="1" t="n"/>
      <c r="I173" s="1" t="n"/>
      <c r="J173" s="1" t="n"/>
      <c r="K173" s="181" t="n"/>
      <c r="L173" s="181" t="n"/>
      <c r="M173" s="181" t="n"/>
      <c r="N173" s="1" t="n"/>
      <c r="O173" s="181" t="n"/>
      <c r="P173" s="181" t="n"/>
      <c r="Q173" s="18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row>
    <row r="174" ht="15.75" customHeight="1" s="216">
      <c r="A174" s="1" t="n"/>
      <c r="B174" s="1" t="n"/>
      <c r="C174" s="1" t="n"/>
      <c r="D174" s="1" t="n"/>
      <c r="E174" s="181" t="n"/>
      <c r="F174" s="181" t="n"/>
      <c r="G174" s="1" t="n"/>
      <c r="H174" s="1" t="n"/>
      <c r="I174" s="1" t="n"/>
      <c r="J174" s="1" t="n"/>
      <c r="K174" s="181" t="n"/>
      <c r="L174" s="181" t="n"/>
      <c r="M174" s="181" t="n"/>
      <c r="N174" s="1" t="n"/>
      <c r="O174" s="181" t="n"/>
      <c r="P174" s="181" t="n"/>
      <c r="Q174" s="18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row>
    <row r="175" ht="15.75" customHeight="1" s="216">
      <c r="A175" s="1" t="n"/>
      <c r="B175" s="1" t="n"/>
      <c r="C175" s="1" t="n"/>
      <c r="D175" s="1" t="n"/>
      <c r="E175" s="181" t="n"/>
      <c r="F175" s="181" t="n"/>
      <c r="G175" s="1" t="n"/>
      <c r="H175" s="1" t="n"/>
      <c r="I175" s="1" t="n"/>
      <c r="J175" s="1" t="n"/>
      <c r="K175" s="181" t="n"/>
      <c r="L175" s="181" t="n"/>
      <c r="M175" s="181" t="n"/>
      <c r="N175" s="1" t="n"/>
      <c r="O175" s="181" t="n"/>
      <c r="P175" s="181" t="n"/>
      <c r="Q175" s="18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row>
    <row r="176" ht="15.75" customHeight="1" s="216">
      <c r="A176" s="1" t="n"/>
      <c r="B176" s="1" t="n"/>
      <c r="C176" s="1" t="n"/>
      <c r="D176" s="1" t="n"/>
      <c r="E176" s="181" t="n"/>
      <c r="F176" s="181" t="n"/>
      <c r="G176" s="1" t="n"/>
      <c r="H176" s="1" t="n"/>
      <c r="I176" s="1" t="n"/>
      <c r="J176" s="1" t="n"/>
      <c r="K176" s="181" t="n"/>
      <c r="L176" s="181" t="n"/>
      <c r="M176" s="181" t="n"/>
      <c r="N176" s="1" t="n"/>
      <c r="O176" s="181" t="n"/>
      <c r="P176" s="181" t="n"/>
      <c r="Q176" s="18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row>
    <row r="177" ht="15.75" customHeight="1" s="216">
      <c r="A177" s="1" t="n"/>
      <c r="B177" s="1" t="n"/>
      <c r="C177" s="1" t="n"/>
      <c r="D177" s="1" t="n"/>
      <c r="E177" s="181" t="n"/>
      <c r="F177" s="181" t="n"/>
      <c r="G177" s="1" t="n"/>
      <c r="H177" s="1" t="n"/>
      <c r="I177" s="1" t="n"/>
      <c r="J177" s="1" t="n"/>
      <c r="K177" s="181" t="n"/>
      <c r="L177" s="181" t="n"/>
      <c r="M177" s="181" t="n"/>
      <c r="N177" s="1" t="n"/>
      <c r="O177" s="181" t="n"/>
      <c r="P177" s="181" t="n"/>
      <c r="Q177" s="18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row>
    <row r="178" ht="15.75" customHeight="1" s="216">
      <c r="A178" s="1" t="n"/>
      <c r="B178" s="1" t="n"/>
      <c r="C178" s="1" t="n"/>
      <c r="D178" s="1" t="n"/>
      <c r="E178" s="181" t="n"/>
      <c r="F178" s="181" t="n"/>
      <c r="G178" s="1" t="n"/>
      <c r="H178" s="1" t="n"/>
      <c r="I178" s="1" t="n"/>
      <c r="J178" s="1" t="n"/>
      <c r="K178" s="181" t="n"/>
      <c r="L178" s="181" t="n"/>
      <c r="M178" s="181" t="n"/>
      <c r="N178" s="1" t="n"/>
      <c r="O178" s="181" t="n"/>
      <c r="P178" s="181" t="n"/>
      <c r="Q178" s="18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row>
    <row r="179" ht="15.75" customHeight="1" s="216">
      <c r="A179" s="1" t="n"/>
      <c r="B179" s="1" t="n"/>
      <c r="C179" s="1" t="n"/>
      <c r="D179" s="1" t="n"/>
      <c r="E179" s="181" t="n"/>
      <c r="F179" s="181" t="n"/>
      <c r="G179" s="1" t="n"/>
      <c r="H179" s="1" t="n"/>
      <c r="I179" s="1" t="n"/>
      <c r="J179" s="1" t="n"/>
      <c r="K179" s="181" t="n"/>
      <c r="L179" s="181" t="n"/>
      <c r="M179" s="181" t="n"/>
      <c r="N179" s="1" t="n"/>
      <c r="O179" s="181" t="n"/>
      <c r="P179" s="181" t="n"/>
      <c r="Q179" s="18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row>
    <row r="180" ht="15.75" customHeight="1" s="216">
      <c r="A180" s="1" t="n"/>
      <c r="B180" s="1" t="n"/>
      <c r="C180" s="1" t="n"/>
      <c r="D180" s="1" t="n"/>
      <c r="E180" s="181" t="n"/>
      <c r="F180" s="181" t="n"/>
      <c r="G180" s="1" t="n"/>
      <c r="H180" s="1" t="n"/>
      <c r="I180" s="1" t="n"/>
      <c r="J180" s="1" t="n"/>
      <c r="K180" s="181" t="n"/>
      <c r="L180" s="181" t="n"/>
      <c r="M180" s="181" t="n"/>
      <c r="N180" s="1" t="n"/>
      <c r="O180" s="181" t="n"/>
      <c r="P180" s="181" t="n"/>
      <c r="Q180" s="18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row>
    <row r="181" ht="15.75" customHeight="1" s="216">
      <c r="A181" s="1" t="n"/>
      <c r="B181" s="1" t="n"/>
      <c r="C181" s="1" t="n"/>
      <c r="D181" s="1" t="n"/>
      <c r="E181" s="181" t="n"/>
      <c r="F181" s="181" t="n"/>
      <c r="G181" s="1" t="n"/>
      <c r="H181" s="1" t="n"/>
      <c r="I181" s="1" t="n"/>
      <c r="J181" s="1" t="n"/>
      <c r="K181" s="181" t="n"/>
      <c r="L181" s="181" t="n"/>
      <c r="M181" s="181" t="n"/>
      <c r="N181" s="1" t="n"/>
      <c r="O181" s="181" t="n"/>
      <c r="P181" s="181" t="n"/>
      <c r="Q181" s="18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row>
    <row r="182" ht="15.75" customHeight="1" s="216">
      <c r="A182" s="1" t="n"/>
      <c r="B182" s="1" t="n"/>
      <c r="C182" s="1" t="n"/>
      <c r="D182" s="1" t="n"/>
      <c r="E182" s="181" t="n"/>
      <c r="F182" s="181" t="n"/>
      <c r="G182" s="1" t="n"/>
      <c r="H182" s="1" t="n"/>
      <c r="I182" s="1" t="n"/>
      <c r="J182" s="1" t="n"/>
      <c r="K182" s="181" t="n"/>
      <c r="L182" s="181" t="n"/>
      <c r="M182" s="181" t="n"/>
      <c r="N182" s="1" t="n"/>
      <c r="O182" s="181" t="n"/>
      <c r="P182" s="181" t="n"/>
      <c r="Q182" s="18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row>
    <row r="183" ht="15.75" customHeight="1" s="216">
      <c r="A183" s="1" t="n"/>
      <c r="B183" s="1" t="n"/>
      <c r="C183" s="1" t="n"/>
      <c r="D183" s="1" t="n"/>
      <c r="E183" s="181" t="n"/>
      <c r="F183" s="181" t="n"/>
      <c r="G183" s="1" t="n"/>
      <c r="H183" s="1" t="n"/>
      <c r="I183" s="1" t="n"/>
      <c r="J183" s="1" t="n"/>
      <c r="K183" s="181" t="n"/>
      <c r="L183" s="181" t="n"/>
      <c r="M183" s="181" t="n"/>
      <c r="N183" s="1" t="n"/>
      <c r="O183" s="181" t="n"/>
      <c r="P183" s="181" t="n"/>
      <c r="Q183" s="18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row>
    <row r="184" ht="15.75" customHeight="1" s="216">
      <c r="A184" s="1" t="n"/>
      <c r="B184" s="1" t="n"/>
      <c r="C184" s="1" t="n"/>
      <c r="D184" s="1" t="n"/>
      <c r="E184" s="181" t="n"/>
      <c r="F184" s="181" t="n"/>
      <c r="G184" s="1" t="n"/>
      <c r="H184" s="1" t="n"/>
      <c r="I184" s="1" t="n"/>
      <c r="J184" s="1" t="n"/>
      <c r="K184" s="181" t="n"/>
      <c r="L184" s="181" t="n"/>
      <c r="M184" s="181" t="n"/>
      <c r="N184" s="1" t="n"/>
      <c r="O184" s="181" t="n"/>
      <c r="P184" s="181" t="n"/>
      <c r="Q184" s="18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row>
    <row r="185" ht="15.75" customHeight="1" s="216">
      <c r="A185" s="1" t="n"/>
      <c r="B185" s="1" t="n"/>
      <c r="C185" s="1" t="n"/>
      <c r="D185" s="1" t="n"/>
      <c r="E185" s="181" t="n"/>
      <c r="F185" s="181" t="n"/>
      <c r="G185" s="1" t="n"/>
      <c r="H185" s="1" t="n"/>
      <c r="I185" s="1" t="n"/>
      <c r="J185" s="1" t="n"/>
      <c r="K185" s="181" t="n"/>
      <c r="L185" s="181" t="n"/>
      <c r="M185" s="181" t="n"/>
      <c r="N185" s="1" t="n"/>
      <c r="O185" s="181" t="n"/>
      <c r="P185" s="181" t="n"/>
      <c r="Q185" s="18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row>
    <row r="186" ht="15.75" customHeight="1" s="216">
      <c r="A186" s="1" t="n"/>
      <c r="B186" s="1" t="n"/>
      <c r="C186" s="1" t="n"/>
      <c r="D186" s="1" t="n"/>
      <c r="E186" s="181" t="n"/>
      <c r="F186" s="181" t="n"/>
      <c r="G186" s="1" t="n"/>
      <c r="H186" s="1" t="n"/>
      <c r="I186" s="1" t="n"/>
      <c r="J186" s="1" t="n"/>
      <c r="K186" s="181" t="n"/>
      <c r="L186" s="181" t="n"/>
      <c r="M186" s="181" t="n"/>
      <c r="N186" s="1" t="n"/>
      <c r="O186" s="181" t="n"/>
      <c r="P186" s="181" t="n"/>
      <c r="Q186" s="18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row>
    <row r="187" ht="15.75" customHeight="1" s="216">
      <c r="A187" s="1" t="n"/>
      <c r="B187" s="1" t="n"/>
      <c r="C187" s="1" t="n"/>
      <c r="D187" s="1" t="n"/>
      <c r="E187" s="181" t="n"/>
      <c r="F187" s="181" t="n"/>
      <c r="G187" s="1" t="n"/>
      <c r="H187" s="1" t="n"/>
      <c r="I187" s="1" t="n"/>
      <c r="J187" s="1" t="n"/>
      <c r="K187" s="181" t="n"/>
      <c r="L187" s="181" t="n"/>
      <c r="M187" s="181" t="n"/>
      <c r="N187" s="1" t="n"/>
      <c r="O187" s="181" t="n"/>
      <c r="P187" s="181" t="n"/>
      <c r="Q187" s="18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row>
    <row r="188" ht="15.75" customHeight="1" s="216">
      <c r="A188" s="1" t="n"/>
      <c r="B188" s="1" t="n"/>
      <c r="C188" s="1" t="n"/>
      <c r="D188" s="1" t="n"/>
      <c r="E188" s="181" t="n"/>
      <c r="F188" s="181" t="n"/>
      <c r="G188" s="1" t="n"/>
      <c r="H188" s="1" t="n"/>
      <c r="I188" s="1" t="n"/>
      <c r="J188" s="1" t="n"/>
      <c r="K188" s="181" t="n"/>
      <c r="L188" s="181" t="n"/>
      <c r="M188" s="181" t="n"/>
      <c r="N188" s="1" t="n"/>
      <c r="O188" s="181" t="n"/>
      <c r="P188" s="181" t="n"/>
      <c r="Q188" s="18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row>
    <row r="189" ht="15.75" customHeight="1" s="216">
      <c r="A189" s="1" t="n"/>
      <c r="B189" s="1" t="n"/>
      <c r="C189" s="1" t="n"/>
      <c r="D189" s="1" t="n"/>
      <c r="E189" s="181" t="n"/>
      <c r="F189" s="181" t="n"/>
      <c r="G189" s="1" t="n"/>
      <c r="H189" s="1" t="n"/>
      <c r="I189" s="1" t="n"/>
      <c r="J189" s="1" t="n"/>
      <c r="K189" s="181" t="n"/>
      <c r="L189" s="181" t="n"/>
      <c r="M189" s="181" t="n"/>
      <c r="N189" s="1" t="n"/>
      <c r="O189" s="181" t="n"/>
      <c r="P189" s="181" t="n"/>
      <c r="Q189" s="18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row>
    <row r="190" ht="15.75" customHeight="1" s="216">
      <c r="A190" s="1" t="n"/>
      <c r="B190" s="1" t="n"/>
      <c r="C190" s="1" t="n"/>
      <c r="D190" s="1" t="n"/>
      <c r="E190" s="181" t="n"/>
      <c r="F190" s="181" t="n"/>
      <c r="G190" s="1" t="n"/>
      <c r="H190" s="1" t="n"/>
      <c r="I190" s="1" t="n"/>
      <c r="J190" s="1" t="n"/>
      <c r="K190" s="181" t="n"/>
      <c r="L190" s="181" t="n"/>
      <c r="M190" s="181" t="n"/>
      <c r="N190" s="1" t="n"/>
      <c r="O190" s="181" t="n"/>
      <c r="P190" s="181" t="n"/>
      <c r="Q190" s="18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row>
    <row r="191" ht="15.75" customHeight="1" s="216">
      <c r="A191" s="1" t="n"/>
      <c r="B191" s="1" t="n"/>
      <c r="C191" s="1" t="n"/>
      <c r="D191" s="1" t="n"/>
      <c r="E191" s="181" t="n"/>
      <c r="F191" s="181" t="n"/>
      <c r="G191" s="1" t="n"/>
      <c r="H191" s="1" t="n"/>
      <c r="I191" s="1" t="n"/>
      <c r="J191" s="1" t="n"/>
      <c r="K191" s="181" t="n"/>
      <c r="L191" s="181" t="n"/>
      <c r="M191" s="181" t="n"/>
      <c r="N191" s="1" t="n"/>
      <c r="O191" s="181" t="n"/>
      <c r="P191" s="181" t="n"/>
      <c r="Q191" s="18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row>
    <row r="192" ht="15.75" customHeight="1" s="216">
      <c r="A192" s="1" t="n"/>
      <c r="B192" s="1" t="n"/>
      <c r="C192" s="1" t="n"/>
      <c r="D192" s="1" t="n"/>
      <c r="E192" s="181" t="n"/>
      <c r="F192" s="181" t="n"/>
      <c r="G192" s="1" t="n"/>
      <c r="H192" s="1" t="n"/>
      <c r="I192" s="1" t="n"/>
      <c r="J192" s="1" t="n"/>
      <c r="K192" s="181" t="n"/>
      <c r="L192" s="181" t="n"/>
      <c r="M192" s="181" t="n"/>
      <c r="N192" s="1" t="n"/>
      <c r="O192" s="181" t="n"/>
      <c r="P192" s="181" t="n"/>
      <c r="Q192" s="18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row>
    <row r="193" ht="15.75" customHeight="1" s="216">
      <c r="A193" s="1" t="n"/>
      <c r="B193" s="1" t="n"/>
      <c r="C193" s="1" t="n"/>
      <c r="D193" s="1" t="n"/>
      <c r="E193" s="181" t="n"/>
      <c r="F193" s="181" t="n"/>
      <c r="G193" s="1" t="n"/>
      <c r="H193" s="1" t="n"/>
      <c r="I193" s="1" t="n"/>
      <c r="J193" s="1" t="n"/>
      <c r="K193" s="181" t="n"/>
      <c r="L193" s="181" t="n"/>
      <c r="M193" s="181" t="n"/>
      <c r="N193" s="1" t="n"/>
      <c r="O193" s="181" t="n"/>
      <c r="P193" s="181" t="n"/>
      <c r="Q193" s="18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row>
    <row r="194" ht="15.75" customHeight="1" s="216">
      <c r="A194" s="1" t="n"/>
      <c r="B194" s="1" t="n"/>
      <c r="C194" s="1" t="n"/>
      <c r="D194" s="1" t="n"/>
      <c r="E194" s="181" t="n"/>
      <c r="F194" s="181" t="n"/>
      <c r="G194" s="1" t="n"/>
      <c r="H194" s="1" t="n"/>
      <c r="I194" s="1" t="n"/>
      <c r="J194" s="1" t="n"/>
      <c r="K194" s="181" t="n"/>
      <c r="L194" s="181" t="n"/>
      <c r="M194" s="181" t="n"/>
      <c r="N194" s="1" t="n"/>
      <c r="O194" s="181" t="n"/>
      <c r="P194" s="181" t="n"/>
      <c r="Q194" s="18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row>
    <row r="195" ht="15.75" customHeight="1" s="216">
      <c r="A195" s="1" t="n"/>
      <c r="B195" s="1" t="n"/>
      <c r="C195" s="1" t="n"/>
      <c r="D195" s="1" t="n"/>
      <c r="E195" s="181" t="n"/>
      <c r="F195" s="181" t="n"/>
      <c r="G195" s="1" t="n"/>
      <c r="H195" s="1" t="n"/>
      <c r="I195" s="1" t="n"/>
      <c r="J195" s="1" t="n"/>
      <c r="K195" s="181" t="n"/>
      <c r="L195" s="181" t="n"/>
      <c r="M195" s="181" t="n"/>
      <c r="N195" s="1" t="n"/>
      <c r="O195" s="181" t="n"/>
      <c r="P195" s="181" t="n"/>
      <c r="Q195" s="18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row>
    <row r="196" ht="15.75" customHeight="1" s="216">
      <c r="A196" s="1" t="n"/>
      <c r="B196" s="1" t="n"/>
      <c r="C196" s="1" t="n"/>
      <c r="D196" s="1" t="n"/>
      <c r="E196" s="181" t="n"/>
      <c r="F196" s="181" t="n"/>
      <c r="G196" s="1" t="n"/>
      <c r="H196" s="1" t="n"/>
      <c r="I196" s="1" t="n"/>
      <c r="J196" s="1" t="n"/>
      <c r="K196" s="181" t="n"/>
      <c r="L196" s="181" t="n"/>
      <c r="M196" s="181" t="n"/>
      <c r="N196" s="1" t="n"/>
      <c r="O196" s="181" t="n"/>
      <c r="P196" s="181" t="n"/>
      <c r="Q196" s="18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row>
    <row r="197" ht="15.75" customHeight="1" s="216">
      <c r="A197" s="1" t="n"/>
      <c r="B197" s="1" t="n"/>
      <c r="C197" s="1" t="n"/>
      <c r="D197" s="1" t="n"/>
      <c r="E197" s="181" t="n"/>
      <c r="F197" s="181" t="n"/>
      <c r="G197" s="1" t="n"/>
      <c r="H197" s="1" t="n"/>
      <c r="I197" s="1" t="n"/>
      <c r="J197" s="1" t="n"/>
      <c r="K197" s="181" t="n"/>
      <c r="L197" s="181" t="n"/>
      <c r="M197" s="181" t="n"/>
      <c r="N197" s="1" t="n"/>
      <c r="O197" s="181" t="n"/>
      <c r="P197" s="181" t="n"/>
      <c r="Q197" s="18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row>
    <row r="198" ht="15.75" customHeight="1" s="216">
      <c r="A198" s="1" t="n"/>
      <c r="B198" s="1" t="n"/>
      <c r="C198" s="1" t="n"/>
      <c r="D198" s="1" t="n"/>
      <c r="E198" s="181" t="n"/>
      <c r="F198" s="181" t="n"/>
      <c r="G198" s="1" t="n"/>
      <c r="H198" s="1" t="n"/>
      <c r="I198" s="1" t="n"/>
      <c r="J198" s="1" t="n"/>
      <c r="K198" s="181" t="n"/>
      <c r="L198" s="181" t="n"/>
      <c r="M198" s="181" t="n"/>
      <c r="N198" s="1" t="n"/>
      <c r="O198" s="181" t="n"/>
      <c r="P198" s="181" t="n"/>
      <c r="Q198" s="18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row>
    <row r="199" ht="15.75" customHeight="1" s="216">
      <c r="A199" s="1" t="n"/>
      <c r="B199" s="1" t="n"/>
      <c r="C199" s="1" t="n"/>
      <c r="D199" s="1" t="n"/>
      <c r="E199" s="181" t="n"/>
      <c r="F199" s="181" t="n"/>
      <c r="G199" s="1" t="n"/>
      <c r="H199" s="1" t="n"/>
      <c r="I199" s="1" t="n"/>
      <c r="J199" s="1" t="n"/>
      <c r="K199" s="181" t="n"/>
      <c r="L199" s="181" t="n"/>
      <c r="M199" s="181" t="n"/>
      <c r="N199" s="1" t="n"/>
      <c r="O199" s="181" t="n"/>
      <c r="P199" s="181" t="n"/>
      <c r="Q199" s="18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row>
    <row r="200" ht="15.75" customHeight="1" s="216">
      <c r="A200" s="1" t="n"/>
      <c r="B200" s="1" t="n"/>
      <c r="C200" s="1" t="n"/>
      <c r="D200" s="1" t="n"/>
      <c r="E200" s="181" t="n"/>
      <c r="F200" s="181" t="n"/>
      <c r="G200" s="1" t="n"/>
      <c r="H200" s="1" t="n"/>
      <c r="I200" s="1" t="n"/>
      <c r="J200" s="1" t="n"/>
      <c r="K200" s="181" t="n"/>
      <c r="L200" s="181" t="n"/>
      <c r="M200" s="181" t="n"/>
      <c r="N200" s="1" t="n"/>
      <c r="O200" s="181" t="n"/>
      <c r="P200" s="181" t="n"/>
      <c r="Q200" s="18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row>
    <row r="201" ht="15.75" customHeight="1" s="216">
      <c r="A201" s="1" t="n"/>
      <c r="B201" s="1" t="n"/>
      <c r="C201" s="1" t="n"/>
      <c r="D201" s="1" t="n"/>
      <c r="E201" s="181" t="n"/>
      <c r="F201" s="181" t="n"/>
      <c r="G201" s="1" t="n"/>
      <c r="H201" s="1" t="n"/>
      <c r="I201" s="1" t="n"/>
      <c r="J201" s="1" t="n"/>
      <c r="K201" s="181" t="n"/>
      <c r="L201" s="181" t="n"/>
      <c r="M201" s="181" t="n"/>
      <c r="N201" s="1" t="n"/>
      <c r="O201" s="181" t="n"/>
      <c r="P201" s="181" t="n"/>
      <c r="Q201" s="18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row>
    <row r="202" ht="15.75" customHeight="1" s="216">
      <c r="A202" s="1" t="n"/>
      <c r="B202" s="1" t="n"/>
      <c r="C202" s="1" t="n"/>
      <c r="D202" s="1" t="n"/>
      <c r="E202" s="181" t="n"/>
      <c r="F202" s="181" t="n"/>
      <c r="G202" s="1" t="n"/>
      <c r="H202" s="1" t="n"/>
      <c r="I202" s="1" t="n"/>
      <c r="J202" s="1" t="n"/>
      <c r="K202" s="181" t="n"/>
      <c r="L202" s="181" t="n"/>
      <c r="M202" s="181" t="n"/>
      <c r="N202" s="1" t="n"/>
      <c r="O202" s="181" t="n"/>
      <c r="P202" s="181" t="n"/>
      <c r="Q202" s="18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row>
    <row r="203" ht="15.75" customHeight="1" s="216">
      <c r="A203" s="1" t="n"/>
      <c r="B203" s="1" t="n"/>
      <c r="C203" s="1" t="n"/>
      <c r="D203" s="1" t="n"/>
      <c r="E203" s="181" t="n"/>
      <c r="F203" s="181" t="n"/>
      <c r="G203" s="1" t="n"/>
      <c r="H203" s="1" t="n"/>
      <c r="I203" s="1" t="n"/>
      <c r="J203" s="1" t="n"/>
      <c r="K203" s="181" t="n"/>
      <c r="L203" s="181" t="n"/>
      <c r="M203" s="181" t="n"/>
      <c r="N203" s="1" t="n"/>
      <c r="O203" s="181" t="n"/>
      <c r="P203" s="181" t="n"/>
      <c r="Q203" s="18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row>
    <row r="204" ht="15.75" customHeight="1" s="216">
      <c r="A204" s="1" t="n"/>
      <c r="B204" s="1" t="n"/>
      <c r="C204" s="1" t="n"/>
      <c r="D204" s="1" t="n"/>
      <c r="E204" s="181" t="n"/>
      <c r="F204" s="181" t="n"/>
      <c r="G204" s="1" t="n"/>
      <c r="H204" s="1" t="n"/>
      <c r="I204" s="1" t="n"/>
      <c r="J204" s="1" t="n"/>
      <c r="K204" s="181" t="n"/>
      <c r="L204" s="181" t="n"/>
      <c r="M204" s="181" t="n"/>
      <c r="N204" s="1" t="n"/>
      <c r="O204" s="181" t="n"/>
      <c r="P204" s="181" t="n"/>
      <c r="Q204" s="18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row>
    <row r="205" ht="15.75" customHeight="1" s="216">
      <c r="A205" s="1" t="n"/>
      <c r="B205" s="1" t="n"/>
      <c r="C205" s="1" t="n"/>
      <c r="D205" s="1" t="n"/>
      <c r="E205" s="181" t="n"/>
      <c r="F205" s="181" t="n"/>
      <c r="G205" s="1" t="n"/>
      <c r="H205" s="1" t="n"/>
      <c r="I205" s="1" t="n"/>
      <c r="J205" s="1" t="n"/>
      <c r="K205" s="181" t="n"/>
      <c r="L205" s="181" t="n"/>
      <c r="M205" s="181" t="n"/>
      <c r="N205" s="1" t="n"/>
      <c r="O205" s="181" t="n"/>
      <c r="P205" s="181" t="n"/>
      <c r="Q205" s="18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row>
    <row r="206" ht="15.75" customHeight="1" s="216">
      <c r="A206" s="1" t="n"/>
      <c r="B206" s="1" t="n"/>
      <c r="C206" s="1" t="n"/>
      <c r="D206" s="1" t="n"/>
      <c r="E206" s="181" t="n"/>
      <c r="F206" s="181" t="n"/>
      <c r="G206" s="1" t="n"/>
      <c r="H206" s="1" t="n"/>
      <c r="I206" s="1" t="n"/>
      <c r="J206" s="1" t="n"/>
      <c r="K206" s="181" t="n"/>
      <c r="L206" s="181" t="n"/>
      <c r="M206" s="181" t="n"/>
      <c r="N206" s="1" t="n"/>
      <c r="O206" s="181" t="n"/>
      <c r="P206" s="181" t="n"/>
      <c r="Q206" s="18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row>
    <row r="207" ht="15.75" customHeight="1" s="216">
      <c r="A207" s="1" t="n"/>
      <c r="B207" s="1" t="n"/>
      <c r="C207" s="1" t="n"/>
      <c r="D207" s="1" t="n"/>
      <c r="E207" s="181" t="n"/>
      <c r="F207" s="181" t="n"/>
      <c r="G207" s="1" t="n"/>
      <c r="H207" s="1" t="n"/>
      <c r="I207" s="1" t="n"/>
      <c r="J207" s="1" t="n"/>
      <c r="K207" s="181" t="n"/>
      <c r="L207" s="181" t="n"/>
      <c r="M207" s="181" t="n"/>
      <c r="N207" s="1" t="n"/>
      <c r="O207" s="181" t="n"/>
      <c r="P207" s="181" t="n"/>
      <c r="Q207" s="18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row>
    <row r="208" ht="15.75" customHeight="1" s="216">
      <c r="A208" s="1" t="n"/>
      <c r="B208" s="1" t="n"/>
      <c r="C208" s="1" t="n"/>
      <c r="D208" s="1" t="n"/>
      <c r="E208" s="181" t="n"/>
      <c r="F208" s="181" t="n"/>
      <c r="G208" s="1" t="n"/>
      <c r="H208" s="1" t="n"/>
      <c r="I208" s="1" t="n"/>
      <c r="J208" s="1" t="n"/>
      <c r="K208" s="181" t="n"/>
      <c r="L208" s="181" t="n"/>
      <c r="M208" s="181" t="n"/>
      <c r="N208" s="1" t="n"/>
      <c r="O208" s="181" t="n"/>
      <c r="P208" s="181" t="n"/>
      <c r="Q208" s="18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row>
    <row r="209" ht="15.75" customHeight="1" s="216">
      <c r="A209" s="1" t="n"/>
      <c r="B209" s="1" t="n"/>
      <c r="C209" s="1" t="n"/>
      <c r="D209" s="1" t="n"/>
      <c r="E209" s="181" t="n"/>
      <c r="F209" s="181" t="n"/>
      <c r="G209" s="1" t="n"/>
      <c r="H209" s="1" t="n"/>
      <c r="I209" s="1" t="n"/>
      <c r="J209" s="1" t="n"/>
      <c r="K209" s="181" t="n"/>
      <c r="L209" s="181" t="n"/>
      <c r="M209" s="181" t="n"/>
      <c r="N209" s="1" t="n"/>
      <c r="O209" s="181" t="n"/>
      <c r="P209" s="181" t="n"/>
      <c r="Q209" s="18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row>
    <row r="210" ht="15.75" customHeight="1" s="216">
      <c r="A210" s="1" t="n"/>
      <c r="B210" s="1" t="n"/>
      <c r="C210" s="1" t="n"/>
      <c r="D210" s="1" t="n"/>
      <c r="E210" s="181" t="n"/>
      <c r="F210" s="181" t="n"/>
      <c r="G210" s="1" t="n"/>
      <c r="H210" s="1" t="n"/>
      <c r="I210" s="1" t="n"/>
      <c r="J210" s="1" t="n"/>
      <c r="K210" s="181" t="n"/>
      <c r="L210" s="181" t="n"/>
      <c r="M210" s="181" t="n"/>
      <c r="N210" s="1" t="n"/>
      <c r="O210" s="181" t="n"/>
      <c r="P210" s="181" t="n"/>
      <c r="Q210" s="18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row>
    <row r="211" ht="15.75" customHeight="1" s="216">
      <c r="A211" s="1" t="n"/>
      <c r="B211" s="1" t="n"/>
      <c r="C211" s="1" t="n"/>
      <c r="D211" s="1" t="n"/>
      <c r="E211" s="181" t="n"/>
      <c r="F211" s="181" t="n"/>
      <c r="G211" s="1" t="n"/>
      <c r="H211" s="1" t="n"/>
      <c r="I211" s="1" t="n"/>
      <c r="J211" s="1" t="n"/>
      <c r="K211" s="181" t="n"/>
      <c r="L211" s="181" t="n"/>
      <c r="M211" s="181" t="n"/>
      <c r="N211" s="1" t="n"/>
      <c r="O211" s="181" t="n"/>
      <c r="P211" s="181" t="n"/>
      <c r="Q211" s="18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row>
    <row r="212" ht="15.75" customHeight="1" s="216">
      <c r="A212" s="1" t="n"/>
      <c r="B212" s="1" t="n"/>
      <c r="C212" s="1" t="n"/>
      <c r="D212" s="1" t="n"/>
      <c r="E212" s="181" t="n"/>
      <c r="F212" s="181" t="n"/>
      <c r="G212" s="1" t="n"/>
      <c r="H212" s="1" t="n"/>
      <c r="I212" s="1" t="n"/>
      <c r="J212" s="1" t="n"/>
      <c r="K212" s="181" t="n"/>
      <c r="L212" s="181" t="n"/>
      <c r="M212" s="181" t="n"/>
      <c r="N212" s="1" t="n"/>
      <c r="O212" s="181" t="n"/>
      <c r="P212" s="181" t="n"/>
      <c r="Q212" s="18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row>
    <row r="213" ht="15.75" customHeight="1" s="216">
      <c r="A213" s="1" t="n"/>
      <c r="B213" s="1" t="n"/>
      <c r="C213" s="1" t="n"/>
      <c r="D213" s="1" t="n"/>
      <c r="E213" s="181" t="n"/>
      <c r="F213" s="181" t="n"/>
      <c r="G213" s="1" t="n"/>
      <c r="H213" s="1" t="n"/>
      <c r="I213" s="1" t="n"/>
      <c r="J213" s="1" t="n"/>
      <c r="K213" s="181" t="n"/>
      <c r="L213" s="181" t="n"/>
      <c r="M213" s="181" t="n"/>
      <c r="N213" s="1" t="n"/>
      <c r="O213" s="181" t="n"/>
      <c r="P213" s="181" t="n"/>
      <c r="Q213" s="18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row>
    <row r="214" ht="15.75" customHeight="1" s="216">
      <c r="A214" s="1" t="n"/>
      <c r="B214" s="1" t="n"/>
      <c r="C214" s="1" t="n"/>
      <c r="D214" s="1" t="n"/>
      <c r="E214" s="181" t="n"/>
      <c r="F214" s="181" t="n"/>
      <c r="G214" s="1" t="n"/>
      <c r="H214" s="1" t="n"/>
      <c r="I214" s="1" t="n"/>
      <c r="J214" s="1" t="n"/>
      <c r="K214" s="181" t="n"/>
      <c r="L214" s="181" t="n"/>
      <c r="M214" s="181" t="n"/>
      <c r="N214" s="1" t="n"/>
      <c r="O214" s="181" t="n"/>
      <c r="P214" s="181" t="n"/>
      <c r="Q214" s="18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row>
    <row r="215" ht="15.75" customHeight="1" s="216">
      <c r="A215" s="1" t="n"/>
      <c r="B215" s="1" t="n"/>
      <c r="C215" s="1" t="n"/>
      <c r="D215" s="1" t="n"/>
      <c r="E215" s="181" t="n"/>
      <c r="F215" s="181" t="n"/>
      <c r="G215" s="1" t="n"/>
      <c r="H215" s="1" t="n"/>
      <c r="I215" s="1" t="n"/>
      <c r="J215" s="1" t="n"/>
      <c r="K215" s="181" t="n"/>
      <c r="L215" s="181" t="n"/>
      <c r="M215" s="181" t="n"/>
      <c r="N215" s="1" t="n"/>
      <c r="O215" s="181" t="n"/>
      <c r="P215" s="181" t="n"/>
      <c r="Q215" s="18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row>
    <row r="216" ht="15.75" customHeight="1" s="216">
      <c r="A216" s="1" t="n"/>
      <c r="B216" s="1" t="n"/>
      <c r="C216" s="1" t="n"/>
      <c r="D216" s="1" t="n"/>
      <c r="E216" s="181" t="n"/>
      <c r="F216" s="181" t="n"/>
      <c r="G216" s="1" t="n"/>
      <c r="H216" s="1" t="n"/>
      <c r="I216" s="1" t="n"/>
      <c r="J216" s="1" t="n"/>
      <c r="K216" s="181" t="n"/>
      <c r="L216" s="181" t="n"/>
      <c r="M216" s="181" t="n"/>
      <c r="N216" s="1" t="n"/>
      <c r="O216" s="181" t="n"/>
      <c r="P216" s="181" t="n"/>
      <c r="Q216" s="18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row>
    <row r="217" ht="15.75" customHeight="1" s="216">
      <c r="A217" s="1" t="n"/>
      <c r="B217" s="1" t="n"/>
      <c r="C217" s="1" t="n"/>
      <c r="D217" s="1" t="n"/>
      <c r="E217" s="181" t="n"/>
      <c r="F217" s="181" t="n"/>
      <c r="G217" s="1" t="n"/>
      <c r="H217" s="1" t="n"/>
      <c r="I217" s="1" t="n"/>
      <c r="J217" s="1" t="n"/>
      <c r="K217" s="181" t="n"/>
      <c r="L217" s="181" t="n"/>
      <c r="M217" s="181" t="n"/>
      <c r="N217" s="1" t="n"/>
      <c r="O217" s="181" t="n"/>
      <c r="P217" s="181" t="n"/>
      <c r="Q217" s="18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row>
    <row r="218" ht="15.75" customHeight="1" s="216">
      <c r="A218" s="1" t="n"/>
      <c r="B218" s="1" t="n"/>
      <c r="C218" s="1" t="n"/>
      <c r="D218" s="1" t="n"/>
      <c r="E218" s="181" t="n"/>
      <c r="F218" s="181" t="n"/>
      <c r="G218" s="1" t="n"/>
      <c r="H218" s="1" t="n"/>
      <c r="I218" s="1" t="n"/>
      <c r="J218" s="1" t="n"/>
      <c r="K218" s="181" t="n"/>
      <c r="L218" s="181" t="n"/>
      <c r="M218" s="181" t="n"/>
      <c r="N218" s="1" t="n"/>
      <c r="O218" s="181" t="n"/>
      <c r="P218" s="181" t="n"/>
      <c r="Q218" s="18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row>
    <row r="219" ht="15.75" customHeight="1" s="216">
      <c r="A219" s="1" t="n"/>
      <c r="B219" s="1" t="n"/>
      <c r="C219" s="1" t="n"/>
      <c r="D219" s="1" t="n"/>
      <c r="E219" s="181" t="n"/>
      <c r="F219" s="181" t="n"/>
      <c r="G219" s="1" t="n"/>
      <c r="H219" s="1" t="n"/>
      <c r="I219" s="1" t="n"/>
      <c r="J219" s="1" t="n"/>
      <c r="K219" s="181" t="n"/>
      <c r="L219" s="181" t="n"/>
      <c r="M219" s="181" t="n"/>
      <c r="N219" s="1" t="n"/>
      <c r="O219" s="181" t="n"/>
      <c r="P219" s="181" t="n"/>
      <c r="Q219" s="18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row>
    <row r="220" ht="15.75" customHeight="1" s="216">
      <c r="A220" s="1" t="n"/>
      <c r="B220" s="1" t="n"/>
      <c r="C220" s="1" t="n"/>
      <c r="D220" s="1" t="n"/>
      <c r="E220" s="181" t="n"/>
      <c r="F220" s="181" t="n"/>
      <c r="G220" s="1" t="n"/>
      <c r="H220" s="1" t="n"/>
      <c r="I220" s="1" t="n"/>
      <c r="J220" s="1" t="n"/>
      <c r="K220" s="181" t="n"/>
      <c r="L220" s="181" t="n"/>
      <c r="M220" s="181" t="n"/>
      <c r="N220" s="1" t="n"/>
      <c r="O220" s="181" t="n"/>
      <c r="P220" s="181" t="n"/>
      <c r="Q220" s="18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row>
    <row r="221" ht="15.75" customHeight="1" s="216">
      <c r="D221" s="109" t="n"/>
      <c r="E221" s="109" t="n"/>
      <c r="J221" s="109" t="n"/>
      <c r="K221" s="109" t="n"/>
      <c r="L221" s="109" t="n"/>
      <c r="N221" s="109" t="n"/>
      <c r="O221" s="109" t="n"/>
      <c r="P221" s="109" t="n"/>
      <c r="T221" s="109" t="n"/>
      <c r="U221" s="109" t="n"/>
      <c r="V221" s="109" t="n"/>
      <c r="Z221" s="109" t="n"/>
      <c r="AA221" s="109" t="n"/>
      <c r="AB221" s="109" t="n"/>
      <c r="AF221" s="109" t="n"/>
      <c r="AG221" s="109" t="n"/>
      <c r="AH221" s="109" t="n"/>
      <c r="AL221" s="109" t="n"/>
      <c r="AM221" s="109" t="n"/>
      <c r="AN221" s="109" t="n"/>
    </row>
    <row r="222" ht="15.75" customHeight="1" s="216">
      <c r="D222" s="109" t="n"/>
      <c r="E222" s="109" t="n"/>
      <c r="J222" s="109" t="n"/>
      <c r="K222" s="109" t="n"/>
      <c r="L222" s="109" t="n"/>
      <c r="N222" s="109" t="n"/>
      <c r="O222" s="109" t="n"/>
      <c r="P222" s="109" t="n"/>
      <c r="T222" s="109" t="n"/>
      <c r="U222" s="109" t="n"/>
      <c r="V222" s="109" t="n"/>
      <c r="Z222" s="109" t="n"/>
      <c r="AA222" s="109" t="n"/>
      <c r="AB222" s="109" t="n"/>
      <c r="AF222" s="109" t="n"/>
      <c r="AG222" s="109" t="n"/>
      <c r="AH222" s="109" t="n"/>
      <c r="AL222" s="109" t="n"/>
      <c r="AM222" s="109" t="n"/>
      <c r="AN222" s="109" t="n"/>
    </row>
    <row r="223" ht="15.75" customHeight="1" s="216">
      <c r="D223" s="109" t="n"/>
      <c r="E223" s="109" t="n"/>
      <c r="J223" s="109" t="n"/>
      <c r="K223" s="109" t="n"/>
      <c r="L223" s="109" t="n"/>
      <c r="N223" s="109" t="n"/>
      <c r="O223" s="109" t="n"/>
      <c r="P223" s="109" t="n"/>
      <c r="T223" s="109" t="n"/>
      <c r="U223" s="109" t="n"/>
      <c r="V223" s="109" t="n"/>
      <c r="Z223" s="109" t="n"/>
      <c r="AA223" s="109" t="n"/>
      <c r="AB223" s="109" t="n"/>
      <c r="AF223" s="109" t="n"/>
      <c r="AG223" s="109" t="n"/>
      <c r="AH223" s="109" t="n"/>
      <c r="AL223" s="109" t="n"/>
      <c r="AM223" s="109" t="n"/>
      <c r="AN223" s="109" t="n"/>
    </row>
    <row r="224" ht="15.75" customHeight="1" s="216">
      <c r="D224" s="109" t="n"/>
      <c r="E224" s="109" t="n"/>
      <c r="J224" s="109" t="n"/>
      <c r="K224" s="109" t="n"/>
      <c r="L224" s="109" t="n"/>
      <c r="N224" s="109" t="n"/>
      <c r="O224" s="109" t="n"/>
      <c r="P224" s="109" t="n"/>
      <c r="T224" s="109" t="n"/>
      <c r="U224" s="109" t="n"/>
      <c r="V224" s="109" t="n"/>
      <c r="Z224" s="109" t="n"/>
      <c r="AA224" s="109" t="n"/>
      <c r="AB224" s="109" t="n"/>
      <c r="AF224" s="109" t="n"/>
      <c r="AG224" s="109" t="n"/>
      <c r="AH224" s="109" t="n"/>
      <c r="AL224" s="109" t="n"/>
      <c r="AM224" s="109" t="n"/>
      <c r="AN224" s="109" t="n"/>
    </row>
    <row r="225" ht="15.75" customHeight="1" s="216">
      <c r="D225" s="109" t="n"/>
      <c r="E225" s="109" t="n"/>
      <c r="J225" s="109" t="n"/>
      <c r="K225" s="109" t="n"/>
      <c r="L225" s="109" t="n"/>
      <c r="N225" s="109" t="n"/>
      <c r="O225" s="109" t="n"/>
      <c r="P225" s="109" t="n"/>
      <c r="T225" s="109" t="n"/>
      <c r="U225" s="109" t="n"/>
      <c r="V225" s="109" t="n"/>
      <c r="Z225" s="109" t="n"/>
      <c r="AA225" s="109" t="n"/>
      <c r="AB225" s="109" t="n"/>
      <c r="AF225" s="109" t="n"/>
      <c r="AG225" s="109" t="n"/>
      <c r="AH225" s="109" t="n"/>
      <c r="AL225" s="109" t="n"/>
      <c r="AM225" s="109" t="n"/>
      <c r="AN225" s="109" t="n"/>
    </row>
    <row r="226" ht="15.75" customHeight="1" s="216">
      <c r="D226" s="109" t="n"/>
      <c r="E226" s="109" t="n"/>
      <c r="J226" s="109" t="n"/>
      <c r="K226" s="109" t="n"/>
      <c r="L226" s="109" t="n"/>
      <c r="N226" s="109" t="n"/>
      <c r="O226" s="109" t="n"/>
      <c r="P226" s="109" t="n"/>
      <c r="T226" s="109" t="n"/>
      <c r="U226" s="109" t="n"/>
      <c r="V226" s="109" t="n"/>
      <c r="Z226" s="109" t="n"/>
      <c r="AA226" s="109" t="n"/>
      <c r="AB226" s="109" t="n"/>
      <c r="AF226" s="109" t="n"/>
      <c r="AG226" s="109" t="n"/>
      <c r="AH226" s="109" t="n"/>
      <c r="AL226" s="109" t="n"/>
      <c r="AM226" s="109" t="n"/>
      <c r="AN226" s="109" t="n"/>
    </row>
    <row r="227" ht="15.75" customHeight="1" s="216">
      <c r="D227" s="109" t="n"/>
      <c r="E227" s="109" t="n"/>
      <c r="J227" s="109" t="n"/>
      <c r="K227" s="109" t="n"/>
      <c r="L227" s="109" t="n"/>
      <c r="N227" s="109" t="n"/>
      <c r="O227" s="109" t="n"/>
      <c r="P227" s="109" t="n"/>
      <c r="T227" s="109" t="n"/>
      <c r="U227" s="109" t="n"/>
      <c r="V227" s="109" t="n"/>
      <c r="Z227" s="109" t="n"/>
      <c r="AA227" s="109" t="n"/>
      <c r="AB227" s="109" t="n"/>
      <c r="AF227" s="109" t="n"/>
      <c r="AG227" s="109" t="n"/>
      <c r="AH227" s="109" t="n"/>
      <c r="AL227" s="109" t="n"/>
      <c r="AM227" s="109" t="n"/>
      <c r="AN227" s="109" t="n"/>
    </row>
    <row r="228" ht="15.75" customHeight="1" s="216">
      <c r="D228" s="109" t="n"/>
      <c r="E228" s="109" t="n"/>
      <c r="J228" s="109" t="n"/>
      <c r="K228" s="109" t="n"/>
      <c r="L228" s="109" t="n"/>
      <c r="N228" s="109" t="n"/>
      <c r="O228" s="109" t="n"/>
      <c r="P228" s="109" t="n"/>
      <c r="T228" s="109" t="n"/>
      <c r="U228" s="109" t="n"/>
      <c r="V228" s="109" t="n"/>
      <c r="Z228" s="109" t="n"/>
      <c r="AA228" s="109" t="n"/>
      <c r="AB228" s="109" t="n"/>
      <c r="AF228" s="109" t="n"/>
      <c r="AG228" s="109" t="n"/>
      <c r="AH228" s="109" t="n"/>
      <c r="AL228" s="109" t="n"/>
      <c r="AM228" s="109" t="n"/>
      <c r="AN228" s="109" t="n"/>
    </row>
    <row r="229" ht="15.75" customHeight="1" s="216">
      <c r="D229" s="109" t="n"/>
      <c r="E229" s="109" t="n"/>
      <c r="J229" s="109" t="n"/>
      <c r="K229" s="109" t="n"/>
      <c r="L229" s="109" t="n"/>
      <c r="N229" s="109" t="n"/>
      <c r="O229" s="109" t="n"/>
      <c r="P229" s="109" t="n"/>
      <c r="T229" s="109" t="n"/>
      <c r="U229" s="109" t="n"/>
      <c r="V229" s="109" t="n"/>
      <c r="Z229" s="109" t="n"/>
      <c r="AA229" s="109" t="n"/>
      <c r="AB229" s="109" t="n"/>
      <c r="AF229" s="109" t="n"/>
      <c r="AG229" s="109" t="n"/>
      <c r="AH229" s="109" t="n"/>
      <c r="AL229" s="109" t="n"/>
      <c r="AM229" s="109" t="n"/>
      <c r="AN229" s="109" t="n"/>
    </row>
    <row r="230" ht="15.75" customHeight="1" s="216">
      <c r="D230" s="109" t="n"/>
      <c r="E230" s="109" t="n"/>
      <c r="J230" s="109" t="n"/>
      <c r="K230" s="109" t="n"/>
      <c r="L230" s="109" t="n"/>
      <c r="N230" s="109" t="n"/>
      <c r="O230" s="109" t="n"/>
      <c r="P230" s="109" t="n"/>
      <c r="T230" s="109" t="n"/>
      <c r="U230" s="109" t="n"/>
      <c r="V230" s="109" t="n"/>
      <c r="Z230" s="109" t="n"/>
      <c r="AA230" s="109" t="n"/>
      <c r="AB230" s="109" t="n"/>
      <c r="AF230" s="109" t="n"/>
      <c r="AG230" s="109" t="n"/>
      <c r="AH230" s="109" t="n"/>
      <c r="AL230" s="109" t="n"/>
      <c r="AM230" s="109" t="n"/>
      <c r="AN230" s="109" t="n"/>
    </row>
    <row r="231" ht="15.75" customHeight="1" s="216">
      <c r="D231" s="109" t="n"/>
      <c r="E231" s="109" t="n"/>
      <c r="J231" s="109" t="n"/>
      <c r="K231" s="109" t="n"/>
      <c r="L231" s="109" t="n"/>
      <c r="N231" s="109" t="n"/>
      <c r="O231" s="109" t="n"/>
      <c r="P231" s="109" t="n"/>
      <c r="T231" s="109" t="n"/>
      <c r="U231" s="109" t="n"/>
      <c r="V231" s="109" t="n"/>
      <c r="Z231" s="109" t="n"/>
      <c r="AA231" s="109" t="n"/>
      <c r="AB231" s="109" t="n"/>
      <c r="AF231" s="109" t="n"/>
      <c r="AG231" s="109" t="n"/>
      <c r="AH231" s="109" t="n"/>
      <c r="AL231" s="109" t="n"/>
      <c r="AM231" s="109" t="n"/>
      <c r="AN231" s="109" t="n"/>
    </row>
    <row r="232" ht="15.75" customHeight="1" s="216">
      <c r="D232" s="109" t="n"/>
      <c r="E232" s="109" t="n"/>
      <c r="J232" s="109" t="n"/>
      <c r="K232" s="109" t="n"/>
      <c r="L232" s="109" t="n"/>
      <c r="N232" s="109" t="n"/>
      <c r="O232" s="109" t="n"/>
      <c r="P232" s="109" t="n"/>
      <c r="T232" s="109" t="n"/>
      <c r="U232" s="109" t="n"/>
      <c r="V232" s="109" t="n"/>
      <c r="Z232" s="109" t="n"/>
      <c r="AA232" s="109" t="n"/>
      <c r="AB232" s="109" t="n"/>
      <c r="AF232" s="109" t="n"/>
      <c r="AG232" s="109" t="n"/>
      <c r="AH232" s="109" t="n"/>
      <c r="AL232" s="109" t="n"/>
      <c r="AM232" s="109" t="n"/>
      <c r="AN232" s="109" t="n"/>
    </row>
    <row r="233" ht="15.75" customHeight="1" s="216">
      <c r="D233" s="109" t="n"/>
      <c r="E233" s="109" t="n"/>
      <c r="J233" s="109" t="n"/>
      <c r="K233" s="109" t="n"/>
      <c r="L233" s="109" t="n"/>
      <c r="N233" s="109" t="n"/>
      <c r="O233" s="109" t="n"/>
      <c r="P233" s="109" t="n"/>
      <c r="T233" s="109" t="n"/>
      <c r="U233" s="109" t="n"/>
      <c r="V233" s="109" t="n"/>
      <c r="Z233" s="109" t="n"/>
      <c r="AA233" s="109" t="n"/>
      <c r="AB233" s="109" t="n"/>
      <c r="AF233" s="109" t="n"/>
      <c r="AG233" s="109" t="n"/>
      <c r="AH233" s="109" t="n"/>
      <c r="AL233" s="109" t="n"/>
      <c r="AM233" s="109" t="n"/>
      <c r="AN233" s="109" t="n"/>
    </row>
    <row r="234" ht="15.75" customHeight="1" s="216">
      <c r="D234" s="109" t="n"/>
      <c r="E234" s="109" t="n"/>
      <c r="J234" s="109" t="n"/>
      <c r="K234" s="109" t="n"/>
      <c r="L234" s="109" t="n"/>
      <c r="N234" s="109" t="n"/>
      <c r="O234" s="109" t="n"/>
      <c r="P234" s="109" t="n"/>
      <c r="T234" s="109" t="n"/>
      <c r="U234" s="109" t="n"/>
      <c r="V234" s="109" t="n"/>
      <c r="Z234" s="109" t="n"/>
      <c r="AA234" s="109" t="n"/>
      <c r="AB234" s="109" t="n"/>
      <c r="AF234" s="109" t="n"/>
      <c r="AG234" s="109" t="n"/>
      <c r="AH234" s="109" t="n"/>
      <c r="AL234" s="109" t="n"/>
      <c r="AM234" s="109" t="n"/>
      <c r="AN234" s="109" t="n"/>
    </row>
    <row r="235" ht="15.75" customHeight="1" s="216">
      <c r="D235" s="109" t="n"/>
      <c r="E235" s="109" t="n"/>
      <c r="J235" s="109" t="n"/>
      <c r="K235" s="109" t="n"/>
      <c r="L235" s="109" t="n"/>
      <c r="N235" s="109" t="n"/>
      <c r="O235" s="109" t="n"/>
      <c r="P235" s="109" t="n"/>
      <c r="T235" s="109" t="n"/>
      <c r="U235" s="109" t="n"/>
      <c r="V235" s="109" t="n"/>
      <c r="Z235" s="109" t="n"/>
      <c r="AA235" s="109" t="n"/>
      <c r="AB235" s="109" t="n"/>
      <c r="AF235" s="109" t="n"/>
      <c r="AG235" s="109" t="n"/>
      <c r="AH235" s="109" t="n"/>
      <c r="AL235" s="109" t="n"/>
      <c r="AM235" s="109" t="n"/>
      <c r="AN235" s="109" t="n"/>
    </row>
    <row r="236" ht="15.75" customHeight="1" s="216">
      <c r="D236" s="109" t="n"/>
      <c r="E236" s="109" t="n"/>
      <c r="J236" s="109" t="n"/>
      <c r="K236" s="109" t="n"/>
      <c r="L236" s="109" t="n"/>
      <c r="N236" s="109" t="n"/>
      <c r="O236" s="109" t="n"/>
      <c r="P236" s="109" t="n"/>
      <c r="T236" s="109" t="n"/>
      <c r="U236" s="109" t="n"/>
      <c r="V236" s="109" t="n"/>
      <c r="Z236" s="109" t="n"/>
      <c r="AA236" s="109" t="n"/>
      <c r="AB236" s="109" t="n"/>
      <c r="AF236" s="109" t="n"/>
      <c r="AG236" s="109" t="n"/>
      <c r="AH236" s="109" t="n"/>
      <c r="AL236" s="109" t="n"/>
      <c r="AM236" s="109" t="n"/>
      <c r="AN236" s="109" t="n"/>
    </row>
    <row r="237" ht="15.75" customHeight="1" s="216">
      <c r="D237" s="109" t="n"/>
      <c r="E237" s="109" t="n"/>
      <c r="J237" s="109" t="n"/>
      <c r="K237" s="109" t="n"/>
      <c r="L237" s="109" t="n"/>
      <c r="N237" s="109" t="n"/>
      <c r="O237" s="109" t="n"/>
      <c r="P237" s="109" t="n"/>
      <c r="T237" s="109" t="n"/>
      <c r="U237" s="109" t="n"/>
      <c r="V237" s="109" t="n"/>
      <c r="Z237" s="109" t="n"/>
      <c r="AA237" s="109" t="n"/>
      <c r="AB237" s="109" t="n"/>
      <c r="AF237" s="109" t="n"/>
      <c r="AG237" s="109" t="n"/>
      <c r="AH237" s="109" t="n"/>
      <c r="AL237" s="109" t="n"/>
      <c r="AM237" s="109" t="n"/>
      <c r="AN237" s="109" t="n"/>
    </row>
    <row r="238" ht="15.75" customHeight="1" s="216">
      <c r="D238" s="109" t="n"/>
      <c r="E238" s="109" t="n"/>
      <c r="J238" s="109" t="n"/>
      <c r="K238" s="109" t="n"/>
      <c r="L238" s="109" t="n"/>
      <c r="N238" s="109" t="n"/>
      <c r="O238" s="109" t="n"/>
      <c r="P238" s="109" t="n"/>
      <c r="T238" s="109" t="n"/>
      <c r="U238" s="109" t="n"/>
      <c r="V238" s="109" t="n"/>
      <c r="Z238" s="109" t="n"/>
      <c r="AA238" s="109" t="n"/>
      <c r="AB238" s="109" t="n"/>
      <c r="AF238" s="109" t="n"/>
      <c r="AG238" s="109" t="n"/>
      <c r="AH238" s="109" t="n"/>
      <c r="AL238" s="109" t="n"/>
      <c r="AM238" s="109" t="n"/>
      <c r="AN238" s="109" t="n"/>
    </row>
    <row r="239" ht="15.75" customHeight="1" s="216">
      <c r="D239" s="109" t="n"/>
      <c r="E239" s="109" t="n"/>
      <c r="J239" s="109" t="n"/>
      <c r="K239" s="109" t="n"/>
      <c r="L239" s="109" t="n"/>
      <c r="N239" s="109" t="n"/>
      <c r="O239" s="109" t="n"/>
      <c r="P239" s="109" t="n"/>
      <c r="T239" s="109" t="n"/>
      <c r="U239" s="109" t="n"/>
      <c r="V239" s="109" t="n"/>
      <c r="Z239" s="109" t="n"/>
      <c r="AA239" s="109" t="n"/>
      <c r="AB239" s="109" t="n"/>
      <c r="AF239" s="109" t="n"/>
      <c r="AG239" s="109" t="n"/>
      <c r="AH239" s="109" t="n"/>
      <c r="AL239" s="109" t="n"/>
      <c r="AM239" s="109" t="n"/>
      <c r="AN239" s="109" t="n"/>
    </row>
    <row r="240" ht="15.75" customHeight="1" s="216">
      <c r="D240" s="109" t="n"/>
      <c r="E240" s="109" t="n"/>
      <c r="J240" s="109" t="n"/>
      <c r="K240" s="109" t="n"/>
      <c r="L240" s="109" t="n"/>
      <c r="N240" s="109" t="n"/>
      <c r="O240" s="109" t="n"/>
      <c r="P240" s="109" t="n"/>
      <c r="T240" s="109" t="n"/>
      <c r="U240" s="109" t="n"/>
      <c r="V240" s="109" t="n"/>
      <c r="Z240" s="109" t="n"/>
      <c r="AA240" s="109" t="n"/>
      <c r="AB240" s="109" t="n"/>
      <c r="AF240" s="109" t="n"/>
      <c r="AG240" s="109" t="n"/>
      <c r="AH240" s="109" t="n"/>
      <c r="AL240" s="109" t="n"/>
      <c r="AM240" s="109" t="n"/>
      <c r="AN240" s="109" t="n"/>
    </row>
    <row r="241" ht="15.75" customHeight="1" s="216">
      <c r="D241" s="109" t="n"/>
      <c r="E241" s="109" t="n"/>
      <c r="J241" s="109" t="n"/>
      <c r="K241" s="109" t="n"/>
      <c r="L241" s="109" t="n"/>
      <c r="N241" s="109" t="n"/>
      <c r="O241" s="109" t="n"/>
      <c r="P241" s="109" t="n"/>
      <c r="T241" s="109" t="n"/>
      <c r="U241" s="109" t="n"/>
      <c r="V241" s="109" t="n"/>
      <c r="Z241" s="109" t="n"/>
      <c r="AA241" s="109" t="n"/>
      <c r="AB241" s="109" t="n"/>
      <c r="AF241" s="109" t="n"/>
      <c r="AG241" s="109" t="n"/>
      <c r="AH241" s="109" t="n"/>
      <c r="AL241" s="109" t="n"/>
      <c r="AM241" s="109" t="n"/>
      <c r="AN241" s="109" t="n"/>
    </row>
    <row r="242" ht="15.75" customHeight="1" s="216">
      <c r="D242" s="109" t="n"/>
      <c r="E242" s="109" t="n"/>
      <c r="J242" s="109" t="n"/>
      <c r="K242" s="109" t="n"/>
      <c r="L242" s="109" t="n"/>
      <c r="N242" s="109" t="n"/>
      <c r="O242" s="109" t="n"/>
      <c r="P242" s="109" t="n"/>
      <c r="T242" s="109" t="n"/>
      <c r="U242" s="109" t="n"/>
      <c r="V242" s="109" t="n"/>
      <c r="Z242" s="109" t="n"/>
      <c r="AA242" s="109" t="n"/>
      <c r="AB242" s="109" t="n"/>
      <c r="AF242" s="109" t="n"/>
      <c r="AG242" s="109" t="n"/>
      <c r="AH242" s="109" t="n"/>
      <c r="AL242" s="109" t="n"/>
      <c r="AM242" s="109" t="n"/>
      <c r="AN242" s="109" t="n"/>
    </row>
    <row r="243" ht="15.75" customHeight="1" s="216">
      <c r="D243" s="109" t="n"/>
      <c r="E243" s="109" t="n"/>
      <c r="J243" s="109" t="n"/>
      <c r="K243" s="109" t="n"/>
      <c r="L243" s="109" t="n"/>
      <c r="N243" s="109" t="n"/>
      <c r="O243" s="109" t="n"/>
      <c r="P243" s="109" t="n"/>
      <c r="T243" s="109" t="n"/>
      <c r="U243" s="109" t="n"/>
      <c r="V243" s="109" t="n"/>
      <c r="Z243" s="109" t="n"/>
      <c r="AA243" s="109" t="n"/>
      <c r="AB243" s="109" t="n"/>
      <c r="AF243" s="109" t="n"/>
      <c r="AG243" s="109" t="n"/>
      <c r="AH243" s="109" t="n"/>
      <c r="AL243" s="109" t="n"/>
      <c r="AM243" s="109" t="n"/>
      <c r="AN243" s="109" t="n"/>
    </row>
    <row r="244" ht="15.75" customHeight="1" s="216">
      <c r="D244" s="109" t="n"/>
      <c r="E244" s="109" t="n"/>
      <c r="J244" s="109" t="n"/>
      <c r="K244" s="109" t="n"/>
      <c r="L244" s="109" t="n"/>
      <c r="N244" s="109" t="n"/>
      <c r="O244" s="109" t="n"/>
      <c r="P244" s="109" t="n"/>
      <c r="T244" s="109" t="n"/>
      <c r="U244" s="109" t="n"/>
      <c r="V244" s="109" t="n"/>
      <c r="Z244" s="109" t="n"/>
      <c r="AA244" s="109" t="n"/>
      <c r="AB244" s="109" t="n"/>
      <c r="AF244" s="109" t="n"/>
      <c r="AG244" s="109" t="n"/>
      <c r="AH244" s="109" t="n"/>
      <c r="AL244" s="109" t="n"/>
      <c r="AM244" s="109" t="n"/>
      <c r="AN244" s="109" t="n"/>
    </row>
    <row r="245" ht="15.75" customHeight="1" s="216">
      <c r="D245" s="109" t="n"/>
      <c r="E245" s="109" t="n"/>
      <c r="J245" s="109" t="n"/>
      <c r="K245" s="109" t="n"/>
      <c r="L245" s="109" t="n"/>
      <c r="N245" s="109" t="n"/>
      <c r="O245" s="109" t="n"/>
      <c r="P245" s="109" t="n"/>
      <c r="T245" s="109" t="n"/>
      <c r="U245" s="109" t="n"/>
      <c r="V245" s="109" t="n"/>
      <c r="Z245" s="109" t="n"/>
      <c r="AA245" s="109" t="n"/>
      <c r="AB245" s="109" t="n"/>
      <c r="AF245" s="109" t="n"/>
      <c r="AG245" s="109" t="n"/>
      <c r="AH245" s="109" t="n"/>
      <c r="AL245" s="109" t="n"/>
      <c r="AM245" s="109" t="n"/>
      <c r="AN245" s="109" t="n"/>
    </row>
    <row r="246" ht="15.75" customHeight="1" s="216">
      <c r="D246" s="109" t="n"/>
      <c r="E246" s="109" t="n"/>
      <c r="J246" s="109" t="n"/>
      <c r="K246" s="109" t="n"/>
      <c r="L246" s="109" t="n"/>
      <c r="N246" s="109" t="n"/>
      <c r="O246" s="109" t="n"/>
      <c r="P246" s="109" t="n"/>
      <c r="T246" s="109" t="n"/>
      <c r="U246" s="109" t="n"/>
      <c r="V246" s="109" t="n"/>
      <c r="Z246" s="109" t="n"/>
      <c r="AA246" s="109" t="n"/>
      <c r="AB246" s="109" t="n"/>
      <c r="AF246" s="109" t="n"/>
      <c r="AG246" s="109" t="n"/>
      <c r="AH246" s="109" t="n"/>
      <c r="AL246" s="109" t="n"/>
      <c r="AM246" s="109" t="n"/>
      <c r="AN246" s="109" t="n"/>
    </row>
    <row r="247" ht="15.75" customHeight="1" s="216">
      <c r="D247" s="109" t="n"/>
      <c r="E247" s="109" t="n"/>
      <c r="J247" s="109" t="n"/>
      <c r="K247" s="109" t="n"/>
      <c r="L247" s="109" t="n"/>
      <c r="N247" s="109" t="n"/>
      <c r="O247" s="109" t="n"/>
      <c r="P247" s="109" t="n"/>
      <c r="T247" s="109" t="n"/>
      <c r="U247" s="109" t="n"/>
      <c r="V247" s="109" t="n"/>
      <c r="Z247" s="109" t="n"/>
      <c r="AA247" s="109" t="n"/>
      <c r="AB247" s="109" t="n"/>
      <c r="AF247" s="109" t="n"/>
      <c r="AG247" s="109" t="n"/>
      <c r="AH247" s="109" t="n"/>
      <c r="AL247" s="109" t="n"/>
      <c r="AM247" s="109" t="n"/>
      <c r="AN247" s="109" t="n"/>
    </row>
    <row r="248" ht="15.75" customHeight="1" s="216">
      <c r="D248" s="109" t="n"/>
      <c r="E248" s="109" t="n"/>
      <c r="J248" s="109" t="n"/>
      <c r="K248" s="109" t="n"/>
      <c r="L248" s="109" t="n"/>
      <c r="N248" s="109" t="n"/>
      <c r="O248" s="109" t="n"/>
      <c r="P248" s="109" t="n"/>
      <c r="T248" s="109" t="n"/>
      <c r="U248" s="109" t="n"/>
      <c r="V248" s="109" t="n"/>
      <c r="Z248" s="109" t="n"/>
      <c r="AA248" s="109" t="n"/>
      <c r="AB248" s="109" t="n"/>
      <c r="AF248" s="109" t="n"/>
      <c r="AG248" s="109" t="n"/>
      <c r="AH248" s="109" t="n"/>
      <c r="AL248" s="109" t="n"/>
      <c r="AM248" s="109" t="n"/>
      <c r="AN248" s="109" t="n"/>
    </row>
    <row r="249" ht="15.75" customHeight="1" s="216">
      <c r="D249" s="109" t="n"/>
      <c r="E249" s="109" t="n"/>
      <c r="J249" s="109" t="n"/>
      <c r="K249" s="109" t="n"/>
      <c r="L249" s="109" t="n"/>
      <c r="N249" s="109" t="n"/>
      <c r="O249" s="109" t="n"/>
      <c r="P249" s="109" t="n"/>
      <c r="T249" s="109" t="n"/>
      <c r="U249" s="109" t="n"/>
      <c r="V249" s="109" t="n"/>
      <c r="Z249" s="109" t="n"/>
      <c r="AA249" s="109" t="n"/>
      <c r="AB249" s="109" t="n"/>
      <c r="AF249" s="109" t="n"/>
      <c r="AG249" s="109" t="n"/>
      <c r="AH249" s="109" t="n"/>
      <c r="AL249" s="109" t="n"/>
      <c r="AM249" s="109" t="n"/>
      <c r="AN249" s="109" t="n"/>
    </row>
    <row r="250" ht="15.75" customHeight="1" s="216">
      <c r="D250" s="109" t="n"/>
      <c r="E250" s="109" t="n"/>
      <c r="J250" s="109" t="n"/>
      <c r="K250" s="109" t="n"/>
      <c r="L250" s="109" t="n"/>
      <c r="N250" s="109" t="n"/>
      <c r="O250" s="109" t="n"/>
      <c r="P250" s="109" t="n"/>
      <c r="T250" s="109" t="n"/>
      <c r="U250" s="109" t="n"/>
      <c r="V250" s="109" t="n"/>
      <c r="Z250" s="109" t="n"/>
      <c r="AA250" s="109" t="n"/>
      <c r="AB250" s="109" t="n"/>
      <c r="AF250" s="109" t="n"/>
      <c r="AG250" s="109" t="n"/>
      <c r="AH250" s="109" t="n"/>
      <c r="AL250" s="109" t="n"/>
      <c r="AM250" s="109" t="n"/>
      <c r="AN250" s="109" t="n"/>
    </row>
    <row r="251" ht="15.75" customHeight="1" s="216">
      <c r="D251" s="109" t="n"/>
      <c r="E251" s="109" t="n"/>
      <c r="J251" s="109" t="n"/>
      <c r="K251" s="109" t="n"/>
      <c r="L251" s="109" t="n"/>
      <c r="N251" s="109" t="n"/>
      <c r="O251" s="109" t="n"/>
      <c r="P251" s="109" t="n"/>
      <c r="T251" s="109" t="n"/>
      <c r="U251" s="109" t="n"/>
      <c r="V251" s="109" t="n"/>
      <c r="Z251" s="109" t="n"/>
      <c r="AA251" s="109" t="n"/>
      <c r="AB251" s="109" t="n"/>
      <c r="AF251" s="109" t="n"/>
      <c r="AG251" s="109" t="n"/>
      <c r="AH251" s="109" t="n"/>
      <c r="AL251" s="109" t="n"/>
      <c r="AM251" s="109" t="n"/>
      <c r="AN251" s="109" t="n"/>
    </row>
    <row r="252" ht="15.75" customHeight="1" s="216">
      <c r="D252" s="109" t="n"/>
      <c r="E252" s="109" t="n"/>
      <c r="J252" s="109" t="n"/>
      <c r="K252" s="109" t="n"/>
      <c r="L252" s="109" t="n"/>
      <c r="N252" s="109" t="n"/>
      <c r="O252" s="109" t="n"/>
      <c r="P252" s="109" t="n"/>
      <c r="T252" s="109" t="n"/>
      <c r="U252" s="109" t="n"/>
      <c r="V252" s="109" t="n"/>
      <c r="Z252" s="109" t="n"/>
      <c r="AA252" s="109" t="n"/>
      <c r="AB252" s="109" t="n"/>
      <c r="AF252" s="109" t="n"/>
      <c r="AG252" s="109" t="n"/>
      <c r="AH252" s="109" t="n"/>
      <c r="AL252" s="109" t="n"/>
      <c r="AM252" s="109" t="n"/>
      <c r="AN252" s="109" t="n"/>
    </row>
    <row r="253" ht="15.75" customHeight="1" s="216">
      <c r="D253" s="109" t="n"/>
      <c r="E253" s="109" t="n"/>
      <c r="J253" s="109" t="n"/>
      <c r="K253" s="109" t="n"/>
      <c r="L253" s="109" t="n"/>
      <c r="N253" s="109" t="n"/>
      <c r="O253" s="109" t="n"/>
      <c r="P253" s="109" t="n"/>
      <c r="T253" s="109" t="n"/>
      <c r="U253" s="109" t="n"/>
      <c r="V253" s="109" t="n"/>
      <c r="Z253" s="109" t="n"/>
      <c r="AA253" s="109" t="n"/>
      <c r="AB253" s="109" t="n"/>
      <c r="AF253" s="109" t="n"/>
      <c r="AG253" s="109" t="n"/>
      <c r="AH253" s="109" t="n"/>
      <c r="AL253" s="109" t="n"/>
      <c r="AM253" s="109" t="n"/>
      <c r="AN253" s="109" t="n"/>
    </row>
    <row r="254" ht="15.75" customHeight="1" s="216">
      <c r="D254" s="109" t="n"/>
      <c r="E254" s="109" t="n"/>
      <c r="J254" s="109" t="n"/>
      <c r="K254" s="109" t="n"/>
      <c r="L254" s="109" t="n"/>
      <c r="N254" s="109" t="n"/>
      <c r="O254" s="109" t="n"/>
      <c r="P254" s="109" t="n"/>
      <c r="T254" s="109" t="n"/>
      <c r="U254" s="109" t="n"/>
      <c r="V254" s="109" t="n"/>
      <c r="Z254" s="109" t="n"/>
      <c r="AA254" s="109" t="n"/>
      <c r="AB254" s="109" t="n"/>
      <c r="AF254" s="109" t="n"/>
      <c r="AG254" s="109" t="n"/>
      <c r="AH254" s="109" t="n"/>
      <c r="AL254" s="109" t="n"/>
      <c r="AM254" s="109" t="n"/>
      <c r="AN254" s="109" t="n"/>
    </row>
    <row r="255" ht="15.75" customHeight="1" s="216">
      <c r="D255" s="109" t="n"/>
      <c r="E255" s="109" t="n"/>
      <c r="J255" s="109" t="n"/>
      <c r="K255" s="109" t="n"/>
      <c r="L255" s="109" t="n"/>
      <c r="N255" s="109" t="n"/>
      <c r="O255" s="109" t="n"/>
      <c r="P255" s="109" t="n"/>
      <c r="T255" s="109" t="n"/>
      <c r="U255" s="109" t="n"/>
      <c r="V255" s="109" t="n"/>
      <c r="Z255" s="109" t="n"/>
      <c r="AA255" s="109" t="n"/>
      <c r="AB255" s="109" t="n"/>
      <c r="AF255" s="109" t="n"/>
      <c r="AG255" s="109" t="n"/>
      <c r="AH255" s="109" t="n"/>
      <c r="AL255" s="109" t="n"/>
      <c r="AM255" s="109" t="n"/>
      <c r="AN255" s="109" t="n"/>
    </row>
    <row r="256" ht="15.75" customHeight="1" s="216">
      <c r="D256" s="109" t="n"/>
      <c r="E256" s="109" t="n"/>
      <c r="J256" s="109" t="n"/>
      <c r="K256" s="109" t="n"/>
      <c r="L256" s="109" t="n"/>
      <c r="N256" s="109" t="n"/>
      <c r="O256" s="109" t="n"/>
      <c r="P256" s="109" t="n"/>
      <c r="T256" s="109" t="n"/>
      <c r="U256" s="109" t="n"/>
      <c r="V256" s="109" t="n"/>
      <c r="Z256" s="109" t="n"/>
      <c r="AA256" s="109" t="n"/>
      <c r="AB256" s="109" t="n"/>
      <c r="AF256" s="109" t="n"/>
      <c r="AG256" s="109" t="n"/>
      <c r="AH256" s="109" t="n"/>
      <c r="AL256" s="109" t="n"/>
      <c r="AM256" s="109" t="n"/>
      <c r="AN256" s="109" t="n"/>
    </row>
    <row r="257" ht="15.75" customHeight="1" s="216">
      <c r="D257" s="109" t="n"/>
      <c r="E257" s="109" t="n"/>
      <c r="J257" s="109" t="n"/>
      <c r="K257" s="109" t="n"/>
      <c r="L257" s="109" t="n"/>
      <c r="N257" s="109" t="n"/>
      <c r="O257" s="109" t="n"/>
      <c r="P257" s="109" t="n"/>
      <c r="T257" s="109" t="n"/>
      <c r="U257" s="109" t="n"/>
      <c r="V257" s="109" t="n"/>
      <c r="Z257" s="109" t="n"/>
      <c r="AA257" s="109" t="n"/>
      <c r="AB257" s="109" t="n"/>
      <c r="AF257" s="109" t="n"/>
      <c r="AG257" s="109" t="n"/>
      <c r="AH257" s="109" t="n"/>
      <c r="AL257" s="109" t="n"/>
      <c r="AM257" s="109" t="n"/>
      <c r="AN257" s="109" t="n"/>
    </row>
    <row r="258" ht="15.75" customHeight="1" s="216">
      <c r="D258" s="109" t="n"/>
      <c r="E258" s="109" t="n"/>
      <c r="J258" s="109" t="n"/>
      <c r="K258" s="109" t="n"/>
      <c r="L258" s="109" t="n"/>
      <c r="N258" s="109" t="n"/>
      <c r="O258" s="109" t="n"/>
      <c r="P258" s="109" t="n"/>
      <c r="T258" s="109" t="n"/>
      <c r="U258" s="109" t="n"/>
      <c r="V258" s="109" t="n"/>
      <c r="Z258" s="109" t="n"/>
      <c r="AA258" s="109" t="n"/>
      <c r="AB258" s="109" t="n"/>
      <c r="AF258" s="109" t="n"/>
      <c r="AG258" s="109" t="n"/>
      <c r="AH258" s="109" t="n"/>
      <c r="AL258" s="109" t="n"/>
      <c r="AM258" s="109" t="n"/>
      <c r="AN258" s="109" t="n"/>
    </row>
    <row r="259" ht="15.75" customHeight="1" s="216">
      <c r="D259" s="109" t="n"/>
      <c r="E259" s="109" t="n"/>
      <c r="J259" s="109" t="n"/>
      <c r="K259" s="109" t="n"/>
      <c r="L259" s="109" t="n"/>
      <c r="N259" s="109" t="n"/>
      <c r="O259" s="109" t="n"/>
      <c r="P259" s="109" t="n"/>
      <c r="T259" s="109" t="n"/>
      <c r="U259" s="109" t="n"/>
      <c r="V259" s="109" t="n"/>
      <c r="Z259" s="109" t="n"/>
      <c r="AA259" s="109" t="n"/>
      <c r="AB259" s="109" t="n"/>
      <c r="AF259" s="109" t="n"/>
      <c r="AG259" s="109" t="n"/>
      <c r="AH259" s="109" t="n"/>
      <c r="AL259" s="109" t="n"/>
      <c r="AM259" s="109" t="n"/>
      <c r="AN259" s="109" t="n"/>
    </row>
    <row r="260" ht="15.75" customHeight="1" s="216">
      <c r="D260" s="109" t="n"/>
      <c r="E260" s="109" t="n"/>
      <c r="J260" s="109" t="n"/>
      <c r="K260" s="109" t="n"/>
      <c r="L260" s="109" t="n"/>
      <c r="N260" s="109" t="n"/>
      <c r="O260" s="109" t="n"/>
      <c r="P260" s="109" t="n"/>
      <c r="T260" s="109" t="n"/>
      <c r="U260" s="109" t="n"/>
      <c r="V260" s="109" t="n"/>
      <c r="Z260" s="109" t="n"/>
      <c r="AA260" s="109" t="n"/>
      <c r="AB260" s="109" t="n"/>
      <c r="AF260" s="109" t="n"/>
      <c r="AG260" s="109" t="n"/>
      <c r="AH260" s="109" t="n"/>
      <c r="AL260" s="109" t="n"/>
      <c r="AM260" s="109" t="n"/>
      <c r="AN260" s="109" t="n"/>
    </row>
    <row r="261" ht="15.75" customHeight="1" s="216">
      <c r="D261" s="109" t="n"/>
      <c r="E261" s="109" t="n"/>
      <c r="J261" s="109" t="n"/>
      <c r="K261" s="109" t="n"/>
      <c r="L261" s="109" t="n"/>
      <c r="N261" s="109" t="n"/>
      <c r="O261" s="109" t="n"/>
      <c r="P261" s="109" t="n"/>
      <c r="T261" s="109" t="n"/>
      <c r="U261" s="109" t="n"/>
      <c r="V261" s="109" t="n"/>
      <c r="Z261" s="109" t="n"/>
      <c r="AA261" s="109" t="n"/>
      <c r="AB261" s="109" t="n"/>
      <c r="AF261" s="109" t="n"/>
      <c r="AG261" s="109" t="n"/>
      <c r="AH261" s="109" t="n"/>
      <c r="AL261" s="109" t="n"/>
      <c r="AM261" s="109" t="n"/>
      <c r="AN261" s="109" t="n"/>
    </row>
    <row r="262" ht="15.75" customHeight="1" s="216">
      <c r="D262" s="109" t="n"/>
      <c r="E262" s="109" t="n"/>
      <c r="J262" s="109" t="n"/>
      <c r="K262" s="109" t="n"/>
      <c r="L262" s="109" t="n"/>
      <c r="N262" s="109" t="n"/>
      <c r="O262" s="109" t="n"/>
      <c r="P262" s="109" t="n"/>
      <c r="T262" s="109" t="n"/>
      <c r="U262" s="109" t="n"/>
      <c r="V262" s="109" t="n"/>
      <c r="Z262" s="109" t="n"/>
      <c r="AA262" s="109" t="n"/>
      <c r="AB262" s="109" t="n"/>
      <c r="AF262" s="109" t="n"/>
      <c r="AG262" s="109" t="n"/>
      <c r="AH262" s="109" t="n"/>
      <c r="AL262" s="109" t="n"/>
      <c r="AM262" s="109" t="n"/>
      <c r="AN262" s="109" t="n"/>
    </row>
    <row r="263" ht="15.75" customHeight="1" s="216">
      <c r="D263" s="109" t="n"/>
      <c r="E263" s="109" t="n"/>
      <c r="J263" s="109" t="n"/>
      <c r="K263" s="109" t="n"/>
      <c r="L263" s="109" t="n"/>
      <c r="N263" s="109" t="n"/>
      <c r="O263" s="109" t="n"/>
      <c r="P263" s="109" t="n"/>
      <c r="T263" s="109" t="n"/>
      <c r="U263" s="109" t="n"/>
      <c r="V263" s="109" t="n"/>
      <c r="Z263" s="109" t="n"/>
      <c r="AA263" s="109" t="n"/>
      <c r="AB263" s="109" t="n"/>
      <c r="AF263" s="109" t="n"/>
      <c r="AG263" s="109" t="n"/>
      <c r="AH263" s="109" t="n"/>
      <c r="AL263" s="109" t="n"/>
      <c r="AM263" s="109" t="n"/>
      <c r="AN263" s="109" t="n"/>
    </row>
    <row r="264" ht="15.75" customHeight="1" s="216">
      <c r="D264" s="109" t="n"/>
      <c r="E264" s="109" t="n"/>
      <c r="J264" s="109" t="n"/>
      <c r="K264" s="109" t="n"/>
      <c r="L264" s="109" t="n"/>
      <c r="N264" s="109" t="n"/>
      <c r="O264" s="109" t="n"/>
      <c r="P264" s="109" t="n"/>
      <c r="T264" s="109" t="n"/>
      <c r="U264" s="109" t="n"/>
      <c r="V264" s="109" t="n"/>
      <c r="Z264" s="109" t="n"/>
      <c r="AA264" s="109" t="n"/>
      <c r="AB264" s="109" t="n"/>
      <c r="AF264" s="109" t="n"/>
      <c r="AG264" s="109" t="n"/>
      <c r="AH264" s="109" t="n"/>
      <c r="AL264" s="109" t="n"/>
      <c r="AM264" s="109" t="n"/>
      <c r="AN264" s="109" t="n"/>
    </row>
    <row r="265" ht="15.75" customHeight="1" s="216">
      <c r="D265" s="109" t="n"/>
      <c r="E265" s="109" t="n"/>
      <c r="J265" s="109" t="n"/>
      <c r="K265" s="109" t="n"/>
      <c r="L265" s="109" t="n"/>
      <c r="N265" s="109" t="n"/>
      <c r="O265" s="109" t="n"/>
      <c r="P265" s="109" t="n"/>
      <c r="T265" s="109" t="n"/>
      <c r="U265" s="109" t="n"/>
      <c r="V265" s="109" t="n"/>
      <c r="Z265" s="109" t="n"/>
      <c r="AA265" s="109" t="n"/>
      <c r="AB265" s="109" t="n"/>
      <c r="AF265" s="109" t="n"/>
      <c r="AG265" s="109" t="n"/>
      <c r="AH265" s="109" t="n"/>
      <c r="AL265" s="109" t="n"/>
      <c r="AM265" s="109" t="n"/>
      <c r="AN265" s="109" t="n"/>
    </row>
    <row r="266" ht="15.75" customHeight="1" s="216">
      <c r="D266" s="109" t="n"/>
      <c r="E266" s="109" t="n"/>
      <c r="J266" s="109" t="n"/>
      <c r="K266" s="109" t="n"/>
      <c r="L266" s="109" t="n"/>
      <c r="N266" s="109" t="n"/>
      <c r="O266" s="109" t="n"/>
      <c r="P266" s="109" t="n"/>
      <c r="T266" s="109" t="n"/>
      <c r="U266" s="109" t="n"/>
      <c r="V266" s="109" t="n"/>
      <c r="Z266" s="109" t="n"/>
      <c r="AA266" s="109" t="n"/>
      <c r="AB266" s="109" t="n"/>
      <c r="AF266" s="109" t="n"/>
      <c r="AG266" s="109" t="n"/>
      <c r="AH266" s="109" t="n"/>
      <c r="AL266" s="109" t="n"/>
      <c r="AM266" s="109" t="n"/>
      <c r="AN266" s="109" t="n"/>
    </row>
    <row r="267" ht="15.75" customHeight="1" s="216">
      <c r="D267" s="109" t="n"/>
      <c r="E267" s="109" t="n"/>
      <c r="J267" s="109" t="n"/>
      <c r="K267" s="109" t="n"/>
      <c r="L267" s="109" t="n"/>
      <c r="N267" s="109" t="n"/>
      <c r="O267" s="109" t="n"/>
      <c r="P267" s="109" t="n"/>
      <c r="T267" s="109" t="n"/>
      <c r="U267" s="109" t="n"/>
      <c r="V267" s="109" t="n"/>
      <c r="Z267" s="109" t="n"/>
      <c r="AA267" s="109" t="n"/>
      <c r="AB267" s="109" t="n"/>
      <c r="AF267" s="109" t="n"/>
      <c r="AG267" s="109" t="n"/>
      <c r="AH267" s="109" t="n"/>
      <c r="AL267" s="109" t="n"/>
      <c r="AM267" s="109" t="n"/>
      <c r="AN267" s="109" t="n"/>
    </row>
    <row r="268" ht="15.75" customHeight="1" s="216">
      <c r="D268" s="109" t="n"/>
      <c r="E268" s="109" t="n"/>
      <c r="J268" s="109" t="n"/>
      <c r="K268" s="109" t="n"/>
      <c r="L268" s="109" t="n"/>
      <c r="N268" s="109" t="n"/>
      <c r="O268" s="109" t="n"/>
      <c r="P268" s="109" t="n"/>
      <c r="T268" s="109" t="n"/>
      <c r="U268" s="109" t="n"/>
      <c r="V268" s="109" t="n"/>
      <c r="Z268" s="109" t="n"/>
      <c r="AA268" s="109" t="n"/>
      <c r="AB268" s="109" t="n"/>
      <c r="AF268" s="109" t="n"/>
      <c r="AG268" s="109" t="n"/>
      <c r="AH268" s="109" t="n"/>
      <c r="AL268" s="109" t="n"/>
      <c r="AM268" s="109" t="n"/>
      <c r="AN268" s="109" t="n"/>
    </row>
    <row r="269" ht="15.75" customHeight="1" s="216">
      <c r="D269" s="109" t="n"/>
      <c r="E269" s="109" t="n"/>
      <c r="J269" s="109" t="n"/>
      <c r="K269" s="109" t="n"/>
      <c r="L269" s="109" t="n"/>
      <c r="N269" s="109" t="n"/>
      <c r="O269" s="109" t="n"/>
      <c r="P269" s="109" t="n"/>
      <c r="T269" s="109" t="n"/>
      <c r="U269" s="109" t="n"/>
      <c r="V269" s="109" t="n"/>
      <c r="Z269" s="109" t="n"/>
      <c r="AA269" s="109" t="n"/>
      <c r="AB269" s="109" t="n"/>
      <c r="AF269" s="109" t="n"/>
      <c r="AG269" s="109" t="n"/>
      <c r="AH269" s="109" t="n"/>
      <c r="AL269" s="109" t="n"/>
      <c r="AM269" s="109" t="n"/>
      <c r="AN269" s="109" t="n"/>
    </row>
    <row r="270" ht="15.75" customHeight="1" s="216">
      <c r="D270" s="109" t="n"/>
      <c r="E270" s="109" t="n"/>
      <c r="J270" s="109" t="n"/>
      <c r="K270" s="109" t="n"/>
      <c r="L270" s="109" t="n"/>
      <c r="N270" s="109" t="n"/>
      <c r="O270" s="109" t="n"/>
      <c r="P270" s="109" t="n"/>
      <c r="T270" s="109" t="n"/>
      <c r="U270" s="109" t="n"/>
      <c r="V270" s="109" t="n"/>
      <c r="Z270" s="109" t="n"/>
      <c r="AA270" s="109" t="n"/>
      <c r="AB270" s="109" t="n"/>
      <c r="AF270" s="109" t="n"/>
      <c r="AG270" s="109" t="n"/>
      <c r="AH270" s="109" t="n"/>
      <c r="AL270" s="109" t="n"/>
      <c r="AM270" s="109" t="n"/>
      <c r="AN270" s="109" t="n"/>
    </row>
    <row r="271" ht="15.75" customHeight="1" s="216">
      <c r="D271" s="109" t="n"/>
      <c r="E271" s="109" t="n"/>
      <c r="J271" s="109" t="n"/>
      <c r="K271" s="109" t="n"/>
      <c r="L271" s="109" t="n"/>
      <c r="N271" s="109" t="n"/>
      <c r="O271" s="109" t="n"/>
      <c r="P271" s="109" t="n"/>
      <c r="T271" s="109" t="n"/>
      <c r="U271" s="109" t="n"/>
      <c r="V271" s="109" t="n"/>
      <c r="Z271" s="109" t="n"/>
      <c r="AA271" s="109" t="n"/>
      <c r="AB271" s="109" t="n"/>
      <c r="AF271" s="109" t="n"/>
      <c r="AG271" s="109" t="n"/>
      <c r="AH271" s="109" t="n"/>
      <c r="AL271" s="109" t="n"/>
      <c r="AM271" s="109" t="n"/>
      <c r="AN271" s="109" t="n"/>
    </row>
    <row r="272" ht="15.75" customHeight="1" s="216">
      <c r="D272" s="109" t="n"/>
      <c r="E272" s="109" t="n"/>
      <c r="J272" s="109" t="n"/>
      <c r="K272" s="109" t="n"/>
      <c r="L272" s="109" t="n"/>
      <c r="N272" s="109" t="n"/>
      <c r="O272" s="109" t="n"/>
      <c r="P272" s="109" t="n"/>
      <c r="T272" s="109" t="n"/>
      <c r="U272" s="109" t="n"/>
      <c r="V272" s="109" t="n"/>
      <c r="Z272" s="109" t="n"/>
      <c r="AA272" s="109" t="n"/>
      <c r="AB272" s="109" t="n"/>
      <c r="AF272" s="109" t="n"/>
      <c r="AG272" s="109" t="n"/>
      <c r="AH272" s="109" t="n"/>
      <c r="AL272" s="109" t="n"/>
      <c r="AM272" s="109" t="n"/>
      <c r="AN272" s="109" t="n"/>
    </row>
    <row r="273" ht="15.75" customHeight="1" s="216">
      <c r="D273" s="109" t="n"/>
      <c r="E273" s="109" t="n"/>
      <c r="J273" s="109" t="n"/>
      <c r="K273" s="109" t="n"/>
      <c r="L273" s="109" t="n"/>
      <c r="N273" s="109" t="n"/>
      <c r="O273" s="109" t="n"/>
      <c r="P273" s="109" t="n"/>
      <c r="T273" s="109" t="n"/>
      <c r="U273" s="109" t="n"/>
      <c r="V273" s="109" t="n"/>
      <c r="Z273" s="109" t="n"/>
      <c r="AA273" s="109" t="n"/>
      <c r="AB273" s="109" t="n"/>
      <c r="AF273" s="109" t="n"/>
      <c r="AG273" s="109" t="n"/>
      <c r="AH273" s="109" t="n"/>
      <c r="AL273" s="109" t="n"/>
      <c r="AM273" s="109" t="n"/>
      <c r="AN273" s="109" t="n"/>
    </row>
    <row r="274" ht="15.75" customHeight="1" s="216">
      <c r="D274" s="109" t="n"/>
      <c r="E274" s="109" t="n"/>
      <c r="J274" s="109" t="n"/>
      <c r="K274" s="109" t="n"/>
      <c r="L274" s="109" t="n"/>
      <c r="N274" s="109" t="n"/>
      <c r="O274" s="109" t="n"/>
      <c r="P274" s="109" t="n"/>
      <c r="T274" s="109" t="n"/>
      <c r="U274" s="109" t="n"/>
      <c r="V274" s="109" t="n"/>
      <c r="Z274" s="109" t="n"/>
      <c r="AA274" s="109" t="n"/>
      <c r="AB274" s="109" t="n"/>
      <c r="AF274" s="109" t="n"/>
      <c r="AG274" s="109" t="n"/>
      <c r="AH274" s="109" t="n"/>
      <c r="AL274" s="109" t="n"/>
      <c r="AM274" s="109" t="n"/>
      <c r="AN274" s="109" t="n"/>
    </row>
    <row r="275" ht="15.75" customHeight="1" s="216">
      <c r="D275" s="109" t="n"/>
      <c r="E275" s="109" t="n"/>
      <c r="J275" s="109" t="n"/>
      <c r="K275" s="109" t="n"/>
      <c r="L275" s="109" t="n"/>
      <c r="N275" s="109" t="n"/>
      <c r="O275" s="109" t="n"/>
      <c r="P275" s="109" t="n"/>
      <c r="T275" s="109" t="n"/>
      <c r="U275" s="109" t="n"/>
      <c r="V275" s="109" t="n"/>
      <c r="Z275" s="109" t="n"/>
      <c r="AA275" s="109" t="n"/>
      <c r="AB275" s="109" t="n"/>
      <c r="AF275" s="109" t="n"/>
      <c r="AG275" s="109" t="n"/>
      <c r="AH275" s="109" t="n"/>
      <c r="AL275" s="109" t="n"/>
      <c r="AM275" s="109" t="n"/>
      <c r="AN275" s="109" t="n"/>
    </row>
    <row r="276" ht="15.75" customHeight="1" s="216">
      <c r="D276" s="109" t="n"/>
      <c r="E276" s="109" t="n"/>
      <c r="J276" s="109" t="n"/>
      <c r="K276" s="109" t="n"/>
      <c r="L276" s="109" t="n"/>
      <c r="N276" s="109" t="n"/>
      <c r="O276" s="109" t="n"/>
      <c r="P276" s="109" t="n"/>
      <c r="T276" s="109" t="n"/>
      <c r="U276" s="109" t="n"/>
      <c r="V276" s="109" t="n"/>
      <c r="Z276" s="109" t="n"/>
      <c r="AA276" s="109" t="n"/>
      <c r="AB276" s="109" t="n"/>
      <c r="AF276" s="109" t="n"/>
      <c r="AG276" s="109" t="n"/>
      <c r="AH276" s="109" t="n"/>
      <c r="AL276" s="109" t="n"/>
      <c r="AM276" s="109" t="n"/>
      <c r="AN276" s="109" t="n"/>
    </row>
    <row r="277" ht="15.75" customHeight="1" s="216">
      <c r="D277" s="109" t="n"/>
      <c r="E277" s="109" t="n"/>
      <c r="J277" s="109" t="n"/>
      <c r="K277" s="109" t="n"/>
      <c r="L277" s="109" t="n"/>
      <c r="N277" s="109" t="n"/>
      <c r="O277" s="109" t="n"/>
      <c r="P277" s="109" t="n"/>
      <c r="T277" s="109" t="n"/>
      <c r="U277" s="109" t="n"/>
      <c r="V277" s="109" t="n"/>
      <c r="Z277" s="109" t="n"/>
      <c r="AA277" s="109" t="n"/>
      <c r="AB277" s="109" t="n"/>
      <c r="AF277" s="109" t="n"/>
      <c r="AG277" s="109" t="n"/>
      <c r="AH277" s="109" t="n"/>
      <c r="AL277" s="109" t="n"/>
      <c r="AM277" s="109" t="n"/>
      <c r="AN277" s="109" t="n"/>
    </row>
    <row r="278" ht="15.75" customHeight="1" s="216">
      <c r="D278" s="109" t="n"/>
      <c r="E278" s="109" t="n"/>
      <c r="J278" s="109" t="n"/>
      <c r="K278" s="109" t="n"/>
      <c r="L278" s="109" t="n"/>
      <c r="N278" s="109" t="n"/>
      <c r="O278" s="109" t="n"/>
      <c r="P278" s="109" t="n"/>
      <c r="T278" s="109" t="n"/>
      <c r="U278" s="109" t="n"/>
      <c r="V278" s="109" t="n"/>
      <c r="Z278" s="109" t="n"/>
      <c r="AA278" s="109" t="n"/>
      <c r="AB278" s="109" t="n"/>
      <c r="AF278" s="109" t="n"/>
      <c r="AG278" s="109" t="n"/>
      <c r="AH278" s="109" t="n"/>
      <c r="AL278" s="109" t="n"/>
      <c r="AM278" s="109" t="n"/>
      <c r="AN278" s="109" t="n"/>
    </row>
    <row r="279" ht="15.75" customHeight="1" s="216">
      <c r="D279" s="109" t="n"/>
      <c r="E279" s="109" t="n"/>
      <c r="J279" s="109" t="n"/>
      <c r="K279" s="109" t="n"/>
      <c r="L279" s="109" t="n"/>
      <c r="N279" s="109" t="n"/>
      <c r="O279" s="109" t="n"/>
      <c r="P279" s="109" t="n"/>
      <c r="T279" s="109" t="n"/>
      <c r="U279" s="109" t="n"/>
      <c r="V279" s="109" t="n"/>
      <c r="Z279" s="109" t="n"/>
      <c r="AA279" s="109" t="n"/>
      <c r="AB279" s="109" t="n"/>
      <c r="AF279" s="109" t="n"/>
      <c r="AG279" s="109" t="n"/>
      <c r="AH279" s="109" t="n"/>
      <c r="AL279" s="109" t="n"/>
      <c r="AM279" s="109" t="n"/>
      <c r="AN279" s="109" t="n"/>
    </row>
    <row r="280" ht="15.75" customHeight="1" s="216">
      <c r="D280" s="109" t="n"/>
      <c r="E280" s="109" t="n"/>
      <c r="J280" s="109" t="n"/>
      <c r="K280" s="109" t="n"/>
      <c r="L280" s="109" t="n"/>
      <c r="N280" s="109" t="n"/>
      <c r="O280" s="109" t="n"/>
      <c r="P280" s="109" t="n"/>
      <c r="T280" s="109" t="n"/>
      <c r="U280" s="109" t="n"/>
      <c r="V280" s="109" t="n"/>
      <c r="Z280" s="109" t="n"/>
      <c r="AA280" s="109" t="n"/>
      <c r="AB280" s="109" t="n"/>
      <c r="AF280" s="109" t="n"/>
      <c r="AG280" s="109" t="n"/>
      <c r="AH280" s="109" t="n"/>
      <c r="AL280" s="109" t="n"/>
      <c r="AM280" s="109" t="n"/>
      <c r="AN280" s="109" t="n"/>
    </row>
    <row r="281" ht="15.75" customHeight="1" s="216">
      <c r="D281" s="109" t="n"/>
      <c r="E281" s="109" t="n"/>
      <c r="J281" s="109" t="n"/>
      <c r="K281" s="109" t="n"/>
      <c r="L281" s="109" t="n"/>
      <c r="N281" s="109" t="n"/>
      <c r="O281" s="109" t="n"/>
      <c r="P281" s="109" t="n"/>
      <c r="T281" s="109" t="n"/>
      <c r="U281" s="109" t="n"/>
      <c r="V281" s="109" t="n"/>
      <c r="Z281" s="109" t="n"/>
      <c r="AA281" s="109" t="n"/>
      <c r="AB281" s="109" t="n"/>
      <c r="AF281" s="109" t="n"/>
      <c r="AG281" s="109" t="n"/>
      <c r="AH281" s="109" t="n"/>
      <c r="AL281" s="109" t="n"/>
      <c r="AM281" s="109" t="n"/>
      <c r="AN281" s="109" t="n"/>
    </row>
    <row r="282" ht="15.75" customHeight="1" s="216">
      <c r="D282" s="109" t="n"/>
      <c r="E282" s="109" t="n"/>
      <c r="J282" s="109" t="n"/>
      <c r="K282" s="109" t="n"/>
      <c r="L282" s="109" t="n"/>
      <c r="N282" s="109" t="n"/>
      <c r="O282" s="109" t="n"/>
      <c r="P282" s="109" t="n"/>
      <c r="T282" s="109" t="n"/>
      <c r="U282" s="109" t="n"/>
      <c r="V282" s="109" t="n"/>
      <c r="Z282" s="109" t="n"/>
      <c r="AA282" s="109" t="n"/>
      <c r="AB282" s="109" t="n"/>
      <c r="AF282" s="109" t="n"/>
      <c r="AG282" s="109" t="n"/>
      <c r="AH282" s="109" t="n"/>
      <c r="AL282" s="109" t="n"/>
      <c r="AM282" s="109" t="n"/>
      <c r="AN282" s="109" t="n"/>
    </row>
    <row r="283" ht="15.75" customHeight="1" s="216">
      <c r="D283" s="109" t="n"/>
      <c r="E283" s="109" t="n"/>
      <c r="J283" s="109" t="n"/>
      <c r="K283" s="109" t="n"/>
      <c r="L283" s="109" t="n"/>
      <c r="N283" s="109" t="n"/>
      <c r="O283" s="109" t="n"/>
      <c r="P283" s="109" t="n"/>
      <c r="T283" s="109" t="n"/>
      <c r="U283" s="109" t="n"/>
      <c r="V283" s="109" t="n"/>
      <c r="Z283" s="109" t="n"/>
      <c r="AA283" s="109" t="n"/>
      <c r="AB283" s="109" t="n"/>
      <c r="AF283" s="109" t="n"/>
      <c r="AG283" s="109" t="n"/>
      <c r="AH283" s="109" t="n"/>
      <c r="AL283" s="109" t="n"/>
      <c r="AM283" s="109" t="n"/>
      <c r="AN283" s="109" t="n"/>
    </row>
    <row r="284" ht="15.75" customHeight="1" s="216">
      <c r="D284" s="109" t="n"/>
      <c r="E284" s="109" t="n"/>
      <c r="J284" s="109" t="n"/>
      <c r="K284" s="109" t="n"/>
      <c r="L284" s="109" t="n"/>
      <c r="N284" s="109" t="n"/>
      <c r="O284" s="109" t="n"/>
      <c r="P284" s="109" t="n"/>
      <c r="T284" s="109" t="n"/>
      <c r="U284" s="109" t="n"/>
      <c r="V284" s="109" t="n"/>
      <c r="Z284" s="109" t="n"/>
      <c r="AA284" s="109" t="n"/>
      <c r="AB284" s="109" t="n"/>
      <c r="AF284" s="109" t="n"/>
      <c r="AG284" s="109" t="n"/>
      <c r="AH284" s="109" t="n"/>
      <c r="AL284" s="109" t="n"/>
      <c r="AM284" s="109" t="n"/>
      <c r="AN284" s="109" t="n"/>
    </row>
    <row r="285" ht="15.75" customHeight="1" s="216">
      <c r="D285" s="109" t="n"/>
      <c r="E285" s="109" t="n"/>
      <c r="J285" s="109" t="n"/>
      <c r="K285" s="109" t="n"/>
      <c r="L285" s="109" t="n"/>
      <c r="N285" s="109" t="n"/>
      <c r="O285" s="109" t="n"/>
      <c r="P285" s="109" t="n"/>
      <c r="T285" s="109" t="n"/>
      <c r="U285" s="109" t="n"/>
      <c r="V285" s="109" t="n"/>
      <c r="Z285" s="109" t="n"/>
      <c r="AA285" s="109" t="n"/>
      <c r="AB285" s="109" t="n"/>
      <c r="AF285" s="109" t="n"/>
      <c r="AG285" s="109" t="n"/>
      <c r="AH285" s="109" t="n"/>
      <c r="AL285" s="109" t="n"/>
      <c r="AM285" s="109" t="n"/>
      <c r="AN285" s="109" t="n"/>
    </row>
    <row r="286" ht="15.75" customHeight="1" s="216">
      <c r="D286" s="109" t="n"/>
      <c r="E286" s="109" t="n"/>
      <c r="J286" s="109" t="n"/>
      <c r="K286" s="109" t="n"/>
      <c r="L286" s="109" t="n"/>
      <c r="N286" s="109" t="n"/>
      <c r="O286" s="109" t="n"/>
      <c r="P286" s="109" t="n"/>
      <c r="T286" s="109" t="n"/>
      <c r="U286" s="109" t="n"/>
      <c r="V286" s="109" t="n"/>
      <c r="Z286" s="109" t="n"/>
      <c r="AA286" s="109" t="n"/>
      <c r="AB286" s="109" t="n"/>
      <c r="AF286" s="109" t="n"/>
      <c r="AG286" s="109" t="n"/>
      <c r="AH286" s="109" t="n"/>
      <c r="AL286" s="109" t="n"/>
      <c r="AM286" s="109" t="n"/>
      <c r="AN286" s="109" t="n"/>
    </row>
    <row r="287" ht="15.75" customHeight="1" s="216">
      <c r="D287" s="109" t="n"/>
      <c r="E287" s="109" t="n"/>
      <c r="J287" s="109" t="n"/>
      <c r="K287" s="109" t="n"/>
      <c r="L287" s="109" t="n"/>
      <c r="N287" s="109" t="n"/>
      <c r="O287" s="109" t="n"/>
      <c r="P287" s="109" t="n"/>
      <c r="T287" s="109" t="n"/>
      <c r="U287" s="109" t="n"/>
      <c r="V287" s="109" t="n"/>
      <c r="Z287" s="109" t="n"/>
      <c r="AA287" s="109" t="n"/>
      <c r="AB287" s="109" t="n"/>
      <c r="AF287" s="109" t="n"/>
      <c r="AG287" s="109" t="n"/>
      <c r="AH287" s="109" t="n"/>
      <c r="AL287" s="109" t="n"/>
      <c r="AM287" s="109" t="n"/>
      <c r="AN287" s="109" t="n"/>
    </row>
    <row r="288" ht="15.75" customHeight="1" s="216">
      <c r="D288" s="109" t="n"/>
      <c r="E288" s="109" t="n"/>
      <c r="J288" s="109" t="n"/>
      <c r="K288" s="109" t="n"/>
      <c r="L288" s="109" t="n"/>
      <c r="N288" s="109" t="n"/>
      <c r="O288" s="109" t="n"/>
      <c r="P288" s="109" t="n"/>
      <c r="T288" s="109" t="n"/>
      <c r="U288" s="109" t="n"/>
      <c r="V288" s="109" t="n"/>
      <c r="Z288" s="109" t="n"/>
      <c r="AA288" s="109" t="n"/>
      <c r="AB288" s="109" t="n"/>
      <c r="AF288" s="109" t="n"/>
      <c r="AG288" s="109" t="n"/>
      <c r="AH288" s="109" t="n"/>
      <c r="AL288" s="109" t="n"/>
      <c r="AM288" s="109" t="n"/>
      <c r="AN288" s="109" t="n"/>
    </row>
    <row r="289" ht="15.75" customHeight="1" s="216">
      <c r="D289" s="109" t="n"/>
      <c r="E289" s="109" t="n"/>
      <c r="J289" s="109" t="n"/>
      <c r="K289" s="109" t="n"/>
      <c r="L289" s="109" t="n"/>
      <c r="N289" s="109" t="n"/>
      <c r="O289" s="109" t="n"/>
      <c r="P289" s="109" t="n"/>
      <c r="T289" s="109" t="n"/>
      <c r="U289" s="109" t="n"/>
      <c r="V289" s="109" t="n"/>
      <c r="Z289" s="109" t="n"/>
      <c r="AA289" s="109" t="n"/>
      <c r="AB289" s="109" t="n"/>
      <c r="AF289" s="109" t="n"/>
      <c r="AG289" s="109" t="n"/>
      <c r="AH289" s="109" t="n"/>
      <c r="AL289" s="109" t="n"/>
      <c r="AM289" s="109" t="n"/>
      <c r="AN289" s="109" t="n"/>
    </row>
    <row r="290" ht="15.75" customHeight="1" s="216">
      <c r="D290" s="109" t="n"/>
      <c r="E290" s="109" t="n"/>
      <c r="J290" s="109" t="n"/>
      <c r="K290" s="109" t="n"/>
      <c r="L290" s="109" t="n"/>
      <c r="N290" s="109" t="n"/>
      <c r="O290" s="109" t="n"/>
      <c r="P290" s="109" t="n"/>
      <c r="T290" s="109" t="n"/>
      <c r="U290" s="109" t="n"/>
      <c r="V290" s="109" t="n"/>
      <c r="Z290" s="109" t="n"/>
      <c r="AA290" s="109" t="n"/>
      <c r="AB290" s="109" t="n"/>
      <c r="AF290" s="109" t="n"/>
      <c r="AG290" s="109" t="n"/>
      <c r="AH290" s="109" t="n"/>
      <c r="AL290" s="109" t="n"/>
      <c r="AM290" s="109" t="n"/>
      <c r="AN290" s="109" t="n"/>
    </row>
    <row r="291" ht="15.75" customHeight="1" s="216">
      <c r="D291" s="109" t="n"/>
      <c r="E291" s="109" t="n"/>
      <c r="J291" s="109" t="n"/>
      <c r="K291" s="109" t="n"/>
      <c r="L291" s="109" t="n"/>
      <c r="N291" s="109" t="n"/>
      <c r="O291" s="109" t="n"/>
      <c r="P291" s="109" t="n"/>
      <c r="T291" s="109" t="n"/>
      <c r="U291" s="109" t="n"/>
      <c r="V291" s="109" t="n"/>
      <c r="Z291" s="109" t="n"/>
      <c r="AA291" s="109" t="n"/>
      <c r="AB291" s="109" t="n"/>
      <c r="AF291" s="109" t="n"/>
      <c r="AG291" s="109" t="n"/>
      <c r="AH291" s="109" t="n"/>
      <c r="AL291" s="109" t="n"/>
      <c r="AM291" s="109" t="n"/>
      <c r="AN291" s="109" t="n"/>
    </row>
    <row r="292" ht="15.75" customHeight="1" s="216">
      <c r="D292" s="109" t="n"/>
      <c r="E292" s="109" t="n"/>
      <c r="J292" s="109" t="n"/>
      <c r="K292" s="109" t="n"/>
      <c r="L292" s="109" t="n"/>
      <c r="N292" s="109" t="n"/>
      <c r="O292" s="109" t="n"/>
      <c r="P292" s="109" t="n"/>
      <c r="T292" s="109" t="n"/>
      <c r="U292" s="109" t="n"/>
      <c r="V292" s="109" t="n"/>
      <c r="Z292" s="109" t="n"/>
      <c r="AA292" s="109" t="n"/>
      <c r="AB292" s="109" t="n"/>
      <c r="AF292" s="109" t="n"/>
      <c r="AG292" s="109" t="n"/>
      <c r="AH292" s="109" t="n"/>
      <c r="AL292" s="109" t="n"/>
      <c r="AM292" s="109" t="n"/>
      <c r="AN292" s="109" t="n"/>
    </row>
    <row r="293" ht="15.75" customHeight="1" s="216">
      <c r="D293" s="109" t="n"/>
      <c r="E293" s="109" t="n"/>
      <c r="J293" s="109" t="n"/>
      <c r="K293" s="109" t="n"/>
      <c r="L293" s="109" t="n"/>
      <c r="N293" s="109" t="n"/>
      <c r="O293" s="109" t="n"/>
      <c r="P293" s="109" t="n"/>
      <c r="T293" s="109" t="n"/>
      <c r="U293" s="109" t="n"/>
      <c r="V293" s="109" t="n"/>
      <c r="Z293" s="109" t="n"/>
      <c r="AA293" s="109" t="n"/>
      <c r="AB293" s="109" t="n"/>
      <c r="AF293" s="109" t="n"/>
      <c r="AG293" s="109" t="n"/>
      <c r="AH293" s="109" t="n"/>
      <c r="AL293" s="109" t="n"/>
      <c r="AM293" s="109" t="n"/>
      <c r="AN293" s="109" t="n"/>
    </row>
    <row r="294" ht="15.75" customHeight="1" s="216">
      <c r="D294" s="109" t="n"/>
      <c r="E294" s="109" t="n"/>
      <c r="J294" s="109" t="n"/>
      <c r="K294" s="109" t="n"/>
      <c r="L294" s="109" t="n"/>
      <c r="N294" s="109" t="n"/>
      <c r="O294" s="109" t="n"/>
      <c r="P294" s="109" t="n"/>
      <c r="T294" s="109" t="n"/>
      <c r="U294" s="109" t="n"/>
      <c r="V294" s="109" t="n"/>
      <c r="Z294" s="109" t="n"/>
      <c r="AA294" s="109" t="n"/>
      <c r="AB294" s="109" t="n"/>
      <c r="AF294" s="109" t="n"/>
      <c r="AG294" s="109" t="n"/>
      <c r="AH294" s="109" t="n"/>
      <c r="AL294" s="109" t="n"/>
      <c r="AM294" s="109" t="n"/>
      <c r="AN294" s="109" t="n"/>
    </row>
    <row r="295" ht="15.75" customHeight="1" s="216">
      <c r="D295" s="109" t="n"/>
      <c r="E295" s="109" t="n"/>
      <c r="J295" s="109" t="n"/>
      <c r="K295" s="109" t="n"/>
      <c r="L295" s="109" t="n"/>
      <c r="N295" s="109" t="n"/>
      <c r="O295" s="109" t="n"/>
      <c r="P295" s="109" t="n"/>
      <c r="T295" s="109" t="n"/>
      <c r="U295" s="109" t="n"/>
      <c r="V295" s="109" t="n"/>
      <c r="Z295" s="109" t="n"/>
      <c r="AA295" s="109" t="n"/>
      <c r="AB295" s="109" t="n"/>
      <c r="AF295" s="109" t="n"/>
      <c r="AG295" s="109" t="n"/>
      <c r="AH295" s="109" t="n"/>
      <c r="AL295" s="109" t="n"/>
      <c r="AM295" s="109" t="n"/>
      <c r="AN295" s="109" t="n"/>
    </row>
    <row r="296" ht="15.75" customHeight="1" s="216">
      <c r="D296" s="109" t="n"/>
      <c r="E296" s="109" t="n"/>
      <c r="J296" s="109" t="n"/>
      <c r="K296" s="109" t="n"/>
      <c r="L296" s="109" t="n"/>
      <c r="N296" s="109" t="n"/>
      <c r="O296" s="109" t="n"/>
      <c r="P296" s="109" t="n"/>
      <c r="T296" s="109" t="n"/>
      <c r="U296" s="109" t="n"/>
      <c r="V296" s="109" t="n"/>
      <c r="Z296" s="109" t="n"/>
      <c r="AA296" s="109" t="n"/>
      <c r="AB296" s="109" t="n"/>
      <c r="AF296" s="109" t="n"/>
      <c r="AG296" s="109" t="n"/>
      <c r="AH296" s="109" t="n"/>
      <c r="AL296" s="109" t="n"/>
      <c r="AM296" s="109" t="n"/>
      <c r="AN296" s="109" t="n"/>
    </row>
    <row r="297" ht="15.75" customHeight="1" s="216">
      <c r="D297" s="109" t="n"/>
      <c r="E297" s="109" t="n"/>
      <c r="J297" s="109" t="n"/>
      <c r="K297" s="109" t="n"/>
      <c r="L297" s="109" t="n"/>
      <c r="N297" s="109" t="n"/>
      <c r="O297" s="109" t="n"/>
      <c r="P297" s="109" t="n"/>
      <c r="T297" s="109" t="n"/>
      <c r="U297" s="109" t="n"/>
      <c r="V297" s="109" t="n"/>
      <c r="Z297" s="109" t="n"/>
      <c r="AA297" s="109" t="n"/>
      <c r="AB297" s="109" t="n"/>
      <c r="AF297" s="109" t="n"/>
      <c r="AG297" s="109" t="n"/>
      <c r="AH297" s="109" t="n"/>
      <c r="AL297" s="109" t="n"/>
      <c r="AM297" s="109" t="n"/>
      <c r="AN297" s="109" t="n"/>
    </row>
    <row r="298" ht="15.75" customHeight="1" s="216">
      <c r="D298" s="109" t="n"/>
      <c r="E298" s="109" t="n"/>
      <c r="J298" s="109" t="n"/>
      <c r="K298" s="109" t="n"/>
      <c r="L298" s="109" t="n"/>
      <c r="N298" s="109" t="n"/>
      <c r="O298" s="109" t="n"/>
      <c r="P298" s="109" t="n"/>
      <c r="T298" s="109" t="n"/>
      <c r="U298" s="109" t="n"/>
      <c r="V298" s="109" t="n"/>
      <c r="Z298" s="109" t="n"/>
      <c r="AA298" s="109" t="n"/>
      <c r="AB298" s="109" t="n"/>
      <c r="AF298" s="109" t="n"/>
      <c r="AG298" s="109" t="n"/>
      <c r="AH298" s="109" t="n"/>
      <c r="AL298" s="109" t="n"/>
      <c r="AM298" s="109" t="n"/>
      <c r="AN298" s="109" t="n"/>
    </row>
    <row r="299" ht="15.75" customHeight="1" s="216">
      <c r="D299" s="109" t="n"/>
      <c r="E299" s="109" t="n"/>
      <c r="J299" s="109" t="n"/>
      <c r="K299" s="109" t="n"/>
      <c r="L299" s="109" t="n"/>
      <c r="N299" s="109" t="n"/>
      <c r="O299" s="109" t="n"/>
      <c r="P299" s="109" t="n"/>
      <c r="T299" s="109" t="n"/>
      <c r="U299" s="109" t="n"/>
      <c r="V299" s="109" t="n"/>
      <c r="Z299" s="109" t="n"/>
      <c r="AA299" s="109" t="n"/>
      <c r="AB299" s="109" t="n"/>
      <c r="AF299" s="109" t="n"/>
      <c r="AG299" s="109" t="n"/>
      <c r="AH299" s="109" t="n"/>
      <c r="AL299" s="109" t="n"/>
      <c r="AM299" s="109" t="n"/>
      <c r="AN299" s="109" t="n"/>
    </row>
    <row r="300" ht="15.75" customHeight="1" s="216">
      <c r="D300" s="109" t="n"/>
      <c r="E300" s="109" t="n"/>
      <c r="J300" s="109" t="n"/>
      <c r="K300" s="109" t="n"/>
      <c r="L300" s="109" t="n"/>
      <c r="N300" s="109" t="n"/>
      <c r="O300" s="109" t="n"/>
      <c r="P300" s="109" t="n"/>
      <c r="T300" s="109" t="n"/>
      <c r="U300" s="109" t="n"/>
      <c r="V300" s="109" t="n"/>
      <c r="Z300" s="109" t="n"/>
      <c r="AA300" s="109" t="n"/>
      <c r="AB300" s="109" t="n"/>
      <c r="AF300" s="109" t="n"/>
      <c r="AG300" s="109" t="n"/>
      <c r="AH300" s="109" t="n"/>
      <c r="AL300" s="109" t="n"/>
      <c r="AM300" s="109" t="n"/>
      <c r="AN300" s="109" t="n"/>
    </row>
    <row r="301" ht="15.75" customHeight="1" s="216">
      <c r="D301" s="109" t="n"/>
      <c r="E301" s="109" t="n"/>
      <c r="J301" s="109" t="n"/>
      <c r="K301" s="109" t="n"/>
      <c r="L301" s="109" t="n"/>
      <c r="N301" s="109" t="n"/>
      <c r="O301" s="109" t="n"/>
      <c r="P301" s="109" t="n"/>
      <c r="T301" s="109" t="n"/>
      <c r="U301" s="109" t="n"/>
      <c r="V301" s="109" t="n"/>
      <c r="Z301" s="109" t="n"/>
      <c r="AA301" s="109" t="n"/>
      <c r="AB301" s="109" t="n"/>
      <c r="AF301" s="109" t="n"/>
      <c r="AG301" s="109" t="n"/>
      <c r="AH301" s="109" t="n"/>
      <c r="AL301" s="109" t="n"/>
      <c r="AM301" s="109" t="n"/>
      <c r="AN301" s="109" t="n"/>
    </row>
    <row r="302" ht="15.75" customHeight="1" s="216">
      <c r="D302" s="109" t="n"/>
      <c r="E302" s="109" t="n"/>
      <c r="J302" s="109" t="n"/>
      <c r="K302" s="109" t="n"/>
      <c r="L302" s="109" t="n"/>
      <c r="N302" s="109" t="n"/>
      <c r="O302" s="109" t="n"/>
      <c r="P302" s="109" t="n"/>
      <c r="T302" s="109" t="n"/>
      <c r="U302" s="109" t="n"/>
      <c r="V302" s="109" t="n"/>
      <c r="Z302" s="109" t="n"/>
      <c r="AA302" s="109" t="n"/>
      <c r="AB302" s="109" t="n"/>
      <c r="AF302" s="109" t="n"/>
      <c r="AG302" s="109" t="n"/>
      <c r="AH302" s="109" t="n"/>
      <c r="AL302" s="109" t="n"/>
      <c r="AM302" s="109" t="n"/>
      <c r="AN302" s="109" t="n"/>
    </row>
    <row r="303" ht="15.75" customHeight="1" s="216">
      <c r="D303" s="109" t="n"/>
      <c r="E303" s="109" t="n"/>
      <c r="J303" s="109" t="n"/>
      <c r="K303" s="109" t="n"/>
      <c r="L303" s="109" t="n"/>
      <c r="N303" s="109" t="n"/>
      <c r="O303" s="109" t="n"/>
      <c r="P303" s="109" t="n"/>
      <c r="T303" s="109" t="n"/>
      <c r="U303" s="109" t="n"/>
      <c r="V303" s="109" t="n"/>
      <c r="Z303" s="109" t="n"/>
      <c r="AA303" s="109" t="n"/>
      <c r="AB303" s="109" t="n"/>
      <c r="AF303" s="109" t="n"/>
      <c r="AG303" s="109" t="n"/>
      <c r="AH303" s="109" t="n"/>
      <c r="AL303" s="109" t="n"/>
      <c r="AM303" s="109" t="n"/>
      <c r="AN303" s="109" t="n"/>
    </row>
    <row r="304" ht="15.75" customHeight="1" s="216">
      <c r="D304" s="109" t="n"/>
      <c r="E304" s="109" t="n"/>
      <c r="J304" s="109" t="n"/>
      <c r="K304" s="109" t="n"/>
      <c r="L304" s="109" t="n"/>
      <c r="N304" s="109" t="n"/>
      <c r="O304" s="109" t="n"/>
      <c r="P304" s="109" t="n"/>
      <c r="T304" s="109" t="n"/>
      <c r="U304" s="109" t="n"/>
      <c r="V304" s="109" t="n"/>
      <c r="Z304" s="109" t="n"/>
      <c r="AA304" s="109" t="n"/>
      <c r="AB304" s="109" t="n"/>
      <c r="AF304" s="109" t="n"/>
      <c r="AG304" s="109" t="n"/>
      <c r="AH304" s="109" t="n"/>
      <c r="AL304" s="109" t="n"/>
      <c r="AM304" s="109" t="n"/>
      <c r="AN304" s="109" t="n"/>
    </row>
    <row r="305" ht="15.75" customHeight="1" s="216">
      <c r="D305" s="109" t="n"/>
      <c r="E305" s="109" t="n"/>
      <c r="J305" s="109" t="n"/>
      <c r="K305" s="109" t="n"/>
      <c r="L305" s="109" t="n"/>
      <c r="N305" s="109" t="n"/>
      <c r="O305" s="109" t="n"/>
      <c r="P305" s="109" t="n"/>
      <c r="T305" s="109" t="n"/>
      <c r="U305" s="109" t="n"/>
      <c r="V305" s="109" t="n"/>
      <c r="Z305" s="109" t="n"/>
      <c r="AA305" s="109" t="n"/>
      <c r="AB305" s="109" t="n"/>
      <c r="AF305" s="109" t="n"/>
      <c r="AG305" s="109" t="n"/>
      <c r="AH305" s="109" t="n"/>
      <c r="AL305" s="109" t="n"/>
      <c r="AM305" s="109" t="n"/>
      <c r="AN305" s="109" t="n"/>
    </row>
    <row r="306" ht="15.75" customHeight="1" s="216">
      <c r="D306" s="109" t="n"/>
      <c r="E306" s="109" t="n"/>
      <c r="J306" s="109" t="n"/>
      <c r="K306" s="109" t="n"/>
      <c r="L306" s="109" t="n"/>
      <c r="N306" s="109" t="n"/>
      <c r="O306" s="109" t="n"/>
      <c r="P306" s="109" t="n"/>
      <c r="T306" s="109" t="n"/>
      <c r="U306" s="109" t="n"/>
      <c r="V306" s="109" t="n"/>
      <c r="Z306" s="109" t="n"/>
      <c r="AA306" s="109" t="n"/>
      <c r="AB306" s="109" t="n"/>
      <c r="AF306" s="109" t="n"/>
      <c r="AG306" s="109" t="n"/>
      <c r="AH306" s="109" t="n"/>
      <c r="AL306" s="109" t="n"/>
      <c r="AM306" s="109" t="n"/>
      <c r="AN306" s="109" t="n"/>
    </row>
    <row r="307" ht="15.75" customHeight="1" s="216">
      <c r="D307" s="109" t="n"/>
      <c r="E307" s="109" t="n"/>
      <c r="J307" s="109" t="n"/>
      <c r="K307" s="109" t="n"/>
      <c r="L307" s="109" t="n"/>
      <c r="N307" s="109" t="n"/>
      <c r="O307" s="109" t="n"/>
      <c r="P307" s="109" t="n"/>
      <c r="T307" s="109" t="n"/>
      <c r="U307" s="109" t="n"/>
      <c r="V307" s="109" t="n"/>
      <c r="Z307" s="109" t="n"/>
      <c r="AA307" s="109" t="n"/>
      <c r="AB307" s="109" t="n"/>
      <c r="AF307" s="109" t="n"/>
      <c r="AG307" s="109" t="n"/>
      <c r="AH307" s="109" t="n"/>
      <c r="AL307" s="109" t="n"/>
      <c r="AM307" s="109" t="n"/>
      <c r="AN307" s="109" t="n"/>
    </row>
    <row r="308" ht="15.75" customHeight="1" s="216">
      <c r="D308" s="109" t="n"/>
      <c r="E308" s="109" t="n"/>
      <c r="J308" s="109" t="n"/>
      <c r="K308" s="109" t="n"/>
      <c r="L308" s="109" t="n"/>
      <c r="N308" s="109" t="n"/>
      <c r="O308" s="109" t="n"/>
      <c r="P308" s="109" t="n"/>
      <c r="T308" s="109" t="n"/>
      <c r="U308" s="109" t="n"/>
      <c r="V308" s="109" t="n"/>
      <c r="Z308" s="109" t="n"/>
      <c r="AA308" s="109" t="n"/>
      <c r="AB308" s="109" t="n"/>
      <c r="AF308" s="109" t="n"/>
      <c r="AG308" s="109" t="n"/>
      <c r="AH308" s="109" t="n"/>
      <c r="AL308" s="109" t="n"/>
      <c r="AM308" s="109" t="n"/>
      <c r="AN308" s="109" t="n"/>
    </row>
    <row r="309" ht="15.75" customHeight="1" s="216">
      <c r="D309" s="109" t="n"/>
      <c r="E309" s="109" t="n"/>
      <c r="J309" s="109" t="n"/>
      <c r="K309" s="109" t="n"/>
      <c r="L309" s="109" t="n"/>
      <c r="N309" s="109" t="n"/>
      <c r="O309" s="109" t="n"/>
      <c r="P309" s="109" t="n"/>
      <c r="T309" s="109" t="n"/>
      <c r="U309" s="109" t="n"/>
      <c r="V309" s="109" t="n"/>
      <c r="Z309" s="109" t="n"/>
      <c r="AA309" s="109" t="n"/>
      <c r="AB309" s="109" t="n"/>
      <c r="AF309" s="109" t="n"/>
      <c r="AG309" s="109" t="n"/>
      <c r="AH309" s="109" t="n"/>
      <c r="AL309" s="109" t="n"/>
      <c r="AM309" s="109" t="n"/>
      <c r="AN309" s="109" t="n"/>
    </row>
    <row r="310" ht="15.75" customHeight="1" s="216">
      <c r="D310" s="109" t="n"/>
      <c r="E310" s="109" t="n"/>
      <c r="J310" s="109" t="n"/>
      <c r="K310" s="109" t="n"/>
      <c r="L310" s="109" t="n"/>
      <c r="N310" s="109" t="n"/>
      <c r="O310" s="109" t="n"/>
      <c r="P310" s="109" t="n"/>
      <c r="T310" s="109" t="n"/>
      <c r="U310" s="109" t="n"/>
      <c r="V310" s="109" t="n"/>
      <c r="Z310" s="109" t="n"/>
      <c r="AA310" s="109" t="n"/>
      <c r="AB310" s="109" t="n"/>
      <c r="AF310" s="109" t="n"/>
      <c r="AG310" s="109" t="n"/>
      <c r="AH310" s="109" t="n"/>
      <c r="AL310" s="109" t="n"/>
      <c r="AM310" s="109" t="n"/>
      <c r="AN310" s="109" t="n"/>
    </row>
    <row r="311" ht="15.75" customHeight="1" s="216">
      <c r="D311" s="109" t="n"/>
      <c r="E311" s="109" t="n"/>
      <c r="J311" s="109" t="n"/>
      <c r="K311" s="109" t="n"/>
      <c r="L311" s="109" t="n"/>
      <c r="N311" s="109" t="n"/>
      <c r="O311" s="109" t="n"/>
      <c r="P311" s="109" t="n"/>
      <c r="T311" s="109" t="n"/>
      <c r="U311" s="109" t="n"/>
      <c r="V311" s="109" t="n"/>
      <c r="Z311" s="109" t="n"/>
      <c r="AA311" s="109" t="n"/>
      <c r="AB311" s="109" t="n"/>
      <c r="AF311" s="109" t="n"/>
      <c r="AG311" s="109" t="n"/>
      <c r="AH311" s="109" t="n"/>
      <c r="AL311" s="109" t="n"/>
      <c r="AM311" s="109" t="n"/>
      <c r="AN311" s="109" t="n"/>
    </row>
    <row r="312" ht="15.75" customHeight="1" s="216">
      <c r="D312" s="109" t="n"/>
      <c r="E312" s="109" t="n"/>
      <c r="J312" s="109" t="n"/>
      <c r="K312" s="109" t="n"/>
      <c r="L312" s="109" t="n"/>
      <c r="N312" s="109" t="n"/>
      <c r="O312" s="109" t="n"/>
      <c r="P312" s="109" t="n"/>
      <c r="T312" s="109" t="n"/>
      <c r="U312" s="109" t="n"/>
      <c r="V312" s="109" t="n"/>
      <c r="Z312" s="109" t="n"/>
      <c r="AA312" s="109" t="n"/>
      <c r="AB312" s="109" t="n"/>
      <c r="AF312" s="109" t="n"/>
      <c r="AG312" s="109" t="n"/>
      <c r="AH312" s="109" t="n"/>
      <c r="AL312" s="109" t="n"/>
      <c r="AM312" s="109" t="n"/>
      <c r="AN312" s="109" t="n"/>
    </row>
    <row r="313" ht="15.75" customHeight="1" s="216">
      <c r="D313" s="109" t="n"/>
      <c r="E313" s="109" t="n"/>
      <c r="J313" s="109" t="n"/>
      <c r="K313" s="109" t="n"/>
      <c r="L313" s="109" t="n"/>
      <c r="N313" s="109" t="n"/>
      <c r="O313" s="109" t="n"/>
      <c r="P313" s="109" t="n"/>
      <c r="T313" s="109" t="n"/>
      <c r="U313" s="109" t="n"/>
      <c r="V313" s="109" t="n"/>
      <c r="Z313" s="109" t="n"/>
      <c r="AA313" s="109" t="n"/>
      <c r="AB313" s="109" t="n"/>
      <c r="AF313" s="109" t="n"/>
      <c r="AG313" s="109" t="n"/>
      <c r="AH313" s="109" t="n"/>
      <c r="AL313" s="109" t="n"/>
      <c r="AM313" s="109" t="n"/>
      <c r="AN313" s="109" t="n"/>
    </row>
    <row r="314" ht="15.75" customHeight="1" s="216">
      <c r="D314" s="109" t="n"/>
      <c r="E314" s="109" t="n"/>
      <c r="J314" s="109" t="n"/>
      <c r="K314" s="109" t="n"/>
      <c r="L314" s="109" t="n"/>
      <c r="N314" s="109" t="n"/>
      <c r="O314" s="109" t="n"/>
      <c r="P314" s="109" t="n"/>
      <c r="T314" s="109" t="n"/>
      <c r="U314" s="109" t="n"/>
      <c r="V314" s="109" t="n"/>
      <c r="Z314" s="109" t="n"/>
      <c r="AA314" s="109" t="n"/>
      <c r="AB314" s="109" t="n"/>
      <c r="AF314" s="109" t="n"/>
      <c r="AG314" s="109" t="n"/>
      <c r="AH314" s="109" t="n"/>
      <c r="AL314" s="109" t="n"/>
      <c r="AM314" s="109" t="n"/>
      <c r="AN314" s="109" t="n"/>
    </row>
    <row r="315" ht="15.75" customHeight="1" s="216">
      <c r="D315" s="109" t="n"/>
      <c r="E315" s="109" t="n"/>
      <c r="J315" s="109" t="n"/>
      <c r="K315" s="109" t="n"/>
      <c r="L315" s="109" t="n"/>
      <c r="N315" s="109" t="n"/>
      <c r="O315" s="109" t="n"/>
      <c r="P315" s="109" t="n"/>
      <c r="T315" s="109" t="n"/>
      <c r="U315" s="109" t="n"/>
      <c r="V315" s="109" t="n"/>
      <c r="Z315" s="109" t="n"/>
      <c r="AA315" s="109" t="n"/>
      <c r="AB315" s="109" t="n"/>
      <c r="AF315" s="109" t="n"/>
      <c r="AG315" s="109" t="n"/>
      <c r="AH315" s="109" t="n"/>
      <c r="AL315" s="109" t="n"/>
      <c r="AM315" s="109" t="n"/>
      <c r="AN315" s="109" t="n"/>
    </row>
    <row r="316" ht="15.75" customHeight="1" s="216">
      <c r="D316" s="109" t="n"/>
      <c r="E316" s="109" t="n"/>
      <c r="J316" s="109" t="n"/>
      <c r="K316" s="109" t="n"/>
      <c r="L316" s="109" t="n"/>
      <c r="N316" s="109" t="n"/>
      <c r="O316" s="109" t="n"/>
      <c r="P316" s="109" t="n"/>
      <c r="T316" s="109" t="n"/>
      <c r="U316" s="109" t="n"/>
      <c r="V316" s="109" t="n"/>
      <c r="Z316" s="109" t="n"/>
      <c r="AA316" s="109" t="n"/>
      <c r="AB316" s="109" t="n"/>
      <c r="AF316" s="109" t="n"/>
      <c r="AG316" s="109" t="n"/>
      <c r="AH316" s="109" t="n"/>
      <c r="AL316" s="109" t="n"/>
      <c r="AM316" s="109" t="n"/>
      <c r="AN316" s="109" t="n"/>
    </row>
    <row r="317" ht="15.75" customHeight="1" s="216">
      <c r="D317" s="109" t="n"/>
      <c r="E317" s="109" t="n"/>
      <c r="J317" s="109" t="n"/>
      <c r="K317" s="109" t="n"/>
      <c r="L317" s="109" t="n"/>
      <c r="N317" s="109" t="n"/>
      <c r="O317" s="109" t="n"/>
      <c r="P317" s="109" t="n"/>
      <c r="T317" s="109" t="n"/>
      <c r="U317" s="109" t="n"/>
      <c r="V317" s="109" t="n"/>
      <c r="Z317" s="109" t="n"/>
      <c r="AA317" s="109" t="n"/>
      <c r="AB317" s="109" t="n"/>
      <c r="AF317" s="109" t="n"/>
      <c r="AG317" s="109" t="n"/>
      <c r="AH317" s="109" t="n"/>
      <c r="AL317" s="109" t="n"/>
      <c r="AM317" s="109" t="n"/>
      <c r="AN317" s="109" t="n"/>
    </row>
    <row r="318" ht="15.75" customHeight="1" s="216">
      <c r="D318" s="109" t="n"/>
      <c r="E318" s="109" t="n"/>
      <c r="J318" s="109" t="n"/>
      <c r="K318" s="109" t="n"/>
      <c r="L318" s="109" t="n"/>
      <c r="N318" s="109" t="n"/>
      <c r="O318" s="109" t="n"/>
      <c r="P318" s="109" t="n"/>
      <c r="T318" s="109" t="n"/>
      <c r="U318" s="109" t="n"/>
      <c r="V318" s="109" t="n"/>
      <c r="Z318" s="109" t="n"/>
      <c r="AA318" s="109" t="n"/>
      <c r="AB318" s="109" t="n"/>
      <c r="AF318" s="109" t="n"/>
      <c r="AG318" s="109" t="n"/>
      <c r="AH318" s="109" t="n"/>
      <c r="AL318" s="109" t="n"/>
      <c r="AM318" s="109" t="n"/>
      <c r="AN318" s="109" t="n"/>
    </row>
    <row r="319" ht="15.75" customHeight="1" s="216">
      <c r="D319" s="109" t="n"/>
      <c r="E319" s="109" t="n"/>
      <c r="J319" s="109" t="n"/>
      <c r="K319" s="109" t="n"/>
      <c r="L319" s="109" t="n"/>
      <c r="N319" s="109" t="n"/>
      <c r="O319" s="109" t="n"/>
      <c r="P319" s="109" t="n"/>
      <c r="T319" s="109" t="n"/>
      <c r="U319" s="109" t="n"/>
      <c r="V319" s="109" t="n"/>
      <c r="Z319" s="109" t="n"/>
      <c r="AA319" s="109" t="n"/>
      <c r="AB319" s="109" t="n"/>
      <c r="AF319" s="109" t="n"/>
      <c r="AG319" s="109" t="n"/>
      <c r="AH319" s="109" t="n"/>
      <c r="AL319" s="109" t="n"/>
      <c r="AM319" s="109" t="n"/>
      <c r="AN319" s="109" t="n"/>
    </row>
    <row r="320" ht="15.75" customHeight="1" s="216">
      <c r="D320" s="109" t="n"/>
      <c r="E320" s="109" t="n"/>
      <c r="J320" s="109" t="n"/>
      <c r="K320" s="109" t="n"/>
      <c r="L320" s="109" t="n"/>
      <c r="N320" s="109" t="n"/>
      <c r="O320" s="109" t="n"/>
      <c r="P320" s="109" t="n"/>
      <c r="T320" s="109" t="n"/>
      <c r="U320" s="109" t="n"/>
      <c r="V320" s="109" t="n"/>
      <c r="Z320" s="109" t="n"/>
      <c r="AA320" s="109" t="n"/>
      <c r="AB320" s="109" t="n"/>
      <c r="AF320" s="109" t="n"/>
      <c r="AG320" s="109" t="n"/>
      <c r="AH320" s="109" t="n"/>
      <c r="AL320" s="109" t="n"/>
      <c r="AM320" s="109" t="n"/>
      <c r="AN320" s="109" t="n"/>
    </row>
    <row r="321" ht="15.75" customHeight="1" s="216">
      <c r="D321" s="109" t="n"/>
      <c r="E321" s="109" t="n"/>
      <c r="J321" s="109" t="n"/>
      <c r="K321" s="109" t="n"/>
      <c r="L321" s="109" t="n"/>
      <c r="N321" s="109" t="n"/>
      <c r="O321" s="109" t="n"/>
      <c r="P321" s="109" t="n"/>
      <c r="T321" s="109" t="n"/>
      <c r="U321" s="109" t="n"/>
      <c r="V321" s="109" t="n"/>
      <c r="Z321" s="109" t="n"/>
      <c r="AA321" s="109" t="n"/>
      <c r="AB321" s="109" t="n"/>
      <c r="AF321" s="109" t="n"/>
      <c r="AG321" s="109" t="n"/>
      <c r="AH321" s="109" t="n"/>
      <c r="AL321" s="109" t="n"/>
      <c r="AM321" s="109" t="n"/>
      <c r="AN321" s="109" t="n"/>
    </row>
    <row r="322" ht="15.75" customHeight="1" s="216">
      <c r="D322" s="109" t="n"/>
      <c r="E322" s="109" t="n"/>
      <c r="J322" s="109" t="n"/>
      <c r="K322" s="109" t="n"/>
      <c r="L322" s="109" t="n"/>
      <c r="N322" s="109" t="n"/>
      <c r="O322" s="109" t="n"/>
      <c r="P322" s="109" t="n"/>
      <c r="T322" s="109" t="n"/>
      <c r="U322" s="109" t="n"/>
      <c r="V322" s="109" t="n"/>
      <c r="Z322" s="109" t="n"/>
      <c r="AA322" s="109" t="n"/>
      <c r="AB322" s="109" t="n"/>
      <c r="AF322" s="109" t="n"/>
      <c r="AG322" s="109" t="n"/>
      <c r="AH322" s="109" t="n"/>
      <c r="AL322" s="109" t="n"/>
      <c r="AM322" s="109" t="n"/>
      <c r="AN322" s="109" t="n"/>
    </row>
    <row r="323" ht="15.75" customHeight="1" s="216">
      <c r="D323" s="109" t="n"/>
      <c r="E323" s="109" t="n"/>
      <c r="J323" s="109" t="n"/>
      <c r="K323" s="109" t="n"/>
      <c r="L323" s="109" t="n"/>
      <c r="N323" s="109" t="n"/>
      <c r="O323" s="109" t="n"/>
      <c r="P323" s="109" t="n"/>
      <c r="T323" s="109" t="n"/>
      <c r="U323" s="109" t="n"/>
      <c r="V323" s="109" t="n"/>
      <c r="Z323" s="109" t="n"/>
      <c r="AA323" s="109" t="n"/>
      <c r="AB323" s="109" t="n"/>
      <c r="AF323" s="109" t="n"/>
      <c r="AG323" s="109" t="n"/>
      <c r="AH323" s="109" t="n"/>
      <c r="AL323" s="109" t="n"/>
      <c r="AM323" s="109" t="n"/>
      <c r="AN323" s="109" t="n"/>
    </row>
    <row r="324" ht="15.75" customHeight="1" s="216">
      <c r="D324" s="109" t="n"/>
      <c r="E324" s="109" t="n"/>
      <c r="J324" s="109" t="n"/>
      <c r="K324" s="109" t="n"/>
      <c r="L324" s="109" t="n"/>
      <c r="N324" s="109" t="n"/>
      <c r="O324" s="109" t="n"/>
      <c r="P324" s="109" t="n"/>
      <c r="T324" s="109" t="n"/>
      <c r="U324" s="109" t="n"/>
      <c r="V324" s="109" t="n"/>
      <c r="Z324" s="109" t="n"/>
      <c r="AA324" s="109" t="n"/>
      <c r="AB324" s="109" t="n"/>
      <c r="AF324" s="109" t="n"/>
      <c r="AG324" s="109" t="n"/>
      <c r="AH324" s="109" t="n"/>
      <c r="AL324" s="109" t="n"/>
      <c r="AM324" s="109" t="n"/>
      <c r="AN324" s="109" t="n"/>
    </row>
    <row r="325" ht="15.75" customHeight="1" s="216">
      <c r="D325" s="109" t="n"/>
      <c r="E325" s="109" t="n"/>
      <c r="J325" s="109" t="n"/>
      <c r="K325" s="109" t="n"/>
      <c r="L325" s="109" t="n"/>
      <c r="N325" s="109" t="n"/>
      <c r="O325" s="109" t="n"/>
      <c r="P325" s="109" t="n"/>
      <c r="T325" s="109" t="n"/>
      <c r="U325" s="109" t="n"/>
      <c r="V325" s="109" t="n"/>
      <c r="Z325" s="109" t="n"/>
      <c r="AA325" s="109" t="n"/>
      <c r="AB325" s="109" t="n"/>
      <c r="AF325" s="109" t="n"/>
      <c r="AG325" s="109" t="n"/>
      <c r="AH325" s="109" t="n"/>
      <c r="AL325" s="109" t="n"/>
      <c r="AM325" s="109" t="n"/>
      <c r="AN325" s="109" t="n"/>
    </row>
    <row r="326" ht="15.75" customHeight="1" s="216">
      <c r="D326" s="109" t="n"/>
      <c r="E326" s="109" t="n"/>
      <c r="J326" s="109" t="n"/>
      <c r="K326" s="109" t="n"/>
      <c r="L326" s="109" t="n"/>
      <c r="N326" s="109" t="n"/>
      <c r="O326" s="109" t="n"/>
      <c r="P326" s="109" t="n"/>
      <c r="T326" s="109" t="n"/>
      <c r="U326" s="109" t="n"/>
      <c r="V326" s="109" t="n"/>
      <c r="Z326" s="109" t="n"/>
      <c r="AA326" s="109" t="n"/>
      <c r="AB326" s="109" t="n"/>
      <c r="AF326" s="109" t="n"/>
      <c r="AG326" s="109" t="n"/>
      <c r="AH326" s="109" t="n"/>
      <c r="AL326" s="109" t="n"/>
      <c r="AM326" s="109" t="n"/>
      <c r="AN326" s="109" t="n"/>
    </row>
    <row r="327" ht="15.75" customHeight="1" s="216">
      <c r="D327" s="109" t="n"/>
      <c r="E327" s="109" t="n"/>
      <c r="J327" s="109" t="n"/>
      <c r="K327" s="109" t="n"/>
      <c r="L327" s="109" t="n"/>
      <c r="N327" s="109" t="n"/>
      <c r="O327" s="109" t="n"/>
      <c r="P327" s="109" t="n"/>
      <c r="T327" s="109" t="n"/>
      <c r="U327" s="109" t="n"/>
      <c r="V327" s="109" t="n"/>
      <c r="Z327" s="109" t="n"/>
      <c r="AA327" s="109" t="n"/>
      <c r="AB327" s="109" t="n"/>
      <c r="AF327" s="109" t="n"/>
      <c r="AG327" s="109" t="n"/>
      <c r="AH327" s="109" t="n"/>
      <c r="AL327" s="109" t="n"/>
      <c r="AM327" s="109" t="n"/>
      <c r="AN327" s="109" t="n"/>
    </row>
    <row r="328" ht="15.75" customHeight="1" s="216">
      <c r="D328" s="109" t="n"/>
      <c r="E328" s="109" t="n"/>
      <c r="J328" s="109" t="n"/>
      <c r="K328" s="109" t="n"/>
      <c r="L328" s="109" t="n"/>
      <c r="N328" s="109" t="n"/>
      <c r="O328" s="109" t="n"/>
      <c r="P328" s="109" t="n"/>
      <c r="T328" s="109" t="n"/>
      <c r="U328" s="109" t="n"/>
      <c r="V328" s="109" t="n"/>
      <c r="Z328" s="109" t="n"/>
      <c r="AA328" s="109" t="n"/>
      <c r="AB328" s="109" t="n"/>
      <c r="AF328" s="109" t="n"/>
      <c r="AG328" s="109" t="n"/>
      <c r="AH328" s="109" t="n"/>
      <c r="AL328" s="109" t="n"/>
      <c r="AM328" s="109" t="n"/>
      <c r="AN328" s="109" t="n"/>
    </row>
    <row r="329" ht="15.75" customHeight="1" s="216">
      <c r="D329" s="109" t="n"/>
      <c r="E329" s="109" t="n"/>
      <c r="J329" s="109" t="n"/>
      <c r="K329" s="109" t="n"/>
      <c r="L329" s="109" t="n"/>
      <c r="N329" s="109" t="n"/>
      <c r="O329" s="109" t="n"/>
      <c r="P329" s="109" t="n"/>
      <c r="T329" s="109" t="n"/>
      <c r="U329" s="109" t="n"/>
      <c r="V329" s="109" t="n"/>
      <c r="Z329" s="109" t="n"/>
      <c r="AA329" s="109" t="n"/>
      <c r="AB329" s="109" t="n"/>
      <c r="AF329" s="109" t="n"/>
      <c r="AG329" s="109" t="n"/>
      <c r="AH329" s="109" t="n"/>
      <c r="AL329" s="109" t="n"/>
      <c r="AM329" s="109" t="n"/>
      <c r="AN329" s="109" t="n"/>
    </row>
    <row r="330" ht="15.75" customHeight="1" s="216">
      <c r="D330" s="109" t="n"/>
      <c r="E330" s="109" t="n"/>
      <c r="J330" s="109" t="n"/>
      <c r="K330" s="109" t="n"/>
      <c r="L330" s="109" t="n"/>
      <c r="N330" s="109" t="n"/>
      <c r="O330" s="109" t="n"/>
      <c r="P330" s="109" t="n"/>
      <c r="T330" s="109" t="n"/>
      <c r="U330" s="109" t="n"/>
      <c r="V330" s="109" t="n"/>
      <c r="Z330" s="109" t="n"/>
      <c r="AA330" s="109" t="n"/>
      <c r="AB330" s="109" t="n"/>
      <c r="AF330" s="109" t="n"/>
      <c r="AG330" s="109" t="n"/>
      <c r="AH330" s="109" t="n"/>
      <c r="AL330" s="109" t="n"/>
      <c r="AM330" s="109" t="n"/>
      <c r="AN330" s="109" t="n"/>
    </row>
    <row r="331" ht="15.75" customHeight="1" s="216">
      <c r="D331" s="109" t="n"/>
      <c r="E331" s="109" t="n"/>
      <c r="J331" s="109" t="n"/>
      <c r="K331" s="109" t="n"/>
      <c r="L331" s="109" t="n"/>
      <c r="N331" s="109" t="n"/>
      <c r="O331" s="109" t="n"/>
      <c r="P331" s="109" t="n"/>
      <c r="T331" s="109" t="n"/>
      <c r="U331" s="109" t="n"/>
      <c r="V331" s="109" t="n"/>
      <c r="Z331" s="109" t="n"/>
      <c r="AA331" s="109" t="n"/>
      <c r="AB331" s="109" t="n"/>
      <c r="AF331" s="109" t="n"/>
      <c r="AG331" s="109" t="n"/>
      <c r="AH331" s="109" t="n"/>
      <c r="AL331" s="109" t="n"/>
      <c r="AM331" s="109" t="n"/>
      <c r="AN331" s="109" t="n"/>
    </row>
    <row r="332" ht="15.75" customHeight="1" s="216">
      <c r="D332" s="109" t="n"/>
      <c r="E332" s="109" t="n"/>
      <c r="J332" s="109" t="n"/>
      <c r="K332" s="109" t="n"/>
      <c r="L332" s="109" t="n"/>
      <c r="N332" s="109" t="n"/>
      <c r="O332" s="109" t="n"/>
      <c r="P332" s="109" t="n"/>
      <c r="T332" s="109" t="n"/>
      <c r="U332" s="109" t="n"/>
      <c r="V332" s="109" t="n"/>
      <c r="Z332" s="109" t="n"/>
      <c r="AA332" s="109" t="n"/>
      <c r="AB332" s="109" t="n"/>
      <c r="AF332" s="109" t="n"/>
      <c r="AG332" s="109" t="n"/>
      <c r="AH332" s="109" t="n"/>
      <c r="AL332" s="109" t="n"/>
      <c r="AM332" s="109" t="n"/>
      <c r="AN332" s="109" t="n"/>
    </row>
    <row r="333" ht="15.75" customHeight="1" s="216">
      <c r="D333" s="109" t="n"/>
      <c r="E333" s="109" t="n"/>
      <c r="J333" s="109" t="n"/>
      <c r="K333" s="109" t="n"/>
      <c r="L333" s="109" t="n"/>
      <c r="N333" s="109" t="n"/>
      <c r="O333" s="109" t="n"/>
      <c r="P333" s="109" t="n"/>
      <c r="T333" s="109" t="n"/>
      <c r="U333" s="109" t="n"/>
      <c r="V333" s="109" t="n"/>
      <c r="Z333" s="109" t="n"/>
      <c r="AA333" s="109" t="n"/>
      <c r="AB333" s="109" t="n"/>
      <c r="AF333" s="109" t="n"/>
      <c r="AG333" s="109" t="n"/>
      <c r="AH333" s="109" t="n"/>
      <c r="AL333" s="109" t="n"/>
      <c r="AM333" s="109" t="n"/>
      <c r="AN333" s="109" t="n"/>
    </row>
    <row r="334" ht="15.75" customHeight="1" s="216">
      <c r="D334" s="109" t="n"/>
      <c r="E334" s="109" t="n"/>
      <c r="J334" s="109" t="n"/>
      <c r="K334" s="109" t="n"/>
      <c r="L334" s="109" t="n"/>
      <c r="N334" s="109" t="n"/>
      <c r="O334" s="109" t="n"/>
      <c r="P334" s="109" t="n"/>
      <c r="T334" s="109" t="n"/>
      <c r="U334" s="109" t="n"/>
      <c r="V334" s="109" t="n"/>
      <c r="Z334" s="109" t="n"/>
      <c r="AA334" s="109" t="n"/>
      <c r="AB334" s="109" t="n"/>
      <c r="AF334" s="109" t="n"/>
      <c r="AG334" s="109" t="n"/>
      <c r="AH334" s="109" t="n"/>
      <c r="AL334" s="109" t="n"/>
      <c r="AM334" s="109" t="n"/>
      <c r="AN334" s="109" t="n"/>
    </row>
    <row r="335" ht="15.75" customHeight="1" s="216">
      <c r="D335" s="109" t="n"/>
      <c r="E335" s="109" t="n"/>
      <c r="J335" s="109" t="n"/>
      <c r="K335" s="109" t="n"/>
      <c r="L335" s="109" t="n"/>
      <c r="N335" s="109" t="n"/>
      <c r="O335" s="109" t="n"/>
      <c r="P335" s="109" t="n"/>
      <c r="T335" s="109" t="n"/>
      <c r="U335" s="109" t="n"/>
      <c r="V335" s="109" t="n"/>
      <c r="Z335" s="109" t="n"/>
      <c r="AA335" s="109" t="n"/>
      <c r="AB335" s="109" t="n"/>
      <c r="AF335" s="109" t="n"/>
      <c r="AG335" s="109" t="n"/>
      <c r="AH335" s="109" t="n"/>
      <c r="AL335" s="109" t="n"/>
      <c r="AM335" s="109" t="n"/>
      <c r="AN335" s="109" t="n"/>
    </row>
    <row r="336" ht="15.75" customHeight="1" s="216">
      <c r="D336" s="109" t="n"/>
      <c r="E336" s="109" t="n"/>
      <c r="J336" s="109" t="n"/>
      <c r="K336" s="109" t="n"/>
      <c r="L336" s="109" t="n"/>
      <c r="N336" s="109" t="n"/>
      <c r="O336" s="109" t="n"/>
      <c r="P336" s="109" t="n"/>
      <c r="T336" s="109" t="n"/>
      <c r="U336" s="109" t="n"/>
      <c r="V336" s="109" t="n"/>
      <c r="Z336" s="109" t="n"/>
      <c r="AA336" s="109" t="n"/>
      <c r="AB336" s="109" t="n"/>
      <c r="AF336" s="109" t="n"/>
      <c r="AG336" s="109" t="n"/>
      <c r="AH336" s="109" t="n"/>
      <c r="AL336" s="109" t="n"/>
      <c r="AM336" s="109" t="n"/>
      <c r="AN336" s="109" t="n"/>
    </row>
    <row r="337" ht="15.75" customHeight="1" s="216">
      <c r="D337" s="109" t="n"/>
      <c r="E337" s="109" t="n"/>
      <c r="J337" s="109" t="n"/>
      <c r="K337" s="109" t="n"/>
      <c r="L337" s="109" t="n"/>
      <c r="N337" s="109" t="n"/>
      <c r="O337" s="109" t="n"/>
      <c r="P337" s="109" t="n"/>
      <c r="T337" s="109" t="n"/>
      <c r="U337" s="109" t="n"/>
      <c r="V337" s="109" t="n"/>
      <c r="Z337" s="109" t="n"/>
      <c r="AA337" s="109" t="n"/>
      <c r="AB337" s="109" t="n"/>
      <c r="AF337" s="109" t="n"/>
      <c r="AG337" s="109" t="n"/>
      <c r="AH337" s="109" t="n"/>
      <c r="AL337" s="109" t="n"/>
      <c r="AM337" s="109" t="n"/>
      <c r="AN337" s="109" t="n"/>
    </row>
    <row r="338" ht="15.75" customHeight="1" s="216">
      <c r="D338" s="109" t="n"/>
      <c r="E338" s="109" t="n"/>
      <c r="J338" s="109" t="n"/>
      <c r="K338" s="109" t="n"/>
      <c r="L338" s="109" t="n"/>
      <c r="N338" s="109" t="n"/>
      <c r="O338" s="109" t="n"/>
      <c r="P338" s="109" t="n"/>
      <c r="T338" s="109" t="n"/>
      <c r="U338" s="109" t="n"/>
      <c r="V338" s="109" t="n"/>
      <c r="Z338" s="109" t="n"/>
      <c r="AA338" s="109" t="n"/>
      <c r="AB338" s="109" t="n"/>
      <c r="AF338" s="109" t="n"/>
      <c r="AG338" s="109" t="n"/>
      <c r="AH338" s="109" t="n"/>
      <c r="AL338" s="109" t="n"/>
      <c r="AM338" s="109" t="n"/>
      <c r="AN338" s="109" t="n"/>
    </row>
    <row r="339" ht="15.75" customHeight="1" s="216">
      <c r="D339" s="109" t="n"/>
      <c r="E339" s="109" t="n"/>
      <c r="J339" s="109" t="n"/>
      <c r="K339" s="109" t="n"/>
      <c r="L339" s="109" t="n"/>
      <c r="N339" s="109" t="n"/>
      <c r="O339" s="109" t="n"/>
      <c r="P339" s="109" t="n"/>
      <c r="T339" s="109" t="n"/>
      <c r="U339" s="109" t="n"/>
      <c r="V339" s="109" t="n"/>
      <c r="Z339" s="109" t="n"/>
      <c r="AA339" s="109" t="n"/>
      <c r="AB339" s="109" t="n"/>
      <c r="AF339" s="109" t="n"/>
      <c r="AG339" s="109" t="n"/>
      <c r="AH339" s="109" t="n"/>
      <c r="AL339" s="109" t="n"/>
      <c r="AM339" s="109" t="n"/>
      <c r="AN339" s="109" t="n"/>
    </row>
    <row r="340" ht="15.75" customHeight="1" s="216">
      <c r="D340" s="109" t="n"/>
      <c r="E340" s="109" t="n"/>
      <c r="J340" s="109" t="n"/>
      <c r="K340" s="109" t="n"/>
      <c r="L340" s="109" t="n"/>
      <c r="N340" s="109" t="n"/>
      <c r="O340" s="109" t="n"/>
      <c r="P340" s="109" t="n"/>
      <c r="T340" s="109" t="n"/>
      <c r="U340" s="109" t="n"/>
      <c r="V340" s="109" t="n"/>
      <c r="Z340" s="109" t="n"/>
      <c r="AA340" s="109" t="n"/>
      <c r="AB340" s="109" t="n"/>
      <c r="AF340" s="109" t="n"/>
      <c r="AG340" s="109" t="n"/>
      <c r="AH340" s="109" t="n"/>
      <c r="AL340" s="109" t="n"/>
      <c r="AM340" s="109" t="n"/>
      <c r="AN340" s="109" t="n"/>
    </row>
    <row r="341" ht="15.75" customHeight="1" s="216">
      <c r="D341" s="109" t="n"/>
      <c r="E341" s="109" t="n"/>
      <c r="J341" s="109" t="n"/>
      <c r="K341" s="109" t="n"/>
      <c r="L341" s="109" t="n"/>
      <c r="N341" s="109" t="n"/>
      <c r="O341" s="109" t="n"/>
      <c r="P341" s="109" t="n"/>
      <c r="T341" s="109" t="n"/>
      <c r="U341" s="109" t="n"/>
      <c r="V341" s="109" t="n"/>
      <c r="Z341" s="109" t="n"/>
      <c r="AA341" s="109" t="n"/>
      <c r="AB341" s="109" t="n"/>
      <c r="AF341" s="109" t="n"/>
      <c r="AG341" s="109" t="n"/>
      <c r="AH341" s="109" t="n"/>
      <c r="AL341" s="109" t="n"/>
      <c r="AM341" s="109" t="n"/>
      <c r="AN341" s="109" t="n"/>
    </row>
    <row r="342" ht="15.75" customHeight="1" s="216">
      <c r="D342" s="109" t="n"/>
      <c r="E342" s="109" t="n"/>
      <c r="J342" s="109" t="n"/>
      <c r="K342" s="109" t="n"/>
      <c r="L342" s="109" t="n"/>
      <c r="N342" s="109" t="n"/>
      <c r="O342" s="109" t="n"/>
      <c r="P342" s="109" t="n"/>
      <c r="T342" s="109" t="n"/>
      <c r="U342" s="109" t="n"/>
      <c r="V342" s="109" t="n"/>
      <c r="Z342" s="109" t="n"/>
      <c r="AA342" s="109" t="n"/>
      <c r="AB342" s="109" t="n"/>
      <c r="AF342" s="109" t="n"/>
      <c r="AG342" s="109" t="n"/>
      <c r="AH342" s="109" t="n"/>
      <c r="AL342" s="109" t="n"/>
      <c r="AM342" s="109" t="n"/>
      <c r="AN342" s="109" t="n"/>
    </row>
    <row r="343" ht="15.75" customHeight="1" s="216">
      <c r="D343" s="109" t="n"/>
      <c r="E343" s="109" t="n"/>
      <c r="J343" s="109" t="n"/>
      <c r="K343" s="109" t="n"/>
      <c r="L343" s="109" t="n"/>
      <c r="N343" s="109" t="n"/>
      <c r="O343" s="109" t="n"/>
      <c r="P343" s="109" t="n"/>
      <c r="T343" s="109" t="n"/>
      <c r="U343" s="109" t="n"/>
      <c r="V343" s="109" t="n"/>
      <c r="Z343" s="109" t="n"/>
      <c r="AA343" s="109" t="n"/>
      <c r="AB343" s="109" t="n"/>
      <c r="AF343" s="109" t="n"/>
      <c r="AG343" s="109" t="n"/>
      <c r="AH343" s="109" t="n"/>
      <c r="AL343" s="109" t="n"/>
      <c r="AM343" s="109" t="n"/>
      <c r="AN343" s="109" t="n"/>
    </row>
    <row r="344" ht="15.75" customHeight="1" s="216">
      <c r="D344" s="109" t="n"/>
      <c r="E344" s="109" t="n"/>
      <c r="J344" s="109" t="n"/>
      <c r="K344" s="109" t="n"/>
      <c r="L344" s="109" t="n"/>
      <c r="N344" s="109" t="n"/>
      <c r="O344" s="109" t="n"/>
      <c r="P344" s="109" t="n"/>
      <c r="T344" s="109" t="n"/>
      <c r="U344" s="109" t="n"/>
      <c r="V344" s="109" t="n"/>
      <c r="Z344" s="109" t="n"/>
      <c r="AA344" s="109" t="n"/>
      <c r="AB344" s="109" t="n"/>
      <c r="AF344" s="109" t="n"/>
      <c r="AG344" s="109" t="n"/>
      <c r="AH344" s="109" t="n"/>
      <c r="AL344" s="109" t="n"/>
      <c r="AM344" s="109" t="n"/>
      <c r="AN344" s="109" t="n"/>
    </row>
    <row r="345" ht="15.75" customHeight="1" s="216">
      <c r="D345" s="109" t="n"/>
      <c r="E345" s="109" t="n"/>
      <c r="J345" s="109" t="n"/>
      <c r="K345" s="109" t="n"/>
      <c r="L345" s="109" t="n"/>
      <c r="N345" s="109" t="n"/>
      <c r="O345" s="109" t="n"/>
      <c r="P345" s="109" t="n"/>
      <c r="T345" s="109" t="n"/>
      <c r="U345" s="109" t="n"/>
      <c r="V345" s="109" t="n"/>
      <c r="Z345" s="109" t="n"/>
      <c r="AA345" s="109" t="n"/>
      <c r="AB345" s="109" t="n"/>
      <c r="AF345" s="109" t="n"/>
      <c r="AG345" s="109" t="n"/>
      <c r="AH345" s="109" t="n"/>
      <c r="AL345" s="109" t="n"/>
      <c r="AM345" s="109" t="n"/>
      <c r="AN345" s="109" t="n"/>
    </row>
    <row r="346" ht="15.75" customHeight="1" s="216">
      <c r="D346" s="109" t="n"/>
      <c r="E346" s="109" t="n"/>
      <c r="J346" s="109" t="n"/>
      <c r="K346" s="109" t="n"/>
      <c r="L346" s="109" t="n"/>
      <c r="N346" s="109" t="n"/>
      <c r="O346" s="109" t="n"/>
      <c r="P346" s="109" t="n"/>
      <c r="T346" s="109" t="n"/>
      <c r="U346" s="109" t="n"/>
      <c r="V346" s="109" t="n"/>
      <c r="Z346" s="109" t="n"/>
      <c r="AA346" s="109" t="n"/>
      <c r="AB346" s="109" t="n"/>
      <c r="AF346" s="109" t="n"/>
      <c r="AG346" s="109" t="n"/>
      <c r="AH346" s="109" t="n"/>
      <c r="AL346" s="109" t="n"/>
      <c r="AM346" s="109" t="n"/>
      <c r="AN346" s="109" t="n"/>
    </row>
    <row r="347" ht="15.75" customHeight="1" s="216">
      <c r="D347" s="109" t="n"/>
      <c r="E347" s="109" t="n"/>
      <c r="J347" s="109" t="n"/>
      <c r="K347" s="109" t="n"/>
      <c r="L347" s="109" t="n"/>
      <c r="N347" s="109" t="n"/>
      <c r="O347" s="109" t="n"/>
      <c r="P347" s="109" t="n"/>
      <c r="T347" s="109" t="n"/>
      <c r="U347" s="109" t="n"/>
      <c r="V347" s="109" t="n"/>
      <c r="Z347" s="109" t="n"/>
      <c r="AA347" s="109" t="n"/>
      <c r="AB347" s="109" t="n"/>
      <c r="AF347" s="109" t="n"/>
      <c r="AG347" s="109" t="n"/>
      <c r="AH347" s="109" t="n"/>
      <c r="AL347" s="109" t="n"/>
      <c r="AM347" s="109" t="n"/>
      <c r="AN347" s="109" t="n"/>
    </row>
    <row r="348" ht="15.75" customHeight="1" s="216">
      <c r="D348" s="109" t="n"/>
      <c r="E348" s="109" t="n"/>
      <c r="J348" s="109" t="n"/>
      <c r="K348" s="109" t="n"/>
      <c r="L348" s="109" t="n"/>
      <c r="N348" s="109" t="n"/>
      <c r="O348" s="109" t="n"/>
      <c r="P348" s="109" t="n"/>
      <c r="T348" s="109" t="n"/>
      <c r="U348" s="109" t="n"/>
      <c r="V348" s="109" t="n"/>
      <c r="Z348" s="109" t="n"/>
      <c r="AA348" s="109" t="n"/>
      <c r="AB348" s="109" t="n"/>
      <c r="AF348" s="109" t="n"/>
      <c r="AG348" s="109" t="n"/>
      <c r="AH348" s="109" t="n"/>
      <c r="AL348" s="109" t="n"/>
      <c r="AM348" s="109" t="n"/>
      <c r="AN348" s="109" t="n"/>
    </row>
    <row r="349" ht="15.75" customHeight="1" s="216">
      <c r="D349" s="109" t="n"/>
      <c r="E349" s="109" t="n"/>
      <c r="J349" s="109" t="n"/>
      <c r="K349" s="109" t="n"/>
      <c r="L349" s="109" t="n"/>
      <c r="N349" s="109" t="n"/>
      <c r="O349" s="109" t="n"/>
      <c r="P349" s="109" t="n"/>
      <c r="T349" s="109" t="n"/>
      <c r="U349" s="109" t="n"/>
      <c r="V349" s="109" t="n"/>
      <c r="Z349" s="109" t="n"/>
      <c r="AA349" s="109" t="n"/>
      <c r="AB349" s="109" t="n"/>
      <c r="AF349" s="109" t="n"/>
      <c r="AG349" s="109" t="n"/>
      <c r="AH349" s="109" t="n"/>
      <c r="AL349" s="109" t="n"/>
      <c r="AM349" s="109" t="n"/>
      <c r="AN349" s="109" t="n"/>
    </row>
    <row r="350" ht="15.75" customHeight="1" s="216">
      <c r="D350" s="109" t="n"/>
      <c r="E350" s="109" t="n"/>
      <c r="J350" s="109" t="n"/>
      <c r="K350" s="109" t="n"/>
      <c r="L350" s="109" t="n"/>
      <c r="N350" s="109" t="n"/>
      <c r="O350" s="109" t="n"/>
      <c r="P350" s="109" t="n"/>
      <c r="T350" s="109" t="n"/>
      <c r="U350" s="109" t="n"/>
      <c r="V350" s="109" t="n"/>
      <c r="Z350" s="109" t="n"/>
      <c r="AA350" s="109" t="n"/>
      <c r="AB350" s="109" t="n"/>
      <c r="AF350" s="109" t="n"/>
      <c r="AG350" s="109" t="n"/>
      <c r="AH350" s="109" t="n"/>
      <c r="AL350" s="109" t="n"/>
      <c r="AM350" s="109" t="n"/>
      <c r="AN350" s="109" t="n"/>
    </row>
    <row r="351" ht="15.75" customHeight="1" s="216">
      <c r="D351" s="109" t="n"/>
      <c r="E351" s="109" t="n"/>
      <c r="J351" s="109" t="n"/>
      <c r="K351" s="109" t="n"/>
      <c r="L351" s="109" t="n"/>
      <c r="N351" s="109" t="n"/>
      <c r="O351" s="109" t="n"/>
      <c r="P351" s="109" t="n"/>
      <c r="T351" s="109" t="n"/>
      <c r="U351" s="109" t="n"/>
      <c r="V351" s="109" t="n"/>
      <c r="Z351" s="109" t="n"/>
      <c r="AA351" s="109" t="n"/>
      <c r="AB351" s="109" t="n"/>
      <c r="AF351" s="109" t="n"/>
      <c r="AG351" s="109" t="n"/>
      <c r="AH351" s="109" t="n"/>
      <c r="AL351" s="109" t="n"/>
      <c r="AM351" s="109" t="n"/>
      <c r="AN351" s="109" t="n"/>
    </row>
    <row r="352" ht="15.75" customHeight="1" s="216">
      <c r="D352" s="109" t="n"/>
      <c r="E352" s="109" t="n"/>
      <c r="J352" s="109" t="n"/>
      <c r="K352" s="109" t="n"/>
      <c r="L352" s="109" t="n"/>
      <c r="N352" s="109" t="n"/>
      <c r="O352" s="109" t="n"/>
      <c r="P352" s="109" t="n"/>
      <c r="T352" s="109" t="n"/>
      <c r="U352" s="109" t="n"/>
      <c r="V352" s="109" t="n"/>
      <c r="Z352" s="109" t="n"/>
      <c r="AA352" s="109" t="n"/>
      <c r="AB352" s="109" t="n"/>
      <c r="AF352" s="109" t="n"/>
      <c r="AG352" s="109" t="n"/>
      <c r="AH352" s="109" t="n"/>
      <c r="AL352" s="109" t="n"/>
      <c r="AM352" s="109" t="n"/>
      <c r="AN352" s="109" t="n"/>
    </row>
    <row r="353" ht="15.75" customHeight="1" s="216">
      <c r="D353" s="109" t="n"/>
      <c r="E353" s="109" t="n"/>
      <c r="J353" s="109" t="n"/>
      <c r="K353" s="109" t="n"/>
      <c r="L353" s="109" t="n"/>
      <c r="N353" s="109" t="n"/>
      <c r="O353" s="109" t="n"/>
      <c r="P353" s="109" t="n"/>
      <c r="T353" s="109" t="n"/>
      <c r="U353" s="109" t="n"/>
      <c r="V353" s="109" t="n"/>
      <c r="Z353" s="109" t="n"/>
      <c r="AA353" s="109" t="n"/>
      <c r="AB353" s="109" t="n"/>
      <c r="AF353" s="109" t="n"/>
      <c r="AG353" s="109" t="n"/>
      <c r="AH353" s="109" t="n"/>
      <c r="AL353" s="109" t="n"/>
      <c r="AM353" s="109" t="n"/>
      <c r="AN353" s="109" t="n"/>
    </row>
    <row r="354" ht="15.75" customHeight="1" s="216">
      <c r="D354" s="109" t="n"/>
      <c r="E354" s="109" t="n"/>
      <c r="J354" s="109" t="n"/>
      <c r="K354" s="109" t="n"/>
      <c r="L354" s="109" t="n"/>
      <c r="N354" s="109" t="n"/>
      <c r="O354" s="109" t="n"/>
      <c r="P354" s="109" t="n"/>
      <c r="T354" s="109" t="n"/>
      <c r="U354" s="109" t="n"/>
      <c r="V354" s="109" t="n"/>
      <c r="Z354" s="109" t="n"/>
      <c r="AA354" s="109" t="n"/>
      <c r="AB354" s="109" t="n"/>
      <c r="AF354" s="109" t="n"/>
      <c r="AG354" s="109" t="n"/>
      <c r="AH354" s="109" t="n"/>
      <c r="AL354" s="109" t="n"/>
      <c r="AM354" s="109" t="n"/>
      <c r="AN354" s="109" t="n"/>
    </row>
    <row r="355" ht="15.75" customHeight="1" s="216">
      <c r="D355" s="109" t="n"/>
      <c r="E355" s="109" t="n"/>
      <c r="J355" s="109" t="n"/>
      <c r="K355" s="109" t="n"/>
      <c r="L355" s="109" t="n"/>
      <c r="N355" s="109" t="n"/>
      <c r="O355" s="109" t="n"/>
      <c r="P355" s="109" t="n"/>
      <c r="T355" s="109" t="n"/>
      <c r="U355" s="109" t="n"/>
      <c r="V355" s="109" t="n"/>
      <c r="Z355" s="109" t="n"/>
      <c r="AA355" s="109" t="n"/>
      <c r="AB355" s="109" t="n"/>
      <c r="AF355" s="109" t="n"/>
      <c r="AG355" s="109" t="n"/>
      <c r="AH355" s="109" t="n"/>
      <c r="AL355" s="109" t="n"/>
      <c r="AM355" s="109" t="n"/>
      <c r="AN355" s="109" t="n"/>
    </row>
    <row r="356" ht="15.75" customHeight="1" s="216">
      <c r="D356" s="109" t="n"/>
      <c r="E356" s="109" t="n"/>
      <c r="J356" s="109" t="n"/>
      <c r="K356" s="109" t="n"/>
      <c r="L356" s="109" t="n"/>
      <c r="N356" s="109" t="n"/>
      <c r="O356" s="109" t="n"/>
      <c r="P356" s="109" t="n"/>
      <c r="T356" s="109" t="n"/>
      <c r="U356" s="109" t="n"/>
      <c r="V356" s="109" t="n"/>
      <c r="Z356" s="109" t="n"/>
      <c r="AA356" s="109" t="n"/>
      <c r="AB356" s="109" t="n"/>
      <c r="AF356" s="109" t="n"/>
      <c r="AG356" s="109" t="n"/>
      <c r="AH356" s="109" t="n"/>
      <c r="AL356" s="109" t="n"/>
      <c r="AM356" s="109" t="n"/>
      <c r="AN356" s="109" t="n"/>
    </row>
    <row r="357" ht="15.75" customHeight="1" s="216">
      <c r="D357" s="109" t="n"/>
      <c r="E357" s="109" t="n"/>
      <c r="J357" s="109" t="n"/>
      <c r="K357" s="109" t="n"/>
      <c r="L357" s="109" t="n"/>
      <c r="N357" s="109" t="n"/>
      <c r="O357" s="109" t="n"/>
      <c r="P357" s="109" t="n"/>
      <c r="T357" s="109" t="n"/>
      <c r="U357" s="109" t="n"/>
      <c r="V357" s="109" t="n"/>
      <c r="Z357" s="109" t="n"/>
      <c r="AA357" s="109" t="n"/>
      <c r="AB357" s="109" t="n"/>
      <c r="AF357" s="109" t="n"/>
      <c r="AG357" s="109" t="n"/>
      <c r="AH357" s="109" t="n"/>
      <c r="AL357" s="109" t="n"/>
      <c r="AM357" s="109" t="n"/>
      <c r="AN357" s="109" t="n"/>
    </row>
    <row r="358" ht="15.75" customHeight="1" s="216">
      <c r="D358" s="109" t="n"/>
      <c r="E358" s="109" t="n"/>
      <c r="J358" s="109" t="n"/>
      <c r="K358" s="109" t="n"/>
      <c r="L358" s="109" t="n"/>
      <c r="N358" s="109" t="n"/>
      <c r="O358" s="109" t="n"/>
      <c r="P358" s="109" t="n"/>
      <c r="T358" s="109" t="n"/>
      <c r="U358" s="109" t="n"/>
      <c r="V358" s="109" t="n"/>
      <c r="Z358" s="109" t="n"/>
      <c r="AA358" s="109" t="n"/>
      <c r="AB358" s="109" t="n"/>
      <c r="AF358" s="109" t="n"/>
      <c r="AG358" s="109" t="n"/>
      <c r="AH358" s="109" t="n"/>
      <c r="AL358" s="109" t="n"/>
      <c r="AM358" s="109" t="n"/>
      <c r="AN358" s="109" t="n"/>
    </row>
    <row r="359" ht="15.75" customHeight="1" s="216">
      <c r="D359" s="109" t="n"/>
      <c r="E359" s="109" t="n"/>
      <c r="J359" s="109" t="n"/>
      <c r="K359" s="109" t="n"/>
      <c r="L359" s="109" t="n"/>
      <c r="N359" s="109" t="n"/>
      <c r="O359" s="109" t="n"/>
      <c r="P359" s="109" t="n"/>
      <c r="T359" s="109" t="n"/>
      <c r="U359" s="109" t="n"/>
      <c r="V359" s="109" t="n"/>
      <c r="Z359" s="109" t="n"/>
      <c r="AA359" s="109" t="n"/>
      <c r="AB359" s="109" t="n"/>
      <c r="AF359" s="109" t="n"/>
      <c r="AG359" s="109" t="n"/>
      <c r="AH359" s="109" t="n"/>
      <c r="AL359" s="109" t="n"/>
      <c r="AM359" s="109" t="n"/>
      <c r="AN359" s="109" t="n"/>
    </row>
    <row r="360" ht="15.75" customHeight="1" s="216">
      <c r="D360" s="109" t="n"/>
      <c r="E360" s="109" t="n"/>
      <c r="J360" s="109" t="n"/>
      <c r="K360" s="109" t="n"/>
      <c r="L360" s="109" t="n"/>
      <c r="N360" s="109" t="n"/>
      <c r="O360" s="109" t="n"/>
      <c r="P360" s="109" t="n"/>
      <c r="T360" s="109" t="n"/>
      <c r="U360" s="109" t="n"/>
      <c r="V360" s="109" t="n"/>
      <c r="Z360" s="109" t="n"/>
      <c r="AA360" s="109" t="n"/>
      <c r="AB360" s="109" t="n"/>
      <c r="AF360" s="109" t="n"/>
      <c r="AG360" s="109" t="n"/>
      <c r="AH360" s="109" t="n"/>
      <c r="AL360" s="109" t="n"/>
      <c r="AM360" s="109" t="n"/>
      <c r="AN360" s="109" t="n"/>
    </row>
    <row r="361" ht="15.75" customHeight="1" s="216">
      <c r="D361" s="109" t="n"/>
      <c r="E361" s="109" t="n"/>
      <c r="J361" s="109" t="n"/>
      <c r="K361" s="109" t="n"/>
      <c r="L361" s="109" t="n"/>
      <c r="N361" s="109" t="n"/>
      <c r="O361" s="109" t="n"/>
      <c r="P361" s="109" t="n"/>
      <c r="T361" s="109" t="n"/>
      <c r="U361" s="109" t="n"/>
      <c r="V361" s="109" t="n"/>
      <c r="Z361" s="109" t="n"/>
      <c r="AA361" s="109" t="n"/>
      <c r="AB361" s="109" t="n"/>
      <c r="AF361" s="109" t="n"/>
      <c r="AG361" s="109" t="n"/>
      <c r="AH361" s="109" t="n"/>
      <c r="AL361" s="109" t="n"/>
      <c r="AM361" s="109" t="n"/>
      <c r="AN361" s="109" t="n"/>
    </row>
    <row r="362" ht="15.75" customHeight="1" s="216">
      <c r="D362" s="109" t="n"/>
      <c r="E362" s="109" t="n"/>
      <c r="J362" s="109" t="n"/>
      <c r="K362" s="109" t="n"/>
      <c r="L362" s="109" t="n"/>
      <c r="N362" s="109" t="n"/>
      <c r="O362" s="109" t="n"/>
      <c r="P362" s="109" t="n"/>
      <c r="T362" s="109" t="n"/>
      <c r="U362" s="109" t="n"/>
      <c r="V362" s="109" t="n"/>
      <c r="Z362" s="109" t="n"/>
      <c r="AA362" s="109" t="n"/>
      <c r="AB362" s="109" t="n"/>
      <c r="AF362" s="109" t="n"/>
      <c r="AG362" s="109" t="n"/>
      <c r="AH362" s="109" t="n"/>
      <c r="AL362" s="109" t="n"/>
      <c r="AM362" s="109" t="n"/>
      <c r="AN362" s="109" t="n"/>
    </row>
    <row r="363" ht="15.75" customHeight="1" s="216">
      <c r="D363" s="109" t="n"/>
      <c r="E363" s="109" t="n"/>
      <c r="J363" s="109" t="n"/>
      <c r="K363" s="109" t="n"/>
      <c r="L363" s="109" t="n"/>
      <c r="N363" s="109" t="n"/>
      <c r="O363" s="109" t="n"/>
      <c r="P363" s="109" t="n"/>
      <c r="T363" s="109" t="n"/>
      <c r="U363" s="109" t="n"/>
      <c r="V363" s="109" t="n"/>
      <c r="Z363" s="109" t="n"/>
      <c r="AA363" s="109" t="n"/>
      <c r="AB363" s="109" t="n"/>
      <c r="AF363" s="109" t="n"/>
      <c r="AG363" s="109" t="n"/>
      <c r="AH363" s="109" t="n"/>
      <c r="AL363" s="109" t="n"/>
      <c r="AM363" s="109" t="n"/>
      <c r="AN363" s="109" t="n"/>
    </row>
    <row r="364" ht="15.75" customHeight="1" s="216">
      <c r="D364" s="109" t="n"/>
      <c r="E364" s="109" t="n"/>
      <c r="J364" s="109" t="n"/>
      <c r="K364" s="109" t="n"/>
      <c r="L364" s="109" t="n"/>
      <c r="N364" s="109" t="n"/>
      <c r="O364" s="109" t="n"/>
      <c r="P364" s="109" t="n"/>
      <c r="T364" s="109" t="n"/>
      <c r="U364" s="109" t="n"/>
      <c r="V364" s="109" t="n"/>
      <c r="Z364" s="109" t="n"/>
      <c r="AA364" s="109" t="n"/>
      <c r="AB364" s="109" t="n"/>
      <c r="AF364" s="109" t="n"/>
      <c r="AG364" s="109" t="n"/>
      <c r="AH364" s="109" t="n"/>
      <c r="AL364" s="109" t="n"/>
      <c r="AM364" s="109" t="n"/>
      <c r="AN364" s="109" t="n"/>
    </row>
    <row r="365" ht="15.75" customHeight="1" s="216">
      <c r="D365" s="109" t="n"/>
      <c r="E365" s="109" t="n"/>
      <c r="J365" s="109" t="n"/>
      <c r="K365" s="109" t="n"/>
      <c r="L365" s="109" t="n"/>
      <c r="N365" s="109" t="n"/>
      <c r="O365" s="109" t="n"/>
      <c r="P365" s="109" t="n"/>
      <c r="T365" s="109" t="n"/>
      <c r="U365" s="109" t="n"/>
      <c r="V365" s="109" t="n"/>
      <c r="Z365" s="109" t="n"/>
      <c r="AA365" s="109" t="n"/>
      <c r="AB365" s="109" t="n"/>
      <c r="AF365" s="109" t="n"/>
      <c r="AG365" s="109" t="n"/>
      <c r="AH365" s="109" t="n"/>
      <c r="AL365" s="109" t="n"/>
      <c r="AM365" s="109" t="n"/>
      <c r="AN365" s="109" t="n"/>
    </row>
    <row r="366" ht="15.75" customHeight="1" s="216">
      <c r="D366" s="109" t="n"/>
      <c r="E366" s="109" t="n"/>
      <c r="J366" s="109" t="n"/>
      <c r="K366" s="109" t="n"/>
      <c r="L366" s="109" t="n"/>
      <c r="N366" s="109" t="n"/>
      <c r="O366" s="109" t="n"/>
      <c r="P366" s="109" t="n"/>
      <c r="T366" s="109" t="n"/>
      <c r="U366" s="109" t="n"/>
      <c r="V366" s="109" t="n"/>
      <c r="Z366" s="109" t="n"/>
      <c r="AA366" s="109" t="n"/>
      <c r="AB366" s="109" t="n"/>
      <c r="AF366" s="109" t="n"/>
      <c r="AG366" s="109" t="n"/>
      <c r="AH366" s="109" t="n"/>
      <c r="AL366" s="109" t="n"/>
      <c r="AM366" s="109" t="n"/>
      <c r="AN366" s="109" t="n"/>
    </row>
    <row r="367" ht="15.75" customHeight="1" s="216">
      <c r="D367" s="109" t="n"/>
      <c r="E367" s="109" t="n"/>
      <c r="J367" s="109" t="n"/>
      <c r="K367" s="109" t="n"/>
      <c r="L367" s="109" t="n"/>
      <c r="N367" s="109" t="n"/>
      <c r="O367" s="109" t="n"/>
      <c r="P367" s="109" t="n"/>
      <c r="T367" s="109" t="n"/>
      <c r="U367" s="109" t="n"/>
      <c r="V367" s="109" t="n"/>
      <c r="Z367" s="109" t="n"/>
      <c r="AA367" s="109" t="n"/>
      <c r="AB367" s="109" t="n"/>
      <c r="AF367" s="109" t="n"/>
      <c r="AG367" s="109" t="n"/>
      <c r="AH367" s="109" t="n"/>
      <c r="AL367" s="109" t="n"/>
      <c r="AM367" s="109" t="n"/>
      <c r="AN367" s="109" t="n"/>
    </row>
    <row r="368" ht="15.75" customHeight="1" s="216">
      <c r="D368" s="109" t="n"/>
      <c r="E368" s="109" t="n"/>
      <c r="J368" s="109" t="n"/>
      <c r="K368" s="109" t="n"/>
      <c r="L368" s="109" t="n"/>
      <c r="N368" s="109" t="n"/>
      <c r="O368" s="109" t="n"/>
      <c r="P368" s="109" t="n"/>
      <c r="T368" s="109" t="n"/>
      <c r="U368" s="109" t="n"/>
      <c r="V368" s="109" t="n"/>
      <c r="Z368" s="109" t="n"/>
      <c r="AA368" s="109" t="n"/>
      <c r="AB368" s="109" t="n"/>
      <c r="AF368" s="109" t="n"/>
      <c r="AG368" s="109" t="n"/>
      <c r="AH368" s="109" t="n"/>
      <c r="AL368" s="109" t="n"/>
      <c r="AM368" s="109" t="n"/>
      <c r="AN368" s="109" t="n"/>
    </row>
    <row r="369" ht="15.75" customHeight="1" s="216">
      <c r="D369" s="109" t="n"/>
      <c r="E369" s="109" t="n"/>
      <c r="J369" s="109" t="n"/>
      <c r="K369" s="109" t="n"/>
      <c r="L369" s="109" t="n"/>
      <c r="N369" s="109" t="n"/>
      <c r="O369" s="109" t="n"/>
      <c r="P369" s="109" t="n"/>
      <c r="T369" s="109" t="n"/>
      <c r="U369" s="109" t="n"/>
      <c r="V369" s="109" t="n"/>
      <c r="Z369" s="109" t="n"/>
      <c r="AA369" s="109" t="n"/>
      <c r="AB369" s="109" t="n"/>
      <c r="AF369" s="109" t="n"/>
      <c r="AG369" s="109" t="n"/>
      <c r="AH369" s="109" t="n"/>
      <c r="AL369" s="109" t="n"/>
      <c r="AM369" s="109" t="n"/>
      <c r="AN369" s="109" t="n"/>
    </row>
    <row r="370" ht="15.75" customHeight="1" s="216">
      <c r="D370" s="109" t="n"/>
      <c r="E370" s="109" t="n"/>
      <c r="J370" s="109" t="n"/>
      <c r="K370" s="109" t="n"/>
      <c r="L370" s="109" t="n"/>
      <c r="N370" s="109" t="n"/>
      <c r="O370" s="109" t="n"/>
      <c r="P370" s="109" t="n"/>
      <c r="T370" s="109" t="n"/>
      <c r="U370" s="109" t="n"/>
      <c r="V370" s="109" t="n"/>
      <c r="Z370" s="109" t="n"/>
      <c r="AA370" s="109" t="n"/>
      <c r="AB370" s="109" t="n"/>
      <c r="AF370" s="109" t="n"/>
      <c r="AG370" s="109" t="n"/>
      <c r="AH370" s="109" t="n"/>
      <c r="AL370" s="109" t="n"/>
      <c r="AM370" s="109" t="n"/>
      <c r="AN370" s="109" t="n"/>
    </row>
    <row r="371" ht="15.75" customHeight="1" s="216">
      <c r="D371" s="109" t="n"/>
      <c r="E371" s="109" t="n"/>
      <c r="J371" s="109" t="n"/>
      <c r="K371" s="109" t="n"/>
      <c r="L371" s="109" t="n"/>
      <c r="N371" s="109" t="n"/>
      <c r="O371" s="109" t="n"/>
      <c r="P371" s="109" t="n"/>
      <c r="T371" s="109" t="n"/>
      <c r="U371" s="109" t="n"/>
      <c r="V371" s="109" t="n"/>
      <c r="Z371" s="109" t="n"/>
      <c r="AA371" s="109" t="n"/>
      <c r="AB371" s="109" t="n"/>
      <c r="AF371" s="109" t="n"/>
      <c r="AG371" s="109" t="n"/>
      <c r="AH371" s="109" t="n"/>
      <c r="AL371" s="109" t="n"/>
      <c r="AM371" s="109" t="n"/>
      <c r="AN371" s="109" t="n"/>
    </row>
    <row r="372" ht="15.75" customHeight="1" s="216">
      <c r="D372" s="109" t="n"/>
      <c r="E372" s="109" t="n"/>
      <c r="J372" s="109" t="n"/>
      <c r="K372" s="109" t="n"/>
      <c r="L372" s="109" t="n"/>
      <c r="N372" s="109" t="n"/>
      <c r="O372" s="109" t="n"/>
      <c r="P372" s="109" t="n"/>
      <c r="T372" s="109" t="n"/>
      <c r="U372" s="109" t="n"/>
      <c r="V372" s="109" t="n"/>
      <c r="Z372" s="109" t="n"/>
      <c r="AA372" s="109" t="n"/>
      <c r="AB372" s="109" t="n"/>
      <c r="AF372" s="109" t="n"/>
      <c r="AG372" s="109" t="n"/>
      <c r="AH372" s="109" t="n"/>
      <c r="AL372" s="109" t="n"/>
      <c r="AM372" s="109" t="n"/>
      <c r="AN372" s="109" t="n"/>
    </row>
    <row r="373" ht="15.75" customHeight="1" s="216">
      <c r="D373" s="109" t="n"/>
      <c r="E373" s="109" t="n"/>
      <c r="J373" s="109" t="n"/>
      <c r="K373" s="109" t="n"/>
      <c r="L373" s="109" t="n"/>
      <c r="N373" s="109" t="n"/>
      <c r="O373" s="109" t="n"/>
      <c r="P373" s="109" t="n"/>
      <c r="T373" s="109" t="n"/>
      <c r="U373" s="109" t="n"/>
      <c r="V373" s="109" t="n"/>
      <c r="Z373" s="109" t="n"/>
      <c r="AA373" s="109" t="n"/>
      <c r="AB373" s="109" t="n"/>
      <c r="AF373" s="109" t="n"/>
      <c r="AG373" s="109" t="n"/>
      <c r="AH373" s="109" t="n"/>
      <c r="AL373" s="109" t="n"/>
      <c r="AM373" s="109" t="n"/>
      <c r="AN373" s="109" t="n"/>
    </row>
    <row r="374" ht="15.75" customHeight="1" s="216">
      <c r="D374" s="109" t="n"/>
      <c r="E374" s="109" t="n"/>
      <c r="J374" s="109" t="n"/>
      <c r="K374" s="109" t="n"/>
      <c r="L374" s="109" t="n"/>
      <c r="N374" s="109" t="n"/>
      <c r="O374" s="109" t="n"/>
      <c r="P374" s="109" t="n"/>
      <c r="T374" s="109" t="n"/>
      <c r="U374" s="109" t="n"/>
      <c r="V374" s="109" t="n"/>
      <c r="Z374" s="109" t="n"/>
      <c r="AA374" s="109" t="n"/>
      <c r="AB374" s="109" t="n"/>
      <c r="AF374" s="109" t="n"/>
      <c r="AG374" s="109" t="n"/>
      <c r="AH374" s="109" t="n"/>
      <c r="AL374" s="109" t="n"/>
      <c r="AM374" s="109" t="n"/>
      <c r="AN374" s="109" t="n"/>
    </row>
    <row r="375" ht="15.75" customHeight="1" s="216">
      <c r="D375" s="109" t="n"/>
      <c r="E375" s="109" t="n"/>
      <c r="J375" s="109" t="n"/>
      <c r="K375" s="109" t="n"/>
      <c r="L375" s="109" t="n"/>
      <c r="N375" s="109" t="n"/>
      <c r="O375" s="109" t="n"/>
      <c r="P375" s="109" t="n"/>
      <c r="T375" s="109" t="n"/>
      <c r="U375" s="109" t="n"/>
      <c r="V375" s="109" t="n"/>
      <c r="Z375" s="109" t="n"/>
      <c r="AA375" s="109" t="n"/>
      <c r="AB375" s="109" t="n"/>
      <c r="AF375" s="109" t="n"/>
      <c r="AG375" s="109" t="n"/>
      <c r="AH375" s="109" t="n"/>
      <c r="AL375" s="109" t="n"/>
      <c r="AM375" s="109" t="n"/>
      <c r="AN375" s="109" t="n"/>
    </row>
    <row r="376" ht="15.75" customHeight="1" s="216">
      <c r="D376" s="109" t="n"/>
      <c r="E376" s="109" t="n"/>
      <c r="J376" s="109" t="n"/>
      <c r="K376" s="109" t="n"/>
      <c r="L376" s="109" t="n"/>
      <c r="N376" s="109" t="n"/>
      <c r="O376" s="109" t="n"/>
      <c r="P376" s="109" t="n"/>
      <c r="T376" s="109" t="n"/>
      <c r="U376" s="109" t="n"/>
      <c r="V376" s="109" t="n"/>
      <c r="Z376" s="109" t="n"/>
      <c r="AA376" s="109" t="n"/>
      <c r="AB376" s="109" t="n"/>
      <c r="AF376" s="109" t="n"/>
      <c r="AG376" s="109" t="n"/>
      <c r="AH376" s="109" t="n"/>
      <c r="AL376" s="109" t="n"/>
      <c r="AM376" s="109" t="n"/>
      <c r="AN376" s="109" t="n"/>
    </row>
    <row r="377" ht="15.75" customHeight="1" s="216">
      <c r="D377" s="109" t="n"/>
      <c r="E377" s="109" t="n"/>
      <c r="J377" s="109" t="n"/>
      <c r="K377" s="109" t="n"/>
      <c r="L377" s="109" t="n"/>
      <c r="N377" s="109" t="n"/>
      <c r="O377" s="109" t="n"/>
      <c r="P377" s="109" t="n"/>
      <c r="T377" s="109" t="n"/>
      <c r="U377" s="109" t="n"/>
      <c r="V377" s="109" t="n"/>
      <c r="Z377" s="109" t="n"/>
      <c r="AA377" s="109" t="n"/>
      <c r="AB377" s="109" t="n"/>
      <c r="AF377" s="109" t="n"/>
      <c r="AG377" s="109" t="n"/>
      <c r="AH377" s="109" t="n"/>
      <c r="AL377" s="109" t="n"/>
      <c r="AM377" s="109" t="n"/>
      <c r="AN377" s="109" t="n"/>
    </row>
    <row r="378" ht="15.75" customHeight="1" s="216">
      <c r="D378" s="109" t="n"/>
      <c r="E378" s="109" t="n"/>
      <c r="J378" s="109" t="n"/>
      <c r="K378" s="109" t="n"/>
      <c r="L378" s="109" t="n"/>
      <c r="N378" s="109" t="n"/>
      <c r="O378" s="109" t="n"/>
      <c r="P378" s="109" t="n"/>
      <c r="T378" s="109" t="n"/>
      <c r="U378" s="109" t="n"/>
      <c r="V378" s="109" t="n"/>
      <c r="Z378" s="109" t="n"/>
      <c r="AA378" s="109" t="n"/>
      <c r="AB378" s="109" t="n"/>
      <c r="AF378" s="109" t="n"/>
      <c r="AG378" s="109" t="n"/>
      <c r="AH378" s="109" t="n"/>
      <c r="AL378" s="109" t="n"/>
      <c r="AM378" s="109" t="n"/>
      <c r="AN378" s="109" t="n"/>
    </row>
    <row r="379" ht="15.75" customHeight="1" s="216">
      <c r="D379" s="109" t="n"/>
      <c r="E379" s="109" t="n"/>
      <c r="J379" s="109" t="n"/>
      <c r="K379" s="109" t="n"/>
      <c r="L379" s="109" t="n"/>
      <c r="N379" s="109" t="n"/>
      <c r="O379" s="109" t="n"/>
      <c r="P379" s="109" t="n"/>
      <c r="T379" s="109" t="n"/>
      <c r="U379" s="109" t="n"/>
      <c r="V379" s="109" t="n"/>
      <c r="Z379" s="109" t="n"/>
      <c r="AA379" s="109" t="n"/>
      <c r="AB379" s="109" t="n"/>
      <c r="AF379" s="109" t="n"/>
      <c r="AG379" s="109" t="n"/>
      <c r="AH379" s="109" t="n"/>
      <c r="AL379" s="109" t="n"/>
      <c r="AM379" s="109" t="n"/>
      <c r="AN379" s="109" t="n"/>
    </row>
    <row r="380" ht="15.75" customHeight="1" s="216">
      <c r="D380" s="109" t="n"/>
      <c r="E380" s="109" t="n"/>
      <c r="J380" s="109" t="n"/>
      <c r="K380" s="109" t="n"/>
      <c r="L380" s="109" t="n"/>
      <c r="N380" s="109" t="n"/>
      <c r="O380" s="109" t="n"/>
      <c r="P380" s="109" t="n"/>
      <c r="T380" s="109" t="n"/>
      <c r="U380" s="109" t="n"/>
      <c r="V380" s="109" t="n"/>
      <c r="Z380" s="109" t="n"/>
      <c r="AA380" s="109" t="n"/>
      <c r="AB380" s="109" t="n"/>
      <c r="AF380" s="109" t="n"/>
      <c r="AG380" s="109" t="n"/>
      <c r="AH380" s="109" t="n"/>
      <c r="AL380" s="109" t="n"/>
      <c r="AM380" s="109" t="n"/>
      <c r="AN380" s="109" t="n"/>
    </row>
    <row r="381" ht="15.75" customHeight="1" s="216">
      <c r="D381" s="109" t="n"/>
      <c r="E381" s="109" t="n"/>
      <c r="J381" s="109" t="n"/>
      <c r="K381" s="109" t="n"/>
      <c r="L381" s="109" t="n"/>
      <c r="N381" s="109" t="n"/>
      <c r="O381" s="109" t="n"/>
      <c r="P381" s="109" t="n"/>
      <c r="T381" s="109" t="n"/>
      <c r="U381" s="109" t="n"/>
      <c r="V381" s="109" t="n"/>
      <c r="Z381" s="109" t="n"/>
      <c r="AA381" s="109" t="n"/>
      <c r="AB381" s="109" t="n"/>
      <c r="AF381" s="109" t="n"/>
      <c r="AG381" s="109" t="n"/>
      <c r="AH381" s="109" t="n"/>
      <c r="AL381" s="109" t="n"/>
      <c r="AM381" s="109" t="n"/>
      <c r="AN381" s="109" t="n"/>
    </row>
    <row r="382" ht="15.75" customHeight="1" s="216">
      <c r="D382" s="109" t="n"/>
      <c r="E382" s="109" t="n"/>
      <c r="J382" s="109" t="n"/>
      <c r="K382" s="109" t="n"/>
      <c r="L382" s="109" t="n"/>
      <c r="N382" s="109" t="n"/>
      <c r="O382" s="109" t="n"/>
      <c r="P382" s="109" t="n"/>
      <c r="T382" s="109" t="n"/>
      <c r="U382" s="109" t="n"/>
      <c r="V382" s="109" t="n"/>
      <c r="Z382" s="109" t="n"/>
      <c r="AA382" s="109" t="n"/>
      <c r="AB382" s="109" t="n"/>
      <c r="AF382" s="109" t="n"/>
      <c r="AG382" s="109" t="n"/>
      <c r="AH382" s="109" t="n"/>
      <c r="AL382" s="109" t="n"/>
      <c r="AM382" s="109" t="n"/>
      <c r="AN382" s="109" t="n"/>
    </row>
    <row r="383" ht="15.75" customHeight="1" s="216">
      <c r="D383" s="109" t="n"/>
      <c r="E383" s="109" t="n"/>
      <c r="J383" s="109" t="n"/>
      <c r="K383" s="109" t="n"/>
      <c r="L383" s="109" t="n"/>
      <c r="N383" s="109" t="n"/>
      <c r="O383" s="109" t="n"/>
      <c r="P383" s="109" t="n"/>
      <c r="T383" s="109" t="n"/>
      <c r="U383" s="109" t="n"/>
      <c r="V383" s="109" t="n"/>
      <c r="Z383" s="109" t="n"/>
      <c r="AA383" s="109" t="n"/>
      <c r="AB383" s="109" t="n"/>
      <c r="AF383" s="109" t="n"/>
      <c r="AG383" s="109" t="n"/>
      <c r="AH383" s="109" t="n"/>
      <c r="AL383" s="109" t="n"/>
      <c r="AM383" s="109" t="n"/>
      <c r="AN383" s="109" t="n"/>
    </row>
    <row r="384" ht="15.75" customHeight="1" s="216">
      <c r="D384" s="109" t="n"/>
      <c r="E384" s="109" t="n"/>
      <c r="J384" s="109" t="n"/>
      <c r="K384" s="109" t="n"/>
      <c r="L384" s="109" t="n"/>
      <c r="N384" s="109" t="n"/>
      <c r="O384" s="109" t="n"/>
      <c r="P384" s="109" t="n"/>
      <c r="T384" s="109" t="n"/>
      <c r="U384" s="109" t="n"/>
      <c r="V384" s="109" t="n"/>
      <c r="Z384" s="109" t="n"/>
      <c r="AA384" s="109" t="n"/>
      <c r="AB384" s="109" t="n"/>
      <c r="AF384" s="109" t="n"/>
      <c r="AG384" s="109" t="n"/>
      <c r="AH384" s="109" t="n"/>
      <c r="AL384" s="109" t="n"/>
      <c r="AM384" s="109" t="n"/>
      <c r="AN384" s="109" t="n"/>
    </row>
    <row r="385" ht="15.75" customHeight="1" s="216">
      <c r="D385" s="109" t="n"/>
      <c r="E385" s="109" t="n"/>
      <c r="J385" s="109" t="n"/>
      <c r="K385" s="109" t="n"/>
      <c r="L385" s="109" t="n"/>
      <c r="N385" s="109" t="n"/>
      <c r="O385" s="109" t="n"/>
      <c r="P385" s="109" t="n"/>
      <c r="T385" s="109" t="n"/>
      <c r="U385" s="109" t="n"/>
      <c r="V385" s="109" t="n"/>
      <c r="Z385" s="109" t="n"/>
      <c r="AA385" s="109" t="n"/>
      <c r="AB385" s="109" t="n"/>
      <c r="AF385" s="109" t="n"/>
      <c r="AG385" s="109" t="n"/>
      <c r="AH385" s="109" t="n"/>
      <c r="AL385" s="109" t="n"/>
      <c r="AM385" s="109" t="n"/>
      <c r="AN385" s="109" t="n"/>
    </row>
    <row r="386" ht="15.75" customHeight="1" s="216">
      <c r="D386" s="109" t="n"/>
      <c r="E386" s="109" t="n"/>
      <c r="J386" s="109" t="n"/>
      <c r="K386" s="109" t="n"/>
      <c r="L386" s="109" t="n"/>
      <c r="N386" s="109" t="n"/>
      <c r="O386" s="109" t="n"/>
      <c r="P386" s="109" t="n"/>
      <c r="T386" s="109" t="n"/>
      <c r="U386" s="109" t="n"/>
      <c r="V386" s="109" t="n"/>
      <c r="Z386" s="109" t="n"/>
      <c r="AA386" s="109" t="n"/>
      <c r="AB386" s="109" t="n"/>
      <c r="AF386" s="109" t="n"/>
      <c r="AG386" s="109" t="n"/>
      <c r="AH386" s="109" t="n"/>
      <c r="AL386" s="109" t="n"/>
      <c r="AM386" s="109" t="n"/>
      <c r="AN386" s="109" t="n"/>
    </row>
    <row r="387" ht="15.75" customHeight="1" s="216">
      <c r="D387" s="109" t="n"/>
      <c r="E387" s="109" t="n"/>
      <c r="J387" s="109" t="n"/>
      <c r="K387" s="109" t="n"/>
      <c r="L387" s="109" t="n"/>
      <c r="N387" s="109" t="n"/>
      <c r="O387" s="109" t="n"/>
      <c r="P387" s="109" t="n"/>
      <c r="T387" s="109" t="n"/>
      <c r="U387" s="109" t="n"/>
      <c r="V387" s="109" t="n"/>
      <c r="Z387" s="109" t="n"/>
      <c r="AA387" s="109" t="n"/>
      <c r="AB387" s="109" t="n"/>
      <c r="AF387" s="109" t="n"/>
      <c r="AG387" s="109" t="n"/>
      <c r="AH387" s="109" t="n"/>
      <c r="AL387" s="109" t="n"/>
      <c r="AM387" s="109" t="n"/>
      <c r="AN387" s="109" t="n"/>
    </row>
    <row r="388" ht="15.75" customHeight="1" s="216">
      <c r="D388" s="109" t="n"/>
      <c r="E388" s="109" t="n"/>
      <c r="J388" s="109" t="n"/>
      <c r="K388" s="109" t="n"/>
      <c r="L388" s="109" t="n"/>
      <c r="N388" s="109" t="n"/>
      <c r="O388" s="109" t="n"/>
      <c r="P388" s="109" t="n"/>
      <c r="T388" s="109" t="n"/>
      <c r="U388" s="109" t="n"/>
      <c r="V388" s="109" t="n"/>
      <c r="Z388" s="109" t="n"/>
      <c r="AA388" s="109" t="n"/>
      <c r="AB388" s="109" t="n"/>
      <c r="AF388" s="109" t="n"/>
      <c r="AG388" s="109" t="n"/>
      <c r="AH388" s="109" t="n"/>
      <c r="AL388" s="109" t="n"/>
      <c r="AM388" s="109" t="n"/>
      <c r="AN388" s="109" t="n"/>
    </row>
    <row r="389" ht="15.75" customHeight="1" s="216">
      <c r="D389" s="109" t="n"/>
      <c r="E389" s="109" t="n"/>
      <c r="J389" s="109" t="n"/>
      <c r="K389" s="109" t="n"/>
      <c r="L389" s="109" t="n"/>
      <c r="N389" s="109" t="n"/>
      <c r="O389" s="109" t="n"/>
      <c r="P389" s="109" t="n"/>
      <c r="T389" s="109" t="n"/>
      <c r="U389" s="109" t="n"/>
      <c r="V389" s="109" t="n"/>
      <c r="Z389" s="109" t="n"/>
      <c r="AA389" s="109" t="n"/>
      <c r="AB389" s="109" t="n"/>
      <c r="AF389" s="109" t="n"/>
      <c r="AG389" s="109" t="n"/>
      <c r="AH389" s="109" t="n"/>
      <c r="AL389" s="109" t="n"/>
      <c r="AM389" s="109" t="n"/>
      <c r="AN389" s="109" t="n"/>
    </row>
    <row r="390" ht="15.75" customHeight="1" s="216">
      <c r="D390" s="109" t="n"/>
      <c r="E390" s="109" t="n"/>
      <c r="J390" s="109" t="n"/>
      <c r="K390" s="109" t="n"/>
      <c r="L390" s="109" t="n"/>
      <c r="N390" s="109" t="n"/>
      <c r="O390" s="109" t="n"/>
      <c r="P390" s="109" t="n"/>
      <c r="T390" s="109" t="n"/>
      <c r="U390" s="109" t="n"/>
      <c r="V390" s="109" t="n"/>
      <c r="Z390" s="109" t="n"/>
      <c r="AA390" s="109" t="n"/>
      <c r="AB390" s="109" t="n"/>
      <c r="AF390" s="109" t="n"/>
      <c r="AG390" s="109" t="n"/>
      <c r="AH390" s="109" t="n"/>
      <c r="AL390" s="109" t="n"/>
      <c r="AM390" s="109" t="n"/>
      <c r="AN390" s="109" t="n"/>
    </row>
    <row r="391" ht="15.75" customHeight="1" s="216">
      <c r="D391" s="109" t="n"/>
      <c r="E391" s="109" t="n"/>
      <c r="J391" s="109" t="n"/>
      <c r="K391" s="109" t="n"/>
      <c r="L391" s="109" t="n"/>
      <c r="N391" s="109" t="n"/>
      <c r="O391" s="109" t="n"/>
      <c r="P391" s="109" t="n"/>
      <c r="T391" s="109" t="n"/>
      <c r="U391" s="109" t="n"/>
      <c r="V391" s="109" t="n"/>
      <c r="Z391" s="109" t="n"/>
      <c r="AA391" s="109" t="n"/>
      <c r="AB391" s="109" t="n"/>
      <c r="AF391" s="109" t="n"/>
      <c r="AG391" s="109" t="n"/>
      <c r="AH391" s="109" t="n"/>
      <c r="AL391" s="109" t="n"/>
      <c r="AM391" s="109" t="n"/>
      <c r="AN391" s="109" t="n"/>
    </row>
    <row r="392" ht="15.75" customHeight="1" s="216">
      <c r="D392" s="109" t="n"/>
      <c r="E392" s="109" t="n"/>
      <c r="J392" s="109" t="n"/>
      <c r="K392" s="109" t="n"/>
      <c r="L392" s="109" t="n"/>
      <c r="N392" s="109" t="n"/>
      <c r="O392" s="109" t="n"/>
      <c r="P392" s="109" t="n"/>
      <c r="T392" s="109" t="n"/>
      <c r="U392" s="109" t="n"/>
      <c r="V392" s="109" t="n"/>
      <c r="Z392" s="109" t="n"/>
      <c r="AA392" s="109" t="n"/>
      <c r="AB392" s="109" t="n"/>
      <c r="AF392" s="109" t="n"/>
      <c r="AG392" s="109" t="n"/>
      <c r="AH392" s="109" t="n"/>
      <c r="AL392" s="109" t="n"/>
      <c r="AM392" s="109" t="n"/>
      <c r="AN392" s="109" t="n"/>
    </row>
    <row r="393" ht="15.75" customHeight="1" s="216">
      <c r="D393" s="109" t="n"/>
      <c r="E393" s="109" t="n"/>
      <c r="J393" s="109" t="n"/>
      <c r="K393" s="109" t="n"/>
      <c r="L393" s="109" t="n"/>
      <c r="N393" s="109" t="n"/>
      <c r="O393" s="109" t="n"/>
      <c r="P393" s="109" t="n"/>
      <c r="T393" s="109" t="n"/>
      <c r="U393" s="109" t="n"/>
      <c r="V393" s="109" t="n"/>
      <c r="Z393" s="109" t="n"/>
      <c r="AA393" s="109" t="n"/>
      <c r="AB393" s="109" t="n"/>
      <c r="AF393" s="109" t="n"/>
      <c r="AG393" s="109" t="n"/>
      <c r="AH393" s="109" t="n"/>
      <c r="AL393" s="109" t="n"/>
      <c r="AM393" s="109" t="n"/>
      <c r="AN393" s="109" t="n"/>
    </row>
    <row r="394" ht="15.75" customHeight="1" s="216">
      <c r="D394" s="109" t="n"/>
      <c r="E394" s="109" t="n"/>
      <c r="J394" s="109" t="n"/>
      <c r="K394" s="109" t="n"/>
      <c r="L394" s="109" t="n"/>
      <c r="N394" s="109" t="n"/>
      <c r="O394" s="109" t="n"/>
      <c r="P394" s="109" t="n"/>
      <c r="T394" s="109" t="n"/>
      <c r="U394" s="109" t="n"/>
      <c r="V394" s="109" t="n"/>
      <c r="Z394" s="109" t="n"/>
      <c r="AA394" s="109" t="n"/>
      <c r="AB394" s="109" t="n"/>
      <c r="AF394" s="109" t="n"/>
      <c r="AG394" s="109" t="n"/>
      <c r="AH394" s="109" t="n"/>
      <c r="AL394" s="109" t="n"/>
      <c r="AM394" s="109" t="n"/>
      <c r="AN394" s="109" t="n"/>
    </row>
    <row r="395" ht="15.75" customHeight="1" s="216">
      <c r="D395" s="109" t="n"/>
      <c r="E395" s="109" t="n"/>
      <c r="J395" s="109" t="n"/>
      <c r="K395" s="109" t="n"/>
      <c r="L395" s="109" t="n"/>
      <c r="N395" s="109" t="n"/>
      <c r="O395" s="109" t="n"/>
      <c r="P395" s="109" t="n"/>
      <c r="T395" s="109" t="n"/>
      <c r="U395" s="109" t="n"/>
      <c r="V395" s="109" t="n"/>
      <c r="Z395" s="109" t="n"/>
      <c r="AA395" s="109" t="n"/>
      <c r="AB395" s="109" t="n"/>
      <c r="AF395" s="109" t="n"/>
      <c r="AG395" s="109" t="n"/>
      <c r="AH395" s="109" t="n"/>
      <c r="AL395" s="109" t="n"/>
      <c r="AM395" s="109" t="n"/>
      <c r="AN395" s="109" t="n"/>
    </row>
    <row r="396" ht="15.75" customHeight="1" s="216">
      <c r="D396" s="109" t="n"/>
      <c r="E396" s="109" t="n"/>
      <c r="J396" s="109" t="n"/>
      <c r="K396" s="109" t="n"/>
      <c r="L396" s="109" t="n"/>
      <c r="N396" s="109" t="n"/>
      <c r="O396" s="109" t="n"/>
      <c r="P396" s="109" t="n"/>
      <c r="T396" s="109" t="n"/>
      <c r="U396" s="109" t="n"/>
      <c r="V396" s="109" t="n"/>
      <c r="Z396" s="109" t="n"/>
      <c r="AA396" s="109" t="n"/>
      <c r="AB396" s="109" t="n"/>
      <c r="AF396" s="109" t="n"/>
      <c r="AG396" s="109" t="n"/>
      <c r="AH396" s="109" t="n"/>
      <c r="AL396" s="109" t="n"/>
      <c r="AM396" s="109" t="n"/>
      <c r="AN396" s="109" t="n"/>
    </row>
    <row r="397" ht="15.75" customHeight="1" s="216">
      <c r="D397" s="109" t="n"/>
      <c r="E397" s="109" t="n"/>
      <c r="J397" s="109" t="n"/>
      <c r="K397" s="109" t="n"/>
      <c r="L397" s="109" t="n"/>
      <c r="N397" s="109" t="n"/>
      <c r="O397" s="109" t="n"/>
      <c r="P397" s="109" t="n"/>
      <c r="T397" s="109" t="n"/>
      <c r="U397" s="109" t="n"/>
      <c r="V397" s="109" t="n"/>
      <c r="Z397" s="109" t="n"/>
      <c r="AA397" s="109" t="n"/>
      <c r="AB397" s="109" t="n"/>
      <c r="AF397" s="109" t="n"/>
      <c r="AG397" s="109" t="n"/>
      <c r="AH397" s="109" t="n"/>
      <c r="AL397" s="109" t="n"/>
      <c r="AM397" s="109" t="n"/>
      <c r="AN397" s="109" t="n"/>
    </row>
    <row r="398" ht="15.75" customHeight="1" s="216">
      <c r="D398" s="109" t="n"/>
      <c r="E398" s="109" t="n"/>
      <c r="J398" s="109" t="n"/>
      <c r="K398" s="109" t="n"/>
      <c r="L398" s="109" t="n"/>
      <c r="N398" s="109" t="n"/>
      <c r="O398" s="109" t="n"/>
      <c r="P398" s="109" t="n"/>
      <c r="T398" s="109" t="n"/>
      <c r="U398" s="109" t="n"/>
      <c r="V398" s="109" t="n"/>
      <c r="Z398" s="109" t="n"/>
      <c r="AA398" s="109" t="n"/>
      <c r="AB398" s="109" t="n"/>
      <c r="AF398" s="109" t="n"/>
      <c r="AG398" s="109" t="n"/>
      <c r="AH398" s="109" t="n"/>
      <c r="AL398" s="109" t="n"/>
      <c r="AM398" s="109" t="n"/>
      <c r="AN398" s="109" t="n"/>
    </row>
    <row r="399" ht="15.75" customHeight="1" s="216">
      <c r="D399" s="109" t="n"/>
      <c r="E399" s="109" t="n"/>
      <c r="J399" s="109" t="n"/>
      <c r="K399" s="109" t="n"/>
      <c r="L399" s="109" t="n"/>
      <c r="N399" s="109" t="n"/>
      <c r="O399" s="109" t="n"/>
      <c r="P399" s="109" t="n"/>
      <c r="T399" s="109" t="n"/>
      <c r="U399" s="109" t="n"/>
      <c r="V399" s="109" t="n"/>
      <c r="Z399" s="109" t="n"/>
      <c r="AA399" s="109" t="n"/>
      <c r="AB399" s="109" t="n"/>
      <c r="AF399" s="109" t="n"/>
      <c r="AG399" s="109" t="n"/>
      <c r="AH399" s="109" t="n"/>
      <c r="AL399" s="109" t="n"/>
      <c r="AM399" s="109" t="n"/>
      <c r="AN399" s="109" t="n"/>
    </row>
    <row r="400" ht="15.75" customHeight="1" s="216">
      <c r="D400" s="109" t="n"/>
      <c r="E400" s="109" t="n"/>
      <c r="J400" s="109" t="n"/>
      <c r="K400" s="109" t="n"/>
      <c r="L400" s="109" t="n"/>
      <c r="N400" s="109" t="n"/>
      <c r="O400" s="109" t="n"/>
      <c r="P400" s="109" t="n"/>
      <c r="T400" s="109" t="n"/>
      <c r="U400" s="109" t="n"/>
      <c r="V400" s="109" t="n"/>
      <c r="Z400" s="109" t="n"/>
      <c r="AA400" s="109" t="n"/>
      <c r="AB400" s="109" t="n"/>
      <c r="AF400" s="109" t="n"/>
      <c r="AG400" s="109" t="n"/>
      <c r="AH400" s="109" t="n"/>
      <c r="AL400" s="109" t="n"/>
      <c r="AM400" s="109" t="n"/>
      <c r="AN400" s="109" t="n"/>
    </row>
    <row r="401" ht="15.75" customHeight="1" s="216">
      <c r="D401" s="109" t="n"/>
      <c r="E401" s="109" t="n"/>
      <c r="J401" s="109" t="n"/>
      <c r="K401" s="109" t="n"/>
      <c r="L401" s="109" t="n"/>
      <c r="N401" s="109" t="n"/>
      <c r="O401" s="109" t="n"/>
      <c r="P401" s="109" t="n"/>
      <c r="T401" s="109" t="n"/>
      <c r="U401" s="109" t="n"/>
      <c r="V401" s="109" t="n"/>
      <c r="Z401" s="109" t="n"/>
      <c r="AA401" s="109" t="n"/>
      <c r="AB401" s="109" t="n"/>
      <c r="AF401" s="109" t="n"/>
      <c r="AG401" s="109" t="n"/>
      <c r="AH401" s="109" t="n"/>
      <c r="AL401" s="109" t="n"/>
      <c r="AM401" s="109" t="n"/>
      <c r="AN401" s="109" t="n"/>
    </row>
    <row r="402" ht="15.75" customHeight="1" s="216">
      <c r="D402" s="109" t="n"/>
      <c r="E402" s="109" t="n"/>
      <c r="J402" s="109" t="n"/>
      <c r="K402" s="109" t="n"/>
      <c r="L402" s="109" t="n"/>
      <c r="N402" s="109" t="n"/>
      <c r="O402" s="109" t="n"/>
      <c r="P402" s="109" t="n"/>
      <c r="T402" s="109" t="n"/>
      <c r="U402" s="109" t="n"/>
      <c r="V402" s="109" t="n"/>
      <c r="Z402" s="109" t="n"/>
      <c r="AA402" s="109" t="n"/>
      <c r="AB402" s="109" t="n"/>
      <c r="AF402" s="109" t="n"/>
      <c r="AG402" s="109" t="n"/>
      <c r="AH402" s="109" t="n"/>
      <c r="AL402" s="109" t="n"/>
      <c r="AM402" s="109" t="n"/>
      <c r="AN402" s="109" t="n"/>
    </row>
    <row r="403" ht="15.75" customHeight="1" s="216">
      <c r="D403" s="109" t="n"/>
      <c r="E403" s="109" t="n"/>
      <c r="J403" s="109" t="n"/>
      <c r="K403" s="109" t="n"/>
      <c r="L403" s="109" t="n"/>
      <c r="N403" s="109" t="n"/>
      <c r="O403" s="109" t="n"/>
      <c r="P403" s="109" t="n"/>
      <c r="T403" s="109" t="n"/>
      <c r="U403" s="109" t="n"/>
      <c r="V403" s="109" t="n"/>
      <c r="Z403" s="109" t="n"/>
      <c r="AA403" s="109" t="n"/>
      <c r="AB403" s="109" t="n"/>
      <c r="AF403" s="109" t="n"/>
      <c r="AG403" s="109" t="n"/>
      <c r="AH403" s="109" t="n"/>
      <c r="AL403" s="109" t="n"/>
      <c r="AM403" s="109" t="n"/>
      <c r="AN403" s="109" t="n"/>
    </row>
    <row r="404" ht="15.75" customHeight="1" s="216">
      <c r="D404" s="109" t="n"/>
      <c r="E404" s="109" t="n"/>
      <c r="J404" s="109" t="n"/>
      <c r="K404" s="109" t="n"/>
      <c r="L404" s="109" t="n"/>
      <c r="N404" s="109" t="n"/>
      <c r="O404" s="109" t="n"/>
      <c r="P404" s="109" t="n"/>
      <c r="T404" s="109" t="n"/>
      <c r="U404" s="109" t="n"/>
      <c r="V404" s="109" t="n"/>
      <c r="Z404" s="109" t="n"/>
      <c r="AA404" s="109" t="n"/>
      <c r="AB404" s="109" t="n"/>
      <c r="AF404" s="109" t="n"/>
      <c r="AG404" s="109" t="n"/>
      <c r="AH404" s="109" t="n"/>
      <c r="AL404" s="109" t="n"/>
      <c r="AM404" s="109" t="n"/>
      <c r="AN404" s="109" t="n"/>
    </row>
    <row r="405" ht="15.75" customHeight="1" s="216">
      <c r="D405" s="109" t="n"/>
      <c r="E405" s="109" t="n"/>
      <c r="J405" s="109" t="n"/>
      <c r="K405" s="109" t="n"/>
      <c r="L405" s="109" t="n"/>
      <c r="N405" s="109" t="n"/>
      <c r="O405" s="109" t="n"/>
      <c r="P405" s="109" t="n"/>
      <c r="T405" s="109" t="n"/>
      <c r="U405" s="109" t="n"/>
      <c r="V405" s="109" t="n"/>
      <c r="Z405" s="109" t="n"/>
      <c r="AA405" s="109" t="n"/>
      <c r="AB405" s="109" t="n"/>
      <c r="AF405" s="109" t="n"/>
      <c r="AG405" s="109" t="n"/>
      <c r="AH405" s="109" t="n"/>
      <c r="AL405" s="109" t="n"/>
      <c r="AM405" s="109" t="n"/>
      <c r="AN405" s="109" t="n"/>
    </row>
    <row r="406" ht="15.75" customHeight="1" s="216">
      <c r="D406" s="109" t="n"/>
      <c r="E406" s="109" t="n"/>
      <c r="J406" s="109" t="n"/>
      <c r="K406" s="109" t="n"/>
      <c r="L406" s="109" t="n"/>
      <c r="N406" s="109" t="n"/>
      <c r="O406" s="109" t="n"/>
      <c r="P406" s="109" t="n"/>
      <c r="T406" s="109" t="n"/>
      <c r="U406" s="109" t="n"/>
      <c r="V406" s="109" t="n"/>
      <c r="Z406" s="109" t="n"/>
      <c r="AA406" s="109" t="n"/>
      <c r="AB406" s="109" t="n"/>
      <c r="AF406" s="109" t="n"/>
      <c r="AG406" s="109" t="n"/>
      <c r="AH406" s="109" t="n"/>
      <c r="AL406" s="109" t="n"/>
      <c r="AM406" s="109" t="n"/>
      <c r="AN406" s="109" t="n"/>
    </row>
    <row r="407" ht="15.75" customHeight="1" s="216">
      <c r="D407" s="109" t="n"/>
      <c r="E407" s="109" t="n"/>
      <c r="J407" s="109" t="n"/>
      <c r="K407" s="109" t="n"/>
      <c r="L407" s="109" t="n"/>
      <c r="N407" s="109" t="n"/>
      <c r="O407" s="109" t="n"/>
      <c r="P407" s="109" t="n"/>
      <c r="T407" s="109" t="n"/>
      <c r="U407" s="109" t="n"/>
      <c r="V407" s="109" t="n"/>
      <c r="Z407" s="109" t="n"/>
      <c r="AA407" s="109" t="n"/>
      <c r="AB407" s="109" t="n"/>
      <c r="AF407" s="109" t="n"/>
      <c r="AG407" s="109" t="n"/>
      <c r="AH407" s="109" t="n"/>
      <c r="AL407" s="109" t="n"/>
      <c r="AM407" s="109" t="n"/>
      <c r="AN407" s="109" t="n"/>
    </row>
    <row r="408" ht="15.75" customHeight="1" s="216">
      <c r="D408" s="109" t="n"/>
      <c r="E408" s="109" t="n"/>
      <c r="J408" s="109" t="n"/>
      <c r="K408" s="109" t="n"/>
      <c r="L408" s="109" t="n"/>
      <c r="N408" s="109" t="n"/>
      <c r="O408" s="109" t="n"/>
      <c r="P408" s="109" t="n"/>
      <c r="T408" s="109" t="n"/>
      <c r="U408" s="109" t="n"/>
      <c r="V408" s="109" t="n"/>
      <c r="Z408" s="109" t="n"/>
      <c r="AA408" s="109" t="n"/>
      <c r="AB408" s="109" t="n"/>
      <c r="AF408" s="109" t="n"/>
      <c r="AG408" s="109" t="n"/>
      <c r="AH408" s="109" t="n"/>
      <c r="AL408" s="109" t="n"/>
      <c r="AM408" s="109" t="n"/>
      <c r="AN408" s="109" t="n"/>
    </row>
    <row r="409" ht="15.75" customHeight="1" s="216">
      <c r="D409" s="109" t="n"/>
      <c r="E409" s="109" t="n"/>
      <c r="J409" s="109" t="n"/>
      <c r="K409" s="109" t="n"/>
      <c r="L409" s="109" t="n"/>
      <c r="N409" s="109" t="n"/>
      <c r="O409" s="109" t="n"/>
      <c r="P409" s="109" t="n"/>
      <c r="T409" s="109" t="n"/>
      <c r="U409" s="109" t="n"/>
      <c r="V409" s="109" t="n"/>
      <c r="Z409" s="109" t="n"/>
      <c r="AA409" s="109" t="n"/>
      <c r="AB409" s="109" t="n"/>
      <c r="AF409" s="109" t="n"/>
      <c r="AG409" s="109" t="n"/>
      <c r="AH409" s="109" t="n"/>
      <c r="AL409" s="109" t="n"/>
      <c r="AM409" s="109" t="n"/>
      <c r="AN409" s="109" t="n"/>
    </row>
    <row r="410" ht="15.75" customHeight="1" s="216">
      <c r="D410" s="109" t="n"/>
      <c r="E410" s="109" t="n"/>
      <c r="J410" s="109" t="n"/>
      <c r="K410" s="109" t="n"/>
      <c r="L410" s="109" t="n"/>
      <c r="N410" s="109" t="n"/>
      <c r="O410" s="109" t="n"/>
      <c r="P410" s="109" t="n"/>
      <c r="T410" s="109" t="n"/>
      <c r="U410" s="109" t="n"/>
      <c r="V410" s="109" t="n"/>
      <c r="Z410" s="109" t="n"/>
      <c r="AA410" s="109" t="n"/>
      <c r="AB410" s="109" t="n"/>
      <c r="AF410" s="109" t="n"/>
      <c r="AG410" s="109" t="n"/>
      <c r="AH410" s="109" t="n"/>
      <c r="AL410" s="109" t="n"/>
      <c r="AM410" s="109" t="n"/>
      <c r="AN410" s="109" t="n"/>
    </row>
    <row r="411" ht="15.75" customHeight="1" s="216">
      <c r="D411" s="109" t="n"/>
      <c r="E411" s="109" t="n"/>
      <c r="J411" s="109" t="n"/>
      <c r="K411" s="109" t="n"/>
      <c r="L411" s="109" t="n"/>
      <c r="N411" s="109" t="n"/>
      <c r="O411" s="109" t="n"/>
      <c r="P411" s="109" t="n"/>
      <c r="T411" s="109" t="n"/>
      <c r="U411" s="109" t="n"/>
      <c r="V411" s="109" t="n"/>
      <c r="Z411" s="109" t="n"/>
      <c r="AA411" s="109" t="n"/>
      <c r="AB411" s="109" t="n"/>
      <c r="AF411" s="109" t="n"/>
      <c r="AG411" s="109" t="n"/>
      <c r="AH411" s="109" t="n"/>
      <c r="AL411" s="109" t="n"/>
      <c r="AM411" s="109" t="n"/>
      <c r="AN411" s="109" t="n"/>
    </row>
    <row r="412" ht="15.75" customHeight="1" s="216">
      <c r="D412" s="109" t="n"/>
      <c r="E412" s="109" t="n"/>
      <c r="J412" s="109" t="n"/>
      <c r="K412" s="109" t="n"/>
      <c r="L412" s="109" t="n"/>
      <c r="N412" s="109" t="n"/>
      <c r="O412" s="109" t="n"/>
      <c r="P412" s="109" t="n"/>
      <c r="T412" s="109" t="n"/>
      <c r="U412" s="109" t="n"/>
      <c r="V412" s="109" t="n"/>
      <c r="Z412" s="109" t="n"/>
      <c r="AA412" s="109" t="n"/>
      <c r="AB412" s="109" t="n"/>
      <c r="AF412" s="109" t="n"/>
      <c r="AG412" s="109" t="n"/>
      <c r="AH412" s="109" t="n"/>
      <c r="AL412" s="109" t="n"/>
      <c r="AM412" s="109" t="n"/>
      <c r="AN412" s="109" t="n"/>
    </row>
    <row r="413" ht="15.75" customHeight="1" s="216">
      <c r="D413" s="109" t="n"/>
      <c r="E413" s="109" t="n"/>
      <c r="J413" s="109" t="n"/>
      <c r="K413" s="109" t="n"/>
      <c r="L413" s="109" t="n"/>
      <c r="N413" s="109" t="n"/>
      <c r="O413" s="109" t="n"/>
      <c r="P413" s="109" t="n"/>
      <c r="T413" s="109" t="n"/>
      <c r="U413" s="109" t="n"/>
      <c r="V413" s="109" t="n"/>
      <c r="Z413" s="109" t="n"/>
      <c r="AA413" s="109" t="n"/>
      <c r="AB413" s="109" t="n"/>
      <c r="AF413" s="109" t="n"/>
      <c r="AG413" s="109" t="n"/>
      <c r="AH413" s="109" t="n"/>
      <c r="AL413" s="109" t="n"/>
      <c r="AM413" s="109" t="n"/>
      <c r="AN413" s="109" t="n"/>
    </row>
    <row r="414" ht="15.75" customHeight="1" s="216">
      <c r="D414" s="109" t="n"/>
      <c r="E414" s="109" t="n"/>
      <c r="J414" s="109" t="n"/>
      <c r="K414" s="109" t="n"/>
      <c r="L414" s="109" t="n"/>
      <c r="N414" s="109" t="n"/>
      <c r="O414" s="109" t="n"/>
      <c r="P414" s="109" t="n"/>
      <c r="T414" s="109" t="n"/>
      <c r="U414" s="109" t="n"/>
      <c r="V414" s="109" t="n"/>
      <c r="Z414" s="109" t="n"/>
      <c r="AA414" s="109" t="n"/>
      <c r="AB414" s="109" t="n"/>
      <c r="AF414" s="109" t="n"/>
      <c r="AG414" s="109" t="n"/>
      <c r="AH414" s="109" t="n"/>
      <c r="AL414" s="109" t="n"/>
      <c r="AM414" s="109" t="n"/>
      <c r="AN414" s="109" t="n"/>
    </row>
    <row r="415" ht="15.75" customHeight="1" s="216">
      <c r="D415" s="109" t="n"/>
      <c r="E415" s="109" t="n"/>
      <c r="J415" s="109" t="n"/>
      <c r="K415" s="109" t="n"/>
      <c r="L415" s="109" t="n"/>
      <c r="N415" s="109" t="n"/>
      <c r="O415" s="109" t="n"/>
      <c r="P415" s="109" t="n"/>
      <c r="T415" s="109" t="n"/>
      <c r="U415" s="109" t="n"/>
      <c r="V415" s="109" t="n"/>
      <c r="Z415" s="109" t="n"/>
      <c r="AA415" s="109" t="n"/>
      <c r="AB415" s="109" t="n"/>
      <c r="AF415" s="109" t="n"/>
      <c r="AG415" s="109" t="n"/>
      <c r="AH415" s="109" t="n"/>
      <c r="AL415" s="109" t="n"/>
      <c r="AM415" s="109" t="n"/>
      <c r="AN415" s="109" t="n"/>
    </row>
    <row r="416" ht="15.75" customHeight="1" s="216">
      <c r="D416" s="109" t="n"/>
      <c r="E416" s="109" t="n"/>
      <c r="J416" s="109" t="n"/>
      <c r="K416" s="109" t="n"/>
      <c r="L416" s="109" t="n"/>
      <c r="N416" s="109" t="n"/>
      <c r="O416" s="109" t="n"/>
      <c r="P416" s="109" t="n"/>
      <c r="T416" s="109" t="n"/>
      <c r="U416" s="109" t="n"/>
      <c r="V416" s="109" t="n"/>
      <c r="Z416" s="109" t="n"/>
      <c r="AA416" s="109" t="n"/>
      <c r="AB416" s="109" t="n"/>
      <c r="AF416" s="109" t="n"/>
      <c r="AG416" s="109" t="n"/>
      <c r="AH416" s="109" t="n"/>
      <c r="AL416" s="109" t="n"/>
      <c r="AM416" s="109" t="n"/>
      <c r="AN416" s="109" t="n"/>
    </row>
    <row r="417" ht="15.75" customHeight="1" s="216">
      <c r="D417" s="109" t="n"/>
      <c r="E417" s="109" t="n"/>
      <c r="J417" s="109" t="n"/>
      <c r="K417" s="109" t="n"/>
      <c r="L417" s="109" t="n"/>
      <c r="N417" s="109" t="n"/>
      <c r="O417" s="109" t="n"/>
      <c r="P417" s="109" t="n"/>
      <c r="T417" s="109" t="n"/>
      <c r="U417" s="109" t="n"/>
      <c r="V417" s="109" t="n"/>
      <c r="Z417" s="109" t="n"/>
      <c r="AA417" s="109" t="n"/>
      <c r="AB417" s="109" t="n"/>
      <c r="AF417" s="109" t="n"/>
      <c r="AG417" s="109" t="n"/>
      <c r="AH417" s="109" t="n"/>
      <c r="AL417" s="109" t="n"/>
      <c r="AM417" s="109" t="n"/>
      <c r="AN417" s="109" t="n"/>
    </row>
    <row r="418" ht="15.75" customHeight="1" s="216">
      <c r="D418" s="109" t="n"/>
      <c r="E418" s="109" t="n"/>
      <c r="J418" s="109" t="n"/>
      <c r="K418" s="109" t="n"/>
      <c r="L418" s="109" t="n"/>
      <c r="N418" s="109" t="n"/>
      <c r="O418" s="109" t="n"/>
      <c r="P418" s="109" t="n"/>
      <c r="T418" s="109" t="n"/>
      <c r="U418" s="109" t="n"/>
      <c r="V418" s="109" t="n"/>
      <c r="Z418" s="109" t="n"/>
      <c r="AA418" s="109" t="n"/>
      <c r="AB418" s="109" t="n"/>
      <c r="AF418" s="109" t="n"/>
      <c r="AG418" s="109" t="n"/>
      <c r="AH418" s="109" t="n"/>
      <c r="AL418" s="109" t="n"/>
      <c r="AM418" s="109" t="n"/>
      <c r="AN418" s="109" t="n"/>
    </row>
    <row r="419" ht="15.75" customHeight="1" s="216">
      <c r="D419" s="109" t="n"/>
      <c r="E419" s="109" t="n"/>
      <c r="J419" s="109" t="n"/>
      <c r="K419" s="109" t="n"/>
      <c r="L419" s="109" t="n"/>
      <c r="N419" s="109" t="n"/>
      <c r="O419" s="109" t="n"/>
      <c r="P419" s="109" t="n"/>
      <c r="T419" s="109" t="n"/>
      <c r="U419" s="109" t="n"/>
      <c r="V419" s="109" t="n"/>
      <c r="Z419" s="109" t="n"/>
      <c r="AA419" s="109" t="n"/>
      <c r="AB419" s="109" t="n"/>
      <c r="AF419" s="109" t="n"/>
      <c r="AG419" s="109" t="n"/>
      <c r="AH419" s="109" t="n"/>
      <c r="AL419" s="109" t="n"/>
      <c r="AM419" s="109" t="n"/>
      <c r="AN419" s="109" t="n"/>
    </row>
    <row r="420" ht="15.75" customHeight="1" s="216">
      <c r="D420" s="109" t="n"/>
      <c r="E420" s="109" t="n"/>
      <c r="J420" s="109" t="n"/>
      <c r="K420" s="109" t="n"/>
      <c r="L420" s="109" t="n"/>
      <c r="N420" s="109" t="n"/>
      <c r="O420" s="109" t="n"/>
      <c r="P420" s="109" t="n"/>
      <c r="T420" s="109" t="n"/>
      <c r="U420" s="109" t="n"/>
      <c r="V420" s="109" t="n"/>
      <c r="Z420" s="109" t="n"/>
      <c r="AA420" s="109" t="n"/>
      <c r="AB420" s="109" t="n"/>
      <c r="AF420" s="109" t="n"/>
      <c r="AG420" s="109" t="n"/>
      <c r="AH420" s="109" t="n"/>
      <c r="AL420" s="109" t="n"/>
      <c r="AM420" s="109" t="n"/>
      <c r="AN420" s="109" t="n"/>
    </row>
    <row r="421" ht="15.75" customHeight="1" s="216">
      <c r="D421" s="109" t="n"/>
      <c r="E421" s="109" t="n"/>
      <c r="J421" s="109" t="n"/>
      <c r="K421" s="109" t="n"/>
      <c r="L421" s="109" t="n"/>
      <c r="N421" s="109" t="n"/>
      <c r="O421" s="109" t="n"/>
      <c r="P421" s="109" t="n"/>
      <c r="T421" s="109" t="n"/>
      <c r="U421" s="109" t="n"/>
      <c r="V421" s="109" t="n"/>
      <c r="Z421" s="109" t="n"/>
      <c r="AA421" s="109" t="n"/>
      <c r="AB421" s="109" t="n"/>
      <c r="AF421" s="109" t="n"/>
      <c r="AG421" s="109" t="n"/>
      <c r="AH421" s="109" t="n"/>
      <c r="AL421" s="109" t="n"/>
      <c r="AM421" s="109" t="n"/>
      <c r="AN421" s="109" t="n"/>
    </row>
    <row r="422" ht="15.75" customHeight="1" s="216">
      <c r="D422" s="109" t="n"/>
      <c r="E422" s="109" t="n"/>
      <c r="J422" s="109" t="n"/>
      <c r="K422" s="109" t="n"/>
      <c r="L422" s="109" t="n"/>
      <c r="N422" s="109" t="n"/>
      <c r="O422" s="109" t="n"/>
      <c r="P422" s="109" t="n"/>
      <c r="T422" s="109" t="n"/>
      <c r="U422" s="109" t="n"/>
      <c r="V422" s="109" t="n"/>
      <c r="Z422" s="109" t="n"/>
      <c r="AA422" s="109" t="n"/>
      <c r="AB422" s="109" t="n"/>
      <c r="AF422" s="109" t="n"/>
      <c r="AG422" s="109" t="n"/>
      <c r="AH422" s="109" t="n"/>
      <c r="AL422" s="109" t="n"/>
      <c r="AM422" s="109" t="n"/>
      <c r="AN422" s="109" t="n"/>
    </row>
    <row r="423" ht="15.75" customHeight="1" s="216">
      <c r="D423" s="109" t="n"/>
      <c r="E423" s="109" t="n"/>
      <c r="J423" s="109" t="n"/>
      <c r="K423" s="109" t="n"/>
      <c r="L423" s="109" t="n"/>
      <c r="N423" s="109" t="n"/>
      <c r="O423" s="109" t="n"/>
      <c r="P423" s="109" t="n"/>
      <c r="T423" s="109" t="n"/>
      <c r="U423" s="109" t="n"/>
      <c r="V423" s="109" t="n"/>
      <c r="Z423" s="109" t="n"/>
      <c r="AA423" s="109" t="n"/>
      <c r="AB423" s="109" t="n"/>
      <c r="AF423" s="109" t="n"/>
      <c r="AG423" s="109" t="n"/>
      <c r="AH423" s="109" t="n"/>
      <c r="AL423" s="109" t="n"/>
      <c r="AM423" s="109" t="n"/>
      <c r="AN423" s="109" t="n"/>
    </row>
    <row r="424" ht="15.75" customHeight="1" s="216">
      <c r="D424" s="109" t="n"/>
      <c r="E424" s="109" t="n"/>
      <c r="J424" s="109" t="n"/>
      <c r="K424" s="109" t="n"/>
      <c r="L424" s="109" t="n"/>
      <c r="N424" s="109" t="n"/>
      <c r="O424" s="109" t="n"/>
      <c r="P424" s="109" t="n"/>
      <c r="T424" s="109" t="n"/>
      <c r="U424" s="109" t="n"/>
      <c r="V424" s="109" t="n"/>
      <c r="Z424" s="109" t="n"/>
      <c r="AA424" s="109" t="n"/>
      <c r="AB424" s="109" t="n"/>
      <c r="AF424" s="109" t="n"/>
      <c r="AG424" s="109" t="n"/>
      <c r="AH424" s="109" t="n"/>
      <c r="AL424" s="109" t="n"/>
      <c r="AM424" s="109" t="n"/>
      <c r="AN424" s="109" t="n"/>
    </row>
    <row r="425" ht="15.75" customHeight="1" s="216">
      <c r="D425" s="109" t="n"/>
      <c r="E425" s="109" t="n"/>
      <c r="J425" s="109" t="n"/>
      <c r="K425" s="109" t="n"/>
      <c r="L425" s="109" t="n"/>
      <c r="N425" s="109" t="n"/>
      <c r="O425" s="109" t="n"/>
      <c r="P425" s="109" t="n"/>
      <c r="T425" s="109" t="n"/>
      <c r="U425" s="109" t="n"/>
      <c r="V425" s="109" t="n"/>
      <c r="Z425" s="109" t="n"/>
      <c r="AA425" s="109" t="n"/>
      <c r="AB425" s="109" t="n"/>
      <c r="AF425" s="109" t="n"/>
      <c r="AG425" s="109" t="n"/>
      <c r="AH425" s="109" t="n"/>
      <c r="AL425" s="109" t="n"/>
      <c r="AM425" s="109" t="n"/>
      <c r="AN425" s="109" t="n"/>
    </row>
    <row r="426" ht="15.75" customHeight="1" s="216">
      <c r="D426" s="109" t="n"/>
      <c r="E426" s="109" t="n"/>
      <c r="J426" s="109" t="n"/>
      <c r="K426" s="109" t="n"/>
      <c r="L426" s="109" t="n"/>
      <c r="N426" s="109" t="n"/>
      <c r="O426" s="109" t="n"/>
      <c r="P426" s="109" t="n"/>
      <c r="T426" s="109" t="n"/>
      <c r="U426" s="109" t="n"/>
      <c r="V426" s="109" t="n"/>
      <c r="Z426" s="109" t="n"/>
      <c r="AA426" s="109" t="n"/>
      <c r="AB426" s="109" t="n"/>
      <c r="AF426" s="109" t="n"/>
      <c r="AG426" s="109" t="n"/>
      <c r="AH426" s="109" t="n"/>
      <c r="AL426" s="109" t="n"/>
      <c r="AM426" s="109" t="n"/>
      <c r="AN426" s="109" t="n"/>
    </row>
    <row r="427" ht="15.75" customHeight="1" s="216">
      <c r="D427" s="109" t="n"/>
      <c r="E427" s="109" t="n"/>
      <c r="J427" s="109" t="n"/>
      <c r="K427" s="109" t="n"/>
      <c r="L427" s="109" t="n"/>
      <c r="N427" s="109" t="n"/>
      <c r="O427" s="109" t="n"/>
      <c r="P427" s="109" t="n"/>
      <c r="T427" s="109" t="n"/>
      <c r="U427" s="109" t="n"/>
      <c r="V427" s="109" t="n"/>
      <c r="Z427" s="109" t="n"/>
      <c r="AA427" s="109" t="n"/>
      <c r="AB427" s="109" t="n"/>
      <c r="AF427" s="109" t="n"/>
      <c r="AG427" s="109" t="n"/>
      <c r="AH427" s="109" t="n"/>
      <c r="AL427" s="109" t="n"/>
      <c r="AM427" s="109" t="n"/>
      <c r="AN427" s="109" t="n"/>
    </row>
    <row r="428" ht="15.75" customHeight="1" s="216">
      <c r="D428" s="109" t="n"/>
      <c r="E428" s="109" t="n"/>
      <c r="J428" s="109" t="n"/>
      <c r="K428" s="109" t="n"/>
      <c r="L428" s="109" t="n"/>
      <c r="N428" s="109" t="n"/>
      <c r="O428" s="109" t="n"/>
      <c r="P428" s="109" t="n"/>
      <c r="T428" s="109" t="n"/>
      <c r="U428" s="109" t="n"/>
      <c r="V428" s="109" t="n"/>
      <c r="Z428" s="109" t="n"/>
      <c r="AA428" s="109" t="n"/>
      <c r="AB428" s="109" t="n"/>
      <c r="AF428" s="109" t="n"/>
      <c r="AG428" s="109" t="n"/>
      <c r="AH428" s="109" t="n"/>
      <c r="AL428" s="109" t="n"/>
      <c r="AM428" s="109" t="n"/>
      <c r="AN428" s="109" t="n"/>
    </row>
    <row r="429" ht="15.75" customHeight="1" s="216">
      <c r="D429" s="109" t="n"/>
      <c r="E429" s="109" t="n"/>
      <c r="J429" s="109" t="n"/>
      <c r="K429" s="109" t="n"/>
      <c r="L429" s="109" t="n"/>
      <c r="N429" s="109" t="n"/>
      <c r="O429" s="109" t="n"/>
      <c r="P429" s="109" t="n"/>
      <c r="T429" s="109" t="n"/>
      <c r="U429" s="109" t="n"/>
      <c r="V429" s="109" t="n"/>
      <c r="Z429" s="109" t="n"/>
      <c r="AA429" s="109" t="n"/>
      <c r="AB429" s="109" t="n"/>
      <c r="AF429" s="109" t="n"/>
      <c r="AG429" s="109" t="n"/>
      <c r="AH429" s="109" t="n"/>
      <c r="AL429" s="109" t="n"/>
      <c r="AM429" s="109" t="n"/>
      <c r="AN429" s="109" t="n"/>
    </row>
    <row r="430" ht="15.75" customHeight="1" s="216">
      <c r="D430" s="109" t="n"/>
      <c r="E430" s="109" t="n"/>
      <c r="J430" s="109" t="n"/>
      <c r="K430" s="109" t="n"/>
      <c r="L430" s="109" t="n"/>
      <c r="N430" s="109" t="n"/>
      <c r="O430" s="109" t="n"/>
      <c r="P430" s="109" t="n"/>
      <c r="T430" s="109" t="n"/>
      <c r="U430" s="109" t="n"/>
      <c r="V430" s="109" t="n"/>
      <c r="Z430" s="109" t="n"/>
      <c r="AA430" s="109" t="n"/>
      <c r="AB430" s="109" t="n"/>
      <c r="AF430" s="109" t="n"/>
      <c r="AG430" s="109" t="n"/>
      <c r="AH430" s="109" t="n"/>
      <c r="AL430" s="109" t="n"/>
      <c r="AM430" s="109" t="n"/>
      <c r="AN430" s="109" t="n"/>
    </row>
    <row r="431" ht="15.75" customHeight="1" s="216">
      <c r="D431" s="109" t="n"/>
      <c r="E431" s="109" t="n"/>
      <c r="J431" s="109" t="n"/>
      <c r="K431" s="109" t="n"/>
      <c r="L431" s="109" t="n"/>
      <c r="N431" s="109" t="n"/>
      <c r="O431" s="109" t="n"/>
      <c r="P431" s="109" t="n"/>
      <c r="T431" s="109" t="n"/>
      <c r="U431" s="109" t="n"/>
      <c r="V431" s="109" t="n"/>
      <c r="Z431" s="109" t="n"/>
      <c r="AA431" s="109" t="n"/>
      <c r="AB431" s="109" t="n"/>
      <c r="AF431" s="109" t="n"/>
      <c r="AG431" s="109" t="n"/>
      <c r="AH431" s="109" t="n"/>
      <c r="AL431" s="109" t="n"/>
      <c r="AM431" s="109" t="n"/>
      <c r="AN431" s="109" t="n"/>
    </row>
    <row r="432" ht="15.75" customHeight="1" s="216">
      <c r="D432" s="109" t="n"/>
      <c r="E432" s="109" t="n"/>
      <c r="J432" s="109" t="n"/>
      <c r="K432" s="109" t="n"/>
      <c r="L432" s="109" t="n"/>
      <c r="N432" s="109" t="n"/>
      <c r="O432" s="109" t="n"/>
      <c r="P432" s="109" t="n"/>
      <c r="T432" s="109" t="n"/>
      <c r="U432" s="109" t="n"/>
      <c r="V432" s="109" t="n"/>
      <c r="Z432" s="109" t="n"/>
      <c r="AA432" s="109" t="n"/>
      <c r="AB432" s="109" t="n"/>
      <c r="AF432" s="109" t="n"/>
      <c r="AG432" s="109" t="n"/>
      <c r="AH432" s="109" t="n"/>
      <c r="AL432" s="109" t="n"/>
      <c r="AM432" s="109" t="n"/>
      <c r="AN432" s="109" t="n"/>
    </row>
    <row r="433" ht="15.75" customHeight="1" s="216">
      <c r="D433" s="109" t="n"/>
      <c r="E433" s="109" t="n"/>
      <c r="J433" s="109" t="n"/>
      <c r="K433" s="109" t="n"/>
      <c r="L433" s="109" t="n"/>
      <c r="N433" s="109" t="n"/>
      <c r="O433" s="109" t="n"/>
      <c r="P433" s="109" t="n"/>
      <c r="T433" s="109" t="n"/>
      <c r="U433" s="109" t="n"/>
      <c r="V433" s="109" t="n"/>
      <c r="Z433" s="109" t="n"/>
      <c r="AA433" s="109" t="n"/>
      <c r="AB433" s="109" t="n"/>
      <c r="AF433" s="109" t="n"/>
      <c r="AG433" s="109" t="n"/>
      <c r="AH433" s="109" t="n"/>
      <c r="AL433" s="109" t="n"/>
      <c r="AM433" s="109" t="n"/>
      <c r="AN433" s="109" t="n"/>
    </row>
    <row r="434" ht="15.75" customHeight="1" s="216">
      <c r="D434" s="109" t="n"/>
      <c r="E434" s="109" t="n"/>
      <c r="J434" s="109" t="n"/>
      <c r="K434" s="109" t="n"/>
      <c r="L434" s="109" t="n"/>
      <c r="N434" s="109" t="n"/>
      <c r="O434" s="109" t="n"/>
      <c r="P434" s="109" t="n"/>
      <c r="T434" s="109" t="n"/>
      <c r="U434" s="109" t="n"/>
      <c r="V434" s="109" t="n"/>
      <c r="Z434" s="109" t="n"/>
      <c r="AA434" s="109" t="n"/>
      <c r="AB434" s="109" t="n"/>
      <c r="AF434" s="109" t="n"/>
      <c r="AG434" s="109" t="n"/>
      <c r="AH434" s="109" t="n"/>
      <c r="AL434" s="109" t="n"/>
      <c r="AM434" s="109" t="n"/>
      <c r="AN434" s="109" t="n"/>
    </row>
    <row r="435" ht="15.75" customHeight="1" s="216">
      <c r="D435" s="109" t="n"/>
      <c r="E435" s="109" t="n"/>
      <c r="J435" s="109" t="n"/>
      <c r="K435" s="109" t="n"/>
      <c r="L435" s="109" t="n"/>
      <c r="N435" s="109" t="n"/>
      <c r="O435" s="109" t="n"/>
      <c r="P435" s="109" t="n"/>
      <c r="T435" s="109" t="n"/>
      <c r="U435" s="109" t="n"/>
      <c r="V435" s="109" t="n"/>
      <c r="Z435" s="109" t="n"/>
      <c r="AA435" s="109" t="n"/>
      <c r="AB435" s="109" t="n"/>
      <c r="AF435" s="109" t="n"/>
      <c r="AG435" s="109" t="n"/>
      <c r="AH435" s="109" t="n"/>
      <c r="AL435" s="109" t="n"/>
      <c r="AM435" s="109" t="n"/>
      <c r="AN435" s="109" t="n"/>
    </row>
    <row r="436" ht="15.75" customHeight="1" s="216">
      <c r="D436" s="109" t="n"/>
      <c r="E436" s="109" t="n"/>
      <c r="J436" s="109" t="n"/>
      <c r="K436" s="109" t="n"/>
      <c r="L436" s="109" t="n"/>
      <c r="N436" s="109" t="n"/>
      <c r="O436" s="109" t="n"/>
      <c r="P436" s="109" t="n"/>
      <c r="T436" s="109" t="n"/>
      <c r="U436" s="109" t="n"/>
      <c r="V436" s="109" t="n"/>
      <c r="Z436" s="109" t="n"/>
      <c r="AA436" s="109" t="n"/>
      <c r="AB436" s="109" t="n"/>
      <c r="AF436" s="109" t="n"/>
      <c r="AG436" s="109" t="n"/>
      <c r="AH436" s="109" t="n"/>
      <c r="AL436" s="109" t="n"/>
      <c r="AM436" s="109" t="n"/>
      <c r="AN436" s="109" t="n"/>
    </row>
    <row r="437" ht="15.75" customHeight="1" s="216">
      <c r="D437" s="109" t="n"/>
      <c r="E437" s="109" t="n"/>
      <c r="J437" s="109" t="n"/>
      <c r="K437" s="109" t="n"/>
      <c r="L437" s="109" t="n"/>
      <c r="N437" s="109" t="n"/>
      <c r="O437" s="109" t="n"/>
      <c r="P437" s="109" t="n"/>
      <c r="T437" s="109" t="n"/>
      <c r="U437" s="109" t="n"/>
      <c r="V437" s="109" t="n"/>
      <c r="Z437" s="109" t="n"/>
      <c r="AA437" s="109" t="n"/>
      <c r="AB437" s="109" t="n"/>
      <c r="AF437" s="109" t="n"/>
      <c r="AG437" s="109" t="n"/>
      <c r="AH437" s="109" t="n"/>
      <c r="AL437" s="109" t="n"/>
      <c r="AM437" s="109" t="n"/>
      <c r="AN437" s="109" t="n"/>
    </row>
    <row r="438" ht="15.75" customHeight="1" s="216">
      <c r="D438" s="109" t="n"/>
      <c r="E438" s="109" t="n"/>
      <c r="J438" s="109" t="n"/>
      <c r="K438" s="109" t="n"/>
      <c r="L438" s="109" t="n"/>
      <c r="N438" s="109" t="n"/>
      <c r="O438" s="109" t="n"/>
      <c r="P438" s="109" t="n"/>
      <c r="T438" s="109" t="n"/>
      <c r="U438" s="109" t="n"/>
      <c r="V438" s="109" t="n"/>
      <c r="Z438" s="109" t="n"/>
      <c r="AA438" s="109" t="n"/>
      <c r="AB438" s="109" t="n"/>
      <c r="AF438" s="109" t="n"/>
      <c r="AG438" s="109" t="n"/>
      <c r="AH438" s="109" t="n"/>
      <c r="AL438" s="109" t="n"/>
      <c r="AM438" s="109" t="n"/>
      <c r="AN438" s="109" t="n"/>
    </row>
    <row r="439" ht="15.75" customHeight="1" s="216">
      <c r="D439" s="109" t="n"/>
      <c r="E439" s="109" t="n"/>
      <c r="J439" s="109" t="n"/>
      <c r="K439" s="109" t="n"/>
      <c r="L439" s="109" t="n"/>
      <c r="N439" s="109" t="n"/>
      <c r="O439" s="109" t="n"/>
      <c r="P439" s="109" t="n"/>
      <c r="T439" s="109" t="n"/>
      <c r="U439" s="109" t="n"/>
      <c r="V439" s="109" t="n"/>
      <c r="Z439" s="109" t="n"/>
      <c r="AA439" s="109" t="n"/>
      <c r="AB439" s="109" t="n"/>
      <c r="AF439" s="109" t="n"/>
      <c r="AG439" s="109" t="n"/>
      <c r="AH439" s="109" t="n"/>
      <c r="AL439" s="109" t="n"/>
      <c r="AM439" s="109" t="n"/>
      <c r="AN439" s="109" t="n"/>
    </row>
    <row r="440" ht="15.75" customHeight="1" s="216">
      <c r="D440" s="109" t="n"/>
      <c r="E440" s="109" t="n"/>
      <c r="J440" s="109" t="n"/>
      <c r="K440" s="109" t="n"/>
      <c r="L440" s="109" t="n"/>
      <c r="N440" s="109" t="n"/>
      <c r="O440" s="109" t="n"/>
      <c r="P440" s="109" t="n"/>
      <c r="T440" s="109" t="n"/>
      <c r="U440" s="109" t="n"/>
      <c r="V440" s="109" t="n"/>
      <c r="Z440" s="109" t="n"/>
      <c r="AA440" s="109" t="n"/>
      <c r="AB440" s="109" t="n"/>
      <c r="AF440" s="109" t="n"/>
      <c r="AG440" s="109" t="n"/>
      <c r="AH440" s="109" t="n"/>
      <c r="AL440" s="109" t="n"/>
      <c r="AM440" s="109" t="n"/>
      <c r="AN440" s="109" t="n"/>
    </row>
    <row r="441" ht="15.75" customHeight="1" s="216">
      <c r="D441" s="109" t="n"/>
      <c r="E441" s="109" t="n"/>
      <c r="J441" s="109" t="n"/>
      <c r="K441" s="109" t="n"/>
      <c r="L441" s="109" t="n"/>
      <c r="N441" s="109" t="n"/>
      <c r="O441" s="109" t="n"/>
      <c r="P441" s="109" t="n"/>
      <c r="T441" s="109" t="n"/>
      <c r="U441" s="109" t="n"/>
      <c r="V441" s="109" t="n"/>
      <c r="Z441" s="109" t="n"/>
      <c r="AA441" s="109" t="n"/>
      <c r="AB441" s="109" t="n"/>
      <c r="AF441" s="109" t="n"/>
      <c r="AG441" s="109" t="n"/>
      <c r="AH441" s="109" t="n"/>
      <c r="AL441" s="109" t="n"/>
      <c r="AM441" s="109" t="n"/>
      <c r="AN441" s="109" t="n"/>
    </row>
    <row r="442" ht="15.75" customHeight="1" s="216">
      <c r="D442" s="109" t="n"/>
      <c r="E442" s="109" t="n"/>
      <c r="J442" s="109" t="n"/>
      <c r="K442" s="109" t="n"/>
      <c r="L442" s="109" t="n"/>
      <c r="N442" s="109" t="n"/>
      <c r="O442" s="109" t="n"/>
      <c r="P442" s="109" t="n"/>
      <c r="T442" s="109" t="n"/>
      <c r="U442" s="109" t="n"/>
      <c r="V442" s="109" t="n"/>
      <c r="Z442" s="109" t="n"/>
      <c r="AA442" s="109" t="n"/>
      <c r="AB442" s="109" t="n"/>
      <c r="AF442" s="109" t="n"/>
      <c r="AG442" s="109" t="n"/>
      <c r="AH442" s="109" t="n"/>
      <c r="AL442" s="109" t="n"/>
      <c r="AM442" s="109" t="n"/>
      <c r="AN442" s="109" t="n"/>
    </row>
    <row r="443" ht="15.75" customHeight="1" s="216">
      <c r="D443" s="109" t="n"/>
      <c r="E443" s="109" t="n"/>
      <c r="J443" s="109" t="n"/>
      <c r="K443" s="109" t="n"/>
      <c r="L443" s="109" t="n"/>
      <c r="N443" s="109" t="n"/>
      <c r="O443" s="109" t="n"/>
      <c r="P443" s="109" t="n"/>
      <c r="T443" s="109" t="n"/>
      <c r="U443" s="109" t="n"/>
      <c r="V443" s="109" t="n"/>
      <c r="Z443" s="109" t="n"/>
      <c r="AA443" s="109" t="n"/>
      <c r="AB443" s="109" t="n"/>
      <c r="AF443" s="109" t="n"/>
      <c r="AG443" s="109" t="n"/>
      <c r="AH443" s="109" t="n"/>
      <c r="AL443" s="109" t="n"/>
      <c r="AM443" s="109" t="n"/>
      <c r="AN443" s="109" t="n"/>
    </row>
    <row r="444" ht="15.75" customHeight="1" s="216">
      <c r="D444" s="109" t="n"/>
      <c r="E444" s="109" t="n"/>
      <c r="J444" s="109" t="n"/>
      <c r="K444" s="109" t="n"/>
      <c r="L444" s="109" t="n"/>
      <c r="N444" s="109" t="n"/>
      <c r="O444" s="109" t="n"/>
      <c r="P444" s="109" t="n"/>
      <c r="T444" s="109" t="n"/>
      <c r="U444" s="109" t="n"/>
      <c r="V444" s="109" t="n"/>
      <c r="Z444" s="109" t="n"/>
      <c r="AA444" s="109" t="n"/>
      <c r="AB444" s="109" t="n"/>
      <c r="AF444" s="109" t="n"/>
      <c r="AG444" s="109" t="n"/>
      <c r="AH444" s="109" t="n"/>
      <c r="AL444" s="109" t="n"/>
      <c r="AM444" s="109" t="n"/>
      <c r="AN444" s="109" t="n"/>
    </row>
    <row r="445" ht="15.75" customHeight="1" s="216">
      <c r="D445" s="109" t="n"/>
      <c r="E445" s="109" t="n"/>
      <c r="J445" s="109" t="n"/>
      <c r="K445" s="109" t="n"/>
      <c r="L445" s="109" t="n"/>
      <c r="N445" s="109" t="n"/>
      <c r="O445" s="109" t="n"/>
      <c r="P445" s="109" t="n"/>
      <c r="T445" s="109" t="n"/>
      <c r="U445" s="109" t="n"/>
      <c r="V445" s="109" t="n"/>
      <c r="Z445" s="109" t="n"/>
      <c r="AA445" s="109" t="n"/>
      <c r="AB445" s="109" t="n"/>
      <c r="AF445" s="109" t="n"/>
      <c r="AG445" s="109" t="n"/>
      <c r="AH445" s="109" t="n"/>
      <c r="AL445" s="109" t="n"/>
      <c r="AM445" s="109" t="n"/>
      <c r="AN445" s="109" t="n"/>
    </row>
    <row r="446" ht="15.75" customHeight="1" s="216">
      <c r="D446" s="109" t="n"/>
      <c r="E446" s="109" t="n"/>
      <c r="J446" s="109" t="n"/>
      <c r="K446" s="109" t="n"/>
      <c r="L446" s="109" t="n"/>
      <c r="N446" s="109" t="n"/>
      <c r="O446" s="109" t="n"/>
      <c r="P446" s="109" t="n"/>
      <c r="T446" s="109" t="n"/>
      <c r="U446" s="109" t="n"/>
      <c r="V446" s="109" t="n"/>
      <c r="Z446" s="109" t="n"/>
      <c r="AA446" s="109" t="n"/>
      <c r="AB446" s="109" t="n"/>
      <c r="AF446" s="109" t="n"/>
      <c r="AG446" s="109" t="n"/>
      <c r="AH446" s="109" t="n"/>
      <c r="AL446" s="109" t="n"/>
      <c r="AM446" s="109" t="n"/>
      <c r="AN446" s="109" t="n"/>
    </row>
    <row r="447" ht="15.75" customHeight="1" s="216">
      <c r="D447" s="109" t="n"/>
      <c r="E447" s="109" t="n"/>
      <c r="J447" s="109" t="n"/>
      <c r="K447" s="109" t="n"/>
      <c r="L447" s="109" t="n"/>
      <c r="N447" s="109" t="n"/>
      <c r="O447" s="109" t="n"/>
      <c r="P447" s="109" t="n"/>
      <c r="T447" s="109" t="n"/>
      <c r="U447" s="109" t="n"/>
      <c r="V447" s="109" t="n"/>
      <c r="Z447" s="109" t="n"/>
      <c r="AA447" s="109" t="n"/>
      <c r="AB447" s="109" t="n"/>
      <c r="AF447" s="109" t="n"/>
      <c r="AG447" s="109" t="n"/>
      <c r="AH447" s="109" t="n"/>
      <c r="AL447" s="109" t="n"/>
      <c r="AM447" s="109" t="n"/>
      <c r="AN447" s="109" t="n"/>
    </row>
    <row r="448" ht="15.75" customHeight="1" s="216">
      <c r="D448" s="109" t="n"/>
      <c r="E448" s="109" t="n"/>
      <c r="J448" s="109" t="n"/>
      <c r="K448" s="109" t="n"/>
      <c r="L448" s="109" t="n"/>
      <c r="N448" s="109" t="n"/>
      <c r="O448" s="109" t="n"/>
      <c r="P448" s="109" t="n"/>
      <c r="T448" s="109" t="n"/>
      <c r="U448" s="109" t="n"/>
      <c r="V448" s="109" t="n"/>
      <c r="Z448" s="109" t="n"/>
      <c r="AA448" s="109" t="n"/>
      <c r="AB448" s="109" t="n"/>
      <c r="AF448" s="109" t="n"/>
      <c r="AG448" s="109" t="n"/>
      <c r="AH448" s="109" t="n"/>
      <c r="AL448" s="109" t="n"/>
      <c r="AM448" s="109" t="n"/>
      <c r="AN448" s="109" t="n"/>
    </row>
    <row r="449" ht="15.75" customHeight="1" s="216">
      <c r="D449" s="109" t="n"/>
      <c r="E449" s="109" t="n"/>
      <c r="J449" s="109" t="n"/>
      <c r="K449" s="109" t="n"/>
      <c r="L449" s="109" t="n"/>
      <c r="N449" s="109" t="n"/>
      <c r="O449" s="109" t="n"/>
      <c r="P449" s="109" t="n"/>
      <c r="T449" s="109" t="n"/>
      <c r="U449" s="109" t="n"/>
      <c r="V449" s="109" t="n"/>
      <c r="Z449" s="109" t="n"/>
      <c r="AA449" s="109" t="n"/>
      <c r="AB449" s="109" t="n"/>
      <c r="AF449" s="109" t="n"/>
      <c r="AG449" s="109" t="n"/>
      <c r="AH449" s="109" t="n"/>
      <c r="AL449" s="109" t="n"/>
      <c r="AM449" s="109" t="n"/>
      <c r="AN449" s="109" t="n"/>
    </row>
    <row r="450" ht="15.75" customHeight="1" s="216">
      <c r="D450" s="109" t="n"/>
      <c r="E450" s="109" t="n"/>
      <c r="J450" s="109" t="n"/>
      <c r="K450" s="109" t="n"/>
      <c r="L450" s="109" t="n"/>
      <c r="N450" s="109" t="n"/>
      <c r="O450" s="109" t="n"/>
      <c r="P450" s="109" t="n"/>
      <c r="T450" s="109" t="n"/>
      <c r="U450" s="109" t="n"/>
      <c r="V450" s="109" t="n"/>
      <c r="Z450" s="109" t="n"/>
      <c r="AA450" s="109" t="n"/>
      <c r="AB450" s="109" t="n"/>
      <c r="AF450" s="109" t="n"/>
      <c r="AG450" s="109" t="n"/>
      <c r="AH450" s="109" t="n"/>
      <c r="AL450" s="109" t="n"/>
      <c r="AM450" s="109" t="n"/>
      <c r="AN450" s="109" t="n"/>
    </row>
    <row r="451" ht="15.75" customHeight="1" s="216">
      <c r="D451" s="109" t="n"/>
      <c r="E451" s="109" t="n"/>
      <c r="J451" s="109" t="n"/>
      <c r="K451" s="109" t="n"/>
      <c r="L451" s="109" t="n"/>
      <c r="N451" s="109" t="n"/>
      <c r="O451" s="109" t="n"/>
      <c r="P451" s="109" t="n"/>
      <c r="T451" s="109" t="n"/>
      <c r="U451" s="109" t="n"/>
      <c r="V451" s="109" t="n"/>
      <c r="Z451" s="109" t="n"/>
      <c r="AA451" s="109" t="n"/>
      <c r="AB451" s="109" t="n"/>
      <c r="AF451" s="109" t="n"/>
      <c r="AG451" s="109" t="n"/>
      <c r="AH451" s="109" t="n"/>
      <c r="AL451" s="109" t="n"/>
      <c r="AM451" s="109" t="n"/>
      <c r="AN451" s="109" t="n"/>
    </row>
    <row r="452" ht="15.75" customHeight="1" s="216">
      <c r="D452" s="109" t="n"/>
      <c r="E452" s="109" t="n"/>
      <c r="J452" s="109" t="n"/>
      <c r="K452" s="109" t="n"/>
      <c r="L452" s="109" t="n"/>
      <c r="N452" s="109" t="n"/>
      <c r="O452" s="109" t="n"/>
      <c r="P452" s="109" t="n"/>
      <c r="T452" s="109" t="n"/>
      <c r="U452" s="109" t="n"/>
      <c r="V452" s="109" t="n"/>
      <c r="Z452" s="109" t="n"/>
      <c r="AA452" s="109" t="n"/>
      <c r="AB452" s="109" t="n"/>
      <c r="AF452" s="109" t="n"/>
      <c r="AG452" s="109" t="n"/>
      <c r="AH452" s="109" t="n"/>
      <c r="AL452" s="109" t="n"/>
      <c r="AM452" s="109" t="n"/>
      <c r="AN452" s="109" t="n"/>
    </row>
    <row r="453" ht="15.75" customHeight="1" s="216">
      <c r="D453" s="109" t="n"/>
      <c r="E453" s="109" t="n"/>
      <c r="J453" s="109" t="n"/>
      <c r="K453" s="109" t="n"/>
      <c r="L453" s="109" t="n"/>
      <c r="N453" s="109" t="n"/>
      <c r="O453" s="109" t="n"/>
      <c r="P453" s="109" t="n"/>
      <c r="T453" s="109" t="n"/>
      <c r="U453" s="109" t="n"/>
      <c r="V453" s="109" t="n"/>
      <c r="Z453" s="109" t="n"/>
      <c r="AA453" s="109" t="n"/>
      <c r="AB453" s="109" t="n"/>
      <c r="AF453" s="109" t="n"/>
      <c r="AG453" s="109" t="n"/>
      <c r="AH453" s="109" t="n"/>
      <c r="AL453" s="109" t="n"/>
      <c r="AM453" s="109" t="n"/>
      <c r="AN453" s="109" t="n"/>
    </row>
    <row r="454" ht="15.75" customHeight="1" s="216">
      <c r="D454" s="109" t="n"/>
      <c r="E454" s="109" t="n"/>
      <c r="J454" s="109" t="n"/>
      <c r="K454" s="109" t="n"/>
      <c r="L454" s="109" t="n"/>
      <c r="N454" s="109" t="n"/>
      <c r="O454" s="109" t="n"/>
      <c r="P454" s="109" t="n"/>
      <c r="T454" s="109" t="n"/>
      <c r="U454" s="109" t="n"/>
      <c r="V454" s="109" t="n"/>
      <c r="Z454" s="109" t="n"/>
      <c r="AA454" s="109" t="n"/>
      <c r="AB454" s="109" t="n"/>
      <c r="AF454" s="109" t="n"/>
      <c r="AG454" s="109" t="n"/>
      <c r="AH454" s="109" t="n"/>
      <c r="AL454" s="109" t="n"/>
      <c r="AM454" s="109" t="n"/>
      <c r="AN454" s="109" t="n"/>
    </row>
    <row r="455" ht="15.75" customHeight="1" s="216">
      <c r="D455" s="109" t="n"/>
      <c r="E455" s="109" t="n"/>
      <c r="J455" s="109" t="n"/>
      <c r="K455" s="109" t="n"/>
      <c r="L455" s="109" t="n"/>
      <c r="N455" s="109" t="n"/>
      <c r="O455" s="109" t="n"/>
      <c r="P455" s="109" t="n"/>
      <c r="T455" s="109" t="n"/>
      <c r="U455" s="109" t="n"/>
      <c r="V455" s="109" t="n"/>
      <c r="Z455" s="109" t="n"/>
      <c r="AA455" s="109" t="n"/>
      <c r="AB455" s="109" t="n"/>
      <c r="AF455" s="109" t="n"/>
      <c r="AG455" s="109" t="n"/>
      <c r="AH455" s="109" t="n"/>
      <c r="AL455" s="109" t="n"/>
      <c r="AM455" s="109" t="n"/>
      <c r="AN455" s="109" t="n"/>
    </row>
    <row r="456" ht="15.75" customHeight="1" s="216">
      <c r="D456" s="109" t="n"/>
      <c r="E456" s="109" t="n"/>
      <c r="J456" s="109" t="n"/>
      <c r="K456" s="109" t="n"/>
      <c r="L456" s="109" t="n"/>
      <c r="N456" s="109" t="n"/>
      <c r="O456" s="109" t="n"/>
      <c r="P456" s="109" t="n"/>
      <c r="T456" s="109" t="n"/>
      <c r="U456" s="109" t="n"/>
      <c r="V456" s="109" t="n"/>
      <c r="Z456" s="109" t="n"/>
      <c r="AA456" s="109" t="n"/>
      <c r="AB456" s="109" t="n"/>
      <c r="AF456" s="109" t="n"/>
      <c r="AG456" s="109" t="n"/>
      <c r="AH456" s="109" t="n"/>
      <c r="AL456" s="109" t="n"/>
      <c r="AM456" s="109" t="n"/>
      <c r="AN456" s="109" t="n"/>
    </row>
    <row r="457" ht="15.75" customHeight="1" s="216">
      <c r="D457" s="109" t="n"/>
      <c r="E457" s="109" t="n"/>
      <c r="J457" s="109" t="n"/>
      <c r="K457" s="109" t="n"/>
      <c r="L457" s="109" t="n"/>
      <c r="N457" s="109" t="n"/>
      <c r="O457" s="109" t="n"/>
      <c r="P457" s="109" t="n"/>
      <c r="T457" s="109" t="n"/>
      <c r="U457" s="109" t="n"/>
      <c r="V457" s="109" t="n"/>
      <c r="Z457" s="109" t="n"/>
      <c r="AA457" s="109" t="n"/>
      <c r="AB457" s="109" t="n"/>
      <c r="AF457" s="109" t="n"/>
      <c r="AG457" s="109" t="n"/>
      <c r="AH457" s="109" t="n"/>
      <c r="AL457" s="109" t="n"/>
      <c r="AM457" s="109" t="n"/>
      <c r="AN457" s="109" t="n"/>
    </row>
    <row r="458" ht="15.75" customHeight="1" s="216">
      <c r="D458" s="109" t="n"/>
      <c r="E458" s="109" t="n"/>
      <c r="J458" s="109" t="n"/>
      <c r="K458" s="109" t="n"/>
      <c r="L458" s="109" t="n"/>
      <c r="N458" s="109" t="n"/>
      <c r="O458" s="109" t="n"/>
      <c r="P458" s="109" t="n"/>
      <c r="T458" s="109" t="n"/>
      <c r="U458" s="109" t="n"/>
      <c r="V458" s="109" t="n"/>
      <c r="Z458" s="109" t="n"/>
      <c r="AA458" s="109" t="n"/>
      <c r="AB458" s="109" t="n"/>
      <c r="AF458" s="109" t="n"/>
      <c r="AG458" s="109" t="n"/>
      <c r="AH458" s="109" t="n"/>
      <c r="AL458" s="109" t="n"/>
      <c r="AM458" s="109" t="n"/>
      <c r="AN458" s="109" t="n"/>
    </row>
    <row r="459" ht="15.75" customHeight="1" s="216">
      <c r="D459" s="109" t="n"/>
      <c r="E459" s="109" t="n"/>
      <c r="J459" s="109" t="n"/>
      <c r="K459" s="109" t="n"/>
      <c r="L459" s="109" t="n"/>
      <c r="N459" s="109" t="n"/>
      <c r="O459" s="109" t="n"/>
      <c r="P459" s="109" t="n"/>
      <c r="T459" s="109" t="n"/>
      <c r="U459" s="109" t="n"/>
      <c r="V459" s="109" t="n"/>
      <c r="Z459" s="109" t="n"/>
      <c r="AA459" s="109" t="n"/>
      <c r="AB459" s="109" t="n"/>
      <c r="AF459" s="109" t="n"/>
      <c r="AG459" s="109" t="n"/>
      <c r="AH459" s="109" t="n"/>
      <c r="AL459" s="109" t="n"/>
      <c r="AM459" s="109" t="n"/>
      <c r="AN459" s="109" t="n"/>
    </row>
    <row r="460" ht="15.75" customHeight="1" s="216">
      <c r="D460" s="109" t="n"/>
      <c r="E460" s="109" t="n"/>
      <c r="J460" s="109" t="n"/>
      <c r="K460" s="109" t="n"/>
      <c r="L460" s="109" t="n"/>
      <c r="N460" s="109" t="n"/>
      <c r="O460" s="109" t="n"/>
      <c r="P460" s="109" t="n"/>
      <c r="T460" s="109" t="n"/>
      <c r="U460" s="109" t="n"/>
      <c r="V460" s="109" t="n"/>
      <c r="Z460" s="109" t="n"/>
      <c r="AA460" s="109" t="n"/>
      <c r="AB460" s="109" t="n"/>
      <c r="AF460" s="109" t="n"/>
      <c r="AG460" s="109" t="n"/>
      <c r="AH460" s="109" t="n"/>
      <c r="AL460" s="109" t="n"/>
      <c r="AM460" s="109" t="n"/>
      <c r="AN460" s="109" t="n"/>
    </row>
    <row r="461" ht="15.75" customHeight="1" s="216">
      <c r="D461" s="109" t="n"/>
      <c r="E461" s="109" t="n"/>
      <c r="J461" s="109" t="n"/>
      <c r="K461" s="109" t="n"/>
      <c r="L461" s="109" t="n"/>
      <c r="N461" s="109" t="n"/>
      <c r="O461" s="109" t="n"/>
      <c r="P461" s="109" t="n"/>
      <c r="T461" s="109" t="n"/>
      <c r="U461" s="109" t="n"/>
      <c r="V461" s="109" t="n"/>
      <c r="Z461" s="109" t="n"/>
      <c r="AA461" s="109" t="n"/>
      <c r="AB461" s="109" t="n"/>
      <c r="AF461" s="109" t="n"/>
      <c r="AG461" s="109" t="n"/>
      <c r="AH461" s="109" t="n"/>
      <c r="AL461" s="109" t="n"/>
      <c r="AM461" s="109" t="n"/>
      <c r="AN461" s="109" t="n"/>
    </row>
    <row r="462" ht="15.75" customHeight="1" s="216">
      <c r="D462" s="109" t="n"/>
      <c r="E462" s="109" t="n"/>
      <c r="J462" s="109" t="n"/>
      <c r="K462" s="109" t="n"/>
      <c r="L462" s="109" t="n"/>
      <c r="N462" s="109" t="n"/>
      <c r="O462" s="109" t="n"/>
      <c r="P462" s="109" t="n"/>
      <c r="T462" s="109" t="n"/>
      <c r="U462" s="109" t="n"/>
      <c r="V462" s="109" t="n"/>
      <c r="Z462" s="109" t="n"/>
      <c r="AA462" s="109" t="n"/>
      <c r="AB462" s="109" t="n"/>
      <c r="AF462" s="109" t="n"/>
      <c r="AG462" s="109" t="n"/>
      <c r="AH462" s="109" t="n"/>
      <c r="AL462" s="109" t="n"/>
      <c r="AM462" s="109" t="n"/>
      <c r="AN462" s="109" t="n"/>
    </row>
    <row r="463" ht="15.75" customHeight="1" s="216">
      <c r="D463" s="109" t="n"/>
      <c r="E463" s="109" t="n"/>
      <c r="J463" s="109" t="n"/>
      <c r="K463" s="109" t="n"/>
      <c r="L463" s="109" t="n"/>
      <c r="N463" s="109" t="n"/>
      <c r="O463" s="109" t="n"/>
      <c r="P463" s="109" t="n"/>
      <c r="T463" s="109" t="n"/>
      <c r="U463" s="109" t="n"/>
      <c r="V463" s="109" t="n"/>
      <c r="Z463" s="109" t="n"/>
      <c r="AA463" s="109" t="n"/>
      <c r="AB463" s="109" t="n"/>
      <c r="AF463" s="109" t="n"/>
      <c r="AG463" s="109" t="n"/>
      <c r="AH463" s="109" t="n"/>
      <c r="AL463" s="109" t="n"/>
      <c r="AM463" s="109" t="n"/>
      <c r="AN463" s="109" t="n"/>
    </row>
    <row r="464" ht="15.75" customHeight="1" s="216">
      <c r="D464" s="109" t="n"/>
      <c r="E464" s="109" t="n"/>
      <c r="J464" s="109" t="n"/>
      <c r="K464" s="109" t="n"/>
      <c r="L464" s="109" t="n"/>
      <c r="N464" s="109" t="n"/>
      <c r="O464" s="109" t="n"/>
      <c r="P464" s="109" t="n"/>
      <c r="T464" s="109" t="n"/>
      <c r="U464" s="109" t="n"/>
      <c r="V464" s="109" t="n"/>
      <c r="Z464" s="109" t="n"/>
      <c r="AA464" s="109" t="n"/>
      <c r="AB464" s="109" t="n"/>
      <c r="AF464" s="109" t="n"/>
      <c r="AG464" s="109" t="n"/>
      <c r="AH464" s="109" t="n"/>
      <c r="AL464" s="109" t="n"/>
      <c r="AM464" s="109" t="n"/>
      <c r="AN464" s="109" t="n"/>
    </row>
    <row r="465" ht="15.75" customHeight="1" s="216">
      <c r="D465" s="109" t="n"/>
      <c r="E465" s="109" t="n"/>
      <c r="J465" s="109" t="n"/>
      <c r="K465" s="109" t="n"/>
      <c r="L465" s="109" t="n"/>
      <c r="N465" s="109" t="n"/>
      <c r="O465" s="109" t="n"/>
      <c r="P465" s="109" t="n"/>
      <c r="T465" s="109" t="n"/>
      <c r="U465" s="109" t="n"/>
      <c r="V465" s="109" t="n"/>
      <c r="Z465" s="109" t="n"/>
      <c r="AA465" s="109" t="n"/>
      <c r="AB465" s="109" t="n"/>
      <c r="AF465" s="109" t="n"/>
      <c r="AG465" s="109" t="n"/>
      <c r="AH465" s="109" t="n"/>
      <c r="AL465" s="109" t="n"/>
      <c r="AM465" s="109" t="n"/>
      <c r="AN465" s="109" t="n"/>
    </row>
    <row r="466" ht="15.75" customHeight="1" s="216">
      <c r="D466" s="109" t="n"/>
      <c r="E466" s="109" t="n"/>
      <c r="J466" s="109" t="n"/>
      <c r="K466" s="109" t="n"/>
      <c r="L466" s="109" t="n"/>
      <c r="N466" s="109" t="n"/>
      <c r="O466" s="109" t="n"/>
      <c r="P466" s="109" t="n"/>
      <c r="T466" s="109" t="n"/>
      <c r="U466" s="109" t="n"/>
      <c r="V466" s="109" t="n"/>
      <c r="Z466" s="109" t="n"/>
      <c r="AA466" s="109" t="n"/>
      <c r="AB466" s="109" t="n"/>
      <c r="AF466" s="109" t="n"/>
      <c r="AG466" s="109" t="n"/>
      <c r="AH466" s="109" t="n"/>
      <c r="AL466" s="109" t="n"/>
      <c r="AM466" s="109" t="n"/>
      <c r="AN466" s="109" t="n"/>
    </row>
    <row r="467" ht="15.75" customHeight="1" s="216">
      <c r="D467" s="109" t="n"/>
      <c r="E467" s="109" t="n"/>
      <c r="J467" s="109" t="n"/>
      <c r="K467" s="109" t="n"/>
      <c r="L467" s="109" t="n"/>
      <c r="N467" s="109" t="n"/>
      <c r="O467" s="109" t="n"/>
      <c r="P467" s="109" t="n"/>
      <c r="T467" s="109" t="n"/>
      <c r="U467" s="109" t="n"/>
      <c r="V467" s="109" t="n"/>
      <c r="Z467" s="109" t="n"/>
      <c r="AA467" s="109" t="n"/>
      <c r="AB467" s="109" t="n"/>
      <c r="AF467" s="109" t="n"/>
      <c r="AG467" s="109" t="n"/>
      <c r="AH467" s="109" t="n"/>
      <c r="AL467" s="109" t="n"/>
      <c r="AM467" s="109" t="n"/>
      <c r="AN467" s="109" t="n"/>
    </row>
    <row r="468" ht="15.75" customHeight="1" s="216">
      <c r="D468" s="109" t="n"/>
      <c r="E468" s="109" t="n"/>
      <c r="J468" s="109" t="n"/>
      <c r="K468" s="109" t="n"/>
      <c r="L468" s="109" t="n"/>
      <c r="N468" s="109" t="n"/>
      <c r="O468" s="109" t="n"/>
      <c r="P468" s="109" t="n"/>
      <c r="T468" s="109" t="n"/>
      <c r="U468" s="109" t="n"/>
      <c r="V468" s="109" t="n"/>
      <c r="Z468" s="109" t="n"/>
      <c r="AA468" s="109" t="n"/>
      <c r="AB468" s="109" t="n"/>
      <c r="AF468" s="109" t="n"/>
      <c r="AG468" s="109" t="n"/>
      <c r="AH468" s="109" t="n"/>
      <c r="AL468" s="109" t="n"/>
      <c r="AM468" s="109" t="n"/>
      <c r="AN468" s="109" t="n"/>
    </row>
    <row r="469" ht="15.75" customHeight="1" s="216">
      <c r="D469" s="109" t="n"/>
      <c r="E469" s="109" t="n"/>
      <c r="J469" s="109" t="n"/>
      <c r="K469" s="109" t="n"/>
      <c r="L469" s="109" t="n"/>
      <c r="N469" s="109" t="n"/>
      <c r="O469" s="109" t="n"/>
      <c r="P469" s="109" t="n"/>
      <c r="T469" s="109" t="n"/>
      <c r="U469" s="109" t="n"/>
      <c r="V469" s="109" t="n"/>
      <c r="Z469" s="109" t="n"/>
      <c r="AA469" s="109" t="n"/>
      <c r="AB469" s="109" t="n"/>
      <c r="AF469" s="109" t="n"/>
      <c r="AG469" s="109" t="n"/>
      <c r="AH469" s="109" t="n"/>
      <c r="AL469" s="109" t="n"/>
      <c r="AM469" s="109" t="n"/>
      <c r="AN469" s="109" t="n"/>
    </row>
    <row r="470" ht="15.75" customHeight="1" s="216">
      <c r="D470" s="109" t="n"/>
      <c r="E470" s="109" t="n"/>
      <c r="J470" s="109" t="n"/>
      <c r="K470" s="109" t="n"/>
      <c r="L470" s="109" t="n"/>
      <c r="N470" s="109" t="n"/>
      <c r="O470" s="109" t="n"/>
      <c r="P470" s="109" t="n"/>
      <c r="T470" s="109" t="n"/>
      <c r="U470" s="109" t="n"/>
      <c r="V470" s="109" t="n"/>
      <c r="Z470" s="109" t="n"/>
      <c r="AA470" s="109" t="n"/>
      <c r="AB470" s="109" t="n"/>
      <c r="AF470" s="109" t="n"/>
      <c r="AG470" s="109" t="n"/>
      <c r="AH470" s="109" t="n"/>
      <c r="AL470" s="109" t="n"/>
      <c r="AM470" s="109" t="n"/>
      <c r="AN470" s="109" t="n"/>
    </row>
    <row r="471" ht="15.75" customHeight="1" s="216">
      <c r="D471" s="109" t="n"/>
      <c r="E471" s="109" t="n"/>
      <c r="J471" s="109" t="n"/>
      <c r="K471" s="109" t="n"/>
      <c r="L471" s="109" t="n"/>
      <c r="N471" s="109" t="n"/>
      <c r="O471" s="109" t="n"/>
      <c r="P471" s="109" t="n"/>
      <c r="T471" s="109" t="n"/>
      <c r="U471" s="109" t="n"/>
      <c r="V471" s="109" t="n"/>
      <c r="Z471" s="109" t="n"/>
      <c r="AA471" s="109" t="n"/>
      <c r="AB471" s="109" t="n"/>
      <c r="AF471" s="109" t="n"/>
      <c r="AG471" s="109" t="n"/>
      <c r="AH471" s="109" t="n"/>
      <c r="AL471" s="109" t="n"/>
      <c r="AM471" s="109" t="n"/>
      <c r="AN471" s="109" t="n"/>
    </row>
    <row r="472" ht="15.75" customHeight="1" s="216">
      <c r="D472" s="109" t="n"/>
      <c r="E472" s="109" t="n"/>
      <c r="J472" s="109" t="n"/>
      <c r="K472" s="109" t="n"/>
      <c r="L472" s="109" t="n"/>
      <c r="N472" s="109" t="n"/>
      <c r="O472" s="109" t="n"/>
      <c r="P472" s="109" t="n"/>
      <c r="T472" s="109" t="n"/>
      <c r="U472" s="109" t="n"/>
      <c r="V472" s="109" t="n"/>
      <c r="Z472" s="109" t="n"/>
      <c r="AA472" s="109" t="n"/>
      <c r="AB472" s="109" t="n"/>
      <c r="AF472" s="109" t="n"/>
      <c r="AG472" s="109" t="n"/>
      <c r="AH472" s="109" t="n"/>
      <c r="AL472" s="109" t="n"/>
      <c r="AM472" s="109" t="n"/>
      <c r="AN472" s="109" t="n"/>
    </row>
    <row r="473" ht="15.75" customHeight="1" s="216">
      <c r="D473" s="109" t="n"/>
      <c r="E473" s="109" t="n"/>
      <c r="J473" s="109" t="n"/>
      <c r="K473" s="109" t="n"/>
      <c r="L473" s="109" t="n"/>
      <c r="N473" s="109" t="n"/>
      <c r="O473" s="109" t="n"/>
      <c r="P473" s="109" t="n"/>
      <c r="T473" s="109" t="n"/>
      <c r="U473" s="109" t="n"/>
      <c r="V473" s="109" t="n"/>
      <c r="Z473" s="109" t="n"/>
      <c r="AA473" s="109" t="n"/>
      <c r="AB473" s="109" t="n"/>
      <c r="AF473" s="109" t="n"/>
      <c r="AG473" s="109" t="n"/>
      <c r="AH473" s="109" t="n"/>
      <c r="AL473" s="109" t="n"/>
      <c r="AM473" s="109" t="n"/>
      <c r="AN473" s="109" t="n"/>
    </row>
    <row r="474" ht="15.75" customHeight="1" s="216">
      <c r="D474" s="109" t="n"/>
      <c r="E474" s="109" t="n"/>
      <c r="J474" s="109" t="n"/>
      <c r="K474" s="109" t="n"/>
      <c r="L474" s="109" t="n"/>
      <c r="N474" s="109" t="n"/>
      <c r="O474" s="109" t="n"/>
      <c r="P474" s="109" t="n"/>
      <c r="T474" s="109" t="n"/>
      <c r="U474" s="109" t="n"/>
      <c r="V474" s="109" t="n"/>
      <c r="Z474" s="109" t="n"/>
      <c r="AA474" s="109" t="n"/>
      <c r="AB474" s="109" t="n"/>
      <c r="AF474" s="109" t="n"/>
      <c r="AG474" s="109" t="n"/>
      <c r="AH474" s="109" t="n"/>
      <c r="AL474" s="109" t="n"/>
      <c r="AM474" s="109" t="n"/>
      <c r="AN474" s="109" t="n"/>
    </row>
    <row r="475" ht="15.75" customHeight="1" s="216">
      <c r="D475" s="109" t="n"/>
      <c r="E475" s="109" t="n"/>
      <c r="J475" s="109" t="n"/>
      <c r="K475" s="109" t="n"/>
      <c r="L475" s="109" t="n"/>
      <c r="N475" s="109" t="n"/>
      <c r="O475" s="109" t="n"/>
      <c r="P475" s="109" t="n"/>
      <c r="T475" s="109" t="n"/>
      <c r="U475" s="109" t="n"/>
      <c r="V475" s="109" t="n"/>
      <c r="Z475" s="109" t="n"/>
      <c r="AA475" s="109" t="n"/>
      <c r="AB475" s="109" t="n"/>
      <c r="AF475" s="109" t="n"/>
      <c r="AG475" s="109" t="n"/>
      <c r="AH475" s="109" t="n"/>
      <c r="AL475" s="109" t="n"/>
      <c r="AM475" s="109" t="n"/>
      <c r="AN475" s="109" t="n"/>
    </row>
    <row r="476" ht="15.75" customHeight="1" s="216">
      <c r="D476" s="109" t="n"/>
      <c r="E476" s="109" t="n"/>
      <c r="J476" s="109" t="n"/>
      <c r="K476" s="109" t="n"/>
      <c r="L476" s="109" t="n"/>
      <c r="N476" s="109" t="n"/>
      <c r="O476" s="109" t="n"/>
      <c r="P476" s="109" t="n"/>
      <c r="T476" s="109" t="n"/>
      <c r="U476" s="109" t="n"/>
      <c r="V476" s="109" t="n"/>
      <c r="Z476" s="109" t="n"/>
      <c r="AA476" s="109" t="n"/>
      <c r="AB476" s="109" t="n"/>
      <c r="AF476" s="109" t="n"/>
      <c r="AG476" s="109" t="n"/>
      <c r="AH476" s="109" t="n"/>
      <c r="AL476" s="109" t="n"/>
      <c r="AM476" s="109" t="n"/>
      <c r="AN476" s="109" t="n"/>
    </row>
    <row r="477" ht="15.75" customHeight="1" s="216">
      <c r="D477" s="109" t="n"/>
      <c r="E477" s="109" t="n"/>
      <c r="J477" s="109" t="n"/>
      <c r="K477" s="109" t="n"/>
      <c r="L477" s="109" t="n"/>
      <c r="N477" s="109" t="n"/>
      <c r="O477" s="109" t="n"/>
      <c r="P477" s="109" t="n"/>
      <c r="T477" s="109" t="n"/>
      <c r="U477" s="109" t="n"/>
      <c r="V477" s="109" t="n"/>
      <c r="Z477" s="109" t="n"/>
      <c r="AA477" s="109" t="n"/>
      <c r="AB477" s="109" t="n"/>
      <c r="AF477" s="109" t="n"/>
      <c r="AG477" s="109" t="n"/>
      <c r="AH477" s="109" t="n"/>
      <c r="AL477" s="109" t="n"/>
      <c r="AM477" s="109" t="n"/>
      <c r="AN477" s="109" t="n"/>
    </row>
    <row r="478" ht="15.75" customHeight="1" s="216">
      <c r="D478" s="109" t="n"/>
      <c r="E478" s="109" t="n"/>
      <c r="J478" s="109" t="n"/>
      <c r="K478" s="109" t="n"/>
      <c r="L478" s="109" t="n"/>
      <c r="N478" s="109" t="n"/>
      <c r="O478" s="109" t="n"/>
      <c r="P478" s="109" t="n"/>
      <c r="T478" s="109" t="n"/>
      <c r="U478" s="109" t="n"/>
      <c r="V478" s="109" t="n"/>
      <c r="Z478" s="109" t="n"/>
      <c r="AA478" s="109" t="n"/>
      <c r="AB478" s="109" t="n"/>
      <c r="AF478" s="109" t="n"/>
      <c r="AG478" s="109" t="n"/>
      <c r="AH478" s="109" t="n"/>
      <c r="AL478" s="109" t="n"/>
      <c r="AM478" s="109" t="n"/>
      <c r="AN478" s="109" t="n"/>
    </row>
    <row r="479" ht="15.75" customHeight="1" s="216">
      <c r="D479" s="109" t="n"/>
      <c r="E479" s="109" t="n"/>
      <c r="J479" s="109" t="n"/>
      <c r="K479" s="109" t="n"/>
      <c r="L479" s="109" t="n"/>
      <c r="N479" s="109" t="n"/>
      <c r="O479" s="109" t="n"/>
      <c r="P479" s="109" t="n"/>
      <c r="T479" s="109" t="n"/>
      <c r="U479" s="109" t="n"/>
      <c r="V479" s="109" t="n"/>
      <c r="Z479" s="109" t="n"/>
      <c r="AA479" s="109" t="n"/>
      <c r="AB479" s="109" t="n"/>
      <c r="AF479" s="109" t="n"/>
      <c r="AG479" s="109" t="n"/>
      <c r="AH479" s="109" t="n"/>
      <c r="AL479" s="109" t="n"/>
      <c r="AM479" s="109" t="n"/>
      <c r="AN479" s="109" t="n"/>
    </row>
    <row r="480" ht="15.75" customHeight="1" s="216">
      <c r="D480" s="109" t="n"/>
      <c r="E480" s="109" t="n"/>
      <c r="J480" s="109" t="n"/>
      <c r="K480" s="109" t="n"/>
      <c r="L480" s="109" t="n"/>
      <c r="N480" s="109" t="n"/>
      <c r="O480" s="109" t="n"/>
      <c r="P480" s="109" t="n"/>
      <c r="T480" s="109" t="n"/>
      <c r="U480" s="109" t="n"/>
      <c r="V480" s="109" t="n"/>
      <c r="Z480" s="109" t="n"/>
      <c r="AA480" s="109" t="n"/>
      <c r="AB480" s="109" t="n"/>
      <c r="AF480" s="109" t="n"/>
      <c r="AG480" s="109" t="n"/>
      <c r="AH480" s="109" t="n"/>
      <c r="AL480" s="109" t="n"/>
      <c r="AM480" s="109" t="n"/>
      <c r="AN480" s="109" t="n"/>
    </row>
    <row r="481" ht="15.75" customHeight="1" s="216">
      <c r="D481" s="109" t="n"/>
      <c r="E481" s="109" t="n"/>
      <c r="J481" s="109" t="n"/>
      <c r="K481" s="109" t="n"/>
      <c r="L481" s="109" t="n"/>
      <c r="N481" s="109" t="n"/>
      <c r="O481" s="109" t="n"/>
      <c r="P481" s="109" t="n"/>
      <c r="T481" s="109" t="n"/>
      <c r="U481" s="109" t="n"/>
      <c r="V481" s="109" t="n"/>
      <c r="Z481" s="109" t="n"/>
      <c r="AA481" s="109" t="n"/>
      <c r="AB481" s="109" t="n"/>
      <c r="AF481" s="109" t="n"/>
      <c r="AG481" s="109" t="n"/>
      <c r="AH481" s="109" t="n"/>
      <c r="AL481" s="109" t="n"/>
      <c r="AM481" s="109" t="n"/>
      <c r="AN481" s="109" t="n"/>
    </row>
    <row r="482" ht="15.75" customHeight="1" s="216">
      <c r="D482" s="109" t="n"/>
      <c r="E482" s="109" t="n"/>
      <c r="J482" s="109" t="n"/>
      <c r="K482" s="109" t="n"/>
      <c r="L482" s="109" t="n"/>
      <c r="N482" s="109" t="n"/>
      <c r="O482" s="109" t="n"/>
      <c r="P482" s="109" t="n"/>
      <c r="T482" s="109" t="n"/>
      <c r="U482" s="109" t="n"/>
      <c r="V482" s="109" t="n"/>
      <c r="Z482" s="109" t="n"/>
      <c r="AA482" s="109" t="n"/>
      <c r="AB482" s="109" t="n"/>
      <c r="AF482" s="109" t="n"/>
      <c r="AG482" s="109" t="n"/>
      <c r="AH482" s="109" t="n"/>
      <c r="AL482" s="109" t="n"/>
      <c r="AM482" s="109" t="n"/>
      <c r="AN482" s="109" t="n"/>
    </row>
    <row r="483" ht="15.75" customHeight="1" s="216">
      <c r="D483" s="109" t="n"/>
      <c r="E483" s="109" t="n"/>
      <c r="J483" s="109" t="n"/>
      <c r="K483" s="109" t="n"/>
      <c r="L483" s="109" t="n"/>
      <c r="N483" s="109" t="n"/>
      <c r="O483" s="109" t="n"/>
      <c r="P483" s="109" t="n"/>
      <c r="T483" s="109" t="n"/>
      <c r="U483" s="109" t="n"/>
      <c r="V483" s="109" t="n"/>
      <c r="Z483" s="109" t="n"/>
      <c r="AA483" s="109" t="n"/>
      <c r="AB483" s="109" t="n"/>
      <c r="AF483" s="109" t="n"/>
      <c r="AG483" s="109" t="n"/>
      <c r="AH483" s="109" t="n"/>
      <c r="AL483" s="109" t="n"/>
      <c r="AM483" s="109" t="n"/>
      <c r="AN483" s="109" t="n"/>
    </row>
    <row r="484" ht="15.75" customHeight="1" s="216">
      <c r="D484" s="109" t="n"/>
      <c r="E484" s="109" t="n"/>
      <c r="J484" s="109" t="n"/>
      <c r="K484" s="109" t="n"/>
      <c r="L484" s="109" t="n"/>
      <c r="N484" s="109" t="n"/>
      <c r="O484" s="109" t="n"/>
      <c r="P484" s="109" t="n"/>
      <c r="T484" s="109" t="n"/>
      <c r="U484" s="109" t="n"/>
      <c r="V484" s="109" t="n"/>
      <c r="Z484" s="109" t="n"/>
      <c r="AA484" s="109" t="n"/>
      <c r="AB484" s="109" t="n"/>
      <c r="AF484" s="109" t="n"/>
      <c r="AG484" s="109" t="n"/>
      <c r="AH484" s="109" t="n"/>
      <c r="AL484" s="109" t="n"/>
      <c r="AM484" s="109" t="n"/>
      <c r="AN484" s="109" t="n"/>
    </row>
    <row r="485" ht="15.75" customHeight="1" s="216">
      <c r="D485" s="109" t="n"/>
      <c r="E485" s="109" t="n"/>
      <c r="J485" s="109" t="n"/>
      <c r="K485" s="109" t="n"/>
      <c r="L485" s="109" t="n"/>
      <c r="N485" s="109" t="n"/>
      <c r="O485" s="109" t="n"/>
      <c r="P485" s="109" t="n"/>
      <c r="T485" s="109" t="n"/>
      <c r="U485" s="109" t="n"/>
      <c r="V485" s="109" t="n"/>
      <c r="Z485" s="109" t="n"/>
      <c r="AA485" s="109" t="n"/>
      <c r="AB485" s="109" t="n"/>
      <c r="AF485" s="109" t="n"/>
      <c r="AG485" s="109" t="n"/>
      <c r="AH485" s="109" t="n"/>
      <c r="AL485" s="109" t="n"/>
      <c r="AM485" s="109" t="n"/>
      <c r="AN485" s="109" t="n"/>
    </row>
    <row r="486" ht="15.75" customHeight="1" s="216">
      <c r="D486" s="109" t="n"/>
      <c r="E486" s="109" t="n"/>
      <c r="J486" s="109" t="n"/>
      <c r="K486" s="109" t="n"/>
      <c r="L486" s="109" t="n"/>
      <c r="N486" s="109" t="n"/>
      <c r="O486" s="109" t="n"/>
      <c r="P486" s="109" t="n"/>
      <c r="T486" s="109" t="n"/>
      <c r="U486" s="109" t="n"/>
      <c r="V486" s="109" t="n"/>
      <c r="Z486" s="109" t="n"/>
      <c r="AA486" s="109" t="n"/>
      <c r="AB486" s="109" t="n"/>
      <c r="AF486" s="109" t="n"/>
      <c r="AG486" s="109" t="n"/>
      <c r="AH486" s="109" t="n"/>
      <c r="AL486" s="109" t="n"/>
      <c r="AM486" s="109" t="n"/>
      <c r="AN486" s="109" t="n"/>
    </row>
    <row r="487" ht="15.75" customHeight="1" s="216">
      <c r="D487" s="109" t="n"/>
      <c r="E487" s="109" t="n"/>
      <c r="J487" s="109" t="n"/>
      <c r="K487" s="109" t="n"/>
      <c r="L487" s="109" t="n"/>
      <c r="N487" s="109" t="n"/>
      <c r="O487" s="109" t="n"/>
      <c r="P487" s="109" t="n"/>
      <c r="T487" s="109" t="n"/>
      <c r="U487" s="109" t="n"/>
      <c r="V487" s="109" t="n"/>
      <c r="Z487" s="109" t="n"/>
      <c r="AA487" s="109" t="n"/>
      <c r="AB487" s="109" t="n"/>
      <c r="AF487" s="109" t="n"/>
      <c r="AG487" s="109" t="n"/>
      <c r="AH487" s="109" t="n"/>
      <c r="AL487" s="109" t="n"/>
      <c r="AM487" s="109" t="n"/>
      <c r="AN487" s="109" t="n"/>
    </row>
    <row r="488" ht="15.75" customHeight="1" s="216">
      <c r="D488" s="109" t="n"/>
      <c r="E488" s="109" t="n"/>
      <c r="J488" s="109" t="n"/>
      <c r="K488" s="109" t="n"/>
      <c r="L488" s="109" t="n"/>
      <c r="N488" s="109" t="n"/>
      <c r="O488" s="109" t="n"/>
      <c r="P488" s="109" t="n"/>
      <c r="T488" s="109" t="n"/>
      <c r="U488" s="109" t="n"/>
      <c r="V488" s="109" t="n"/>
      <c r="Z488" s="109" t="n"/>
      <c r="AA488" s="109" t="n"/>
      <c r="AB488" s="109" t="n"/>
      <c r="AF488" s="109" t="n"/>
      <c r="AG488" s="109" t="n"/>
      <c r="AH488" s="109" t="n"/>
      <c r="AL488" s="109" t="n"/>
      <c r="AM488" s="109" t="n"/>
      <c r="AN488" s="109" t="n"/>
    </row>
    <row r="489" ht="15.75" customHeight="1" s="216">
      <c r="D489" s="109" t="n"/>
      <c r="E489" s="109" t="n"/>
      <c r="J489" s="109" t="n"/>
      <c r="K489" s="109" t="n"/>
      <c r="L489" s="109" t="n"/>
      <c r="N489" s="109" t="n"/>
      <c r="O489" s="109" t="n"/>
      <c r="P489" s="109" t="n"/>
      <c r="T489" s="109" t="n"/>
      <c r="U489" s="109" t="n"/>
      <c r="V489" s="109" t="n"/>
      <c r="Z489" s="109" t="n"/>
      <c r="AA489" s="109" t="n"/>
      <c r="AB489" s="109" t="n"/>
      <c r="AF489" s="109" t="n"/>
      <c r="AG489" s="109" t="n"/>
      <c r="AH489" s="109" t="n"/>
      <c r="AL489" s="109" t="n"/>
      <c r="AM489" s="109" t="n"/>
      <c r="AN489" s="109" t="n"/>
    </row>
    <row r="490" ht="15.75" customHeight="1" s="216">
      <c r="D490" s="109" t="n"/>
      <c r="E490" s="109" t="n"/>
      <c r="J490" s="109" t="n"/>
      <c r="K490" s="109" t="n"/>
      <c r="L490" s="109" t="n"/>
      <c r="N490" s="109" t="n"/>
      <c r="O490" s="109" t="n"/>
      <c r="P490" s="109" t="n"/>
      <c r="T490" s="109" t="n"/>
      <c r="U490" s="109" t="n"/>
      <c r="V490" s="109" t="n"/>
      <c r="Z490" s="109" t="n"/>
      <c r="AA490" s="109" t="n"/>
      <c r="AB490" s="109" t="n"/>
      <c r="AF490" s="109" t="n"/>
      <c r="AG490" s="109" t="n"/>
      <c r="AH490" s="109" t="n"/>
      <c r="AL490" s="109" t="n"/>
      <c r="AM490" s="109" t="n"/>
      <c r="AN490" s="109" t="n"/>
    </row>
    <row r="491" ht="15.75" customHeight="1" s="216">
      <c r="D491" s="109" t="n"/>
      <c r="E491" s="109" t="n"/>
      <c r="J491" s="109" t="n"/>
      <c r="K491" s="109" t="n"/>
      <c r="L491" s="109" t="n"/>
      <c r="N491" s="109" t="n"/>
      <c r="O491" s="109" t="n"/>
      <c r="P491" s="109" t="n"/>
      <c r="T491" s="109" t="n"/>
      <c r="U491" s="109" t="n"/>
      <c r="V491" s="109" t="n"/>
      <c r="Z491" s="109" t="n"/>
      <c r="AA491" s="109" t="n"/>
      <c r="AB491" s="109" t="n"/>
      <c r="AF491" s="109" t="n"/>
      <c r="AG491" s="109" t="n"/>
      <c r="AH491" s="109" t="n"/>
      <c r="AL491" s="109" t="n"/>
      <c r="AM491" s="109" t="n"/>
      <c r="AN491" s="109" t="n"/>
    </row>
    <row r="492" ht="15.75" customHeight="1" s="216">
      <c r="D492" s="109" t="n"/>
      <c r="E492" s="109" t="n"/>
      <c r="J492" s="109" t="n"/>
      <c r="K492" s="109" t="n"/>
      <c r="L492" s="109" t="n"/>
      <c r="N492" s="109" t="n"/>
      <c r="O492" s="109" t="n"/>
      <c r="P492" s="109" t="n"/>
      <c r="T492" s="109" t="n"/>
      <c r="U492" s="109" t="n"/>
      <c r="V492" s="109" t="n"/>
      <c r="Z492" s="109" t="n"/>
      <c r="AA492" s="109" t="n"/>
      <c r="AB492" s="109" t="n"/>
      <c r="AF492" s="109" t="n"/>
      <c r="AG492" s="109" t="n"/>
      <c r="AH492" s="109" t="n"/>
      <c r="AL492" s="109" t="n"/>
      <c r="AM492" s="109" t="n"/>
      <c r="AN492" s="109" t="n"/>
    </row>
    <row r="493" ht="15.75" customHeight="1" s="216">
      <c r="D493" s="109" t="n"/>
      <c r="E493" s="109" t="n"/>
      <c r="J493" s="109" t="n"/>
      <c r="K493" s="109" t="n"/>
      <c r="L493" s="109" t="n"/>
      <c r="N493" s="109" t="n"/>
      <c r="O493" s="109" t="n"/>
      <c r="P493" s="109" t="n"/>
      <c r="T493" s="109" t="n"/>
      <c r="U493" s="109" t="n"/>
      <c r="V493" s="109" t="n"/>
      <c r="Z493" s="109" t="n"/>
      <c r="AA493" s="109" t="n"/>
      <c r="AB493" s="109" t="n"/>
      <c r="AF493" s="109" t="n"/>
      <c r="AG493" s="109" t="n"/>
      <c r="AH493" s="109" t="n"/>
      <c r="AL493" s="109" t="n"/>
      <c r="AM493" s="109" t="n"/>
      <c r="AN493" s="109" t="n"/>
    </row>
    <row r="494" ht="15.75" customHeight="1" s="216">
      <c r="D494" s="109" t="n"/>
      <c r="E494" s="109" t="n"/>
      <c r="J494" s="109" t="n"/>
      <c r="K494" s="109" t="n"/>
      <c r="L494" s="109" t="n"/>
      <c r="N494" s="109" t="n"/>
      <c r="O494" s="109" t="n"/>
      <c r="P494" s="109" t="n"/>
      <c r="T494" s="109" t="n"/>
      <c r="U494" s="109" t="n"/>
      <c r="V494" s="109" t="n"/>
      <c r="Z494" s="109" t="n"/>
      <c r="AA494" s="109" t="n"/>
      <c r="AB494" s="109" t="n"/>
      <c r="AF494" s="109" t="n"/>
      <c r="AG494" s="109" t="n"/>
      <c r="AH494" s="109" t="n"/>
      <c r="AL494" s="109" t="n"/>
      <c r="AM494" s="109" t="n"/>
      <c r="AN494" s="109" t="n"/>
    </row>
    <row r="495" ht="15.75" customHeight="1" s="216">
      <c r="D495" s="109" t="n"/>
      <c r="E495" s="109" t="n"/>
      <c r="J495" s="109" t="n"/>
      <c r="K495" s="109" t="n"/>
      <c r="L495" s="109" t="n"/>
      <c r="N495" s="109" t="n"/>
      <c r="O495" s="109" t="n"/>
      <c r="P495" s="109" t="n"/>
      <c r="T495" s="109" t="n"/>
      <c r="U495" s="109" t="n"/>
      <c r="V495" s="109" t="n"/>
      <c r="Z495" s="109" t="n"/>
      <c r="AA495" s="109" t="n"/>
      <c r="AB495" s="109" t="n"/>
      <c r="AF495" s="109" t="n"/>
      <c r="AG495" s="109" t="n"/>
      <c r="AH495" s="109" t="n"/>
      <c r="AL495" s="109" t="n"/>
      <c r="AM495" s="109" t="n"/>
      <c r="AN495" s="109" t="n"/>
    </row>
    <row r="496" ht="15.75" customHeight="1" s="216">
      <c r="D496" s="109" t="n"/>
      <c r="E496" s="109" t="n"/>
      <c r="J496" s="109" t="n"/>
      <c r="K496" s="109" t="n"/>
      <c r="L496" s="109" t="n"/>
      <c r="N496" s="109" t="n"/>
      <c r="O496" s="109" t="n"/>
      <c r="P496" s="109" t="n"/>
      <c r="T496" s="109" t="n"/>
      <c r="U496" s="109" t="n"/>
      <c r="V496" s="109" t="n"/>
      <c r="Z496" s="109" t="n"/>
      <c r="AA496" s="109" t="n"/>
      <c r="AB496" s="109" t="n"/>
      <c r="AF496" s="109" t="n"/>
      <c r="AG496" s="109" t="n"/>
      <c r="AH496" s="109" t="n"/>
      <c r="AL496" s="109" t="n"/>
      <c r="AM496" s="109" t="n"/>
      <c r="AN496" s="109" t="n"/>
    </row>
    <row r="497" ht="15.75" customHeight="1" s="216">
      <c r="D497" s="109" t="n"/>
      <c r="E497" s="109" t="n"/>
      <c r="J497" s="109" t="n"/>
      <c r="K497" s="109" t="n"/>
      <c r="L497" s="109" t="n"/>
      <c r="N497" s="109" t="n"/>
      <c r="O497" s="109" t="n"/>
      <c r="P497" s="109" t="n"/>
      <c r="T497" s="109" t="n"/>
      <c r="U497" s="109" t="n"/>
      <c r="V497" s="109" t="n"/>
      <c r="Z497" s="109" t="n"/>
      <c r="AA497" s="109" t="n"/>
      <c r="AB497" s="109" t="n"/>
      <c r="AF497" s="109" t="n"/>
      <c r="AG497" s="109" t="n"/>
      <c r="AH497" s="109" t="n"/>
      <c r="AL497" s="109" t="n"/>
      <c r="AM497" s="109" t="n"/>
      <c r="AN497" s="109" t="n"/>
    </row>
    <row r="498" ht="15.75" customHeight="1" s="216">
      <c r="D498" s="109" t="n"/>
      <c r="E498" s="109" t="n"/>
      <c r="J498" s="109" t="n"/>
      <c r="K498" s="109" t="n"/>
      <c r="L498" s="109" t="n"/>
      <c r="N498" s="109" t="n"/>
      <c r="O498" s="109" t="n"/>
      <c r="P498" s="109" t="n"/>
      <c r="T498" s="109" t="n"/>
      <c r="U498" s="109" t="n"/>
      <c r="V498" s="109" t="n"/>
      <c r="Z498" s="109" t="n"/>
      <c r="AA498" s="109" t="n"/>
      <c r="AB498" s="109" t="n"/>
      <c r="AF498" s="109" t="n"/>
      <c r="AG498" s="109" t="n"/>
      <c r="AH498" s="109" t="n"/>
      <c r="AL498" s="109" t="n"/>
      <c r="AM498" s="109" t="n"/>
      <c r="AN498" s="109" t="n"/>
    </row>
    <row r="499" ht="15.75" customHeight="1" s="216">
      <c r="D499" s="109" t="n"/>
      <c r="E499" s="109" t="n"/>
      <c r="J499" s="109" t="n"/>
      <c r="K499" s="109" t="n"/>
      <c r="L499" s="109" t="n"/>
      <c r="N499" s="109" t="n"/>
      <c r="O499" s="109" t="n"/>
      <c r="P499" s="109" t="n"/>
      <c r="T499" s="109" t="n"/>
      <c r="U499" s="109" t="n"/>
      <c r="V499" s="109" t="n"/>
      <c r="Z499" s="109" t="n"/>
      <c r="AA499" s="109" t="n"/>
      <c r="AB499" s="109" t="n"/>
      <c r="AF499" s="109" t="n"/>
      <c r="AG499" s="109" t="n"/>
      <c r="AH499" s="109" t="n"/>
      <c r="AL499" s="109" t="n"/>
      <c r="AM499" s="109" t="n"/>
      <c r="AN499" s="109" t="n"/>
    </row>
    <row r="500" ht="15.75" customHeight="1" s="216">
      <c r="D500" s="109" t="n"/>
      <c r="E500" s="109" t="n"/>
      <c r="J500" s="109" t="n"/>
      <c r="K500" s="109" t="n"/>
      <c r="L500" s="109" t="n"/>
      <c r="N500" s="109" t="n"/>
      <c r="O500" s="109" t="n"/>
      <c r="P500" s="109" t="n"/>
      <c r="T500" s="109" t="n"/>
      <c r="U500" s="109" t="n"/>
      <c r="V500" s="109" t="n"/>
      <c r="Z500" s="109" t="n"/>
      <c r="AA500" s="109" t="n"/>
      <c r="AB500" s="109" t="n"/>
      <c r="AF500" s="109" t="n"/>
      <c r="AG500" s="109" t="n"/>
      <c r="AH500" s="109" t="n"/>
      <c r="AL500" s="109" t="n"/>
      <c r="AM500" s="109" t="n"/>
      <c r="AN500" s="109" t="n"/>
    </row>
    <row r="501" ht="15.75" customHeight="1" s="216"/>
    <row r="502" ht="15.75" customHeight="1" s="216"/>
    <row r="503" ht="15.75" customHeight="1" s="216"/>
    <row r="504" ht="15.75" customHeight="1" s="216"/>
    <row r="505" ht="15.75" customHeight="1" s="216"/>
    <row r="506" ht="15.75" customHeight="1" s="216"/>
    <row r="507" ht="15.75" customHeight="1" s="216"/>
    <row r="508" ht="15.75" customHeight="1" s="216"/>
    <row r="509" ht="15.75" customHeight="1" s="216"/>
    <row r="510" ht="15.75" customHeight="1" s="216"/>
    <row r="511" ht="15.75" customHeight="1" s="216"/>
    <row r="512" ht="15.75" customHeight="1" s="216"/>
    <row r="513" ht="15.75" customHeight="1" s="216"/>
    <row r="514" ht="15.75" customHeight="1" s="216"/>
    <row r="515" ht="15.75" customHeight="1" s="216"/>
    <row r="516" ht="15.75" customHeight="1" s="216"/>
    <row r="517" ht="15.75" customHeight="1" s="216"/>
    <row r="518" ht="15.75" customHeight="1" s="216"/>
    <row r="519" ht="15.75" customHeight="1" s="216"/>
    <row r="520" ht="15.75" customHeight="1" s="216"/>
    <row r="521" ht="15.75" customHeight="1" s="216"/>
    <row r="522" ht="15.75" customHeight="1" s="216"/>
    <row r="523" ht="15.75" customHeight="1" s="216"/>
    <row r="524" ht="15.75" customHeight="1" s="216"/>
    <row r="525" ht="15.75" customHeight="1" s="216"/>
    <row r="526" ht="15.75" customHeight="1" s="216"/>
    <row r="527" ht="15.75" customHeight="1" s="216"/>
    <row r="528" ht="15.75" customHeight="1" s="216"/>
    <row r="529" ht="15.75" customHeight="1" s="216"/>
    <row r="530" ht="15.75" customHeight="1" s="216"/>
    <row r="531" ht="15.75" customHeight="1" s="216"/>
    <row r="532" ht="15.75" customHeight="1" s="216"/>
    <row r="533" ht="15.75" customHeight="1" s="216"/>
    <row r="534" ht="15.75" customHeight="1" s="216"/>
    <row r="535" ht="15.75" customHeight="1" s="216"/>
    <row r="536" ht="15.75" customHeight="1" s="216"/>
    <row r="537" ht="15.75" customHeight="1" s="216"/>
    <row r="538" ht="15.75" customHeight="1" s="216"/>
    <row r="539" ht="15.75" customHeight="1" s="216"/>
    <row r="540" ht="15.75" customHeight="1" s="216"/>
    <row r="541" ht="15.75" customHeight="1" s="216"/>
    <row r="542" ht="15.75" customHeight="1" s="216"/>
    <row r="543" ht="15.75" customHeight="1" s="216"/>
    <row r="544" ht="15.75" customHeight="1" s="216"/>
    <row r="545" ht="15.75" customHeight="1" s="216"/>
    <row r="546" ht="15.75" customHeight="1" s="216"/>
    <row r="547" ht="15.75" customHeight="1" s="216"/>
    <row r="548" ht="15.75" customHeight="1" s="216"/>
    <row r="549" ht="15.75" customHeight="1" s="216"/>
    <row r="550" ht="15.75" customHeight="1" s="216"/>
    <row r="551" ht="15.75" customHeight="1" s="216"/>
    <row r="552" ht="15.75" customHeight="1" s="216"/>
    <row r="553" ht="15.75" customHeight="1" s="216"/>
    <row r="554" ht="15.75" customHeight="1" s="216"/>
    <row r="555" ht="15.75" customHeight="1" s="216"/>
    <row r="556" ht="15.75" customHeight="1" s="216"/>
    <row r="557" ht="15.75" customHeight="1" s="216"/>
    <row r="558" ht="15.75" customHeight="1" s="216"/>
    <row r="559" ht="15.75" customHeight="1" s="216"/>
    <row r="560" ht="15.75" customHeight="1" s="216"/>
    <row r="561" ht="15.75" customHeight="1" s="216"/>
    <row r="562" ht="15.75" customHeight="1" s="216"/>
    <row r="563" ht="15.75" customHeight="1" s="216"/>
    <row r="564" ht="15.75" customHeight="1" s="216"/>
    <row r="565" ht="15.75" customHeight="1" s="216"/>
    <row r="566" ht="15.75" customHeight="1" s="216"/>
    <row r="567" ht="15.75" customHeight="1" s="216"/>
    <row r="568" ht="15.75" customHeight="1" s="216"/>
    <row r="569" ht="15.75" customHeight="1" s="216"/>
    <row r="570" ht="15.75" customHeight="1" s="216"/>
    <row r="571" ht="15.75" customHeight="1" s="216"/>
    <row r="572" ht="15.75" customHeight="1" s="216"/>
    <row r="573" ht="15.75" customHeight="1" s="216"/>
    <row r="574" ht="15.75" customHeight="1" s="216"/>
    <row r="575" ht="15.75" customHeight="1" s="216"/>
    <row r="576" ht="15.75" customHeight="1" s="216"/>
    <row r="577" ht="15.75" customHeight="1" s="216"/>
    <row r="578" ht="15.75" customHeight="1" s="216"/>
    <row r="579" ht="15.75" customHeight="1" s="216"/>
    <row r="580" ht="15.75" customHeight="1" s="216"/>
    <row r="581" ht="15.75" customHeight="1" s="216"/>
    <row r="582" ht="15.75" customHeight="1" s="216"/>
    <row r="583" ht="15.75" customHeight="1" s="216"/>
    <row r="584" ht="15.75" customHeight="1" s="216"/>
    <row r="585" ht="15.75" customHeight="1" s="216"/>
    <row r="586" ht="15.75" customHeight="1" s="216"/>
    <row r="587" ht="15.75" customHeight="1" s="216"/>
    <row r="588" ht="15.75" customHeight="1" s="216"/>
    <row r="589" ht="15.75" customHeight="1" s="216"/>
    <row r="590" ht="15.75" customHeight="1" s="216"/>
    <row r="591" ht="15.75" customHeight="1" s="216"/>
    <row r="592" ht="15.75" customHeight="1" s="216"/>
    <row r="593" ht="15.75" customHeight="1" s="216"/>
    <row r="594" ht="15.75" customHeight="1" s="216"/>
    <row r="595" ht="15.75" customHeight="1" s="216"/>
    <row r="596" ht="15.75" customHeight="1" s="216"/>
    <row r="597" ht="15.75" customHeight="1" s="216"/>
    <row r="598" ht="15.75" customHeight="1" s="216"/>
    <row r="599" ht="15.75" customHeight="1" s="216"/>
    <row r="600" ht="15.75" customHeight="1" s="216"/>
    <row r="601" ht="15.75" customHeight="1" s="216"/>
    <row r="602" ht="15.75" customHeight="1" s="216"/>
    <row r="603" ht="15.75" customHeight="1" s="216"/>
    <row r="604" ht="15.75" customHeight="1" s="216"/>
    <row r="605" ht="15.75" customHeight="1" s="216"/>
    <row r="606" ht="15.75" customHeight="1" s="216"/>
    <row r="607" ht="15.75" customHeight="1" s="216"/>
    <row r="608" ht="15.75" customHeight="1" s="216"/>
    <row r="609" ht="15.75" customHeight="1" s="216"/>
    <row r="610" ht="15.75" customHeight="1" s="216"/>
    <row r="611" ht="15.75" customHeight="1" s="216"/>
    <row r="612" ht="15.75" customHeight="1" s="216"/>
    <row r="613" ht="15.75" customHeight="1" s="216"/>
    <row r="614" ht="15.75" customHeight="1" s="216"/>
    <row r="615" ht="15.75" customHeight="1" s="216"/>
    <row r="616" ht="15.75" customHeight="1" s="216"/>
    <row r="617" ht="15.75" customHeight="1" s="216"/>
    <row r="618" ht="15.75" customHeight="1" s="216"/>
    <row r="619" ht="15.75" customHeight="1" s="216"/>
    <row r="620" ht="15.75" customHeight="1" s="216"/>
    <row r="621" ht="15.75" customHeight="1" s="216"/>
    <row r="622" ht="15.75" customHeight="1" s="216"/>
    <row r="623" ht="15.75" customHeight="1" s="216"/>
    <row r="624" ht="15.75" customHeight="1" s="216"/>
    <row r="625" ht="15.75" customHeight="1" s="216"/>
    <row r="626" ht="15.75" customHeight="1" s="216"/>
    <row r="627" ht="15.75" customHeight="1" s="216"/>
    <row r="628" ht="15.75" customHeight="1" s="216"/>
    <row r="629" ht="15.75" customHeight="1" s="216"/>
    <row r="630" ht="15.75" customHeight="1" s="216"/>
    <row r="631" ht="15.75" customHeight="1" s="216"/>
    <row r="632" ht="15.75" customHeight="1" s="216"/>
    <row r="633" ht="15.75" customHeight="1" s="216"/>
    <row r="634" ht="15.75" customHeight="1" s="216"/>
    <row r="635" ht="15.75" customHeight="1" s="216"/>
    <row r="636" ht="15.75" customHeight="1" s="216"/>
    <row r="637" ht="15.75" customHeight="1" s="216"/>
    <row r="638" ht="15.75" customHeight="1" s="216"/>
    <row r="639" ht="15.75" customHeight="1" s="216"/>
    <row r="640" ht="15.75" customHeight="1" s="216"/>
    <row r="641" ht="15.75" customHeight="1" s="216"/>
    <row r="642" ht="15.75" customHeight="1" s="216"/>
    <row r="643" ht="15.75" customHeight="1" s="216"/>
    <row r="644" ht="15.75" customHeight="1" s="216"/>
    <row r="645" ht="15.75" customHeight="1" s="216"/>
    <row r="646" ht="15.75" customHeight="1" s="216"/>
    <row r="647" ht="15.75" customHeight="1" s="216"/>
    <row r="648" ht="15.75" customHeight="1" s="216"/>
    <row r="649" ht="15.75" customHeight="1" s="216"/>
    <row r="650" ht="15.75" customHeight="1" s="216"/>
    <row r="651" ht="15.75" customHeight="1" s="216"/>
    <row r="652" ht="15.75" customHeight="1" s="216"/>
    <row r="653" ht="15.75" customHeight="1" s="216"/>
    <row r="654" ht="15.75" customHeight="1" s="216"/>
    <row r="655" ht="15.75" customHeight="1" s="216"/>
    <row r="656" ht="15.75" customHeight="1" s="216"/>
    <row r="657" ht="15.75" customHeight="1" s="216"/>
    <row r="658" ht="15.75" customHeight="1" s="216"/>
    <row r="659" ht="15.75" customHeight="1" s="216"/>
    <row r="660" ht="15.75" customHeight="1" s="216"/>
    <row r="661" ht="15.75" customHeight="1" s="216"/>
    <row r="662" ht="15.75" customHeight="1" s="216"/>
    <row r="663" ht="15.75" customHeight="1" s="216"/>
    <row r="664" ht="15.75" customHeight="1" s="216"/>
    <row r="665" ht="15.75" customHeight="1" s="216"/>
    <row r="666" ht="15.75" customHeight="1" s="216"/>
    <row r="667" ht="15.75" customHeight="1" s="216"/>
    <row r="668" ht="15.75" customHeight="1" s="216"/>
    <row r="669" ht="15.75" customHeight="1" s="216"/>
    <row r="670" ht="15.75" customHeight="1" s="216"/>
    <row r="671" ht="15.75" customHeight="1" s="216"/>
    <row r="672" ht="15.75" customHeight="1" s="216"/>
    <row r="673" ht="15.75" customHeight="1" s="216"/>
    <row r="674" ht="15.75" customHeight="1" s="216"/>
    <row r="675" ht="15.75" customHeight="1" s="216"/>
    <row r="676" ht="15.75" customHeight="1" s="216"/>
    <row r="677" ht="15.75" customHeight="1" s="216"/>
    <row r="678" ht="15.75" customHeight="1" s="216"/>
    <row r="679" ht="15.75" customHeight="1" s="216"/>
    <row r="680" ht="15.75" customHeight="1" s="216"/>
    <row r="681" ht="15.75" customHeight="1" s="216"/>
    <row r="682" ht="15.75" customHeight="1" s="216"/>
    <row r="683" ht="15.75" customHeight="1" s="216"/>
    <row r="684" ht="15.75" customHeight="1" s="216"/>
    <row r="685" ht="15.75" customHeight="1" s="216"/>
    <row r="686" ht="15.75" customHeight="1" s="216"/>
    <row r="687" ht="15.75" customHeight="1" s="216"/>
    <row r="688" ht="15.75" customHeight="1" s="216"/>
    <row r="689" ht="15.75" customHeight="1" s="216"/>
    <row r="690" ht="15.75" customHeight="1" s="216"/>
    <row r="691" ht="15.75" customHeight="1" s="216"/>
    <row r="692" ht="15.75" customHeight="1" s="216"/>
    <row r="693" ht="15.75" customHeight="1" s="216"/>
    <row r="694" ht="15.75" customHeight="1" s="216"/>
    <row r="695" ht="15.75" customHeight="1" s="216"/>
    <row r="696" ht="15.75" customHeight="1" s="216"/>
    <row r="697" ht="15.75" customHeight="1" s="216"/>
    <row r="698" ht="15.75" customHeight="1" s="216"/>
    <row r="699" ht="15.75" customHeight="1" s="216"/>
    <row r="700" ht="15.75" customHeight="1" s="216"/>
    <row r="701" ht="15.75" customHeight="1" s="216"/>
    <row r="702" ht="15.75" customHeight="1" s="216"/>
    <row r="703" ht="15.75" customHeight="1" s="216"/>
    <row r="704" ht="15.75" customHeight="1" s="216"/>
    <row r="705" ht="15.75" customHeight="1" s="216"/>
    <row r="706" ht="15.75" customHeight="1" s="216"/>
    <row r="707" ht="15.75" customHeight="1" s="216"/>
    <row r="708" ht="15.75" customHeight="1" s="216"/>
    <row r="709" ht="15.75" customHeight="1" s="216"/>
    <row r="710" ht="15.75" customHeight="1" s="216"/>
    <row r="711" ht="15.75" customHeight="1" s="216"/>
    <row r="712" ht="15.75" customHeight="1" s="216"/>
    <row r="713" ht="15.75" customHeight="1" s="216"/>
    <row r="714" ht="15.75" customHeight="1" s="216"/>
    <row r="715" ht="15.75" customHeight="1" s="216"/>
    <row r="716" ht="15.75" customHeight="1" s="216"/>
    <row r="717" ht="15.75" customHeight="1" s="216"/>
    <row r="718" ht="15.75" customHeight="1" s="216"/>
    <row r="719" ht="15.75" customHeight="1" s="216"/>
    <row r="720" ht="15.75" customHeight="1" s="216"/>
    <row r="721" ht="15.75" customHeight="1" s="216"/>
    <row r="722" ht="15.75" customHeight="1" s="216"/>
    <row r="723" ht="15.75" customHeight="1" s="216"/>
    <row r="724" ht="15.75" customHeight="1" s="216"/>
    <row r="725" ht="15.75" customHeight="1" s="216"/>
    <row r="726" ht="15.75" customHeight="1" s="216"/>
    <row r="727" ht="15.75" customHeight="1" s="216"/>
    <row r="728" ht="15.75" customHeight="1" s="216"/>
    <row r="729" ht="15.75" customHeight="1" s="216"/>
    <row r="730" ht="15.75" customHeight="1" s="216"/>
    <row r="731" ht="15.75" customHeight="1" s="216"/>
    <row r="732" ht="15.75" customHeight="1" s="216"/>
    <row r="733" ht="15.75" customHeight="1" s="216"/>
    <row r="734" ht="15.75" customHeight="1" s="216"/>
    <row r="735" ht="15.75" customHeight="1" s="216"/>
    <row r="736" ht="15.75" customHeight="1" s="216"/>
    <row r="737" ht="15.75" customHeight="1" s="216"/>
    <row r="738" ht="15.75" customHeight="1" s="216"/>
    <row r="739" ht="15.75" customHeight="1" s="216"/>
    <row r="740" ht="15.75" customHeight="1" s="216"/>
    <row r="741" ht="15.75" customHeight="1" s="216"/>
    <row r="742" ht="15.75" customHeight="1" s="216"/>
    <row r="743" ht="15.75" customHeight="1" s="216"/>
    <row r="744" ht="15.75" customHeight="1" s="216"/>
    <row r="745" ht="15.75" customHeight="1" s="216"/>
    <row r="746" ht="15.75" customHeight="1" s="216"/>
    <row r="747" ht="15.75" customHeight="1" s="216"/>
    <row r="748" ht="15.75" customHeight="1" s="216"/>
    <row r="749" ht="15.75" customHeight="1" s="216"/>
    <row r="750" ht="15.75" customHeight="1" s="216"/>
    <row r="751" ht="15.75" customHeight="1" s="216"/>
    <row r="752" ht="15.75" customHeight="1" s="216"/>
    <row r="753" ht="15.75" customHeight="1" s="216"/>
    <row r="754" ht="15.75" customHeight="1" s="216"/>
    <row r="755" ht="15.75" customHeight="1" s="216"/>
    <row r="756" ht="15.75" customHeight="1" s="216"/>
    <row r="757" ht="15.75" customHeight="1" s="216"/>
    <row r="758" ht="15.75" customHeight="1" s="216"/>
    <row r="759" ht="15.75" customHeight="1" s="216"/>
    <row r="760" ht="15.75" customHeight="1" s="216"/>
    <row r="761" ht="15.75" customHeight="1" s="216"/>
    <row r="762" ht="15.75" customHeight="1" s="216"/>
    <row r="763" ht="15.75" customHeight="1" s="216"/>
    <row r="764" ht="15.75" customHeight="1" s="216"/>
    <row r="765" ht="15.75" customHeight="1" s="216"/>
    <row r="766" ht="15.75" customHeight="1" s="216"/>
    <row r="767" ht="15.75" customHeight="1" s="216"/>
    <row r="768" ht="15.75" customHeight="1" s="216"/>
    <row r="769" ht="15.75" customHeight="1" s="216"/>
    <row r="770" ht="15.75" customHeight="1" s="216"/>
    <row r="771" ht="15.75" customHeight="1" s="216"/>
    <row r="772" ht="15.75" customHeight="1" s="216"/>
    <row r="773" ht="15.75" customHeight="1" s="216"/>
    <row r="774" ht="15.75" customHeight="1" s="216"/>
    <row r="775" ht="15.75" customHeight="1" s="216"/>
    <row r="776" ht="15.75" customHeight="1" s="216"/>
    <row r="777" ht="15.75" customHeight="1" s="216"/>
    <row r="778" ht="15.75" customHeight="1" s="216"/>
    <row r="779" ht="15.75" customHeight="1" s="216"/>
    <row r="780" ht="15.75" customHeight="1" s="216"/>
    <row r="781" ht="15.75" customHeight="1" s="216"/>
    <row r="782" ht="15.75" customHeight="1" s="216"/>
    <row r="783" ht="15.75" customHeight="1" s="216"/>
    <row r="784" ht="15.75" customHeight="1" s="216"/>
    <row r="785" ht="15.75" customHeight="1" s="216"/>
    <row r="786" ht="15.75" customHeight="1" s="216"/>
    <row r="787" ht="15.75" customHeight="1" s="216"/>
    <row r="788" ht="15.75" customHeight="1" s="216"/>
    <row r="789" ht="15.75" customHeight="1" s="216"/>
    <row r="790" ht="15.75" customHeight="1" s="216"/>
    <row r="791" ht="15.75" customHeight="1" s="216"/>
    <row r="792" ht="15.75" customHeight="1" s="216"/>
    <row r="793" ht="15.75" customHeight="1" s="216"/>
    <row r="794" ht="15.75" customHeight="1" s="216"/>
    <row r="795" ht="15.75" customHeight="1" s="216"/>
    <row r="796" ht="15.75" customHeight="1" s="216"/>
    <row r="797" ht="15.75" customHeight="1" s="216"/>
    <row r="798" ht="15.75" customHeight="1" s="216"/>
    <row r="799" ht="15.75" customHeight="1" s="216"/>
    <row r="800" ht="15.75" customHeight="1" s="216"/>
    <row r="801" ht="15.75" customHeight="1" s="216"/>
    <row r="802" ht="15.75" customHeight="1" s="216"/>
    <row r="803" ht="15.75" customHeight="1" s="216"/>
    <row r="804" ht="15.75" customHeight="1" s="216"/>
    <row r="805" ht="15.75" customHeight="1" s="216"/>
    <row r="806" ht="15.75" customHeight="1" s="216"/>
    <row r="807" ht="15.75" customHeight="1" s="216"/>
    <row r="808" ht="15.75" customHeight="1" s="216"/>
    <row r="809" ht="15.75" customHeight="1" s="216"/>
    <row r="810" ht="15.75" customHeight="1" s="216"/>
    <row r="811" ht="15.75" customHeight="1" s="216"/>
    <row r="812" ht="15.75" customHeight="1" s="216"/>
    <row r="813" ht="15.75" customHeight="1" s="216"/>
    <row r="814" ht="15.75" customHeight="1" s="216"/>
    <row r="815" ht="15.75" customHeight="1" s="216"/>
    <row r="816" ht="15.75" customHeight="1" s="216"/>
    <row r="817" ht="15.75" customHeight="1" s="216"/>
    <row r="818" ht="15.75" customHeight="1" s="216"/>
    <row r="819" ht="15.75" customHeight="1" s="216"/>
    <row r="820" ht="15.75" customHeight="1" s="216"/>
    <row r="821" ht="15.75" customHeight="1" s="216"/>
    <row r="822" ht="15.75" customHeight="1" s="216"/>
    <row r="823" ht="15.75" customHeight="1" s="216"/>
    <row r="824" ht="15.75" customHeight="1" s="216"/>
    <row r="825" ht="15.75" customHeight="1" s="216"/>
    <row r="826" ht="15.75" customHeight="1" s="216"/>
    <row r="827" ht="15.75" customHeight="1" s="216"/>
    <row r="828" ht="15.75" customHeight="1" s="216"/>
    <row r="829" ht="15.75" customHeight="1" s="216"/>
    <row r="830" ht="15.75" customHeight="1" s="216"/>
    <row r="831" ht="15.75" customHeight="1" s="216"/>
    <row r="832" ht="15.75" customHeight="1" s="216"/>
    <row r="833" ht="15.75" customHeight="1" s="216"/>
    <row r="834" ht="15.75" customHeight="1" s="216"/>
    <row r="835" ht="15.75" customHeight="1" s="216"/>
    <row r="836" ht="15.75" customHeight="1" s="216"/>
    <row r="837" ht="15.75" customHeight="1" s="216"/>
    <row r="838" ht="15.75" customHeight="1" s="216"/>
    <row r="839" ht="15.75" customHeight="1" s="216"/>
    <row r="840" ht="15.75" customHeight="1" s="216"/>
    <row r="841" ht="15.75" customHeight="1" s="216"/>
    <row r="842" ht="15.75" customHeight="1" s="216"/>
    <row r="843" ht="15.75" customHeight="1" s="216"/>
    <row r="844" ht="15.75" customHeight="1" s="216"/>
    <row r="845" ht="15.75" customHeight="1" s="216"/>
    <row r="846" ht="15.75" customHeight="1" s="216"/>
    <row r="847" ht="15.75" customHeight="1" s="216"/>
    <row r="848" ht="15.75" customHeight="1" s="216"/>
    <row r="849" ht="15.75" customHeight="1" s="216"/>
    <row r="850" ht="15.75" customHeight="1" s="216"/>
    <row r="851" ht="15.75" customHeight="1" s="216"/>
    <row r="852" ht="15.75" customHeight="1" s="216"/>
    <row r="853" ht="15.75" customHeight="1" s="216"/>
    <row r="854" ht="15.75" customHeight="1" s="216"/>
    <row r="855" ht="15.75" customHeight="1" s="216"/>
    <row r="856" ht="15.75" customHeight="1" s="216"/>
    <row r="857" ht="15.75" customHeight="1" s="216"/>
    <row r="858" ht="15.75" customHeight="1" s="216"/>
    <row r="859" ht="15.75" customHeight="1" s="216"/>
    <row r="860" ht="15.75" customHeight="1" s="216"/>
    <row r="861" ht="15.75" customHeight="1" s="216"/>
    <row r="862" ht="15.75" customHeight="1" s="216"/>
    <row r="863" ht="15.75" customHeight="1" s="216"/>
    <row r="864" ht="15.75" customHeight="1" s="216"/>
    <row r="865" ht="15.75" customHeight="1" s="216"/>
    <row r="866" ht="15.75" customHeight="1" s="216"/>
    <row r="867" ht="15.75" customHeight="1" s="216"/>
    <row r="868" ht="15.75" customHeight="1" s="216"/>
    <row r="869" ht="15.75" customHeight="1" s="216"/>
    <row r="870" ht="15.75" customHeight="1" s="216"/>
    <row r="871" ht="15.75" customHeight="1" s="216"/>
    <row r="872" ht="15.75" customHeight="1" s="216"/>
    <row r="873" ht="15.75" customHeight="1" s="216"/>
    <row r="874" ht="15.75" customHeight="1" s="216"/>
    <row r="875" ht="15.75" customHeight="1" s="216"/>
    <row r="876" ht="15.75" customHeight="1" s="216"/>
    <row r="877" ht="15.75" customHeight="1" s="216"/>
    <row r="878" ht="15.75" customHeight="1" s="216"/>
    <row r="879" ht="15.75" customHeight="1" s="216"/>
    <row r="880" ht="15.75" customHeight="1" s="216"/>
    <row r="881" ht="15.75" customHeight="1" s="216"/>
    <row r="882" ht="15.75" customHeight="1" s="216"/>
    <row r="883" ht="15.75" customHeight="1" s="216"/>
    <row r="884" ht="15.75" customHeight="1" s="216"/>
    <row r="885" ht="15.75" customHeight="1" s="216"/>
    <row r="886" ht="15.75" customHeight="1" s="216"/>
    <row r="887" ht="15.75" customHeight="1" s="216"/>
    <row r="888" ht="15.75" customHeight="1" s="216"/>
    <row r="889" ht="15.75" customHeight="1" s="216"/>
    <row r="890" ht="15.75" customHeight="1" s="216"/>
    <row r="891" ht="15.75" customHeight="1" s="216"/>
    <row r="892" ht="15.75" customHeight="1" s="216"/>
    <row r="893" ht="15.75" customHeight="1" s="216"/>
    <row r="894" ht="15.75" customHeight="1" s="216"/>
    <row r="895" ht="15.75" customHeight="1" s="216"/>
    <row r="896" ht="15.75" customHeight="1" s="216"/>
    <row r="897" ht="15.75" customHeight="1" s="216"/>
    <row r="898" ht="15.75" customHeight="1" s="216"/>
    <row r="899" ht="15.75" customHeight="1" s="216"/>
    <row r="900" ht="15.75" customHeight="1" s="216"/>
    <row r="901" ht="15.75" customHeight="1" s="216"/>
    <row r="902" ht="15.75" customHeight="1" s="216"/>
    <row r="903" ht="15.75" customHeight="1" s="216"/>
    <row r="904" ht="15.75" customHeight="1" s="216"/>
    <row r="905" ht="15.75" customHeight="1" s="216"/>
    <row r="906" ht="15.75" customHeight="1" s="216"/>
    <row r="907" ht="15.75" customHeight="1" s="216"/>
    <row r="908" ht="15.75" customHeight="1" s="216"/>
    <row r="909" ht="15.75" customHeight="1" s="216"/>
    <row r="910" ht="15.75" customHeight="1" s="216"/>
    <row r="911" ht="15.75" customHeight="1" s="216"/>
    <row r="912" ht="15.75" customHeight="1" s="216"/>
    <row r="913" ht="15.75" customHeight="1" s="216"/>
    <row r="914" ht="15.75" customHeight="1" s="216"/>
    <row r="915" ht="15.75" customHeight="1" s="216"/>
    <row r="916" ht="15.75" customHeight="1" s="216"/>
    <row r="917" ht="15.75" customHeight="1" s="216"/>
    <row r="918" ht="15.75" customHeight="1" s="216"/>
    <row r="919" ht="15.75" customHeight="1" s="216"/>
    <row r="920" ht="15.75" customHeight="1" s="216"/>
    <row r="921" ht="15.75" customHeight="1" s="216"/>
    <row r="922" ht="15.75" customHeight="1" s="216"/>
    <row r="923" ht="15.75" customHeight="1" s="216"/>
    <row r="924" ht="15.75" customHeight="1" s="216"/>
    <row r="925" ht="15.75" customHeight="1" s="216"/>
    <row r="926" ht="15.75" customHeight="1" s="216"/>
    <row r="927" ht="15.75" customHeight="1" s="216"/>
    <row r="928" ht="15.75" customHeight="1" s="216"/>
    <row r="929" ht="15.75" customHeight="1" s="216"/>
    <row r="930" ht="15.75" customHeight="1" s="216"/>
    <row r="931" ht="15.75" customHeight="1" s="216"/>
    <row r="932" ht="15.75" customHeight="1" s="216"/>
    <row r="933" ht="15.75" customHeight="1" s="216"/>
    <row r="934" ht="15.75" customHeight="1" s="216"/>
    <row r="935" ht="15.75" customHeight="1" s="216"/>
    <row r="936" ht="15.75" customHeight="1" s="216"/>
    <row r="937" ht="15.75" customHeight="1" s="216"/>
    <row r="938" ht="15.75" customHeight="1" s="216"/>
    <row r="939" ht="15.75" customHeight="1" s="216"/>
    <row r="940" ht="15.75" customHeight="1" s="216"/>
    <row r="941" ht="15.75" customHeight="1" s="216"/>
    <row r="942" ht="15.75" customHeight="1" s="216"/>
    <row r="943" ht="15.75" customHeight="1" s="216"/>
    <row r="944" ht="15.75" customHeight="1" s="216"/>
    <row r="945" ht="15.75" customHeight="1" s="216"/>
    <row r="946" ht="15.75" customHeight="1" s="216"/>
    <row r="947" ht="15.75" customHeight="1" s="216"/>
    <row r="948" ht="15.75" customHeight="1" s="216"/>
    <row r="949" ht="15.75" customHeight="1" s="216"/>
    <row r="950" ht="15.75" customHeight="1" s="216"/>
    <row r="951" ht="15.75" customHeight="1" s="216"/>
    <row r="952" ht="15.75" customHeight="1" s="216"/>
    <row r="953" ht="15.75" customHeight="1" s="216"/>
    <row r="954" ht="15.75" customHeight="1" s="216"/>
    <row r="955" ht="15.75" customHeight="1" s="216"/>
    <row r="956" ht="15.75" customHeight="1" s="216"/>
    <row r="957" ht="15.75" customHeight="1" s="216"/>
    <row r="958" ht="15.75" customHeight="1" s="216"/>
    <row r="959" ht="15.75" customHeight="1" s="216"/>
    <row r="960" ht="15.75" customHeight="1" s="216"/>
    <row r="961" ht="15.75" customHeight="1" s="216"/>
    <row r="962" ht="15.75" customHeight="1" s="216"/>
    <row r="963" ht="15.75" customHeight="1" s="216"/>
    <row r="964" ht="15.75" customHeight="1" s="216"/>
    <row r="965" ht="15.75" customHeight="1" s="216"/>
    <row r="966" ht="15.75" customHeight="1" s="216"/>
    <row r="967" ht="15.75" customHeight="1" s="216"/>
    <row r="968" ht="15.75" customHeight="1" s="216"/>
    <row r="969" ht="15.75" customHeight="1" s="216"/>
    <row r="970" ht="15.75" customHeight="1" s="216"/>
    <row r="971" ht="15.75" customHeight="1" s="216"/>
    <row r="972" ht="15.75" customHeight="1" s="216"/>
    <row r="973" ht="15.75" customHeight="1" s="216"/>
    <row r="974" ht="15.75" customHeight="1" s="216"/>
    <row r="975" ht="15.75" customHeight="1" s="216"/>
    <row r="976" ht="15.75" customHeight="1" s="216"/>
    <row r="977" ht="15.75" customHeight="1" s="216"/>
    <row r="978" ht="15.75" customHeight="1" s="216"/>
    <row r="979" ht="15.75" customHeight="1" s="216"/>
    <row r="980" ht="15.75" customHeight="1" s="216"/>
    <row r="981" ht="15.75" customHeight="1" s="216"/>
    <row r="982" ht="15.75" customHeight="1" s="216"/>
    <row r="983" ht="15.75" customHeight="1" s="216"/>
    <row r="984" ht="15.75" customHeight="1" s="216"/>
    <row r="985" ht="15.75" customHeight="1" s="216"/>
    <row r="986" ht="15.75" customHeight="1" s="216"/>
    <row r="987" ht="15.75" customHeight="1" s="216"/>
    <row r="988" ht="15.75" customHeight="1" s="216"/>
    <row r="989" ht="15.75" customHeight="1" s="216"/>
    <row r="990" ht="15.75" customHeight="1" s="216"/>
    <row r="991" ht="15.75" customHeight="1" s="216"/>
    <row r="992" ht="15.75" customHeight="1" s="216"/>
    <row r="993" ht="15.75" customHeight="1" s="216"/>
    <row r="994" ht="15.75" customHeight="1" s="216"/>
    <row r="995" ht="15.75" customHeight="1" s="216"/>
    <row r="996" ht="15.75" customHeight="1" s="216"/>
    <row r="997" ht="15.75" customHeight="1" s="216"/>
    <row r="998" ht="15.75" customHeight="1" s="216"/>
    <row r="999" ht="15.75" customHeight="1" s="216"/>
    <row r="1000" ht="15.75" customHeight="1" s="216"/>
  </sheetData>
  <autoFilter ref="A6:AU6"/>
  <mergeCells count="19">
    <mergeCell ref="AR5:AU5"/>
    <mergeCell ref="N5:S5"/>
    <mergeCell ref="C2:E2"/>
    <mergeCell ref="A5:C5"/>
    <mergeCell ref="Z5:AE5"/>
    <mergeCell ref="AF5:AK5"/>
    <mergeCell ref="AL5:AQ5"/>
    <mergeCell ref="J5:M5"/>
    <mergeCell ref="A3:B3"/>
    <mergeCell ref="G3:H3"/>
    <mergeCell ref="I3:J3"/>
    <mergeCell ref="A2:B2"/>
    <mergeCell ref="D5:I5"/>
    <mergeCell ref="C3:E3"/>
    <mergeCell ref="A4:B4"/>
    <mergeCell ref="G4:H4"/>
    <mergeCell ref="T5:Y5"/>
    <mergeCell ref="I4:J4"/>
    <mergeCell ref="C4:E4"/>
  </mergeCells>
  <conditionalFormatting sqref="O7:O500 P7:P500 U7:U500 V7:V500 AA7:AA500 AB7:AB500 AG7:AG500 AH7:AH500 AM7:AM500 AN7:AN500 AS7:AS500 AT7:AT500">
    <cfRule type="cellIs" priority="1" operator="equal" dxfId="5">
      <formula>"Pass"</formula>
    </cfRule>
    <cfRule type="cellIs" priority="2" operator="equal" dxfId="6">
      <formula>"Fail"</formula>
    </cfRule>
    <cfRule type="cellIs" priority="3" operator="equal" dxfId="7">
      <formula>"Block"</formula>
    </cfRule>
    <cfRule type="cellIs" priority="4" operator="equal" dxfId="8">
      <formula>"N/A"</formula>
    </cfRule>
  </conditionalFormatting>
  <dataValidations count="8">
    <dataValidation sqref="J7:J500" showDropDown="0" showInputMessage="0" showErrorMessage="0" allowBlank="1" type="list">
      <formula1>"AI,QC"</formula1>
    </dataValidation>
    <dataValidation sqref="E7:E500" showDropDown="0" showInputMessage="0" showErrorMessage="0" allowBlank="1" type="list">
      <formula1>"High,Medium,Low"</formula1>
    </dataValidation>
    <dataValidation sqref="P7:P500 V7:V500 AB7:AB500 AH7:AH500 AN7:AN500" showDropDown="0" showInputMessage="0" showErrorMessage="0" allowBlank="1" type="list">
      <formula1>"Pass,Fail,Block,N/A"</formula1>
    </dataValidation>
    <dataValidation sqref="N7:N500 T7:T500 Z7:Z500 AF7:AF500 AL7:AL500" showDropDown="0" showInputMessage="0" showErrorMessage="0" allowBlank="1" type="list">
      <formula1>"Yes,No,N/A"</formula1>
    </dataValidation>
    <dataValidation sqref="O7:O500 U7:U500 AA7:AA500 AG7:AG500 AM7:AM500" showDropDown="0" showInputMessage="0" showErrorMessage="0" allowBlank="1" type="list">
      <formula1>"Pass,Fail,Block,N/A,Chưa chạy"</formula1>
    </dataValidation>
    <dataValidation sqref="D7:D500" showDropDown="0" showInputMessage="0" showErrorMessage="0" allowBlank="1" type="list">
      <formula1>"Functional,UI,Integration,Database Test Case"</formula1>
    </dataValidation>
    <dataValidation sqref="K7:K500" showDropDown="0" showInputMessage="0" showErrorMessage="0" allowBlank="1" type="list">
      <formula1>"Reviewed,Pending,N/A"</formula1>
    </dataValidation>
    <dataValidation sqref="L7:L500" showDropDown="0" showInputMessage="0" showErrorMessage="0" allowBlank="1" type="list">
      <formula1>"Yes,No"</formula1>
    </dataValidation>
  </dataValidations>
  <pageMargins left="0.75" right="0.75" top="1" bottom="1" header="0" footer="0"/>
  <pageSetup orientation="landscape" fitToHeight="0"/>
</worksheet>
</file>

<file path=xl/worksheets/sheet19.xml><?xml version="1.0" encoding="utf-8"?>
<worksheet xmlns="http://schemas.openxmlformats.org/spreadsheetml/2006/main">
  <sheetPr>
    <outlinePr summaryBelow="1" summaryRight="1"/>
    <pageSetUpPr fitToPage="1"/>
  </sheetPr>
  <dimension ref="A1:AV520"/>
  <sheetViews>
    <sheetView workbookViewId="0">
      <pane xSplit="1" ySplit="6" topLeftCell="B7" activePane="bottomRight" state="frozen"/>
      <selection pane="topRight"/>
      <selection pane="bottomLeft"/>
      <selection pane="bottomRight" activeCell="A1" sqref="A1"/>
    </sheetView>
  </sheetViews>
  <sheetFormatPr baseColWidth="8" defaultColWidth="14.43" defaultRowHeight="15" customHeight="1"/>
  <cols>
    <col width="14" customWidth="1" style="216" min="1" max="2"/>
    <col width="13" customWidth="1" style="216" min="3" max="4"/>
    <col width="11" customWidth="1" style="216" min="5" max="5"/>
    <col width="34" customWidth="1" style="216" min="6" max="6"/>
    <col width="28" customWidth="1" style="216" min="7" max="7"/>
    <col width="40" customWidth="1" style="216" min="8" max="8"/>
    <col width="34" customWidth="1" style="216" min="9" max="9"/>
    <col width="10" customWidth="1" style="216" min="10" max="10"/>
    <col width="12.43" customWidth="1" style="216" min="11" max="11"/>
    <col width="14" customWidth="1" style="216" min="12" max="12"/>
    <col width="26.14" customWidth="1" style="216" min="13" max="13"/>
    <col width="9" customWidth="1" style="216" min="14" max="14"/>
    <col width="10" customWidth="1" style="216" min="15" max="15"/>
    <col width="9" customWidth="1" style="216" min="16" max="16"/>
    <col width="13" customWidth="1" style="216" min="17" max="17"/>
    <col width="11" customWidth="1" style="216" min="18" max="18"/>
    <col width="22" customWidth="1" style="216" min="19" max="19"/>
    <col width="9" customWidth="1" style="216" min="20" max="20"/>
    <col width="10" customWidth="1" style="216" min="21" max="21"/>
    <col width="9" customWidth="1" style="216" min="22" max="22"/>
    <col width="13" customWidth="1" style="216" min="23" max="23"/>
    <col width="11" customWidth="1" style="216" min="24" max="24"/>
    <col width="22" customWidth="1" style="216" min="25" max="25"/>
    <col width="9" customWidth="1" style="216" min="26" max="26"/>
    <col width="10" customWidth="1" style="216" min="27" max="27"/>
    <col width="9" customWidth="1" style="216" min="28" max="28"/>
    <col width="13" customWidth="1" style="216" min="29" max="29"/>
    <col width="11" customWidth="1" style="216" min="30" max="30"/>
    <col width="22" customWidth="1" style="216" min="31" max="31"/>
    <col width="9" customWidth="1" style="216" min="32" max="32"/>
    <col width="10" customWidth="1" style="216" min="33" max="33"/>
    <col width="9" customWidth="1" style="216" min="34" max="34"/>
    <col width="13" customWidth="1" style="216" min="35" max="35"/>
    <col width="11" customWidth="1" style="216" min="36" max="36"/>
    <col width="22" customWidth="1" style="216" min="37" max="37"/>
    <col width="9" customWidth="1" style="216" min="38" max="38"/>
    <col width="10" customWidth="1" style="216" min="39" max="39"/>
    <col width="9" customWidth="1" style="216" min="40" max="40"/>
    <col width="13" customWidth="1" style="216" min="41" max="41"/>
    <col width="11" customWidth="1" style="216" min="42" max="42"/>
    <col width="22" customWidth="1" style="216" min="43" max="43"/>
    <col width="12" customWidth="1" style="216" min="44" max="44"/>
    <col width="14" customWidth="1" style="216" min="45" max="45"/>
    <col width="11" customWidth="1" style="216" min="46" max="46"/>
    <col width="24" customWidth="1" style="216" min="47" max="47"/>
  </cols>
  <sheetData>
    <row r="1">
      <c r="A1" s="106"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row>
    <row r="2">
      <c r="A2" s="255" t="inlineStr">
        <is>
          <t>Mã chức năng</t>
        </is>
      </c>
      <c r="B2" s="218" t="n"/>
      <c r="C2" s="256" t="inlineStr">
        <is>
          <t>TC_11</t>
        </is>
      </c>
      <c r="D2" s="220" t="n"/>
      <c r="E2" s="218"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row>
    <row r="3" ht="15" customHeight="1" s="216">
      <c r="A3" s="255" t="inlineStr">
        <is>
          <t>Tên chức năng</t>
        </is>
      </c>
      <c r="B3" s="218" t="n"/>
      <c r="C3" s="256" t="inlineStr">
        <is>
          <t>Tài khoản &amp; Hồ sơ</t>
        </is>
      </c>
      <c r="D3" s="220" t="n"/>
      <c r="E3" s="218" t="n"/>
      <c r="F3" s="1" t="n"/>
      <c r="G3" s="255" t="inlineStr">
        <is>
          <t>Version</t>
        </is>
      </c>
      <c r="H3" s="218" t="n"/>
      <c r="I3" s="174">
        <f>Summary!$C$8</f>
        <v/>
      </c>
      <c r="J3" s="218"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row>
    <row r="4" ht="15" customHeight="1" s="216">
      <c r="A4" s="255" t="inlineStr">
        <is>
          <t>Execution</t>
        </is>
      </c>
      <c r="B4" s="218" t="n"/>
      <c r="C4" s="174">
        <f>TEXT(Summary!$C$10,"DD/MM/YYYY")&amp;"  →  "&amp;TEXT(Summary!$C$11,"DD/MM/YYYY")</f>
        <v/>
      </c>
      <c r="D4" s="220" t="n"/>
      <c r="E4" s="218" t="n"/>
      <c r="F4" s="1" t="n"/>
      <c r="G4" s="255" t="inlineStr">
        <is>
          <t>PIC</t>
        </is>
      </c>
      <c r="H4" s="218" t="n"/>
      <c r="I4" s="174">
        <f>Summary!$C$13</f>
        <v/>
      </c>
      <c r="J4" s="218"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1" t="n"/>
      <c r="AL4" s="1" t="n"/>
      <c r="AM4" s="1" t="n"/>
      <c r="AN4" s="1" t="n"/>
      <c r="AO4" s="1" t="n"/>
      <c r="AP4" s="1" t="n"/>
      <c r="AQ4" s="1" t="n"/>
      <c r="AR4" s="1" t="n"/>
      <c r="AS4" s="1" t="n"/>
      <c r="AT4" s="1" t="n"/>
      <c r="AU4" s="1" t="n"/>
    </row>
    <row r="5" ht="15" customHeight="1" s="216">
      <c r="A5" s="257" t="inlineStr">
        <is>
          <t>TRACEABILITY</t>
        </is>
      </c>
      <c r="B5" s="220" t="n"/>
      <c r="C5" s="218" t="n"/>
      <c r="D5" s="246" t="inlineStr">
        <is>
          <t>TEST DESIGN</t>
        </is>
      </c>
      <c r="E5" s="220" t="n"/>
      <c r="F5" s="220" t="n"/>
      <c r="G5" s="220" t="n"/>
      <c r="H5" s="220" t="n"/>
      <c r="I5" s="218" t="n"/>
      <c r="J5" s="250" t="inlineStr">
        <is>
          <t>SDLC</t>
        </is>
      </c>
      <c r="K5" s="220" t="n"/>
      <c r="L5" s="220" t="n"/>
      <c r="M5" s="218" t="n"/>
      <c r="N5" s="258" t="inlineStr">
        <is>
          <t>ROUND 1</t>
        </is>
      </c>
      <c r="O5" s="252" t="n"/>
      <c r="P5" s="252" t="n"/>
      <c r="Q5" s="252" t="n"/>
      <c r="R5" s="252" t="n"/>
      <c r="S5" s="253" t="n"/>
      <c r="T5" s="259" t="inlineStr">
        <is>
          <t>ROUND 2</t>
        </is>
      </c>
      <c r="U5" s="252" t="n"/>
      <c r="V5" s="252" t="n"/>
      <c r="W5" s="252" t="n"/>
      <c r="X5" s="252" t="n"/>
      <c r="Y5" s="253" t="n"/>
      <c r="Z5" s="258" t="inlineStr">
        <is>
          <t>ROUND 3</t>
        </is>
      </c>
      <c r="AA5" s="252" t="n"/>
      <c r="AB5" s="252" t="n"/>
      <c r="AC5" s="252" t="n"/>
      <c r="AD5" s="252" t="n"/>
      <c r="AE5" s="253" t="n"/>
      <c r="AF5" s="259" t="inlineStr">
        <is>
          <t>ROUND 4</t>
        </is>
      </c>
      <c r="AG5" s="252" t="n"/>
      <c r="AH5" s="252" t="n"/>
      <c r="AI5" s="252" t="n"/>
      <c r="AJ5" s="252" t="n"/>
      <c r="AK5" s="253" t="n"/>
      <c r="AL5" s="258" t="inlineStr">
        <is>
          <t>ROUND 5</t>
        </is>
      </c>
      <c r="AM5" s="252" t="n"/>
      <c r="AN5" s="252" t="n"/>
      <c r="AO5" s="252" t="n"/>
      <c r="AP5" s="252" t="n"/>
      <c r="AQ5" s="253" t="n"/>
      <c r="AR5" s="262" t="inlineStr">
        <is>
          <t>KẾT QUẢ TỔNG</t>
        </is>
      </c>
      <c r="AS5" s="252" t="n"/>
      <c r="AT5" s="252" t="n"/>
      <c r="AU5" s="253" t="n"/>
    </row>
    <row r="6" ht="30" customHeight="1" s="216">
      <c r="A6" s="152" t="inlineStr">
        <is>
          <t>Testcase ID</t>
        </is>
      </c>
      <c r="B6" s="152" t="inlineStr">
        <is>
          <t>Req ID</t>
        </is>
      </c>
      <c r="C6" s="152" t="inlineStr">
        <is>
          <t>DOC Source</t>
        </is>
      </c>
      <c r="D6" s="114" t="inlineStr">
        <is>
          <t>Group</t>
        </is>
      </c>
      <c r="E6" s="114" t="inlineStr">
        <is>
          <t>Priority</t>
        </is>
      </c>
      <c r="F6" s="114" t="inlineStr">
        <is>
          <t>Test Title
(Nội dung test)</t>
        </is>
      </c>
      <c r="G6" s="114" t="inlineStr">
        <is>
          <t>Pre-condition
(Điều kiện/Dữ liệu)</t>
        </is>
      </c>
      <c r="H6" s="114" t="inlineStr">
        <is>
          <t>Test Steps
(Các bước)</t>
        </is>
      </c>
      <c r="I6" s="114" t="inlineStr">
        <is>
          <t>Expected Result
(Kết quả mong đợi)</t>
        </is>
      </c>
      <c r="J6" s="112" t="inlineStr">
        <is>
          <t>Origin</t>
        </is>
      </c>
      <c r="K6" s="112" t="inlineStr">
        <is>
          <t>Review</t>
        </is>
      </c>
      <c r="L6" s="112" t="inlineStr">
        <is>
          <t>Automated</t>
        </is>
      </c>
      <c r="M6" s="112" t="inlineStr">
        <is>
          <t>Script</t>
        </is>
      </c>
      <c r="N6" s="153" t="inlineStr">
        <is>
          <t>Vibe-test</t>
        </is>
      </c>
      <c r="O6" s="153" t="inlineStr">
        <is>
          <t>KQ Script</t>
        </is>
      </c>
      <c r="P6" s="153" t="inlineStr">
        <is>
          <t>Kết quả</t>
        </is>
      </c>
      <c r="Q6" s="153" t="inlineStr">
        <is>
          <t>Executed By</t>
        </is>
      </c>
      <c r="R6" s="153" t="inlineStr">
        <is>
          <t>ID Bugs</t>
        </is>
      </c>
      <c r="S6" s="153" t="inlineStr">
        <is>
          <t>Note</t>
        </is>
      </c>
      <c r="T6" s="153" t="inlineStr">
        <is>
          <t>Vibe-test</t>
        </is>
      </c>
      <c r="U6" s="153" t="inlineStr">
        <is>
          <t>KQ Script</t>
        </is>
      </c>
      <c r="V6" s="153" t="inlineStr">
        <is>
          <t>Kết quả</t>
        </is>
      </c>
      <c r="W6" s="153" t="inlineStr">
        <is>
          <t>Executed By</t>
        </is>
      </c>
      <c r="X6" s="153" t="inlineStr">
        <is>
          <t>ID Bugs</t>
        </is>
      </c>
      <c r="Y6" s="153" t="inlineStr">
        <is>
          <t>Note</t>
        </is>
      </c>
      <c r="Z6" s="153" t="inlineStr">
        <is>
          <t>Vibe-test</t>
        </is>
      </c>
      <c r="AA6" s="153" t="inlineStr">
        <is>
          <t>KQ Script</t>
        </is>
      </c>
      <c r="AB6" s="153" t="inlineStr">
        <is>
          <t>Kết quả</t>
        </is>
      </c>
      <c r="AC6" s="153" t="inlineStr">
        <is>
          <t>Executed By</t>
        </is>
      </c>
      <c r="AD6" s="153" t="inlineStr">
        <is>
          <t>ID Bugs</t>
        </is>
      </c>
      <c r="AE6" s="153" t="inlineStr">
        <is>
          <t>Note</t>
        </is>
      </c>
      <c r="AF6" s="153" t="inlineStr">
        <is>
          <t>Vibe-test</t>
        </is>
      </c>
      <c r="AG6" s="153" t="inlineStr">
        <is>
          <t>KQ Script</t>
        </is>
      </c>
      <c r="AH6" s="153" t="inlineStr">
        <is>
          <t>Kết quả</t>
        </is>
      </c>
      <c r="AI6" s="153" t="inlineStr">
        <is>
          <t>Executed By</t>
        </is>
      </c>
      <c r="AJ6" s="153" t="inlineStr">
        <is>
          <t>ID Bugs</t>
        </is>
      </c>
      <c r="AK6" s="153" t="inlineStr">
        <is>
          <t>Note</t>
        </is>
      </c>
      <c r="AL6" s="153" t="inlineStr">
        <is>
          <t>Vibe-test</t>
        </is>
      </c>
      <c r="AM6" s="153" t="inlineStr">
        <is>
          <t>KQ Script</t>
        </is>
      </c>
      <c r="AN6" s="153" t="inlineStr">
        <is>
          <t>Kết quả</t>
        </is>
      </c>
      <c r="AO6" s="153" t="inlineStr">
        <is>
          <t>Executed By</t>
        </is>
      </c>
      <c r="AP6" s="153" t="inlineStr">
        <is>
          <t>ID Bugs</t>
        </is>
      </c>
      <c r="AQ6" s="153" t="inlineStr">
        <is>
          <t>Note</t>
        </is>
      </c>
      <c r="AR6" s="263" t="inlineStr">
        <is>
          <t>Vibe-test
(tổng)</t>
        </is>
      </c>
      <c r="AS6" s="263" t="inlineStr">
        <is>
          <t>KQ Script
(tổng)</t>
        </is>
      </c>
      <c r="AT6" s="154" t="inlineStr">
        <is>
          <t>Status</t>
        </is>
      </c>
      <c r="AU6" s="154" t="inlineStr">
        <is>
          <t>Remark</t>
        </is>
      </c>
    </row>
    <row r="7" ht="60" customHeight="1" s="216">
      <c r="A7" s="160">
        <f>IF($F7="","",$C$2&amp;"."&amp;COUNTA($F$7:$F7)&amp;"")</f>
        <v/>
      </c>
      <c r="B7" s="160" t="inlineStr">
        <is>
          <t>REQ-USR-002</t>
        </is>
      </c>
      <c r="C7" s="160" t="inlineStr">
        <is>
          <t>DOC-v1.1-01 · DOC-v1.1-03</t>
        </is>
      </c>
      <c r="D7" s="160" t="inlineStr">
        <is>
          <t>UI</t>
        </is>
      </c>
      <c r="E7" s="160" t="inlineStr">
        <is>
          <t>Medium</t>
        </is>
      </c>
      <c r="F7" s="11" t="inlineStr">
        <is>
          <t>Check trang "Cá nhân" hiển thị avatar chữ viết tắt, tên, phòng ban và MNV</t>
        </is>
      </c>
      <c r="G7" s="11" t="inlineStr">
        <is>
          <t>- Tài khoản A là CBNV có hồ sơ đầy đủ trên STG.
- Host app FoxPro đã cài trên thiết bị Android/iOS.
Test Data: Tên tài khoản A + chữ viết tắt kỳ vọng (test_data_catalog §USR v1.1 — Avatar)</t>
        </is>
      </c>
      <c r="H7" s="11" t="inlineStr">
        <is>
          <t>1. Đăng nhập FoxEco từ host app FoxPro bằng tài khoản A. (setup)
2. Nhấn tab "Cá nhân" ở bottom nav. (setup)
3. Check khối hồ sơ đầu trang.</t>
        </is>
      </c>
      <c r="I7" s="11" t="inlineStr">
        <is>
          <t>3. Avatar hiển thị chữ viết tắt không dấu, viết hoa, ghép từ chữ cái đầu của 2 từ cuối trong tên tài khoản A (vd tên "Đồng Công Chí Linh" hiển thị "CL"); dưới avatar là tên và dòng phòng ban · MNV trùng hồ sơ nhân viên của tài khoản A (vd "Phòng Kỹ thuật · MNV: FTEL2291"); KHÔNG hiển thị số điện thoại, email công ty hay địa chỉ mặc định.</t>
        </is>
      </c>
      <c r="J7" s="160" t="inlineStr">
        <is>
          <t>AI</t>
        </is>
      </c>
      <c r="K7" s="160" t="inlineStr">
        <is>
          <t>Pending</t>
        </is>
      </c>
      <c r="L7" s="160" t="inlineStr">
        <is>
          <t>No</t>
        </is>
      </c>
      <c r="M7" s="160" t="inlineStr"/>
      <c r="N7" s="264" t="inlineStr">
        <is>
          <t>Yes</t>
        </is>
      </c>
      <c r="O7" s="264" t="inlineStr"/>
      <c r="P7" s="264" t="inlineStr">
        <is>
          <t>Fail</t>
        </is>
      </c>
      <c r="Q7" s="264" t="inlineStr">
        <is>
          <t>GiangDC2</t>
        </is>
      </c>
      <c r="R7" s="264" t="inlineStr">
        <is>
          <t>FE-293</t>
        </is>
      </c>
      <c r="S7" s="264" t="inlineStr"/>
      <c r="T7" s="264" t="n"/>
      <c r="U7" s="264" t="n"/>
      <c r="V7" s="264" t="n"/>
      <c r="W7" s="264" t="n"/>
      <c r="X7" s="264" t="n"/>
      <c r="Y7" s="264" t="n"/>
      <c r="Z7" s="264" t="n"/>
      <c r="AA7" s="264" t="n"/>
      <c r="AB7" s="264" t="n"/>
      <c r="AC7" s="264" t="n"/>
      <c r="AD7" s="264" t="n"/>
      <c r="AE7" s="264" t="n"/>
      <c r="AF7" s="264" t="n"/>
      <c r="AG7" s="264" t="n"/>
      <c r="AH7" s="264" t="n"/>
      <c r="AI7" s="264" t="n"/>
      <c r="AJ7" s="264" t="n"/>
      <c r="AK7" s="264" t="n"/>
      <c r="AL7" s="264" t="n"/>
      <c r="AM7" s="264" t="n"/>
      <c r="AN7" s="264" t="n"/>
      <c r="AO7" s="264" t="n"/>
      <c r="AP7" s="264" t="n"/>
      <c r="AQ7" s="264" t="n"/>
      <c r="AR7" s="158">
        <f>IF($A7="","",IF(OR($N7="Yes",$T7="Yes",$Z7="Yes",$AF7="Yes",$AL7="Yes"),"Yes","No"))</f>
        <v/>
      </c>
      <c r="AS7" s="158">
        <f>IF($A7="","",IFERROR(IF($AM7&lt;&gt;"",$AM7,IF($AG7&lt;&gt;"",$AG7,IF($AA7&lt;&gt;"",$AA7,IF($U7&lt;&gt;"",$U7,IF($O7&lt;&gt;"",$O7,""))))),""))</f>
        <v/>
      </c>
      <c r="AT7" s="158">
        <f>IFERROR(IF($AN7&lt;&gt;"",$AN7,IF($AH7&lt;&gt;"",$AH7,IF($AB7&lt;&gt;"",$AB7,IF($V7&lt;&gt;"",$V7,IF($P7&lt;&gt;"",$P7,""))))),"")</f>
        <v/>
      </c>
      <c r="AU7" s="265" t="inlineStr">
        <is>
          <t>Đã sửa theo analyze v1.1 (2026-09-16): 4 trường có ảnh avatar → avatar chữ viết tắt; thêm assert vắng SĐT/email/địa chỉ. · Căn cứ: BA chốt `C-USR-05(a)`; SĐT/email/địa chỉ chỉ ở màn "Cập nhật thông tin" (`C-USR-04`). Demo trang Cá nhân hiện icon người ⇒ STG giống demo thì log bug.</t>
        </is>
      </c>
    </row>
    <row r="8" ht="60" customHeight="1" s="216">
      <c r="A8" s="160">
        <f>IF($F8="","",$C$2&amp;"."&amp;COUNTA($F$7:$F8)&amp;"")</f>
        <v/>
      </c>
      <c r="B8" s="160" t="inlineStr">
        <is>
          <t>REQ-USR-002</t>
        </is>
      </c>
      <c r="C8" s="160" t="inlineStr">
        <is>
          <t>DOC-v1.1-01</t>
        </is>
      </c>
      <c r="D8" s="160" t="inlineStr">
        <is>
          <t>Functional</t>
        </is>
      </c>
      <c r="E8" s="160" t="inlineStr">
        <is>
          <t>Medium</t>
        </is>
      </c>
      <c r="F8" s="11" t="inlineStr">
        <is>
          <t>Check trang "Cá nhân" không cho sửa trực tiếp avatar, tên, phòng ban và MNV</t>
        </is>
      </c>
      <c r="G8" s="11" t="inlineStr">
        <is>
          <t>- Tài khoản A là CBNV có hồ sơ đầy đủ trên STG.
- Host app FoxPro đã cài trên thiết bị Android/iOS.
Test Data: Hồ sơ nhân viên đầy đủ (test_data_catalog §USR)</t>
        </is>
      </c>
      <c r="H8" s="11" t="inlineStr">
        <is>
          <t>1. Đăng nhập FoxEco từ host app FoxPro bằng tài khoản A. (setup)
2. Nhấn tab "Cá nhân" ở bottom nav. (setup)
3. Nhấn vào avatar.
4. Nhấn vào tên.
5. Nhấn vào dòng phòng ban · MNV.
6. Check trạng thái avatar, tên và dòng phòng ban · MNV sau cả 3 lần nhấn.</t>
        </is>
      </c>
      <c r="I8" s="11" t="inlineStr">
        <is>
          <t>6. Không mở màn hay popup đổi ảnh, không xuất hiện field nhập liệu hay bàn phím ở cả 3 lần nhấn; avatar, tên và dòng phòng ban · MNV đều giữ nguyên giá trị.</t>
        </is>
      </c>
      <c r="J8" s="160" t="inlineStr">
        <is>
          <t>AI</t>
        </is>
      </c>
      <c r="K8" s="160" t="inlineStr">
        <is>
          <t>Pending</t>
        </is>
      </c>
      <c r="L8" s="160" t="inlineStr">
        <is>
          <t>No</t>
        </is>
      </c>
      <c r="M8" s="160" t="inlineStr"/>
      <c r="N8" s="264" t="inlineStr">
        <is>
          <t>Yes</t>
        </is>
      </c>
      <c r="O8" s="264" t="inlineStr"/>
      <c r="P8" s="264" t="inlineStr">
        <is>
          <t>Pass</t>
        </is>
      </c>
      <c r="Q8" s="264" t="inlineStr">
        <is>
          <t>GiangDC2</t>
        </is>
      </c>
      <c r="R8" s="264" t="inlineStr"/>
      <c r="S8" s="264" t="inlineStr"/>
      <c r="T8" s="264" t="n"/>
      <c r="U8" s="264" t="n"/>
      <c r="V8" s="264" t="n"/>
      <c r="W8" s="264" t="n"/>
      <c r="X8" s="264" t="n"/>
      <c r="Y8" s="264" t="n"/>
      <c r="Z8" s="264" t="n"/>
      <c r="AA8" s="264" t="n"/>
      <c r="AB8" s="264" t="n"/>
      <c r="AC8" s="264" t="n"/>
      <c r="AD8" s="264" t="n"/>
      <c r="AE8" s="264" t="n"/>
      <c r="AF8" s="264" t="n"/>
      <c r="AG8" s="264" t="n"/>
      <c r="AH8" s="264" t="n"/>
      <c r="AI8" s="264" t="n"/>
      <c r="AJ8" s="264" t="n"/>
      <c r="AK8" s="264" t="n"/>
      <c r="AL8" s="264" t="n"/>
      <c r="AM8" s="264" t="n"/>
      <c r="AN8" s="264" t="n"/>
      <c r="AO8" s="264" t="n"/>
      <c r="AP8" s="264" t="n"/>
      <c r="AQ8" s="264" t="n"/>
      <c r="AR8" s="158">
        <f>IF($A8="","",IF(OR($N8="Yes",$T8="Yes",$Z8="Yes",$AF8="Yes",$AL8="Yes"),"Yes","No"))</f>
        <v/>
      </c>
      <c r="AS8" s="158">
        <f>IF($A8="","",IFERROR(IF($AM8&lt;&gt;"",$AM8,IF($AG8&lt;&gt;"",$AG8,IF($AA8&lt;&gt;"",$AA8,IF($U8&lt;&gt;"",$U8,IF($O8&lt;&gt;"",$O8,""))))),""))</f>
        <v/>
      </c>
      <c r="AT8" s="158">
        <f>IFERROR(IF($AN8&lt;&gt;"",$AN8,IF($AH8&lt;&gt;"",$AH8,IF($AB8&lt;&gt;"",$AB8,IF($V8&lt;&gt;"",$V8,IF($P8&lt;&gt;"",$P8,""))))),"")</f>
        <v/>
      </c>
      <c r="AU8" s="265" t="inlineStr">
        <is>
          <t>Mục đích: bản v1.0 cùng ID assert "không có bất kỳ control sửa nào" — kỳ vọng ngược, phải dùng bản v1.1. · Đã sửa theo `C-USR-03` đảo (2026-09-15): trang Cá nhân nay có mục "Cập nhật thông tin" hợp lệ nên chỉ assert không sửa trực tiếp trên từng trường. · Căn cứ: `BR15-01`. · Đã sửa theo §10.4 (2026-09-17): gộp 3 điểm kiểm avatar/tên/phòng ban·MNV vào 1 step Check cuối + 1 Expected duy nhất (Expected chỉ ghi ở step cuối).</t>
        </is>
      </c>
    </row>
    <row r="9" ht="60" customHeight="1" s="216">
      <c r="A9" s="160">
        <f>IF($F9="","",$C$2&amp;"."&amp;COUNTA($F$7:$F9)&amp;"")</f>
        <v/>
      </c>
      <c r="B9" s="160" t="inlineStr">
        <is>
          <t>REQ-USR-007</t>
        </is>
      </c>
      <c r="C9" s="160" t="inlineStr">
        <is>
          <t>DOC-v1.1-01</t>
        </is>
      </c>
      <c r="D9" s="160" t="inlineStr">
        <is>
          <t>Functional</t>
        </is>
      </c>
      <c r="E9" s="160" t="inlineStr">
        <is>
          <t>Low</t>
        </is>
      </c>
      <c r="F9" s="11" t="inlineStr">
        <is>
          <t>Check trang "Cá nhân" không hiển thị badge "Hạng Đồng hành"</t>
        </is>
      </c>
      <c r="G9" s="11" t="inlineStr">
        <is>
          <t>- Tài khoản A là CBNV có hồ sơ đầy đủ trên STG.
- Host app FoxPro đã cài trên thiết bị Android/iOS.
Test Data: Giá trị assert-absent: badge "Hạng Đồng hành" (test_data_catalog §USR)</t>
        </is>
      </c>
      <c r="H9" s="11" t="inlineStr">
        <is>
          <t>1. Đăng nhập FoxEco từ host app FoxPro bằng tài khoản A. (setup)
2. Nhấn tab "Cá nhân" ở bottom nav. (setup)
3. Check vùng bên dưới tên và dòng phòng ban · MNV.</t>
        </is>
      </c>
      <c r="I9" s="11" t="inlineStr">
        <is>
          <t>3. KHÔNG hiển thị badge "Hạng Đồng hành" hay bất kỳ nhãn hạng thành viên nào.</t>
        </is>
      </c>
      <c r="J9" s="160" t="inlineStr">
        <is>
          <t>AI</t>
        </is>
      </c>
      <c r="K9" s="160" t="inlineStr">
        <is>
          <t>Pending</t>
        </is>
      </c>
      <c r="L9" s="160" t="inlineStr">
        <is>
          <t>No</t>
        </is>
      </c>
      <c r="M9" s="160" t="inlineStr"/>
      <c r="N9" s="264" t="inlineStr">
        <is>
          <t>Yes</t>
        </is>
      </c>
      <c r="O9" s="264" t="inlineStr"/>
      <c r="P9" s="264" t="inlineStr">
        <is>
          <t>Pass</t>
        </is>
      </c>
      <c r="Q9" s="264" t="inlineStr">
        <is>
          <t>GiangDC2</t>
        </is>
      </c>
      <c r="R9" s="264" t="inlineStr"/>
      <c r="S9" s="264" t="inlineStr"/>
      <c r="T9" s="264" t="n"/>
      <c r="U9" s="264" t="n"/>
      <c r="V9" s="264" t="n"/>
      <c r="W9" s="264" t="n"/>
      <c r="X9" s="264" t="n"/>
      <c r="Y9" s="264" t="n"/>
      <c r="Z9" s="264" t="n"/>
      <c r="AA9" s="264" t="n"/>
      <c r="AB9" s="264" t="n"/>
      <c r="AC9" s="264" t="n"/>
      <c r="AD9" s="264" t="n"/>
      <c r="AE9" s="264" t="n"/>
      <c r="AF9" s="264" t="n"/>
      <c r="AG9" s="264" t="n"/>
      <c r="AH9" s="264" t="n"/>
      <c r="AI9" s="264" t="n"/>
      <c r="AJ9" s="264" t="n"/>
      <c r="AK9" s="264" t="n"/>
      <c r="AL9" s="264" t="n"/>
      <c r="AM9" s="264" t="n"/>
      <c r="AN9" s="264" t="n"/>
      <c r="AO9" s="264" t="n"/>
      <c r="AP9" s="264" t="n"/>
      <c r="AQ9" s="264" t="n"/>
      <c r="AR9" s="158">
        <f>IF($A9="","",IF(OR($N9="Yes",$T9="Yes",$Z9="Yes",$AF9="Yes",$AL9="Yes"),"Yes","No"))</f>
        <v/>
      </c>
      <c r="AS9" s="158">
        <f>IF($A9="","",IFERROR(IF($AM9&lt;&gt;"",$AM9,IF($AG9&lt;&gt;"",$AG9,IF($AA9&lt;&gt;"",$AA9,IF($U9&lt;&gt;"",$U9,IF($O9&lt;&gt;"",$O9,""))))),""))</f>
        <v/>
      </c>
      <c r="AT9" s="158">
        <f>IFERROR(IF($AN9&lt;&gt;"",$AN9,IF($AH9&lt;&gt;"",$AH9,IF($AB9&lt;&gt;"",$AB9,IF($V9&lt;&gt;"",$V9,IF($P9&lt;&gt;"",$P9,""))))),"")</f>
        <v/>
      </c>
      <c r="AU9" s="265" t="inlineStr">
        <is>
          <t>Mục đích: bản v1.0 cùng ID assert badge TỒN TẠI — kỳ vọng ngược, phải dùng bản v1.1. · Đã sửa theo BA 2026-09-16 (`C-USR-06` Resolved — badge không hiện). · Căn cứ: `BR14-03` cấm mọi tier/xếp hạng. Demo còn badge ⇒ STG còn badge thì log bug.</t>
        </is>
      </c>
    </row>
    <row r="10">
      <c r="A10" s="160">
        <f>IF($F10="","",$C$2&amp;"."&amp;COUNTA($F$7:$F10)&amp;"")</f>
        <v/>
      </c>
      <c r="B10" s="160" t="inlineStr">
        <is>
          <t>REQ-USR-007</t>
        </is>
      </c>
      <c r="C10" s="160" t="inlineStr">
        <is>
          <t>DOC-v1.1-01 · DOC-v1.1-03</t>
        </is>
      </c>
      <c r="D10" s="160" t="inlineStr">
        <is>
          <t>UI</t>
        </is>
      </c>
      <c r="E10" s="160" t="inlineStr">
        <is>
          <t>Low</t>
        </is>
      </c>
      <c r="F10" s="11" t="inlineStr">
        <is>
          <t>Check trang "Cá nhân" hiển thị đủ thành phần theo đúng thứ tự</t>
        </is>
      </c>
      <c r="G10" s="11" t="inlineStr">
        <is>
          <t>- Tài khoản A là CBNV có hồ sơ đầy đủ trên STG.
- Host app FoxPro đã cài trên thiết bị Android/iOS.
Test Data: Hồ sơ nhân viên đầy đủ (test_data_catalog §USR)</t>
        </is>
      </c>
      <c r="H10" s="11" t="inlineStr">
        <is>
          <t>1. Đăng nhập FoxEco từ host app FoxPro bằng tài khoản A. (setup)
2. Nhấn tab "Cá nhân" ở bottom nav. (setup)
3. Check lần lượt từ trên xuống các thành phần của trang.</t>
        </is>
      </c>
      <c r="I10" s="11" t="inlineStr">
        <is>
          <t>3. Hiển thị theo đúng thứ tự: avatar chữ viết tắt, tên, dòng phòng ban kèm MNV, card 2 chỉ số "đơn đã giúp" và "quà đã nhận", 3 mục menu "Đơn của tôi", "Quà đã nhận", "Cập nhật thông tin"; không có badge hạng thành viên.</t>
        </is>
      </c>
      <c r="J10" s="160" t="inlineStr">
        <is>
          <t>AI</t>
        </is>
      </c>
      <c r="K10" s="160" t="inlineStr">
        <is>
          <t>Pending</t>
        </is>
      </c>
      <c r="L10" s="160" t="inlineStr">
        <is>
          <t>No</t>
        </is>
      </c>
      <c r="M10" s="160" t="inlineStr"/>
      <c r="N10" s="264" t="inlineStr">
        <is>
          <t>Yes</t>
        </is>
      </c>
      <c r="O10" s="264" t="inlineStr"/>
      <c r="P10" s="264" t="inlineStr">
        <is>
          <t>Pass</t>
        </is>
      </c>
      <c r="Q10" s="264" t="inlineStr">
        <is>
          <t>GiangDC2</t>
        </is>
      </c>
      <c r="R10" s="264" t="inlineStr"/>
      <c r="S10" s="264" t="inlineStr"/>
      <c r="T10" s="264" t="n"/>
      <c r="U10" s="264" t="n"/>
      <c r="V10" s="264" t="n"/>
      <c r="W10" s="264" t="n"/>
      <c r="X10" s="264" t="n"/>
      <c r="Y10" s="264" t="n"/>
      <c r="Z10" s="264" t="n"/>
      <c r="AA10" s="264" t="n"/>
      <c r="AB10" s="264" t="n"/>
      <c r="AC10" s="264" t="n"/>
      <c r="AD10" s="264" t="n"/>
      <c r="AE10" s="264" t="n"/>
      <c r="AF10" s="264" t="n"/>
      <c r="AG10" s="264" t="n"/>
      <c r="AH10" s="264" t="n"/>
      <c r="AI10" s="264" t="n"/>
      <c r="AJ10" s="264" t="n"/>
      <c r="AK10" s="264" t="n"/>
      <c r="AL10" s="264" t="n"/>
      <c r="AM10" s="264" t="n"/>
      <c r="AN10" s="264" t="n"/>
      <c r="AO10" s="264" t="n"/>
      <c r="AP10" s="264" t="n"/>
      <c r="AQ10" s="264" t="n"/>
      <c r="AR10" s="158">
        <f>IF($A10="","",IF(OR($N10="Yes",$T10="Yes",$Z10="Yes",$AF10="Yes",$AL10="Yes"),"Yes","No"))</f>
        <v/>
      </c>
      <c r="AS10" s="158">
        <f>IF($A10="","",IFERROR(IF($AM10&lt;&gt;"",$AM10,IF($AG10&lt;&gt;"",$AG10,IF($AA10&lt;&gt;"",$AA10,IF($U10&lt;&gt;"",$U10,IF($O10&lt;&gt;"",$O10,""))))),""))</f>
        <v/>
      </c>
      <c r="AT10" s="158">
        <f>IFERROR(IF($AN10&lt;&gt;"",$AN10,IF($AH10&lt;&gt;"",$AH10,IF($AB10&lt;&gt;"",$AB10,IF($V10&lt;&gt;"",$V10,IF($P10&lt;&gt;"",$P10,""))))),"")</f>
        <v/>
      </c>
      <c r="AU10" s="265" t="inlineStr">
        <is>
          <t>Đã sửa theo analyze v1.1 (2026-09-16): bỏ badge hạng, 2 → 3 mục menu, avatar chữ viết tắt; bỏ tiền đề 2 chỉ số &gt; 0 vì chỉ đối chiếu thành phần và thứ tự; priority P2 → P3 theo `SC-USR-011`. · Căn cứ: §8.15 Trigger + `C-USR-05(a)` + `C-USR-06`.</t>
        </is>
      </c>
    </row>
    <row r="11">
      <c r="A11" s="160">
        <f>IF($F11="","",$C$2&amp;"."&amp;COUNTA($F$7:$F11)&amp;"")</f>
        <v/>
      </c>
      <c r="B11" s="160" t="inlineStr">
        <is>
          <t>REQ-USR-006</t>
        </is>
      </c>
      <c r="C11" s="160" t="inlineStr">
        <is>
          <t>DOC-v1.1-01</t>
        </is>
      </c>
      <c r="D11" s="160" t="inlineStr">
        <is>
          <t>UI</t>
        </is>
      </c>
      <c r="E11" s="160" t="inlineStr">
        <is>
          <t>Medium</t>
        </is>
      </c>
      <c r="F11" s="11" t="inlineStr">
        <is>
          <t>Check mục menu "Cập nhật thông tin" nằm ngay dưới mục "Quà đã nhận"</t>
        </is>
      </c>
      <c r="G11" s="11" t="inlineStr">
        <is>
          <t>- Tài khoản A là CBNV có hồ sơ đầy đủ trên STG.
- Host app FoxPro đã cài trên thiết bị Android/iOS.
Test Data: —</t>
        </is>
      </c>
      <c r="H11" s="11" t="inlineStr">
        <is>
          <t>1. Đăng nhập FoxEco từ host app FoxPro bằng tài khoản A. (setup)
2. Nhấn tab "Cá nhân" ở bottom nav. (setup)
3. Check nhãn và thứ tự các mục menu.</t>
        </is>
      </c>
      <c r="I11" s="11" t="inlineStr">
        <is>
          <t>3. Mục menu thứ hai có nhãn "Quà đã nhận"; mục menu thứ ba có nhãn "Cập nhật thông tin", nằm ngay dưới "Quà đã nhận".</t>
        </is>
      </c>
      <c r="J11" s="160" t="inlineStr">
        <is>
          <t>AI</t>
        </is>
      </c>
      <c r="K11" s="160" t="inlineStr">
        <is>
          <t>Pending</t>
        </is>
      </c>
      <c r="L11" s="160" t="inlineStr">
        <is>
          <t>No</t>
        </is>
      </c>
      <c r="M11" s="160" t="inlineStr"/>
      <c r="N11" s="264" t="inlineStr">
        <is>
          <t>Yes</t>
        </is>
      </c>
      <c r="O11" s="264" t="inlineStr"/>
      <c r="P11" s="264" t="inlineStr">
        <is>
          <t>Fail</t>
        </is>
      </c>
      <c r="Q11" s="264" t="inlineStr">
        <is>
          <t>GiangDC2</t>
        </is>
      </c>
      <c r="R11" s="264" t="inlineStr">
        <is>
          <t>FE-294</t>
        </is>
      </c>
      <c r="S11" s="264" t="inlineStr"/>
      <c r="T11" s="264" t="n"/>
      <c r="U11" s="264" t="n"/>
      <c r="V11" s="264" t="n"/>
      <c r="W11" s="264" t="n"/>
      <c r="X11" s="264" t="n"/>
      <c r="Y11" s="264" t="n"/>
      <c r="Z11" s="264" t="n"/>
      <c r="AA11" s="264" t="n"/>
      <c r="AB11" s="264" t="n"/>
      <c r="AC11" s="264" t="n"/>
      <c r="AD11" s="264" t="n"/>
      <c r="AE11" s="264" t="n"/>
      <c r="AF11" s="264" t="n"/>
      <c r="AG11" s="264" t="n"/>
      <c r="AH11" s="264" t="n"/>
      <c r="AI11" s="264" t="n"/>
      <c r="AJ11" s="264" t="n"/>
      <c r="AK11" s="264" t="n"/>
      <c r="AL11" s="264" t="n"/>
      <c r="AM11" s="264" t="n"/>
      <c r="AN11" s="264" t="n"/>
      <c r="AO11" s="264" t="n"/>
      <c r="AP11" s="264" t="n"/>
      <c r="AQ11" s="264" t="n"/>
      <c r="AR11" s="158">
        <f>IF($A11="","",IF(OR($N11="Yes",$T11="Yes",$Z11="Yes",$AF11="Yes",$AL11="Yes"),"Yes","No"))</f>
        <v/>
      </c>
      <c r="AS11" s="158">
        <f>IF($A11="","",IFERROR(IF($AM11&lt;&gt;"",$AM11,IF($AG11&lt;&gt;"",$AG11,IF($AA11&lt;&gt;"",$AA11,IF($U11&lt;&gt;"",$U11,IF($O11&lt;&gt;"",$O11,""))))),""))</f>
        <v/>
      </c>
      <c r="AT11" s="158">
        <f>IFERROR(IF($AN11&lt;&gt;"",$AN11,IF($AH11&lt;&gt;"",$AH11,IF($AB11&lt;&gt;"",$AB11,IF($V11&lt;&gt;"",$V11,IF($P11&lt;&gt;"",$P11,""))))),"")</f>
        <v/>
      </c>
      <c r="AU11" s="265" t="inlineStr">
        <is>
          <t>Đã sửa theo `DOC-v1.1-01` §8.15 Trigger (2026-09-15): hết dạng GAP 3 nhãn, assert được nhãn + vị trí; priority P3 → P2 theo `SC-USR-012`.</t>
        </is>
      </c>
    </row>
    <row r="12">
      <c r="A12" s="160">
        <f>IF($F12="","",$C$2&amp;"."&amp;COUNTA($F$7:$F12)&amp;"")</f>
        <v/>
      </c>
      <c r="B12" s="160" t="inlineStr">
        <is>
          <t>REQ-USR-006, REQ-USR-008</t>
        </is>
      </c>
      <c r="C12" s="160" t="inlineStr">
        <is>
          <t>DOC-v1.1-01 · DOC-v1.1-03</t>
        </is>
      </c>
      <c r="D12" s="160" t="inlineStr">
        <is>
          <t>UI</t>
        </is>
      </c>
      <c r="E12" s="160" t="inlineStr">
        <is>
          <t>Medium</t>
        </is>
      </c>
      <c r="F12" s="11" t="inlineStr">
        <is>
          <t>Check nhấn mục "Cập nhật thông tin" mở đúng màn và ẩn bottom nav</t>
        </is>
      </c>
      <c r="G12" s="11" t="inlineStr">
        <is>
          <t>- Tài khoản A là CBNV có hồ sơ đầy đủ trên STG.
- Host app FoxPro đã cài trên thiết bị Android/iOS.
Test Data: —</t>
        </is>
      </c>
      <c r="H12" s="11" t="inlineStr">
        <is>
          <t>1. Đăng nhập FoxEco từ host app FoxPro bằng tài khoản A. (setup)
2. Nhấn tab "Cá nhân" ở bottom nav. (setup)
3. Nhấn mục menu "Cập nhật thông tin".</t>
        </is>
      </c>
      <c r="I12" s="11" t="inlineStr">
        <is>
          <t>3. Mở màn "Cập nhật thông tin": header có nút quay lại "←" và tiêu đề "Cập nhật thông tin"; màn không hiển thị bottom nav.</t>
        </is>
      </c>
      <c r="J12" s="160" t="inlineStr">
        <is>
          <t>AI</t>
        </is>
      </c>
      <c r="K12" s="160" t="inlineStr">
        <is>
          <t>Pending</t>
        </is>
      </c>
      <c r="L12" s="160" t="inlineStr">
        <is>
          <t>No</t>
        </is>
      </c>
      <c r="M12" s="160" t="inlineStr"/>
      <c r="N12" s="264" t="inlineStr">
        <is>
          <t>Yes</t>
        </is>
      </c>
      <c r="O12" s="264" t="inlineStr"/>
      <c r="P12" s="264" t="inlineStr">
        <is>
          <t>Pass</t>
        </is>
      </c>
      <c r="Q12" s="264" t="inlineStr">
        <is>
          <t>GiangDC2</t>
        </is>
      </c>
      <c r="R12" s="264" t="inlineStr"/>
      <c r="S12" s="264" t="inlineStr"/>
      <c r="T12" s="264" t="n"/>
      <c r="U12" s="264" t="n"/>
      <c r="V12" s="264" t="n"/>
      <c r="W12" s="264" t="n"/>
      <c r="X12" s="264" t="n"/>
      <c r="Y12" s="264" t="n"/>
      <c r="Z12" s="264" t="n"/>
      <c r="AA12" s="264" t="n"/>
      <c r="AB12" s="264" t="n"/>
      <c r="AC12" s="264" t="n"/>
      <c r="AD12" s="264" t="n"/>
      <c r="AE12" s="264" t="n"/>
      <c r="AF12" s="264" t="n"/>
      <c r="AG12" s="264" t="n"/>
      <c r="AH12" s="264" t="n"/>
      <c r="AI12" s="264" t="n"/>
      <c r="AJ12" s="264" t="n"/>
      <c r="AK12" s="264" t="n"/>
      <c r="AL12" s="264" t="n"/>
      <c r="AM12" s="264" t="n"/>
      <c r="AN12" s="264" t="n"/>
      <c r="AO12" s="264" t="n"/>
      <c r="AP12" s="264" t="n"/>
      <c r="AQ12" s="264" t="n"/>
      <c r="AR12" s="158">
        <f>IF($A12="","",IF(OR($N12="Yes",$T12="Yes",$Z12="Yes",$AF12="Yes",$AL12="Yes"),"Yes","No"))</f>
        <v/>
      </c>
      <c r="AS12" s="158">
        <f>IF($A12="","",IFERROR(IF($AM12&lt;&gt;"",$AM12,IF($AG12&lt;&gt;"",$AG12,IF($AA12&lt;&gt;"",$AA12,IF($U12&lt;&gt;"",$U12,IF($O12&lt;&gt;"",$O12,""))))),""))</f>
        <v/>
      </c>
      <c r="AT12" s="158">
        <f>IFERROR(IF($AN12&lt;&gt;"",$AN12,IF($AH12&lt;&gt;"",$AH12,IF($AB12&lt;&gt;"",$AB12,IF($V12&lt;&gt;"",$V12,IF($P12&lt;&gt;"",$P12,""))))),"")</f>
        <v/>
      </c>
      <c r="AU12" s="265" t="inlineStr">
        <is>
          <t>Căn cứ: §8.15 Trigger; nút "←" và việc ẩn bottom nav lấy theo ảnh `USR_02` (`DOC-v1.1-03`) + code demo — PRD không mô tả, STG lệch thì mở CL.</t>
        </is>
      </c>
    </row>
    <row r="13">
      <c r="A13" s="160">
        <f>IF($F13="","",$C$2&amp;"."&amp;COUNTA($F$7:$F13)&amp;"")</f>
        <v/>
      </c>
      <c r="B13" s="160" t="inlineStr">
        <is>
          <t>REQ-USR-008</t>
        </is>
      </c>
      <c r="C13" s="160" t="inlineStr">
        <is>
          <t>DOC-v1.1-01 · DOC-v1.1-04</t>
        </is>
      </c>
      <c r="D13" s="160" t="inlineStr">
        <is>
          <t>Functional</t>
        </is>
      </c>
      <c r="E13" s="160" t="inlineStr">
        <is>
          <t>High</t>
        </is>
      </c>
      <c r="F13" s="11" t="inlineStr">
        <is>
          <t>Check lưu số điện thoại và địa chỉ mặc định mới hiển thị đúng banner xanh</t>
        </is>
      </c>
      <c r="G13" s="11" t="inlineStr">
        <is>
          <t>- Tài khoản A là CBNV có hồ sơ đầy đủ trên STG.
- Host app FoxPro đã cài trên thiết bị Android/iOS.
Test Data: SĐT hợp lệ "0987654321"; văn phòng K3 "Lê Thái Tổ" (04_test-data/valid/USR-office-catalog.md)</t>
        </is>
      </c>
      <c r="H13" s="11" t="inlineStr">
        <is>
          <t>1. Đăng nhập FoxEco từ host app FoxPro bằng tài khoản A. (setup)
2. Nhấn tab "Cá nhân" ở bottom nav. (setup)
3. Nhấn mục menu "Cập nhật thông tin". (setup)
4. Ghi lại giá trị đang hiển thị ở field "Số điện thoại mặc định" và field "Địa chỉ mặc định".
5. Nhập "0987654321" vào field "Số điện thoại mặc định".
6. Nhập "Lê Thái Tổ" vào field "Địa chỉ mặc định".
7. Chọn "Tòa V-City, Lê Thái Tổ" trong danh sách gợi ý.
8. Nhấn nút "Lưu thay đổi".</t>
        </is>
      </c>
      <c r="I13" s="11" t="inlineStr">
        <is>
          <t>8. Sau khi lưu, app điều hướng về màn "Cá nhân" và KHÔNG hiện banner thông báo nào trước khi rời màn.</t>
        </is>
      </c>
      <c r="J13" s="160" t="inlineStr">
        <is>
          <t>AI</t>
        </is>
      </c>
      <c r="K13" s="160" t="inlineStr">
        <is>
          <t>Pending</t>
        </is>
      </c>
      <c r="L13" s="160" t="inlineStr">
        <is>
          <t>No</t>
        </is>
      </c>
      <c r="M13" s="160" t="inlineStr"/>
      <c r="N13" s="264" t="inlineStr">
        <is>
          <t>Yes</t>
        </is>
      </c>
      <c r="O13" s="264" t="inlineStr"/>
      <c r="P13" s="264" t="inlineStr">
        <is>
          <t>Pass</t>
        </is>
      </c>
      <c r="Q13" s="264" t="inlineStr">
        <is>
          <t>GiangDC2</t>
        </is>
      </c>
      <c r="R13" s="264" t="inlineStr"/>
      <c r="S13" s="264" t="inlineStr"/>
      <c r="T13" s="264" t="n"/>
      <c r="U13" s="264" t="n"/>
      <c r="V13" s="264" t="n"/>
      <c r="W13" s="264" t="n"/>
      <c r="X13" s="264" t="n"/>
      <c r="Y13" s="264" t="n"/>
      <c r="Z13" s="264" t="n"/>
      <c r="AA13" s="264" t="n"/>
      <c r="AB13" s="264" t="n"/>
      <c r="AC13" s="264" t="n"/>
      <c r="AD13" s="264" t="n"/>
      <c r="AE13" s="264" t="n"/>
      <c r="AF13" s="264" t="n"/>
      <c r="AG13" s="264" t="n"/>
      <c r="AH13" s="264" t="n"/>
      <c r="AI13" s="264" t="n"/>
      <c r="AJ13" s="264" t="n"/>
      <c r="AK13" s="264" t="n"/>
      <c r="AL13" s="264" t="n"/>
      <c r="AM13" s="264" t="n"/>
      <c r="AN13" s="264" t="n"/>
      <c r="AO13" s="264" t="n"/>
      <c r="AP13" s="264" t="n"/>
      <c r="AQ13" s="264" t="n"/>
      <c r="AR13" s="158">
        <f>IF($A13="","",IF(OR($N13="Yes",$T13="Yes",$Z13="Yes",$AF13="Yes",$AL13="Yes"),"Yes","No"))</f>
        <v/>
      </c>
      <c r="AS13" s="158">
        <f>IF($A13="","",IFERROR(IF($AM13&lt;&gt;"",$AM13,IF($AG13&lt;&gt;"",$AG13,IF($AA13&lt;&gt;"",$AA13,IF($U13&lt;&gt;"",$U13,IF($O13&lt;&gt;"",$O13,""))))),""))</f>
        <v/>
      </c>
      <c r="AT13" s="158">
        <f>IFERROR(IF($AN13&lt;&gt;"",$AN13,IF($AH13&lt;&gt;"",$AH13,IF($AB13&lt;&gt;"",$AB13,IF($V13&lt;&gt;"",$V13,IF($P13&lt;&gt;"",$P13,""))))),"")</f>
        <v/>
      </c>
      <c r="AU13" s="265" t="inlineStr">
        <is>
          <t>Căn cứ: `AC-30.1.01` + `BR15-05`. Nếu giá trị ghi ở bước 4 trùng test data thì đổi sang SĐT/văn phòng khác trong catalog. · Đã sửa theo §10.4 (2026-09-17): thu hẹp — chỉ giữ điểm kiểm banner ở step cuối; điểm kiểm persist (mở lại xem giá trị) tách sang `TC-USR-016` mới. · 🔄 **SỬA EXPECTED 2026-09-18 (QC GiangDC2 chốt): hành vi app là ĐÚNG, ⛔ KHÔNG phải bug.** Expected cũ (*"banner xanh 'Đã lưu thông tin của bạn' + màn vẫn ở lại"*) **HẾT HIỆU LỰC**. Hành vi chốt: bấm "Lưu thay đổi" với dữ liệu hợp lệ ⇒ **không có banner**, app **điều hướng về màn "Cá nhân"**; dữ liệu lưu đúng (phủ bởi `TC-USR-016`). VR-001 từng ghi FAIL (ứng viên bug **B1**) — verdict đã đổi sang **PASS**, B1 **rút lại**. ⚠️ Nợ upstream: `SC-USR-014` THEN + `DOC-v1.1-01 §8.15.1 BR15-05`/`§6.2 AC-30.1.01` vẫn ghi "banner xanh + ở lại màn" ⇒ cần `/analyze-requirements --module USR` + clarification với BA. ⚠️ `Test Title` vẫn còn chữ *"hiển thị đúng banner xanh"* (Title không thuộc danh sách field được sửa ở `Project_rule §10.5`) ⇒ chờ QC chốt riêng.</t>
        </is>
      </c>
    </row>
    <row r="14">
      <c r="A14" s="160">
        <f>IF($F14="","",$C$2&amp;"."&amp;COUNTA($F$7:$F14)&amp;"")</f>
        <v/>
      </c>
      <c r="B14" s="160" t="inlineStr">
        <is>
          <t>REQ-USR-008</t>
        </is>
      </c>
      <c r="C14" s="160" t="inlineStr">
        <is>
          <t>DOC-v1.1-01 · DOC-v1.1-04</t>
        </is>
      </c>
      <c r="D14" s="160" t="inlineStr">
        <is>
          <t>Functional</t>
        </is>
      </c>
      <c r="E14" s="160" t="inlineStr">
        <is>
          <t>High</t>
        </is>
      </c>
      <c r="F14" s="11" t="inlineStr">
        <is>
          <t>Check giá trị số điện thoại và địa chỉ mặc định vẫn đúng sau khi mở lại màn</t>
        </is>
      </c>
      <c r="G14" s="11" t="inlineStr">
        <is>
          <t>- Tài khoản A là CBNV có hồ sơ đầy đủ trên STG.
- Host app FoxPro đã cài trên thiết bị Android/iOS.
Test Data: SĐT hợp lệ "0987654321"; văn phòng K3 "Lê Thái Tổ" (04_test-data/valid/USR-office-catalog.md)</t>
        </is>
      </c>
      <c r="H14" s="11" t="inlineStr">
        <is>
          <t>1. Đăng nhập FoxEco từ host app FoxPro bằng tài khoản A. (setup)
2. Nhấn tab "Cá nhân" ở bottom nav. (setup)
3. Nhấn mục menu "Cập nhật thông tin". (setup)
4. Ghi lại giá trị đang hiển thị ở field "Số điện thoại mặc định" và field "Địa chỉ mặc định". (setup)
5. Nhập "0987654321" vào field "Số điện thoại mặc định". (setup)
6. Nhập "Lê Thái Tổ" vào field "Địa chỉ mặc định". (setup)
7. Chọn "Tòa V-City, Lê Thái Tổ" trong danh sách gợi ý. (setup)
8. Nhấn nút "Lưu thay đổi". (setup)
9. Nhấn nút "←". (setup)
10. Nhấn mục menu "Cập nhật thông tin".
11. Check field "Số điện thoại mặc định" và field "Địa chỉ mặc định".</t>
        </is>
      </c>
      <c r="I14" s="11" t="inlineStr">
        <is>
          <t>11. Field "Số điện thoại mặc định" hiển thị "0987654321"; field "Địa chỉ mặc định" hiển thị "Tòa V-City, Lê Thái Tổ".</t>
        </is>
      </c>
      <c r="J14" s="160" t="inlineStr">
        <is>
          <t>AI</t>
        </is>
      </c>
      <c r="K14" s="160" t="inlineStr">
        <is>
          <t>Pending</t>
        </is>
      </c>
      <c r="L14" s="160" t="inlineStr">
        <is>
          <t>No</t>
        </is>
      </c>
      <c r="M14" s="160" t="inlineStr"/>
      <c r="N14" s="264" t="inlineStr">
        <is>
          <t>Yes</t>
        </is>
      </c>
      <c r="O14" s="264" t="inlineStr"/>
      <c r="P14" s="264" t="inlineStr">
        <is>
          <t>Pass</t>
        </is>
      </c>
      <c r="Q14" s="264" t="inlineStr">
        <is>
          <t>GiangDC2</t>
        </is>
      </c>
      <c r="R14" s="264" t="inlineStr"/>
      <c r="S14" s="264" t="inlineStr"/>
      <c r="T14" s="264" t="n"/>
      <c r="U14" s="264" t="n"/>
      <c r="V14" s="264" t="n"/>
      <c r="W14" s="264" t="n"/>
      <c r="X14" s="264" t="n"/>
      <c r="Y14" s="264" t="n"/>
      <c r="Z14" s="264" t="n"/>
      <c r="AA14" s="264" t="n"/>
      <c r="AB14" s="264" t="n"/>
      <c r="AC14" s="264" t="n"/>
      <c r="AD14" s="264" t="n"/>
      <c r="AE14" s="264" t="n"/>
      <c r="AF14" s="264" t="n"/>
      <c r="AG14" s="264" t="n"/>
      <c r="AH14" s="264" t="n"/>
      <c r="AI14" s="264" t="n"/>
      <c r="AJ14" s="264" t="n"/>
      <c r="AK14" s="264" t="n"/>
      <c r="AL14" s="264" t="n"/>
      <c r="AM14" s="264" t="n"/>
      <c r="AN14" s="264" t="n"/>
      <c r="AO14" s="264" t="n"/>
      <c r="AP14" s="264" t="n"/>
      <c r="AQ14" s="264" t="n"/>
      <c r="AR14" s="158">
        <f>IF($A14="","",IF(OR($N14="Yes",$T14="Yes",$Z14="Yes",$AF14="Yes",$AL14="Yes"),"Yes","No"))</f>
        <v/>
      </c>
      <c r="AS14" s="158">
        <f>IF($A14="","",IFERROR(IF($AM14&lt;&gt;"",$AM14,IF($AG14&lt;&gt;"",$AG14,IF($AA14&lt;&gt;"",$AA14,IF($U14&lt;&gt;"",$U14,IF($O14&lt;&gt;"",$O14,""))))),""))</f>
        <v/>
      </c>
      <c r="AT14" s="158">
        <f>IFERROR(IF($AN14&lt;&gt;"",$AN14,IF($AH14&lt;&gt;"",$AH14,IF($AB14&lt;&gt;"",$AB14,IF($V14&lt;&gt;"",$V14,IF($P14&lt;&gt;"",$P14,""))))),"")</f>
        <v/>
      </c>
      <c r="AU14" s="265" t="inlineStr">
        <is>
          <t>Technique: N/A — happy schema assert · Mục đích: tách khỏi `TC-USR-015` theo §10.4 (2026-09-17) — điểm kiểm persist thật (không tin banner) là lý do TC này tồn tại, giữ đúng ở step cuối. Căn cứ: Analyst Note `SC-USR-014` — "TC-USR-014 bắt buộc có bước mở lại màn để kiểm giá trị đã persist". Nếu giá trị ghi ở bước 4 trùng test data thì đổi sang SĐT/văn phòng khác trong catalog. TC mới, không có ID cũ 1-1.</t>
        </is>
      </c>
    </row>
    <row r="15">
      <c r="A15" s="160">
        <f>IF($F15="","",$C$2&amp;"."&amp;COUNTA($F$7:$F15)&amp;"")</f>
        <v/>
      </c>
      <c r="B15" s="160" t="inlineStr">
        <is>
          <t>REQ-USR-008</t>
        </is>
      </c>
      <c r="C15" s="160" t="inlineStr">
        <is>
          <t>DOC-v1.1-01</t>
        </is>
      </c>
      <c r="D15" s="160" t="inlineStr">
        <is>
          <t>UI</t>
        </is>
      </c>
      <c r="E15" s="160" t="inlineStr">
        <is>
          <t>Low</t>
        </is>
      </c>
      <c r="F15" s="11" t="inlineStr">
        <is>
          <t>Check hai lần lưu liên tiếp đều không hiện banner và đều về màn "Cá nhân"</t>
        </is>
      </c>
      <c r="G15" s="11" t="inlineStr">
        <is>
          <t>- Tài khoản A là CBNV có hồ sơ đầy đủ trên STG.
- Host app FoxPro đã cài trên thiết bị Android/iOS.
Test Data: SĐT hợp lệ "0987654321" / "0987654322" (test_data_catalog §USR v1.1)</t>
        </is>
      </c>
      <c r="H15" s="11" t="inlineStr">
        <is>
          <t>1. Đăng nhập FoxEco từ host app FoxPro bằng tài khoản A. (setup)
2. Nhấn tab "Cá nhân" ở bottom nav. (setup)
3. Nhấn mục menu "Cập nhật thông tin". (setup)
4. Nhập "0987654321" vào field "Số điện thoại mặc định". (setup)
5. Nhấn nút "Lưu thay đổi". (setup)
6. Mở lại mục menu "Cập nhật thông tin" từ màn "Cá nhân". (setup)
7. Nhập "0987654322" vào field "Số điện thoại mặc định".
8. Nhấn nút "Lưu thay đổi" lần 2.
9. Check màn hình ngay sau khi lưu lần 2.</t>
        </is>
      </c>
      <c r="I15" s="11" t="inlineStr">
        <is>
          <t>9. Giống lần lưu đầu (TC-USR-015): KHÔNG hiện banner nào, app tiếp tục điều hướng về màn "Cá nhân" — hành vi nhất quán giữa các lần lưu liên tiếp.</t>
        </is>
      </c>
      <c r="J15" s="160" t="inlineStr">
        <is>
          <t>AI</t>
        </is>
      </c>
      <c r="K15" s="160" t="inlineStr">
        <is>
          <t>Pending</t>
        </is>
      </c>
      <c r="L15" s="160" t="inlineStr">
        <is>
          <t>No</t>
        </is>
      </c>
      <c r="M15" s="160" t="inlineStr"/>
      <c r="N15" s="264" t="inlineStr">
        <is>
          <t>Yes</t>
        </is>
      </c>
      <c r="O15" s="264" t="inlineStr"/>
      <c r="P15" s="264" t="inlineStr">
        <is>
          <t>Pass</t>
        </is>
      </c>
      <c r="Q15" s="264" t="inlineStr">
        <is>
          <t>GiangDC2</t>
        </is>
      </c>
      <c r="R15" s="264" t="inlineStr"/>
      <c r="S15" s="264" t="inlineStr"/>
      <c r="T15" s="264" t="n"/>
      <c r="U15" s="264" t="n"/>
      <c r="V15" s="264" t="n"/>
      <c r="W15" s="264" t="n"/>
      <c r="X15" s="264" t="n"/>
      <c r="Y15" s="264" t="n"/>
      <c r="Z15" s="264" t="n"/>
      <c r="AA15" s="264" t="n"/>
      <c r="AB15" s="264" t="n"/>
      <c r="AC15" s="264" t="n"/>
      <c r="AD15" s="264" t="n"/>
      <c r="AE15" s="264" t="n"/>
      <c r="AF15" s="264" t="n"/>
      <c r="AG15" s="264" t="n"/>
      <c r="AH15" s="264" t="n"/>
      <c r="AI15" s="264" t="n"/>
      <c r="AJ15" s="264" t="n"/>
      <c r="AK15" s="264" t="n"/>
      <c r="AL15" s="264" t="n"/>
      <c r="AM15" s="264" t="n"/>
      <c r="AN15" s="264" t="n"/>
      <c r="AO15" s="264" t="n"/>
      <c r="AP15" s="264" t="n"/>
      <c r="AQ15" s="264" t="n"/>
      <c r="AR15" s="158">
        <f>IF($A15="","",IF(OR($N15="Yes",$T15="Yes",$Z15="Yes",$AF15="Yes",$AL15="Yes"),"Yes","No"))</f>
        <v/>
      </c>
      <c r="AS15" s="158">
        <f>IF($A15="","",IFERROR(IF($AM15&lt;&gt;"",$AM15,IF($AG15&lt;&gt;"",$AG15,IF($AA15&lt;&gt;"",$AA15,IF($U15&lt;&gt;"",$U15,IF($O15&lt;&gt;"",$O15,""))))),""))</f>
        <v/>
      </c>
      <c r="AT15" s="158">
        <f>IFERROR(IF($AN15&lt;&gt;"",$AN15,IF($AH15&lt;&gt;"",$AH15,IF($AB15&lt;&gt;"",$AB15,IF($V15&lt;&gt;"",$V15,IF($P15&lt;&gt;"",$P15,""))))),"")</f>
        <v/>
      </c>
      <c r="AU15" s="265" t="inlineStr">
        <is>
          <t>Căn cứ: BR15-05 + AC-30.1.01 "tự ẩn khi người dùng sửa tiếp". Không assert ẩn theo thời gian và không assert trường hợp chỉ chạm vào field mà không đổi nội dung — PRD không có mốc. · Đã sửa theo §10.4 (2026-09-17): bỏ dòng Expected ở step 6 (banner đang hiển thị) — điểm này đã có TC-USR-015 assert riêng (chuỗi banner đúng); TC này chỉ giữ đúng 1 điểm kiểm ở step cuối: banner tự ẩn khi sửa tiếp. · ID cũ: TC-USR-024. · 🔄 SỬA STEPS + EXPECTED 2026-09-18 (QC GiangDC2 chốt): tiền đề gốc "có banner, kiểm banner tự ẩn khi sửa tiếp" KHÔNG còn đúng sau khi bug B1 rút lại — app KHÔNG hề hiện banner ở bất kỳ lần lưu nào và tự điều hướng về "Cá nhân" (xem TC-USR-015). Viết lại Steps/Expected theo hướng kiểm tính nhất quán của hành vi không-banner qua 2 lần lưu liên tiếp, thay vì kiểm banner tự ẩn (không còn banner để mà ẩn). ⚠️ Nợ upstream: SC-USR-019 + BR15-05/AC-30.1.01 ("banner tự ẩn khi sửa tiếp") cần /analyze-requirements --module USR cập nhật lại cho khớp việc bỏ hẳn banner — chưa sửa ở đây vì ngoài phạm vi field được phép sửa của TC (Project_rule §10.5). 🔄 SỬA TEST TITLE 2026-09-18 (QC GiangDC2 chốt trực tiếp): Title cũ "Check banner đã lưu tự ẩn khi sửa tiếp nội dung field" → "Check hai lần lưu liên tiếp đều không hiện banner và đều về màn Cá nhân". Lý do: Steps + Expected đã đổi hẳn sang kiểm tính nhất quán của hành vi không-banner, Title cũ mô tả NGƯỢC nội dung TC ⇒ người đọc Title sẽ hiểu sai. §10.5 FREEZE vẫn giữ nguyên với thêm/xoá/tách/gộp TC — Σ TC không đổi (223 · USR 38). Đã verify PASS ở VR-003 theo đúng bản Steps/Expected này. ⚠️ TC-USR-015 vẫn còn Title cũ ("hiển thị đúng banner xanh") — việc còn treo riêng, chưa được chốt sửa.</t>
        </is>
      </c>
    </row>
    <row r="16">
      <c r="A16" s="160">
        <f>IF($F16="","",$C$2&amp;"."&amp;COUNTA($F$7:$F16)&amp;"")</f>
        <v/>
      </c>
      <c r="B16" s="160" t="inlineStr">
        <is>
          <t>REQ-USR-008</t>
        </is>
      </c>
      <c r="C16" s="160" t="inlineStr">
        <is>
          <t>DOC-v1.1-01</t>
        </is>
      </c>
      <c r="D16" s="160" t="inlineStr">
        <is>
          <t>Functional</t>
        </is>
      </c>
      <c r="E16" s="160" t="inlineStr">
        <is>
          <t>Medium</t>
        </is>
      </c>
      <c r="F16" s="11" t="inlineStr">
        <is>
          <t>Check để trống số điện thoại mặc định bị chặn lưu và báo lỗi dưới field</t>
        </is>
      </c>
      <c r="G16" s="11" t="inlineStr">
        <is>
          <t>- Tài khoản A là CBNV có hồ sơ đầy đủ trên STG.
- Host app FoxPro đã cài trên thiết bị Android/iOS.
Test Data: SĐT để trống (test_data_catalog §USR v1.1 — Số điện thoại mặc định)</t>
        </is>
      </c>
      <c r="H16" s="11" t="inlineStr">
        <is>
          <t>1. Đăng nhập FoxEco từ host app FoxPro bằng tài khoản A. (setup)
2. Nhấn tab "Cá nhân" ở bottom nav. (setup)
3. Nhấn mục menu "Cập nhật thông tin". (setup)
4. Xoá toàn bộ nội dung field "Số điện thoại mặc định".
5. Nhấn nút "Lưu thay đổi".</t>
        </is>
      </c>
      <c r="I16" s="11" t="inlineStr">
        <is>
          <t>5. Hiển thị thông báo lỗi màu đỏ "Vui lòng nhập số điện thoại" ngay dưới field "Số điện thoại mặc định"; KHÔNG hiển thị banner "Đã lưu thông tin của bạn".</t>
        </is>
      </c>
      <c r="J16" s="160" t="inlineStr">
        <is>
          <t>AI</t>
        </is>
      </c>
      <c r="K16" s="160" t="inlineStr">
        <is>
          <t>Pending</t>
        </is>
      </c>
      <c r="L16" s="160" t="inlineStr">
        <is>
          <t>No</t>
        </is>
      </c>
      <c r="M16" s="160" t="inlineStr"/>
      <c r="N16" s="264" t="inlineStr">
        <is>
          <t>Yes</t>
        </is>
      </c>
      <c r="O16" s="264" t="inlineStr"/>
      <c r="P16" s="264" t="inlineStr">
        <is>
          <t>Fail</t>
        </is>
      </c>
      <c r="Q16" s="264" t="inlineStr">
        <is>
          <t>GiangDC2</t>
        </is>
      </c>
      <c r="R16" s="264" t="inlineStr">
        <is>
          <t>FE-291</t>
        </is>
      </c>
      <c r="S16" s="264" t="inlineStr"/>
      <c r="T16" s="264" t="n"/>
      <c r="U16" s="264" t="n"/>
      <c r="V16" s="264" t="n"/>
      <c r="W16" s="264" t="n"/>
      <c r="X16" s="264" t="n"/>
      <c r="Y16" s="264" t="n"/>
      <c r="Z16" s="264" t="n"/>
      <c r="AA16" s="264" t="n"/>
      <c r="AB16" s="264" t="n"/>
      <c r="AC16" s="264" t="n"/>
      <c r="AD16" s="264" t="n"/>
      <c r="AE16" s="264" t="n"/>
      <c r="AF16" s="264" t="n"/>
      <c r="AG16" s="264" t="n"/>
      <c r="AH16" s="264" t="n"/>
      <c r="AI16" s="264" t="n"/>
      <c r="AJ16" s="264" t="n"/>
      <c r="AK16" s="264" t="n"/>
      <c r="AL16" s="264" t="n"/>
      <c r="AM16" s="264" t="n"/>
      <c r="AN16" s="264" t="n"/>
      <c r="AO16" s="264" t="n"/>
      <c r="AP16" s="264" t="n"/>
      <c r="AQ16" s="264" t="n"/>
      <c r="AR16" s="158">
        <f>IF($A16="","",IF(OR($N16="Yes",$T16="Yes",$Z16="Yes",$AF16="Yes",$AL16="Yes"),"Yes","No"))</f>
        <v/>
      </c>
      <c r="AS16" s="158">
        <f>IF($A16="","",IFERROR(IF($AM16&lt;&gt;"",$AM16,IF($AG16&lt;&gt;"",$AG16,IF($AA16&lt;&gt;"",$AA16,IF($U16&lt;&gt;"",$U16,IF($O16&lt;&gt;"",$O16,""))))),""))</f>
        <v/>
      </c>
      <c r="AT16" s="158">
        <f>IFERROR(IF($AN16&lt;&gt;"",$AN16,IF($AH16&lt;&gt;"",$AH16,IF($AB16&lt;&gt;"",$AB16,IF($V16&lt;&gt;"",$V16,IF($P16&lt;&gt;"",$P16,""))))),"")</f>
        <v/>
      </c>
      <c r="AU16" s="265" t="inlineStr">
        <is>
          <t>Căn cứ: `BR15-02` + `AC-30.1.02`. PRD không có chuỗi thông báo. Chuỗi thông báo theo demo `DOC-v1.1-02` — BA xác nhận 2026-09-17 là chuỗi chính thức (PRD không đặc tả); STG hiện chuỗi khác ⇒ log bug, ⛔ không sửa TC. · ID cũ: TC-USR-016.</t>
        </is>
      </c>
    </row>
    <row r="17">
      <c r="A17" s="160">
        <f>IF($F17="","",$C$2&amp;"."&amp;COUNTA($F$7:$F17)&amp;"")</f>
        <v/>
      </c>
      <c r="B17" s="160" t="inlineStr">
        <is>
          <t>REQ-USR-008</t>
        </is>
      </c>
      <c r="C17" s="160" t="inlineStr">
        <is>
          <t>DOC-v1.1-01</t>
        </is>
      </c>
      <c r="D17" s="160" t="inlineStr">
        <is>
          <t>Functional</t>
        </is>
      </c>
      <c r="E17" s="160" t="inlineStr">
        <is>
          <t>Medium</t>
        </is>
      </c>
      <c r="F17" s="11" t="inlineStr">
        <is>
          <t>Check số điện thoại mặc định 9 chữ số bị chặn lưu</t>
        </is>
      </c>
      <c r="G17" s="11" t="inlineStr">
        <is>
          <t>- Tài khoản A là CBNV có hồ sơ đầy đủ trên STG.
- Host app FoxPro đã cài trên thiết bị Android/iOS.
Test Data: SĐT 9 chữ số "091234567" (test_data_catalog §USR v1.1, biên dưới)</t>
        </is>
      </c>
      <c r="H17" s="11" t="inlineStr">
        <is>
          <t>1. Đăng nhập FoxEco từ host app FoxPro bằng tài khoản A. (setup)
2. Nhấn tab "Cá nhân" ở bottom nav. (setup)
3. Nhấn mục menu "Cập nhật thông tin". (setup)
4. Nhập "091234567" vào field "Số điện thoại mặc định".
5. Nhấn nút "Lưu thay đổi".</t>
        </is>
      </c>
      <c r="I17" s="11" t="inlineStr">
        <is>
          <t>5. Hiển thị thông báo lỗi màu đỏ "Số điện thoại không hợp lệ (10 số, bắt đầu bằng 0)" ngay dưới field "Số điện thoại mặc định"; KHÔNG hiển thị banner "Đã lưu thông tin của bạn".</t>
        </is>
      </c>
      <c r="J17" s="160" t="inlineStr">
        <is>
          <t>AI</t>
        </is>
      </c>
      <c r="K17" s="160" t="inlineStr">
        <is>
          <t>Pending</t>
        </is>
      </c>
      <c r="L17" s="160" t="inlineStr">
        <is>
          <t>No</t>
        </is>
      </c>
      <c r="M17" s="160" t="inlineStr"/>
      <c r="N17" s="264" t="inlineStr">
        <is>
          <t>Yes</t>
        </is>
      </c>
      <c r="O17" s="264" t="inlineStr"/>
      <c r="P17" s="264" t="inlineStr">
        <is>
          <t>Fail</t>
        </is>
      </c>
      <c r="Q17" s="264" t="inlineStr">
        <is>
          <t>GiangDC2</t>
        </is>
      </c>
      <c r="R17" s="264" t="inlineStr">
        <is>
          <t>FE-291</t>
        </is>
      </c>
      <c r="S17" s="264" t="inlineStr"/>
      <c r="T17" s="264" t="n"/>
      <c r="U17" s="264" t="n"/>
      <c r="V17" s="264" t="n"/>
      <c r="W17" s="264" t="n"/>
      <c r="X17" s="264" t="n"/>
      <c r="Y17" s="264" t="n"/>
      <c r="Z17" s="264" t="n"/>
      <c r="AA17" s="264" t="n"/>
      <c r="AB17" s="264" t="n"/>
      <c r="AC17" s="264" t="n"/>
      <c r="AD17" s="264" t="n"/>
      <c r="AE17" s="264" t="n"/>
      <c r="AF17" s="264" t="n"/>
      <c r="AG17" s="264" t="n"/>
      <c r="AH17" s="264" t="n"/>
      <c r="AI17" s="264" t="n"/>
      <c r="AJ17" s="264" t="n"/>
      <c r="AK17" s="264" t="n"/>
      <c r="AL17" s="264" t="n"/>
      <c r="AM17" s="264" t="n"/>
      <c r="AN17" s="264" t="n"/>
      <c r="AO17" s="264" t="n"/>
      <c r="AP17" s="264" t="n"/>
      <c r="AQ17" s="264" t="n"/>
      <c r="AR17" s="158">
        <f>IF($A17="","",IF(OR($N17="Yes",$T17="Yes",$Z17="Yes",$AF17="Yes",$AL17="Yes"),"Yes","No"))</f>
        <v/>
      </c>
      <c r="AS17" s="158">
        <f>IF($A17="","",IFERROR(IF($AM17&lt;&gt;"",$AM17,IF($AG17&lt;&gt;"",$AG17,IF($AA17&lt;&gt;"",$AA17,IF($U17&lt;&gt;"",$U17,IF($O17&lt;&gt;"",$O17,""))))),""))</f>
        <v/>
      </c>
      <c r="AT17" s="158">
        <f>IFERROR(IF($AN17&lt;&gt;"",$AN17,IF($AH17&lt;&gt;"",$AH17,IF($AB17&lt;&gt;"",$AB17,IF($V17&lt;&gt;"",$V17,IF($P17&lt;&gt;"",$P17,""))))),"")</f>
        <v/>
      </c>
      <c r="AU17" s="265" t="inlineStr">
        <is>
          <t>Mục đích: cặp biên với TC-USR-020 quanh mốc đúng 10 chữ số (giá trị hợp lệ đối chứng ở TC-USR-015). · Căn cứ: BA chốt 2026-09-16 "bắt đầu bằng 0, đúng 10 ký tự số" + `BR15-02`. · Chuỗi thông báo theo demo `DOC-v1.1-02` — BA xác nhận 2026-09-17 là chuỗi chính thức. · ID cũ: TC-USR-017.</t>
        </is>
      </c>
    </row>
    <row r="18">
      <c r="A18" s="160">
        <f>IF($F18="","",$C$2&amp;"."&amp;COUNTA($F$7:$F18)&amp;"")</f>
        <v/>
      </c>
      <c r="B18" s="160" t="inlineStr">
        <is>
          <t>REQ-USR-008</t>
        </is>
      </c>
      <c r="C18" s="160" t="inlineStr">
        <is>
          <t>DOC-v1.1-01</t>
        </is>
      </c>
      <c r="D18" s="160" t="inlineStr">
        <is>
          <t>Functional</t>
        </is>
      </c>
      <c r="E18" s="160" t="inlineStr">
        <is>
          <t>Medium</t>
        </is>
      </c>
      <c r="F18" s="11" t="inlineStr">
        <is>
          <t>Check số điện thoại mặc định 11 chữ số bị chặn lưu</t>
        </is>
      </c>
      <c r="G18" s="11" t="inlineStr">
        <is>
          <t>- Tài khoản A là CBNV có hồ sơ đầy đủ trên STG.
- Host app FoxPro đã cài trên thiết bị Android/iOS.
Test Data: SĐT 11 chữ số "09123456789" (test_data_catalog §USR v1.1, biên trên)</t>
        </is>
      </c>
      <c r="H18" s="11" t="inlineStr">
        <is>
          <t>1. Đăng nhập FoxEco từ host app FoxPro bằng tài khoản A. (setup)
2. Nhấn tab "Cá nhân" ở bottom nav. (setup)
3. Nhấn mục menu "Cập nhật thông tin". (setup)
4. Nhập "09123456789" vào field "Số điện thoại mặc định".
5. Nhấn nút "Lưu thay đổi".
6. Nhấn nút "←".
7. Nhấn mục menu "Cập nhật thông tin".
8. Check field "Số điện thoại mặc định".</t>
        </is>
      </c>
      <c r="I18" s="11" t="inlineStr">
        <is>
          <t>8. Field "Số điện thoại mặc định" không hiển thị "09123456789".</t>
        </is>
      </c>
      <c r="J18" s="160" t="inlineStr">
        <is>
          <t>AI</t>
        </is>
      </c>
      <c r="K18" s="160" t="inlineStr">
        <is>
          <t>Pending</t>
        </is>
      </c>
      <c r="L18" s="160" t="inlineStr">
        <is>
          <t>No</t>
        </is>
      </c>
      <c r="M18" s="160" t="inlineStr"/>
      <c r="N18" s="264" t="inlineStr">
        <is>
          <t>Yes</t>
        </is>
      </c>
      <c r="O18" s="264" t="inlineStr"/>
      <c r="P18" s="264" t="inlineStr">
        <is>
          <t>Pass</t>
        </is>
      </c>
      <c r="Q18" s="264" t="inlineStr">
        <is>
          <t>GiangDC2</t>
        </is>
      </c>
      <c r="R18" s="264" t="inlineStr"/>
      <c r="S18" s="264" t="inlineStr"/>
      <c r="T18" s="264" t="n"/>
      <c r="U18" s="264" t="n"/>
      <c r="V18" s="264" t="n"/>
      <c r="W18" s="264" t="n"/>
      <c r="X18" s="264" t="n"/>
      <c r="Y18" s="264" t="n"/>
      <c r="Z18" s="264" t="n"/>
      <c r="AA18" s="264" t="n"/>
      <c r="AB18" s="264" t="n"/>
      <c r="AC18" s="264" t="n"/>
      <c r="AD18" s="264" t="n"/>
      <c r="AE18" s="264" t="n"/>
      <c r="AF18" s="264" t="n"/>
      <c r="AG18" s="264" t="n"/>
      <c r="AH18" s="264" t="n"/>
      <c r="AI18" s="264" t="n"/>
      <c r="AJ18" s="264" t="n"/>
      <c r="AK18" s="264" t="n"/>
      <c r="AL18" s="264" t="n"/>
      <c r="AM18" s="264" t="n"/>
      <c r="AN18" s="264" t="n"/>
      <c r="AO18" s="264" t="n"/>
      <c r="AP18" s="264" t="n"/>
      <c r="AQ18" s="264" t="n"/>
      <c r="AR18" s="158">
        <f>IF($A18="","",IF(OR($N18="Yes",$T18="Yes",$Z18="Yes",$AF18="Yes",$AL18="Yes"),"Yes","No"))</f>
        <v/>
      </c>
      <c r="AS18" s="158">
        <f>IF($A18="","",IFERROR(IF($AM18&lt;&gt;"",$AM18,IF($AG18&lt;&gt;"",$AG18,IF($AA18&lt;&gt;"",$AA18,IF($U18&lt;&gt;"",$U18,IF($O18&lt;&gt;"",$O18,""))))),""))</f>
        <v/>
      </c>
      <c r="AT18" s="158">
        <f>IFERROR(IF($AN18&lt;&gt;"",$AN18,IF($AH18&lt;&gt;"",$AH18,IF($AB18&lt;&gt;"",$AB18,IF($V18&lt;&gt;"",$V18,IF($P18&lt;&gt;"",$P18,""))))),"")</f>
        <v/>
      </c>
      <c r="AU18" s="265" t="inlineStr">
        <is>
          <t>Mục đích: cặp biên với TC-USR-018. · Căn cứ: BA chốt 2026-09-16 "đúng 10 ký tự số" + `BR15-02`. Chưa đặc tả app chặn nhập ở chữ số thứ 11 hay báo lỗi khi lưu ⇒ chỉ assert kết quả cuối: không lưu được chuỗi 11 chữ số. · Đã sửa theo §10.4 (2026-09-17): bỏ dòng Expected ở step 5 ("KHÔNG hiển thị banner") — hành vi block ngay hay ở persist chưa rõ theo doc, chỉ assert chắc điểm cuối. · ID cũ: TC-USR-018.</t>
        </is>
      </c>
    </row>
    <row r="19">
      <c r="A19" s="160">
        <f>IF($F19="","",$C$2&amp;"."&amp;COUNTA($F$7:$F19)&amp;"")</f>
        <v/>
      </c>
      <c r="B19" s="160" t="inlineStr">
        <is>
          <t>REQ-USR-008</t>
        </is>
      </c>
      <c r="C19" s="160" t="inlineStr">
        <is>
          <t>DOC-v1.1-01</t>
        </is>
      </c>
      <c r="D19" s="160" t="inlineStr">
        <is>
          <t>Functional</t>
        </is>
      </c>
      <c r="E19" s="160" t="inlineStr">
        <is>
          <t>Medium</t>
        </is>
      </c>
      <c r="F19" s="11" t="inlineStr">
        <is>
          <t>Check số điện thoại mặc định không bắt đầu bằng 0 bị chặn lưu</t>
        </is>
      </c>
      <c r="G19" s="11" t="inlineStr">
        <is>
          <t>- Tài khoản A là CBNV có hồ sơ đầy đủ trên STG.
- Host app FoxPro đã cài trên thiết bị Android/iOS.
Test Data: SĐT 10 chữ số không bắt đầu bằng 0 "1912345678" (test_data_catalog §USR v1.1)</t>
        </is>
      </c>
      <c r="H19" s="11" t="inlineStr">
        <is>
          <t>1. Đăng nhập FoxEco từ host app FoxPro bằng tài khoản A. (setup)
2. Nhấn tab "Cá nhân" ở bottom nav. (setup)
3. Nhấn mục menu "Cập nhật thông tin". (setup)
4. Nhập "1912345678" vào field "Số điện thoại mặc định".
5. Nhấn nút "Lưu thay đổi".</t>
        </is>
      </c>
      <c r="I19" s="11" t="inlineStr">
        <is>
          <t>5. Hiển thị thông báo lỗi màu đỏ "Số điện thoại không hợp lệ (10 số, bắt đầu bằng 0)" ngay dưới field "Số điện thoại mặc định"; KHÔNG hiển thị banner "Đã lưu thông tin của bạn".</t>
        </is>
      </c>
      <c r="J19" s="160" t="inlineStr">
        <is>
          <t>AI</t>
        </is>
      </c>
      <c r="K19" s="160" t="inlineStr">
        <is>
          <t>Pending</t>
        </is>
      </c>
      <c r="L19" s="160" t="inlineStr">
        <is>
          <t>No</t>
        </is>
      </c>
      <c r="M19" s="160" t="inlineStr"/>
      <c r="N19" s="264" t="inlineStr">
        <is>
          <t>Yes</t>
        </is>
      </c>
      <c r="O19" s="264" t="inlineStr"/>
      <c r="P19" s="264" t="inlineStr">
        <is>
          <t>Fail</t>
        </is>
      </c>
      <c r="Q19" s="264" t="inlineStr">
        <is>
          <t>GiangDC2</t>
        </is>
      </c>
      <c r="R19" s="264" t="inlineStr">
        <is>
          <t>FE-291</t>
        </is>
      </c>
      <c r="S19" s="264" t="inlineStr"/>
      <c r="T19" s="264" t="n"/>
      <c r="U19" s="264" t="n"/>
      <c r="V19" s="264" t="n"/>
      <c r="W19" s="264" t="n"/>
      <c r="X19" s="264" t="n"/>
      <c r="Y19" s="264" t="n"/>
      <c r="Z19" s="264" t="n"/>
      <c r="AA19" s="264" t="n"/>
      <c r="AB19" s="264" t="n"/>
      <c r="AC19" s="264" t="n"/>
      <c r="AD19" s="264" t="n"/>
      <c r="AE19" s="264" t="n"/>
      <c r="AF19" s="264" t="n"/>
      <c r="AG19" s="264" t="n"/>
      <c r="AH19" s="264" t="n"/>
      <c r="AI19" s="264" t="n"/>
      <c r="AJ19" s="264" t="n"/>
      <c r="AK19" s="264" t="n"/>
      <c r="AL19" s="264" t="n"/>
      <c r="AM19" s="264" t="n"/>
      <c r="AN19" s="264" t="n"/>
      <c r="AO19" s="264" t="n"/>
      <c r="AP19" s="264" t="n"/>
      <c r="AQ19" s="264" t="n"/>
      <c r="AR19" s="158">
        <f>IF($A19="","",IF(OR($N19="Yes",$T19="Yes",$Z19="Yes",$AF19="Yes",$AL19="Yes"),"Yes","No"))</f>
        <v/>
      </c>
      <c r="AS19" s="158">
        <f>IF($A19="","",IFERROR(IF($AM19&lt;&gt;"",$AM19,IF($AG19&lt;&gt;"",$AG19,IF($AA19&lt;&gt;"",$AA19,IF($U19&lt;&gt;"",$U19,IF($O19&lt;&gt;"",$O19,""))))),""))</f>
        <v/>
      </c>
      <c r="AT19" s="158">
        <f>IFERROR(IF($AN19&lt;&gt;"",$AN19,IF($AH19&lt;&gt;"",$AH19,IF($AB19&lt;&gt;"",$AB19,IF($V19&lt;&gt;"",$V19,IF($P19&lt;&gt;"",$P19,""))))),"")</f>
        <v/>
      </c>
      <c r="AU19" s="265" t="inlineStr">
        <is>
          <t>Căn cứ: `AC-30.1.02` "10 số, đầu 0" + BA chốt 2026-09-16. · Chuỗi thông báo theo demo `DOC-v1.1-02` — BA xác nhận 2026-09-17 là chuỗi chính thức. · ID cũ: TC-USR-019.</t>
        </is>
      </c>
    </row>
    <row r="20">
      <c r="A20" s="160">
        <f>IF($F20="","",$C$2&amp;"."&amp;COUNTA($F$7:$F20)&amp;"")</f>
        <v/>
      </c>
      <c r="B20" s="160" t="inlineStr">
        <is>
          <t>REQ-USR-008</t>
        </is>
      </c>
      <c r="C20" s="160" t="inlineStr">
        <is>
          <t>DOC-v1.1-01</t>
        </is>
      </c>
      <c r="D20" s="160" t="inlineStr">
        <is>
          <t>Functional</t>
        </is>
      </c>
      <c r="E20" s="160" t="inlineStr">
        <is>
          <t>Medium</t>
        </is>
      </c>
      <c r="F20" s="11" t="inlineStr">
        <is>
          <t>Check số điện thoại mặc định chứa khoảng trắng bị chặn lưu</t>
        </is>
      </c>
      <c r="G20" s="11" t="inlineStr">
        <is>
          <t>- Tài khoản A là CBNV có hồ sơ đầy đủ trên STG.
- Host app FoxPro đã cài trên thiết bị Android/iOS.
Test Data: "0912 345 678" (test_data_catalog §USR v1.1 — Invalid)</t>
        </is>
      </c>
      <c r="H20" s="11" t="inlineStr">
        <is>
          <t>1. Đăng nhập FoxEco từ host app FoxPro bằng tài khoản A. (setup)
2. Nhấn tab "Cá nhân" ở bottom nav. (setup)
3. Nhấn mục menu "Cập nhật thông tin". (setup)
4. Nhập "0912 345 678" vào field "Số điện thoại mặc định".
5. Nhấn nút "Lưu thay đổi".</t>
        </is>
      </c>
      <c r="I20" s="11" t="inlineStr">
        <is>
          <t>5. Hiển thị thông báo lỗi màu đỏ "Số điện thoại không hợp lệ (10 số, bắt đầu bằng 0)" ngay dưới field "Số điện thoại mặc định"; KHÔNG hiển thị banner "Đã lưu thông tin của bạn".</t>
        </is>
      </c>
      <c r="J20" s="160" t="inlineStr">
        <is>
          <t>AI</t>
        </is>
      </c>
      <c r="K20" s="160" t="inlineStr">
        <is>
          <t>Pending</t>
        </is>
      </c>
      <c r="L20" s="160" t="inlineStr">
        <is>
          <t>No</t>
        </is>
      </c>
      <c r="M20" s="160" t="inlineStr"/>
      <c r="N20" s="264" t="inlineStr">
        <is>
          <t>Yes</t>
        </is>
      </c>
      <c r="O20" s="264" t="inlineStr"/>
      <c r="P20" s="264" t="inlineStr">
        <is>
          <t>Fail</t>
        </is>
      </c>
      <c r="Q20" s="264" t="inlineStr">
        <is>
          <t>GiangDC2</t>
        </is>
      </c>
      <c r="R20" s="264" t="inlineStr">
        <is>
          <t>FE-290</t>
        </is>
      </c>
      <c r="S20" s="264" t="inlineStr"/>
      <c r="T20" s="264" t="n"/>
      <c r="U20" s="264" t="n"/>
      <c r="V20" s="264" t="n"/>
      <c r="W20" s="264" t="n"/>
      <c r="X20" s="264" t="n"/>
      <c r="Y20" s="264" t="n"/>
      <c r="Z20" s="264" t="n"/>
      <c r="AA20" s="264" t="n"/>
      <c r="AB20" s="264" t="n"/>
      <c r="AC20" s="264" t="n"/>
      <c r="AD20" s="264" t="n"/>
      <c r="AE20" s="264" t="n"/>
      <c r="AF20" s="264" t="n"/>
      <c r="AG20" s="264" t="n"/>
      <c r="AH20" s="264" t="n"/>
      <c r="AI20" s="264" t="n"/>
      <c r="AJ20" s="264" t="n"/>
      <c r="AK20" s="264" t="n"/>
      <c r="AL20" s="264" t="n"/>
      <c r="AM20" s="264" t="n"/>
      <c r="AN20" s="264" t="n"/>
      <c r="AO20" s="264" t="n"/>
      <c r="AP20" s="264" t="n"/>
      <c r="AQ20" s="264" t="n"/>
      <c r="AR20" s="158">
        <f>IF($A20="","",IF(OR($N20="Yes",$T20="Yes",$Z20="Yes",$AF20="Yes",$AL20="Yes"),"Yes","No"))</f>
        <v/>
      </c>
      <c r="AS20" s="158">
        <f>IF($A20="","",IFERROR(IF($AM20&lt;&gt;"",$AM20,IF($AG20&lt;&gt;"",$AG20,IF($AA20&lt;&gt;"",$AA20,IF($U20&lt;&gt;"",$U20,IF($O20&lt;&gt;"",$O20,""))))),""))</f>
        <v/>
      </c>
      <c r="AT20" s="158">
        <f>IFERROR(IF($AN20&lt;&gt;"",$AN20,IF($AH20&lt;&gt;"",$AH20,IF($AB20&lt;&gt;"",$AB20,IF($V20&lt;&gt;"",$V20,IF($P20&lt;&gt;"",$P20,""))))),"")</f>
        <v/>
      </c>
      <c r="AU20" s="265" t="inlineStr">
        <is>
          <t>Mục đích: "10 ký tự là số" loại cả dạng hiển thị có khoảng trắng mà demo dùng — dễ bị coi là hợp lệ. · Căn cứ: BA chốt 2026-09-16. · Chuỗi thông báo theo demo `DOC-v1.1-02` — BA xác nhận 2026-09-17 là chuỗi chính thức. · Đã sửa theo §10.4 (2026-09-17): tách khỏi `TC-USR-020` cũ (3 định dạng invalid gộp 1 TC) thành 3 TC riêng, mỗi TC 1 định dạng ở step cuối. · ID cũ: TC-USR-020 (một phần).</t>
        </is>
      </c>
    </row>
    <row r="21" ht="15.75" customHeight="1" s="216">
      <c r="A21" s="160">
        <f>IF($F21="","",$C$2&amp;"."&amp;COUNTA($F$7:$F21)&amp;"")</f>
        <v/>
      </c>
      <c r="B21" s="160" t="inlineStr">
        <is>
          <t>REQ-USR-008</t>
        </is>
      </c>
      <c r="C21" s="160" t="inlineStr">
        <is>
          <t>DOC-v1.1-01</t>
        </is>
      </c>
      <c r="D21" s="160" t="inlineStr">
        <is>
          <t>Functional</t>
        </is>
      </c>
      <c r="E21" s="160" t="inlineStr">
        <is>
          <t>Medium</t>
        </is>
      </c>
      <c r="F21" s="11" t="inlineStr">
        <is>
          <t>Check số điện thoại mặc định có tiền tố +84 bị chặn lưu</t>
        </is>
      </c>
      <c r="G21" s="11" t="inlineStr">
        <is>
          <t>- Tài khoản A là CBNV có hồ sơ đầy đủ trên STG.
- Host app FoxPro đã cài trên thiết bị Android/iOS.
Test Data: "+84912345678" (test_data_catalog §USR v1.1 — Invalid)</t>
        </is>
      </c>
      <c r="H21" s="11" t="inlineStr">
        <is>
          <t>1. Đăng nhập FoxEco từ host app FoxPro bằng tài khoản A. (setup)
2. Nhấn tab "Cá nhân" ở bottom nav. (setup)
3. Nhấn mục menu "Cập nhật thông tin". (setup)
4. Nhập "+84912345678" vào field "Số điện thoại mặc định".
5. Nhấn nút "Lưu thay đổi".</t>
        </is>
      </c>
      <c r="I21" s="11" t="inlineStr">
        <is>
          <t>5. Hiển thị thông báo lỗi màu đỏ "Số điện thoại không hợp lệ (10 số, bắt đầu bằng 0)" ngay dưới field "Số điện thoại mặc định"; KHÔNG hiển thị banner "Đã lưu thông tin của bạn".</t>
        </is>
      </c>
      <c r="J21" s="160" t="inlineStr">
        <is>
          <t>AI</t>
        </is>
      </c>
      <c r="K21" s="160" t="inlineStr">
        <is>
          <t>Pending</t>
        </is>
      </c>
      <c r="L21" s="160" t="inlineStr">
        <is>
          <t>No</t>
        </is>
      </c>
      <c r="M21" s="160" t="inlineStr"/>
      <c r="N21" s="264" t="inlineStr">
        <is>
          <t>Yes</t>
        </is>
      </c>
      <c r="O21" s="264" t="inlineStr"/>
      <c r="P21" s="264" t="inlineStr">
        <is>
          <t>Fail</t>
        </is>
      </c>
      <c r="Q21" s="264" t="inlineStr">
        <is>
          <t>GiangDC2</t>
        </is>
      </c>
      <c r="R21" s="264" t="inlineStr">
        <is>
          <t>FE-290</t>
        </is>
      </c>
      <c r="S21" s="264" t="inlineStr"/>
      <c r="T21" s="264" t="n"/>
      <c r="U21" s="264" t="n"/>
      <c r="V21" s="264" t="n"/>
      <c r="W21" s="264" t="n"/>
      <c r="X21" s="264" t="n"/>
      <c r="Y21" s="264" t="n"/>
      <c r="Z21" s="264" t="n"/>
      <c r="AA21" s="264" t="n"/>
      <c r="AB21" s="264" t="n"/>
      <c r="AC21" s="264" t="n"/>
      <c r="AD21" s="264" t="n"/>
      <c r="AE21" s="264" t="n"/>
      <c r="AF21" s="264" t="n"/>
      <c r="AG21" s="264" t="n"/>
      <c r="AH21" s="264" t="n"/>
      <c r="AI21" s="264" t="n"/>
      <c r="AJ21" s="264" t="n"/>
      <c r="AK21" s="264" t="n"/>
      <c r="AL21" s="264" t="n"/>
      <c r="AM21" s="264" t="n"/>
      <c r="AN21" s="264" t="n"/>
      <c r="AO21" s="264" t="n"/>
      <c r="AP21" s="264" t="n"/>
      <c r="AQ21" s="264" t="n"/>
      <c r="AR21" s="158">
        <f>IF($A21="","",IF(OR($N21="Yes",$T21="Yes",$Z21="Yes",$AF21="Yes",$AL21="Yes"),"Yes","No"))</f>
        <v/>
      </c>
      <c r="AS21" s="158">
        <f>IF($A21="","",IFERROR(IF($AM21&lt;&gt;"",$AM21,IF($AG21&lt;&gt;"",$AG21,IF($AA21&lt;&gt;"",$AA21,IF($U21&lt;&gt;"",$U21,IF($O21&lt;&gt;"",$O21,""))))),""))</f>
        <v/>
      </c>
      <c r="AT21" s="158">
        <f>IFERROR(IF($AN21&lt;&gt;"",$AN21,IF($AH21&lt;&gt;"",$AH21,IF($AB21&lt;&gt;"",$AB21,IF($V21&lt;&gt;"",$V21,IF($P21&lt;&gt;"",$P21,""))))),"")</f>
        <v/>
      </c>
      <c r="AU21" s="265" t="inlineStr">
        <is>
          <t>Mục đích: định dạng quốc tế +84 không đúng "10 số, đầu 0" — dễ nhầm là hợp lệ vì đúng số quốc gia VN. · Căn cứ: BA chốt 2026-09-16. · Chuỗi thông báo theo demo `DOC-v1.1-02` — BA xác nhận 2026-09-17 là chuỗi chính thức. · TC mới tách theo §10.4 (2026-09-17) từ `TC-USR-020` cũ, không có ID cũ 1-1.</t>
        </is>
      </c>
    </row>
    <row r="22" ht="15.75" customHeight="1" s="216">
      <c r="A22" s="160">
        <f>IF($F22="","",$C$2&amp;"."&amp;COUNTA($F$7:$F22)&amp;"")</f>
        <v/>
      </c>
      <c r="B22" s="160" t="inlineStr">
        <is>
          <t>REQ-USR-008</t>
        </is>
      </c>
      <c r="C22" s="160" t="inlineStr">
        <is>
          <t>DOC-v1.1-01</t>
        </is>
      </c>
      <c r="D22" s="160" t="inlineStr">
        <is>
          <t>Functional</t>
        </is>
      </c>
      <c r="E22" s="160" t="inlineStr">
        <is>
          <t>Medium</t>
        </is>
      </c>
      <c r="F22" s="11" t="inlineStr">
        <is>
          <t>Check số điện thoại mặc định chứa chữ bị chặn lưu</t>
        </is>
      </c>
      <c r="G22" s="11" t="inlineStr">
        <is>
          <t>- Tài khoản A là CBNV có hồ sơ đầy đủ trên STG.
- Host app FoxPro đã cài trên thiết bị Android/iOS.
Test Data: "09123a5678" (test_data_catalog §USR v1.1 — Invalid)</t>
        </is>
      </c>
      <c r="H22" s="11" t="inlineStr">
        <is>
          <t>1. Đăng nhập FoxEco từ host app FoxPro bằng tài khoản A. (setup)
2. Nhấn tab "Cá nhân" ở bottom nav. (setup)
3. Nhấn mục menu "Cập nhật thông tin". (setup)
4. Nhập "09123a5678" vào field "Số điện thoại mặc định".
5. Nhấn nút "Lưu thay đổi".</t>
        </is>
      </c>
      <c r="I22" s="11" t="inlineStr">
        <is>
          <t>5. Hiển thị thông báo lỗi màu đỏ "Số điện thoại không hợp lệ (10 số, bắt đầu bằng 0)" ngay dưới field "Số điện thoại mặc định"; KHÔNG hiển thị banner "Đã lưu thông tin của bạn".</t>
        </is>
      </c>
      <c r="J22" s="160" t="inlineStr">
        <is>
          <t>AI</t>
        </is>
      </c>
      <c r="K22" s="160" t="inlineStr">
        <is>
          <t>Pending</t>
        </is>
      </c>
      <c r="L22" s="160" t="inlineStr">
        <is>
          <t>No</t>
        </is>
      </c>
      <c r="M22" s="160" t="inlineStr"/>
      <c r="N22" s="264" t="inlineStr">
        <is>
          <t>Yes</t>
        </is>
      </c>
      <c r="O22" s="264" t="inlineStr"/>
      <c r="P22" s="264" t="inlineStr">
        <is>
          <t>Fail</t>
        </is>
      </c>
      <c r="Q22" s="264" t="inlineStr">
        <is>
          <t>GiangDC2</t>
        </is>
      </c>
      <c r="R22" s="264" t="inlineStr">
        <is>
          <t>FE-291</t>
        </is>
      </c>
      <c r="S22" s="264" t="inlineStr"/>
      <c r="T22" s="264" t="n"/>
      <c r="U22" s="264" t="n"/>
      <c r="V22" s="264" t="n"/>
      <c r="W22" s="264" t="n"/>
      <c r="X22" s="264" t="n"/>
      <c r="Y22" s="264" t="n"/>
      <c r="Z22" s="264" t="n"/>
      <c r="AA22" s="264" t="n"/>
      <c r="AB22" s="264" t="n"/>
      <c r="AC22" s="264" t="n"/>
      <c r="AD22" s="264" t="n"/>
      <c r="AE22" s="264" t="n"/>
      <c r="AF22" s="264" t="n"/>
      <c r="AG22" s="264" t="n"/>
      <c r="AH22" s="264" t="n"/>
      <c r="AI22" s="264" t="n"/>
      <c r="AJ22" s="264" t="n"/>
      <c r="AK22" s="264" t="n"/>
      <c r="AL22" s="264" t="n"/>
      <c r="AM22" s="264" t="n"/>
      <c r="AN22" s="264" t="n"/>
      <c r="AO22" s="264" t="n"/>
      <c r="AP22" s="264" t="n"/>
      <c r="AQ22" s="264" t="n"/>
      <c r="AR22" s="158">
        <f>IF($A22="","",IF(OR($N22="Yes",$T22="Yes",$Z22="Yes",$AF22="Yes",$AL22="Yes"),"Yes","No"))</f>
        <v/>
      </c>
      <c r="AS22" s="158">
        <f>IF($A22="","",IFERROR(IF($AM22&lt;&gt;"",$AM22,IF($AG22&lt;&gt;"",$AG22,IF($AA22&lt;&gt;"",$AA22,IF($U22&lt;&gt;"",$U22,IF($O22&lt;&gt;"",$O22,""))))),""))</f>
        <v/>
      </c>
      <c r="AT22" s="158">
        <f>IFERROR(IF($AN22&lt;&gt;"",$AN22,IF($AH22&lt;&gt;"",$AH22,IF($AB22&lt;&gt;"",$AB22,IF($V22&lt;&gt;"",$V22,IF($P22&lt;&gt;"",$P22,""))))),"")</f>
        <v/>
      </c>
      <c r="AU22" s="265" t="inlineStr">
        <is>
          <t>Mục đích: chuỗi lẫn ký tự chữ vào dãy số — kiểm field không chỉ validate độ dài mà cả kiểu ký tự. · Căn cứ: BA chốt 2026-09-16. · Chuỗi thông báo theo demo `DOC-v1.1-02` — BA xác nhận 2026-09-17 là chuỗi chính thức. · TC mới tách theo §10.4 (2026-09-17) từ `TC-USR-020` cũ, không có ID cũ 1-1.</t>
        </is>
      </c>
    </row>
    <row r="23" ht="15.75" customHeight="1" s="216">
      <c r="A23" s="160">
        <f>IF($F23="","",$C$2&amp;"."&amp;COUNTA($F$7:$F23)&amp;"")</f>
        <v/>
      </c>
      <c r="B23" s="160" t="inlineStr">
        <is>
          <t>REQ-USR-002, REQ-USR-008</t>
        </is>
      </c>
      <c r="C23" s="160" t="inlineStr">
        <is>
          <t>DOC-v1.1-01 · DOC-v1.1-03</t>
        </is>
      </c>
      <c r="D23" s="160" t="inlineStr">
        <is>
          <t>Functional</t>
        </is>
      </c>
      <c r="E23" s="160" t="inlineStr">
        <is>
          <t>Medium</t>
        </is>
      </c>
      <c r="F23" s="11" t="inlineStr">
        <is>
          <t>Check avatar, tên, phòng ban, MNV và email trên màn cập nhật chỉ đọc</t>
        </is>
      </c>
      <c r="G23" s="11" t="inlineStr">
        <is>
          <t>- Tài khoản A là CBNV có hồ sơ đầy đủ trên STG.
- Host app FoxPro đã cài trên thiết bị Android/iOS.
Test Data: Trường SSO của tài khoản A (test_data_catalog §USR v1.1 — Trường SSO)</t>
        </is>
      </c>
      <c r="H23" s="11" t="inlineStr">
        <is>
          <t>1. Đăng nhập FoxEco từ host app FoxPro bằng tài khoản A. (setup)
2. Nhấn tab "Cá nhân" ở bottom nav. (setup)
3. Nhấn mục menu "Cập nhật thông tin". (setup)
4. Nhấn vào avatar.
5. Nhấn vào tên.
6. Nhấn vào dòng phòng ban · MNV.
7. Nhấn vào field "Email công ty".
8. Check trạng thái cả 4 thành phần và icon bên phải field "Email công ty".</t>
        </is>
      </c>
      <c r="I23" s="11" t="inlineStr">
        <is>
          <t>8. Không mở màn/popup đổi ảnh, không xuất hiện field nhập liệu hay bàn phím ở cả 4 lần nhấn; avatar, tên, dòng phòng ban · MNV và email đều giữ nguyên; icon bên phải field "Email công ty" hiển thị icon khiên.</t>
        </is>
      </c>
      <c r="J23" s="160" t="inlineStr">
        <is>
          <t>AI</t>
        </is>
      </c>
      <c r="K23" s="160" t="inlineStr">
        <is>
          <t>Pending</t>
        </is>
      </c>
      <c r="L23" s="160" t="inlineStr">
        <is>
          <t>No</t>
        </is>
      </c>
      <c r="M23" s="160" t="inlineStr"/>
      <c r="N23" s="264" t="inlineStr">
        <is>
          <t>Yes</t>
        </is>
      </c>
      <c r="O23" s="264" t="inlineStr"/>
      <c r="P23" s="264" t="inlineStr">
        <is>
          <t>Fail</t>
        </is>
      </c>
      <c r="Q23" s="264" t="inlineStr">
        <is>
          <t>GiangDC2</t>
        </is>
      </c>
      <c r="R23" s="264" t="inlineStr">
        <is>
          <t>FE-295, FE-297</t>
        </is>
      </c>
      <c r="S23" s="264" t="inlineStr"/>
      <c r="T23" s="264" t="n"/>
      <c r="U23" s="264" t="n"/>
      <c r="V23" s="264" t="n"/>
      <c r="W23" s="264" t="n"/>
      <c r="X23" s="264" t="n"/>
      <c r="Y23" s="264" t="n"/>
      <c r="Z23" s="264" t="n"/>
      <c r="AA23" s="264" t="n"/>
      <c r="AB23" s="264" t="n"/>
      <c r="AC23" s="264" t="n"/>
      <c r="AD23" s="264" t="n"/>
      <c r="AE23" s="264" t="n"/>
      <c r="AF23" s="264" t="n"/>
      <c r="AG23" s="264" t="n"/>
      <c r="AH23" s="264" t="n"/>
      <c r="AI23" s="264" t="n"/>
      <c r="AJ23" s="264" t="n"/>
      <c r="AK23" s="264" t="n"/>
      <c r="AL23" s="264" t="n"/>
      <c r="AM23" s="264" t="n"/>
      <c r="AN23" s="264" t="n"/>
      <c r="AO23" s="264" t="n"/>
      <c r="AP23" s="264" t="n"/>
      <c r="AQ23" s="264" t="n"/>
      <c r="AR23" s="158">
        <f>IF($A23="","",IF(OR($N23="Yes",$T23="Yes",$Z23="Yes",$AF23="Yes",$AL23="Yes"),"Yes","No"))</f>
        <v/>
      </c>
      <c r="AS23" s="158">
        <f>IF($A23="","",IFERROR(IF($AM23&lt;&gt;"",$AM23,IF($AG23&lt;&gt;"",$AG23,IF($AA23&lt;&gt;"",$AA23,IF($U23&lt;&gt;"",$U23,IF($O23&lt;&gt;"",$O23,""))))),""))</f>
        <v/>
      </c>
      <c r="AT23" s="158">
        <f>IFERROR(IF($AN23&lt;&gt;"",$AN23,IF($AH23&lt;&gt;"",$AH23,IF($AB23&lt;&gt;"",$AB23,IF($V23&lt;&gt;"",$V23,IF($P23&lt;&gt;"",$P23,""))))),"")</f>
        <v/>
      </c>
      <c r="AU23" s="265" t="inlineStr">
        <is>
          <t>Căn cứ: `BR15-01` + `AC-30.2.01`; avatar theo `C-USR-05(a)`. Icon khiên theo UI — BA chốt 2026-09-16; PRD ghi "icon khoá" ⇒ lệch chữ PRD, báo BA sửa PRD, ⛔ không đổi TC. · Đã sửa theo §10.4 (2026-09-17): gộp 5 điểm kiểm (4 field chỉ đọc + icon khiên) vào 1 step Check cuối + 1 Expected duy nhất. · ID cũ: TC-USR-021.</t>
        </is>
      </c>
    </row>
    <row r="24" ht="15.75" customHeight="1" s="216">
      <c r="A24" s="160">
        <f>IF($F24="","",$C$2&amp;"."&amp;COUNTA($F$7:$F24)&amp;"")</f>
        <v/>
      </c>
      <c r="B24" s="160" t="inlineStr">
        <is>
          <t>REQ-USR-009</t>
        </is>
      </c>
      <c r="C24" s="160" t="inlineStr">
        <is>
          <t>DOC-v1.1-01 · DOC-v1.1-04</t>
        </is>
      </c>
      <c r="D24" s="160" t="inlineStr">
        <is>
          <t>Functional</t>
        </is>
      </c>
      <c r="E24" s="160" t="inlineStr">
        <is>
          <t>High</t>
        </is>
      </c>
      <c r="F24" s="11" t="inlineStr">
        <is>
          <t>Check đổi số điện thoại và địa chỉ mặc định không làm đổi đơn đã đăng trước đó</t>
        </is>
      </c>
      <c r="G24" s="11" t="inlineStr">
        <is>
          <t>- Tài khoản A và B là 2 CBNV khác nhau trên STG.
- Host app FoxPro đã cài trên thiết bị Android/iOS.
Test Data: SĐT mới "0987654321"; văn phòng K4 "363 Nguyễn Hữu Thọ,Cẩm Lệ" (04_test-data/valid/USR-office-catalog.md); đơn tạo TRƯỚC khi sửa hồ sơ (test_data_catalog §USR v1.1)</t>
        </is>
      </c>
      <c r="H24" s="11" t="inlineStr">
        <is>
          <t>1. Đăng nhập FoxEco từ host app FoxPro bằng tài khoản A. (setup)
2. Đăng 1 tin NEED qua wizard "Đăng tin", khai tài khoản B là người nhận, giữ nguyên số điện thoại người gửi và địa chỉ lấy hàng được điền sẵn. (setup)
3. Mở màn Theo dõi đơn của tin vừa đăng. (setup)
4. Ghi lại số điện thoại người gửi và địa chỉ lấy hàng hiển thị trên màn Theo dõi đơn.
5. Nhấn tab "Cá nhân" ở bottom nav. (setup)
6. Nhấn mục menu "Cập nhật thông tin". (setup)
7. Nhập "0987654321" vào field "Số điện thoại mặc định".
8. Nhập "Cẩm Lệ" vào field "Địa chỉ mặc định".
9. Chọn "363 Nguyễn Hữu Thọ,Cẩm Lệ" trong danh sách gợi ý.
10. Nhấn nút "Lưu thay đổi".
11. Nhấn tab "Hoạt động" ở bottom nav.
12. Nhấn card của tin đã đăng ở bước 2 để mở màn Theo dõi đơn.
13. Check số điện thoại người gửi và địa chỉ lấy hàng.</t>
        </is>
      </c>
      <c r="I24" s="11" t="inlineStr">
        <is>
          <t>13. Số điện thoại người gửi và địa chỉ lấy hàng trùng đúng giá trị đã ghi ở bước 4.</t>
        </is>
      </c>
      <c r="J24" s="160" t="inlineStr">
        <is>
          <t>AI</t>
        </is>
      </c>
      <c r="K24" s="160" t="inlineStr">
        <is>
          <t>Pending</t>
        </is>
      </c>
      <c r="L24" s="160" t="inlineStr">
        <is>
          <t>No</t>
        </is>
      </c>
      <c r="M24" s="160" t="inlineStr"/>
      <c r="N24" s="264" t="inlineStr">
        <is>
          <t>Yes</t>
        </is>
      </c>
      <c r="O24" s="264" t="inlineStr"/>
      <c r="P24" s="264" t="inlineStr">
        <is>
          <t>Pass</t>
        </is>
      </c>
      <c r="Q24" s="264" t="inlineStr">
        <is>
          <t>GiangDC2</t>
        </is>
      </c>
      <c r="R24" s="264" t="inlineStr"/>
      <c r="S24" s="264" t="inlineStr"/>
      <c r="T24" s="264" t="n"/>
      <c r="U24" s="264" t="n"/>
      <c r="V24" s="264" t="n"/>
      <c r="W24" s="264" t="n"/>
      <c r="X24" s="264" t="n"/>
      <c r="Y24" s="264" t="n"/>
      <c r="Z24" s="264" t="n"/>
      <c r="AA24" s="264" t="n"/>
      <c r="AB24" s="264" t="n"/>
      <c r="AC24" s="264" t="n"/>
      <c r="AD24" s="264" t="n"/>
      <c r="AE24" s="264" t="n"/>
      <c r="AF24" s="264" t="n"/>
      <c r="AG24" s="264" t="n"/>
      <c r="AH24" s="264" t="n"/>
      <c r="AI24" s="264" t="n"/>
      <c r="AJ24" s="264" t="n"/>
      <c r="AK24" s="264" t="n"/>
      <c r="AL24" s="264" t="n"/>
      <c r="AM24" s="264" t="n"/>
      <c r="AN24" s="264" t="n"/>
      <c r="AO24" s="264" t="n"/>
      <c r="AP24" s="264" t="n"/>
      <c r="AQ24" s="264" t="n"/>
      <c r="AR24" s="158">
        <f>IF($A24="","",IF(OR($N24="Yes",$T24="Yes",$Z24="Yes",$AF24="Yes",$AL24="Yes"),"Yes","No"))</f>
        <v/>
      </c>
      <c r="AS24" s="158">
        <f>IF($A24="","",IFERROR(IF($AM24&lt;&gt;"",$AM24,IF($AG24&lt;&gt;"",$AG24,IF($AA24&lt;&gt;"",$AA24,IF($U24&lt;&gt;"",$U24,IF($O24&lt;&gt;"",$O24,""))))),""))</f>
        <v/>
      </c>
      <c r="AT24" s="158">
        <f>IFERROR(IF($AN24&lt;&gt;"",$AN24,IF($AH24&lt;&gt;"",$AH24,IF($AB24&lt;&gt;"",$AB24,IF($V24&lt;&gt;"",$V24,IF($P24&lt;&gt;"",$P24,""))))),"")</f>
        <v/>
      </c>
      <c r="AU24" s="265" t="inlineStr">
        <is>
          <t>Mục đích: `RISK-USR-07` — nhóm rule truy vết mà app đã vi phạm 1 lần; chạy cùng lô với `SC-CNL-010` · `SC-ORD-065` · `SC-DLV-062`, cùng vỡ ⇒ 1 bug report cho nguyên nhân gốc. · Căn cứ: `BR15-03` + `AC-30.2.02`. Nếu SĐT người gửi hoặc giá trị bước 4 trùng test data thì đổi giá trị khác trong catalog. Giả định màn Theo dõi đơn hiển thị SĐT người gửi cho chính người đăng — nếu không hiển thị thì đối chiếu ở màn chi tiết tin, không coi là FAIL của TC này. · Đã sửa theo §10.4 (2026-09-17): bỏ steps mở wizard mới để check giá trị điền sẵn (vế thứ 2 của `AC-30.2.02`) — vế đó trùng phạm vi "wizard nhận đúng giá trị prefill" đã có home ở `SC-ORD-025` (Analyst Note gốc: ⛔ không nhân bản SC). TC này giữ đúng 1 điểm kiểm ở step cuối: đơn cũ không bị ghi đè. · ID cũ: TC-USR-022.</t>
        </is>
      </c>
    </row>
    <row r="25" ht="15.75" customHeight="1" s="216">
      <c r="A25" s="160">
        <f>IF($F25="","",$C$2&amp;"."&amp;COUNTA($F$7:$F25)&amp;"")</f>
        <v/>
      </c>
      <c r="B25" s="160" t="inlineStr">
        <is>
          <t>REQ-USR-010</t>
        </is>
      </c>
      <c r="C25" s="160" t="inlineStr">
        <is>
          <t>DOC-v1.1-01 · DOC-v1.1-04</t>
        </is>
      </c>
      <c r="D25" s="160" t="inlineStr">
        <is>
          <t>Functional</t>
        </is>
      </c>
      <c r="E25" s="160" t="inlineStr">
        <is>
          <t>Medium</t>
        </is>
      </c>
      <c r="F25" s="11" t="inlineStr">
        <is>
          <t>Check sửa số điện thoại người gửi và địa chỉ lấy hàng trong đơn không ghi đè hồ sơ</t>
        </is>
      </c>
      <c r="G25" s="11" t="inlineStr">
        <is>
          <t>- Tài khoản A và B là 2 CBNV khác nhau trên STG.
- Host app FoxPro đã cài trên thiết bị Android/iOS.
Test Data: SĐT/địa chỉ nhập trong đơn khác hồ sơ (test_data_catalog §USR v1.1 — Cặp giá trị TRƯỚC/SAU)</t>
        </is>
      </c>
      <c r="H25" s="11" t="inlineStr">
        <is>
          <t>1. Đăng nhập FoxEco từ host app FoxPro bằng tài khoản A. (setup)
2. Nhấn tab "Cá nhân" ở bottom nav. (setup)
3. Nhấn mục menu "Cập nhật thông tin". (setup)
4. Ghi lại giá trị đang hiển thị ở field "Số điện thoại mặc định" và field "Địa chỉ mặc định".
5. Mở wizard "Đăng tin" loại NEED, khai tài khoản B là người nhận và đi tới bước có field số điện thoại người gửi và địa chỉ lấy hàng. (setup)
6. Nhập "0987654321" vào field số điện thoại người gửi.
7. Nhập "Tòa V-City, Lê Thái Tổ" vào field địa chỉ lấy hàng.
8. Hoàn tất các bước còn lại của wizard và nhấn đăng tin. (setup)
9. Nhấn tab "Cá nhân" ở bottom nav. (setup)
10. Nhấn mục menu "Cập nhật thông tin".
11. Check field "Số điện thoại mặc định" và field "Địa chỉ mặc định".</t>
        </is>
      </c>
      <c r="I25" s="11" t="inlineStr">
        <is>
          <t>11. Field "Số điện thoại mặc định" và field "Địa chỉ mặc định" trùng đúng giá trị đã ghi ở bước 4; không hiển thị "0987654321" hay "Tòa V-City, Lê Thái Tổ".</t>
        </is>
      </c>
      <c r="J25" s="160" t="inlineStr">
        <is>
          <t>AI</t>
        </is>
      </c>
      <c r="K25" s="160" t="inlineStr">
        <is>
          <t>Pending</t>
        </is>
      </c>
      <c r="L25" s="160" t="inlineStr">
        <is>
          <t>No</t>
        </is>
      </c>
      <c r="M25" s="160" t="inlineStr"/>
      <c r="N25" s="264" t="inlineStr">
        <is>
          <t>Yes</t>
        </is>
      </c>
      <c r="O25" s="264" t="inlineStr"/>
      <c r="P25" s="264" t="inlineStr">
        <is>
          <t>Pass</t>
        </is>
      </c>
      <c r="Q25" s="264" t="inlineStr">
        <is>
          <t>GiangDC2</t>
        </is>
      </c>
      <c r="R25" s="264" t="inlineStr"/>
      <c r="S25" s="264" t="inlineStr"/>
      <c r="T25" s="264" t="n"/>
      <c r="U25" s="264" t="n"/>
      <c r="V25" s="264" t="n"/>
      <c r="W25" s="264" t="n"/>
      <c r="X25" s="264" t="n"/>
      <c r="Y25" s="264" t="n"/>
      <c r="Z25" s="264" t="n"/>
      <c r="AA25" s="264" t="n"/>
      <c r="AB25" s="264" t="n"/>
      <c r="AC25" s="264" t="n"/>
      <c r="AD25" s="264" t="n"/>
      <c r="AE25" s="264" t="n"/>
      <c r="AF25" s="264" t="n"/>
      <c r="AG25" s="264" t="n"/>
      <c r="AH25" s="264" t="n"/>
      <c r="AI25" s="264" t="n"/>
      <c r="AJ25" s="264" t="n"/>
      <c r="AK25" s="264" t="n"/>
      <c r="AL25" s="264" t="n"/>
      <c r="AM25" s="264" t="n"/>
      <c r="AN25" s="264" t="n"/>
      <c r="AO25" s="264" t="n"/>
      <c r="AP25" s="264" t="n"/>
      <c r="AQ25" s="264" t="n"/>
      <c r="AR25" s="158">
        <f>IF($A25="","",IF(OR($N25="Yes",$T25="Yes",$Z25="Yes",$AF25="Yes",$AL25="Yes"),"Yes","No"))</f>
        <v/>
      </c>
      <c r="AS25" s="158">
        <f>IF($A25="","",IFERROR(IF($AM25&lt;&gt;"",$AM25,IF($AG25&lt;&gt;"",$AG25,IF($AA25&lt;&gt;"",$AA25,IF($U25&lt;&gt;"",$U25,IF($O25&lt;&gt;"",$O25,""))))),""))</f>
        <v/>
      </c>
      <c r="AT25" s="158">
        <f>IFERROR(IF($AN25&lt;&gt;"",$AN25,IF($AH25&lt;&gt;"",$AH25,IF($AB25&lt;&gt;"",$AB25,IF($V25&lt;&gt;"",$V25,IF($P25&lt;&gt;"",$P25,""))))),"")</f>
        <v/>
      </c>
      <c r="AU25" s="265" t="inlineStr">
        <is>
          <t>Căn cứ: `BR15-04` + `AC-30.1.01` "sửa trong từng đơn mà không ghi lại hồ sơ". Vế "wizard nhận đúng giá trị điền sẵn" kiểm ở `SC-ORD-025`, không lặp ở đây. Nếu field địa chỉ lấy hàng chỉ cho chọn từ danh sách thì chọn "Tòa V-City, Lê Thái Tổ" trong danh sách gợi ý. Nếu giá trị bước 4 trùng test data thì đổi giá trị khác.</t>
        </is>
      </c>
    </row>
    <row r="26" ht="15.75" customHeight="1" s="216">
      <c r="A26" s="160">
        <f>IF($F26="","",$C$2&amp;"."&amp;COUNTA($F$7:$F26)&amp;"")</f>
        <v/>
      </c>
      <c r="B26" s="160" t="inlineStr">
        <is>
          <t>REQ-USR-008</t>
        </is>
      </c>
      <c r="C26" s="160" t="inlineStr">
        <is>
          <t>DOC-v1.1-01 · DOC-v1.1-04</t>
        </is>
      </c>
      <c r="D26" s="160" t="inlineStr">
        <is>
          <t>Functional</t>
        </is>
      </c>
      <c r="E26" s="160" t="inlineStr">
        <is>
          <t>Medium</t>
        </is>
      </c>
      <c r="F26" s="11" t="inlineStr">
        <is>
          <t>Check địa chỉ gõ tay không chọn gợi ý bị xoá rỗng khi rời field</t>
        </is>
      </c>
      <c r="G26" s="11" t="inlineStr">
        <is>
          <t>- Tài khoản A là CBNV có hồ sơ đầy đủ trên STG.
- Host app FoxPro đã cài trên thiết bị Android/iOS.
Test Data: Văn phòng K3 "Tòa V-City, Lê Thái Tổ" (setup) · chuỗi gõ tay K7 "asdfghjkl1" (04_test-data/valid/USR-office-catalog.md)</t>
        </is>
      </c>
      <c r="H26" s="11" t="inlineStr">
        <is>
          <t>1. Đăng nhập FoxEco từ host app FoxPro bằng tài khoản A. (setup)
2. Nhấn tab "Cá nhân" ở bottom nav. (setup)
3. Nhấn mục menu "Cập nhật thông tin". (setup)
4. Nhập "Lê Thái Tổ" vào field "Địa chỉ mặc định", chọn "Tòa V-City, Lê Thái Tổ" trong danh sách gợi ý và nhấn nút "Lưu thay đổi". (setup)
5. Nhập "asdfghjkl1" vào field "Địa chỉ mặc định".
6. Nhấn vào vùng trống bên ngoài field "Địa chỉ mặc định".</t>
        </is>
      </c>
      <c r="I26" s="11" t="inlineStr">
        <is>
          <t>6. Field "Địa chỉ mặc định" trở về rỗng; trong lúc gõ ở bước 5 không hiển thị danh sách gợi ý.</t>
        </is>
      </c>
      <c r="J26" s="160" t="inlineStr">
        <is>
          <t>AI</t>
        </is>
      </c>
      <c r="K26" s="160" t="inlineStr">
        <is>
          <t>Pending</t>
        </is>
      </c>
      <c r="L26" s="160" t="inlineStr">
        <is>
          <t>No</t>
        </is>
      </c>
      <c r="M26" s="160" t="inlineStr"/>
      <c r="N26" s="264" t="inlineStr">
        <is>
          <t>Yes</t>
        </is>
      </c>
      <c r="O26" s="264" t="inlineStr"/>
      <c r="P26" s="264" t="inlineStr">
        <is>
          <t>Fail</t>
        </is>
      </c>
      <c r="Q26" s="264" t="inlineStr">
        <is>
          <t>GiangDC2</t>
        </is>
      </c>
      <c r="R26" s="264" t="inlineStr">
        <is>
          <t>FE-292</t>
        </is>
      </c>
      <c r="S26" s="264" t="inlineStr"/>
      <c r="T26" s="264" t="n"/>
      <c r="U26" s="264" t="n"/>
      <c r="V26" s="264" t="n"/>
      <c r="W26" s="264" t="n"/>
      <c r="X26" s="264" t="n"/>
      <c r="Y26" s="264" t="n"/>
      <c r="Z26" s="264" t="n"/>
      <c r="AA26" s="264" t="n"/>
      <c r="AB26" s="264" t="n"/>
      <c r="AC26" s="264" t="n"/>
      <c r="AD26" s="264" t="n"/>
      <c r="AE26" s="264" t="n"/>
      <c r="AF26" s="264" t="n"/>
      <c r="AG26" s="264" t="n"/>
      <c r="AH26" s="264" t="n"/>
      <c r="AI26" s="264" t="n"/>
      <c r="AJ26" s="264" t="n"/>
      <c r="AK26" s="264" t="n"/>
      <c r="AL26" s="264" t="n"/>
      <c r="AM26" s="264" t="n"/>
      <c r="AN26" s="264" t="n"/>
      <c r="AO26" s="264" t="n"/>
      <c r="AP26" s="264" t="n"/>
      <c r="AQ26" s="264" t="n"/>
      <c r="AR26" s="158">
        <f>IF($A26="","",IF(OR($N26="Yes",$T26="Yes",$Z26="Yes",$AF26="Yes",$AL26="Yes"),"Yes","No"))</f>
        <v/>
      </c>
      <c r="AS26" s="158">
        <f>IF($A26="","",IFERROR(IF($AM26&lt;&gt;"",$AM26,IF($AG26&lt;&gt;"",$AG26,IF($AA26&lt;&gt;"",$AA26,IF($U26&lt;&gt;"",$U26,IF($O26&lt;&gt;"",$O26,""))))),""))</f>
        <v/>
      </c>
      <c r="AT26" s="158">
        <f>IFERROR(IF($AN26&lt;&gt;"",$AN26,IF($AH26&lt;&gt;"",$AH26,IF($AB26&lt;&gt;"",$AB26,IF($V26&lt;&gt;"",$V26,IF($P26&lt;&gt;"",$P26,""))))),"")</f>
        <v/>
      </c>
      <c r="AU26" s="265" t="inlineStr">
        <is>
          <t>Mục đích: kết quả phản trực giác — gõ tay không chọn thì bị xoá thay vì giữ chuỗi đã gõ. · Căn cứ: BA chốt 2026-09-16 (rời field không chọn ⇒ rỗng). Demo cho gõ tự do ⇒ STG giống demo thì log bug. · Đã sửa theo §10.4 (2026-09-17): tách khỏi `TC-USR-025` cũ (4 điểm kiểm gộp 1 TC) — TC này giữ điểm "rời field ⇒ rỗng"; điểm "lưu rỗng thành công" và "mở lại vẫn rỗng" tách sang `TC-USR-029`/`030`. · ID cũ: TC-USR-025 (một phần).</t>
        </is>
      </c>
    </row>
    <row r="27" ht="15.75" customHeight="1" s="216">
      <c r="A27" s="160">
        <f>IF($F27="","",$C$2&amp;"."&amp;COUNTA($F$7:$F27)&amp;"")</f>
        <v/>
      </c>
      <c r="B27" s="160" t="inlineStr">
        <is>
          <t>REQ-USR-008</t>
        </is>
      </c>
      <c r="C27" s="160" t="inlineStr">
        <is>
          <t>DOC-v1.1-01 · DOC-v1.1-04</t>
        </is>
      </c>
      <c r="D27" s="160" t="inlineStr">
        <is>
          <t>Functional</t>
        </is>
      </c>
      <c r="E27" s="160" t="inlineStr">
        <is>
          <t>Medium</t>
        </is>
      </c>
      <c r="F27" s="11" t="inlineStr">
        <is>
          <t>Check để trống địa chỉ mặc định sau khi xoá vẫn lưu được</t>
        </is>
      </c>
      <c r="G27" s="11" t="inlineStr">
        <is>
          <t>- Tài khoản A là CBNV có hồ sơ đầy đủ trên STG.
- Host app FoxPro đã cài trên thiết bị Android/iOS.
Test Data: Văn phòng K3 "Tòa V-City, Lê Thái Tổ" (setup) · chuỗi gõ tay K7 "asdfghjkl1" (04_test-data/valid/USR-office-catalog.md)</t>
        </is>
      </c>
      <c r="H27" s="11" t="inlineStr">
        <is>
          <t>1. Đăng nhập FoxEco từ host app FoxPro bằng tài khoản A. (setup)
2. Nhấn tab "Cá nhân" ở bottom nav. (setup)
3. Nhấn mục menu "Cập nhật thông tin". (setup)
4. Nhập "Lê Thái Tổ" vào field "Địa chỉ mặc định", chọn "Tòa V-City, Lê Thái Tổ" trong danh sách gợi ý và nhấn nút "Lưu thay đổi". (setup)
5. Nhập "asdfghjkl1" vào field "Địa chỉ mặc định". (setup)
6. Nhấn vào vùng trống bên ngoài field "Địa chỉ mặc định". (setup)
7. Nhấn nút "Lưu thay đổi".</t>
        </is>
      </c>
      <c r="I27" s="11" t="inlineStr">
        <is>
          <t>7. Hiển thị banner xanh "Đã lưu thông tin của bạn"; để trống địa chỉ mặc định vẫn lưu được.</t>
        </is>
      </c>
      <c r="J27" s="160" t="inlineStr">
        <is>
          <t>AI</t>
        </is>
      </c>
      <c r="K27" s="160" t="inlineStr">
        <is>
          <t>Pending</t>
        </is>
      </c>
      <c r="L27" s="160" t="inlineStr">
        <is>
          <t>No</t>
        </is>
      </c>
      <c r="M27" s="160" t="inlineStr"/>
      <c r="N27" s="264" t="inlineStr">
        <is>
          <t>Yes</t>
        </is>
      </c>
      <c r="O27" s="264" t="inlineStr"/>
      <c r="P27" s="264" t="inlineStr">
        <is>
          <t>Fail</t>
        </is>
      </c>
      <c r="Q27" s="264" t="inlineStr">
        <is>
          <t>GiangDC2</t>
        </is>
      </c>
      <c r="R27" s="264" t="inlineStr">
        <is>
          <t>FE-292</t>
        </is>
      </c>
      <c r="S27" s="264" t="inlineStr"/>
      <c r="T27" s="264" t="n"/>
      <c r="U27" s="264" t="n"/>
      <c r="V27" s="264" t="n"/>
      <c r="W27" s="264" t="n"/>
      <c r="X27" s="264" t="n"/>
      <c r="Y27" s="264" t="n"/>
      <c r="Z27" s="264" t="n"/>
      <c r="AA27" s="264" t="n"/>
      <c r="AB27" s="264" t="n"/>
      <c r="AC27" s="264" t="n"/>
      <c r="AD27" s="264" t="n"/>
      <c r="AE27" s="264" t="n"/>
      <c r="AF27" s="264" t="n"/>
      <c r="AG27" s="264" t="n"/>
      <c r="AH27" s="264" t="n"/>
      <c r="AI27" s="264" t="n"/>
      <c r="AJ27" s="264" t="n"/>
      <c r="AK27" s="264" t="n"/>
      <c r="AL27" s="264" t="n"/>
      <c r="AM27" s="264" t="n"/>
      <c r="AN27" s="264" t="n"/>
      <c r="AO27" s="264" t="n"/>
      <c r="AP27" s="264" t="n"/>
      <c r="AQ27" s="264" t="n"/>
      <c r="AR27" s="158">
        <f>IF($A27="","",IF(OR($N27="Yes",$T27="Yes",$Z27="Yes",$AF27="Yes",$AL27="Yes"),"Yes","No"))</f>
        <v/>
      </c>
      <c r="AS27" s="158">
        <f>IF($A27="","",IFERROR(IF($AM27&lt;&gt;"",$AM27,IF($AG27&lt;&gt;"",$AG27,IF($AA27&lt;&gt;"",$AA27,IF($U27&lt;&gt;"",$U27,IF($O27&lt;&gt;"",$O27,""))))),""))</f>
        <v/>
      </c>
      <c r="AT27" s="158">
        <f>IFERROR(IF($AN27&lt;&gt;"",$AN27,IF($AH27&lt;&gt;"",$AH27,IF($AB27&lt;&gt;"",$AB27,IF($V27&lt;&gt;"",$V27,IF($P27&lt;&gt;"",$P27,""))))),"")</f>
        <v/>
      </c>
      <c r="AU27" s="265" t="inlineStr">
        <is>
          <t>Mục đích: BA chốt "cho phép để trống" — TC này chứng minh rỗng không bị chặn lưu như SĐT. · Căn cứ: BA chốt 2026-09-16. · TC mới tách theo §10.4 (2026-09-17) từ `TC-USR-025` cũ, không có ID cũ 1-1.</t>
        </is>
      </c>
    </row>
    <row r="28" ht="15.75" customHeight="1" s="216">
      <c r="A28" s="160">
        <f>IF($F28="","",$C$2&amp;"."&amp;COUNTA($F$7:$F28)&amp;"")</f>
        <v/>
      </c>
      <c r="B28" s="160" t="inlineStr">
        <is>
          <t>REQ-USR-008</t>
        </is>
      </c>
      <c r="C28" s="160" t="inlineStr">
        <is>
          <t>DOC-v1.1-01 · DOC-v1.1-04</t>
        </is>
      </c>
      <c r="D28" s="160" t="inlineStr">
        <is>
          <t>Functional</t>
        </is>
      </c>
      <c r="E28" s="160" t="inlineStr">
        <is>
          <t>Medium</t>
        </is>
      </c>
      <c r="F28" s="11" t="inlineStr">
        <is>
          <t>Check địa chỉ mặc định đã lưu rỗng vẫn rỗng sau khi mở lại, không tự load lại HRIS</t>
        </is>
      </c>
      <c r="G28" s="11" t="inlineStr">
        <is>
          <t>- Tài khoản A là CBNV có hồ sơ đầy đủ trên STG.
- Host app FoxPro đã cài trên thiết bị Android/iOS.
Test Data: Văn phòng K3 "Tòa V-City, Lê Thái Tổ" (setup) · chuỗi gõ tay K7 "asdfghjkl1" (04_test-data/valid/USR-office-catalog.md)</t>
        </is>
      </c>
      <c r="H28" s="11" t="inlineStr">
        <is>
          <t>1. Đăng nhập FoxEco từ host app FoxPro bằng tài khoản A. (setup)
2. Nhấn tab "Cá nhân" ở bottom nav. (setup)
3. Nhấn mục menu "Cập nhật thông tin". (setup)
4. Nhập "Lê Thái Tổ" vào field "Địa chỉ mặc định", chọn "Tòa V-City, Lê Thái Tổ" trong danh sách gợi ý và nhấn nút "Lưu thay đổi". (setup)
5. Nhập "asdfghjkl1" vào field "Địa chỉ mặc định". (setup)
6. Nhấn vào vùng trống bên ngoài field "Địa chỉ mặc định". (setup)
7. Nhấn nút "Lưu thay đổi". (setup)
8. Nhấn nút "←". (setup)
9. Nhấn mục menu "Cập nhật thông tin".
10. Check field "Địa chỉ mặc định".</t>
        </is>
      </c>
      <c r="I28" s="11" t="inlineStr">
        <is>
          <t>10. Field "Địa chỉ mặc định" rỗng; không tự điền lại địa chỉ làm việc từ HRIS.</t>
        </is>
      </c>
      <c r="J28" s="160" t="inlineStr">
        <is>
          <t>AI</t>
        </is>
      </c>
      <c r="K28" s="160" t="inlineStr">
        <is>
          <t>Pending</t>
        </is>
      </c>
      <c r="L28" s="160" t="inlineStr">
        <is>
          <t>No</t>
        </is>
      </c>
      <c r="M28" s="160" t="inlineStr"/>
      <c r="N28" s="264" t="inlineStr">
        <is>
          <t>Yes</t>
        </is>
      </c>
      <c r="O28" s="264" t="inlineStr"/>
      <c r="P28" s="264" t="inlineStr">
        <is>
          <t>Fail</t>
        </is>
      </c>
      <c r="Q28" s="264" t="inlineStr">
        <is>
          <t>GiangDC2</t>
        </is>
      </c>
      <c r="R28" s="264" t="inlineStr">
        <is>
          <t>FE-292</t>
        </is>
      </c>
      <c r="S28" s="264" t="inlineStr"/>
      <c r="T28" s="264" t="n"/>
      <c r="U28" s="264" t="n"/>
      <c r="V28" s="264" t="n"/>
      <c r="W28" s="264" t="n"/>
      <c r="X28" s="264" t="n"/>
      <c r="Y28" s="264" t="n"/>
      <c r="Z28" s="264" t="n"/>
      <c r="AA28" s="264" t="n"/>
      <c r="AB28" s="264" t="n"/>
      <c r="AC28" s="264" t="n"/>
      <c r="AD28" s="264" t="n"/>
      <c r="AE28" s="264" t="n"/>
      <c r="AF28" s="264" t="n"/>
      <c r="AG28" s="264" t="n"/>
      <c r="AH28" s="264" t="n"/>
      <c r="AI28" s="264" t="n"/>
      <c r="AJ28" s="264" t="n"/>
      <c r="AK28" s="264" t="n"/>
      <c r="AL28" s="264" t="n"/>
      <c r="AM28" s="264" t="n"/>
      <c r="AN28" s="264" t="n"/>
      <c r="AO28" s="264" t="n"/>
      <c r="AP28" s="264" t="n"/>
      <c r="AQ28" s="264" t="n"/>
      <c r="AR28" s="158">
        <f>IF($A28="","",IF(OR($N28="Yes",$T28="Yes",$Z28="Yes",$AF28="Yes",$AL28="Yes"),"Yes","No"))</f>
        <v/>
      </c>
      <c r="AS28" s="158">
        <f>IF($A28="","",IFERROR(IF($AM28&lt;&gt;"",$AM28,IF($AG28&lt;&gt;"",$AG28,IF($AA28&lt;&gt;"",$AA28,IF($U28&lt;&gt;"",$U28,IF($O28&lt;&gt;"",$O28,""))))),""))</f>
        <v/>
      </c>
      <c r="AT28" s="158">
        <f>IFERROR(IF($AN28&lt;&gt;"",$AN28,IF($AH28&lt;&gt;"",$AH28,IF($AB28&lt;&gt;"",$AB28,IF($V28&lt;&gt;"",$V28,IF($P28&lt;&gt;"",$P28,""))))),"")</f>
        <v/>
      </c>
      <c r="AU28" s="265" t="inlineStr">
        <is>
          <t>Mục đích: kết quả phản trực giác — lưu rỗng xong mở lại vẫn rỗng, không tự lấy lại HRIS; đây là bẫy dễ bỏ sót nhất trong nhóm (Analyst Note `SC-USR-020`). Demo cho gõ tự do ⇒ STG giống demo thì log bug. · Đã sửa theo §10.4 (2026-09-17): tách khỏi `TC-USR-025` cũ, giữ đúng điểm kiểm quan trọng nhất của cả nhóm ở step cuối. · ID cũ: TC-USR-025 (một phần — điểm kiểm chính).</t>
        </is>
      </c>
    </row>
    <row r="29" ht="15.75" customHeight="1" s="216">
      <c r="A29" s="160">
        <f>IF($F29="","",$C$2&amp;"."&amp;COUNTA($F$7:$F29)&amp;"")</f>
        <v/>
      </c>
      <c r="B29" s="160" t="inlineStr">
        <is>
          <t>REQ-USR-008</t>
        </is>
      </c>
      <c r="C29" s="160" t="inlineStr">
        <is>
          <t>DOC-v1.1-01 · DOC-v1.1-04</t>
        </is>
      </c>
      <c r="D29" s="160" t="inlineStr">
        <is>
          <t>Functional</t>
        </is>
      </c>
      <c r="E29" s="160" t="inlineStr">
        <is>
          <t>Medium</t>
        </is>
      </c>
      <c r="F29" s="11" t="inlineStr">
        <is>
          <t>Check nhập 2 ký tự chưa hiển thị gợi ý văn phòng</t>
        </is>
      </c>
      <c r="G29" s="11" t="inlineStr">
        <is>
          <t>- Tài khoản A là CBNV có hồ sơ đầy đủ trên STG.
- Host app FoxPro đã cài trên thiết bị Android/iOS.
Test Data: K1 "fp" (04_test-data/valid/USR-office-catalog.md)</t>
        </is>
      </c>
      <c r="H29" s="11" t="inlineStr">
        <is>
          <t>1. Đăng nhập FoxEco từ host app FoxPro bằng tài khoản A. (setup)
2. Nhấn tab "Cá nhân" ở bottom nav. (setup)
3. Nhấn mục menu "Cập nhật thông tin". (setup)
4. Xoá toàn bộ nội dung field "Địa chỉ mặc định". (setup)
5. Nhập "fp" vào field "Địa chỉ mặc định".</t>
        </is>
      </c>
      <c r="I29" s="11" t="inlineStr">
        <is>
          <t>5. Không hiển thị danh sách gợi ý.</t>
        </is>
      </c>
      <c r="J29" s="160" t="inlineStr">
        <is>
          <t>AI</t>
        </is>
      </c>
      <c r="K29" s="160" t="inlineStr">
        <is>
          <t>Pending</t>
        </is>
      </c>
      <c r="L29" s="160" t="inlineStr">
        <is>
          <t>No</t>
        </is>
      </c>
      <c r="M29" s="160" t="inlineStr"/>
      <c r="N29" s="264" t="inlineStr">
        <is>
          <t>Yes</t>
        </is>
      </c>
      <c r="O29" s="264" t="inlineStr"/>
      <c r="P29" s="264" t="inlineStr">
        <is>
          <t>Pass</t>
        </is>
      </c>
      <c r="Q29" s="264" t="inlineStr">
        <is>
          <t>GiangDC2</t>
        </is>
      </c>
      <c r="R29" s="264" t="inlineStr"/>
      <c r="S29" s="264" t="inlineStr"/>
      <c r="T29" s="264" t="n"/>
      <c r="U29" s="264" t="n"/>
      <c r="V29" s="264" t="n"/>
      <c r="W29" s="264" t="n"/>
      <c r="X29" s="264" t="n"/>
      <c r="Y29" s="264" t="n"/>
      <c r="Z29" s="264" t="n"/>
      <c r="AA29" s="264" t="n"/>
      <c r="AB29" s="264" t="n"/>
      <c r="AC29" s="264" t="n"/>
      <c r="AD29" s="264" t="n"/>
      <c r="AE29" s="264" t="n"/>
      <c r="AF29" s="264" t="n"/>
      <c r="AG29" s="264" t="n"/>
      <c r="AH29" s="264" t="n"/>
      <c r="AI29" s="264" t="n"/>
      <c r="AJ29" s="264" t="n"/>
      <c r="AK29" s="264" t="n"/>
      <c r="AL29" s="264" t="n"/>
      <c r="AM29" s="264" t="n"/>
      <c r="AN29" s="264" t="n"/>
      <c r="AO29" s="264" t="n"/>
      <c r="AP29" s="264" t="n"/>
      <c r="AQ29" s="264" t="n"/>
      <c r="AR29" s="158">
        <f>IF($A29="","",IF(OR($N29="Yes",$T29="Yes",$Z29="Yes",$AF29="Yes",$AL29="Yes"),"Yes","No"))</f>
        <v/>
      </c>
      <c r="AS29" s="158">
        <f>IF($A29="","",IFERROR(IF($AM29&lt;&gt;"",$AM29,IF($AG29&lt;&gt;"",$AG29,IF($AA29&lt;&gt;"",$AA29,IF($U29&lt;&gt;"",$U29,IF($O29&lt;&gt;"",$O29,""))))),""))</f>
        <v/>
      </c>
      <c r="AT29" s="158">
        <f>IFERROR(IF($AN29&lt;&gt;"",$AN29,IF($AH29&lt;&gt;"",$AH29,IF($AB29&lt;&gt;"",$AB29,IF($V29&lt;&gt;"",$V29,IF($P29&lt;&gt;"",$P29,""))))),"")</f>
        <v/>
      </c>
      <c r="AU29" s="265" t="inlineStr">
        <is>
          <t>Mục đích: cặp biên 2/3 ký tự — vế biên dưới (2 ký tự, chưa đủ ngưỡng), đối chứng với `TC-USR-032`. · Căn cứ: BA chốt 2026-09-16 (gợi ý từ 3 ký tự). · Đã sửa theo §10.4 (2026-09-17): tách khỏi `TC-USR-026` cũ thành 2 TC theo từng vế biên. · ID cũ: TC-USR-026 (một phần).</t>
        </is>
      </c>
    </row>
    <row r="30" ht="15.75" customHeight="1" s="216">
      <c r="A30" s="160">
        <f>IF($F30="","",$C$2&amp;"."&amp;COUNTA($F$7:$F30)&amp;"")</f>
        <v/>
      </c>
      <c r="B30" s="160" t="inlineStr">
        <is>
          <t>REQ-USR-008</t>
        </is>
      </c>
      <c r="C30" s="160" t="inlineStr">
        <is>
          <t>DOC-v1.1-01 · DOC-v1.1-04</t>
        </is>
      </c>
      <c r="D30" s="160" t="inlineStr">
        <is>
          <t>Functional</t>
        </is>
      </c>
      <c r="E30" s="160" t="inlineStr">
        <is>
          <t>Medium</t>
        </is>
      </c>
      <c r="F30" s="11" t="inlineStr">
        <is>
          <t>Check nhập đủ 3 ký tự hiển thị đúng danh sách gợi ý văn phòng</t>
        </is>
      </c>
      <c r="G30" s="11" t="inlineStr">
        <is>
          <t>- Tài khoản A là CBNV có hồ sơ đầy đủ trên STG.
- Host app FoxPro đã cài trên thiết bị Android/iOS.
Test Data: K2 "fpt" (04_test-data/valid/USR-office-catalog.md)</t>
        </is>
      </c>
      <c r="H30" s="11" t="inlineStr">
        <is>
          <t>1. Đăng nhập FoxEco từ host app FoxPro bằng tài khoản A. (setup)
2. Nhấn tab "Cá nhân" ở bottom nav. (setup)
3. Nhấn mục menu "Cập nhật thông tin". (setup)
4. Xoá toàn bộ nội dung field "Địa chỉ mặc định". (setup)
5. Nhập "fpt" vào field "Địa chỉ mặc định".</t>
        </is>
      </c>
      <c r="I30" s="11" t="inlineStr">
        <is>
          <t>5. Danh sách gợi ý hiển thị đúng 8 văn phòng: "Tầng 20, FPT Tower", "Tầng 19, FPT Tower", "Tầng 8, FPT Tower", "Tầng 9, FPT Tower", "FPT Cầu Giấy", "Tầng 17,18 FPT Tower", "Lô A4-1, KĐT Công nghệ FPT", "ĐH FPT, KĐT An Phú Thịnh".</t>
        </is>
      </c>
      <c r="J30" s="160" t="inlineStr">
        <is>
          <t>AI</t>
        </is>
      </c>
      <c r="K30" s="160" t="inlineStr">
        <is>
          <t>Pending</t>
        </is>
      </c>
      <c r="L30" s="160" t="inlineStr">
        <is>
          <t>No</t>
        </is>
      </c>
      <c r="M30" s="160" t="inlineStr"/>
      <c r="N30" s="264" t="inlineStr">
        <is>
          <t>Yes</t>
        </is>
      </c>
      <c r="O30" s="264" t="inlineStr"/>
      <c r="P30" s="264" t="inlineStr">
        <is>
          <t>Block</t>
        </is>
      </c>
      <c r="Q30" s="264" t="inlineStr">
        <is>
          <t>GiangDC2</t>
        </is>
      </c>
      <c r="R30" s="264" t="inlineStr"/>
      <c r="S30" s="264" t="inlineStr"/>
      <c r="T30" s="264" t="n"/>
      <c r="U30" s="264" t="n"/>
      <c r="V30" s="264" t="n"/>
      <c r="W30" s="264" t="n"/>
      <c r="X30" s="264" t="n"/>
      <c r="Y30" s="264" t="n"/>
      <c r="Z30" s="264" t="n"/>
      <c r="AA30" s="264" t="n"/>
      <c r="AB30" s="264" t="n"/>
      <c r="AC30" s="264" t="n"/>
      <c r="AD30" s="264" t="n"/>
      <c r="AE30" s="264" t="n"/>
      <c r="AF30" s="264" t="n"/>
      <c r="AG30" s="264" t="n"/>
      <c r="AH30" s="264" t="n"/>
      <c r="AI30" s="264" t="n"/>
      <c r="AJ30" s="264" t="n"/>
      <c r="AK30" s="264" t="n"/>
      <c r="AL30" s="264" t="n"/>
      <c r="AM30" s="264" t="n"/>
      <c r="AN30" s="264" t="n"/>
      <c r="AO30" s="264" t="n"/>
      <c r="AP30" s="264" t="n"/>
      <c r="AQ30" s="264" t="n"/>
      <c r="AR30" s="158">
        <f>IF($A30="","",IF(OR($N30="Yes",$T30="Yes",$Z30="Yes",$AF30="Yes",$AL30="Yes"),"Yes","No"))</f>
        <v/>
      </c>
      <c r="AS30" s="158">
        <f>IF($A30="","",IFERROR(IF($AM30&lt;&gt;"",$AM30,IF($AG30&lt;&gt;"",$AG30,IF($AA30&lt;&gt;"",$AA30,IF($U30&lt;&gt;"",$U30,IF($O30&lt;&gt;"",$O30,""))))),""))</f>
        <v/>
      </c>
      <c r="AT30" s="158">
        <f>IFERROR(IF($AN30&lt;&gt;"",$AN30,IF($AH30&lt;&gt;"",$AH30,IF($AB30&lt;&gt;"",$AB30,IF($V30&lt;&gt;"",$V30,IF($P30&lt;&gt;"",$P30,""))))),"")</f>
        <v/>
      </c>
      <c r="AU30" s="265" t="inlineStr">
        <is>
          <t>Mục đích: cặp biên 2/3 ký tự — vế biên trên (đủ ngưỡng, khớp nhiều), đối chứng với `TC-USR-031`. · Căn cứ: BA chốt 2026-09-16; danh sách kỳ vọng đối chiếu `DOC-v1.1-04` cột `name`. · TC mới tách theo §10.4 (2026-09-17) từ `TC-USR-026` cũ, không có ID cũ 1-1.</t>
        </is>
      </c>
    </row>
    <row r="31" ht="15.75" customHeight="1" s="216">
      <c r="A31" s="160">
        <f>IF($F31="","",$C$2&amp;"."&amp;COUNTA($F$7:$F31)&amp;"")</f>
        <v/>
      </c>
      <c r="B31" s="160" t="inlineStr">
        <is>
          <t>REQ-USR-008</t>
        </is>
      </c>
      <c r="C31" s="160" t="inlineStr">
        <is>
          <t>DOC-v1.1-01 · DOC-v1.1-04</t>
        </is>
      </c>
      <c r="D31" s="160" t="inlineStr">
        <is>
          <t>Functional</t>
        </is>
      </c>
      <c r="E31" s="160" t="inlineStr">
        <is>
          <t>Medium</t>
        </is>
      </c>
      <c r="F31" s="11" t="inlineStr">
        <is>
          <t>Check chọn 1 văn phòng trong gợi ý điền đúng tên văn phòng vào field</t>
        </is>
      </c>
      <c r="G31" s="11" t="inlineStr">
        <is>
          <t>- Tài khoản A là CBNV có hồ sơ đầy đủ trên STG.
- Host app FoxPro đã cài trên thiết bị Android/iOS.
Test Data: K3 "Lê Thái Tổ" (04_test-data/valid/USR-office-catalog.md)</t>
        </is>
      </c>
      <c r="H31" s="11" t="inlineStr">
        <is>
          <t>1. Đăng nhập FoxEco từ host app FoxPro bằng tài khoản A. (setup)
2. Nhấn tab "Cá nhân" ở bottom nav. (setup)
3. Nhấn mục menu "Cập nhật thông tin". (setup)
4. Xoá toàn bộ nội dung field "Địa chỉ mặc định". (setup)
5. Nhập "Lê Thái Tổ" vào field "Địa chỉ mặc định".
6. Check danh sách gợi ý.
7. Chọn "Tòa V-City, Lê Thái Tổ" trong danh sách gợi ý.
8. Nhấn vào vùng trống bên ngoài field "Địa chỉ mặc định".</t>
        </is>
      </c>
      <c r="I31" s="11" t="inlineStr">
        <is>
          <t>8. Field "Địa chỉ mặc định" hiển thị đúng chuỗi "Tòa V-City, Lê Thái Tổ", không bị xoá rỗng.</t>
        </is>
      </c>
      <c r="J31" s="160" t="inlineStr">
        <is>
          <t>AI</t>
        </is>
      </c>
      <c r="K31" s="160" t="inlineStr">
        <is>
          <t>Pending</t>
        </is>
      </c>
      <c r="L31" s="160" t="inlineStr">
        <is>
          <t>No</t>
        </is>
      </c>
      <c r="M31" s="160" t="inlineStr"/>
      <c r="N31" s="264" t="inlineStr">
        <is>
          <t>Yes</t>
        </is>
      </c>
      <c r="O31" s="264" t="inlineStr"/>
      <c r="P31" s="264" t="inlineStr">
        <is>
          <t>Pass</t>
        </is>
      </c>
      <c r="Q31" s="264" t="inlineStr">
        <is>
          <t>GiangDC2</t>
        </is>
      </c>
      <c r="R31" s="264" t="inlineStr"/>
      <c r="S31" s="264" t="inlineStr"/>
      <c r="T31" s="264" t="n"/>
      <c r="U31" s="264" t="n"/>
      <c r="V31" s="264" t="n"/>
      <c r="W31" s="264" t="n"/>
      <c r="X31" s="264" t="n"/>
      <c r="Y31" s="264" t="n"/>
      <c r="Z31" s="264" t="n"/>
      <c r="AA31" s="264" t="n"/>
      <c r="AB31" s="264" t="n"/>
      <c r="AC31" s="264" t="n"/>
      <c r="AD31" s="264" t="n"/>
      <c r="AE31" s="264" t="n"/>
      <c r="AF31" s="264" t="n"/>
      <c r="AG31" s="264" t="n"/>
      <c r="AH31" s="264" t="n"/>
      <c r="AI31" s="264" t="n"/>
      <c r="AJ31" s="264" t="n"/>
      <c r="AK31" s="264" t="n"/>
      <c r="AL31" s="264" t="n"/>
      <c r="AM31" s="264" t="n"/>
      <c r="AN31" s="264" t="n"/>
      <c r="AO31" s="264" t="n"/>
      <c r="AP31" s="264" t="n"/>
      <c r="AQ31" s="264" t="n"/>
      <c r="AR31" s="158">
        <f>IF($A31="","",IF(OR($N31="Yes",$T31="Yes",$Z31="Yes",$AF31="Yes",$AL31="Yes"),"Yes","No"))</f>
        <v/>
      </c>
      <c r="AS31" s="158">
        <f>IF($A31="","",IFERROR(IF($AM31&lt;&gt;"",$AM31,IF($AG31&lt;&gt;"",$AG31,IF($AA31&lt;&gt;"",$AA31,IF($U31&lt;&gt;"",$U31,IF($O31&lt;&gt;"",$O31,""))))),""))</f>
        <v/>
      </c>
      <c r="AT31" s="158">
        <f>IFERROR(IF($AN31&lt;&gt;"",$AN31,IF($AH31&lt;&gt;"",$AH31,IF($AB31&lt;&gt;"",$AB31,IF($V31&lt;&gt;"",$V31,IF($P31&lt;&gt;"",$P31,""))))),"")</f>
        <v/>
      </c>
      <c r="AU31" s="265" t="inlineStr">
        <is>
          <t>Mục đích: đối chứng dương cho `TC-USR-028` — chọn từ gợi ý thì rời field vẫn giữ giá trị. · Căn cứ: BA chốt 2026-09-16 (chọn ⇒ điền chuỗi `name` của `DOC-v1.1-04`). · Đã sửa theo §10.4 (2026-09-17): bỏ dòng Expected ở step 6 (danh sách hiển thị 1 văn phòng) — việc chọn được đúng văn phòng ở step 7 đã ngầm xác nhận nó có trong danh sách; giữ đúng 1 điểm kiểm ở step cuối. · ID cũ: TC-USR-027.</t>
        </is>
      </c>
    </row>
    <row r="32" ht="15.75" customHeight="1" s="216">
      <c r="A32" s="160">
        <f>IF($F32="","",$C$2&amp;"."&amp;COUNTA($F$7:$F32)&amp;"")</f>
        <v/>
      </c>
      <c r="B32" s="160" t="inlineStr">
        <is>
          <t>REQ-USR-008</t>
        </is>
      </c>
      <c r="C32" s="160" t="inlineStr">
        <is>
          <t>DOC-v1.1-01 · DOC-v1.1-04</t>
        </is>
      </c>
      <c r="D32" s="160" t="inlineStr">
        <is>
          <t>Functional</t>
        </is>
      </c>
      <c r="E32" s="160" t="inlineStr">
        <is>
          <t>Medium</t>
        </is>
      </c>
      <c r="F32" s="11" t="inlineStr">
        <is>
          <t>Check gợi ý văn phòng khớp đúng khi nhập có dấu</t>
        </is>
      </c>
      <c r="G32" s="11" t="inlineStr">
        <is>
          <t>- Tài khoản A là CBNV có hồ sơ đầy đủ trên STG.
- Host app FoxPro đã cài trên thiết bị Android/iOS.
Test Data: K4 "Cẩm Lệ" (04_test-data/valid/USR-office-catalog.md)</t>
        </is>
      </c>
      <c r="H32" s="11" t="inlineStr">
        <is>
          <t>1. Đăng nhập FoxEco từ host app FoxPro bằng tài khoản A. (setup)
2. Nhấn tab "Cá nhân" ở bottom nav. (setup)
3. Nhấn mục menu "Cập nhật thông tin". (setup)
4. Xoá toàn bộ nội dung field "Địa chỉ mặc định". (setup)
5. Nhập "Cẩm Lệ" vào field "Địa chỉ mặc định".</t>
        </is>
      </c>
      <c r="I32" s="11" t="inlineStr">
        <is>
          <t>5. Danh sách gợi ý hiển thị đúng 2 văn phòng "363 Nguyễn Hữu Thọ,Cẩm Lệ" và "36 Nhơn Hòa 4, Cẩm Lệ".</t>
        </is>
      </c>
      <c r="J32" s="160" t="inlineStr">
        <is>
          <t>AI</t>
        </is>
      </c>
      <c r="K32" s="160" t="inlineStr">
        <is>
          <t>Pending</t>
        </is>
      </c>
      <c r="L32" s="160" t="inlineStr">
        <is>
          <t>No</t>
        </is>
      </c>
      <c r="M32" s="160" t="inlineStr"/>
      <c r="N32" s="264" t="inlineStr">
        <is>
          <t>Yes</t>
        </is>
      </c>
      <c r="O32" s="264" t="inlineStr"/>
      <c r="P32" s="264" t="inlineStr">
        <is>
          <t>Block</t>
        </is>
      </c>
      <c r="Q32" s="264" t="inlineStr">
        <is>
          <t>GiangDC2</t>
        </is>
      </c>
      <c r="R32" s="264" t="inlineStr"/>
      <c r="S32" s="264" t="inlineStr"/>
      <c r="T32" s="264" t="n"/>
      <c r="U32" s="264" t="n"/>
      <c r="V32" s="264" t="n"/>
      <c r="W32" s="264" t="n"/>
      <c r="X32" s="264" t="n"/>
      <c r="Y32" s="264" t="n"/>
      <c r="Z32" s="264" t="n"/>
      <c r="AA32" s="264" t="n"/>
      <c r="AB32" s="264" t="n"/>
      <c r="AC32" s="264" t="n"/>
      <c r="AD32" s="264" t="n"/>
      <c r="AE32" s="264" t="n"/>
      <c r="AF32" s="264" t="n"/>
      <c r="AG32" s="264" t="n"/>
      <c r="AH32" s="264" t="n"/>
      <c r="AI32" s="264" t="n"/>
      <c r="AJ32" s="264" t="n"/>
      <c r="AK32" s="264" t="n"/>
      <c r="AL32" s="264" t="n"/>
      <c r="AM32" s="264" t="n"/>
      <c r="AN32" s="264" t="n"/>
      <c r="AO32" s="264" t="n"/>
      <c r="AP32" s="264" t="n"/>
      <c r="AQ32" s="264" t="n"/>
      <c r="AR32" s="158">
        <f>IF($A32="","",IF(OR($N32="Yes",$T32="Yes",$Z32="Yes",$AF32="Yes",$AL32="Yes"),"Yes","No"))</f>
        <v/>
      </c>
      <c r="AS32" s="158">
        <f>IF($A32="","",IFERROR(IF($AM32&lt;&gt;"",$AM32,IF($AG32&lt;&gt;"",$AG32,IF($AA32&lt;&gt;"",$AA32,IF($U32&lt;&gt;"",$U32,IF($O32&lt;&gt;"",$O32,""))))),""))</f>
        <v/>
      </c>
      <c r="AT32" s="158">
        <f>IFERROR(IF($AN32&lt;&gt;"",$AN32,IF($AH32&lt;&gt;"",$AH32,IF($AB32&lt;&gt;"",$AB32,IF($V32&lt;&gt;"",$V32,IF($P32&lt;&gt;"",$P32,""))))),"")</f>
        <v/>
      </c>
      <c r="AU32" s="265" t="inlineStr">
        <is>
          <t>Căn cứ: BA chốt 2026-09-16 (không phân biệt dấu + hoa thường) — vế có dấu, đối chứng với `TC-USR-035`/`036` (không dấu thường/hoa). · Đã sửa theo §10.4 (2026-09-17): tách khỏi `TC-USR-028` cũ (3 biến thể gộp 1 TC) thành 3 TC riêng, mỗi biến thể 1 TC. · ID cũ: TC-USR-028 (một phần).</t>
        </is>
      </c>
    </row>
    <row r="33" ht="15.75" customHeight="1" s="216">
      <c r="A33" s="160">
        <f>IF($F33="","",$C$2&amp;"."&amp;COUNTA($F$7:$F33)&amp;"")</f>
        <v/>
      </c>
      <c r="B33" s="160" t="inlineStr">
        <is>
          <t>REQ-USR-008</t>
        </is>
      </c>
      <c r="C33" s="160" t="inlineStr">
        <is>
          <t>DOC-v1.1-01 · DOC-v1.1-04</t>
        </is>
      </c>
      <c r="D33" s="160" t="inlineStr">
        <is>
          <t>Functional</t>
        </is>
      </c>
      <c r="E33" s="160" t="inlineStr">
        <is>
          <t>Medium</t>
        </is>
      </c>
      <c r="F33" s="11" t="inlineStr">
        <is>
          <t>Check gợi ý văn phòng khớp đúng khi nhập chữ thường không dấu</t>
        </is>
      </c>
      <c r="G33" s="11" t="inlineStr">
        <is>
          <t>- Tài khoản A là CBNV có hồ sơ đầy đủ trên STG.
- Host app FoxPro đã cài trên thiết bị Android/iOS.
Test Data: K4 "cam le" (04_test-data/valid/USR-office-catalog.md)</t>
        </is>
      </c>
      <c r="H33" s="11" t="inlineStr">
        <is>
          <t>1. Đăng nhập FoxEco từ host app FoxPro bằng tài khoản A. (setup)
2. Nhấn tab "Cá nhân" ở bottom nav. (setup)
3. Nhấn mục menu "Cập nhật thông tin". (setup)
4. Xoá toàn bộ nội dung field "Địa chỉ mặc định". (setup)
5. Nhập "cam le" vào field "Địa chỉ mặc định".</t>
        </is>
      </c>
      <c r="I33" s="11" t="inlineStr">
        <is>
          <t>5. Danh sách gợi ý hiển thị đúng 2 văn phòng "363 Nguyễn Hữu Thọ,Cẩm Lệ" và "36 Nhơn Hòa 4, Cẩm Lệ".</t>
        </is>
      </c>
      <c r="J33" s="160" t="inlineStr">
        <is>
          <t>AI</t>
        </is>
      </c>
      <c r="K33" s="160" t="inlineStr">
        <is>
          <t>Pending</t>
        </is>
      </c>
      <c r="L33" s="160" t="inlineStr">
        <is>
          <t>No</t>
        </is>
      </c>
      <c r="M33" s="160" t="inlineStr"/>
      <c r="N33" s="264" t="inlineStr">
        <is>
          <t>Yes</t>
        </is>
      </c>
      <c r="O33" s="264" t="inlineStr"/>
      <c r="P33" s="264" t="inlineStr">
        <is>
          <t>Block</t>
        </is>
      </c>
      <c r="Q33" s="264" t="inlineStr">
        <is>
          <t>GiangDC2</t>
        </is>
      </c>
      <c r="R33" s="264" t="inlineStr"/>
      <c r="S33" s="264" t="inlineStr"/>
      <c r="T33" s="264" t="n"/>
      <c r="U33" s="264" t="n"/>
      <c r="V33" s="264" t="n"/>
      <c r="W33" s="264" t="n"/>
      <c r="X33" s="264" t="n"/>
      <c r="Y33" s="264" t="n"/>
      <c r="Z33" s="264" t="n"/>
      <c r="AA33" s="264" t="n"/>
      <c r="AB33" s="264" t="n"/>
      <c r="AC33" s="264" t="n"/>
      <c r="AD33" s="264" t="n"/>
      <c r="AE33" s="264" t="n"/>
      <c r="AF33" s="264" t="n"/>
      <c r="AG33" s="264" t="n"/>
      <c r="AH33" s="264" t="n"/>
      <c r="AI33" s="264" t="n"/>
      <c r="AJ33" s="264" t="n"/>
      <c r="AK33" s="264" t="n"/>
      <c r="AL33" s="264" t="n"/>
      <c r="AM33" s="264" t="n"/>
      <c r="AN33" s="264" t="n"/>
      <c r="AO33" s="264" t="n"/>
      <c r="AP33" s="264" t="n"/>
      <c r="AQ33" s="264" t="n"/>
      <c r="AR33" s="158">
        <f>IF($A33="","",IF(OR($N33="Yes",$T33="Yes",$Z33="Yes",$AF33="Yes",$AL33="Yes"),"Yes","No"))</f>
        <v/>
      </c>
      <c r="AS33" s="158">
        <f>IF($A33="","",IFERROR(IF($AM33&lt;&gt;"",$AM33,IF($AG33&lt;&gt;"",$AG33,IF($AA33&lt;&gt;"",$AA33,IF($U33&lt;&gt;"",$U33,IF($O33&lt;&gt;"",$O33,""))))),""))</f>
        <v/>
      </c>
      <c r="AT33" s="158">
        <f>IFERROR(IF($AN33&lt;&gt;"",$AN33,IF($AH33&lt;&gt;"",$AH33,IF($AB33&lt;&gt;"",$AB33,IF($V33&lt;&gt;"",$V33,IF($P33&lt;&gt;"",$P33,""))))),"")</f>
        <v/>
      </c>
      <c r="AU33" s="265" t="inlineStr">
        <is>
          <t>Căn cứ: BA chốt 2026-09-16 (không phân biệt dấu + hoa thường) — vế chữ thường không dấu, đối chứng với `TC-USR-034`/`036`. · TC mới tách theo §10.4 (2026-09-17) từ `TC-USR-028` cũ, không có ID cũ 1-1.</t>
        </is>
      </c>
    </row>
    <row r="34" ht="15.75" customHeight="1" s="216">
      <c r="A34" s="160">
        <f>IF($F34="","",$C$2&amp;"."&amp;COUNTA($F$7:$F34)&amp;"")</f>
        <v/>
      </c>
      <c r="B34" s="160" t="inlineStr">
        <is>
          <t>REQ-USR-008</t>
        </is>
      </c>
      <c r="C34" s="160" t="inlineStr">
        <is>
          <t>DOC-v1.1-01 · DOC-v1.1-04</t>
        </is>
      </c>
      <c r="D34" s="160" t="inlineStr">
        <is>
          <t>Functional</t>
        </is>
      </c>
      <c r="E34" s="160" t="inlineStr">
        <is>
          <t>Medium</t>
        </is>
      </c>
      <c r="F34" s="11" t="inlineStr">
        <is>
          <t>Check gợi ý văn phòng khớp đúng khi nhập chữ hoa không dấu</t>
        </is>
      </c>
      <c r="G34" s="11" t="inlineStr">
        <is>
          <t>- Tài khoản A là CBNV có hồ sơ đầy đủ trên STG.
- Host app FoxPro đã cài trên thiết bị Android/iOS.
Test Data: K4 "CAM LE" (04_test-data/valid/USR-office-catalog.md)</t>
        </is>
      </c>
      <c r="H34" s="11" t="inlineStr">
        <is>
          <t>1. Đăng nhập FoxEco từ host app FoxPro bằng tài khoản A. (setup)
2. Nhấn tab "Cá nhân" ở bottom nav. (setup)
3. Nhấn mục menu "Cập nhật thông tin". (setup)
4. Xoá toàn bộ nội dung field "Địa chỉ mặc định". (setup)
5. Nhập "CAM LE" vào field "Địa chỉ mặc định".</t>
        </is>
      </c>
      <c r="I34" s="11" t="inlineStr">
        <is>
          <t>5. Danh sách gợi ý hiển thị đúng 2 văn phòng "363 Nguyễn Hữu Thọ,Cẩm Lệ" và "36 Nhơn Hòa 4, Cẩm Lệ".</t>
        </is>
      </c>
      <c r="J34" s="160" t="inlineStr">
        <is>
          <t>AI</t>
        </is>
      </c>
      <c r="K34" s="160" t="inlineStr">
        <is>
          <t>Pending</t>
        </is>
      </c>
      <c r="L34" s="160" t="inlineStr">
        <is>
          <t>No</t>
        </is>
      </c>
      <c r="M34" s="160" t="inlineStr"/>
      <c r="N34" s="264" t="inlineStr">
        <is>
          <t>Yes</t>
        </is>
      </c>
      <c r="O34" s="264" t="inlineStr"/>
      <c r="P34" s="264" t="inlineStr">
        <is>
          <t>Block</t>
        </is>
      </c>
      <c r="Q34" s="264" t="inlineStr">
        <is>
          <t>GiangDC2</t>
        </is>
      </c>
      <c r="R34" s="264" t="inlineStr"/>
      <c r="S34" s="264" t="inlineStr"/>
      <c r="T34" s="264" t="n"/>
      <c r="U34" s="264" t="n"/>
      <c r="V34" s="264" t="n"/>
      <c r="W34" s="264" t="n"/>
      <c r="X34" s="264" t="n"/>
      <c r="Y34" s="264" t="n"/>
      <c r="Z34" s="264" t="n"/>
      <c r="AA34" s="264" t="n"/>
      <c r="AB34" s="264" t="n"/>
      <c r="AC34" s="264" t="n"/>
      <c r="AD34" s="264" t="n"/>
      <c r="AE34" s="264" t="n"/>
      <c r="AF34" s="264" t="n"/>
      <c r="AG34" s="264" t="n"/>
      <c r="AH34" s="264" t="n"/>
      <c r="AI34" s="264" t="n"/>
      <c r="AJ34" s="264" t="n"/>
      <c r="AK34" s="264" t="n"/>
      <c r="AL34" s="264" t="n"/>
      <c r="AM34" s="264" t="n"/>
      <c r="AN34" s="264" t="n"/>
      <c r="AO34" s="264" t="n"/>
      <c r="AP34" s="264" t="n"/>
      <c r="AQ34" s="264" t="n"/>
      <c r="AR34" s="158">
        <f>IF($A34="","",IF(OR($N34="Yes",$T34="Yes",$Z34="Yes",$AF34="Yes",$AL34="Yes"),"Yes","No"))</f>
        <v/>
      </c>
      <c r="AS34" s="158">
        <f>IF($A34="","",IFERROR(IF($AM34&lt;&gt;"",$AM34,IF($AG34&lt;&gt;"",$AG34,IF($AA34&lt;&gt;"",$AA34,IF($U34&lt;&gt;"",$U34,IF($O34&lt;&gt;"",$O34,""))))),""))</f>
        <v/>
      </c>
      <c r="AT34" s="158">
        <f>IFERROR(IF($AN34&lt;&gt;"",$AN34,IF($AH34&lt;&gt;"",$AH34,IF($AB34&lt;&gt;"",$AB34,IF($V34&lt;&gt;"",$V34,IF($P34&lt;&gt;"",$P34,""))))),"")</f>
        <v/>
      </c>
      <c r="AU34" s="265" t="inlineStr">
        <is>
          <t>Căn cứ: BA chốt 2026-09-16 (không phân biệt dấu + hoa thường) — vế chữ hoa không dấu, đối chứng với `TC-USR-034`/`035`. · TC mới tách theo §10.4 (2026-09-17) từ `TC-USR-028` cũ, không có ID cũ 1-1.</t>
        </is>
      </c>
    </row>
    <row r="35" ht="15.75" customHeight="1" s="216">
      <c r="A35" s="160">
        <f>IF($F35="","",$C$2&amp;"."&amp;COUNTA($F$7:$F35)&amp;"")</f>
        <v/>
      </c>
      <c r="B35" s="160" t="inlineStr">
        <is>
          <t>REQ-USR-008</t>
        </is>
      </c>
      <c r="C35" s="160" t="inlineStr">
        <is>
          <t>DOC-v1.1-01 · DOC-v1.1-04</t>
        </is>
      </c>
      <c r="D35" s="160" t="inlineStr">
        <is>
          <t>Functional</t>
        </is>
      </c>
      <c r="E35" s="160" t="inlineStr">
        <is>
          <t>Medium</t>
        </is>
      </c>
      <c r="F35" s="11" t="inlineStr">
        <is>
          <t>Check gợi ý văn phòng khớp theo kiểu chứa chuỗi kể cả giữa từ</t>
        </is>
      </c>
      <c r="G35" s="11" t="inlineStr">
        <is>
          <t>- Tài khoản A là CBNV có hồ sơ đầy đủ trên STG.
- Host app FoxPro đã cài trên thiết bị Android/iOS.
Test Data: K8 "tan" — 36 văn phòng khớp (04_test-data/valid/USR-office-catalog.md)</t>
        </is>
      </c>
      <c r="H35" s="11" t="inlineStr">
        <is>
          <t>1. Đăng nhập FoxEco từ host app FoxPro bằng tài khoản A. (setup)
2. Nhấn tab "Cá nhân" ở bottom nav. (setup)
3. Nhấn mục menu "Cập nhật thông tin". (setup)
4. Xoá toàn bộ nội dung field "Địa chỉ mặc định". (setup)
5. Nhập "tan" vào field "Địa chỉ mặc định".</t>
        </is>
      </c>
      <c r="I35" s="11" t="inlineStr">
        <is>
          <t>5. Danh sách gợi ý có văn phòng "Tầng 20, FPT Tower" và văn phòng "14 NVY,Phú Thọ Hòa,Tân Phú".</t>
        </is>
      </c>
      <c r="J35" s="160" t="inlineStr">
        <is>
          <t>AI</t>
        </is>
      </c>
      <c r="K35" s="160" t="inlineStr">
        <is>
          <t>Pending</t>
        </is>
      </c>
      <c r="L35" s="160" t="inlineStr">
        <is>
          <t>No</t>
        </is>
      </c>
      <c r="M35" s="160" t="inlineStr"/>
      <c r="N35" s="264" t="inlineStr">
        <is>
          <t>Yes</t>
        </is>
      </c>
      <c r="O35" s="264" t="inlineStr"/>
      <c r="P35" s="264" t="inlineStr">
        <is>
          <t>Block</t>
        </is>
      </c>
      <c r="Q35" s="264" t="inlineStr">
        <is>
          <t>GiangDC2</t>
        </is>
      </c>
      <c r="R35" s="264" t="inlineStr"/>
      <c r="S35" s="264" t="inlineStr"/>
      <c r="T35" s="264" t="n"/>
      <c r="U35" s="264" t="n"/>
      <c r="V35" s="264" t="n"/>
      <c r="W35" s="264" t="n"/>
      <c r="X35" s="264" t="n"/>
      <c r="Y35" s="264" t="n"/>
      <c r="Z35" s="264" t="n"/>
      <c r="AA35" s="264" t="n"/>
      <c r="AB35" s="264" t="n"/>
      <c r="AC35" s="264" t="n"/>
      <c r="AD35" s="264" t="n"/>
      <c r="AE35" s="264" t="n"/>
      <c r="AF35" s="264" t="n"/>
      <c r="AG35" s="264" t="n"/>
      <c r="AH35" s="264" t="n"/>
      <c r="AI35" s="264" t="n"/>
      <c r="AJ35" s="264" t="n"/>
      <c r="AK35" s="264" t="n"/>
      <c r="AL35" s="264" t="n"/>
      <c r="AM35" s="264" t="n"/>
      <c r="AN35" s="264" t="n"/>
      <c r="AO35" s="264" t="n"/>
      <c r="AP35" s="264" t="n"/>
      <c r="AQ35" s="264" t="n"/>
      <c r="AR35" s="158">
        <f>IF($A35="","",IF(OR($N35="Yes",$T35="Yes",$Z35="Yes",$AF35="Yes",$AL35="Yes"),"Yes","No"))</f>
        <v/>
      </c>
      <c r="AS35" s="158">
        <f>IF($A35="","",IFERROR(IF($AM35&lt;&gt;"",$AM35,IF($AG35&lt;&gt;"",$AG35,IF($AA35&lt;&gt;"",$AA35,IF($U35&lt;&gt;"",$U35,IF($O35&lt;&gt;"",$O35,""))))),""))</f>
        <v/>
      </c>
      <c r="AT35" s="158">
        <f>IFERROR(IF($AN35&lt;&gt;"",$AN35,IF($AH35&lt;&gt;"",$AH35,IF($AB35&lt;&gt;"",$AB35,IF($V35&lt;&gt;"",$V35,IF($P35&lt;&gt;"",$P35,""))))),"")</f>
        <v/>
      </c>
      <c r="AU35" s="265" t="inlineStr">
        <is>
          <t>Mục đích: "Tầng" chỉ khớp khi so kiểu chứa chuỗi — app khớp theo đầu từ sẽ thiếu mục này. · Căn cứ: BA chốt 2026-09-16 (chứa chuỗi); tổng 36 văn phòng theo `DOC-v1.1-04`. · ID cũ: TC-USR-029.</t>
        </is>
      </c>
    </row>
    <row r="36" ht="15.75" customHeight="1" s="216">
      <c r="A36" s="160">
        <f>IF($F36="","",$C$2&amp;"."&amp;COUNTA($F$7:$F36)&amp;"")</f>
        <v/>
      </c>
      <c r="B36" s="160" t="inlineStr">
        <is>
          <t>REQ-USR-008</t>
        </is>
      </c>
      <c r="C36" s="160" t="inlineStr">
        <is>
          <t>DOC-v1.1-01 · DOC-v1.1-04</t>
        </is>
      </c>
      <c r="D36" s="160" t="inlineStr">
        <is>
          <t>Functional</t>
        </is>
      </c>
      <c r="E36" s="160" t="inlineStr">
        <is>
          <t>Medium</t>
        </is>
      </c>
      <c r="F36" s="11" t="inlineStr">
        <is>
          <t>Check từ khoá không khớp văn phòng nào không hiển thị gợi ý</t>
        </is>
      </c>
      <c r="G36" s="11" t="inlineStr">
        <is>
          <t>- Tài khoản A là CBNV có hồ sơ đầy đủ trên STG.
- Host app FoxPro đã cài trên thiết bị Android/iOS.
Test Data: K5 "xyz" (04_test-data/valid/USR-office-catalog.md)</t>
        </is>
      </c>
      <c r="H36" s="11" t="inlineStr">
        <is>
          <t>1. Đăng nhập FoxEco từ host app FoxPro bằng tài khoản A. (setup)
2. Nhấn tab "Cá nhân" ở bottom nav. (setup)
3. Nhấn mục menu "Cập nhật thông tin". (setup)
4. Xoá toàn bộ nội dung field "Địa chỉ mặc định". (setup)
5. Nhập "xyz" vào field "Địa chỉ mặc định".</t>
        </is>
      </c>
      <c r="I36" s="11" t="inlineStr">
        <is>
          <t>5. Không hiển thị danh sách gợi ý và không hiển thị dòng thông báo nào.</t>
        </is>
      </c>
      <c r="J36" s="160" t="inlineStr">
        <is>
          <t>AI</t>
        </is>
      </c>
      <c r="K36" s="160" t="inlineStr">
        <is>
          <t>Pending</t>
        </is>
      </c>
      <c r="L36" s="160" t="inlineStr">
        <is>
          <t>No</t>
        </is>
      </c>
      <c r="M36" s="160" t="inlineStr"/>
      <c r="N36" s="264" t="inlineStr">
        <is>
          <t>Yes</t>
        </is>
      </c>
      <c r="O36" s="264" t="inlineStr"/>
      <c r="P36" s="264" t="inlineStr">
        <is>
          <t>Pass</t>
        </is>
      </c>
      <c r="Q36" s="264" t="inlineStr">
        <is>
          <t>GiangDC2</t>
        </is>
      </c>
      <c r="R36" s="264" t="inlineStr"/>
      <c r="S36" s="264" t="inlineStr"/>
      <c r="T36" s="264" t="n"/>
      <c r="U36" s="264" t="n"/>
      <c r="V36" s="264" t="n"/>
      <c r="W36" s="264" t="n"/>
      <c r="X36" s="264" t="n"/>
      <c r="Y36" s="264" t="n"/>
      <c r="Z36" s="264" t="n"/>
      <c r="AA36" s="264" t="n"/>
      <c r="AB36" s="264" t="n"/>
      <c r="AC36" s="264" t="n"/>
      <c r="AD36" s="264" t="n"/>
      <c r="AE36" s="264" t="n"/>
      <c r="AF36" s="264" t="n"/>
      <c r="AG36" s="264" t="n"/>
      <c r="AH36" s="264" t="n"/>
      <c r="AI36" s="264" t="n"/>
      <c r="AJ36" s="264" t="n"/>
      <c r="AK36" s="264" t="n"/>
      <c r="AL36" s="264" t="n"/>
      <c r="AM36" s="264" t="n"/>
      <c r="AN36" s="264" t="n"/>
      <c r="AO36" s="264" t="n"/>
      <c r="AP36" s="264" t="n"/>
      <c r="AQ36" s="264" t="n"/>
      <c r="AR36" s="158">
        <f>IF($A36="","",IF(OR($N36="Yes",$T36="Yes",$Z36="Yes",$AF36="Yes",$AL36="Yes"),"Yes","No"))</f>
        <v/>
      </c>
      <c r="AS36" s="158">
        <f>IF($A36="","",IFERROR(IF($AM36&lt;&gt;"",$AM36,IF($AG36&lt;&gt;"",$AG36,IF($AA36&lt;&gt;"",$AA36,IF($U36&lt;&gt;"",$U36,IF($O36&lt;&gt;"",$O36,""))))),""))</f>
        <v/>
      </c>
      <c r="AT36" s="158">
        <f>IFERROR(IF($AN36&lt;&gt;"",$AN36,IF($AH36&lt;&gt;"",$AH36,IF($AB36&lt;&gt;"",$AB36,IF($V36&lt;&gt;"",$V36,IF($P36&lt;&gt;"",$P36,""))))),"")</f>
        <v/>
      </c>
      <c r="AU36" s="265" t="inlineStr">
        <is>
          <t>Căn cứ: BA chốt 2026-09-16 ("không có thì không gợi ý"). · ID cũ: TC-USR-030.</t>
        </is>
      </c>
    </row>
    <row r="37" ht="15.75" customHeight="1" s="216">
      <c r="A37" s="160">
        <f>IF($F37="","",$C$2&amp;"."&amp;COUNTA($F$7:$F37)&amp;"")</f>
        <v/>
      </c>
      <c r="B37" s="160" t="inlineStr">
        <is>
          <t>REQ-USR-008</t>
        </is>
      </c>
      <c r="C37" s="160" t="inlineStr">
        <is>
          <t>DOC-v1.1-01 · DOC-v1.1-04</t>
        </is>
      </c>
      <c r="D37" s="160" t="inlineStr">
        <is>
          <t>Functional</t>
        </is>
      </c>
      <c r="E37" s="160" t="inlineStr">
        <is>
          <t>Medium</t>
        </is>
      </c>
      <c r="F37" s="11" t="inlineStr">
        <is>
          <t>Check gợi ý chỉ tìm theo tên văn phòng, không theo mã tỉnh</t>
        </is>
      </c>
      <c r="G37" s="11" t="inlineStr">
        <is>
          <t>- Tài khoản A là CBNV có hồ sơ đầy đủ trên STG.
- Host app FoxPro đã cài trên thiết bị Android/iOS.
Test Data: K6 "hcm" (04_test-data/valid/USR-office-catalog.md)</t>
        </is>
      </c>
      <c r="H37" s="11" t="inlineStr">
        <is>
          <t>1. Đăng nhập FoxEco từ host app FoxPro bằng tài khoản A. (setup)
2. Nhấn tab "Cá nhân" ở bottom nav. (setup)
3. Nhấn mục menu "Cập nhật thông tin". (setup)
4. Xoá toàn bộ nội dung field "Địa chỉ mặc định". (setup)
5. Nhập "hcm" vào field "Địa chỉ mặc định".</t>
        </is>
      </c>
      <c r="I37" s="11" t="inlineStr">
        <is>
          <t>5. Không hiển thị danh sách gợi ý.</t>
        </is>
      </c>
      <c r="J37" s="160" t="inlineStr">
        <is>
          <t>AI</t>
        </is>
      </c>
      <c r="K37" s="160" t="inlineStr">
        <is>
          <t>Pending</t>
        </is>
      </c>
      <c r="L37" s="160" t="inlineStr">
        <is>
          <t>No</t>
        </is>
      </c>
      <c r="M37" s="160" t="inlineStr"/>
      <c r="N37" s="264" t="inlineStr">
        <is>
          <t>Yes</t>
        </is>
      </c>
      <c r="O37" s="264" t="inlineStr"/>
      <c r="P37" s="264" t="inlineStr">
        <is>
          <t>Fail</t>
        </is>
      </c>
      <c r="Q37" s="264" t="inlineStr">
        <is>
          <t>GiangDC2</t>
        </is>
      </c>
      <c r="R37" s="264" t="inlineStr">
        <is>
          <t>FE-298</t>
        </is>
      </c>
      <c r="S37" s="264" t="inlineStr"/>
      <c r="T37" s="264" t="n"/>
      <c r="U37" s="264" t="n"/>
      <c r="V37" s="264" t="n"/>
      <c r="W37" s="264" t="n"/>
      <c r="X37" s="264" t="n"/>
      <c r="Y37" s="264" t="n"/>
      <c r="Z37" s="264" t="n"/>
      <c r="AA37" s="264" t="n"/>
      <c r="AB37" s="264" t="n"/>
      <c r="AC37" s="264" t="n"/>
      <c r="AD37" s="264" t="n"/>
      <c r="AE37" s="264" t="n"/>
      <c r="AF37" s="264" t="n"/>
      <c r="AG37" s="264" t="n"/>
      <c r="AH37" s="264" t="n"/>
      <c r="AI37" s="264" t="n"/>
      <c r="AJ37" s="264" t="n"/>
      <c r="AK37" s="264" t="n"/>
      <c r="AL37" s="264" t="n"/>
      <c r="AM37" s="264" t="n"/>
      <c r="AN37" s="264" t="n"/>
      <c r="AO37" s="264" t="n"/>
      <c r="AP37" s="264" t="n"/>
      <c r="AQ37" s="264" t="n"/>
      <c r="AR37" s="158">
        <f>IF($A37="","",IF(OR($N37="Yes",$T37="Yes",$Z37="Yes",$AF37="Yes",$AL37="Yes"),"Yes","No"))</f>
        <v/>
      </c>
      <c r="AS37" s="158">
        <f>IF($A37="","",IFERROR(IF($AM37&lt;&gt;"",$AM37,IF($AG37&lt;&gt;"",$AG37,IF($AA37&lt;&gt;"",$AA37,IF($U37&lt;&gt;"",$U37,IF($O37&lt;&gt;"",$O37,""))))),""))</f>
        <v/>
      </c>
      <c r="AT37" s="158">
        <f>IFERROR(IF($AN37&lt;&gt;"",$AN37,IF($AH37&lt;&gt;"",$AH37,IF($AB37&lt;&gt;"",$AB37,IF($V37&lt;&gt;"",$V37,IF($P37&lt;&gt;"",$P37,""))))),"")</f>
        <v/>
      </c>
      <c r="AU37" s="265" t="inlineStr">
        <is>
          <t>Mục đích: `DOC-v1.1-04` có cột `search_alias_text` chứa mã tỉnh ("hcm …") — app tìm nhầm cột này sẽ ra 34 văn phòng HCM ⇒ log bug. · Căn cứ: BA chốt 2026-09-16 (tìm theo tên văn phòng). · ID cũ: TC-USR-031.</t>
        </is>
      </c>
    </row>
    <row r="38" ht="15.75" customHeight="1" s="216">
      <c r="A38" s="160">
        <f>IF($F38="","",$C$2&amp;"."&amp;COUNTA($F$7:$F38)&amp;"")</f>
        <v/>
      </c>
      <c r="B38" s="160" t="inlineStr">
        <is>
          <t>REQ-USR-008</t>
        </is>
      </c>
      <c r="C38" s="160" t="inlineStr">
        <is>
          <t>DOC-v1.1-01</t>
        </is>
      </c>
      <c r="D38" s="160" t="inlineStr">
        <is>
          <t>Functional</t>
        </is>
      </c>
      <c r="E38" s="160" t="inlineStr">
        <is>
          <t>Medium</t>
        </is>
      </c>
      <c r="F38" s="11" t="inlineStr">
        <is>
          <t>Check lần đầu mở màn cập nhật địa chỉ mặc định điền sẵn từ HRIS</t>
        </is>
      </c>
      <c r="G38" s="11" t="inlineStr">
        <is>
          <t>- Tài khoản C là CBNV chưa từng lưu thông tin ở màn "Cập nhật thông tin".
- HRIS có địa chỉ làm việc của tài khoản C (giá trị đã biết).
- Host app FoxPro đã cài trên thiết bị Android/iOS.
Test Data: Tài khoản C = `FOXECO_STG_USER_C` (MNV 00041796); địa chỉ HRIS `HCM LôB3,E-Office,KCN TânThuận` ⇒ kỳ vọng prefill chuỗi `name` **`LôB3,E-Office,KCN TânThuận`** (`DOC-v1.1-04`) — `04_test-data/valid/USR-accounts.md`</t>
        </is>
      </c>
      <c r="H38" s="11" t="inlineStr">
        <is>
          <t>1. Đăng nhập FoxEco từ host app FoxPro bằng tài khoản C. (setup)
2. Nhấn tab "Cá nhân" ở bottom nav. (setup)
3. Nhấn mục menu "Cập nhật thông tin".
4. Nhấn vào field "Địa chỉ mặc định".
5. Check field "Địa chỉ mặc định".</t>
        </is>
      </c>
      <c r="I38" s="11" t="inlineStr">
        <is>
          <t>5. Field hiển thị đúng địa chỉ làm việc của tài khoản C trên HRIS và cho phép nhập (con trỏ, bàn phím xuất hiện).</t>
        </is>
      </c>
      <c r="J38" s="160" t="inlineStr">
        <is>
          <t>AI</t>
        </is>
      </c>
      <c r="K38" s="160" t="inlineStr">
        <is>
          <t>Pending</t>
        </is>
      </c>
      <c r="L38" s="160" t="inlineStr">
        <is>
          <t>No</t>
        </is>
      </c>
      <c r="M38" s="160" t="inlineStr"/>
      <c r="N38" s="264" t="inlineStr">
        <is>
          <t>Yes</t>
        </is>
      </c>
      <c r="O38" s="264" t="inlineStr"/>
      <c r="P38" s="264" t="inlineStr">
        <is>
          <t>Fail</t>
        </is>
      </c>
      <c r="Q38" s="264" t="inlineStr">
        <is>
          <t>GiangDC2</t>
        </is>
      </c>
      <c r="R38" s="264" t="inlineStr">
        <is>
          <t>FE-300</t>
        </is>
      </c>
      <c r="S38" s="264" t="inlineStr"/>
      <c r="T38" s="264" t="n"/>
      <c r="U38" s="264" t="n"/>
      <c r="V38" s="264" t="n"/>
      <c r="W38" s="264" t="n"/>
      <c r="X38" s="264" t="n"/>
      <c r="Y38" s="264" t="n"/>
      <c r="Z38" s="264" t="n"/>
      <c r="AA38" s="264" t="n"/>
      <c r="AB38" s="264" t="n"/>
      <c r="AC38" s="264" t="n"/>
      <c r="AD38" s="264" t="n"/>
      <c r="AE38" s="264" t="n"/>
      <c r="AF38" s="264" t="n"/>
      <c r="AG38" s="264" t="n"/>
      <c r="AH38" s="264" t="n"/>
      <c r="AI38" s="264" t="n"/>
      <c r="AJ38" s="264" t="n"/>
      <c r="AK38" s="264" t="n"/>
      <c r="AL38" s="264" t="n"/>
      <c r="AM38" s="264" t="n"/>
      <c r="AN38" s="264" t="n"/>
      <c r="AO38" s="264" t="n"/>
      <c r="AP38" s="264" t="n"/>
      <c r="AQ38" s="264" t="n"/>
      <c r="AR38" s="158">
        <f>IF($A38="","",IF(OR($N38="Yes",$T38="Yes",$Z38="Yes",$AF38="Yes",$AL38="Yes"),"Yes","No"))</f>
        <v/>
      </c>
      <c r="AS38" s="158">
        <f>IF($A38="","",IFERROR(IF($AM38&lt;&gt;"",$AM38,IF($AG38&lt;&gt;"",$AG38,IF($AA38&lt;&gt;"",$AA38,IF($U38&lt;&gt;"",$U38,IF($O38&lt;&gt;"",$O38,""))))),""))</f>
        <v/>
      </c>
      <c r="AT38" s="158">
        <f>IFERROR(IF($AN38&lt;&gt;"",$AN38,IF($AH38&lt;&gt;"",$AH38,IF($AB38&lt;&gt;"",$AB38,IF($V38&lt;&gt;"",$V38,IF($P38&lt;&gt;"",$P38,""))))),"")</f>
        <v/>
      </c>
      <c r="AU38" s="265" t="inlineStr">
        <is>
          <t>Căn cứ: BA chốt 2026-09-16 (mặc định load HRIS, cho sửa) + §8.15.2 "địa chỉ làm việc trong hồ sơ". ⛔ Chạy trước mọi TC lưu hồ sơ trên tài khoản C. · ✅ Test data đã có 2026-09-18 (`DOC-v1.1-05`). ⚠️ HRIS trả **mã tỉnh + tên VP** (`HCM LôB3,...`) còn catalog `name` không có tiền tố `HCM` — app hiện nguyên tiền tố thì **ghi nhận + hỏi BA**, ⛔ chưa kết luận bug. · Đã sửa theo §10.4 (2026-09-17): đổi thứ tự step 4/5 và gộp 2 điểm kiểm (giá trị HRIS + cho phép sửa) vào 1 Expected ở step cuối. · ID cũ: TC-USR-032.</t>
        </is>
      </c>
    </row>
    <row r="39" ht="15.75" customHeight="1" s="216">
      <c r="A39" s="160">
        <f>IF($F39="","",$C$2&amp;"."&amp;COUNTA($F$7:$F39)&amp;"")</f>
        <v/>
      </c>
      <c r="B39" s="160" t="inlineStr">
        <is>
          <t>REQ-USR-008</t>
        </is>
      </c>
      <c r="C39" s="160" t="inlineStr">
        <is>
          <t>DOC-v1.1-01</t>
        </is>
      </c>
      <c r="D39" s="160" t="inlineStr">
        <is>
          <t>Functional</t>
        </is>
      </c>
      <c r="E39" s="160" t="inlineStr">
        <is>
          <t>Medium</t>
        </is>
      </c>
      <c r="F39" s="11" t="inlineStr">
        <is>
          <t>Check địa chỉ mặc định rỗng khi HRIS không có địa chỉ làm việc</t>
        </is>
      </c>
      <c r="G39" s="11" t="inlineStr">
        <is>
          <t>- Tài khoản D là CBNV chưa từng lưu thông tin ở màn "Cập nhật thông tin".
- HRIS không có địa chỉ làm việc của tài khoản D.
- Host app FoxPro đã cài trên thiết bị Android/iOS.
Test Data: 🚫 **KHÔNG CÓ DATA VÀ KHÔNG THỂ CÓ** — HRIS bắt buộc địa chỉ làm việc khi tạo nhân viên (QC chốt 2026-09-18) ⇒ không tồn tại CBNV HRIS trống địa chỉ. TC `DESCOPED`, ⛔ không chạy (§0.1)</t>
        </is>
      </c>
      <c r="H39" s="11" t="inlineStr">
        <is>
          <t>1. Đăng nhập FoxEco từ host app FoxPro bằng tài khoản D. (setup)
2. Nhấn tab "Cá nhân" ở bottom nav. (setup)
3. Nhấn mục menu "Cập nhật thông tin".
4. Check field "Địa chỉ mặc định".</t>
        </is>
      </c>
      <c r="I39" s="11" t="inlineStr">
        <is>
          <t>4. Field "Địa chỉ mặc định" rỗng.</t>
        </is>
      </c>
      <c r="J39" s="160" t="inlineStr">
        <is>
          <t>AI</t>
        </is>
      </c>
      <c r="K39" s="160" t="inlineStr">
        <is>
          <t>Pending</t>
        </is>
      </c>
      <c r="L39" s="160" t="inlineStr">
        <is>
          <t>No</t>
        </is>
      </c>
      <c r="M39" s="160" t="inlineStr"/>
      <c r="N39" s="264" t="inlineStr">
        <is>
          <t>Yes</t>
        </is>
      </c>
      <c r="O39" s="264" t="inlineStr"/>
      <c r="P39" s="264" t="inlineStr">
        <is>
          <t>N/A</t>
        </is>
      </c>
      <c r="Q39" s="264" t="inlineStr">
        <is>
          <t>GiangDC2</t>
        </is>
      </c>
      <c r="R39" s="264" t="inlineStr"/>
      <c r="S39" s="264" t="inlineStr"/>
      <c r="T39" s="264" t="n"/>
      <c r="U39" s="264" t="n"/>
      <c r="V39" s="264" t="n"/>
      <c r="W39" s="264" t="n"/>
      <c r="X39" s="264" t="n"/>
      <c r="Y39" s="264" t="n"/>
      <c r="Z39" s="264" t="n"/>
      <c r="AA39" s="264" t="n"/>
      <c r="AB39" s="264" t="n"/>
      <c r="AC39" s="264" t="n"/>
      <c r="AD39" s="264" t="n"/>
      <c r="AE39" s="264" t="n"/>
      <c r="AF39" s="264" t="n"/>
      <c r="AG39" s="264" t="n"/>
      <c r="AH39" s="264" t="n"/>
      <c r="AI39" s="264" t="n"/>
      <c r="AJ39" s="264" t="n"/>
      <c r="AK39" s="264" t="n"/>
      <c r="AL39" s="264" t="n"/>
      <c r="AM39" s="264" t="n"/>
      <c r="AN39" s="264" t="n"/>
      <c r="AO39" s="264" t="n"/>
      <c r="AP39" s="264" t="n"/>
      <c r="AQ39" s="264" t="n"/>
      <c r="AR39" s="158">
        <f>IF($A39="","",IF(OR($N39="Yes",$T39="Yes",$Z39="Yes",$AF39="Yes",$AL39="Yes"),"Yes","No"))</f>
        <v/>
      </c>
      <c r="AS39" s="158">
        <f>IF($A39="","",IFERROR(IF($AM39&lt;&gt;"",$AM39,IF($AG39&lt;&gt;"",$AG39,IF($AA39&lt;&gt;"",$AA39,IF($U39&lt;&gt;"",$U39,IF($O39&lt;&gt;"",$O39,""))))),""))</f>
        <v/>
      </c>
      <c r="AT39" s="158">
        <f>IFERROR(IF($AN39&lt;&gt;"",$AN39,IF($AH39&lt;&gt;"",$AH39,IF($AB39&lt;&gt;"",$AB39,IF($V39&lt;&gt;"",$V39,IF($P39&lt;&gt;"",$P39,""))))),"")</f>
        <v/>
      </c>
      <c r="AU39" s="265" t="inlineStr">
        <is>
          <t>🚫 **DESCOPED 2026-09-18 (QC chốt)** — HRIS bắt buộc SĐT + địa chỉ làm việc khi tạo nhân viên ⇒ nhánh "HRIS trống" **không xảy ra trong thực tế, không seed được data**. ⛔ Không chạy, ⛔ không tính vào mẫu số coverage, ⛔ không thay bằng tài khoản khác. Xem §0.1. · Căn cứ: BA chốt 2026-09-16 ("HRIS không có địa chỉ thì để trống"). ⛔ Chạy trước mọi TC lưu hồ sơ trên tài khoản D. · 🔴 **BLOCKED 2026-09-18** — chưa có tài khoản vai D, ⛔ không PASS/FAIL bằng tài khoản khác. · ID cũ: TC-USR-033.</t>
        </is>
      </c>
    </row>
    <row r="40" ht="15.75" customHeight="1" s="216">
      <c r="A40" s="160">
        <f>IF($F40="","",$C$2&amp;"."&amp;COUNTA($F$7:$F40)&amp;"")</f>
        <v/>
      </c>
      <c r="B40" s="160" t="inlineStr">
        <is>
          <t>REQ-USR-008</t>
        </is>
      </c>
      <c r="C40" s="160" t="inlineStr">
        <is>
          <t>DOC-v1.1-01 · DOC-v1.1-04 · DOC-v1.1-05</t>
        </is>
      </c>
      <c r="D40" s="160" t="inlineStr">
        <is>
          <t>Functional</t>
        </is>
      </c>
      <c r="E40" s="160" t="inlineStr">
        <is>
          <t>Medium</t>
        </is>
      </c>
      <c r="F40" s="11" t="inlineStr">
        <is>
          <t>Check địa chỉ mặc định đã lưu được giữ sau khi mở lại FoxEco, không bị HRIS ghi đè</t>
        </is>
      </c>
      <c r="G40" s="11" t="inlineStr">
        <is>
          <t>- Tài khoản A là CBNV có hồ sơ đầy đủ trên STG.
- HRIS có địa chỉ làm việc của tài khoản A khác "Tòa V-City, Lê Thái Tổ".
- Host app FoxPro đã cài trên thiết bị Android/iOS.
Test Data: K3 "Tòa V-City, Lê Thái Tổ" (04_test-data/valid/USR-office-catalog.md)</t>
        </is>
      </c>
      <c r="H40" s="11" t="inlineStr">
        <is>
          <t>1. Đăng nhập FoxEco từ host app FoxPro bằng tài khoản A. (setup)
2. Nhấn tab "Cá nhân" ở bottom nav. (setup)
3. Nhấn mục menu "Cập nhật thông tin". (setup)
4. Nhập "Lê Thái Tổ" vào field "Địa chỉ mặc định". (setup)
5. Chọn "Tòa V-City, Lê Thái Tổ" trong danh sách gợi ý. (setup)
6. Nhấn nút "Lưu thay đổi". (setup)
7. Nhấn nút back của thiết bị cho tới khi quay về màn chính của host app FoxPro.
8. Mở lại FoxEco từ host app FoxPro.
9. Nhấn tab "Cá nhân" ở bottom nav.
10. Nhấn mục menu "Cập nhật thông tin".
11. Check field "Địa chỉ mặc định".</t>
        </is>
      </c>
      <c r="I40" s="11" t="inlineStr">
        <is>
          <t>11. Field "Địa chỉ mặc định" hiển thị "Tòa V-City, Lê Thái Tổ", không hiển thị địa chỉ làm việc trên HRIS.</t>
        </is>
      </c>
      <c r="J40" s="160" t="inlineStr">
        <is>
          <t>AI</t>
        </is>
      </c>
      <c r="K40" s="160" t="inlineStr">
        <is>
          <t>Pending</t>
        </is>
      </c>
      <c r="L40" s="160" t="inlineStr">
        <is>
          <t>No</t>
        </is>
      </c>
      <c r="M40" s="160" t="inlineStr"/>
      <c r="N40" s="264" t="inlineStr">
        <is>
          <t>Yes</t>
        </is>
      </c>
      <c r="O40" s="264" t="inlineStr"/>
      <c r="P40" s="264" t="inlineStr">
        <is>
          <t>Pass</t>
        </is>
      </c>
      <c r="Q40" s="264" t="inlineStr">
        <is>
          <t>GiangDC2</t>
        </is>
      </c>
      <c r="R40" s="264" t="inlineStr"/>
      <c r="S40" s="264" t="inlineStr"/>
      <c r="T40" s="264" t="n"/>
      <c r="U40" s="264" t="n"/>
      <c r="V40" s="264" t="n"/>
      <c r="W40" s="264" t="n"/>
      <c r="X40" s="264" t="n"/>
      <c r="Y40" s="264" t="n"/>
      <c r="Z40" s="264" t="n"/>
      <c r="AA40" s="264" t="n"/>
      <c r="AB40" s="264" t="n"/>
      <c r="AC40" s="264" t="n"/>
      <c r="AD40" s="264" t="n"/>
      <c r="AE40" s="264" t="n"/>
      <c r="AF40" s="264" t="n"/>
      <c r="AG40" s="264" t="n"/>
      <c r="AH40" s="264" t="n"/>
      <c r="AI40" s="264" t="n"/>
      <c r="AJ40" s="264" t="n"/>
      <c r="AK40" s="264" t="n"/>
      <c r="AL40" s="264" t="n"/>
      <c r="AM40" s="264" t="n"/>
      <c r="AN40" s="264" t="n"/>
      <c r="AO40" s="264" t="n"/>
      <c r="AP40" s="264" t="n"/>
      <c r="AQ40" s="264" t="n"/>
      <c r="AR40" s="158">
        <f>IF($A40="","",IF(OR($N40="Yes",$T40="Yes",$Z40="Yes",$AF40="Yes",$AL40="Yes"),"Yes","No"))</f>
        <v/>
      </c>
      <c r="AS40" s="158">
        <f>IF($A40="","",IFERROR(IF($AM40&lt;&gt;"",$AM40,IF($AG40&lt;&gt;"",$AG40,IF($AA40&lt;&gt;"",$AA40,IF($U40&lt;&gt;"",$U40,IF($O40&lt;&gt;"",$O40,""))))),""))</f>
        <v/>
      </c>
      <c r="AT40" s="158">
        <f>IFERROR(IF($AN40&lt;&gt;"",$AN40,IF($AH40&lt;&gt;"",$AH40,IF($AB40&lt;&gt;"",$AB40,IF($V40&lt;&gt;"",$V40,IF($P40&lt;&gt;"",$P40,""))))),"")</f>
        <v/>
      </c>
      <c r="AU40" s="265" t="inlineStr">
        <is>
          <t>✅ Tiền đề đã thoả 2026-09-18: HRIS của A = `HCM LôB3,E-Office,KCN TânThuận` ≠ `Tòa V-City, Lê Thái Tổ` (`DOC-v1.1-05`). · Mục đích: đối chứng với `TC-USR-040` — thứ tự ưu tiên "đã lưu &gt; HRIS &gt; rỗng"; thoát hẳn FoxEco để loại trừ giá trị còn trong phiên. · Căn cứ: BA chốt 2026-09-16 ("đã cập nhật trước đó vào lại sẽ thấy data cũ"). · ID cũ: TC-USR-034.</t>
        </is>
      </c>
    </row>
    <row r="41" ht="15.75" customHeight="1" s="216">
      <c r="A41" s="160">
        <f>IF($F41="","",$C$2&amp;"."&amp;COUNTA($F$7:$F41)&amp;"")</f>
        <v/>
      </c>
      <c r="B41" s="160" t="inlineStr">
        <is>
          <t>REQ-USR-008</t>
        </is>
      </c>
      <c r="C41" s="160" t="inlineStr">
        <is>
          <t>DOC-v1.1-01</t>
        </is>
      </c>
      <c r="D41" s="160" t="inlineStr">
        <is>
          <t>Functional</t>
        </is>
      </c>
      <c r="E41" s="160" t="inlineStr">
        <is>
          <t>Medium</t>
        </is>
      </c>
      <c r="F41" s="11" t="inlineStr">
        <is>
          <t>Check lần đầu mở màn cập nhật số điện thoại mặc định điền sẵn từ HRIS</t>
        </is>
      </c>
      <c r="G41" s="11" t="inlineStr">
        <is>
          <t>- Tài khoản C là CBNV chưa từng lưu thông tin ở màn "Cập nhật thông tin".
- HRIS có số điện thoại của tài khoản C (giá trị đã biết).
- Host app FoxPro đã cài trên thiết bị Android/iOS.
Test Data: Tài khoản C = `FOXECO_STG_USER_C`; SĐT HRIS đọc từ `00_input/v1.1/datatest` (`DOC-v1.1-05`, local — ⛔ không chép vào TC/evidence), định dạng 10 số đầu 0 ⇒ hợp lệ theo `BR15-02`</t>
        </is>
      </c>
      <c r="H41" s="11" t="inlineStr">
        <is>
          <t>1. Đăng nhập FoxEco từ host app FoxPro bằng tài khoản C. (setup)
2. Nhấn tab "Cá nhân" ở bottom nav. (setup)
3. Nhấn mục menu "Cập nhật thông tin".
4. Nhấn vào field "Số điện thoại mặc định".
5. Check field "Số điện thoại mặc định".</t>
        </is>
      </c>
      <c r="I41" s="11" t="inlineStr">
        <is>
          <t>5. Field hiển thị đúng số điện thoại của tài khoản C trên HRIS và cho phép nhập (con trỏ, bàn phím xuất hiện).</t>
        </is>
      </c>
      <c r="J41" s="160" t="inlineStr">
        <is>
          <t>AI</t>
        </is>
      </c>
      <c r="K41" s="160" t="inlineStr">
        <is>
          <t>Pending</t>
        </is>
      </c>
      <c r="L41" s="160" t="inlineStr">
        <is>
          <t>No</t>
        </is>
      </c>
      <c r="M41" s="160" t="inlineStr"/>
      <c r="N41" s="264" t="inlineStr">
        <is>
          <t>Yes</t>
        </is>
      </c>
      <c r="O41" s="264" t="inlineStr"/>
      <c r="P41" s="264" t="inlineStr">
        <is>
          <t>Fail</t>
        </is>
      </c>
      <c r="Q41" s="264" t="inlineStr">
        <is>
          <t>GiangDC2</t>
        </is>
      </c>
      <c r="R41" s="264" t="inlineStr">
        <is>
          <t>FE-300</t>
        </is>
      </c>
      <c r="S41" s="264" t="inlineStr"/>
      <c r="T41" s="264" t="n"/>
      <c r="U41" s="264" t="n"/>
      <c r="V41" s="264" t="n"/>
      <c r="W41" s="264" t="n"/>
      <c r="X41" s="264" t="n"/>
      <c r="Y41" s="264" t="n"/>
      <c r="Z41" s="264" t="n"/>
      <c r="AA41" s="264" t="n"/>
      <c r="AB41" s="264" t="n"/>
      <c r="AC41" s="264" t="n"/>
      <c r="AD41" s="264" t="n"/>
      <c r="AE41" s="264" t="n"/>
      <c r="AF41" s="264" t="n"/>
      <c r="AG41" s="264" t="n"/>
      <c r="AH41" s="264" t="n"/>
      <c r="AI41" s="264" t="n"/>
      <c r="AJ41" s="264" t="n"/>
      <c r="AK41" s="264" t="n"/>
      <c r="AL41" s="264" t="n"/>
      <c r="AM41" s="264" t="n"/>
      <c r="AN41" s="264" t="n"/>
      <c r="AO41" s="264" t="n"/>
      <c r="AP41" s="264" t="n"/>
      <c r="AQ41" s="264" t="n"/>
      <c r="AR41" s="158">
        <f>IF($A41="","",IF(OR($N41="Yes",$T41="Yes",$Z41="Yes",$AF41="Yes",$AL41="Yes"),"Yes","No"))</f>
        <v/>
      </c>
      <c r="AS41" s="158">
        <f>IF($A41="","",IFERROR(IF($AM41&lt;&gt;"",$AM41,IF($AG41&lt;&gt;"",$AG41,IF($AA41&lt;&gt;"",$AA41,IF($U41&lt;&gt;"",$U41,IF($O41&lt;&gt;"",$O41,""))))),""))</f>
        <v/>
      </c>
      <c r="AT41" s="158">
        <f>IFERROR(IF($AN41&lt;&gt;"",$AN41,IF($AH41&lt;&gt;"",$AH41,IF($AB41&lt;&gt;"",$AB41,IF($V41&lt;&gt;"",$V41,IF($P41&lt;&gt;"",$P41,""))))),"")</f>
        <v/>
      </c>
      <c r="AU41" s="265" t="inlineStr">
        <is>
          <t>Căn cứ: BA chốt 2026-09-16 ("SĐT mặc định từ HRIS") + §8.15.2 "số điện thoại hiện tại". Có thể chạy cùng phiên với `TC-USR-040` trên tài khoản C. · ✅ Test data đã có 2026-09-18 (`DOC-v1.1-05`). 🕐 SĐT HRIS mới cập nhật 18/09, FoxEco có thể chỉ đồng bộ **sau** 18/09 ⇒ chạy từ 19/09; lệch đúng ngày 18/09 ⇒ ghi `BLOCKED`, ⛔ không log bug. · Đã sửa theo §10.4 (2026-09-17): đổi thứ tự step 4/5 và gộp 2 điểm kiểm vào 1 Expected ở step cuối. · ID cũ: TC-USR-035.</t>
        </is>
      </c>
    </row>
    <row r="42" ht="15.75" customHeight="1" s="216">
      <c r="A42" s="160">
        <f>IF($F42="","",$C$2&amp;"."&amp;COUNTA($F$7:$F42)&amp;"")</f>
        <v/>
      </c>
      <c r="B42" s="160" t="inlineStr">
        <is>
          <t>REQ-USR-008</t>
        </is>
      </c>
      <c r="C42" s="160" t="inlineStr">
        <is>
          <t>DOC-v1.1-01</t>
        </is>
      </c>
      <c r="D42" s="160" t="inlineStr">
        <is>
          <t>Functional</t>
        </is>
      </c>
      <c r="E42" s="160" t="inlineStr">
        <is>
          <t>Medium</t>
        </is>
      </c>
      <c r="F42" s="11" t="inlineStr">
        <is>
          <t>Check HRIS không có số điện thoại thì field rỗng và nhấn lưu bị chặn</t>
        </is>
      </c>
      <c r="G42" s="11" t="inlineStr">
        <is>
          <t>- Tài khoản D là CBNV chưa từng lưu thông tin ở màn "Cập nhật thông tin".
- HRIS không có số điện thoại của tài khoản D.
- Host app FoxPro đã cài trên thiết bị Android/iOS.
Test Data: 🚫 **KHÔNG CÓ DATA VÀ KHÔNG THỂ CÓ** — HRIS bắt buộc SĐT khi tạo nhân viên (QC chốt 2026-09-18) ⇒ không tồn tại CBNV HRIS trống SĐT. TC `DESCOPED`, ⛔ không chạy (§0.1)</t>
        </is>
      </c>
      <c r="H42" s="11" t="inlineStr">
        <is>
          <t>1. Đăng nhập FoxEco từ host app FoxPro bằng tài khoản D. (setup)
2. Nhấn tab "Cá nhân" ở bottom nav. (setup)
3. Nhấn mục menu "Cập nhật thông tin".
4. Check field "Số điện thoại mặc định".
5. Nhấn nút "Lưu thay đổi".</t>
        </is>
      </c>
      <c r="I42" s="11" t="inlineStr">
        <is>
          <t>5. Hiển thị thông báo lỗi màu đỏ "Vui lòng nhập số điện thoại" ngay dưới field "Số điện thoại mặc định"; KHÔNG hiển thị banner "Đã lưu thông tin của bạn".</t>
        </is>
      </c>
      <c r="J42" s="160" t="inlineStr">
        <is>
          <t>AI</t>
        </is>
      </c>
      <c r="K42" s="160" t="inlineStr">
        <is>
          <t>Pending</t>
        </is>
      </c>
      <c r="L42" s="160" t="inlineStr">
        <is>
          <t>No</t>
        </is>
      </c>
      <c r="M42" s="160" t="inlineStr"/>
      <c r="N42" s="264" t="inlineStr">
        <is>
          <t>Yes</t>
        </is>
      </c>
      <c r="O42" s="264" t="inlineStr"/>
      <c r="P42" s="264" t="inlineStr">
        <is>
          <t>N/A</t>
        </is>
      </c>
      <c r="Q42" s="264" t="inlineStr">
        <is>
          <t>GiangDC2</t>
        </is>
      </c>
      <c r="R42" s="264" t="inlineStr"/>
      <c r="S42" s="264" t="inlineStr"/>
      <c r="T42" s="264" t="n"/>
      <c r="U42" s="264" t="n"/>
      <c r="V42" s="264" t="n"/>
      <c r="W42" s="264" t="n"/>
      <c r="X42" s="264" t="n"/>
      <c r="Y42" s="264" t="n"/>
      <c r="Z42" s="264" t="n"/>
      <c r="AA42" s="264" t="n"/>
      <c r="AB42" s="264" t="n"/>
      <c r="AC42" s="264" t="n"/>
      <c r="AD42" s="264" t="n"/>
      <c r="AE42" s="264" t="n"/>
      <c r="AF42" s="264" t="n"/>
      <c r="AG42" s="264" t="n"/>
      <c r="AH42" s="264" t="n"/>
      <c r="AI42" s="264" t="n"/>
      <c r="AJ42" s="264" t="n"/>
      <c r="AK42" s="264" t="n"/>
      <c r="AL42" s="264" t="n"/>
      <c r="AM42" s="264" t="n"/>
      <c r="AN42" s="264" t="n"/>
      <c r="AO42" s="264" t="n"/>
      <c r="AP42" s="264" t="n"/>
      <c r="AQ42" s="264" t="n"/>
      <c r="AR42" s="158">
        <f>IF($A42="","",IF(OR($N42="Yes",$T42="Yes",$Z42="Yes",$AF42="Yes",$AL42="Yes"),"Yes","No"))</f>
        <v/>
      </c>
      <c r="AS42" s="158">
        <f>IF($A42="","",IFERROR(IF($AM42&lt;&gt;"",$AM42,IF($AG42&lt;&gt;"",$AG42,IF($AA42&lt;&gt;"",$AA42,IF($U42&lt;&gt;"",$U42,IF($O42&lt;&gt;"",$O42,""))))),""))</f>
        <v/>
      </c>
      <c r="AT42" s="158">
        <f>IFERROR(IF($AN42&lt;&gt;"",$AN42,IF($AH42&lt;&gt;"",$AH42,IF($AB42&lt;&gt;"",$AB42,IF($V42&lt;&gt;"",$V42,IF($P42&lt;&gt;"",$P42,""))))),"")</f>
        <v/>
      </c>
      <c r="AU42" s="265" t="inlineStr">
        <is>
          <t>🚫 **DESCOPED 2026-09-18 (QC chốt)** — HRIS bắt buộc SĐT + địa chỉ làm việc khi tạo nhân viên ⇒ nhánh "HRIS trống" **không xảy ra trong thực tế, không seed được data**. ⛔ Không chạy, ⛔ không tính vào mẫu số coverage, ⛔ không thay bằng tài khoản khác. Xem §0.1. Vế *"SĐT rỗng ⇒ Lưu bị chặn"* vẫn phủ bởi `TC-USR-017`. · Mục đích: hệ quả phản trực giác — người dùng không lưu được cả địa chỉ nếu chưa nhập SĐT. · Căn cứ: BA chốt 2026-09-16 + `BR15-02` (SĐT bắt buộc). Có thể chạy cùng phiên với `TC-USR-041` trên tài khoản D. · 🔴 **BLOCKED 2026-09-18** — chưa có tài khoản vai D, ⛔ không PASS/FAIL bằng tài khoản khác. · Đã sửa theo §10.4 (2026-09-17): bỏ dòng Expected ở step 4 (field rỗng) — giữ như 1 quan sát thường trong Steps, chỉ assert chính thức ở step cuối (Lưu bị chặn). · ID cũ: TC-USR-036.</t>
        </is>
      </c>
    </row>
    <row r="43" ht="15.75" customHeight="1" s="216">
      <c r="A43" s="160">
        <f>IF($F43="","",$C$2&amp;"."&amp;COUNTA($F$7:$F43)&amp;"")</f>
        <v/>
      </c>
      <c r="B43" s="160" t="inlineStr">
        <is>
          <t>REQ-USR-008</t>
        </is>
      </c>
      <c r="C43" s="160" t="inlineStr">
        <is>
          <t>DOC-v1.1-01 · DOC-v1.1-04</t>
        </is>
      </c>
      <c r="D43" s="160" t="inlineStr">
        <is>
          <t>Functional</t>
        </is>
      </c>
      <c r="E43" s="160" t="inlineStr">
        <is>
          <t>Low</t>
        </is>
      </c>
      <c r="F43" s="11" t="inlineStr">
        <is>
          <t>Check nhấn quay lại khi chưa lưu không hiển thị hộp thoại xác nhận</t>
        </is>
      </c>
      <c r="G43" s="11" t="inlineStr">
        <is>
          <t>- Tài khoản A là CBNV có hồ sơ đầy đủ trên STG.
- Host app FoxPro đã cài trên thiết bị Android/iOS.
Test Data: SĐT "0987654321"; văn phòng "36 Nhơn Hòa 4, Cẩm Lệ" (04_test-data/valid/USR-office-catalog.md K4)</t>
        </is>
      </c>
      <c r="H43" s="11" t="inlineStr">
        <is>
          <t>1. Đăng nhập FoxEco từ host app FoxPro bằng tài khoản A. (setup)
2. Nhấn tab "Cá nhân" ở bottom nav. (setup)
3. Nhấn mục menu "Cập nhật thông tin". (setup)
4. Ghi lại giá trị đang hiển thị ở field "Số điện thoại mặc định" và field "Địa chỉ mặc định".
5. Nhập "0987654321" vào field "Số điện thoại mặc định".
6. Nhập "Cẩm Lệ" vào field "Địa chỉ mặc định".
7. Chọn "36 Nhơn Hòa 4, Cẩm Lệ" trong danh sách gợi ý.
8. Nhấn nút "←".</t>
        </is>
      </c>
      <c r="I43" s="11" t="inlineStr">
        <is>
          <t>8. Quay về trang "Cá nhân" ngay, không hiển thị hộp thoại xác nhận nào.</t>
        </is>
      </c>
      <c r="J43" s="160" t="inlineStr">
        <is>
          <t>AI</t>
        </is>
      </c>
      <c r="K43" s="160" t="inlineStr">
        <is>
          <t>Pending</t>
        </is>
      </c>
      <c r="L43" s="160" t="inlineStr">
        <is>
          <t>No</t>
        </is>
      </c>
      <c r="M43" s="160" t="inlineStr"/>
      <c r="N43" s="264" t="inlineStr">
        <is>
          <t>Yes</t>
        </is>
      </c>
      <c r="O43" s="264" t="inlineStr"/>
      <c r="P43" s="264" t="inlineStr">
        <is>
          <t>Pass</t>
        </is>
      </c>
      <c r="Q43" s="264" t="inlineStr">
        <is>
          <t>GiangDC2</t>
        </is>
      </c>
      <c r="R43" s="264" t="inlineStr"/>
      <c r="S43" s="264" t="inlineStr"/>
      <c r="T43" s="264" t="n"/>
      <c r="U43" s="264" t="n"/>
      <c r="V43" s="264" t="n"/>
      <c r="W43" s="264" t="n"/>
      <c r="X43" s="264" t="n"/>
      <c r="Y43" s="264" t="n"/>
      <c r="Z43" s="264" t="n"/>
      <c r="AA43" s="264" t="n"/>
      <c r="AB43" s="264" t="n"/>
      <c r="AC43" s="264" t="n"/>
      <c r="AD43" s="264" t="n"/>
      <c r="AE43" s="264" t="n"/>
      <c r="AF43" s="264" t="n"/>
      <c r="AG43" s="264" t="n"/>
      <c r="AH43" s="264" t="n"/>
      <c r="AI43" s="264" t="n"/>
      <c r="AJ43" s="264" t="n"/>
      <c r="AK43" s="264" t="n"/>
      <c r="AL43" s="264" t="n"/>
      <c r="AM43" s="264" t="n"/>
      <c r="AN43" s="264" t="n"/>
      <c r="AO43" s="264" t="n"/>
      <c r="AP43" s="264" t="n"/>
      <c r="AQ43" s="264" t="n"/>
      <c r="AR43" s="158">
        <f>IF($A43="","",IF(OR($N43="Yes",$T43="Yes",$Z43="Yes",$AF43="Yes",$AL43="Yes"),"Yes","No"))</f>
        <v/>
      </c>
      <c r="AS43" s="158">
        <f>IF($A43="","",IFERROR(IF($AM43&lt;&gt;"",$AM43,IF($AG43&lt;&gt;"",$AG43,IF($AA43&lt;&gt;"",$AA43,IF($U43&lt;&gt;"",$U43,IF($O43&lt;&gt;"",$O43,""))))),""))</f>
        <v/>
      </c>
      <c r="AT43" s="158">
        <f>IFERROR(IF($AN43&lt;&gt;"",$AN43,IF($AH43&lt;&gt;"",$AH43,IF($AB43&lt;&gt;"",$AB43,IF($V43&lt;&gt;"",$V43,IF($P43&lt;&gt;"",$P43,""))))),"")</f>
        <v/>
      </c>
      <c r="AU43" s="265" t="inlineStr">
        <is>
          <t>Căn cứ: BA chốt 2026-09-16 ("không lưu, không hiện xác nhận") — vế (1) không có hộp thoại chặn đường ra. · Đã sửa theo §10.4 (2026-09-17): tách khỏi `TC-USR-037` cũ — vế "giá trị chưa lưu bị bỏ" tách sang `TC-USR-046`. · ID cũ: TC-USR-037 (một phần).</t>
        </is>
      </c>
    </row>
    <row r="44" ht="15.75" customHeight="1" s="216">
      <c r="A44" s="160">
        <f>IF($F44="","",$C$2&amp;"."&amp;COUNTA($F$7:$F44)&amp;"")</f>
        <v/>
      </c>
      <c r="B44" s="160" t="inlineStr">
        <is>
          <t>REQ-USR-008</t>
        </is>
      </c>
      <c r="C44" s="160" t="inlineStr">
        <is>
          <t>DOC-v1.1-01 · DOC-v1.1-04</t>
        </is>
      </c>
      <c r="D44" s="160" t="inlineStr">
        <is>
          <t>Functional</t>
        </is>
      </c>
      <c r="E44" s="160" t="inlineStr">
        <is>
          <t>Low</t>
        </is>
      </c>
      <c r="F44" s="11" t="inlineStr">
        <is>
          <t>Check thoát màn khi chưa lưu bỏ thay đổi không giữ bản nháp</t>
        </is>
      </c>
      <c r="G44" s="11" t="inlineStr">
        <is>
          <t>- Tài khoản A là CBNV có hồ sơ đầy đủ trên STG.
- Host app FoxPro đã cài trên thiết bị Android/iOS.
Test Data: SĐT "0987654321"; văn phòng "36 Nhơn Hòa 4, Cẩm Lệ" (04_test-data/valid/USR-office-catalog.md K4)</t>
        </is>
      </c>
      <c r="H44" s="11" t="inlineStr">
        <is>
          <t>1. Đăng nhập FoxEco từ host app FoxPro bằng tài khoản A. (setup)
2. Nhấn tab "Cá nhân" ở bottom nav. (setup)
3. Nhấn mục menu "Cập nhật thông tin". (setup)
4. Ghi lại giá trị đang hiển thị ở field "Số điện thoại mặc định" và field "Địa chỉ mặc định". (setup)
5. Nhập "0987654321" vào field "Số điện thoại mặc định". (setup)
6. Nhập "Cẩm Lệ" vào field "Địa chỉ mặc định". (setup)
7. Chọn "36 Nhơn Hòa 4, Cẩm Lệ" trong danh sách gợi ý. (setup)
8. Nhấn nút "←". (setup)
9. Nhấn mục menu "Cập nhật thông tin".
10. Check field "Số điện thoại mặc định" và field "Địa chỉ mặc định".</t>
        </is>
      </c>
      <c r="I44" s="11" t="inlineStr">
        <is>
          <t>10. Field "Số điện thoại mặc định" và field "Địa chỉ mặc định" trùng đúng giá trị đã ghi ở bước 4 — thay đổi chưa lưu bị bỏ, không giữ lại dạng bản nháp.</t>
        </is>
      </c>
      <c r="J44" s="160" t="inlineStr">
        <is>
          <t>AI</t>
        </is>
      </c>
      <c r="K44" s="160" t="inlineStr">
        <is>
          <t>Pending</t>
        </is>
      </c>
      <c r="L44" s="160" t="inlineStr">
        <is>
          <t>No</t>
        </is>
      </c>
      <c r="M44" s="160" t="inlineStr"/>
      <c r="N44" s="264" t="inlineStr">
        <is>
          <t>Yes</t>
        </is>
      </c>
      <c r="O44" s="264" t="inlineStr"/>
      <c r="P44" s="264" t="inlineStr">
        <is>
          <t>Pass</t>
        </is>
      </c>
      <c r="Q44" s="264" t="inlineStr">
        <is>
          <t>GiangDC2</t>
        </is>
      </c>
      <c r="R44" s="264" t="inlineStr"/>
      <c r="S44" s="264" t="inlineStr"/>
      <c r="T44" s="264" t="n"/>
      <c r="U44" s="264" t="n"/>
      <c r="V44" s="264" t="n"/>
      <c r="W44" s="264" t="n"/>
      <c r="X44" s="264" t="n"/>
      <c r="Y44" s="264" t="n"/>
      <c r="Z44" s="264" t="n"/>
      <c r="AA44" s="264" t="n"/>
      <c r="AB44" s="264" t="n"/>
      <c r="AC44" s="264" t="n"/>
      <c r="AD44" s="264" t="n"/>
      <c r="AE44" s="264" t="n"/>
      <c r="AF44" s="264" t="n"/>
      <c r="AG44" s="264" t="n"/>
      <c r="AH44" s="264" t="n"/>
      <c r="AI44" s="264" t="n"/>
      <c r="AJ44" s="264" t="n"/>
      <c r="AK44" s="264" t="n"/>
      <c r="AL44" s="264" t="n"/>
      <c r="AM44" s="264" t="n"/>
      <c r="AN44" s="264" t="n"/>
      <c r="AO44" s="264" t="n"/>
      <c r="AP44" s="264" t="n"/>
      <c r="AQ44" s="264" t="n"/>
      <c r="AR44" s="158">
        <f>IF($A44="","",IF(OR($N44="Yes",$T44="Yes",$Z44="Yes",$AF44="Yes",$AL44="Yes"),"Yes","No"))</f>
        <v/>
      </c>
      <c r="AS44" s="158">
        <f>IF($A44="","",IFERROR(IF($AM44&lt;&gt;"",$AM44,IF($AG44&lt;&gt;"",$AG44,IF($AA44&lt;&gt;"",$AA44,IF($U44&lt;&gt;"",$U44,IF($O44&lt;&gt;"",$O44,""))))),""))</f>
        <v/>
      </c>
      <c r="AT44" s="158">
        <f>IFERROR(IF($AN44&lt;&gt;"",$AN44,IF($AH44&lt;&gt;"",$AH44,IF($AB44&lt;&gt;"",$AB44,IF($V44&lt;&gt;"",$V44,IF($P44&lt;&gt;"",$P44,""))))),"")</f>
        <v/>
      </c>
      <c r="AU44" s="265" t="inlineStr">
        <is>
          <t>Căn cứ: BA chốt 2026-09-16 — vế (2) giá trị chưa lưu không bị lưu ngầm/giữ nháp. Demo giữ bản nháp khi mở lại màn (đọc code `DOC-v1.1-02`) ⇒ STG giống demo thì log bug, ⛔ không dùng demo làm oracle. · Đã sửa theo §10.4 (2026-09-17): tách khỏi `TC-USR-037` cũ, giữ đúng 1 điểm kiểm ở step cuối. Nếu giá trị bước 4 trùng test data thì đổi giá trị khác. · ID cũ: TC-USR-037 (một phần — điểm kiểm chính).</t>
        </is>
      </c>
    </row>
    <row r="45" ht="15.75" customHeight="1" s="216">
      <c r="A45" s="160">
        <f>IF($F45="","",$C$2&amp;"."&amp;COUNTA($F$7:$F45)&amp;"")</f>
        <v/>
      </c>
      <c r="B45" s="160" t="inlineStr">
        <is>
          <t>REQ-USR-001</t>
        </is>
      </c>
      <c r="C45" s="160" t="inlineStr">
        <is>
          <t>DOC-v1.0-01</t>
        </is>
      </c>
      <c r="D45" s="160" t="inlineStr">
        <is>
          <t>Functional</t>
        </is>
      </c>
      <c r="E45" s="160" t="inlineStr">
        <is>
          <t>High</t>
        </is>
      </c>
      <c r="F45" s="11" t="inlineStr">
        <is>
          <t>Check mở FoxEco từ host app vào đúng danh tính CBNV của tài khoản SSO</t>
        </is>
      </c>
      <c r="G45" s="11" t="inlineStr">
        <is>
          <t>Tài khoản SSO CBNV FPT còn hiệu lực trên STG.
- Host app FoxPro (`vn.fpt.ftel.sop.stg`) đã cài trên thiết bị Android/iOS.
Test Data: Tài khoản SSO CBNV còn hiệu lực (test_data_catalog §USR)</t>
        </is>
      </c>
      <c r="H45" s="11" t="inlineStr">
        <is>
          <t>1. Đăng nhập host app FoxPro bằng tài khoản SSO CBNV. (setup)
2. Nhấn entry point FoxEco trong host app.
3. Nhấn tab "Cá nhân" ở bottom nav.
4. Check tên hiển thị, phòng ban và MNV trên màn "Cá nhân".</t>
        </is>
      </c>
      <c r="I45" s="11" t="inlineStr">
        <is>
          <t>4. Tên hiển thị, phòng ban và MNV trùng khớp hồ sơ nhân viên của tài khoản vừa đăng nhập.</t>
        </is>
      </c>
      <c r="J45" s="160" t="inlineStr">
        <is>
          <t>AI</t>
        </is>
      </c>
      <c r="K45" s="160" t="inlineStr">
        <is>
          <t>Pending</t>
        </is>
      </c>
      <c r="L45" s="160" t="inlineStr">
        <is>
          <t>No</t>
        </is>
      </c>
      <c r="M45" s="160" t="inlineStr"/>
      <c r="N45" s="264" t="inlineStr">
        <is>
          <t>Yes</t>
        </is>
      </c>
      <c r="O45" s="264" t="inlineStr"/>
      <c r="P45" s="264" t="inlineStr">
        <is>
          <t>Pass</t>
        </is>
      </c>
      <c r="Q45" s="264" t="inlineStr">
        <is>
          <t>GiangDC2</t>
        </is>
      </c>
      <c r="R45" s="264" t="inlineStr"/>
      <c r="S45" s="264" t="inlineStr"/>
      <c r="T45" s="264" t="n"/>
      <c r="U45" s="264" t="n"/>
      <c r="V45" s="264" t="n"/>
      <c r="W45" s="264" t="n"/>
      <c r="X45" s="264" t="n"/>
      <c r="Y45" s="264" t="n"/>
      <c r="Z45" s="264" t="n"/>
      <c r="AA45" s="264" t="n"/>
      <c r="AB45" s="264" t="n"/>
      <c r="AC45" s="264" t="n"/>
      <c r="AD45" s="264" t="n"/>
      <c r="AE45" s="264" t="n"/>
      <c r="AF45" s="264" t="n"/>
      <c r="AG45" s="264" t="n"/>
      <c r="AH45" s="264" t="n"/>
      <c r="AI45" s="264" t="n"/>
      <c r="AJ45" s="264" t="n"/>
      <c r="AK45" s="264" t="n"/>
      <c r="AL45" s="264" t="n"/>
      <c r="AM45" s="264" t="n"/>
      <c r="AN45" s="264" t="n"/>
      <c r="AO45" s="264" t="n"/>
      <c r="AP45" s="264" t="n"/>
      <c r="AQ45" s="264" t="n"/>
      <c r="AR45" s="158">
        <f>IF($A45="","",IF(OR($N45="Yes",$T45="Yes",$Z45="Yes",$AF45="Yes",$AL45="Yes"),"Yes","No"))</f>
        <v/>
      </c>
      <c r="AS45" s="158">
        <f>IF($A45="","",IFERROR(IF($AM45&lt;&gt;"",$AM45,IF($AG45&lt;&gt;"",$AG45,IF($AA45&lt;&gt;"",$AA45,IF($U45&lt;&gt;"",$U45,IF($O45&lt;&gt;"",$O45,""))))),""))</f>
        <v/>
      </c>
      <c r="AT45" s="158">
        <f>IFERROR(IF($AN45&lt;&gt;"",$AN45,IF($AH45&lt;&gt;"",$AH45,IF($AB45&lt;&gt;"",$AB45,IF($V45&lt;&gt;"",$V45,IF($P45&lt;&gt;"",$P45,""))))),"")</f>
        <v/>
      </c>
      <c r="AU45" s="265" t="inlineStr">
        <is>
          <t>Căn cứ: `USR-01` §A6 — bề mặt đăng nhập thuộc host app FoxPro nên chỉ verify được hệ quả danh tính, không verify được nhánh auth âm tính (`RISK-USR-01`).</t>
        </is>
      </c>
    </row>
    <row r="46" ht="15.75" customHeight="1" s="216">
      <c r="A46" s="160">
        <f>IF($F46="","",$C$2&amp;"."&amp;COUNTA($F$7:$F46)&amp;"")</f>
        <v/>
      </c>
      <c r="B46" s="160" t="inlineStr">
        <is>
          <t>REQ-USR-003</t>
        </is>
      </c>
      <c r="C46" s="160" t="inlineStr">
        <is>
          <t>DOC-v1.0-01 · DOC-v1.0-02</t>
        </is>
      </c>
      <c r="D46" s="160" t="inlineStr">
        <is>
          <t>UI</t>
        </is>
      </c>
      <c r="E46" s="160" t="inlineStr">
        <is>
          <t>Medium</t>
        </is>
      </c>
      <c r="F46" s="11" t="inlineStr">
        <is>
          <t>Check dòng định danh hiển thị phòng ban và MNV đúng định dạng</t>
        </is>
      </c>
      <c r="G46" s="11" t="inlineStr">
        <is>
          <t>Tài khoản SSO CBNV thuộc 1 phòng ban và có MNV trong hồ sơ nhân viên.
Test Data: Phòng ban + MNV dạng `FTEL####` (test_data_catalog §USR)</t>
        </is>
      </c>
      <c r="H46" s="11" t="inlineStr">
        <is>
          <t>1. Đăng nhập FoxEco bằng tài khoản có phòng ban và MNV. (setup)
2. Nhấn tab "Cá nhân" ở bottom nav.
3. Check dòng định danh dưới tên hiển thị.</t>
        </is>
      </c>
      <c r="I46" s="11" t="inlineStr">
        <is>
          <t>3. Dòng định danh hiển thị theo định dạng "[Phòng ban] · MNV: [mã]", giá trị trùng hồ sơ nhân viên (vd "Phòng Kỹ thuật · MNV: FTEL2291").</t>
        </is>
      </c>
      <c r="J46" s="160" t="inlineStr">
        <is>
          <t>AI</t>
        </is>
      </c>
      <c r="K46" s="160" t="inlineStr">
        <is>
          <t>Pending</t>
        </is>
      </c>
      <c r="L46" s="160" t="inlineStr">
        <is>
          <t>No</t>
        </is>
      </c>
      <c r="M46" s="160" t="inlineStr"/>
      <c r="N46" s="264" t="inlineStr">
        <is>
          <t>Yes</t>
        </is>
      </c>
      <c r="O46" s="264" t="inlineStr"/>
      <c r="P46" s="264" t="inlineStr">
        <is>
          <t>Pass</t>
        </is>
      </c>
      <c r="Q46" s="264" t="inlineStr">
        <is>
          <t>GiangDC2</t>
        </is>
      </c>
      <c r="R46" s="264" t="inlineStr"/>
      <c r="S46" s="264" t="inlineStr"/>
      <c r="T46" s="264" t="n"/>
      <c r="U46" s="264" t="n"/>
      <c r="V46" s="264" t="n"/>
      <c r="W46" s="264" t="n"/>
      <c r="X46" s="264" t="n"/>
      <c r="Y46" s="264" t="n"/>
      <c r="Z46" s="264" t="n"/>
      <c r="AA46" s="264" t="n"/>
      <c r="AB46" s="264" t="n"/>
      <c r="AC46" s="264" t="n"/>
      <c r="AD46" s="264" t="n"/>
      <c r="AE46" s="264" t="n"/>
      <c r="AF46" s="264" t="n"/>
      <c r="AG46" s="264" t="n"/>
      <c r="AH46" s="264" t="n"/>
      <c r="AI46" s="264" t="n"/>
      <c r="AJ46" s="264" t="n"/>
      <c r="AK46" s="264" t="n"/>
      <c r="AL46" s="264" t="n"/>
      <c r="AM46" s="264" t="n"/>
      <c r="AN46" s="264" t="n"/>
      <c r="AO46" s="264" t="n"/>
      <c r="AP46" s="264" t="n"/>
      <c r="AQ46" s="264" t="n"/>
      <c r="AR46" s="158">
        <f>IF($A46="","",IF(OR($N46="Yes",$T46="Yes",$Z46="Yes",$AF46="Yes",$AL46="Yes"),"Yes","No"))</f>
        <v/>
      </c>
      <c r="AS46" s="158">
        <f>IF($A46="","",IFERROR(IF($AM46&lt;&gt;"",$AM46,IF($AG46&lt;&gt;"",$AG46,IF($AA46&lt;&gt;"",$AA46,IF($U46&lt;&gt;"",$U46,IF($O46&lt;&gt;"",$O46,""))))),""))</f>
        <v/>
      </c>
      <c r="AT46" s="158">
        <f>IFERROR(IF($AN46&lt;&gt;"",$AN46,IF($AH46&lt;&gt;"",$AH46,IF($AB46&lt;&gt;"",$AB46,IF($V46&lt;&gt;"",$V46,IF($P46&lt;&gt;"",$P46,""))))),"")</f>
        <v/>
      </c>
      <c r="AU46" s="265" t="inlineStr"/>
    </row>
    <row r="47" ht="15.75" customHeight="1" s="216">
      <c r="A47" s="160">
        <f>IF($F47="","",$C$2&amp;"."&amp;COUNTA($F$7:$F47)&amp;"")</f>
        <v/>
      </c>
      <c r="B47" s="160" t="inlineStr">
        <is>
          <t>REQ-USR-004</t>
        </is>
      </c>
      <c r="C47" s="160" t="inlineStr">
        <is>
          <t>DOC-v1.0-01</t>
        </is>
      </c>
      <c r="D47" s="160" t="inlineStr">
        <is>
          <t>Functional</t>
        </is>
      </c>
      <c r="E47" s="160" t="inlineStr">
        <is>
          <t>Medium</t>
        </is>
      </c>
      <c r="F47" s="11" t="inlineStr">
        <is>
          <t>Check card chỉ số tăng đúng 1 đơn vị sau khi hoàn tất 1 đơn giúp chuyển</t>
        </is>
      </c>
      <c r="G47" s="11" t="inlineStr">
        <is>
          <t>Tài khoản Carrier có lịch sử đơn trên STG.
- Có sẵn 1 đơn đã ghép mà tài khoản này là người vận chuyển.
Test Data: Tài khoản có lịch sử đơn; 1 đơn ở trạng thái đã ghép (test_data_catalog §USR)</t>
        </is>
      </c>
      <c r="H47" s="11" t="inlineStr">
        <is>
          <t>1. Đăng nhập FoxEco bằng tài khoản Carrier. (setup)
2. Nhấn tab "Cá nhân" và ghi lại giá trị "đơn đã giúp" hiện tại. (setup)
3. Điều hướng đến màn "Theo dõi đơn" của đơn đang vận chuyển và hoàn tất đơn đến trạng thái "Hoàn thành".
4. Nhấn tab "Cá nhân" và check lại card chỉ số.</t>
        </is>
      </c>
      <c r="I47" s="11" t="inlineStr">
        <is>
          <t>4. Giá trị "đơn đã giúp" tăng đúng 1 đơn vị so với giá trị ghi ở bước 2; giá trị "quà đã nhận" không đổi.</t>
        </is>
      </c>
      <c r="J47" s="160" t="inlineStr">
        <is>
          <t>AI</t>
        </is>
      </c>
      <c r="K47" s="160" t="inlineStr">
        <is>
          <t>Pending</t>
        </is>
      </c>
      <c r="L47" s="160" t="inlineStr">
        <is>
          <t>No</t>
        </is>
      </c>
      <c r="M47" s="160" t="inlineStr"/>
      <c r="N47" s="264" t="inlineStr"/>
      <c r="O47" s="264" t="inlineStr"/>
      <c r="P47" s="264" t="inlineStr"/>
      <c r="Q47" s="264" t="inlineStr"/>
      <c r="R47" s="264" t="inlineStr"/>
      <c r="S47" s="264" t="inlineStr"/>
      <c r="T47" s="264" t="n"/>
      <c r="U47" s="264" t="n"/>
      <c r="V47" s="264" t="n"/>
      <c r="W47" s="264" t="n"/>
      <c r="X47" s="264" t="n"/>
      <c r="Y47" s="264" t="n"/>
      <c r="Z47" s="264" t="n"/>
      <c r="AA47" s="264" t="n"/>
      <c r="AB47" s="264" t="n"/>
      <c r="AC47" s="264" t="n"/>
      <c r="AD47" s="264" t="n"/>
      <c r="AE47" s="264" t="n"/>
      <c r="AF47" s="264" t="n"/>
      <c r="AG47" s="264" t="n"/>
      <c r="AH47" s="264" t="n"/>
      <c r="AI47" s="264" t="n"/>
      <c r="AJ47" s="264" t="n"/>
      <c r="AK47" s="264" t="n"/>
      <c r="AL47" s="264" t="n"/>
      <c r="AM47" s="264" t="n"/>
      <c r="AN47" s="264" t="n"/>
      <c r="AO47" s="264" t="n"/>
      <c r="AP47" s="264" t="n"/>
      <c r="AQ47" s="264" t="n"/>
      <c r="AR47" s="158">
        <f>IF($A47="","",IF(OR($N47="Yes",$T47="Yes",$Z47="Yes",$AF47="Yes",$AL47="Yes"),"Yes","No"))</f>
        <v/>
      </c>
      <c r="AS47" s="158">
        <f>IF($A47="","",IFERROR(IF($AM47&lt;&gt;"",$AM47,IF($AG47&lt;&gt;"",$AG47,IF($AA47&lt;&gt;"",$AA47,IF($U47&lt;&gt;"",$U47,IF($O47&lt;&gt;"",$O47,""))))),""))</f>
        <v/>
      </c>
      <c r="AT47" s="158">
        <f>IFERROR(IF($AN47&lt;&gt;"",$AN47,IF($AH47&lt;&gt;"",$AH47,IF($AB47&lt;&gt;"",$AB47,IF($V47&lt;&gt;"",$V47,IF($P47&lt;&gt;"",$P47,""))))),"")</f>
        <v/>
      </c>
      <c r="AU47" s="265" t="inlineStr">
        <is>
          <t>Mục đích: oracle là **delta +1**, không phải số tuyệt đối — 2 chỉ số là dữ liệu `Runtime` không seed nhanh được nên assert số tuyệt đối sẽ FAIL oan (`RISK-USR-03` Resolved theo hướng delta).</t>
        </is>
      </c>
    </row>
    <row r="48" ht="15.75" customHeight="1" s="216">
      <c r="A48" s="160">
        <f>IF($F48="","",$C$2&amp;"."&amp;COUNTA($F$7:$F48)&amp;"")</f>
        <v/>
      </c>
      <c r="B48" s="160" t="inlineStr">
        <is>
          <t>REQ-USR-004</t>
        </is>
      </c>
      <c r="C48" s="160" t="inlineStr">
        <is>
          <t>DOC-v1.0-01</t>
        </is>
      </c>
      <c r="D48" s="160" t="inlineStr">
        <is>
          <t>Functional</t>
        </is>
      </c>
      <c r="E48" s="160" t="inlineStr">
        <is>
          <t>Low</t>
        </is>
      </c>
      <c r="F48" s="11" t="inlineStr">
        <is>
          <t>Check card chỉ số hiển thị giá trị 0 với tài khoản chưa từng giúp đơn và chưa nhận quà</t>
        </is>
      </c>
      <c r="G48" s="11" t="inlineStr">
        <is>
          <t>Tài khoản CBNV "trắng" trên STG (chưa từng vận chuyển đơn nào, chưa từng nhận quà nào).
Test Data: Tài khoản "trắng" — cả 2 chỉ số = 0 (test_data_catalog §USR, biên)</t>
        </is>
      </c>
      <c r="H48" s="11" t="inlineStr">
        <is>
          <t>1. Đăng nhập FoxEco bằng tài khoản "trắng". (setup)
2. Nhấn tab "Cá nhân" ở bottom nav.
3. Check card chỉ số.</t>
        </is>
      </c>
      <c r="I48" s="11" t="inlineStr">
        <is>
          <t>3. Card chỉ số vẫn hiển thị đủ 2 chỉ số, cả hai mang giá trị 0.</t>
        </is>
      </c>
      <c r="J48" s="160" t="inlineStr">
        <is>
          <t>AI</t>
        </is>
      </c>
      <c r="K48" s="160" t="inlineStr">
        <is>
          <t>Pending</t>
        </is>
      </c>
      <c r="L48" s="160" t="inlineStr">
        <is>
          <t>No</t>
        </is>
      </c>
      <c r="M48" s="160" t="inlineStr"/>
      <c r="N48" s="264" t="inlineStr">
        <is>
          <t>Yes</t>
        </is>
      </c>
      <c r="O48" s="264" t="inlineStr"/>
      <c r="P48" s="264" t="inlineStr">
        <is>
          <t>Pass</t>
        </is>
      </c>
      <c r="Q48" s="264" t="inlineStr">
        <is>
          <t>GiangDC2</t>
        </is>
      </c>
      <c r="R48" s="264" t="inlineStr"/>
      <c r="S48" s="264" t="inlineStr"/>
      <c r="T48" s="264" t="n"/>
      <c r="U48" s="264" t="n"/>
      <c r="V48" s="264" t="n"/>
      <c r="W48" s="264" t="n"/>
      <c r="X48" s="264" t="n"/>
      <c r="Y48" s="264" t="n"/>
      <c r="Z48" s="264" t="n"/>
      <c r="AA48" s="264" t="n"/>
      <c r="AB48" s="264" t="n"/>
      <c r="AC48" s="264" t="n"/>
      <c r="AD48" s="264" t="n"/>
      <c r="AE48" s="264" t="n"/>
      <c r="AF48" s="264" t="n"/>
      <c r="AG48" s="264" t="n"/>
      <c r="AH48" s="264" t="n"/>
      <c r="AI48" s="264" t="n"/>
      <c r="AJ48" s="264" t="n"/>
      <c r="AK48" s="264" t="n"/>
      <c r="AL48" s="264" t="n"/>
      <c r="AM48" s="264" t="n"/>
      <c r="AN48" s="264" t="n"/>
      <c r="AO48" s="264" t="n"/>
      <c r="AP48" s="264" t="n"/>
      <c r="AQ48" s="264" t="n"/>
      <c r="AR48" s="158">
        <f>IF($A48="","",IF(OR($N48="Yes",$T48="Yes",$Z48="Yes",$AF48="Yes",$AL48="Yes"),"Yes","No"))</f>
        <v/>
      </c>
      <c r="AS48" s="158">
        <f>IF($A48="","",IFERROR(IF($AM48&lt;&gt;"",$AM48,IF($AG48&lt;&gt;"",$AG48,IF($AA48&lt;&gt;"",$AA48,IF($U48&lt;&gt;"",$U48,IF($O48&lt;&gt;"",$O48,""))))),""))</f>
        <v/>
      </c>
      <c r="AT48" s="158">
        <f>IFERROR(IF($AN48&lt;&gt;"",$AN48,IF($AH48&lt;&gt;"",$AH48,IF($AB48&lt;&gt;"",$AB48,IF($V48&lt;&gt;"",$V48,IF($P48&lt;&gt;"",$P48,""))))),"")</f>
        <v/>
      </c>
      <c r="AU48" s="265" t="inlineStr">
        <is>
          <t>Mục đích: cặp biên với TC-USR-005 — chốt card hiển thị số 0 chứ không ẩn card. · Căn cứ: `USR-05` §A6 L102 định nghĩa chỉ số là số nguyên ≥ 0; text empty state của màn còn chờ `C-ORD-06` nên TC này chỉ assert sự hiện diện và giá trị 0, app ẩn card ⇒ FAIL và dẫn `C-ORD-06`.</t>
        </is>
      </c>
    </row>
    <row r="49" ht="15.75" customHeight="1" s="216">
      <c r="A49" s="160">
        <f>IF($F49="","",$C$2&amp;"."&amp;COUNTA($F$7:$F49)&amp;"")</f>
        <v/>
      </c>
      <c r="B49" s="160" t="inlineStr">
        <is>
          <t>REQ-USR-004</t>
        </is>
      </c>
      <c r="C49" s="160" t="inlineStr">
        <is>
          <t>DOC-v1.0-01</t>
        </is>
      </c>
      <c r="D49" s="160" t="inlineStr">
        <is>
          <t>Functional</t>
        </is>
      </c>
      <c r="E49" s="160" t="inlineStr">
        <is>
          <t>Medium</t>
        </is>
      </c>
      <c r="F49" s="11" t="inlineStr">
        <is>
          <t>Check màn "Cá nhân" không hiển thị Điểm ECO, Điểm uy tín và chỉ số CO₂</t>
        </is>
      </c>
      <c r="G49" s="11" t="inlineStr">
        <is>
          <t>Tài khoản SSO CBNV có hồ sơ đầy đủ trên STG.
Test Data: Bộ giá trị assert-absent: Điểm ECO / Điểm uy tín / CO₂ (test_data_catalog §USR)</t>
        </is>
      </c>
      <c r="H49" s="11" t="inlineStr">
        <is>
          <t>1. Đăng nhập FoxEco bằng tài khoản CBNV. (setup)
2. Nhấn tab "Cá nhân" ở bottom nav.
3. Check toàn màn, gồm card chỉ số và vùng badge, tìm "Điểm ECO", "Điểm uy tín" và chỉ số CO₂.</t>
        </is>
      </c>
      <c r="I49" s="11" t="inlineStr">
        <is>
          <t>3. KHÔNG hiển thị "Điểm ECO", KHÔNG hiển thị "Điểm uy tín", KHÔNG hiển thị chỉ số CO₂ ở bất kỳ vị trí nào trên màn.</t>
        </is>
      </c>
      <c r="J49" s="160" t="inlineStr">
        <is>
          <t>AI</t>
        </is>
      </c>
      <c r="K49" s="160" t="inlineStr">
        <is>
          <t>Pending</t>
        </is>
      </c>
      <c r="L49" s="160" t="inlineStr">
        <is>
          <t>No</t>
        </is>
      </c>
      <c r="M49" s="160" t="inlineStr"/>
      <c r="N49" s="264" t="inlineStr">
        <is>
          <t>Yes</t>
        </is>
      </c>
      <c r="O49" s="264" t="inlineStr"/>
      <c r="P49" s="264" t="inlineStr">
        <is>
          <t>Pass</t>
        </is>
      </c>
      <c r="Q49" s="264" t="inlineStr">
        <is>
          <t>GiangDC2</t>
        </is>
      </c>
      <c r="R49" s="264" t="inlineStr"/>
      <c r="S49" s="264" t="inlineStr"/>
      <c r="T49" s="264" t="n"/>
      <c r="U49" s="264" t="n"/>
      <c r="V49" s="264" t="n"/>
      <c r="W49" s="264" t="n"/>
      <c r="X49" s="264" t="n"/>
      <c r="Y49" s="264" t="n"/>
      <c r="Z49" s="264" t="n"/>
      <c r="AA49" s="264" t="n"/>
      <c r="AB49" s="264" t="n"/>
      <c r="AC49" s="264" t="n"/>
      <c r="AD49" s="264" t="n"/>
      <c r="AE49" s="264" t="n"/>
      <c r="AF49" s="264" t="n"/>
      <c r="AG49" s="264" t="n"/>
      <c r="AH49" s="264" t="n"/>
      <c r="AI49" s="264" t="n"/>
      <c r="AJ49" s="264" t="n"/>
      <c r="AK49" s="264" t="n"/>
      <c r="AL49" s="264" t="n"/>
      <c r="AM49" s="264" t="n"/>
      <c r="AN49" s="264" t="n"/>
      <c r="AO49" s="264" t="n"/>
      <c r="AP49" s="264" t="n"/>
      <c r="AQ49" s="264" t="n"/>
      <c r="AR49" s="158">
        <f>IF($A49="","",IF(OR($N49="Yes",$T49="Yes",$Z49="Yes",$AF49="Yes",$AL49="Yes"),"Yes","No"))</f>
        <v/>
      </c>
      <c r="AS49" s="158">
        <f>IF($A49="","",IFERROR(IF($AM49&lt;&gt;"",$AM49,IF($AG49&lt;&gt;"",$AG49,IF($AA49&lt;&gt;"",$AA49,IF($U49&lt;&gt;"",$U49,IF($O49&lt;&gt;"",$O49,""))))),""))</f>
        <v/>
      </c>
      <c r="AT49" s="158">
        <f>IFERROR(IF($AN49&lt;&gt;"",$AN49,IF($AH49&lt;&gt;"",$AH49,IF($AB49&lt;&gt;"",$AB49,IF($V49&lt;&gt;"",$V49,IF($P49&lt;&gt;"",$P49,""))))),"")</f>
        <v/>
      </c>
      <c r="AU49" s="265" t="inlineStr">
        <is>
          <t>Mục đích: neo vào `C-USR-01` Resolved 2026-07-27 — tier/điểm là phase sau, PRD demo mô tả 3 chỉ số là nguồn thua. App hiện các chỉ số này ⇒ FAIL và mở lại CL.</t>
        </is>
      </c>
    </row>
    <row r="50" ht="15.75" customHeight="1" s="216">
      <c r="A50" s="160">
        <f>IF($F50="","",$C$2&amp;"."&amp;COUNTA($F$7:$F50)&amp;"")</f>
        <v/>
      </c>
      <c r="B50" s="160" t="inlineStr">
        <is>
          <t>REQ-USR-006</t>
        </is>
      </c>
      <c r="C50" s="160" t="inlineStr">
        <is>
          <t>DOC-v1.0-02 · DOC-v1.0-06</t>
        </is>
      </c>
      <c r="D50" s="160" t="inlineStr">
        <is>
          <t>Functional</t>
        </is>
      </c>
      <c r="E50" s="160" t="inlineStr">
        <is>
          <t>Low</t>
        </is>
      </c>
      <c r="F50" s="11" t="inlineStr">
        <is>
          <t>Check nhấn mục menu "Đơn của tôi" điều hướng sang màn Hoạt động ở tab "Đang diễn ra"</t>
        </is>
      </c>
      <c r="G50" s="11" t="inlineStr">
        <is>
          <t>Tài khoản SSO CBNV có hồ sơ đầy đủ trên STG.
Test Data: —</t>
        </is>
      </c>
      <c r="H50" s="11" t="inlineStr">
        <is>
          <t>1. Đăng nhập FoxEco bằng tài khoản CBNV. (setup)
2. Nhấn tab "Cá nhân" ở bottom nav.
3. Nhấn mục menu "Đơn của tôi".</t>
        </is>
      </c>
      <c r="I50" s="11" t="inlineStr">
        <is>
          <t>3. Điều hướng sang màn Hoạt động, tab "Đang diễn ra" ở trạng thái active.</t>
        </is>
      </c>
      <c r="J50" s="160" t="inlineStr">
        <is>
          <t>AI</t>
        </is>
      </c>
      <c r="K50" s="160" t="inlineStr">
        <is>
          <t>Pending</t>
        </is>
      </c>
      <c r="L50" s="160" t="inlineStr">
        <is>
          <t>No</t>
        </is>
      </c>
      <c r="M50" s="160" t="inlineStr"/>
      <c r="N50" s="264" t="inlineStr">
        <is>
          <t>Yes</t>
        </is>
      </c>
      <c r="O50" s="264" t="inlineStr"/>
      <c r="P50" s="264" t="inlineStr">
        <is>
          <t>Pass</t>
        </is>
      </c>
      <c r="Q50" s="264" t="inlineStr">
        <is>
          <t>GiangDC2</t>
        </is>
      </c>
      <c r="R50" s="264" t="inlineStr"/>
      <c r="S50" s="264" t="inlineStr"/>
      <c r="T50" s="264" t="n"/>
      <c r="U50" s="264" t="n"/>
      <c r="V50" s="264" t="n"/>
      <c r="W50" s="264" t="n"/>
      <c r="X50" s="264" t="n"/>
      <c r="Y50" s="264" t="n"/>
      <c r="Z50" s="264" t="n"/>
      <c r="AA50" s="264" t="n"/>
      <c r="AB50" s="264" t="n"/>
      <c r="AC50" s="264" t="n"/>
      <c r="AD50" s="264" t="n"/>
      <c r="AE50" s="264" t="n"/>
      <c r="AF50" s="264" t="n"/>
      <c r="AG50" s="264" t="n"/>
      <c r="AH50" s="264" t="n"/>
      <c r="AI50" s="264" t="n"/>
      <c r="AJ50" s="264" t="n"/>
      <c r="AK50" s="264" t="n"/>
      <c r="AL50" s="264" t="n"/>
      <c r="AM50" s="264" t="n"/>
      <c r="AN50" s="264" t="n"/>
      <c r="AO50" s="264" t="n"/>
      <c r="AP50" s="264" t="n"/>
      <c r="AQ50" s="264" t="n"/>
      <c r="AR50" s="158">
        <f>IF($A50="","",IF(OR($N50="Yes",$T50="Yes",$Z50="Yes",$AF50="Yes",$AL50="Yes"),"Yes","No"))</f>
        <v/>
      </c>
      <c r="AS50" s="158">
        <f>IF($A50="","",IFERROR(IF($AM50&lt;&gt;"",$AM50,IF($AG50&lt;&gt;"",$AG50,IF($AA50&lt;&gt;"",$AA50,IF($U50&lt;&gt;"",$U50,IF($O50&lt;&gt;"",$O50,""))))),""))</f>
        <v/>
      </c>
      <c r="AT50" s="158">
        <f>IFERROR(IF($AN50&lt;&gt;"",$AN50,IF($AH50&lt;&gt;"",$AH50,IF($AB50&lt;&gt;"",$AB50,IF($V50&lt;&gt;"",$V50,IF($P50&lt;&gt;"",$P50,""))))),"")</f>
        <v/>
      </c>
      <c r="AU50" s="265" t="inlineStr"/>
    </row>
    <row r="51" ht="15.75" customHeight="1" s="216">
      <c r="A51" s="160">
        <f>IF($F51="","",$C$2&amp;"."&amp;COUNTA($F$7:$F51)&amp;"")</f>
        <v/>
      </c>
      <c r="B51" s="160" t="inlineStr">
        <is>
          <t>REQ-USR-006</t>
        </is>
      </c>
      <c r="C51" s="160" t="inlineStr">
        <is>
          <t>DOC-v1.0-01 · DOC-v1.0-04</t>
        </is>
      </c>
      <c r="D51" s="160" t="inlineStr">
        <is>
          <t>Functional</t>
        </is>
      </c>
      <c r="E51" s="160" t="inlineStr">
        <is>
          <t>Low</t>
        </is>
      </c>
      <c r="F51" s="11" t="inlineStr">
        <is>
          <t>Check nhấn mục menu "Quà đã nhận" điều hướng sang màn "Quà đã nhận"</t>
        </is>
      </c>
      <c r="G51" s="11" t="inlineStr">
        <is>
          <t>Tài khoản SSO CBNV có hồ sơ đầy đủ trên STG.
Test Data: —</t>
        </is>
      </c>
      <c r="H51" s="11" t="inlineStr">
        <is>
          <t>1. Đăng nhập FoxEco bằng tài khoản CBNV. (setup)
2. Nhấn tab "Cá nhân" ở bottom nav.
3. Nhấn mục menu "Quà đã nhận".</t>
        </is>
      </c>
      <c r="I51" s="11" t="inlineStr">
        <is>
          <t>3. Điều hướng sang màn "Quà đã nhận".</t>
        </is>
      </c>
      <c r="J51" s="160" t="inlineStr">
        <is>
          <t>AI</t>
        </is>
      </c>
      <c r="K51" s="160" t="inlineStr">
        <is>
          <t>Pending</t>
        </is>
      </c>
      <c r="L51" s="160" t="inlineStr">
        <is>
          <t>No</t>
        </is>
      </c>
      <c r="M51" s="160" t="inlineStr"/>
      <c r="N51" s="264" t="inlineStr">
        <is>
          <t>Yes</t>
        </is>
      </c>
      <c r="O51" s="264" t="inlineStr"/>
      <c r="P51" s="264" t="inlineStr">
        <is>
          <t>Pass</t>
        </is>
      </c>
      <c r="Q51" s="264" t="inlineStr">
        <is>
          <t>GiangDC2</t>
        </is>
      </c>
      <c r="R51" s="264" t="inlineStr"/>
      <c r="S51" s="264" t="inlineStr"/>
      <c r="T51" s="264" t="n"/>
      <c r="U51" s="264" t="n"/>
      <c r="V51" s="264" t="n"/>
      <c r="W51" s="264" t="n"/>
      <c r="X51" s="264" t="n"/>
      <c r="Y51" s="264" t="n"/>
      <c r="Z51" s="264" t="n"/>
      <c r="AA51" s="264" t="n"/>
      <c r="AB51" s="264" t="n"/>
      <c r="AC51" s="264" t="n"/>
      <c r="AD51" s="264" t="n"/>
      <c r="AE51" s="264" t="n"/>
      <c r="AF51" s="264" t="n"/>
      <c r="AG51" s="264" t="n"/>
      <c r="AH51" s="264" t="n"/>
      <c r="AI51" s="264" t="n"/>
      <c r="AJ51" s="264" t="n"/>
      <c r="AK51" s="264" t="n"/>
      <c r="AL51" s="264" t="n"/>
      <c r="AM51" s="264" t="n"/>
      <c r="AN51" s="264" t="n"/>
      <c r="AO51" s="264" t="n"/>
      <c r="AP51" s="264" t="n"/>
      <c r="AQ51" s="264" t="n"/>
      <c r="AR51" s="158">
        <f>IF($A51="","",IF(OR($N51="Yes",$T51="Yes",$Z51="Yes",$AF51="Yes",$AL51="Yes"),"Yes","No"))</f>
        <v/>
      </c>
      <c r="AS51" s="158">
        <f>IF($A51="","",IFERROR(IF($AM51&lt;&gt;"",$AM51,IF($AG51&lt;&gt;"",$AG51,IF($AA51&lt;&gt;"",$AA51,IF($U51&lt;&gt;"",$U51,IF($O51&lt;&gt;"",$O51,""))))),""))</f>
        <v/>
      </c>
      <c r="AT51" s="158">
        <f>IFERROR(IF($AN51&lt;&gt;"",$AN51,IF($AH51&lt;&gt;"",$AH51,IF($AB51&lt;&gt;"",$AB51,IF($V51&lt;&gt;"",$V51,IF($P51&lt;&gt;"",$P51,""))))),"")</f>
        <v/>
      </c>
      <c r="AU51" s="265" t="inlineStr">
        <is>
          <t>Căn cứ: chỉ assert điều hướng; nội dung màn "Quà đã nhận" thuộc module GIFT (`SC-GIFT-006..009`).</t>
        </is>
      </c>
    </row>
    <row r="52" ht="15.75" customHeight="1" s="216">
      <c r="A52" s="160">
        <f>IF($F52="","",$C$2&amp;"."&amp;COUNTA($F$7:$F52)&amp;"")</f>
        <v/>
      </c>
      <c r="B52" s="160" t="inlineStr">
        <is>
          <t>REQ-USR-005</t>
        </is>
      </c>
      <c r="C52" s="160" t="inlineStr">
        <is>
          <t>DOC-v1.0-01</t>
        </is>
      </c>
      <c r="D52" s="160" t="inlineStr">
        <is>
          <t>Functional</t>
        </is>
      </c>
      <c r="E52" s="160" t="inlineStr">
        <is>
          <t>Low</t>
        </is>
      </c>
      <c r="F52" s="11" t="inlineStr">
        <is>
          <t>Check không tồn tại bề mặt cấu hình kênh liên hệ sẽ lộ trên app v1.0</t>
        </is>
      </c>
      <c r="G52" s="11" t="inlineStr">
        <is>
          <t>Tài khoản SSO CBNV có hồ sơ đầy đủ trên STG.
Test Data: Bộ giá trị assert-absent: SĐT / Workplace / email cấu hình (test_data_catalog §USR)</t>
        </is>
      </c>
      <c r="H52" s="11" t="inlineStr">
        <is>
          <t>1. Đăng nhập FoxEco bằng tài khoản CBNV. (setup)
2. Nhấn tab "Cá nhân" ở bottom nav.
3. Check toàn màn và từng mục menu con tìm bề mặt cấu hình kênh liên hệ (SĐT, Workplace, email).</t>
        </is>
      </c>
      <c r="I52" s="11" t="inlineStr">
        <is>
          <t>3. KHÔNG có mục menu, màn hay control nào cho phép cấu hình kênh liên hệ sẽ lộ.</t>
        </is>
      </c>
      <c r="J52" s="160" t="inlineStr">
        <is>
          <t>AI</t>
        </is>
      </c>
      <c r="K52" s="160" t="inlineStr">
        <is>
          <t>Pending</t>
        </is>
      </c>
      <c r="L52" s="160" t="inlineStr">
        <is>
          <t>No</t>
        </is>
      </c>
      <c r="M52" s="160" t="inlineStr"/>
      <c r="N52" s="264" t="inlineStr">
        <is>
          <t>Yes</t>
        </is>
      </c>
      <c r="O52" s="264" t="inlineStr"/>
      <c r="P52" s="264" t="inlineStr">
        <is>
          <t>Fail</t>
        </is>
      </c>
      <c r="Q52" s="264" t="inlineStr">
        <is>
          <t>GiangDC2</t>
        </is>
      </c>
      <c r="R52" s="264" t="inlineStr"/>
      <c r="S52" s="264" t="inlineStr"/>
      <c r="T52" s="264" t="n"/>
      <c r="U52" s="264" t="n"/>
      <c r="V52" s="264" t="n"/>
      <c r="W52" s="264" t="n"/>
      <c r="X52" s="264" t="n"/>
      <c r="Y52" s="264" t="n"/>
      <c r="Z52" s="264" t="n"/>
      <c r="AA52" s="264" t="n"/>
      <c r="AB52" s="264" t="n"/>
      <c r="AC52" s="264" t="n"/>
      <c r="AD52" s="264" t="n"/>
      <c r="AE52" s="264" t="n"/>
      <c r="AF52" s="264" t="n"/>
      <c r="AG52" s="264" t="n"/>
      <c r="AH52" s="264" t="n"/>
      <c r="AI52" s="264" t="n"/>
      <c r="AJ52" s="264" t="n"/>
      <c r="AK52" s="264" t="n"/>
      <c r="AL52" s="264" t="n"/>
      <c r="AM52" s="264" t="n"/>
      <c r="AN52" s="264" t="n"/>
      <c r="AO52" s="264" t="n"/>
      <c r="AP52" s="264" t="n"/>
      <c r="AQ52" s="264" t="n"/>
      <c r="AR52" s="158">
        <f>IF($A52="","",IF(OR($N52="Yes",$T52="Yes",$Z52="Yes",$AF52="Yes",$AL52="Yes"),"Yes","No"))</f>
        <v/>
      </c>
      <c r="AS52" s="158">
        <f>IF($A52="","",IFERROR(IF($AM52&lt;&gt;"",$AM52,IF($AG52&lt;&gt;"",$AG52,IF($AA52&lt;&gt;"",$AA52,IF($U52&lt;&gt;"",$U52,IF($O52&lt;&gt;"",$O52,""))))),""))</f>
        <v/>
      </c>
      <c r="AT52" s="158">
        <f>IFERROR(IF($AN52&lt;&gt;"",$AN52,IF($AH52&lt;&gt;"",$AH52,IF($AB52&lt;&gt;"",$AB52,IF($V52&lt;&gt;"",$V52,IF($P52&lt;&gt;"",$P52,""))))),"")</f>
        <v/>
      </c>
      <c r="AU52" s="265" t="inlineStr">
        <is>
          <t>Mục đích: TC dạng GAP finding theo `§Custom Rules §10.1` — `USR-07` có trong BRD nhưng không có ở 82 ảnh Figma lẫn app STG. · Căn cứ: `C-USR-02` Resolved out of scope v1.0; app xuất hiện bề mặt này ⇒ FAIL và mở lại CL để BA chốt scope.</t>
        </is>
      </c>
    </row>
    <row r="53" ht="15.75" customHeight="1" s="216">
      <c r="A53" s="160" t="n"/>
      <c r="B53" s="160" t="n"/>
      <c r="C53" s="160" t="n"/>
      <c r="D53" s="160" t="n"/>
      <c r="E53" s="160" t="n"/>
      <c r="F53" s="160" t="n"/>
      <c r="G53" s="160" t="n"/>
      <c r="H53" s="160" t="n"/>
      <c r="I53" s="160" t="n"/>
      <c r="J53" s="160" t="n"/>
      <c r="K53" s="160" t="n"/>
      <c r="L53" s="160" t="n"/>
      <c r="M53" s="160" t="n"/>
      <c r="N53" s="160" t="n"/>
      <c r="O53" s="160" t="n"/>
      <c r="P53" s="160" t="n"/>
      <c r="Q53" s="160"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61" t="n"/>
      <c r="AS53" s="161" t="n"/>
      <c r="AT53" s="1" t="n"/>
      <c r="AU53" s="1" t="n"/>
    </row>
    <row r="54" ht="15.75" customHeight="1" s="216">
      <c r="A54" s="160" t="n"/>
      <c r="B54" s="160" t="n"/>
      <c r="C54" s="160" t="n"/>
      <c r="D54" s="160" t="n"/>
      <c r="E54" s="160" t="n"/>
      <c r="F54" s="160" t="n"/>
      <c r="G54" s="160" t="n"/>
      <c r="H54" s="160" t="n"/>
      <c r="I54" s="160" t="n"/>
      <c r="J54" s="160" t="n"/>
      <c r="K54" s="160" t="n"/>
      <c r="L54" s="160" t="n"/>
      <c r="M54" s="160" t="n"/>
      <c r="N54" s="160" t="n"/>
      <c r="O54" s="160" t="n"/>
      <c r="P54" s="160" t="n"/>
      <c r="Q54" s="160"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61" t="n"/>
      <c r="AS54" s="161" t="n"/>
      <c r="AT54" s="1" t="n"/>
      <c r="AU54" s="1" t="n"/>
    </row>
    <row r="55" ht="15.75" customHeight="1" s="216">
      <c r="A55" s="160" t="n"/>
      <c r="B55" s="160" t="n"/>
      <c r="C55" s="160" t="n"/>
      <c r="D55" s="160" t="n"/>
      <c r="E55" s="160" t="n"/>
      <c r="F55" s="160" t="n"/>
      <c r="G55" s="160" t="n"/>
      <c r="H55" s="160" t="n"/>
      <c r="I55" s="160" t="n"/>
      <c r="J55" s="160" t="n"/>
      <c r="K55" s="160" t="n"/>
      <c r="L55" s="160" t="n"/>
      <c r="M55" s="160" t="n"/>
      <c r="N55" s="160" t="n"/>
      <c r="O55" s="160" t="n"/>
      <c r="P55" s="160" t="n"/>
      <c r="Q55" s="160"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61" t="n"/>
      <c r="AS55" s="161" t="n"/>
      <c r="AT55" s="1" t="n"/>
      <c r="AU55" s="1" t="n"/>
    </row>
    <row r="56" ht="15.75" customHeight="1" s="216">
      <c r="A56" s="160" t="n"/>
      <c r="B56" s="160" t="n"/>
      <c r="C56" s="160" t="n"/>
      <c r="D56" s="160" t="n"/>
      <c r="E56" s="160" t="n"/>
      <c r="F56" s="160" t="n"/>
      <c r="G56" s="160" t="n"/>
      <c r="H56" s="160" t="n"/>
      <c r="I56" s="160" t="n"/>
      <c r="J56" s="160" t="n"/>
      <c r="K56" s="160" t="n"/>
      <c r="L56" s="160" t="n"/>
      <c r="M56" s="160" t="n"/>
      <c r="N56" s="160" t="n"/>
      <c r="O56" s="160" t="n"/>
      <c r="P56" s="160" t="n"/>
      <c r="Q56" s="160"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61" t="n"/>
      <c r="AS56" s="161" t="n"/>
      <c r="AT56" s="1" t="n"/>
      <c r="AU56" s="1" t="n"/>
    </row>
    <row r="57" ht="15.75" customHeight="1" s="216">
      <c r="A57" s="160" t="n"/>
      <c r="B57" s="160" t="n"/>
      <c r="C57" s="160" t="n"/>
      <c r="D57" s="160" t="n"/>
      <c r="E57" s="160" t="n"/>
      <c r="F57" s="160" t="n"/>
      <c r="G57" s="160" t="n"/>
      <c r="H57" s="160" t="n"/>
      <c r="I57" s="160" t="n"/>
      <c r="J57" s="160" t="n"/>
      <c r="K57" s="160" t="n"/>
      <c r="L57" s="160" t="n"/>
      <c r="M57" s="160" t="n"/>
      <c r="N57" s="160" t="n"/>
      <c r="O57" s="160" t="n"/>
      <c r="P57" s="160" t="n"/>
      <c r="Q57" s="160"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61" t="n"/>
      <c r="AS57" s="161" t="n"/>
      <c r="AT57" s="1" t="n"/>
      <c r="AU57" s="1" t="n"/>
    </row>
    <row r="58" ht="15.75" customHeight="1" s="216">
      <c r="A58" s="160" t="n"/>
      <c r="B58" s="160" t="n"/>
      <c r="C58" s="160" t="n"/>
      <c r="D58" s="160" t="n"/>
      <c r="E58" s="160" t="n"/>
      <c r="F58" s="160" t="n"/>
      <c r="G58" s="160" t="n"/>
      <c r="H58" s="160" t="n"/>
      <c r="I58" s="160" t="n"/>
      <c r="J58" s="160" t="n"/>
      <c r="K58" s="160" t="n"/>
      <c r="L58" s="160" t="n"/>
      <c r="M58" s="160" t="n"/>
      <c r="N58" s="160" t="n"/>
      <c r="O58" s="160" t="n"/>
      <c r="P58" s="160" t="n"/>
      <c r="Q58" s="160"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61" t="n"/>
      <c r="AS58" s="161" t="n"/>
      <c r="AT58" s="1" t="n"/>
      <c r="AU58" s="1" t="n"/>
    </row>
    <row r="59" ht="15.75" customHeight="1" s="216">
      <c r="A59" s="160" t="n"/>
      <c r="B59" s="160" t="n"/>
      <c r="C59" s="160" t="n"/>
      <c r="D59" s="160" t="n"/>
      <c r="E59" s="160" t="n"/>
      <c r="F59" s="160" t="n"/>
      <c r="G59" s="160" t="n"/>
      <c r="H59" s="160" t="n"/>
      <c r="I59" s="160" t="n"/>
      <c r="J59" s="160" t="n"/>
      <c r="K59" s="160" t="n"/>
      <c r="L59" s="160" t="n"/>
      <c r="M59" s="160" t="n"/>
      <c r="N59" s="160" t="n"/>
      <c r="O59" s="160" t="n"/>
      <c r="P59" s="160" t="n"/>
      <c r="Q59" s="160"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61" t="n"/>
      <c r="AS59" s="161" t="n"/>
      <c r="AT59" s="1" t="n"/>
      <c r="AU59" s="1" t="n"/>
    </row>
    <row r="60" ht="15.75" customHeight="1" s="216">
      <c r="A60" s="160" t="n"/>
      <c r="B60" s="160" t="n"/>
      <c r="C60" s="160" t="n"/>
      <c r="D60" s="160" t="n"/>
      <c r="E60" s="160" t="n"/>
      <c r="F60" s="160" t="n"/>
      <c r="G60" s="160" t="n"/>
      <c r="H60" s="160" t="n"/>
      <c r="I60" s="160" t="n"/>
      <c r="J60" s="160" t="n"/>
      <c r="K60" s="160" t="n"/>
      <c r="L60" s="160" t="n"/>
      <c r="M60" s="160" t="n"/>
      <c r="N60" s="160" t="n"/>
      <c r="O60" s="160" t="n"/>
      <c r="P60" s="160" t="n"/>
      <c r="Q60" s="160"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61" t="n"/>
      <c r="AS60" s="161" t="n"/>
      <c r="AT60" s="1" t="n"/>
      <c r="AU60" s="1" t="n"/>
    </row>
    <row r="61" ht="15.75" customHeight="1" s="216">
      <c r="A61" s="1" t="n"/>
      <c r="B61" s="1" t="n"/>
      <c r="C61" s="1" t="n"/>
      <c r="D61" s="1" t="n"/>
      <c r="E61" s="181" t="n"/>
      <c r="F61" s="181" t="n"/>
      <c r="G61" s="1" t="n"/>
      <c r="H61" s="1" t="n"/>
      <c r="I61" s="1" t="n"/>
      <c r="J61" s="1" t="n"/>
      <c r="K61" s="181" t="n"/>
      <c r="L61" s="181" t="n"/>
      <c r="M61" s="181" t="n"/>
      <c r="N61" s="1" t="n"/>
      <c r="O61" s="181" t="n"/>
      <c r="P61" s="181" t="n"/>
      <c r="Q61" s="18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row>
    <row r="62" ht="15.75" customHeight="1" s="216">
      <c r="A62" s="1" t="n"/>
      <c r="B62" s="1" t="n"/>
      <c r="C62" s="1" t="n"/>
      <c r="D62" s="1" t="n"/>
      <c r="E62" s="181" t="n"/>
      <c r="F62" s="181" t="n"/>
      <c r="G62" s="1" t="n"/>
      <c r="H62" s="1" t="n"/>
      <c r="I62" s="1" t="n"/>
      <c r="J62" s="1" t="n"/>
      <c r="K62" s="181" t="n"/>
      <c r="L62" s="181" t="n"/>
      <c r="M62" s="181" t="n"/>
      <c r="N62" s="1" t="n"/>
      <c r="O62" s="181" t="n"/>
      <c r="P62" s="181" t="n"/>
      <c r="Q62" s="18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row>
    <row r="63" ht="15.75" customHeight="1" s="216">
      <c r="A63" s="1" t="n"/>
      <c r="B63" s="1" t="n"/>
      <c r="C63" s="1" t="n"/>
      <c r="D63" s="1" t="n"/>
      <c r="E63" s="181" t="n"/>
      <c r="F63" s="181" t="n"/>
      <c r="G63" s="1" t="n"/>
      <c r="H63" s="1" t="n"/>
      <c r="I63" s="1" t="n"/>
      <c r="J63" s="1" t="n"/>
      <c r="K63" s="181" t="n"/>
      <c r="L63" s="181" t="n"/>
      <c r="M63" s="181" t="n"/>
      <c r="N63" s="1" t="n"/>
      <c r="O63" s="181" t="n"/>
      <c r="P63" s="181" t="n"/>
      <c r="Q63" s="18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row>
    <row r="64" ht="15.75" customHeight="1" s="216">
      <c r="A64" s="1" t="n"/>
      <c r="B64" s="1" t="n"/>
      <c r="C64" s="1" t="n"/>
      <c r="D64" s="1" t="n"/>
      <c r="E64" s="181" t="n"/>
      <c r="F64" s="181" t="n"/>
      <c r="G64" s="1" t="n"/>
      <c r="H64" s="1" t="n"/>
      <c r="I64" s="1" t="n"/>
      <c r="J64" s="1" t="n"/>
      <c r="K64" s="181" t="n"/>
      <c r="L64" s="181" t="n"/>
      <c r="M64" s="181" t="n"/>
      <c r="N64" s="1" t="n"/>
      <c r="O64" s="181" t="n"/>
      <c r="P64" s="181" t="n"/>
      <c r="Q64" s="18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row>
    <row r="65" ht="15.75" customHeight="1" s="216">
      <c r="A65" s="1" t="n"/>
      <c r="B65" s="1" t="n"/>
      <c r="C65" s="1" t="n"/>
      <c r="D65" s="1" t="n"/>
      <c r="E65" s="181" t="n"/>
      <c r="F65" s="181" t="n"/>
      <c r="G65" s="1" t="n"/>
      <c r="H65" s="1" t="n"/>
      <c r="I65" s="1" t="n"/>
      <c r="J65" s="1" t="n"/>
      <c r="K65" s="181" t="n"/>
      <c r="L65" s="181" t="n"/>
      <c r="M65" s="181" t="n"/>
      <c r="N65" s="1" t="n"/>
      <c r="O65" s="181" t="n"/>
      <c r="P65" s="181" t="n"/>
      <c r="Q65" s="18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row>
    <row r="66" ht="15.75" customHeight="1" s="216">
      <c r="A66" s="1" t="n"/>
      <c r="B66" s="1" t="n"/>
      <c r="C66" s="1" t="n"/>
      <c r="D66" s="1" t="n"/>
      <c r="E66" s="181" t="n"/>
      <c r="F66" s="181" t="n"/>
      <c r="G66" s="1" t="n"/>
      <c r="H66" s="1" t="n"/>
      <c r="I66" s="1" t="n"/>
      <c r="J66" s="1" t="n"/>
      <c r="K66" s="181" t="n"/>
      <c r="L66" s="181" t="n"/>
      <c r="M66" s="181" t="n"/>
      <c r="N66" s="1" t="n"/>
      <c r="O66" s="181" t="n"/>
      <c r="P66" s="181" t="n"/>
      <c r="Q66" s="18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row>
    <row r="67" ht="15.75" customHeight="1" s="216">
      <c r="A67" s="1" t="n"/>
      <c r="B67" s="1" t="n"/>
      <c r="C67" s="1" t="n"/>
      <c r="D67" s="1" t="n"/>
      <c r="E67" s="181" t="n"/>
      <c r="F67" s="181" t="n"/>
      <c r="G67" s="1" t="n"/>
      <c r="H67" s="1" t="n"/>
      <c r="I67" s="1" t="n"/>
      <c r="J67" s="1" t="n"/>
      <c r="K67" s="181" t="n"/>
      <c r="L67" s="181" t="n"/>
      <c r="M67" s="181" t="n"/>
      <c r="N67" s="1" t="n"/>
      <c r="O67" s="181" t="n"/>
      <c r="P67" s="181" t="n"/>
      <c r="Q67" s="18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row>
    <row r="68" ht="15.75" customHeight="1" s="216">
      <c r="A68" s="1" t="n"/>
      <c r="B68" s="1" t="n"/>
      <c r="C68" s="1" t="n"/>
      <c r="D68" s="1" t="n"/>
      <c r="E68" s="181" t="n"/>
      <c r="F68" s="181" t="n"/>
      <c r="G68" s="1" t="n"/>
      <c r="H68" s="1" t="n"/>
      <c r="I68" s="1" t="n"/>
      <c r="J68" s="1" t="n"/>
      <c r="K68" s="181" t="n"/>
      <c r="L68" s="181" t="n"/>
      <c r="M68" s="181" t="n"/>
      <c r="N68" s="1" t="n"/>
      <c r="O68" s="181" t="n"/>
      <c r="P68" s="181" t="n"/>
      <c r="Q68" s="18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row>
    <row r="69" ht="15.75" customHeight="1" s="216">
      <c r="A69" s="1" t="n"/>
      <c r="B69" s="1" t="n"/>
      <c r="C69" s="1" t="n"/>
      <c r="D69" s="1" t="n"/>
      <c r="E69" s="181" t="n"/>
      <c r="F69" s="181" t="n"/>
      <c r="G69" s="1" t="n"/>
      <c r="H69" s="1" t="n"/>
      <c r="I69" s="1" t="n"/>
      <c r="J69" s="1" t="n"/>
      <c r="K69" s="181" t="n"/>
      <c r="L69" s="181" t="n"/>
      <c r="M69" s="181" t="n"/>
      <c r="N69" s="1" t="n"/>
      <c r="O69" s="181" t="n"/>
      <c r="P69" s="181" t="n"/>
      <c r="Q69" s="18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row>
    <row r="70" ht="15.75" customHeight="1" s="216">
      <c r="A70" s="1" t="n"/>
      <c r="B70" s="1" t="n"/>
      <c r="C70" s="1" t="n"/>
      <c r="D70" s="1" t="n"/>
      <c r="E70" s="181" t="n"/>
      <c r="F70" s="181" t="n"/>
      <c r="G70" s="1" t="n"/>
      <c r="H70" s="1" t="n"/>
      <c r="I70" s="1" t="n"/>
      <c r="J70" s="1" t="n"/>
      <c r="K70" s="181" t="n"/>
      <c r="L70" s="181" t="n"/>
      <c r="M70" s="181" t="n"/>
      <c r="N70" s="1" t="n"/>
      <c r="O70" s="181" t="n"/>
      <c r="P70" s="181" t="n"/>
      <c r="Q70" s="18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row>
    <row r="71" ht="15.75" customHeight="1" s="216">
      <c r="A71" s="1" t="n"/>
      <c r="B71" s="1" t="n"/>
      <c r="C71" s="1" t="n"/>
      <c r="D71" s="1" t="n"/>
      <c r="E71" s="181" t="n"/>
      <c r="F71" s="181" t="n"/>
      <c r="G71" s="1" t="n"/>
      <c r="H71" s="1" t="n"/>
      <c r="I71" s="1" t="n"/>
      <c r="J71" s="1" t="n"/>
      <c r="K71" s="181" t="n"/>
      <c r="L71" s="181" t="n"/>
      <c r="M71" s="181" t="n"/>
      <c r="N71" s="1" t="n"/>
      <c r="O71" s="181" t="n"/>
      <c r="P71" s="181" t="n"/>
      <c r="Q71" s="18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row>
    <row r="72" ht="15.75" customHeight="1" s="216">
      <c r="A72" s="1" t="n"/>
      <c r="B72" s="1" t="n"/>
      <c r="C72" s="1" t="n"/>
      <c r="D72" s="1" t="n"/>
      <c r="E72" s="181" t="n"/>
      <c r="F72" s="181" t="n"/>
      <c r="G72" s="1" t="n"/>
      <c r="H72" s="1" t="n"/>
      <c r="I72" s="1" t="n"/>
      <c r="J72" s="1" t="n"/>
      <c r="K72" s="181" t="n"/>
      <c r="L72" s="181" t="n"/>
      <c r="M72" s="181" t="n"/>
      <c r="N72" s="1" t="n"/>
      <c r="O72" s="181" t="n"/>
      <c r="P72" s="181" t="n"/>
      <c r="Q72" s="18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row>
    <row r="73" ht="15.75" customHeight="1" s="216">
      <c r="A73" s="1" t="n"/>
      <c r="B73" s="1" t="n"/>
      <c r="C73" s="1" t="n"/>
      <c r="D73" s="1" t="n"/>
      <c r="E73" s="181" t="n"/>
      <c r="F73" s="181" t="n"/>
      <c r="G73" s="1" t="n"/>
      <c r="H73" s="1" t="n"/>
      <c r="I73" s="1" t="n"/>
      <c r="J73" s="1" t="n"/>
      <c r="K73" s="181" t="n"/>
      <c r="L73" s="181" t="n"/>
      <c r="M73" s="181" t="n"/>
      <c r="N73" s="1" t="n"/>
      <c r="O73" s="181" t="n"/>
      <c r="P73" s="181" t="n"/>
      <c r="Q73" s="18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row>
    <row r="74" ht="15.75" customHeight="1" s="216">
      <c r="A74" s="1" t="n"/>
      <c r="B74" s="1" t="n"/>
      <c r="C74" s="1" t="n"/>
      <c r="D74" s="1" t="n"/>
      <c r="E74" s="181" t="n"/>
      <c r="F74" s="181" t="n"/>
      <c r="G74" s="1" t="n"/>
      <c r="H74" s="1" t="n"/>
      <c r="I74" s="1" t="n"/>
      <c r="J74" s="1" t="n"/>
      <c r="K74" s="181" t="n"/>
      <c r="L74" s="181" t="n"/>
      <c r="M74" s="181" t="n"/>
      <c r="N74" s="1" t="n"/>
      <c r="O74" s="181" t="n"/>
      <c r="P74" s="181" t="n"/>
      <c r="Q74" s="18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row>
    <row r="75" ht="15.75" customHeight="1" s="216">
      <c r="A75" s="1" t="n"/>
      <c r="B75" s="1" t="n"/>
      <c r="C75" s="1" t="n"/>
      <c r="D75" s="1" t="n"/>
      <c r="E75" s="181" t="n"/>
      <c r="F75" s="181" t="n"/>
      <c r="G75" s="1" t="n"/>
      <c r="H75" s="1" t="n"/>
      <c r="I75" s="1" t="n"/>
      <c r="J75" s="1" t="n"/>
      <c r="K75" s="181" t="n"/>
      <c r="L75" s="181" t="n"/>
      <c r="M75" s="181" t="n"/>
      <c r="N75" s="1" t="n"/>
      <c r="O75" s="181" t="n"/>
      <c r="P75" s="181" t="n"/>
      <c r="Q75" s="18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row>
    <row r="76" ht="15.75" customHeight="1" s="216">
      <c r="A76" s="1" t="n"/>
      <c r="B76" s="1" t="n"/>
      <c r="C76" s="1" t="n"/>
      <c r="D76" s="1" t="n"/>
      <c r="E76" s="181" t="n"/>
      <c r="F76" s="181" t="n"/>
      <c r="G76" s="1" t="n"/>
      <c r="H76" s="1" t="n"/>
      <c r="I76" s="1" t="n"/>
      <c r="J76" s="1" t="n"/>
      <c r="K76" s="181" t="n"/>
      <c r="L76" s="181" t="n"/>
      <c r="M76" s="181" t="n"/>
      <c r="N76" s="1" t="n"/>
      <c r="O76" s="181" t="n"/>
      <c r="P76" s="181" t="n"/>
      <c r="Q76" s="18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row>
    <row r="77" ht="15.75" customHeight="1" s="216">
      <c r="A77" s="1" t="n"/>
      <c r="B77" s="1" t="n"/>
      <c r="C77" s="1" t="n"/>
      <c r="D77" s="1" t="n"/>
      <c r="E77" s="181" t="n"/>
      <c r="F77" s="181" t="n"/>
      <c r="G77" s="1" t="n"/>
      <c r="H77" s="1" t="n"/>
      <c r="I77" s="1" t="n"/>
      <c r="J77" s="1" t="n"/>
      <c r="K77" s="181" t="n"/>
      <c r="L77" s="181" t="n"/>
      <c r="M77" s="181" t="n"/>
      <c r="N77" s="1" t="n"/>
      <c r="O77" s="181" t="n"/>
      <c r="P77" s="181" t="n"/>
      <c r="Q77" s="18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row>
    <row r="78" ht="15.75" customHeight="1" s="216">
      <c r="A78" s="1" t="n"/>
      <c r="B78" s="1" t="n"/>
      <c r="C78" s="1" t="n"/>
      <c r="D78" s="1" t="n"/>
      <c r="E78" s="181" t="n"/>
      <c r="F78" s="181" t="n"/>
      <c r="G78" s="1" t="n"/>
      <c r="H78" s="1" t="n"/>
      <c r="I78" s="1" t="n"/>
      <c r="J78" s="1" t="n"/>
      <c r="K78" s="181" t="n"/>
      <c r="L78" s="181" t="n"/>
      <c r="M78" s="181" t="n"/>
      <c r="N78" s="1" t="n"/>
      <c r="O78" s="181" t="n"/>
      <c r="P78" s="181" t="n"/>
      <c r="Q78" s="18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row>
    <row r="79" ht="15.75" customHeight="1" s="216">
      <c r="A79" s="1" t="n"/>
      <c r="B79" s="1" t="n"/>
      <c r="C79" s="1" t="n"/>
      <c r="D79" s="1" t="n"/>
      <c r="E79" s="181" t="n"/>
      <c r="F79" s="181" t="n"/>
      <c r="G79" s="1" t="n"/>
      <c r="H79" s="1" t="n"/>
      <c r="I79" s="1" t="n"/>
      <c r="J79" s="1" t="n"/>
      <c r="K79" s="181" t="n"/>
      <c r="L79" s="181" t="n"/>
      <c r="M79" s="181" t="n"/>
      <c r="N79" s="1" t="n"/>
      <c r="O79" s="181" t="n"/>
      <c r="P79" s="181" t="n"/>
      <c r="Q79" s="18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row>
    <row r="80" ht="15.75" customHeight="1" s="216">
      <c r="A80" s="1" t="n"/>
      <c r="B80" s="1" t="n"/>
      <c r="C80" s="1" t="n"/>
      <c r="D80" s="1" t="n"/>
      <c r="E80" s="181" t="n"/>
      <c r="F80" s="181" t="n"/>
      <c r="G80" s="1" t="n"/>
      <c r="H80" s="1" t="n"/>
      <c r="I80" s="1" t="n"/>
      <c r="J80" s="1" t="n"/>
      <c r="K80" s="181" t="n"/>
      <c r="L80" s="181" t="n"/>
      <c r="M80" s="181" t="n"/>
      <c r="N80" s="1" t="n"/>
      <c r="O80" s="181" t="n"/>
      <c r="P80" s="181" t="n"/>
      <c r="Q80" s="18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row>
    <row r="81" ht="15.75" customHeight="1" s="216">
      <c r="A81" s="1" t="n"/>
      <c r="B81" s="1" t="n"/>
      <c r="C81" s="1" t="n"/>
      <c r="D81" s="1" t="n"/>
      <c r="E81" s="181" t="n"/>
      <c r="F81" s="181" t="n"/>
      <c r="G81" s="1" t="n"/>
      <c r="H81" s="1" t="n"/>
      <c r="I81" s="1" t="n"/>
      <c r="J81" s="1" t="n"/>
      <c r="K81" s="181" t="n"/>
      <c r="L81" s="181" t="n"/>
      <c r="M81" s="181" t="n"/>
      <c r="N81" s="1" t="n"/>
      <c r="O81" s="181" t="n"/>
      <c r="P81" s="181" t="n"/>
      <c r="Q81" s="18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row>
    <row r="82" ht="15.75" customHeight="1" s="216">
      <c r="A82" s="1" t="n"/>
      <c r="B82" s="1" t="n"/>
      <c r="C82" s="1" t="n"/>
      <c r="D82" s="1" t="n"/>
      <c r="E82" s="181" t="n"/>
      <c r="F82" s="181" t="n"/>
      <c r="G82" s="1" t="n"/>
      <c r="H82" s="1" t="n"/>
      <c r="I82" s="1" t="n"/>
      <c r="J82" s="1" t="n"/>
      <c r="K82" s="181" t="n"/>
      <c r="L82" s="181" t="n"/>
      <c r="M82" s="181" t="n"/>
      <c r="N82" s="1" t="n"/>
      <c r="O82" s="181" t="n"/>
      <c r="P82" s="181" t="n"/>
      <c r="Q82" s="18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row>
    <row r="83" ht="15.75" customHeight="1" s="216">
      <c r="A83" s="1" t="n"/>
      <c r="B83" s="1" t="n"/>
      <c r="C83" s="1" t="n"/>
      <c r="D83" s="1" t="n"/>
      <c r="E83" s="181" t="n"/>
      <c r="F83" s="181" t="n"/>
      <c r="G83" s="1" t="n"/>
      <c r="H83" s="1" t="n"/>
      <c r="I83" s="1" t="n"/>
      <c r="J83" s="1" t="n"/>
      <c r="K83" s="181" t="n"/>
      <c r="L83" s="181" t="n"/>
      <c r="M83" s="181" t="n"/>
      <c r="N83" s="1" t="n"/>
      <c r="O83" s="181" t="n"/>
      <c r="P83" s="181" t="n"/>
      <c r="Q83" s="18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row>
    <row r="84" ht="15.75" customHeight="1" s="216">
      <c r="A84" s="1" t="n"/>
      <c r="B84" s="1" t="n"/>
      <c r="C84" s="1" t="n"/>
      <c r="D84" s="1" t="n"/>
      <c r="E84" s="181" t="n"/>
      <c r="F84" s="181" t="n"/>
      <c r="G84" s="1" t="n"/>
      <c r="H84" s="1" t="n"/>
      <c r="I84" s="1" t="n"/>
      <c r="J84" s="1" t="n"/>
      <c r="K84" s="181" t="n"/>
      <c r="L84" s="181" t="n"/>
      <c r="M84" s="181" t="n"/>
      <c r="N84" s="1" t="n"/>
      <c r="O84" s="181" t="n"/>
      <c r="P84" s="181" t="n"/>
      <c r="Q84" s="18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row>
    <row r="85" ht="15.75" customHeight="1" s="216">
      <c r="A85" s="1" t="n"/>
      <c r="B85" s="1" t="n"/>
      <c r="C85" s="1" t="n"/>
      <c r="D85" s="1" t="n"/>
      <c r="E85" s="181" t="n"/>
      <c r="F85" s="181" t="n"/>
      <c r="G85" s="1" t="n"/>
      <c r="H85" s="1" t="n"/>
      <c r="I85" s="1" t="n"/>
      <c r="J85" s="1" t="n"/>
      <c r="K85" s="181" t="n"/>
      <c r="L85" s="181" t="n"/>
      <c r="M85" s="181" t="n"/>
      <c r="N85" s="1" t="n"/>
      <c r="O85" s="181" t="n"/>
      <c r="P85" s="181" t="n"/>
      <c r="Q85" s="18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row>
    <row r="86" ht="15.75" customHeight="1" s="216">
      <c r="A86" s="1" t="n"/>
      <c r="B86" s="1" t="n"/>
      <c r="C86" s="1" t="n"/>
      <c r="D86" s="1" t="n"/>
      <c r="E86" s="181" t="n"/>
      <c r="F86" s="181" t="n"/>
      <c r="G86" s="1" t="n"/>
      <c r="H86" s="1" t="n"/>
      <c r="I86" s="1" t="n"/>
      <c r="J86" s="1" t="n"/>
      <c r="K86" s="181" t="n"/>
      <c r="L86" s="181" t="n"/>
      <c r="M86" s="181" t="n"/>
      <c r="N86" s="1" t="n"/>
      <c r="O86" s="181" t="n"/>
      <c r="P86" s="181" t="n"/>
      <c r="Q86" s="18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row>
    <row r="87" ht="15.75" customHeight="1" s="216">
      <c r="A87" s="1" t="n"/>
      <c r="B87" s="1" t="n"/>
      <c r="C87" s="1" t="n"/>
      <c r="D87" s="1" t="n"/>
      <c r="E87" s="181" t="n"/>
      <c r="F87" s="181" t="n"/>
      <c r="G87" s="1" t="n"/>
      <c r="H87" s="1" t="n"/>
      <c r="I87" s="1" t="n"/>
      <c r="J87" s="1" t="n"/>
      <c r="K87" s="181" t="n"/>
      <c r="L87" s="181" t="n"/>
      <c r="M87" s="181" t="n"/>
      <c r="N87" s="1" t="n"/>
      <c r="O87" s="181" t="n"/>
      <c r="P87" s="181" t="n"/>
      <c r="Q87" s="18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row>
    <row r="88" ht="15.75" customHeight="1" s="216">
      <c r="A88" s="1" t="n"/>
      <c r="B88" s="1" t="n"/>
      <c r="C88" s="1" t="n"/>
      <c r="D88" s="1" t="n"/>
      <c r="E88" s="181" t="n"/>
      <c r="F88" s="181" t="n"/>
      <c r="G88" s="1" t="n"/>
      <c r="H88" s="1" t="n"/>
      <c r="I88" s="1" t="n"/>
      <c r="J88" s="1" t="n"/>
      <c r="K88" s="181" t="n"/>
      <c r="L88" s="181" t="n"/>
      <c r="M88" s="181" t="n"/>
      <c r="N88" s="1" t="n"/>
      <c r="O88" s="181" t="n"/>
      <c r="P88" s="181" t="n"/>
      <c r="Q88" s="18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row>
    <row r="89" ht="15.75" customHeight="1" s="216">
      <c r="A89" s="1" t="n"/>
      <c r="B89" s="1" t="n"/>
      <c r="C89" s="1" t="n"/>
      <c r="D89" s="1" t="n"/>
      <c r="E89" s="181" t="n"/>
      <c r="F89" s="181" t="n"/>
      <c r="G89" s="1" t="n"/>
      <c r="H89" s="1" t="n"/>
      <c r="I89" s="1" t="n"/>
      <c r="J89" s="1" t="n"/>
      <c r="K89" s="181" t="n"/>
      <c r="L89" s="181" t="n"/>
      <c r="M89" s="181" t="n"/>
      <c r="N89" s="1" t="n"/>
      <c r="O89" s="181" t="n"/>
      <c r="P89" s="181" t="n"/>
      <c r="Q89" s="18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row>
    <row r="90" ht="15.75" customHeight="1" s="216">
      <c r="A90" s="1" t="n"/>
      <c r="B90" s="1" t="n"/>
      <c r="C90" s="1" t="n"/>
      <c r="D90" s="1" t="n"/>
      <c r="E90" s="181" t="n"/>
      <c r="F90" s="181" t="n"/>
      <c r="G90" s="1" t="n"/>
      <c r="H90" s="1" t="n"/>
      <c r="I90" s="1" t="n"/>
      <c r="J90" s="1" t="n"/>
      <c r="K90" s="181" t="n"/>
      <c r="L90" s="181" t="n"/>
      <c r="M90" s="181" t="n"/>
      <c r="N90" s="1" t="n"/>
      <c r="O90" s="181" t="n"/>
      <c r="P90" s="181" t="n"/>
      <c r="Q90" s="18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row>
    <row r="91" ht="15.75" customHeight="1" s="216">
      <c r="A91" s="1" t="n"/>
      <c r="B91" s="1" t="n"/>
      <c r="C91" s="1" t="n"/>
      <c r="D91" s="1" t="n"/>
      <c r="E91" s="181" t="n"/>
      <c r="F91" s="181" t="n"/>
      <c r="G91" s="1" t="n"/>
      <c r="H91" s="1" t="n"/>
      <c r="I91" s="1" t="n"/>
      <c r="J91" s="1" t="n"/>
      <c r="K91" s="181" t="n"/>
      <c r="L91" s="181" t="n"/>
      <c r="M91" s="181" t="n"/>
      <c r="N91" s="1" t="n"/>
      <c r="O91" s="181" t="n"/>
      <c r="P91" s="181" t="n"/>
      <c r="Q91" s="18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row>
    <row r="92" ht="15.75" customHeight="1" s="216">
      <c r="A92" s="1" t="n"/>
      <c r="B92" s="1" t="n"/>
      <c r="C92" s="1" t="n"/>
      <c r="D92" s="1" t="n"/>
      <c r="E92" s="181" t="n"/>
      <c r="F92" s="181" t="n"/>
      <c r="G92" s="1" t="n"/>
      <c r="H92" s="1" t="n"/>
      <c r="I92" s="1" t="n"/>
      <c r="J92" s="1" t="n"/>
      <c r="K92" s="181" t="n"/>
      <c r="L92" s="181" t="n"/>
      <c r="M92" s="181" t="n"/>
      <c r="N92" s="1" t="n"/>
      <c r="O92" s="181" t="n"/>
      <c r="P92" s="181" t="n"/>
      <c r="Q92" s="18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row>
    <row r="93" ht="15.75" customHeight="1" s="216">
      <c r="A93" s="1" t="n"/>
      <c r="B93" s="1" t="n"/>
      <c r="C93" s="1" t="n"/>
      <c r="D93" s="1" t="n"/>
      <c r="E93" s="181" t="n"/>
      <c r="F93" s="181" t="n"/>
      <c r="G93" s="1" t="n"/>
      <c r="H93" s="1" t="n"/>
      <c r="I93" s="1" t="n"/>
      <c r="J93" s="1" t="n"/>
      <c r="K93" s="181" t="n"/>
      <c r="L93" s="181" t="n"/>
      <c r="M93" s="181" t="n"/>
      <c r="N93" s="1" t="n"/>
      <c r="O93" s="181" t="n"/>
      <c r="P93" s="181" t="n"/>
      <c r="Q93" s="18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row>
    <row r="94" ht="15.75" customHeight="1" s="216">
      <c r="A94" s="1" t="n"/>
      <c r="B94" s="1" t="n"/>
      <c r="C94" s="1" t="n"/>
      <c r="D94" s="1" t="n"/>
      <c r="E94" s="181" t="n"/>
      <c r="F94" s="181" t="n"/>
      <c r="G94" s="1" t="n"/>
      <c r="H94" s="1" t="n"/>
      <c r="I94" s="1" t="n"/>
      <c r="J94" s="1" t="n"/>
      <c r="K94" s="181" t="n"/>
      <c r="L94" s="181" t="n"/>
      <c r="M94" s="181" t="n"/>
      <c r="N94" s="1" t="n"/>
      <c r="O94" s="181" t="n"/>
      <c r="P94" s="181" t="n"/>
      <c r="Q94" s="18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row>
    <row r="95" ht="15.75" customHeight="1" s="216">
      <c r="A95" s="1" t="n"/>
      <c r="B95" s="1" t="n"/>
      <c r="C95" s="1" t="n"/>
      <c r="D95" s="1" t="n"/>
      <c r="E95" s="181" t="n"/>
      <c r="F95" s="181" t="n"/>
      <c r="G95" s="1" t="n"/>
      <c r="H95" s="1" t="n"/>
      <c r="I95" s="1" t="n"/>
      <c r="J95" s="1" t="n"/>
      <c r="K95" s="181" t="n"/>
      <c r="L95" s="181" t="n"/>
      <c r="M95" s="181" t="n"/>
      <c r="N95" s="1" t="n"/>
      <c r="O95" s="181" t="n"/>
      <c r="P95" s="181" t="n"/>
      <c r="Q95" s="18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row>
    <row r="96" ht="15.75" customHeight="1" s="216">
      <c r="A96" s="1" t="n"/>
      <c r="B96" s="1" t="n"/>
      <c r="C96" s="1" t="n"/>
      <c r="D96" s="1" t="n"/>
      <c r="E96" s="181" t="n"/>
      <c r="F96" s="181" t="n"/>
      <c r="G96" s="1" t="n"/>
      <c r="H96" s="1" t="n"/>
      <c r="I96" s="1" t="n"/>
      <c r="J96" s="1" t="n"/>
      <c r="K96" s="181" t="n"/>
      <c r="L96" s="181" t="n"/>
      <c r="M96" s="181" t="n"/>
      <c r="N96" s="1" t="n"/>
      <c r="O96" s="181" t="n"/>
      <c r="P96" s="181" t="n"/>
      <c r="Q96" s="18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row>
    <row r="97" ht="15.75" customHeight="1" s="216">
      <c r="A97" s="1" t="n"/>
      <c r="B97" s="1" t="n"/>
      <c r="C97" s="1" t="n"/>
      <c r="D97" s="1" t="n"/>
      <c r="E97" s="181" t="n"/>
      <c r="F97" s="181" t="n"/>
      <c r="G97" s="1" t="n"/>
      <c r="H97" s="1" t="n"/>
      <c r="I97" s="1" t="n"/>
      <c r="J97" s="1" t="n"/>
      <c r="K97" s="181" t="n"/>
      <c r="L97" s="181" t="n"/>
      <c r="M97" s="181" t="n"/>
      <c r="N97" s="1" t="n"/>
      <c r="O97" s="181" t="n"/>
      <c r="P97" s="181" t="n"/>
      <c r="Q97" s="18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row>
    <row r="98" ht="15.75" customHeight="1" s="216">
      <c r="A98" s="1" t="n"/>
      <c r="B98" s="1" t="n"/>
      <c r="C98" s="1" t="n"/>
      <c r="D98" s="1" t="n"/>
      <c r="E98" s="181" t="n"/>
      <c r="F98" s="181" t="n"/>
      <c r="G98" s="1" t="n"/>
      <c r="H98" s="1" t="n"/>
      <c r="I98" s="1" t="n"/>
      <c r="J98" s="1" t="n"/>
      <c r="K98" s="181" t="n"/>
      <c r="L98" s="181" t="n"/>
      <c r="M98" s="181" t="n"/>
      <c r="N98" s="1" t="n"/>
      <c r="O98" s="181" t="n"/>
      <c r="P98" s="181" t="n"/>
      <c r="Q98" s="18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row>
    <row r="99" ht="15.75" customHeight="1" s="216">
      <c r="A99" s="1" t="n"/>
      <c r="B99" s="1" t="n"/>
      <c r="C99" s="1" t="n"/>
      <c r="D99" s="1" t="n"/>
      <c r="E99" s="181" t="n"/>
      <c r="F99" s="181" t="n"/>
      <c r="G99" s="1" t="n"/>
      <c r="H99" s="1" t="n"/>
      <c r="I99" s="1" t="n"/>
      <c r="J99" s="1" t="n"/>
      <c r="K99" s="181" t="n"/>
      <c r="L99" s="181" t="n"/>
      <c r="M99" s="181" t="n"/>
      <c r="N99" s="1" t="n"/>
      <c r="O99" s="181" t="n"/>
      <c r="P99" s="181" t="n"/>
      <c r="Q99" s="18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row>
    <row r="100" ht="15.75" customHeight="1" s="216">
      <c r="A100" s="1" t="n"/>
      <c r="B100" s="1" t="n"/>
      <c r="C100" s="1" t="n"/>
      <c r="D100" s="1" t="n"/>
      <c r="E100" s="181" t="n"/>
      <c r="F100" s="181" t="n"/>
      <c r="G100" s="1" t="n"/>
      <c r="H100" s="1" t="n"/>
      <c r="I100" s="1" t="n"/>
      <c r="J100" s="1" t="n"/>
      <c r="K100" s="181" t="n"/>
      <c r="L100" s="181" t="n"/>
      <c r="M100" s="181" t="n"/>
      <c r="N100" s="1" t="n"/>
      <c r="O100" s="181" t="n"/>
      <c r="P100" s="181" t="n"/>
      <c r="Q100" s="18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row>
    <row r="101" ht="15.75" customHeight="1" s="216">
      <c r="A101" s="1" t="n"/>
      <c r="B101" s="1" t="n"/>
      <c r="C101" s="1" t="n"/>
      <c r="D101" s="1" t="n"/>
      <c r="E101" s="181" t="n"/>
      <c r="F101" s="181" t="n"/>
      <c r="G101" s="1" t="n"/>
      <c r="H101" s="1" t="n"/>
      <c r="I101" s="1" t="n"/>
      <c r="J101" s="1" t="n"/>
      <c r="K101" s="181" t="n"/>
      <c r="L101" s="181" t="n"/>
      <c r="M101" s="181" t="n"/>
      <c r="N101" s="1" t="n"/>
      <c r="O101" s="181" t="n"/>
      <c r="P101" s="181" t="n"/>
      <c r="Q101" s="18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row>
    <row r="102" ht="15.75" customHeight="1" s="216">
      <c r="A102" s="1" t="n"/>
      <c r="B102" s="1" t="n"/>
      <c r="C102" s="1" t="n"/>
      <c r="D102" s="1" t="n"/>
      <c r="E102" s="181" t="n"/>
      <c r="F102" s="181" t="n"/>
      <c r="G102" s="1" t="n"/>
      <c r="H102" s="1" t="n"/>
      <c r="I102" s="1" t="n"/>
      <c r="J102" s="1" t="n"/>
      <c r="K102" s="181" t="n"/>
      <c r="L102" s="181" t="n"/>
      <c r="M102" s="181" t="n"/>
      <c r="N102" s="1" t="n"/>
      <c r="O102" s="181" t="n"/>
      <c r="P102" s="181" t="n"/>
      <c r="Q102" s="18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row>
    <row r="103" ht="15.75" customHeight="1" s="216">
      <c r="A103" s="1" t="n"/>
      <c r="B103" s="1" t="n"/>
      <c r="C103" s="1" t="n"/>
      <c r="D103" s="1" t="n"/>
      <c r="E103" s="181" t="n"/>
      <c r="F103" s="181" t="n"/>
      <c r="G103" s="1" t="n"/>
      <c r="H103" s="1" t="n"/>
      <c r="I103" s="1" t="n"/>
      <c r="J103" s="1" t="n"/>
      <c r="K103" s="181" t="n"/>
      <c r="L103" s="181" t="n"/>
      <c r="M103" s="181" t="n"/>
      <c r="N103" s="1" t="n"/>
      <c r="O103" s="181" t="n"/>
      <c r="P103" s="181" t="n"/>
      <c r="Q103" s="18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row>
    <row r="104" ht="15.75" customHeight="1" s="216">
      <c r="A104" s="1" t="n"/>
      <c r="B104" s="1" t="n"/>
      <c r="C104" s="1" t="n"/>
      <c r="D104" s="1" t="n"/>
      <c r="E104" s="181" t="n"/>
      <c r="F104" s="181" t="n"/>
      <c r="G104" s="1" t="n"/>
      <c r="H104" s="1" t="n"/>
      <c r="I104" s="1" t="n"/>
      <c r="J104" s="1" t="n"/>
      <c r="K104" s="181" t="n"/>
      <c r="L104" s="181" t="n"/>
      <c r="M104" s="181" t="n"/>
      <c r="N104" s="1" t="n"/>
      <c r="O104" s="181" t="n"/>
      <c r="P104" s="181" t="n"/>
      <c r="Q104" s="18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row>
    <row r="105" ht="15.75" customHeight="1" s="216">
      <c r="A105" s="1" t="n"/>
      <c r="B105" s="1" t="n"/>
      <c r="C105" s="1" t="n"/>
      <c r="D105" s="1" t="n"/>
      <c r="E105" s="181" t="n"/>
      <c r="F105" s="181" t="n"/>
      <c r="G105" s="1" t="n"/>
      <c r="H105" s="1" t="n"/>
      <c r="I105" s="1" t="n"/>
      <c r="J105" s="1" t="n"/>
      <c r="K105" s="181" t="n"/>
      <c r="L105" s="181" t="n"/>
      <c r="M105" s="181" t="n"/>
      <c r="N105" s="1" t="n"/>
      <c r="O105" s="181" t="n"/>
      <c r="P105" s="181" t="n"/>
      <c r="Q105" s="18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row>
    <row r="106" ht="15.75" customHeight="1" s="216">
      <c r="A106" s="1" t="n"/>
      <c r="B106" s="1" t="n"/>
      <c r="C106" s="1" t="n"/>
      <c r="D106" s="1" t="n"/>
      <c r="E106" s="181" t="n"/>
      <c r="F106" s="181" t="n"/>
      <c r="G106" s="1" t="n"/>
      <c r="H106" s="1" t="n"/>
      <c r="I106" s="1" t="n"/>
      <c r="J106" s="1" t="n"/>
      <c r="K106" s="181" t="n"/>
      <c r="L106" s="181" t="n"/>
      <c r="M106" s="181" t="n"/>
      <c r="N106" s="1" t="n"/>
      <c r="O106" s="181" t="n"/>
      <c r="P106" s="181" t="n"/>
      <c r="Q106" s="18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row>
    <row r="107" ht="15.75" customHeight="1" s="216">
      <c r="A107" s="1" t="n"/>
      <c r="B107" s="1" t="n"/>
      <c r="C107" s="1" t="n"/>
      <c r="D107" s="1" t="n"/>
      <c r="E107" s="181" t="n"/>
      <c r="F107" s="181" t="n"/>
      <c r="G107" s="1" t="n"/>
      <c r="H107" s="1" t="n"/>
      <c r="I107" s="1" t="n"/>
      <c r="J107" s="1" t="n"/>
      <c r="K107" s="181" t="n"/>
      <c r="L107" s="181" t="n"/>
      <c r="M107" s="181" t="n"/>
      <c r="N107" s="1" t="n"/>
      <c r="O107" s="181" t="n"/>
      <c r="P107" s="181" t="n"/>
      <c r="Q107" s="18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row>
    <row r="108" ht="15.75" customHeight="1" s="216">
      <c r="A108" s="1" t="n"/>
      <c r="B108" s="1" t="n"/>
      <c r="C108" s="1" t="n"/>
      <c r="D108" s="1" t="n"/>
      <c r="E108" s="181" t="n"/>
      <c r="F108" s="181" t="n"/>
      <c r="G108" s="1" t="n"/>
      <c r="H108" s="1" t="n"/>
      <c r="I108" s="1" t="n"/>
      <c r="J108" s="1" t="n"/>
      <c r="K108" s="181" t="n"/>
      <c r="L108" s="181" t="n"/>
      <c r="M108" s="181" t="n"/>
      <c r="N108" s="1" t="n"/>
      <c r="O108" s="181" t="n"/>
      <c r="P108" s="181" t="n"/>
      <c r="Q108" s="18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row>
    <row r="109" ht="15.75" customHeight="1" s="216">
      <c r="A109" s="1" t="n"/>
      <c r="B109" s="1" t="n"/>
      <c r="C109" s="1" t="n"/>
      <c r="D109" s="1" t="n"/>
      <c r="E109" s="181" t="n"/>
      <c r="F109" s="181" t="n"/>
      <c r="G109" s="1" t="n"/>
      <c r="H109" s="1" t="n"/>
      <c r="I109" s="1" t="n"/>
      <c r="J109" s="1" t="n"/>
      <c r="K109" s="181" t="n"/>
      <c r="L109" s="181" t="n"/>
      <c r="M109" s="181" t="n"/>
      <c r="N109" s="1" t="n"/>
      <c r="O109" s="181" t="n"/>
      <c r="P109" s="181" t="n"/>
      <c r="Q109" s="18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row>
    <row r="110" ht="15.75" customHeight="1" s="216">
      <c r="A110" s="1" t="n"/>
      <c r="B110" s="1" t="n"/>
      <c r="C110" s="1" t="n"/>
      <c r="D110" s="1" t="n"/>
      <c r="E110" s="181" t="n"/>
      <c r="F110" s="181" t="n"/>
      <c r="G110" s="1" t="n"/>
      <c r="H110" s="1" t="n"/>
      <c r="I110" s="1" t="n"/>
      <c r="J110" s="1" t="n"/>
      <c r="K110" s="181" t="n"/>
      <c r="L110" s="181" t="n"/>
      <c r="M110" s="181" t="n"/>
      <c r="N110" s="1" t="n"/>
      <c r="O110" s="181" t="n"/>
      <c r="P110" s="181" t="n"/>
      <c r="Q110" s="18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row>
    <row r="111" ht="15.75" customHeight="1" s="216">
      <c r="A111" s="1" t="n"/>
      <c r="B111" s="1" t="n"/>
      <c r="C111" s="1" t="n"/>
      <c r="D111" s="1" t="n"/>
      <c r="E111" s="181" t="n"/>
      <c r="F111" s="181" t="n"/>
      <c r="G111" s="1" t="n"/>
      <c r="H111" s="1" t="n"/>
      <c r="I111" s="1" t="n"/>
      <c r="J111" s="1" t="n"/>
      <c r="K111" s="181" t="n"/>
      <c r="L111" s="181" t="n"/>
      <c r="M111" s="181" t="n"/>
      <c r="N111" s="1" t="n"/>
      <c r="O111" s="181" t="n"/>
      <c r="P111" s="181" t="n"/>
      <c r="Q111" s="18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row>
    <row r="112" ht="15.75" customHeight="1" s="216">
      <c r="A112" s="1" t="n"/>
      <c r="B112" s="1" t="n"/>
      <c r="C112" s="1" t="n"/>
      <c r="D112" s="1" t="n"/>
      <c r="E112" s="181" t="n"/>
      <c r="F112" s="181" t="n"/>
      <c r="G112" s="1" t="n"/>
      <c r="H112" s="1" t="n"/>
      <c r="I112" s="1" t="n"/>
      <c r="J112" s="1" t="n"/>
      <c r="K112" s="181" t="n"/>
      <c r="L112" s="181" t="n"/>
      <c r="M112" s="181" t="n"/>
      <c r="N112" s="1" t="n"/>
      <c r="O112" s="181" t="n"/>
      <c r="P112" s="181" t="n"/>
      <c r="Q112" s="18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row>
    <row r="113" ht="15.75" customHeight="1" s="216">
      <c r="A113" s="1" t="n"/>
      <c r="B113" s="1" t="n"/>
      <c r="C113" s="1" t="n"/>
      <c r="D113" s="1" t="n"/>
      <c r="E113" s="181" t="n"/>
      <c r="F113" s="181" t="n"/>
      <c r="G113" s="1" t="n"/>
      <c r="H113" s="1" t="n"/>
      <c r="I113" s="1" t="n"/>
      <c r="J113" s="1" t="n"/>
      <c r="K113" s="181" t="n"/>
      <c r="L113" s="181" t="n"/>
      <c r="M113" s="181" t="n"/>
      <c r="N113" s="1" t="n"/>
      <c r="O113" s="181" t="n"/>
      <c r="P113" s="181" t="n"/>
      <c r="Q113" s="18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row>
    <row r="114" ht="15.75" customHeight="1" s="216">
      <c r="A114" s="1" t="n"/>
      <c r="B114" s="1" t="n"/>
      <c r="C114" s="1" t="n"/>
      <c r="D114" s="1" t="n"/>
      <c r="E114" s="181" t="n"/>
      <c r="F114" s="181" t="n"/>
      <c r="G114" s="1" t="n"/>
      <c r="H114" s="1" t="n"/>
      <c r="I114" s="1" t="n"/>
      <c r="J114" s="1" t="n"/>
      <c r="K114" s="181" t="n"/>
      <c r="L114" s="181" t="n"/>
      <c r="M114" s="181" t="n"/>
      <c r="N114" s="1" t="n"/>
      <c r="O114" s="181" t="n"/>
      <c r="P114" s="181" t="n"/>
      <c r="Q114" s="18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row>
    <row r="115" ht="15.75" customHeight="1" s="216">
      <c r="A115" s="1" t="n"/>
      <c r="B115" s="1" t="n"/>
      <c r="C115" s="1" t="n"/>
      <c r="D115" s="1" t="n"/>
      <c r="E115" s="181" t="n"/>
      <c r="F115" s="181" t="n"/>
      <c r="G115" s="1" t="n"/>
      <c r="H115" s="1" t="n"/>
      <c r="I115" s="1" t="n"/>
      <c r="J115" s="1" t="n"/>
      <c r="K115" s="181" t="n"/>
      <c r="L115" s="181" t="n"/>
      <c r="M115" s="181" t="n"/>
      <c r="N115" s="1" t="n"/>
      <c r="O115" s="181" t="n"/>
      <c r="P115" s="181" t="n"/>
      <c r="Q115" s="18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row>
    <row r="116" ht="15.75" customHeight="1" s="216">
      <c r="A116" s="1" t="n"/>
      <c r="B116" s="1" t="n"/>
      <c r="C116" s="1" t="n"/>
      <c r="D116" s="1" t="n"/>
      <c r="E116" s="181" t="n"/>
      <c r="F116" s="181" t="n"/>
      <c r="G116" s="1" t="n"/>
      <c r="H116" s="1" t="n"/>
      <c r="I116" s="1" t="n"/>
      <c r="J116" s="1" t="n"/>
      <c r="K116" s="181" t="n"/>
      <c r="L116" s="181" t="n"/>
      <c r="M116" s="181" t="n"/>
      <c r="N116" s="1" t="n"/>
      <c r="O116" s="181" t="n"/>
      <c r="P116" s="181" t="n"/>
      <c r="Q116" s="18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row>
    <row r="117" ht="15.75" customHeight="1" s="216">
      <c r="A117" s="1" t="n"/>
      <c r="B117" s="1" t="n"/>
      <c r="C117" s="1" t="n"/>
      <c r="D117" s="1" t="n"/>
      <c r="E117" s="181" t="n"/>
      <c r="F117" s="181" t="n"/>
      <c r="G117" s="1" t="n"/>
      <c r="H117" s="1" t="n"/>
      <c r="I117" s="1" t="n"/>
      <c r="J117" s="1" t="n"/>
      <c r="K117" s="181" t="n"/>
      <c r="L117" s="181" t="n"/>
      <c r="M117" s="181" t="n"/>
      <c r="N117" s="1" t="n"/>
      <c r="O117" s="181" t="n"/>
      <c r="P117" s="181" t="n"/>
      <c r="Q117" s="18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row>
    <row r="118" ht="15.75" customHeight="1" s="216">
      <c r="A118" s="1" t="n"/>
      <c r="B118" s="1" t="n"/>
      <c r="C118" s="1" t="n"/>
      <c r="D118" s="1" t="n"/>
      <c r="E118" s="181" t="n"/>
      <c r="F118" s="181" t="n"/>
      <c r="G118" s="1" t="n"/>
      <c r="H118" s="1" t="n"/>
      <c r="I118" s="1" t="n"/>
      <c r="J118" s="1" t="n"/>
      <c r="K118" s="181" t="n"/>
      <c r="L118" s="181" t="n"/>
      <c r="M118" s="181" t="n"/>
      <c r="N118" s="1" t="n"/>
      <c r="O118" s="181" t="n"/>
      <c r="P118" s="181" t="n"/>
      <c r="Q118" s="18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row>
    <row r="119" ht="15.75" customHeight="1" s="216">
      <c r="A119" s="1" t="n"/>
      <c r="B119" s="1" t="n"/>
      <c r="C119" s="1" t="n"/>
      <c r="D119" s="1" t="n"/>
      <c r="E119" s="181" t="n"/>
      <c r="F119" s="181" t="n"/>
      <c r="G119" s="1" t="n"/>
      <c r="H119" s="1" t="n"/>
      <c r="I119" s="1" t="n"/>
      <c r="J119" s="1" t="n"/>
      <c r="K119" s="181" t="n"/>
      <c r="L119" s="181" t="n"/>
      <c r="M119" s="181" t="n"/>
      <c r="N119" s="1" t="n"/>
      <c r="O119" s="181" t="n"/>
      <c r="P119" s="181" t="n"/>
      <c r="Q119" s="18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row>
    <row r="120" ht="15.75" customHeight="1" s="216">
      <c r="A120" s="1" t="n"/>
      <c r="B120" s="1" t="n"/>
      <c r="C120" s="1" t="n"/>
      <c r="D120" s="1" t="n"/>
      <c r="E120" s="181" t="n"/>
      <c r="F120" s="181" t="n"/>
      <c r="G120" s="1" t="n"/>
      <c r="H120" s="1" t="n"/>
      <c r="I120" s="1" t="n"/>
      <c r="J120" s="1" t="n"/>
      <c r="K120" s="181" t="n"/>
      <c r="L120" s="181" t="n"/>
      <c r="M120" s="181" t="n"/>
      <c r="N120" s="1" t="n"/>
      <c r="O120" s="181" t="n"/>
      <c r="P120" s="181" t="n"/>
      <c r="Q120" s="18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row>
    <row r="121" ht="15.75" customHeight="1" s="216">
      <c r="A121" s="1" t="n"/>
      <c r="B121" s="1" t="n"/>
      <c r="C121" s="1" t="n"/>
      <c r="D121" s="1" t="n"/>
      <c r="E121" s="181" t="n"/>
      <c r="F121" s="181" t="n"/>
      <c r="G121" s="1" t="n"/>
      <c r="H121" s="1" t="n"/>
      <c r="I121" s="1" t="n"/>
      <c r="J121" s="1" t="n"/>
      <c r="K121" s="181" t="n"/>
      <c r="L121" s="181" t="n"/>
      <c r="M121" s="181" t="n"/>
      <c r="N121" s="1" t="n"/>
      <c r="O121" s="181" t="n"/>
      <c r="P121" s="181" t="n"/>
      <c r="Q121" s="18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row>
    <row r="122" ht="15.75" customHeight="1" s="216">
      <c r="A122" s="1" t="n"/>
      <c r="B122" s="1" t="n"/>
      <c r="C122" s="1" t="n"/>
      <c r="D122" s="1" t="n"/>
      <c r="E122" s="181" t="n"/>
      <c r="F122" s="181" t="n"/>
      <c r="G122" s="1" t="n"/>
      <c r="H122" s="1" t="n"/>
      <c r="I122" s="1" t="n"/>
      <c r="J122" s="1" t="n"/>
      <c r="K122" s="181" t="n"/>
      <c r="L122" s="181" t="n"/>
      <c r="M122" s="181" t="n"/>
      <c r="N122" s="1" t="n"/>
      <c r="O122" s="181" t="n"/>
      <c r="P122" s="181" t="n"/>
      <c r="Q122" s="18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row>
    <row r="123" ht="15.75" customHeight="1" s="216">
      <c r="A123" s="1" t="n"/>
      <c r="B123" s="1" t="n"/>
      <c r="C123" s="1" t="n"/>
      <c r="D123" s="1" t="n"/>
      <c r="E123" s="181" t="n"/>
      <c r="F123" s="181" t="n"/>
      <c r="G123" s="1" t="n"/>
      <c r="H123" s="1" t="n"/>
      <c r="I123" s="1" t="n"/>
      <c r="J123" s="1" t="n"/>
      <c r="K123" s="181" t="n"/>
      <c r="L123" s="181" t="n"/>
      <c r="M123" s="181" t="n"/>
      <c r="N123" s="1" t="n"/>
      <c r="O123" s="181" t="n"/>
      <c r="P123" s="181" t="n"/>
      <c r="Q123" s="18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row>
    <row r="124" ht="15.75" customHeight="1" s="216">
      <c r="A124" s="1" t="n"/>
      <c r="B124" s="1" t="n"/>
      <c r="C124" s="1" t="n"/>
      <c r="D124" s="1" t="n"/>
      <c r="E124" s="181" t="n"/>
      <c r="F124" s="181" t="n"/>
      <c r="G124" s="1" t="n"/>
      <c r="H124" s="1" t="n"/>
      <c r="I124" s="1" t="n"/>
      <c r="J124" s="1" t="n"/>
      <c r="K124" s="181" t="n"/>
      <c r="L124" s="181" t="n"/>
      <c r="M124" s="181" t="n"/>
      <c r="N124" s="1" t="n"/>
      <c r="O124" s="181" t="n"/>
      <c r="P124" s="181" t="n"/>
      <c r="Q124" s="18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row>
    <row r="125" ht="15.75" customHeight="1" s="216">
      <c r="A125" s="1" t="n"/>
      <c r="B125" s="1" t="n"/>
      <c r="C125" s="1" t="n"/>
      <c r="D125" s="1" t="n"/>
      <c r="E125" s="181" t="n"/>
      <c r="F125" s="181" t="n"/>
      <c r="G125" s="1" t="n"/>
      <c r="H125" s="1" t="n"/>
      <c r="I125" s="1" t="n"/>
      <c r="J125" s="1" t="n"/>
      <c r="K125" s="181" t="n"/>
      <c r="L125" s="181" t="n"/>
      <c r="M125" s="181" t="n"/>
      <c r="N125" s="1" t="n"/>
      <c r="O125" s="181" t="n"/>
      <c r="P125" s="181" t="n"/>
      <c r="Q125" s="18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row>
    <row r="126" ht="15.75" customHeight="1" s="216">
      <c r="A126" s="1" t="n"/>
      <c r="B126" s="1" t="n"/>
      <c r="C126" s="1" t="n"/>
      <c r="D126" s="1" t="n"/>
      <c r="E126" s="181" t="n"/>
      <c r="F126" s="181" t="n"/>
      <c r="G126" s="1" t="n"/>
      <c r="H126" s="1" t="n"/>
      <c r="I126" s="1" t="n"/>
      <c r="J126" s="1" t="n"/>
      <c r="K126" s="181" t="n"/>
      <c r="L126" s="181" t="n"/>
      <c r="M126" s="181" t="n"/>
      <c r="N126" s="1" t="n"/>
      <c r="O126" s="181" t="n"/>
      <c r="P126" s="181" t="n"/>
      <c r="Q126" s="18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row>
    <row r="127" ht="15.75" customHeight="1" s="216">
      <c r="A127" s="1" t="n"/>
      <c r="B127" s="1" t="n"/>
      <c r="C127" s="1" t="n"/>
      <c r="D127" s="1" t="n"/>
      <c r="E127" s="181" t="n"/>
      <c r="F127" s="181" t="n"/>
      <c r="G127" s="1" t="n"/>
      <c r="H127" s="1" t="n"/>
      <c r="I127" s="1" t="n"/>
      <c r="J127" s="1" t="n"/>
      <c r="K127" s="181" t="n"/>
      <c r="L127" s="181" t="n"/>
      <c r="M127" s="181" t="n"/>
      <c r="N127" s="1" t="n"/>
      <c r="O127" s="181" t="n"/>
      <c r="P127" s="181" t="n"/>
      <c r="Q127" s="18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row>
    <row r="128" ht="15.75" customHeight="1" s="216">
      <c r="A128" s="1" t="n"/>
      <c r="B128" s="1" t="n"/>
      <c r="C128" s="1" t="n"/>
      <c r="D128" s="1" t="n"/>
      <c r="E128" s="181" t="n"/>
      <c r="F128" s="181" t="n"/>
      <c r="G128" s="1" t="n"/>
      <c r="H128" s="1" t="n"/>
      <c r="I128" s="1" t="n"/>
      <c r="J128" s="1" t="n"/>
      <c r="K128" s="181" t="n"/>
      <c r="L128" s="181" t="n"/>
      <c r="M128" s="181" t="n"/>
      <c r="N128" s="1" t="n"/>
      <c r="O128" s="181" t="n"/>
      <c r="P128" s="181" t="n"/>
      <c r="Q128" s="18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row>
    <row r="129" ht="15.75" customHeight="1" s="216">
      <c r="A129" s="1" t="n"/>
      <c r="B129" s="1" t="n"/>
      <c r="C129" s="1" t="n"/>
      <c r="D129" s="1" t="n"/>
      <c r="E129" s="181" t="n"/>
      <c r="F129" s="181" t="n"/>
      <c r="G129" s="1" t="n"/>
      <c r="H129" s="1" t="n"/>
      <c r="I129" s="1" t="n"/>
      <c r="J129" s="1" t="n"/>
      <c r="K129" s="181" t="n"/>
      <c r="L129" s="181" t="n"/>
      <c r="M129" s="181" t="n"/>
      <c r="N129" s="1" t="n"/>
      <c r="O129" s="181" t="n"/>
      <c r="P129" s="181" t="n"/>
      <c r="Q129" s="18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row>
    <row r="130" ht="15.75" customHeight="1" s="216">
      <c r="A130" s="1" t="n"/>
      <c r="B130" s="1" t="n"/>
      <c r="C130" s="1" t="n"/>
      <c r="D130" s="1" t="n"/>
      <c r="E130" s="181" t="n"/>
      <c r="F130" s="181" t="n"/>
      <c r="G130" s="1" t="n"/>
      <c r="H130" s="1" t="n"/>
      <c r="I130" s="1" t="n"/>
      <c r="J130" s="1" t="n"/>
      <c r="K130" s="181" t="n"/>
      <c r="L130" s="181" t="n"/>
      <c r="M130" s="181" t="n"/>
      <c r="N130" s="1" t="n"/>
      <c r="O130" s="181" t="n"/>
      <c r="P130" s="181" t="n"/>
      <c r="Q130" s="18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row>
    <row r="131" ht="15.75" customHeight="1" s="216">
      <c r="A131" s="1" t="n"/>
      <c r="B131" s="1" t="n"/>
      <c r="C131" s="1" t="n"/>
      <c r="D131" s="1" t="n"/>
      <c r="E131" s="181" t="n"/>
      <c r="F131" s="181" t="n"/>
      <c r="G131" s="1" t="n"/>
      <c r="H131" s="1" t="n"/>
      <c r="I131" s="1" t="n"/>
      <c r="J131" s="1" t="n"/>
      <c r="K131" s="181" t="n"/>
      <c r="L131" s="181" t="n"/>
      <c r="M131" s="181" t="n"/>
      <c r="N131" s="1" t="n"/>
      <c r="O131" s="181" t="n"/>
      <c r="P131" s="181" t="n"/>
      <c r="Q131" s="18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row>
    <row r="132" ht="15.75" customHeight="1" s="216">
      <c r="A132" s="1" t="n"/>
      <c r="B132" s="1" t="n"/>
      <c r="C132" s="1" t="n"/>
      <c r="D132" s="1" t="n"/>
      <c r="E132" s="181" t="n"/>
      <c r="F132" s="181" t="n"/>
      <c r="G132" s="1" t="n"/>
      <c r="H132" s="1" t="n"/>
      <c r="I132" s="1" t="n"/>
      <c r="J132" s="1" t="n"/>
      <c r="K132" s="181" t="n"/>
      <c r="L132" s="181" t="n"/>
      <c r="M132" s="181" t="n"/>
      <c r="N132" s="1" t="n"/>
      <c r="O132" s="181" t="n"/>
      <c r="P132" s="181" t="n"/>
      <c r="Q132" s="18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row>
    <row r="133" ht="15.75" customHeight="1" s="216">
      <c r="A133" s="1" t="n"/>
      <c r="B133" s="1" t="n"/>
      <c r="C133" s="1" t="n"/>
      <c r="D133" s="1" t="n"/>
      <c r="E133" s="181" t="n"/>
      <c r="F133" s="181" t="n"/>
      <c r="G133" s="1" t="n"/>
      <c r="H133" s="1" t="n"/>
      <c r="I133" s="1" t="n"/>
      <c r="J133" s="1" t="n"/>
      <c r="K133" s="181" t="n"/>
      <c r="L133" s="181" t="n"/>
      <c r="M133" s="181" t="n"/>
      <c r="N133" s="1" t="n"/>
      <c r="O133" s="181" t="n"/>
      <c r="P133" s="181" t="n"/>
      <c r="Q133" s="18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row>
    <row r="134" ht="15.75" customHeight="1" s="216">
      <c r="A134" s="1" t="n"/>
      <c r="B134" s="1" t="n"/>
      <c r="C134" s="1" t="n"/>
      <c r="D134" s="1" t="n"/>
      <c r="E134" s="181" t="n"/>
      <c r="F134" s="181" t="n"/>
      <c r="G134" s="1" t="n"/>
      <c r="H134" s="1" t="n"/>
      <c r="I134" s="1" t="n"/>
      <c r="J134" s="1" t="n"/>
      <c r="K134" s="181" t="n"/>
      <c r="L134" s="181" t="n"/>
      <c r="M134" s="181" t="n"/>
      <c r="N134" s="1" t="n"/>
      <c r="O134" s="181" t="n"/>
      <c r="P134" s="181" t="n"/>
      <c r="Q134" s="18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row>
    <row r="135" ht="15.75" customHeight="1" s="216">
      <c r="A135" s="1" t="n"/>
      <c r="B135" s="1" t="n"/>
      <c r="C135" s="1" t="n"/>
      <c r="D135" s="1" t="n"/>
      <c r="E135" s="181" t="n"/>
      <c r="F135" s="181" t="n"/>
      <c r="G135" s="1" t="n"/>
      <c r="H135" s="1" t="n"/>
      <c r="I135" s="1" t="n"/>
      <c r="J135" s="1" t="n"/>
      <c r="K135" s="181" t="n"/>
      <c r="L135" s="181" t="n"/>
      <c r="M135" s="181" t="n"/>
      <c r="N135" s="1" t="n"/>
      <c r="O135" s="181" t="n"/>
      <c r="P135" s="181" t="n"/>
      <c r="Q135" s="18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row>
    <row r="136" ht="15.75" customHeight="1" s="216">
      <c r="A136" s="1" t="n"/>
      <c r="B136" s="1" t="n"/>
      <c r="C136" s="1" t="n"/>
      <c r="D136" s="1" t="n"/>
      <c r="E136" s="181" t="n"/>
      <c r="F136" s="181" t="n"/>
      <c r="G136" s="1" t="n"/>
      <c r="H136" s="1" t="n"/>
      <c r="I136" s="1" t="n"/>
      <c r="J136" s="1" t="n"/>
      <c r="K136" s="181" t="n"/>
      <c r="L136" s="181" t="n"/>
      <c r="M136" s="181" t="n"/>
      <c r="N136" s="1" t="n"/>
      <c r="O136" s="181" t="n"/>
      <c r="P136" s="181" t="n"/>
      <c r="Q136" s="18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row>
    <row r="137" ht="15.75" customHeight="1" s="216">
      <c r="A137" s="1" t="n"/>
      <c r="B137" s="1" t="n"/>
      <c r="C137" s="1" t="n"/>
      <c r="D137" s="1" t="n"/>
      <c r="E137" s="181" t="n"/>
      <c r="F137" s="181" t="n"/>
      <c r="G137" s="1" t="n"/>
      <c r="H137" s="1" t="n"/>
      <c r="I137" s="1" t="n"/>
      <c r="J137" s="1" t="n"/>
      <c r="K137" s="181" t="n"/>
      <c r="L137" s="181" t="n"/>
      <c r="M137" s="181" t="n"/>
      <c r="N137" s="1" t="n"/>
      <c r="O137" s="181" t="n"/>
      <c r="P137" s="181" t="n"/>
      <c r="Q137" s="18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row>
    <row r="138" ht="15.75" customHeight="1" s="216">
      <c r="A138" s="1" t="n"/>
      <c r="B138" s="1" t="n"/>
      <c r="C138" s="1" t="n"/>
      <c r="D138" s="1" t="n"/>
      <c r="E138" s="181" t="n"/>
      <c r="F138" s="181" t="n"/>
      <c r="G138" s="1" t="n"/>
      <c r="H138" s="1" t="n"/>
      <c r="I138" s="1" t="n"/>
      <c r="J138" s="1" t="n"/>
      <c r="K138" s="181" t="n"/>
      <c r="L138" s="181" t="n"/>
      <c r="M138" s="181" t="n"/>
      <c r="N138" s="1" t="n"/>
      <c r="O138" s="181" t="n"/>
      <c r="P138" s="181" t="n"/>
      <c r="Q138" s="18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row>
    <row r="139" ht="15.75" customHeight="1" s="216">
      <c r="A139" s="1" t="n"/>
      <c r="B139" s="1" t="n"/>
      <c r="C139" s="1" t="n"/>
      <c r="D139" s="1" t="n"/>
      <c r="E139" s="181" t="n"/>
      <c r="F139" s="181" t="n"/>
      <c r="G139" s="1" t="n"/>
      <c r="H139" s="1" t="n"/>
      <c r="I139" s="1" t="n"/>
      <c r="J139" s="1" t="n"/>
      <c r="K139" s="181" t="n"/>
      <c r="L139" s="181" t="n"/>
      <c r="M139" s="181" t="n"/>
      <c r="N139" s="1" t="n"/>
      <c r="O139" s="181" t="n"/>
      <c r="P139" s="181" t="n"/>
      <c r="Q139" s="18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row>
    <row r="140" ht="15.75" customHeight="1" s="216">
      <c r="A140" s="1" t="n"/>
      <c r="B140" s="1" t="n"/>
      <c r="C140" s="1" t="n"/>
      <c r="D140" s="1" t="n"/>
      <c r="E140" s="181" t="n"/>
      <c r="F140" s="181" t="n"/>
      <c r="G140" s="1" t="n"/>
      <c r="H140" s="1" t="n"/>
      <c r="I140" s="1" t="n"/>
      <c r="J140" s="1" t="n"/>
      <c r="K140" s="181" t="n"/>
      <c r="L140" s="181" t="n"/>
      <c r="M140" s="181" t="n"/>
      <c r="N140" s="1" t="n"/>
      <c r="O140" s="181" t="n"/>
      <c r="P140" s="181" t="n"/>
      <c r="Q140" s="18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row>
    <row r="141" ht="15.75" customHeight="1" s="216">
      <c r="A141" s="1" t="n"/>
      <c r="B141" s="1" t="n"/>
      <c r="C141" s="1" t="n"/>
      <c r="D141" s="1" t="n"/>
      <c r="E141" s="181" t="n"/>
      <c r="F141" s="181" t="n"/>
      <c r="G141" s="1" t="n"/>
      <c r="H141" s="1" t="n"/>
      <c r="I141" s="1" t="n"/>
      <c r="J141" s="1" t="n"/>
      <c r="K141" s="181" t="n"/>
      <c r="L141" s="181" t="n"/>
      <c r="M141" s="181" t="n"/>
      <c r="N141" s="1" t="n"/>
      <c r="O141" s="181" t="n"/>
      <c r="P141" s="181" t="n"/>
      <c r="Q141" s="18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row>
    <row r="142" ht="15.75" customHeight="1" s="216">
      <c r="A142" s="1" t="n"/>
      <c r="B142" s="1" t="n"/>
      <c r="C142" s="1" t="n"/>
      <c r="D142" s="1" t="n"/>
      <c r="E142" s="181" t="n"/>
      <c r="F142" s="181" t="n"/>
      <c r="G142" s="1" t="n"/>
      <c r="H142" s="1" t="n"/>
      <c r="I142" s="1" t="n"/>
      <c r="J142" s="1" t="n"/>
      <c r="K142" s="181" t="n"/>
      <c r="L142" s="181" t="n"/>
      <c r="M142" s="181" t="n"/>
      <c r="N142" s="1" t="n"/>
      <c r="O142" s="181" t="n"/>
      <c r="P142" s="181" t="n"/>
      <c r="Q142" s="18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row>
    <row r="143" ht="15.75" customHeight="1" s="216">
      <c r="A143" s="1" t="n"/>
      <c r="B143" s="1" t="n"/>
      <c r="C143" s="1" t="n"/>
      <c r="D143" s="1" t="n"/>
      <c r="E143" s="181" t="n"/>
      <c r="F143" s="181" t="n"/>
      <c r="G143" s="1" t="n"/>
      <c r="H143" s="1" t="n"/>
      <c r="I143" s="1" t="n"/>
      <c r="J143" s="1" t="n"/>
      <c r="K143" s="181" t="n"/>
      <c r="L143" s="181" t="n"/>
      <c r="M143" s="181" t="n"/>
      <c r="N143" s="1" t="n"/>
      <c r="O143" s="181" t="n"/>
      <c r="P143" s="181" t="n"/>
      <c r="Q143" s="18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row>
    <row r="144" ht="15.75" customHeight="1" s="216">
      <c r="A144" s="1" t="n"/>
      <c r="B144" s="1" t="n"/>
      <c r="C144" s="1" t="n"/>
      <c r="D144" s="1" t="n"/>
      <c r="E144" s="181" t="n"/>
      <c r="F144" s="181" t="n"/>
      <c r="G144" s="1" t="n"/>
      <c r="H144" s="1" t="n"/>
      <c r="I144" s="1" t="n"/>
      <c r="J144" s="1" t="n"/>
      <c r="K144" s="181" t="n"/>
      <c r="L144" s="181" t="n"/>
      <c r="M144" s="181" t="n"/>
      <c r="N144" s="1" t="n"/>
      <c r="O144" s="181" t="n"/>
      <c r="P144" s="181" t="n"/>
      <c r="Q144" s="18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row>
    <row r="145" ht="15.75" customHeight="1" s="216">
      <c r="A145" s="1" t="n"/>
      <c r="B145" s="1" t="n"/>
      <c r="C145" s="1" t="n"/>
      <c r="D145" s="1" t="n"/>
      <c r="E145" s="181" t="n"/>
      <c r="F145" s="181" t="n"/>
      <c r="G145" s="1" t="n"/>
      <c r="H145" s="1" t="n"/>
      <c r="I145" s="1" t="n"/>
      <c r="J145" s="1" t="n"/>
      <c r="K145" s="181" t="n"/>
      <c r="L145" s="181" t="n"/>
      <c r="M145" s="181" t="n"/>
      <c r="N145" s="1" t="n"/>
      <c r="O145" s="181" t="n"/>
      <c r="P145" s="181" t="n"/>
      <c r="Q145" s="18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row>
    <row r="146" ht="15.75" customHeight="1" s="216">
      <c r="A146" s="1" t="n"/>
      <c r="B146" s="1" t="n"/>
      <c r="C146" s="1" t="n"/>
      <c r="D146" s="1" t="n"/>
      <c r="E146" s="181" t="n"/>
      <c r="F146" s="181" t="n"/>
      <c r="G146" s="1" t="n"/>
      <c r="H146" s="1" t="n"/>
      <c r="I146" s="1" t="n"/>
      <c r="J146" s="1" t="n"/>
      <c r="K146" s="181" t="n"/>
      <c r="L146" s="181" t="n"/>
      <c r="M146" s="181" t="n"/>
      <c r="N146" s="1" t="n"/>
      <c r="O146" s="181" t="n"/>
      <c r="P146" s="181" t="n"/>
      <c r="Q146" s="18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row>
    <row r="147" ht="15.75" customHeight="1" s="216">
      <c r="A147" s="1" t="n"/>
      <c r="B147" s="1" t="n"/>
      <c r="C147" s="1" t="n"/>
      <c r="D147" s="1" t="n"/>
      <c r="E147" s="181" t="n"/>
      <c r="F147" s="181" t="n"/>
      <c r="G147" s="1" t="n"/>
      <c r="H147" s="1" t="n"/>
      <c r="I147" s="1" t="n"/>
      <c r="J147" s="1" t="n"/>
      <c r="K147" s="181" t="n"/>
      <c r="L147" s="181" t="n"/>
      <c r="M147" s="181" t="n"/>
      <c r="N147" s="1" t="n"/>
      <c r="O147" s="181" t="n"/>
      <c r="P147" s="181" t="n"/>
      <c r="Q147" s="18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row>
    <row r="148" ht="15.75" customHeight="1" s="216">
      <c r="A148" s="1" t="n"/>
      <c r="B148" s="1" t="n"/>
      <c r="C148" s="1" t="n"/>
      <c r="D148" s="1" t="n"/>
      <c r="E148" s="181" t="n"/>
      <c r="F148" s="181" t="n"/>
      <c r="G148" s="1" t="n"/>
      <c r="H148" s="1" t="n"/>
      <c r="I148" s="1" t="n"/>
      <c r="J148" s="1" t="n"/>
      <c r="K148" s="181" t="n"/>
      <c r="L148" s="181" t="n"/>
      <c r="M148" s="181" t="n"/>
      <c r="N148" s="1" t="n"/>
      <c r="O148" s="181" t="n"/>
      <c r="P148" s="181" t="n"/>
      <c r="Q148" s="18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row>
    <row r="149" ht="15.75" customHeight="1" s="216">
      <c r="A149" s="1" t="n"/>
      <c r="B149" s="1" t="n"/>
      <c r="C149" s="1" t="n"/>
      <c r="D149" s="1" t="n"/>
      <c r="E149" s="181" t="n"/>
      <c r="F149" s="181" t="n"/>
      <c r="G149" s="1" t="n"/>
      <c r="H149" s="1" t="n"/>
      <c r="I149" s="1" t="n"/>
      <c r="J149" s="1" t="n"/>
      <c r="K149" s="181" t="n"/>
      <c r="L149" s="181" t="n"/>
      <c r="M149" s="181" t="n"/>
      <c r="N149" s="1" t="n"/>
      <c r="O149" s="181" t="n"/>
      <c r="P149" s="181" t="n"/>
      <c r="Q149" s="18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row>
    <row r="150" ht="15.75" customHeight="1" s="216">
      <c r="A150" s="1" t="n"/>
      <c r="B150" s="1" t="n"/>
      <c r="C150" s="1" t="n"/>
      <c r="D150" s="1" t="n"/>
      <c r="E150" s="181" t="n"/>
      <c r="F150" s="181" t="n"/>
      <c r="G150" s="1" t="n"/>
      <c r="H150" s="1" t="n"/>
      <c r="I150" s="1" t="n"/>
      <c r="J150" s="1" t="n"/>
      <c r="K150" s="181" t="n"/>
      <c r="L150" s="181" t="n"/>
      <c r="M150" s="181" t="n"/>
      <c r="N150" s="1" t="n"/>
      <c r="O150" s="181" t="n"/>
      <c r="P150" s="181" t="n"/>
      <c r="Q150" s="18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row>
    <row r="151" ht="15.75" customHeight="1" s="216">
      <c r="A151" s="1" t="n"/>
      <c r="B151" s="1" t="n"/>
      <c r="C151" s="1" t="n"/>
      <c r="D151" s="1" t="n"/>
      <c r="E151" s="181" t="n"/>
      <c r="F151" s="181" t="n"/>
      <c r="G151" s="1" t="n"/>
      <c r="H151" s="1" t="n"/>
      <c r="I151" s="1" t="n"/>
      <c r="J151" s="1" t="n"/>
      <c r="K151" s="181" t="n"/>
      <c r="L151" s="181" t="n"/>
      <c r="M151" s="181" t="n"/>
      <c r="N151" s="1" t="n"/>
      <c r="O151" s="181" t="n"/>
      <c r="P151" s="181" t="n"/>
      <c r="Q151" s="18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row>
    <row r="152" ht="15.75" customHeight="1" s="216">
      <c r="A152" s="1" t="n"/>
      <c r="B152" s="1" t="n"/>
      <c r="C152" s="1" t="n"/>
      <c r="D152" s="1" t="n"/>
      <c r="E152" s="181" t="n"/>
      <c r="F152" s="181" t="n"/>
      <c r="G152" s="1" t="n"/>
      <c r="H152" s="1" t="n"/>
      <c r="I152" s="1" t="n"/>
      <c r="J152" s="1" t="n"/>
      <c r="K152" s="181" t="n"/>
      <c r="L152" s="181" t="n"/>
      <c r="M152" s="181" t="n"/>
      <c r="N152" s="1" t="n"/>
      <c r="O152" s="181" t="n"/>
      <c r="P152" s="181" t="n"/>
      <c r="Q152" s="18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row>
    <row r="153" ht="15.75" customHeight="1" s="216">
      <c r="A153" s="1" t="n"/>
      <c r="B153" s="1" t="n"/>
      <c r="C153" s="1" t="n"/>
      <c r="D153" s="1" t="n"/>
      <c r="E153" s="181" t="n"/>
      <c r="F153" s="181" t="n"/>
      <c r="G153" s="1" t="n"/>
      <c r="H153" s="1" t="n"/>
      <c r="I153" s="1" t="n"/>
      <c r="J153" s="1" t="n"/>
      <c r="K153" s="181" t="n"/>
      <c r="L153" s="181" t="n"/>
      <c r="M153" s="181" t="n"/>
      <c r="N153" s="1" t="n"/>
      <c r="O153" s="181" t="n"/>
      <c r="P153" s="181" t="n"/>
      <c r="Q153" s="18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row>
    <row r="154" ht="15.75" customHeight="1" s="216">
      <c r="A154" s="1" t="n"/>
      <c r="B154" s="1" t="n"/>
      <c r="C154" s="1" t="n"/>
      <c r="D154" s="1" t="n"/>
      <c r="E154" s="181" t="n"/>
      <c r="F154" s="181" t="n"/>
      <c r="G154" s="1" t="n"/>
      <c r="H154" s="1" t="n"/>
      <c r="I154" s="1" t="n"/>
      <c r="J154" s="1" t="n"/>
      <c r="K154" s="181" t="n"/>
      <c r="L154" s="181" t="n"/>
      <c r="M154" s="181" t="n"/>
      <c r="N154" s="1" t="n"/>
      <c r="O154" s="181" t="n"/>
      <c r="P154" s="181" t="n"/>
      <c r="Q154" s="18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row>
    <row r="155" ht="15.75" customHeight="1" s="216">
      <c r="A155" s="1" t="n"/>
      <c r="B155" s="1" t="n"/>
      <c r="C155" s="1" t="n"/>
      <c r="D155" s="1" t="n"/>
      <c r="E155" s="181" t="n"/>
      <c r="F155" s="181" t="n"/>
      <c r="G155" s="1" t="n"/>
      <c r="H155" s="1" t="n"/>
      <c r="I155" s="1" t="n"/>
      <c r="J155" s="1" t="n"/>
      <c r="K155" s="181" t="n"/>
      <c r="L155" s="181" t="n"/>
      <c r="M155" s="181" t="n"/>
      <c r="N155" s="1" t="n"/>
      <c r="O155" s="181" t="n"/>
      <c r="P155" s="181" t="n"/>
      <c r="Q155" s="18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row>
    <row r="156" ht="15.75" customHeight="1" s="216">
      <c r="A156" s="1" t="n"/>
      <c r="B156" s="1" t="n"/>
      <c r="C156" s="1" t="n"/>
      <c r="D156" s="1" t="n"/>
      <c r="E156" s="181" t="n"/>
      <c r="F156" s="181" t="n"/>
      <c r="G156" s="1" t="n"/>
      <c r="H156" s="1" t="n"/>
      <c r="I156" s="1" t="n"/>
      <c r="J156" s="1" t="n"/>
      <c r="K156" s="181" t="n"/>
      <c r="L156" s="181" t="n"/>
      <c r="M156" s="181" t="n"/>
      <c r="N156" s="1" t="n"/>
      <c r="O156" s="181" t="n"/>
      <c r="P156" s="181" t="n"/>
      <c r="Q156" s="18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row>
    <row r="157" ht="15.75" customHeight="1" s="216">
      <c r="A157" s="1" t="n"/>
      <c r="B157" s="1" t="n"/>
      <c r="C157" s="1" t="n"/>
      <c r="D157" s="1" t="n"/>
      <c r="E157" s="181" t="n"/>
      <c r="F157" s="181" t="n"/>
      <c r="G157" s="1" t="n"/>
      <c r="H157" s="1" t="n"/>
      <c r="I157" s="1" t="n"/>
      <c r="J157" s="1" t="n"/>
      <c r="K157" s="181" t="n"/>
      <c r="L157" s="181" t="n"/>
      <c r="M157" s="181" t="n"/>
      <c r="N157" s="1" t="n"/>
      <c r="O157" s="181" t="n"/>
      <c r="P157" s="181" t="n"/>
      <c r="Q157" s="18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row>
    <row r="158" ht="15.75" customHeight="1" s="216">
      <c r="A158" s="1" t="n"/>
      <c r="B158" s="1" t="n"/>
      <c r="C158" s="1" t="n"/>
      <c r="D158" s="1" t="n"/>
      <c r="E158" s="181" t="n"/>
      <c r="F158" s="181" t="n"/>
      <c r="G158" s="1" t="n"/>
      <c r="H158" s="1" t="n"/>
      <c r="I158" s="1" t="n"/>
      <c r="J158" s="1" t="n"/>
      <c r="K158" s="181" t="n"/>
      <c r="L158" s="181" t="n"/>
      <c r="M158" s="181" t="n"/>
      <c r="N158" s="1" t="n"/>
      <c r="O158" s="181" t="n"/>
      <c r="P158" s="181" t="n"/>
      <c r="Q158" s="18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row>
    <row r="159" ht="15.75" customHeight="1" s="216">
      <c r="A159" s="1" t="n"/>
      <c r="B159" s="1" t="n"/>
      <c r="C159" s="1" t="n"/>
      <c r="D159" s="1" t="n"/>
      <c r="E159" s="181" t="n"/>
      <c r="F159" s="181" t="n"/>
      <c r="G159" s="1" t="n"/>
      <c r="H159" s="1" t="n"/>
      <c r="I159" s="1" t="n"/>
      <c r="J159" s="1" t="n"/>
      <c r="K159" s="181" t="n"/>
      <c r="L159" s="181" t="n"/>
      <c r="M159" s="181" t="n"/>
      <c r="N159" s="1" t="n"/>
      <c r="O159" s="181" t="n"/>
      <c r="P159" s="181" t="n"/>
      <c r="Q159" s="18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row>
    <row r="160" ht="15.75" customHeight="1" s="216">
      <c r="A160" s="1" t="n"/>
      <c r="B160" s="1" t="n"/>
      <c r="C160" s="1" t="n"/>
      <c r="D160" s="1" t="n"/>
      <c r="E160" s="181" t="n"/>
      <c r="F160" s="181" t="n"/>
      <c r="G160" s="1" t="n"/>
      <c r="H160" s="1" t="n"/>
      <c r="I160" s="1" t="n"/>
      <c r="J160" s="1" t="n"/>
      <c r="K160" s="181" t="n"/>
      <c r="L160" s="181" t="n"/>
      <c r="M160" s="181" t="n"/>
      <c r="N160" s="1" t="n"/>
      <c r="O160" s="181" t="n"/>
      <c r="P160" s="181" t="n"/>
      <c r="Q160" s="18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row>
    <row r="161" ht="15.75" customHeight="1" s="216">
      <c r="A161" s="1" t="n"/>
      <c r="B161" s="1" t="n"/>
      <c r="C161" s="1" t="n"/>
      <c r="D161" s="1" t="n"/>
      <c r="E161" s="181" t="n"/>
      <c r="F161" s="181" t="n"/>
      <c r="G161" s="1" t="n"/>
      <c r="H161" s="1" t="n"/>
      <c r="I161" s="1" t="n"/>
      <c r="J161" s="1" t="n"/>
      <c r="K161" s="181" t="n"/>
      <c r="L161" s="181" t="n"/>
      <c r="M161" s="181" t="n"/>
      <c r="N161" s="1" t="n"/>
      <c r="O161" s="181" t="n"/>
      <c r="P161" s="181" t="n"/>
      <c r="Q161" s="18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row>
    <row r="162" ht="15.75" customHeight="1" s="216">
      <c r="A162" s="1" t="n"/>
      <c r="B162" s="1" t="n"/>
      <c r="C162" s="1" t="n"/>
      <c r="D162" s="1" t="n"/>
      <c r="E162" s="181" t="n"/>
      <c r="F162" s="181" t="n"/>
      <c r="G162" s="1" t="n"/>
      <c r="H162" s="1" t="n"/>
      <c r="I162" s="1" t="n"/>
      <c r="J162" s="1" t="n"/>
      <c r="K162" s="181" t="n"/>
      <c r="L162" s="181" t="n"/>
      <c r="M162" s="181" t="n"/>
      <c r="N162" s="1" t="n"/>
      <c r="O162" s="181" t="n"/>
      <c r="P162" s="181" t="n"/>
      <c r="Q162" s="18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row>
    <row r="163" ht="15.75" customHeight="1" s="216">
      <c r="A163" s="1" t="n"/>
      <c r="B163" s="1" t="n"/>
      <c r="C163" s="1" t="n"/>
      <c r="D163" s="1" t="n"/>
      <c r="E163" s="181" t="n"/>
      <c r="F163" s="181" t="n"/>
      <c r="G163" s="1" t="n"/>
      <c r="H163" s="1" t="n"/>
      <c r="I163" s="1" t="n"/>
      <c r="J163" s="1" t="n"/>
      <c r="K163" s="181" t="n"/>
      <c r="L163" s="181" t="n"/>
      <c r="M163" s="181" t="n"/>
      <c r="N163" s="1" t="n"/>
      <c r="O163" s="181" t="n"/>
      <c r="P163" s="181" t="n"/>
      <c r="Q163" s="18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row>
    <row r="164" ht="15.75" customHeight="1" s="216">
      <c r="A164" s="1" t="n"/>
      <c r="B164" s="1" t="n"/>
      <c r="C164" s="1" t="n"/>
      <c r="D164" s="1" t="n"/>
      <c r="E164" s="181" t="n"/>
      <c r="F164" s="181" t="n"/>
      <c r="G164" s="1" t="n"/>
      <c r="H164" s="1" t="n"/>
      <c r="I164" s="1" t="n"/>
      <c r="J164" s="1" t="n"/>
      <c r="K164" s="181" t="n"/>
      <c r="L164" s="181" t="n"/>
      <c r="M164" s="181" t="n"/>
      <c r="N164" s="1" t="n"/>
      <c r="O164" s="181" t="n"/>
      <c r="P164" s="181" t="n"/>
      <c r="Q164" s="18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row>
    <row r="165" ht="15.75" customHeight="1" s="216">
      <c r="A165" s="1" t="n"/>
      <c r="B165" s="1" t="n"/>
      <c r="C165" s="1" t="n"/>
      <c r="D165" s="1" t="n"/>
      <c r="E165" s="181" t="n"/>
      <c r="F165" s="181" t="n"/>
      <c r="G165" s="1" t="n"/>
      <c r="H165" s="1" t="n"/>
      <c r="I165" s="1" t="n"/>
      <c r="J165" s="1" t="n"/>
      <c r="K165" s="181" t="n"/>
      <c r="L165" s="181" t="n"/>
      <c r="M165" s="181" t="n"/>
      <c r="N165" s="1" t="n"/>
      <c r="O165" s="181" t="n"/>
      <c r="P165" s="181" t="n"/>
      <c r="Q165" s="18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row>
    <row r="166" ht="15.75" customHeight="1" s="216">
      <c r="A166" s="1" t="n"/>
      <c r="B166" s="1" t="n"/>
      <c r="C166" s="1" t="n"/>
      <c r="D166" s="1" t="n"/>
      <c r="E166" s="181" t="n"/>
      <c r="F166" s="181" t="n"/>
      <c r="G166" s="1" t="n"/>
      <c r="H166" s="1" t="n"/>
      <c r="I166" s="1" t="n"/>
      <c r="J166" s="1" t="n"/>
      <c r="K166" s="181" t="n"/>
      <c r="L166" s="181" t="n"/>
      <c r="M166" s="181" t="n"/>
      <c r="N166" s="1" t="n"/>
      <c r="O166" s="181" t="n"/>
      <c r="P166" s="181" t="n"/>
      <c r="Q166" s="18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row>
    <row r="167" ht="15.75" customHeight="1" s="216">
      <c r="A167" s="1" t="n"/>
      <c r="B167" s="1" t="n"/>
      <c r="C167" s="1" t="n"/>
      <c r="D167" s="1" t="n"/>
      <c r="E167" s="181" t="n"/>
      <c r="F167" s="181" t="n"/>
      <c r="G167" s="1" t="n"/>
      <c r="H167" s="1" t="n"/>
      <c r="I167" s="1" t="n"/>
      <c r="J167" s="1" t="n"/>
      <c r="K167" s="181" t="n"/>
      <c r="L167" s="181" t="n"/>
      <c r="M167" s="181" t="n"/>
      <c r="N167" s="1" t="n"/>
      <c r="O167" s="181" t="n"/>
      <c r="P167" s="181" t="n"/>
      <c r="Q167" s="18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row>
    <row r="168" ht="15.75" customHeight="1" s="216">
      <c r="A168" s="1" t="n"/>
      <c r="B168" s="1" t="n"/>
      <c r="C168" s="1" t="n"/>
      <c r="D168" s="1" t="n"/>
      <c r="E168" s="181" t="n"/>
      <c r="F168" s="181" t="n"/>
      <c r="G168" s="1" t="n"/>
      <c r="H168" s="1" t="n"/>
      <c r="I168" s="1" t="n"/>
      <c r="J168" s="1" t="n"/>
      <c r="K168" s="181" t="n"/>
      <c r="L168" s="181" t="n"/>
      <c r="M168" s="181" t="n"/>
      <c r="N168" s="1" t="n"/>
      <c r="O168" s="181" t="n"/>
      <c r="P168" s="181" t="n"/>
      <c r="Q168" s="18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row>
    <row r="169" ht="15.75" customHeight="1" s="216">
      <c r="A169" s="1" t="n"/>
      <c r="B169" s="1" t="n"/>
      <c r="C169" s="1" t="n"/>
      <c r="D169" s="1" t="n"/>
      <c r="E169" s="181" t="n"/>
      <c r="F169" s="181" t="n"/>
      <c r="G169" s="1" t="n"/>
      <c r="H169" s="1" t="n"/>
      <c r="I169" s="1" t="n"/>
      <c r="J169" s="1" t="n"/>
      <c r="K169" s="181" t="n"/>
      <c r="L169" s="181" t="n"/>
      <c r="M169" s="181" t="n"/>
      <c r="N169" s="1" t="n"/>
      <c r="O169" s="181" t="n"/>
      <c r="P169" s="181" t="n"/>
      <c r="Q169" s="18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row>
    <row r="170" ht="15.75" customHeight="1" s="216">
      <c r="A170" s="1" t="n"/>
      <c r="B170" s="1" t="n"/>
      <c r="C170" s="1" t="n"/>
      <c r="D170" s="1" t="n"/>
      <c r="E170" s="181" t="n"/>
      <c r="F170" s="181" t="n"/>
      <c r="G170" s="1" t="n"/>
      <c r="H170" s="1" t="n"/>
      <c r="I170" s="1" t="n"/>
      <c r="J170" s="1" t="n"/>
      <c r="K170" s="181" t="n"/>
      <c r="L170" s="181" t="n"/>
      <c r="M170" s="181" t="n"/>
      <c r="N170" s="1" t="n"/>
      <c r="O170" s="181" t="n"/>
      <c r="P170" s="181" t="n"/>
      <c r="Q170" s="18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row>
    <row r="171" ht="15.75" customHeight="1" s="216">
      <c r="A171" s="1" t="n"/>
      <c r="B171" s="1" t="n"/>
      <c r="C171" s="1" t="n"/>
      <c r="D171" s="1" t="n"/>
      <c r="E171" s="181" t="n"/>
      <c r="F171" s="181" t="n"/>
      <c r="G171" s="1" t="n"/>
      <c r="H171" s="1" t="n"/>
      <c r="I171" s="1" t="n"/>
      <c r="J171" s="1" t="n"/>
      <c r="K171" s="181" t="n"/>
      <c r="L171" s="181" t="n"/>
      <c r="M171" s="181" t="n"/>
      <c r="N171" s="1" t="n"/>
      <c r="O171" s="181" t="n"/>
      <c r="P171" s="181" t="n"/>
      <c r="Q171" s="18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row>
    <row r="172" ht="15.75" customHeight="1" s="216">
      <c r="A172" s="1" t="n"/>
      <c r="B172" s="1" t="n"/>
      <c r="C172" s="1" t="n"/>
      <c r="D172" s="1" t="n"/>
      <c r="E172" s="181" t="n"/>
      <c r="F172" s="181" t="n"/>
      <c r="G172" s="1" t="n"/>
      <c r="H172" s="1" t="n"/>
      <c r="I172" s="1" t="n"/>
      <c r="J172" s="1" t="n"/>
      <c r="K172" s="181" t="n"/>
      <c r="L172" s="181" t="n"/>
      <c r="M172" s="181" t="n"/>
      <c r="N172" s="1" t="n"/>
      <c r="O172" s="181" t="n"/>
      <c r="P172" s="181" t="n"/>
      <c r="Q172" s="18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row>
    <row r="173" ht="15.75" customHeight="1" s="216">
      <c r="A173" s="1" t="n"/>
      <c r="B173" s="1" t="n"/>
      <c r="C173" s="1" t="n"/>
      <c r="D173" s="1" t="n"/>
      <c r="E173" s="181" t="n"/>
      <c r="F173" s="181" t="n"/>
      <c r="G173" s="1" t="n"/>
      <c r="H173" s="1" t="n"/>
      <c r="I173" s="1" t="n"/>
      <c r="J173" s="1" t="n"/>
      <c r="K173" s="181" t="n"/>
      <c r="L173" s="181" t="n"/>
      <c r="M173" s="181" t="n"/>
      <c r="N173" s="1" t="n"/>
      <c r="O173" s="181" t="n"/>
      <c r="P173" s="181" t="n"/>
      <c r="Q173" s="18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row>
    <row r="174" ht="15.75" customHeight="1" s="216">
      <c r="A174" s="1" t="n"/>
      <c r="B174" s="1" t="n"/>
      <c r="C174" s="1" t="n"/>
      <c r="D174" s="1" t="n"/>
      <c r="E174" s="181" t="n"/>
      <c r="F174" s="181" t="n"/>
      <c r="G174" s="1" t="n"/>
      <c r="H174" s="1" t="n"/>
      <c r="I174" s="1" t="n"/>
      <c r="J174" s="1" t="n"/>
      <c r="K174" s="181" t="n"/>
      <c r="L174" s="181" t="n"/>
      <c r="M174" s="181" t="n"/>
      <c r="N174" s="1" t="n"/>
      <c r="O174" s="181" t="n"/>
      <c r="P174" s="181" t="n"/>
      <c r="Q174" s="18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row>
    <row r="175" ht="15.75" customHeight="1" s="216">
      <c r="A175" s="1" t="n"/>
      <c r="B175" s="1" t="n"/>
      <c r="C175" s="1" t="n"/>
      <c r="D175" s="1" t="n"/>
      <c r="E175" s="181" t="n"/>
      <c r="F175" s="181" t="n"/>
      <c r="G175" s="1" t="n"/>
      <c r="H175" s="1" t="n"/>
      <c r="I175" s="1" t="n"/>
      <c r="J175" s="1" t="n"/>
      <c r="K175" s="181" t="n"/>
      <c r="L175" s="181" t="n"/>
      <c r="M175" s="181" t="n"/>
      <c r="N175" s="1" t="n"/>
      <c r="O175" s="181" t="n"/>
      <c r="P175" s="181" t="n"/>
      <c r="Q175" s="18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row>
    <row r="176" ht="15.75" customHeight="1" s="216">
      <c r="A176" s="1" t="n"/>
      <c r="B176" s="1" t="n"/>
      <c r="C176" s="1" t="n"/>
      <c r="D176" s="1" t="n"/>
      <c r="E176" s="181" t="n"/>
      <c r="F176" s="181" t="n"/>
      <c r="G176" s="1" t="n"/>
      <c r="H176" s="1" t="n"/>
      <c r="I176" s="1" t="n"/>
      <c r="J176" s="1" t="n"/>
      <c r="K176" s="181" t="n"/>
      <c r="L176" s="181" t="n"/>
      <c r="M176" s="181" t="n"/>
      <c r="N176" s="1" t="n"/>
      <c r="O176" s="181" t="n"/>
      <c r="P176" s="181" t="n"/>
      <c r="Q176" s="18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row>
    <row r="177" ht="15.75" customHeight="1" s="216">
      <c r="A177" s="1" t="n"/>
      <c r="B177" s="1" t="n"/>
      <c r="C177" s="1" t="n"/>
      <c r="D177" s="1" t="n"/>
      <c r="E177" s="181" t="n"/>
      <c r="F177" s="181" t="n"/>
      <c r="G177" s="1" t="n"/>
      <c r="H177" s="1" t="n"/>
      <c r="I177" s="1" t="n"/>
      <c r="J177" s="1" t="n"/>
      <c r="K177" s="181" t="n"/>
      <c r="L177" s="181" t="n"/>
      <c r="M177" s="181" t="n"/>
      <c r="N177" s="1" t="n"/>
      <c r="O177" s="181" t="n"/>
      <c r="P177" s="181" t="n"/>
      <c r="Q177" s="18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row>
    <row r="178" ht="15.75" customHeight="1" s="216">
      <c r="A178" s="1" t="n"/>
      <c r="B178" s="1" t="n"/>
      <c r="C178" s="1" t="n"/>
      <c r="D178" s="1" t="n"/>
      <c r="E178" s="181" t="n"/>
      <c r="F178" s="181" t="n"/>
      <c r="G178" s="1" t="n"/>
      <c r="H178" s="1" t="n"/>
      <c r="I178" s="1" t="n"/>
      <c r="J178" s="1" t="n"/>
      <c r="K178" s="181" t="n"/>
      <c r="L178" s="181" t="n"/>
      <c r="M178" s="181" t="n"/>
      <c r="N178" s="1" t="n"/>
      <c r="O178" s="181" t="n"/>
      <c r="P178" s="181" t="n"/>
      <c r="Q178" s="18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row>
    <row r="179" ht="15.75" customHeight="1" s="216">
      <c r="A179" s="1" t="n"/>
      <c r="B179" s="1" t="n"/>
      <c r="C179" s="1" t="n"/>
      <c r="D179" s="1" t="n"/>
      <c r="E179" s="181" t="n"/>
      <c r="F179" s="181" t="n"/>
      <c r="G179" s="1" t="n"/>
      <c r="H179" s="1" t="n"/>
      <c r="I179" s="1" t="n"/>
      <c r="J179" s="1" t="n"/>
      <c r="K179" s="181" t="n"/>
      <c r="L179" s="181" t="n"/>
      <c r="M179" s="181" t="n"/>
      <c r="N179" s="1" t="n"/>
      <c r="O179" s="181" t="n"/>
      <c r="P179" s="181" t="n"/>
      <c r="Q179" s="18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row>
    <row r="180" ht="15.75" customHeight="1" s="216">
      <c r="A180" s="1" t="n"/>
      <c r="B180" s="1" t="n"/>
      <c r="C180" s="1" t="n"/>
      <c r="D180" s="1" t="n"/>
      <c r="E180" s="181" t="n"/>
      <c r="F180" s="181" t="n"/>
      <c r="G180" s="1" t="n"/>
      <c r="H180" s="1" t="n"/>
      <c r="I180" s="1" t="n"/>
      <c r="J180" s="1" t="n"/>
      <c r="K180" s="181" t="n"/>
      <c r="L180" s="181" t="n"/>
      <c r="M180" s="181" t="n"/>
      <c r="N180" s="1" t="n"/>
      <c r="O180" s="181" t="n"/>
      <c r="P180" s="181" t="n"/>
      <c r="Q180" s="18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row>
    <row r="181" ht="15.75" customHeight="1" s="216">
      <c r="A181" s="1" t="n"/>
      <c r="B181" s="1" t="n"/>
      <c r="C181" s="1" t="n"/>
      <c r="D181" s="1" t="n"/>
      <c r="E181" s="181" t="n"/>
      <c r="F181" s="181" t="n"/>
      <c r="G181" s="1" t="n"/>
      <c r="H181" s="1" t="n"/>
      <c r="I181" s="1" t="n"/>
      <c r="J181" s="1" t="n"/>
      <c r="K181" s="181" t="n"/>
      <c r="L181" s="181" t="n"/>
      <c r="M181" s="181" t="n"/>
      <c r="N181" s="1" t="n"/>
      <c r="O181" s="181" t="n"/>
      <c r="P181" s="181" t="n"/>
      <c r="Q181" s="18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row>
    <row r="182" ht="15.75" customHeight="1" s="216">
      <c r="A182" s="1" t="n"/>
      <c r="B182" s="1" t="n"/>
      <c r="C182" s="1" t="n"/>
      <c r="D182" s="1" t="n"/>
      <c r="E182" s="181" t="n"/>
      <c r="F182" s="181" t="n"/>
      <c r="G182" s="1" t="n"/>
      <c r="H182" s="1" t="n"/>
      <c r="I182" s="1" t="n"/>
      <c r="J182" s="1" t="n"/>
      <c r="K182" s="181" t="n"/>
      <c r="L182" s="181" t="n"/>
      <c r="M182" s="181" t="n"/>
      <c r="N182" s="1" t="n"/>
      <c r="O182" s="181" t="n"/>
      <c r="P182" s="181" t="n"/>
      <c r="Q182" s="18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row>
    <row r="183" ht="15.75" customHeight="1" s="216">
      <c r="A183" s="1" t="n"/>
      <c r="B183" s="1" t="n"/>
      <c r="C183" s="1" t="n"/>
      <c r="D183" s="1" t="n"/>
      <c r="E183" s="181" t="n"/>
      <c r="F183" s="181" t="n"/>
      <c r="G183" s="1" t="n"/>
      <c r="H183" s="1" t="n"/>
      <c r="I183" s="1" t="n"/>
      <c r="J183" s="1" t="n"/>
      <c r="K183" s="181" t="n"/>
      <c r="L183" s="181" t="n"/>
      <c r="M183" s="181" t="n"/>
      <c r="N183" s="1" t="n"/>
      <c r="O183" s="181" t="n"/>
      <c r="P183" s="181" t="n"/>
      <c r="Q183" s="18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row>
    <row r="184" ht="15.75" customHeight="1" s="216">
      <c r="A184" s="1" t="n"/>
      <c r="B184" s="1" t="n"/>
      <c r="C184" s="1" t="n"/>
      <c r="D184" s="1" t="n"/>
      <c r="E184" s="181" t="n"/>
      <c r="F184" s="181" t="n"/>
      <c r="G184" s="1" t="n"/>
      <c r="H184" s="1" t="n"/>
      <c r="I184" s="1" t="n"/>
      <c r="J184" s="1" t="n"/>
      <c r="K184" s="181" t="n"/>
      <c r="L184" s="181" t="n"/>
      <c r="M184" s="181" t="n"/>
      <c r="N184" s="1" t="n"/>
      <c r="O184" s="181" t="n"/>
      <c r="P184" s="181" t="n"/>
      <c r="Q184" s="18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row>
    <row r="185" ht="15.75" customHeight="1" s="216">
      <c r="A185" s="1" t="n"/>
      <c r="B185" s="1" t="n"/>
      <c r="C185" s="1" t="n"/>
      <c r="D185" s="1" t="n"/>
      <c r="E185" s="181" t="n"/>
      <c r="F185" s="181" t="n"/>
      <c r="G185" s="1" t="n"/>
      <c r="H185" s="1" t="n"/>
      <c r="I185" s="1" t="n"/>
      <c r="J185" s="1" t="n"/>
      <c r="K185" s="181" t="n"/>
      <c r="L185" s="181" t="n"/>
      <c r="M185" s="181" t="n"/>
      <c r="N185" s="1" t="n"/>
      <c r="O185" s="181" t="n"/>
      <c r="P185" s="181" t="n"/>
      <c r="Q185" s="18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row>
    <row r="186" ht="15.75" customHeight="1" s="216">
      <c r="A186" s="1" t="n"/>
      <c r="B186" s="1" t="n"/>
      <c r="C186" s="1" t="n"/>
      <c r="D186" s="1" t="n"/>
      <c r="E186" s="181" t="n"/>
      <c r="F186" s="181" t="n"/>
      <c r="G186" s="1" t="n"/>
      <c r="H186" s="1" t="n"/>
      <c r="I186" s="1" t="n"/>
      <c r="J186" s="1" t="n"/>
      <c r="K186" s="181" t="n"/>
      <c r="L186" s="181" t="n"/>
      <c r="M186" s="181" t="n"/>
      <c r="N186" s="1" t="n"/>
      <c r="O186" s="181" t="n"/>
      <c r="P186" s="181" t="n"/>
      <c r="Q186" s="18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row>
    <row r="187" ht="15.75" customHeight="1" s="216">
      <c r="A187" s="1" t="n"/>
      <c r="B187" s="1" t="n"/>
      <c r="C187" s="1" t="n"/>
      <c r="D187" s="1" t="n"/>
      <c r="E187" s="181" t="n"/>
      <c r="F187" s="181" t="n"/>
      <c r="G187" s="1" t="n"/>
      <c r="H187" s="1" t="n"/>
      <c r="I187" s="1" t="n"/>
      <c r="J187" s="1" t="n"/>
      <c r="K187" s="181" t="n"/>
      <c r="L187" s="181" t="n"/>
      <c r="M187" s="181" t="n"/>
      <c r="N187" s="1" t="n"/>
      <c r="O187" s="181" t="n"/>
      <c r="P187" s="181" t="n"/>
      <c r="Q187" s="18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row>
    <row r="188" ht="15.75" customHeight="1" s="216">
      <c r="A188" s="1" t="n"/>
      <c r="B188" s="1" t="n"/>
      <c r="C188" s="1" t="n"/>
      <c r="D188" s="1" t="n"/>
      <c r="E188" s="181" t="n"/>
      <c r="F188" s="181" t="n"/>
      <c r="G188" s="1" t="n"/>
      <c r="H188" s="1" t="n"/>
      <c r="I188" s="1" t="n"/>
      <c r="J188" s="1" t="n"/>
      <c r="K188" s="181" t="n"/>
      <c r="L188" s="181" t="n"/>
      <c r="M188" s="181" t="n"/>
      <c r="N188" s="1" t="n"/>
      <c r="O188" s="181" t="n"/>
      <c r="P188" s="181" t="n"/>
      <c r="Q188" s="18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row>
    <row r="189" ht="15.75" customHeight="1" s="216">
      <c r="A189" s="1" t="n"/>
      <c r="B189" s="1" t="n"/>
      <c r="C189" s="1" t="n"/>
      <c r="D189" s="1" t="n"/>
      <c r="E189" s="181" t="n"/>
      <c r="F189" s="181" t="n"/>
      <c r="G189" s="1" t="n"/>
      <c r="H189" s="1" t="n"/>
      <c r="I189" s="1" t="n"/>
      <c r="J189" s="1" t="n"/>
      <c r="K189" s="181" t="n"/>
      <c r="L189" s="181" t="n"/>
      <c r="M189" s="181" t="n"/>
      <c r="N189" s="1" t="n"/>
      <c r="O189" s="181" t="n"/>
      <c r="P189" s="181" t="n"/>
      <c r="Q189" s="18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row>
    <row r="190" ht="15.75" customHeight="1" s="216">
      <c r="A190" s="1" t="n"/>
      <c r="B190" s="1" t="n"/>
      <c r="C190" s="1" t="n"/>
      <c r="D190" s="1" t="n"/>
      <c r="E190" s="181" t="n"/>
      <c r="F190" s="181" t="n"/>
      <c r="G190" s="1" t="n"/>
      <c r="H190" s="1" t="n"/>
      <c r="I190" s="1" t="n"/>
      <c r="J190" s="1" t="n"/>
      <c r="K190" s="181" t="n"/>
      <c r="L190" s="181" t="n"/>
      <c r="M190" s="181" t="n"/>
      <c r="N190" s="1" t="n"/>
      <c r="O190" s="181" t="n"/>
      <c r="P190" s="181" t="n"/>
      <c r="Q190" s="18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row>
    <row r="191" ht="15.75" customHeight="1" s="216">
      <c r="A191" s="1" t="n"/>
      <c r="B191" s="1" t="n"/>
      <c r="C191" s="1" t="n"/>
      <c r="D191" s="1" t="n"/>
      <c r="E191" s="181" t="n"/>
      <c r="F191" s="181" t="n"/>
      <c r="G191" s="1" t="n"/>
      <c r="H191" s="1" t="n"/>
      <c r="I191" s="1" t="n"/>
      <c r="J191" s="1" t="n"/>
      <c r="K191" s="181" t="n"/>
      <c r="L191" s="181" t="n"/>
      <c r="M191" s="181" t="n"/>
      <c r="N191" s="1" t="n"/>
      <c r="O191" s="181" t="n"/>
      <c r="P191" s="181" t="n"/>
      <c r="Q191" s="18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row>
    <row r="192" ht="15.75" customHeight="1" s="216">
      <c r="A192" s="1" t="n"/>
      <c r="B192" s="1" t="n"/>
      <c r="C192" s="1" t="n"/>
      <c r="D192" s="1" t="n"/>
      <c r="E192" s="181" t="n"/>
      <c r="F192" s="181" t="n"/>
      <c r="G192" s="1" t="n"/>
      <c r="H192" s="1" t="n"/>
      <c r="I192" s="1" t="n"/>
      <c r="J192" s="1" t="n"/>
      <c r="K192" s="181" t="n"/>
      <c r="L192" s="181" t="n"/>
      <c r="M192" s="181" t="n"/>
      <c r="N192" s="1" t="n"/>
      <c r="O192" s="181" t="n"/>
      <c r="P192" s="181" t="n"/>
      <c r="Q192" s="18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row>
    <row r="193" ht="15.75" customHeight="1" s="216">
      <c r="A193" s="1" t="n"/>
      <c r="B193" s="1" t="n"/>
      <c r="C193" s="1" t="n"/>
      <c r="D193" s="1" t="n"/>
      <c r="E193" s="181" t="n"/>
      <c r="F193" s="181" t="n"/>
      <c r="G193" s="1" t="n"/>
      <c r="H193" s="1" t="n"/>
      <c r="I193" s="1" t="n"/>
      <c r="J193" s="1" t="n"/>
      <c r="K193" s="181" t="n"/>
      <c r="L193" s="181" t="n"/>
      <c r="M193" s="181" t="n"/>
      <c r="N193" s="1" t="n"/>
      <c r="O193" s="181" t="n"/>
      <c r="P193" s="181" t="n"/>
      <c r="Q193" s="18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row>
    <row r="194" ht="15.75" customHeight="1" s="216">
      <c r="A194" s="1" t="n"/>
      <c r="B194" s="1" t="n"/>
      <c r="C194" s="1" t="n"/>
      <c r="D194" s="1" t="n"/>
      <c r="E194" s="181" t="n"/>
      <c r="F194" s="181" t="n"/>
      <c r="G194" s="1" t="n"/>
      <c r="H194" s="1" t="n"/>
      <c r="I194" s="1" t="n"/>
      <c r="J194" s="1" t="n"/>
      <c r="K194" s="181" t="n"/>
      <c r="L194" s="181" t="n"/>
      <c r="M194" s="181" t="n"/>
      <c r="N194" s="1" t="n"/>
      <c r="O194" s="181" t="n"/>
      <c r="P194" s="181" t="n"/>
      <c r="Q194" s="18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row>
    <row r="195" ht="15.75" customHeight="1" s="216">
      <c r="A195" s="1" t="n"/>
      <c r="B195" s="1" t="n"/>
      <c r="C195" s="1" t="n"/>
      <c r="D195" s="1" t="n"/>
      <c r="E195" s="181" t="n"/>
      <c r="F195" s="181" t="n"/>
      <c r="G195" s="1" t="n"/>
      <c r="H195" s="1" t="n"/>
      <c r="I195" s="1" t="n"/>
      <c r="J195" s="1" t="n"/>
      <c r="K195" s="181" t="n"/>
      <c r="L195" s="181" t="n"/>
      <c r="M195" s="181" t="n"/>
      <c r="N195" s="1" t="n"/>
      <c r="O195" s="181" t="n"/>
      <c r="P195" s="181" t="n"/>
      <c r="Q195" s="18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row>
    <row r="196" ht="15.75" customHeight="1" s="216">
      <c r="A196" s="1" t="n"/>
      <c r="B196" s="1" t="n"/>
      <c r="C196" s="1" t="n"/>
      <c r="D196" s="1" t="n"/>
      <c r="E196" s="181" t="n"/>
      <c r="F196" s="181" t="n"/>
      <c r="G196" s="1" t="n"/>
      <c r="H196" s="1" t="n"/>
      <c r="I196" s="1" t="n"/>
      <c r="J196" s="1" t="n"/>
      <c r="K196" s="181" t="n"/>
      <c r="L196" s="181" t="n"/>
      <c r="M196" s="181" t="n"/>
      <c r="N196" s="1" t="n"/>
      <c r="O196" s="181" t="n"/>
      <c r="P196" s="181" t="n"/>
      <c r="Q196" s="18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row>
    <row r="197" ht="15.75" customHeight="1" s="216">
      <c r="A197" s="1" t="n"/>
      <c r="B197" s="1" t="n"/>
      <c r="C197" s="1" t="n"/>
      <c r="D197" s="1" t="n"/>
      <c r="E197" s="181" t="n"/>
      <c r="F197" s="181" t="n"/>
      <c r="G197" s="1" t="n"/>
      <c r="H197" s="1" t="n"/>
      <c r="I197" s="1" t="n"/>
      <c r="J197" s="1" t="n"/>
      <c r="K197" s="181" t="n"/>
      <c r="L197" s="181" t="n"/>
      <c r="M197" s="181" t="n"/>
      <c r="N197" s="1" t="n"/>
      <c r="O197" s="181" t="n"/>
      <c r="P197" s="181" t="n"/>
      <c r="Q197" s="18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row>
    <row r="198" ht="15.75" customHeight="1" s="216">
      <c r="A198" s="1" t="n"/>
      <c r="B198" s="1" t="n"/>
      <c r="C198" s="1" t="n"/>
      <c r="D198" s="1" t="n"/>
      <c r="E198" s="181" t="n"/>
      <c r="F198" s="181" t="n"/>
      <c r="G198" s="1" t="n"/>
      <c r="H198" s="1" t="n"/>
      <c r="I198" s="1" t="n"/>
      <c r="J198" s="1" t="n"/>
      <c r="K198" s="181" t="n"/>
      <c r="L198" s="181" t="n"/>
      <c r="M198" s="181" t="n"/>
      <c r="N198" s="1" t="n"/>
      <c r="O198" s="181" t="n"/>
      <c r="P198" s="181" t="n"/>
      <c r="Q198" s="18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row>
    <row r="199" ht="15.75" customHeight="1" s="216">
      <c r="A199" s="1" t="n"/>
      <c r="B199" s="1" t="n"/>
      <c r="C199" s="1" t="n"/>
      <c r="D199" s="1" t="n"/>
      <c r="E199" s="181" t="n"/>
      <c r="F199" s="181" t="n"/>
      <c r="G199" s="1" t="n"/>
      <c r="H199" s="1" t="n"/>
      <c r="I199" s="1" t="n"/>
      <c r="J199" s="1" t="n"/>
      <c r="K199" s="181" t="n"/>
      <c r="L199" s="181" t="n"/>
      <c r="M199" s="181" t="n"/>
      <c r="N199" s="1" t="n"/>
      <c r="O199" s="181" t="n"/>
      <c r="P199" s="181" t="n"/>
      <c r="Q199" s="18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row>
    <row r="200" ht="15.75" customHeight="1" s="216">
      <c r="A200" s="1" t="n"/>
      <c r="B200" s="1" t="n"/>
      <c r="C200" s="1" t="n"/>
      <c r="D200" s="1" t="n"/>
      <c r="E200" s="181" t="n"/>
      <c r="F200" s="181" t="n"/>
      <c r="G200" s="1" t="n"/>
      <c r="H200" s="1" t="n"/>
      <c r="I200" s="1" t="n"/>
      <c r="J200" s="1" t="n"/>
      <c r="K200" s="181" t="n"/>
      <c r="L200" s="181" t="n"/>
      <c r="M200" s="181" t="n"/>
      <c r="N200" s="1" t="n"/>
      <c r="O200" s="181" t="n"/>
      <c r="P200" s="181" t="n"/>
      <c r="Q200" s="18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row>
    <row r="201" ht="15.75" customHeight="1" s="216">
      <c r="A201" s="1" t="n"/>
      <c r="B201" s="1" t="n"/>
      <c r="C201" s="1" t="n"/>
      <c r="D201" s="1" t="n"/>
      <c r="E201" s="181" t="n"/>
      <c r="F201" s="181" t="n"/>
      <c r="G201" s="1" t="n"/>
      <c r="H201" s="1" t="n"/>
      <c r="I201" s="1" t="n"/>
      <c r="J201" s="1" t="n"/>
      <c r="K201" s="181" t="n"/>
      <c r="L201" s="181" t="n"/>
      <c r="M201" s="181" t="n"/>
      <c r="N201" s="1" t="n"/>
      <c r="O201" s="181" t="n"/>
      <c r="P201" s="181" t="n"/>
      <c r="Q201" s="18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row>
    <row r="202" ht="15.75" customHeight="1" s="216">
      <c r="A202" s="1" t="n"/>
      <c r="B202" s="1" t="n"/>
      <c r="C202" s="1" t="n"/>
      <c r="D202" s="1" t="n"/>
      <c r="E202" s="181" t="n"/>
      <c r="F202" s="181" t="n"/>
      <c r="G202" s="1" t="n"/>
      <c r="H202" s="1" t="n"/>
      <c r="I202" s="1" t="n"/>
      <c r="J202" s="1" t="n"/>
      <c r="K202" s="181" t="n"/>
      <c r="L202" s="181" t="n"/>
      <c r="M202" s="181" t="n"/>
      <c r="N202" s="1" t="n"/>
      <c r="O202" s="181" t="n"/>
      <c r="P202" s="181" t="n"/>
      <c r="Q202" s="18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row>
    <row r="203" ht="15.75" customHeight="1" s="216">
      <c r="A203" s="1" t="n"/>
      <c r="B203" s="1" t="n"/>
      <c r="C203" s="1" t="n"/>
      <c r="D203" s="1" t="n"/>
      <c r="E203" s="181" t="n"/>
      <c r="F203" s="181" t="n"/>
      <c r="G203" s="1" t="n"/>
      <c r="H203" s="1" t="n"/>
      <c r="I203" s="1" t="n"/>
      <c r="J203" s="1" t="n"/>
      <c r="K203" s="181" t="n"/>
      <c r="L203" s="181" t="n"/>
      <c r="M203" s="181" t="n"/>
      <c r="N203" s="1" t="n"/>
      <c r="O203" s="181" t="n"/>
      <c r="P203" s="181" t="n"/>
      <c r="Q203" s="18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row>
    <row r="204" ht="15.75" customHeight="1" s="216">
      <c r="A204" s="1" t="n"/>
      <c r="B204" s="1" t="n"/>
      <c r="C204" s="1" t="n"/>
      <c r="D204" s="1" t="n"/>
      <c r="E204" s="181" t="n"/>
      <c r="F204" s="181" t="n"/>
      <c r="G204" s="1" t="n"/>
      <c r="H204" s="1" t="n"/>
      <c r="I204" s="1" t="n"/>
      <c r="J204" s="1" t="n"/>
      <c r="K204" s="181" t="n"/>
      <c r="L204" s="181" t="n"/>
      <c r="M204" s="181" t="n"/>
      <c r="N204" s="1" t="n"/>
      <c r="O204" s="181" t="n"/>
      <c r="P204" s="181" t="n"/>
      <c r="Q204" s="18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row>
    <row r="205" ht="15.75" customHeight="1" s="216">
      <c r="A205" s="1" t="n"/>
      <c r="B205" s="1" t="n"/>
      <c r="C205" s="1" t="n"/>
      <c r="D205" s="1" t="n"/>
      <c r="E205" s="181" t="n"/>
      <c r="F205" s="181" t="n"/>
      <c r="G205" s="1" t="n"/>
      <c r="H205" s="1" t="n"/>
      <c r="I205" s="1" t="n"/>
      <c r="J205" s="1" t="n"/>
      <c r="K205" s="181" t="n"/>
      <c r="L205" s="181" t="n"/>
      <c r="M205" s="181" t="n"/>
      <c r="N205" s="1" t="n"/>
      <c r="O205" s="181" t="n"/>
      <c r="P205" s="181" t="n"/>
      <c r="Q205" s="18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row>
    <row r="206" ht="15.75" customHeight="1" s="216">
      <c r="A206" s="1" t="n"/>
      <c r="B206" s="1" t="n"/>
      <c r="C206" s="1" t="n"/>
      <c r="D206" s="1" t="n"/>
      <c r="E206" s="181" t="n"/>
      <c r="F206" s="181" t="n"/>
      <c r="G206" s="1" t="n"/>
      <c r="H206" s="1" t="n"/>
      <c r="I206" s="1" t="n"/>
      <c r="J206" s="1" t="n"/>
      <c r="K206" s="181" t="n"/>
      <c r="L206" s="181" t="n"/>
      <c r="M206" s="181" t="n"/>
      <c r="N206" s="1" t="n"/>
      <c r="O206" s="181" t="n"/>
      <c r="P206" s="181" t="n"/>
      <c r="Q206" s="18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row>
    <row r="207" ht="15.75" customHeight="1" s="216">
      <c r="A207" s="1" t="n"/>
      <c r="B207" s="1" t="n"/>
      <c r="C207" s="1" t="n"/>
      <c r="D207" s="1" t="n"/>
      <c r="E207" s="181" t="n"/>
      <c r="F207" s="181" t="n"/>
      <c r="G207" s="1" t="n"/>
      <c r="H207" s="1" t="n"/>
      <c r="I207" s="1" t="n"/>
      <c r="J207" s="1" t="n"/>
      <c r="K207" s="181" t="n"/>
      <c r="L207" s="181" t="n"/>
      <c r="M207" s="181" t="n"/>
      <c r="N207" s="1" t="n"/>
      <c r="O207" s="181" t="n"/>
      <c r="P207" s="181" t="n"/>
      <c r="Q207" s="18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row>
    <row r="208" ht="15.75" customHeight="1" s="216">
      <c r="A208" s="1" t="n"/>
      <c r="B208" s="1" t="n"/>
      <c r="C208" s="1" t="n"/>
      <c r="D208" s="1" t="n"/>
      <c r="E208" s="181" t="n"/>
      <c r="F208" s="181" t="n"/>
      <c r="G208" s="1" t="n"/>
      <c r="H208" s="1" t="n"/>
      <c r="I208" s="1" t="n"/>
      <c r="J208" s="1" t="n"/>
      <c r="K208" s="181" t="n"/>
      <c r="L208" s="181" t="n"/>
      <c r="M208" s="181" t="n"/>
      <c r="N208" s="1" t="n"/>
      <c r="O208" s="181" t="n"/>
      <c r="P208" s="181" t="n"/>
      <c r="Q208" s="18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row>
    <row r="209" ht="15.75" customHeight="1" s="216">
      <c r="A209" s="1" t="n"/>
      <c r="B209" s="1" t="n"/>
      <c r="C209" s="1" t="n"/>
      <c r="D209" s="1" t="n"/>
      <c r="E209" s="181" t="n"/>
      <c r="F209" s="181" t="n"/>
      <c r="G209" s="1" t="n"/>
      <c r="H209" s="1" t="n"/>
      <c r="I209" s="1" t="n"/>
      <c r="J209" s="1" t="n"/>
      <c r="K209" s="181" t="n"/>
      <c r="L209" s="181" t="n"/>
      <c r="M209" s="181" t="n"/>
      <c r="N209" s="1" t="n"/>
      <c r="O209" s="181" t="n"/>
      <c r="P209" s="181" t="n"/>
      <c r="Q209" s="18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row>
    <row r="210" ht="15.75" customHeight="1" s="216">
      <c r="A210" s="1" t="n"/>
      <c r="B210" s="1" t="n"/>
      <c r="C210" s="1" t="n"/>
      <c r="D210" s="1" t="n"/>
      <c r="E210" s="181" t="n"/>
      <c r="F210" s="181" t="n"/>
      <c r="G210" s="1" t="n"/>
      <c r="H210" s="1" t="n"/>
      <c r="I210" s="1" t="n"/>
      <c r="J210" s="1" t="n"/>
      <c r="K210" s="181" t="n"/>
      <c r="L210" s="181" t="n"/>
      <c r="M210" s="181" t="n"/>
      <c r="N210" s="1" t="n"/>
      <c r="O210" s="181" t="n"/>
      <c r="P210" s="181" t="n"/>
      <c r="Q210" s="18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row>
    <row r="211" ht="15.75" customHeight="1" s="216">
      <c r="A211" s="1" t="n"/>
      <c r="B211" s="1" t="n"/>
      <c r="C211" s="1" t="n"/>
      <c r="D211" s="1" t="n"/>
      <c r="E211" s="181" t="n"/>
      <c r="F211" s="181" t="n"/>
      <c r="G211" s="1" t="n"/>
      <c r="H211" s="1" t="n"/>
      <c r="I211" s="1" t="n"/>
      <c r="J211" s="1" t="n"/>
      <c r="K211" s="181" t="n"/>
      <c r="L211" s="181" t="n"/>
      <c r="M211" s="181" t="n"/>
      <c r="N211" s="1" t="n"/>
      <c r="O211" s="181" t="n"/>
      <c r="P211" s="181" t="n"/>
      <c r="Q211" s="18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row>
    <row r="212" ht="15.75" customHeight="1" s="216">
      <c r="A212" s="1" t="n"/>
      <c r="B212" s="1" t="n"/>
      <c r="C212" s="1" t="n"/>
      <c r="D212" s="1" t="n"/>
      <c r="E212" s="181" t="n"/>
      <c r="F212" s="181" t="n"/>
      <c r="G212" s="1" t="n"/>
      <c r="H212" s="1" t="n"/>
      <c r="I212" s="1" t="n"/>
      <c r="J212" s="1" t="n"/>
      <c r="K212" s="181" t="n"/>
      <c r="L212" s="181" t="n"/>
      <c r="M212" s="181" t="n"/>
      <c r="N212" s="1" t="n"/>
      <c r="O212" s="181" t="n"/>
      <c r="P212" s="181" t="n"/>
      <c r="Q212" s="18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row>
    <row r="213" ht="15.75" customHeight="1" s="216">
      <c r="A213" s="1" t="n"/>
      <c r="B213" s="1" t="n"/>
      <c r="C213" s="1" t="n"/>
      <c r="D213" s="1" t="n"/>
      <c r="E213" s="181" t="n"/>
      <c r="F213" s="181" t="n"/>
      <c r="G213" s="1" t="n"/>
      <c r="H213" s="1" t="n"/>
      <c r="I213" s="1" t="n"/>
      <c r="J213" s="1" t="n"/>
      <c r="K213" s="181" t="n"/>
      <c r="L213" s="181" t="n"/>
      <c r="M213" s="181" t="n"/>
      <c r="N213" s="1" t="n"/>
      <c r="O213" s="181" t="n"/>
      <c r="P213" s="181" t="n"/>
      <c r="Q213" s="18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row>
    <row r="214" ht="15.75" customHeight="1" s="216">
      <c r="A214" s="1" t="n"/>
      <c r="B214" s="1" t="n"/>
      <c r="C214" s="1" t="n"/>
      <c r="D214" s="1" t="n"/>
      <c r="E214" s="181" t="n"/>
      <c r="F214" s="181" t="n"/>
      <c r="G214" s="1" t="n"/>
      <c r="H214" s="1" t="n"/>
      <c r="I214" s="1" t="n"/>
      <c r="J214" s="1" t="n"/>
      <c r="K214" s="181" t="n"/>
      <c r="L214" s="181" t="n"/>
      <c r="M214" s="181" t="n"/>
      <c r="N214" s="1" t="n"/>
      <c r="O214" s="181" t="n"/>
      <c r="P214" s="181" t="n"/>
      <c r="Q214" s="18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row>
    <row r="215" ht="15.75" customHeight="1" s="216">
      <c r="A215" s="1" t="n"/>
      <c r="B215" s="1" t="n"/>
      <c r="C215" s="1" t="n"/>
      <c r="D215" s="1" t="n"/>
      <c r="E215" s="181" t="n"/>
      <c r="F215" s="181" t="n"/>
      <c r="G215" s="1" t="n"/>
      <c r="H215" s="1" t="n"/>
      <c r="I215" s="1" t="n"/>
      <c r="J215" s="1" t="n"/>
      <c r="K215" s="181" t="n"/>
      <c r="L215" s="181" t="n"/>
      <c r="M215" s="181" t="n"/>
      <c r="N215" s="1" t="n"/>
      <c r="O215" s="181" t="n"/>
      <c r="P215" s="181" t="n"/>
      <c r="Q215" s="18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row>
    <row r="216" ht="15.75" customHeight="1" s="216">
      <c r="A216" s="1" t="n"/>
      <c r="B216" s="1" t="n"/>
      <c r="C216" s="1" t="n"/>
      <c r="D216" s="1" t="n"/>
      <c r="E216" s="181" t="n"/>
      <c r="F216" s="181" t="n"/>
      <c r="G216" s="1" t="n"/>
      <c r="H216" s="1" t="n"/>
      <c r="I216" s="1" t="n"/>
      <c r="J216" s="1" t="n"/>
      <c r="K216" s="181" t="n"/>
      <c r="L216" s="181" t="n"/>
      <c r="M216" s="181" t="n"/>
      <c r="N216" s="1" t="n"/>
      <c r="O216" s="181" t="n"/>
      <c r="P216" s="181" t="n"/>
      <c r="Q216" s="18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row>
    <row r="217" ht="15.75" customHeight="1" s="216">
      <c r="A217" s="1" t="n"/>
      <c r="B217" s="1" t="n"/>
      <c r="C217" s="1" t="n"/>
      <c r="D217" s="1" t="n"/>
      <c r="E217" s="181" t="n"/>
      <c r="F217" s="181" t="n"/>
      <c r="G217" s="1" t="n"/>
      <c r="H217" s="1" t="n"/>
      <c r="I217" s="1" t="n"/>
      <c r="J217" s="1" t="n"/>
      <c r="K217" s="181" t="n"/>
      <c r="L217" s="181" t="n"/>
      <c r="M217" s="181" t="n"/>
      <c r="N217" s="1" t="n"/>
      <c r="O217" s="181" t="n"/>
      <c r="P217" s="181" t="n"/>
      <c r="Q217" s="18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row>
    <row r="218" ht="15.75" customHeight="1" s="216">
      <c r="A218" s="1" t="n"/>
      <c r="B218" s="1" t="n"/>
      <c r="C218" s="1" t="n"/>
      <c r="D218" s="1" t="n"/>
      <c r="E218" s="181" t="n"/>
      <c r="F218" s="181" t="n"/>
      <c r="G218" s="1" t="n"/>
      <c r="H218" s="1" t="n"/>
      <c r="I218" s="1" t="n"/>
      <c r="J218" s="1" t="n"/>
      <c r="K218" s="181" t="n"/>
      <c r="L218" s="181" t="n"/>
      <c r="M218" s="181" t="n"/>
      <c r="N218" s="1" t="n"/>
      <c r="O218" s="181" t="n"/>
      <c r="P218" s="181" t="n"/>
      <c r="Q218" s="18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row>
    <row r="219" ht="15.75" customHeight="1" s="216">
      <c r="A219" s="1" t="n"/>
      <c r="B219" s="1" t="n"/>
      <c r="C219" s="1" t="n"/>
      <c r="D219" s="1" t="n"/>
      <c r="E219" s="181" t="n"/>
      <c r="F219" s="181" t="n"/>
      <c r="G219" s="1" t="n"/>
      <c r="H219" s="1" t="n"/>
      <c r="I219" s="1" t="n"/>
      <c r="J219" s="1" t="n"/>
      <c r="K219" s="181" t="n"/>
      <c r="L219" s="181" t="n"/>
      <c r="M219" s="181" t="n"/>
      <c r="N219" s="1" t="n"/>
      <c r="O219" s="181" t="n"/>
      <c r="P219" s="181" t="n"/>
      <c r="Q219" s="18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row>
    <row r="220" ht="15.75" customHeight="1" s="216">
      <c r="A220" s="1" t="n"/>
      <c r="B220" s="1" t="n"/>
      <c r="C220" s="1" t="n"/>
      <c r="D220" s="1" t="n"/>
      <c r="E220" s="181" t="n"/>
      <c r="F220" s="181" t="n"/>
      <c r="G220" s="1" t="n"/>
      <c r="H220" s="1" t="n"/>
      <c r="I220" s="1" t="n"/>
      <c r="J220" s="1" t="n"/>
      <c r="K220" s="181" t="n"/>
      <c r="L220" s="181" t="n"/>
      <c r="M220" s="181" t="n"/>
      <c r="N220" s="1" t="n"/>
      <c r="O220" s="181" t="n"/>
      <c r="P220" s="181" t="n"/>
      <c r="Q220" s="18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row>
    <row r="221" ht="15.75" customHeight="1" s="216">
      <c r="D221" s="109" t="n"/>
      <c r="E221" s="109" t="n"/>
      <c r="J221" s="109" t="n"/>
      <c r="K221" s="109" t="n"/>
      <c r="L221" s="109" t="n"/>
      <c r="N221" s="109" t="n"/>
      <c r="O221" s="109" t="n"/>
      <c r="P221" s="109" t="n"/>
      <c r="T221" s="109" t="n"/>
      <c r="U221" s="109" t="n"/>
      <c r="V221" s="109" t="n"/>
      <c r="Z221" s="109" t="n"/>
      <c r="AA221" s="109" t="n"/>
      <c r="AB221" s="109" t="n"/>
      <c r="AF221" s="109" t="n"/>
      <c r="AG221" s="109" t="n"/>
      <c r="AH221" s="109" t="n"/>
      <c r="AL221" s="109" t="n"/>
      <c r="AM221" s="109" t="n"/>
      <c r="AN221" s="109" t="n"/>
    </row>
    <row r="222" ht="15.75" customHeight="1" s="216">
      <c r="D222" s="109" t="n"/>
      <c r="E222" s="109" t="n"/>
      <c r="J222" s="109" t="n"/>
      <c r="K222" s="109" t="n"/>
      <c r="L222" s="109" t="n"/>
      <c r="N222" s="109" t="n"/>
      <c r="O222" s="109" t="n"/>
      <c r="P222" s="109" t="n"/>
      <c r="T222" s="109" t="n"/>
      <c r="U222" s="109" t="n"/>
      <c r="V222" s="109" t="n"/>
      <c r="Z222" s="109" t="n"/>
      <c r="AA222" s="109" t="n"/>
      <c r="AB222" s="109" t="n"/>
      <c r="AF222" s="109" t="n"/>
      <c r="AG222" s="109" t="n"/>
      <c r="AH222" s="109" t="n"/>
      <c r="AL222" s="109" t="n"/>
      <c r="AM222" s="109" t="n"/>
      <c r="AN222" s="109" t="n"/>
    </row>
    <row r="223" ht="15.75" customHeight="1" s="216">
      <c r="D223" s="109" t="n"/>
      <c r="E223" s="109" t="n"/>
      <c r="J223" s="109" t="n"/>
      <c r="K223" s="109" t="n"/>
      <c r="L223" s="109" t="n"/>
      <c r="N223" s="109" t="n"/>
      <c r="O223" s="109" t="n"/>
      <c r="P223" s="109" t="n"/>
      <c r="T223" s="109" t="n"/>
      <c r="U223" s="109" t="n"/>
      <c r="V223" s="109" t="n"/>
      <c r="Z223" s="109" t="n"/>
      <c r="AA223" s="109" t="n"/>
      <c r="AB223" s="109" t="n"/>
      <c r="AF223" s="109" t="n"/>
      <c r="AG223" s="109" t="n"/>
      <c r="AH223" s="109" t="n"/>
      <c r="AL223" s="109" t="n"/>
      <c r="AM223" s="109" t="n"/>
      <c r="AN223" s="109" t="n"/>
    </row>
    <row r="224" ht="15.75" customHeight="1" s="216">
      <c r="D224" s="109" t="n"/>
      <c r="E224" s="109" t="n"/>
      <c r="J224" s="109" t="n"/>
      <c r="K224" s="109" t="n"/>
      <c r="L224" s="109" t="n"/>
      <c r="N224" s="109" t="n"/>
      <c r="O224" s="109" t="n"/>
      <c r="P224" s="109" t="n"/>
      <c r="T224" s="109" t="n"/>
      <c r="U224" s="109" t="n"/>
      <c r="V224" s="109" t="n"/>
      <c r="Z224" s="109" t="n"/>
      <c r="AA224" s="109" t="n"/>
      <c r="AB224" s="109" t="n"/>
      <c r="AF224" s="109" t="n"/>
      <c r="AG224" s="109" t="n"/>
      <c r="AH224" s="109" t="n"/>
      <c r="AL224" s="109" t="n"/>
      <c r="AM224" s="109" t="n"/>
      <c r="AN224" s="109" t="n"/>
    </row>
    <row r="225" ht="15.75" customHeight="1" s="216">
      <c r="D225" s="109" t="n"/>
      <c r="E225" s="109" t="n"/>
      <c r="J225" s="109" t="n"/>
      <c r="K225" s="109" t="n"/>
      <c r="L225" s="109" t="n"/>
      <c r="N225" s="109" t="n"/>
      <c r="O225" s="109" t="n"/>
      <c r="P225" s="109" t="n"/>
      <c r="T225" s="109" t="n"/>
      <c r="U225" s="109" t="n"/>
      <c r="V225" s="109" t="n"/>
      <c r="Z225" s="109" t="n"/>
      <c r="AA225" s="109" t="n"/>
      <c r="AB225" s="109" t="n"/>
      <c r="AF225" s="109" t="n"/>
      <c r="AG225" s="109" t="n"/>
      <c r="AH225" s="109" t="n"/>
      <c r="AL225" s="109" t="n"/>
      <c r="AM225" s="109" t="n"/>
      <c r="AN225" s="109" t="n"/>
    </row>
    <row r="226" ht="15.75" customHeight="1" s="216">
      <c r="D226" s="109" t="n"/>
      <c r="E226" s="109" t="n"/>
      <c r="J226" s="109" t="n"/>
      <c r="K226" s="109" t="n"/>
      <c r="L226" s="109" t="n"/>
      <c r="N226" s="109" t="n"/>
      <c r="O226" s="109" t="n"/>
      <c r="P226" s="109" t="n"/>
      <c r="T226" s="109" t="n"/>
      <c r="U226" s="109" t="n"/>
      <c r="V226" s="109" t="n"/>
      <c r="Z226" s="109" t="n"/>
      <c r="AA226" s="109" t="n"/>
      <c r="AB226" s="109" t="n"/>
      <c r="AF226" s="109" t="n"/>
      <c r="AG226" s="109" t="n"/>
      <c r="AH226" s="109" t="n"/>
      <c r="AL226" s="109" t="n"/>
      <c r="AM226" s="109" t="n"/>
      <c r="AN226" s="109" t="n"/>
    </row>
    <row r="227" ht="15.75" customHeight="1" s="216">
      <c r="D227" s="109" t="n"/>
      <c r="E227" s="109" t="n"/>
      <c r="J227" s="109" t="n"/>
      <c r="K227" s="109" t="n"/>
      <c r="L227" s="109" t="n"/>
      <c r="N227" s="109" t="n"/>
      <c r="O227" s="109" t="n"/>
      <c r="P227" s="109" t="n"/>
      <c r="T227" s="109" t="n"/>
      <c r="U227" s="109" t="n"/>
      <c r="V227" s="109" t="n"/>
      <c r="Z227" s="109" t="n"/>
      <c r="AA227" s="109" t="n"/>
      <c r="AB227" s="109" t="n"/>
      <c r="AF227" s="109" t="n"/>
      <c r="AG227" s="109" t="n"/>
      <c r="AH227" s="109" t="n"/>
      <c r="AL227" s="109" t="n"/>
      <c r="AM227" s="109" t="n"/>
      <c r="AN227" s="109" t="n"/>
    </row>
    <row r="228" ht="15.75" customHeight="1" s="216">
      <c r="D228" s="109" t="n"/>
      <c r="E228" s="109" t="n"/>
      <c r="J228" s="109" t="n"/>
      <c r="K228" s="109" t="n"/>
      <c r="L228" s="109" t="n"/>
      <c r="N228" s="109" t="n"/>
      <c r="O228" s="109" t="n"/>
      <c r="P228" s="109" t="n"/>
      <c r="T228" s="109" t="n"/>
      <c r="U228" s="109" t="n"/>
      <c r="V228" s="109" t="n"/>
      <c r="Z228" s="109" t="n"/>
      <c r="AA228" s="109" t="n"/>
      <c r="AB228" s="109" t="n"/>
      <c r="AF228" s="109" t="n"/>
      <c r="AG228" s="109" t="n"/>
      <c r="AH228" s="109" t="n"/>
      <c r="AL228" s="109" t="n"/>
      <c r="AM228" s="109" t="n"/>
      <c r="AN228" s="109" t="n"/>
    </row>
    <row r="229" ht="15.75" customHeight="1" s="216">
      <c r="D229" s="109" t="n"/>
      <c r="E229" s="109" t="n"/>
      <c r="J229" s="109" t="n"/>
      <c r="K229" s="109" t="n"/>
      <c r="L229" s="109" t="n"/>
      <c r="N229" s="109" t="n"/>
      <c r="O229" s="109" t="n"/>
      <c r="P229" s="109" t="n"/>
      <c r="T229" s="109" t="n"/>
      <c r="U229" s="109" t="n"/>
      <c r="V229" s="109" t="n"/>
      <c r="Z229" s="109" t="n"/>
      <c r="AA229" s="109" t="n"/>
      <c r="AB229" s="109" t="n"/>
      <c r="AF229" s="109" t="n"/>
      <c r="AG229" s="109" t="n"/>
      <c r="AH229" s="109" t="n"/>
      <c r="AL229" s="109" t="n"/>
      <c r="AM229" s="109" t="n"/>
      <c r="AN229" s="109" t="n"/>
    </row>
    <row r="230" ht="15.75" customHeight="1" s="216">
      <c r="D230" s="109" t="n"/>
      <c r="E230" s="109" t="n"/>
      <c r="J230" s="109" t="n"/>
      <c r="K230" s="109" t="n"/>
      <c r="L230" s="109" t="n"/>
      <c r="N230" s="109" t="n"/>
      <c r="O230" s="109" t="n"/>
      <c r="P230" s="109" t="n"/>
      <c r="T230" s="109" t="n"/>
      <c r="U230" s="109" t="n"/>
      <c r="V230" s="109" t="n"/>
      <c r="Z230" s="109" t="n"/>
      <c r="AA230" s="109" t="n"/>
      <c r="AB230" s="109" t="n"/>
      <c r="AF230" s="109" t="n"/>
      <c r="AG230" s="109" t="n"/>
      <c r="AH230" s="109" t="n"/>
      <c r="AL230" s="109" t="n"/>
      <c r="AM230" s="109" t="n"/>
      <c r="AN230" s="109" t="n"/>
    </row>
    <row r="231" ht="15.75" customHeight="1" s="216">
      <c r="D231" s="109" t="n"/>
      <c r="E231" s="109" t="n"/>
      <c r="J231" s="109" t="n"/>
      <c r="K231" s="109" t="n"/>
      <c r="L231" s="109" t="n"/>
      <c r="N231" s="109" t="n"/>
      <c r="O231" s="109" t="n"/>
      <c r="P231" s="109" t="n"/>
      <c r="T231" s="109" t="n"/>
      <c r="U231" s="109" t="n"/>
      <c r="V231" s="109" t="n"/>
      <c r="Z231" s="109" t="n"/>
      <c r="AA231" s="109" t="n"/>
      <c r="AB231" s="109" t="n"/>
      <c r="AF231" s="109" t="n"/>
      <c r="AG231" s="109" t="n"/>
      <c r="AH231" s="109" t="n"/>
      <c r="AL231" s="109" t="n"/>
      <c r="AM231" s="109" t="n"/>
      <c r="AN231" s="109" t="n"/>
    </row>
    <row r="232" ht="15.75" customHeight="1" s="216">
      <c r="D232" s="109" t="n"/>
      <c r="E232" s="109" t="n"/>
      <c r="J232" s="109" t="n"/>
      <c r="K232" s="109" t="n"/>
      <c r="L232" s="109" t="n"/>
      <c r="N232" s="109" t="n"/>
      <c r="O232" s="109" t="n"/>
      <c r="P232" s="109" t="n"/>
      <c r="T232" s="109" t="n"/>
      <c r="U232" s="109" t="n"/>
      <c r="V232" s="109" t="n"/>
      <c r="Z232" s="109" t="n"/>
      <c r="AA232" s="109" t="n"/>
      <c r="AB232" s="109" t="n"/>
      <c r="AF232" s="109" t="n"/>
      <c r="AG232" s="109" t="n"/>
      <c r="AH232" s="109" t="n"/>
      <c r="AL232" s="109" t="n"/>
      <c r="AM232" s="109" t="n"/>
      <c r="AN232" s="109" t="n"/>
    </row>
    <row r="233" ht="15.75" customHeight="1" s="216">
      <c r="D233" s="109" t="n"/>
      <c r="E233" s="109" t="n"/>
      <c r="J233" s="109" t="n"/>
      <c r="K233" s="109" t="n"/>
      <c r="L233" s="109" t="n"/>
      <c r="N233" s="109" t="n"/>
      <c r="O233" s="109" t="n"/>
      <c r="P233" s="109" t="n"/>
      <c r="T233" s="109" t="n"/>
      <c r="U233" s="109" t="n"/>
      <c r="V233" s="109" t="n"/>
      <c r="Z233" s="109" t="n"/>
      <c r="AA233" s="109" t="n"/>
      <c r="AB233" s="109" t="n"/>
      <c r="AF233" s="109" t="n"/>
      <c r="AG233" s="109" t="n"/>
      <c r="AH233" s="109" t="n"/>
      <c r="AL233" s="109" t="n"/>
      <c r="AM233" s="109" t="n"/>
      <c r="AN233" s="109" t="n"/>
    </row>
    <row r="234" ht="15.75" customHeight="1" s="216">
      <c r="D234" s="109" t="n"/>
      <c r="E234" s="109" t="n"/>
      <c r="J234" s="109" t="n"/>
      <c r="K234" s="109" t="n"/>
      <c r="L234" s="109" t="n"/>
      <c r="N234" s="109" t="n"/>
      <c r="O234" s="109" t="n"/>
      <c r="P234" s="109" t="n"/>
      <c r="T234" s="109" t="n"/>
      <c r="U234" s="109" t="n"/>
      <c r="V234" s="109" t="n"/>
      <c r="Z234" s="109" t="n"/>
      <c r="AA234" s="109" t="n"/>
      <c r="AB234" s="109" t="n"/>
      <c r="AF234" s="109" t="n"/>
      <c r="AG234" s="109" t="n"/>
      <c r="AH234" s="109" t="n"/>
      <c r="AL234" s="109" t="n"/>
      <c r="AM234" s="109" t="n"/>
      <c r="AN234" s="109" t="n"/>
    </row>
    <row r="235" ht="15.75" customHeight="1" s="216">
      <c r="D235" s="109" t="n"/>
      <c r="E235" s="109" t="n"/>
      <c r="J235" s="109" t="n"/>
      <c r="K235" s="109" t="n"/>
      <c r="L235" s="109" t="n"/>
      <c r="N235" s="109" t="n"/>
      <c r="O235" s="109" t="n"/>
      <c r="P235" s="109" t="n"/>
      <c r="T235" s="109" t="n"/>
      <c r="U235" s="109" t="n"/>
      <c r="V235" s="109" t="n"/>
      <c r="Z235" s="109" t="n"/>
      <c r="AA235" s="109" t="n"/>
      <c r="AB235" s="109" t="n"/>
      <c r="AF235" s="109" t="n"/>
      <c r="AG235" s="109" t="n"/>
      <c r="AH235" s="109" t="n"/>
      <c r="AL235" s="109" t="n"/>
      <c r="AM235" s="109" t="n"/>
      <c r="AN235" s="109" t="n"/>
    </row>
    <row r="236" ht="15.75" customHeight="1" s="216">
      <c r="D236" s="109" t="n"/>
      <c r="E236" s="109" t="n"/>
      <c r="J236" s="109" t="n"/>
      <c r="K236" s="109" t="n"/>
      <c r="L236" s="109" t="n"/>
      <c r="N236" s="109" t="n"/>
      <c r="O236" s="109" t="n"/>
      <c r="P236" s="109" t="n"/>
      <c r="T236" s="109" t="n"/>
      <c r="U236" s="109" t="n"/>
      <c r="V236" s="109" t="n"/>
      <c r="Z236" s="109" t="n"/>
      <c r="AA236" s="109" t="n"/>
      <c r="AB236" s="109" t="n"/>
      <c r="AF236" s="109" t="n"/>
      <c r="AG236" s="109" t="n"/>
      <c r="AH236" s="109" t="n"/>
      <c r="AL236" s="109" t="n"/>
      <c r="AM236" s="109" t="n"/>
      <c r="AN236" s="109" t="n"/>
    </row>
    <row r="237" ht="15.75" customHeight="1" s="216">
      <c r="D237" s="109" t="n"/>
      <c r="E237" s="109" t="n"/>
      <c r="J237" s="109" t="n"/>
      <c r="K237" s="109" t="n"/>
      <c r="L237" s="109" t="n"/>
      <c r="N237" s="109" t="n"/>
      <c r="O237" s="109" t="n"/>
      <c r="P237" s="109" t="n"/>
      <c r="T237" s="109" t="n"/>
      <c r="U237" s="109" t="n"/>
      <c r="V237" s="109" t="n"/>
      <c r="Z237" s="109" t="n"/>
      <c r="AA237" s="109" t="n"/>
      <c r="AB237" s="109" t="n"/>
      <c r="AF237" s="109" t="n"/>
      <c r="AG237" s="109" t="n"/>
      <c r="AH237" s="109" t="n"/>
      <c r="AL237" s="109" t="n"/>
      <c r="AM237" s="109" t="n"/>
      <c r="AN237" s="109" t="n"/>
    </row>
    <row r="238" ht="15.75" customHeight="1" s="216">
      <c r="D238" s="109" t="n"/>
      <c r="E238" s="109" t="n"/>
      <c r="J238" s="109" t="n"/>
      <c r="K238" s="109" t="n"/>
      <c r="L238" s="109" t="n"/>
      <c r="N238" s="109" t="n"/>
      <c r="O238" s="109" t="n"/>
      <c r="P238" s="109" t="n"/>
      <c r="T238" s="109" t="n"/>
      <c r="U238" s="109" t="n"/>
      <c r="V238" s="109" t="n"/>
      <c r="Z238" s="109" t="n"/>
      <c r="AA238" s="109" t="n"/>
      <c r="AB238" s="109" t="n"/>
      <c r="AF238" s="109" t="n"/>
      <c r="AG238" s="109" t="n"/>
      <c r="AH238" s="109" t="n"/>
      <c r="AL238" s="109" t="n"/>
      <c r="AM238" s="109" t="n"/>
      <c r="AN238" s="109" t="n"/>
    </row>
    <row r="239" ht="15.75" customHeight="1" s="216">
      <c r="D239" s="109" t="n"/>
      <c r="E239" s="109" t="n"/>
      <c r="J239" s="109" t="n"/>
      <c r="K239" s="109" t="n"/>
      <c r="L239" s="109" t="n"/>
      <c r="N239" s="109" t="n"/>
      <c r="O239" s="109" t="n"/>
      <c r="P239" s="109" t="n"/>
      <c r="T239" s="109" t="n"/>
      <c r="U239" s="109" t="n"/>
      <c r="V239" s="109" t="n"/>
      <c r="Z239" s="109" t="n"/>
      <c r="AA239" s="109" t="n"/>
      <c r="AB239" s="109" t="n"/>
      <c r="AF239" s="109" t="n"/>
      <c r="AG239" s="109" t="n"/>
      <c r="AH239" s="109" t="n"/>
      <c r="AL239" s="109" t="n"/>
      <c r="AM239" s="109" t="n"/>
      <c r="AN239" s="109" t="n"/>
    </row>
    <row r="240" ht="15.75" customHeight="1" s="216">
      <c r="D240" s="109" t="n"/>
      <c r="E240" s="109" t="n"/>
      <c r="J240" s="109" t="n"/>
      <c r="K240" s="109" t="n"/>
      <c r="L240" s="109" t="n"/>
      <c r="N240" s="109" t="n"/>
      <c r="O240" s="109" t="n"/>
      <c r="P240" s="109" t="n"/>
      <c r="T240" s="109" t="n"/>
      <c r="U240" s="109" t="n"/>
      <c r="V240" s="109" t="n"/>
      <c r="Z240" s="109" t="n"/>
      <c r="AA240" s="109" t="n"/>
      <c r="AB240" s="109" t="n"/>
      <c r="AF240" s="109" t="n"/>
      <c r="AG240" s="109" t="n"/>
      <c r="AH240" s="109" t="n"/>
      <c r="AL240" s="109" t="n"/>
      <c r="AM240" s="109" t="n"/>
      <c r="AN240" s="109" t="n"/>
    </row>
    <row r="241" ht="15.75" customHeight="1" s="216">
      <c r="D241" s="109" t="n"/>
      <c r="E241" s="109" t="n"/>
      <c r="J241" s="109" t="n"/>
      <c r="K241" s="109" t="n"/>
      <c r="L241" s="109" t="n"/>
      <c r="N241" s="109" t="n"/>
      <c r="O241" s="109" t="n"/>
      <c r="P241" s="109" t="n"/>
      <c r="T241" s="109" t="n"/>
      <c r="U241" s="109" t="n"/>
      <c r="V241" s="109" t="n"/>
      <c r="Z241" s="109" t="n"/>
      <c r="AA241" s="109" t="n"/>
      <c r="AB241" s="109" t="n"/>
      <c r="AF241" s="109" t="n"/>
      <c r="AG241" s="109" t="n"/>
      <c r="AH241" s="109" t="n"/>
      <c r="AL241" s="109" t="n"/>
      <c r="AM241" s="109" t="n"/>
      <c r="AN241" s="109" t="n"/>
    </row>
    <row r="242" ht="15.75" customHeight="1" s="216">
      <c r="D242" s="109" t="n"/>
      <c r="E242" s="109" t="n"/>
      <c r="J242" s="109" t="n"/>
      <c r="K242" s="109" t="n"/>
      <c r="L242" s="109" t="n"/>
      <c r="N242" s="109" t="n"/>
      <c r="O242" s="109" t="n"/>
      <c r="P242" s="109" t="n"/>
      <c r="T242" s="109" t="n"/>
      <c r="U242" s="109" t="n"/>
      <c r="V242" s="109" t="n"/>
      <c r="Z242" s="109" t="n"/>
      <c r="AA242" s="109" t="n"/>
      <c r="AB242" s="109" t="n"/>
      <c r="AF242" s="109" t="n"/>
      <c r="AG242" s="109" t="n"/>
      <c r="AH242" s="109" t="n"/>
      <c r="AL242" s="109" t="n"/>
      <c r="AM242" s="109" t="n"/>
      <c r="AN242" s="109" t="n"/>
    </row>
    <row r="243" ht="15.75" customHeight="1" s="216">
      <c r="D243" s="109" t="n"/>
      <c r="E243" s="109" t="n"/>
      <c r="J243" s="109" t="n"/>
      <c r="K243" s="109" t="n"/>
      <c r="L243" s="109" t="n"/>
      <c r="N243" s="109" t="n"/>
      <c r="O243" s="109" t="n"/>
      <c r="P243" s="109" t="n"/>
      <c r="T243" s="109" t="n"/>
      <c r="U243" s="109" t="n"/>
      <c r="V243" s="109" t="n"/>
      <c r="Z243" s="109" t="n"/>
      <c r="AA243" s="109" t="n"/>
      <c r="AB243" s="109" t="n"/>
      <c r="AF243" s="109" t="n"/>
      <c r="AG243" s="109" t="n"/>
      <c r="AH243" s="109" t="n"/>
      <c r="AL243" s="109" t="n"/>
      <c r="AM243" s="109" t="n"/>
      <c r="AN243" s="109" t="n"/>
    </row>
    <row r="244" ht="15.75" customHeight="1" s="216">
      <c r="D244" s="109" t="n"/>
      <c r="E244" s="109" t="n"/>
      <c r="J244" s="109" t="n"/>
      <c r="K244" s="109" t="n"/>
      <c r="L244" s="109" t="n"/>
      <c r="N244" s="109" t="n"/>
      <c r="O244" s="109" t="n"/>
      <c r="P244" s="109" t="n"/>
      <c r="T244" s="109" t="n"/>
      <c r="U244" s="109" t="n"/>
      <c r="V244" s="109" t="n"/>
      <c r="Z244" s="109" t="n"/>
      <c r="AA244" s="109" t="n"/>
      <c r="AB244" s="109" t="n"/>
      <c r="AF244" s="109" t="n"/>
      <c r="AG244" s="109" t="n"/>
      <c r="AH244" s="109" t="n"/>
      <c r="AL244" s="109" t="n"/>
      <c r="AM244" s="109" t="n"/>
      <c r="AN244" s="109" t="n"/>
    </row>
    <row r="245" ht="15.75" customHeight="1" s="216">
      <c r="D245" s="109" t="n"/>
      <c r="E245" s="109" t="n"/>
      <c r="J245" s="109" t="n"/>
      <c r="K245" s="109" t="n"/>
      <c r="L245" s="109" t="n"/>
      <c r="N245" s="109" t="n"/>
      <c r="O245" s="109" t="n"/>
      <c r="P245" s="109" t="n"/>
      <c r="T245" s="109" t="n"/>
      <c r="U245" s="109" t="n"/>
      <c r="V245" s="109" t="n"/>
      <c r="Z245" s="109" t="n"/>
      <c r="AA245" s="109" t="n"/>
      <c r="AB245" s="109" t="n"/>
      <c r="AF245" s="109" t="n"/>
      <c r="AG245" s="109" t="n"/>
      <c r="AH245" s="109" t="n"/>
      <c r="AL245" s="109" t="n"/>
      <c r="AM245" s="109" t="n"/>
      <c r="AN245" s="109" t="n"/>
    </row>
    <row r="246" ht="15.75" customHeight="1" s="216">
      <c r="D246" s="109" t="n"/>
      <c r="E246" s="109" t="n"/>
      <c r="J246" s="109" t="n"/>
      <c r="K246" s="109" t="n"/>
      <c r="L246" s="109" t="n"/>
      <c r="N246" s="109" t="n"/>
      <c r="O246" s="109" t="n"/>
      <c r="P246" s="109" t="n"/>
      <c r="T246" s="109" t="n"/>
      <c r="U246" s="109" t="n"/>
      <c r="V246" s="109" t="n"/>
      <c r="Z246" s="109" t="n"/>
      <c r="AA246" s="109" t="n"/>
      <c r="AB246" s="109" t="n"/>
      <c r="AF246" s="109" t="n"/>
      <c r="AG246" s="109" t="n"/>
      <c r="AH246" s="109" t="n"/>
      <c r="AL246" s="109" t="n"/>
      <c r="AM246" s="109" t="n"/>
      <c r="AN246" s="109" t="n"/>
    </row>
    <row r="247" ht="15.75" customHeight="1" s="216">
      <c r="D247" s="109" t="n"/>
      <c r="E247" s="109" t="n"/>
      <c r="J247" s="109" t="n"/>
      <c r="K247" s="109" t="n"/>
      <c r="L247" s="109" t="n"/>
      <c r="N247" s="109" t="n"/>
      <c r="O247" s="109" t="n"/>
      <c r="P247" s="109" t="n"/>
      <c r="T247" s="109" t="n"/>
      <c r="U247" s="109" t="n"/>
      <c r="V247" s="109" t="n"/>
      <c r="Z247" s="109" t="n"/>
      <c r="AA247" s="109" t="n"/>
      <c r="AB247" s="109" t="n"/>
      <c r="AF247" s="109" t="n"/>
      <c r="AG247" s="109" t="n"/>
      <c r="AH247" s="109" t="n"/>
      <c r="AL247" s="109" t="n"/>
      <c r="AM247" s="109" t="n"/>
      <c r="AN247" s="109" t="n"/>
    </row>
    <row r="248" ht="15.75" customHeight="1" s="216">
      <c r="D248" s="109" t="n"/>
      <c r="E248" s="109" t="n"/>
      <c r="J248" s="109" t="n"/>
      <c r="K248" s="109" t="n"/>
      <c r="L248" s="109" t="n"/>
      <c r="N248" s="109" t="n"/>
      <c r="O248" s="109" t="n"/>
      <c r="P248" s="109" t="n"/>
      <c r="T248" s="109" t="n"/>
      <c r="U248" s="109" t="n"/>
      <c r="V248" s="109" t="n"/>
      <c r="Z248" s="109" t="n"/>
      <c r="AA248" s="109" t="n"/>
      <c r="AB248" s="109" t="n"/>
      <c r="AF248" s="109" t="n"/>
      <c r="AG248" s="109" t="n"/>
      <c r="AH248" s="109" t="n"/>
      <c r="AL248" s="109" t="n"/>
      <c r="AM248" s="109" t="n"/>
      <c r="AN248" s="109" t="n"/>
    </row>
    <row r="249" ht="15.75" customHeight="1" s="216">
      <c r="D249" s="109" t="n"/>
      <c r="E249" s="109" t="n"/>
      <c r="J249" s="109" t="n"/>
      <c r="K249" s="109" t="n"/>
      <c r="L249" s="109" t="n"/>
      <c r="N249" s="109" t="n"/>
      <c r="O249" s="109" t="n"/>
      <c r="P249" s="109" t="n"/>
      <c r="T249" s="109" t="n"/>
      <c r="U249" s="109" t="n"/>
      <c r="V249" s="109" t="n"/>
      <c r="Z249" s="109" t="n"/>
      <c r="AA249" s="109" t="n"/>
      <c r="AB249" s="109" t="n"/>
      <c r="AF249" s="109" t="n"/>
      <c r="AG249" s="109" t="n"/>
      <c r="AH249" s="109" t="n"/>
      <c r="AL249" s="109" t="n"/>
      <c r="AM249" s="109" t="n"/>
      <c r="AN249" s="109" t="n"/>
    </row>
    <row r="250" ht="15.75" customHeight="1" s="216">
      <c r="D250" s="109" t="n"/>
      <c r="E250" s="109" t="n"/>
      <c r="J250" s="109" t="n"/>
      <c r="K250" s="109" t="n"/>
      <c r="L250" s="109" t="n"/>
      <c r="N250" s="109" t="n"/>
      <c r="O250" s="109" t="n"/>
      <c r="P250" s="109" t="n"/>
      <c r="T250" s="109" t="n"/>
      <c r="U250" s="109" t="n"/>
      <c r="V250" s="109" t="n"/>
      <c r="Z250" s="109" t="n"/>
      <c r="AA250" s="109" t="n"/>
      <c r="AB250" s="109" t="n"/>
      <c r="AF250" s="109" t="n"/>
      <c r="AG250" s="109" t="n"/>
      <c r="AH250" s="109" t="n"/>
      <c r="AL250" s="109" t="n"/>
      <c r="AM250" s="109" t="n"/>
      <c r="AN250" s="109" t="n"/>
    </row>
    <row r="251" ht="15.75" customHeight="1" s="216">
      <c r="D251" s="109" t="n"/>
      <c r="E251" s="109" t="n"/>
      <c r="J251" s="109" t="n"/>
      <c r="K251" s="109" t="n"/>
      <c r="L251" s="109" t="n"/>
      <c r="N251" s="109" t="n"/>
      <c r="O251" s="109" t="n"/>
      <c r="P251" s="109" t="n"/>
      <c r="T251" s="109" t="n"/>
      <c r="U251" s="109" t="n"/>
      <c r="V251" s="109" t="n"/>
      <c r="Z251" s="109" t="n"/>
      <c r="AA251" s="109" t="n"/>
      <c r="AB251" s="109" t="n"/>
      <c r="AF251" s="109" t="n"/>
      <c r="AG251" s="109" t="n"/>
      <c r="AH251" s="109" t="n"/>
      <c r="AL251" s="109" t="n"/>
      <c r="AM251" s="109" t="n"/>
      <c r="AN251" s="109" t="n"/>
    </row>
    <row r="252" ht="15.75" customHeight="1" s="216">
      <c r="D252" s="109" t="n"/>
      <c r="E252" s="109" t="n"/>
      <c r="J252" s="109" t="n"/>
      <c r="K252" s="109" t="n"/>
      <c r="L252" s="109" t="n"/>
      <c r="N252" s="109" t="n"/>
      <c r="O252" s="109" t="n"/>
      <c r="P252" s="109" t="n"/>
      <c r="T252" s="109" t="n"/>
      <c r="U252" s="109" t="n"/>
      <c r="V252" s="109" t="n"/>
      <c r="Z252" s="109" t="n"/>
      <c r="AA252" s="109" t="n"/>
      <c r="AB252" s="109" t="n"/>
      <c r="AF252" s="109" t="n"/>
      <c r="AG252" s="109" t="n"/>
      <c r="AH252" s="109" t="n"/>
      <c r="AL252" s="109" t="n"/>
      <c r="AM252" s="109" t="n"/>
      <c r="AN252" s="109" t="n"/>
    </row>
    <row r="253" ht="15.75" customHeight="1" s="216">
      <c r="D253" s="109" t="n"/>
      <c r="E253" s="109" t="n"/>
      <c r="J253" s="109" t="n"/>
      <c r="K253" s="109" t="n"/>
      <c r="L253" s="109" t="n"/>
      <c r="N253" s="109" t="n"/>
      <c r="O253" s="109" t="n"/>
      <c r="P253" s="109" t="n"/>
      <c r="T253" s="109" t="n"/>
      <c r="U253" s="109" t="n"/>
      <c r="V253" s="109" t="n"/>
      <c r="Z253" s="109" t="n"/>
      <c r="AA253" s="109" t="n"/>
      <c r="AB253" s="109" t="n"/>
      <c r="AF253" s="109" t="n"/>
      <c r="AG253" s="109" t="n"/>
      <c r="AH253" s="109" t="n"/>
      <c r="AL253" s="109" t="n"/>
      <c r="AM253" s="109" t="n"/>
      <c r="AN253" s="109" t="n"/>
    </row>
    <row r="254" ht="15.75" customHeight="1" s="216">
      <c r="D254" s="109" t="n"/>
      <c r="E254" s="109" t="n"/>
      <c r="J254" s="109" t="n"/>
      <c r="K254" s="109" t="n"/>
      <c r="L254" s="109" t="n"/>
      <c r="N254" s="109" t="n"/>
      <c r="O254" s="109" t="n"/>
      <c r="P254" s="109" t="n"/>
      <c r="T254" s="109" t="n"/>
      <c r="U254" s="109" t="n"/>
      <c r="V254" s="109" t="n"/>
      <c r="Z254" s="109" t="n"/>
      <c r="AA254" s="109" t="n"/>
      <c r="AB254" s="109" t="n"/>
      <c r="AF254" s="109" t="n"/>
      <c r="AG254" s="109" t="n"/>
      <c r="AH254" s="109" t="n"/>
      <c r="AL254" s="109" t="n"/>
      <c r="AM254" s="109" t="n"/>
      <c r="AN254" s="109" t="n"/>
    </row>
    <row r="255" ht="15.75" customHeight="1" s="216">
      <c r="D255" s="109" t="n"/>
      <c r="E255" s="109" t="n"/>
      <c r="J255" s="109" t="n"/>
      <c r="K255" s="109" t="n"/>
      <c r="L255" s="109" t="n"/>
      <c r="N255" s="109" t="n"/>
      <c r="O255" s="109" t="n"/>
      <c r="P255" s="109" t="n"/>
      <c r="T255" s="109" t="n"/>
      <c r="U255" s="109" t="n"/>
      <c r="V255" s="109" t="n"/>
      <c r="Z255" s="109" t="n"/>
      <c r="AA255" s="109" t="n"/>
      <c r="AB255" s="109" t="n"/>
      <c r="AF255" s="109" t="n"/>
      <c r="AG255" s="109" t="n"/>
      <c r="AH255" s="109" t="n"/>
      <c r="AL255" s="109" t="n"/>
      <c r="AM255" s="109" t="n"/>
      <c r="AN255" s="109" t="n"/>
    </row>
    <row r="256" ht="15.75" customHeight="1" s="216">
      <c r="D256" s="109" t="n"/>
      <c r="E256" s="109" t="n"/>
      <c r="J256" s="109" t="n"/>
      <c r="K256" s="109" t="n"/>
      <c r="L256" s="109" t="n"/>
      <c r="N256" s="109" t="n"/>
      <c r="O256" s="109" t="n"/>
      <c r="P256" s="109" t="n"/>
      <c r="T256" s="109" t="n"/>
      <c r="U256" s="109" t="n"/>
      <c r="V256" s="109" t="n"/>
      <c r="Z256" s="109" t="n"/>
      <c r="AA256" s="109" t="n"/>
      <c r="AB256" s="109" t="n"/>
      <c r="AF256" s="109" t="n"/>
      <c r="AG256" s="109" t="n"/>
      <c r="AH256" s="109" t="n"/>
      <c r="AL256" s="109" t="n"/>
      <c r="AM256" s="109" t="n"/>
      <c r="AN256" s="109" t="n"/>
    </row>
    <row r="257" ht="15.75" customHeight="1" s="216">
      <c r="D257" s="109" t="n"/>
      <c r="E257" s="109" t="n"/>
      <c r="J257" s="109" t="n"/>
      <c r="K257" s="109" t="n"/>
      <c r="L257" s="109" t="n"/>
      <c r="N257" s="109" t="n"/>
      <c r="O257" s="109" t="n"/>
      <c r="P257" s="109" t="n"/>
      <c r="T257" s="109" t="n"/>
      <c r="U257" s="109" t="n"/>
      <c r="V257" s="109" t="n"/>
      <c r="Z257" s="109" t="n"/>
      <c r="AA257" s="109" t="n"/>
      <c r="AB257" s="109" t="n"/>
      <c r="AF257" s="109" t="n"/>
      <c r="AG257" s="109" t="n"/>
      <c r="AH257" s="109" t="n"/>
      <c r="AL257" s="109" t="n"/>
      <c r="AM257" s="109" t="n"/>
      <c r="AN257" s="109" t="n"/>
    </row>
    <row r="258" ht="15.75" customHeight="1" s="216">
      <c r="D258" s="109" t="n"/>
      <c r="E258" s="109" t="n"/>
      <c r="J258" s="109" t="n"/>
      <c r="K258" s="109" t="n"/>
      <c r="L258" s="109" t="n"/>
      <c r="N258" s="109" t="n"/>
      <c r="O258" s="109" t="n"/>
      <c r="P258" s="109" t="n"/>
      <c r="T258" s="109" t="n"/>
      <c r="U258" s="109" t="n"/>
      <c r="V258" s="109" t="n"/>
      <c r="Z258" s="109" t="n"/>
      <c r="AA258" s="109" t="n"/>
      <c r="AB258" s="109" t="n"/>
      <c r="AF258" s="109" t="n"/>
      <c r="AG258" s="109" t="n"/>
      <c r="AH258" s="109" t="n"/>
      <c r="AL258" s="109" t="n"/>
      <c r="AM258" s="109" t="n"/>
      <c r="AN258" s="109" t="n"/>
    </row>
    <row r="259" ht="15.75" customHeight="1" s="216">
      <c r="D259" s="109" t="n"/>
      <c r="E259" s="109" t="n"/>
      <c r="J259" s="109" t="n"/>
      <c r="K259" s="109" t="n"/>
      <c r="L259" s="109" t="n"/>
      <c r="N259" s="109" t="n"/>
      <c r="O259" s="109" t="n"/>
      <c r="P259" s="109" t="n"/>
      <c r="T259" s="109" t="n"/>
      <c r="U259" s="109" t="n"/>
      <c r="V259" s="109" t="n"/>
      <c r="Z259" s="109" t="n"/>
      <c r="AA259" s="109" t="n"/>
      <c r="AB259" s="109" t="n"/>
      <c r="AF259" s="109" t="n"/>
      <c r="AG259" s="109" t="n"/>
      <c r="AH259" s="109" t="n"/>
      <c r="AL259" s="109" t="n"/>
      <c r="AM259" s="109" t="n"/>
      <c r="AN259" s="109" t="n"/>
    </row>
    <row r="260" ht="15.75" customHeight="1" s="216">
      <c r="D260" s="109" t="n"/>
      <c r="E260" s="109" t="n"/>
      <c r="J260" s="109" t="n"/>
      <c r="K260" s="109" t="n"/>
      <c r="L260" s="109" t="n"/>
      <c r="N260" s="109" t="n"/>
      <c r="O260" s="109" t="n"/>
      <c r="P260" s="109" t="n"/>
      <c r="T260" s="109" t="n"/>
      <c r="U260" s="109" t="n"/>
      <c r="V260" s="109" t="n"/>
      <c r="Z260" s="109" t="n"/>
      <c r="AA260" s="109" t="n"/>
      <c r="AB260" s="109" t="n"/>
      <c r="AF260" s="109" t="n"/>
      <c r="AG260" s="109" t="n"/>
      <c r="AH260" s="109" t="n"/>
      <c r="AL260" s="109" t="n"/>
      <c r="AM260" s="109" t="n"/>
      <c r="AN260" s="109" t="n"/>
    </row>
    <row r="261" ht="15.75" customHeight="1" s="216">
      <c r="D261" s="109" t="n"/>
      <c r="E261" s="109" t="n"/>
      <c r="J261" s="109" t="n"/>
      <c r="K261" s="109" t="n"/>
      <c r="L261" s="109" t="n"/>
      <c r="N261" s="109" t="n"/>
      <c r="O261" s="109" t="n"/>
      <c r="P261" s="109" t="n"/>
      <c r="T261" s="109" t="n"/>
      <c r="U261" s="109" t="n"/>
      <c r="V261" s="109" t="n"/>
      <c r="Z261" s="109" t="n"/>
      <c r="AA261" s="109" t="n"/>
      <c r="AB261" s="109" t="n"/>
      <c r="AF261" s="109" t="n"/>
      <c r="AG261" s="109" t="n"/>
      <c r="AH261" s="109" t="n"/>
      <c r="AL261" s="109" t="n"/>
      <c r="AM261" s="109" t="n"/>
      <c r="AN261" s="109" t="n"/>
    </row>
    <row r="262" ht="15.75" customHeight="1" s="216">
      <c r="D262" s="109" t="n"/>
      <c r="E262" s="109" t="n"/>
      <c r="J262" s="109" t="n"/>
      <c r="K262" s="109" t="n"/>
      <c r="L262" s="109" t="n"/>
      <c r="N262" s="109" t="n"/>
      <c r="O262" s="109" t="n"/>
      <c r="P262" s="109" t="n"/>
      <c r="T262" s="109" t="n"/>
      <c r="U262" s="109" t="n"/>
      <c r="V262" s="109" t="n"/>
      <c r="Z262" s="109" t="n"/>
      <c r="AA262" s="109" t="n"/>
      <c r="AB262" s="109" t="n"/>
      <c r="AF262" s="109" t="n"/>
      <c r="AG262" s="109" t="n"/>
      <c r="AH262" s="109" t="n"/>
      <c r="AL262" s="109" t="n"/>
      <c r="AM262" s="109" t="n"/>
      <c r="AN262" s="109" t="n"/>
    </row>
    <row r="263" ht="15.75" customHeight="1" s="216">
      <c r="D263" s="109" t="n"/>
      <c r="E263" s="109" t="n"/>
      <c r="J263" s="109" t="n"/>
      <c r="K263" s="109" t="n"/>
      <c r="L263" s="109" t="n"/>
      <c r="N263" s="109" t="n"/>
      <c r="O263" s="109" t="n"/>
      <c r="P263" s="109" t="n"/>
      <c r="T263" s="109" t="n"/>
      <c r="U263" s="109" t="n"/>
      <c r="V263" s="109" t="n"/>
      <c r="Z263" s="109" t="n"/>
      <c r="AA263" s="109" t="n"/>
      <c r="AB263" s="109" t="n"/>
      <c r="AF263" s="109" t="n"/>
      <c r="AG263" s="109" t="n"/>
      <c r="AH263" s="109" t="n"/>
      <c r="AL263" s="109" t="n"/>
      <c r="AM263" s="109" t="n"/>
      <c r="AN263" s="109" t="n"/>
    </row>
    <row r="264" ht="15.75" customHeight="1" s="216">
      <c r="D264" s="109" t="n"/>
      <c r="E264" s="109" t="n"/>
      <c r="J264" s="109" t="n"/>
      <c r="K264" s="109" t="n"/>
      <c r="L264" s="109" t="n"/>
      <c r="N264" s="109" t="n"/>
      <c r="O264" s="109" t="n"/>
      <c r="P264" s="109" t="n"/>
      <c r="T264" s="109" t="n"/>
      <c r="U264" s="109" t="n"/>
      <c r="V264" s="109" t="n"/>
      <c r="Z264" s="109" t="n"/>
      <c r="AA264" s="109" t="n"/>
      <c r="AB264" s="109" t="n"/>
      <c r="AF264" s="109" t="n"/>
      <c r="AG264" s="109" t="n"/>
      <c r="AH264" s="109" t="n"/>
      <c r="AL264" s="109" t="n"/>
      <c r="AM264" s="109" t="n"/>
      <c r="AN264" s="109" t="n"/>
    </row>
    <row r="265" ht="15.75" customHeight="1" s="216">
      <c r="D265" s="109" t="n"/>
      <c r="E265" s="109" t="n"/>
      <c r="J265" s="109" t="n"/>
      <c r="K265" s="109" t="n"/>
      <c r="L265" s="109" t="n"/>
      <c r="N265" s="109" t="n"/>
      <c r="O265" s="109" t="n"/>
      <c r="P265" s="109" t="n"/>
      <c r="T265" s="109" t="n"/>
      <c r="U265" s="109" t="n"/>
      <c r="V265" s="109" t="n"/>
      <c r="Z265" s="109" t="n"/>
      <c r="AA265" s="109" t="n"/>
      <c r="AB265" s="109" t="n"/>
      <c r="AF265" s="109" t="n"/>
      <c r="AG265" s="109" t="n"/>
      <c r="AH265" s="109" t="n"/>
      <c r="AL265" s="109" t="n"/>
      <c r="AM265" s="109" t="n"/>
      <c r="AN265" s="109" t="n"/>
    </row>
    <row r="266" ht="15.75" customHeight="1" s="216">
      <c r="D266" s="109" t="n"/>
      <c r="E266" s="109" t="n"/>
      <c r="J266" s="109" t="n"/>
      <c r="K266" s="109" t="n"/>
      <c r="L266" s="109" t="n"/>
      <c r="N266" s="109" t="n"/>
      <c r="O266" s="109" t="n"/>
      <c r="P266" s="109" t="n"/>
      <c r="T266" s="109" t="n"/>
      <c r="U266" s="109" t="n"/>
      <c r="V266" s="109" t="n"/>
      <c r="Z266" s="109" t="n"/>
      <c r="AA266" s="109" t="n"/>
      <c r="AB266" s="109" t="n"/>
      <c r="AF266" s="109" t="n"/>
      <c r="AG266" s="109" t="n"/>
      <c r="AH266" s="109" t="n"/>
      <c r="AL266" s="109" t="n"/>
      <c r="AM266" s="109" t="n"/>
      <c r="AN266" s="109" t="n"/>
    </row>
    <row r="267" ht="15.75" customHeight="1" s="216">
      <c r="D267" s="109" t="n"/>
      <c r="E267" s="109" t="n"/>
      <c r="J267" s="109" t="n"/>
      <c r="K267" s="109" t="n"/>
      <c r="L267" s="109" t="n"/>
      <c r="N267" s="109" t="n"/>
      <c r="O267" s="109" t="n"/>
      <c r="P267" s="109" t="n"/>
      <c r="T267" s="109" t="n"/>
      <c r="U267" s="109" t="n"/>
      <c r="V267" s="109" t="n"/>
      <c r="Z267" s="109" t="n"/>
      <c r="AA267" s="109" t="n"/>
      <c r="AB267" s="109" t="n"/>
      <c r="AF267" s="109" t="n"/>
      <c r="AG267" s="109" t="n"/>
      <c r="AH267" s="109" t="n"/>
      <c r="AL267" s="109" t="n"/>
      <c r="AM267" s="109" t="n"/>
      <c r="AN267" s="109" t="n"/>
    </row>
    <row r="268" ht="15.75" customHeight="1" s="216">
      <c r="D268" s="109" t="n"/>
      <c r="E268" s="109" t="n"/>
      <c r="J268" s="109" t="n"/>
      <c r="K268" s="109" t="n"/>
      <c r="L268" s="109" t="n"/>
      <c r="N268" s="109" t="n"/>
      <c r="O268" s="109" t="n"/>
      <c r="P268" s="109" t="n"/>
      <c r="T268" s="109" t="n"/>
      <c r="U268" s="109" t="n"/>
      <c r="V268" s="109" t="n"/>
      <c r="Z268" s="109" t="n"/>
      <c r="AA268" s="109" t="n"/>
      <c r="AB268" s="109" t="n"/>
      <c r="AF268" s="109" t="n"/>
      <c r="AG268" s="109" t="n"/>
      <c r="AH268" s="109" t="n"/>
      <c r="AL268" s="109" t="n"/>
      <c r="AM268" s="109" t="n"/>
      <c r="AN268" s="109" t="n"/>
    </row>
    <row r="269" ht="15.75" customHeight="1" s="216">
      <c r="D269" s="109" t="n"/>
      <c r="E269" s="109" t="n"/>
      <c r="J269" s="109" t="n"/>
      <c r="K269" s="109" t="n"/>
      <c r="L269" s="109" t="n"/>
      <c r="N269" s="109" t="n"/>
      <c r="O269" s="109" t="n"/>
      <c r="P269" s="109" t="n"/>
      <c r="T269" s="109" t="n"/>
      <c r="U269" s="109" t="n"/>
      <c r="V269" s="109" t="n"/>
      <c r="Z269" s="109" t="n"/>
      <c r="AA269" s="109" t="n"/>
      <c r="AB269" s="109" t="n"/>
      <c r="AF269" s="109" t="n"/>
      <c r="AG269" s="109" t="n"/>
      <c r="AH269" s="109" t="n"/>
      <c r="AL269" s="109" t="n"/>
      <c r="AM269" s="109" t="n"/>
      <c r="AN269" s="109" t="n"/>
    </row>
    <row r="270" ht="15.75" customHeight="1" s="216">
      <c r="D270" s="109" t="n"/>
      <c r="E270" s="109" t="n"/>
      <c r="J270" s="109" t="n"/>
      <c r="K270" s="109" t="n"/>
      <c r="L270" s="109" t="n"/>
      <c r="N270" s="109" t="n"/>
      <c r="O270" s="109" t="n"/>
      <c r="P270" s="109" t="n"/>
      <c r="T270" s="109" t="n"/>
      <c r="U270" s="109" t="n"/>
      <c r="V270" s="109" t="n"/>
      <c r="Z270" s="109" t="n"/>
      <c r="AA270" s="109" t="n"/>
      <c r="AB270" s="109" t="n"/>
      <c r="AF270" s="109" t="n"/>
      <c r="AG270" s="109" t="n"/>
      <c r="AH270" s="109" t="n"/>
      <c r="AL270" s="109" t="n"/>
      <c r="AM270" s="109" t="n"/>
      <c r="AN270" s="109" t="n"/>
    </row>
    <row r="271" ht="15.75" customHeight="1" s="216">
      <c r="D271" s="109" t="n"/>
      <c r="E271" s="109" t="n"/>
      <c r="J271" s="109" t="n"/>
      <c r="K271" s="109" t="n"/>
      <c r="L271" s="109" t="n"/>
      <c r="N271" s="109" t="n"/>
      <c r="O271" s="109" t="n"/>
      <c r="P271" s="109" t="n"/>
      <c r="T271" s="109" t="n"/>
      <c r="U271" s="109" t="n"/>
      <c r="V271" s="109" t="n"/>
      <c r="Z271" s="109" t="n"/>
      <c r="AA271" s="109" t="n"/>
      <c r="AB271" s="109" t="n"/>
      <c r="AF271" s="109" t="n"/>
      <c r="AG271" s="109" t="n"/>
      <c r="AH271" s="109" t="n"/>
      <c r="AL271" s="109" t="n"/>
      <c r="AM271" s="109" t="n"/>
      <c r="AN271" s="109" t="n"/>
    </row>
    <row r="272" ht="15.75" customHeight="1" s="216">
      <c r="D272" s="109" t="n"/>
      <c r="E272" s="109" t="n"/>
      <c r="J272" s="109" t="n"/>
      <c r="K272" s="109" t="n"/>
      <c r="L272" s="109" t="n"/>
      <c r="N272" s="109" t="n"/>
      <c r="O272" s="109" t="n"/>
      <c r="P272" s="109" t="n"/>
      <c r="T272" s="109" t="n"/>
      <c r="U272" s="109" t="n"/>
      <c r="V272" s="109" t="n"/>
      <c r="Z272" s="109" t="n"/>
      <c r="AA272" s="109" t="n"/>
      <c r="AB272" s="109" t="n"/>
      <c r="AF272" s="109" t="n"/>
      <c r="AG272" s="109" t="n"/>
      <c r="AH272" s="109" t="n"/>
      <c r="AL272" s="109" t="n"/>
      <c r="AM272" s="109" t="n"/>
      <c r="AN272" s="109" t="n"/>
    </row>
    <row r="273" ht="15.75" customHeight="1" s="216">
      <c r="D273" s="109" t="n"/>
      <c r="E273" s="109" t="n"/>
      <c r="J273" s="109" t="n"/>
      <c r="K273" s="109" t="n"/>
      <c r="L273" s="109" t="n"/>
      <c r="N273" s="109" t="n"/>
      <c r="O273" s="109" t="n"/>
      <c r="P273" s="109" t="n"/>
      <c r="T273" s="109" t="n"/>
      <c r="U273" s="109" t="n"/>
      <c r="V273" s="109" t="n"/>
      <c r="Z273" s="109" t="n"/>
      <c r="AA273" s="109" t="n"/>
      <c r="AB273" s="109" t="n"/>
      <c r="AF273" s="109" t="n"/>
      <c r="AG273" s="109" t="n"/>
      <c r="AH273" s="109" t="n"/>
      <c r="AL273" s="109" t="n"/>
      <c r="AM273" s="109" t="n"/>
      <c r="AN273" s="109" t="n"/>
    </row>
    <row r="274" ht="15.75" customHeight="1" s="216">
      <c r="D274" s="109" t="n"/>
      <c r="E274" s="109" t="n"/>
      <c r="J274" s="109" t="n"/>
      <c r="K274" s="109" t="n"/>
      <c r="L274" s="109" t="n"/>
      <c r="N274" s="109" t="n"/>
      <c r="O274" s="109" t="n"/>
      <c r="P274" s="109" t="n"/>
      <c r="T274" s="109" t="n"/>
      <c r="U274" s="109" t="n"/>
      <c r="V274" s="109" t="n"/>
      <c r="Z274" s="109" t="n"/>
      <c r="AA274" s="109" t="n"/>
      <c r="AB274" s="109" t="n"/>
      <c r="AF274" s="109" t="n"/>
      <c r="AG274" s="109" t="n"/>
      <c r="AH274" s="109" t="n"/>
      <c r="AL274" s="109" t="n"/>
      <c r="AM274" s="109" t="n"/>
      <c r="AN274" s="109" t="n"/>
    </row>
    <row r="275" ht="15.75" customHeight="1" s="216">
      <c r="D275" s="109" t="n"/>
      <c r="E275" s="109" t="n"/>
      <c r="J275" s="109" t="n"/>
      <c r="K275" s="109" t="n"/>
      <c r="L275" s="109" t="n"/>
      <c r="N275" s="109" t="n"/>
      <c r="O275" s="109" t="n"/>
      <c r="P275" s="109" t="n"/>
      <c r="T275" s="109" t="n"/>
      <c r="U275" s="109" t="n"/>
      <c r="V275" s="109" t="n"/>
      <c r="Z275" s="109" t="n"/>
      <c r="AA275" s="109" t="n"/>
      <c r="AB275" s="109" t="n"/>
      <c r="AF275" s="109" t="n"/>
      <c r="AG275" s="109" t="n"/>
      <c r="AH275" s="109" t="n"/>
      <c r="AL275" s="109" t="n"/>
      <c r="AM275" s="109" t="n"/>
      <c r="AN275" s="109" t="n"/>
    </row>
    <row r="276" ht="15.75" customHeight="1" s="216">
      <c r="D276" s="109" t="n"/>
      <c r="E276" s="109" t="n"/>
      <c r="J276" s="109" t="n"/>
      <c r="K276" s="109" t="n"/>
      <c r="L276" s="109" t="n"/>
      <c r="N276" s="109" t="n"/>
      <c r="O276" s="109" t="n"/>
      <c r="P276" s="109" t="n"/>
      <c r="T276" s="109" t="n"/>
      <c r="U276" s="109" t="n"/>
      <c r="V276" s="109" t="n"/>
      <c r="Z276" s="109" t="n"/>
      <c r="AA276" s="109" t="n"/>
      <c r="AB276" s="109" t="n"/>
      <c r="AF276" s="109" t="n"/>
      <c r="AG276" s="109" t="n"/>
      <c r="AH276" s="109" t="n"/>
      <c r="AL276" s="109" t="n"/>
      <c r="AM276" s="109" t="n"/>
      <c r="AN276" s="109" t="n"/>
    </row>
    <row r="277" ht="15.75" customHeight="1" s="216">
      <c r="D277" s="109" t="n"/>
      <c r="E277" s="109" t="n"/>
      <c r="J277" s="109" t="n"/>
      <c r="K277" s="109" t="n"/>
      <c r="L277" s="109" t="n"/>
      <c r="N277" s="109" t="n"/>
      <c r="O277" s="109" t="n"/>
      <c r="P277" s="109" t="n"/>
      <c r="T277" s="109" t="n"/>
      <c r="U277" s="109" t="n"/>
      <c r="V277" s="109" t="n"/>
      <c r="Z277" s="109" t="n"/>
      <c r="AA277" s="109" t="n"/>
      <c r="AB277" s="109" t="n"/>
      <c r="AF277" s="109" t="n"/>
      <c r="AG277" s="109" t="n"/>
      <c r="AH277" s="109" t="n"/>
      <c r="AL277" s="109" t="n"/>
      <c r="AM277" s="109" t="n"/>
      <c r="AN277" s="109" t="n"/>
    </row>
    <row r="278" ht="15.75" customHeight="1" s="216">
      <c r="D278" s="109" t="n"/>
      <c r="E278" s="109" t="n"/>
      <c r="J278" s="109" t="n"/>
      <c r="K278" s="109" t="n"/>
      <c r="L278" s="109" t="n"/>
      <c r="N278" s="109" t="n"/>
      <c r="O278" s="109" t="n"/>
      <c r="P278" s="109" t="n"/>
      <c r="T278" s="109" t="n"/>
      <c r="U278" s="109" t="n"/>
      <c r="V278" s="109" t="n"/>
      <c r="Z278" s="109" t="n"/>
      <c r="AA278" s="109" t="n"/>
      <c r="AB278" s="109" t="n"/>
      <c r="AF278" s="109" t="n"/>
      <c r="AG278" s="109" t="n"/>
      <c r="AH278" s="109" t="n"/>
      <c r="AL278" s="109" t="n"/>
      <c r="AM278" s="109" t="n"/>
      <c r="AN278" s="109" t="n"/>
    </row>
    <row r="279" ht="15.75" customHeight="1" s="216">
      <c r="D279" s="109" t="n"/>
      <c r="E279" s="109" t="n"/>
      <c r="J279" s="109" t="n"/>
      <c r="K279" s="109" t="n"/>
      <c r="L279" s="109" t="n"/>
      <c r="N279" s="109" t="n"/>
      <c r="O279" s="109" t="n"/>
      <c r="P279" s="109" t="n"/>
      <c r="T279" s="109" t="n"/>
      <c r="U279" s="109" t="n"/>
      <c r="V279" s="109" t="n"/>
      <c r="Z279" s="109" t="n"/>
      <c r="AA279" s="109" t="n"/>
      <c r="AB279" s="109" t="n"/>
      <c r="AF279" s="109" t="n"/>
      <c r="AG279" s="109" t="n"/>
      <c r="AH279" s="109" t="n"/>
      <c r="AL279" s="109" t="n"/>
      <c r="AM279" s="109" t="n"/>
      <c r="AN279" s="109" t="n"/>
    </row>
    <row r="280" ht="15.75" customHeight="1" s="216">
      <c r="D280" s="109" t="n"/>
      <c r="E280" s="109" t="n"/>
      <c r="J280" s="109" t="n"/>
      <c r="K280" s="109" t="n"/>
      <c r="L280" s="109" t="n"/>
      <c r="N280" s="109" t="n"/>
      <c r="O280" s="109" t="n"/>
      <c r="P280" s="109" t="n"/>
      <c r="T280" s="109" t="n"/>
      <c r="U280" s="109" t="n"/>
      <c r="V280" s="109" t="n"/>
      <c r="Z280" s="109" t="n"/>
      <c r="AA280" s="109" t="n"/>
      <c r="AB280" s="109" t="n"/>
      <c r="AF280" s="109" t="n"/>
      <c r="AG280" s="109" t="n"/>
      <c r="AH280" s="109" t="n"/>
      <c r="AL280" s="109" t="n"/>
      <c r="AM280" s="109" t="n"/>
      <c r="AN280" s="109" t="n"/>
    </row>
    <row r="281" ht="15.75" customHeight="1" s="216">
      <c r="D281" s="109" t="n"/>
      <c r="E281" s="109" t="n"/>
      <c r="J281" s="109" t="n"/>
      <c r="K281" s="109" t="n"/>
      <c r="L281" s="109" t="n"/>
      <c r="N281" s="109" t="n"/>
      <c r="O281" s="109" t="n"/>
      <c r="P281" s="109" t="n"/>
      <c r="T281" s="109" t="n"/>
      <c r="U281" s="109" t="n"/>
      <c r="V281" s="109" t="n"/>
      <c r="Z281" s="109" t="n"/>
      <c r="AA281" s="109" t="n"/>
      <c r="AB281" s="109" t="n"/>
      <c r="AF281" s="109" t="n"/>
      <c r="AG281" s="109" t="n"/>
      <c r="AH281" s="109" t="n"/>
      <c r="AL281" s="109" t="n"/>
      <c r="AM281" s="109" t="n"/>
      <c r="AN281" s="109" t="n"/>
    </row>
    <row r="282" ht="15.75" customHeight="1" s="216">
      <c r="D282" s="109" t="n"/>
      <c r="E282" s="109" t="n"/>
      <c r="J282" s="109" t="n"/>
      <c r="K282" s="109" t="n"/>
      <c r="L282" s="109" t="n"/>
      <c r="N282" s="109" t="n"/>
      <c r="O282" s="109" t="n"/>
      <c r="P282" s="109" t="n"/>
      <c r="T282" s="109" t="n"/>
      <c r="U282" s="109" t="n"/>
      <c r="V282" s="109" t="n"/>
      <c r="Z282" s="109" t="n"/>
      <c r="AA282" s="109" t="n"/>
      <c r="AB282" s="109" t="n"/>
      <c r="AF282" s="109" t="n"/>
      <c r="AG282" s="109" t="n"/>
      <c r="AH282" s="109" t="n"/>
      <c r="AL282" s="109" t="n"/>
      <c r="AM282" s="109" t="n"/>
      <c r="AN282" s="109" t="n"/>
    </row>
    <row r="283" ht="15.75" customHeight="1" s="216">
      <c r="D283" s="109" t="n"/>
      <c r="E283" s="109" t="n"/>
      <c r="J283" s="109" t="n"/>
      <c r="K283" s="109" t="n"/>
      <c r="L283" s="109" t="n"/>
      <c r="N283" s="109" t="n"/>
      <c r="O283" s="109" t="n"/>
      <c r="P283" s="109" t="n"/>
      <c r="T283" s="109" t="n"/>
      <c r="U283" s="109" t="n"/>
      <c r="V283" s="109" t="n"/>
      <c r="Z283" s="109" t="n"/>
      <c r="AA283" s="109" t="n"/>
      <c r="AB283" s="109" t="n"/>
      <c r="AF283" s="109" t="n"/>
      <c r="AG283" s="109" t="n"/>
      <c r="AH283" s="109" t="n"/>
      <c r="AL283" s="109" t="n"/>
      <c r="AM283" s="109" t="n"/>
      <c r="AN283" s="109" t="n"/>
    </row>
    <row r="284" ht="15.75" customHeight="1" s="216">
      <c r="D284" s="109" t="n"/>
      <c r="E284" s="109" t="n"/>
      <c r="J284" s="109" t="n"/>
      <c r="K284" s="109" t="n"/>
      <c r="L284" s="109" t="n"/>
      <c r="N284" s="109" t="n"/>
      <c r="O284" s="109" t="n"/>
      <c r="P284" s="109" t="n"/>
      <c r="T284" s="109" t="n"/>
      <c r="U284" s="109" t="n"/>
      <c r="V284" s="109" t="n"/>
      <c r="Z284" s="109" t="n"/>
      <c r="AA284" s="109" t="n"/>
      <c r="AB284" s="109" t="n"/>
      <c r="AF284" s="109" t="n"/>
      <c r="AG284" s="109" t="n"/>
      <c r="AH284" s="109" t="n"/>
      <c r="AL284" s="109" t="n"/>
      <c r="AM284" s="109" t="n"/>
      <c r="AN284" s="109" t="n"/>
    </row>
    <row r="285" ht="15.75" customHeight="1" s="216">
      <c r="D285" s="109" t="n"/>
      <c r="E285" s="109" t="n"/>
      <c r="J285" s="109" t="n"/>
      <c r="K285" s="109" t="n"/>
      <c r="L285" s="109" t="n"/>
      <c r="N285" s="109" t="n"/>
      <c r="O285" s="109" t="n"/>
      <c r="P285" s="109" t="n"/>
      <c r="T285" s="109" t="n"/>
      <c r="U285" s="109" t="n"/>
      <c r="V285" s="109" t="n"/>
      <c r="Z285" s="109" t="n"/>
      <c r="AA285" s="109" t="n"/>
      <c r="AB285" s="109" t="n"/>
      <c r="AF285" s="109" t="n"/>
      <c r="AG285" s="109" t="n"/>
      <c r="AH285" s="109" t="n"/>
      <c r="AL285" s="109" t="n"/>
      <c r="AM285" s="109" t="n"/>
      <c r="AN285" s="109" t="n"/>
    </row>
    <row r="286" ht="15.75" customHeight="1" s="216">
      <c r="D286" s="109" t="n"/>
      <c r="E286" s="109" t="n"/>
      <c r="J286" s="109" t="n"/>
      <c r="K286" s="109" t="n"/>
      <c r="L286" s="109" t="n"/>
      <c r="N286" s="109" t="n"/>
      <c r="O286" s="109" t="n"/>
      <c r="P286" s="109" t="n"/>
      <c r="T286" s="109" t="n"/>
      <c r="U286" s="109" t="n"/>
      <c r="V286" s="109" t="n"/>
      <c r="Z286" s="109" t="n"/>
      <c r="AA286" s="109" t="n"/>
      <c r="AB286" s="109" t="n"/>
      <c r="AF286" s="109" t="n"/>
      <c r="AG286" s="109" t="n"/>
      <c r="AH286" s="109" t="n"/>
      <c r="AL286" s="109" t="n"/>
      <c r="AM286" s="109" t="n"/>
      <c r="AN286" s="109" t="n"/>
    </row>
    <row r="287" ht="15.75" customHeight="1" s="216">
      <c r="D287" s="109" t="n"/>
      <c r="E287" s="109" t="n"/>
      <c r="J287" s="109" t="n"/>
      <c r="K287" s="109" t="n"/>
      <c r="L287" s="109" t="n"/>
      <c r="N287" s="109" t="n"/>
      <c r="O287" s="109" t="n"/>
      <c r="P287" s="109" t="n"/>
      <c r="T287" s="109" t="n"/>
      <c r="U287" s="109" t="n"/>
      <c r="V287" s="109" t="n"/>
      <c r="Z287" s="109" t="n"/>
      <c r="AA287" s="109" t="n"/>
      <c r="AB287" s="109" t="n"/>
      <c r="AF287" s="109" t="n"/>
      <c r="AG287" s="109" t="n"/>
      <c r="AH287" s="109" t="n"/>
      <c r="AL287" s="109" t="n"/>
      <c r="AM287" s="109" t="n"/>
      <c r="AN287" s="109" t="n"/>
    </row>
    <row r="288" ht="15.75" customHeight="1" s="216">
      <c r="D288" s="109" t="n"/>
      <c r="E288" s="109" t="n"/>
      <c r="J288" s="109" t="n"/>
      <c r="K288" s="109" t="n"/>
      <c r="L288" s="109" t="n"/>
      <c r="N288" s="109" t="n"/>
      <c r="O288" s="109" t="n"/>
      <c r="P288" s="109" t="n"/>
      <c r="T288" s="109" t="n"/>
      <c r="U288" s="109" t="n"/>
      <c r="V288" s="109" t="n"/>
      <c r="Z288" s="109" t="n"/>
      <c r="AA288" s="109" t="n"/>
      <c r="AB288" s="109" t="n"/>
      <c r="AF288" s="109" t="n"/>
      <c r="AG288" s="109" t="n"/>
      <c r="AH288" s="109" t="n"/>
      <c r="AL288" s="109" t="n"/>
      <c r="AM288" s="109" t="n"/>
      <c r="AN288" s="109" t="n"/>
    </row>
    <row r="289" ht="15.75" customHeight="1" s="216">
      <c r="D289" s="109" t="n"/>
      <c r="E289" s="109" t="n"/>
      <c r="J289" s="109" t="n"/>
      <c r="K289" s="109" t="n"/>
      <c r="L289" s="109" t="n"/>
      <c r="N289" s="109" t="n"/>
      <c r="O289" s="109" t="n"/>
      <c r="P289" s="109" t="n"/>
      <c r="T289" s="109" t="n"/>
      <c r="U289" s="109" t="n"/>
      <c r="V289" s="109" t="n"/>
      <c r="Z289" s="109" t="n"/>
      <c r="AA289" s="109" t="n"/>
      <c r="AB289" s="109" t="n"/>
      <c r="AF289" s="109" t="n"/>
      <c r="AG289" s="109" t="n"/>
      <c r="AH289" s="109" t="n"/>
      <c r="AL289" s="109" t="n"/>
      <c r="AM289" s="109" t="n"/>
      <c r="AN289" s="109" t="n"/>
    </row>
    <row r="290" ht="15.75" customHeight="1" s="216">
      <c r="D290" s="109" t="n"/>
      <c r="E290" s="109" t="n"/>
      <c r="J290" s="109" t="n"/>
      <c r="K290" s="109" t="n"/>
      <c r="L290" s="109" t="n"/>
      <c r="N290" s="109" t="n"/>
      <c r="O290" s="109" t="n"/>
      <c r="P290" s="109" t="n"/>
      <c r="T290" s="109" t="n"/>
      <c r="U290" s="109" t="n"/>
      <c r="V290" s="109" t="n"/>
      <c r="Z290" s="109" t="n"/>
      <c r="AA290" s="109" t="n"/>
      <c r="AB290" s="109" t="n"/>
      <c r="AF290" s="109" t="n"/>
      <c r="AG290" s="109" t="n"/>
      <c r="AH290" s="109" t="n"/>
      <c r="AL290" s="109" t="n"/>
      <c r="AM290" s="109" t="n"/>
      <c r="AN290" s="109" t="n"/>
    </row>
    <row r="291" ht="15.75" customHeight="1" s="216">
      <c r="D291" s="109" t="n"/>
      <c r="E291" s="109" t="n"/>
      <c r="J291" s="109" t="n"/>
      <c r="K291" s="109" t="n"/>
      <c r="L291" s="109" t="n"/>
      <c r="N291" s="109" t="n"/>
      <c r="O291" s="109" t="n"/>
      <c r="P291" s="109" t="n"/>
      <c r="T291" s="109" t="n"/>
      <c r="U291" s="109" t="n"/>
      <c r="V291" s="109" t="n"/>
      <c r="Z291" s="109" t="n"/>
      <c r="AA291" s="109" t="n"/>
      <c r="AB291" s="109" t="n"/>
      <c r="AF291" s="109" t="n"/>
      <c r="AG291" s="109" t="n"/>
      <c r="AH291" s="109" t="n"/>
      <c r="AL291" s="109" t="n"/>
      <c r="AM291" s="109" t="n"/>
      <c r="AN291" s="109" t="n"/>
    </row>
    <row r="292" ht="15.75" customHeight="1" s="216">
      <c r="D292" s="109" t="n"/>
      <c r="E292" s="109" t="n"/>
      <c r="J292" s="109" t="n"/>
      <c r="K292" s="109" t="n"/>
      <c r="L292" s="109" t="n"/>
      <c r="N292" s="109" t="n"/>
      <c r="O292" s="109" t="n"/>
      <c r="P292" s="109" t="n"/>
      <c r="T292" s="109" t="n"/>
      <c r="U292" s="109" t="n"/>
      <c r="V292" s="109" t="n"/>
      <c r="Z292" s="109" t="n"/>
      <c r="AA292" s="109" t="n"/>
      <c r="AB292" s="109" t="n"/>
      <c r="AF292" s="109" t="n"/>
      <c r="AG292" s="109" t="n"/>
      <c r="AH292" s="109" t="n"/>
      <c r="AL292" s="109" t="n"/>
      <c r="AM292" s="109" t="n"/>
      <c r="AN292" s="109" t="n"/>
    </row>
    <row r="293" ht="15.75" customHeight="1" s="216">
      <c r="D293" s="109" t="n"/>
      <c r="E293" s="109" t="n"/>
      <c r="J293" s="109" t="n"/>
      <c r="K293" s="109" t="n"/>
      <c r="L293" s="109" t="n"/>
      <c r="N293" s="109" t="n"/>
      <c r="O293" s="109" t="n"/>
      <c r="P293" s="109" t="n"/>
      <c r="T293" s="109" t="n"/>
      <c r="U293" s="109" t="n"/>
      <c r="V293" s="109" t="n"/>
      <c r="Z293" s="109" t="n"/>
      <c r="AA293" s="109" t="n"/>
      <c r="AB293" s="109" t="n"/>
      <c r="AF293" s="109" t="n"/>
      <c r="AG293" s="109" t="n"/>
      <c r="AH293" s="109" t="n"/>
      <c r="AL293" s="109" t="n"/>
      <c r="AM293" s="109" t="n"/>
      <c r="AN293" s="109" t="n"/>
    </row>
    <row r="294" ht="15.75" customHeight="1" s="216">
      <c r="D294" s="109" t="n"/>
      <c r="E294" s="109" t="n"/>
      <c r="J294" s="109" t="n"/>
      <c r="K294" s="109" t="n"/>
      <c r="L294" s="109" t="n"/>
      <c r="N294" s="109" t="n"/>
      <c r="O294" s="109" t="n"/>
      <c r="P294" s="109" t="n"/>
      <c r="T294" s="109" t="n"/>
      <c r="U294" s="109" t="n"/>
      <c r="V294" s="109" t="n"/>
      <c r="Z294" s="109" t="n"/>
      <c r="AA294" s="109" t="n"/>
      <c r="AB294" s="109" t="n"/>
      <c r="AF294" s="109" t="n"/>
      <c r="AG294" s="109" t="n"/>
      <c r="AH294" s="109" t="n"/>
      <c r="AL294" s="109" t="n"/>
      <c r="AM294" s="109" t="n"/>
      <c r="AN294" s="109" t="n"/>
    </row>
    <row r="295" ht="15.75" customHeight="1" s="216">
      <c r="D295" s="109" t="n"/>
      <c r="E295" s="109" t="n"/>
      <c r="J295" s="109" t="n"/>
      <c r="K295" s="109" t="n"/>
      <c r="L295" s="109" t="n"/>
      <c r="N295" s="109" t="n"/>
      <c r="O295" s="109" t="n"/>
      <c r="P295" s="109" t="n"/>
      <c r="T295" s="109" t="n"/>
      <c r="U295" s="109" t="n"/>
      <c r="V295" s="109" t="n"/>
      <c r="Z295" s="109" t="n"/>
      <c r="AA295" s="109" t="n"/>
      <c r="AB295" s="109" t="n"/>
      <c r="AF295" s="109" t="n"/>
      <c r="AG295" s="109" t="n"/>
      <c r="AH295" s="109" t="n"/>
      <c r="AL295" s="109" t="n"/>
      <c r="AM295" s="109" t="n"/>
      <c r="AN295" s="109" t="n"/>
    </row>
    <row r="296" ht="15.75" customHeight="1" s="216">
      <c r="D296" s="109" t="n"/>
      <c r="E296" s="109" t="n"/>
      <c r="J296" s="109" t="n"/>
      <c r="K296" s="109" t="n"/>
      <c r="L296" s="109" t="n"/>
      <c r="N296" s="109" t="n"/>
      <c r="O296" s="109" t="n"/>
      <c r="P296" s="109" t="n"/>
      <c r="T296" s="109" t="n"/>
      <c r="U296" s="109" t="n"/>
      <c r="V296" s="109" t="n"/>
      <c r="Z296" s="109" t="n"/>
      <c r="AA296" s="109" t="n"/>
      <c r="AB296" s="109" t="n"/>
      <c r="AF296" s="109" t="n"/>
      <c r="AG296" s="109" t="n"/>
      <c r="AH296" s="109" t="n"/>
      <c r="AL296" s="109" t="n"/>
      <c r="AM296" s="109" t="n"/>
      <c r="AN296" s="109" t="n"/>
    </row>
    <row r="297" ht="15.75" customHeight="1" s="216">
      <c r="D297" s="109" t="n"/>
      <c r="E297" s="109" t="n"/>
      <c r="J297" s="109" t="n"/>
      <c r="K297" s="109" t="n"/>
      <c r="L297" s="109" t="n"/>
      <c r="N297" s="109" t="n"/>
      <c r="O297" s="109" t="n"/>
      <c r="P297" s="109" t="n"/>
      <c r="T297" s="109" t="n"/>
      <c r="U297" s="109" t="n"/>
      <c r="V297" s="109" t="n"/>
      <c r="Z297" s="109" t="n"/>
      <c r="AA297" s="109" t="n"/>
      <c r="AB297" s="109" t="n"/>
      <c r="AF297" s="109" t="n"/>
      <c r="AG297" s="109" t="n"/>
      <c r="AH297" s="109" t="n"/>
      <c r="AL297" s="109" t="n"/>
      <c r="AM297" s="109" t="n"/>
      <c r="AN297" s="109" t="n"/>
    </row>
    <row r="298" ht="15.75" customHeight="1" s="216">
      <c r="D298" s="109" t="n"/>
      <c r="E298" s="109" t="n"/>
      <c r="J298" s="109" t="n"/>
      <c r="K298" s="109" t="n"/>
      <c r="L298" s="109" t="n"/>
      <c r="N298" s="109" t="n"/>
      <c r="O298" s="109" t="n"/>
      <c r="P298" s="109" t="n"/>
      <c r="T298" s="109" t="n"/>
      <c r="U298" s="109" t="n"/>
      <c r="V298" s="109" t="n"/>
      <c r="Z298" s="109" t="n"/>
      <c r="AA298" s="109" t="n"/>
      <c r="AB298" s="109" t="n"/>
      <c r="AF298" s="109" t="n"/>
      <c r="AG298" s="109" t="n"/>
      <c r="AH298" s="109" t="n"/>
      <c r="AL298" s="109" t="n"/>
      <c r="AM298" s="109" t="n"/>
      <c r="AN298" s="109" t="n"/>
    </row>
    <row r="299" ht="15.75" customHeight="1" s="216">
      <c r="D299" s="109" t="n"/>
      <c r="E299" s="109" t="n"/>
      <c r="J299" s="109" t="n"/>
      <c r="K299" s="109" t="n"/>
      <c r="L299" s="109" t="n"/>
      <c r="N299" s="109" t="n"/>
      <c r="O299" s="109" t="n"/>
      <c r="P299" s="109" t="n"/>
      <c r="T299" s="109" t="n"/>
      <c r="U299" s="109" t="n"/>
      <c r="V299" s="109" t="n"/>
      <c r="Z299" s="109" t="n"/>
      <c r="AA299" s="109" t="n"/>
      <c r="AB299" s="109" t="n"/>
      <c r="AF299" s="109" t="n"/>
      <c r="AG299" s="109" t="n"/>
      <c r="AH299" s="109" t="n"/>
      <c r="AL299" s="109" t="n"/>
      <c r="AM299" s="109" t="n"/>
      <c r="AN299" s="109" t="n"/>
    </row>
    <row r="300" ht="15.75" customHeight="1" s="216">
      <c r="D300" s="109" t="n"/>
      <c r="E300" s="109" t="n"/>
      <c r="J300" s="109" t="n"/>
      <c r="K300" s="109" t="n"/>
      <c r="L300" s="109" t="n"/>
      <c r="N300" s="109" t="n"/>
      <c r="O300" s="109" t="n"/>
      <c r="P300" s="109" t="n"/>
      <c r="T300" s="109" t="n"/>
      <c r="U300" s="109" t="n"/>
      <c r="V300" s="109" t="n"/>
      <c r="Z300" s="109" t="n"/>
      <c r="AA300" s="109" t="n"/>
      <c r="AB300" s="109" t="n"/>
      <c r="AF300" s="109" t="n"/>
      <c r="AG300" s="109" t="n"/>
      <c r="AH300" s="109" t="n"/>
      <c r="AL300" s="109" t="n"/>
      <c r="AM300" s="109" t="n"/>
      <c r="AN300" s="109" t="n"/>
    </row>
    <row r="301" ht="15.75" customHeight="1" s="216">
      <c r="D301" s="109" t="n"/>
      <c r="E301" s="109" t="n"/>
      <c r="J301" s="109" t="n"/>
      <c r="K301" s="109" t="n"/>
      <c r="L301" s="109" t="n"/>
      <c r="N301" s="109" t="n"/>
      <c r="O301" s="109" t="n"/>
      <c r="P301" s="109" t="n"/>
      <c r="T301" s="109" t="n"/>
      <c r="U301" s="109" t="n"/>
      <c r="V301" s="109" t="n"/>
      <c r="Z301" s="109" t="n"/>
      <c r="AA301" s="109" t="n"/>
      <c r="AB301" s="109" t="n"/>
      <c r="AF301" s="109" t="n"/>
      <c r="AG301" s="109" t="n"/>
      <c r="AH301" s="109" t="n"/>
      <c r="AL301" s="109" t="n"/>
      <c r="AM301" s="109" t="n"/>
      <c r="AN301" s="109" t="n"/>
    </row>
    <row r="302" ht="15.75" customHeight="1" s="216">
      <c r="D302" s="109" t="n"/>
      <c r="E302" s="109" t="n"/>
      <c r="J302" s="109" t="n"/>
      <c r="K302" s="109" t="n"/>
      <c r="L302" s="109" t="n"/>
      <c r="N302" s="109" t="n"/>
      <c r="O302" s="109" t="n"/>
      <c r="P302" s="109" t="n"/>
      <c r="T302" s="109" t="n"/>
      <c r="U302" s="109" t="n"/>
      <c r="V302" s="109" t="n"/>
      <c r="Z302" s="109" t="n"/>
      <c r="AA302" s="109" t="n"/>
      <c r="AB302" s="109" t="n"/>
      <c r="AF302" s="109" t="n"/>
      <c r="AG302" s="109" t="n"/>
      <c r="AH302" s="109" t="n"/>
      <c r="AL302" s="109" t="n"/>
      <c r="AM302" s="109" t="n"/>
      <c r="AN302" s="109" t="n"/>
    </row>
    <row r="303" ht="15.75" customHeight="1" s="216">
      <c r="D303" s="109" t="n"/>
      <c r="E303" s="109" t="n"/>
      <c r="J303" s="109" t="n"/>
      <c r="K303" s="109" t="n"/>
      <c r="L303" s="109" t="n"/>
      <c r="N303" s="109" t="n"/>
      <c r="O303" s="109" t="n"/>
      <c r="P303" s="109" t="n"/>
      <c r="T303" s="109" t="n"/>
      <c r="U303" s="109" t="n"/>
      <c r="V303" s="109" t="n"/>
      <c r="Z303" s="109" t="n"/>
      <c r="AA303" s="109" t="n"/>
      <c r="AB303" s="109" t="n"/>
      <c r="AF303" s="109" t="n"/>
      <c r="AG303" s="109" t="n"/>
      <c r="AH303" s="109" t="n"/>
      <c r="AL303" s="109" t="n"/>
      <c r="AM303" s="109" t="n"/>
      <c r="AN303" s="109" t="n"/>
    </row>
    <row r="304" ht="15.75" customHeight="1" s="216">
      <c r="D304" s="109" t="n"/>
      <c r="E304" s="109" t="n"/>
      <c r="J304" s="109" t="n"/>
      <c r="K304" s="109" t="n"/>
      <c r="L304" s="109" t="n"/>
      <c r="N304" s="109" t="n"/>
      <c r="O304" s="109" t="n"/>
      <c r="P304" s="109" t="n"/>
      <c r="T304" s="109" t="n"/>
      <c r="U304" s="109" t="n"/>
      <c r="V304" s="109" t="n"/>
      <c r="Z304" s="109" t="n"/>
      <c r="AA304" s="109" t="n"/>
      <c r="AB304" s="109" t="n"/>
      <c r="AF304" s="109" t="n"/>
      <c r="AG304" s="109" t="n"/>
      <c r="AH304" s="109" t="n"/>
      <c r="AL304" s="109" t="n"/>
      <c r="AM304" s="109" t="n"/>
      <c r="AN304" s="109" t="n"/>
    </row>
    <row r="305" ht="15.75" customHeight="1" s="216">
      <c r="D305" s="109" t="n"/>
      <c r="E305" s="109" t="n"/>
      <c r="J305" s="109" t="n"/>
      <c r="K305" s="109" t="n"/>
      <c r="L305" s="109" t="n"/>
      <c r="N305" s="109" t="n"/>
      <c r="O305" s="109" t="n"/>
      <c r="P305" s="109" t="n"/>
      <c r="T305" s="109" t="n"/>
      <c r="U305" s="109" t="n"/>
      <c r="V305" s="109" t="n"/>
      <c r="Z305" s="109" t="n"/>
      <c r="AA305" s="109" t="n"/>
      <c r="AB305" s="109" t="n"/>
      <c r="AF305" s="109" t="n"/>
      <c r="AG305" s="109" t="n"/>
      <c r="AH305" s="109" t="n"/>
      <c r="AL305" s="109" t="n"/>
      <c r="AM305" s="109" t="n"/>
      <c r="AN305" s="109" t="n"/>
    </row>
    <row r="306" ht="15.75" customHeight="1" s="216">
      <c r="D306" s="109" t="n"/>
      <c r="E306" s="109" t="n"/>
      <c r="J306" s="109" t="n"/>
      <c r="K306" s="109" t="n"/>
      <c r="L306" s="109" t="n"/>
      <c r="N306" s="109" t="n"/>
      <c r="O306" s="109" t="n"/>
      <c r="P306" s="109" t="n"/>
      <c r="T306" s="109" t="n"/>
      <c r="U306" s="109" t="n"/>
      <c r="V306" s="109" t="n"/>
      <c r="Z306" s="109" t="n"/>
      <c r="AA306" s="109" t="n"/>
      <c r="AB306" s="109" t="n"/>
      <c r="AF306" s="109" t="n"/>
      <c r="AG306" s="109" t="n"/>
      <c r="AH306" s="109" t="n"/>
      <c r="AL306" s="109" t="n"/>
      <c r="AM306" s="109" t="n"/>
      <c r="AN306" s="109" t="n"/>
    </row>
    <row r="307" ht="15.75" customHeight="1" s="216">
      <c r="D307" s="109" t="n"/>
      <c r="E307" s="109" t="n"/>
      <c r="J307" s="109" t="n"/>
      <c r="K307" s="109" t="n"/>
      <c r="L307" s="109" t="n"/>
      <c r="N307" s="109" t="n"/>
      <c r="O307" s="109" t="n"/>
      <c r="P307" s="109" t="n"/>
      <c r="T307" s="109" t="n"/>
      <c r="U307" s="109" t="n"/>
      <c r="V307" s="109" t="n"/>
      <c r="Z307" s="109" t="n"/>
      <c r="AA307" s="109" t="n"/>
      <c r="AB307" s="109" t="n"/>
      <c r="AF307" s="109" t="n"/>
      <c r="AG307" s="109" t="n"/>
      <c r="AH307" s="109" t="n"/>
      <c r="AL307" s="109" t="n"/>
      <c r="AM307" s="109" t="n"/>
      <c r="AN307" s="109" t="n"/>
    </row>
    <row r="308" ht="15.75" customHeight="1" s="216">
      <c r="D308" s="109" t="n"/>
      <c r="E308" s="109" t="n"/>
      <c r="J308" s="109" t="n"/>
      <c r="K308" s="109" t="n"/>
      <c r="L308" s="109" t="n"/>
      <c r="N308" s="109" t="n"/>
      <c r="O308" s="109" t="n"/>
      <c r="P308" s="109" t="n"/>
      <c r="T308" s="109" t="n"/>
      <c r="U308" s="109" t="n"/>
      <c r="V308" s="109" t="n"/>
      <c r="Z308" s="109" t="n"/>
      <c r="AA308" s="109" t="n"/>
      <c r="AB308" s="109" t="n"/>
      <c r="AF308" s="109" t="n"/>
      <c r="AG308" s="109" t="n"/>
      <c r="AH308" s="109" t="n"/>
      <c r="AL308" s="109" t="n"/>
      <c r="AM308" s="109" t="n"/>
      <c r="AN308" s="109" t="n"/>
    </row>
    <row r="309" ht="15.75" customHeight="1" s="216">
      <c r="D309" s="109" t="n"/>
      <c r="E309" s="109" t="n"/>
      <c r="J309" s="109" t="n"/>
      <c r="K309" s="109" t="n"/>
      <c r="L309" s="109" t="n"/>
      <c r="N309" s="109" t="n"/>
      <c r="O309" s="109" t="n"/>
      <c r="P309" s="109" t="n"/>
      <c r="T309" s="109" t="n"/>
      <c r="U309" s="109" t="n"/>
      <c r="V309" s="109" t="n"/>
      <c r="Z309" s="109" t="n"/>
      <c r="AA309" s="109" t="n"/>
      <c r="AB309" s="109" t="n"/>
      <c r="AF309" s="109" t="n"/>
      <c r="AG309" s="109" t="n"/>
      <c r="AH309" s="109" t="n"/>
      <c r="AL309" s="109" t="n"/>
      <c r="AM309" s="109" t="n"/>
      <c r="AN309" s="109" t="n"/>
    </row>
    <row r="310" ht="15.75" customHeight="1" s="216">
      <c r="D310" s="109" t="n"/>
      <c r="E310" s="109" t="n"/>
      <c r="J310" s="109" t="n"/>
      <c r="K310" s="109" t="n"/>
      <c r="L310" s="109" t="n"/>
      <c r="N310" s="109" t="n"/>
      <c r="O310" s="109" t="n"/>
      <c r="P310" s="109" t="n"/>
      <c r="T310" s="109" t="n"/>
      <c r="U310" s="109" t="n"/>
      <c r="V310" s="109" t="n"/>
      <c r="Z310" s="109" t="n"/>
      <c r="AA310" s="109" t="n"/>
      <c r="AB310" s="109" t="n"/>
      <c r="AF310" s="109" t="n"/>
      <c r="AG310" s="109" t="n"/>
      <c r="AH310" s="109" t="n"/>
      <c r="AL310" s="109" t="n"/>
      <c r="AM310" s="109" t="n"/>
      <c r="AN310" s="109" t="n"/>
    </row>
    <row r="311" ht="15.75" customHeight="1" s="216">
      <c r="D311" s="109" t="n"/>
      <c r="E311" s="109" t="n"/>
      <c r="J311" s="109" t="n"/>
      <c r="K311" s="109" t="n"/>
      <c r="L311" s="109" t="n"/>
      <c r="N311" s="109" t="n"/>
      <c r="O311" s="109" t="n"/>
      <c r="P311" s="109" t="n"/>
      <c r="T311" s="109" t="n"/>
      <c r="U311" s="109" t="n"/>
      <c r="V311" s="109" t="n"/>
      <c r="Z311" s="109" t="n"/>
      <c r="AA311" s="109" t="n"/>
      <c r="AB311" s="109" t="n"/>
      <c r="AF311" s="109" t="n"/>
      <c r="AG311" s="109" t="n"/>
      <c r="AH311" s="109" t="n"/>
      <c r="AL311" s="109" t="n"/>
      <c r="AM311" s="109" t="n"/>
      <c r="AN311" s="109" t="n"/>
    </row>
    <row r="312" ht="15.75" customHeight="1" s="216">
      <c r="D312" s="109" t="n"/>
      <c r="E312" s="109" t="n"/>
      <c r="J312" s="109" t="n"/>
      <c r="K312" s="109" t="n"/>
      <c r="L312" s="109" t="n"/>
      <c r="N312" s="109" t="n"/>
      <c r="O312" s="109" t="n"/>
      <c r="P312" s="109" t="n"/>
      <c r="T312" s="109" t="n"/>
      <c r="U312" s="109" t="n"/>
      <c r="V312" s="109" t="n"/>
      <c r="Z312" s="109" t="n"/>
      <c r="AA312" s="109" t="n"/>
      <c r="AB312" s="109" t="n"/>
      <c r="AF312" s="109" t="n"/>
      <c r="AG312" s="109" t="n"/>
      <c r="AH312" s="109" t="n"/>
      <c r="AL312" s="109" t="n"/>
      <c r="AM312" s="109" t="n"/>
      <c r="AN312" s="109" t="n"/>
    </row>
    <row r="313" ht="15.75" customHeight="1" s="216">
      <c r="D313" s="109" t="n"/>
      <c r="E313" s="109" t="n"/>
      <c r="J313" s="109" t="n"/>
      <c r="K313" s="109" t="n"/>
      <c r="L313" s="109" t="n"/>
      <c r="N313" s="109" t="n"/>
      <c r="O313" s="109" t="n"/>
      <c r="P313" s="109" t="n"/>
      <c r="T313" s="109" t="n"/>
      <c r="U313" s="109" t="n"/>
      <c r="V313" s="109" t="n"/>
      <c r="Z313" s="109" t="n"/>
      <c r="AA313" s="109" t="n"/>
      <c r="AB313" s="109" t="n"/>
      <c r="AF313" s="109" t="n"/>
      <c r="AG313" s="109" t="n"/>
      <c r="AH313" s="109" t="n"/>
      <c r="AL313" s="109" t="n"/>
      <c r="AM313" s="109" t="n"/>
      <c r="AN313" s="109" t="n"/>
    </row>
    <row r="314" ht="15.75" customHeight="1" s="216">
      <c r="D314" s="109" t="n"/>
      <c r="E314" s="109" t="n"/>
      <c r="J314" s="109" t="n"/>
      <c r="K314" s="109" t="n"/>
      <c r="L314" s="109" t="n"/>
      <c r="N314" s="109" t="n"/>
      <c r="O314" s="109" t="n"/>
      <c r="P314" s="109" t="n"/>
      <c r="T314" s="109" t="n"/>
      <c r="U314" s="109" t="n"/>
      <c r="V314" s="109" t="n"/>
      <c r="Z314" s="109" t="n"/>
      <c r="AA314" s="109" t="n"/>
      <c r="AB314" s="109" t="n"/>
      <c r="AF314" s="109" t="n"/>
      <c r="AG314" s="109" t="n"/>
      <c r="AH314" s="109" t="n"/>
      <c r="AL314" s="109" t="n"/>
      <c r="AM314" s="109" t="n"/>
      <c r="AN314" s="109" t="n"/>
    </row>
    <row r="315" ht="15.75" customHeight="1" s="216">
      <c r="D315" s="109" t="n"/>
      <c r="E315" s="109" t="n"/>
      <c r="J315" s="109" t="n"/>
      <c r="K315" s="109" t="n"/>
      <c r="L315" s="109" t="n"/>
      <c r="N315" s="109" t="n"/>
      <c r="O315" s="109" t="n"/>
      <c r="P315" s="109" t="n"/>
      <c r="T315" s="109" t="n"/>
      <c r="U315" s="109" t="n"/>
      <c r="V315" s="109" t="n"/>
      <c r="Z315" s="109" t="n"/>
      <c r="AA315" s="109" t="n"/>
      <c r="AB315" s="109" t="n"/>
      <c r="AF315" s="109" t="n"/>
      <c r="AG315" s="109" t="n"/>
      <c r="AH315" s="109" t="n"/>
      <c r="AL315" s="109" t="n"/>
      <c r="AM315" s="109" t="n"/>
      <c r="AN315" s="109" t="n"/>
    </row>
    <row r="316" ht="15.75" customHeight="1" s="216">
      <c r="D316" s="109" t="n"/>
      <c r="E316" s="109" t="n"/>
      <c r="J316" s="109" t="n"/>
      <c r="K316" s="109" t="n"/>
      <c r="L316" s="109" t="n"/>
      <c r="N316" s="109" t="n"/>
      <c r="O316" s="109" t="n"/>
      <c r="P316" s="109" t="n"/>
      <c r="T316" s="109" t="n"/>
      <c r="U316" s="109" t="n"/>
      <c r="V316" s="109" t="n"/>
      <c r="Z316" s="109" t="n"/>
      <c r="AA316" s="109" t="n"/>
      <c r="AB316" s="109" t="n"/>
      <c r="AF316" s="109" t="n"/>
      <c r="AG316" s="109" t="n"/>
      <c r="AH316" s="109" t="n"/>
      <c r="AL316" s="109" t="n"/>
      <c r="AM316" s="109" t="n"/>
      <c r="AN316" s="109" t="n"/>
    </row>
    <row r="317" ht="15.75" customHeight="1" s="216">
      <c r="D317" s="109" t="n"/>
      <c r="E317" s="109" t="n"/>
      <c r="J317" s="109" t="n"/>
      <c r="K317" s="109" t="n"/>
      <c r="L317" s="109" t="n"/>
      <c r="N317" s="109" t="n"/>
      <c r="O317" s="109" t="n"/>
      <c r="P317" s="109" t="n"/>
      <c r="T317" s="109" t="n"/>
      <c r="U317" s="109" t="n"/>
      <c r="V317" s="109" t="n"/>
      <c r="Z317" s="109" t="n"/>
      <c r="AA317" s="109" t="n"/>
      <c r="AB317" s="109" t="n"/>
      <c r="AF317" s="109" t="n"/>
      <c r="AG317" s="109" t="n"/>
      <c r="AH317" s="109" t="n"/>
      <c r="AL317" s="109" t="n"/>
      <c r="AM317" s="109" t="n"/>
      <c r="AN317" s="109" t="n"/>
    </row>
    <row r="318" ht="15.75" customHeight="1" s="216">
      <c r="D318" s="109" t="n"/>
      <c r="E318" s="109" t="n"/>
      <c r="J318" s="109" t="n"/>
      <c r="K318" s="109" t="n"/>
      <c r="L318" s="109" t="n"/>
      <c r="N318" s="109" t="n"/>
      <c r="O318" s="109" t="n"/>
      <c r="P318" s="109" t="n"/>
      <c r="T318" s="109" t="n"/>
      <c r="U318" s="109" t="n"/>
      <c r="V318" s="109" t="n"/>
      <c r="Z318" s="109" t="n"/>
      <c r="AA318" s="109" t="n"/>
      <c r="AB318" s="109" t="n"/>
      <c r="AF318" s="109" t="n"/>
      <c r="AG318" s="109" t="n"/>
      <c r="AH318" s="109" t="n"/>
      <c r="AL318" s="109" t="n"/>
      <c r="AM318" s="109" t="n"/>
      <c r="AN318" s="109" t="n"/>
    </row>
    <row r="319" ht="15.75" customHeight="1" s="216">
      <c r="D319" s="109" t="n"/>
      <c r="E319" s="109" t="n"/>
      <c r="J319" s="109" t="n"/>
      <c r="K319" s="109" t="n"/>
      <c r="L319" s="109" t="n"/>
      <c r="N319" s="109" t="n"/>
      <c r="O319" s="109" t="n"/>
      <c r="P319" s="109" t="n"/>
      <c r="T319" s="109" t="n"/>
      <c r="U319" s="109" t="n"/>
      <c r="V319" s="109" t="n"/>
      <c r="Z319" s="109" t="n"/>
      <c r="AA319" s="109" t="n"/>
      <c r="AB319" s="109" t="n"/>
      <c r="AF319" s="109" t="n"/>
      <c r="AG319" s="109" t="n"/>
      <c r="AH319" s="109" t="n"/>
      <c r="AL319" s="109" t="n"/>
      <c r="AM319" s="109" t="n"/>
      <c r="AN319" s="109" t="n"/>
    </row>
    <row r="320" ht="15.75" customHeight="1" s="216">
      <c r="D320" s="109" t="n"/>
      <c r="E320" s="109" t="n"/>
      <c r="J320" s="109" t="n"/>
      <c r="K320" s="109" t="n"/>
      <c r="L320" s="109" t="n"/>
      <c r="N320" s="109" t="n"/>
      <c r="O320" s="109" t="n"/>
      <c r="P320" s="109" t="n"/>
      <c r="T320" s="109" t="n"/>
      <c r="U320" s="109" t="n"/>
      <c r="V320" s="109" t="n"/>
      <c r="Z320" s="109" t="n"/>
      <c r="AA320" s="109" t="n"/>
      <c r="AB320" s="109" t="n"/>
      <c r="AF320" s="109" t="n"/>
      <c r="AG320" s="109" t="n"/>
      <c r="AH320" s="109" t="n"/>
      <c r="AL320" s="109" t="n"/>
      <c r="AM320" s="109" t="n"/>
      <c r="AN320" s="109" t="n"/>
    </row>
    <row r="321" ht="15.75" customHeight="1" s="216">
      <c r="D321" s="109" t="n"/>
      <c r="E321" s="109" t="n"/>
      <c r="J321" s="109" t="n"/>
      <c r="K321" s="109" t="n"/>
      <c r="L321" s="109" t="n"/>
      <c r="N321" s="109" t="n"/>
      <c r="O321" s="109" t="n"/>
      <c r="P321" s="109" t="n"/>
      <c r="T321" s="109" t="n"/>
      <c r="U321" s="109" t="n"/>
      <c r="V321" s="109" t="n"/>
      <c r="Z321" s="109" t="n"/>
      <c r="AA321" s="109" t="n"/>
      <c r="AB321" s="109" t="n"/>
      <c r="AF321" s="109" t="n"/>
      <c r="AG321" s="109" t="n"/>
      <c r="AH321" s="109" t="n"/>
      <c r="AL321" s="109" t="n"/>
      <c r="AM321" s="109" t="n"/>
      <c r="AN321" s="109" t="n"/>
    </row>
    <row r="322" ht="15.75" customHeight="1" s="216">
      <c r="D322" s="109" t="n"/>
      <c r="E322" s="109" t="n"/>
      <c r="J322" s="109" t="n"/>
      <c r="K322" s="109" t="n"/>
      <c r="L322" s="109" t="n"/>
      <c r="N322" s="109" t="n"/>
      <c r="O322" s="109" t="n"/>
      <c r="P322" s="109" t="n"/>
      <c r="T322" s="109" t="n"/>
      <c r="U322" s="109" t="n"/>
      <c r="V322" s="109" t="n"/>
      <c r="Z322" s="109" t="n"/>
      <c r="AA322" s="109" t="n"/>
      <c r="AB322" s="109" t="n"/>
      <c r="AF322" s="109" t="n"/>
      <c r="AG322" s="109" t="n"/>
      <c r="AH322" s="109" t="n"/>
      <c r="AL322" s="109" t="n"/>
      <c r="AM322" s="109" t="n"/>
      <c r="AN322" s="109" t="n"/>
    </row>
    <row r="323" ht="15.75" customHeight="1" s="216">
      <c r="D323" s="109" t="n"/>
      <c r="E323" s="109" t="n"/>
      <c r="J323" s="109" t="n"/>
      <c r="K323" s="109" t="n"/>
      <c r="L323" s="109" t="n"/>
      <c r="N323" s="109" t="n"/>
      <c r="O323" s="109" t="n"/>
      <c r="P323" s="109" t="n"/>
      <c r="T323" s="109" t="n"/>
      <c r="U323" s="109" t="n"/>
      <c r="V323" s="109" t="n"/>
      <c r="Z323" s="109" t="n"/>
      <c r="AA323" s="109" t="n"/>
      <c r="AB323" s="109" t="n"/>
      <c r="AF323" s="109" t="n"/>
      <c r="AG323" s="109" t="n"/>
      <c r="AH323" s="109" t="n"/>
      <c r="AL323" s="109" t="n"/>
      <c r="AM323" s="109" t="n"/>
      <c r="AN323" s="109" t="n"/>
    </row>
    <row r="324" ht="15.75" customHeight="1" s="216">
      <c r="D324" s="109" t="n"/>
      <c r="E324" s="109" t="n"/>
      <c r="J324" s="109" t="n"/>
      <c r="K324" s="109" t="n"/>
      <c r="L324" s="109" t="n"/>
      <c r="N324" s="109" t="n"/>
      <c r="O324" s="109" t="n"/>
      <c r="P324" s="109" t="n"/>
      <c r="T324" s="109" t="n"/>
      <c r="U324" s="109" t="n"/>
      <c r="V324" s="109" t="n"/>
      <c r="Z324" s="109" t="n"/>
      <c r="AA324" s="109" t="n"/>
      <c r="AB324" s="109" t="n"/>
      <c r="AF324" s="109" t="n"/>
      <c r="AG324" s="109" t="n"/>
      <c r="AH324" s="109" t="n"/>
      <c r="AL324" s="109" t="n"/>
      <c r="AM324" s="109" t="n"/>
      <c r="AN324" s="109" t="n"/>
    </row>
    <row r="325" ht="15.75" customHeight="1" s="216">
      <c r="D325" s="109" t="n"/>
      <c r="E325" s="109" t="n"/>
      <c r="J325" s="109" t="n"/>
      <c r="K325" s="109" t="n"/>
      <c r="L325" s="109" t="n"/>
      <c r="N325" s="109" t="n"/>
      <c r="O325" s="109" t="n"/>
      <c r="P325" s="109" t="n"/>
      <c r="T325" s="109" t="n"/>
      <c r="U325" s="109" t="n"/>
      <c r="V325" s="109" t="n"/>
      <c r="Z325" s="109" t="n"/>
      <c r="AA325" s="109" t="n"/>
      <c r="AB325" s="109" t="n"/>
      <c r="AF325" s="109" t="n"/>
      <c r="AG325" s="109" t="n"/>
      <c r="AH325" s="109" t="n"/>
      <c r="AL325" s="109" t="n"/>
      <c r="AM325" s="109" t="n"/>
      <c r="AN325" s="109" t="n"/>
    </row>
    <row r="326" ht="15.75" customHeight="1" s="216">
      <c r="D326" s="109" t="n"/>
      <c r="E326" s="109" t="n"/>
      <c r="J326" s="109" t="n"/>
      <c r="K326" s="109" t="n"/>
      <c r="L326" s="109" t="n"/>
      <c r="N326" s="109" t="n"/>
      <c r="O326" s="109" t="n"/>
      <c r="P326" s="109" t="n"/>
      <c r="T326" s="109" t="n"/>
      <c r="U326" s="109" t="n"/>
      <c r="V326" s="109" t="n"/>
      <c r="Z326" s="109" t="n"/>
      <c r="AA326" s="109" t="n"/>
      <c r="AB326" s="109" t="n"/>
      <c r="AF326" s="109" t="n"/>
      <c r="AG326" s="109" t="n"/>
      <c r="AH326" s="109" t="n"/>
      <c r="AL326" s="109" t="n"/>
      <c r="AM326" s="109" t="n"/>
      <c r="AN326" s="109" t="n"/>
    </row>
    <row r="327" ht="15.75" customHeight="1" s="216">
      <c r="D327" s="109" t="n"/>
      <c r="E327" s="109" t="n"/>
      <c r="J327" s="109" t="n"/>
      <c r="K327" s="109" t="n"/>
      <c r="L327" s="109" t="n"/>
      <c r="N327" s="109" t="n"/>
      <c r="O327" s="109" t="n"/>
      <c r="P327" s="109" t="n"/>
      <c r="T327" s="109" t="n"/>
      <c r="U327" s="109" t="n"/>
      <c r="V327" s="109" t="n"/>
      <c r="Z327" s="109" t="n"/>
      <c r="AA327" s="109" t="n"/>
      <c r="AB327" s="109" t="n"/>
      <c r="AF327" s="109" t="n"/>
      <c r="AG327" s="109" t="n"/>
      <c r="AH327" s="109" t="n"/>
      <c r="AL327" s="109" t="n"/>
      <c r="AM327" s="109" t="n"/>
      <c r="AN327" s="109" t="n"/>
    </row>
    <row r="328" ht="15.75" customHeight="1" s="216">
      <c r="D328" s="109" t="n"/>
      <c r="E328" s="109" t="n"/>
      <c r="J328" s="109" t="n"/>
      <c r="K328" s="109" t="n"/>
      <c r="L328" s="109" t="n"/>
      <c r="N328" s="109" t="n"/>
      <c r="O328" s="109" t="n"/>
      <c r="P328" s="109" t="n"/>
      <c r="T328" s="109" t="n"/>
      <c r="U328" s="109" t="n"/>
      <c r="V328" s="109" t="n"/>
      <c r="Z328" s="109" t="n"/>
      <c r="AA328" s="109" t="n"/>
      <c r="AB328" s="109" t="n"/>
      <c r="AF328" s="109" t="n"/>
      <c r="AG328" s="109" t="n"/>
      <c r="AH328" s="109" t="n"/>
      <c r="AL328" s="109" t="n"/>
      <c r="AM328" s="109" t="n"/>
      <c r="AN328" s="109" t="n"/>
    </row>
    <row r="329" ht="15.75" customHeight="1" s="216">
      <c r="D329" s="109" t="n"/>
      <c r="E329" s="109" t="n"/>
      <c r="J329" s="109" t="n"/>
      <c r="K329" s="109" t="n"/>
      <c r="L329" s="109" t="n"/>
      <c r="N329" s="109" t="n"/>
      <c r="O329" s="109" t="n"/>
      <c r="P329" s="109" t="n"/>
      <c r="T329" s="109" t="n"/>
      <c r="U329" s="109" t="n"/>
      <c r="V329" s="109" t="n"/>
      <c r="Z329" s="109" t="n"/>
      <c r="AA329" s="109" t="n"/>
      <c r="AB329" s="109" t="n"/>
      <c r="AF329" s="109" t="n"/>
      <c r="AG329" s="109" t="n"/>
      <c r="AH329" s="109" t="n"/>
      <c r="AL329" s="109" t="n"/>
      <c r="AM329" s="109" t="n"/>
      <c r="AN329" s="109" t="n"/>
    </row>
    <row r="330" ht="15.75" customHeight="1" s="216">
      <c r="D330" s="109" t="n"/>
      <c r="E330" s="109" t="n"/>
      <c r="J330" s="109" t="n"/>
      <c r="K330" s="109" t="n"/>
      <c r="L330" s="109" t="n"/>
      <c r="N330" s="109" t="n"/>
      <c r="O330" s="109" t="n"/>
      <c r="P330" s="109" t="n"/>
      <c r="T330" s="109" t="n"/>
      <c r="U330" s="109" t="n"/>
      <c r="V330" s="109" t="n"/>
      <c r="Z330" s="109" t="n"/>
      <c r="AA330" s="109" t="n"/>
      <c r="AB330" s="109" t="n"/>
      <c r="AF330" s="109" t="n"/>
      <c r="AG330" s="109" t="n"/>
      <c r="AH330" s="109" t="n"/>
      <c r="AL330" s="109" t="n"/>
      <c r="AM330" s="109" t="n"/>
      <c r="AN330" s="109" t="n"/>
    </row>
    <row r="331" ht="15.75" customHeight="1" s="216">
      <c r="D331" s="109" t="n"/>
      <c r="E331" s="109" t="n"/>
      <c r="J331" s="109" t="n"/>
      <c r="K331" s="109" t="n"/>
      <c r="L331" s="109" t="n"/>
      <c r="N331" s="109" t="n"/>
      <c r="O331" s="109" t="n"/>
      <c r="P331" s="109" t="n"/>
      <c r="T331" s="109" t="n"/>
      <c r="U331" s="109" t="n"/>
      <c r="V331" s="109" t="n"/>
      <c r="Z331" s="109" t="n"/>
      <c r="AA331" s="109" t="n"/>
      <c r="AB331" s="109" t="n"/>
      <c r="AF331" s="109" t="n"/>
      <c r="AG331" s="109" t="n"/>
      <c r="AH331" s="109" t="n"/>
      <c r="AL331" s="109" t="n"/>
      <c r="AM331" s="109" t="n"/>
      <c r="AN331" s="109" t="n"/>
    </row>
    <row r="332" ht="15.75" customHeight="1" s="216">
      <c r="D332" s="109" t="n"/>
      <c r="E332" s="109" t="n"/>
      <c r="J332" s="109" t="n"/>
      <c r="K332" s="109" t="n"/>
      <c r="L332" s="109" t="n"/>
      <c r="N332" s="109" t="n"/>
      <c r="O332" s="109" t="n"/>
      <c r="P332" s="109" t="n"/>
      <c r="T332" s="109" t="n"/>
      <c r="U332" s="109" t="n"/>
      <c r="V332" s="109" t="n"/>
      <c r="Z332" s="109" t="n"/>
      <c r="AA332" s="109" t="n"/>
      <c r="AB332" s="109" t="n"/>
      <c r="AF332" s="109" t="n"/>
      <c r="AG332" s="109" t="n"/>
      <c r="AH332" s="109" t="n"/>
      <c r="AL332" s="109" t="n"/>
      <c r="AM332" s="109" t="n"/>
      <c r="AN332" s="109" t="n"/>
    </row>
    <row r="333" ht="15.75" customHeight="1" s="216">
      <c r="D333" s="109" t="n"/>
      <c r="E333" s="109" t="n"/>
      <c r="J333" s="109" t="n"/>
      <c r="K333" s="109" t="n"/>
      <c r="L333" s="109" t="n"/>
      <c r="N333" s="109" t="n"/>
      <c r="O333" s="109" t="n"/>
      <c r="P333" s="109" t="n"/>
      <c r="T333" s="109" t="n"/>
      <c r="U333" s="109" t="n"/>
      <c r="V333" s="109" t="n"/>
      <c r="Z333" s="109" t="n"/>
      <c r="AA333" s="109" t="n"/>
      <c r="AB333" s="109" t="n"/>
      <c r="AF333" s="109" t="n"/>
      <c r="AG333" s="109" t="n"/>
      <c r="AH333" s="109" t="n"/>
      <c r="AL333" s="109" t="n"/>
      <c r="AM333" s="109" t="n"/>
      <c r="AN333" s="109" t="n"/>
    </row>
    <row r="334" ht="15.75" customHeight="1" s="216">
      <c r="D334" s="109" t="n"/>
      <c r="E334" s="109" t="n"/>
      <c r="J334" s="109" t="n"/>
      <c r="K334" s="109" t="n"/>
      <c r="L334" s="109" t="n"/>
      <c r="N334" s="109" t="n"/>
      <c r="O334" s="109" t="n"/>
      <c r="P334" s="109" t="n"/>
      <c r="T334" s="109" t="n"/>
      <c r="U334" s="109" t="n"/>
      <c r="V334" s="109" t="n"/>
      <c r="Z334" s="109" t="n"/>
      <c r="AA334" s="109" t="n"/>
      <c r="AB334" s="109" t="n"/>
      <c r="AF334" s="109" t="n"/>
      <c r="AG334" s="109" t="n"/>
      <c r="AH334" s="109" t="n"/>
      <c r="AL334" s="109" t="n"/>
      <c r="AM334" s="109" t="n"/>
      <c r="AN334" s="109" t="n"/>
    </row>
    <row r="335" ht="15.75" customHeight="1" s="216">
      <c r="D335" s="109" t="n"/>
      <c r="E335" s="109" t="n"/>
      <c r="J335" s="109" t="n"/>
      <c r="K335" s="109" t="n"/>
      <c r="L335" s="109" t="n"/>
      <c r="N335" s="109" t="n"/>
      <c r="O335" s="109" t="n"/>
      <c r="P335" s="109" t="n"/>
      <c r="T335" s="109" t="n"/>
      <c r="U335" s="109" t="n"/>
      <c r="V335" s="109" t="n"/>
      <c r="Z335" s="109" t="n"/>
      <c r="AA335" s="109" t="n"/>
      <c r="AB335" s="109" t="n"/>
      <c r="AF335" s="109" t="n"/>
      <c r="AG335" s="109" t="n"/>
      <c r="AH335" s="109" t="n"/>
      <c r="AL335" s="109" t="n"/>
      <c r="AM335" s="109" t="n"/>
      <c r="AN335" s="109" t="n"/>
    </row>
    <row r="336" ht="15.75" customHeight="1" s="216">
      <c r="D336" s="109" t="n"/>
      <c r="E336" s="109" t="n"/>
      <c r="J336" s="109" t="n"/>
      <c r="K336" s="109" t="n"/>
      <c r="L336" s="109" t="n"/>
      <c r="N336" s="109" t="n"/>
      <c r="O336" s="109" t="n"/>
      <c r="P336" s="109" t="n"/>
      <c r="T336" s="109" t="n"/>
      <c r="U336" s="109" t="n"/>
      <c r="V336" s="109" t="n"/>
      <c r="Z336" s="109" t="n"/>
      <c r="AA336" s="109" t="n"/>
      <c r="AB336" s="109" t="n"/>
      <c r="AF336" s="109" t="n"/>
      <c r="AG336" s="109" t="n"/>
      <c r="AH336" s="109" t="n"/>
      <c r="AL336" s="109" t="n"/>
      <c r="AM336" s="109" t="n"/>
      <c r="AN336" s="109" t="n"/>
    </row>
    <row r="337" ht="15.75" customHeight="1" s="216">
      <c r="D337" s="109" t="n"/>
      <c r="E337" s="109" t="n"/>
      <c r="J337" s="109" t="n"/>
      <c r="K337" s="109" t="n"/>
      <c r="L337" s="109" t="n"/>
      <c r="N337" s="109" t="n"/>
      <c r="O337" s="109" t="n"/>
      <c r="P337" s="109" t="n"/>
      <c r="T337" s="109" t="n"/>
      <c r="U337" s="109" t="n"/>
      <c r="V337" s="109" t="n"/>
      <c r="Z337" s="109" t="n"/>
      <c r="AA337" s="109" t="n"/>
      <c r="AB337" s="109" t="n"/>
      <c r="AF337" s="109" t="n"/>
      <c r="AG337" s="109" t="n"/>
      <c r="AH337" s="109" t="n"/>
      <c r="AL337" s="109" t="n"/>
      <c r="AM337" s="109" t="n"/>
      <c r="AN337" s="109" t="n"/>
    </row>
    <row r="338" ht="15.75" customHeight="1" s="216">
      <c r="D338" s="109" t="n"/>
      <c r="E338" s="109" t="n"/>
      <c r="J338" s="109" t="n"/>
      <c r="K338" s="109" t="n"/>
      <c r="L338" s="109" t="n"/>
      <c r="N338" s="109" t="n"/>
      <c r="O338" s="109" t="n"/>
      <c r="P338" s="109" t="n"/>
      <c r="T338" s="109" t="n"/>
      <c r="U338" s="109" t="n"/>
      <c r="V338" s="109" t="n"/>
      <c r="Z338" s="109" t="n"/>
      <c r="AA338" s="109" t="n"/>
      <c r="AB338" s="109" t="n"/>
      <c r="AF338" s="109" t="n"/>
      <c r="AG338" s="109" t="n"/>
      <c r="AH338" s="109" t="n"/>
      <c r="AL338" s="109" t="n"/>
      <c r="AM338" s="109" t="n"/>
      <c r="AN338" s="109" t="n"/>
    </row>
    <row r="339" ht="15.75" customHeight="1" s="216">
      <c r="D339" s="109" t="n"/>
      <c r="E339" s="109" t="n"/>
      <c r="J339" s="109" t="n"/>
      <c r="K339" s="109" t="n"/>
      <c r="L339" s="109" t="n"/>
      <c r="N339" s="109" t="n"/>
      <c r="O339" s="109" t="n"/>
      <c r="P339" s="109" t="n"/>
      <c r="T339" s="109" t="n"/>
      <c r="U339" s="109" t="n"/>
      <c r="V339" s="109" t="n"/>
      <c r="Z339" s="109" t="n"/>
      <c r="AA339" s="109" t="n"/>
      <c r="AB339" s="109" t="n"/>
      <c r="AF339" s="109" t="n"/>
      <c r="AG339" s="109" t="n"/>
      <c r="AH339" s="109" t="n"/>
      <c r="AL339" s="109" t="n"/>
      <c r="AM339" s="109" t="n"/>
      <c r="AN339" s="109" t="n"/>
    </row>
    <row r="340" ht="15.75" customHeight="1" s="216">
      <c r="D340" s="109" t="n"/>
      <c r="E340" s="109" t="n"/>
      <c r="J340" s="109" t="n"/>
      <c r="K340" s="109" t="n"/>
      <c r="L340" s="109" t="n"/>
      <c r="N340" s="109" t="n"/>
      <c r="O340" s="109" t="n"/>
      <c r="P340" s="109" t="n"/>
      <c r="T340" s="109" t="n"/>
      <c r="U340" s="109" t="n"/>
      <c r="V340" s="109" t="n"/>
      <c r="Z340" s="109" t="n"/>
      <c r="AA340" s="109" t="n"/>
      <c r="AB340" s="109" t="n"/>
      <c r="AF340" s="109" t="n"/>
      <c r="AG340" s="109" t="n"/>
      <c r="AH340" s="109" t="n"/>
      <c r="AL340" s="109" t="n"/>
      <c r="AM340" s="109" t="n"/>
      <c r="AN340" s="109" t="n"/>
    </row>
    <row r="341" ht="15.75" customHeight="1" s="216">
      <c r="D341" s="109" t="n"/>
      <c r="E341" s="109" t="n"/>
      <c r="J341" s="109" t="n"/>
      <c r="K341" s="109" t="n"/>
      <c r="L341" s="109" t="n"/>
      <c r="N341" s="109" t="n"/>
      <c r="O341" s="109" t="n"/>
      <c r="P341" s="109" t="n"/>
      <c r="T341" s="109" t="n"/>
      <c r="U341" s="109" t="n"/>
      <c r="V341" s="109" t="n"/>
      <c r="Z341" s="109" t="n"/>
      <c r="AA341" s="109" t="n"/>
      <c r="AB341" s="109" t="n"/>
      <c r="AF341" s="109" t="n"/>
      <c r="AG341" s="109" t="n"/>
      <c r="AH341" s="109" t="n"/>
      <c r="AL341" s="109" t="n"/>
      <c r="AM341" s="109" t="n"/>
      <c r="AN341" s="109" t="n"/>
    </row>
    <row r="342" ht="15.75" customHeight="1" s="216">
      <c r="D342" s="109" t="n"/>
      <c r="E342" s="109" t="n"/>
      <c r="J342" s="109" t="n"/>
      <c r="K342" s="109" t="n"/>
      <c r="L342" s="109" t="n"/>
      <c r="N342" s="109" t="n"/>
      <c r="O342" s="109" t="n"/>
      <c r="P342" s="109" t="n"/>
      <c r="T342" s="109" t="n"/>
      <c r="U342" s="109" t="n"/>
      <c r="V342" s="109" t="n"/>
      <c r="Z342" s="109" t="n"/>
      <c r="AA342" s="109" t="n"/>
      <c r="AB342" s="109" t="n"/>
      <c r="AF342" s="109" t="n"/>
      <c r="AG342" s="109" t="n"/>
      <c r="AH342" s="109" t="n"/>
      <c r="AL342" s="109" t="n"/>
      <c r="AM342" s="109" t="n"/>
      <c r="AN342" s="109" t="n"/>
    </row>
    <row r="343" ht="15.75" customHeight="1" s="216">
      <c r="D343" s="109" t="n"/>
      <c r="E343" s="109" t="n"/>
      <c r="J343" s="109" t="n"/>
      <c r="K343" s="109" t="n"/>
      <c r="L343" s="109" t="n"/>
      <c r="N343" s="109" t="n"/>
      <c r="O343" s="109" t="n"/>
      <c r="P343" s="109" t="n"/>
      <c r="T343" s="109" t="n"/>
      <c r="U343" s="109" t="n"/>
      <c r="V343" s="109" t="n"/>
      <c r="Z343" s="109" t="n"/>
      <c r="AA343" s="109" t="n"/>
      <c r="AB343" s="109" t="n"/>
      <c r="AF343" s="109" t="n"/>
      <c r="AG343" s="109" t="n"/>
      <c r="AH343" s="109" t="n"/>
      <c r="AL343" s="109" t="n"/>
      <c r="AM343" s="109" t="n"/>
      <c r="AN343" s="109" t="n"/>
    </row>
    <row r="344" ht="15.75" customHeight="1" s="216">
      <c r="D344" s="109" t="n"/>
      <c r="E344" s="109" t="n"/>
      <c r="J344" s="109" t="n"/>
      <c r="K344" s="109" t="n"/>
      <c r="L344" s="109" t="n"/>
      <c r="N344" s="109" t="n"/>
      <c r="O344" s="109" t="n"/>
      <c r="P344" s="109" t="n"/>
      <c r="T344" s="109" t="n"/>
      <c r="U344" s="109" t="n"/>
      <c r="V344" s="109" t="n"/>
      <c r="Z344" s="109" t="n"/>
      <c r="AA344" s="109" t="n"/>
      <c r="AB344" s="109" t="n"/>
      <c r="AF344" s="109" t="n"/>
      <c r="AG344" s="109" t="n"/>
      <c r="AH344" s="109" t="n"/>
      <c r="AL344" s="109" t="n"/>
      <c r="AM344" s="109" t="n"/>
      <c r="AN344" s="109" t="n"/>
    </row>
    <row r="345" ht="15.75" customHeight="1" s="216">
      <c r="D345" s="109" t="n"/>
      <c r="E345" s="109" t="n"/>
      <c r="J345" s="109" t="n"/>
      <c r="K345" s="109" t="n"/>
      <c r="L345" s="109" t="n"/>
      <c r="N345" s="109" t="n"/>
      <c r="O345" s="109" t="n"/>
      <c r="P345" s="109" t="n"/>
      <c r="T345" s="109" t="n"/>
      <c r="U345" s="109" t="n"/>
      <c r="V345" s="109" t="n"/>
      <c r="Z345" s="109" t="n"/>
      <c r="AA345" s="109" t="n"/>
      <c r="AB345" s="109" t="n"/>
      <c r="AF345" s="109" t="n"/>
      <c r="AG345" s="109" t="n"/>
      <c r="AH345" s="109" t="n"/>
      <c r="AL345" s="109" t="n"/>
      <c r="AM345" s="109" t="n"/>
      <c r="AN345" s="109" t="n"/>
    </row>
    <row r="346" ht="15.75" customHeight="1" s="216">
      <c r="D346" s="109" t="n"/>
      <c r="E346" s="109" t="n"/>
      <c r="J346" s="109" t="n"/>
      <c r="K346" s="109" t="n"/>
      <c r="L346" s="109" t="n"/>
      <c r="N346" s="109" t="n"/>
      <c r="O346" s="109" t="n"/>
      <c r="P346" s="109" t="n"/>
      <c r="T346" s="109" t="n"/>
      <c r="U346" s="109" t="n"/>
      <c r="V346" s="109" t="n"/>
      <c r="Z346" s="109" t="n"/>
      <c r="AA346" s="109" t="n"/>
      <c r="AB346" s="109" t="n"/>
      <c r="AF346" s="109" t="n"/>
      <c r="AG346" s="109" t="n"/>
      <c r="AH346" s="109" t="n"/>
      <c r="AL346" s="109" t="n"/>
      <c r="AM346" s="109" t="n"/>
      <c r="AN346" s="109" t="n"/>
    </row>
    <row r="347" ht="15.75" customHeight="1" s="216">
      <c r="D347" s="109" t="n"/>
      <c r="E347" s="109" t="n"/>
      <c r="J347" s="109" t="n"/>
      <c r="K347" s="109" t="n"/>
      <c r="L347" s="109" t="n"/>
      <c r="N347" s="109" t="n"/>
      <c r="O347" s="109" t="n"/>
      <c r="P347" s="109" t="n"/>
      <c r="T347" s="109" t="n"/>
      <c r="U347" s="109" t="n"/>
      <c r="V347" s="109" t="n"/>
      <c r="Z347" s="109" t="n"/>
      <c r="AA347" s="109" t="n"/>
      <c r="AB347" s="109" t="n"/>
      <c r="AF347" s="109" t="n"/>
      <c r="AG347" s="109" t="n"/>
      <c r="AH347" s="109" t="n"/>
      <c r="AL347" s="109" t="n"/>
      <c r="AM347" s="109" t="n"/>
      <c r="AN347" s="109" t="n"/>
    </row>
    <row r="348" ht="15.75" customHeight="1" s="216">
      <c r="D348" s="109" t="n"/>
      <c r="E348" s="109" t="n"/>
      <c r="J348" s="109" t="n"/>
      <c r="K348" s="109" t="n"/>
      <c r="L348" s="109" t="n"/>
      <c r="N348" s="109" t="n"/>
      <c r="O348" s="109" t="n"/>
      <c r="P348" s="109" t="n"/>
      <c r="T348" s="109" t="n"/>
      <c r="U348" s="109" t="n"/>
      <c r="V348" s="109" t="n"/>
      <c r="Z348" s="109" t="n"/>
      <c r="AA348" s="109" t="n"/>
      <c r="AB348" s="109" t="n"/>
      <c r="AF348" s="109" t="n"/>
      <c r="AG348" s="109" t="n"/>
      <c r="AH348" s="109" t="n"/>
      <c r="AL348" s="109" t="n"/>
      <c r="AM348" s="109" t="n"/>
      <c r="AN348" s="109" t="n"/>
    </row>
    <row r="349" ht="15.75" customHeight="1" s="216">
      <c r="D349" s="109" t="n"/>
      <c r="E349" s="109" t="n"/>
      <c r="J349" s="109" t="n"/>
      <c r="K349" s="109" t="n"/>
      <c r="L349" s="109" t="n"/>
      <c r="N349" s="109" t="n"/>
      <c r="O349" s="109" t="n"/>
      <c r="P349" s="109" t="n"/>
      <c r="T349" s="109" t="n"/>
      <c r="U349" s="109" t="n"/>
      <c r="V349" s="109" t="n"/>
      <c r="Z349" s="109" t="n"/>
      <c r="AA349" s="109" t="n"/>
      <c r="AB349" s="109" t="n"/>
      <c r="AF349" s="109" t="n"/>
      <c r="AG349" s="109" t="n"/>
      <c r="AH349" s="109" t="n"/>
      <c r="AL349" s="109" t="n"/>
      <c r="AM349" s="109" t="n"/>
      <c r="AN349" s="109" t="n"/>
    </row>
    <row r="350" ht="15.75" customHeight="1" s="216">
      <c r="D350" s="109" t="n"/>
      <c r="E350" s="109" t="n"/>
      <c r="J350" s="109" t="n"/>
      <c r="K350" s="109" t="n"/>
      <c r="L350" s="109" t="n"/>
      <c r="N350" s="109" t="n"/>
      <c r="O350" s="109" t="n"/>
      <c r="P350" s="109" t="n"/>
      <c r="T350" s="109" t="n"/>
      <c r="U350" s="109" t="n"/>
      <c r="V350" s="109" t="n"/>
      <c r="Z350" s="109" t="n"/>
      <c r="AA350" s="109" t="n"/>
      <c r="AB350" s="109" t="n"/>
      <c r="AF350" s="109" t="n"/>
      <c r="AG350" s="109" t="n"/>
      <c r="AH350" s="109" t="n"/>
      <c r="AL350" s="109" t="n"/>
      <c r="AM350" s="109" t="n"/>
      <c r="AN350" s="109" t="n"/>
    </row>
    <row r="351" ht="15.75" customHeight="1" s="216">
      <c r="D351" s="109" t="n"/>
      <c r="E351" s="109" t="n"/>
      <c r="J351" s="109" t="n"/>
      <c r="K351" s="109" t="n"/>
      <c r="L351" s="109" t="n"/>
      <c r="N351" s="109" t="n"/>
      <c r="O351" s="109" t="n"/>
      <c r="P351" s="109" t="n"/>
      <c r="T351" s="109" t="n"/>
      <c r="U351" s="109" t="n"/>
      <c r="V351" s="109" t="n"/>
      <c r="Z351" s="109" t="n"/>
      <c r="AA351" s="109" t="n"/>
      <c r="AB351" s="109" t="n"/>
      <c r="AF351" s="109" t="n"/>
      <c r="AG351" s="109" t="n"/>
      <c r="AH351" s="109" t="n"/>
      <c r="AL351" s="109" t="n"/>
      <c r="AM351" s="109" t="n"/>
      <c r="AN351" s="109" t="n"/>
    </row>
    <row r="352" ht="15.75" customHeight="1" s="216">
      <c r="D352" s="109" t="n"/>
      <c r="E352" s="109" t="n"/>
      <c r="J352" s="109" t="n"/>
      <c r="K352" s="109" t="n"/>
      <c r="L352" s="109" t="n"/>
      <c r="N352" s="109" t="n"/>
      <c r="O352" s="109" t="n"/>
      <c r="P352" s="109" t="n"/>
      <c r="T352" s="109" t="n"/>
      <c r="U352" s="109" t="n"/>
      <c r="V352" s="109" t="n"/>
      <c r="Z352" s="109" t="n"/>
      <c r="AA352" s="109" t="n"/>
      <c r="AB352" s="109" t="n"/>
      <c r="AF352" s="109" t="n"/>
      <c r="AG352" s="109" t="n"/>
      <c r="AH352" s="109" t="n"/>
      <c r="AL352" s="109" t="n"/>
      <c r="AM352" s="109" t="n"/>
      <c r="AN352" s="109" t="n"/>
    </row>
    <row r="353" ht="15.75" customHeight="1" s="216">
      <c r="D353" s="109" t="n"/>
      <c r="E353" s="109" t="n"/>
      <c r="J353" s="109" t="n"/>
      <c r="K353" s="109" t="n"/>
      <c r="L353" s="109" t="n"/>
      <c r="N353" s="109" t="n"/>
      <c r="O353" s="109" t="n"/>
      <c r="P353" s="109" t="n"/>
      <c r="T353" s="109" t="n"/>
      <c r="U353" s="109" t="n"/>
      <c r="V353" s="109" t="n"/>
      <c r="Z353" s="109" t="n"/>
      <c r="AA353" s="109" t="n"/>
      <c r="AB353" s="109" t="n"/>
      <c r="AF353" s="109" t="n"/>
      <c r="AG353" s="109" t="n"/>
      <c r="AH353" s="109" t="n"/>
      <c r="AL353" s="109" t="n"/>
      <c r="AM353" s="109" t="n"/>
      <c r="AN353" s="109" t="n"/>
    </row>
    <row r="354" ht="15.75" customHeight="1" s="216">
      <c r="D354" s="109" t="n"/>
      <c r="E354" s="109" t="n"/>
      <c r="J354" s="109" t="n"/>
      <c r="K354" s="109" t="n"/>
      <c r="L354" s="109" t="n"/>
      <c r="N354" s="109" t="n"/>
      <c r="O354" s="109" t="n"/>
      <c r="P354" s="109" t="n"/>
      <c r="T354" s="109" t="n"/>
      <c r="U354" s="109" t="n"/>
      <c r="V354" s="109" t="n"/>
      <c r="Z354" s="109" t="n"/>
      <c r="AA354" s="109" t="n"/>
      <c r="AB354" s="109" t="n"/>
      <c r="AF354" s="109" t="n"/>
      <c r="AG354" s="109" t="n"/>
      <c r="AH354" s="109" t="n"/>
      <c r="AL354" s="109" t="n"/>
      <c r="AM354" s="109" t="n"/>
      <c r="AN354" s="109" t="n"/>
    </row>
    <row r="355" ht="15.75" customHeight="1" s="216">
      <c r="D355" s="109" t="n"/>
      <c r="E355" s="109" t="n"/>
      <c r="J355" s="109" t="n"/>
      <c r="K355" s="109" t="n"/>
      <c r="L355" s="109" t="n"/>
      <c r="N355" s="109" t="n"/>
      <c r="O355" s="109" t="n"/>
      <c r="P355" s="109" t="n"/>
      <c r="T355" s="109" t="n"/>
      <c r="U355" s="109" t="n"/>
      <c r="V355" s="109" t="n"/>
      <c r="Z355" s="109" t="n"/>
      <c r="AA355" s="109" t="n"/>
      <c r="AB355" s="109" t="n"/>
      <c r="AF355" s="109" t="n"/>
      <c r="AG355" s="109" t="n"/>
      <c r="AH355" s="109" t="n"/>
      <c r="AL355" s="109" t="n"/>
      <c r="AM355" s="109" t="n"/>
      <c r="AN355" s="109" t="n"/>
    </row>
    <row r="356" ht="15.75" customHeight="1" s="216">
      <c r="D356" s="109" t="n"/>
      <c r="E356" s="109" t="n"/>
      <c r="J356" s="109" t="n"/>
      <c r="K356" s="109" t="n"/>
      <c r="L356" s="109" t="n"/>
      <c r="N356" s="109" t="n"/>
      <c r="O356" s="109" t="n"/>
      <c r="P356" s="109" t="n"/>
      <c r="T356" s="109" t="n"/>
      <c r="U356" s="109" t="n"/>
      <c r="V356" s="109" t="n"/>
      <c r="Z356" s="109" t="n"/>
      <c r="AA356" s="109" t="n"/>
      <c r="AB356" s="109" t="n"/>
      <c r="AF356" s="109" t="n"/>
      <c r="AG356" s="109" t="n"/>
      <c r="AH356" s="109" t="n"/>
      <c r="AL356" s="109" t="n"/>
      <c r="AM356" s="109" t="n"/>
      <c r="AN356" s="109" t="n"/>
    </row>
    <row r="357" ht="15.75" customHeight="1" s="216">
      <c r="D357" s="109" t="n"/>
      <c r="E357" s="109" t="n"/>
      <c r="J357" s="109" t="n"/>
      <c r="K357" s="109" t="n"/>
      <c r="L357" s="109" t="n"/>
      <c r="N357" s="109" t="n"/>
      <c r="O357" s="109" t="n"/>
      <c r="P357" s="109" t="n"/>
      <c r="T357" s="109" t="n"/>
      <c r="U357" s="109" t="n"/>
      <c r="V357" s="109" t="n"/>
      <c r="Z357" s="109" t="n"/>
      <c r="AA357" s="109" t="n"/>
      <c r="AB357" s="109" t="n"/>
      <c r="AF357" s="109" t="n"/>
      <c r="AG357" s="109" t="n"/>
      <c r="AH357" s="109" t="n"/>
      <c r="AL357" s="109" t="n"/>
      <c r="AM357" s="109" t="n"/>
      <c r="AN357" s="109" t="n"/>
    </row>
    <row r="358" ht="15.75" customHeight="1" s="216">
      <c r="D358" s="109" t="n"/>
      <c r="E358" s="109" t="n"/>
      <c r="J358" s="109" t="n"/>
      <c r="K358" s="109" t="n"/>
      <c r="L358" s="109" t="n"/>
      <c r="N358" s="109" t="n"/>
      <c r="O358" s="109" t="n"/>
      <c r="P358" s="109" t="n"/>
      <c r="T358" s="109" t="n"/>
      <c r="U358" s="109" t="n"/>
      <c r="V358" s="109" t="n"/>
      <c r="Z358" s="109" t="n"/>
      <c r="AA358" s="109" t="n"/>
      <c r="AB358" s="109" t="n"/>
      <c r="AF358" s="109" t="n"/>
      <c r="AG358" s="109" t="n"/>
      <c r="AH358" s="109" t="n"/>
      <c r="AL358" s="109" t="n"/>
      <c r="AM358" s="109" t="n"/>
      <c r="AN358" s="109" t="n"/>
    </row>
    <row r="359" ht="15.75" customHeight="1" s="216">
      <c r="D359" s="109" t="n"/>
      <c r="E359" s="109" t="n"/>
      <c r="J359" s="109" t="n"/>
      <c r="K359" s="109" t="n"/>
      <c r="L359" s="109" t="n"/>
      <c r="N359" s="109" t="n"/>
      <c r="O359" s="109" t="n"/>
      <c r="P359" s="109" t="n"/>
      <c r="T359" s="109" t="n"/>
      <c r="U359" s="109" t="n"/>
      <c r="V359" s="109" t="n"/>
      <c r="Z359" s="109" t="n"/>
      <c r="AA359" s="109" t="n"/>
      <c r="AB359" s="109" t="n"/>
      <c r="AF359" s="109" t="n"/>
      <c r="AG359" s="109" t="n"/>
      <c r="AH359" s="109" t="n"/>
      <c r="AL359" s="109" t="n"/>
      <c r="AM359" s="109" t="n"/>
      <c r="AN359" s="109" t="n"/>
    </row>
    <row r="360" ht="15.75" customHeight="1" s="216">
      <c r="D360" s="109" t="n"/>
      <c r="E360" s="109" t="n"/>
      <c r="J360" s="109" t="n"/>
      <c r="K360" s="109" t="n"/>
      <c r="L360" s="109" t="n"/>
      <c r="N360" s="109" t="n"/>
      <c r="O360" s="109" t="n"/>
      <c r="P360" s="109" t="n"/>
      <c r="T360" s="109" t="n"/>
      <c r="U360" s="109" t="n"/>
      <c r="V360" s="109" t="n"/>
      <c r="Z360" s="109" t="n"/>
      <c r="AA360" s="109" t="n"/>
      <c r="AB360" s="109" t="n"/>
      <c r="AF360" s="109" t="n"/>
      <c r="AG360" s="109" t="n"/>
      <c r="AH360" s="109" t="n"/>
      <c r="AL360" s="109" t="n"/>
      <c r="AM360" s="109" t="n"/>
      <c r="AN360" s="109" t="n"/>
    </row>
    <row r="361" ht="15.75" customHeight="1" s="216">
      <c r="D361" s="109" t="n"/>
      <c r="E361" s="109" t="n"/>
      <c r="J361" s="109" t="n"/>
      <c r="K361" s="109" t="n"/>
      <c r="L361" s="109" t="n"/>
      <c r="N361" s="109" t="n"/>
      <c r="O361" s="109" t="n"/>
      <c r="P361" s="109" t="n"/>
      <c r="T361" s="109" t="n"/>
      <c r="U361" s="109" t="n"/>
      <c r="V361" s="109" t="n"/>
      <c r="Z361" s="109" t="n"/>
      <c r="AA361" s="109" t="n"/>
      <c r="AB361" s="109" t="n"/>
      <c r="AF361" s="109" t="n"/>
      <c r="AG361" s="109" t="n"/>
      <c r="AH361" s="109" t="n"/>
      <c r="AL361" s="109" t="n"/>
      <c r="AM361" s="109" t="n"/>
      <c r="AN361" s="109" t="n"/>
    </row>
    <row r="362" ht="15.75" customHeight="1" s="216">
      <c r="D362" s="109" t="n"/>
      <c r="E362" s="109" t="n"/>
      <c r="J362" s="109" t="n"/>
      <c r="K362" s="109" t="n"/>
      <c r="L362" s="109" t="n"/>
      <c r="N362" s="109" t="n"/>
      <c r="O362" s="109" t="n"/>
      <c r="P362" s="109" t="n"/>
      <c r="T362" s="109" t="n"/>
      <c r="U362" s="109" t="n"/>
      <c r="V362" s="109" t="n"/>
      <c r="Z362" s="109" t="n"/>
      <c r="AA362" s="109" t="n"/>
      <c r="AB362" s="109" t="n"/>
      <c r="AF362" s="109" t="n"/>
      <c r="AG362" s="109" t="n"/>
      <c r="AH362" s="109" t="n"/>
      <c r="AL362" s="109" t="n"/>
      <c r="AM362" s="109" t="n"/>
      <c r="AN362" s="109" t="n"/>
    </row>
    <row r="363" ht="15.75" customHeight="1" s="216">
      <c r="D363" s="109" t="n"/>
      <c r="E363" s="109" t="n"/>
      <c r="J363" s="109" t="n"/>
      <c r="K363" s="109" t="n"/>
      <c r="L363" s="109" t="n"/>
      <c r="N363" s="109" t="n"/>
      <c r="O363" s="109" t="n"/>
      <c r="P363" s="109" t="n"/>
      <c r="T363" s="109" t="n"/>
      <c r="U363" s="109" t="n"/>
      <c r="V363" s="109" t="n"/>
      <c r="Z363" s="109" t="n"/>
      <c r="AA363" s="109" t="n"/>
      <c r="AB363" s="109" t="n"/>
      <c r="AF363" s="109" t="n"/>
      <c r="AG363" s="109" t="n"/>
      <c r="AH363" s="109" t="n"/>
      <c r="AL363" s="109" t="n"/>
      <c r="AM363" s="109" t="n"/>
      <c r="AN363" s="109" t="n"/>
    </row>
    <row r="364" ht="15.75" customHeight="1" s="216">
      <c r="D364" s="109" t="n"/>
      <c r="E364" s="109" t="n"/>
      <c r="J364" s="109" t="n"/>
      <c r="K364" s="109" t="n"/>
      <c r="L364" s="109" t="n"/>
      <c r="N364" s="109" t="n"/>
      <c r="O364" s="109" t="n"/>
      <c r="P364" s="109" t="n"/>
      <c r="T364" s="109" t="n"/>
      <c r="U364" s="109" t="n"/>
      <c r="V364" s="109" t="n"/>
      <c r="Z364" s="109" t="n"/>
      <c r="AA364" s="109" t="n"/>
      <c r="AB364" s="109" t="n"/>
      <c r="AF364" s="109" t="n"/>
      <c r="AG364" s="109" t="n"/>
      <c r="AH364" s="109" t="n"/>
      <c r="AL364" s="109" t="n"/>
      <c r="AM364" s="109" t="n"/>
      <c r="AN364" s="109" t="n"/>
    </row>
    <row r="365" ht="15.75" customHeight="1" s="216">
      <c r="D365" s="109" t="n"/>
      <c r="E365" s="109" t="n"/>
      <c r="J365" s="109" t="n"/>
      <c r="K365" s="109" t="n"/>
      <c r="L365" s="109" t="n"/>
      <c r="N365" s="109" t="n"/>
      <c r="O365" s="109" t="n"/>
      <c r="P365" s="109" t="n"/>
      <c r="T365" s="109" t="n"/>
      <c r="U365" s="109" t="n"/>
      <c r="V365" s="109" t="n"/>
      <c r="Z365" s="109" t="n"/>
      <c r="AA365" s="109" t="n"/>
      <c r="AB365" s="109" t="n"/>
      <c r="AF365" s="109" t="n"/>
      <c r="AG365" s="109" t="n"/>
      <c r="AH365" s="109" t="n"/>
      <c r="AL365" s="109" t="n"/>
      <c r="AM365" s="109" t="n"/>
      <c r="AN365" s="109" t="n"/>
    </row>
    <row r="366" ht="15.75" customHeight="1" s="216">
      <c r="D366" s="109" t="n"/>
      <c r="E366" s="109" t="n"/>
      <c r="J366" s="109" t="n"/>
      <c r="K366" s="109" t="n"/>
      <c r="L366" s="109" t="n"/>
      <c r="N366" s="109" t="n"/>
      <c r="O366" s="109" t="n"/>
      <c r="P366" s="109" t="n"/>
      <c r="T366" s="109" t="n"/>
      <c r="U366" s="109" t="n"/>
      <c r="V366" s="109" t="n"/>
      <c r="Z366" s="109" t="n"/>
      <c r="AA366" s="109" t="n"/>
      <c r="AB366" s="109" t="n"/>
      <c r="AF366" s="109" t="n"/>
      <c r="AG366" s="109" t="n"/>
      <c r="AH366" s="109" t="n"/>
      <c r="AL366" s="109" t="n"/>
      <c r="AM366" s="109" t="n"/>
      <c r="AN366" s="109" t="n"/>
    </row>
    <row r="367" ht="15.75" customHeight="1" s="216">
      <c r="D367" s="109" t="n"/>
      <c r="E367" s="109" t="n"/>
      <c r="J367" s="109" t="n"/>
      <c r="K367" s="109" t="n"/>
      <c r="L367" s="109" t="n"/>
      <c r="N367" s="109" t="n"/>
      <c r="O367" s="109" t="n"/>
      <c r="P367" s="109" t="n"/>
      <c r="T367" s="109" t="n"/>
      <c r="U367" s="109" t="n"/>
      <c r="V367" s="109" t="n"/>
      <c r="Z367" s="109" t="n"/>
      <c r="AA367" s="109" t="n"/>
      <c r="AB367" s="109" t="n"/>
      <c r="AF367" s="109" t="n"/>
      <c r="AG367" s="109" t="n"/>
      <c r="AH367" s="109" t="n"/>
      <c r="AL367" s="109" t="n"/>
      <c r="AM367" s="109" t="n"/>
      <c r="AN367" s="109" t="n"/>
    </row>
    <row r="368" ht="15.75" customHeight="1" s="216">
      <c r="D368" s="109" t="n"/>
      <c r="E368" s="109" t="n"/>
      <c r="J368" s="109" t="n"/>
      <c r="K368" s="109" t="n"/>
      <c r="L368" s="109" t="n"/>
      <c r="N368" s="109" t="n"/>
      <c r="O368" s="109" t="n"/>
      <c r="P368" s="109" t="n"/>
      <c r="T368" s="109" t="n"/>
      <c r="U368" s="109" t="n"/>
      <c r="V368" s="109" t="n"/>
      <c r="Z368" s="109" t="n"/>
      <c r="AA368" s="109" t="n"/>
      <c r="AB368" s="109" t="n"/>
      <c r="AF368" s="109" t="n"/>
      <c r="AG368" s="109" t="n"/>
      <c r="AH368" s="109" t="n"/>
      <c r="AL368" s="109" t="n"/>
      <c r="AM368" s="109" t="n"/>
      <c r="AN368" s="109" t="n"/>
    </row>
    <row r="369" ht="15.75" customHeight="1" s="216">
      <c r="D369" s="109" t="n"/>
      <c r="E369" s="109" t="n"/>
      <c r="J369" s="109" t="n"/>
      <c r="K369" s="109" t="n"/>
      <c r="L369" s="109" t="n"/>
      <c r="N369" s="109" t="n"/>
      <c r="O369" s="109" t="n"/>
      <c r="P369" s="109" t="n"/>
      <c r="T369" s="109" t="n"/>
      <c r="U369" s="109" t="n"/>
      <c r="V369" s="109" t="n"/>
      <c r="Z369" s="109" t="n"/>
      <c r="AA369" s="109" t="n"/>
      <c r="AB369" s="109" t="n"/>
      <c r="AF369" s="109" t="n"/>
      <c r="AG369" s="109" t="n"/>
      <c r="AH369" s="109" t="n"/>
      <c r="AL369" s="109" t="n"/>
      <c r="AM369" s="109" t="n"/>
      <c r="AN369" s="109" t="n"/>
    </row>
    <row r="370" ht="15.75" customHeight="1" s="216">
      <c r="D370" s="109" t="n"/>
      <c r="E370" s="109" t="n"/>
      <c r="J370" s="109" t="n"/>
      <c r="K370" s="109" t="n"/>
      <c r="L370" s="109" t="n"/>
      <c r="N370" s="109" t="n"/>
      <c r="O370" s="109" t="n"/>
      <c r="P370" s="109" t="n"/>
      <c r="T370" s="109" t="n"/>
      <c r="U370" s="109" t="n"/>
      <c r="V370" s="109" t="n"/>
      <c r="Z370" s="109" t="n"/>
      <c r="AA370" s="109" t="n"/>
      <c r="AB370" s="109" t="n"/>
      <c r="AF370" s="109" t="n"/>
      <c r="AG370" s="109" t="n"/>
      <c r="AH370" s="109" t="n"/>
      <c r="AL370" s="109" t="n"/>
      <c r="AM370" s="109" t="n"/>
      <c r="AN370" s="109" t="n"/>
    </row>
    <row r="371" ht="15.75" customHeight="1" s="216">
      <c r="D371" s="109" t="n"/>
      <c r="E371" s="109" t="n"/>
      <c r="J371" s="109" t="n"/>
      <c r="K371" s="109" t="n"/>
      <c r="L371" s="109" t="n"/>
      <c r="N371" s="109" t="n"/>
      <c r="O371" s="109" t="n"/>
      <c r="P371" s="109" t="n"/>
      <c r="T371" s="109" t="n"/>
      <c r="U371" s="109" t="n"/>
      <c r="V371" s="109" t="n"/>
      <c r="Z371" s="109" t="n"/>
      <c r="AA371" s="109" t="n"/>
      <c r="AB371" s="109" t="n"/>
      <c r="AF371" s="109" t="n"/>
      <c r="AG371" s="109" t="n"/>
      <c r="AH371" s="109" t="n"/>
      <c r="AL371" s="109" t="n"/>
      <c r="AM371" s="109" t="n"/>
      <c r="AN371" s="109" t="n"/>
    </row>
    <row r="372" ht="15.75" customHeight="1" s="216">
      <c r="D372" s="109" t="n"/>
      <c r="E372" s="109" t="n"/>
      <c r="J372" s="109" t="n"/>
      <c r="K372" s="109" t="n"/>
      <c r="L372" s="109" t="n"/>
      <c r="N372" s="109" t="n"/>
      <c r="O372" s="109" t="n"/>
      <c r="P372" s="109" t="n"/>
      <c r="T372" s="109" t="n"/>
      <c r="U372" s="109" t="n"/>
      <c r="V372" s="109" t="n"/>
      <c r="Z372" s="109" t="n"/>
      <c r="AA372" s="109" t="n"/>
      <c r="AB372" s="109" t="n"/>
      <c r="AF372" s="109" t="n"/>
      <c r="AG372" s="109" t="n"/>
      <c r="AH372" s="109" t="n"/>
      <c r="AL372" s="109" t="n"/>
      <c r="AM372" s="109" t="n"/>
      <c r="AN372" s="109" t="n"/>
    </row>
    <row r="373" ht="15.75" customHeight="1" s="216">
      <c r="D373" s="109" t="n"/>
      <c r="E373" s="109" t="n"/>
      <c r="J373" s="109" t="n"/>
      <c r="K373" s="109" t="n"/>
      <c r="L373" s="109" t="n"/>
      <c r="N373" s="109" t="n"/>
      <c r="O373" s="109" t="n"/>
      <c r="P373" s="109" t="n"/>
      <c r="T373" s="109" t="n"/>
      <c r="U373" s="109" t="n"/>
      <c r="V373" s="109" t="n"/>
      <c r="Z373" s="109" t="n"/>
      <c r="AA373" s="109" t="n"/>
      <c r="AB373" s="109" t="n"/>
      <c r="AF373" s="109" t="n"/>
      <c r="AG373" s="109" t="n"/>
      <c r="AH373" s="109" t="n"/>
      <c r="AL373" s="109" t="n"/>
      <c r="AM373" s="109" t="n"/>
      <c r="AN373" s="109" t="n"/>
    </row>
    <row r="374" ht="15.75" customHeight="1" s="216">
      <c r="D374" s="109" t="n"/>
      <c r="E374" s="109" t="n"/>
      <c r="J374" s="109" t="n"/>
      <c r="K374" s="109" t="n"/>
      <c r="L374" s="109" t="n"/>
      <c r="N374" s="109" t="n"/>
      <c r="O374" s="109" t="n"/>
      <c r="P374" s="109" t="n"/>
      <c r="T374" s="109" t="n"/>
      <c r="U374" s="109" t="n"/>
      <c r="V374" s="109" t="n"/>
      <c r="Z374" s="109" t="n"/>
      <c r="AA374" s="109" t="n"/>
      <c r="AB374" s="109" t="n"/>
      <c r="AF374" s="109" t="n"/>
      <c r="AG374" s="109" t="n"/>
      <c r="AH374" s="109" t="n"/>
      <c r="AL374" s="109" t="n"/>
      <c r="AM374" s="109" t="n"/>
      <c r="AN374" s="109" t="n"/>
    </row>
    <row r="375" ht="15.75" customHeight="1" s="216">
      <c r="D375" s="109" t="n"/>
      <c r="E375" s="109" t="n"/>
      <c r="J375" s="109" t="n"/>
      <c r="K375" s="109" t="n"/>
      <c r="L375" s="109" t="n"/>
      <c r="N375" s="109" t="n"/>
      <c r="O375" s="109" t="n"/>
      <c r="P375" s="109" t="n"/>
      <c r="T375" s="109" t="n"/>
      <c r="U375" s="109" t="n"/>
      <c r="V375" s="109" t="n"/>
      <c r="Z375" s="109" t="n"/>
      <c r="AA375" s="109" t="n"/>
      <c r="AB375" s="109" t="n"/>
      <c r="AF375" s="109" t="n"/>
      <c r="AG375" s="109" t="n"/>
      <c r="AH375" s="109" t="n"/>
      <c r="AL375" s="109" t="n"/>
      <c r="AM375" s="109" t="n"/>
      <c r="AN375" s="109" t="n"/>
    </row>
    <row r="376" ht="15.75" customHeight="1" s="216">
      <c r="D376" s="109" t="n"/>
      <c r="E376" s="109" t="n"/>
      <c r="J376" s="109" t="n"/>
      <c r="K376" s="109" t="n"/>
      <c r="L376" s="109" t="n"/>
      <c r="N376" s="109" t="n"/>
      <c r="O376" s="109" t="n"/>
      <c r="P376" s="109" t="n"/>
      <c r="T376" s="109" t="n"/>
      <c r="U376" s="109" t="n"/>
      <c r="V376" s="109" t="n"/>
      <c r="Z376" s="109" t="n"/>
      <c r="AA376" s="109" t="n"/>
      <c r="AB376" s="109" t="n"/>
      <c r="AF376" s="109" t="n"/>
      <c r="AG376" s="109" t="n"/>
      <c r="AH376" s="109" t="n"/>
      <c r="AL376" s="109" t="n"/>
      <c r="AM376" s="109" t="n"/>
      <c r="AN376" s="109" t="n"/>
    </row>
    <row r="377" ht="15.75" customHeight="1" s="216">
      <c r="D377" s="109" t="n"/>
      <c r="E377" s="109" t="n"/>
      <c r="J377" s="109" t="n"/>
      <c r="K377" s="109" t="n"/>
      <c r="L377" s="109" t="n"/>
      <c r="N377" s="109" t="n"/>
      <c r="O377" s="109" t="n"/>
      <c r="P377" s="109" t="n"/>
      <c r="T377" s="109" t="n"/>
      <c r="U377" s="109" t="n"/>
      <c r="V377" s="109" t="n"/>
      <c r="Z377" s="109" t="n"/>
      <c r="AA377" s="109" t="n"/>
      <c r="AB377" s="109" t="n"/>
      <c r="AF377" s="109" t="n"/>
      <c r="AG377" s="109" t="n"/>
      <c r="AH377" s="109" t="n"/>
      <c r="AL377" s="109" t="n"/>
      <c r="AM377" s="109" t="n"/>
      <c r="AN377" s="109" t="n"/>
    </row>
    <row r="378" ht="15.75" customHeight="1" s="216">
      <c r="D378" s="109" t="n"/>
      <c r="E378" s="109" t="n"/>
      <c r="J378" s="109" t="n"/>
      <c r="K378" s="109" t="n"/>
      <c r="L378" s="109" t="n"/>
      <c r="N378" s="109" t="n"/>
      <c r="O378" s="109" t="n"/>
      <c r="P378" s="109" t="n"/>
      <c r="T378" s="109" t="n"/>
      <c r="U378" s="109" t="n"/>
      <c r="V378" s="109" t="n"/>
      <c r="Z378" s="109" t="n"/>
      <c r="AA378" s="109" t="n"/>
      <c r="AB378" s="109" t="n"/>
      <c r="AF378" s="109" t="n"/>
      <c r="AG378" s="109" t="n"/>
      <c r="AH378" s="109" t="n"/>
      <c r="AL378" s="109" t="n"/>
      <c r="AM378" s="109" t="n"/>
      <c r="AN378" s="109" t="n"/>
    </row>
    <row r="379" ht="15.75" customHeight="1" s="216">
      <c r="D379" s="109" t="n"/>
      <c r="E379" s="109" t="n"/>
      <c r="J379" s="109" t="n"/>
      <c r="K379" s="109" t="n"/>
      <c r="L379" s="109" t="n"/>
      <c r="N379" s="109" t="n"/>
      <c r="O379" s="109" t="n"/>
      <c r="P379" s="109" t="n"/>
      <c r="T379" s="109" t="n"/>
      <c r="U379" s="109" t="n"/>
      <c r="V379" s="109" t="n"/>
      <c r="Z379" s="109" t="n"/>
      <c r="AA379" s="109" t="n"/>
      <c r="AB379" s="109" t="n"/>
      <c r="AF379" s="109" t="n"/>
      <c r="AG379" s="109" t="n"/>
      <c r="AH379" s="109" t="n"/>
      <c r="AL379" s="109" t="n"/>
      <c r="AM379" s="109" t="n"/>
      <c r="AN379" s="109" t="n"/>
    </row>
    <row r="380" ht="15.75" customHeight="1" s="216">
      <c r="D380" s="109" t="n"/>
      <c r="E380" s="109" t="n"/>
      <c r="J380" s="109" t="n"/>
      <c r="K380" s="109" t="n"/>
      <c r="L380" s="109" t="n"/>
      <c r="N380" s="109" t="n"/>
      <c r="O380" s="109" t="n"/>
      <c r="P380" s="109" t="n"/>
      <c r="T380" s="109" t="n"/>
      <c r="U380" s="109" t="n"/>
      <c r="V380" s="109" t="n"/>
      <c r="Z380" s="109" t="n"/>
      <c r="AA380" s="109" t="n"/>
      <c r="AB380" s="109" t="n"/>
      <c r="AF380" s="109" t="n"/>
      <c r="AG380" s="109" t="n"/>
      <c r="AH380" s="109" t="n"/>
      <c r="AL380" s="109" t="n"/>
      <c r="AM380" s="109" t="n"/>
      <c r="AN380" s="109" t="n"/>
    </row>
    <row r="381" ht="15.75" customHeight="1" s="216">
      <c r="D381" s="109" t="n"/>
      <c r="E381" s="109" t="n"/>
      <c r="J381" s="109" t="n"/>
      <c r="K381" s="109" t="n"/>
      <c r="L381" s="109" t="n"/>
      <c r="N381" s="109" t="n"/>
      <c r="O381" s="109" t="n"/>
      <c r="P381" s="109" t="n"/>
      <c r="T381" s="109" t="n"/>
      <c r="U381" s="109" t="n"/>
      <c r="V381" s="109" t="n"/>
      <c r="Z381" s="109" t="n"/>
      <c r="AA381" s="109" t="n"/>
      <c r="AB381" s="109" t="n"/>
      <c r="AF381" s="109" t="n"/>
      <c r="AG381" s="109" t="n"/>
      <c r="AH381" s="109" t="n"/>
      <c r="AL381" s="109" t="n"/>
      <c r="AM381" s="109" t="n"/>
      <c r="AN381" s="109" t="n"/>
    </row>
    <row r="382" ht="15.75" customHeight="1" s="216">
      <c r="D382" s="109" t="n"/>
      <c r="E382" s="109" t="n"/>
      <c r="J382" s="109" t="n"/>
      <c r="K382" s="109" t="n"/>
      <c r="L382" s="109" t="n"/>
      <c r="N382" s="109" t="n"/>
      <c r="O382" s="109" t="n"/>
      <c r="P382" s="109" t="n"/>
      <c r="T382" s="109" t="n"/>
      <c r="U382" s="109" t="n"/>
      <c r="V382" s="109" t="n"/>
      <c r="Z382" s="109" t="n"/>
      <c r="AA382" s="109" t="n"/>
      <c r="AB382" s="109" t="n"/>
      <c r="AF382" s="109" t="n"/>
      <c r="AG382" s="109" t="n"/>
      <c r="AH382" s="109" t="n"/>
      <c r="AL382" s="109" t="n"/>
      <c r="AM382" s="109" t="n"/>
      <c r="AN382" s="109" t="n"/>
    </row>
    <row r="383" ht="15.75" customHeight="1" s="216">
      <c r="D383" s="109" t="n"/>
      <c r="E383" s="109" t="n"/>
      <c r="J383" s="109" t="n"/>
      <c r="K383" s="109" t="n"/>
      <c r="L383" s="109" t="n"/>
      <c r="N383" s="109" t="n"/>
      <c r="O383" s="109" t="n"/>
      <c r="P383" s="109" t="n"/>
      <c r="T383" s="109" t="n"/>
      <c r="U383" s="109" t="n"/>
      <c r="V383" s="109" t="n"/>
      <c r="Z383" s="109" t="n"/>
      <c r="AA383" s="109" t="n"/>
      <c r="AB383" s="109" t="n"/>
      <c r="AF383" s="109" t="n"/>
      <c r="AG383" s="109" t="n"/>
      <c r="AH383" s="109" t="n"/>
      <c r="AL383" s="109" t="n"/>
      <c r="AM383" s="109" t="n"/>
      <c r="AN383" s="109" t="n"/>
    </row>
    <row r="384" ht="15.75" customHeight="1" s="216">
      <c r="D384" s="109" t="n"/>
      <c r="E384" s="109" t="n"/>
      <c r="J384" s="109" t="n"/>
      <c r="K384" s="109" t="n"/>
      <c r="L384" s="109" t="n"/>
      <c r="N384" s="109" t="n"/>
      <c r="O384" s="109" t="n"/>
      <c r="P384" s="109" t="n"/>
      <c r="T384" s="109" t="n"/>
      <c r="U384" s="109" t="n"/>
      <c r="V384" s="109" t="n"/>
      <c r="Z384" s="109" t="n"/>
      <c r="AA384" s="109" t="n"/>
      <c r="AB384" s="109" t="n"/>
      <c r="AF384" s="109" t="n"/>
      <c r="AG384" s="109" t="n"/>
      <c r="AH384" s="109" t="n"/>
      <c r="AL384" s="109" t="n"/>
      <c r="AM384" s="109" t="n"/>
      <c r="AN384" s="109" t="n"/>
    </row>
    <row r="385" ht="15.75" customHeight="1" s="216">
      <c r="D385" s="109" t="n"/>
      <c r="E385" s="109" t="n"/>
      <c r="J385" s="109" t="n"/>
      <c r="K385" s="109" t="n"/>
      <c r="L385" s="109" t="n"/>
      <c r="N385" s="109" t="n"/>
      <c r="O385" s="109" t="n"/>
      <c r="P385" s="109" t="n"/>
      <c r="T385" s="109" t="n"/>
      <c r="U385" s="109" t="n"/>
      <c r="V385" s="109" t="n"/>
      <c r="Z385" s="109" t="n"/>
      <c r="AA385" s="109" t="n"/>
      <c r="AB385" s="109" t="n"/>
      <c r="AF385" s="109" t="n"/>
      <c r="AG385" s="109" t="n"/>
      <c r="AH385" s="109" t="n"/>
      <c r="AL385" s="109" t="n"/>
      <c r="AM385" s="109" t="n"/>
      <c r="AN385" s="109" t="n"/>
    </row>
    <row r="386" ht="15.75" customHeight="1" s="216">
      <c r="D386" s="109" t="n"/>
      <c r="E386" s="109" t="n"/>
      <c r="J386" s="109" t="n"/>
      <c r="K386" s="109" t="n"/>
      <c r="L386" s="109" t="n"/>
      <c r="N386" s="109" t="n"/>
      <c r="O386" s="109" t="n"/>
      <c r="P386" s="109" t="n"/>
      <c r="T386" s="109" t="n"/>
      <c r="U386" s="109" t="n"/>
      <c r="V386" s="109" t="n"/>
      <c r="Z386" s="109" t="n"/>
      <c r="AA386" s="109" t="n"/>
      <c r="AB386" s="109" t="n"/>
      <c r="AF386" s="109" t="n"/>
      <c r="AG386" s="109" t="n"/>
      <c r="AH386" s="109" t="n"/>
      <c r="AL386" s="109" t="n"/>
      <c r="AM386" s="109" t="n"/>
      <c r="AN386" s="109" t="n"/>
    </row>
    <row r="387" ht="15.75" customHeight="1" s="216">
      <c r="D387" s="109" t="n"/>
      <c r="E387" s="109" t="n"/>
      <c r="J387" s="109" t="n"/>
      <c r="K387" s="109" t="n"/>
      <c r="L387" s="109" t="n"/>
      <c r="N387" s="109" t="n"/>
      <c r="O387" s="109" t="n"/>
      <c r="P387" s="109" t="n"/>
      <c r="T387" s="109" t="n"/>
      <c r="U387" s="109" t="n"/>
      <c r="V387" s="109" t="n"/>
      <c r="Z387" s="109" t="n"/>
      <c r="AA387" s="109" t="n"/>
      <c r="AB387" s="109" t="n"/>
      <c r="AF387" s="109" t="n"/>
      <c r="AG387" s="109" t="n"/>
      <c r="AH387" s="109" t="n"/>
      <c r="AL387" s="109" t="n"/>
      <c r="AM387" s="109" t="n"/>
      <c r="AN387" s="109" t="n"/>
    </row>
    <row r="388" ht="15.75" customHeight="1" s="216">
      <c r="D388" s="109" t="n"/>
      <c r="E388" s="109" t="n"/>
      <c r="J388" s="109" t="n"/>
      <c r="K388" s="109" t="n"/>
      <c r="L388" s="109" t="n"/>
      <c r="N388" s="109" t="n"/>
      <c r="O388" s="109" t="n"/>
      <c r="P388" s="109" t="n"/>
      <c r="T388" s="109" t="n"/>
      <c r="U388" s="109" t="n"/>
      <c r="V388" s="109" t="n"/>
      <c r="Z388" s="109" t="n"/>
      <c r="AA388" s="109" t="n"/>
      <c r="AB388" s="109" t="n"/>
      <c r="AF388" s="109" t="n"/>
      <c r="AG388" s="109" t="n"/>
      <c r="AH388" s="109" t="n"/>
      <c r="AL388" s="109" t="n"/>
      <c r="AM388" s="109" t="n"/>
      <c r="AN388" s="109" t="n"/>
    </row>
    <row r="389" ht="15.75" customHeight="1" s="216">
      <c r="D389" s="109" t="n"/>
      <c r="E389" s="109" t="n"/>
      <c r="J389" s="109" t="n"/>
      <c r="K389" s="109" t="n"/>
      <c r="L389" s="109" t="n"/>
      <c r="N389" s="109" t="n"/>
      <c r="O389" s="109" t="n"/>
      <c r="P389" s="109" t="n"/>
      <c r="T389" s="109" t="n"/>
      <c r="U389" s="109" t="n"/>
      <c r="V389" s="109" t="n"/>
      <c r="Z389" s="109" t="n"/>
      <c r="AA389" s="109" t="n"/>
      <c r="AB389" s="109" t="n"/>
      <c r="AF389" s="109" t="n"/>
      <c r="AG389" s="109" t="n"/>
      <c r="AH389" s="109" t="n"/>
      <c r="AL389" s="109" t="n"/>
      <c r="AM389" s="109" t="n"/>
      <c r="AN389" s="109" t="n"/>
    </row>
    <row r="390" ht="15.75" customHeight="1" s="216">
      <c r="D390" s="109" t="n"/>
      <c r="E390" s="109" t="n"/>
      <c r="J390" s="109" t="n"/>
      <c r="K390" s="109" t="n"/>
      <c r="L390" s="109" t="n"/>
      <c r="N390" s="109" t="n"/>
      <c r="O390" s="109" t="n"/>
      <c r="P390" s="109" t="n"/>
      <c r="T390" s="109" t="n"/>
      <c r="U390" s="109" t="n"/>
      <c r="V390" s="109" t="n"/>
      <c r="Z390" s="109" t="n"/>
      <c r="AA390" s="109" t="n"/>
      <c r="AB390" s="109" t="n"/>
      <c r="AF390" s="109" t="n"/>
      <c r="AG390" s="109" t="n"/>
      <c r="AH390" s="109" t="n"/>
      <c r="AL390" s="109" t="n"/>
      <c r="AM390" s="109" t="n"/>
      <c r="AN390" s="109" t="n"/>
    </row>
    <row r="391" ht="15.75" customHeight="1" s="216">
      <c r="D391" s="109" t="n"/>
      <c r="E391" s="109" t="n"/>
      <c r="J391" s="109" t="n"/>
      <c r="K391" s="109" t="n"/>
      <c r="L391" s="109" t="n"/>
      <c r="N391" s="109" t="n"/>
      <c r="O391" s="109" t="n"/>
      <c r="P391" s="109" t="n"/>
      <c r="T391" s="109" t="n"/>
      <c r="U391" s="109" t="n"/>
      <c r="V391" s="109" t="n"/>
      <c r="Z391" s="109" t="n"/>
      <c r="AA391" s="109" t="n"/>
      <c r="AB391" s="109" t="n"/>
      <c r="AF391" s="109" t="n"/>
      <c r="AG391" s="109" t="n"/>
      <c r="AH391" s="109" t="n"/>
      <c r="AL391" s="109" t="n"/>
      <c r="AM391" s="109" t="n"/>
      <c r="AN391" s="109" t="n"/>
    </row>
    <row r="392" ht="15.75" customHeight="1" s="216">
      <c r="D392" s="109" t="n"/>
      <c r="E392" s="109" t="n"/>
      <c r="J392" s="109" t="n"/>
      <c r="K392" s="109" t="n"/>
      <c r="L392" s="109" t="n"/>
      <c r="N392" s="109" t="n"/>
      <c r="O392" s="109" t="n"/>
      <c r="P392" s="109" t="n"/>
      <c r="T392" s="109" t="n"/>
      <c r="U392" s="109" t="n"/>
      <c r="V392" s="109" t="n"/>
      <c r="Z392" s="109" t="n"/>
      <c r="AA392" s="109" t="n"/>
      <c r="AB392" s="109" t="n"/>
      <c r="AF392" s="109" t="n"/>
      <c r="AG392" s="109" t="n"/>
      <c r="AH392" s="109" t="n"/>
      <c r="AL392" s="109" t="n"/>
      <c r="AM392" s="109" t="n"/>
      <c r="AN392" s="109" t="n"/>
    </row>
    <row r="393" ht="15.75" customHeight="1" s="216">
      <c r="D393" s="109" t="n"/>
      <c r="E393" s="109" t="n"/>
      <c r="J393" s="109" t="n"/>
      <c r="K393" s="109" t="n"/>
      <c r="L393" s="109" t="n"/>
      <c r="N393" s="109" t="n"/>
      <c r="O393" s="109" t="n"/>
      <c r="P393" s="109" t="n"/>
      <c r="T393" s="109" t="n"/>
      <c r="U393" s="109" t="n"/>
      <c r="V393" s="109" t="n"/>
      <c r="Z393" s="109" t="n"/>
      <c r="AA393" s="109" t="n"/>
      <c r="AB393" s="109" t="n"/>
      <c r="AF393" s="109" t="n"/>
      <c r="AG393" s="109" t="n"/>
      <c r="AH393" s="109" t="n"/>
      <c r="AL393" s="109" t="n"/>
      <c r="AM393" s="109" t="n"/>
      <c r="AN393" s="109" t="n"/>
    </row>
    <row r="394" ht="15.75" customHeight="1" s="216">
      <c r="D394" s="109" t="n"/>
      <c r="E394" s="109" t="n"/>
      <c r="J394" s="109" t="n"/>
      <c r="K394" s="109" t="n"/>
      <c r="L394" s="109" t="n"/>
      <c r="N394" s="109" t="n"/>
      <c r="O394" s="109" t="n"/>
      <c r="P394" s="109" t="n"/>
      <c r="T394" s="109" t="n"/>
      <c r="U394" s="109" t="n"/>
      <c r="V394" s="109" t="n"/>
      <c r="Z394" s="109" t="n"/>
      <c r="AA394" s="109" t="n"/>
      <c r="AB394" s="109" t="n"/>
      <c r="AF394" s="109" t="n"/>
      <c r="AG394" s="109" t="n"/>
      <c r="AH394" s="109" t="n"/>
      <c r="AL394" s="109" t="n"/>
      <c r="AM394" s="109" t="n"/>
      <c r="AN394" s="109" t="n"/>
    </row>
    <row r="395" ht="15.75" customHeight="1" s="216">
      <c r="D395" s="109" t="n"/>
      <c r="E395" s="109" t="n"/>
      <c r="J395" s="109" t="n"/>
      <c r="K395" s="109" t="n"/>
      <c r="L395" s="109" t="n"/>
      <c r="N395" s="109" t="n"/>
      <c r="O395" s="109" t="n"/>
      <c r="P395" s="109" t="n"/>
      <c r="T395" s="109" t="n"/>
      <c r="U395" s="109" t="n"/>
      <c r="V395" s="109" t="n"/>
      <c r="Z395" s="109" t="n"/>
      <c r="AA395" s="109" t="n"/>
      <c r="AB395" s="109" t="n"/>
      <c r="AF395" s="109" t="n"/>
      <c r="AG395" s="109" t="n"/>
      <c r="AH395" s="109" t="n"/>
      <c r="AL395" s="109" t="n"/>
      <c r="AM395" s="109" t="n"/>
      <c r="AN395" s="109" t="n"/>
    </row>
    <row r="396" ht="15.75" customHeight="1" s="216">
      <c r="D396" s="109" t="n"/>
      <c r="E396" s="109" t="n"/>
      <c r="J396" s="109" t="n"/>
      <c r="K396" s="109" t="n"/>
      <c r="L396" s="109" t="n"/>
      <c r="N396" s="109" t="n"/>
      <c r="O396" s="109" t="n"/>
      <c r="P396" s="109" t="n"/>
      <c r="T396" s="109" t="n"/>
      <c r="U396" s="109" t="n"/>
      <c r="V396" s="109" t="n"/>
      <c r="Z396" s="109" t="n"/>
      <c r="AA396" s="109" t="n"/>
      <c r="AB396" s="109" t="n"/>
      <c r="AF396" s="109" t="n"/>
      <c r="AG396" s="109" t="n"/>
      <c r="AH396" s="109" t="n"/>
      <c r="AL396" s="109" t="n"/>
      <c r="AM396" s="109" t="n"/>
      <c r="AN396" s="109" t="n"/>
    </row>
    <row r="397" ht="15.75" customHeight="1" s="216">
      <c r="D397" s="109" t="n"/>
      <c r="E397" s="109" t="n"/>
      <c r="J397" s="109" t="n"/>
      <c r="K397" s="109" t="n"/>
      <c r="L397" s="109" t="n"/>
      <c r="N397" s="109" t="n"/>
      <c r="O397" s="109" t="n"/>
      <c r="P397" s="109" t="n"/>
      <c r="T397" s="109" t="n"/>
      <c r="U397" s="109" t="n"/>
      <c r="V397" s="109" t="n"/>
      <c r="Z397" s="109" t="n"/>
      <c r="AA397" s="109" t="n"/>
      <c r="AB397" s="109" t="n"/>
      <c r="AF397" s="109" t="n"/>
      <c r="AG397" s="109" t="n"/>
      <c r="AH397" s="109" t="n"/>
      <c r="AL397" s="109" t="n"/>
      <c r="AM397" s="109" t="n"/>
      <c r="AN397" s="109" t="n"/>
    </row>
    <row r="398" ht="15.75" customHeight="1" s="216">
      <c r="D398" s="109" t="n"/>
      <c r="E398" s="109" t="n"/>
      <c r="J398" s="109" t="n"/>
      <c r="K398" s="109" t="n"/>
      <c r="L398" s="109" t="n"/>
      <c r="N398" s="109" t="n"/>
      <c r="O398" s="109" t="n"/>
      <c r="P398" s="109" t="n"/>
      <c r="T398" s="109" t="n"/>
      <c r="U398" s="109" t="n"/>
      <c r="V398" s="109" t="n"/>
      <c r="Z398" s="109" t="n"/>
      <c r="AA398" s="109" t="n"/>
      <c r="AB398" s="109" t="n"/>
      <c r="AF398" s="109" t="n"/>
      <c r="AG398" s="109" t="n"/>
      <c r="AH398" s="109" t="n"/>
      <c r="AL398" s="109" t="n"/>
      <c r="AM398" s="109" t="n"/>
      <c r="AN398" s="109" t="n"/>
    </row>
    <row r="399" ht="15.75" customHeight="1" s="216">
      <c r="D399" s="109" t="n"/>
      <c r="E399" s="109" t="n"/>
      <c r="J399" s="109" t="n"/>
      <c r="K399" s="109" t="n"/>
      <c r="L399" s="109" t="n"/>
      <c r="N399" s="109" t="n"/>
      <c r="O399" s="109" t="n"/>
      <c r="P399" s="109" t="n"/>
      <c r="T399" s="109" t="n"/>
      <c r="U399" s="109" t="n"/>
      <c r="V399" s="109" t="n"/>
      <c r="Z399" s="109" t="n"/>
      <c r="AA399" s="109" t="n"/>
      <c r="AB399" s="109" t="n"/>
      <c r="AF399" s="109" t="n"/>
      <c r="AG399" s="109" t="n"/>
      <c r="AH399" s="109" t="n"/>
      <c r="AL399" s="109" t="n"/>
      <c r="AM399" s="109" t="n"/>
      <c r="AN399" s="109" t="n"/>
    </row>
    <row r="400" ht="15.75" customHeight="1" s="216">
      <c r="D400" s="109" t="n"/>
      <c r="E400" s="109" t="n"/>
      <c r="J400" s="109" t="n"/>
      <c r="K400" s="109" t="n"/>
      <c r="L400" s="109" t="n"/>
      <c r="N400" s="109" t="n"/>
      <c r="O400" s="109" t="n"/>
      <c r="P400" s="109" t="n"/>
      <c r="T400" s="109" t="n"/>
      <c r="U400" s="109" t="n"/>
      <c r="V400" s="109" t="n"/>
      <c r="Z400" s="109" t="n"/>
      <c r="AA400" s="109" t="n"/>
      <c r="AB400" s="109" t="n"/>
      <c r="AF400" s="109" t="n"/>
      <c r="AG400" s="109" t="n"/>
      <c r="AH400" s="109" t="n"/>
      <c r="AL400" s="109" t="n"/>
      <c r="AM400" s="109" t="n"/>
      <c r="AN400" s="109" t="n"/>
    </row>
    <row r="401" ht="15.75" customHeight="1" s="216">
      <c r="D401" s="109" t="n"/>
      <c r="E401" s="109" t="n"/>
      <c r="J401" s="109" t="n"/>
      <c r="K401" s="109" t="n"/>
      <c r="L401" s="109" t="n"/>
      <c r="N401" s="109" t="n"/>
      <c r="O401" s="109" t="n"/>
      <c r="P401" s="109" t="n"/>
      <c r="T401" s="109" t="n"/>
      <c r="U401" s="109" t="n"/>
      <c r="V401" s="109" t="n"/>
      <c r="Z401" s="109" t="n"/>
      <c r="AA401" s="109" t="n"/>
      <c r="AB401" s="109" t="n"/>
      <c r="AF401" s="109" t="n"/>
      <c r="AG401" s="109" t="n"/>
      <c r="AH401" s="109" t="n"/>
      <c r="AL401" s="109" t="n"/>
      <c r="AM401" s="109" t="n"/>
      <c r="AN401" s="109" t="n"/>
    </row>
    <row r="402" ht="15.75" customHeight="1" s="216">
      <c r="D402" s="109" t="n"/>
      <c r="E402" s="109" t="n"/>
      <c r="J402" s="109" t="n"/>
      <c r="K402" s="109" t="n"/>
      <c r="L402" s="109" t="n"/>
      <c r="N402" s="109" t="n"/>
      <c r="O402" s="109" t="n"/>
      <c r="P402" s="109" t="n"/>
      <c r="T402" s="109" t="n"/>
      <c r="U402" s="109" t="n"/>
      <c r="V402" s="109" t="n"/>
      <c r="Z402" s="109" t="n"/>
      <c r="AA402" s="109" t="n"/>
      <c r="AB402" s="109" t="n"/>
      <c r="AF402" s="109" t="n"/>
      <c r="AG402" s="109" t="n"/>
      <c r="AH402" s="109" t="n"/>
      <c r="AL402" s="109" t="n"/>
      <c r="AM402" s="109" t="n"/>
      <c r="AN402" s="109" t="n"/>
    </row>
    <row r="403" ht="15.75" customHeight="1" s="216">
      <c r="D403" s="109" t="n"/>
      <c r="E403" s="109" t="n"/>
      <c r="J403" s="109" t="n"/>
      <c r="K403" s="109" t="n"/>
      <c r="L403" s="109" t="n"/>
      <c r="N403" s="109" t="n"/>
      <c r="O403" s="109" t="n"/>
      <c r="P403" s="109" t="n"/>
      <c r="T403" s="109" t="n"/>
      <c r="U403" s="109" t="n"/>
      <c r="V403" s="109" t="n"/>
      <c r="Z403" s="109" t="n"/>
      <c r="AA403" s="109" t="n"/>
      <c r="AB403" s="109" t="n"/>
      <c r="AF403" s="109" t="n"/>
      <c r="AG403" s="109" t="n"/>
      <c r="AH403" s="109" t="n"/>
      <c r="AL403" s="109" t="n"/>
      <c r="AM403" s="109" t="n"/>
      <c r="AN403" s="109" t="n"/>
    </row>
    <row r="404" ht="15.75" customHeight="1" s="216">
      <c r="D404" s="109" t="n"/>
      <c r="E404" s="109" t="n"/>
      <c r="J404" s="109" t="n"/>
      <c r="K404" s="109" t="n"/>
      <c r="L404" s="109" t="n"/>
      <c r="N404" s="109" t="n"/>
      <c r="O404" s="109" t="n"/>
      <c r="P404" s="109" t="n"/>
      <c r="T404" s="109" t="n"/>
      <c r="U404" s="109" t="n"/>
      <c r="V404" s="109" t="n"/>
      <c r="Z404" s="109" t="n"/>
      <c r="AA404" s="109" t="n"/>
      <c r="AB404" s="109" t="n"/>
      <c r="AF404" s="109" t="n"/>
      <c r="AG404" s="109" t="n"/>
      <c r="AH404" s="109" t="n"/>
      <c r="AL404" s="109" t="n"/>
      <c r="AM404" s="109" t="n"/>
      <c r="AN404" s="109" t="n"/>
    </row>
    <row r="405" ht="15.75" customHeight="1" s="216">
      <c r="D405" s="109" t="n"/>
      <c r="E405" s="109" t="n"/>
      <c r="J405" s="109" t="n"/>
      <c r="K405" s="109" t="n"/>
      <c r="L405" s="109" t="n"/>
      <c r="N405" s="109" t="n"/>
      <c r="O405" s="109" t="n"/>
      <c r="P405" s="109" t="n"/>
      <c r="T405" s="109" t="n"/>
      <c r="U405" s="109" t="n"/>
      <c r="V405" s="109" t="n"/>
      <c r="Z405" s="109" t="n"/>
      <c r="AA405" s="109" t="n"/>
      <c r="AB405" s="109" t="n"/>
      <c r="AF405" s="109" t="n"/>
      <c r="AG405" s="109" t="n"/>
      <c r="AH405" s="109" t="n"/>
      <c r="AL405" s="109" t="n"/>
      <c r="AM405" s="109" t="n"/>
      <c r="AN405" s="109" t="n"/>
    </row>
    <row r="406" ht="15.75" customHeight="1" s="216">
      <c r="D406" s="109" t="n"/>
      <c r="E406" s="109" t="n"/>
      <c r="J406" s="109" t="n"/>
      <c r="K406" s="109" t="n"/>
      <c r="L406" s="109" t="n"/>
      <c r="N406" s="109" t="n"/>
      <c r="O406" s="109" t="n"/>
      <c r="P406" s="109" t="n"/>
      <c r="T406" s="109" t="n"/>
      <c r="U406" s="109" t="n"/>
      <c r="V406" s="109" t="n"/>
      <c r="Z406" s="109" t="n"/>
      <c r="AA406" s="109" t="n"/>
      <c r="AB406" s="109" t="n"/>
      <c r="AF406" s="109" t="n"/>
      <c r="AG406" s="109" t="n"/>
      <c r="AH406" s="109" t="n"/>
      <c r="AL406" s="109" t="n"/>
      <c r="AM406" s="109" t="n"/>
      <c r="AN406" s="109" t="n"/>
    </row>
    <row r="407" ht="15.75" customHeight="1" s="216">
      <c r="D407" s="109" t="n"/>
      <c r="E407" s="109" t="n"/>
      <c r="J407" s="109" t="n"/>
      <c r="K407" s="109" t="n"/>
      <c r="L407" s="109" t="n"/>
      <c r="N407" s="109" t="n"/>
      <c r="O407" s="109" t="n"/>
      <c r="P407" s="109" t="n"/>
      <c r="T407" s="109" t="n"/>
      <c r="U407" s="109" t="n"/>
      <c r="V407" s="109" t="n"/>
      <c r="Z407" s="109" t="n"/>
      <c r="AA407" s="109" t="n"/>
      <c r="AB407" s="109" t="n"/>
      <c r="AF407" s="109" t="n"/>
      <c r="AG407" s="109" t="n"/>
      <c r="AH407" s="109" t="n"/>
      <c r="AL407" s="109" t="n"/>
      <c r="AM407" s="109" t="n"/>
      <c r="AN407" s="109" t="n"/>
    </row>
    <row r="408" ht="15.75" customHeight="1" s="216">
      <c r="D408" s="109" t="n"/>
      <c r="E408" s="109" t="n"/>
      <c r="J408" s="109" t="n"/>
      <c r="K408" s="109" t="n"/>
      <c r="L408" s="109" t="n"/>
      <c r="N408" s="109" t="n"/>
      <c r="O408" s="109" t="n"/>
      <c r="P408" s="109" t="n"/>
      <c r="T408" s="109" t="n"/>
      <c r="U408" s="109" t="n"/>
      <c r="V408" s="109" t="n"/>
      <c r="Z408" s="109" t="n"/>
      <c r="AA408" s="109" t="n"/>
      <c r="AB408" s="109" t="n"/>
      <c r="AF408" s="109" t="n"/>
      <c r="AG408" s="109" t="n"/>
      <c r="AH408" s="109" t="n"/>
      <c r="AL408" s="109" t="n"/>
      <c r="AM408" s="109" t="n"/>
      <c r="AN408" s="109" t="n"/>
    </row>
    <row r="409" ht="15.75" customHeight="1" s="216">
      <c r="D409" s="109" t="n"/>
      <c r="E409" s="109" t="n"/>
      <c r="J409" s="109" t="n"/>
      <c r="K409" s="109" t="n"/>
      <c r="L409" s="109" t="n"/>
      <c r="N409" s="109" t="n"/>
      <c r="O409" s="109" t="n"/>
      <c r="P409" s="109" t="n"/>
      <c r="T409" s="109" t="n"/>
      <c r="U409" s="109" t="n"/>
      <c r="V409" s="109" t="n"/>
      <c r="Z409" s="109" t="n"/>
      <c r="AA409" s="109" t="n"/>
      <c r="AB409" s="109" t="n"/>
      <c r="AF409" s="109" t="n"/>
      <c r="AG409" s="109" t="n"/>
      <c r="AH409" s="109" t="n"/>
      <c r="AL409" s="109" t="n"/>
      <c r="AM409" s="109" t="n"/>
      <c r="AN409" s="109" t="n"/>
    </row>
    <row r="410" ht="15.75" customHeight="1" s="216">
      <c r="D410" s="109" t="n"/>
      <c r="E410" s="109" t="n"/>
      <c r="J410" s="109" t="n"/>
      <c r="K410" s="109" t="n"/>
      <c r="L410" s="109" t="n"/>
      <c r="N410" s="109" t="n"/>
      <c r="O410" s="109" t="n"/>
      <c r="P410" s="109" t="n"/>
      <c r="T410" s="109" t="n"/>
      <c r="U410" s="109" t="n"/>
      <c r="V410" s="109" t="n"/>
      <c r="Z410" s="109" t="n"/>
      <c r="AA410" s="109" t="n"/>
      <c r="AB410" s="109" t="n"/>
      <c r="AF410" s="109" t="n"/>
      <c r="AG410" s="109" t="n"/>
      <c r="AH410" s="109" t="n"/>
      <c r="AL410" s="109" t="n"/>
      <c r="AM410" s="109" t="n"/>
      <c r="AN410" s="109" t="n"/>
    </row>
    <row r="411" ht="15.75" customHeight="1" s="216">
      <c r="D411" s="109" t="n"/>
      <c r="E411" s="109" t="n"/>
      <c r="J411" s="109" t="n"/>
      <c r="K411" s="109" t="n"/>
      <c r="L411" s="109" t="n"/>
      <c r="N411" s="109" t="n"/>
      <c r="O411" s="109" t="n"/>
      <c r="P411" s="109" t="n"/>
      <c r="T411" s="109" t="n"/>
      <c r="U411" s="109" t="n"/>
      <c r="V411" s="109" t="n"/>
      <c r="Z411" s="109" t="n"/>
      <c r="AA411" s="109" t="n"/>
      <c r="AB411" s="109" t="n"/>
      <c r="AF411" s="109" t="n"/>
      <c r="AG411" s="109" t="n"/>
      <c r="AH411" s="109" t="n"/>
      <c r="AL411" s="109" t="n"/>
      <c r="AM411" s="109" t="n"/>
      <c r="AN411" s="109" t="n"/>
    </row>
    <row r="412" ht="15.75" customHeight="1" s="216">
      <c r="D412" s="109" t="n"/>
      <c r="E412" s="109" t="n"/>
      <c r="J412" s="109" t="n"/>
      <c r="K412" s="109" t="n"/>
      <c r="L412" s="109" t="n"/>
      <c r="N412" s="109" t="n"/>
      <c r="O412" s="109" t="n"/>
      <c r="P412" s="109" t="n"/>
      <c r="T412" s="109" t="n"/>
      <c r="U412" s="109" t="n"/>
      <c r="V412" s="109" t="n"/>
      <c r="Z412" s="109" t="n"/>
      <c r="AA412" s="109" t="n"/>
      <c r="AB412" s="109" t="n"/>
      <c r="AF412" s="109" t="n"/>
      <c r="AG412" s="109" t="n"/>
      <c r="AH412" s="109" t="n"/>
      <c r="AL412" s="109" t="n"/>
      <c r="AM412" s="109" t="n"/>
      <c r="AN412" s="109" t="n"/>
    </row>
    <row r="413" ht="15.75" customHeight="1" s="216">
      <c r="D413" s="109" t="n"/>
      <c r="E413" s="109" t="n"/>
      <c r="J413" s="109" t="n"/>
      <c r="K413" s="109" t="n"/>
      <c r="L413" s="109" t="n"/>
      <c r="N413" s="109" t="n"/>
      <c r="O413" s="109" t="n"/>
      <c r="P413" s="109" t="n"/>
      <c r="T413" s="109" t="n"/>
      <c r="U413" s="109" t="n"/>
      <c r="V413" s="109" t="n"/>
      <c r="Z413" s="109" t="n"/>
      <c r="AA413" s="109" t="n"/>
      <c r="AB413" s="109" t="n"/>
      <c r="AF413" s="109" t="n"/>
      <c r="AG413" s="109" t="n"/>
      <c r="AH413" s="109" t="n"/>
      <c r="AL413" s="109" t="n"/>
      <c r="AM413" s="109" t="n"/>
      <c r="AN413" s="109" t="n"/>
    </row>
    <row r="414" ht="15.75" customHeight="1" s="216">
      <c r="D414" s="109" t="n"/>
      <c r="E414" s="109" t="n"/>
      <c r="J414" s="109" t="n"/>
      <c r="K414" s="109" t="n"/>
      <c r="L414" s="109" t="n"/>
      <c r="N414" s="109" t="n"/>
      <c r="O414" s="109" t="n"/>
      <c r="P414" s="109" t="n"/>
      <c r="T414" s="109" t="n"/>
      <c r="U414" s="109" t="n"/>
      <c r="V414" s="109" t="n"/>
      <c r="Z414" s="109" t="n"/>
      <c r="AA414" s="109" t="n"/>
      <c r="AB414" s="109" t="n"/>
      <c r="AF414" s="109" t="n"/>
      <c r="AG414" s="109" t="n"/>
      <c r="AH414" s="109" t="n"/>
      <c r="AL414" s="109" t="n"/>
      <c r="AM414" s="109" t="n"/>
      <c r="AN414" s="109" t="n"/>
    </row>
    <row r="415" ht="15.75" customHeight="1" s="216">
      <c r="D415" s="109" t="n"/>
      <c r="E415" s="109" t="n"/>
      <c r="J415" s="109" t="n"/>
      <c r="K415" s="109" t="n"/>
      <c r="L415" s="109" t="n"/>
      <c r="N415" s="109" t="n"/>
      <c r="O415" s="109" t="n"/>
      <c r="P415" s="109" t="n"/>
      <c r="T415" s="109" t="n"/>
      <c r="U415" s="109" t="n"/>
      <c r="V415" s="109" t="n"/>
      <c r="Z415" s="109" t="n"/>
      <c r="AA415" s="109" t="n"/>
      <c r="AB415" s="109" t="n"/>
      <c r="AF415" s="109" t="n"/>
      <c r="AG415" s="109" t="n"/>
      <c r="AH415" s="109" t="n"/>
      <c r="AL415" s="109" t="n"/>
      <c r="AM415" s="109" t="n"/>
      <c r="AN415" s="109" t="n"/>
    </row>
    <row r="416" ht="15.75" customHeight="1" s="216">
      <c r="D416" s="109" t="n"/>
      <c r="E416" s="109" t="n"/>
      <c r="J416" s="109" t="n"/>
      <c r="K416" s="109" t="n"/>
      <c r="L416" s="109" t="n"/>
      <c r="N416" s="109" t="n"/>
      <c r="O416" s="109" t="n"/>
      <c r="P416" s="109" t="n"/>
      <c r="T416" s="109" t="n"/>
      <c r="U416" s="109" t="n"/>
      <c r="V416" s="109" t="n"/>
      <c r="Z416" s="109" t="n"/>
      <c r="AA416" s="109" t="n"/>
      <c r="AB416" s="109" t="n"/>
      <c r="AF416" s="109" t="n"/>
      <c r="AG416" s="109" t="n"/>
      <c r="AH416" s="109" t="n"/>
      <c r="AL416" s="109" t="n"/>
      <c r="AM416" s="109" t="n"/>
      <c r="AN416" s="109" t="n"/>
    </row>
    <row r="417" ht="15.75" customHeight="1" s="216">
      <c r="D417" s="109" t="n"/>
      <c r="E417" s="109" t="n"/>
      <c r="J417" s="109" t="n"/>
      <c r="K417" s="109" t="n"/>
      <c r="L417" s="109" t="n"/>
      <c r="N417" s="109" t="n"/>
      <c r="O417" s="109" t="n"/>
      <c r="P417" s="109" t="n"/>
      <c r="T417" s="109" t="n"/>
      <c r="U417" s="109" t="n"/>
      <c r="V417" s="109" t="n"/>
      <c r="Z417" s="109" t="n"/>
      <c r="AA417" s="109" t="n"/>
      <c r="AB417" s="109" t="n"/>
      <c r="AF417" s="109" t="n"/>
      <c r="AG417" s="109" t="n"/>
      <c r="AH417" s="109" t="n"/>
      <c r="AL417" s="109" t="n"/>
      <c r="AM417" s="109" t="n"/>
      <c r="AN417" s="109" t="n"/>
    </row>
    <row r="418" ht="15.75" customHeight="1" s="216">
      <c r="D418" s="109" t="n"/>
      <c r="E418" s="109" t="n"/>
      <c r="J418" s="109" t="n"/>
      <c r="K418" s="109" t="n"/>
      <c r="L418" s="109" t="n"/>
      <c r="N418" s="109" t="n"/>
      <c r="O418" s="109" t="n"/>
      <c r="P418" s="109" t="n"/>
      <c r="T418" s="109" t="n"/>
      <c r="U418" s="109" t="n"/>
      <c r="V418" s="109" t="n"/>
      <c r="Z418" s="109" t="n"/>
      <c r="AA418" s="109" t="n"/>
      <c r="AB418" s="109" t="n"/>
      <c r="AF418" s="109" t="n"/>
      <c r="AG418" s="109" t="n"/>
      <c r="AH418" s="109" t="n"/>
      <c r="AL418" s="109" t="n"/>
      <c r="AM418" s="109" t="n"/>
      <c r="AN418" s="109" t="n"/>
    </row>
    <row r="419" ht="15.75" customHeight="1" s="216">
      <c r="D419" s="109" t="n"/>
      <c r="E419" s="109" t="n"/>
      <c r="J419" s="109" t="n"/>
      <c r="K419" s="109" t="n"/>
      <c r="L419" s="109" t="n"/>
      <c r="N419" s="109" t="n"/>
      <c r="O419" s="109" t="n"/>
      <c r="P419" s="109" t="n"/>
      <c r="T419" s="109" t="n"/>
      <c r="U419" s="109" t="n"/>
      <c r="V419" s="109" t="n"/>
      <c r="Z419" s="109" t="n"/>
      <c r="AA419" s="109" t="n"/>
      <c r="AB419" s="109" t="n"/>
      <c r="AF419" s="109" t="n"/>
      <c r="AG419" s="109" t="n"/>
      <c r="AH419" s="109" t="n"/>
      <c r="AL419" s="109" t="n"/>
      <c r="AM419" s="109" t="n"/>
      <c r="AN419" s="109" t="n"/>
    </row>
    <row r="420" ht="15.75" customHeight="1" s="216">
      <c r="D420" s="109" t="n"/>
      <c r="E420" s="109" t="n"/>
      <c r="J420" s="109" t="n"/>
      <c r="K420" s="109" t="n"/>
      <c r="L420" s="109" t="n"/>
      <c r="N420" s="109" t="n"/>
      <c r="O420" s="109" t="n"/>
      <c r="P420" s="109" t="n"/>
      <c r="T420" s="109" t="n"/>
      <c r="U420" s="109" t="n"/>
      <c r="V420" s="109" t="n"/>
      <c r="Z420" s="109" t="n"/>
      <c r="AA420" s="109" t="n"/>
      <c r="AB420" s="109" t="n"/>
      <c r="AF420" s="109" t="n"/>
      <c r="AG420" s="109" t="n"/>
      <c r="AH420" s="109" t="n"/>
      <c r="AL420" s="109" t="n"/>
      <c r="AM420" s="109" t="n"/>
      <c r="AN420" s="109" t="n"/>
    </row>
    <row r="421" ht="15.75" customHeight="1" s="216">
      <c r="D421" s="109" t="n"/>
      <c r="E421" s="109" t="n"/>
      <c r="J421" s="109" t="n"/>
      <c r="K421" s="109" t="n"/>
      <c r="L421" s="109" t="n"/>
      <c r="N421" s="109" t="n"/>
      <c r="O421" s="109" t="n"/>
      <c r="P421" s="109" t="n"/>
      <c r="T421" s="109" t="n"/>
      <c r="U421" s="109" t="n"/>
      <c r="V421" s="109" t="n"/>
      <c r="Z421" s="109" t="n"/>
      <c r="AA421" s="109" t="n"/>
      <c r="AB421" s="109" t="n"/>
      <c r="AF421" s="109" t="n"/>
      <c r="AG421" s="109" t="n"/>
      <c r="AH421" s="109" t="n"/>
      <c r="AL421" s="109" t="n"/>
      <c r="AM421" s="109" t="n"/>
      <c r="AN421" s="109" t="n"/>
    </row>
    <row r="422" ht="15.75" customHeight="1" s="216">
      <c r="D422" s="109" t="n"/>
      <c r="E422" s="109" t="n"/>
      <c r="J422" s="109" t="n"/>
      <c r="K422" s="109" t="n"/>
      <c r="L422" s="109" t="n"/>
      <c r="N422" s="109" t="n"/>
      <c r="O422" s="109" t="n"/>
      <c r="P422" s="109" t="n"/>
      <c r="T422" s="109" t="n"/>
      <c r="U422" s="109" t="n"/>
      <c r="V422" s="109" t="n"/>
      <c r="Z422" s="109" t="n"/>
      <c r="AA422" s="109" t="n"/>
      <c r="AB422" s="109" t="n"/>
      <c r="AF422" s="109" t="n"/>
      <c r="AG422" s="109" t="n"/>
      <c r="AH422" s="109" t="n"/>
      <c r="AL422" s="109" t="n"/>
      <c r="AM422" s="109" t="n"/>
      <c r="AN422" s="109" t="n"/>
    </row>
    <row r="423" ht="15.75" customHeight="1" s="216">
      <c r="D423" s="109" t="n"/>
      <c r="E423" s="109" t="n"/>
      <c r="J423" s="109" t="n"/>
      <c r="K423" s="109" t="n"/>
      <c r="L423" s="109" t="n"/>
      <c r="N423" s="109" t="n"/>
      <c r="O423" s="109" t="n"/>
      <c r="P423" s="109" t="n"/>
      <c r="T423" s="109" t="n"/>
      <c r="U423" s="109" t="n"/>
      <c r="V423" s="109" t="n"/>
      <c r="Z423" s="109" t="n"/>
      <c r="AA423" s="109" t="n"/>
      <c r="AB423" s="109" t="n"/>
      <c r="AF423" s="109" t="n"/>
      <c r="AG423" s="109" t="n"/>
      <c r="AH423" s="109" t="n"/>
      <c r="AL423" s="109" t="n"/>
      <c r="AM423" s="109" t="n"/>
      <c r="AN423" s="109" t="n"/>
    </row>
    <row r="424" ht="15.75" customHeight="1" s="216">
      <c r="D424" s="109" t="n"/>
      <c r="E424" s="109" t="n"/>
      <c r="J424" s="109" t="n"/>
      <c r="K424" s="109" t="n"/>
      <c r="L424" s="109" t="n"/>
      <c r="N424" s="109" t="n"/>
      <c r="O424" s="109" t="n"/>
      <c r="P424" s="109" t="n"/>
      <c r="T424" s="109" t="n"/>
      <c r="U424" s="109" t="n"/>
      <c r="V424" s="109" t="n"/>
      <c r="Z424" s="109" t="n"/>
      <c r="AA424" s="109" t="n"/>
      <c r="AB424" s="109" t="n"/>
      <c r="AF424" s="109" t="n"/>
      <c r="AG424" s="109" t="n"/>
      <c r="AH424" s="109" t="n"/>
      <c r="AL424" s="109" t="n"/>
      <c r="AM424" s="109" t="n"/>
      <c r="AN424" s="109" t="n"/>
    </row>
    <row r="425" ht="15.75" customHeight="1" s="216">
      <c r="D425" s="109" t="n"/>
      <c r="E425" s="109" t="n"/>
      <c r="J425" s="109" t="n"/>
      <c r="K425" s="109" t="n"/>
      <c r="L425" s="109" t="n"/>
      <c r="N425" s="109" t="n"/>
      <c r="O425" s="109" t="n"/>
      <c r="P425" s="109" t="n"/>
      <c r="T425" s="109" t="n"/>
      <c r="U425" s="109" t="n"/>
      <c r="V425" s="109" t="n"/>
      <c r="Z425" s="109" t="n"/>
      <c r="AA425" s="109" t="n"/>
      <c r="AB425" s="109" t="n"/>
      <c r="AF425" s="109" t="n"/>
      <c r="AG425" s="109" t="n"/>
      <c r="AH425" s="109" t="n"/>
      <c r="AL425" s="109" t="n"/>
      <c r="AM425" s="109" t="n"/>
      <c r="AN425" s="109" t="n"/>
    </row>
    <row r="426" ht="15.75" customHeight="1" s="216">
      <c r="D426" s="109" t="n"/>
      <c r="E426" s="109" t="n"/>
      <c r="J426" s="109" t="n"/>
      <c r="K426" s="109" t="n"/>
      <c r="L426" s="109" t="n"/>
      <c r="N426" s="109" t="n"/>
      <c r="O426" s="109" t="n"/>
      <c r="P426" s="109" t="n"/>
      <c r="T426" s="109" t="n"/>
      <c r="U426" s="109" t="n"/>
      <c r="V426" s="109" t="n"/>
      <c r="Z426" s="109" t="n"/>
      <c r="AA426" s="109" t="n"/>
      <c r="AB426" s="109" t="n"/>
      <c r="AF426" s="109" t="n"/>
      <c r="AG426" s="109" t="n"/>
      <c r="AH426" s="109" t="n"/>
      <c r="AL426" s="109" t="n"/>
      <c r="AM426" s="109" t="n"/>
      <c r="AN426" s="109" t="n"/>
    </row>
    <row r="427" ht="15.75" customHeight="1" s="216">
      <c r="D427" s="109" t="n"/>
      <c r="E427" s="109" t="n"/>
      <c r="J427" s="109" t="n"/>
      <c r="K427" s="109" t="n"/>
      <c r="L427" s="109" t="n"/>
      <c r="N427" s="109" t="n"/>
      <c r="O427" s="109" t="n"/>
      <c r="P427" s="109" t="n"/>
      <c r="T427" s="109" t="n"/>
      <c r="U427" s="109" t="n"/>
      <c r="V427" s="109" t="n"/>
      <c r="Z427" s="109" t="n"/>
      <c r="AA427" s="109" t="n"/>
      <c r="AB427" s="109" t="n"/>
      <c r="AF427" s="109" t="n"/>
      <c r="AG427" s="109" t="n"/>
      <c r="AH427" s="109" t="n"/>
      <c r="AL427" s="109" t="n"/>
      <c r="AM427" s="109" t="n"/>
      <c r="AN427" s="109" t="n"/>
    </row>
    <row r="428" ht="15.75" customHeight="1" s="216">
      <c r="D428" s="109" t="n"/>
      <c r="E428" s="109" t="n"/>
      <c r="J428" s="109" t="n"/>
      <c r="K428" s="109" t="n"/>
      <c r="L428" s="109" t="n"/>
      <c r="N428" s="109" t="n"/>
      <c r="O428" s="109" t="n"/>
      <c r="P428" s="109" t="n"/>
      <c r="T428" s="109" t="n"/>
      <c r="U428" s="109" t="n"/>
      <c r="V428" s="109" t="n"/>
      <c r="Z428" s="109" t="n"/>
      <c r="AA428" s="109" t="n"/>
      <c r="AB428" s="109" t="n"/>
      <c r="AF428" s="109" t="n"/>
      <c r="AG428" s="109" t="n"/>
      <c r="AH428" s="109" t="n"/>
      <c r="AL428" s="109" t="n"/>
      <c r="AM428" s="109" t="n"/>
      <c r="AN428" s="109" t="n"/>
    </row>
    <row r="429" ht="15.75" customHeight="1" s="216">
      <c r="D429" s="109" t="n"/>
      <c r="E429" s="109" t="n"/>
      <c r="J429" s="109" t="n"/>
      <c r="K429" s="109" t="n"/>
      <c r="L429" s="109" t="n"/>
      <c r="N429" s="109" t="n"/>
      <c r="O429" s="109" t="n"/>
      <c r="P429" s="109" t="n"/>
      <c r="T429" s="109" t="n"/>
      <c r="U429" s="109" t="n"/>
      <c r="V429" s="109" t="n"/>
      <c r="Z429" s="109" t="n"/>
      <c r="AA429" s="109" t="n"/>
      <c r="AB429" s="109" t="n"/>
      <c r="AF429" s="109" t="n"/>
      <c r="AG429" s="109" t="n"/>
      <c r="AH429" s="109" t="n"/>
      <c r="AL429" s="109" t="n"/>
      <c r="AM429" s="109" t="n"/>
      <c r="AN429" s="109" t="n"/>
    </row>
    <row r="430" ht="15.75" customHeight="1" s="216">
      <c r="D430" s="109" t="n"/>
      <c r="E430" s="109" t="n"/>
      <c r="J430" s="109" t="n"/>
      <c r="K430" s="109" t="n"/>
      <c r="L430" s="109" t="n"/>
      <c r="N430" s="109" t="n"/>
      <c r="O430" s="109" t="n"/>
      <c r="P430" s="109" t="n"/>
      <c r="T430" s="109" t="n"/>
      <c r="U430" s="109" t="n"/>
      <c r="V430" s="109" t="n"/>
      <c r="Z430" s="109" t="n"/>
      <c r="AA430" s="109" t="n"/>
      <c r="AB430" s="109" t="n"/>
      <c r="AF430" s="109" t="n"/>
      <c r="AG430" s="109" t="n"/>
      <c r="AH430" s="109" t="n"/>
      <c r="AL430" s="109" t="n"/>
      <c r="AM430" s="109" t="n"/>
      <c r="AN430" s="109" t="n"/>
    </row>
    <row r="431" ht="15.75" customHeight="1" s="216">
      <c r="D431" s="109" t="n"/>
      <c r="E431" s="109" t="n"/>
      <c r="J431" s="109" t="n"/>
      <c r="K431" s="109" t="n"/>
      <c r="L431" s="109" t="n"/>
      <c r="N431" s="109" t="n"/>
      <c r="O431" s="109" t="n"/>
      <c r="P431" s="109" t="n"/>
      <c r="T431" s="109" t="n"/>
      <c r="U431" s="109" t="n"/>
      <c r="V431" s="109" t="n"/>
      <c r="Z431" s="109" t="n"/>
      <c r="AA431" s="109" t="n"/>
      <c r="AB431" s="109" t="n"/>
      <c r="AF431" s="109" t="n"/>
      <c r="AG431" s="109" t="n"/>
      <c r="AH431" s="109" t="n"/>
      <c r="AL431" s="109" t="n"/>
      <c r="AM431" s="109" t="n"/>
      <c r="AN431" s="109" t="n"/>
    </row>
    <row r="432" ht="15.75" customHeight="1" s="216">
      <c r="D432" s="109" t="n"/>
      <c r="E432" s="109" t="n"/>
      <c r="J432" s="109" t="n"/>
      <c r="K432" s="109" t="n"/>
      <c r="L432" s="109" t="n"/>
      <c r="N432" s="109" t="n"/>
      <c r="O432" s="109" t="n"/>
      <c r="P432" s="109" t="n"/>
      <c r="T432" s="109" t="n"/>
      <c r="U432" s="109" t="n"/>
      <c r="V432" s="109" t="n"/>
      <c r="Z432" s="109" t="n"/>
      <c r="AA432" s="109" t="n"/>
      <c r="AB432" s="109" t="n"/>
      <c r="AF432" s="109" t="n"/>
      <c r="AG432" s="109" t="n"/>
      <c r="AH432" s="109" t="n"/>
      <c r="AL432" s="109" t="n"/>
      <c r="AM432" s="109" t="n"/>
      <c r="AN432" s="109" t="n"/>
    </row>
    <row r="433" ht="15.75" customHeight="1" s="216">
      <c r="D433" s="109" t="n"/>
      <c r="E433" s="109" t="n"/>
      <c r="J433" s="109" t="n"/>
      <c r="K433" s="109" t="n"/>
      <c r="L433" s="109" t="n"/>
      <c r="N433" s="109" t="n"/>
      <c r="O433" s="109" t="n"/>
      <c r="P433" s="109" t="n"/>
      <c r="T433" s="109" t="n"/>
      <c r="U433" s="109" t="n"/>
      <c r="V433" s="109" t="n"/>
      <c r="Z433" s="109" t="n"/>
      <c r="AA433" s="109" t="n"/>
      <c r="AB433" s="109" t="n"/>
      <c r="AF433" s="109" t="n"/>
      <c r="AG433" s="109" t="n"/>
      <c r="AH433" s="109" t="n"/>
      <c r="AL433" s="109" t="n"/>
      <c r="AM433" s="109" t="n"/>
      <c r="AN433" s="109" t="n"/>
    </row>
    <row r="434" ht="15.75" customHeight="1" s="216">
      <c r="D434" s="109" t="n"/>
      <c r="E434" s="109" t="n"/>
      <c r="J434" s="109" t="n"/>
      <c r="K434" s="109" t="n"/>
      <c r="L434" s="109" t="n"/>
      <c r="N434" s="109" t="n"/>
      <c r="O434" s="109" t="n"/>
      <c r="P434" s="109" t="n"/>
      <c r="T434" s="109" t="n"/>
      <c r="U434" s="109" t="n"/>
      <c r="V434" s="109" t="n"/>
      <c r="Z434" s="109" t="n"/>
      <c r="AA434" s="109" t="n"/>
      <c r="AB434" s="109" t="n"/>
      <c r="AF434" s="109" t="n"/>
      <c r="AG434" s="109" t="n"/>
      <c r="AH434" s="109" t="n"/>
      <c r="AL434" s="109" t="n"/>
      <c r="AM434" s="109" t="n"/>
      <c r="AN434" s="109" t="n"/>
    </row>
    <row r="435" ht="15.75" customHeight="1" s="216">
      <c r="D435" s="109" t="n"/>
      <c r="E435" s="109" t="n"/>
      <c r="J435" s="109" t="n"/>
      <c r="K435" s="109" t="n"/>
      <c r="L435" s="109" t="n"/>
      <c r="N435" s="109" t="n"/>
      <c r="O435" s="109" t="n"/>
      <c r="P435" s="109" t="n"/>
      <c r="T435" s="109" t="n"/>
      <c r="U435" s="109" t="n"/>
      <c r="V435" s="109" t="n"/>
      <c r="Z435" s="109" t="n"/>
      <c r="AA435" s="109" t="n"/>
      <c r="AB435" s="109" t="n"/>
      <c r="AF435" s="109" t="n"/>
      <c r="AG435" s="109" t="n"/>
      <c r="AH435" s="109" t="n"/>
      <c r="AL435" s="109" t="n"/>
      <c r="AM435" s="109" t="n"/>
      <c r="AN435" s="109" t="n"/>
    </row>
    <row r="436" ht="15.75" customHeight="1" s="216">
      <c r="D436" s="109" t="n"/>
      <c r="E436" s="109" t="n"/>
      <c r="J436" s="109" t="n"/>
      <c r="K436" s="109" t="n"/>
      <c r="L436" s="109" t="n"/>
      <c r="N436" s="109" t="n"/>
      <c r="O436" s="109" t="n"/>
      <c r="P436" s="109" t="n"/>
      <c r="T436" s="109" t="n"/>
      <c r="U436" s="109" t="n"/>
      <c r="V436" s="109" t="n"/>
      <c r="Z436" s="109" t="n"/>
      <c r="AA436" s="109" t="n"/>
      <c r="AB436" s="109" t="n"/>
      <c r="AF436" s="109" t="n"/>
      <c r="AG436" s="109" t="n"/>
      <c r="AH436" s="109" t="n"/>
      <c r="AL436" s="109" t="n"/>
      <c r="AM436" s="109" t="n"/>
      <c r="AN436" s="109" t="n"/>
    </row>
    <row r="437" ht="15.75" customHeight="1" s="216">
      <c r="D437" s="109" t="n"/>
      <c r="E437" s="109" t="n"/>
      <c r="J437" s="109" t="n"/>
      <c r="K437" s="109" t="n"/>
      <c r="L437" s="109" t="n"/>
      <c r="N437" s="109" t="n"/>
      <c r="O437" s="109" t="n"/>
      <c r="P437" s="109" t="n"/>
      <c r="T437" s="109" t="n"/>
      <c r="U437" s="109" t="n"/>
      <c r="V437" s="109" t="n"/>
      <c r="Z437" s="109" t="n"/>
      <c r="AA437" s="109" t="n"/>
      <c r="AB437" s="109" t="n"/>
      <c r="AF437" s="109" t="n"/>
      <c r="AG437" s="109" t="n"/>
      <c r="AH437" s="109" t="n"/>
      <c r="AL437" s="109" t="n"/>
      <c r="AM437" s="109" t="n"/>
      <c r="AN437" s="109" t="n"/>
    </row>
    <row r="438" ht="15.75" customHeight="1" s="216">
      <c r="D438" s="109" t="n"/>
      <c r="E438" s="109" t="n"/>
      <c r="J438" s="109" t="n"/>
      <c r="K438" s="109" t="n"/>
      <c r="L438" s="109" t="n"/>
      <c r="N438" s="109" t="n"/>
      <c r="O438" s="109" t="n"/>
      <c r="P438" s="109" t="n"/>
      <c r="T438" s="109" t="n"/>
      <c r="U438" s="109" t="n"/>
      <c r="V438" s="109" t="n"/>
      <c r="Z438" s="109" t="n"/>
      <c r="AA438" s="109" t="n"/>
      <c r="AB438" s="109" t="n"/>
      <c r="AF438" s="109" t="n"/>
      <c r="AG438" s="109" t="n"/>
      <c r="AH438" s="109" t="n"/>
      <c r="AL438" s="109" t="n"/>
      <c r="AM438" s="109" t="n"/>
      <c r="AN438" s="109" t="n"/>
    </row>
    <row r="439" ht="15.75" customHeight="1" s="216">
      <c r="D439" s="109" t="n"/>
      <c r="E439" s="109" t="n"/>
      <c r="J439" s="109" t="n"/>
      <c r="K439" s="109" t="n"/>
      <c r="L439" s="109" t="n"/>
      <c r="N439" s="109" t="n"/>
      <c r="O439" s="109" t="n"/>
      <c r="P439" s="109" t="n"/>
      <c r="T439" s="109" t="n"/>
      <c r="U439" s="109" t="n"/>
      <c r="V439" s="109" t="n"/>
      <c r="Z439" s="109" t="n"/>
      <c r="AA439" s="109" t="n"/>
      <c r="AB439" s="109" t="n"/>
      <c r="AF439" s="109" t="n"/>
      <c r="AG439" s="109" t="n"/>
      <c r="AH439" s="109" t="n"/>
      <c r="AL439" s="109" t="n"/>
      <c r="AM439" s="109" t="n"/>
      <c r="AN439" s="109" t="n"/>
    </row>
    <row r="440" ht="15.75" customHeight="1" s="216">
      <c r="D440" s="109" t="n"/>
      <c r="E440" s="109" t="n"/>
      <c r="J440" s="109" t="n"/>
      <c r="K440" s="109" t="n"/>
      <c r="L440" s="109" t="n"/>
      <c r="N440" s="109" t="n"/>
      <c r="O440" s="109" t="n"/>
      <c r="P440" s="109" t="n"/>
      <c r="T440" s="109" t="n"/>
      <c r="U440" s="109" t="n"/>
      <c r="V440" s="109" t="n"/>
      <c r="Z440" s="109" t="n"/>
      <c r="AA440" s="109" t="n"/>
      <c r="AB440" s="109" t="n"/>
      <c r="AF440" s="109" t="n"/>
      <c r="AG440" s="109" t="n"/>
      <c r="AH440" s="109" t="n"/>
      <c r="AL440" s="109" t="n"/>
      <c r="AM440" s="109" t="n"/>
      <c r="AN440" s="109" t="n"/>
    </row>
    <row r="441" ht="15.75" customHeight="1" s="216">
      <c r="D441" s="109" t="n"/>
      <c r="E441" s="109" t="n"/>
      <c r="J441" s="109" t="n"/>
      <c r="K441" s="109" t="n"/>
      <c r="L441" s="109" t="n"/>
      <c r="N441" s="109" t="n"/>
      <c r="O441" s="109" t="n"/>
      <c r="P441" s="109" t="n"/>
      <c r="T441" s="109" t="n"/>
      <c r="U441" s="109" t="n"/>
      <c r="V441" s="109" t="n"/>
      <c r="Z441" s="109" t="n"/>
      <c r="AA441" s="109" t="n"/>
      <c r="AB441" s="109" t="n"/>
      <c r="AF441" s="109" t="n"/>
      <c r="AG441" s="109" t="n"/>
      <c r="AH441" s="109" t="n"/>
      <c r="AL441" s="109" t="n"/>
      <c r="AM441" s="109" t="n"/>
      <c r="AN441" s="109" t="n"/>
    </row>
    <row r="442" ht="15.75" customHeight="1" s="216">
      <c r="D442" s="109" t="n"/>
      <c r="E442" s="109" t="n"/>
      <c r="J442" s="109" t="n"/>
      <c r="K442" s="109" t="n"/>
      <c r="L442" s="109" t="n"/>
      <c r="N442" s="109" t="n"/>
      <c r="O442" s="109" t="n"/>
      <c r="P442" s="109" t="n"/>
      <c r="T442" s="109" t="n"/>
      <c r="U442" s="109" t="n"/>
      <c r="V442" s="109" t="n"/>
      <c r="Z442" s="109" t="n"/>
      <c r="AA442" s="109" t="n"/>
      <c r="AB442" s="109" t="n"/>
      <c r="AF442" s="109" t="n"/>
      <c r="AG442" s="109" t="n"/>
      <c r="AH442" s="109" t="n"/>
      <c r="AL442" s="109" t="n"/>
      <c r="AM442" s="109" t="n"/>
      <c r="AN442" s="109" t="n"/>
    </row>
    <row r="443" ht="15.75" customHeight="1" s="216">
      <c r="D443" s="109" t="n"/>
      <c r="E443" s="109" t="n"/>
      <c r="J443" s="109" t="n"/>
      <c r="K443" s="109" t="n"/>
      <c r="L443" s="109" t="n"/>
      <c r="N443" s="109" t="n"/>
      <c r="O443" s="109" t="n"/>
      <c r="P443" s="109" t="n"/>
      <c r="T443" s="109" t="n"/>
      <c r="U443" s="109" t="n"/>
      <c r="V443" s="109" t="n"/>
      <c r="Z443" s="109" t="n"/>
      <c r="AA443" s="109" t="n"/>
      <c r="AB443" s="109" t="n"/>
      <c r="AF443" s="109" t="n"/>
      <c r="AG443" s="109" t="n"/>
      <c r="AH443" s="109" t="n"/>
      <c r="AL443" s="109" t="n"/>
      <c r="AM443" s="109" t="n"/>
      <c r="AN443" s="109" t="n"/>
    </row>
    <row r="444" ht="15.75" customHeight="1" s="216">
      <c r="D444" s="109" t="n"/>
      <c r="E444" s="109" t="n"/>
      <c r="J444" s="109" t="n"/>
      <c r="K444" s="109" t="n"/>
      <c r="L444" s="109" t="n"/>
      <c r="N444" s="109" t="n"/>
      <c r="O444" s="109" t="n"/>
      <c r="P444" s="109" t="n"/>
      <c r="T444" s="109" t="n"/>
      <c r="U444" s="109" t="n"/>
      <c r="V444" s="109" t="n"/>
      <c r="Z444" s="109" t="n"/>
      <c r="AA444" s="109" t="n"/>
      <c r="AB444" s="109" t="n"/>
      <c r="AF444" s="109" t="n"/>
      <c r="AG444" s="109" t="n"/>
      <c r="AH444" s="109" t="n"/>
      <c r="AL444" s="109" t="n"/>
      <c r="AM444" s="109" t="n"/>
      <c r="AN444" s="109" t="n"/>
    </row>
    <row r="445" ht="15.75" customHeight="1" s="216">
      <c r="D445" s="109" t="n"/>
      <c r="E445" s="109" t="n"/>
      <c r="J445" s="109" t="n"/>
      <c r="K445" s="109" t="n"/>
      <c r="L445" s="109" t="n"/>
      <c r="N445" s="109" t="n"/>
      <c r="O445" s="109" t="n"/>
      <c r="P445" s="109" t="n"/>
      <c r="T445" s="109" t="n"/>
      <c r="U445" s="109" t="n"/>
      <c r="V445" s="109" t="n"/>
      <c r="Z445" s="109" t="n"/>
      <c r="AA445" s="109" t="n"/>
      <c r="AB445" s="109" t="n"/>
      <c r="AF445" s="109" t="n"/>
      <c r="AG445" s="109" t="n"/>
      <c r="AH445" s="109" t="n"/>
      <c r="AL445" s="109" t="n"/>
      <c r="AM445" s="109" t="n"/>
      <c r="AN445" s="109" t="n"/>
    </row>
    <row r="446" ht="15.75" customHeight="1" s="216">
      <c r="D446" s="109" t="n"/>
      <c r="E446" s="109" t="n"/>
      <c r="J446" s="109" t="n"/>
      <c r="K446" s="109" t="n"/>
      <c r="L446" s="109" t="n"/>
      <c r="N446" s="109" t="n"/>
      <c r="O446" s="109" t="n"/>
      <c r="P446" s="109" t="n"/>
      <c r="T446" s="109" t="n"/>
      <c r="U446" s="109" t="n"/>
      <c r="V446" s="109" t="n"/>
      <c r="Z446" s="109" t="n"/>
      <c r="AA446" s="109" t="n"/>
      <c r="AB446" s="109" t="n"/>
      <c r="AF446" s="109" t="n"/>
      <c r="AG446" s="109" t="n"/>
      <c r="AH446" s="109" t="n"/>
      <c r="AL446" s="109" t="n"/>
      <c r="AM446" s="109" t="n"/>
      <c r="AN446" s="109" t="n"/>
    </row>
    <row r="447" ht="15.75" customHeight="1" s="216">
      <c r="D447" s="109" t="n"/>
      <c r="E447" s="109" t="n"/>
      <c r="J447" s="109" t="n"/>
      <c r="K447" s="109" t="n"/>
      <c r="L447" s="109" t="n"/>
      <c r="N447" s="109" t="n"/>
      <c r="O447" s="109" t="n"/>
      <c r="P447" s="109" t="n"/>
      <c r="T447" s="109" t="n"/>
      <c r="U447" s="109" t="n"/>
      <c r="V447" s="109" t="n"/>
      <c r="Z447" s="109" t="n"/>
      <c r="AA447" s="109" t="n"/>
      <c r="AB447" s="109" t="n"/>
      <c r="AF447" s="109" t="n"/>
      <c r="AG447" s="109" t="n"/>
      <c r="AH447" s="109" t="n"/>
      <c r="AL447" s="109" t="n"/>
      <c r="AM447" s="109" t="n"/>
      <c r="AN447" s="109" t="n"/>
    </row>
    <row r="448" ht="15.75" customHeight="1" s="216">
      <c r="D448" s="109" t="n"/>
      <c r="E448" s="109" t="n"/>
      <c r="J448" s="109" t="n"/>
      <c r="K448" s="109" t="n"/>
      <c r="L448" s="109" t="n"/>
      <c r="N448" s="109" t="n"/>
      <c r="O448" s="109" t="n"/>
      <c r="P448" s="109" t="n"/>
      <c r="T448" s="109" t="n"/>
      <c r="U448" s="109" t="n"/>
      <c r="V448" s="109" t="n"/>
      <c r="Z448" s="109" t="n"/>
      <c r="AA448" s="109" t="n"/>
      <c r="AB448" s="109" t="n"/>
      <c r="AF448" s="109" t="n"/>
      <c r="AG448" s="109" t="n"/>
      <c r="AH448" s="109" t="n"/>
      <c r="AL448" s="109" t="n"/>
      <c r="AM448" s="109" t="n"/>
      <c r="AN448" s="109" t="n"/>
    </row>
    <row r="449" ht="15.75" customHeight="1" s="216">
      <c r="D449" s="109" t="n"/>
      <c r="E449" s="109" t="n"/>
      <c r="J449" s="109" t="n"/>
      <c r="K449" s="109" t="n"/>
      <c r="L449" s="109" t="n"/>
      <c r="N449" s="109" t="n"/>
      <c r="O449" s="109" t="n"/>
      <c r="P449" s="109" t="n"/>
      <c r="T449" s="109" t="n"/>
      <c r="U449" s="109" t="n"/>
      <c r="V449" s="109" t="n"/>
      <c r="Z449" s="109" t="n"/>
      <c r="AA449" s="109" t="n"/>
      <c r="AB449" s="109" t="n"/>
      <c r="AF449" s="109" t="n"/>
      <c r="AG449" s="109" t="n"/>
      <c r="AH449" s="109" t="n"/>
      <c r="AL449" s="109" t="n"/>
      <c r="AM449" s="109" t="n"/>
      <c r="AN449" s="109" t="n"/>
    </row>
    <row r="450" ht="15.75" customHeight="1" s="216">
      <c r="D450" s="109" t="n"/>
      <c r="E450" s="109" t="n"/>
      <c r="J450" s="109" t="n"/>
      <c r="K450" s="109" t="n"/>
      <c r="L450" s="109" t="n"/>
      <c r="N450" s="109" t="n"/>
      <c r="O450" s="109" t="n"/>
      <c r="P450" s="109" t="n"/>
      <c r="T450" s="109" t="n"/>
      <c r="U450" s="109" t="n"/>
      <c r="V450" s="109" t="n"/>
      <c r="Z450" s="109" t="n"/>
      <c r="AA450" s="109" t="n"/>
      <c r="AB450" s="109" t="n"/>
      <c r="AF450" s="109" t="n"/>
      <c r="AG450" s="109" t="n"/>
      <c r="AH450" s="109" t="n"/>
      <c r="AL450" s="109" t="n"/>
      <c r="AM450" s="109" t="n"/>
      <c r="AN450" s="109" t="n"/>
    </row>
    <row r="451" ht="15.75" customHeight="1" s="216">
      <c r="D451" s="109" t="n"/>
      <c r="E451" s="109" t="n"/>
      <c r="J451" s="109" t="n"/>
      <c r="K451" s="109" t="n"/>
      <c r="L451" s="109" t="n"/>
      <c r="N451" s="109" t="n"/>
      <c r="O451" s="109" t="n"/>
      <c r="P451" s="109" t="n"/>
      <c r="T451" s="109" t="n"/>
      <c r="U451" s="109" t="n"/>
      <c r="V451" s="109" t="n"/>
      <c r="Z451" s="109" t="n"/>
      <c r="AA451" s="109" t="n"/>
      <c r="AB451" s="109" t="n"/>
      <c r="AF451" s="109" t="n"/>
      <c r="AG451" s="109" t="n"/>
      <c r="AH451" s="109" t="n"/>
      <c r="AL451" s="109" t="n"/>
      <c r="AM451" s="109" t="n"/>
      <c r="AN451" s="109" t="n"/>
    </row>
    <row r="452" ht="15.75" customHeight="1" s="216">
      <c r="D452" s="109" t="n"/>
      <c r="E452" s="109" t="n"/>
      <c r="J452" s="109" t="n"/>
      <c r="K452" s="109" t="n"/>
      <c r="L452" s="109" t="n"/>
      <c r="N452" s="109" t="n"/>
      <c r="O452" s="109" t="n"/>
      <c r="P452" s="109" t="n"/>
      <c r="T452" s="109" t="n"/>
      <c r="U452" s="109" t="n"/>
      <c r="V452" s="109" t="n"/>
      <c r="Z452" s="109" t="n"/>
      <c r="AA452" s="109" t="n"/>
      <c r="AB452" s="109" t="n"/>
      <c r="AF452" s="109" t="n"/>
      <c r="AG452" s="109" t="n"/>
      <c r="AH452" s="109" t="n"/>
      <c r="AL452" s="109" t="n"/>
      <c r="AM452" s="109" t="n"/>
      <c r="AN452" s="109" t="n"/>
    </row>
    <row r="453" ht="15.75" customHeight="1" s="216">
      <c r="D453" s="109" t="n"/>
      <c r="E453" s="109" t="n"/>
      <c r="J453" s="109" t="n"/>
      <c r="K453" s="109" t="n"/>
      <c r="L453" s="109" t="n"/>
      <c r="N453" s="109" t="n"/>
      <c r="O453" s="109" t="n"/>
      <c r="P453" s="109" t="n"/>
      <c r="T453" s="109" t="n"/>
      <c r="U453" s="109" t="n"/>
      <c r="V453" s="109" t="n"/>
      <c r="Z453" s="109" t="n"/>
      <c r="AA453" s="109" t="n"/>
      <c r="AB453" s="109" t="n"/>
      <c r="AF453" s="109" t="n"/>
      <c r="AG453" s="109" t="n"/>
      <c r="AH453" s="109" t="n"/>
      <c r="AL453" s="109" t="n"/>
      <c r="AM453" s="109" t="n"/>
      <c r="AN453" s="109" t="n"/>
    </row>
    <row r="454" ht="15.75" customHeight="1" s="216">
      <c r="D454" s="109" t="n"/>
      <c r="E454" s="109" t="n"/>
      <c r="J454" s="109" t="n"/>
      <c r="K454" s="109" t="n"/>
      <c r="L454" s="109" t="n"/>
      <c r="N454" s="109" t="n"/>
      <c r="O454" s="109" t="n"/>
      <c r="P454" s="109" t="n"/>
      <c r="T454" s="109" t="n"/>
      <c r="U454" s="109" t="n"/>
      <c r="V454" s="109" t="n"/>
      <c r="Z454" s="109" t="n"/>
      <c r="AA454" s="109" t="n"/>
      <c r="AB454" s="109" t="n"/>
      <c r="AF454" s="109" t="n"/>
      <c r="AG454" s="109" t="n"/>
      <c r="AH454" s="109" t="n"/>
      <c r="AL454" s="109" t="n"/>
      <c r="AM454" s="109" t="n"/>
      <c r="AN454" s="109" t="n"/>
    </row>
    <row r="455" ht="15.75" customHeight="1" s="216">
      <c r="D455" s="109" t="n"/>
      <c r="E455" s="109" t="n"/>
      <c r="J455" s="109" t="n"/>
      <c r="K455" s="109" t="n"/>
      <c r="L455" s="109" t="n"/>
      <c r="N455" s="109" t="n"/>
      <c r="O455" s="109" t="n"/>
      <c r="P455" s="109" t="n"/>
      <c r="T455" s="109" t="n"/>
      <c r="U455" s="109" t="n"/>
      <c r="V455" s="109" t="n"/>
      <c r="Z455" s="109" t="n"/>
      <c r="AA455" s="109" t="n"/>
      <c r="AB455" s="109" t="n"/>
      <c r="AF455" s="109" t="n"/>
      <c r="AG455" s="109" t="n"/>
      <c r="AH455" s="109" t="n"/>
      <c r="AL455" s="109" t="n"/>
      <c r="AM455" s="109" t="n"/>
      <c r="AN455" s="109" t="n"/>
    </row>
    <row r="456" ht="15.75" customHeight="1" s="216">
      <c r="D456" s="109" t="n"/>
      <c r="E456" s="109" t="n"/>
      <c r="J456" s="109" t="n"/>
      <c r="K456" s="109" t="n"/>
      <c r="L456" s="109" t="n"/>
      <c r="N456" s="109" t="n"/>
      <c r="O456" s="109" t="n"/>
      <c r="P456" s="109" t="n"/>
      <c r="T456" s="109" t="n"/>
      <c r="U456" s="109" t="n"/>
      <c r="V456" s="109" t="n"/>
      <c r="Z456" s="109" t="n"/>
      <c r="AA456" s="109" t="n"/>
      <c r="AB456" s="109" t="n"/>
      <c r="AF456" s="109" t="n"/>
      <c r="AG456" s="109" t="n"/>
      <c r="AH456" s="109" t="n"/>
      <c r="AL456" s="109" t="n"/>
      <c r="AM456" s="109" t="n"/>
      <c r="AN456" s="109" t="n"/>
    </row>
    <row r="457" ht="15.75" customHeight="1" s="216">
      <c r="D457" s="109" t="n"/>
      <c r="E457" s="109" t="n"/>
      <c r="J457" s="109" t="n"/>
      <c r="K457" s="109" t="n"/>
      <c r="L457" s="109" t="n"/>
      <c r="N457" s="109" t="n"/>
      <c r="O457" s="109" t="n"/>
      <c r="P457" s="109" t="n"/>
      <c r="T457" s="109" t="n"/>
      <c r="U457" s="109" t="n"/>
      <c r="V457" s="109" t="n"/>
      <c r="Z457" s="109" t="n"/>
      <c r="AA457" s="109" t="n"/>
      <c r="AB457" s="109" t="n"/>
      <c r="AF457" s="109" t="n"/>
      <c r="AG457" s="109" t="n"/>
      <c r="AH457" s="109" t="n"/>
      <c r="AL457" s="109" t="n"/>
      <c r="AM457" s="109" t="n"/>
      <c r="AN457" s="109" t="n"/>
    </row>
    <row r="458" ht="15.75" customHeight="1" s="216">
      <c r="D458" s="109" t="n"/>
      <c r="E458" s="109" t="n"/>
      <c r="J458" s="109" t="n"/>
      <c r="K458" s="109" t="n"/>
      <c r="L458" s="109" t="n"/>
      <c r="N458" s="109" t="n"/>
      <c r="O458" s="109" t="n"/>
      <c r="P458" s="109" t="n"/>
      <c r="T458" s="109" t="n"/>
      <c r="U458" s="109" t="n"/>
      <c r="V458" s="109" t="n"/>
      <c r="Z458" s="109" t="n"/>
      <c r="AA458" s="109" t="n"/>
      <c r="AB458" s="109" t="n"/>
      <c r="AF458" s="109" t="n"/>
      <c r="AG458" s="109" t="n"/>
      <c r="AH458" s="109" t="n"/>
      <c r="AL458" s="109" t="n"/>
      <c r="AM458" s="109" t="n"/>
      <c r="AN458" s="109" t="n"/>
    </row>
    <row r="459" ht="15.75" customHeight="1" s="216">
      <c r="D459" s="109" t="n"/>
      <c r="E459" s="109" t="n"/>
      <c r="J459" s="109" t="n"/>
      <c r="K459" s="109" t="n"/>
      <c r="L459" s="109" t="n"/>
      <c r="N459" s="109" t="n"/>
      <c r="O459" s="109" t="n"/>
      <c r="P459" s="109" t="n"/>
      <c r="T459" s="109" t="n"/>
      <c r="U459" s="109" t="n"/>
      <c r="V459" s="109" t="n"/>
      <c r="Z459" s="109" t="n"/>
      <c r="AA459" s="109" t="n"/>
      <c r="AB459" s="109" t="n"/>
      <c r="AF459" s="109" t="n"/>
      <c r="AG459" s="109" t="n"/>
      <c r="AH459" s="109" t="n"/>
      <c r="AL459" s="109" t="n"/>
      <c r="AM459" s="109" t="n"/>
      <c r="AN459" s="109" t="n"/>
    </row>
    <row r="460" ht="15.75" customHeight="1" s="216">
      <c r="D460" s="109" t="n"/>
      <c r="E460" s="109" t="n"/>
      <c r="J460" s="109" t="n"/>
      <c r="K460" s="109" t="n"/>
      <c r="L460" s="109" t="n"/>
      <c r="N460" s="109" t="n"/>
      <c r="O460" s="109" t="n"/>
      <c r="P460" s="109" t="n"/>
      <c r="T460" s="109" t="n"/>
      <c r="U460" s="109" t="n"/>
      <c r="V460" s="109" t="n"/>
      <c r="Z460" s="109" t="n"/>
      <c r="AA460" s="109" t="n"/>
      <c r="AB460" s="109" t="n"/>
      <c r="AF460" s="109" t="n"/>
      <c r="AG460" s="109" t="n"/>
      <c r="AH460" s="109" t="n"/>
      <c r="AL460" s="109" t="n"/>
      <c r="AM460" s="109" t="n"/>
      <c r="AN460" s="109" t="n"/>
    </row>
    <row r="461" ht="15.75" customHeight="1" s="216">
      <c r="D461" s="109" t="n"/>
      <c r="E461" s="109" t="n"/>
      <c r="J461" s="109" t="n"/>
      <c r="K461" s="109" t="n"/>
      <c r="L461" s="109" t="n"/>
      <c r="N461" s="109" t="n"/>
      <c r="O461" s="109" t="n"/>
      <c r="P461" s="109" t="n"/>
      <c r="T461" s="109" t="n"/>
      <c r="U461" s="109" t="n"/>
      <c r="V461" s="109" t="n"/>
      <c r="Z461" s="109" t="n"/>
      <c r="AA461" s="109" t="n"/>
      <c r="AB461" s="109" t="n"/>
      <c r="AF461" s="109" t="n"/>
      <c r="AG461" s="109" t="n"/>
      <c r="AH461" s="109" t="n"/>
      <c r="AL461" s="109" t="n"/>
      <c r="AM461" s="109" t="n"/>
      <c r="AN461" s="109" t="n"/>
    </row>
    <row r="462" ht="15.75" customHeight="1" s="216">
      <c r="D462" s="109" t="n"/>
      <c r="E462" s="109" t="n"/>
      <c r="J462" s="109" t="n"/>
      <c r="K462" s="109" t="n"/>
      <c r="L462" s="109" t="n"/>
      <c r="N462" s="109" t="n"/>
      <c r="O462" s="109" t="n"/>
      <c r="P462" s="109" t="n"/>
      <c r="T462" s="109" t="n"/>
      <c r="U462" s="109" t="n"/>
      <c r="V462" s="109" t="n"/>
      <c r="Z462" s="109" t="n"/>
      <c r="AA462" s="109" t="n"/>
      <c r="AB462" s="109" t="n"/>
      <c r="AF462" s="109" t="n"/>
      <c r="AG462" s="109" t="n"/>
      <c r="AH462" s="109" t="n"/>
      <c r="AL462" s="109" t="n"/>
      <c r="AM462" s="109" t="n"/>
      <c r="AN462" s="109" t="n"/>
    </row>
    <row r="463" ht="15.75" customHeight="1" s="216">
      <c r="D463" s="109" t="n"/>
      <c r="E463" s="109" t="n"/>
      <c r="J463" s="109" t="n"/>
      <c r="K463" s="109" t="n"/>
      <c r="L463" s="109" t="n"/>
      <c r="N463" s="109" t="n"/>
      <c r="O463" s="109" t="n"/>
      <c r="P463" s="109" t="n"/>
      <c r="T463" s="109" t="n"/>
      <c r="U463" s="109" t="n"/>
      <c r="V463" s="109" t="n"/>
      <c r="Z463" s="109" t="n"/>
      <c r="AA463" s="109" t="n"/>
      <c r="AB463" s="109" t="n"/>
      <c r="AF463" s="109" t="n"/>
      <c r="AG463" s="109" t="n"/>
      <c r="AH463" s="109" t="n"/>
      <c r="AL463" s="109" t="n"/>
      <c r="AM463" s="109" t="n"/>
      <c r="AN463" s="109" t="n"/>
    </row>
    <row r="464" ht="15.75" customHeight="1" s="216">
      <c r="D464" s="109" t="n"/>
      <c r="E464" s="109" t="n"/>
      <c r="J464" s="109" t="n"/>
      <c r="K464" s="109" t="n"/>
      <c r="L464" s="109" t="n"/>
      <c r="N464" s="109" t="n"/>
      <c r="O464" s="109" t="n"/>
      <c r="P464" s="109" t="n"/>
      <c r="T464" s="109" t="n"/>
      <c r="U464" s="109" t="n"/>
      <c r="V464" s="109" t="n"/>
      <c r="Z464" s="109" t="n"/>
      <c r="AA464" s="109" t="n"/>
      <c r="AB464" s="109" t="n"/>
      <c r="AF464" s="109" t="n"/>
      <c r="AG464" s="109" t="n"/>
      <c r="AH464" s="109" t="n"/>
      <c r="AL464" s="109" t="n"/>
      <c r="AM464" s="109" t="n"/>
      <c r="AN464" s="109" t="n"/>
    </row>
    <row r="465" ht="15.75" customHeight="1" s="216">
      <c r="D465" s="109" t="n"/>
      <c r="E465" s="109" t="n"/>
      <c r="J465" s="109" t="n"/>
      <c r="K465" s="109" t="n"/>
      <c r="L465" s="109" t="n"/>
      <c r="N465" s="109" t="n"/>
      <c r="O465" s="109" t="n"/>
      <c r="P465" s="109" t="n"/>
      <c r="T465" s="109" t="n"/>
      <c r="U465" s="109" t="n"/>
      <c r="V465" s="109" t="n"/>
      <c r="Z465" s="109" t="n"/>
      <c r="AA465" s="109" t="n"/>
      <c r="AB465" s="109" t="n"/>
      <c r="AF465" s="109" t="n"/>
      <c r="AG465" s="109" t="n"/>
      <c r="AH465" s="109" t="n"/>
      <c r="AL465" s="109" t="n"/>
      <c r="AM465" s="109" t="n"/>
      <c r="AN465" s="109" t="n"/>
    </row>
    <row r="466" ht="15.75" customHeight="1" s="216">
      <c r="D466" s="109" t="n"/>
      <c r="E466" s="109" t="n"/>
      <c r="J466" s="109" t="n"/>
      <c r="K466" s="109" t="n"/>
      <c r="L466" s="109" t="n"/>
      <c r="N466" s="109" t="n"/>
      <c r="O466" s="109" t="n"/>
      <c r="P466" s="109" t="n"/>
      <c r="T466" s="109" t="n"/>
      <c r="U466" s="109" t="n"/>
      <c r="V466" s="109" t="n"/>
      <c r="Z466" s="109" t="n"/>
      <c r="AA466" s="109" t="n"/>
      <c r="AB466" s="109" t="n"/>
      <c r="AF466" s="109" t="n"/>
      <c r="AG466" s="109" t="n"/>
      <c r="AH466" s="109" t="n"/>
      <c r="AL466" s="109" t="n"/>
      <c r="AM466" s="109" t="n"/>
      <c r="AN466" s="109" t="n"/>
    </row>
    <row r="467" ht="15.75" customHeight="1" s="216">
      <c r="D467" s="109" t="n"/>
      <c r="E467" s="109" t="n"/>
      <c r="J467" s="109" t="n"/>
      <c r="K467" s="109" t="n"/>
      <c r="L467" s="109" t="n"/>
      <c r="N467" s="109" t="n"/>
      <c r="O467" s="109" t="n"/>
      <c r="P467" s="109" t="n"/>
      <c r="T467" s="109" t="n"/>
      <c r="U467" s="109" t="n"/>
      <c r="V467" s="109" t="n"/>
      <c r="Z467" s="109" t="n"/>
      <c r="AA467" s="109" t="n"/>
      <c r="AB467" s="109" t="n"/>
      <c r="AF467" s="109" t="n"/>
      <c r="AG467" s="109" t="n"/>
      <c r="AH467" s="109" t="n"/>
      <c r="AL467" s="109" t="n"/>
      <c r="AM467" s="109" t="n"/>
      <c r="AN467" s="109" t="n"/>
    </row>
    <row r="468" ht="15.75" customHeight="1" s="216">
      <c r="D468" s="109" t="n"/>
      <c r="E468" s="109" t="n"/>
      <c r="J468" s="109" t="n"/>
      <c r="K468" s="109" t="n"/>
      <c r="L468" s="109" t="n"/>
      <c r="N468" s="109" t="n"/>
      <c r="O468" s="109" t="n"/>
      <c r="P468" s="109" t="n"/>
      <c r="T468" s="109" t="n"/>
      <c r="U468" s="109" t="n"/>
      <c r="V468" s="109" t="n"/>
      <c r="Z468" s="109" t="n"/>
      <c r="AA468" s="109" t="n"/>
      <c r="AB468" s="109" t="n"/>
      <c r="AF468" s="109" t="n"/>
      <c r="AG468" s="109" t="n"/>
      <c r="AH468" s="109" t="n"/>
      <c r="AL468" s="109" t="n"/>
      <c r="AM468" s="109" t="n"/>
      <c r="AN468" s="109" t="n"/>
    </row>
    <row r="469" ht="15.75" customHeight="1" s="216">
      <c r="D469" s="109" t="n"/>
      <c r="E469" s="109" t="n"/>
      <c r="J469" s="109" t="n"/>
      <c r="K469" s="109" t="n"/>
      <c r="L469" s="109" t="n"/>
      <c r="N469" s="109" t="n"/>
      <c r="O469" s="109" t="n"/>
      <c r="P469" s="109" t="n"/>
      <c r="T469" s="109" t="n"/>
      <c r="U469" s="109" t="n"/>
      <c r="V469" s="109" t="n"/>
      <c r="Z469" s="109" t="n"/>
      <c r="AA469" s="109" t="n"/>
      <c r="AB469" s="109" t="n"/>
      <c r="AF469" s="109" t="n"/>
      <c r="AG469" s="109" t="n"/>
      <c r="AH469" s="109" t="n"/>
      <c r="AL469" s="109" t="n"/>
      <c r="AM469" s="109" t="n"/>
      <c r="AN469" s="109" t="n"/>
    </row>
    <row r="470" ht="15.75" customHeight="1" s="216">
      <c r="D470" s="109" t="n"/>
      <c r="E470" s="109" t="n"/>
      <c r="J470" s="109" t="n"/>
      <c r="K470" s="109" t="n"/>
      <c r="L470" s="109" t="n"/>
      <c r="N470" s="109" t="n"/>
      <c r="O470" s="109" t="n"/>
      <c r="P470" s="109" t="n"/>
      <c r="T470" s="109" t="n"/>
      <c r="U470" s="109" t="n"/>
      <c r="V470" s="109" t="n"/>
      <c r="Z470" s="109" t="n"/>
      <c r="AA470" s="109" t="n"/>
      <c r="AB470" s="109" t="n"/>
      <c r="AF470" s="109" t="n"/>
      <c r="AG470" s="109" t="n"/>
      <c r="AH470" s="109" t="n"/>
      <c r="AL470" s="109" t="n"/>
      <c r="AM470" s="109" t="n"/>
      <c r="AN470" s="109" t="n"/>
    </row>
    <row r="471" ht="15.75" customHeight="1" s="216">
      <c r="D471" s="109" t="n"/>
      <c r="E471" s="109" t="n"/>
      <c r="J471" s="109" t="n"/>
      <c r="K471" s="109" t="n"/>
      <c r="L471" s="109" t="n"/>
      <c r="N471" s="109" t="n"/>
      <c r="O471" s="109" t="n"/>
      <c r="P471" s="109" t="n"/>
      <c r="T471" s="109" t="n"/>
      <c r="U471" s="109" t="n"/>
      <c r="V471" s="109" t="n"/>
      <c r="Z471" s="109" t="n"/>
      <c r="AA471" s="109" t="n"/>
      <c r="AB471" s="109" t="n"/>
      <c r="AF471" s="109" t="n"/>
      <c r="AG471" s="109" t="n"/>
      <c r="AH471" s="109" t="n"/>
      <c r="AL471" s="109" t="n"/>
      <c r="AM471" s="109" t="n"/>
      <c r="AN471" s="109" t="n"/>
    </row>
    <row r="472" ht="15.75" customHeight="1" s="216">
      <c r="D472" s="109" t="n"/>
      <c r="E472" s="109" t="n"/>
      <c r="J472" s="109" t="n"/>
      <c r="K472" s="109" t="n"/>
      <c r="L472" s="109" t="n"/>
      <c r="N472" s="109" t="n"/>
      <c r="O472" s="109" t="n"/>
      <c r="P472" s="109" t="n"/>
      <c r="T472" s="109" t="n"/>
      <c r="U472" s="109" t="n"/>
      <c r="V472" s="109" t="n"/>
      <c r="Z472" s="109" t="n"/>
      <c r="AA472" s="109" t="n"/>
      <c r="AB472" s="109" t="n"/>
      <c r="AF472" s="109" t="n"/>
      <c r="AG472" s="109" t="n"/>
      <c r="AH472" s="109" t="n"/>
      <c r="AL472" s="109" t="n"/>
      <c r="AM472" s="109" t="n"/>
      <c r="AN472" s="109" t="n"/>
    </row>
    <row r="473" ht="15.75" customHeight="1" s="216">
      <c r="D473" s="109" t="n"/>
      <c r="E473" s="109" t="n"/>
      <c r="J473" s="109" t="n"/>
      <c r="K473" s="109" t="n"/>
      <c r="L473" s="109" t="n"/>
      <c r="N473" s="109" t="n"/>
      <c r="O473" s="109" t="n"/>
      <c r="P473" s="109" t="n"/>
      <c r="T473" s="109" t="n"/>
      <c r="U473" s="109" t="n"/>
      <c r="V473" s="109" t="n"/>
      <c r="Z473" s="109" t="n"/>
      <c r="AA473" s="109" t="n"/>
      <c r="AB473" s="109" t="n"/>
      <c r="AF473" s="109" t="n"/>
      <c r="AG473" s="109" t="n"/>
      <c r="AH473" s="109" t="n"/>
      <c r="AL473" s="109" t="n"/>
      <c r="AM473" s="109" t="n"/>
      <c r="AN473" s="109" t="n"/>
    </row>
    <row r="474" ht="15.75" customHeight="1" s="216">
      <c r="D474" s="109" t="n"/>
      <c r="E474" s="109" t="n"/>
      <c r="J474" s="109" t="n"/>
      <c r="K474" s="109" t="n"/>
      <c r="L474" s="109" t="n"/>
      <c r="N474" s="109" t="n"/>
      <c r="O474" s="109" t="n"/>
      <c r="P474" s="109" t="n"/>
      <c r="T474" s="109" t="n"/>
      <c r="U474" s="109" t="n"/>
      <c r="V474" s="109" t="n"/>
      <c r="Z474" s="109" t="n"/>
      <c r="AA474" s="109" t="n"/>
      <c r="AB474" s="109" t="n"/>
      <c r="AF474" s="109" t="n"/>
      <c r="AG474" s="109" t="n"/>
      <c r="AH474" s="109" t="n"/>
      <c r="AL474" s="109" t="n"/>
      <c r="AM474" s="109" t="n"/>
      <c r="AN474" s="109" t="n"/>
    </row>
    <row r="475" ht="15.75" customHeight="1" s="216">
      <c r="D475" s="109" t="n"/>
      <c r="E475" s="109" t="n"/>
      <c r="J475" s="109" t="n"/>
      <c r="K475" s="109" t="n"/>
      <c r="L475" s="109" t="n"/>
      <c r="N475" s="109" t="n"/>
      <c r="O475" s="109" t="n"/>
      <c r="P475" s="109" t="n"/>
      <c r="T475" s="109" t="n"/>
      <c r="U475" s="109" t="n"/>
      <c r="V475" s="109" t="n"/>
      <c r="Z475" s="109" t="n"/>
      <c r="AA475" s="109" t="n"/>
      <c r="AB475" s="109" t="n"/>
      <c r="AF475" s="109" t="n"/>
      <c r="AG475" s="109" t="n"/>
      <c r="AH475" s="109" t="n"/>
      <c r="AL475" s="109" t="n"/>
      <c r="AM475" s="109" t="n"/>
      <c r="AN475" s="109" t="n"/>
    </row>
    <row r="476" ht="15.75" customHeight="1" s="216">
      <c r="D476" s="109" t="n"/>
      <c r="E476" s="109" t="n"/>
      <c r="J476" s="109" t="n"/>
      <c r="K476" s="109" t="n"/>
      <c r="L476" s="109" t="n"/>
      <c r="N476" s="109" t="n"/>
      <c r="O476" s="109" t="n"/>
      <c r="P476" s="109" t="n"/>
      <c r="T476" s="109" t="n"/>
      <c r="U476" s="109" t="n"/>
      <c r="V476" s="109" t="n"/>
      <c r="Z476" s="109" t="n"/>
      <c r="AA476" s="109" t="n"/>
      <c r="AB476" s="109" t="n"/>
      <c r="AF476" s="109" t="n"/>
      <c r="AG476" s="109" t="n"/>
      <c r="AH476" s="109" t="n"/>
      <c r="AL476" s="109" t="n"/>
      <c r="AM476" s="109" t="n"/>
      <c r="AN476" s="109" t="n"/>
    </row>
    <row r="477" ht="15.75" customHeight="1" s="216">
      <c r="D477" s="109" t="n"/>
      <c r="E477" s="109" t="n"/>
      <c r="J477" s="109" t="n"/>
      <c r="K477" s="109" t="n"/>
      <c r="L477" s="109" t="n"/>
      <c r="N477" s="109" t="n"/>
      <c r="O477" s="109" t="n"/>
      <c r="P477" s="109" t="n"/>
      <c r="T477" s="109" t="n"/>
      <c r="U477" s="109" t="n"/>
      <c r="V477" s="109" t="n"/>
      <c r="Z477" s="109" t="n"/>
      <c r="AA477" s="109" t="n"/>
      <c r="AB477" s="109" t="n"/>
      <c r="AF477" s="109" t="n"/>
      <c r="AG477" s="109" t="n"/>
      <c r="AH477" s="109" t="n"/>
      <c r="AL477" s="109" t="n"/>
      <c r="AM477" s="109" t="n"/>
      <c r="AN477" s="109" t="n"/>
    </row>
    <row r="478" ht="15.75" customHeight="1" s="216">
      <c r="D478" s="109" t="n"/>
      <c r="E478" s="109" t="n"/>
      <c r="J478" s="109" t="n"/>
      <c r="K478" s="109" t="n"/>
      <c r="L478" s="109" t="n"/>
      <c r="N478" s="109" t="n"/>
      <c r="O478" s="109" t="n"/>
      <c r="P478" s="109" t="n"/>
      <c r="T478" s="109" t="n"/>
      <c r="U478" s="109" t="n"/>
      <c r="V478" s="109" t="n"/>
      <c r="Z478" s="109" t="n"/>
      <c r="AA478" s="109" t="n"/>
      <c r="AB478" s="109" t="n"/>
      <c r="AF478" s="109" t="n"/>
      <c r="AG478" s="109" t="n"/>
      <c r="AH478" s="109" t="n"/>
      <c r="AL478" s="109" t="n"/>
      <c r="AM478" s="109" t="n"/>
      <c r="AN478" s="109" t="n"/>
    </row>
    <row r="479" ht="15.75" customHeight="1" s="216">
      <c r="D479" s="109" t="n"/>
      <c r="E479" s="109" t="n"/>
      <c r="J479" s="109" t="n"/>
      <c r="K479" s="109" t="n"/>
      <c r="L479" s="109" t="n"/>
      <c r="N479" s="109" t="n"/>
      <c r="O479" s="109" t="n"/>
      <c r="P479" s="109" t="n"/>
      <c r="T479" s="109" t="n"/>
      <c r="U479" s="109" t="n"/>
      <c r="V479" s="109" t="n"/>
      <c r="Z479" s="109" t="n"/>
      <c r="AA479" s="109" t="n"/>
      <c r="AB479" s="109" t="n"/>
      <c r="AF479" s="109" t="n"/>
      <c r="AG479" s="109" t="n"/>
      <c r="AH479" s="109" t="n"/>
      <c r="AL479" s="109" t="n"/>
      <c r="AM479" s="109" t="n"/>
      <c r="AN479" s="109" t="n"/>
    </row>
    <row r="480" ht="15.75" customHeight="1" s="216">
      <c r="D480" s="109" t="n"/>
      <c r="E480" s="109" t="n"/>
      <c r="J480" s="109" t="n"/>
      <c r="K480" s="109" t="n"/>
      <c r="L480" s="109" t="n"/>
      <c r="N480" s="109" t="n"/>
      <c r="O480" s="109" t="n"/>
      <c r="P480" s="109" t="n"/>
      <c r="T480" s="109" t="n"/>
      <c r="U480" s="109" t="n"/>
      <c r="V480" s="109" t="n"/>
      <c r="Z480" s="109" t="n"/>
      <c r="AA480" s="109" t="n"/>
      <c r="AB480" s="109" t="n"/>
      <c r="AF480" s="109" t="n"/>
      <c r="AG480" s="109" t="n"/>
      <c r="AH480" s="109" t="n"/>
      <c r="AL480" s="109" t="n"/>
      <c r="AM480" s="109" t="n"/>
      <c r="AN480" s="109" t="n"/>
    </row>
    <row r="481" ht="15.75" customHeight="1" s="216">
      <c r="D481" s="109" t="n"/>
      <c r="E481" s="109" t="n"/>
      <c r="J481" s="109" t="n"/>
      <c r="K481" s="109" t="n"/>
      <c r="L481" s="109" t="n"/>
      <c r="N481" s="109" t="n"/>
      <c r="O481" s="109" t="n"/>
      <c r="P481" s="109" t="n"/>
      <c r="T481" s="109" t="n"/>
      <c r="U481" s="109" t="n"/>
      <c r="V481" s="109" t="n"/>
      <c r="Z481" s="109" t="n"/>
      <c r="AA481" s="109" t="n"/>
      <c r="AB481" s="109" t="n"/>
      <c r="AF481" s="109" t="n"/>
      <c r="AG481" s="109" t="n"/>
      <c r="AH481" s="109" t="n"/>
      <c r="AL481" s="109" t="n"/>
      <c r="AM481" s="109" t="n"/>
      <c r="AN481" s="109" t="n"/>
    </row>
    <row r="482" ht="15.75" customHeight="1" s="216">
      <c r="D482" s="109" t="n"/>
      <c r="E482" s="109" t="n"/>
      <c r="J482" s="109" t="n"/>
      <c r="K482" s="109" t="n"/>
      <c r="L482" s="109" t="n"/>
      <c r="N482" s="109" t="n"/>
      <c r="O482" s="109" t="n"/>
      <c r="P482" s="109" t="n"/>
      <c r="T482" s="109" t="n"/>
      <c r="U482" s="109" t="n"/>
      <c r="V482" s="109" t="n"/>
      <c r="Z482" s="109" t="n"/>
      <c r="AA482" s="109" t="n"/>
      <c r="AB482" s="109" t="n"/>
      <c r="AF482" s="109" t="n"/>
      <c r="AG482" s="109" t="n"/>
      <c r="AH482" s="109" t="n"/>
      <c r="AL482" s="109" t="n"/>
      <c r="AM482" s="109" t="n"/>
      <c r="AN482" s="109" t="n"/>
    </row>
    <row r="483" ht="15.75" customHeight="1" s="216">
      <c r="D483" s="109" t="n"/>
      <c r="E483" s="109" t="n"/>
      <c r="J483" s="109" t="n"/>
      <c r="K483" s="109" t="n"/>
      <c r="L483" s="109" t="n"/>
      <c r="N483" s="109" t="n"/>
      <c r="O483" s="109" t="n"/>
      <c r="P483" s="109" t="n"/>
      <c r="T483" s="109" t="n"/>
      <c r="U483" s="109" t="n"/>
      <c r="V483" s="109" t="n"/>
      <c r="Z483" s="109" t="n"/>
      <c r="AA483" s="109" t="n"/>
      <c r="AB483" s="109" t="n"/>
      <c r="AF483" s="109" t="n"/>
      <c r="AG483" s="109" t="n"/>
      <c r="AH483" s="109" t="n"/>
      <c r="AL483" s="109" t="n"/>
      <c r="AM483" s="109" t="n"/>
      <c r="AN483" s="109" t="n"/>
    </row>
    <row r="484" ht="15.75" customHeight="1" s="216">
      <c r="D484" s="109" t="n"/>
      <c r="E484" s="109" t="n"/>
      <c r="J484" s="109" t="n"/>
      <c r="K484" s="109" t="n"/>
      <c r="L484" s="109" t="n"/>
      <c r="N484" s="109" t="n"/>
      <c r="O484" s="109" t="n"/>
      <c r="P484" s="109" t="n"/>
      <c r="T484" s="109" t="n"/>
      <c r="U484" s="109" t="n"/>
      <c r="V484" s="109" t="n"/>
      <c r="Z484" s="109" t="n"/>
      <c r="AA484" s="109" t="n"/>
      <c r="AB484" s="109" t="n"/>
      <c r="AF484" s="109" t="n"/>
      <c r="AG484" s="109" t="n"/>
      <c r="AH484" s="109" t="n"/>
      <c r="AL484" s="109" t="n"/>
      <c r="AM484" s="109" t="n"/>
      <c r="AN484" s="109" t="n"/>
    </row>
    <row r="485" ht="15.75" customHeight="1" s="216">
      <c r="D485" s="109" t="n"/>
      <c r="E485" s="109" t="n"/>
      <c r="J485" s="109" t="n"/>
      <c r="K485" s="109" t="n"/>
      <c r="L485" s="109" t="n"/>
      <c r="N485" s="109" t="n"/>
      <c r="O485" s="109" t="n"/>
      <c r="P485" s="109" t="n"/>
      <c r="T485" s="109" t="n"/>
      <c r="U485" s="109" t="n"/>
      <c r="V485" s="109" t="n"/>
      <c r="Z485" s="109" t="n"/>
      <c r="AA485" s="109" t="n"/>
      <c r="AB485" s="109" t="n"/>
      <c r="AF485" s="109" t="n"/>
      <c r="AG485" s="109" t="n"/>
      <c r="AH485" s="109" t="n"/>
      <c r="AL485" s="109" t="n"/>
      <c r="AM485" s="109" t="n"/>
      <c r="AN485" s="109" t="n"/>
    </row>
    <row r="486" ht="15.75" customHeight="1" s="216">
      <c r="D486" s="109" t="n"/>
      <c r="E486" s="109" t="n"/>
      <c r="J486" s="109" t="n"/>
      <c r="K486" s="109" t="n"/>
      <c r="L486" s="109" t="n"/>
      <c r="N486" s="109" t="n"/>
      <c r="O486" s="109" t="n"/>
      <c r="P486" s="109" t="n"/>
      <c r="T486" s="109" t="n"/>
      <c r="U486" s="109" t="n"/>
      <c r="V486" s="109" t="n"/>
      <c r="Z486" s="109" t="n"/>
      <c r="AA486" s="109" t="n"/>
      <c r="AB486" s="109" t="n"/>
      <c r="AF486" s="109" t="n"/>
      <c r="AG486" s="109" t="n"/>
      <c r="AH486" s="109" t="n"/>
      <c r="AL486" s="109" t="n"/>
      <c r="AM486" s="109" t="n"/>
      <c r="AN486" s="109" t="n"/>
    </row>
    <row r="487" ht="15.75" customHeight="1" s="216">
      <c r="D487" s="109" t="n"/>
      <c r="E487" s="109" t="n"/>
      <c r="J487" s="109" t="n"/>
      <c r="K487" s="109" t="n"/>
      <c r="L487" s="109" t="n"/>
      <c r="N487" s="109" t="n"/>
      <c r="O487" s="109" t="n"/>
      <c r="P487" s="109" t="n"/>
      <c r="T487" s="109" t="n"/>
      <c r="U487" s="109" t="n"/>
      <c r="V487" s="109" t="n"/>
      <c r="Z487" s="109" t="n"/>
      <c r="AA487" s="109" t="n"/>
      <c r="AB487" s="109" t="n"/>
      <c r="AF487" s="109" t="n"/>
      <c r="AG487" s="109" t="n"/>
      <c r="AH487" s="109" t="n"/>
      <c r="AL487" s="109" t="n"/>
      <c r="AM487" s="109" t="n"/>
      <c r="AN487" s="109" t="n"/>
    </row>
    <row r="488" ht="15.75" customHeight="1" s="216">
      <c r="D488" s="109" t="n"/>
      <c r="E488" s="109" t="n"/>
      <c r="J488" s="109" t="n"/>
      <c r="K488" s="109" t="n"/>
      <c r="L488" s="109" t="n"/>
      <c r="N488" s="109" t="n"/>
      <c r="O488" s="109" t="n"/>
      <c r="P488" s="109" t="n"/>
      <c r="T488" s="109" t="n"/>
      <c r="U488" s="109" t="n"/>
      <c r="V488" s="109" t="n"/>
      <c r="Z488" s="109" t="n"/>
      <c r="AA488" s="109" t="n"/>
      <c r="AB488" s="109" t="n"/>
      <c r="AF488" s="109" t="n"/>
      <c r="AG488" s="109" t="n"/>
      <c r="AH488" s="109" t="n"/>
      <c r="AL488" s="109" t="n"/>
      <c r="AM488" s="109" t="n"/>
      <c r="AN488" s="109" t="n"/>
    </row>
    <row r="489" ht="15.75" customHeight="1" s="216">
      <c r="D489" s="109" t="n"/>
      <c r="E489" s="109" t="n"/>
      <c r="J489" s="109" t="n"/>
      <c r="K489" s="109" t="n"/>
      <c r="L489" s="109" t="n"/>
      <c r="N489" s="109" t="n"/>
      <c r="O489" s="109" t="n"/>
      <c r="P489" s="109" t="n"/>
      <c r="T489" s="109" t="n"/>
      <c r="U489" s="109" t="n"/>
      <c r="V489" s="109" t="n"/>
      <c r="Z489" s="109" t="n"/>
      <c r="AA489" s="109" t="n"/>
      <c r="AB489" s="109" t="n"/>
      <c r="AF489" s="109" t="n"/>
      <c r="AG489" s="109" t="n"/>
      <c r="AH489" s="109" t="n"/>
      <c r="AL489" s="109" t="n"/>
      <c r="AM489" s="109" t="n"/>
      <c r="AN489" s="109" t="n"/>
    </row>
    <row r="490" ht="15.75" customHeight="1" s="216">
      <c r="D490" s="109" t="n"/>
      <c r="E490" s="109" t="n"/>
      <c r="J490" s="109" t="n"/>
      <c r="K490" s="109" t="n"/>
      <c r="L490" s="109" t="n"/>
      <c r="N490" s="109" t="n"/>
      <c r="O490" s="109" t="n"/>
      <c r="P490" s="109" t="n"/>
      <c r="T490" s="109" t="n"/>
      <c r="U490" s="109" t="n"/>
      <c r="V490" s="109" t="n"/>
      <c r="Z490" s="109" t="n"/>
      <c r="AA490" s="109" t="n"/>
      <c r="AB490" s="109" t="n"/>
      <c r="AF490" s="109" t="n"/>
      <c r="AG490" s="109" t="n"/>
      <c r="AH490" s="109" t="n"/>
      <c r="AL490" s="109" t="n"/>
      <c r="AM490" s="109" t="n"/>
      <c r="AN490" s="109" t="n"/>
    </row>
    <row r="491" ht="15.75" customHeight="1" s="216">
      <c r="D491" s="109" t="n"/>
      <c r="E491" s="109" t="n"/>
      <c r="J491" s="109" t="n"/>
      <c r="K491" s="109" t="n"/>
      <c r="L491" s="109" t="n"/>
      <c r="N491" s="109" t="n"/>
      <c r="O491" s="109" t="n"/>
      <c r="P491" s="109" t="n"/>
      <c r="T491" s="109" t="n"/>
      <c r="U491" s="109" t="n"/>
      <c r="V491" s="109" t="n"/>
      <c r="Z491" s="109" t="n"/>
      <c r="AA491" s="109" t="n"/>
      <c r="AB491" s="109" t="n"/>
      <c r="AF491" s="109" t="n"/>
      <c r="AG491" s="109" t="n"/>
      <c r="AH491" s="109" t="n"/>
      <c r="AL491" s="109" t="n"/>
      <c r="AM491" s="109" t="n"/>
      <c r="AN491" s="109" t="n"/>
    </row>
    <row r="492" ht="15.75" customHeight="1" s="216">
      <c r="D492" s="109" t="n"/>
      <c r="E492" s="109" t="n"/>
      <c r="J492" s="109" t="n"/>
      <c r="K492" s="109" t="n"/>
      <c r="L492" s="109" t="n"/>
      <c r="N492" s="109" t="n"/>
      <c r="O492" s="109" t="n"/>
      <c r="P492" s="109" t="n"/>
      <c r="T492" s="109" t="n"/>
      <c r="U492" s="109" t="n"/>
      <c r="V492" s="109" t="n"/>
      <c r="Z492" s="109" t="n"/>
      <c r="AA492" s="109" t="n"/>
      <c r="AB492" s="109" t="n"/>
      <c r="AF492" s="109" t="n"/>
      <c r="AG492" s="109" t="n"/>
      <c r="AH492" s="109" t="n"/>
      <c r="AL492" s="109" t="n"/>
      <c r="AM492" s="109" t="n"/>
      <c r="AN492" s="109" t="n"/>
    </row>
    <row r="493" ht="15.75" customHeight="1" s="216">
      <c r="D493" s="109" t="n"/>
      <c r="E493" s="109" t="n"/>
      <c r="J493" s="109" t="n"/>
      <c r="K493" s="109" t="n"/>
      <c r="L493" s="109" t="n"/>
      <c r="N493" s="109" t="n"/>
      <c r="O493" s="109" t="n"/>
      <c r="P493" s="109" t="n"/>
      <c r="T493" s="109" t="n"/>
      <c r="U493" s="109" t="n"/>
      <c r="V493" s="109" t="n"/>
      <c r="Z493" s="109" t="n"/>
      <c r="AA493" s="109" t="n"/>
      <c r="AB493" s="109" t="n"/>
      <c r="AF493" s="109" t="n"/>
      <c r="AG493" s="109" t="n"/>
      <c r="AH493" s="109" t="n"/>
      <c r="AL493" s="109" t="n"/>
      <c r="AM493" s="109" t="n"/>
      <c r="AN493" s="109" t="n"/>
    </row>
    <row r="494" ht="15.75" customHeight="1" s="216">
      <c r="D494" s="109" t="n"/>
      <c r="E494" s="109" t="n"/>
      <c r="J494" s="109" t="n"/>
      <c r="K494" s="109" t="n"/>
      <c r="L494" s="109" t="n"/>
      <c r="N494" s="109" t="n"/>
      <c r="O494" s="109" t="n"/>
      <c r="P494" s="109" t="n"/>
      <c r="T494" s="109" t="n"/>
      <c r="U494" s="109" t="n"/>
      <c r="V494" s="109" t="n"/>
      <c r="Z494" s="109" t="n"/>
      <c r="AA494" s="109" t="n"/>
      <c r="AB494" s="109" t="n"/>
      <c r="AF494" s="109" t="n"/>
      <c r="AG494" s="109" t="n"/>
      <c r="AH494" s="109" t="n"/>
      <c r="AL494" s="109" t="n"/>
      <c r="AM494" s="109" t="n"/>
      <c r="AN494" s="109" t="n"/>
    </row>
    <row r="495" ht="15.75" customHeight="1" s="216">
      <c r="D495" s="109" t="n"/>
      <c r="E495" s="109" t="n"/>
      <c r="J495" s="109" t="n"/>
      <c r="K495" s="109" t="n"/>
      <c r="L495" s="109" t="n"/>
      <c r="N495" s="109" t="n"/>
      <c r="O495" s="109" t="n"/>
      <c r="P495" s="109" t="n"/>
      <c r="T495" s="109" t="n"/>
      <c r="U495" s="109" t="n"/>
      <c r="V495" s="109" t="n"/>
      <c r="Z495" s="109" t="n"/>
      <c r="AA495" s="109" t="n"/>
      <c r="AB495" s="109" t="n"/>
      <c r="AF495" s="109" t="n"/>
      <c r="AG495" s="109" t="n"/>
      <c r="AH495" s="109" t="n"/>
      <c r="AL495" s="109" t="n"/>
      <c r="AM495" s="109" t="n"/>
      <c r="AN495" s="109" t="n"/>
    </row>
    <row r="496" ht="15.75" customHeight="1" s="216">
      <c r="D496" s="109" t="n"/>
      <c r="E496" s="109" t="n"/>
      <c r="J496" s="109" t="n"/>
      <c r="K496" s="109" t="n"/>
      <c r="L496" s="109" t="n"/>
      <c r="N496" s="109" t="n"/>
      <c r="O496" s="109" t="n"/>
      <c r="P496" s="109" t="n"/>
      <c r="T496" s="109" t="n"/>
      <c r="U496" s="109" t="n"/>
      <c r="V496" s="109" t="n"/>
      <c r="Z496" s="109" t="n"/>
      <c r="AA496" s="109" t="n"/>
      <c r="AB496" s="109" t="n"/>
      <c r="AF496" s="109" t="n"/>
      <c r="AG496" s="109" t="n"/>
      <c r="AH496" s="109" t="n"/>
      <c r="AL496" s="109" t="n"/>
      <c r="AM496" s="109" t="n"/>
      <c r="AN496" s="109" t="n"/>
    </row>
    <row r="497" ht="15.75" customHeight="1" s="216">
      <c r="D497" s="109" t="n"/>
      <c r="E497" s="109" t="n"/>
      <c r="J497" s="109" t="n"/>
      <c r="K497" s="109" t="n"/>
      <c r="L497" s="109" t="n"/>
      <c r="N497" s="109" t="n"/>
      <c r="O497" s="109" t="n"/>
      <c r="P497" s="109" t="n"/>
      <c r="T497" s="109" t="n"/>
      <c r="U497" s="109" t="n"/>
      <c r="V497" s="109" t="n"/>
      <c r="Z497" s="109" t="n"/>
      <c r="AA497" s="109" t="n"/>
      <c r="AB497" s="109" t="n"/>
      <c r="AF497" s="109" t="n"/>
      <c r="AG497" s="109" t="n"/>
      <c r="AH497" s="109" t="n"/>
      <c r="AL497" s="109" t="n"/>
      <c r="AM497" s="109" t="n"/>
      <c r="AN497" s="109" t="n"/>
    </row>
    <row r="498" ht="15.75" customHeight="1" s="216">
      <c r="D498" s="109" t="n"/>
      <c r="E498" s="109" t="n"/>
      <c r="J498" s="109" t="n"/>
      <c r="K498" s="109" t="n"/>
      <c r="L498" s="109" t="n"/>
      <c r="N498" s="109" t="n"/>
      <c r="O498" s="109" t="n"/>
      <c r="P498" s="109" t="n"/>
      <c r="T498" s="109" t="n"/>
      <c r="U498" s="109" t="n"/>
      <c r="V498" s="109" t="n"/>
      <c r="Z498" s="109" t="n"/>
      <c r="AA498" s="109" t="n"/>
      <c r="AB498" s="109" t="n"/>
      <c r="AF498" s="109" t="n"/>
      <c r="AG498" s="109" t="n"/>
      <c r="AH498" s="109" t="n"/>
      <c r="AL498" s="109" t="n"/>
      <c r="AM498" s="109" t="n"/>
      <c r="AN498" s="109" t="n"/>
    </row>
    <row r="499" ht="15.75" customHeight="1" s="216">
      <c r="D499" s="109" t="n"/>
      <c r="E499" s="109" t="n"/>
      <c r="J499" s="109" t="n"/>
      <c r="K499" s="109" t="n"/>
      <c r="L499" s="109" t="n"/>
      <c r="N499" s="109" t="n"/>
      <c r="O499" s="109" t="n"/>
      <c r="P499" s="109" t="n"/>
      <c r="T499" s="109" t="n"/>
      <c r="U499" s="109" t="n"/>
      <c r="V499" s="109" t="n"/>
      <c r="Z499" s="109" t="n"/>
      <c r="AA499" s="109" t="n"/>
      <c r="AB499" s="109" t="n"/>
      <c r="AF499" s="109" t="n"/>
      <c r="AG499" s="109" t="n"/>
      <c r="AH499" s="109" t="n"/>
      <c r="AL499" s="109" t="n"/>
      <c r="AM499" s="109" t="n"/>
      <c r="AN499" s="109" t="n"/>
    </row>
    <row r="500" ht="15.75" customHeight="1" s="216">
      <c r="D500" s="109" t="n"/>
      <c r="E500" s="109" t="n"/>
      <c r="J500" s="109" t="n"/>
      <c r="K500" s="109" t="n"/>
      <c r="L500" s="109" t="n"/>
      <c r="N500" s="109" t="n"/>
      <c r="O500" s="109" t="n"/>
      <c r="P500" s="109" t="n"/>
      <c r="T500" s="109" t="n"/>
      <c r="U500" s="109" t="n"/>
      <c r="V500" s="109" t="n"/>
      <c r="Z500" s="109" t="n"/>
      <c r="AA500" s="109" t="n"/>
      <c r="AB500" s="109" t="n"/>
      <c r="AF500" s="109" t="n"/>
      <c r="AG500" s="109" t="n"/>
      <c r="AH500" s="109" t="n"/>
      <c r="AL500" s="109" t="n"/>
      <c r="AM500" s="109" t="n"/>
      <c r="AN500" s="109" t="n"/>
    </row>
    <row r="501" ht="15.75" customHeight="1" s="216"/>
    <row r="502" ht="15.75" customHeight="1" s="216"/>
    <row r="503" ht="15.75" customHeight="1" s="216"/>
    <row r="504" ht="15.75" customHeight="1" s="216"/>
    <row r="505" ht="15.75" customHeight="1" s="216"/>
    <row r="506" ht="15.75" customHeight="1" s="216"/>
    <row r="507" ht="15.75" customHeight="1" s="216"/>
    <row r="508" ht="15.75" customHeight="1" s="216"/>
    <row r="509" ht="15.75" customHeight="1" s="216"/>
    <row r="510" ht="15.75" customHeight="1" s="216"/>
    <row r="511" ht="15.75" customHeight="1" s="216"/>
    <row r="512" ht="15.75" customHeight="1" s="216"/>
    <row r="513" ht="15.75" customHeight="1" s="216"/>
    <row r="514" ht="15.75" customHeight="1" s="216"/>
    <row r="515" ht="15.75" customHeight="1" s="216"/>
    <row r="516" ht="15.75" customHeight="1" s="216"/>
    <row r="517" ht="15.75" customHeight="1" s="216"/>
    <row r="518" ht="15.75" customHeight="1" s="216"/>
    <row r="519" ht="15.75" customHeight="1" s="216"/>
    <row r="520" ht="15.75" customHeight="1" s="216"/>
    <row r="521" ht="15.75" customHeight="1" s="216"/>
    <row r="522" ht="15.75" customHeight="1" s="216"/>
    <row r="523" ht="15.75" customHeight="1" s="216"/>
    <row r="524" ht="15.75" customHeight="1" s="216"/>
    <row r="525" ht="15.75" customHeight="1" s="216"/>
    <row r="526" ht="15.75" customHeight="1" s="216"/>
    <row r="527" ht="15.75" customHeight="1" s="216"/>
    <row r="528" ht="15.75" customHeight="1" s="216"/>
    <row r="529" ht="15.75" customHeight="1" s="216"/>
    <row r="530" ht="15.75" customHeight="1" s="216"/>
    <row r="531" ht="15.75" customHeight="1" s="216"/>
    <row r="532" ht="15.75" customHeight="1" s="216"/>
    <row r="533" ht="15.75" customHeight="1" s="216"/>
    <row r="534" ht="15.75" customHeight="1" s="216"/>
    <row r="535" ht="15.75" customHeight="1" s="216"/>
    <row r="536" ht="15.75" customHeight="1" s="216"/>
    <row r="537" ht="15.75" customHeight="1" s="216"/>
    <row r="538" ht="15.75" customHeight="1" s="216"/>
    <row r="539" ht="15.75" customHeight="1" s="216"/>
    <row r="540" ht="15.75" customHeight="1" s="216"/>
    <row r="541" ht="15.75" customHeight="1" s="216"/>
    <row r="542" ht="15.75" customHeight="1" s="216"/>
    <row r="543" ht="15.75" customHeight="1" s="216"/>
    <row r="544" ht="15.75" customHeight="1" s="216"/>
    <row r="545" ht="15.75" customHeight="1" s="216"/>
    <row r="546" ht="15.75" customHeight="1" s="216"/>
    <row r="547" ht="15.75" customHeight="1" s="216"/>
    <row r="548" ht="15.75" customHeight="1" s="216"/>
    <row r="549" ht="15.75" customHeight="1" s="216"/>
    <row r="550" ht="15.75" customHeight="1" s="216"/>
    <row r="551" ht="15.75" customHeight="1" s="216"/>
    <row r="552" ht="15.75" customHeight="1" s="216"/>
    <row r="553" ht="15.75" customHeight="1" s="216"/>
    <row r="554" ht="15.75" customHeight="1" s="216"/>
    <row r="555" ht="15.75" customHeight="1" s="216"/>
    <row r="556" ht="15.75" customHeight="1" s="216"/>
    <row r="557" ht="15.75" customHeight="1" s="216"/>
    <row r="558" ht="15.75" customHeight="1" s="216"/>
    <row r="559" ht="15.75" customHeight="1" s="216"/>
    <row r="560" ht="15.75" customHeight="1" s="216"/>
    <row r="561" ht="15.75" customHeight="1" s="216"/>
    <row r="562" ht="15.75" customHeight="1" s="216"/>
    <row r="563" ht="15.75" customHeight="1" s="216"/>
    <row r="564" ht="15.75" customHeight="1" s="216"/>
    <row r="565" ht="15.75" customHeight="1" s="216"/>
    <row r="566" ht="15.75" customHeight="1" s="216"/>
    <row r="567" ht="15.75" customHeight="1" s="216"/>
    <row r="568" ht="15.75" customHeight="1" s="216"/>
    <row r="569" ht="15.75" customHeight="1" s="216"/>
    <row r="570" ht="15.75" customHeight="1" s="216"/>
    <row r="571" ht="15.75" customHeight="1" s="216"/>
    <row r="572" ht="15.75" customHeight="1" s="216"/>
    <row r="573" ht="15.75" customHeight="1" s="216"/>
    <row r="574" ht="15.75" customHeight="1" s="216"/>
    <row r="575" ht="15.75" customHeight="1" s="216"/>
    <row r="576" ht="15.75" customHeight="1" s="216"/>
    <row r="577" ht="15.75" customHeight="1" s="216"/>
    <row r="578" ht="15.75" customHeight="1" s="216"/>
    <row r="579" ht="15.75" customHeight="1" s="216"/>
    <row r="580" ht="15.75" customHeight="1" s="216"/>
    <row r="581" ht="15.75" customHeight="1" s="216"/>
    <row r="582" ht="15.75" customHeight="1" s="216"/>
    <row r="583" ht="15.75" customHeight="1" s="216"/>
    <row r="584" ht="15.75" customHeight="1" s="216"/>
    <row r="585" ht="15.75" customHeight="1" s="216"/>
    <row r="586" ht="15.75" customHeight="1" s="216"/>
    <row r="587" ht="15.75" customHeight="1" s="216"/>
    <row r="588" ht="15.75" customHeight="1" s="216"/>
    <row r="589" ht="15.75" customHeight="1" s="216"/>
    <row r="590" ht="15.75" customHeight="1" s="216"/>
    <row r="591" ht="15.75" customHeight="1" s="216"/>
    <row r="592" ht="15.75" customHeight="1" s="216"/>
    <row r="593" ht="15.75" customHeight="1" s="216"/>
    <row r="594" ht="15.75" customHeight="1" s="216"/>
    <row r="595" ht="15.75" customHeight="1" s="216"/>
    <row r="596" ht="15.75" customHeight="1" s="216"/>
    <row r="597" ht="15.75" customHeight="1" s="216"/>
    <row r="598" ht="15.75" customHeight="1" s="216"/>
    <row r="599" ht="15.75" customHeight="1" s="216"/>
    <row r="600" ht="15.75" customHeight="1" s="216"/>
    <row r="601" ht="15.75" customHeight="1" s="216"/>
    <row r="602" ht="15.75" customHeight="1" s="216"/>
    <row r="603" ht="15.75" customHeight="1" s="216"/>
    <row r="604" ht="15.75" customHeight="1" s="216"/>
    <row r="605" ht="15.75" customHeight="1" s="216"/>
    <row r="606" ht="15.75" customHeight="1" s="216"/>
    <row r="607" ht="15.75" customHeight="1" s="216"/>
    <row r="608" ht="15.75" customHeight="1" s="216"/>
    <row r="609" ht="15.75" customHeight="1" s="216"/>
    <row r="610" ht="15.75" customHeight="1" s="216"/>
    <row r="611" ht="15.75" customHeight="1" s="216"/>
    <row r="612" ht="15.75" customHeight="1" s="216"/>
    <row r="613" ht="15.75" customHeight="1" s="216"/>
    <row r="614" ht="15.75" customHeight="1" s="216"/>
    <row r="615" ht="15.75" customHeight="1" s="216"/>
    <row r="616" ht="15.75" customHeight="1" s="216"/>
    <row r="617" ht="15.75" customHeight="1" s="216"/>
    <row r="618" ht="15.75" customHeight="1" s="216"/>
    <row r="619" ht="15.75" customHeight="1" s="216"/>
    <row r="620" ht="15.75" customHeight="1" s="216"/>
    <row r="621" ht="15.75" customHeight="1" s="216"/>
    <row r="622" ht="15.75" customHeight="1" s="216"/>
    <row r="623" ht="15.75" customHeight="1" s="216"/>
    <row r="624" ht="15.75" customHeight="1" s="216"/>
    <row r="625" ht="15.75" customHeight="1" s="216"/>
    <row r="626" ht="15.75" customHeight="1" s="216"/>
    <row r="627" ht="15.75" customHeight="1" s="216"/>
    <row r="628" ht="15.75" customHeight="1" s="216"/>
    <row r="629" ht="15.75" customHeight="1" s="216"/>
    <row r="630" ht="15.75" customHeight="1" s="216"/>
    <row r="631" ht="15.75" customHeight="1" s="216"/>
    <row r="632" ht="15.75" customHeight="1" s="216"/>
    <row r="633" ht="15.75" customHeight="1" s="216"/>
    <row r="634" ht="15.75" customHeight="1" s="216"/>
    <row r="635" ht="15.75" customHeight="1" s="216"/>
    <row r="636" ht="15.75" customHeight="1" s="216"/>
    <row r="637" ht="15.75" customHeight="1" s="216"/>
    <row r="638" ht="15.75" customHeight="1" s="216"/>
    <row r="639" ht="15.75" customHeight="1" s="216"/>
    <row r="640" ht="15.75" customHeight="1" s="216"/>
    <row r="641" ht="15.75" customHeight="1" s="216"/>
    <row r="642" ht="15.75" customHeight="1" s="216"/>
    <row r="643" ht="15.75" customHeight="1" s="216"/>
    <row r="644" ht="15.75" customHeight="1" s="216"/>
    <row r="645" ht="15.75" customHeight="1" s="216"/>
    <row r="646" ht="15.75" customHeight="1" s="216"/>
    <row r="647" ht="15.75" customHeight="1" s="216"/>
    <row r="648" ht="15.75" customHeight="1" s="216"/>
    <row r="649" ht="15.75" customHeight="1" s="216"/>
    <row r="650" ht="15.75" customHeight="1" s="216"/>
    <row r="651" ht="15.75" customHeight="1" s="216"/>
    <row r="652" ht="15.75" customHeight="1" s="216"/>
    <row r="653" ht="15.75" customHeight="1" s="216"/>
    <row r="654" ht="15.75" customHeight="1" s="216"/>
    <row r="655" ht="15.75" customHeight="1" s="216"/>
    <row r="656" ht="15.75" customHeight="1" s="216"/>
    <row r="657" ht="15.75" customHeight="1" s="216"/>
    <row r="658" ht="15.75" customHeight="1" s="216"/>
    <row r="659" ht="15.75" customHeight="1" s="216"/>
    <row r="660" ht="15.75" customHeight="1" s="216"/>
    <row r="661" ht="15.75" customHeight="1" s="216"/>
    <row r="662" ht="15.75" customHeight="1" s="216"/>
    <row r="663" ht="15.75" customHeight="1" s="216"/>
    <row r="664" ht="15.75" customHeight="1" s="216"/>
    <row r="665" ht="15.75" customHeight="1" s="216"/>
    <row r="666" ht="15.75" customHeight="1" s="216"/>
    <row r="667" ht="15.75" customHeight="1" s="216"/>
    <row r="668" ht="15.75" customHeight="1" s="216"/>
    <row r="669" ht="15.75" customHeight="1" s="216"/>
    <row r="670" ht="15.75" customHeight="1" s="216"/>
    <row r="671" ht="15.75" customHeight="1" s="216"/>
    <row r="672" ht="15.75" customHeight="1" s="216"/>
    <row r="673" ht="15.75" customHeight="1" s="216"/>
    <row r="674" ht="15.75" customHeight="1" s="216"/>
    <row r="675" ht="15.75" customHeight="1" s="216"/>
    <row r="676" ht="15.75" customHeight="1" s="216"/>
    <row r="677" ht="15.75" customHeight="1" s="216"/>
    <row r="678" ht="15.75" customHeight="1" s="216"/>
    <row r="679" ht="15.75" customHeight="1" s="216"/>
    <row r="680" ht="15.75" customHeight="1" s="216"/>
    <row r="681" ht="15.75" customHeight="1" s="216"/>
    <row r="682" ht="15.75" customHeight="1" s="216"/>
    <row r="683" ht="15.75" customHeight="1" s="216"/>
    <row r="684" ht="15.75" customHeight="1" s="216"/>
    <row r="685" ht="15.75" customHeight="1" s="216"/>
    <row r="686" ht="15.75" customHeight="1" s="216"/>
    <row r="687" ht="15.75" customHeight="1" s="216"/>
    <row r="688" ht="15.75" customHeight="1" s="216"/>
    <row r="689" ht="15.75" customHeight="1" s="216"/>
    <row r="690" ht="15.75" customHeight="1" s="216"/>
    <row r="691" ht="15.75" customHeight="1" s="216"/>
    <row r="692" ht="15.75" customHeight="1" s="216"/>
    <row r="693" ht="15.75" customHeight="1" s="216"/>
    <row r="694" ht="15.75" customHeight="1" s="216"/>
    <row r="695" ht="15.75" customHeight="1" s="216"/>
    <row r="696" ht="15.75" customHeight="1" s="216"/>
    <row r="697" ht="15.75" customHeight="1" s="216"/>
    <row r="698" ht="15.75" customHeight="1" s="216"/>
    <row r="699" ht="15.75" customHeight="1" s="216"/>
    <row r="700" ht="15.75" customHeight="1" s="216"/>
    <row r="701" ht="15.75" customHeight="1" s="216"/>
    <row r="702" ht="15.75" customHeight="1" s="216"/>
    <row r="703" ht="15.75" customHeight="1" s="216"/>
    <row r="704" ht="15.75" customHeight="1" s="216"/>
    <row r="705" ht="15.75" customHeight="1" s="216"/>
    <row r="706" ht="15.75" customHeight="1" s="216"/>
    <row r="707" ht="15.75" customHeight="1" s="216"/>
    <row r="708" ht="15.75" customHeight="1" s="216"/>
    <row r="709" ht="15.75" customHeight="1" s="216"/>
    <row r="710" ht="15.75" customHeight="1" s="216"/>
    <row r="711" ht="15.75" customHeight="1" s="216"/>
    <row r="712" ht="15.75" customHeight="1" s="216"/>
    <row r="713" ht="15.75" customHeight="1" s="216"/>
    <row r="714" ht="15.75" customHeight="1" s="216"/>
    <row r="715" ht="15.75" customHeight="1" s="216"/>
    <row r="716" ht="15.75" customHeight="1" s="216"/>
    <row r="717" ht="15.75" customHeight="1" s="216"/>
    <row r="718" ht="15.75" customHeight="1" s="216"/>
    <row r="719" ht="15.75" customHeight="1" s="216"/>
    <row r="720" ht="15.75" customHeight="1" s="216"/>
    <row r="721" ht="15.75" customHeight="1" s="216"/>
    <row r="722" ht="15.75" customHeight="1" s="216"/>
    <row r="723" ht="15.75" customHeight="1" s="216"/>
    <row r="724" ht="15.75" customHeight="1" s="216"/>
    <row r="725" ht="15.75" customHeight="1" s="216"/>
    <row r="726" ht="15.75" customHeight="1" s="216"/>
    <row r="727" ht="15.75" customHeight="1" s="216"/>
    <row r="728" ht="15.75" customHeight="1" s="216"/>
    <row r="729" ht="15.75" customHeight="1" s="216"/>
    <row r="730" ht="15.75" customHeight="1" s="216"/>
    <row r="731" ht="15.75" customHeight="1" s="216"/>
    <row r="732" ht="15.75" customHeight="1" s="216"/>
    <row r="733" ht="15.75" customHeight="1" s="216"/>
    <row r="734" ht="15.75" customHeight="1" s="216"/>
    <row r="735" ht="15.75" customHeight="1" s="216"/>
    <row r="736" ht="15.75" customHeight="1" s="216"/>
    <row r="737" ht="15.75" customHeight="1" s="216"/>
    <row r="738" ht="15.75" customHeight="1" s="216"/>
    <row r="739" ht="15.75" customHeight="1" s="216"/>
    <row r="740" ht="15.75" customHeight="1" s="216"/>
    <row r="741" ht="15.75" customHeight="1" s="216"/>
    <row r="742" ht="15.75" customHeight="1" s="216"/>
    <row r="743" ht="15.75" customHeight="1" s="216"/>
    <row r="744" ht="15.75" customHeight="1" s="216"/>
    <row r="745" ht="15.75" customHeight="1" s="216"/>
    <row r="746" ht="15.75" customHeight="1" s="216"/>
    <row r="747" ht="15.75" customHeight="1" s="216"/>
    <row r="748" ht="15.75" customHeight="1" s="216"/>
    <row r="749" ht="15.75" customHeight="1" s="216"/>
    <row r="750" ht="15.75" customHeight="1" s="216"/>
    <row r="751" ht="15.75" customHeight="1" s="216"/>
    <row r="752" ht="15.75" customHeight="1" s="216"/>
    <row r="753" ht="15.75" customHeight="1" s="216"/>
    <row r="754" ht="15.75" customHeight="1" s="216"/>
    <row r="755" ht="15.75" customHeight="1" s="216"/>
    <row r="756" ht="15.75" customHeight="1" s="216"/>
    <row r="757" ht="15.75" customHeight="1" s="216"/>
    <row r="758" ht="15.75" customHeight="1" s="216"/>
    <row r="759" ht="15.75" customHeight="1" s="216"/>
    <row r="760" ht="15.75" customHeight="1" s="216"/>
    <row r="761" ht="15.75" customHeight="1" s="216"/>
    <row r="762" ht="15.75" customHeight="1" s="216"/>
    <row r="763" ht="15.75" customHeight="1" s="216"/>
    <row r="764" ht="15.75" customHeight="1" s="216"/>
    <row r="765" ht="15.75" customHeight="1" s="216"/>
    <row r="766" ht="15.75" customHeight="1" s="216"/>
    <row r="767" ht="15.75" customHeight="1" s="216"/>
    <row r="768" ht="15.75" customHeight="1" s="216"/>
    <row r="769" ht="15.75" customHeight="1" s="216"/>
    <row r="770" ht="15.75" customHeight="1" s="216"/>
    <row r="771" ht="15.75" customHeight="1" s="216"/>
    <row r="772" ht="15.75" customHeight="1" s="216"/>
    <row r="773" ht="15.75" customHeight="1" s="216"/>
    <row r="774" ht="15.75" customHeight="1" s="216"/>
    <row r="775" ht="15.75" customHeight="1" s="216"/>
    <row r="776" ht="15.75" customHeight="1" s="216"/>
    <row r="777" ht="15.75" customHeight="1" s="216"/>
    <row r="778" ht="15.75" customHeight="1" s="216"/>
    <row r="779" ht="15.75" customHeight="1" s="216"/>
    <row r="780" ht="15.75" customHeight="1" s="216"/>
    <row r="781" ht="15.75" customHeight="1" s="216"/>
    <row r="782" ht="15.75" customHeight="1" s="216"/>
    <row r="783" ht="15.75" customHeight="1" s="216"/>
    <row r="784" ht="15.75" customHeight="1" s="216"/>
    <row r="785" ht="15.75" customHeight="1" s="216"/>
    <row r="786" ht="15.75" customHeight="1" s="216"/>
    <row r="787" ht="15.75" customHeight="1" s="216"/>
    <row r="788" ht="15.75" customHeight="1" s="216"/>
    <row r="789" ht="15.75" customHeight="1" s="216"/>
    <row r="790" ht="15.75" customHeight="1" s="216"/>
    <row r="791" ht="15.75" customHeight="1" s="216"/>
    <row r="792" ht="15.75" customHeight="1" s="216"/>
    <row r="793" ht="15.75" customHeight="1" s="216"/>
    <row r="794" ht="15.75" customHeight="1" s="216"/>
    <row r="795" ht="15.75" customHeight="1" s="216"/>
    <row r="796" ht="15.75" customHeight="1" s="216"/>
    <row r="797" ht="15.75" customHeight="1" s="216"/>
    <row r="798" ht="15.75" customHeight="1" s="216"/>
    <row r="799" ht="15.75" customHeight="1" s="216"/>
    <row r="800" ht="15.75" customHeight="1" s="216"/>
    <row r="801" ht="15.75" customHeight="1" s="216"/>
    <row r="802" ht="15.75" customHeight="1" s="216"/>
    <row r="803" ht="15.75" customHeight="1" s="216"/>
    <row r="804" ht="15.75" customHeight="1" s="216"/>
    <row r="805" ht="15.75" customHeight="1" s="216"/>
    <row r="806" ht="15.75" customHeight="1" s="216"/>
    <row r="807" ht="15.75" customHeight="1" s="216"/>
    <row r="808" ht="15.75" customHeight="1" s="216"/>
    <row r="809" ht="15.75" customHeight="1" s="216"/>
    <row r="810" ht="15.75" customHeight="1" s="216"/>
    <row r="811" ht="15.75" customHeight="1" s="216"/>
    <row r="812" ht="15.75" customHeight="1" s="216"/>
    <row r="813" ht="15.75" customHeight="1" s="216"/>
    <row r="814" ht="15.75" customHeight="1" s="216"/>
    <row r="815" ht="15.75" customHeight="1" s="216"/>
    <row r="816" ht="15.75" customHeight="1" s="216"/>
    <row r="817" ht="15.75" customHeight="1" s="216"/>
    <row r="818" ht="15.75" customHeight="1" s="216"/>
    <row r="819" ht="15.75" customHeight="1" s="216"/>
    <row r="820" ht="15.75" customHeight="1" s="216"/>
    <row r="821" ht="15.75" customHeight="1" s="216"/>
    <row r="822" ht="15.75" customHeight="1" s="216"/>
    <row r="823" ht="15.75" customHeight="1" s="216"/>
    <row r="824" ht="15.75" customHeight="1" s="216"/>
    <row r="825" ht="15.75" customHeight="1" s="216"/>
    <row r="826" ht="15.75" customHeight="1" s="216"/>
    <row r="827" ht="15.75" customHeight="1" s="216"/>
    <row r="828" ht="15.75" customHeight="1" s="216"/>
    <row r="829" ht="15.75" customHeight="1" s="216"/>
    <row r="830" ht="15.75" customHeight="1" s="216"/>
    <row r="831" ht="15.75" customHeight="1" s="216"/>
    <row r="832" ht="15.75" customHeight="1" s="216"/>
    <row r="833" ht="15.75" customHeight="1" s="216"/>
    <row r="834" ht="15.75" customHeight="1" s="216"/>
    <row r="835" ht="15.75" customHeight="1" s="216"/>
    <row r="836" ht="15.75" customHeight="1" s="216"/>
    <row r="837" ht="15.75" customHeight="1" s="216"/>
    <row r="838" ht="15.75" customHeight="1" s="216"/>
    <row r="839" ht="15.75" customHeight="1" s="216"/>
    <row r="840" ht="15.75" customHeight="1" s="216"/>
    <row r="841" ht="15.75" customHeight="1" s="216"/>
    <row r="842" ht="15.75" customHeight="1" s="216"/>
    <row r="843" ht="15.75" customHeight="1" s="216"/>
    <row r="844" ht="15.75" customHeight="1" s="216"/>
    <row r="845" ht="15.75" customHeight="1" s="216"/>
    <row r="846" ht="15.75" customHeight="1" s="216"/>
    <row r="847" ht="15.75" customHeight="1" s="216"/>
    <row r="848" ht="15.75" customHeight="1" s="216"/>
    <row r="849" ht="15.75" customHeight="1" s="216"/>
    <row r="850" ht="15.75" customHeight="1" s="216"/>
    <row r="851" ht="15.75" customHeight="1" s="216"/>
    <row r="852" ht="15.75" customHeight="1" s="216"/>
    <row r="853" ht="15.75" customHeight="1" s="216"/>
    <row r="854" ht="15.75" customHeight="1" s="216"/>
    <row r="855" ht="15.75" customHeight="1" s="216"/>
    <row r="856" ht="15.75" customHeight="1" s="216"/>
    <row r="857" ht="15.75" customHeight="1" s="216"/>
    <row r="858" ht="15.75" customHeight="1" s="216"/>
    <row r="859" ht="15.75" customHeight="1" s="216"/>
    <row r="860" ht="15.75" customHeight="1" s="216"/>
    <row r="861" ht="15.75" customHeight="1" s="216"/>
    <row r="862" ht="15.75" customHeight="1" s="216"/>
    <row r="863" ht="15.75" customHeight="1" s="216"/>
    <row r="864" ht="15.75" customHeight="1" s="216"/>
    <row r="865" ht="15.75" customHeight="1" s="216"/>
    <row r="866" ht="15.75" customHeight="1" s="216"/>
    <row r="867" ht="15.75" customHeight="1" s="216"/>
    <row r="868" ht="15.75" customHeight="1" s="216"/>
    <row r="869" ht="15.75" customHeight="1" s="216"/>
    <row r="870" ht="15.75" customHeight="1" s="216"/>
    <row r="871" ht="15.75" customHeight="1" s="216"/>
    <row r="872" ht="15.75" customHeight="1" s="216"/>
    <row r="873" ht="15.75" customHeight="1" s="216"/>
    <row r="874" ht="15.75" customHeight="1" s="216"/>
    <row r="875" ht="15.75" customHeight="1" s="216"/>
    <row r="876" ht="15.75" customHeight="1" s="216"/>
    <row r="877" ht="15.75" customHeight="1" s="216"/>
    <row r="878" ht="15.75" customHeight="1" s="216"/>
    <row r="879" ht="15.75" customHeight="1" s="216"/>
    <row r="880" ht="15.75" customHeight="1" s="216"/>
    <row r="881" ht="15.75" customHeight="1" s="216"/>
    <row r="882" ht="15.75" customHeight="1" s="216"/>
    <row r="883" ht="15.75" customHeight="1" s="216"/>
    <row r="884" ht="15.75" customHeight="1" s="216"/>
    <row r="885" ht="15.75" customHeight="1" s="216"/>
    <row r="886" ht="15.75" customHeight="1" s="216"/>
    <row r="887" ht="15.75" customHeight="1" s="216"/>
    <row r="888" ht="15.75" customHeight="1" s="216"/>
    <row r="889" ht="15.75" customHeight="1" s="216"/>
    <row r="890" ht="15.75" customHeight="1" s="216"/>
    <row r="891" ht="15.75" customHeight="1" s="216"/>
    <row r="892" ht="15.75" customHeight="1" s="216"/>
    <row r="893" ht="15.75" customHeight="1" s="216"/>
    <row r="894" ht="15.75" customHeight="1" s="216"/>
    <row r="895" ht="15.75" customHeight="1" s="216"/>
    <row r="896" ht="15.75" customHeight="1" s="216"/>
    <row r="897" ht="15.75" customHeight="1" s="216"/>
    <row r="898" ht="15.75" customHeight="1" s="216"/>
    <row r="899" ht="15.75" customHeight="1" s="216"/>
    <row r="900" ht="15.75" customHeight="1" s="216"/>
    <row r="901" ht="15.75" customHeight="1" s="216"/>
    <row r="902" ht="15.75" customHeight="1" s="216"/>
    <row r="903" ht="15.75" customHeight="1" s="216"/>
    <row r="904" ht="15.75" customHeight="1" s="216"/>
    <row r="905" ht="15.75" customHeight="1" s="216"/>
    <row r="906" ht="15.75" customHeight="1" s="216"/>
    <row r="907" ht="15.75" customHeight="1" s="216"/>
    <row r="908" ht="15.75" customHeight="1" s="216"/>
    <row r="909" ht="15.75" customHeight="1" s="216"/>
    <row r="910" ht="15.75" customHeight="1" s="216"/>
    <row r="911" ht="15.75" customHeight="1" s="216"/>
    <row r="912" ht="15.75" customHeight="1" s="216"/>
    <row r="913" ht="15.75" customHeight="1" s="216"/>
    <row r="914" ht="15.75" customHeight="1" s="216"/>
    <row r="915" ht="15.75" customHeight="1" s="216"/>
    <row r="916" ht="15.75" customHeight="1" s="216"/>
    <row r="917" ht="15.75" customHeight="1" s="216"/>
    <row r="918" ht="15.75" customHeight="1" s="216"/>
    <row r="919" ht="15.75" customHeight="1" s="216"/>
    <row r="920" ht="15.75" customHeight="1" s="216"/>
    <row r="921" ht="15.75" customHeight="1" s="216"/>
    <row r="922" ht="15.75" customHeight="1" s="216"/>
    <row r="923" ht="15.75" customHeight="1" s="216"/>
    <row r="924" ht="15.75" customHeight="1" s="216"/>
    <row r="925" ht="15.75" customHeight="1" s="216"/>
    <row r="926" ht="15.75" customHeight="1" s="216"/>
    <row r="927" ht="15.75" customHeight="1" s="216"/>
    <row r="928" ht="15.75" customHeight="1" s="216"/>
    <row r="929" ht="15.75" customHeight="1" s="216"/>
    <row r="930" ht="15.75" customHeight="1" s="216"/>
    <row r="931" ht="15.75" customHeight="1" s="216"/>
    <row r="932" ht="15.75" customHeight="1" s="216"/>
    <row r="933" ht="15.75" customHeight="1" s="216"/>
    <row r="934" ht="15.75" customHeight="1" s="216"/>
    <row r="935" ht="15.75" customHeight="1" s="216"/>
    <row r="936" ht="15.75" customHeight="1" s="216"/>
    <row r="937" ht="15.75" customHeight="1" s="216"/>
    <row r="938" ht="15.75" customHeight="1" s="216"/>
    <row r="939" ht="15.75" customHeight="1" s="216"/>
    <row r="940" ht="15.75" customHeight="1" s="216"/>
    <row r="941" ht="15.75" customHeight="1" s="216"/>
    <row r="942" ht="15.75" customHeight="1" s="216"/>
    <row r="943" ht="15.75" customHeight="1" s="216"/>
    <row r="944" ht="15.75" customHeight="1" s="216"/>
    <row r="945" ht="15.75" customHeight="1" s="216"/>
    <row r="946" ht="15.75" customHeight="1" s="216"/>
    <row r="947" ht="15.75" customHeight="1" s="216"/>
    <row r="948" ht="15.75" customHeight="1" s="216"/>
    <row r="949" ht="15.75" customHeight="1" s="216"/>
    <row r="950" ht="15.75" customHeight="1" s="216"/>
    <row r="951" ht="15.75" customHeight="1" s="216"/>
    <row r="952" ht="15.75" customHeight="1" s="216"/>
    <row r="953" ht="15.75" customHeight="1" s="216"/>
    <row r="954" ht="15.75" customHeight="1" s="216"/>
    <row r="955" ht="15.75" customHeight="1" s="216"/>
    <row r="956" ht="15.75" customHeight="1" s="216"/>
    <row r="957" ht="15.75" customHeight="1" s="216"/>
    <row r="958" ht="15.75" customHeight="1" s="216"/>
    <row r="959" ht="15.75" customHeight="1" s="216"/>
    <row r="960" ht="15.75" customHeight="1" s="216"/>
    <row r="961" ht="15.75" customHeight="1" s="216"/>
    <row r="962" ht="15.75" customHeight="1" s="216"/>
    <row r="963" ht="15.75" customHeight="1" s="216"/>
    <row r="964" ht="15.75" customHeight="1" s="216"/>
    <row r="965" ht="15.75" customHeight="1" s="216"/>
    <row r="966" ht="15.75" customHeight="1" s="216"/>
    <row r="967" ht="15.75" customHeight="1" s="216"/>
    <row r="968" ht="15.75" customHeight="1" s="216"/>
    <row r="969" ht="15.75" customHeight="1" s="216"/>
    <row r="970" ht="15.75" customHeight="1" s="216"/>
    <row r="971" ht="15.75" customHeight="1" s="216"/>
    <row r="972" ht="15.75" customHeight="1" s="216"/>
    <row r="973" ht="15.75" customHeight="1" s="216"/>
    <row r="974" ht="15.75" customHeight="1" s="216"/>
    <row r="975" ht="15.75" customHeight="1" s="216"/>
    <row r="976" ht="15.75" customHeight="1" s="216"/>
    <row r="977" ht="15.75" customHeight="1" s="216"/>
    <row r="978" ht="15.75" customHeight="1" s="216"/>
    <row r="979" ht="15.75" customHeight="1" s="216"/>
    <row r="980" ht="15.75" customHeight="1" s="216"/>
    <row r="981" ht="15.75" customHeight="1" s="216"/>
    <row r="982" ht="15.75" customHeight="1" s="216"/>
    <row r="983" ht="15.75" customHeight="1" s="216"/>
    <row r="984" ht="15.75" customHeight="1" s="216"/>
    <row r="985" ht="15.75" customHeight="1" s="216"/>
    <row r="986" ht="15.75" customHeight="1" s="216"/>
    <row r="987" ht="15.75" customHeight="1" s="216"/>
    <row r="988" ht="15.75" customHeight="1" s="216"/>
    <row r="989" ht="15.75" customHeight="1" s="216"/>
    <row r="990" ht="15.75" customHeight="1" s="216"/>
    <row r="991" ht="15.75" customHeight="1" s="216"/>
    <row r="992" ht="15.75" customHeight="1" s="216"/>
    <row r="993" ht="15.75" customHeight="1" s="216"/>
    <row r="994" ht="15.75" customHeight="1" s="216"/>
    <row r="995" ht="15.75" customHeight="1" s="216"/>
    <row r="996" ht="15.75" customHeight="1" s="216"/>
    <row r="997" ht="15.75" customHeight="1" s="216"/>
    <row r="998" ht="15.75" customHeight="1" s="216"/>
    <row r="999" ht="15.75" customHeight="1" s="216"/>
    <row r="1000" ht="15.75" customHeight="1" s="216"/>
  </sheetData>
  <autoFilter ref="A6:AU6"/>
  <mergeCells count="19">
    <mergeCell ref="AR5:AU5"/>
    <mergeCell ref="N5:S5"/>
    <mergeCell ref="C2:E2"/>
    <mergeCell ref="A5:C5"/>
    <mergeCell ref="Z5:AE5"/>
    <mergeCell ref="AF5:AK5"/>
    <mergeCell ref="AL5:AQ5"/>
    <mergeCell ref="J5:M5"/>
    <mergeCell ref="A3:B3"/>
    <mergeCell ref="G3:H3"/>
    <mergeCell ref="I3:J3"/>
    <mergeCell ref="A2:B2"/>
    <mergeCell ref="D5:I5"/>
    <mergeCell ref="C3:E3"/>
    <mergeCell ref="A4:B4"/>
    <mergeCell ref="G4:H4"/>
    <mergeCell ref="T5:Y5"/>
    <mergeCell ref="I4:J4"/>
    <mergeCell ref="C4:E4"/>
  </mergeCells>
  <conditionalFormatting sqref="O7:O500 P7:P500 U7:U500 V7:V500 AA7:AA500 AB7:AB500 AG7:AG500 AH7:AH500 AM7:AM500 AN7:AN500 AS7:AS500 AT7:AT500">
    <cfRule type="cellIs" priority="1" operator="equal" dxfId="5">
      <formula>"Pass"</formula>
    </cfRule>
    <cfRule type="cellIs" priority="2" operator="equal" dxfId="6">
      <formula>"Fail"</formula>
    </cfRule>
    <cfRule type="cellIs" priority="3" operator="equal" dxfId="7">
      <formula>"Block"</formula>
    </cfRule>
    <cfRule type="cellIs" priority="4" operator="equal" dxfId="8">
      <formula>"N/A"</formula>
    </cfRule>
  </conditionalFormatting>
  <dataValidations count="8">
    <dataValidation sqref="J7:J500" showDropDown="0" showInputMessage="0" showErrorMessage="0" allowBlank="1" type="list">
      <formula1>"AI,QC"</formula1>
    </dataValidation>
    <dataValidation sqref="E7:E500" showDropDown="0" showInputMessage="0" showErrorMessage="0" allowBlank="1" type="list">
      <formula1>"High,Medium,Low"</formula1>
    </dataValidation>
    <dataValidation sqref="P7:P500 V7:V500 AB7:AB500 AH7:AH500 AN7:AN500" showDropDown="0" showInputMessage="0" showErrorMessage="0" allowBlank="1" type="list">
      <formula1>"Pass,Fail,Block,N/A"</formula1>
    </dataValidation>
    <dataValidation sqref="N7:N500 T7:T500 Z7:Z500 AF7:AF500 AL7:AL500" showDropDown="0" showInputMessage="0" showErrorMessage="0" allowBlank="1" type="list">
      <formula1>"Yes,No,N/A"</formula1>
    </dataValidation>
    <dataValidation sqref="O7:O500 U7:U500 AA7:AA500 AG7:AG500 AM7:AM500" showDropDown="0" showInputMessage="0" showErrorMessage="0" allowBlank="1" type="list">
      <formula1>"Pass,Fail,Block,N/A,Chưa chạy"</formula1>
    </dataValidation>
    <dataValidation sqref="D7:D500" showDropDown="0" showInputMessage="0" showErrorMessage="0" allowBlank="1" type="list">
      <formula1>"Functional,UI,Integration,Database Test Case"</formula1>
    </dataValidation>
    <dataValidation sqref="K7:K500" showDropDown="0" showInputMessage="0" showErrorMessage="0" allowBlank="1" type="list">
      <formula1>"Reviewed,Pending,N/A"</formula1>
    </dataValidation>
    <dataValidation sqref="L7:L500" showDropDown="0" showInputMessage="0" showErrorMessage="0" allowBlank="1" type="list">
      <formula1>"Yes,No"</formula1>
    </dataValidation>
  </dataValidations>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2026-09-10T10:47:30Z</dcterms:created>
  <dcterms:modified xmlns:dcterms="http://purl.org/dc/terms/" xmlns:xsi="http://www.w3.org/2001/XMLSchema-instance" xsi:type="dcterms:W3CDTF">2026-09-22T12:15:42Z</dcterms:modified>
</cp:coreProperties>
</file>